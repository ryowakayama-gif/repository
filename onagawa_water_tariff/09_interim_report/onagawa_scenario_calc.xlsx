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設定" sheetId="1" state="visible" r:id="rId1"/>
    <sheet xmlns:r="http://schemas.openxmlformats.org/officeDocument/2006/relationships" name="02_総括原価" sheetId="2" state="visible" r:id="rId2"/>
    <sheet xmlns:r="http://schemas.openxmlformats.org/officeDocument/2006/relationships" name="03_指標と改定率" sheetId="3" state="visible" r:id="rId3"/>
    <sheet xmlns:r="http://schemas.openxmlformats.org/officeDocument/2006/relationships" name="04_料金への影響" sheetId="4" state="visible" r:id="rId4"/>
    <sheet xmlns:r="http://schemas.openxmlformats.org/officeDocument/2006/relationships" name="05_口径別料金表" sheetId="5" state="visible" r:id="rId5"/>
    <sheet xmlns:r="http://schemas.openxmlformats.org/officeDocument/2006/relationships" name="06_ケース比較" sheetId="6" state="visible" r:id="rId6"/>
    <sheet xmlns:r="http://schemas.openxmlformats.org/officeDocument/2006/relationships" name="07_計算用データ" sheetId="7" state="visible" r:id="rId7"/>
    <sheet xmlns:r="http://schemas.openxmlformats.org/officeDocument/2006/relationships" name="08_参照元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0.000&quot;倍&quot;"/>
    <numFmt numFmtId="166" formatCode="0.000000"/>
    <numFmt numFmtId="167" formatCode="#,##0.0"/>
    <numFmt numFmtId="168" formatCode="0.0%"/>
    <numFmt numFmtId="169" formatCode="0.000"/>
    <numFmt numFmtId="170" formatCode="0.00&quot;倍&quot;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595959"/>
      <sz val="9"/>
    </font>
    <font>
      <name val="Arial"/>
      <color rgb="00C0000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color rgb="00595959"/>
      <sz val="8.5"/>
    </font>
    <font>
      <name val="Arial"/>
      <b val="1"/>
      <sz val="10"/>
    </font>
    <font>
      <name val="Arial"/>
      <b val="1"/>
      <color rgb="001F3864"/>
      <sz val="10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sz val="9"/>
    </font>
    <font>
      <name val="Arial"/>
      <sz val="8.5"/>
    </font>
    <font>
      <name val="Arial"/>
      <b val="1"/>
      <sz val="9.5"/>
    </font>
    <font>
      <name val="Arial"/>
      <b val="1"/>
      <sz val="9"/>
    </font>
    <font>
      <name val="Arial"/>
      <b val="1"/>
      <color rgb="001F3864"/>
      <sz val="9"/>
    </font>
    <font>
      <name val="Arial"/>
      <b val="1"/>
      <color rgb="00C00000"/>
      <sz val="9"/>
    </font>
    <font>
      <name val="Arial"/>
      <b val="1"/>
      <color rgb="001F3864"/>
      <sz val="9.5"/>
    </font>
    <font>
      <name val="Arial"/>
      <color rgb="00C00000"/>
      <sz val="8.5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8" fillId="0" borderId="1" applyAlignment="1" pivotButton="0" quotePrefix="0" xfId="0">
      <alignment horizontal="left" vertical="center"/>
    </xf>
    <xf numFmtId="3" fontId="9" fillId="5" borderId="1" applyAlignment="1" pivotButton="0" quotePrefix="0" xfId="0">
      <alignment horizontal="center" vertical="center"/>
    </xf>
    <xf numFmtId="167" fontId="9" fillId="5" borderId="1" applyAlignment="1" pivotButton="0" quotePrefix="0" xfId="0">
      <alignment horizontal="center" vertical="center"/>
    </xf>
    <xf numFmtId="168" fontId="9" fillId="5" borderId="1" applyAlignment="1" pivotButton="0" quotePrefix="0" xfId="0">
      <alignment horizontal="center" vertical="center"/>
    </xf>
    <xf numFmtId="169" fontId="9" fillId="5" borderId="1" applyAlignment="1" pivotButton="0" quotePrefix="0" xfId="0">
      <alignment horizontal="center" vertical="center"/>
    </xf>
    <xf numFmtId="0" fontId="10" fillId="2" borderId="0" pivotButton="0" quotePrefix="0" xfId="0"/>
    <xf numFmtId="0" fontId="11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3" fontId="12" fillId="0" borderId="1" applyAlignment="1" pivotButton="0" quotePrefix="0" xfId="0">
      <alignment horizontal="left" vertical="center"/>
    </xf>
    <xf numFmtId="3" fontId="9" fillId="5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169" fontId="1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7" fontId="12" fillId="0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170" fontId="12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3" fontId="15" fillId="0" borderId="1" applyAlignment="1" pivotButton="0" quotePrefix="0" xfId="0">
      <alignment horizontal="center" vertical="center"/>
    </xf>
    <xf numFmtId="167" fontId="16" fillId="5" borderId="1" applyAlignment="1" pivotButton="0" quotePrefix="0" xfId="0">
      <alignment horizontal="left" vertical="center"/>
    </xf>
    <xf numFmtId="168" fontId="16" fillId="5" borderId="1" applyAlignment="1" pivotButton="0" quotePrefix="0" xfId="0">
      <alignment horizontal="left" vertical="center"/>
    </xf>
    <xf numFmtId="3" fontId="12" fillId="0" borderId="1" applyAlignment="1" pivotButton="0" quotePrefix="0" xfId="0">
      <alignment horizontal="right" vertical="center"/>
    </xf>
    <xf numFmtId="167" fontId="12" fillId="0" borderId="1" applyAlignment="1" pivotButton="0" quotePrefix="0" xfId="0">
      <alignment horizontal="left" vertical="center"/>
    </xf>
    <xf numFmtId="166" fontId="15" fillId="5" borderId="1" applyAlignment="1" pivotButton="0" quotePrefix="0" xfId="0">
      <alignment horizontal="center" vertical="center"/>
    </xf>
    <xf numFmtId="167" fontId="12" fillId="5" borderId="1" applyAlignment="1" pivotButton="0" quotePrefix="0" xfId="0">
      <alignment horizontal="center" vertical="center"/>
    </xf>
    <xf numFmtId="166" fontId="17" fillId="4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left" vertical="center"/>
    </xf>
    <xf numFmtId="3" fontId="12" fillId="5" borderId="1" applyAlignment="1" pivotButton="0" quotePrefix="0" xfId="0">
      <alignment horizontal="left" vertical="center"/>
    </xf>
    <xf numFmtId="167" fontId="12" fillId="5" borderId="1" applyAlignment="1" pivotButton="0" quotePrefix="0" xfId="0">
      <alignment horizontal="left" vertical="center"/>
    </xf>
    <xf numFmtId="168" fontId="12" fillId="5" borderId="1" applyAlignment="1" pivotButton="0" quotePrefix="0" xfId="0">
      <alignment horizontal="center" vertical="center"/>
    </xf>
    <xf numFmtId="169" fontId="16" fillId="5" borderId="1" applyAlignment="1" pivotButton="0" quotePrefix="0" xfId="0">
      <alignment horizontal="center" vertical="center"/>
    </xf>
    <xf numFmtId="168" fontId="12" fillId="0" borderId="1" applyAlignment="1" pivotButton="0" quotePrefix="0" xfId="0">
      <alignment horizontal="center" vertical="center"/>
    </xf>
    <xf numFmtId="169" fontId="16" fillId="0" borderId="1" applyAlignment="1" pivotButton="0" quotePrefix="0" xfId="0">
      <alignment horizontal="center" vertical="center"/>
    </xf>
    <xf numFmtId="0" fontId="18" fillId="0" borderId="0" pivotButton="0" quotePrefix="0" xfId="0"/>
    <xf numFmtId="0" fontId="13" fillId="0" borderId="0" pivotButton="0" quotePrefix="0" xfId="0"/>
    <xf numFmtId="0" fontId="19" fillId="0" borderId="1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30" customWidth="1" min="3" max="3"/>
    <col width="4" customWidth="1" min="4" max="4"/>
    <col width="64" customWidth="1" min="5" max="5"/>
  </cols>
  <sheetData>
    <row r="1" ht="22" customHeight="1">
      <c r="A1" s="1" t="inlineStr">
        <is>
          <t>女川町水道事業　試算条件切替計算表</t>
        </is>
      </c>
      <c r="B1" s="2" t="n"/>
      <c r="C1" s="2" t="n"/>
      <c r="D1" s="2" t="n"/>
      <c r="E1" s="2" t="n"/>
    </row>
    <row r="2">
      <c r="A2" s="3" t="inlineStr">
        <is>
          <t>黄色のセルを変えると、02以降のシートがすべて自動で計算し直されます。Excelで開いてご利用ください。</t>
        </is>
      </c>
    </row>
    <row r="3">
      <c r="A3" s="4" t="inlineStr">
        <is>
          <t>既定値は中間報告書（改訂版）の採用条件です。総括原価1,175,810千円・必要改定率1.99倍を再現します。</t>
        </is>
      </c>
    </row>
    <row r="5">
      <c r="A5" s="5" t="inlineStr">
        <is>
          <t>【投資と減価償却】</t>
        </is>
      </c>
      <c r="B5" s="6" t="n"/>
      <c r="C5" s="6" t="n"/>
      <c r="D5" s="6" t="n"/>
      <c r="E5" s="6" t="n"/>
    </row>
    <row r="6">
      <c r="B6" s="7" t="inlineStr">
        <is>
          <t>建設改良費の計画</t>
        </is>
      </c>
      <c r="C6" s="8" t="inlineStr">
        <is>
          <t>建設改良費調査票</t>
        </is>
      </c>
      <c r="E6" s="9" t="inlineStr">
        <is>
          <t>調査票＝女川町回答（R8〜R17で35.15億円）。量水器費は経営戦略の1.06億円</t>
        </is>
      </c>
    </row>
    <row r="7">
      <c r="B7" s="7" t="inlineStr">
        <is>
          <t>耐用年数（管路・構築物）</t>
        </is>
      </c>
      <c r="C7" s="8" t="n">
        <v>38</v>
      </c>
      <c r="E7" s="9" t="inlineStr">
        <is>
          <t>経営戦略の設定は38年</t>
        </is>
      </c>
    </row>
    <row r="8">
      <c r="B8" s="7" t="inlineStr">
        <is>
          <t>耐用年数（機械・電気）</t>
        </is>
      </c>
      <c r="C8" s="8" t="n">
        <v>38</v>
      </c>
      <c r="E8" s="9" t="inlineStr">
        <is>
          <t>調査票は4事業とも40年。鷲神高度処理設備は機械・電気設備を含むため要確認</t>
        </is>
      </c>
    </row>
    <row r="9">
      <c r="B9" s="7" t="inlineStr">
        <is>
          <t>既存資産の償却費</t>
        </is>
      </c>
      <c r="C9" s="8" t="inlineStr">
        <is>
          <t>財政シミュに接続</t>
        </is>
      </c>
      <c r="E9" s="9" t="inlineStr">
        <is>
          <t>接続＝1,855,337千円（R6末1,822,881＋R7取得32,456）。差引方式＝1,814,019千円（41,318千円不足）</t>
        </is>
      </c>
    </row>
    <row r="10">
      <c r="B10" s="7" t="inlineStr">
        <is>
          <t>減価償却費の算入方法</t>
        </is>
      </c>
      <c r="C10" s="8" t="inlineStr">
        <is>
          <t>損益計算書ベース</t>
        </is>
      </c>
      <c r="E10" s="9" t="inlineStr">
        <is>
          <t>台帳ベースを選ぶと長期前受金戻入益の控除は0になります</t>
        </is>
      </c>
    </row>
    <row r="11">
      <c r="A11" s="5" t="inlineStr">
        <is>
          <t>【企業債】</t>
        </is>
      </c>
      <c r="B11" s="6" t="n"/>
      <c r="C11" s="6" t="n"/>
      <c r="D11" s="6" t="n"/>
      <c r="E11" s="6" t="n"/>
    </row>
    <row r="12">
      <c r="B12" s="7" t="inlineStr">
        <is>
          <t>借入利率（％）</t>
        </is>
      </c>
      <c r="C12" s="10" t="n">
        <v>2.1</v>
      </c>
      <c r="E12" s="9" t="inlineStr">
        <is>
          <t>調査票は4事業とも未記入。2.1％は経営戦略の加重平均借入利率</t>
        </is>
      </c>
    </row>
    <row r="13">
      <c r="B13" s="7" t="inlineStr">
        <is>
          <t>償還条件</t>
        </is>
      </c>
      <c r="C13" s="8" t="inlineStr">
        <is>
          <t>経営戦略方式（40年・据置なし）</t>
        </is>
      </c>
      <c r="E13" s="9" t="inlineStr"/>
    </row>
    <row r="14">
      <c r="A14" s="5" t="inlineStr">
        <is>
          <t>【資産維持費】</t>
        </is>
      </c>
      <c r="B14" s="6" t="n"/>
      <c r="C14" s="6" t="n"/>
      <c r="D14" s="6" t="n"/>
      <c r="E14" s="6" t="n"/>
    </row>
    <row r="15">
      <c r="B15" s="7" t="inlineStr">
        <is>
          <t>資産維持率（％）</t>
        </is>
      </c>
      <c r="C15" s="10" t="n">
        <v>3</v>
      </c>
      <c r="E15" s="9" t="inlineStr">
        <is>
          <t>日本水道協会「水道料金算定要領」の標準値は3％</t>
        </is>
      </c>
    </row>
    <row r="16">
      <c r="B16" s="7" t="inlineStr">
        <is>
          <t>対象資産の取り方</t>
        </is>
      </c>
      <c r="C16" s="8" t="inlineStr">
        <is>
          <t>期首期末平均</t>
        </is>
      </c>
      <c r="E16" s="9" t="inlineStr">
        <is>
          <t>期首期末平均＝896,312千円　期首＝1,042,625千円。いずれも推計値で未確定</t>
        </is>
      </c>
    </row>
    <row r="17">
      <c r="B17" s="7" t="inlineStr">
        <is>
          <t>資産維持費の年数</t>
        </is>
      </c>
      <c r="C17" s="8" t="n">
        <v>5</v>
      </c>
      <c r="E17" s="9" t="inlineStr"/>
    </row>
    <row r="18">
      <c r="A18" s="5" t="inlineStr">
        <is>
          <t>【控除項目】</t>
        </is>
      </c>
      <c r="B18" s="6" t="n"/>
      <c r="C18" s="6" t="n"/>
      <c r="D18" s="6" t="n"/>
      <c r="E18" s="6" t="n"/>
    </row>
    <row r="19">
      <c r="B19" s="7" t="inlineStr">
        <is>
          <t>長期前受金戻入益</t>
        </is>
      </c>
      <c r="C19" s="8" t="inlineStr">
        <is>
          <t>経営戦略の実額</t>
        </is>
      </c>
      <c r="E19" s="9" t="inlineStr">
        <is>
          <t>実額＝1,542,259千円＋新規取得分。推計値＝450,000千円</t>
        </is>
      </c>
    </row>
    <row r="20">
      <c r="B20" s="7" t="inlineStr">
        <is>
          <t>他会計補助金等</t>
        </is>
      </c>
      <c r="C20" s="8" t="inlineStr">
        <is>
          <t>他会計補助金のみ</t>
        </is>
      </c>
      <c r="E20" s="9" t="inlineStr">
        <is>
          <t>他会計補助金272,997千円。繰出基準に基づく区分は町に未確認</t>
        </is>
      </c>
    </row>
    <row r="21">
      <c r="B21" s="7" t="inlineStr">
        <is>
          <t>その他営業収益・受取利息等</t>
        </is>
      </c>
      <c r="C21" s="8" t="inlineStr">
        <is>
          <t>控除しない</t>
        </is>
      </c>
      <c r="E21" s="9" t="inlineStr">
        <is>
          <t>控除する場合26,494千円。経営戦略の原価計算表は控除していない</t>
        </is>
      </c>
    </row>
    <row r="22">
      <c r="B22" s="7" t="inlineStr">
        <is>
          <t>雑支出</t>
        </is>
      </c>
      <c r="C22" s="8" t="inlineStr">
        <is>
          <t>算入しない</t>
        </is>
      </c>
      <c r="E22" s="9" t="inlineStr">
        <is>
          <t>算入する場合36,696千円</t>
        </is>
      </c>
    </row>
    <row r="23">
      <c r="B23" s="7" t="inlineStr">
        <is>
          <t>動力費・薬品費</t>
        </is>
      </c>
      <c r="C23" s="8" t="inlineStr">
        <is>
          <t>実績単価に補正</t>
        </is>
      </c>
      <c r="E23" s="9" t="inlineStr">
        <is>
          <t>経営戦略は1年分の費用を10年間の水量で割っており過小。補正額＋47,167千円</t>
        </is>
      </c>
    </row>
    <row r="24">
      <c r="A24" s="5" t="inlineStr">
        <is>
          <t>【水量と収益】</t>
        </is>
      </c>
      <c r="B24" s="6" t="n"/>
      <c r="C24" s="6" t="n"/>
      <c r="D24" s="6" t="n"/>
      <c r="E24" s="6" t="n"/>
    </row>
    <row r="25">
      <c r="B25" s="7" t="inlineStr">
        <is>
          <t>有収水量　5年計（㎥）</t>
        </is>
      </c>
      <c r="C25" s="11" t="n">
        <v>4316000</v>
      </c>
      <c r="E25" s="9" t="inlineStr">
        <is>
          <t>経営戦略の水需要予測</t>
        </is>
      </c>
    </row>
    <row r="26">
      <c r="B26" s="7" t="inlineStr">
        <is>
          <t>給水収益　5年計（千円・税抜）</t>
        </is>
      </c>
      <c r="C26" s="11" t="n">
        <v>590845</v>
      </c>
      <c r="E26" s="9" t="inlineStr">
        <is>
          <t>現行料金による見込額。令和8年4〜6月の基本料金等免除は未反映</t>
        </is>
      </c>
    </row>
    <row r="27">
      <c r="A27" s="5" t="inlineStr">
        <is>
          <t>【料金改定の試算】</t>
        </is>
      </c>
      <c r="B27" s="6" t="n"/>
      <c r="C27" s="6" t="n"/>
      <c r="D27" s="6" t="n"/>
      <c r="E27" s="6" t="n"/>
    </row>
    <row r="28">
      <c r="B28" s="7" t="inlineStr">
        <is>
          <t>パターン1の改定率</t>
        </is>
      </c>
      <c r="C28" s="12" t="n"/>
      <c r="E28" s="9" t="inlineStr">
        <is>
          <t>空欄にすると03シートの必要改定率を使います。数値を入れるとその率で試算します</t>
        </is>
      </c>
    </row>
    <row r="29">
      <c r="B29" s="7" t="inlineStr">
        <is>
          <t>パターン3-Aの水準係数</t>
        </is>
      </c>
      <c r="C29" s="13" t="n">
        <v>0.976194</v>
      </c>
      <c r="E29" s="9" t="inlineStr">
        <is>
          <t>05シートの「必要な係数の目安」を見ながら調整してください</t>
        </is>
      </c>
    </row>
    <row r="31">
      <c r="A31" s="14" t="inlineStr">
        <is>
          <t>算定結果（詳しくは02・03シート）</t>
        </is>
      </c>
      <c r="B31" s="2" t="n"/>
      <c r="C31" s="2" t="n"/>
      <c r="D31" s="2" t="n"/>
      <c r="E31" s="2" t="n"/>
    </row>
    <row r="32">
      <c r="B32" s="15" t="inlineStr">
        <is>
          <t>総括原価　5年計（千円）</t>
        </is>
      </c>
      <c r="C32" s="16">
        <f>'02_総括原価'!C14</f>
        <v/>
      </c>
    </row>
    <row r="33">
      <c r="B33" s="15" t="inlineStr">
        <is>
          <t>給水原価（円/㎥）</t>
        </is>
      </c>
      <c r="C33" s="17">
        <f>'03_指標と改定率'!C6</f>
        <v/>
      </c>
    </row>
    <row r="34">
      <c r="B34" s="15" t="inlineStr">
        <is>
          <t>供給単価　R8〜R12・税抜（円/㎥）</t>
        </is>
      </c>
      <c r="C34" s="17">
        <f>'03_指標と改定率'!C7</f>
        <v/>
      </c>
    </row>
    <row r="35">
      <c r="B35" s="15" t="inlineStr">
        <is>
          <t>総括原価回収割合</t>
        </is>
      </c>
      <c r="C35" s="18">
        <f>'03_指標と改定率'!C8</f>
        <v/>
      </c>
    </row>
    <row r="36">
      <c r="B36" s="15" t="inlineStr">
        <is>
          <t>年間不足額（千円/年）</t>
        </is>
      </c>
      <c r="C36" s="16">
        <f>'03_指標と改定率'!C9</f>
        <v/>
      </c>
    </row>
    <row r="37">
      <c r="B37" s="15" t="inlineStr">
        <is>
          <t>必要改定率（倍）</t>
        </is>
      </c>
      <c r="C37" s="19">
        <f>'03_指標と改定率'!C10</f>
        <v/>
      </c>
    </row>
    <row r="38">
      <c r="B38" s="15" t="inlineStr">
        <is>
          <t>赤字半減の改定率（倍）</t>
        </is>
      </c>
      <c r="C38" s="19">
        <f>'03_指標と改定率'!C13</f>
        <v/>
      </c>
    </row>
    <row r="39">
      <c r="B39" s="15" t="inlineStr">
        <is>
          <t>標準家庭　20mm・20㎥（円/月・改定後）</t>
        </is>
      </c>
      <c r="C39" s="16">
        <f>'04_料金への影響'!H19</f>
        <v/>
      </c>
    </row>
    <row r="41">
      <c r="A41" s="3" t="inlineStr">
        <is>
          <t>※ 数式の計算結果はファイルに保存していません。Excelで開くと計算されます。</t>
        </is>
      </c>
    </row>
    <row r="42">
      <c r="A42" s="3" t="inlineStr">
        <is>
          <t>※ 既定値のまま開くと 1,175,810千円 / 272.4円/㎥ / 50.3% / 1.990倍 / 2,809円 になります。</t>
        </is>
      </c>
    </row>
    <row r="43">
      <c r="A43" s="3" t="inlineStr">
        <is>
          <t>※ 他会計補助金等を「控除しない」にすると 1,448,807千円 / 2.452倍 になります。</t>
        </is>
      </c>
    </row>
  </sheetData>
  <dataValidations count="14">
    <dataValidation sqref="C6" showDropDown="0" showInputMessage="0" showErrorMessage="0" allowBlank="1" type="list">
      <formula1>"建設改良費調査票,経営戦略の計画,調査票＋量水器費"</formula1>
    </dataValidation>
    <dataValidation sqref="C7" showDropDown="0" showInputMessage="0" showErrorMessage="0" allowBlank="1" type="list">
      <formula1>"35,38,40"</formula1>
    </dataValidation>
    <dataValidation sqref="C8" showDropDown="0" showInputMessage="0" showErrorMessage="0" allowBlank="1" type="list">
      <formula1>"15,20,25,30,38,40"</formula1>
    </dataValidation>
    <dataValidation sqref="C9" showDropDown="0" showInputMessage="0" showErrorMessage="0" allowBlank="1" type="list">
      <formula1>"財政シミュに接続,差引方式"</formula1>
    </dataValidation>
    <dataValidation sqref="C10" showDropDown="0" showInputMessage="0" showErrorMessage="0" allowBlank="1" type="list">
      <formula1>"損益計算書ベース,固定資産台帳ベース"</formula1>
    </dataValidation>
    <dataValidation sqref="C12" showDropDown="0" showInputMessage="0" showErrorMessage="0" allowBlank="1" type="list">
      <formula1>"2.0,2.1,2.2,2.3,2.4,2.5,2.6,2.7,2.8,2.9,3.0"</formula1>
    </dataValidation>
    <dataValidation sqref="C13" showDropDown="0" showInputMessage="0" showErrorMessage="0" allowBlank="1" type="list">
      <formula1>"経営戦略方式（40年・据置なし）,調査票方式（25/40年・据置3年）"</formula1>
    </dataValidation>
    <dataValidation sqref="C16" showDropDown="0" showInputMessage="0" showErrorMessage="0" allowBlank="1" type="list">
      <formula1>"期首期末平均,期首の帳簿価額"</formula1>
    </dataValidation>
    <dataValidation sqref="C17" showDropDown="0" showInputMessage="0" showErrorMessage="0" allowBlank="1" type="list">
      <formula1>"1,3,5"</formula1>
    </dataValidation>
    <dataValidation sqref="C19" showDropDown="0" showInputMessage="0" showErrorMessage="0" allowBlank="1" type="list">
      <formula1>"経営戦略の実額,成果品の推計値,控除しない"</formula1>
    </dataValidation>
    <dataValidation sqref="C20" showDropDown="0" showInputMessage="0" showErrorMessage="0" allowBlank="1" type="list">
      <formula1>"他会計補助金のみ,他会計補助金＋補助金,成果品の推計値,控除しない"</formula1>
    </dataValidation>
    <dataValidation sqref="C21" showDropDown="0" showInputMessage="0" showErrorMessage="0" allowBlank="1" type="list">
      <formula1>"控除する,控除しない"</formula1>
    </dataValidation>
    <dataValidation sqref="C22" showDropDown="0" showInputMessage="0" showErrorMessage="0" allowBlank="1" type="list">
      <formula1>"算入する,算入しない"</formula1>
    </dataValidation>
    <dataValidation sqref="C23" showDropDown="0" showInputMessage="0" showErrorMessage="0" allowBlank="1" type="list">
      <formula1>"実績単価に補正,経営戦略のまま"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8" customWidth="1" min="3" max="3"/>
    <col width="4" customWidth="1" min="4" max="4"/>
    <col width="70" customWidth="1" min="5" max="5"/>
  </cols>
  <sheetData>
    <row r="1" ht="22" customHeight="1">
      <c r="A1" s="20" t="inlineStr">
        <is>
          <t>総括原価の算定（令和8〜12年度 5年計・税抜・千円）</t>
        </is>
      </c>
      <c r="B1" s="2" t="n"/>
      <c r="C1" s="2" t="n"/>
      <c r="D1" s="2" t="n"/>
      <c r="E1" s="2" t="n"/>
    </row>
    <row r="2">
      <c r="A2" s="3" t="inlineStr">
        <is>
          <t>「01_設定」の選択に基づいて計算しています。</t>
        </is>
      </c>
    </row>
    <row r="4" ht="26" customHeight="1">
      <c r="A4" s="21" t="inlineStr"/>
      <c r="B4" s="21" t="inlineStr">
        <is>
          <t>費目</t>
        </is>
      </c>
      <c r="C4" s="21" t="inlineStr">
        <is>
          <t>金額</t>
        </is>
      </c>
      <c r="D4" s="21" t="inlineStr"/>
      <c r="E4" s="21" t="inlineStr">
        <is>
          <t>内容・変わる条件</t>
        </is>
      </c>
    </row>
    <row r="5">
      <c r="A5" s="22" t="inlineStr">
        <is>
          <t>Ⅰ</t>
        </is>
      </c>
      <c r="B5" s="23" t="inlineStr">
        <is>
          <t>維持管理費</t>
        </is>
      </c>
      <c r="C5" s="24">
        <f>672327+IF('01_設定'!$C$23="実績単価に補正",47167,0)</f>
        <v/>
      </c>
      <c r="E5" s="9" t="inlineStr">
        <is>
          <t>動力費・薬品費の補正で＋47,167千円</t>
        </is>
      </c>
    </row>
    <row r="6">
      <c r="A6" s="22" t="inlineStr">
        <is>
          <t>Ⅱ</t>
        </is>
      </c>
      <c r="B6" s="23" t="inlineStr">
        <is>
          <t>減価償却費</t>
        </is>
      </c>
      <c r="C6" s="24">
        <f>IF('01_設定'!$C$10="固定資産台帳ベース",32188*5+INDEX('07_計算用データ'!$E$6:$E$113,MATCH('01_設定'!$C$6&amp;"|"&amp;'01_設定'!$C$10&amp;"|"&amp;'01_設定'!$C$7&amp;"|"&amp;'01_設定'!$C$8,'07_計算用データ'!$G$6:$G$113,0)),IF('01_設定'!$C$9="差引方式",1814019,1855337)+INDEX('07_計算用データ'!$E$6:$E$113,MATCH('01_設定'!$C$6&amp;"|"&amp;'01_設定'!$C$10&amp;"|"&amp;'01_設定'!$C$7&amp;"|"&amp;'01_設定'!$C$8,'07_計算用データ'!$G$6:$G$113,0)))</f>
        <v/>
      </c>
      <c r="E6" s="9" t="inlineStr">
        <is>
          <t>既存資産分＋新規分。計画・耐用年数・算入方法・既存分の取り方で変わる</t>
        </is>
      </c>
    </row>
    <row r="7">
      <c r="A7" s="22" t="inlineStr">
        <is>
          <t>Ⅲ</t>
        </is>
      </c>
      <c r="B7" s="23" t="inlineStr">
        <is>
          <t>支払利息（既往債）</t>
        </is>
      </c>
      <c r="C7" s="24">
        <f>50585</f>
        <v/>
      </c>
      <c r="E7" s="9" t="inlineStr">
        <is>
          <t>固定</t>
        </is>
      </c>
    </row>
    <row r="8">
      <c r="A8" s="22" t="inlineStr">
        <is>
          <t>Ⅳ</t>
        </is>
      </c>
      <c r="B8" s="23" t="inlineStr">
        <is>
          <t>支払利息（新規債）</t>
        </is>
      </c>
      <c r="C8" s="24">
        <f>44630+INDEX('07_計算用データ'!$D$118:$D$183,MATCH('01_設定'!$C$6&amp;"|"&amp;TEXT('01_設定'!$C$12,"0.0")&amp;"|"&amp;'01_設定'!$C$13,'07_計算用データ'!$G$118:$G$183,0))</f>
        <v/>
      </c>
      <c r="E8" s="9" t="inlineStr">
        <is>
          <t>既往計画分44,630千円＋新規分。借入利率と償還条件で変わる</t>
        </is>
      </c>
    </row>
    <row r="9">
      <c r="A9" s="22" t="inlineStr">
        <is>
          <t>Ⅴ</t>
        </is>
      </c>
      <c r="B9" s="23" t="inlineStr">
        <is>
          <t>雑支出</t>
        </is>
      </c>
      <c r="C9" s="24">
        <f>IF('01_設定'!$C$22="算入する",36696,0)</f>
        <v/>
      </c>
      <c r="E9" s="9" t="inlineStr">
        <is>
          <t>算入する場合36,696千円</t>
        </is>
      </c>
    </row>
    <row r="10">
      <c r="A10" s="22" t="inlineStr">
        <is>
          <t>Ⅵ</t>
        </is>
      </c>
      <c r="B10" s="23" t="inlineStr">
        <is>
          <t>資産維持費</t>
        </is>
      </c>
      <c r="C10" s="24">
        <f>ROUND(IF('01_設定'!$C$16="期首の帳簿価額",1042625,896312)*'01_設定'!$C$15/100,0)*'01_設定'!$C$17</f>
        <v/>
      </c>
      <c r="E10" s="9" t="inlineStr">
        <is>
          <t>対象資産×資産維持率×年数。対象資産は未確定</t>
        </is>
      </c>
    </row>
    <row r="11">
      <c r="A11" s="22" t="inlineStr">
        <is>
          <t>Ⅶ</t>
        </is>
      </c>
      <c r="B11" s="23" t="inlineStr">
        <is>
          <t>控除：長期前受金戻入益</t>
        </is>
      </c>
      <c r="C11" s="24">
        <f>-IF('01_設定'!$C$10="固定資産台帳ベース",0,IF('01_設定'!$C$19="経営戦略の実額",1542259+INDEX('07_計算用データ'!$F$6:$F$113,MATCH('01_設定'!$C$6&amp;"|"&amp;'01_設定'!$C$10&amp;"|"&amp;'01_設定'!$C$7&amp;"|"&amp;'01_設定'!$C$8,'07_計算用データ'!$G$6:$G$113,0)),IF('01_設定'!$C$19="成果品の推計値",450000,0)))</f>
        <v/>
      </c>
      <c r="E11" s="9" t="inlineStr">
        <is>
          <t>補助財源で取得した資産の償却見合い</t>
        </is>
      </c>
    </row>
    <row r="12">
      <c r="A12" s="22" t="inlineStr">
        <is>
          <t>Ⅷ</t>
        </is>
      </c>
      <c r="B12" s="23" t="inlineStr">
        <is>
          <t>控除：他会計補助金等</t>
        </is>
      </c>
      <c r="C12" s="24">
        <f>-IF('01_設定'!$C$20="他会計補助金のみ",272997,IF('01_設定'!$C$20="他会計補助金＋補助金",691997,IF('01_設定'!$C$20="成果品の推計値",15000,0)))</f>
        <v/>
      </c>
      <c r="E12" s="9" t="inlineStr">
        <is>
          <t>繰出基準に基づく区分は町に未確認</t>
        </is>
      </c>
    </row>
    <row r="13">
      <c r="A13" s="22" t="inlineStr">
        <is>
          <t>Ⅸ</t>
        </is>
      </c>
      <c r="B13" s="23" t="inlineStr">
        <is>
          <t>控除：その他営業収益・受取利息等</t>
        </is>
      </c>
      <c r="C13" s="24">
        <f>-IF('01_設定'!$C$21="控除する",26494,0)</f>
        <v/>
      </c>
      <c r="E13" s="9" t="inlineStr">
        <is>
          <t>控除する場合26,494千円</t>
        </is>
      </c>
    </row>
    <row r="14">
      <c r="B14" s="15" t="inlineStr">
        <is>
          <t>総括原価　合計</t>
        </is>
      </c>
      <c r="C14" s="25">
        <f>SUM(C5:C13)</f>
        <v/>
      </c>
    </row>
    <row r="16">
      <c r="A16" s="5" t="inlineStr">
        <is>
          <t>適用中の条件</t>
        </is>
      </c>
      <c r="B16" s="6" t="n"/>
      <c r="C16" s="6" t="n"/>
      <c r="D16" s="6" t="n"/>
      <c r="E16" s="6" t="n"/>
    </row>
    <row r="17">
      <c r="B17" s="26" t="inlineStr">
        <is>
          <t>建設改良費の計画</t>
        </is>
      </c>
      <c r="C17" s="27">
        <f>'01_設定'!$C$6</f>
        <v/>
      </c>
    </row>
    <row r="18">
      <c r="B18" s="26" t="inlineStr">
        <is>
          <t>耐用年数（管路・構築物）</t>
        </is>
      </c>
      <c r="C18" s="27">
        <f>'01_設定'!$C$7</f>
        <v/>
      </c>
    </row>
    <row r="19">
      <c r="B19" s="26" t="inlineStr">
        <is>
          <t>耐用年数（機械・電気）</t>
        </is>
      </c>
      <c r="C19" s="27">
        <f>'01_設定'!$C$8</f>
        <v/>
      </c>
    </row>
    <row r="20">
      <c r="B20" s="26" t="inlineStr">
        <is>
          <t>既存資産の償却費</t>
        </is>
      </c>
      <c r="C20" s="27">
        <f>'01_設定'!$C$9</f>
        <v/>
      </c>
    </row>
    <row r="21">
      <c r="B21" s="26" t="inlineStr">
        <is>
          <t>減価償却費の算入方法</t>
        </is>
      </c>
      <c r="C21" s="27">
        <f>'01_設定'!$C$10</f>
        <v/>
      </c>
    </row>
    <row r="22">
      <c r="B22" s="26" t="inlineStr">
        <is>
          <t>借入利率（％）</t>
        </is>
      </c>
      <c r="C22" s="27">
        <f>'01_設定'!$C$12</f>
        <v/>
      </c>
    </row>
    <row r="23">
      <c r="B23" s="26" t="inlineStr">
        <is>
          <t>償還条件</t>
        </is>
      </c>
      <c r="C23" s="27">
        <f>'01_設定'!$C$13</f>
        <v/>
      </c>
    </row>
    <row r="24">
      <c r="B24" s="26" t="inlineStr">
        <is>
          <t>資産維持率（％）</t>
        </is>
      </c>
      <c r="C24" s="27">
        <f>'01_設定'!$C$15</f>
        <v/>
      </c>
    </row>
    <row r="25">
      <c r="B25" s="26" t="inlineStr">
        <is>
          <t>対象資産の取り方</t>
        </is>
      </c>
      <c r="C25" s="27">
        <f>'01_設定'!$C$16</f>
        <v/>
      </c>
    </row>
    <row r="26">
      <c r="B26" s="26" t="inlineStr">
        <is>
          <t>長期前受金戻入益</t>
        </is>
      </c>
      <c r="C26" s="27">
        <f>'01_設定'!$C$19</f>
        <v/>
      </c>
    </row>
    <row r="27">
      <c r="B27" s="26" t="inlineStr">
        <is>
          <t>他会計補助金等</t>
        </is>
      </c>
      <c r="C27" s="27">
        <f>'01_設定'!$C$20</f>
        <v/>
      </c>
    </row>
    <row r="28">
      <c r="B28" s="26" t="inlineStr">
        <is>
          <t>動力費・薬品費</t>
        </is>
      </c>
      <c r="C28" s="27">
        <f>'01_設定'!$C$23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8" customWidth="1" min="3" max="3"/>
    <col width="4" customWidth="1" min="4" max="4"/>
    <col width="70" customWidth="1" min="5" max="5"/>
  </cols>
  <sheetData>
    <row r="1" ht="22" customHeight="1">
      <c r="A1" s="20" t="inlineStr">
        <is>
          <t>給水原価・総括原価回収割合・必要改定率</t>
        </is>
      </c>
      <c r="B1" s="2" t="n"/>
      <c r="C1" s="2" t="n"/>
      <c r="D1" s="2" t="n"/>
      <c r="E1" s="2" t="n"/>
    </row>
    <row r="2">
      <c r="A2" s="3" t="inlineStr">
        <is>
          <t>供給単価は税区分と対象年度で3種類ある。同じ指標として比較しないこと。</t>
        </is>
      </c>
    </row>
    <row r="4" ht="26" customHeight="1">
      <c r="A4" s="21" t="inlineStr"/>
      <c r="B4" s="21" t="inlineStr">
        <is>
          <t>指標</t>
        </is>
      </c>
      <c r="C4" s="21" t="inlineStr">
        <is>
          <t>算定値</t>
        </is>
      </c>
      <c r="D4" s="21" t="inlineStr"/>
      <c r="E4" s="21" t="inlineStr">
        <is>
          <t>算定式・注意</t>
        </is>
      </c>
    </row>
    <row r="5">
      <c r="B5" s="7" t="inlineStr">
        <is>
          <t>総括原価　5年計（千円）</t>
        </is>
      </c>
      <c r="C5" s="16">
        <f>'02_総括原価'!C14</f>
        <v/>
      </c>
      <c r="E5" s="9" t="inlineStr">
        <is>
          <t>02シートの合計</t>
        </is>
      </c>
    </row>
    <row r="6">
      <c r="B6" s="7" t="inlineStr">
        <is>
          <t>給水原価（円/㎥）</t>
        </is>
      </c>
      <c r="C6" s="17">
        <f>'02_総括原価'!C14*1000/'01_設定'!$C$25</f>
        <v/>
      </c>
      <c r="E6" s="9" t="inlineStr">
        <is>
          <t>総括原価×1,000÷有収水量</t>
        </is>
      </c>
    </row>
    <row r="7">
      <c r="B7" s="7" t="inlineStr">
        <is>
          <t>供給単価　R8〜R12・税抜（円/㎥）</t>
        </is>
      </c>
      <c r="C7" s="17">
        <f>'01_設定'!$C$26*1000/'01_設定'!$C$25</f>
        <v/>
      </c>
      <c r="E7" s="9" t="inlineStr">
        <is>
          <t>給水収益×1,000÷有収水量</t>
        </is>
      </c>
    </row>
    <row r="8">
      <c r="B8" s="15" t="inlineStr">
        <is>
          <t>総括原価回収割合</t>
        </is>
      </c>
      <c r="C8" s="18">
        <f>C7/C6</f>
        <v/>
      </c>
      <c r="E8" s="9" t="inlineStr">
        <is>
          <t>供給単価÷給水原価。決算の料金回収率とは分母が異なる</t>
        </is>
      </c>
    </row>
    <row r="9">
      <c r="B9" s="7" t="inlineStr">
        <is>
          <t>年間不足額（千円/年）</t>
        </is>
      </c>
      <c r="C9" s="16">
        <f>('02_総括原価'!C14-'01_設定'!$C$26)/5</f>
        <v/>
      </c>
      <c r="E9" s="9" t="inlineStr">
        <is>
          <t>（総括原価−給水収益）÷5年</t>
        </is>
      </c>
    </row>
    <row r="10">
      <c r="B10" s="15" t="inlineStr">
        <is>
          <t>必要改定率（倍）</t>
        </is>
      </c>
      <c r="C10" s="19">
        <f>'02_総括原価'!C14/'01_設定'!$C$26</f>
        <v/>
      </c>
      <c r="E10" s="9" t="inlineStr">
        <is>
          <t>総括原価÷給水収益。★控除条件の前提つきの試算値であり確定水準ではない</t>
        </is>
      </c>
    </row>
    <row r="11">
      <c r="B11" s="7" t="inlineStr">
        <is>
          <t>料金不足額　定義③（千円/年）</t>
        </is>
      </c>
      <c r="C11" s="16">
        <f>'01_設定'!$C$26/5+IF('01_設定'!$C$20="控除しない",0,-('02_総括原価'!C12)/5)-('02_総括原価'!C5/5+'02_総括原価'!C7/5+'02_総括原価'!C8/5+'02_総括原価'!C10/5)</f>
        <v/>
      </c>
      <c r="E11" s="9" t="inlineStr">
        <is>
          <t>給水収益＋基準内繰入金−（維持管理費＋支払利息＋資産維持費）÷5年。元金償還・建設改良費を含まない</t>
        </is>
      </c>
    </row>
    <row r="12">
      <c r="B12" s="7" t="inlineStr">
        <is>
          <t xml:space="preserve">　半減に必要な増収額（千円/年）</t>
        </is>
      </c>
      <c r="C12" s="16">
        <f>-C11/2</f>
        <v/>
      </c>
      <c r="E12" s="9" t="inlineStr"/>
    </row>
    <row r="13">
      <c r="B13" s="7" t="inlineStr">
        <is>
          <t>赤字半減の改定率（倍）</t>
        </is>
      </c>
      <c r="C13" s="19">
        <f>1+C12/('01_設定'!$C$26/5)</f>
        <v/>
      </c>
      <c r="E13" s="9" t="inlineStr">
        <is>
          <t>定義③の半減</t>
        </is>
      </c>
    </row>
    <row r="14">
      <c r="B14" s="7" t="inlineStr">
        <is>
          <t>パターン1に適用する改定率（倍）</t>
        </is>
      </c>
      <c r="C14" s="19">
        <f>IF(ISNUMBER('01_設定'!$C$28),'01_設定'!$C$28,C10)</f>
        <v/>
      </c>
      <c r="E14" s="9" t="inlineStr">
        <is>
          <t>01_設定に数値を入れるとその率。空欄なら必要改定率</t>
        </is>
      </c>
    </row>
    <row r="16">
      <c r="A16" s="5" t="inlineStr">
        <is>
          <t>参考：段階改定（適用開始は令和9年4月以降）</t>
        </is>
      </c>
      <c r="B16" s="6" t="n"/>
      <c r="C16" s="6" t="n"/>
      <c r="D16" s="6" t="n"/>
      <c r="E16" s="6" t="n"/>
    </row>
    <row r="17" ht="26" customHeight="1">
      <c r="A17" s="21" t="inlineStr"/>
      <c r="B17" s="21" t="inlineStr">
        <is>
          <t>段階</t>
        </is>
      </c>
      <c r="C17" s="21" t="inlineStr">
        <is>
          <t>改定率</t>
        </is>
      </c>
      <c r="D17" s="21" t="inlineStr"/>
      <c r="E17" s="21" t="inlineStr">
        <is>
          <t>内容</t>
        </is>
      </c>
    </row>
    <row r="18">
      <c r="B18" s="23" t="inlineStr">
        <is>
          <t>第1次（議決 令和9年3月）</t>
        </is>
      </c>
      <c r="C18" s="28">
        <f>C13</f>
        <v/>
      </c>
      <c r="E18" s="29" t="inlineStr">
        <is>
          <t>定義③の料金不足額の半減</t>
        </is>
      </c>
    </row>
    <row r="19">
      <c r="B19" s="23" t="inlineStr">
        <is>
          <t>第2次（令和13〜17年度）</t>
        </is>
      </c>
      <c r="C19" s="28">
        <f>C10</f>
        <v/>
      </c>
      <c r="E19" s="29" t="inlineStr">
        <is>
          <t>総括原価の回収。その時点の投資計画で再算定</t>
        </is>
      </c>
    </row>
    <row r="21">
      <c r="A21" s="4" t="inlineStr">
        <is>
          <t>※ 改定率は通年ベース。令和8年度の料金は現行のままで、増収は令和9年度以降に生じる。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0" customWidth="1" min="3" max="3"/>
    <col width="8" customWidth="1" min="4" max="4"/>
    <col width="10" customWidth="1" min="5" max="5"/>
    <col width="13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  <col width="4" customWidth="1" min="12" max="12"/>
    <col width="40" customWidth="1" min="13" max="13"/>
  </cols>
  <sheetData>
    <row r="1" ht="22" customHeight="1">
      <c r="A1" s="20" t="inlineStr">
        <is>
          <t>利用者への影響（月額・税込）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パターン1は現行料金に改定率を一律に乗じたもの。3-Aは口径別基本料金＋段階逓増。</t>
        </is>
      </c>
    </row>
    <row r="3">
      <c r="A3" s="3" t="inlineStr">
        <is>
          <t>件数・月平均水量は代表値による推計であり、原票との照合は未了。</t>
        </is>
      </c>
    </row>
    <row r="5" ht="26" customHeight="1">
      <c r="A5" s="21" t="inlineStr"/>
      <c r="B5" s="21" t="inlineStr">
        <is>
          <t>水量ゾーン</t>
        </is>
      </c>
      <c r="C5" s="21" t="inlineStr">
        <is>
          <t>月平均
水量</t>
        </is>
      </c>
      <c r="D5" s="21" t="inlineStr">
        <is>
          <t>件数</t>
        </is>
      </c>
      <c r="E5" s="21" t="inlineStr">
        <is>
          <t>適用
口径</t>
        </is>
      </c>
      <c r="F5" s="21" t="inlineStr">
        <is>
          <t>現行</t>
        </is>
      </c>
      <c r="G5" s="21" t="inlineStr"/>
      <c r="H5" s="21" t="inlineStr">
        <is>
          <t>パターン1
改定後</t>
        </is>
      </c>
      <c r="I5" s="21" t="inlineStr">
        <is>
          <t>現行比</t>
        </is>
      </c>
      <c r="J5" s="21" t="inlineStr">
        <is>
          <t>パターン3-A</t>
        </is>
      </c>
      <c r="K5" s="21" t="inlineStr">
        <is>
          <t>現行比</t>
        </is>
      </c>
      <c r="L5" s="21" t="inlineStr"/>
      <c r="M5" s="21" t="inlineStr">
        <is>
          <t>備考</t>
        </is>
      </c>
    </row>
    <row r="6">
      <c r="B6" s="23" t="inlineStr">
        <is>
          <t>① 0㎥</t>
        </is>
      </c>
      <c r="C6" s="30" t="n">
        <v>0</v>
      </c>
      <c r="D6" s="31" t="n">
        <v>297</v>
      </c>
      <c r="E6" s="22" t="inlineStr">
        <is>
          <t>13mm</t>
        </is>
      </c>
      <c r="F6" s="24">
        <f>IF(C6&lt;=5,990,1210)+IF(C6&gt;10,(MIN(C6,100)-10)*121+MAX(0,C6-100)*110,0)+55</f>
        <v/>
      </c>
      <c r="H6" s="24">
        <f>ROUND(F6*'03_指標と改定率'!$C$14,0)</f>
        <v/>
      </c>
      <c r="I6" s="32">
        <f>H6/F6</f>
        <v/>
      </c>
      <c r="J6" s="24">
        <f>ROUND((770+(MIN(C6,10)*91.3+MAX(0,MIN(C6,20)-10)*192.5+MAX(0,MIN(C6,50)-20)*258.5+MAX(0,MIN(C6,100)-50)*280.5+MAX(0,C6-100)*324.5))*'01_設定'!$C$29,0)</f>
        <v/>
      </c>
      <c r="K6" s="32">
        <f>J6/F6</f>
        <v/>
      </c>
    </row>
    <row r="7">
      <c r="B7" s="23" t="inlineStr">
        <is>
          <t>② 1〜5㎥</t>
        </is>
      </c>
      <c r="C7" s="30" t="n">
        <v>2.9</v>
      </c>
      <c r="D7" s="31" t="n">
        <v>513</v>
      </c>
      <c r="E7" s="22" t="inlineStr">
        <is>
          <t>13mm</t>
        </is>
      </c>
      <c r="F7" s="24">
        <f>IF(C7&lt;=5,990,1210)+IF(C7&gt;10,(MIN(C7,100)-10)*121+MAX(0,C7-100)*110,0)+55</f>
        <v/>
      </c>
      <c r="H7" s="24">
        <f>ROUND(F7*'03_指標と改定率'!$C$14,0)</f>
        <v/>
      </c>
      <c r="I7" s="32">
        <f>H7/F7</f>
        <v/>
      </c>
      <c r="J7" s="24">
        <f>ROUND((770+(MIN(C7,10)*91.3+MAX(0,MIN(C7,20)-10)*192.5+MAX(0,MIN(C7,50)-20)*258.5+MAX(0,MIN(C7,100)-50)*280.5+MAX(0,C7-100)*324.5))*'01_設定'!$C$29,0)</f>
        <v/>
      </c>
      <c r="K7" s="32">
        <f>J7/F7</f>
        <v/>
      </c>
    </row>
    <row r="8">
      <c r="B8" s="23" t="inlineStr">
        <is>
          <t>③ 6〜10㎥</t>
        </is>
      </c>
      <c r="C8" s="30" t="n">
        <v>8</v>
      </c>
      <c r="D8" s="31" t="n">
        <v>590</v>
      </c>
      <c r="E8" s="22" t="inlineStr">
        <is>
          <t>13mm</t>
        </is>
      </c>
      <c r="F8" s="24">
        <f>IF(C8&lt;=5,990,1210)+IF(C8&gt;10,(MIN(C8,100)-10)*121+MAX(0,C8-100)*110,0)+55</f>
        <v/>
      </c>
      <c r="H8" s="24">
        <f>ROUND(F8*'03_指標と改定率'!$C$14,0)</f>
        <v/>
      </c>
      <c r="I8" s="32">
        <f>H8/F8</f>
        <v/>
      </c>
      <c r="J8" s="24">
        <f>ROUND((770+(MIN(C8,10)*91.3+MAX(0,MIN(C8,20)-10)*192.5+MAX(0,MIN(C8,50)-20)*258.5+MAX(0,MIN(C8,100)-50)*280.5+MAX(0,C8-100)*324.5))*'01_設定'!$C$29,0)</f>
        <v/>
      </c>
      <c r="K8" s="32">
        <f>J8/F8</f>
        <v/>
      </c>
    </row>
    <row r="9">
      <c r="B9" s="23" t="inlineStr">
        <is>
          <t>④ 11〜20㎥</t>
        </is>
      </c>
      <c r="C9" s="30" t="n">
        <v>14.9</v>
      </c>
      <c r="D9" s="31" t="n">
        <v>856</v>
      </c>
      <c r="E9" s="22" t="inlineStr">
        <is>
          <t>20mm</t>
        </is>
      </c>
      <c r="F9" s="24">
        <f>IF(C9&lt;=5,990,1210)+IF(C9&gt;10,(MIN(C9,100)-10)*121+MAX(0,C9-100)*110,0)+77</f>
        <v/>
      </c>
      <c r="H9" s="24">
        <f>ROUND(F9*'03_指標と改定率'!$C$14,0)</f>
        <v/>
      </c>
      <c r="I9" s="32">
        <f>H9/F9</f>
        <v/>
      </c>
      <c r="J9" s="24">
        <f>ROUND((1430+(MIN(C9,10)*91.3+MAX(0,MIN(C9,20)-10)*192.5+MAX(0,MIN(C9,50)-20)*258.5+MAX(0,MIN(C9,100)-50)*280.5+MAX(0,C9-100)*324.5))*'01_設定'!$C$29,0)</f>
        <v/>
      </c>
      <c r="K9" s="32">
        <f>J9/F9</f>
        <v/>
      </c>
    </row>
    <row r="10">
      <c r="B10" s="23" t="inlineStr">
        <is>
          <t>⑤ 21〜50㎥</t>
        </is>
      </c>
      <c r="C10" s="30" t="n">
        <v>28.7</v>
      </c>
      <c r="D10" s="31" t="n">
        <v>672</v>
      </c>
      <c r="E10" s="22" t="inlineStr">
        <is>
          <t>20mm</t>
        </is>
      </c>
      <c r="F10" s="24">
        <f>IF(C10&lt;=5,990,1210)+IF(C10&gt;10,(MIN(C10,100)-10)*121+MAX(0,C10-100)*110,0)+77</f>
        <v/>
      </c>
      <c r="H10" s="24">
        <f>ROUND(F10*'03_指標と改定率'!$C$14,0)</f>
        <v/>
      </c>
      <c r="I10" s="32">
        <f>H10/F10</f>
        <v/>
      </c>
      <c r="J10" s="24">
        <f>ROUND((1430+(MIN(C10,10)*91.3+MAX(0,MIN(C10,20)-10)*192.5+MAX(0,MIN(C10,50)-20)*258.5+MAX(0,MIN(C10,100)-50)*280.5+MAX(0,C10-100)*324.5))*'01_設定'!$C$29,0)</f>
        <v/>
      </c>
      <c r="K10" s="32">
        <f>J10/F10</f>
        <v/>
      </c>
    </row>
    <row r="11">
      <c r="B11" s="23" t="inlineStr">
        <is>
          <t>⑥ 51〜100㎥</t>
        </is>
      </c>
      <c r="C11" s="30" t="n">
        <v>71.59999999999999</v>
      </c>
      <c r="D11" s="31" t="n">
        <v>55</v>
      </c>
      <c r="E11" s="22" t="inlineStr">
        <is>
          <t>25mm</t>
        </is>
      </c>
      <c r="F11" s="24">
        <f>IF(C11&lt;=5,990,1210)+IF(C11&gt;10,(MIN(C11,100)-10)*121+MAX(0,C11-100)*110,0)+110</f>
        <v/>
      </c>
      <c r="H11" s="24">
        <f>ROUND(F11*'03_指標と改定率'!$C$14,0)</f>
        <v/>
      </c>
      <c r="I11" s="32">
        <f>H11/F11</f>
        <v/>
      </c>
      <c r="J11" s="24">
        <f>ROUND((2310+(MIN(C11,10)*91.3+MAX(0,MIN(C11,20)-10)*192.5+MAX(0,MIN(C11,50)-20)*258.5+MAX(0,MIN(C11,100)-50)*280.5+MAX(0,C11-100)*324.5))*'01_設定'!$C$29,0)</f>
        <v/>
      </c>
      <c r="K11" s="32">
        <f>J11/F11</f>
        <v/>
      </c>
    </row>
    <row r="12">
      <c r="B12" s="23" t="inlineStr">
        <is>
          <t>⑦ 101〜500㎥</t>
        </is>
      </c>
      <c r="C12" s="30" t="n">
        <v>197.5</v>
      </c>
      <c r="D12" s="31" t="n">
        <v>55</v>
      </c>
      <c r="E12" s="22" t="inlineStr">
        <is>
          <t>25mm</t>
        </is>
      </c>
      <c r="F12" s="24">
        <f>IF(C12&lt;=5,990,1210)+IF(C12&gt;10,(MIN(C12,100)-10)*121+MAX(0,C12-100)*110,0)+110</f>
        <v/>
      </c>
      <c r="H12" s="24">
        <f>ROUND(F12*'03_指標と改定率'!$C$14,0)</f>
        <v/>
      </c>
      <c r="I12" s="32">
        <f>H12/F12</f>
        <v/>
      </c>
      <c r="J12" s="24">
        <f>ROUND((2310+(MIN(C12,10)*91.3+MAX(0,MIN(C12,20)-10)*192.5+MAX(0,MIN(C12,50)-20)*258.5+MAX(0,MIN(C12,100)-50)*280.5+MAX(0,C12-100)*324.5))*'01_設定'!$C$29,0)</f>
        <v/>
      </c>
      <c r="K12" s="32">
        <f>J12/F12</f>
        <v/>
      </c>
    </row>
    <row r="13">
      <c r="B13" s="23" t="inlineStr">
        <is>
          <t>⑧ 501㎥超</t>
        </is>
      </c>
      <c r="C13" s="30" t="n">
        <v>1030.5</v>
      </c>
      <c r="D13" s="31" t="n">
        <v>18</v>
      </c>
      <c r="E13" s="22" t="inlineStr">
        <is>
          <t>50mm</t>
        </is>
      </c>
      <c r="F13" s="24">
        <f>IF(C13&lt;=5,990,1210)+IF(C13&gt;10,(MIN(C13,100)-10)*121+MAX(0,C13-100)*110,0)+880</f>
        <v/>
      </c>
      <c r="H13" s="24">
        <f>ROUND(F13*'03_指標と改定率'!$C$14,0)</f>
        <v/>
      </c>
      <c r="I13" s="32">
        <f>H13/F13</f>
        <v/>
      </c>
      <c r="J13" s="24">
        <f>ROUND((11000+(MIN(C13,10)*91.3+MAX(0,MIN(C13,20)-10)*192.5+MAX(0,MIN(C13,50)-20)*258.5+MAX(0,MIN(C13,100)-50)*280.5+MAX(0,C13-100)*324.5))*'01_設定'!$C$29,0)</f>
        <v/>
      </c>
      <c r="K13" s="32">
        <f>J13/F13</f>
        <v/>
      </c>
    </row>
    <row r="14">
      <c r="B14" s="33" t="inlineStr">
        <is>
          <t>年間収入（百万円）</t>
        </is>
      </c>
      <c r="D14" s="34">
        <f>SUM(D6:D13)</f>
        <v/>
      </c>
      <c r="F14" s="35">
        <f>SUMPRODUCT($D$6:$D$13,F6:F13)*12*1.04677/1000000</f>
        <v/>
      </c>
      <c r="H14" s="35">
        <f>SUMPRODUCT($D$6:$D$13,H6:H13)*12*1.04677/1000000</f>
        <v/>
      </c>
      <c r="J14" s="35">
        <f>SUMPRODUCT($D$6:$D$13,J6:J13)*12*1.04677/1000000</f>
        <v/>
      </c>
    </row>
    <row r="15">
      <c r="B15" s="33" t="inlineStr">
        <is>
          <t>総括原価回収割合</t>
        </is>
      </c>
      <c r="F15" s="36">
        <f>F14*1000000/('01_設定'!$C$25/5)/'03_指標と改定率'!$C$6</f>
        <v/>
      </c>
      <c r="H15" s="36">
        <f>H14*1000000/('01_設定'!$C$25/5)/'03_指標と改定率'!$C$6</f>
        <v/>
      </c>
      <c r="J15" s="36">
        <f>J14*1000000/('01_設定'!$C$25/5)/'03_指標と改定率'!$C$6</f>
        <v/>
      </c>
      <c r="M15" s="9" t="inlineStr">
        <is>
          <t>補正係数1.04677は収入のみの経験補正（中間報告書5-6）</t>
        </is>
      </c>
    </row>
    <row r="17">
      <c r="A17" s="5" t="inlineStr">
        <is>
          <t>標準家庭と特殊用途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 ht="26" customHeight="1">
      <c r="A18" s="21" t="inlineStr"/>
      <c r="B18" s="21" t="inlineStr">
        <is>
          <t>区分</t>
        </is>
      </c>
      <c r="C18" s="21" t="inlineStr">
        <is>
          <t>月使用量</t>
        </is>
      </c>
      <c r="D18" s="21" t="inlineStr"/>
      <c r="E18" s="21" t="inlineStr">
        <is>
          <t>口径</t>
        </is>
      </c>
      <c r="F18" s="21" t="inlineStr">
        <is>
          <t>現行</t>
        </is>
      </c>
      <c r="G18" s="21" t="inlineStr"/>
      <c r="H18" s="21" t="inlineStr">
        <is>
          <t>パターン1</t>
        </is>
      </c>
      <c r="I18" s="21" t="inlineStr">
        <is>
          <t>現行比</t>
        </is>
      </c>
      <c r="J18" s="21" t="inlineStr">
        <is>
          <t>パターン3-A</t>
        </is>
      </c>
      <c r="K18" s="21" t="inlineStr">
        <is>
          <t>現行比</t>
        </is>
      </c>
      <c r="L18" s="21" t="inlineStr"/>
      <c r="M18" s="21" t="inlineStr">
        <is>
          <t>備考</t>
        </is>
      </c>
    </row>
    <row r="19">
      <c r="B19" s="23" t="inlineStr">
        <is>
          <t>標準家庭</t>
        </is>
      </c>
      <c r="C19" s="31" t="n">
        <v>20</v>
      </c>
      <c r="E19" s="22" t="inlineStr">
        <is>
          <t>20mm</t>
        </is>
      </c>
      <c r="F19" s="24">
        <f>IF(C19&lt;=5,990,1210)+IF(C19&gt;10,(MIN(C19,100)-10)*121+MAX(0,C19-100)*110,0)+77</f>
        <v/>
      </c>
      <c r="H19" s="24">
        <f>ROUND(F19*'03_指標と改定率'!$C$14,0)</f>
        <v/>
      </c>
      <c r="I19" s="32">
        <f>H19/F19</f>
        <v/>
      </c>
      <c r="J19" s="24">
        <f>ROUND((1430+(MIN(C19,10)*91.3+MAX(0,MIN(C19,20)-10)*192.5+MAX(0,MIN(C19,50)-20)*258.5+MAX(0,MIN(C19,100)-50)*280.5+MAX(0,C19-100)*324.5))*'01_設定'!$C$29,0)</f>
        <v/>
      </c>
      <c r="K19" s="32">
        <f>J19/F19</f>
        <v/>
      </c>
      <c r="M19" s="9" t="inlineStr">
        <is>
          <t>中間報告書の標準家庭</t>
        </is>
      </c>
    </row>
    <row r="20">
      <c r="B20" s="23" t="inlineStr">
        <is>
          <t>少量使用（13mm・8㎥）</t>
        </is>
      </c>
      <c r="C20" s="31" t="n">
        <v>8</v>
      </c>
      <c r="E20" s="22" t="inlineStr">
        <is>
          <t>13mm</t>
        </is>
      </c>
      <c r="F20" s="24">
        <f>IF(C20&lt;=5,990,1210)+IF(C20&gt;10,(MIN(C20,100)-10)*121+MAX(0,C20-100)*110,0)+55</f>
        <v/>
      </c>
      <c r="H20" s="24">
        <f>ROUND(F20*'03_指標と改定率'!$C$14,0)</f>
        <v/>
      </c>
      <c r="I20" s="32">
        <f>H20/F20</f>
        <v/>
      </c>
      <c r="J20" s="24">
        <f>ROUND((770+(MIN(C20,10)*91.3+MAX(0,MIN(C20,20)-10)*192.5+MAX(0,MIN(C20,50)-20)*258.5+MAX(0,MIN(C20,100)-50)*280.5+MAX(0,C20-100)*324.5))*'01_設定'!$C$29,0)</f>
        <v/>
      </c>
      <c r="K20" s="32">
        <f>J20/F20</f>
        <v/>
      </c>
      <c r="M20" s="9" t="inlineStr">
        <is>
          <t>3-Aでも現行より上がる</t>
        </is>
      </c>
    </row>
    <row r="21">
      <c r="B21" s="23" t="inlineStr">
        <is>
          <t>13mm・3㎥</t>
        </is>
      </c>
      <c r="C21" s="31" t="n">
        <v>3</v>
      </c>
      <c r="E21" s="22" t="inlineStr">
        <is>
          <t>13mm</t>
        </is>
      </c>
      <c r="F21" s="24">
        <f>IF(C21&lt;=5,990,1210)+IF(C21&gt;10,(MIN(C21,100)-10)*121+MAX(0,C21-100)*110,0)+55</f>
        <v/>
      </c>
      <c r="H21" s="24">
        <f>ROUND(F21*'03_指標と改定率'!$C$14,0)</f>
        <v/>
      </c>
      <c r="I21" s="32">
        <f>H21/F21</f>
        <v/>
      </c>
      <c r="J21" s="24">
        <f>ROUND((770+(MIN(C21,10)*91.3+MAX(0,MIN(C21,20)-10)*192.5+MAX(0,MIN(C21,50)-20)*258.5+MAX(0,MIN(C21,100)-50)*280.5+MAX(0,C21-100)*324.5))*'01_設定'!$C$29,0)</f>
        <v/>
      </c>
      <c r="K21" s="32">
        <f>J21/F21</f>
        <v/>
      </c>
      <c r="M21" s="9" t="inlineStr">
        <is>
          <t>3-Aで現行を下回るのはこの付近まで</t>
        </is>
      </c>
    </row>
    <row r="22">
      <c r="B22" s="23" t="inlineStr">
        <is>
          <t>中規模事業者</t>
        </is>
      </c>
      <c r="C22" s="31" t="n">
        <v>1000</v>
      </c>
      <c r="E22" s="22" t="inlineStr">
        <is>
          <t>50mm</t>
        </is>
      </c>
      <c r="F22" s="24">
        <f>IF(C22&lt;=5,990,1210)+IF(C22&gt;10,(MIN(C22,100)-10)*121+MAX(0,C22-100)*110,0)+880</f>
        <v/>
      </c>
      <c r="H22" s="24">
        <f>ROUND(F22*'03_指標と改定率'!$C$14,0)</f>
        <v/>
      </c>
      <c r="I22" s="32">
        <f>H22/F22</f>
        <v/>
      </c>
      <c r="J22" s="24">
        <f>ROUND((11000+(MIN(C22,10)*91.3+MAX(0,MIN(C22,20)-10)*192.5+MAX(0,MIN(C22,50)-20)*258.5+MAX(0,MIN(C22,100)-50)*280.5+MAX(0,C22-100)*324.5))*'01_設定'!$C$29,0)</f>
        <v/>
      </c>
      <c r="K22" s="32">
        <f>J22/F22</f>
        <v/>
      </c>
      <c r="M22" s="9" t="inlineStr">
        <is>
          <t>仮定した事例。実在の事業者ではない</t>
        </is>
      </c>
    </row>
    <row r="23">
      <c r="B23" s="23" t="inlineStr">
        <is>
          <t>大規模事業者</t>
        </is>
      </c>
      <c r="C23" s="31" t="n">
        <v>3000</v>
      </c>
      <c r="E23" s="22" t="inlineStr">
        <is>
          <t>75mm</t>
        </is>
      </c>
      <c r="F23" s="24">
        <f>IF(C23&lt;=5,990,1210)+IF(C23&gt;10,(MIN(C23,100)-10)*121+MAX(0,C23-100)*110,0)+1100</f>
        <v/>
      </c>
      <c r="H23" s="24">
        <f>ROUND(F23*'03_指標と改定率'!$C$14,0)</f>
        <v/>
      </c>
      <c r="I23" s="32">
        <f>H23/F23</f>
        <v/>
      </c>
      <c r="J23" s="24">
        <f>ROUND((22000+(MIN(C23,10)*91.3+MAX(0,MIN(C23,20)-10)*192.5+MAX(0,MIN(C23,50)-20)*258.5+MAX(0,MIN(C23,100)-50)*280.5+MAX(0,C23-100)*324.5))*'01_設定'!$C$29,0)</f>
        <v/>
      </c>
      <c r="K23" s="32">
        <f>J23/F23</f>
        <v/>
      </c>
      <c r="M23" s="9" t="inlineStr">
        <is>
          <t>仮定した事例</t>
        </is>
      </c>
    </row>
    <row r="25">
      <c r="A25" s="3" t="inlineStr">
        <is>
          <t>※ 湯屋用・船舶用は用途別の定額設計のため本表に含めていない（中間報告書9-4を参照）。</t>
        </is>
      </c>
    </row>
    <row r="26">
      <c r="A26" s="3" t="inlineStr">
        <is>
          <t>※ 現行料金の端数処理は1円未満の切捨て。条例化の際に試算とそろえる。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6" customWidth="1" min="3" max="3"/>
    <col width="16" customWidth="1" min="4" max="4"/>
    <col width="4" customWidth="1" min="5" max="5"/>
    <col width="60" customWidth="1" min="6" max="6"/>
  </cols>
  <sheetData>
    <row r="1" ht="22" customHeight="1">
      <c r="A1" s="20" t="inlineStr">
        <is>
          <t>パターン3-A　口径別料金表（税込・円）</t>
        </is>
      </c>
      <c r="B1" s="2" t="n"/>
      <c r="C1" s="2" t="n"/>
      <c r="D1" s="2" t="n"/>
      <c r="E1" s="2" t="n"/>
      <c r="F1" s="2" t="n"/>
    </row>
    <row r="2">
      <c r="A2" s="3" t="inlineStr">
        <is>
          <t>塩竈市の体系比率に「01_設定」の水準係数を乗じたもの。</t>
        </is>
      </c>
    </row>
    <row r="3">
      <c r="A3" s="4" t="inlineStr">
        <is>
          <t>★この係数は総括原価と一致するよう逆算した設定値であり、実際の調定データで検証した値ではない。</t>
        </is>
      </c>
    </row>
    <row r="5" ht="26" customHeight="1">
      <c r="A5" s="21" t="inlineStr"/>
      <c r="B5" s="21" t="inlineStr">
        <is>
          <t>口径</t>
        </is>
      </c>
      <c r="C5" s="21" t="inlineStr">
        <is>
          <t>現行メーター使用料</t>
        </is>
      </c>
      <c r="D5" s="21" t="inlineStr">
        <is>
          <t>案3-A 基本料金</t>
        </is>
      </c>
      <c r="E5" s="21" t="inlineStr"/>
      <c r="F5" s="21" t="inlineStr">
        <is>
          <t>備考</t>
        </is>
      </c>
    </row>
    <row r="6">
      <c r="B6" s="22" t="inlineStr">
        <is>
          <t>13mm</t>
        </is>
      </c>
      <c r="C6" s="37" t="n">
        <v>55</v>
      </c>
      <c r="D6" s="24">
        <f>ROUND(770*'01_設定'!$C$29,0)</f>
        <v/>
      </c>
    </row>
    <row r="7">
      <c r="B7" s="22" t="inlineStr">
        <is>
          <t>20mm</t>
        </is>
      </c>
      <c r="C7" s="37" t="n">
        <v>77</v>
      </c>
      <c r="D7" s="24">
        <f>ROUND(1430*'01_設定'!$C$29,0)</f>
        <v/>
      </c>
    </row>
    <row r="8">
      <c r="B8" s="22" t="inlineStr">
        <is>
          <t>25mm</t>
        </is>
      </c>
      <c r="C8" s="37" t="n">
        <v>110</v>
      </c>
      <c r="D8" s="24">
        <f>ROUND(2310*'01_設定'!$C$29,0)</f>
        <v/>
      </c>
    </row>
    <row r="9">
      <c r="B9" s="22" t="inlineStr">
        <is>
          <t>40mm</t>
        </is>
      </c>
      <c r="C9" s="37" t="n">
        <v>220</v>
      </c>
      <c r="D9" s="24">
        <f>ROUND(5500*'01_設定'!$C$29,0)</f>
        <v/>
      </c>
    </row>
    <row r="10">
      <c r="B10" s="22" t="inlineStr">
        <is>
          <t>50mm</t>
        </is>
      </c>
      <c r="C10" s="37" t="n">
        <v>880</v>
      </c>
      <c r="D10" s="24">
        <f>ROUND(11000*'01_設定'!$C$29,0)</f>
        <v/>
      </c>
    </row>
    <row r="11">
      <c r="B11" s="22" t="inlineStr">
        <is>
          <t>75mm</t>
        </is>
      </c>
      <c r="C11" s="37" t="n">
        <v>1100</v>
      </c>
      <c r="D11" s="24">
        <f>ROUND(22000*'01_設定'!$C$29,0)</f>
        <v/>
      </c>
    </row>
    <row r="12">
      <c r="B12" s="22" t="inlineStr">
        <is>
          <t>100mm</t>
        </is>
      </c>
      <c r="C12" s="37" t="n">
        <v>1320</v>
      </c>
      <c r="D12" s="24">
        <f>ROUND(41800*'01_設定'!$C$29,0)</f>
        <v/>
      </c>
    </row>
    <row r="14" ht="26" customHeight="1">
      <c r="A14" s="21" t="inlineStr"/>
      <c r="B14" s="21" t="inlineStr">
        <is>
          <t>水量区分</t>
        </is>
      </c>
      <c r="C14" s="21" t="inlineStr">
        <is>
          <t>現行（一般用）</t>
        </is>
      </c>
      <c r="D14" s="21" t="inlineStr">
        <is>
          <t>案3-A 従量料金</t>
        </is>
      </c>
      <c r="E14" s="21" t="inlineStr"/>
      <c r="F14" s="21" t="inlineStr">
        <is>
          <t>備考</t>
        </is>
      </c>
    </row>
    <row r="15">
      <c r="B15" s="22" t="inlineStr">
        <is>
          <t>〜10㎥</t>
        </is>
      </c>
      <c r="C15" s="22" t="inlineStr">
        <is>
          <t>基本水量</t>
        </is>
      </c>
      <c r="D15" s="38">
        <f>91.3*'01_設定'!$C$29</f>
        <v/>
      </c>
      <c r="F15" s="29" t="inlineStr"/>
    </row>
    <row r="16">
      <c r="B16" s="22" t="inlineStr">
        <is>
          <t>〜20㎥</t>
        </is>
      </c>
      <c r="C16" s="22" t="inlineStr">
        <is>
          <t>121円/㎥</t>
        </is>
      </c>
      <c r="D16" s="38">
        <f>192.5*'01_設定'!$C$29</f>
        <v/>
      </c>
      <c r="F16" s="29" t="inlineStr"/>
    </row>
    <row r="17">
      <c r="B17" s="22" t="inlineStr">
        <is>
          <t>〜50㎥</t>
        </is>
      </c>
      <c r="C17" s="22" t="inlineStr">
        <is>
          <t>121円/㎥</t>
        </is>
      </c>
      <c r="D17" s="38">
        <f>258.5*'01_設定'!$C$29</f>
        <v/>
      </c>
      <c r="F17" s="29" t="inlineStr"/>
    </row>
    <row r="18">
      <c r="B18" s="22" t="inlineStr">
        <is>
          <t>〜100㎥</t>
        </is>
      </c>
      <c r="C18" s="22" t="inlineStr">
        <is>
          <t>121円/㎥</t>
        </is>
      </c>
      <c r="D18" s="38">
        <f>280.5*'01_設定'!$C$29</f>
        <v/>
      </c>
      <c r="F18" s="29" t="inlineStr"/>
    </row>
    <row r="19">
      <c r="B19" s="22" t="inlineStr">
        <is>
          <t>101㎥超</t>
        </is>
      </c>
      <c r="C19" s="22" t="inlineStr">
        <is>
          <t>110円/㎥（逓減）</t>
        </is>
      </c>
      <c r="D19" s="38">
        <f>324.5*'01_設定'!$C$29</f>
        <v/>
      </c>
      <c r="F19" s="29" t="inlineStr">
        <is>
          <t>現行は100㎥超で単価が下がる</t>
        </is>
      </c>
    </row>
    <row r="22">
      <c r="A22" s="5" t="inlineStr">
        <is>
          <t>水準係数の調整</t>
        </is>
      </c>
      <c r="B22" s="6" t="n"/>
      <c r="C22" s="6" t="n"/>
      <c r="D22" s="6" t="n"/>
      <c r="E22" s="6" t="n"/>
      <c r="F22" s="6" t="n"/>
    </row>
    <row r="23">
      <c r="B23" s="7" t="inlineStr">
        <is>
          <t>現在の係数</t>
        </is>
      </c>
      <c r="C23" s="39">
        <f>'01_設定'!$C$29</f>
        <v/>
      </c>
    </row>
    <row r="24">
      <c r="B24" s="7" t="inlineStr">
        <is>
          <t>3-Aの年間収入（百万円）</t>
        </is>
      </c>
      <c r="C24" s="40">
        <f>'04_料金への影響'!J14</f>
        <v/>
      </c>
    </row>
    <row r="25">
      <c r="B25" s="7" t="inlineStr">
        <is>
          <t>総括原価（年平均・百万円）</t>
        </is>
      </c>
      <c r="C25" s="40">
        <f>'03_指標と改定率'!C5/5/1000</f>
        <v/>
      </c>
    </row>
    <row r="26">
      <c r="B26" s="15" t="inlineStr">
        <is>
          <t>必要な係数の目安</t>
        </is>
      </c>
      <c r="C26" s="41">
        <f>C23*C25/C24</f>
        <v/>
      </c>
      <c r="F26" s="9" t="inlineStr">
        <is>
          <t>この値を「01_設定」の水準係数に入れ直すと、3-Aの収入が総括原価に近づきます。端数処理があるため1〜2回の繰り返しで合います。</t>
        </is>
      </c>
    </row>
    <row r="28">
      <c r="A28" s="3" t="inlineStr">
        <is>
          <t>※ 塩竈市の基本料金比率：13mm 770／20mm 1,430／25mm 2,310／40mm 5,500／50mm 11,000／75mm 22,000／100mm 41,800（税込×1.1）</t>
        </is>
      </c>
    </row>
    <row r="29">
      <c r="A29" s="3" t="inlineStr">
        <is>
          <t>※ 従量料金の基礎単価：〜10㎥ 91.3／〜20㎥ 192.5／〜50㎥ 258.5／〜100㎥ 280.5／101㎥超 324.5円/㎥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4" customWidth="1" min="4" max="4"/>
    <col width="12" customWidth="1" min="5" max="5"/>
    <col width="14" customWidth="1" min="6" max="6"/>
    <col width="4" customWidth="1" min="7" max="7"/>
    <col width="46" customWidth="1" min="8" max="8"/>
  </cols>
  <sheetData>
    <row r="1" ht="22" customHeight="1">
      <c r="A1" s="20" t="inlineStr">
        <is>
          <t>主要ケースの比較（01_設定とは独立に計算しています）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各行はその行の条件だけで計算しており、「01_設定」を変えても動きません。</t>
        </is>
      </c>
    </row>
    <row r="4" ht="26" customHeight="1">
      <c r="A4" s="21" t="inlineStr"/>
      <c r="B4" s="21" t="inlineStr">
        <is>
          <t>ケース</t>
        </is>
      </c>
      <c r="C4" s="21" t="inlineStr">
        <is>
          <t>総括原価
5年計（千円）</t>
        </is>
      </c>
      <c r="D4" s="21" t="inlineStr">
        <is>
          <t>給水原価
（円/㎥）</t>
        </is>
      </c>
      <c r="E4" s="21" t="inlineStr">
        <is>
          <t>回収割合</t>
        </is>
      </c>
      <c r="F4" s="21" t="inlineStr">
        <is>
          <t>必要改定率
（倍）</t>
        </is>
      </c>
      <c r="G4" s="21" t="inlineStr"/>
      <c r="H4" s="21" t="inlineStr">
        <is>
          <t>内容</t>
        </is>
      </c>
    </row>
    <row r="5">
      <c r="B5" s="42" t="inlineStr">
        <is>
          <t>★採用条件（中間報告書の改訂版）</t>
        </is>
      </c>
      <c r="C5" s="43">
        <f>(672327+IF("実績単価に補正"="実績単価に補正",47167,0))+(IF("損益計算書ベース"="固定資産台帳ベース",32188*5+INDEX('07_計算用データ'!$E$6:$E$113,MATCH("建設改良費調査票"&amp;"|"&amp;"損益計算書ベース"&amp;"|"&amp;38&amp;"|"&amp;38,'07_計算用データ'!$G$6:$G$113,0)),IF("財政シミュに接続"="差引方式",1814019,1855337)+INDEX('07_計算用データ'!$E$6:$E$113,MATCH("建設改良費調査票"&amp;"|"&amp;"損益計算書ベース"&amp;"|"&amp;38&amp;"|"&amp;38,'07_計算用データ'!$G$6:$G$113,0))))+(50585)+(44630+INDEX('07_計算用データ'!$D$118:$D$183,MATCH("建設改良費調査票"&amp;"|"&amp;TEXT(2.1,"0.0")&amp;"|"&amp;"経営戦略方式（40年・据置なし）",'07_計算用データ'!$G$118:$G$183,0)))+(IF("算入しない"="算入する",36696,0))+(ROUND(IF("期首期末平均"="期首の帳簿価額",1042625,896312)*3.0/100,0)*5)+(-IF("損益計算書ベース"="固定資産台帳ベース",0,IF("経営戦略の実額"="経営戦略の実額",1542259+INDEX('07_計算用データ'!$F$6:$F$113,MATCH("建設改良費調査票"&amp;"|"&amp;"損益計算書ベース"&amp;"|"&amp;38&amp;"|"&amp;38,'07_計算用データ'!$G$6:$G$113,0)),IF("経営戦略の実額"="成果品の推計値",450000,0))))+(-IF("他会計補助金のみ"="他会計補助金のみ",272997,IF("他会計補助金のみ"="他会計補助金＋補助金",691997,IF("他会計補助金のみ"="成果品の推計値",15000,0))))+(-IF("控除しない"="控除する",26494,0))</f>
        <v/>
      </c>
      <c r="D5" s="44">
        <f>C5*1000/'01_設定'!$C$25</f>
        <v/>
      </c>
      <c r="E5" s="45">
        <f>'01_設定'!$C$26*1000/'01_設定'!$C$25/D5</f>
        <v/>
      </c>
      <c r="F5" s="46">
        <f>C5/'01_設定'!$C$26</f>
        <v/>
      </c>
      <c r="H5" s="9" t="inlineStr">
        <is>
          <t>基準内繰入金を控除。減価償却費は財政シミュに接続</t>
        </is>
      </c>
    </row>
    <row r="6">
      <c r="B6" s="23" t="inlineStr">
        <is>
          <t>繰入金を控除しない</t>
        </is>
      </c>
      <c r="C6" s="24">
        <f>(672327+IF("実績単価に補正"="実績単価に補正",47167,0))+(IF("損益計算書ベース"="固定資産台帳ベース",32188*5+INDEX('07_計算用データ'!$E$6:$E$113,MATCH("建設改良費調査票"&amp;"|"&amp;"損益計算書ベース"&amp;"|"&amp;38&amp;"|"&amp;38,'07_計算用データ'!$G$6:$G$113,0)),IF("財政シミュに接続"="差引方式",1814019,1855337)+INDEX('07_計算用データ'!$E$6:$E$113,MATCH("建設改良費調査票"&amp;"|"&amp;"損益計算書ベース"&amp;"|"&amp;38&amp;"|"&amp;38,'07_計算用データ'!$G$6:$G$113,0))))+(50585)+(44630+INDEX('07_計算用データ'!$D$118:$D$183,MATCH("建設改良費調査票"&amp;"|"&amp;TEXT(2.1,"0.0")&amp;"|"&amp;"経営戦略方式（40年・据置なし）",'07_計算用データ'!$G$118:$G$183,0)))+(IF("算入しない"="算入する",36696,0))+(ROUND(IF("期首期末平均"="期首の帳簿価額",1042625,896312)*3.0/100,0)*5)+(-IF("損益計算書ベース"="固定資産台帳ベース",0,IF("経営戦略の実額"="経営戦略の実額",1542259+INDEX('07_計算用データ'!$F$6:$F$113,MATCH("建設改良費調査票"&amp;"|"&amp;"損益計算書ベース"&amp;"|"&amp;38&amp;"|"&amp;38,'07_計算用データ'!$G$6:$G$113,0)),IF("経営戦略の実額"="成果品の推計値",450000,0))))+(-IF("控除しない"="他会計補助金のみ",272997,IF("控除しない"="他会計補助金＋補助金",691997,IF("控除しない"="成果品の推計値",15000,0))))+(-IF("控除しない"="控除する",26494,0))</f>
        <v/>
      </c>
      <c r="D6" s="38">
        <f>C6*1000/'01_設定'!$C$25</f>
        <v/>
      </c>
      <c r="E6" s="47">
        <f>'01_設定'!$C$26*1000/'01_設定'!$C$25/D6</f>
        <v/>
      </c>
      <c r="F6" s="48">
        <f>C6/'01_設定'!$C$26</f>
        <v/>
      </c>
      <c r="H6" s="9" t="inlineStr">
        <is>
          <t>控除の根拠が確認できない場合</t>
        </is>
      </c>
    </row>
    <row r="7">
      <c r="B7" s="23" t="inlineStr">
        <is>
          <t>他会計補助金＋補助金を控除</t>
        </is>
      </c>
      <c r="C7" s="24">
        <f>(672327+IF("実績単価に補正"="実績単価に補正",47167,0))+(IF("損益計算書ベース"="固定資産台帳ベース",32188*5+INDEX('07_計算用データ'!$E$6:$E$113,MATCH("建設改良費調査票"&amp;"|"&amp;"損益計算書ベース"&amp;"|"&amp;38&amp;"|"&amp;38,'07_計算用データ'!$G$6:$G$113,0)),IF("財政シミュに接続"="差引方式",1814019,1855337)+INDEX('07_計算用データ'!$E$6:$E$113,MATCH("建設改良費調査票"&amp;"|"&amp;"損益計算書ベース"&amp;"|"&amp;38&amp;"|"&amp;38,'07_計算用データ'!$G$6:$G$113,0))))+(50585)+(44630+INDEX('07_計算用データ'!$D$118:$D$183,MATCH("建設改良費調査票"&amp;"|"&amp;TEXT(2.1,"0.0")&amp;"|"&amp;"経営戦略方式（40年・据置なし）",'07_計算用データ'!$G$118:$G$183,0)))+(IF("算入しない"="算入する",36696,0))+(ROUND(IF("期首期末平均"="期首の帳簿価額",1042625,896312)*3.0/100,0)*5)+(-IF("損益計算書ベース"="固定資産台帳ベース",0,IF("経営戦略の実額"="経営戦略の実額",1542259+INDEX('07_計算用データ'!$F$6:$F$113,MATCH("建設改良費調査票"&amp;"|"&amp;"損益計算書ベース"&amp;"|"&amp;38&amp;"|"&amp;38,'07_計算用データ'!$G$6:$G$113,0)),IF("経営戦略の実額"="成果品の推計値",450000,0))))+(-IF("他会計補助金＋補助金"="他会計補助金のみ",272997,IF("他会計補助金＋補助金"="他会計補助金＋補助金",691997,IF("他会計補助金＋補助金"="成果品の推計値",15000,0))))+(-IF("控除しない"="控除する",26494,0))</f>
        <v/>
      </c>
      <c r="D7" s="38">
        <f>C7*1000/'01_設定'!$C$25</f>
        <v/>
      </c>
      <c r="E7" s="47">
        <f>'01_設定'!$C$26*1000/'01_設定'!$C$25/D7</f>
        <v/>
      </c>
      <c r="F7" s="48">
        <f>C7/'01_設定'!$C$26</f>
        <v/>
      </c>
      <c r="H7" s="9" t="inlineStr">
        <is>
          <t>補助金419,000千円も控除した場合</t>
        </is>
      </c>
    </row>
    <row r="8">
      <c r="B8" s="23" t="inlineStr">
        <is>
          <t>既存資産の償却費を差引方式に戻す</t>
        </is>
      </c>
      <c r="C8" s="24">
        <f>(672327+IF("実績単価に補正"="実績単価に補正",47167,0))+(IF("損益計算書ベース"="固定資産台帳ベース",32188*5+INDEX('07_計算用データ'!$E$6:$E$113,MATCH("建設改良費調査票"&amp;"|"&amp;"損益計算書ベース"&amp;"|"&amp;38&amp;"|"&amp;38,'07_計算用データ'!$G$6:$G$113,0)),IF("差引方式"="差引方式",1814019,1855337)+INDEX('07_計算用データ'!$E$6:$E$113,MATCH("建設改良費調査票"&amp;"|"&amp;"損益計算書ベース"&amp;"|"&amp;38&amp;"|"&amp;38,'07_計算用データ'!$G$6:$G$113,0))))+(50585)+(44630+INDEX('07_計算用データ'!$D$118:$D$183,MATCH("建設改良費調査票"&amp;"|"&amp;TEXT(2.1,"0.0")&amp;"|"&amp;"経営戦略方式（40年・据置なし）",'07_計算用データ'!$G$118:$G$183,0)))+(IF("算入しない"="算入する",36696,0))+(ROUND(IF("期首期末平均"="期首の帳簿価額",1042625,896312)*3.0/100,0)*5)+(-IF("損益計算書ベース"="固定資産台帳ベース",0,IF("経営戦略の実額"="経営戦略の実額",1542259+INDEX('07_計算用データ'!$F$6:$F$113,MATCH("建設改良費調査票"&amp;"|"&amp;"損益計算書ベース"&amp;"|"&amp;38&amp;"|"&amp;38,'07_計算用データ'!$G$6:$G$113,0)),IF("経営戦略の実額"="成果品の推計値",450000,0))))+(-IF("他会計補助金のみ"="他会計補助金のみ",272997,IF("他会計補助金のみ"="他会計補助金＋補助金",691997,IF("他会計補助金のみ"="成果品の推計値",15000,0))))+(-IF("控除しない"="控除する",26494,0))</f>
        <v/>
      </c>
      <c r="D8" s="38">
        <f>C8*1000/'01_設定'!$C$25</f>
        <v/>
      </c>
      <c r="E8" s="47">
        <f>'01_設定'!$C$26*1000/'01_設定'!$C$25/D8</f>
        <v/>
      </c>
      <c r="F8" s="48">
        <f>C8/'01_設定'!$C$26</f>
        <v/>
      </c>
      <c r="H8" s="9" t="inlineStr">
        <is>
          <t>改訂前の算定。41,318千円不足する</t>
        </is>
      </c>
    </row>
    <row r="9">
      <c r="B9" s="23" t="inlineStr">
        <is>
          <t>機械・電気を20年償却</t>
        </is>
      </c>
      <c r="C9" s="24">
        <f>(672327+IF("実績単価に補正"="実績単価に補正",47167,0))+(IF("損益計算書ベース"="固定資産台帳ベース",32188*5+INDEX('07_計算用データ'!$E$6:$E$113,MATCH("建設改良費調査票"&amp;"|"&amp;"損益計算書ベース"&amp;"|"&amp;38&amp;"|"&amp;20,'07_計算用データ'!$G$6:$G$113,0)),IF("財政シミュに接続"="差引方式",1814019,1855337)+INDEX('07_計算用データ'!$E$6:$E$113,MATCH("建設改良費調査票"&amp;"|"&amp;"損益計算書ベース"&amp;"|"&amp;38&amp;"|"&amp;20,'07_計算用データ'!$G$6:$G$113,0))))+(50585)+(44630+INDEX('07_計算用データ'!$D$118:$D$183,MATCH("建設改良費調査票"&amp;"|"&amp;TEXT(2.1,"0.0")&amp;"|"&amp;"経営戦略方式（40年・据置なし）",'07_計算用データ'!$G$118:$G$183,0)))+(IF("算入しない"="算入する",36696,0))+(ROUND(IF("期首期末平均"="期首の帳簿価額",1042625,896312)*3.0/100,0)*5)+(-IF("損益計算書ベース"="固定資産台帳ベース",0,IF("経営戦略の実額"="経営戦略の実額",1542259+INDEX('07_計算用データ'!$F$6:$F$113,MATCH("建設改良費調査票"&amp;"|"&amp;"損益計算書ベース"&amp;"|"&amp;38&amp;"|"&amp;20,'07_計算用データ'!$G$6:$G$113,0)),IF("経営戦略の実額"="成果品の推計値",450000,0))))+(-IF("他会計補助金のみ"="他会計補助金のみ",272997,IF("他会計補助金のみ"="他会計補助金＋補助金",691997,IF("他会計補助金のみ"="成果品の推計値",15000,0))))+(-IF("控除しない"="控除する",26494,0))</f>
        <v/>
      </c>
      <c r="D9" s="38">
        <f>C9*1000/'01_設定'!$C$25</f>
        <v/>
      </c>
      <c r="E9" s="47">
        <f>'01_設定'!$C$26*1000/'01_設定'!$C$25/D9</f>
        <v/>
      </c>
      <c r="F9" s="48">
        <f>C9/'01_設定'!$C$26</f>
        <v/>
      </c>
      <c r="H9" s="9" t="inlineStr">
        <is>
          <t>鷲神高度処理設備の区分が確定した場合</t>
        </is>
      </c>
    </row>
    <row r="10">
      <c r="B10" s="23" t="inlineStr">
        <is>
          <t>機械・電気を20年＋繰入金を控除しない</t>
        </is>
      </c>
      <c r="C10" s="24">
        <f>(672327+IF("実績単価に補正"="実績単価に補正",47167,0))+(IF("損益計算書ベース"="固定資産台帳ベース",32188*5+INDEX('07_計算用データ'!$E$6:$E$113,MATCH("建設改良費調査票"&amp;"|"&amp;"損益計算書ベース"&amp;"|"&amp;38&amp;"|"&amp;20,'07_計算用データ'!$G$6:$G$113,0)),IF("財政シミュに接続"="差引方式",1814019,1855337)+INDEX('07_計算用データ'!$E$6:$E$113,MATCH("建設改良費調査票"&amp;"|"&amp;"損益計算書ベース"&amp;"|"&amp;38&amp;"|"&amp;20,'07_計算用データ'!$G$6:$G$113,0))))+(50585)+(44630+INDEX('07_計算用データ'!$D$118:$D$183,MATCH("建設改良費調査票"&amp;"|"&amp;TEXT(2.1,"0.0")&amp;"|"&amp;"経営戦略方式（40年・据置なし）",'07_計算用データ'!$G$118:$G$183,0)))+(IF("算入しない"="算入する",36696,0))+(ROUND(IF("期首期末平均"="期首の帳簿価額",1042625,896312)*3.0/100,0)*5)+(-IF("損益計算書ベース"="固定資産台帳ベース",0,IF("経営戦略の実額"="経営戦略の実額",1542259+INDEX('07_計算用データ'!$F$6:$F$113,MATCH("建設改良費調査票"&amp;"|"&amp;"損益計算書ベース"&amp;"|"&amp;38&amp;"|"&amp;20,'07_計算用データ'!$G$6:$G$113,0)),IF("経営戦略の実額"="成果品の推計値",450000,0))))+(-IF("控除しない"="他会計補助金のみ",272997,IF("控除しない"="他会計補助金＋補助金",691997,IF("控除しない"="成果品の推計値",15000,0))))+(-IF("控除しない"="控除する",26494,0))</f>
        <v/>
      </c>
      <c r="D10" s="38">
        <f>C10*1000/'01_設定'!$C$25</f>
        <v/>
      </c>
      <c r="E10" s="47">
        <f>'01_設定'!$C$26*1000/'01_設定'!$C$25/D10</f>
        <v/>
      </c>
      <c r="F10" s="48">
        <f>C10/'01_設定'!$C$26</f>
        <v/>
      </c>
      <c r="H10" s="9" t="inlineStr">
        <is>
          <t>負担が最も重くなる組合せ</t>
        </is>
      </c>
    </row>
    <row r="11">
      <c r="B11" s="23" t="inlineStr">
        <is>
          <t>借入利率2.0％</t>
        </is>
      </c>
      <c r="C11" s="24">
        <f>(672327+IF("実績単価に補正"="実績単価に補正",47167,0))+(IF("損益計算書ベース"="固定資産台帳ベース",32188*5+INDEX('07_計算用データ'!$E$6:$E$113,MATCH("建設改良費調査票"&amp;"|"&amp;"損益計算書ベース"&amp;"|"&amp;38&amp;"|"&amp;38,'07_計算用データ'!$G$6:$G$113,0)),IF("財政シミュに接続"="差引方式",1814019,1855337)+INDEX('07_計算用データ'!$E$6:$E$113,MATCH("建設改良費調査票"&amp;"|"&amp;"損益計算書ベース"&amp;"|"&amp;38&amp;"|"&amp;38,'07_計算用データ'!$G$6:$G$113,0))))+(50585)+(44630+INDEX('07_計算用データ'!$D$118:$D$183,MATCH("建設改良費調査票"&amp;"|"&amp;TEXT(2.0,"0.0")&amp;"|"&amp;"経営戦略方式（40年・据置なし）",'07_計算用データ'!$G$118:$G$183,0)))+(IF("算入しない"="算入する",36696,0))+(ROUND(IF("期首期末平均"="期首の帳簿価額",1042625,896312)*3.0/100,0)*5)+(-IF("損益計算書ベース"="固定資産台帳ベース",0,IF("経営戦略の実額"="経営戦略の実額",1542259+INDEX('07_計算用データ'!$F$6:$F$113,MATCH("建設改良費調査票"&amp;"|"&amp;"損益計算書ベース"&amp;"|"&amp;38&amp;"|"&amp;38,'07_計算用データ'!$G$6:$G$113,0)),IF("経営戦略の実額"="成果品の推計値",450000,0))))+(-IF("他会計補助金のみ"="他会計補助金のみ",272997,IF("他会計補助金のみ"="他会計補助金＋補助金",691997,IF("他会計補助金のみ"="成果品の推計値",15000,0))))+(-IF("控除しない"="控除する",26494,0))</f>
        <v/>
      </c>
      <c r="D11" s="38">
        <f>C11*1000/'01_設定'!$C$25</f>
        <v/>
      </c>
      <c r="E11" s="47">
        <f>'01_設定'!$C$26*1000/'01_設定'!$C$25/D11</f>
        <v/>
      </c>
      <c r="F11" s="48">
        <f>C11/'01_設定'!$C$26</f>
        <v/>
      </c>
      <c r="H11" s="9" t="inlineStr"/>
    </row>
    <row r="12">
      <c r="B12" s="23" t="inlineStr">
        <is>
          <t>借入利率3.0％</t>
        </is>
      </c>
      <c r="C12" s="24">
        <f>(672327+IF("実績単価に補正"="実績単価に補正",47167,0))+(IF("損益計算書ベース"="固定資産台帳ベース",32188*5+INDEX('07_計算用データ'!$E$6:$E$113,MATCH("建設改良費調査票"&amp;"|"&amp;"損益計算書ベース"&amp;"|"&amp;38&amp;"|"&amp;38,'07_計算用データ'!$G$6:$G$113,0)),IF("財政シミュに接続"="差引方式",1814019,1855337)+INDEX('07_計算用データ'!$E$6:$E$113,MATCH("建設改良費調査票"&amp;"|"&amp;"損益計算書ベース"&amp;"|"&amp;38&amp;"|"&amp;38,'07_計算用データ'!$G$6:$G$113,0))))+(50585)+(44630+INDEX('07_計算用データ'!$D$118:$D$183,MATCH("建設改良費調査票"&amp;"|"&amp;TEXT(3.0,"0.0")&amp;"|"&amp;"経営戦略方式（40年・据置なし）",'07_計算用データ'!$G$118:$G$183,0)))+(IF("算入しない"="算入する",36696,0))+(ROUND(IF("期首期末平均"="期首の帳簿価額",1042625,896312)*3.0/100,0)*5)+(-IF("損益計算書ベース"="固定資産台帳ベース",0,IF("経営戦略の実額"="経営戦略の実額",1542259+INDEX('07_計算用データ'!$F$6:$F$113,MATCH("建設改良費調査票"&amp;"|"&amp;"損益計算書ベース"&amp;"|"&amp;38&amp;"|"&amp;38,'07_計算用データ'!$G$6:$G$113,0)),IF("経営戦略の実額"="成果品の推計値",450000,0))))+(-IF("他会計補助金のみ"="他会計補助金のみ",272997,IF("他会計補助金のみ"="他会計補助金＋補助金",691997,IF("他会計補助金のみ"="成果品の推計値",15000,0))))+(-IF("控除しない"="控除する",26494,0))</f>
        <v/>
      </c>
      <c r="D12" s="38">
        <f>C12*1000/'01_設定'!$C$25</f>
        <v/>
      </c>
      <c r="E12" s="47">
        <f>'01_設定'!$C$26*1000/'01_設定'!$C$25/D12</f>
        <v/>
      </c>
      <c r="F12" s="48">
        <f>C12/'01_設定'!$C$26</f>
        <v/>
      </c>
      <c r="H12" s="9" t="inlineStr"/>
    </row>
    <row r="13">
      <c r="B13" s="23" t="inlineStr">
        <is>
          <t>資産維持率1.0％</t>
        </is>
      </c>
      <c r="C13" s="24">
        <f>(672327+IF("実績単価に補正"="実績単価に補正",47167,0))+(IF("損益計算書ベース"="固定資産台帳ベース",32188*5+INDEX('07_計算用データ'!$E$6:$E$113,MATCH("建設改良費調査票"&amp;"|"&amp;"損益計算書ベース"&amp;"|"&amp;38&amp;"|"&amp;38,'07_計算用データ'!$G$6:$G$113,0)),IF("財政シミュに接続"="差引方式",1814019,1855337)+INDEX('07_計算用データ'!$E$6:$E$113,MATCH("建設改良費調査票"&amp;"|"&amp;"損益計算書ベース"&amp;"|"&amp;38&amp;"|"&amp;38,'07_計算用データ'!$G$6:$G$113,0))))+(50585)+(44630+INDEX('07_計算用データ'!$D$118:$D$183,MATCH("建設改良費調査票"&amp;"|"&amp;TEXT(2.1,"0.0")&amp;"|"&amp;"経営戦略方式（40年・据置なし）",'07_計算用データ'!$G$118:$G$183,0)))+(IF("算入しない"="算入する",36696,0))+(ROUND(IF("期首期末平均"="期首の帳簿価額",1042625,896312)*1.0/100,0)*5)+(-IF("損益計算書ベース"="固定資産台帳ベース",0,IF("経営戦略の実額"="経営戦略の実額",1542259+INDEX('07_計算用データ'!$F$6:$F$113,MATCH("建設改良費調査票"&amp;"|"&amp;"損益計算書ベース"&amp;"|"&amp;38&amp;"|"&amp;38,'07_計算用データ'!$G$6:$G$113,0)),IF("経営戦略の実額"="成果品の推計値",450000,0))))+(-IF("他会計補助金のみ"="他会計補助金のみ",272997,IF("他会計補助金のみ"="他会計補助金＋補助金",691997,IF("他会計補助金のみ"="成果品の推計値",15000,0))))+(-IF("控除しない"="控除する",26494,0))</f>
        <v/>
      </c>
      <c r="D13" s="38">
        <f>C13*1000/'01_設定'!$C$25</f>
        <v/>
      </c>
      <c r="E13" s="47">
        <f>'01_設定'!$C$26*1000/'01_設定'!$C$25/D13</f>
        <v/>
      </c>
      <c r="F13" s="48">
        <f>C13/'01_設定'!$C$26</f>
        <v/>
      </c>
      <c r="H13" s="9" t="inlineStr"/>
    </row>
    <row r="14">
      <c r="B14" s="23" t="inlineStr">
        <is>
          <t>資産維持率5.0％</t>
        </is>
      </c>
      <c r="C14" s="24">
        <f>(672327+IF("実績単価に補正"="実績単価に補正",47167,0))+(IF("損益計算書ベース"="固定資産台帳ベース",32188*5+INDEX('07_計算用データ'!$E$6:$E$113,MATCH("建設改良費調査票"&amp;"|"&amp;"損益計算書ベース"&amp;"|"&amp;38&amp;"|"&amp;38,'07_計算用データ'!$G$6:$G$113,0)),IF("財政シミュに接続"="差引方式",1814019,1855337)+INDEX('07_計算用データ'!$E$6:$E$113,MATCH("建設改良費調査票"&amp;"|"&amp;"損益計算書ベース"&amp;"|"&amp;38&amp;"|"&amp;38,'07_計算用データ'!$G$6:$G$113,0))))+(50585)+(44630+INDEX('07_計算用データ'!$D$118:$D$183,MATCH("建設改良費調査票"&amp;"|"&amp;TEXT(2.1,"0.0")&amp;"|"&amp;"経営戦略方式（40年・据置なし）",'07_計算用データ'!$G$118:$G$183,0)))+(IF("算入しない"="算入する",36696,0))+(ROUND(IF("期首期末平均"="期首の帳簿価額",1042625,896312)*5.0/100,0)*5)+(-IF("損益計算書ベース"="固定資産台帳ベース",0,IF("経営戦略の実額"="経営戦略の実額",1542259+INDEX('07_計算用データ'!$F$6:$F$113,MATCH("建設改良費調査票"&amp;"|"&amp;"損益計算書ベース"&amp;"|"&amp;38&amp;"|"&amp;38,'07_計算用データ'!$G$6:$G$113,0)),IF("経営戦略の実額"="成果品の推計値",450000,0))))+(-IF("他会計補助金のみ"="他会計補助金のみ",272997,IF("他会計補助金のみ"="他会計補助金＋補助金",691997,IF("他会計補助金のみ"="成果品の推計値",15000,0))))+(-IF("控除しない"="控除する",26494,0))</f>
        <v/>
      </c>
      <c r="D14" s="38">
        <f>C14*1000/'01_設定'!$C$25</f>
        <v/>
      </c>
      <c r="E14" s="47">
        <f>'01_設定'!$C$26*1000/'01_設定'!$C$25/D14</f>
        <v/>
      </c>
      <c r="F14" s="48">
        <f>C14/'01_設定'!$C$26</f>
        <v/>
      </c>
      <c r="H14" s="9" t="inlineStr"/>
    </row>
    <row r="15">
      <c r="B15" s="23" t="inlineStr">
        <is>
          <t>対象資産を期首の帳簿価額に</t>
        </is>
      </c>
      <c r="C15" s="24">
        <f>(672327+IF("実績単価に補正"="実績単価に補正",47167,0))+(IF("損益計算書ベース"="固定資産台帳ベース",32188*5+INDEX('07_計算用データ'!$E$6:$E$113,MATCH("建設改良費調査票"&amp;"|"&amp;"損益計算書ベース"&amp;"|"&amp;38&amp;"|"&amp;38,'07_計算用データ'!$G$6:$G$113,0)),IF("財政シミュに接続"="差引方式",1814019,1855337)+INDEX('07_計算用データ'!$E$6:$E$113,MATCH("建設改良費調査票"&amp;"|"&amp;"損益計算書ベース"&amp;"|"&amp;38&amp;"|"&amp;38,'07_計算用データ'!$G$6:$G$113,0))))+(50585)+(44630+INDEX('07_計算用データ'!$D$118:$D$183,MATCH("建設改良費調査票"&amp;"|"&amp;TEXT(2.1,"0.0")&amp;"|"&amp;"経営戦略方式（40年・据置なし）",'07_計算用データ'!$G$118:$G$183,0)))+(IF("算入しない"="算入する",36696,0))+(ROUND(IF("期首の帳簿価額"="期首の帳簿価額",1042625,896312)*3.0/100,0)*5)+(-IF("損益計算書ベース"="固定資産台帳ベース",0,IF("経営戦略の実額"="経営戦略の実額",1542259+INDEX('07_計算用データ'!$F$6:$F$113,MATCH("建設改良費調査票"&amp;"|"&amp;"損益計算書ベース"&amp;"|"&amp;38&amp;"|"&amp;38,'07_計算用データ'!$G$6:$G$113,0)),IF("経営戦略の実額"="成果品の推計値",450000,0))))+(-IF("他会計補助金のみ"="他会計補助金のみ",272997,IF("他会計補助金のみ"="他会計補助金＋補助金",691997,IF("他会計補助金のみ"="成果品の推計値",15000,0))))+(-IF("控除しない"="控除する",26494,0))</f>
        <v/>
      </c>
      <c r="D15" s="38">
        <f>C15*1000/'01_設定'!$C$25</f>
        <v/>
      </c>
      <c r="E15" s="47">
        <f>'01_設定'!$C$26*1000/'01_設定'!$C$25/D15</f>
        <v/>
      </c>
      <c r="F15" s="48">
        <f>C15/'01_設定'!$C$26</f>
        <v/>
      </c>
      <c r="H15" s="9" t="inlineStr">
        <is>
          <t>1,042,625千円を用いた場合</t>
        </is>
      </c>
    </row>
    <row r="16">
      <c r="B16" s="23" t="inlineStr">
        <is>
          <t>量水器費を計上</t>
        </is>
      </c>
      <c r="C16" s="24">
        <f>(672327+IF("実績単価に補正"="実績単価に補正",47167,0))+(IF("損益計算書ベース"="固定資産台帳ベース",32188*5+INDEX('07_計算用データ'!$E$6:$E$113,MATCH("調査票＋量水器費"&amp;"|"&amp;"損益計算書ベース"&amp;"|"&amp;38&amp;"|"&amp;38,'07_計算用データ'!$G$6:$G$113,0)),IF("財政シミュに接続"="差引方式",1814019,1855337)+INDEX('07_計算用データ'!$E$6:$E$113,MATCH("調査票＋量水器費"&amp;"|"&amp;"損益計算書ベース"&amp;"|"&amp;38&amp;"|"&amp;38,'07_計算用データ'!$G$6:$G$113,0))))+(50585)+(44630+INDEX('07_計算用データ'!$D$118:$D$183,MATCH("調査票＋量水器費"&amp;"|"&amp;TEXT(2.1,"0.0")&amp;"|"&amp;"経営戦略方式（40年・据置なし）",'07_計算用データ'!$G$118:$G$183,0)))+(IF("算入しない"="算入する",36696,0))+(ROUND(IF("期首期末平均"="期首の帳簿価額",1042625,896312)*3.0/100,0)*5)+(-IF("損益計算書ベース"="固定資産台帳ベース",0,IF("経営戦略の実額"="経営戦略の実額",1542259+INDEX('07_計算用データ'!$F$6:$F$113,MATCH("調査票＋量水器費"&amp;"|"&amp;"損益計算書ベース"&amp;"|"&amp;38&amp;"|"&amp;38,'07_計算用データ'!$G$6:$G$113,0)),IF("経営戦略の実額"="成果品の推計値",450000,0))))+(-IF("他会計補助金のみ"="他会計補助金のみ",272997,IF("他会計補助金のみ"="他会計補助金＋補助金",691997,IF("他会計補助金のみ"="成果品の推計値",15000,0))))+(-IF("控除しない"="控除する",26494,0))</f>
        <v/>
      </c>
      <c r="D16" s="38">
        <f>C16*1000/'01_設定'!$C$25</f>
        <v/>
      </c>
      <c r="E16" s="47">
        <f>'01_設定'!$C$26*1000/'01_設定'!$C$25/D16</f>
        <v/>
      </c>
      <c r="F16" s="48">
        <f>C16/'01_設定'!$C$26</f>
        <v/>
      </c>
      <c r="H16" s="9" t="inlineStr">
        <is>
          <t>経営戦略の1.06億円を戻す</t>
        </is>
      </c>
    </row>
    <row r="17">
      <c r="B17" s="23" t="inlineStr">
        <is>
          <t>減価償却を固定資産台帳ベースに</t>
        </is>
      </c>
      <c r="C17" s="24">
        <f>(672327+IF("実績単価に補正"="実績単価に補正",47167,0))+(IF("固定資産台帳ベース"="固定資産台帳ベース",32188*5+INDEX('07_計算用データ'!$E$6:$E$113,MATCH("建設改良費調査票"&amp;"|"&amp;"固定資産台帳ベース"&amp;"|"&amp;38&amp;"|"&amp;38,'07_計算用データ'!$G$6:$G$113,0)),IF("財政シミュに接続"="差引方式",1814019,1855337)+INDEX('07_計算用データ'!$E$6:$E$113,MATCH("建設改良費調査票"&amp;"|"&amp;"固定資産台帳ベース"&amp;"|"&amp;38&amp;"|"&amp;38,'07_計算用データ'!$G$6:$G$113,0))))+(50585)+(44630+INDEX('07_計算用データ'!$D$118:$D$183,MATCH("建設改良費調査票"&amp;"|"&amp;TEXT(2.1,"0.0")&amp;"|"&amp;"経営戦略方式（40年・据置なし）",'07_計算用データ'!$G$118:$G$183,0)))+(IF("算入しない"="算入する",36696,0))+(ROUND(IF("期首期末平均"="期首の帳簿価額",1042625,896312)*3.0/100,0)*5)+(-IF("固定資産台帳ベース"="固定資産台帳ベース",0,IF("経営戦略の実額"="経営戦略の実額",1542259+INDEX('07_計算用データ'!$F$6:$F$113,MATCH("建設改良費調査票"&amp;"|"&amp;"固定資産台帳ベース"&amp;"|"&amp;38&amp;"|"&amp;38,'07_計算用データ'!$G$6:$G$113,0)),IF("経営戦略の実額"="成果品の推計値",450000,0))))+(-IF("他会計補助金のみ"="他会計補助金のみ",272997,IF("他会計補助金のみ"="他会計補助金＋補助金",691997,IF("他会計補助金のみ"="成果品の推計値",15000,0))))+(-IF("控除しない"="控除する",26494,0))</f>
        <v/>
      </c>
      <c r="D17" s="38">
        <f>C17*1000/'01_設定'!$C$25</f>
        <v/>
      </c>
      <c r="E17" s="47">
        <f>'01_設定'!$C$26*1000/'01_設定'!$C$25/D17</f>
        <v/>
      </c>
      <c r="F17" s="48">
        <f>C17/'01_設定'!$C$26</f>
        <v/>
      </c>
      <c r="H17" s="9" t="inlineStr">
        <is>
          <t>長期前受金の控除は0になる</t>
        </is>
      </c>
    </row>
    <row r="18">
      <c r="B18" s="23" t="inlineStr">
        <is>
          <t>長期前受金を成果品の推計値に</t>
        </is>
      </c>
      <c r="C18" s="24">
        <f>(672327+IF("実績単価に補正"="実績単価に補正",47167,0))+(IF("損益計算書ベース"="固定資産台帳ベース",32188*5+INDEX('07_計算用データ'!$E$6:$E$113,MATCH("建設改良費調査票"&amp;"|"&amp;"損益計算書ベース"&amp;"|"&amp;38&amp;"|"&amp;38,'07_計算用データ'!$G$6:$G$113,0)),IF("財政シミュに接続"="差引方式",1814019,1855337)+INDEX('07_計算用データ'!$E$6:$E$113,MATCH("建設改良費調査票"&amp;"|"&amp;"損益計算書ベース"&amp;"|"&amp;38&amp;"|"&amp;38,'07_計算用データ'!$G$6:$G$113,0))))+(50585)+(44630+INDEX('07_計算用データ'!$D$118:$D$183,MATCH("建設改良費調査票"&amp;"|"&amp;TEXT(2.1,"0.0")&amp;"|"&amp;"経営戦略方式（40年・据置なし）",'07_計算用データ'!$G$118:$G$183,0)))+(IF("算入しない"="算入する",36696,0))+(ROUND(IF("期首期末平均"="期首の帳簿価額",1042625,896312)*3.0/100,0)*5)+(-IF("損益計算書ベース"="固定資産台帳ベース",0,IF("成果品の推計値"="経営戦略の実額",1542259+INDEX('07_計算用データ'!$F$6:$F$113,MATCH("建設改良費調査票"&amp;"|"&amp;"損益計算書ベース"&amp;"|"&amp;38&amp;"|"&amp;38,'07_計算用データ'!$G$6:$G$113,0)),IF("成果品の推計値"="成果品の推計値",450000,0))))+(-IF("他会計補助金のみ"="他会計補助金のみ",272997,IF("他会計補助金のみ"="他会計補助金＋補助金",691997,IF("他会計補助金のみ"="成果品の推計値",15000,0))))+(-IF("控除しない"="控除する",26494,0))</f>
        <v/>
      </c>
      <c r="D18" s="38">
        <f>C18*1000/'01_設定'!$C$25</f>
        <v/>
      </c>
      <c r="E18" s="47">
        <f>'01_設定'!$C$26*1000/'01_設定'!$C$25/D18</f>
        <v/>
      </c>
      <c r="F18" s="48">
        <f>C18/'01_設定'!$C$26</f>
        <v/>
      </c>
      <c r="H18" s="9" t="inlineStr">
        <is>
          <t>450,000千円。改訂前の前提</t>
        </is>
      </c>
    </row>
    <row r="19">
      <c r="B19" s="23" t="inlineStr">
        <is>
          <t>動力費・薬品費を補正しない</t>
        </is>
      </c>
      <c r="C19" s="24">
        <f>(672327+IF("経営戦略のまま"="実績単価に補正",47167,0))+(IF("損益計算書ベース"="固定資産台帳ベース",32188*5+INDEX('07_計算用データ'!$E$6:$E$113,MATCH("建設改良費調査票"&amp;"|"&amp;"損益計算書ベース"&amp;"|"&amp;38&amp;"|"&amp;38,'07_計算用データ'!$G$6:$G$113,0)),IF("財政シミュに接続"="差引方式",1814019,1855337)+INDEX('07_計算用データ'!$E$6:$E$113,MATCH("建設改良費調査票"&amp;"|"&amp;"損益計算書ベース"&amp;"|"&amp;38&amp;"|"&amp;38,'07_計算用データ'!$G$6:$G$113,0))))+(50585)+(44630+INDEX('07_計算用データ'!$D$118:$D$183,MATCH("建設改良費調査票"&amp;"|"&amp;TEXT(2.1,"0.0")&amp;"|"&amp;"経営戦略方式（40年・据置なし）",'07_計算用データ'!$G$118:$G$183,0)))+(IF("算入しない"="算入する",36696,0))+(ROUND(IF("期首期末平均"="期首の帳簿価額",1042625,896312)*3.0/100,0)*5)+(-IF("損益計算書ベース"="固定資産台帳ベース",0,IF("経営戦略の実額"="経営戦略の実額",1542259+INDEX('07_計算用データ'!$F$6:$F$113,MATCH("建設改良費調査票"&amp;"|"&amp;"損益計算書ベース"&amp;"|"&amp;38&amp;"|"&amp;38,'07_計算用データ'!$G$6:$G$113,0)),IF("経営戦略の実額"="成果品の推計値",450000,0))))+(-IF("他会計補助金のみ"="他会計補助金のみ",272997,IF("他会計補助金のみ"="他会計補助金＋補助金",691997,IF("他会計補助金のみ"="成果品の推計値",15000,0))))+(-IF("控除しない"="控除する",26494,0))</f>
        <v/>
      </c>
      <c r="D19" s="38">
        <f>C19*1000/'01_設定'!$C$25</f>
        <v/>
      </c>
      <c r="E19" s="47">
        <f>'01_設定'!$C$26*1000/'01_設定'!$C$25/D19</f>
        <v/>
      </c>
      <c r="F19" s="48">
        <f>C19/'01_設定'!$C$26</f>
        <v/>
      </c>
      <c r="H19" s="9" t="inlineStr">
        <is>
          <t>経営戦略の単価をそのまま使う</t>
        </is>
      </c>
    </row>
    <row r="20">
      <c r="B20" s="23" t="inlineStr">
        <is>
          <t>その他営業収益等を控除し雑支出を算入</t>
        </is>
      </c>
      <c r="C20" s="24">
        <f>(672327+IF("実績単価に補正"="実績単価に補正",47167,0))+(IF("損益計算書ベース"="固定資産台帳ベース",32188*5+INDEX('07_計算用データ'!$E$6:$E$113,MATCH("建設改良費調査票"&amp;"|"&amp;"損益計算書ベース"&amp;"|"&amp;38&amp;"|"&amp;38,'07_計算用データ'!$G$6:$G$113,0)),IF("財政シミュに接続"="差引方式",1814019,1855337)+INDEX('07_計算用データ'!$E$6:$E$113,MATCH("建設改良費調査票"&amp;"|"&amp;"損益計算書ベース"&amp;"|"&amp;38&amp;"|"&amp;38,'07_計算用データ'!$G$6:$G$113,0))))+(50585)+(44630+INDEX('07_計算用データ'!$D$118:$D$183,MATCH("建設改良費調査票"&amp;"|"&amp;TEXT(2.1,"0.0")&amp;"|"&amp;"経営戦略方式（40年・据置なし）",'07_計算用データ'!$G$118:$G$183,0)))+(IF("算入する"="算入する",36696,0))+(ROUND(IF("期首期末平均"="期首の帳簿価額",1042625,896312)*3.0/100,0)*5)+(-IF("損益計算書ベース"="固定資産台帳ベース",0,IF("経営戦略の実額"="経営戦略の実額",1542259+INDEX('07_計算用データ'!$F$6:$F$113,MATCH("建設改良費調査票"&amp;"|"&amp;"損益計算書ベース"&amp;"|"&amp;38&amp;"|"&amp;38,'07_計算用データ'!$G$6:$G$113,0)),IF("経営戦略の実額"="成果品の推計値",450000,0))))+(-IF("他会計補助金のみ"="他会計補助金のみ",272997,IF("他会計補助金のみ"="他会計補助金＋補助金",691997,IF("他会計補助金のみ"="成果品の推計値",15000,0))))+(-IF("控除する"="控除する",26494,0))</f>
        <v/>
      </c>
      <c r="D20" s="38">
        <f>C20*1000/'01_設定'!$C$25</f>
        <v/>
      </c>
      <c r="E20" s="47">
        <f>'01_設定'!$C$26*1000/'01_設定'!$C$25/D20</f>
        <v/>
      </c>
      <c r="F20" s="48">
        <f>C20/'01_設定'!$C$26</f>
        <v/>
      </c>
      <c r="H20" s="9" t="inlineStr"/>
    </row>
    <row r="22">
      <c r="A22" s="3" t="inlineStr">
        <is>
          <t>※ 各行は他の条件を採用条件に固定したうえで、記載の条件だけを変えた値である。複数の条件が同時に動く場合は単純な加算にならない。</t>
        </is>
      </c>
    </row>
    <row r="23">
      <c r="A23" s="3" t="inlineStr">
        <is>
          <t>※ 必要改定率は給水収益に対する倍率であり、確定した改定水準ではない。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2" customWidth="1" min="4" max="4"/>
    <col width="14" customWidth="1" min="5" max="5"/>
    <col width="16" customWidth="1" min="6" max="6"/>
    <col width="46" customWidth="1" min="7" max="7"/>
  </cols>
  <sheetData>
    <row r="1">
      <c r="A1" s="49" t="inlineStr">
        <is>
          <t>計算用データ（参照専用）</t>
        </is>
      </c>
    </row>
    <row r="2">
      <c r="A2" s="4" t="inlineStr">
        <is>
          <t>「02_総括原価」「06_ケース比較」が参照します。直接編集しないでください。</t>
        </is>
      </c>
    </row>
    <row r="4">
      <c r="A4" s="49" t="inlineStr">
        <is>
          <t>【減価償却費・長期前受金（新規取得分）R8〜R12 5年計・千円】</t>
        </is>
      </c>
    </row>
    <row r="5">
      <c r="A5" s="50" t="inlineStr">
        <is>
          <t>計画</t>
        </is>
      </c>
      <c r="B5" s="50" t="inlineStr">
        <is>
          <t>減価償却費の算入方法</t>
        </is>
      </c>
      <c r="C5" s="50" t="inlineStr">
        <is>
          <t>管路年数</t>
        </is>
      </c>
      <c r="D5" s="50" t="inlineStr">
        <is>
          <t>機電年数</t>
        </is>
      </c>
      <c r="E5" s="50" t="inlineStr">
        <is>
          <t>減価償却費</t>
        </is>
      </c>
      <c r="F5" s="50" t="inlineStr">
        <is>
          <t>長期前受金(新規)</t>
        </is>
      </c>
      <c r="G5" s="50" t="inlineStr">
        <is>
          <t>照合キー</t>
        </is>
      </c>
    </row>
    <row r="6">
      <c r="A6" s="50" t="inlineStr">
        <is>
          <t>経営戦略の計画</t>
        </is>
      </c>
      <c r="B6" s="50" t="inlineStr">
        <is>
          <t>損益計算書ベース</t>
        </is>
      </c>
      <c r="C6" s="50" t="n">
        <v>35</v>
      </c>
      <c r="D6" s="50" t="n">
        <v>15</v>
      </c>
      <c r="E6" s="50" t="n">
        <v>237143</v>
      </c>
      <c r="F6" s="50" t="n">
        <v>16666</v>
      </c>
      <c r="G6" s="50" t="inlineStr">
        <is>
          <t>経営戦略の計画|損益計算書ベース|35|15</t>
        </is>
      </c>
    </row>
    <row r="7">
      <c r="A7" s="50" t="inlineStr">
        <is>
          <t>経営戦略の計画</t>
        </is>
      </c>
      <c r="B7" s="50" t="inlineStr">
        <is>
          <t>損益計算書ベース</t>
        </is>
      </c>
      <c r="C7" s="50" t="n">
        <v>35</v>
      </c>
      <c r="D7" s="50" t="n">
        <v>20</v>
      </c>
      <c r="E7" s="50" t="n">
        <v>237143</v>
      </c>
      <c r="F7" s="50" t="n">
        <v>16666</v>
      </c>
      <c r="G7" s="50" t="inlineStr">
        <is>
          <t>経営戦略の計画|損益計算書ベース|35|20</t>
        </is>
      </c>
    </row>
    <row r="8">
      <c r="A8" s="50" t="inlineStr">
        <is>
          <t>経営戦略の計画</t>
        </is>
      </c>
      <c r="B8" s="50" t="inlineStr">
        <is>
          <t>損益計算書ベース</t>
        </is>
      </c>
      <c r="C8" s="50" t="n">
        <v>35</v>
      </c>
      <c r="D8" s="50" t="n">
        <v>25</v>
      </c>
      <c r="E8" s="50" t="n">
        <v>237143</v>
      </c>
      <c r="F8" s="50" t="n">
        <v>16666</v>
      </c>
      <c r="G8" s="50" t="inlineStr">
        <is>
          <t>経営戦略の計画|損益計算書ベース|35|25</t>
        </is>
      </c>
    </row>
    <row r="9">
      <c r="A9" s="50" t="inlineStr">
        <is>
          <t>経営戦略の計画</t>
        </is>
      </c>
      <c r="B9" s="50" t="inlineStr">
        <is>
          <t>損益計算書ベース</t>
        </is>
      </c>
      <c r="C9" s="50" t="n">
        <v>35</v>
      </c>
      <c r="D9" s="50" t="n">
        <v>30</v>
      </c>
      <c r="E9" s="50" t="n">
        <v>237143</v>
      </c>
      <c r="F9" s="50" t="n">
        <v>16666</v>
      </c>
      <c r="G9" s="50" t="inlineStr">
        <is>
          <t>経営戦略の計画|損益計算書ベース|35|30</t>
        </is>
      </c>
    </row>
    <row r="10">
      <c r="A10" s="50" t="inlineStr">
        <is>
          <t>経営戦略の計画</t>
        </is>
      </c>
      <c r="B10" s="50" t="inlineStr">
        <is>
          <t>損益計算書ベース</t>
        </is>
      </c>
      <c r="C10" s="50" t="n">
        <v>35</v>
      </c>
      <c r="D10" s="50" t="n">
        <v>38</v>
      </c>
      <c r="E10" s="50" t="n">
        <v>237143</v>
      </c>
      <c r="F10" s="50" t="n">
        <v>16666</v>
      </c>
      <c r="G10" s="50" t="inlineStr">
        <is>
          <t>経営戦略の計画|損益計算書ベース|35|38</t>
        </is>
      </c>
    </row>
    <row r="11">
      <c r="A11" s="50" t="inlineStr">
        <is>
          <t>経営戦略の計画</t>
        </is>
      </c>
      <c r="B11" s="50" t="inlineStr">
        <is>
          <t>損益計算書ベース</t>
        </is>
      </c>
      <c r="C11" s="50" t="n">
        <v>35</v>
      </c>
      <c r="D11" s="50" t="n">
        <v>40</v>
      </c>
      <c r="E11" s="50" t="n">
        <v>237143</v>
      </c>
      <c r="F11" s="50" t="n">
        <v>16666</v>
      </c>
      <c r="G11" s="50" t="inlineStr">
        <is>
          <t>経営戦略の計画|損益計算書ベース|35|40</t>
        </is>
      </c>
    </row>
    <row r="12">
      <c r="A12" s="50" t="inlineStr">
        <is>
          <t>経営戦略の計画</t>
        </is>
      </c>
      <c r="B12" s="50" t="inlineStr">
        <is>
          <t>損益計算書ベース</t>
        </is>
      </c>
      <c r="C12" s="50" t="n">
        <v>38</v>
      </c>
      <c r="D12" s="50" t="n">
        <v>15</v>
      </c>
      <c r="E12" s="50" t="n">
        <v>218421</v>
      </c>
      <c r="F12" s="50" t="n">
        <v>15351</v>
      </c>
      <c r="G12" s="50" t="inlineStr">
        <is>
          <t>経営戦略の計画|損益計算書ベース|38|15</t>
        </is>
      </c>
    </row>
    <row r="13">
      <c r="A13" s="50" t="inlineStr">
        <is>
          <t>経営戦略の計画</t>
        </is>
      </c>
      <c r="B13" s="50" t="inlineStr">
        <is>
          <t>損益計算書ベース</t>
        </is>
      </c>
      <c r="C13" s="50" t="n">
        <v>38</v>
      </c>
      <c r="D13" s="50" t="n">
        <v>20</v>
      </c>
      <c r="E13" s="50" t="n">
        <v>218421</v>
      </c>
      <c r="F13" s="50" t="n">
        <v>15351</v>
      </c>
      <c r="G13" s="50" t="inlineStr">
        <is>
          <t>経営戦略の計画|損益計算書ベース|38|20</t>
        </is>
      </c>
    </row>
    <row r="14">
      <c r="A14" s="50" t="inlineStr">
        <is>
          <t>経営戦略の計画</t>
        </is>
      </c>
      <c r="B14" s="50" t="inlineStr">
        <is>
          <t>損益計算書ベース</t>
        </is>
      </c>
      <c r="C14" s="50" t="n">
        <v>38</v>
      </c>
      <c r="D14" s="50" t="n">
        <v>25</v>
      </c>
      <c r="E14" s="50" t="n">
        <v>218421</v>
      </c>
      <c r="F14" s="50" t="n">
        <v>15351</v>
      </c>
      <c r="G14" s="50" t="inlineStr">
        <is>
          <t>経営戦略の計画|損益計算書ベース|38|25</t>
        </is>
      </c>
    </row>
    <row r="15">
      <c r="A15" s="50" t="inlineStr">
        <is>
          <t>経営戦略の計画</t>
        </is>
      </c>
      <c r="B15" s="50" t="inlineStr">
        <is>
          <t>損益計算書ベース</t>
        </is>
      </c>
      <c r="C15" s="50" t="n">
        <v>38</v>
      </c>
      <c r="D15" s="50" t="n">
        <v>30</v>
      </c>
      <c r="E15" s="50" t="n">
        <v>218421</v>
      </c>
      <c r="F15" s="50" t="n">
        <v>15351</v>
      </c>
      <c r="G15" s="50" t="inlineStr">
        <is>
          <t>経営戦略の計画|損益計算書ベース|38|30</t>
        </is>
      </c>
    </row>
    <row r="16">
      <c r="A16" s="50" t="inlineStr">
        <is>
          <t>経営戦略の計画</t>
        </is>
      </c>
      <c r="B16" s="50" t="inlineStr">
        <is>
          <t>損益計算書ベース</t>
        </is>
      </c>
      <c r="C16" s="50" t="n">
        <v>38</v>
      </c>
      <c r="D16" s="50" t="n">
        <v>38</v>
      </c>
      <c r="E16" s="50" t="n">
        <v>218421</v>
      </c>
      <c r="F16" s="50" t="n">
        <v>15351</v>
      </c>
      <c r="G16" s="50" t="inlineStr">
        <is>
          <t>経営戦略の計画|損益計算書ベース|38|38</t>
        </is>
      </c>
    </row>
    <row r="17">
      <c r="A17" s="50" t="inlineStr">
        <is>
          <t>経営戦略の計画</t>
        </is>
      </c>
      <c r="B17" s="50" t="inlineStr">
        <is>
          <t>損益計算書ベース</t>
        </is>
      </c>
      <c r="C17" s="50" t="n">
        <v>38</v>
      </c>
      <c r="D17" s="50" t="n">
        <v>40</v>
      </c>
      <c r="E17" s="50" t="n">
        <v>218421</v>
      </c>
      <c r="F17" s="50" t="n">
        <v>15351</v>
      </c>
      <c r="G17" s="50" t="inlineStr">
        <is>
          <t>経営戦略の計画|損益計算書ベース|38|40</t>
        </is>
      </c>
    </row>
    <row r="18">
      <c r="A18" s="50" t="inlineStr">
        <is>
          <t>経営戦略の計画</t>
        </is>
      </c>
      <c r="B18" s="50" t="inlineStr">
        <is>
          <t>損益計算書ベース</t>
        </is>
      </c>
      <c r="C18" s="50" t="n">
        <v>40</v>
      </c>
      <c r="D18" s="50" t="n">
        <v>15</v>
      </c>
      <c r="E18" s="50" t="n">
        <v>207500</v>
      </c>
      <c r="F18" s="50" t="n">
        <v>14583</v>
      </c>
      <c r="G18" s="50" t="inlineStr">
        <is>
          <t>経営戦略の計画|損益計算書ベース|40|15</t>
        </is>
      </c>
    </row>
    <row r="19">
      <c r="A19" s="50" t="inlineStr">
        <is>
          <t>経営戦略の計画</t>
        </is>
      </c>
      <c r="B19" s="50" t="inlineStr">
        <is>
          <t>損益計算書ベース</t>
        </is>
      </c>
      <c r="C19" s="50" t="n">
        <v>40</v>
      </c>
      <c r="D19" s="50" t="n">
        <v>20</v>
      </c>
      <c r="E19" s="50" t="n">
        <v>207500</v>
      </c>
      <c r="F19" s="50" t="n">
        <v>14583</v>
      </c>
      <c r="G19" s="50" t="inlineStr">
        <is>
          <t>経営戦略の計画|損益計算書ベース|40|20</t>
        </is>
      </c>
    </row>
    <row r="20">
      <c r="A20" s="50" t="inlineStr">
        <is>
          <t>経営戦略の計画</t>
        </is>
      </c>
      <c r="B20" s="50" t="inlineStr">
        <is>
          <t>損益計算書ベース</t>
        </is>
      </c>
      <c r="C20" s="50" t="n">
        <v>40</v>
      </c>
      <c r="D20" s="50" t="n">
        <v>25</v>
      </c>
      <c r="E20" s="50" t="n">
        <v>207500</v>
      </c>
      <c r="F20" s="50" t="n">
        <v>14583</v>
      </c>
      <c r="G20" s="50" t="inlineStr">
        <is>
          <t>経営戦略の計画|損益計算書ベース|40|25</t>
        </is>
      </c>
    </row>
    <row r="21">
      <c r="A21" s="50" t="inlineStr">
        <is>
          <t>経営戦略の計画</t>
        </is>
      </c>
      <c r="B21" s="50" t="inlineStr">
        <is>
          <t>損益計算書ベース</t>
        </is>
      </c>
      <c r="C21" s="50" t="n">
        <v>40</v>
      </c>
      <c r="D21" s="50" t="n">
        <v>30</v>
      </c>
      <c r="E21" s="50" t="n">
        <v>207500</v>
      </c>
      <c r="F21" s="50" t="n">
        <v>14583</v>
      </c>
      <c r="G21" s="50" t="inlineStr">
        <is>
          <t>経営戦略の計画|損益計算書ベース|40|30</t>
        </is>
      </c>
    </row>
    <row r="22">
      <c r="A22" s="50" t="inlineStr">
        <is>
          <t>経営戦略の計画</t>
        </is>
      </c>
      <c r="B22" s="50" t="inlineStr">
        <is>
          <t>損益計算書ベース</t>
        </is>
      </c>
      <c r="C22" s="50" t="n">
        <v>40</v>
      </c>
      <c r="D22" s="50" t="n">
        <v>38</v>
      </c>
      <c r="E22" s="50" t="n">
        <v>207500</v>
      </c>
      <c r="F22" s="50" t="n">
        <v>14583</v>
      </c>
      <c r="G22" s="50" t="inlineStr">
        <is>
          <t>経営戦略の計画|損益計算書ベース|40|38</t>
        </is>
      </c>
    </row>
    <row r="23">
      <c r="A23" s="50" t="inlineStr">
        <is>
          <t>経営戦略の計画</t>
        </is>
      </c>
      <c r="B23" s="50" t="inlineStr">
        <is>
          <t>損益計算書ベース</t>
        </is>
      </c>
      <c r="C23" s="50" t="n">
        <v>40</v>
      </c>
      <c r="D23" s="50" t="n">
        <v>40</v>
      </c>
      <c r="E23" s="50" t="n">
        <v>207500</v>
      </c>
      <c r="F23" s="50" t="n">
        <v>14583</v>
      </c>
      <c r="G23" s="50" t="inlineStr">
        <is>
          <t>経営戦略の計画|損益計算書ベース|40|40</t>
        </is>
      </c>
    </row>
    <row r="24">
      <c r="A24" s="50" t="inlineStr">
        <is>
          <t>経営戦略の計画</t>
        </is>
      </c>
      <c r="B24" s="50" t="inlineStr">
        <is>
          <t>固定資産台帳ベース</t>
        </is>
      </c>
      <c r="C24" s="50" t="n">
        <v>35</v>
      </c>
      <c r="D24" s="50" t="n">
        <v>15</v>
      </c>
      <c r="E24" s="50" t="n">
        <v>220477</v>
      </c>
      <c r="F24" s="50" t="n">
        <v>0</v>
      </c>
      <c r="G24" s="50" t="inlineStr">
        <is>
          <t>経営戦略の計画|固定資産台帳ベース|35|15</t>
        </is>
      </c>
    </row>
    <row r="25">
      <c r="A25" s="50" t="inlineStr">
        <is>
          <t>経営戦略の計画</t>
        </is>
      </c>
      <c r="B25" s="50" t="inlineStr">
        <is>
          <t>固定資産台帳ベース</t>
        </is>
      </c>
      <c r="C25" s="50" t="n">
        <v>35</v>
      </c>
      <c r="D25" s="50" t="n">
        <v>20</v>
      </c>
      <c r="E25" s="50" t="n">
        <v>220477</v>
      </c>
      <c r="F25" s="50" t="n">
        <v>0</v>
      </c>
      <c r="G25" s="50" t="inlineStr">
        <is>
          <t>経営戦略の計画|固定資産台帳ベース|35|20</t>
        </is>
      </c>
    </row>
    <row r="26">
      <c r="A26" s="50" t="inlineStr">
        <is>
          <t>経営戦略の計画</t>
        </is>
      </c>
      <c r="B26" s="50" t="inlineStr">
        <is>
          <t>固定資産台帳ベース</t>
        </is>
      </c>
      <c r="C26" s="50" t="n">
        <v>35</v>
      </c>
      <c r="D26" s="50" t="n">
        <v>25</v>
      </c>
      <c r="E26" s="50" t="n">
        <v>220477</v>
      </c>
      <c r="F26" s="50" t="n">
        <v>0</v>
      </c>
      <c r="G26" s="50" t="inlineStr">
        <is>
          <t>経営戦略の計画|固定資産台帳ベース|35|25</t>
        </is>
      </c>
    </row>
    <row r="27">
      <c r="A27" s="50" t="inlineStr">
        <is>
          <t>経営戦略の計画</t>
        </is>
      </c>
      <c r="B27" s="50" t="inlineStr">
        <is>
          <t>固定資産台帳ベース</t>
        </is>
      </c>
      <c r="C27" s="50" t="n">
        <v>35</v>
      </c>
      <c r="D27" s="50" t="n">
        <v>30</v>
      </c>
      <c r="E27" s="50" t="n">
        <v>220477</v>
      </c>
      <c r="F27" s="50" t="n">
        <v>0</v>
      </c>
      <c r="G27" s="50" t="inlineStr">
        <is>
          <t>経営戦略の計画|固定資産台帳ベース|35|30</t>
        </is>
      </c>
    </row>
    <row r="28">
      <c r="A28" s="50" t="inlineStr">
        <is>
          <t>経営戦略の計画</t>
        </is>
      </c>
      <c r="B28" s="50" t="inlineStr">
        <is>
          <t>固定資産台帳ベース</t>
        </is>
      </c>
      <c r="C28" s="50" t="n">
        <v>35</v>
      </c>
      <c r="D28" s="50" t="n">
        <v>38</v>
      </c>
      <c r="E28" s="50" t="n">
        <v>220477</v>
      </c>
      <c r="F28" s="50" t="n">
        <v>0</v>
      </c>
      <c r="G28" s="50" t="inlineStr">
        <is>
          <t>経営戦略の計画|固定資産台帳ベース|35|38</t>
        </is>
      </c>
    </row>
    <row r="29">
      <c r="A29" s="50" t="inlineStr">
        <is>
          <t>経営戦略の計画</t>
        </is>
      </c>
      <c r="B29" s="50" t="inlineStr">
        <is>
          <t>固定資産台帳ベース</t>
        </is>
      </c>
      <c r="C29" s="50" t="n">
        <v>35</v>
      </c>
      <c r="D29" s="50" t="n">
        <v>40</v>
      </c>
      <c r="E29" s="50" t="n">
        <v>220477</v>
      </c>
      <c r="F29" s="50" t="n">
        <v>0</v>
      </c>
      <c r="G29" s="50" t="inlineStr">
        <is>
          <t>経営戦略の計画|固定資産台帳ベース|35|40</t>
        </is>
      </c>
    </row>
    <row r="30">
      <c r="A30" s="50" t="inlineStr">
        <is>
          <t>経営戦略の計画</t>
        </is>
      </c>
      <c r="B30" s="50" t="inlineStr">
        <is>
          <t>固定資産台帳ベース</t>
        </is>
      </c>
      <c r="C30" s="50" t="n">
        <v>38</v>
      </c>
      <c r="D30" s="50" t="n">
        <v>15</v>
      </c>
      <c r="E30" s="50" t="n">
        <v>203071</v>
      </c>
      <c r="F30" s="50" t="n">
        <v>0</v>
      </c>
      <c r="G30" s="50" t="inlineStr">
        <is>
          <t>経営戦略の計画|固定資産台帳ベース|38|15</t>
        </is>
      </c>
    </row>
    <row r="31">
      <c r="A31" s="50" t="inlineStr">
        <is>
          <t>経営戦略の計画</t>
        </is>
      </c>
      <c r="B31" s="50" t="inlineStr">
        <is>
          <t>固定資産台帳ベース</t>
        </is>
      </c>
      <c r="C31" s="50" t="n">
        <v>38</v>
      </c>
      <c r="D31" s="50" t="n">
        <v>20</v>
      </c>
      <c r="E31" s="50" t="n">
        <v>203071</v>
      </c>
      <c r="F31" s="50" t="n">
        <v>0</v>
      </c>
      <c r="G31" s="50" t="inlineStr">
        <is>
          <t>経営戦略の計画|固定資産台帳ベース|38|20</t>
        </is>
      </c>
    </row>
    <row r="32">
      <c r="A32" s="50" t="inlineStr">
        <is>
          <t>経営戦略の計画</t>
        </is>
      </c>
      <c r="B32" s="50" t="inlineStr">
        <is>
          <t>固定資産台帳ベース</t>
        </is>
      </c>
      <c r="C32" s="50" t="n">
        <v>38</v>
      </c>
      <c r="D32" s="50" t="n">
        <v>25</v>
      </c>
      <c r="E32" s="50" t="n">
        <v>203071</v>
      </c>
      <c r="F32" s="50" t="n">
        <v>0</v>
      </c>
      <c r="G32" s="50" t="inlineStr">
        <is>
          <t>経営戦略の計画|固定資産台帳ベース|38|25</t>
        </is>
      </c>
    </row>
    <row r="33">
      <c r="A33" s="50" t="inlineStr">
        <is>
          <t>経営戦略の計画</t>
        </is>
      </c>
      <c r="B33" s="50" t="inlineStr">
        <is>
          <t>固定資産台帳ベース</t>
        </is>
      </c>
      <c r="C33" s="50" t="n">
        <v>38</v>
      </c>
      <c r="D33" s="50" t="n">
        <v>30</v>
      </c>
      <c r="E33" s="50" t="n">
        <v>203071</v>
      </c>
      <c r="F33" s="50" t="n">
        <v>0</v>
      </c>
      <c r="G33" s="50" t="inlineStr">
        <is>
          <t>経営戦略の計画|固定資産台帳ベース|38|30</t>
        </is>
      </c>
    </row>
    <row r="34">
      <c r="A34" s="50" t="inlineStr">
        <is>
          <t>経営戦略の計画</t>
        </is>
      </c>
      <c r="B34" s="50" t="inlineStr">
        <is>
          <t>固定資産台帳ベース</t>
        </is>
      </c>
      <c r="C34" s="50" t="n">
        <v>38</v>
      </c>
      <c r="D34" s="50" t="n">
        <v>38</v>
      </c>
      <c r="E34" s="50" t="n">
        <v>203071</v>
      </c>
      <c r="F34" s="50" t="n">
        <v>0</v>
      </c>
      <c r="G34" s="50" t="inlineStr">
        <is>
          <t>経営戦略の計画|固定資産台帳ベース|38|38</t>
        </is>
      </c>
    </row>
    <row r="35">
      <c r="A35" s="50" t="inlineStr">
        <is>
          <t>経営戦略の計画</t>
        </is>
      </c>
      <c r="B35" s="50" t="inlineStr">
        <is>
          <t>固定資産台帳ベース</t>
        </is>
      </c>
      <c r="C35" s="50" t="n">
        <v>38</v>
      </c>
      <c r="D35" s="50" t="n">
        <v>40</v>
      </c>
      <c r="E35" s="50" t="n">
        <v>203071</v>
      </c>
      <c r="F35" s="50" t="n">
        <v>0</v>
      </c>
      <c r="G35" s="50" t="inlineStr">
        <is>
          <t>経営戦略の計画|固定資産台帳ベース|38|40</t>
        </is>
      </c>
    </row>
    <row r="36">
      <c r="A36" s="50" t="inlineStr">
        <is>
          <t>経営戦略の計画</t>
        </is>
      </c>
      <c r="B36" s="50" t="inlineStr">
        <is>
          <t>固定資産台帳ベース</t>
        </is>
      </c>
      <c r="C36" s="50" t="n">
        <v>40</v>
      </c>
      <c r="D36" s="50" t="n">
        <v>15</v>
      </c>
      <c r="E36" s="50" t="n">
        <v>192917</v>
      </c>
      <c r="F36" s="50" t="n">
        <v>0</v>
      </c>
      <c r="G36" s="50" t="inlineStr">
        <is>
          <t>経営戦略の計画|固定資産台帳ベース|40|15</t>
        </is>
      </c>
    </row>
    <row r="37">
      <c r="A37" s="50" t="inlineStr">
        <is>
          <t>経営戦略の計画</t>
        </is>
      </c>
      <c r="B37" s="50" t="inlineStr">
        <is>
          <t>固定資産台帳ベース</t>
        </is>
      </c>
      <c r="C37" s="50" t="n">
        <v>40</v>
      </c>
      <c r="D37" s="50" t="n">
        <v>20</v>
      </c>
      <c r="E37" s="50" t="n">
        <v>192917</v>
      </c>
      <c r="F37" s="50" t="n">
        <v>0</v>
      </c>
      <c r="G37" s="50" t="inlineStr">
        <is>
          <t>経営戦略の計画|固定資産台帳ベース|40|20</t>
        </is>
      </c>
    </row>
    <row r="38">
      <c r="A38" s="50" t="inlineStr">
        <is>
          <t>経営戦略の計画</t>
        </is>
      </c>
      <c r="B38" s="50" t="inlineStr">
        <is>
          <t>固定資産台帳ベース</t>
        </is>
      </c>
      <c r="C38" s="50" t="n">
        <v>40</v>
      </c>
      <c r="D38" s="50" t="n">
        <v>25</v>
      </c>
      <c r="E38" s="50" t="n">
        <v>192917</v>
      </c>
      <c r="F38" s="50" t="n">
        <v>0</v>
      </c>
      <c r="G38" s="50" t="inlineStr">
        <is>
          <t>経営戦略の計画|固定資産台帳ベース|40|25</t>
        </is>
      </c>
    </row>
    <row r="39">
      <c r="A39" s="50" t="inlineStr">
        <is>
          <t>経営戦略の計画</t>
        </is>
      </c>
      <c r="B39" s="50" t="inlineStr">
        <is>
          <t>固定資産台帳ベース</t>
        </is>
      </c>
      <c r="C39" s="50" t="n">
        <v>40</v>
      </c>
      <c r="D39" s="50" t="n">
        <v>30</v>
      </c>
      <c r="E39" s="50" t="n">
        <v>192917</v>
      </c>
      <c r="F39" s="50" t="n">
        <v>0</v>
      </c>
      <c r="G39" s="50" t="inlineStr">
        <is>
          <t>経営戦略の計画|固定資産台帳ベース|40|30</t>
        </is>
      </c>
    </row>
    <row r="40">
      <c r="A40" s="50" t="inlineStr">
        <is>
          <t>経営戦略の計画</t>
        </is>
      </c>
      <c r="B40" s="50" t="inlineStr">
        <is>
          <t>固定資産台帳ベース</t>
        </is>
      </c>
      <c r="C40" s="50" t="n">
        <v>40</v>
      </c>
      <c r="D40" s="50" t="n">
        <v>38</v>
      </c>
      <c r="E40" s="50" t="n">
        <v>192917</v>
      </c>
      <c r="F40" s="50" t="n">
        <v>0</v>
      </c>
      <c r="G40" s="50" t="inlineStr">
        <is>
          <t>経営戦略の計画|固定資産台帳ベース|40|38</t>
        </is>
      </c>
    </row>
    <row r="41">
      <c r="A41" s="50" t="inlineStr">
        <is>
          <t>経営戦略の計画</t>
        </is>
      </c>
      <c r="B41" s="50" t="inlineStr">
        <is>
          <t>固定資産台帳ベース</t>
        </is>
      </c>
      <c r="C41" s="50" t="n">
        <v>40</v>
      </c>
      <c r="D41" s="50" t="n">
        <v>40</v>
      </c>
      <c r="E41" s="50" t="n">
        <v>192917</v>
      </c>
      <c r="F41" s="50" t="n">
        <v>0</v>
      </c>
      <c r="G41" s="50" t="inlineStr">
        <is>
          <t>経営戦略の計画|固定資産台帳ベース|40|40</t>
        </is>
      </c>
    </row>
    <row r="42">
      <c r="A42" s="50" t="inlineStr">
        <is>
          <t>建設改良費調査票</t>
        </is>
      </c>
      <c r="B42" s="50" t="inlineStr">
        <is>
          <t>損益計算書ベース</t>
        </is>
      </c>
      <c r="C42" s="50" t="n">
        <v>35</v>
      </c>
      <c r="D42" s="50" t="n">
        <v>15</v>
      </c>
      <c r="E42" s="50" t="n">
        <v>275246</v>
      </c>
      <c r="F42" s="50" t="n">
        <v>25186</v>
      </c>
      <c r="G42" s="50" t="inlineStr">
        <is>
          <t>建設改良費調査票|損益計算書ベース|35|15</t>
        </is>
      </c>
    </row>
    <row r="43">
      <c r="A43" s="50" t="inlineStr">
        <is>
          <t>建設改良費調査票</t>
        </is>
      </c>
      <c r="B43" s="50" t="inlineStr">
        <is>
          <t>損益計算書ベース</t>
        </is>
      </c>
      <c r="C43" s="50" t="n">
        <v>35</v>
      </c>
      <c r="D43" s="50" t="n">
        <v>20</v>
      </c>
      <c r="E43" s="50" t="n">
        <v>224956</v>
      </c>
      <c r="F43" s="50" t="n">
        <v>25186</v>
      </c>
      <c r="G43" s="50" t="inlineStr">
        <is>
          <t>建設改良費調査票|損益計算書ベース|35|20</t>
        </is>
      </c>
    </row>
    <row r="44">
      <c r="A44" s="50" t="inlineStr">
        <is>
          <t>建設改良費調査票</t>
        </is>
      </c>
      <c r="B44" s="50" t="inlineStr">
        <is>
          <t>損益計算書ベース</t>
        </is>
      </c>
      <c r="C44" s="50" t="n">
        <v>35</v>
      </c>
      <c r="D44" s="50" t="n">
        <v>25</v>
      </c>
      <c r="E44" s="50" t="n">
        <v>194782</v>
      </c>
      <c r="F44" s="50" t="n">
        <v>25186</v>
      </c>
      <c r="G44" s="50" t="inlineStr">
        <is>
          <t>建設改良費調査票|損益計算書ベース|35|25</t>
        </is>
      </c>
    </row>
    <row r="45">
      <c r="A45" s="50" t="inlineStr">
        <is>
          <t>建設改良費調査票</t>
        </is>
      </c>
      <c r="B45" s="50" t="inlineStr">
        <is>
          <t>損益計算書ベース</t>
        </is>
      </c>
      <c r="C45" s="50" t="n">
        <v>35</v>
      </c>
      <c r="D45" s="50" t="n">
        <v>30</v>
      </c>
      <c r="E45" s="50" t="n">
        <v>174666</v>
      </c>
      <c r="F45" s="50" t="n">
        <v>25186</v>
      </c>
      <c r="G45" s="50" t="inlineStr">
        <is>
          <t>建設改良費調査票|損益計算書ベース|35|30</t>
        </is>
      </c>
    </row>
    <row r="46">
      <c r="A46" s="50" t="inlineStr">
        <is>
          <t>建設改良費調査票</t>
        </is>
      </c>
      <c r="B46" s="50" t="inlineStr">
        <is>
          <t>損益計算書ベース</t>
        </is>
      </c>
      <c r="C46" s="50" t="n">
        <v>35</v>
      </c>
      <c r="D46" s="50" t="n">
        <v>38</v>
      </c>
      <c r="E46" s="50" t="n">
        <v>153491</v>
      </c>
      <c r="F46" s="50" t="n">
        <v>25186</v>
      </c>
      <c r="G46" s="50" t="inlineStr">
        <is>
          <t>建設改良費調査票|損益計算書ベース|35|38</t>
        </is>
      </c>
    </row>
    <row r="47">
      <c r="A47" s="50" t="inlineStr">
        <is>
          <t>建設改良費調査票</t>
        </is>
      </c>
      <c r="B47" s="50" t="inlineStr">
        <is>
          <t>損益計算書ベース</t>
        </is>
      </c>
      <c r="C47" s="50" t="n">
        <v>35</v>
      </c>
      <c r="D47" s="50" t="n">
        <v>40</v>
      </c>
      <c r="E47" s="50" t="n">
        <v>149521</v>
      </c>
      <c r="F47" s="50" t="n">
        <v>25186</v>
      </c>
      <c r="G47" s="50" t="inlineStr">
        <is>
          <t>建設改良費調査票|損益計算書ベース|35|40</t>
        </is>
      </c>
    </row>
    <row r="48">
      <c r="A48" s="50" t="inlineStr">
        <is>
          <t>建設改良費調査票</t>
        </is>
      </c>
      <c r="B48" s="50" t="inlineStr">
        <is>
          <t>損益計算書ベース</t>
        </is>
      </c>
      <c r="C48" s="50" t="n">
        <v>38</v>
      </c>
      <c r="D48" s="50" t="n">
        <v>15</v>
      </c>
      <c r="E48" s="50" t="n">
        <v>269397</v>
      </c>
      <c r="F48" s="50" t="n">
        <v>23197</v>
      </c>
      <c r="G48" s="50" t="inlineStr">
        <is>
          <t>建設改良費調査票|損益計算書ベース|38|15</t>
        </is>
      </c>
    </row>
    <row r="49">
      <c r="A49" s="50" t="inlineStr">
        <is>
          <t>建設改良費調査票</t>
        </is>
      </c>
      <c r="B49" s="50" t="inlineStr">
        <is>
          <t>損益計算書ベース</t>
        </is>
      </c>
      <c r="C49" s="50" t="n">
        <v>38</v>
      </c>
      <c r="D49" s="50" t="n">
        <v>20</v>
      </c>
      <c r="E49" s="50" t="n">
        <v>219107</v>
      </c>
      <c r="F49" s="50" t="n">
        <v>23197</v>
      </c>
      <c r="G49" s="50" t="inlineStr">
        <is>
          <t>建設改良費調査票|損益計算書ベース|38|20</t>
        </is>
      </c>
    </row>
    <row r="50">
      <c r="A50" s="50" t="inlineStr">
        <is>
          <t>建設改良費調査票</t>
        </is>
      </c>
      <c r="B50" s="50" t="inlineStr">
        <is>
          <t>損益計算書ベース</t>
        </is>
      </c>
      <c r="C50" s="50" t="n">
        <v>38</v>
      </c>
      <c r="D50" s="50" t="n">
        <v>25</v>
      </c>
      <c r="E50" s="50" t="n">
        <v>188933</v>
      </c>
      <c r="F50" s="50" t="n">
        <v>23197</v>
      </c>
      <c r="G50" s="50" t="inlineStr">
        <is>
          <t>建設改良費調査票|損益計算書ベース|38|25</t>
        </is>
      </c>
    </row>
    <row r="51">
      <c r="A51" s="50" t="inlineStr">
        <is>
          <t>建設改良費調査票</t>
        </is>
      </c>
      <c r="B51" s="50" t="inlineStr">
        <is>
          <t>損益計算書ベース</t>
        </is>
      </c>
      <c r="C51" s="50" t="n">
        <v>38</v>
      </c>
      <c r="D51" s="50" t="n">
        <v>30</v>
      </c>
      <c r="E51" s="50" t="n">
        <v>168817</v>
      </c>
      <c r="F51" s="50" t="n">
        <v>23197</v>
      </c>
      <c r="G51" s="50" t="inlineStr">
        <is>
          <t>建設改良費調査票|損益計算書ベース|38|30</t>
        </is>
      </c>
    </row>
    <row r="52">
      <c r="A52" s="50" t="inlineStr">
        <is>
          <t>建設改良費調査票</t>
        </is>
      </c>
      <c r="B52" s="50" t="inlineStr">
        <is>
          <t>損益計算書ベース</t>
        </is>
      </c>
      <c r="C52" s="50" t="n">
        <v>38</v>
      </c>
      <c r="D52" s="50" t="n">
        <v>38</v>
      </c>
      <c r="E52" s="50" t="n">
        <v>147642</v>
      </c>
      <c r="F52" s="50" t="n">
        <v>23197</v>
      </c>
      <c r="G52" s="50" t="inlineStr">
        <is>
          <t>建設改良費調査票|損益計算書ベース|38|38</t>
        </is>
      </c>
    </row>
    <row r="53">
      <c r="A53" s="50" t="inlineStr">
        <is>
          <t>建設改良費調査票</t>
        </is>
      </c>
      <c r="B53" s="50" t="inlineStr">
        <is>
          <t>損益計算書ベース</t>
        </is>
      </c>
      <c r="C53" s="50" t="n">
        <v>38</v>
      </c>
      <c r="D53" s="50" t="n">
        <v>40</v>
      </c>
      <c r="E53" s="50" t="n">
        <v>143672</v>
      </c>
      <c r="F53" s="50" t="n">
        <v>23197</v>
      </c>
      <c r="G53" s="50" t="inlineStr">
        <is>
          <t>建設改良費調査票|損益計算書ベース|38|40</t>
        </is>
      </c>
    </row>
    <row r="54">
      <c r="A54" s="50" t="inlineStr">
        <is>
          <t>建設改良費調査票</t>
        </is>
      </c>
      <c r="B54" s="50" t="inlineStr">
        <is>
          <t>損益計算書ベース</t>
        </is>
      </c>
      <c r="C54" s="50" t="n">
        <v>40</v>
      </c>
      <c r="D54" s="50" t="n">
        <v>15</v>
      </c>
      <c r="E54" s="50" t="n">
        <v>265985</v>
      </c>
      <c r="F54" s="50" t="n">
        <v>22038</v>
      </c>
      <c r="G54" s="50" t="inlineStr">
        <is>
          <t>建設改良費調査票|損益計算書ベース|40|15</t>
        </is>
      </c>
    </row>
    <row r="55">
      <c r="A55" s="50" t="inlineStr">
        <is>
          <t>建設改良費調査票</t>
        </is>
      </c>
      <c r="B55" s="50" t="inlineStr">
        <is>
          <t>損益計算書ベース</t>
        </is>
      </c>
      <c r="C55" s="50" t="n">
        <v>40</v>
      </c>
      <c r="D55" s="50" t="n">
        <v>20</v>
      </c>
      <c r="E55" s="50" t="n">
        <v>215695</v>
      </c>
      <c r="F55" s="50" t="n">
        <v>22038</v>
      </c>
      <c r="G55" s="50" t="inlineStr">
        <is>
          <t>建設改良費調査票|損益計算書ベース|40|20</t>
        </is>
      </c>
    </row>
    <row r="56">
      <c r="A56" s="50" t="inlineStr">
        <is>
          <t>建設改良費調査票</t>
        </is>
      </c>
      <c r="B56" s="50" t="inlineStr">
        <is>
          <t>損益計算書ベース</t>
        </is>
      </c>
      <c r="C56" s="50" t="n">
        <v>40</v>
      </c>
      <c r="D56" s="50" t="n">
        <v>25</v>
      </c>
      <c r="E56" s="50" t="n">
        <v>185521</v>
      </c>
      <c r="F56" s="50" t="n">
        <v>22038</v>
      </c>
      <c r="G56" s="50" t="inlineStr">
        <is>
          <t>建設改良費調査票|損益計算書ベース|40|25</t>
        </is>
      </c>
    </row>
    <row r="57">
      <c r="A57" s="50" t="inlineStr">
        <is>
          <t>建設改良費調査票</t>
        </is>
      </c>
      <c r="B57" s="50" t="inlineStr">
        <is>
          <t>損益計算書ベース</t>
        </is>
      </c>
      <c r="C57" s="50" t="n">
        <v>40</v>
      </c>
      <c r="D57" s="50" t="n">
        <v>30</v>
      </c>
      <c r="E57" s="50" t="n">
        <v>165405</v>
      </c>
      <c r="F57" s="50" t="n">
        <v>22038</v>
      </c>
      <c r="G57" s="50" t="inlineStr">
        <is>
          <t>建設改良費調査票|損益計算書ベース|40|30</t>
        </is>
      </c>
    </row>
    <row r="58">
      <c r="A58" s="50" t="inlineStr">
        <is>
          <t>建設改良費調査票</t>
        </is>
      </c>
      <c r="B58" s="50" t="inlineStr">
        <is>
          <t>損益計算書ベース</t>
        </is>
      </c>
      <c r="C58" s="50" t="n">
        <v>40</v>
      </c>
      <c r="D58" s="50" t="n">
        <v>38</v>
      </c>
      <c r="E58" s="50" t="n">
        <v>144230</v>
      </c>
      <c r="F58" s="50" t="n">
        <v>22038</v>
      </c>
      <c r="G58" s="50" t="inlineStr">
        <is>
          <t>建設改良費調査票|損益計算書ベース|40|38</t>
        </is>
      </c>
    </row>
    <row r="59">
      <c r="A59" s="50" t="inlineStr">
        <is>
          <t>建設改良費調査票</t>
        </is>
      </c>
      <c r="B59" s="50" t="inlineStr">
        <is>
          <t>損益計算書ベース</t>
        </is>
      </c>
      <c r="C59" s="50" t="n">
        <v>40</v>
      </c>
      <c r="D59" s="50" t="n">
        <v>40</v>
      </c>
      <c r="E59" s="50" t="n">
        <v>140260</v>
      </c>
      <c r="F59" s="50" t="n">
        <v>22038</v>
      </c>
      <c r="G59" s="50" t="inlineStr">
        <is>
          <t>建設改良費調査票|損益計算書ベース|40|40</t>
        </is>
      </c>
    </row>
    <row r="60">
      <c r="A60" s="50" t="inlineStr">
        <is>
          <t>建設改良費調査票</t>
        </is>
      </c>
      <c r="B60" s="50" t="inlineStr">
        <is>
          <t>固定資産台帳ベース</t>
        </is>
      </c>
      <c r="C60" s="50" t="n">
        <v>35</v>
      </c>
      <c r="D60" s="50" t="n">
        <v>15</v>
      </c>
      <c r="E60" s="50" t="n">
        <v>250060</v>
      </c>
      <c r="F60" s="50" t="n">
        <v>0</v>
      </c>
      <c r="G60" s="50" t="inlineStr">
        <is>
          <t>建設改良費調査票|固定資産台帳ベース|35|15</t>
        </is>
      </c>
    </row>
    <row r="61">
      <c r="A61" s="50" t="inlineStr">
        <is>
          <t>建設改良費調査票</t>
        </is>
      </c>
      <c r="B61" s="50" t="inlineStr">
        <is>
          <t>固定資産台帳ベース</t>
        </is>
      </c>
      <c r="C61" s="50" t="n">
        <v>35</v>
      </c>
      <c r="D61" s="50" t="n">
        <v>20</v>
      </c>
      <c r="E61" s="50" t="n">
        <v>199770</v>
      </c>
      <c r="F61" s="50" t="n">
        <v>0</v>
      </c>
      <c r="G61" s="50" t="inlineStr">
        <is>
          <t>建設改良費調査票|固定資産台帳ベース|35|20</t>
        </is>
      </c>
    </row>
    <row r="62">
      <c r="A62" s="50" t="inlineStr">
        <is>
          <t>建設改良費調査票</t>
        </is>
      </c>
      <c r="B62" s="50" t="inlineStr">
        <is>
          <t>固定資産台帳ベース</t>
        </is>
      </c>
      <c r="C62" s="50" t="n">
        <v>35</v>
      </c>
      <c r="D62" s="50" t="n">
        <v>25</v>
      </c>
      <c r="E62" s="50" t="n">
        <v>169596</v>
      </c>
      <c r="F62" s="50" t="n">
        <v>0</v>
      </c>
      <c r="G62" s="50" t="inlineStr">
        <is>
          <t>建設改良費調査票|固定資産台帳ベース|35|25</t>
        </is>
      </c>
    </row>
    <row r="63">
      <c r="A63" s="50" t="inlineStr">
        <is>
          <t>建設改良費調査票</t>
        </is>
      </c>
      <c r="B63" s="50" t="inlineStr">
        <is>
          <t>固定資産台帳ベース</t>
        </is>
      </c>
      <c r="C63" s="50" t="n">
        <v>35</v>
      </c>
      <c r="D63" s="50" t="n">
        <v>30</v>
      </c>
      <c r="E63" s="50" t="n">
        <v>149480</v>
      </c>
      <c r="F63" s="50" t="n">
        <v>0</v>
      </c>
      <c r="G63" s="50" t="inlineStr">
        <is>
          <t>建設改良費調査票|固定資産台帳ベース|35|30</t>
        </is>
      </c>
    </row>
    <row r="64">
      <c r="A64" s="50" t="inlineStr">
        <is>
          <t>建設改良費調査票</t>
        </is>
      </c>
      <c r="B64" s="50" t="inlineStr">
        <is>
          <t>固定資産台帳ベース</t>
        </is>
      </c>
      <c r="C64" s="50" t="n">
        <v>35</v>
      </c>
      <c r="D64" s="50" t="n">
        <v>38</v>
      </c>
      <c r="E64" s="50" t="n">
        <v>128305</v>
      </c>
      <c r="F64" s="50" t="n">
        <v>0</v>
      </c>
      <c r="G64" s="50" t="inlineStr">
        <is>
          <t>建設改良費調査票|固定資産台帳ベース|35|38</t>
        </is>
      </c>
    </row>
    <row r="65">
      <c r="A65" s="50" t="inlineStr">
        <is>
          <t>建設改良費調査票</t>
        </is>
      </c>
      <c r="B65" s="50" t="inlineStr">
        <is>
          <t>固定資産台帳ベース</t>
        </is>
      </c>
      <c r="C65" s="50" t="n">
        <v>35</v>
      </c>
      <c r="D65" s="50" t="n">
        <v>40</v>
      </c>
      <c r="E65" s="50" t="n">
        <v>124335</v>
      </c>
      <c r="F65" s="50" t="n">
        <v>0</v>
      </c>
      <c r="G65" s="50" t="inlineStr">
        <is>
          <t>建設改良費調査票|固定資産台帳ベース|35|40</t>
        </is>
      </c>
    </row>
    <row r="66">
      <c r="A66" s="50" t="inlineStr">
        <is>
          <t>建設改良費調査票</t>
        </is>
      </c>
      <c r="B66" s="50" t="inlineStr">
        <is>
          <t>固定資産台帳ベース</t>
        </is>
      </c>
      <c r="C66" s="50" t="n">
        <v>38</v>
      </c>
      <c r="D66" s="50" t="n">
        <v>15</v>
      </c>
      <c r="E66" s="50" t="n">
        <v>246199</v>
      </c>
      <c r="F66" s="50" t="n">
        <v>0</v>
      </c>
      <c r="G66" s="50" t="inlineStr">
        <is>
          <t>建設改良費調査票|固定資産台帳ベース|38|15</t>
        </is>
      </c>
    </row>
    <row r="67">
      <c r="A67" s="50" t="inlineStr">
        <is>
          <t>建設改良費調査票</t>
        </is>
      </c>
      <c r="B67" s="50" t="inlineStr">
        <is>
          <t>固定資産台帳ベース</t>
        </is>
      </c>
      <c r="C67" s="50" t="n">
        <v>38</v>
      </c>
      <c r="D67" s="50" t="n">
        <v>20</v>
      </c>
      <c r="E67" s="50" t="n">
        <v>195909</v>
      </c>
      <c r="F67" s="50" t="n">
        <v>0</v>
      </c>
      <c r="G67" s="50" t="inlineStr">
        <is>
          <t>建設改良費調査票|固定資産台帳ベース|38|20</t>
        </is>
      </c>
    </row>
    <row r="68">
      <c r="A68" s="50" t="inlineStr">
        <is>
          <t>建設改良費調査票</t>
        </is>
      </c>
      <c r="B68" s="50" t="inlineStr">
        <is>
          <t>固定資産台帳ベース</t>
        </is>
      </c>
      <c r="C68" s="50" t="n">
        <v>38</v>
      </c>
      <c r="D68" s="50" t="n">
        <v>25</v>
      </c>
      <c r="E68" s="50" t="n">
        <v>165735</v>
      </c>
      <c r="F68" s="50" t="n">
        <v>0</v>
      </c>
      <c r="G68" s="50" t="inlineStr">
        <is>
          <t>建設改良費調査票|固定資産台帳ベース|38|25</t>
        </is>
      </c>
    </row>
    <row r="69">
      <c r="A69" s="50" t="inlineStr">
        <is>
          <t>建設改良費調査票</t>
        </is>
      </c>
      <c r="B69" s="50" t="inlineStr">
        <is>
          <t>固定資産台帳ベース</t>
        </is>
      </c>
      <c r="C69" s="50" t="n">
        <v>38</v>
      </c>
      <c r="D69" s="50" t="n">
        <v>30</v>
      </c>
      <c r="E69" s="50" t="n">
        <v>145619</v>
      </c>
      <c r="F69" s="50" t="n">
        <v>0</v>
      </c>
      <c r="G69" s="50" t="inlineStr">
        <is>
          <t>建設改良費調査票|固定資産台帳ベース|38|30</t>
        </is>
      </c>
    </row>
    <row r="70">
      <c r="A70" s="50" t="inlineStr">
        <is>
          <t>建設改良費調査票</t>
        </is>
      </c>
      <c r="B70" s="50" t="inlineStr">
        <is>
          <t>固定資産台帳ベース</t>
        </is>
      </c>
      <c r="C70" s="50" t="n">
        <v>38</v>
      </c>
      <c r="D70" s="50" t="n">
        <v>38</v>
      </c>
      <c r="E70" s="50" t="n">
        <v>124445</v>
      </c>
      <c r="F70" s="50" t="n">
        <v>0</v>
      </c>
      <c r="G70" s="50" t="inlineStr">
        <is>
          <t>建設改良費調査票|固定資産台帳ベース|38|38</t>
        </is>
      </c>
    </row>
    <row r="71">
      <c r="A71" s="50" t="inlineStr">
        <is>
          <t>建設改良費調査票</t>
        </is>
      </c>
      <c r="B71" s="50" t="inlineStr">
        <is>
          <t>固定資産台帳ベース</t>
        </is>
      </c>
      <c r="C71" s="50" t="n">
        <v>38</v>
      </c>
      <c r="D71" s="50" t="n">
        <v>40</v>
      </c>
      <c r="E71" s="50" t="n">
        <v>120474</v>
      </c>
      <c r="F71" s="50" t="n">
        <v>0</v>
      </c>
      <c r="G71" s="50" t="inlineStr">
        <is>
          <t>建設改良費調査票|固定資産台帳ベース|38|40</t>
        </is>
      </c>
    </row>
    <row r="72">
      <c r="A72" s="50" t="inlineStr">
        <is>
          <t>建設改良費調査票</t>
        </is>
      </c>
      <c r="B72" s="50" t="inlineStr">
        <is>
          <t>固定資産台帳ベース</t>
        </is>
      </c>
      <c r="C72" s="50" t="n">
        <v>40</v>
      </c>
      <c r="D72" s="50" t="n">
        <v>15</v>
      </c>
      <c r="E72" s="50" t="n">
        <v>243948</v>
      </c>
      <c r="F72" s="50" t="n">
        <v>0</v>
      </c>
      <c r="G72" s="50" t="inlineStr">
        <is>
          <t>建設改良費調査票|固定資産台帳ベース|40|15</t>
        </is>
      </c>
    </row>
    <row r="73">
      <c r="A73" s="50" t="inlineStr">
        <is>
          <t>建設改良費調査票</t>
        </is>
      </c>
      <c r="B73" s="50" t="inlineStr">
        <is>
          <t>固定資産台帳ベース</t>
        </is>
      </c>
      <c r="C73" s="50" t="n">
        <v>40</v>
      </c>
      <c r="D73" s="50" t="n">
        <v>20</v>
      </c>
      <c r="E73" s="50" t="n">
        <v>193658</v>
      </c>
      <c r="F73" s="50" t="n">
        <v>0</v>
      </c>
      <c r="G73" s="50" t="inlineStr">
        <is>
          <t>建設改良費調査票|固定資産台帳ベース|40|20</t>
        </is>
      </c>
    </row>
    <row r="74">
      <c r="A74" s="50" t="inlineStr">
        <is>
          <t>建設改良費調査票</t>
        </is>
      </c>
      <c r="B74" s="50" t="inlineStr">
        <is>
          <t>固定資産台帳ベース</t>
        </is>
      </c>
      <c r="C74" s="50" t="n">
        <v>40</v>
      </c>
      <c r="D74" s="50" t="n">
        <v>25</v>
      </c>
      <c r="E74" s="50" t="n">
        <v>163484</v>
      </c>
      <c r="F74" s="50" t="n">
        <v>0</v>
      </c>
      <c r="G74" s="50" t="inlineStr">
        <is>
          <t>建設改良費調査票|固定資産台帳ベース|40|25</t>
        </is>
      </c>
    </row>
    <row r="75">
      <c r="A75" s="50" t="inlineStr">
        <is>
          <t>建設改良費調査票</t>
        </is>
      </c>
      <c r="B75" s="50" t="inlineStr">
        <is>
          <t>固定資産台帳ベース</t>
        </is>
      </c>
      <c r="C75" s="50" t="n">
        <v>40</v>
      </c>
      <c r="D75" s="50" t="n">
        <v>30</v>
      </c>
      <c r="E75" s="50" t="n">
        <v>143368</v>
      </c>
      <c r="F75" s="50" t="n">
        <v>0</v>
      </c>
      <c r="G75" s="50" t="inlineStr">
        <is>
          <t>建設改良費調査票|固定資産台帳ベース|40|30</t>
        </is>
      </c>
    </row>
    <row r="76">
      <c r="A76" s="50" t="inlineStr">
        <is>
          <t>建設改良費調査票</t>
        </is>
      </c>
      <c r="B76" s="50" t="inlineStr">
        <is>
          <t>固定資産台帳ベース</t>
        </is>
      </c>
      <c r="C76" s="50" t="n">
        <v>40</v>
      </c>
      <c r="D76" s="50" t="n">
        <v>38</v>
      </c>
      <c r="E76" s="50" t="n">
        <v>122193</v>
      </c>
      <c r="F76" s="50" t="n">
        <v>0</v>
      </c>
      <c r="G76" s="50" t="inlineStr">
        <is>
          <t>建設改良費調査票|固定資産台帳ベース|40|38</t>
        </is>
      </c>
    </row>
    <row r="77">
      <c r="A77" s="50" t="inlineStr">
        <is>
          <t>建設改良費調査票</t>
        </is>
      </c>
      <c r="B77" s="50" t="inlineStr">
        <is>
          <t>固定資産台帳ベース</t>
        </is>
      </c>
      <c r="C77" s="50" t="n">
        <v>40</v>
      </c>
      <c r="D77" s="50" t="n">
        <v>40</v>
      </c>
      <c r="E77" s="50" t="n">
        <v>118222</v>
      </c>
      <c r="F77" s="50" t="n">
        <v>0</v>
      </c>
      <c r="G77" s="50" t="inlineStr">
        <is>
          <t>建設改良費調査票|固定資産台帳ベース|40|40</t>
        </is>
      </c>
    </row>
    <row r="78">
      <c r="A78" s="50" t="inlineStr">
        <is>
          <t>調査票＋量水器費</t>
        </is>
      </c>
      <c r="B78" s="50" t="inlineStr">
        <is>
          <t>損益計算書ベース</t>
        </is>
      </c>
      <c r="C78" s="50" t="n">
        <v>35</v>
      </c>
      <c r="D78" s="50" t="n">
        <v>15</v>
      </c>
      <c r="E78" s="50" t="n">
        <v>280389</v>
      </c>
      <c r="F78" s="50" t="n">
        <v>25186</v>
      </c>
      <c r="G78" s="50" t="inlineStr">
        <is>
          <t>調査票＋量水器費|損益計算書ベース|35|15</t>
        </is>
      </c>
    </row>
    <row r="79">
      <c r="A79" s="50" t="inlineStr">
        <is>
          <t>調査票＋量水器費</t>
        </is>
      </c>
      <c r="B79" s="50" t="inlineStr">
        <is>
          <t>損益計算書ベース</t>
        </is>
      </c>
      <c r="C79" s="50" t="n">
        <v>35</v>
      </c>
      <c r="D79" s="50" t="n">
        <v>20</v>
      </c>
      <c r="E79" s="50" t="n">
        <v>230099</v>
      </c>
      <c r="F79" s="50" t="n">
        <v>25186</v>
      </c>
      <c r="G79" s="50" t="inlineStr">
        <is>
          <t>調査票＋量水器費|損益計算書ベース|35|20</t>
        </is>
      </c>
    </row>
    <row r="80">
      <c r="A80" s="50" t="inlineStr">
        <is>
          <t>調査票＋量水器費</t>
        </is>
      </c>
      <c r="B80" s="50" t="inlineStr">
        <is>
          <t>損益計算書ベース</t>
        </is>
      </c>
      <c r="C80" s="50" t="n">
        <v>35</v>
      </c>
      <c r="D80" s="50" t="n">
        <v>25</v>
      </c>
      <c r="E80" s="50" t="n">
        <v>199925</v>
      </c>
      <c r="F80" s="50" t="n">
        <v>25186</v>
      </c>
      <c r="G80" s="50" t="inlineStr">
        <is>
          <t>調査票＋量水器費|損益計算書ベース|35|25</t>
        </is>
      </c>
    </row>
    <row r="81">
      <c r="A81" s="50" t="inlineStr">
        <is>
          <t>調査票＋量水器費</t>
        </is>
      </c>
      <c r="B81" s="50" t="inlineStr">
        <is>
          <t>損益計算書ベース</t>
        </is>
      </c>
      <c r="C81" s="50" t="n">
        <v>35</v>
      </c>
      <c r="D81" s="50" t="n">
        <v>30</v>
      </c>
      <c r="E81" s="50" t="n">
        <v>179809</v>
      </c>
      <c r="F81" s="50" t="n">
        <v>25186</v>
      </c>
      <c r="G81" s="50" t="inlineStr">
        <is>
          <t>調査票＋量水器費|損益計算書ベース|35|30</t>
        </is>
      </c>
    </row>
    <row r="82">
      <c r="A82" s="50" t="inlineStr">
        <is>
          <t>調査票＋量水器費</t>
        </is>
      </c>
      <c r="B82" s="50" t="inlineStr">
        <is>
          <t>損益計算書ベース</t>
        </is>
      </c>
      <c r="C82" s="50" t="n">
        <v>35</v>
      </c>
      <c r="D82" s="50" t="n">
        <v>38</v>
      </c>
      <c r="E82" s="50" t="n">
        <v>158634</v>
      </c>
      <c r="F82" s="50" t="n">
        <v>25186</v>
      </c>
      <c r="G82" s="50" t="inlineStr">
        <is>
          <t>調査票＋量水器費|損益計算書ベース|35|38</t>
        </is>
      </c>
    </row>
    <row r="83">
      <c r="A83" s="50" t="inlineStr">
        <is>
          <t>調査票＋量水器費</t>
        </is>
      </c>
      <c r="B83" s="50" t="inlineStr">
        <is>
          <t>損益計算書ベース</t>
        </is>
      </c>
      <c r="C83" s="50" t="n">
        <v>35</v>
      </c>
      <c r="D83" s="50" t="n">
        <v>40</v>
      </c>
      <c r="E83" s="50" t="n">
        <v>154664</v>
      </c>
      <c r="F83" s="50" t="n">
        <v>25186</v>
      </c>
      <c r="G83" s="50" t="inlineStr">
        <is>
          <t>調査票＋量水器費|損益計算書ベース|35|40</t>
        </is>
      </c>
    </row>
    <row r="84">
      <c r="A84" s="50" t="inlineStr">
        <is>
          <t>調査票＋量水器費</t>
        </is>
      </c>
      <c r="B84" s="50" t="inlineStr">
        <is>
          <t>損益計算書ベース</t>
        </is>
      </c>
      <c r="C84" s="50" t="n">
        <v>38</v>
      </c>
      <c r="D84" s="50" t="n">
        <v>15</v>
      </c>
      <c r="E84" s="50" t="n">
        <v>274134</v>
      </c>
      <c r="F84" s="50" t="n">
        <v>23197</v>
      </c>
      <c r="G84" s="50" t="inlineStr">
        <is>
          <t>調査票＋量水器費|損益計算書ベース|38|15</t>
        </is>
      </c>
    </row>
    <row r="85">
      <c r="A85" s="50" t="inlineStr">
        <is>
          <t>調査票＋量水器費</t>
        </is>
      </c>
      <c r="B85" s="50" t="inlineStr">
        <is>
          <t>損益計算書ベース</t>
        </is>
      </c>
      <c r="C85" s="50" t="n">
        <v>38</v>
      </c>
      <c r="D85" s="50" t="n">
        <v>20</v>
      </c>
      <c r="E85" s="50" t="n">
        <v>223844</v>
      </c>
      <c r="F85" s="50" t="n">
        <v>23197</v>
      </c>
      <c r="G85" s="50" t="inlineStr">
        <is>
          <t>調査票＋量水器費|損益計算書ベース|38|20</t>
        </is>
      </c>
    </row>
    <row r="86">
      <c r="A86" s="50" t="inlineStr">
        <is>
          <t>調査票＋量水器費</t>
        </is>
      </c>
      <c r="B86" s="50" t="inlineStr">
        <is>
          <t>損益計算書ベース</t>
        </is>
      </c>
      <c r="C86" s="50" t="n">
        <v>38</v>
      </c>
      <c r="D86" s="50" t="n">
        <v>25</v>
      </c>
      <c r="E86" s="50" t="n">
        <v>193670</v>
      </c>
      <c r="F86" s="50" t="n">
        <v>23197</v>
      </c>
      <c r="G86" s="50" t="inlineStr">
        <is>
          <t>調査票＋量水器費|損益計算書ベース|38|25</t>
        </is>
      </c>
    </row>
    <row r="87">
      <c r="A87" s="50" t="inlineStr">
        <is>
          <t>調査票＋量水器費</t>
        </is>
      </c>
      <c r="B87" s="50" t="inlineStr">
        <is>
          <t>損益計算書ベース</t>
        </is>
      </c>
      <c r="C87" s="50" t="n">
        <v>38</v>
      </c>
      <c r="D87" s="50" t="n">
        <v>30</v>
      </c>
      <c r="E87" s="50" t="n">
        <v>173554</v>
      </c>
      <c r="F87" s="50" t="n">
        <v>23197</v>
      </c>
      <c r="G87" s="50" t="inlineStr">
        <is>
          <t>調査票＋量水器費|損益計算書ベース|38|30</t>
        </is>
      </c>
    </row>
    <row r="88">
      <c r="A88" s="50" t="inlineStr">
        <is>
          <t>調査票＋量水器費</t>
        </is>
      </c>
      <c r="B88" s="50" t="inlineStr">
        <is>
          <t>損益計算書ベース</t>
        </is>
      </c>
      <c r="C88" s="50" t="n">
        <v>38</v>
      </c>
      <c r="D88" s="50" t="n">
        <v>38</v>
      </c>
      <c r="E88" s="50" t="n">
        <v>152379</v>
      </c>
      <c r="F88" s="50" t="n">
        <v>23197</v>
      </c>
      <c r="G88" s="50" t="inlineStr">
        <is>
          <t>調査票＋量水器費|損益計算書ベース|38|38</t>
        </is>
      </c>
    </row>
    <row r="89">
      <c r="A89" s="50" t="inlineStr">
        <is>
          <t>調査票＋量水器費</t>
        </is>
      </c>
      <c r="B89" s="50" t="inlineStr">
        <is>
          <t>損益計算書ベース</t>
        </is>
      </c>
      <c r="C89" s="50" t="n">
        <v>38</v>
      </c>
      <c r="D89" s="50" t="n">
        <v>40</v>
      </c>
      <c r="E89" s="50" t="n">
        <v>148409</v>
      </c>
      <c r="F89" s="50" t="n">
        <v>23197</v>
      </c>
      <c r="G89" s="50" t="inlineStr">
        <is>
          <t>調査票＋量水器費|損益計算書ベース|38|40</t>
        </is>
      </c>
    </row>
    <row r="90">
      <c r="A90" s="50" t="inlineStr">
        <is>
          <t>調査票＋量水器費</t>
        </is>
      </c>
      <c r="B90" s="50" t="inlineStr">
        <is>
          <t>損益計算書ベース</t>
        </is>
      </c>
      <c r="C90" s="50" t="n">
        <v>40</v>
      </c>
      <c r="D90" s="50" t="n">
        <v>15</v>
      </c>
      <c r="E90" s="50" t="n">
        <v>270485</v>
      </c>
      <c r="F90" s="50" t="n">
        <v>22038</v>
      </c>
      <c r="G90" s="50" t="inlineStr">
        <is>
          <t>調査票＋量水器費|損益計算書ベース|40|15</t>
        </is>
      </c>
    </row>
    <row r="91">
      <c r="A91" s="50" t="inlineStr">
        <is>
          <t>調査票＋量水器費</t>
        </is>
      </c>
      <c r="B91" s="50" t="inlineStr">
        <is>
          <t>損益計算書ベース</t>
        </is>
      </c>
      <c r="C91" s="50" t="n">
        <v>40</v>
      </c>
      <c r="D91" s="50" t="n">
        <v>20</v>
      </c>
      <c r="E91" s="50" t="n">
        <v>220195</v>
      </c>
      <c r="F91" s="50" t="n">
        <v>22038</v>
      </c>
      <c r="G91" s="50" t="inlineStr">
        <is>
          <t>調査票＋量水器費|損益計算書ベース|40|20</t>
        </is>
      </c>
    </row>
    <row r="92">
      <c r="A92" s="50" t="inlineStr">
        <is>
          <t>調査票＋量水器費</t>
        </is>
      </c>
      <c r="B92" s="50" t="inlineStr">
        <is>
          <t>損益計算書ベース</t>
        </is>
      </c>
      <c r="C92" s="50" t="n">
        <v>40</v>
      </c>
      <c r="D92" s="50" t="n">
        <v>25</v>
      </c>
      <c r="E92" s="50" t="n">
        <v>190021</v>
      </c>
      <c r="F92" s="50" t="n">
        <v>22038</v>
      </c>
      <c r="G92" s="50" t="inlineStr">
        <is>
          <t>調査票＋量水器費|損益計算書ベース|40|25</t>
        </is>
      </c>
    </row>
    <row r="93">
      <c r="A93" s="50" t="inlineStr">
        <is>
          <t>調査票＋量水器費</t>
        </is>
      </c>
      <c r="B93" s="50" t="inlineStr">
        <is>
          <t>損益計算書ベース</t>
        </is>
      </c>
      <c r="C93" s="50" t="n">
        <v>40</v>
      </c>
      <c r="D93" s="50" t="n">
        <v>30</v>
      </c>
      <c r="E93" s="50" t="n">
        <v>169905</v>
      </c>
      <c r="F93" s="50" t="n">
        <v>22038</v>
      </c>
      <c r="G93" s="50" t="inlineStr">
        <is>
          <t>調査票＋量水器費|損益計算書ベース|40|30</t>
        </is>
      </c>
    </row>
    <row r="94">
      <c r="A94" s="50" t="inlineStr">
        <is>
          <t>調査票＋量水器費</t>
        </is>
      </c>
      <c r="B94" s="50" t="inlineStr">
        <is>
          <t>損益計算書ベース</t>
        </is>
      </c>
      <c r="C94" s="50" t="n">
        <v>40</v>
      </c>
      <c r="D94" s="50" t="n">
        <v>38</v>
      </c>
      <c r="E94" s="50" t="n">
        <v>148730</v>
      </c>
      <c r="F94" s="50" t="n">
        <v>22038</v>
      </c>
      <c r="G94" s="50" t="inlineStr">
        <is>
          <t>調査票＋量水器費|損益計算書ベース|40|38</t>
        </is>
      </c>
    </row>
    <row r="95">
      <c r="A95" s="50" t="inlineStr">
        <is>
          <t>調査票＋量水器費</t>
        </is>
      </c>
      <c r="B95" s="50" t="inlineStr">
        <is>
          <t>損益計算書ベース</t>
        </is>
      </c>
      <c r="C95" s="50" t="n">
        <v>40</v>
      </c>
      <c r="D95" s="50" t="n">
        <v>40</v>
      </c>
      <c r="E95" s="50" t="n">
        <v>144760</v>
      </c>
      <c r="F95" s="50" t="n">
        <v>22038</v>
      </c>
      <c r="G95" s="50" t="inlineStr">
        <is>
          <t>調査票＋量水器費|損益計算書ベース|40|40</t>
        </is>
      </c>
    </row>
    <row r="96">
      <c r="A96" s="50" t="inlineStr">
        <is>
          <t>調査票＋量水器費</t>
        </is>
      </c>
      <c r="B96" s="50" t="inlineStr">
        <is>
          <t>固定資産台帳ベース</t>
        </is>
      </c>
      <c r="C96" s="50" t="n">
        <v>35</v>
      </c>
      <c r="D96" s="50" t="n">
        <v>15</v>
      </c>
      <c r="E96" s="50" t="n">
        <v>255203</v>
      </c>
      <c r="F96" s="50" t="n">
        <v>0</v>
      </c>
      <c r="G96" s="50" t="inlineStr">
        <is>
          <t>調査票＋量水器費|固定資産台帳ベース|35|15</t>
        </is>
      </c>
    </row>
    <row r="97">
      <c r="A97" s="50" t="inlineStr">
        <is>
          <t>調査票＋量水器費</t>
        </is>
      </c>
      <c r="B97" s="50" t="inlineStr">
        <is>
          <t>固定資産台帳ベース</t>
        </is>
      </c>
      <c r="C97" s="50" t="n">
        <v>35</v>
      </c>
      <c r="D97" s="50" t="n">
        <v>20</v>
      </c>
      <c r="E97" s="50" t="n">
        <v>204913</v>
      </c>
      <c r="F97" s="50" t="n">
        <v>0</v>
      </c>
      <c r="G97" s="50" t="inlineStr">
        <is>
          <t>調査票＋量水器費|固定資産台帳ベース|35|20</t>
        </is>
      </c>
    </row>
    <row r="98">
      <c r="A98" s="50" t="inlineStr">
        <is>
          <t>調査票＋量水器費</t>
        </is>
      </c>
      <c r="B98" s="50" t="inlineStr">
        <is>
          <t>固定資産台帳ベース</t>
        </is>
      </c>
      <c r="C98" s="50" t="n">
        <v>35</v>
      </c>
      <c r="D98" s="50" t="n">
        <v>25</v>
      </c>
      <c r="E98" s="50" t="n">
        <v>174739</v>
      </c>
      <c r="F98" s="50" t="n">
        <v>0</v>
      </c>
      <c r="G98" s="50" t="inlineStr">
        <is>
          <t>調査票＋量水器費|固定資産台帳ベース|35|25</t>
        </is>
      </c>
    </row>
    <row r="99">
      <c r="A99" s="50" t="inlineStr">
        <is>
          <t>調査票＋量水器費</t>
        </is>
      </c>
      <c r="B99" s="50" t="inlineStr">
        <is>
          <t>固定資産台帳ベース</t>
        </is>
      </c>
      <c r="C99" s="50" t="n">
        <v>35</v>
      </c>
      <c r="D99" s="50" t="n">
        <v>30</v>
      </c>
      <c r="E99" s="50" t="n">
        <v>154623</v>
      </c>
      <c r="F99" s="50" t="n">
        <v>0</v>
      </c>
      <c r="G99" s="50" t="inlineStr">
        <is>
          <t>調査票＋量水器費|固定資産台帳ベース|35|30</t>
        </is>
      </c>
    </row>
    <row r="100">
      <c r="A100" s="50" t="inlineStr">
        <is>
          <t>調査票＋量水器費</t>
        </is>
      </c>
      <c r="B100" s="50" t="inlineStr">
        <is>
          <t>固定資産台帳ベース</t>
        </is>
      </c>
      <c r="C100" s="50" t="n">
        <v>35</v>
      </c>
      <c r="D100" s="50" t="n">
        <v>38</v>
      </c>
      <c r="E100" s="50" t="n">
        <v>133448</v>
      </c>
      <c r="F100" s="50" t="n">
        <v>0</v>
      </c>
      <c r="G100" s="50" t="inlineStr">
        <is>
          <t>調査票＋量水器費|固定資産台帳ベース|35|38</t>
        </is>
      </c>
    </row>
    <row r="101">
      <c r="A101" s="50" t="inlineStr">
        <is>
          <t>調査票＋量水器費</t>
        </is>
      </c>
      <c r="B101" s="50" t="inlineStr">
        <is>
          <t>固定資産台帳ベース</t>
        </is>
      </c>
      <c r="C101" s="50" t="n">
        <v>35</v>
      </c>
      <c r="D101" s="50" t="n">
        <v>40</v>
      </c>
      <c r="E101" s="50" t="n">
        <v>129478</v>
      </c>
      <c r="F101" s="50" t="n">
        <v>0</v>
      </c>
      <c r="G101" s="50" t="inlineStr">
        <is>
          <t>調査票＋量水器費|固定資産台帳ベース|35|40</t>
        </is>
      </c>
    </row>
    <row r="102">
      <c r="A102" s="50" t="inlineStr">
        <is>
          <t>調査票＋量水器費</t>
        </is>
      </c>
      <c r="B102" s="50" t="inlineStr">
        <is>
          <t>固定資産台帳ベース</t>
        </is>
      </c>
      <c r="C102" s="50" t="n">
        <v>38</v>
      </c>
      <c r="D102" s="50" t="n">
        <v>15</v>
      </c>
      <c r="E102" s="50" t="n">
        <v>250936</v>
      </c>
      <c r="F102" s="50" t="n">
        <v>0</v>
      </c>
      <c r="G102" s="50" t="inlineStr">
        <is>
          <t>調査票＋量水器費|固定資産台帳ベース|38|15</t>
        </is>
      </c>
    </row>
    <row r="103">
      <c r="A103" s="50" t="inlineStr">
        <is>
          <t>調査票＋量水器費</t>
        </is>
      </c>
      <c r="B103" s="50" t="inlineStr">
        <is>
          <t>固定資産台帳ベース</t>
        </is>
      </c>
      <c r="C103" s="50" t="n">
        <v>38</v>
      </c>
      <c r="D103" s="50" t="n">
        <v>20</v>
      </c>
      <c r="E103" s="50" t="n">
        <v>200646</v>
      </c>
      <c r="F103" s="50" t="n">
        <v>0</v>
      </c>
      <c r="G103" s="50" t="inlineStr">
        <is>
          <t>調査票＋量水器費|固定資産台帳ベース|38|20</t>
        </is>
      </c>
    </row>
    <row r="104">
      <c r="A104" s="50" t="inlineStr">
        <is>
          <t>調査票＋量水器費</t>
        </is>
      </c>
      <c r="B104" s="50" t="inlineStr">
        <is>
          <t>固定資産台帳ベース</t>
        </is>
      </c>
      <c r="C104" s="50" t="n">
        <v>38</v>
      </c>
      <c r="D104" s="50" t="n">
        <v>25</v>
      </c>
      <c r="E104" s="50" t="n">
        <v>170472</v>
      </c>
      <c r="F104" s="50" t="n">
        <v>0</v>
      </c>
      <c r="G104" s="50" t="inlineStr">
        <is>
          <t>調査票＋量水器費|固定資産台帳ベース|38|25</t>
        </is>
      </c>
    </row>
    <row r="105">
      <c r="A105" s="50" t="inlineStr">
        <is>
          <t>調査票＋量水器費</t>
        </is>
      </c>
      <c r="B105" s="50" t="inlineStr">
        <is>
          <t>固定資産台帳ベース</t>
        </is>
      </c>
      <c r="C105" s="50" t="n">
        <v>38</v>
      </c>
      <c r="D105" s="50" t="n">
        <v>30</v>
      </c>
      <c r="E105" s="50" t="n">
        <v>150356</v>
      </c>
      <c r="F105" s="50" t="n">
        <v>0</v>
      </c>
      <c r="G105" s="50" t="inlineStr">
        <is>
          <t>調査票＋量水器費|固定資産台帳ベース|38|30</t>
        </is>
      </c>
    </row>
    <row r="106">
      <c r="A106" s="50" t="inlineStr">
        <is>
          <t>調査票＋量水器費</t>
        </is>
      </c>
      <c r="B106" s="50" t="inlineStr">
        <is>
          <t>固定資産台帳ベース</t>
        </is>
      </c>
      <c r="C106" s="50" t="n">
        <v>38</v>
      </c>
      <c r="D106" s="50" t="n">
        <v>38</v>
      </c>
      <c r="E106" s="50" t="n">
        <v>129182</v>
      </c>
      <c r="F106" s="50" t="n">
        <v>0</v>
      </c>
      <c r="G106" s="50" t="inlineStr">
        <is>
          <t>調査票＋量水器費|固定資産台帳ベース|38|38</t>
        </is>
      </c>
    </row>
    <row r="107">
      <c r="A107" s="50" t="inlineStr">
        <is>
          <t>調査票＋量水器費</t>
        </is>
      </c>
      <c r="B107" s="50" t="inlineStr">
        <is>
          <t>固定資産台帳ベース</t>
        </is>
      </c>
      <c r="C107" s="50" t="n">
        <v>38</v>
      </c>
      <c r="D107" s="50" t="n">
        <v>40</v>
      </c>
      <c r="E107" s="50" t="n">
        <v>125211</v>
      </c>
      <c r="F107" s="50" t="n">
        <v>0</v>
      </c>
      <c r="G107" s="50" t="inlineStr">
        <is>
          <t>調査票＋量水器費|固定資産台帳ベース|38|40</t>
        </is>
      </c>
    </row>
    <row r="108">
      <c r="A108" s="50" t="inlineStr">
        <is>
          <t>調査票＋量水器費</t>
        </is>
      </c>
      <c r="B108" s="50" t="inlineStr">
        <is>
          <t>固定資産台帳ベース</t>
        </is>
      </c>
      <c r="C108" s="50" t="n">
        <v>40</v>
      </c>
      <c r="D108" s="50" t="n">
        <v>15</v>
      </c>
      <c r="E108" s="50" t="n">
        <v>248448</v>
      </c>
      <c r="F108" s="50" t="n">
        <v>0</v>
      </c>
      <c r="G108" s="50" t="inlineStr">
        <is>
          <t>調査票＋量水器費|固定資産台帳ベース|40|15</t>
        </is>
      </c>
    </row>
    <row r="109">
      <c r="A109" s="50" t="inlineStr">
        <is>
          <t>調査票＋量水器費</t>
        </is>
      </c>
      <c r="B109" s="50" t="inlineStr">
        <is>
          <t>固定資産台帳ベース</t>
        </is>
      </c>
      <c r="C109" s="50" t="n">
        <v>40</v>
      </c>
      <c r="D109" s="50" t="n">
        <v>20</v>
      </c>
      <c r="E109" s="50" t="n">
        <v>198158</v>
      </c>
      <c r="F109" s="50" t="n">
        <v>0</v>
      </c>
      <c r="G109" s="50" t="inlineStr">
        <is>
          <t>調査票＋量水器費|固定資産台帳ベース|40|20</t>
        </is>
      </c>
    </row>
    <row r="110">
      <c r="A110" s="50" t="inlineStr">
        <is>
          <t>調査票＋量水器費</t>
        </is>
      </c>
      <c r="B110" s="50" t="inlineStr">
        <is>
          <t>固定資産台帳ベース</t>
        </is>
      </c>
      <c r="C110" s="50" t="n">
        <v>40</v>
      </c>
      <c r="D110" s="50" t="n">
        <v>25</v>
      </c>
      <c r="E110" s="50" t="n">
        <v>167984</v>
      </c>
      <c r="F110" s="50" t="n">
        <v>0</v>
      </c>
      <c r="G110" s="50" t="inlineStr">
        <is>
          <t>調査票＋量水器費|固定資産台帳ベース|40|25</t>
        </is>
      </c>
    </row>
    <row r="111">
      <c r="A111" s="50" t="inlineStr">
        <is>
          <t>調査票＋量水器費</t>
        </is>
      </c>
      <c r="B111" s="50" t="inlineStr">
        <is>
          <t>固定資産台帳ベース</t>
        </is>
      </c>
      <c r="C111" s="50" t="n">
        <v>40</v>
      </c>
      <c r="D111" s="50" t="n">
        <v>30</v>
      </c>
      <c r="E111" s="50" t="n">
        <v>147868</v>
      </c>
      <c r="F111" s="50" t="n">
        <v>0</v>
      </c>
      <c r="G111" s="50" t="inlineStr">
        <is>
          <t>調査票＋量水器費|固定資産台帳ベース|40|30</t>
        </is>
      </c>
    </row>
    <row r="112">
      <c r="A112" s="50" t="inlineStr">
        <is>
          <t>調査票＋量水器費</t>
        </is>
      </c>
      <c r="B112" s="50" t="inlineStr">
        <is>
          <t>固定資産台帳ベース</t>
        </is>
      </c>
      <c r="C112" s="50" t="n">
        <v>40</v>
      </c>
      <c r="D112" s="50" t="n">
        <v>38</v>
      </c>
      <c r="E112" s="50" t="n">
        <v>126693</v>
      </c>
      <c r="F112" s="50" t="n">
        <v>0</v>
      </c>
      <c r="G112" s="50" t="inlineStr">
        <is>
          <t>調査票＋量水器費|固定資産台帳ベース|40|38</t>
        </is>
      </c>
    </row>
    <row r="113">
      <c r="A113" s="50" t="inlineStr">
        <is>
          <t>調査票＋量水器費</t>
        </is>
      </c>
      <c r="B113" s="50" t="inlineStr">
        <is>
          <t>固定資産台帳ベース</t>
        </is>
      </c>
      <c r="C113" s="50" t="n">
        <v>40</v>
      </c>
      <c r="D113" s="50" t="n">
        <v>40</v>
      </c>
      <c r="E113" s="50" t="n">
        <v>122722</v>
      </c>
      <c r="F113" s="50" t="n">
        <v>0</v>
      </c>
      <c r="G113" s="50" t="inlineStr">
        <is>
          <t>調査票＋量水器費|固定資産台帳ベース|40|40</t>
        </is>
      </c>
    </row>
    <row r="116">
      <c r="A116" s="49" t="inlineStr">
        <is>
          <t>【支払利息・元金償還（新規債）R8〜R12 5年計・千円】</t>
        </is>
      </c>
    </row>
    <row r="117">
      <c r="A117" s="50" t="inlineStr">
        <is>
          <t>計画</t>
        </is>
      </c>
      <c r="B117" s="50" t="inlineStr">
        <is>
          <t>借入利率(％)</t>
        </is>
      </c>
      <c r="C117" s="50" t="inlineStr">
        <is>
          <t>償還条件</t>
        </is>
      </c>
      <c r="D117" s="50" t="inlineStr">
        <is>
          <t>支払利息</t>
        </is>
      </c>
      <c r="E117" s="50" t="inlineStr">
        <is>
          <t>元金償還</t>
        </is>
      </c>
      <c r="G117" s="50" t="inlineStr">
        <is>
          <t>照合キー</t>
        </is>
      </c>
    </row>
    <row r="118">
      <c r="A118" s="50" t="inlineStr">
        <is>
          <t>経営戦略の計画</t>
        </is>
      </c>
      <c r="B118" s="50" t="n">
        <v>2</v>
      </c>
      <c r="C118" s="50" t="inlineStr">
        <is>
          <t>経営戦略方式（40年・据置なし）</t>
        </is>
      </c>
      <c r="D118" s="50" t="n">
        <v>78800</v>
      </c>
      <c r="E118" s="50" t="n">
        <v>67850</v>
      </c>
      <c r="G118" s="50" t="inlineStr">
        <is>
          <t>経営戦略の計画|2.0|経営戦略方式（40年・据置なし）</t>
        </is>
      </c>
    </row>
    <row r="119">
      <c r="A119" s="50" t="inlineStr">
        <is>
          <t>経営戦略の計画</t>
        </is>
      </c>
      <c r="B119" s="50" t="n">
        <v>2</v>
      </c>
      <c r="C119" s="50" t="inlineStr">
        <is>
          <t>調査票方式（25/40年・据置3年）</t>
        </is>
      </c>
      <c r="D119" s="50" t="n">
        <v>80234</v>
      </c>
      <c r="E119" s="50" t="n">
        <v>7428</v>
      </c>
      <c r="G119" s="50" t="inlineStr">
        <is>
          <t>経営戦略の計画|2.0|調査票方式（25/40年・据置3年）</t>
        </is>
      </c>
    </row>
    <row r="120">
      <c r="A120" s="50" t="inlineStr">
        <is>
          <t>経営戦略の計画</t>
        </is>
      </c>
      <c r="B120" s="50" t="n">
        <v>2.1</v>
      </c>
      <c r="C120" s="50" t="inlineStr">
        <is>
          <t>経営戦略方式（40年・据置なし）</t>
        </is>
      </c>
      <c r="D120" s="50" t="n">
        <v>82772</v>
      </c>
      <c r="E120" s="50" t="n">
        <v>66462</v>
      </c>
      <c r="G120" s="50" t="inlineStr">
        <is>
          <t>経営戦略の計画|2.1|経営戦略方式（40年・据置なし）</t>
        </is>
      </c>
    </row>
    <row r="121">
      <c r="A121" s="50" t="inlineStr">
        <is>
          <t>経営戦略の計画</t>
        </is>
      </c>
      <c r="B121" s="50" t="n">
        <v>2.1</v>
      </c>
      <c r="C121" s="50" t="inlineStr">
        <is>
          <t>調査票方式（25/40年・据置3年）</t>
        </is>
      </c>
      <c r="D121" s="50" t="n">
        <v>84245</v>
      </c>
      <c r="E121" s="50" t="n">
        <v>7268</v>
      </c>
      <c r="G121" s="50" t="inlineStr">
        <is>
          <t>経営戦略の計画|2.1|調査票方式（25/40年・据置3年）</t>
        </is>
      </c>
    </row>
    <row r="122">
      <c r="A122" s="50" t="inlineStr">
        <is>
          <t>経営戦略の計画</t>
        </is>
      </c>
      <c r="B122" s="50" t="n">
        <v>2.2</v>
      </c>
      <c r="C122" s="50" t="inlineStr">
        <is>
          <t>経営戦略方式（40年・据置なし）</t>
        </is>
      </c>
      <c r="D122" s="50" t="n">
        <v>86746</v>
      </c>
      <c r="E122" s="50" t="n">
        <v>65096</v>
      </c>
      <c r="G122" s="50" t="inlineStr">
        <is>
          <t>経営戦略の計画|2.2|経営戦略方式（40年・据置なし）</t>
        </is>
      </c>
    </row>
    <row r="123">
      <c r="A123" s="50" t="inlineStr">
        <is>
          <t>経営戦略の計画</t>
        </is>
      </c>
      <c r="B123" s="50" t="n">
        <v>2.2</v>
      </c>
      <c r="C123" s="50" t="inlineStr">
        <is>
          <t>調査票方式（25/40年・据置3年）</t>
        </is>
      </c>
      <c r="D123" s="50" t="n">
        <v>88257</v>
      </c>
      <c r="E123" s="50" t="n">
        <v>7111</v>
      </c>
      <c r="G123" s="50" t="inlineStr">
        <is>
          <t>経営戦略の計画|2.2|調査票方式（25/40年・据置3年）</t>
        </is>
      </c>
    </row>
    <row r="124">
      <c r="A124" s="50" t="inlineStr">
        <is>
          <t>経営戦略の計画</t>
        </is>
      </c>
      <c r="B124" s="50" t="n">
        <v>2.3</v>
      </c>
      <c r="C124" s="50" t="inlineStr">
        <is>
          <t>経営戦略方式（40年・据置なし）</t>
        </is>
      </c>
      <c r="D124" s="50" t="n">
        <v>90722</v>
      </c>
      <c r="E124" s="50" t="n">
        <v>63752</v>
      </c>
      <c r="G124" s="50" t="inlineStr">
        <is>
          <t>経営戦略の計画|2.3|経営戦略方式（40年・据置なし）</t>
        </is>
      </c>
    </row>
    <row r="125">
      <c r="A125" s="50" t="inlineStr">
        <is>
          <t>経営戦略の計画</t>
        </is>
      </c>
      <c r="B125" s="50" t="n">
        <v>2.3</v>
      </c>
      <c r="C125" s="50" t="inlineStr">
        <is>
          <t>調査票方式（25/40年・据置3年）</t>
        </is>
      </c>
      <c r="D125" s="50" t="n">
        <v>92269</v>
      </c>
      <c r="E125" s="50" t="n">
        <v>6957</v>
      </c>
      <c r="G125" s="50" t="inlineStr">
        <is>
          <t>経営戦略の計画|2.3|調査票方式（25/40年・据置3年）</t>
        </is>
      </c>
    </row>
    <row r="126">
      <c r="A126" s="50" t="inlineStr">
        <is>
          <t>経営戦略の計画</t>
        </is>
      </c>
      <c r="B126" s="50" t="n">
        <v>2.4</v>
      </c>
      <c r="C126" s="50" t="inlineStr">
        <is>
          <t>経営戦略方式（40年・据置なし）</t>
        </is>
      </c>
      <c r="D126" s="50" t="n">
        <v>94701</v>
      </c>
      <c r="E126" s="50" t="n">
        <v>62429</v>
      </c>
      <c r="G126" s="50" t="inlineStr">
        <is>
          <t>経営戦略の計画|2.4|経営戦略方式（40年・据置なし）</t>
        </is>
      </c>
    </row>
    <row r="127">
      <c r="A127" s="50" t="inlineStr">
        <is>
          <t>経営戦略の計画</t>
        </is>
      </c>
      <c r="B127" s="50" t="n">
        <v>2.4</v>
      </c>
      <c r="C127" s="50" t="inlineStr">
        <is>
          <t>調査票方式（25/40年・据置3年）</t>
        </is>
      </c>
      <c r="D127" s="50" t="n">
        <v>96280</v>
      </c>
      <c r="E127" s="50" t="n">
        <v>6806</v>
      </c>
      <c r="G127" s="50" t="inlineStr">
        <is>
          <t>経営戦略の計画|2.4|調査票方式（25/40年・据置3年）</t>
        </is>
      </c>
    </row>
    <row r="128">
      <c r="A128" s="50" t="inlineStr">
        <is>
          <t>経営戦略の計画</t>
        </is>
      </c>
      <c r="B128" s="50" t="n">
        <v>2.5</v>
      </c>
      <c r="C128" s="50" t="inlineStr">
        <is>
          <t>経営戦略方式（40年・据置なし）</t>
        </is>
      </c>
      <c r="D128" s="50" t="n">
        <v>98682</v>
      </c>
      <c r="E128" s="50" t="n">
        <v>61128</v>
      </c>
      <c r="G128" s="50" t="inlineStr">
        <is>
          <t>経営戦略の計画|2.5|経営戦略方式（40年・据置なし）</t>
        </is>
      </c>
    </row>
    <row r="129">
      <c r="A129" s="50" t="inlineStr">
        <is>
          <t>経営戦略の計画</t>
        </is>
      </c>
      <c r="B129" s="50" t="n">
        <v>2.5</v>
      </c>
      <c r="C129" s="50" t="inlineStr">
        <is>
          <t>調査票方式（25/40年・据置3年）</t>
        </is>
      </c>
      <c r="D129" s="50" t="n">
        <v>100292</v>
      </c>
      <c r="E129" s="50" t="n">
        <v>6657</v>
      </c>
      <c r="G129" s="50" t="inlineStr">
        <is>
          <t>経営戦略の計画|2.5|調査票方式（25/40年・据置3年）</t>
        </is>
      </c>
    </row>
    <row r="130">
      <c r="A130" s="50" t="inlineStr">
        <is>
          <t>経営戦略の計画</t>
        </is>
      </c>
      <c r="B130" s="50" t="n">
        <v>2.6</v>
      </c>
      <c r="C130" s="50" t="inlineStr">
        <is>
          <t>経営戦略方式（40年・据置なし）</t>
        </is>
      </c>
      <c r="D130" s="50" t="n">
        <v>102665</v>
      </c>
      <c r="E130" s="50" t="n">
        <v>59848</v>
      </c>
      <c r="G130" s="50" t="inlineStr">
        <is>
          <t>経営戦略の計画|2.6|経営戦略方式（40年・据置なし）</t>
        </is>
      </c>
    </row>
    <row r="131">
      <c r="A131" s="50" t="inlineStr">
        <is>
          <t>経営戦略の計画</t>
        </is>
      </c>
      <c r="B131" s="50" t="n">
        <v>2.6</v>
      </c>
      <c r="C131" s="50" t="inlineStr">
        <is>
          <t>調査票方式（25/40年・据置3年）</t>
        </is>
      </c>
      <c r="D131" s="50" t="n">
        <v>104304</v>
      </c>
      <c r="E131" s="50" t="n">
        <v>6510</v>
      </c>
      <c r="G131" s="50" t="inlineStr">
        <is>
          <t>経営戦略の計画|2.6|調査票方式（25/40年・据置3年）</t>
        </is>
      </c>
    </row>
    <row r="132">
      <c r="A132" s="50" t="inlineStr">
        <is>
          <t>経営戦略の計画</t>
        </is>
      </c>
      <c r="B132" s="50" t="n">
        <v>2.7</v>
      </c>
      <c r="C132" s="50" t="inlineStr">
        <is>
          <t>経営戦略方式（40年・据置なし）</t>
        </is>
      </c>
      <c r="D132" s="50" t="n">
        <v>106651</v>
      </c>
      <c r="E132" s="50" t="n">
        <v>58589</v>
      </c>
      <c r="G132" s="50" t="inlineStr">
        <is>
          <t>経営戦略の計画|2.7|経営戦略方式（40年・据置なし）</t>
        </is>
      </c>
    </row>
    <row r="133">
      <c r="A133" s="50" t="inlineStr">
        <is>
          <t>経営戦略の計画</t>
        </is>
      </c>
      <c r="B133" s="50" t="n">
        <v>2.7</v>
      </c>
      <c r="C133" s="50" t="inlineStr">
        <is>
          <t>調査票方式（25/40年・据置3年）</t>
        </is>
      </c>
      <c r="D133" s="50" t="n">
        <v>108315</v>
      </c>
      <c r="E133" s="50" t="n">
        <v>6366</v>
      </c>
      <c r="G133" s="50" t="inlineStr">
        <is>
          <t>経営戦略の計画|2.7|調査票方式（25/40年・据置3年）</t>
        </is>
      </c>
    </row>
    <row r="134">
      <c r="A134" s="50" t="inlineStr">
        <is>
          <t>経営戦略の計画</t>
        </is>
      </c>
      <c r="B134" s="50" t="n">
        <v>2.8</v>
      </c>
      <c r="C134" s="50" t="inlineStr">
        <is>
          <t>経営戦略方式（40年・据置なし）</t>
        </is>
      </c>
      <c r="D134" s="50" t="n">
        <v>110638</v>
      </c>
      <c r="E134" s="50" t="n">
        <v>57350</v>
      </c>
      <c r="G134" s="50" t="inlineStr">
        <is>
          <t>経営戦略の計画|2.8|経営戦略方式（40年・据置なし）</t>
        </is>
      </c>
    </row>
    <row r="135">
      <c r="A135" s="50" t="inlineStr">
        <is>
          <t>経営戦略の計画</t>
        </is>
      </c>
      <c r="B135" s="50" t="n">
        <v>2.8</v>
      </c>
      <c r="C135" s="50" t="inlineStr">
        <is>
          <t>調査票方式（25/40年・据置3年）</t>
        </is>
      </c>
      <c r="D135" s="50" t="n">
        <v>112327</v>
      </c>
      <c r="E135" s="50" t="n">
        <v>6225</v>
      </c>
      <c r="G135" s="50" t="inlineStr">
        <is>
          <t>経営戦略の計画|2.8|調査票方式（25/40年・据置3年）</t>
        </is>
      </c>
    </row>
    <row r="136">
      <c r="A136" s="50" t="inlineStr">
        <is>
          <t>経営戦略の計画</t>
        </is>
      </c>
      <c r="B136" s="50" t="n">
        <v>2.9</v>
      </c>
      <c r="C136" s="50" t="inlineStr">
        <is>
          <t>経営戦略方式（40年・据置なし）</t>
        </is>
      </c>
      <c r="D136" s="50" t="n">
        <v>114628</v>
      </c>
      <c r="E136" s="50" t="n">
        <v>56133</v>
      </c>
      <c r="G136" s="50" t="inlineStr">
        <is>
          <t>経営戦略の計画|2.9|経営戦略方式（40年・据置なし）</t>
        </is>
      </c>
    </row>
    <row r="137">
      <c r="A137" s="50" t="inlineStr">
        <is>
          <t>経営戦略の計画</t>
        </is>
      </c>
      <c r="B137" s="50" t="n">
        <v>2.9</v>
      </c>
      <c r="C137" s="50" t="inlineStr">
        <is>
          <t>調査票方式（25/40年・据置3年）</t>
        </is>
      </c>
      <c r="D137" s="50" t="n">
        <v>116339</v>
      </c>
      <c r="E137" s="50" t="n">
        <v>6087</v>
      </c>
      <c r="G137" s="50" t="inlineStr">
        <is>
          <t>経営戦略の計画|2.9|調査票方式（25/40年・据置3年）</t>
        </is>
      </c>
    </row>
    <row r="138">
      <c r="A138" s="50" t="inlineStr">
        <is>
          <t>経営戦略の計画</t>
        </is>
      </c>
      <c r="B138" s="50" t="n">
        <v>3</v>
      </c>
      <c r="C138" s="50" t="inlineStr">
        <is>
          <t>経営戦略方式（40年・据置なし）</t>
        </is>
      </c>
      <c r="D138" s="50" t="n">
        <v>118619</v>
      </c>
      <c r="E138" s="50" t="n">
        <v>54936</v>
      </c>
      <c r="G138" s="50" t="inlineStr">
        <is>
          <t>経営戦略の計画|3.0|経営戦略方式（40年・据置なし）</t>
        </is>
      </c>
    </row>
    <row r="139">
      <c r="A139" s="50" t="inlineStr">
        <is>
          <t>経営戦略の計画</t>
        </is>
      </c>
      <c r="B139" s="50" t="n">
        <v>3</v>
      </c>
      <c r="C139" s="50" t="inlineStr">
        <is>
          <t>調査票方式（25/40年・据置3年）</t>
        </is>
      </c>
      <c r="D139" s="50" t="n">
        <v>120350</v>
      </c>
      <c r="E139" s="50" t="n">
        <v>5950</v>
      </c>
      <c r="G139" s="50" t="inlineStr">
        <is>
          <t>経営戦略の計画|3.0|調査票方式（25/40年・据置3年）</t>
        </is>
      </c>
    </row>
    <row r="140">
      <c r="A140" s="50" t="inlineStr">
        <is>
          <t>建設改良費調査票</t>
        </is>
      </c>
      <c r="B140" s="50" t="n">
        <v>2</v>
      </c>
      <c r="C140" s="50" t="inlineStr">
        <is>
          <t>経営戦略方式（40年・据置なし）</t>
        </is>
      </c>
      <c r="D140" s="50" t="n">
        <v>59149</v>
      </c>
      <c r="E140" s="50" t="n">
        <v>50928</v>
      </c>
      <c r="G140" s="50" t="inlineStr">
        <is>
          <t>建設改良費調査票|2.0|経営戦略方式（40年・据置なし）</t>
        </is>
      </c>
    </row>
    <row r="141">
      <c r="A141" s="50" t="inlineStr">
        <is>
          <t>建設改良費調査票</t>
        </is>
      </c>
      <c r="B141" s="50" t="n">
        <v>2</v>
      </c>
      <c r="C141" s="50" t="inlineStr">
        <is>
          <t>調査票方式（25/40年・据置3年）</t>
        </is>
      </c>
      <c r="D141" s="50" t="n">
        <v>60224</v>
      </c>
      <c r="E141" s="50" t="n">
        <v>6296</v>
      </c>
      <c r="G141" s="50" t="inlineStr">
        <is>
          <t>建設改良費調査票|2.0|調査票方式（25/40年・据置3年）</t>
        </is>
      </c>
    </row>
    <row r="142">
      <c r="A142" s="50" t="inlineStr">
        <is>
          <t>建設改良費調査票</t>
        </is>
      </c>
      <c r="B142" s="50" t="n">
        <v>2.1</v>
      </c>
      <c r="C142" s="50" t="inlineStr">
        <is>
          <t>経営戦略方式（40年・据置なし）</t>
        </is>
      </c>
      <c r="D142" s="50" t="n">
        <v>62130</v>
      </c>
      <c r="E142" s="50" t="n">
        <v>49886</v>
      </c>
      <c r="G142" s="50" t="inlineStr">
        <is>
          <t>建設改良費調査票|2.1|経営戦略方式（40年・据置なし）</t>
        </is>
      </c>
    </row>
    <row r="143">
      <c r="A143" s="50" t="inlineStr">
        <is>
          <t>建設改良費調査票</t>
        </is>
      </c>
      <c r="B143" s="50" t="n">
        <v>2.1</v>
      </c>
      <c r="C143" s="50" t="inlineStr">
        <is>
          <t>調査票方式（25/40年・据置3年）</t>
        </is>
      </c>
      <c r="D143" s="50" t="n">
        <v>63235</v>
      </c>
      <c r="E143" s="50" t="n">
        <v>6188</v>
      </c>
      <c r="G143" s="50" t="inlineStr">
        <is>
          <t>建設改良費調査票|2.1|調査票方式（25/40年・据置3年）</t>
        </is>
      </c>
    </row>
    <row r="144">
      <c r="A144" s="50" t="inlineStr">
        <is>
          <t>建設改良費調査票</t>
        </is>
      </c>
      <c r="B144" s="50" t="n">
        <v>2.2</v>
      </c>
      <c r="C144" s="50" t="inlineStr">
        <is>
          <t>経営戦略方式（40年・据置なし）</t>
        </is>
      </c>
      <c r="D144" s="50" t="n">
        <v>65113</v>
      </c>
      <c r="E144" s="50" t="n">
        <v>48861</v>
      </c>
      <c r="G144" s="50" t="inlineStr">
        <is>
          <t>建設改良費調査票|2.2|経営戦略方式（40年・据置なし）</t>
        </is>
      </c>
    </row>
    <row r="145">
      <c r="A145" s="50" t="inlineStr">
        <is>
          <t>建設改良費調査票</t>
        </is>
      </c>
      <c r="B145" s="50" t="n">
        <v>2.2</v>
      </c>
      <c r="C145" s="50" t="inlineStr">
        <is>
          <t>調査票方式（25/40年・据置3年）</t>
        </is>
      </c>
      <c r="D145" s="50" t="n">
        <v>66246</v>
      </c>
      <c r="E145" s="50" t="n">
        <v>6082</v>
      </c>
      <c r="G145" s="50" t="inlineStr">
        <is>
          <t>建設改良費調査票|2.2|調査票方式（25/40年・据置3年）</t>
        </is>
      </c>
    </row>
    <row r="146">
      <c r="A146" s="50" t="inlineStr">
        <is>
          <t>建設改良費調査票</t>
        </is>
      </c>
      <c r="B146" s="50" t="n">
        <v>2.3</v>
      </c>
      <c r="C146" s="50" t="inlineStr">
        <is>
          <t>経営戦略方式（40年・据置なし）</t>
        </is>
      </c>
      <c r="D146" s="50" t="n">
        <v>68098</v>
      </c>
      <c r="E146" s="50" t="n">
        <v>47852</v>
      </c>
      <c r="G146" s="50" t="inlineStr">
        <is>
          <t>建設改良費調査票|2.3|経営戦略方式（40年・据置なし）</t>
        </is>
      </c>
    </row>
    <row r="147">
      <c r="A147" s="50" t="inlineStr">
        <is>
          <t>建設改良費調査票</t>
        </is>
      </c>
      <c r="B147" s="50" t="n">
        <v>2.3</v>
      </c>
      <c r="C147" s="50" t="inlineStr">
        <is>
          <t>調査票方式（25/40年・据置3年）</t>
        </is>
      </c>
      <c r="D147" s="50" t="n">
        <v>69258</v>
      </c>
      <c r="E147" s="50" t="n">
        <v>5977</v>
      </c>
      <c r="G147" s="50" t="inlineStr">
        <is>
          <t>建設改良費調査票|2.3|調査票方式（25/40年・据置3年）</t>
        </is>
      </c>
    </row>
    <row r="148">
      <c r="A148" s="50" t="inlineStr">
        <is>
          <t>建設改良費調査票</t>
        </is>
      </c>
      <c r="B148" s="50" t="n">
        <v>2.4</v>
      </c>
      <c r="C148" s="50" t="inlineStr">
        <is>
          <t>経営戦略方式（40年・据置なし）</t>
        </is>
      </c>
      <c r="D148" s="50" t="n">
        <v>71084</v>
      </c>
      <c r="E148" s="50" t="n">
        <v>46859</v>
      </c>
      <c r="G148" s="50" t="inlineStr">
        <is>
          <t>建設改良費調査票|2.4|経営戦略方式（40年・据置なし）</t>
        </is>
      </c>
    </row>
    <row r="149">
      <c r="A149" s="50" t="inlineStr">
        <is>
          <t>建設改良費調査票</t>
        </is>
      </c>
      <c r="B149" s="50" t="n">
        <v>2.4</v>
      </c>
      <c r="C149" s="50" t="inlineStr">
        <is>
          <t>調査票方式（25/40年・据置3年）</t>
        </is>
      </c>
      <c r="D149" s="50" t="n">
        <v>72269</v>
      </c>
      <c r="E149" s="50" t="n">
        <v>5873</v>
      </c>
      <c r="G149" s="50" t="inlineStr">
        <is>
          <t>建設改良費調査票|2.4|調査票方式（25/40年・据置3年）</t>
        </is>
      </c>
    </row>
    <row r="150">
      <c r="A150" s="50" t="inlineStr">
        <is>
          <t>建設改良費調査票</t>
        </is>
      </c>
      <c r="B150" s="50" t="n">
        <v>2.5</v>
      </c>
      <c r="C150" s="50" t="inlineStr">
        <is>
          <t>経営戦略方式（40年・据置なし）</t>
        </is>
      </c>
      <c r="D150" s="50" t="n">
        <v>74073</v>
      </c>
      <c r="E150" s="50" t="n">
        <v>45882</v>
      </c>
      <c r="G150" s="50" t="inlineStr">
        <is>
          <t>建設改良費調査票|2.5|経営戦略方式（40年・据置なし）</t>
        </is>
      </c>
    </row>
    <row r="151">
      <c r="A151" s="50" t="inlineStr">
        <is>
          <t>建設改良費調査票</t>
        </is>
      </c>
      <c r="B151" s="50" t="n">
        <v>2.5</v>
      </c>
      <c r="C151" s="50" t="inlineStr">
        <is>
          <t>調査票方式（25/40年・据置3年）</t>
        </is>
      </c>
      <c r="D151" s="50" t="n">
        <v>75280</v>
      </c>
      <c r="E151" s="50" t="n">
        <v>5772</v>
      </c>
      <c r="G151" s="50" t="inlineStr">
        <is>
          <t>建設改良費調査票|2.5|調査票方式（25/40年・据置3年）</t>
        </is>
      </c>
    </row>
    <row r="152">
      <c r="A152" s="50" t="inlineStr">
        <is>
          <t>建設改良費調査票</t>
        </is>
      </c>
      <c r="B152" s="50" t="n">
        <v>2.6</v>
      </c>
      <c r="C152" s="50" t="inlineStr">
        <is>
          <t>経営戦略方式（40年・据置なし）</t>
        </is>
      </c>
      <c r="D152" s="50" t="n">
        <v>77063</v>
      </c>
      <c r="E152" s="50" t="n">
        <v>44921</v>
      </c>
      <c r="G152" s="50" t="inlineStr">
        <is>
          <t>建設改良費調査票|2.6|経営戦略方式（40年・据置なし）</t>
        </is>
      </c>
    </row>
    <row r="153">
      <c r="A153" s="50" t="inlineStr">
        <is>
          <t>建設改良費調査票</t>
        </is>
      </c>
      <c r="B153" s="50" t="n">
        <v>2.6</v>
      </c>
      <c r="C153" s="50" t="inlineStr">
        <is>
          <t>調査票方式（25/40年・据置3年）</t>
        </is>
      </c>
      <c r="D153" s="50" t="n">
        <v>78291</v>
      </c>
      <c r="E153" s="50" t="n">
        <v>5671</v>
      </c>
      <c r="G153" s="50" t="inlineStr">
        <is>
          <t>建設改良費調査票|2.6|調査票方式（25/40年・据置3年）</t>
        </is>
      </c>
    </row>
    <row r="154">
      <c r="A154" s="50" t="inlineStr">
        <is>
          <t>建設改良費調査票</t>
        </is>
      </c>
      <c r="B154" s="50" t="n">
        <v>2.7</v>
      </c>
      <c r="C154" s="50" t="inlineStr">
        <is>
          <t>経営戦略方式（40年・据置なし）</t>
        </is>
      </c>
      <c r="D154" s="50" t="n">
        <v>80054</v>
      </c>
      <c r="E154" s="50" t="n">
        <v>43976</v>
      </c>
      <c r="G154" s="50" t="inlineStr">
        <is>
          <t>建設改良費調査票|2.7|経営戦略方式（40年・据置なし）</t>
        </is>
      </c>
    </row>
    <row r="155">
      <c r="A155" s="50" t="inlineStr">
        <is>
          <t>建設改良費調査票</t>
        </is>
      </c>
      <c r="B155" s="50" t="n">
        <v>2.7</v>
      </c>
      <c r="C155" s="50" t="inlineStr">
        <is>
          <t>調査票方式（25/40年・据置3年）</t>
        </is>
      </c>
      <c r="D155" s="50" t="n">
        <v>81302</v>
      </c>
      <c r="E155" s="50" t="n">
        <v>5573</v>
      </c>
      <c r="G155" s="50" t="inlineStr">
        <is>
          <t>建設改良費調査票|2.7|調査票方式（25/40年・据置3年）</t>
        </is>
      </c>
    </row>
    <row r="156">
      <c r="A156" s="50" t="inlineStr">
        <is>
          <t>建設改良費調査票</t>
        </is>
      </c>
      <c r="B156" s="50" t="n">
        <v>2.8</v>
      </c>
      <c r="C156" s="50" t="inlineStr">
        <is>
          <t>経営戦略方式（40年・据置なし）</t>
        </is>
      </c>
      <c r="D156" s="50" t="n">
        <v>83047</v>
      </c>
      <c r="E156" s="50" t="n">
        <v>43047</v>
      </c>
      <c r="G156" s="50" t="inlineStr">
        <is>
          <t>建設改良費調査票|2.8|経営戦略方式（40年・据置なし）</t>
        </is>
      </c>
    </row>
    <row r="157">
      <c r="A157" s="50" t="inlineStr">
        <is>
          <t>建設改良費調査票</t>
        </is>
      </c>
      <c r="B157" s="50" t="n">
        <v>2.8</v>
      </c>
      <c r="C157" s="50" t="inlineStr">
        <is>
          <t>調査票方式（25/40年・据置3年）</t>
        </is>
      </c>
      <c r="D157" s="50" t="n">
        <v>84314</v>
      </c>
      <c r="E157" s="50" t="n">
        <v>5475</v>
      </c>
      <c r="G157" s="50" t="inlineStr">
        <is>
          <t>建設改良費調査票|2.8|調査票方式（25/40年・据置3年）</t>
        </is>
      </c>
    </row>
    <row r="158">
      <c r="A158" s="50" t="inlineStr">
        <is>
          <t>建設改良費調査票</t>
        </is>
      </c>
      <c r="B158" s="50" t="n">
        <v>2.9</v>
      </c>
      <c r="C158" s="50" t="inlineStr">
        <is>
          <t>経営戦略方式（40年・据置なし）</t>
        </is>
      </c>
      <c r="D158" s="50" t="n">
        <v>86042</v>
      </c>
      <c r="E158" s="50" t="n">
        <v>42133</v>
      </c>
      <c r="G158" s="50" t="inlineStr">
        <is>
          <t>建設改良費調査票|2.9|経営戦略方式（40年・据置なし）</t>
        </is>
      </c>
    </row>
    <row r="159">
      <c r="A159" s="50" t="inlineStr">
        <is>
          <t>建設改良費調査票</t>
        </is>
      </c>
      <c r="B159" s="50" t="n">
        <v>2.9</v>
      </c>
      <c r="C159" s="50" t="inlineStr">
        <is>
          <t>調査票方式（25/40年・据置3年）</t>
        </is>
      </c>
      <c r="D159" s="50" t="n">
        <v>87325</v>
      </c>
      <c r="E159" s="50" t="n">
        <v>5380</v>
      </c>
      <c r="G159" s="50" t="inlineStr">
        <is>
          <t>建設改良費調査票|2.9|調査票方式（25/40年・据置3年）</t>
        </is>
      </c>
    </row>
    <row r="160">
      <c r="A160" s="50" t="inlineStr">
        <is>
          <t>建設改良費調査票</t>
        </is>
      </c>
      <c r="B160" s="50" t="n">
        <v>3</v>
      </c>
      <c r="C160" s="50" t="inlineStr">
        <is>
          <t>経営戦略方式（40年・据置なし）</t>
        </is>
      </c>
      <c r="D160" s="50" t="n">
        <v>89038</v>
      </c>
      <c r="E160" s="50" t="n">
        <v>41234</v>
      </c>
      <c r="G160" s="50" t="inlineStr">
        <is>
          <t>建設改良費調査票|3.0|経営戦略方式（40年・据置なし）</t>
        </is>
      </c>
    </row>
    <row r="161">
      <c r="A161" s="50" t="inlineStr">
        <is>
          <t>建設改良費調査票</t>
        </is>
      </c>
      <c r="B161" s="50" t="n">
        <v>3</v>
      </c>
      <c r="C161" s="50" t="inlineStr">
        <is>
          <t>調査票方式（25/40年・据置3年）</t>
        </is>
      </c>
      <c r="D161" s="50" t="n">
        <v>90336</v>
      </c>
      <c r="E161" s="50" t="n">
        <v>5285</v>
      </c>
      <c r="G161" s="50" t="inlineStr">
        <is>
          <t>建設改良費調査票|3.0|調査票方式（25/40年・据置3年）</t>
        </is>
      </c>
    </row>
    <row r="162">
      <c r="A162" s="50" t="inlineStr">
        <is>
          <t>調査票＋量水器費</t>
        </is>
      </c>
      <c r="B162" s="50" t="n">
        <v>2</v>
      </c>
      <c r="C162" s="50" t="inlineStr">
        <is>
          <t>経営戦略方式（40年・据置なし）</t>
        </is>
      </c>
      <c r="D162" s="50" t="n">
        <v>62682</v>
      </c>
      <c r="E162" s="50" t="n">
        <v>53975</v>
      </c>
      <c r="G162" s="50" t="inlineStr">
        <is>
          <t>調査票＋量水器費|2.0|経営戦略方式（40年・据置なし）</t>
        </is>
      </c>
    </row>
    <row r="163">
      <c r="A163" s="50" t="inlineStr">
        <is>
          <t>調査票＋量水器費</t>
        </is>
      </c>
      <c r="B163" s="50" t="n">
        <v>2</v>
      </c>
      <c r="C163" s="50" t="inlineStr">
        <is>
          <t>調査票方式（25/40年・据置3年）</t>
        </is>
      </c>
      <c r="D163" s="50" t="n">
        <v>63824</v>
      </c>
      <c r="E163" s="50" t="n">
        <v>6627</v>
      </c>
      <c r="G163" s="50" t="inlineStr">
        <is>
          <t>調査票＋量水器費|2.0|調査票方式（25/40年・据置3年）</t>
        </is>
      </c>
    </row>
    <row r="164">
      <c r="A164" s="50" t="inlineStr">
        <is>
          <t>調査票＋量水器費</t>
        </is>
      </c>
      <c r="B164" s="50" t="n">
        <v>2.1</v>
      </c>
      <c r="C164" s="50" t="inlineStr">
        <is>
          <t>経営戦略方式（40年・据置なし）</t>
        </is>
      </c>
      <c r="D164" s="50" t="n">
        <v>65841</v>
      </c>
      <c r="E164" s="50" t="n">
        <v>52871</v>
      </c>
      <c r="G164" s="50" t="inlineStr">
        <is>
          <t>調査票＋量水器費|2.1|経営戦略方式（40年・据置なし）</t>
        </is>
      </c>
    </row>
    <row r="165">
      <c r="A165" s="50" t="inlineStr">
        <is>
          <t>調査票＋量水器費</t>
        </is>
      </c>
      <c r="B165" s="50" t="n">
        <v>2.1</v>
      </c>
      <c r="C165" s="50" t="inlineStr">
        <is>
          <t>調査票方式（25/40年・据置3年）</t>
        </is>
      </c>
      <c r="D165" s="50" t="n">
        <v>67015</v>
      </c>
      <c r="E165" s="50" t="n">
        <v>6512</v>
      </c>
      <c r="G165" s="50" t="inlineStr">
        <is>
          <t>調査票＋量水器費|2.1|調査票方式（25/40年・据置3年）</t>
        </is>
      </c>
    </row>
    <row r="166">
      <c r="A166" s="50" t="inlineStr">
        <is>
          <t>調査票＋量水器費</t>
        </is>
      </c>
      <c r="B166" s="50" t="n">
        <v>2.2</v>
      </c>
      <c r="C166" s="50" t="inlineStr">
        <is>
          <t>経営戦略方式（40年・据置なし）</t>
        </is>
      </c>
      <c r="D166" s="50" t="n">
        <v>69003</v>
      </c>
      <c r="E166" s="50" t="n">
        <v>51785</v>
      </c>
      <c r="G166" s="50" t="inlineStr">
        <is>
          <t>調査票＋量水器費|2.2|経営戦略方式（40年・据置なし）</t>
        </is>
      </c>
    </row>
    <row r="167">
      <c r="A167" s="50" t="inlineStr">
        <is>
          <t>調査票＋量水器費</t>
        </is>
      </c>
      <c r="B167" s="50" t="n">
        <v>2.2</v>
      </c>
      <c r="C167" s="50" t="inlineStr">
        <is>
          <t>調査票方式（25/40年・据置3年）</t>
        </is>
      </c>
      <c r="D167" s="50" t="n">
        <v>70206</v>
      </c>
      <c r="E167" s="50" t="n">
        <v>6399</v>
      </c>
      <c r="G167" s="50" t="inlineStr">
        <is>
          <t>調査票＋量水器費|2.2|調査票方式（25/40年・据置3年）</t>
        </is>
      </c>
    </row>
    <row r="168">
      <c r="A168" s="50" t="inlineStr">
        <is>
          <t>調査票＋量水器費</t>
        </is>
      </c>
      <c r="B168" s="50" t="n">
        <v>2.3</v>
      </c>
      <c r="C168" s="50" t="inlineStr">
        <is>
          <t>経営戦略方式（40年・据置なし）</t>
        </is>
      </c>
      <c r="D168" s="50" t="n">
        <v>72166</v>
      </c>
      <c r="E168" s="50" t="n">
        <v>50715</v>
      </c>
      <c r="G168" s="50" t="inlineStr">
        <is>
          <t>調査票＋量水器費|2.3|経営戦略方式（40年・据置なし）</t>
        </is>
      </c>
    </row>
    <row r="169">
      <c r="A169" s="50" t="inlineStr">
        <is>
          <t>調査票＋量水器費</t>
        </is>
      </c>
      <c r="B169" s="50" t="n">
        <v>2.3</v>
      </c>
      <c r="C169" s="50" t="inlineStr">
        <is>
          <t>調査票方式（25/40年・据置3年）</t>
        </is>
      </c>
      <c r="D169" s="50" t="n">
        <v>73398</v>
      </c>
      <c r="E169" s="50" t="n">
        <v>6287</v>
      </c>
      <c r="G169" s="50" t="inlineStr">
        <is>
          <t>調査票＋量水器費|2.3|調査票方式（25/40年・据置3年）</t>
        </is>
      </c>
    </row>
    <row r="170">
      <c r="A170" s="50" t="inlineStr">
        <is>
          <t>調査票＋量水器費</t>
        </is>
      </c>
      <c r="B170" s="50" t="n">
        <v>2.4</v>
      </c>
      <c r="C170" s="50" t="inlineStr">
        <is>
          <t>経営戦略方式（40年・据置なし）</t>
        </is>
      </c>
      <c r="D170" s="50" t="n">
        <v>75331</v>
      </c>
      <c r="E170" s="50" t="n">
        <v>49663</v>
      </c>
      <c r="G170" s="50" t="inlineStr">
        <is>
          <t>調査票＋量水器費|2.4|経営戦略方式（40年・据置なし）</t>
        </is>
      </c>
    </row>
    <row r="171">
      <c r="A171" s="50" t="inlineStr">
        <is>
          <t>調査票＋量水器費</t>
        </is>
      </c>
      <c r="B171" s="50" t="n">
        <v>2.4</v>
      </c>
      <c r="C171" s="50" t="inlineStr">
        <is>
          <t>調査票方式（25/40年・据置3年）</t>
        </is>
      </c>
      <c r="D171" s="50" t="n">
        <v>76589</v>
      </c>
      <c r="E171" s="50" t="n">
        <v>6177</v>
      </c>
      <c r="G171" s="50" t="inlineStr">
        <is>
          <t>調査票＋量水器費|2.4|調査票方式（25/40年・据置3年）</t>
        </is>
      </c>
    </row>
    <row r="172">
      <c r="A172" s="50" t="inlineStr">
        <is>
          <t>調査票＋量水器費</t>
        </is>
      </c>
      <c r="B172" s="50" t="n">
        <v>2.5</v>
      </c>
      <c r="C172" s="50" t="inlineStr">
        <is>
          <t>経営戦略方式（40年・据置なし）</t>
        </is>
      </c>
      <c r="D172" s="50" t="n">
        <v>78498</v>
      </c>
      <c r="E172" s="50" t="n">
        <v>48628</v>
      </c>
      <c r="G172" s="50" t="inlineStr">
        <is>
          <t>調査票＋量水器費|2.5|経営戦略方式（40年・据置なし）</t>
        </is>
      </c>
    </row>
    <row r="173">
      <c r="A173" s="50" t="inlineStr">
        <is>
          <t>調査票＋量水器費</t>
        </is>
      </c>
      <c r="B173" s="50" t="n">
        <v>2.5</v>
      </c>
      <c r="C173" s="50" t="inlineStr">
        <is>
          <t>調査票方式（25/40年・据置3年）</t>
        </is>
      </c>
      <c r="D173" s="50" t="n">
        <v>79780</v>
      </c>
      <c r="E173" s="50" t="n">
        <v>6068</v>
      </c>
      <c r="G173" s="50" t="inlineStr">
        <is>
          <t>調査票＋量水器費|2.5|調査票方式（25/40年・据置3年）</t>
        </is>
      </c>
    </row>
    <row r="174">
      <c r="A174" s="50" t="inlineStr">
        <is>
          <t>調査票＋量水器費</t>
        </is>
      </c>
      <c r="B174" s="50" t="n">
        <v>2.6</v>
      </c>
      <c r="C174" s="50" t="inlineStr">
        <is>
          <t>経営戦略方式（40年・据置なし）</t>
        </is>
      </c>
      <c r="D174" s="50" t="n">
        <v>81666</v>
      </c>
      <c r="E174" s="50" t="n">
        <v>47609</v>
      </c>
      <c r="G174" s="50" t="inlineStr">
        <is>
          <t>調査票＋量水器費|2.6|経営戦略方式（40年・据置なし）</t>
        </is>
      </c>
    </row>
    <row r="175">
      <c r="A175" s="50" t="inlineStr">
        <is>
          <t>調査票＋量水器費</t>
        </is>
      </c>
      <c r="B175" s="50" t="n">
        <v>2.6</v>
      </c>
      <c r="C175" s="50" t="inlineStr">
        <is>
          <t>調査票方式（25/40年・据置3年）</t>
        </is>
      </c>
      <c r="D175" s="50" t="n">
        <v>82971</v>
      </c>
      <c r="E175" s="50" t="n">
        <v>5962</v>
      </c>
      <c r="G175" s="50" t="inlineStr">
        <is>
          <t>調査票＋量水器費|2.6|調査票方式（25/40年・据置3年）</t>
        </is>
      </c>
    </row>
    <row r="176">
      <c r="A176" s="50" t="inlineStr">
        <is>
          <t>調査票＋量水器費</t>
        </is>
      </c>
      <c r="B176" s="50" t="n">
        <v>2.7</v>
      </c>
      <c r="C176" s="50" t="inlineStr">
        <is>
          <t>経営戦略方式（40年・据置なし）</t>
        </is>
      </c>
      <c r="D176" s="50" t="n">
        <v>84836</v>
      </c>
      <c r="E176" s="50" t="n">
        <v>46608</v>
      </c>
      <c r="G176" s="50" t="inlineStr">
        <is>
          <t>調査票＋量水器費|2.7|経営戦略方式（40年・据置なし）</t>
        </is>
      </c>
    </row>
    <row r="177">
      <c r="A177" s="50" t="inlineStr">
        <is>
          <t>調査票＋量水器費</t>
        </is>
      </c>
      <c r="B177" s="50" t="n">
        <v>2.7</v>
      </c>
      <c r="C177" s="50" t="inlineStr">
        <is>
          <t>調査票方式（25/40年・据置3年）</t>
        </is>
      </c>
      <c r="D177" s="50" t="n">
        <v>86162</v>
      </c>
      <c r="E177" s="50" t="n">
        <v>5856</v>
      </c>
      <c r="G177" s="50" t="inlineStr">
        <is>
          <t>調査票＋量水器費|2.7|調査票方式（25/40年・据置3年）</t>
        </is>
      </c>
    </row>
    <row r="178">
      <c r="A178" s="50" t="inlineStr">
        <is>
          <t>調査票＋量水器費</t>
        </is>
      </c>
      <c r="B178" s="50" t="n">
        <v>2.8</v>
      </c>
      <c r="C178" s="50" t="inlineStr">
        <is>
          <t>経営戦略方式（40年・据置なし）</t>
        </is>
      </c>
      <c r="D178" s="50" t="n">
        <v>88008</v>
      </c>
      <c r="E178" s="50" t="n">
        <v>45623</v>
      </c>
      <c r="G178" s="50" t="inlineStr">
        <is>
          <t>調査票＋量水器費|2.8|経営戦略方式（40年・据置なし）</t>
        </is>
      </c>
    </row>
    <row r="179">
      <c r="A179" s="50" t="inlineStr">
        <is>
          <t>調査票＋量水器費</t>
        </is>
      </c>
      <c r="B179" s="50" t="n">
        <v>2.8</v>
      </c>
      <c r="C179" s="50" t="inlineStr">
        <is>
          <t>調査票方式（25/40年・据置3年）</t>
        </is>
      </c>
      <c r="D179" s="50" t="n">
        <v>89354</v>
      </c>
      <c r="E179" s="50" t="n">
        <v>5753</v>
      </c>
      <c r="G179" s="50" t="inlineStr">
        <is>
          <t>調査票＋量水器費|2.8|調査票方式（25/40年・据置3年）</t>
        </is>
      </c>
    </row>
    <row r="180">
      <c r="A180" s="50" t="inlineStr">
        <is>
          <t>調査票＋量水器費</t>
        </is>
      </c>
      <c r="B180" s="50" t="n">
        <v>2.9</v>
      </c>
      <c r="C180" s="50" t="inlineStr">
        <is>
          <t>経営戦略方式（40年・据置なし）</t>
        </is>
      </c>
      <c r="D180" s="50" t="n">
        <v>91182</v>
      </c>
      <c r="E180" s="50" t="n">
        <v>44654</v>
      </c>
      <c r="G180" s="50" t="inlineStr">
        <is>
          <t>調査票＋量水器費|2.9|経営戦略方式（40年・据置なし）</t>
        </is>
      </c>
    </row>
    <row r="181">
      <c r="A181" s="50" t="inlineStr">
        <is>
          <t>調査票＋量水器費</t>
        </is>
      </c>
      <c r="B181" s="50" t="n">
        <v>2.9</v>
      </c>
      <c r="C181" s="50" t="inlineStr">
        <is>
          <t>調査票方式（25/40年・据置3年）</t>
        </is>
      </c>
      <c r="D181" s="50" t="n">
        <v>92545</v>
      </c>
      <c r="E181" s="50" t="n">
        <v>5651</v>
      </c>
      <c r="G181" s="50" t="inlineStr">
        <is>
          <t>調査票＋量水器費|2.9|調査票方式（25/40年・据置3年）</t>
        </is>
      </c>
    </row>
    <row r="182">
      <c r="A182" s="50" t="inlineStr">
        <is>
          <t>調査票＋量水器費</t>
        </is>
      </c>
      <c r="B182" s="50" t="n">
        <v>3</v>
      </c>
      <c r="C182" s="50" t="inlineStr">
        <is>
          <t>経営戦略方式（40年・据置なし）</t>
        </is>
      </c>
      <c r="D182" s="50" t="n">
        <v>94357</v>
      </c>
      <c r="E182" s="50" t="n">
        <v>43702</v>
      </c>
      <c r="G182" s="50" t="inlineStr">
        <is>
          <t>調査票＋量水器費|3.0|経営戦略方式（40年・据置なし）</t>
        </is>
      </c>
    </row>
    <row r="183">
      <c r="A183" s="50" t="inlineStr">
        <is>
          <t>調査票＋量水器費</t>
        </is>
      </c>
      <c r="B183" s="50" t="n">
        <v>3</v>
      </c>
      <c r="C183" s="50" t="inlineStr">
        <is>
          <t>調査票方式（25/40年・据置3年）</t>
        </is>
      </c>
      <c r="D183" s="50" t="n">
        <v>95736</v>
      </c>
      <c r="E183" s="50" t="n">
        <v>5550</v>
      </c>
      <c r="G183" s="50" t="inlineStr">
        <is>
          <t>調査票＋量水器費|3.0|調査票方式（25/40年・据置3年）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4" customWidth="1" min="4" max="4"/>
    <col width="70" customWidth="1" min="5" max="5"/>
  </cols>
  <sheetData>
    <row r="1" ht="22" customHeight="1">
      <c r="A1" s="20" t="inlineStr">
        <is>
          <t>固定値の出所</t>
        </is>
      </c>
      <c r="B1" s="2" t="n"/>
      <c r="C1" s="2" t="n"/>
      <c r="D1" s="2" t="n"/>
      <c r="E1" s="2" t="n"/>
    </row>
    <row r="4" ht="26" customHeight="1">
      <c r="A4" s="21" t="inlineStr"/>
      <c r="B4" s="21" t="inlineStr">
        <is>
          <t>項目</t>
        </is>
      </c>
      <c r="C4" s="21" t="inlineStr">
        <is>
          <t>値（千円）</t>
        </is>
      </c>
      <c r="D4" s="21" t="inlineStr"/>
      <c r="E4" s="21" t="inlineStr">
        <is>
          <t>出所・注意</t>
        </is>
      </c>
    </row>
    <row r="5">
      <c r="B5" s="23" t="inlineStr">
        <is>
          <t>維持管理費（基礎）</t>
        </is>
      </c>
      <c r="C5" s="37" t="n">
        <v>672327</v>
      </c>
      <c r="E5" s="9" t="inlineStr">
        <is>
          <t>経営戦略の財政シミュレーション</t>
        </is>
      </c>
    </row>
    <row r="6">
      <c r="B6" s="23" t="inlineStr">
        <is>
          <t xml:space="preserve">　動力費・薬品費の補正</t>
        </is>
      </c>
      <c r="C6" s="37" t="n">
        <v>47167</v>
      </c>
      <c r="E6" s="9" t="inlineStr">
        <is>
          <t>1年分の費用を10年間の水量で割る誤りの補正。R8〜R12の5年計</t>
        </is>
      </c>
    </row>
    <row r="7">
      <c r="B7" s="23" t="inlineStr">
        <is>
          <t>既存資産の償却費（接続）</t>
        </is>
      </c>
      <c r="C7" s="37" t="n">
        <v>1855337</v>
      </c>
      <c r="E7" s="9" t="inlineStr">
        <is>
          <t>R6末取得資産1,822,881＋R7取得資産32,456</t>
        </is>
      </c>
    </row>
    <row r="8">
      <c r="B8" s="23" t="inlineStr">
        <is>
          <t>既存資産の償却費（差引方式）</t>
        </is>
      </c>
      <c r="C8" s="37" t="n">
        <v>1814019</v>
      </c>
      <c r="E8" s="9" t="inlineStr">
        <is>
          <t>2,032,440−218,421。改訂前の算定で41,318千円不足</t>
        </is>
      </c>
    </row>
    <row r="9">
      <c r="B9" s="23" t="inlineStr">
        <is>
          <t>支払利息（既往債）</t>
        </is>
      </c>
      <c r="C9" s="37" t="n">
        <v>50585</v>
      </c>
      <c r="E9" s="9" t="inlineStr">
        <is>
          <t>経営戦略</t>
        </is>
      </c>
    </row>
    <row r="10">
      <c r="B10" s="23" t="inlineStr">
        <is>
          <t>支払利息（新規債の既往計画分）</t>
        </is>
      </c>
      <c r="C10" s="37" t="n">
        <v>44630</v>
      </c>
      <c r="E10" s="9" t="inlineStr">
        <is>
          <t>経営戦略</t>
        </is>
      </c>
    </row>
    <row r="11">
      <c r="B11" s="23" t="inlineStr">
        <is>
          <t>長期前受金戻入益（既往分）</t>
        </is>
      </c>
      <c r="C11" s="37" t="n">
        <v>1542259</v>
      </c>
      <c r="E11" s="9" t="inlineStr">
        <is>
          <t>経営戦略の実額</t>
        </is>
      </c>
    </row>
    <row r="12">
      <c r="B12" s="23" t="inlineStr">
        <is>
          <t>他会計補助金</t>
        </is>
      </c>
      <c r="C12" s="37" t="n">
        <v>272997</v>
      </c>
      <c r="E12" s="51" t="inlineStr">
        <is>
          <t>★繰出基準に基づく区分は町に未確認</t>
        </is>
      </c>
    </row>
    <row r="13">
      <c r="B13" s="23" t="inlineStr">
        <is>
          <t xml:space="preserve">　補助金</t>
        </is>
      </c>
      <c r="C13" s="37" t="n">
        <v>419000</v>
      </c>
      <c r="E13" s="9" t="inlineStr">
        <is>
          <t>算定根拠が確認できないため既定では控除しない</t>
        </is>
      </c>
    </row>
    <row r="14">
      <c r="B14" s="23" t="inlineStr">
        <is>
          <t>その他営業収益・受取利息等</t>
        </is>
      </c>
      <c r="C14" s="37" t="n">
        <v>26494</v>
      </c>
      <c r="E14" s="9" t="inlineStr">
        <is>
          <t>経営戦略の原価計算表は控除していない</t>
        </is>
      </c>
    </row>
    <row r="15">
      <c r="B15" s="23" t="inlineStr">
        <is>
          <t>雑支出</t>
        </is>
      </c>
      <c r="C15" s="37" t="n">
        <v>36696</v>
      </c>
      <c r="E15" s="9" t="inlineStr">
        <is>
          <t>経営戦略の原価計算表は算入していない</t>
        </is>
      </c>
    </row>
    <row r="16">
      <c r="B16" s="23" t="inlineStr">
        <is>
          <t>対象資産（期首期末平均）</t>
        </is>
      </c>
      <c r="C16" s="37" t="n">
        <v>896312</v>
      </c>
      <c r="E16" s="51" t="inlineStr">
        <is>
          <t>★平成31年度末の残高に由来する推計値</t>
        </is>
      </c>
    </row>
    <row r="17">
      <c r="B17" s="23" t="inlineStr">
        <is>
          <t>対象資産（期首の帳簿価額）</t>
        </is>
      </c>
      <c r="C17" s="37" t="n">
        <v>1042625</v>
      </c>
      <c r="E17" s="51" t="inlineStr">
        <is>
          <t>★同上</t>
        </is>
      </c>
    </row>
    <row r="18">
      <c r="B18" s="23" t="inlineStr">
        <is>
          <t>固定資産台帳ベースの既存償却費（年）</t>
        </is>
      </c>
      <c r="C18" s="37" t="n">
        <v>32188</v>
      </c>
      <c r="E18" s="9" t="inlineStr">
        <is>
          <t>経営戦略</t>
        </is>
      </c>
    </row>
    <row r="19">
      <c r="B19" s="23" t="inlineStr">
        <is>
          <t>有収水量　5年計（㎥）</t>
        </is>
      </c>
      <c r="C19" s="37" t="n">
        <v>4316000</v>
      </c>
      <c r="E19" s="9" t="inlineStr">
        <is>
          <t>経営戦略の水需要予測</t>
        </is>
      </c>
    </row>
    <row r="20">
      <c r="B20" s="23" t="inlineStr">
        <is>
          <t>給水収益　5年計</t>
        </is>
      </c>
      <c r="C20" s="37" t="n">
        <v>590845</v>
      </c>
      <c r="E20" s="51" t="inlineStr">
        <is>
          <t>★令和8年4〜6月の基本料金等免除は未反映</t>
        </is>
      </c>
    </row>
    <row r="22">
      <c r="A22" s="4" t="inlineStr">
        <is>
          <t>★印は未確定。町の資料を受領して確定させる（中間報告書 第5章・第12章）。</t>
        </is>
      </c>
    </row>
    <row r="24">
      <c r="A24" s="5" t="inlineStr">
        <is>
          <t>この計算表でできないこと</t>
        </is>
      </c>
      <c r="B24" s="6" t="n"/>
      <c r="C24" s="6" t="n"/>
      <c r="D24" s="6" t="n"/>
      <c r="E24" s="6" t="n"/>
    </row>
    <row r="25">
      <c r="B25" s="52" t="inlineStr">
        <is>
          <t>・使用者別の調定明細による検証。件数・口径分布は代表値による推計のまま</t>
        </is>
      </c>
    </row>
    <row r="26">
      <c r="B26" s="52" t="inlineStr">
        <is>
          <t>・産業用特例（3-B）の減収額。対象者の母集団が接続しないため算定していない</t>
        </is>
      </c>
    </row>
    <row r="27">
      <c r="B27" s="52" t="inlineStr">
        <is>
          <t>・年次の資金収支。企業債元金償還・建設改良費・期首資金を含む資金残高</t>
        </is>
      </c>
    </row>
    <row r="28">
      <c r="B28" s="52" t="inlineStr">
        <is>
          <t>・令和8年4〜6月の基本料金等免除を織り込んだ令和8・9年度の実収入</t>
        </is>
      </c>
    </row>
    <row r="29">
      <c r="B29" s="52" t="inlineStr">
        <is>
          <t>・湯屋用・船舶用の影響（中間報告書9-4を参照）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onagawa_scenario_calc</dc:title>
  <dc:subject>令和8年度上下水道経営指標評価書作成等業務委託</dc:subject>
  <dc:creator>若山諒太</dc:creator>
  <cp:lastModifiedBy>若山諒太</cp:lastModifiedBy>
  <cp:revision>1</cp:revision>
  <dcterms:created xsi:type="dcterms:W3CDTF">2026-09-28T09:41:07Z</dcterms:created>
  <dcterms:modified xsi:type="dcterms:W3CDTF">2026-09-28T09:41:07Z</dcterms:modified>
  <cp:category>ビズアップ公共コンサルティング株式会社</cp:category>
</cp:coreProperties>
</file>