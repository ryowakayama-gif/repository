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条件（入力）" sheetId="1" state="visible" r:id="rId3"/>
    <sheet name="総括原価シミュレーション" sheetId="2" state="visible" r:id="rId4"/>
    <sheet name="感度分析グラフ用データ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<sst xmlns="http://schemas.openxmlformats.org/spreadsheetml/2006/main" count="163" uniqueCount="133">
  <si>
    <t xml:space="preserve">女川町上水道事業　料金算定前提条件・パラメータ入力シート</t>
  </si>
  <si>
    <t xml:space="preserve">★ 黄色セルに数値を入力してください。総括原価シートの計算結果が自動更新されます。</t>
  </si>
  <si>
    <t xml:space="preserve">【A】資産維持率（最重要パラメータ）</t>
  </si>
  <si>
    <t xml:space="preserve">　資産維持率を下のセル（B7）に直接入力してください。1.0〜3.0%の範囲で設定可能です。</t>
  </si>
  <si>
    <t xml:space="preserve">入力項目</t>
  </si>
  <si>
    <t xml:space="preserve">入力値</t>
  </si>
  <si>
    <t xml:space="preserve">単位</t>
  </si>
  <si>
    <t xml:space="preserve">参考：最小値
（1.0%）</t>
  </si>
  <si>
    <t xml:space="preserve">参考：標準値
（2.0%）</t>
  </si>
  <si>
    <t xml:space="preserve">参考：標準値
（3.0%）</t>
  </si>
  <si>
    <t xml:space="preserve">入力ガイド・根拠</t>
  </si>
  <si>
    <t xml:space="preserve">資産維持率</t>
  </si>
  <si>
    <t xml:space="preserve">（%）</t>
  </si>
  <si>
    <t xml:space="preserve">日本水道協会「水道料金算定要領」標準3%。女川町試算シート現設定1%。1〜3%の範囲で設定。</t>
  </si>
  <si>
    <t xml:space="preserve">【B】資産維持費の算定基礎データ（対象資産）</t>
  </si>
  <si>
    <t xml:space="preserve">項目</t>
  </si>
  <si>
    <t xml:space="preserve">入力値
（千円）</t>
  </si>
  <si>
    <t xml:space="preserve">入力
区分</t>
  </si>
  <si>
    <t xml:space="preserve">根拠・算定方法</t>
  </si>
  <si>
    <t xml:space="preserve">対象資産①：期首（R8.4.1）帳簿価額</t>
  </si>
  <si>
    <t xml:space="preserve">★入力</t>
  </si>
  <si>
    <t xml:space="preserve">試算シート【料金算定】資産維持費シートのH31末帳簿価額。R8年度の固定資産台帳で要確認・更新。</t>
  </si>
  <si>
    <t xml:space="preserve">対象資産②：期末（R12.3.31）帳簿価額</t>
  </si>
  <si>
    <t xml:space="preserve">推計値。R8〜R12の減価償却（年平均約406,000千円）と管路更新等新規取得を考慮。要精算。</t>
  </si>
  <si>
    <t xml:space="preserve">対象資産（期首期末平均）</t>
  </si>
  <si>
    <t xml:space="preserve">自動計算</t>
  </si>
  <si>
    <t xml:space="preserve">（期首＋期末）÷2　日本水道協会料金算定要領の算定方式</t>
  </si>
  <si>
    <t xml:space="preserve">資産維持費（年間）</t>
  </si>
  <si>
    <t xml:space="preserve">千円/年</t>
  </si>
  <si>
    <t xml:space="preserve">対象資産（期首期末平均）×資産維持率（B7セル）で自動計算。資産維持率を変更するとここが更新されます。</t>
  </si>
  <si>
    <t xml:space="preserve">資産維持費（5年合計）</t>
  </si>
  <si>
    <t xml:space="preserve">千円</t>
  </si>
  <si>
    <t xml:space="preserve">年間資産維持費×5年間</t>
  </si>
  <si>
    <t xml:space="preserve">【C】費用項目（財政シミュレーション確定値）　単位：千円</t>
  </si>
  <si>
    <t xml:space="preserve">費目</t>
  </si>
  <si>
    <t xml:space="preserve">R8</t>
  </si>
  <si>
    <t xml:space="preserve">R9</t>
  </si>
  <si>
    <t xml:space="preserve">R10</t>
  </si>
  <si>
    <t xml:space="preserve">R11</t>
  </si>
  <si>
    <t xml:space="preserve">R12</t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</si>
  <si>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年合計</t>
    </r>
  </si>
  <si>
    <t xml:space="preserve">年平均</t>
  </si>
  <si>
    <t xml:space="preserve">出所・備考</t>
  </si>
  <si>
    <t xml:space="preserve">Ⅰ 維持管理費（減価償却費除く）</t>
  </si>
  <si>
    <t xml:space="preserve">財政シミュ 営業費用ー減価償却費。人件費・動力費・修繕費・委託料等</t>
  </si>
  <si>
    <t xml:space="preserve">Ⅱ 減価償却費</t>
  </si>
  <si>
    <t xml:space="preserve">財政シミュ Row52。既存資産＋管路更新・北上川導水管の新規取得資産を含む。</t>
  </si>
  <si>
    <t xml:space="preserve">Ⅲ 支払利息（既往債）</t>
  </si>
  <si>
    <t xml:space="preserve">財政シミュ Row60。逓減傾向。</t>
  </si>
  <si>
    <t xml:space="preserve">Ⅳ 支払利息（新規債）</t>
  </si>
  <si>
    <t xml:space="preserve">財政シミュ Row61。北上川導水管借入後に急増。</t>
  </si>
  <si>
    <t xml:space="preserve">Ⅵ 控除：長期前受金戻入益</t>
  </si>
  <si>
    <t xml:space="preserve">（推計値）△表示。財政シミュR6〜R7平均から推計。要精査。</t>
  </si>
  <si>
    <t xml:space="preserve">Ⅶ 控除：他会計補助金等</t>
  </si>
  <si>
    <t xml:space="preserve">（推計値）国定基準内繰入金等の控除。要精査。</t>
  </si>
  <si>
    <t xml:space="preserve">Ⅴ 資産維持費（★可変）</t>
  </si>
  <si>
    <r>
      <rPr>
        <b val="true"/>
        <sz val="9"/>
        <color rgb="FF000000"/>
        <rFont val="Arial"/>
        <family val="0"/>
        <charset val="1"/>
      </rPr>
      <t xml:space="preserve">★B7</t>
    </r>
    <r>
      <rPr>
        <b val="true"/>
        <sz val="9"/>
        <color rgb="FF000000"/>
        <rFont val="Noto Sans CJK SC"/>
        <family val="2"/>
      </rPr>
      <t xml:space="preserve">セルの資産維持率に連動して自動計算。ここを変えるには</t>
    </r>
    <r>
      <rPr>
        <b val="true"/>
        <sz val="9"/>
        <color rgb="FF000000"/>
        <rFont val="Arial"/>
        <family val="0"/>
        <charset val="1"/>
      </rPr>
      <t xml:space="preserve">B7</t>
    </r>
    <r>
      <rPr>
        <b val="true"/>
        <sz val="9"/>
        <color rgb="FF000000"/>
        <rFont val="Noto Sans CJK SC"/>
        <family val="2"/>
      </rPr>
      <t xml:space="preserve">セルを変更してください。</t>
    </r>
  </si>
  <si>
    <t xml:space="preserve">女川町上水道事業　総括原価シミュレーション　R8〜R12（5年間）</t>
  </si>
  <si>
    <t xml:space="preserve">「前提条件（入力）」シートのB7セル（資産維持率）を変更すると、このシートの全計算が自動更新されます。　黄色セル＝パラメータ連動。青色セル＝固定値。</t>
  </si>
  <si>
    <t xml:space="preserve">【A】年度別・費目別　原価集計表（千円）　※資産維持率変更で自動再計算</t>
  </si>
  <si>
    <t xml:space="preserve">算入
区分</t>
  </si>
  <si>
    <t xml:space="preserve">総括原価
構成比</t>
  </si>
  <si>
    <t xml:space="preserve">変動
有無</t>
  </si>
  <si>
    <t xml:space="preserve">出所・根拠</t>
  </si>
  <si>
    <t xml:space="preserve">＋固定費
・変動費</t>
  </si>
  <si>
    <t xml:space="preserve">固定</t>
  </si>
  <si>
    <t xml:space="preserve">財政シミュ（営業費用-減価償却費）</t>
  </si>
  <si>
    <t xml:space="preserve">＋固定費</t>
  </si>
  <si>
    <t xml:space="preserve">財政シミュ Row52</t>
  </si>
  <si>
    <t xml:space="preserve">財政シミュ Row60</t>
  </si>
  <si>
    <t xml:space="preserve">財政シミュ Row61</t>
  </si>
  <si>
    <t xml:space="preserve">★変動</t>
  </si>
  <si>
    <t xml:space="preserve">前提シートB7×対象資産平均で自動計算</t>
  </si>
  <si>
    <t xml:space="preserve">－控除</t>
  </si>
  <si>
    <t xml:space="preserve">（推計）△控除項目</t>
  </si>
  <si>
    <t xml:space="preserve">総括原価　合　計</t>
  </si>
  <si>
    <t xml:space="preserve">【B】供給単価・料金回収率　自動算定</t>
  </si>
  <si>
    <t xml:space="preserve">指標</t>
  </si>
  <si>
    <t xml:space="preserve">算定値（自動）</t>
  </si>
  <si>
    <t xml:space="preserve">参考：現行
（R7実績）</t>
  </si>
  <si>
    <t xml:space="preserve">差異
（改善幅）</t>
  </si>
  <si>
    <t xml:space="preserve">算定式・根拠</t>
  </si>
  <si>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年間 有収水量</t>
    </r>
  </si>
  <si>
    <r>
      <rPr>
        <sz val="10"/>
        <color rgb="FF000000"/>
        <rFont val="Arial"/>
        <family val="0"/>
        <charset val="1"/>
      </rPr>
      <t xml:space="preserve">4,316,000</t>
    </r>
    <r>
      <rPr>
        <sz val="10"/>
        <color rgb="FF000000"/>
        <rFont val="Noto Sans CJK SC"/>
        <family val="2"/>
      </rPr>
      <t xml:space="preserve">㎥（</t>
    </r>
    <r>
      <rPr>
        <sz val="10"/>
        <color rgb="FF000000"/>
        <rFont val="Arial"/>
        <family val="0"/>
        <charset val="1"/>
      </rPr>
      <t xml:space="preserve">4,316</t>
    </r>
    <r>
      <rPr>
        <sz val="10"/>
        <color rgb="FF000000"/>
        <rFont val="Noto Sans CJK SC"/>
        <family val="2"/>
      </rPr>
      <t xml:space="preserve">千㎥）</t>
    </r>
  </si>
  <si>
    <t xml:space="preserve">財政シミュ 水需要予測。R8:901→R12:818千㎥の合計。</t>
  </si>
  <si>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年間 総括原価</t>
    </r>
  </si>
  <si>
    <t xml:space="preserve">上記Ⅰ〜Ⅶの合計（千円）。資産維持率変更で自動更新。</t>
  </si>
  <si>
    <t xml:space="preserve">給水原価（算定）</t>
  </si>
  <si>
    <t xml:space="preserve">総括原価（千円）×1,000÷有収水量（㎥）。[円/㎥]</t>
  </si>
  <si>
    <t xml:space="preserve">現行供給単価（R7実績）</t>
  </si>
  <si>
    <t xml:space="preserve">128.2</t>
  </si>
  <si>
    <t xml:space="preserve">使用料収入131,429千円÷有収水量1,024千㎥（R7実績）</t>
  </si>
  <si>
    <t xml:space="preserve">料金回収率（現行）</t>
  </si>
  <si>
    <t xml:space="preserve">現行供給単価÷算定給水原価。100%が目標。</t>
  </si>
  <si>
    <t xml:space="preserve">改定後 供給単価（基本1.5倍・超過+22円）</t>
  </si>
  <si>
    <t xml:space="preserve">192.3</t>
  </si>
  <si>
    <t xml:space="preserve">基本料金1.5倍・超過料金+22円の改定案適用時の概算（別途試算）</t>
  </si>
  <si>
    <t xml:space="preserve">料金回収率（改定後）</t>
  </si>
  <si>
    <t xml:space="preserve">改定後供給単価÷算定給水原価。100%目標に対する達成度。</t>
  </si>
  <si>
    <t xml:space="preserve">不足額（1件あたり月額換算）</t>
  </si>
  <si>
    <t xml:space="preserve">（算定給水原価 - 現行供給単価）÷12ヶ月。追加で必要な月額収入の目安。</t>
  </si>
  <si>
    <t xml:space="preserve">【C】資産維持率 感度分析　（1.0%〜3.0% のシナリオ比較）</t>
  </si>
  <si>
    <t xml:space="preserve">下記は各資産維持率における総括原価・給水原価・料金回収率の試算値。強調行が現在の設定値（前提シートB7と連動）。</t>
  </si>
  <si>
    <t xml:space="preserve">資産維持費
（年間・千円）</t>
  </si>
  <si>
    <t xml:space="preserve">資産維持費
（5年計・千円）</t>
  </si>
  <si>
    <t xml:space="preserve">総括原価
（5年計・千円）</t>
  </si>
  <si>
    <t xml:space="preserve">給水原価
（円/㎥）</t>
  </si>
  <si>
    <t xml:space="preserve">料金回収率
（現行128円）</t>
  </si>
  <si>
    <t xml:space="preserve">料金回収率
（改定後192円）</t>
  </si>
  <si>
    <t xml:space="preserve">日本水道
協会要領</t>
  </si>
  <si>
    <t xml:space="preserve">評価・コメント</t>
  </si>
  <si>
    <t xml:space="preserve">△現設定</t>
  </si>
  <si>
    <t xml:space="preserve">試算シート現設定。資金不足のリスクが高い。</t>
  </si>
  <si>
    <t xml:space="preserve">現設定より僅かな上乗せ。</t>
  </si>
  <si>
    <t xml:space="preserve">小規模改定での現実的な下限水準。</t>
  </si>
  <si>
    <t xml:space="preserve">段階的引き上げの中間値。</t>
  </si>
  <si>
    <t xml:space="preserve">○推奨</t>
  </si>
  <si>
    <t xml:space="preserve">女川町規模での推奨水準（最低ライン）。</t>
  </si>
  <si>
    <t xml:space="preserve">松山市事例（PDF P11）と同水準。</t>
  </si>
  <si>
    <r>
      <rPr>
        <sz val="8"/>
        <color rgb="FF000000"/>
        <rFont val="Arial"/>
        <family val="0"/>
        <charset val="1"/>
      </rPr>
      <t xml:space="preserve">2.0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Arial"/>
        <family val="0"/>
        <charset val="1"/>
      </rPr>
      <t xml:space="preserve">3.0%</t>
    </r>
    <r>
      <rPr>
        <sz val="8"/>
        <color rgb="FF000000"/>
        <rFont val="Noto Sans CJK SC"/>
        <family val="2"/>
      </rPr>
      <t xml:space="preserve">の中間。</t>
    </r>
  </si>
  <si>
    <t xml:space="preserve">標準3%に近い水準。</t>
  </si>
  <si>
    <t xml:space="preserve">◎標準</t>
  </si>
  <si>
    <t xml:space="preserve">日本水道協会要領の標準。最大の財源確保。</t>
  </si>
  <si>
    <t xml:space="preserve">※「▶」マークが現在の設定値（前提シートB7）と一致する行を示します。資産維持率を変更すると▶が移動します。</t>
  </si>
  <si>
    <t xml:space="preserve">女川町上水道事業　資産維持率 感度分析データ（グラフ作成用）</t>
  </si>
  <si>
    <t xml:space="preserve">前提条件シートのB7（資産維持率）・B13（対象資産平均）に連動して自動更新。グラフ化に使用してください。</t>
  </si>
  <si>
    <t xml:space="preserve">感度分析：資産維持率 1.0%〜3.0% のシナリオ別試算値</t>
  </si>
  <si>
    <t xml:space="preserve">資産維持費
年間（千円）</t>
  </si>
  <si>
    <t xml:space="preserve">資産維持費
5年計（千円）</t>
  </si>
  <si>
    <t xml:space="preserve">総括原価
5年計（千円）</t>
  </si>
  <si>
    <t xml:space="preserve">料金回収率
現行128円</t>
  </si>
  <si>
    <t xml:space="preserve">料金回収率
改定後192円</t>
  </si>
  <si>
    <t xml:space="preserve">★現在値
（★印）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</si>
</sst>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"/>
    <numFmt numFmtId="167" formatCode="0.0%"/>
    <numFmt numFmtId="168" formatCode="#,##0.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Noto Sans CJK SC"/>
      <family val="2"/>
      <charset val="1"/>
    </font>
    <font>
      <i val="true"/>
      <sz val="8"/>
      <color rgb="FF595959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b val="true"/>
      <sz val="9"/>
      <color rgb="FF000000"/>
      <name val="Noto Sans CJK SC"/>
      <family val="2"/>
      <charset val="1"/>
    </font>
    <font>
      <b val="true"/>
      <sz val="11"/>
      <color rgb="FF000000"/>
      <name val="Noto Sans CJK SC"/>
      <family val="2"/>
      <charset val="1"/>
    </font>
    <font>
      <b val="true"/>
      <sz val="16"/>
      <color rgb="FFC00000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Arial"/>
      <family val="0"/>
      <charset val="1"/>
    </font>
    <font>
      <sz val="9"/>
      <color rgb="FF00000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000000"/>
      <name val="Noto Sans CJK SC"/>
      <family val="2"/>
    </font>
    <font>
      <b val="true"/>
      <sz val="12"/>
      <color rgb="FFFFFFFF"/>
      <name val="Noto Sans CJK SC"/>
      <family val="2"/>
    </font>
    <font>
      <sz val="8"/>
      <color rgb="FF000000"/>
      <name val="Noto Sans CJK SC"/>
      <family val="2"/>
      <charset val="1"/>
    </font>
    <font>
      <sz val="9"/>
      <color rgb="FF595959"/>
      <name val="Noto Sans CJK SC"/>
      <family val="2"/>
      <charset val="1"/>
    </font>
    <font>
      <sz val="9"/>
      <color rgb="FFC00000"/>
      <name val="Arial"/>
      <family val="0"/>
      <charset val="1"/>
    </font>
    <font>
      <b val="true"/>
      <sz val="9"/>
      <color rgb="FFC00000"/>
      <name val="Noto Sans CJK SC"/>
      <family val="2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"/>
      <color rgb="FF000000"/>
      <name val="Noto Sans CJK SC"/>
      <family val="2"/>
    </font>
    <font>
      <sz val="10"/>
      <color rgb="FF000000"/>
      <name val="Noto Sans CJK SC"/>
      <family val="2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C00000"/>
      <name val="Noto Sans CJK SC"/>
      <family val="2"/>
      <charset val="1"/>
    </font>
    <font>
      <sz val="9"/>
      <color rgb="FFC55A11"/>
      <name val="Noto Sans CJK SC"/>
      <family val="2"/>
      <charset val="1"/>
    </font>
    <font>
      <sz val="8"/>
      <color rgb="FF000000"/>
      <name val="Arial"/>
      <family val="0"/>
      <charset val="1"/>
    </font>
    <font>
      <sz val="8"/>
      <color rgb="FF000000"/>
      <name val="Noto Sans CJK SC"/>
      <family val="2"/>
    </font>
    <font>
      <sz val="9"/>
      <color rgb="FF375623"/>
      <name val="Noto Sans CJK SC"/>
      <family val="2"/>
      <charset val="1"/>
    </font>
    <font>
      <sz val="1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366092"/>
      </patternFill>
    </fill>
    <fill>
      <patternFill patternType="solid">
        <fgColor rgb="FFC00000"/>
        <bgColor rgb="FF800000"/>
      </patternFill>
    </fill>
    <fill>
      <patternFill patternType="solid">
        <fgColor rgb="FFFFCCCC"/>
        <bgColor rgb="FFFCE4D6"/>
      </patternFill>
    </fill>
    <fill>
      <patternFill patternType="solid">
        <fgColor rgb="FF2E75B6"/>
        <bgColor rgb="FF36609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DEEAF1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366092"/>
        <bgColor rgb="FF1F4E79"/>
      </patternFill>
    </fill>
    <fill>
      <patternFill patternType="solid">
        <fgColor rgb="FFBDD7EE"/>
        <bgColor rgb="FFDEEAF1"/>
      </patternFill>
    </fill>
    <fill>
      <patternFill patternType="solid">
        <fgColor rgb="FF9DC3E6"/>
        <bgColor rgb="FFC0C0C0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C55A11"/>
        <bgColor rgb="FF99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2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2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3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3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2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32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2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366092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DC3E6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8" min="4" style="1" width="12"/>
    <col collapsed="false" customWidth="true" hidden="false" outlineLevel="0" max="9" min="9" style="1" width="35"/>
    <col collapsed="false" customWidth="true" hidden="false" outlineLevel="0" max="11" min="10" style="1" width="8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4.5" hidden="false" customHeight="true" outlineLevel="0" collapsed="false"/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8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39.75" hidden="false" customHeight="true" outlineLevel="0" collapsed="false">
      <c r="A6" s="6" t="s">
        <v>4</v>
      </c>
      <c r="B6" s="6" t="s">
        <v>5</v>
      </c>
      <c r="C6" s="6" t="s">
        <v>6</v>
      </c>
      <c r="D6" s="7" t="s">
        <v>7</v>
      </c>
      <c r="E6" s="7" t="s">
        <v>8</v>
      </c>
      <c r="F6" s="7" t="s">
        <v>9</v>
      </c>
      <c r="G6" s="8" t="s">
        <v>10</v>
      </c>
      <c r="H6" s="8"/>
      <c r="I6" s="8"/>
      <c r="J6" s="8"/>
    </row>
    <row r="7" customFormat="false" ht="36" hidden="false" customHeight="true" outlineLevel="0" collapsed="false">
      <c r="A7" s="9" t="s">
        <v>11</v>
      </c>
      <c r="B7" s="10" t="n">
        <v>0.01</v>
      </c>
      <c r="C7" s="11" t="s">
        <v>12</v>
      </c>
      <c r="D7" s="12" t="n">
        <v>0.01</v>
      </c>
      <c r="E7" s="12" t="n">
        <v>0.02</v>
      </c>
      <c r="F7" s="12" t="n">
        <v>0.03</v>
      </c>
      <c r="G7" s="13" t="s">
        <v>13</v>
      </c>
      <c r="H7" s="13"/>
      <c r="I7" s="13"/>
      <c r="J7" s="13"/>
    </row>
    <row r="8" customFormat="false" ht="4.5" hidden="false" customHeight="true" outlineLevel="0" collapsed="false"/>
    <row r="9" customFormat="false" ht="18" hidden="false" customHeight="true" outlineLevel="0" collapsed="false">
      <c r="A9" s="14" t="s">
        <v>14</v>
      </c>
      <c r="B9" s="14"/>
      <c r="C9" s="14"/>
      <c r="D9" s="14"/>
      <c r="E9" s="14"/>
      <c r="F9" s="14"/>
      <c r="G9" s="14"/>
      <c r="H9" s="14"/>
      <c r="I9" s="14"/>
      <c r="J9" s="14"/>
    </row>
    <row r="10" customFormat="false" ht="39.75" hidden="false" customHeight="true" outlineLevel="0" collapsed="false">
      <c r="A10" s="7" t="s">
        <v>15</v>
      </c>
      <c r="B10" s="7" t="s">
        <v>16</v>
      </c>
      <c r="C10" s="7" t="s">
        <v>17</v>
      </c>
      <c r="D10" s="8" t="s">
        <v>18</v>
      </c>
      <c r="E10" s="8"/>
      <c r="F10" s="8"/>
      <c r="G10" s="8"/>
      <c r="H10" s="8"/>
      <c r="I10" s="8"/>
      <c r="J10" s="8"/>
    </row>
    <row r="11" customFormat="false" ht="21.75" hidden="false" customHeight="true" outlineLevel="0" collapsed="false">
      <c r="A11" s="15" t="s">
        <v>19</v>
      </c>
      <c r="B11" s="16" t="n">
        <v>1042625</v>
      </c>
      <c r="C11" s="17" t="s">
        <v>20</v>
      </c>
      <c r="D11" s="18" t="s">
        <v>21</v>
      </c>
      <c r="E11" s="18"/>
      <c r="F11" s="18"/>
      <c r="G11" s="18"/>
      <c r="H11" s="18"/>
      <c r="I11" s="18"/>
      <c r="J11" s="18"/>
    </row>
    <row r="12" customFormat="false" ht="21.75" hidden="false" customHeight="true" outlineLevel="0" collapsed="false">
      <c r="A12" s="15" t="s">
        <v>22</v>
      </c>
      <c r="B12" s="16" t="n">
        <v>750000</v>
      </c>
      <c r="C12" s="17" t="s">
        <v>20</v>
      </c>
      <c r="D12" s="18" t="s">
        <v>23</v>
      </c>
      <c r="E12" s="18"/>
      <c r="F12" s="18"/>
      <c r="G12" s="18"/>
      <c r="H12" s="18"/>
      <c r="I12" s="18"/>
      <c r="J12" s="18"/>
    </row>
    <row r="13" customFormat="false" ht="19.5" hidden="false" customHeight="true" outlineLevel="0" collapsed="false">
      <c r="A13" s="19" t="s">
        <v>24</v>
      </c>
      <c r="B13" s="20" t="n">
        <f aca="false">ROUND((B11+B12)/2,0)</f>
        <v>896313</v>
      </c>
      <c r="C13" s="21" t="s">
        <v>25</v>
      </c>
      <c r="D13" s="22" t="s">
        <v>26</v>
      </c>
      <c r="E13" s="22"/>
      <c r="F13" s="22"/>
      <c r="G13" s="22"/>
      <c r="H13" s="22"/>
      <c r="I13" s="22"/>
      <c r="J13" s="22"/>
    </row>
    <row r="14" customFormat="false" ht="25.5" hidden="false" customHeight="true" outlineLevel="0" collapsed="false">
      <c r="A14" s="23" t="s">
        <v>27</v>
      </c>
      <c r="B14" s="24" t="n">
        <f aca="false">ROUND(B13*B7,0)</f>
        <v>8963</v>
      </c>
      <c r="C14" s="25" t="s">
        <v>28</v>
      </c>
      <c r="D14" s="26" t="s">
        <v>29</v>
      </c>
      <c r="E14" s="26"/>
      <c r="F14" s="26"/>
      <c r="G14" s="26"/>
      <c r="H14" s="26"/>
      <c r="I14" s="26"/>
      <c r="J14" s="26"/>
    </row>
    <row r="15" customFormat="false" ht="25.5" hidden="false" customHeight="true" outlineLevel="0" collapsed="false">
      <c r="A15" s="23" t="s">
        <v>30</v>
      </c>
      <c r="B15" s="24" t="n">
        <f aca="false">B14*5</f>
        <v>44815</v>
      </c>
      <c r="C15" s="25" t="s">
        <v>31</v>
      </c>
      <c r="D15" s="26" t="s">
        <v>32</v>
      </c>
      <c r="E15" s="26"/>
      <c r="F15" s="26"/>
      <c r="G15" s="26"/>
      <c r="H15" s="26"/>
      <c r="I15" s="26"/>
      <c r="J15" s="26"/>
    </row>
    <row r="16" customFormat="false" ht="4.5" hidden="false" customHeight="true" outlineLevel="0" collapsed="false"/>
    <row r="17" customFormat="false" ht="18" hidden="false" customHeight="true" outlineLevel="0" collapsed="false">
      <c r="A17" s="27" t="s">
        <v>33</v>
      </c>
      <c r="B17" s="27"/>
      <c r="C17" s="27"/>
      <c r="D17" s="27"/>
      <c r="E17" s="27"/>
      <c r="F17" s="27"/>
      <c r="G17" s="27"/>
      <c r="H17" s="27"/>
      <c r="I17" s="27"/>
      <c r="J17" s="27"/>
    </row>
    <row r="18" customFormat="false" ht="36" hidden="false" customHeight="true" outlineLevel="0" collapsed="false">
      <c r="A18" s="28" t="s">
        <v>34</v>
      </c>
      <c r="B18" s="29" t="s">
        <v>35</v>
      </c>
      <c r="C18" s="29" t="s">
        <v>36</v>
      </c>
      <c r="D18" s="29" t="s">
        <v>37</v>
      </c>
      <c r="E18" s="29" t="s">
        <v>38</v>
      </c>
      <c r="F18" s="29" t="s">
        <v>39</v>
      </c>
      <c r="G18" s="29" t="s">
        <v>40</v>
      </c>
      <c r="H18" s="28" t="s">
        <v>41</v>
      </c>
      <c r="I18" s="30" t="s">
        <v>42</v>
      </c>
      <c r="J18" s="30"/>
    </row>
    <row r="19" customFormat="false" ht="19.5" hidden="false" customHeight="true" outlineLevel="0" collapsed="false">
      <c r="A19" s="19" t="s">
        <v>43</v>
      </c>
      <c r="B19" s="31" t="n">
        <v>131926</v>
      </c>
      <c r="C19" s="31" t="n">
        <v>133182</v>
      </c>
      <c r="D19" s="31" t="n">
        <v>134453</v>
      </c>
      <c r="E19" s="31" t="n">
        <v>135742</v>
      </c>
      <c r="F19" s="31" t="n">
        <v>137024</v>
      </c>
      <c r="G19" s="32" t="n">
        <f aca="false">SUM(B19:F19)</f>
        <v>672327</v>
      </c>
      <c r="H19" s="33" t="n">
        <f aca="false">G19/5</f>
        <v>134465.4</v>
      </c>
      <c r="I19" s="18" t="s">
        <v>44</v>
      </c>
      <c r="J19" s="18"/>
    </row>
    <row r="20" customFormat="false" ht="19.5" hidden="false" customHeight="true" outlineLevel="0" collapsed="false">
      <c r="A20" s="19" t="s">
        <v>45</v>
      </c>
      <c r="B20" s="31" t="n">
        <v>395267</v>
      </c>
      <c r="C20" s="31" t="n">
        <v>414923</v>
      </c>
      <c r="D20" s="31" t="n">
        <v>412863</v>
      </c>
      <c r="E20" s="31" t="n">
        <v>407153</v>
      </c>
      <c r="F20" s="31" t="n">
        <v>402234</v>
      </c>
      <c r="G20" s="32" t="n">
        <f aca="false">SUM(B20:F20)</f>
        <v>2032440</v>
      </c>
      <c r="H20" s="33" t="n">
        <f aca="false">G20/5</f>
        <v>406488</v>
      </c>
      <c r="I20" s="18" t="s">
        <v>46</v>
      </c>
      <c r="J20" s="18"/>
    </row>
    <row r="21" customFormat="false" ht="19.5" hidden="false" customHeight="true" outlineLevel="0" collapsed="false">
      <c r="A21" s="19" t="s">
        <v>47</v>
      </c>
      <c r="B21" s="31" t="n">
        <v>10790</v>
      </c>
      <c r="C21" s="31" t="n">
        <v>10530</v>
      </c>
      <c r="D21" s="31" t="n">
        <v>10172</v>
      </c>
      <c r="E21" s="31" t="n">
        <v>9805</v>
      </c>
      <c r="F21" s="31" t="n">
        <v>9288</v>
      </c>
      <c r="G21" s="32" t="n">
        <f aca="false">SUM(B21:F21)</f>
        <v>50585</v>
      </c>
      <c r="H21" s="33" t="n">
        <f aca="false">G21/5</f>
        <v>10117</v>
      </c>
      <c r="I21" s="18" t="s">
        <v>48</v>
      </c>
      <c r="J21" s="18"/>
    </row>
    <row r="22" customFormat="false" ht="19.5" hidden="false" customHeight="true" outlineLevel="0" collapsed="false">
      <c r="A22" s="19" t="s">
        <v>49</v>
      </c>
      <c r="B22" s="31" t="n">
        <v>9238</v>
      </c>
      <c r="C22" s="31" t="n">
        <v>18507</v>
      </c>
      <c r="D22" s="31" t="n">
        <v>26641</v>
      </c>
      <c r="E22" s="31" t="n">
        <v>34316</v>
      </c>
      <c r="F22" s="31" t="n">
        <v>38700</v>
      </c>
      <c r="G22" s="32" t="n">
        <f aca="false">SUM(B22:F22)</f>
        <v>127402</v>
      </c>
      <c r="H22" s="33" t="n">
        <f aca="false">G22/5</f>
        <v>25480.4</v>
      </c>
      <c r="I22" s="18" t="s">
        <v>50</v>
      </c>
      <c r="J22" s="18"/>
    </row>
    <row r="23" customFormat="false" ht="19.5" hidden="false" customHeight="true" outlineLevel="0" collapsed="false">
      <c r="A23" s="34" t="s">
        <v>51</v>
      </c>
      <c r="B23" s="35" t="n">
        <v>-94000</v>
      </c>
      <c r="C23" s="35" t="n">
        <v>-92000</v>
      </c>
      <c r="D23" s="35" t="n">
        <v>-90000</v>
      </c>
      <c r="E23" s="35" t="n">
        <v>-88000</v>
      </c>
      <c r="F23" s="35" t="n">
        <v>-86000</v>
      </c>
      <c r="G23" s="32" t="n">
        <f aca="false">SUM(B23:F23)</f>
        <v>-450000</v>
      </c>
      <c r="H23" s="33" t="n">
        <f aca="false">G23/5</f>
        <v>-90000</v>
      </c>
      <c r="I23" s="18" t="s">
        <v>52</v>
      </c>
      <c r="J23" s="18"/>
    </row>
    <row r="24" customFormat="false" ht="19.5" hidden="false" customHeight="true" outlineLevel="0" collapsed="false">
      <c r="A24" s="34" t="s">
        <v>53</v>
      </c>
      <c r="B24" s="35" t="n">
        <v>-3000</v>
      </c>
      <c r="C24" s="35" t="n">
        <v>-3000</v>
      </c>
      <c r="D24" s="35" t="n">
        <v>-3000</v>
      </c>
      <c r="E24" s="35" t="n">
        <v>-3000</v>
      </c>
      <c r="F24" s="35" t="n">
        <v>-3000</v>
      </c>
      <c r="G24" s="32" t="n">
        <f aca="false">SUM(B24:F24)</f>
        <v>-15000</v>
      </c>
      <c r="H24" s="33" t="n">
        <f aca="false">G24/5</f>
        <v>-3000</v>
      </c>
      <c r="I24" s="18" t="s">
        <v>54</v>
      </c>
      <c r="J24" s="18"/>
    </row>
    <row r="25" customFormat="false" ht="19.5" hidden="false" customHeight="true" outlineLevel="0" collapsed="false">
      <c r="A25" s="15" t="s">
        <v>55</v>
      </c>
      <c r="B25" s="36" t="n">
        <f aca="false">$B$14</f>
        <v>8963</v>
      </c>
      <c r="C25" s="36" t="n">
        <f aca="false">$B$14</f>
        <v>8963</v>
      </c>
      <c r="D25" s="36" t="n">
        <f aca="false">$B$14</f>
        <v>8963</v>
      </c>
      <c r="E25" s="36" t="n">
        <f aca="false">$B$14</f>
        <v>8963</v>
      </c>
      <c r="F25" s="36" t="n">
        <f aca="false">$B$14</f>
        <v>8963</v>
      </c>
      <c r="G25" s="36" t="n">
        <f aca="false">B14*5</f>
        <v>44815</v>
      </c>
      <c r="H25" s="36" t="n">
        <f aca="false">B14</f>
        <v>8963</v>
      </c>
      <c r="I25" s="37" t="s">
        <v>56</v>
      </c>
      <c r="J25" s="37"/>
    </row>
  </sheetData>
  <mergeCells count="22">
    <mergeCell ref="A1:J1"/>
    <mergeCell ref="A2:J2"/>
    <mergeCell ref="A4:J4"/>
    <mergeCell ref="A5:J5"/>
    <mergeCell ref="G6:J6"/>
    <mergeCell ref="G7:J7"/>
    <mergeCell ref="A9:J9"/>
    <mergeCell ref="D10:J10"/>
    <mergeCell ref="D11:J11"/>
    <mergeCell ref="D12:J12"/>
    <mergeCell ref="D13:J13"/>
    <mergeCell ref="D14:J14"/>
    <mergeCell ref="D15:J15"/>
    <mergeCell ref="A17:J17"/>
    <mergeCell ref="I18:J18"/>
    <mergeCell ref="I19:J19"/>
    <mergeCell ref="I20:J20"/>
    <mergeCell ref="I21:J21"/>
    <mergeCell ref="I22:J22"/>
    <mergeCell ref="I23:J23"/>
    <mergeCell ref="I24:J24"/>
    <mergeCell ref="I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7" min="5" style="1" width="12"/>
    <col collapsed="false" customWidth="true" hidden="false" outlineLevel="0" max="8" min="8" style="1" width="8"/>
    <col collapsed="false" customWidth="true" hidden="false" outlineLevel="0" max="9" min="9" style="1" width="32"/>
    <col collapsed="false" customWidth="true" hidden="false" outlineLevel="0" max="14" min="10" style="1" width="8"/>
  </cols>
  <sheetData>
    <row r="1" customFormat="false" ht="24" hidden="false" customHeight="true" outlineLevel="0" collapsed="false">
      <c r="A1" s="2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2" hidden="false" customHeight="true" outlineLevel="0" collapsed="false">
      <c r="A2" s="3" t="s">
        <v>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4.5" hidden="false" customHeight="true" outlineLevel="0" collapsed="false"/>
    <row r="4" customFormat="false" ht="27.75" hidden="false" customHeight="true" outlineLevel="0" collapsed="false">
      <c r="A4" s="38" t="str">
        <f aca="false">" 現在の資産維持率："&amp;TEXT('前提条件（入力）'!B7,"0.00%")&amp;"　　資産維持費（年間）："&amp;TEXT('前提条件（入力）'!B14,"#,##0")&amp;"千円"&amp;"　　資産維持費（5年合計）："&amp;TEXT('前提条件（入力）'!B15,"#,##0")&amp;"千円"</f>
        <v> 現在の資産維持率：1.00%　　資産維持費（年間）：8,963千円　　資産維持費（5年合計）：44,815千円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customFormat="false" ht="4.5" hidden="false" customHeight="true" outlineLevel="0" collapsed="false"/>
    <row r="6" customFormat="false" ht="18" hidden="false" customHeight="true" outlineLevel="0" collapsed="false">
      <c r="A6" s="14" t="s">
        <v>59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customFormat="false" ht="43.5" hidden="false" customHeight="true" outlineLevel="0" collapsed="false">
      <c r="A7" s="7" t="s">
        <v>34</v>
      </c>
      <c r="B7" s="7" t="s">
        <v>60</v>
      </c>
      <c r="C7" s="39" t="s">
        <v>35</v>
      </c>
      <c r="D7" s="39" t="s">
        <v>36</v>
      </c>
      <c r="E7" s="39" t="s">
        <v>37</v>
      </c>
      <c r="F7" s="39" t="s">
        <v>38</v>
      </c>
      <c r="G7" s="39" t="s">
        <v>39</v>
      </c>
      <c r="H7" s="39" t="s">
        <v>40</v>
      </c>
      <c r="I7" s="7" t="s">
        <v>41</v>
      </c>
      <c r="J7" s="7" t="s">
        <v>61</v>
      </c>
      <c r="K7" s="7" t="s">
        <v>62</v>
      </c>
      <c r="L7" s="7" t="s">
        <v>63</v>
      </c>
    </row>
    <row r="8" customFormat="false" ht="19.5" hidden="false" customHeight="true" outlineLevel="0" collapsed="false">
      <c r="A8" s="19" t="s">
        <v>43</v>
      </c>
      <c r="B8" s="40" t="s">
        <v>64</v>
      </c>
      <c r="C8" s="41" t="n">
        <f aca="false">'前提条件（入力）'!B19</f>
        <v>131926</v>
      </c>
      <c r="D8" s="41" t="n">
        <f aca="false">'前提条件（入力）'!C19</f>
        <v>133182</v>
      </c>
      <c r="E8" s="41" t="n">
        <f aca="false">'前提条件（入力）'!D19</f>
        <v>134453</v>
      </c>
      <c r="F8" s="41" t="n">
        <f aca="false">'前提条件（入力）'!E19</f>
        <v>135742</v>
      </c>
      <c r="G8" s="41" t="n">
        <f aca="false">'前提条件（入力）'!F19</f>
        <v>137024</v>
      </c>
      <c r="H8" s="32" t="n">
        <f aca="false">SUM(C8:G8)</f>
        <v>672327</v>
      </c>
      <c r="I8" s="33" t="n">
        <f aca="false">H8/5</f>
        <v>134465.4</v>
      </c>
      <c r="J8" s="42" t="n">
        <f aca="false">IF(H15&lt;&gt;0,ABS(H8)/ABS(H15),0)</f>
        <v>0.0923807428718334</v>
      </c>
      <c r="K8" s="43" t="s">
        <v>65</v>
      </c>
      <c r="L8" s="44" t="s">
        <v>66</v>
      </c>
      <c r="M8" s="44"/>
      <c r="N8" s="44"/>
    </row>
    <row r="9" customFormat="false" ht="19.5" hidden="false" customHeight="true" outlineLevel="0" collapsed="false">
      <c r="A9" s="19" t="s">
        <v>45</v>
      </c>
      <c r="B9" s="40" t="s">
        <v>67</v>
      </c>
      <c r="C9" s="41" t="n">
        <f aca="false">'前提条件（入力）'!B20</f>
        <v>395267</v>
      </c>
      <c r="D9" s="41" t="n">
        <f aca="false">'前提条件（入力）'!C20</f>
        <v>414923</v>
      </c>
      <c r="E9" s="41" t="n">
        <f aca="false">'前提条件（入力）'!D20</f>
        <v>412863</v>
      </c>
      <c r="F9" s="41" t="n">
        <f aca="false">'前提条件（入力）'!E20</f>
        <v>407153</v>
      </c>
      <c r="G9" s="41" t="n">
        <f aca="false">'前提条件（入力）'!F20</f>
        <v>402234</v>
      </c>
      <c r="H9" s="32" t="n">
        <f aca="false">SUM(C9:G9)</f>
        <v>2032440</v>
      </c>
      <c r="I9" s="33" t="n">
        <f aca="false">H9/5</f>
        <v>406488</v>
      </c>
      <c r="J9" s="42" t="n">
        <f aca="false">IF(H15&lt;&gt;0,ABS(H9)/ABS(H15),0)</f>
        <v>0.279266364495891</v>
      </c>
      <c r="K9" s="43" t="s">
        <v>65</v>
      </c>
      <c r="L9" s="44" t="s">
        <v>68</v>
      </c>
      <c r="M9" s="44"/>
      <c r="N9" s="44"/>
    </row>
    <row r="10" customFormat="false" ht="19.5" hidden="false" customHeight="true" outlineLevel="0" collapsed="false">
      <c r="A10" s="45" t="s">
        <v>47</v>
      </c>
      <c r="B10" s="40" t="s">
        <v>67</v>
      </c>
      <c r="C10" s="31" t="n">
        <f aca="false">'前提条件（入力）'!B21</f>
        <v>10790</v>
      </c>
      <c r="D10" s="31" t="n">
        <f aca="false">'前提条件（入力）'!C21</f>
        <v>10530</v>
      </c>
      <c r="E10" s="31" t="n">
        <f aca="false">'前提条件（入力）'!D21</f>
        <v>10172</v>
      </c>
      <c r="F10" s="31" t="n">
        <f aca="false">'前提条件（入力）'!E21</f>
        <v>9805</v>
      </c>
      <c r="G10" s="31" t="n">
        <f aca="false">'前提条件（入力）'!F21</f>
        <v>9288</v>
      </c>
      <c r="H10" s="32" t="n">
        <f aca="false">SUM(C10:G10)</f>
        <v>50585</v>
      </c>
      <c r="I10" s="33" t="n">
        <f aca="false">H10/5</f>
        <v>10117</v>
      </c>
      <c r="J10" s="42" t="n">
        <f aca="false">IF(H15&lt;&gt;0,ABS(H10)/ABS(H15),0)</f>
        <v>0.00695060569956538</v>
      </c>
      <c r="K10" s="43" t="s">
        <v>65</v>
      </c>
      <c r="L10" s="44" t="s">
        <v>69</v>
      </c>
      <c r="M10" s="44"/>
      <c r="N10" s="44"/>
    </row>
    <row r="11" customFormat="false" ht="19.5" hidden="false" customHeight="true" outlineLevel="0" collapsed="false">
      <c r="A11" s="45" t="s">
        <v>49</v>
      </c>
      <c r="B11" s="40" t="s">
        <v>67</v>
      </c>
      <c r="C11" s="31" t="n">
        <f aca="false">'前提条件（入力）'!B22</f>
        <v>9238</v>
      </c>
      <c r="D11" s="31" t="n">
        <f aca="false">'前提条件（入力）'!C22</f>
        <v>18507</v>
      </c>
      <c r="E11" s="31" t="n">
        <f aca="false">'前提条件（入力）'!D22</f>
        <v>26641</v>
      </c>
      <c r="F11" s="31" t="n">
        <f aca="false">'前提条件（入力）'!E22</f>
        <v>34316</v>
      </c>
      <c r="G11" s="31" t="n">
        <f aca="false">'前提条件（入力）'!F22</f>
        <v>38700</v>
      </c>
      <c r="H11" s="32" t="n">
        <f aca="false">SUM(C11:G11)</f>
        <v>127402</v>
      </c>
      <c r="I11" s="33" t="n">
        <f aca="false">H11/5</f>
        <v>25480.4</v>
      </c>
      <c r="J11" s="42" t="n">
        <f aca="false">IF(H15&lt;&gt;0,ABS(H11)/ABS(H15),0)</f>
        <v>0.0175056057593363</v>
      </c>
      <c r="K11" s="43" t="s">
        <v>65</v>
      </c>
      <c r="L11" s="44" t="s">
        <v>70</v>
      </c>
      <c r="M11" s="44"/>
      <c r="N11" s="44"/>
    </row>
    <row r="12" customFormat="false" ht="19.5" hidden="false" customHeight="true" outlineLevel="0" collapsed="false">
      <c r="A12" s="15" t="s">
        <v>55</v>
      </c>
      <c r="B12" s="46" t="s">
        <v>67</v>
      </c>
      <c r="C12" s="36" t="n">
        <f aca="false">'前提条件（入力）'!B25</f>
        <v>8963</v>
      </c>
      <c r="D12" s="36" t="n">
        <f aca="false">'前提条件（入力）'!C25</f>
        <v>8963</v>
      </c>
      <c r="E12" s="36" t="n">
        <f aca="false">'前提条件（入力）'!D25</f>
        <v>8963</v>
      </c>
      <c r="F12" s="36" t="n">
        <f aca="false">'前提条件（入力）'!E25</f>
        <v>8963</v>
      </c>
      <c r="G12" s="36" t="n">
        <f aca="false">'前提条件（入力）'!F25</f>
        <v>8963</v>
      </c>
      <c r="H12" s="36" t="n">
        <f aca="false">SUM(C12:G12)</f>
        <v>44815</v>
      </c>
      <c r="I12" s="47" t="n">
        <f aca="false">H12/5</f>
        <v>8963</v>
      </c>
      <c r="J12" s="48" t="n">
        <f aca="false">IF(H15&lt;&gt;0,ABS(H12)/ABS(H15),0)</f>
        <v>0.00615778184098097</v>
      </c>
      <c r="K12" s="49" t="s">
        <v>71</v>
      </c>
      <c r="L12" s="44" t="s">
        <v>72</v>
      </c>
      <c r="M12" s="44"/>
      <c r="N12" s="44"/>
    </row>
    <row r="13" customFormat="false" ht="19.5" hidden="false" customHeight="true" outlineLevel="0" collapsed="false">
      <c r="A13" s="50" t="s">
        <v>51</v>
      </c>
      <c r="B13" s="51" t="s">
        <v>73</v>
      </c>
      <c r="C13" s="35" t="n">
        <f aca="false">'前提条件（入力）'!B23</f>
        <v>-94000</v>
      </c>
      <c r="D13" s="35" t="n">
        <f aca="false">'前提条件（入力）'!C23</f>
        <v>-92000</v>
      </c>
      <c r="E13" s="35" t="n">
        <f aca="false">'前提条件（入力）'!D23</f>
        <v>-90000</v>
      </c>
      <c r="F13" s="35" t="n">
        <f aca="false">'前提条件（入力）'!E23</f>
        <v>-88000</v>
      </c>
      <c r="G13" s="35" t="n">
        <f aca="false">'前提条件（入力）'!F23</f>
        <v>-86000</v>
      </c>
      <c r="H13" s="32" t="n">
        <f aca="false">SUM(C13:G13)</f>
        <v>-450000</v>
      </c>
      <c r="I13" s="33" t="n">
        <f aca="false">H13/5</f>
        <v>-90000</v>
      </c>
      <c r="J13" s="52" t="n">
        <f aca="false">IF(H15&lt;&gt;0,ABS(H13)/ABS(H15),0)</f>
        <v>0.0618320167006903</v>
      </c>
      <c r="K13" s="53" t="s">
        <v>65</v>
      </c>
      <c r="L13" s="44" t="s">
        <v>74</v>
      </c>
      <c r="M13" s="44"/>
      <c r="N13" s="44"/>
    </row>
    <row r="14" customFormat="false" ht="19.5" hidden="false" customHeight="true" outlineLevel="0" collapsed="false">
      <c r="A14" s="50" t="s">
        <v>53</v>
      </c>
      <c r="B14" s="51" t="s">
        <v>73</v>
      </c>
      <c r="C14" s="35" t="n">
        <f aca="false">'前提条件（入力）'!B24</f>
        <v>-3000</v>
      </c>
      <c r="D14" s="35" t="n">
        <f aca="false">'前提条件（入力）'!C24</f>
        <v>-3000</v>
      </c>
      <c r="E14" s="35" t="n">
        <f aca="false">'前提条件（入力）'!D24</f>
        <v>-3000</v>
      </c>
      <c r="F14" s="35" t="n">
        <f aca="false">'前提条件（入力）'!E24</f>
        <v>-3000</v>
      </c>
      <c r="G14" s="35" t="n">
        <f aca="false">'前提条件（入力）'!F24</f>
        <v>-3000</v>
      </c>
      <c r="H14" s="32" t="n">
        <f aca="false">SUM(C14:G14)</f>
        <v>-15000</v>
      </c>
      <c r="I14" s="33" t="n">
        <f aca="false">H14/5</f>
        <v>-3000</v>
      </c>
      <c r="J14" s="52" t="n">
        <f aca="false">IF(H15&lt;&gt;0,ABS(H14)/ABS(H15),0)</f>
        <v>0.00206106722335634</v>
      </c>
      <c r="K14" s="53" t="s">
        <v>65</v>
      </c>
      <c r="L14" s="44" t="s">
        <v>74</v>
      </c>
      <c r="M14" s="44"/>
      <c r="N14" s="44"/>
    </row>
    <row r="15" customFormat="false" ht="24" hidden="false" customHeight="true" outlineLevel="0" collapsed="false">
      <c r="A15" s="54" t="s">
        <v>75</v>
      </c>
      <c r="B15" s="55"/>
      <c r="C15" s="56" t="n">
        <f aca="false">SUM(C8:C14)</f>
        <v>459184</v>
      </c>
      <c r="D15" s="56" t="n">
        <f aca="false">SUM(C8:D14)</f>
        <v>950289</v>
      </c>
      <c r="E15" s="56" t="n">
        <f aca="false">SUM(C8:E14)</f>
        <v>1450381</v>
      </c>
      <c r="F15" s="56" t="n">
        <f aca="false">SUM(C8:F14)</f>
        <v>1955360</v>
      </c>
      <c r="G15" s="56" t="n">
        <f aca="false">SUM(C8:G14)</f>
        <v>2462569</v>
      </c>
      <c r="H15" s="57" t="n">
        <f aca="false">SUM(C15:G15)</f>
        <v>7277783</v>
      </c>
      <c r="I15" s="58" t="n">
        <f aca="false">H15/5</f>
        <v>1455556.6</v>
      </c>
      <c r="J15" s="55"/>
      <c r="K15" s="55"/>
      <c r="L15" s="55"/>
      <c r="M15" s="55"/>
      <c r="N15" s="55"/>
    </row>
    <row r="16" customFormat="false" ht="4.5" hidden="false" customHeight="true" outlineLevel="0" collapsed="false"/>
    <row r="17" customFormat="false" ht="18" hidden="false" customHeight="true" outlineLevel="0" collapsed="false">
      <c r="A17" s="59" t="s">
        <v>76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</row>
    <row r="18" customFormat="false" ht="43.5" hidden="false" customHeight="true" outlineLevel="0" collapsed="false">
      <c r="A18" s="60" t="s">
        <v>77</v>
      </c>
      <c r="B18" s="60" t="s">
        <v>78</v>
      </c>
      <c r="C18" s="60"/>
      <c r="D18" s="60"/>
      <c r="E18" s="60" t="s">
        <v>79</v>
      </c>
      <c r="F18" s="60" t="s">
        <v>80</v>
      </c>
      <c r="G18" s="61" t="s">
        <v>81</v>
      </c>
      <c r="H18" s="61"/>
      <c r="I18" s="61"/>
      <c r="J18" s="61"/>
      <c r="K18" s="61"/>
      <c r="L18" s="61"/>
      <c r="M18" s="61"/>
      <c r="N18" s="61"/>
    </row>
    <row r="19" customFormat="false" ht="21.75" hidden="false" customHeight="true" outlineLevel="0" collapsed="false">
      <c r="A19" s="62" t="s">
        <v>82</v>
      </c>
      <c r="B19" s="63" t="s">
        <v>83</v>
      </c>
      <c r="C19" s="63"/>
      <c r="D19" s="63"/>
      <c r="E19" s="64"/>
      <c r="F19" s="65"/>
      <c r="G19" s="44" t="s">
        <v>84</v>
      </c>
      <c r="H19" s="44"/>
      <c r="I19" s="44"/>
      <c r="J19" s="44"/>
      <c r="K19" s="44"/>
      <c r="L19" s="44"/>
      <c r="M19" s="44"/>
      <c r="N19" s="44"/>
    </row>
    <row r="20" customFormat="false" ht="21.75" hidden="false" customHeight="true" outlineLevel="0" collapsed="false">
      <c r="A20" s="66" t="s">
        <v>85</v>
      </c>
      <c r="B20" s="67" t="n">
        <f aca="false">H15</f>
        <v>7277783</v>
      </c>
      <c r="C20" s="67"/>
      <c r="D20" s="67"/>
      <c r="E20" s="64"/>
      <c r="F20" s="68"/>
      <c r="G20" s="44" t="s">
        <v>86</v>
      </c>
      <c r="H20" s="44"/>
      <c r="I20" s="44"/>
      <c r="J20" s="44"/>
      <c r="K20" s="44"/>
      <c r="L20" s="44"/>
      <c r="M20" s="44"/>
      <c r="N20" s="44"/>
    </row>
    <row r="21" customFormat="false" ht="21.75" hidden="false" customHeight="true" outlineLevel="0" collapsed="false">
      <c r="A21" s="15" t="s">
        <v>87</v>
      </c>
      <c r="B21" s="69" t="n">
        <f aca="false">ROUND(H15*1000/4316000,1)</f>
        <v>1686.2</v>
      </c>
      <c r="C21" s="69"/>
      <c r="D21" s="69"/>
      <c r="E21" s="70" t="n">
        <v>128.2</v>
      </c>
      <c r="F21" s="71" t="n">
        <f aca="false">ROUND(H15*1000/4316000,1)-128.2</f>
        <v>1558</v>
      </c>
      <c r="G21" s="44" t="s">
        <v>88</v>
      </c>
      <c r="H21" s="44"/>
      <c r="I21" s="44"/>
      <c r="J21" s="44"/>
      <c r="K21" s="44"/>
      <c r="L21" s="44"/>
      <c r="M21" s="44"/>
      <c r="N21" s="44"/>
    </row>
    <row r="22" customFormat="false" ht="21.75" hidden="false" customHeight="true" outlineLevel="0" collapsed="false">
      <c r="A22" s="72" t="s">
        <v>89</v>
      </c>
      <c r="B22" s="73" t="s">
        <v>90</v>
      </c>
      <c r="C22" s="73"/>
      <c r="D22" s="73"/>
      <c r="E22" s="70" t="n">
        <v>128.2</v>
      </c>
      <c r="F22" s="68"/>
      <c r="G22" s="44" t="s">
        <v>91</v>
      </c>
      <c r="H22" s="44"/>
      <c r="I22" s="44"/>
      <c r="J22" s="44"/>
      <c r="K22" s="44"/>
      <c r="L22" s="44"/>
      <c r="M22" s="44"/>
      <c r="N22" s="44"/>
    </row>
    <row r="23" customFormat="false" ht="21.75" hidden="false" customHeight="true" outlineLevel="0" collapsed="false">
      <c r="A23" s="74" t="s">
        <v>92</v>
      </c>
      <c r="B23" s="75" t="n">
        <f aca="false">128.2/ROUND(H15*1000/4316000,1)</f>
        <v>0.0760289408136639</v>
      </c>
      <c r="C23" s="75"/>
      <c r="D23" s="75"/>
      <c r="E23" s="76" t="n">
        <v>0.5287</v>
      </c>
      <c r="F23" s="65"/>
      <c r="G23" s="44" t="s">
        <v>93</v>
      </c>
      <c r="H23" s="44"/>
      <c r="I23" s="44"/>
      <c r="J23" s="44"/>
      <c r="K23" s="44"/>
      <c r="L23" s="44"/>
      <c r="M23" s="44"/>
      <c r="N23" s="44"/>
    </row>
    <row r="24" customFormat="false" ht="21.75" hidden="false" customHeight="true" outlineLevel="0" collapsed="false">
      <c r="A24" s="72" t="s">
        <v>94</v>
      </c>
      <c r="B24" s="73" t="s">
        <v>95</v>
      </c>
      <c r="C24" s="73"/>
      <c r="D24" s="73"/>
      <c r="E24" s="70" t="n">
        <v>192.3</v>
      </c>
      <c r="F24" s="68"/>
      <c r="G24" s="44" t="s">
        <v>96</v>
      </c>
      <c r="H24" s="44"/>
      <c r="I24" s="44"/>
      <c r="J24" s="44"/>
      <c r="K24" s="44"/>
      <c r="L24" s="44"/>
      <c r="M24" s="44"/>
      <c r="N24" s="44"/>
    </row>
    <row r="25" customFormat="false" ht="21.75" hidden="false" customHeight="true" outlineLevel="0" collapsed="false">
      <c r="A25" s="15" t="s">
        <v>97</v>
      </c>
      <c r="B25" s="77" t="n">
        <f aca="false">192.3/ROUND(H15*1000/4316000,1)</f>
        <v>0.114043411220496</v>
      </c>
      <c r="C25" s="77"/>
      <c r="D25" s="77"/>
      <c r="E25" s="64"/>
      <c r="F25" s="78"/>
      <c r="G25" s="44" t="s">
        <v>98</v>
      </c>
      <c r="H25" s="44"/>
      <c r="I25" s="44"/>
      <c r="J25" s="44"/>
      <c r="K25" s="44"/>
      <c r="L25" s="44"/>
      <c r="M25" s="44"/>
      <c r="N25" s="44"/>
    </row>
    <row r="26" customFormat="false" ht="21.75" hidden="false" customHeight="true" outlineLevel="0" collapsed="false">
      <c r="A26" s="15" t="s">
        <v>99</v>
      </c>
      <c r="B26" s="69" t="n">
        <f aca="false">ROUND((ROUND(H15*1000/4316000,1)-128.2)/12,0)</f>
        <v>130</v>
      </c>
      <c r="C26" s="69"/>
      <c r="D26" s="69"/>
      <c r="E26" s="64"/>
      <c r="F26" s="78"/>
      <c r="G26" s="44" t="s">
        <v>100</v>
      </c>
      <c r="H26" s="44"/>
      <c r="I26" s="44"/>
      <c r="J26" s="44"/>
      <c r="K26" s="44"/>
      <c r="L26" s="44"/>
      <c r="M26" s="44"/>
      <c r="N26" s="44"/>
    </row>
    <row r="27" customFormat="false" ht="4.5" hidden="false" customHeight="true" outlineLevel="0" collapsed="false"/>
    <row r="28" customFormat="false" ht="18" hidden="false" customHeight="true" outlineLevel="0" collapsed="false">
      <c r="A28" s="79" t="s">
        <v>101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</row>
    <row r="29" customFormat="false" ht="12" hidden="false" customHeight="true" outlineLevel="0" collapsed="false">
      <c r="A29" s="3" t="s">
        <v>102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customFormat="false" ht="43.5" hidden="false" customHeight="true" outlineLevel="0" collapsed="false">
      <c r="A30" s="80" t="s">
        <v>11</v>
      </c>
      <c r="B30" s="80" t="s">
        <v>103</v>
      </c>
      <c r="C30" s="80" t="s">
        <v>104</v>
      </c>
      <c r="D30" s="80" t="s">
        <v>105</v>
      </c>
      <c r="E30" s="80" t="s">
        <v>106</v>
      </c>
      <c r="F30" s="80" t="s">
        <v>107</v>
      </c>
      <c r="G30" s="80" t="s">
        <v>108</v>
      </c>
      <c r="H30" s="80" t="s">
        <v>109</v>
      </c>
      <c r="I30" s="81" t="s">
        <v>110</v>
      </c>
      <c r="J30" s="81"/>
      <c r="K30" s="81"/>
      <c r="L30" s="81"/>
      <c r="M30" s="81"/>
      <c r="N30" s="81"/>
    </row>
    <row r="31" customFormat="false" ht="18" hidden="false" customHeight="true" outlineLevel="0" collapsed="false">
      <c r="A31" s="82" t="str">
        <f aca="false">IF(ABS('前提条件（入力）'!$B$7-0.01)&lt;0.0001,"▶ 1.0%（現設定）","1.0%（現設定）")</f>
        <v>▶ 1.0%（現設定）</v>
      </c>
      <c r="B31" s="83" t="n">
        <f aca="false">ROUND('前提条件（入力）'!$B$13*0.01,0)</f>
        <v>8963</v>
      </c>
      <c r="C31" s="83" t="n">
        <f aca="false">ROUND('前提条件（入力）'!$B$13*0.01,0)*5</f>
        <v>44815</v>
      </c>
      <c r="D31" s="84" t="n">
        <f aca="false">2417754+ROUND('前提条件（入力）'!$B$13*0.01,0)*5</f>
        <v>2462569</v>
      </c>
      <c r="E31" s="85" t="n">
        <f aca="false">ROUND((2417754+ROUND('前提条件（入力）'!$B$13*0.01,0)*5)*1000/4316000,1)</f>
        <v>570.6</v>
      </c>
      <c r="F31" s="86" t="n">
        <f aca="false">IF(E31&lt;&gt;0,128.2/E31,0)</f>
        <v>0.224675779880827</v>
      </c>
      <c r="G31" s="87" t="n">
        <f aca="false">IF(E31&lt;&gt;0,192.3/E31,0)</f>
        <v>0.337013669821241</v>
      </c>
      <c r="H31" s="88" t="s">
        <v>111</v>
      </c>
      <c r="I31" s="44" t="s">
        <v>112</v>
      </c>
      <c r="J31" s="44"/>
      <c r="K31" s="44"/>
      <c r="L31" s="44"/>
      <c r="M31" s="44"/>
      <c r="N31" s="44"/>
    </row>
    <row r="32" customFormat="false" ht="18" hidden="false" customHeight="true" outlineLevel="0" collapsed="false">
      <c r="A32" s="89" t="str">
        <f aca="false">IF(ABS('前提条件（入力）'!$B$7-0.013)&lt;0.0001,"▶ 1.3%","1.3%")</f>
        <v>1.3%</v>
      </c>
      <c r="B32" s="90" t="n">
        <f aca="false">ROUND('前提条件（入力）'!$B$13*0.013,0)</f>
        <v>11652</v>
      </c>
      <c r="C32" s="90" t="n">
        <f aca="false">ROUND('前提条件（入力）'!$B$13*0.013,0)*5</f>
        <v>58260</v>
      </c>
      <c r="D32" s="90" t="n">
        <f aca="false">2417754+ROUND('前提条件（入力）'!$B$13*0.013,0)*5</f>
        <v>2476014</v>
      </c>
      <c r="E32" s="91" t="n">
        <f aca="false">ROUND((2417754+ROUND('前提条件（入力）'!$B$13*0.013,0)*5)*1000/4316000,1)</f>
        <v>573.7</v>
      </c>
      <c r="F32" s="92" t="n">
        <f aca="false">IF(E32&lt;&gt;0,128.2/E32,0)</f>
        <v>0.223461739585149</v>
      </c>
      <c r="G32" s="93" t="n">
        <f aca="false">IF(E32&lt;&gt;0,192.3/E32,0)</f>
        <v>0.335192609377724</v>
      </c>
      <c r="H32" s="94"/>
      <c r="I32" s="44" t="s">
        <v>113</v>
      </c>
      <c r="J32" s="44"/>
      <c r="K32" s="44"/>
      <c r="L32" s="44"/>
      <c r="M32" s="44"/>
      <c r="N32" s="44"/>
    </row>
    <row r="33" customFormat="false" ht="18" hidden="false" customHeight="true" outlineLevel="0" collapsed="false">
      <c r="A33" s="95" t="str">
        <f aca="false">IF(ABS('前提条件（入力）'!$B$7-0.015)&lt;0.0001,"▶ 1.5%","1.5%")</f>
        <v>1.5%</v>
      </c>
      <c r="B33" s="96" t="n">
        <f aca="false">ROUND('前提条件（入力）'!$B$13*0.015,0)</f>
        <v>13445</v>
      </c>
      <c r="C33" s="96" t="n">
        <f aca="false">ROUND('前提条件（入力）'!$B$13*0.015,0)*5</f>
        <v>67225</v>
      </c>
      <c r="D33" s="96" t="n">
        <f aca="false">2417754+ROUND('前提条件（入力）'!$B$13*0.015,0)*5</f>
        <v>2484979</v>
      </c>
      <c r="E33" s="97" t="n">
        <f aca="false">ROUND((2417754+ROUND('前提条件（入力）'!$B$13*0.015,0)*5)*1000/4316000,1)</f>
        <v>575.8</v>
      </c>
      <c r="F33" s="98" t="n">
        <f aca="false">IF(E33&lt;&gt;0,128.2/E33,0)</f>
        <v>0.222646752344564</v>
      </c>
      <c r="G33" s="99" t="n">
        <f aca="false">IF(E33&lt;&gt;0,192.3/E33,0)</f>
        <v>0.333970128516846</v>
      </c>
      <c r="H33" s="100"/>
      <c r="I33" s="44" t="s">
        <v>114</v>
      </c>
      <c r="J33" s="44"/>
      <c r="K33" s="44"/>
      <c r="L33" s="44"/>
      <c r="M33" s="44"/>
      <c r="N33" s="44"/>
    </row>
    <row r="34" customFormat="false" ht="18" hidden="false" customHeight="true" outlineLevel="0" collapsed="false">
      <c r="A34" s="89" t="str">
        <f aca="false">IF(ABS('前提条件（入力）'!$B$7-0.017)&lt;0.0001,"▶ 1.7%","1.7%")</f>
        <v>1.7%</v>
      </c>
      <c r="B34" s="90" t="n">
        <f aca="false">ROUND('前提条件（入力）'!$B$13*0.017,0)</f>
        <v>15237</v>
      </c>
      <c r="C34" s="90" t="n">
        <f aca="false">ROUND('前提条件（入力）'!$B$13*0.017,0)*5</f>
        <v>76185</v>
      </c>
      <c r="D34" s="90" t="n">
        <f aca="false">2417754+ROUND('前提条件（入力）'!$B$13*0.017,0)*5</f>
        <v>2493939</v>
      </c>
      <c r="E34" s="91" t="n">
        <f aca="false">ROUND((2417754+ROUND('前提条件（入力）'!$B$13*0.017,0)*5)*1000/4316000,1)</f>
        <v>577.8</v>
      </c>
      <c r="F34" s="92" t="n">
        <f aca="false">IF(E34&lt;&gt;0,128.2/E34,0)</f>
        <v>0.221876081689166</v>
      </c>
      <c r="G34" s="93" t="n">
        <f aca="false">IF(E34&lt;&gt;0,192.3/E34,0)</f>
        <v>0.332814122533749</v>
      </c>
      <c r="H34" s="94"/>
      <c r="I34" s="44" t="s">
        <v>115</v>
      </c>
      <c r="J34" s="44"/>
      <c r="K34" s="44"/>
      <c r="L34" s="44"/>
      <c r="M34" s="44"/>
      <c r="N34" s="44"/>
    </row>
    <row r="35" customFormat="false" ht="18" hidden="false" customHeight="true" outlineLevel="0" collapsed="false">
      <c r="A35" s="95" t="str">
        <f aca="false">IF(ABS('前提条件（入力）'!$B$7-0.02)&lt;0.0001,"▶ 2.0%（推奨下限）","2.0%（推奨下限）")</f>
        <v>2.0%（推奨下限）</v>
      </c>
      <c r="B35" s="96" t="n">
        <f aca="false">ROUND('前提条件（入力）'!$B$13*0.02,0)</f>
        <v>17926</v>
      </c>
      <c r="C35" s="96" t="n">
        <f aca="false">ROUND('前提条件（入力）'!$B$13*0.02,0)*5</f>
        <v>89630</v>
      </c>
      <c r="D35" s="96" t="n">
        <f aca="false">2417754+ROUND('前提条件（入力）'!$B$13*0.02,0)*5</f>
        <v>2507384</v>
      </c>
      <c r="E35" s="97" t="n">
        <f aca="false">ROUND((2417754+ROUND('前提条件（入力）'!$B$13*0.02,0)*5)*1000/4316000,1)</f>
        <v>581</v>
      </c>
      <c r="F35" s="98" t="n">
        <f aca="false">IF(E35&lt;&gt;0,128.2/E35,0)</f>
        <v>0.22065404475043</v>
      </c>
      <c r="G35" s="99" t="n">
        <f aca="false">IF(E35&lt;&gt;0,192.3/E35,0)</f>
        <v>0.330981067125645</v>
      </c>
      <c r="H35" s="101" t="s">
        <v>116</v>
      </c>
      <c r="I35" s="44" t="s">
        <v>117</v>
      </c>
      <c r="J35" s="44"/>
      <c r="K35" s="44"/>
      <c r="L35" s="44"/>
      <c r="M35" s="44"/>
      <c r="N35" s="44"/>
    </row>
    <row r="36" customFormat="false" ht="18" hidden="false" customHeight="true" outlineLevel="0" collapsed="false">
      <c r="A36" s="89" t="str">
        <f aca="false">IF(ABS('前提条件（入力）'!$B$7-0.023)&lt;0.0001,"▶ 2.3%（松山市）","2.3%（松山市）")</f>
        <v>2.3%（松山市）</v>
      </c>
      <c r="B36" s="90" t="n">
        <f aca="false">ROUND('前提条件（入力）'!$B$13*0.023,0)</f>
        <v>20615</v>
      </c>
      <c r="C36" s="90" t="n">
        <f aca="false">ROUND('前提条件（入力）'!$B$13*0.023,0)*5</f>
        <v>103075</v>
      </c>
      <c r="D36" s="90" t="n">
        <f aca="false">2417754+ROUND('前提条件（入力）'!$B$13*0.023,0)*5</f>
        <v>2520829</v>
      </c>
      <c r="E36" s="91" t="n">
        <f aca="false">ROUND((2417754+ROUND('前提条件（入力）'!$B$13*0.023,0)*5)*1000/4316000,1)</f>
        <v>584.1</v>
      </c>
      <c r="F36" s="92" t="n">
        <f aca="false">IF(E36&lt;&gt;0,128.2/E36,0)</f>
        <v>0.219482965245677</v>
      </c>
      <c r="G36" s="93" t="n">
        <f aca="false">IF(E36&lt;&gt;0,192.3/E36,0)</f>
        <v>0.329224447868516</v>
      </c>
      <c r="H36" s="94"/>
      <c r="I36" s="44" t="s">
        <v>118</v>
      </c>
      <c r="J36" s="44"/>
      <c r="K36" s="44"/>
      <c r="L36" s="44"/>
      <c r="M36" s="44"/>
      <c r="N36" s="44"/>
    </row>
    <row r="37" customFormat="false" ht="18" hidden="false" customHeight="true" outlineLevel="0" collapsed="false">
      <c r="A37" s="95" t="str">
        <f aca="false">IF(ABS('前提条件（入力）'!$B$7-0.025)&lt;0.0001,"▶ 2.5%","2.5%")</f>
        <v>2.5%</v>
      </c>
      <c r="B37" s="96" t="n">
        <f aca="false">ROUND('前提条件（入力）'!$B$13*0.025,0)</f>
        <v>22408</v>
      </c>
      <c r="C37" s="96" t="n">
        <f aca="false">ROUND('前提条件（入力）'!$B$13*0.025,0)*5</f>
        <v>112040</v>
      </c>
      <c r="D37" s="96" t="n">
        <f aca="false">2417754+ROUND('前提条件（入力）'!$B$13*0.025,0)*5</f>
        <v>2529794</v>
      </c>
      <c r="E37" s="97" t="n">
        <f aca="false">ROUND((2417754+ROUND('前提条件（入力）'!$B$13*0.025,0)*5)*1000/4316000,1)</f>
        <v>586.1</v>
      </c>
      <c r="F37" s="98" t="n">
        <f aca="false">IF(E37&lt;&gt;0,128.2/E37,0)</f>
        <v>0.218734004436103</v>
      </c>
      <c r="G37" s="99" t="n">
        <f aca="false">IF(E37&lt;&gt;0,192.3/E37,0)</f>
        <v>0.328101006654155</v>
      </c>
      <c r="H37" s="101" t="s">
        <v>116</v>
      </c>
      <c r="I37" s="102" t="s">
        <v>119</v>
      </c>
      <c r="J37" s="102"/>
      <c r="K37" s="102"/>
      <c r="L37" s="102"/>
      <c r="M37" s="102"/>
      <c r="N37" s="102"/>
    </row>
    <row r="38" customFormat="false" ht="18" hidden="false" customHeight="true" outlineLevel="0" collapsed="false">
      <c r="A38" s="89" t="str">
        <f aca="false">IF(ABS('前提条件（入力）'!$B$7-0.027)&lt;0.0001,"▶ 2.7%","2.7%")</f>
        <v>2.7%</v>
      </c>
      <c r="B38" s="90" t="n">
        <f aca="false">ROUND('前提条件（入力）'!$B$13*0.027,0)</f>
        <v>24200</v>
      </c>
      <c r="C38" s="90" t="n">
        <f aca="false">ROUND('前提条件（入力）'!$B$13*0.027,0)*5</f>
        <v>121000</v>
      </c>
      <c r="D38" s="90" t="n">
        <f aca="false">2417754+ROUND('前提条件（入力）'!$B$13*0.027,0)*5</f>
        <v>2538754</v>
      </c>
      <c r="E38" s="91" t="n">
        <f aca="false">ROUND((2417754+ROUND('前提条件（入力）'!$B$13*0.027,0)*5)*1000/4316000,1)</f>
        <v>588.2</v>
      </c>
      <c r="F38" s="92" t="n">
        <f aca="false">IF(E38&lt;&gt;0,128.2/E38,0)</f>
        <v>0.217953077184631</v>
      </c>
      <c r="G38" s="93" t="n">
        <f aca="false">IF(E38&lt;&gt;0,192.3/E38,0)</f>
        <v>0.326929615776947</v>
      </c>
      <c r="H38" s="94"/>
      <c r="I38" s="44" t="s">
        <v>120</v>
      </c>
      <c r="J38" s="44"/>
      <c r="K38" s="44"/>
      <c r="L38" s="44"/>
      <c r="M38" s="44"/>
      <c r="N38" s="44"/>
    </row>
    <row r="39" customFormat="false" ht="18" hidden="false" customHeight="true" outlineLevel="0" collapsed="false">
      <c r="A39" s="95" t="str">
        <f aca="false">IF(ABS('前提条件（入力）'!$B$7-0.03)&lt;0.0001,"▶ 3.0%（要領標準）","3.0%（要領標準）")</f>
        <v>3.0%（要領標準）</v>
      </c>
      <c r="B39" s="96" t="n">
        <f aca="false">ROUND('前提条件（入力）'!$B$13*0.03,0)</f>
        <v>26889</v>
      </c>
      <c r="C39" s="96" t="n">
        <f aca="false">ROUND('前提条件（入力）'!$B$13*0.03,0)*5</f>
        <v>134445</v>
      </c>
      <c r="D39" s="96" t="n">
        <f aca="false">2417754+ROUND('前提条件（入力）'!$B$13*0.03,0)*5</f>
        <v>2552199</v>
      </c>
      <c r="E39" s="97" t="n">
        <f aca="false">ROUND((2417754+ROUND('前提条件（入力）'!$B$13*0.03,0)*5)*1000/4316000,1)</f>
        <v>591.3</v>
      </c>
      <c r="F39" s="98" t="n">
        <f aca="false">IF(E39&lt;&gt;0,128.2/E39,0)</f>
        <v>0.21681041772366</v>
      </c>
      <c r="G39" s="99" t="n">
        <f aca="false">IF(E39&lt;&gt;0,192.3/E39,0)</f>
        <v>0.32521562658549</v>
      </c>
      <c r="H39" s="103" t="s">
        <v>121</v>
      </c>
      <c r="I39" s="44" t="s">
        <v>122</v>
      </c>
      <c r="J39" s="44"/>
      <c r="K39" s="44"/>
      <c r="L39" s="44"/>
      <c r="M39" s="44"/>
      <c r="N39" s="44"/>
    </row>
    <row r="40" customFormat="false" ht="12" hidden="false" customHeight="true" outlineLevel="0" collapsed="false">
      <c r="A40" s="3" t="s">
        <v>123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</sheetData>
  <mergeCells count="43">
    <mergeCell ref="A1:N1"/>
    <mergeCell ref="A2:N2"/>
    <mergeCell ref="A4:N4"/>
    <mergeCell ref="A6:N6"/>
    <mergeCell ref="L8:N8"/>
    <mergeCell ref="L9:N9"/>
    <mergeCell ref="L10:N10"/>
    <mergeCell ref="L11:N11"/>
    <mergeCell ref="L12:N12"/>
    <mergeCell ref="L13:N13"/>
    <mergeCell ref="L14:N14"/>
    <mergeCell ref="A17:N17"/>
    <mergeCell ref="B18:D18"/>
    <mergeCell ref="G18:N18"/>
    <mergeCell ref="B19:D19"/>
    <mergeCell ref="G19:N19"/>
    <mergeCell ref="B20:D20"/>
    <mergeCell ref="G20:N20"/>
    <mergeCell ref="B21:D21"/>
    <mergeCell ref="G21:N21"/>
    <mergeCell ref="B22:D22"/>
    <mergeCell ref="G22:N22"/>
    <mergeCell ref="B23:D23"/>
    <mergeCell ref="G23:N23"/>
    <mergeCell ref="B24:D24"/>
    <mergeCell ref="G24:N24"/>
    <mergeCell ref="B25:D25"/>
    <mergeCell ref="G25:N25"/>
    <mergeCell ref="B26:D26"/>
    <mergeCell ref="G26:N26"/>
    <mergeCell ref="A28:N28"/>
    <mergeCell ref="A29:N29"/>
    <mergeCell ref="I30:N30"/>
    <mergeCell ref="I31:N31"/>
    <mergeCell ref="I32:N32"/>
    <mergeCell ref="I33:N33"/>
    <mergeCell ref="I34:N34"/>
    <mergeCell ref="I35:N35"/>
    <mergeCell ref="I36:N36"/>
    <mergeCell ref="I37:N37"/>
    <mergeCell ref="I38:N38"/>
    <mergeCell ref="I39:N39"/>
    <mergeCell ref="A40:N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7" min="5" style="1" width="12"/>
    <col collapsed="false" customWidth="true" hidden="false" outlineLevel="0" max="8" min="8" style="1" width="10"/>
  </cols>
  <sheetData>
    <row r="1" customFormat="false" ht="24" hidden="false" customHeight="true" outlineLevel="0" collapsed="false">
      <c r="A1" s="2" t="s">
        <v>124</v>
      </c>
      <c r="B1" s="2"/>
      <c r="C1" s="2"/>
      <c r="D1" s="2"/>
      <c r="E1" s="2"/>
      <c r="F1" s="2"/>
      <c r="G1" s="2"/>
      <c r="H1" s="2"/>
      <c r="I1" s="2"/>
    </row>
    <row r="2" customFormat="false" ht="12" hidden="false" customHeight="true" outlineLevel="0" collapsed="false">
      <c r="A2" s="3" t="s">
        <v>125</v>
      </c>
      <c r="B2" s="3"/>
      <c r="C2" s="3"/>
      <c r="D2" s="3"/>
      <c r="E2" s="3"/>
      <c r="F2" s="3"/>
      <c r="G2" s="3"/>
      <c r="H2" s="3"/>
      <c r="I2" s="3"/>
    </row>
    <row r="3" customFormat="false" ht="4.5" hidden="false" customHeight="true" outlineLevel="0" collapsed="false"/>
    <row r="4" customFormat="false" ht="18" hidden="false" customHeight="true" outlineLevel="0" collapsed="false">
      <c r="A4" s="79" t="s">
        <v>126</v>
      </c>
      <c r="B4" s="79"/>
      <c r="C4" s="79"/>
      <c r="D4" s="79"/>
      <c r="E4" s="79"/>
      <c r="F4" s="79"/>
      <c r="G4" s="79"/>
      <c r="H4" s="79"/>
      <c r="I4" s="79"/>
    </row>
    <row r="5" customFormat="false" ht="43.5" hidden="false" customHeight="true" outlineLevel="0" collapsed="false">
      <c r="A5" s="80" t="s">
        <v>11</v>
      </c>
      <c r="B5" s="80" t="s">
        <v>127</v>
      </c>
      <c r="C5" s="80" t="s">
        <v>128</v>
      </c>
      <c r="D5" s="80" t="s">
        <v>129</v>
      </c>
      <c r="E5" s="80" t="s">
        <v>106</v>
      </c>
      <c r="F5" s="80" t="s">
        <v>130</v>
      </c>
      <c r="G5" s="80" t="s">
        <v>131</v>
      </c>
      <c r="H5" s="80" t="s">
        <v>132</v>
      </c>
    </row>
    <row r="6" customFormat="false" ht="18" hidden="false" customHeight="true" outlineLevel="0" collapsed="false">
      <c r="A6" s="104" t="n">
        <v>0.01</v>
      </c>
      <c r="B6" s="105" t="n">
        <f aca="false">ROUND('前提条件（入力）'!$B$13*0.01,0)</f>
        <v>8963</v>
      </c>
      <c r="C6" s="105" t="n">
        <f aca="false">ROUND('前提条件（入力）'!$B$13*0.01,0)*5</f>
        <v>44815</v>
      </c>
      <c r="D6" s="105" t="n">
        <f aca="false">2417754+ROUND('前提条件（入力）'!$B$13*0.01,0)*5</f>
        <v>2462569</v>
      </c>
      <c r="E6" s="106" t="n">
        <f aca="false">ROUND((2417754+ROUND('前提条件（入力）'!$B$13*0.01,0)*5)*1000/4316000,1)</f>
        <v>570.6</v>
      </c>
      <c r="F6" s="107" t="n">
        <f aca="false">IF(E6&lt;&gt;0,128.2/E6,0)</f>
        <v>0.224675779880827</v>
      </c>
      <c r="G6" s="107" t="n">
        <f aca="false">IF(E6&lt;&gt;0,192.3/E6,0)</f>
        <v>0.337013669821241</v>
      </c>
      <c r="H6" s="108" t="str">
        <f aca="false">IF(ABS('前提条件（入力）'!$B$7-0.01)&lt;0.0001,"★現在値","")</f>
        <v>★現在値</v>
      </c>
    </row>
    <row r="7" customFormat="false" ht="18" hidden="false" customHeight="true" outlineLevel="0" collapsed="false">
      <c r="A7" s="109" t="n">
        <v>0.013</v>
      </c>
      <c r="B7" s="110" t="n">
        <f aca="false">ROUND('前提条件（入力）'!$B$13*0.013,0)</f>
        <v>11652</v>
      </c>
      <c r="C7" s="110" t="n">
        <f aca="false">ROUND('前提条件（入力）'!$B$13*0.013,0)*5</f>
        <v>58260</v>
      </c>
      <c r="D7" s="110" t="n">
        <f aca="false">2417754+ROUND('前提条件（入力）'!$B$13*0.013,0)*5</f>
        <v>2476014</v>
      </c>
      <c r="E7" s="111" t="n">
        <f aca="false">ROUND((2417754+ROUND('前提条件（入力）'!$B$13*0.013,0)*5)*1000/4316000,1)</f>
        <v>573.7</v>
      </c>
      <c r="F7" s="112" t="n">
        <f aca="false">IF(E7&lt;&gt;0,128.2/E7,0)</f>
        <v>0.223461739585149</v>
      </c>
      <c r="G7" s="112" t="n">
        <f aca="false">IF(E7&lt;&gt;0,192.3/E7,0)</f>
        <v>0.335192609377724</v>
      </c>
      <c r="H7" s="113" t="str">
        <f aca="false">IF(ABS('前提条件（入力）'!$B$7-0.013)&lt;0.0001,"★現在値","")</f>
        <v/>
      </c>
    </row>
    <row r="8" customFormat="false" ht="18" hidden="false" customHeight="true" outlineLevel="0" collapsed="false">
      <c r="A8" s="114" t="n">
        <v>0.015</v>
      </c>
      <c r="B8" s="115" t="n">
        <f aca="false">ROUND('前提条件（入力）'!$B$13*0.015,0)</f>
        <v>13445</v>
      </c>
      <c r="C8" s="115" t="n">
        <f aca="false">ROUND('前提条件（入力）'!$B$13*0.015,0)*5</f>
        <v>67225</v>
      </c>
      <c r="D8" s="115" t="n">
        <f aca="false">2417754+ROUND('前提条件（入力）'!$B$13*0.015,0)*5</f>
        <v>2484979</v>
      </c>
      <c r="E8" s="116" t="n">
        <f aca="false">ROUND((2417754+ROUND('前提条件（入力）'!$B$13*0.015,0)*5)*1000/4316000,1)</f>
        <v>575.8</v>
      </c>
      <c r="F8" s="117" t="n">
        <f aca="false">IF(E8&lt;&gt;0,128.2/E8,0)</f>
        <v>0.222646752344564</v>
      </c>
      <c r="G8" s="117" t="n">
        <f aca="false">IF(E8&lt;&gt;0,192.3/E8,0)</f>
        <v>0.333970128516846</v>
      </c>
      <c r="H8" s="118" t="str">
        <f aca="false">IF(ABS('前提条件（入力）'!$B$7-0.015)&lt;0.0001,"★現在値","")</f>
        <v/>
      </c>
    </row>
    <row r="9" customFormat="false" ht="18" hidden="false" customHeight="true" outlineLevel="0" collapsed="false">
      <c r="A9" s="109" t="n">
        <v>0.017</v>
      </c>
      <c r="B9" s="110" t="n">
        <f aca="false">ROUND('前提条件（入力）'!$B$13*0.017,0)</f>
        <v>15237</v>
      </c>
      <c r="C9" s="110" t="n">
        <f aca="false">ROUND('前提条件（入力）'!$B$13*0.017,0)*5</f>
        <v>76185</v>
      </c>
      <c r="D9" s="110" t="n">
        <f aca="false">2417754+ROUND('前提条件（入力）'!$B$13*0.017,0)*5</f>
        <v>2493939</v>
      </c>
      <c r="E9" s="111" t="n">
        <f aca="false">ROUND((2417754+ROUND('前提条件（入力）'!$B$13*0.017,0)*5)*1000/4316000,1)</f>
        <v>577.8</v>
      </c>
      <c r="F9" s="112" t="n">
        <f aca="false">IF(E9&lt;&gt;0,128.2/E9,0)</f>
        <v>0.221876081689166</v>
      </c>
      <c r="G9" s="112" t="n">
        <f aca="false">IF(E9&lt;&gt;0,192.3/E9,0)</f>
        <v>0.332814122533749</v>
      </c>
      <c r="H9" s="113" t="str">
        <f aca="false">IF(ABS('前提条件（入力）'!$B$7-0.017)&lt;0.0001,"★現在値","")</f>
        <v/>
      </c>
    </row>
    <row r="10" customFormat="false" ht="18" hidden="false" customHeight="true" outlineLevel="0" collapsed="false">
      <c r="A10" s="114" t="n">
        <v>0.02</v>
      </c>
      <c r="B10" s="115" t="n">
        <f aca="false">ROUND('前提条件（入力）'!$B$13*0.02,0)</f>
        <v>17926</v>
      </c>
      <c r="C10" s="115" t="n">
        <f aca="false">ROUND('前提条件（入力）'!$B$13*0.02,0)*5</f>
        <v>89630</v>
      </c>
      <c r="D10" s="115" t="n">
        <f aca="false">2417754+ROUND('前提条件（入力）'!$B$13*0.02,0)*5</f>
        <v>2507384</v>
      </c>
      <c r="E10" s="116" t="n">
        <f aca="false">ROUND((2417754+ROUND('前提条件（入力）'!$B$13*0.02,0)*5)*1000/4316000,1)</f>
        <v>581</v>
      </c>
      <c r="F10" s="117" t="n">
        <f aca="false">IF(E10&lt;&gt;0,128.2/E10,0)</f>
        <v>0.22065404475043</v>
      </c>
      <c r="G10" s="117" t="n">
        <f aca="false">IF(E10&lt;&gt;0,192.3/E10,0)</f>
        <v>0.330981067125645</v>
      </c>
      <c r="H10" s="118" t="str">
        <f aca="false">IF(ABS('前提条件（入力）'!$B$7-0.02)&lt;0.0001,"★現在値","")</f>
        <v/>
      </c>
    </row>
    <row r="11" customFormat="false" ht="18" hidden="false" customHeight="true" outlineLevel="0" collapsed="false">
      <c r="A11" s="109" t="n">
        <v>0.023</v>
      </c>
      <c r="B11" s="110" t="n">
        <f aca="false">ROUND('前提条件（入力）'!$B$13*0.023,0)</f>
        <v>20615</v>
      </c>
      <c r="C11" s="110" t="n">
        <f aca="false">ROUND('前提条件（入力）'!$B$13*0.023,0)*5</f>
        <v>103075</v>
      </c>
      <c r="D11" s="110" t="n">
        <f aca="false">2417754+ROUND('前提条件（入力）'!$B$13*0.023,0)*5</f>
        <v>2520829</v>
      </c>
      <c r="E11" s="111" t="n">
        <f aca="false">ROUND((2417754+ROUND('前提条件（入力）'!$B$13*0.023,0)*5)*1000/4316000,1)</f>
        <v>584.1</v>
      </c>
      <c r="F11" s="112" t="n">
        <f aca="false">IF(E11&lt;&gt;0,128.2/E11,0)</f>
        <v>0.219482965245677</v>
      </c>
      <c r="G11" s="112" t="n">
        <f aca="false">IF(E11&lt;&gt;0,192.3/E11,0)</f>
        <v>0.329224447868516</v>
      </c>
      <c r="H11" s="113" t="str">
        <f aca="false">IF(ABS('前提条件（入力）'!$B$7-0.023)&lt;0.0001,"★現在値","")</f>
        <v/>
      </c>
    </row>
    <row r="12" customFormat="false" ht="18" hidden="false" customHeight="true" outlineLevel="0" collapsed="false">
      <c r="A12" s="114" t="n">
        <v>0.025</v>
      </c>
      <c r="B12" s="115" t="n">
        <f aca="false">ROUND('前提条件（入力）'!$B$13*0.025,0)</f>
        <v>22408</v>
      </c>
      <c r="C12" s="115" t="n">
        <f aca="false">ROUND('前提条件（入力）'!$B$13*0.025,0)*5</f>
        <v>112040</v>
      </c>
      <c r="D12" s="115" t="n">
        <f aca="false">2417754+ROUND('前提条件（入力）'!$B$13*0.025,0)*5</f>
        <v>2529794</v>
      </c>
      <c r="E12" s="116" t="n">
        <f aca="false">ROUND((2417754+ROUND('前提条件（入力）'!$B$13*0.025,0)*5)*1000/4316000,1)</f>
        <v>586.1</v>
      </c>
      <c r="F12" s="117" t="n">
        <f aca="false">IF(E12&lt;&gt;0,128.2/E12,0)</f>
        <v>0.218734004436103</v>
      </c>
      <c r="G12" s="117" t="n">
        <f aca="false">IF(E12&lt;&gt;0,192.3/E12,0)</f>
        <v>0.328101006654155</v>
      </c>
      <c r="H12" s="118" t="str">
        <f aca="false">IF(ABS('前提条件（入力）'!$B$7-0.025)&lt;0.0001,"★現在値","")</f>
        <v/>
      </c>
    </row>
    <row r="13" customFormat="false" ht="18" hidden="false" customHeight="true" outlineLevel="0" collapsed="false">
      <c r="A13" s="109" t="n">
        <v>0.027</v>
      </c>
      <c r="B13" s="110" t="n">
        <f aca="false">ROUND('前提条件（入力）'!$B$13*0.027,0)</f>
        <v>24200</v>
      </c>
      <c r="C13" s="110" t="n">
        <f aca="false">ROUND('前提条件（入力）'!$B$13*0.027,0)*5</f>
        <v>121000</v>
      </c>
      <c r="D13" s="110" t="n">
        <f aca="false">2417754+ROUND('前提条件（入力）'!$B$13*0.027,0)*5</f>
        <v>2538754</v>
      </c>
      <c r="E13" s="111" t="n">
        <f aca="false">ROUND((2417754+ROUND('前提条件（入力）'!$B$13*0.027,0)*5)*1000/4316000,1)</f>
        <v>588.2</v>
      </c>
      <c r="F13" s="112" t="n">
        <f aca="false">IF(E13&lt;&gt;0,128.2/E13,0)</f>
        <v>0.217953077184631</v>
      </c>
      <c r="G13" s="112" t="n">
        <f aca="false">IF(E13&lt;&gt;0,192.3/E13,0)</f>
        <v>0.326929615776947</v>
      </c>
      <c r="H13" s="113" t="str">
        <f aca="false">IF(ABS('前提条件（入力）'!$B$7-0.027)&lt;0.0001,"★現在値","")</f>
        <v/>
      </c>
    </row>
    <row r="14" customFormat="false" ht="18" hidden="false" customHeight="true" outlineLevel="0" collapsed="false">
      <c r="A14" s="114" t="n">
        <v>0.03</v>
      </c>
      <c r="B14" s="115" t="n">
        <f aca="false">ROUND('前提条件（入力）'!$B$13*0.03,0)</f>
        <v>26889</v>
      </c>
      <c r="C14" s="115" t="n">
        <f aca="false">ROUND('前提条件（入力）'!$B$13*0.03,0)*5</f>
        <v>134445</v>
      </c>
      <c r="D14" s="115" t="n">
        <f aca="false">2417754+ROUND('前提条件（入力）'!$B$13*0.03,0)*5</f>
        <v>2552199</v>
      </c>
      <c r="E14" s="116" t="n">
        <f aca="false">ROUND((2417754+ROUND('前提条件（入力）'!$B$13*0.03,0)*5)*1000/4316000,1)</f>
        <v>591.3</v>
      </c>
      <c r="F14" s="117" t="n">
        <f aca="false">IF(E14&lt;&gt;0,128.2/E14,0)</f>
        <v>0.21681041772366</v>
      </c>
      <c r="G14" s="117" t="n">
        <f aca="false">IF(E14&lt;&gt;0,192.3/E14,0)</f>
        <v>0.32521562658549</v>
      </c>
      <c r="H14" s="118" t="str">
        <f aca="false">IF(ABS('前提条件（入力）'!$B$7-0.03)&lt;0.0001,"★現在値","")</f>
        <v/>
      </c>
    </row>
  </sheetData>
  <mergeCells count="3">
    <mergeCell ref="A1:I1"/>
    <mergeCell ref="A2:I2"/>
    <mergeCell ref="A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02_total_cost_simulation</dc:title>
  <dc:subject>令和8年度上下水道経営指標評価書作成等業務委託</dc:subject>
  <dc:creator>若山諒太</dc:creator>
  <cp:lastModifiedBy>若山諒太</cp:lastModifiedBy>
  <cp:revision>1</cp:revision>
  <dcterms:created xsi:type="dcterms:W3CDTF">2026-09-28T08:02:27Z</dcterms:created>
  <dcterms:modified xsi:type="dcterms:W3CDTF">2026-09-28T08:02:27Z</dcterms:modified>
  <cp:category>ビズアップ公共コンサルティング株式会社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