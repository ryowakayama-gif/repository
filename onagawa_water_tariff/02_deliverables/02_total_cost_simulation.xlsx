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前提条件（入力）" sheetId="1" state="visible" r:id="rId1"/>
    <sheet xmlns:r="http://schemas.openxmlformats.org/officeDocument/2006/relationships" name="総括原価シミュレーション" sheetId="2" state="visible" r:id="rId2"/>
    <sheet xmlns:r="http://schemas.openxmlformats.org/officeDocument/2006/relationships" name="感度分析グラフ用データ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4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color rgb="FFFFFFFF"/>
      <sz val="12"/>
    </font>
    <font>
      <name val="Noto Sans CJK SC"/>
      <charset val="1"/>
      <family val="2"/>
      <i val="1"/>
      <color rgb="FF595959"/>
      <sz val="8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b val="1"/>
      <color rgb="FF000000"/>
      <sz val="10"/>
    </font>
    <font>
      <name val="Noto Sans CJK SC"/>
      <charset val="1"/>
      <family val="2"/>
      <b val="1"/>
      <color rgb="FFFFFFFF"/>
      <sz val="9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000000"/>
      <sz val="11"/>
    </font>
    <font>
      <name val="Arial"/>
      <charset val="1"/>
      <family val="0"/>
      <b val="1"/>
      <color rgb="FFC00000"/>
      <sz val="16"/>
    </font>
    <font>
      <name val="Noto Sans CJK SC"/>
      <charset val="1"/>
      <family val="2"/>
      <color rgb="FF000000"/>
      <sz val="10"/>
    </font>
    <font>
      <name val="Arial"/>
      <charset val="1"/>
      <family val="0"/>
      <color rgb="FF000000"/>
      <sz val="10"/>
    </font>
    <font>
      <name val="Noto Sans CJK SC"/>
      <charset val="1"/>
      <family val="2"/>
      <color rgb="FF000000"/>
      <sz val="9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FFFFFF"/>
      <sz val="9"/>
    </font>
    <font>
      <name val="Noto Sans CJK SC"/>
      <family val="2"/>
      <b val="1"/>
      <color rgb="FFFFFFFF"/>
      <sz val="9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000000"/>
      <sz val="9"/>
    </font>
    <font>
      <name val="Arial"/>
      <charset val="1"/>
      <family val="0"/>
      <b val="1"/>
      <color rgb="FFC00000"/>
      <sz val="9"/>
    </font>
    <font>
      <name val="Noto Sans CJK SC"/>
      <family val="2"/>
      <b val="1"/>
      <color rgb="FF000000"/>
      <sz val="9"/>
    </font>
    <font>
      <name val="Noto Sans CJK SC"/>
      <family val="2"/>
      <b val="1"/>
      <color rgb="FFFFFFFF"/>
      <sz val="12"/>
    </font>
    <font>
      <name val="Noto Sans CJK SC"/>
      <charset val="1"/>
      <family val="2"/>
      <color rgb="FF000000"/>
      <sz val="8"/>
    </font>
    <font>
      <name val="Noto Sans CJK SC"/>
      <charset val="1"/>
      <family val="2"/>
      <color rgb="FF595959"/>
      <sz val="9"/>
    </font>
    <font>
      <name val="Arial"/>
      <charset val="1"/>
      <family val="0"/>
      <color rgb="FFC00000"/>
      <sz val="9"/>
    </font>
    <font>
      <name val="Noto Sans CJK SC"/>
      <charset val="1"/>
      <family val="2"/>
      <b val="1"/>
      <color rgb="FFC00000"/>
      <sz val="9"/>
    </font>
    <font>
      <name val="Arial"/>
      <charset val="1"/>
      <family val="0"/>
      <b val="1"/>
      <color rgb="FF1F4E79"/>
      <sz val="11"/>
    </font>
    <font>
      <name val="Arial"/>
      <charset val="1"/>
      <family val="0"/>
      <b val="1"/>
      <color rgb="FF1F4E79"/>
      <sz val="10"/>
    </font>
    <font>
      <name val="Noto Sans CJK SC"/>
      <family val="2"/>
      <color rgb="FF000000"/>
      <sz val="9"/>
    </font>
    <font>
      <name val="Noto Sans CJK SC"/>
      <family val="2"/>
      <color rgb="FF000000"/>
      <sz val="10"/>
    </font>
    <font>
      <name val="Arial"/>
      <charset val="1"/>
      <family val="0"/>
      <sz val="9"/>
    </font>
    <font>
      <name val="Arial"/>
      <charset val="1"/>
      <family val="0"/>
      <b val="1"/>
      <sz val="9"/>
    </font>
    <font>
      <name val="Noto Sans CJK SC"/>
      <charset val="1"/>
      <family val="2"/>
      <color rgb="FFC00000"/>
      <sz val="9"/>
    </font>
    <font>
      <name val="Noto Sans CJK SC"/>
      <charset val="1"/>
      <family val="2"/>
      <color rgb="FFC55A11"/>
      <sz val="9"/>
    </font>
    <font>
      <name val="Arial"/>
      <charset val="1"/>
      <family val="0"/>
      <color rgb="FF000000"/>
      <sz val="8"/>
    </font>
    <font>
      <name val="Noto Sans CJK SC"/>
      <family val="2"/>
      <color rgb="FF000000"/>
      <sz val="8"/>
    </font>
    <font>
      <name val="Noto Sans CJK SC"/>
      <charset val="1"/>
      <family val="2"/>
      <color rgb="FF375623"/>
      <sz val="9"/>
    </font>
    <font>
      <name val="Arial"/>
      <charset val="1"/>
      <family val="0"/>
      <sz val="10"/>
    </font>
    <font>
      <name val="Arial"/>
      <b val="1"/>
      <color rgb="00C00000"/>
      <sz val="10"/>
    </font>
  </fonts>
  <fills count="18">
    <fill>
      <patternFill/>
    </fill>
    <fill>
      <patternFill patternType="gray125"/>
    </fill>
    <fill>
      <patternFill patternType="solid">
        <fgColor rgb="FF1F4E79"/>
        <bgColor rgb="FF366092"/>
      </patternFill>
    </fill>
    <fill>
      <patternFill patternType="solid">
        <fgColor rgb="FFC00000"/>
        <bgColor rgb="FF800000"/>
      </patternFill>
    </fill>
    <fill>
      <patternFill patternType="solid">
        <fgColor rgb="FFFFCCCC"/>
        <bgColor rgb="FFFCE4D6"/>
      </patternFill>
    </fill>
    <fill>
      <patternFill patternType="solid">
        <fgColor rgb="FF2E75B6"/>
        <bgColor rgb="FF366092"/>
      </patternFill>
    </fill>
    <fill>
      <patternFill patternType="solid">
        <fgColor rgb="FFFFF2CC"/>
        <bgColor rgb="FFFCE4D6"/>
      </patternFill>
    </fill>
    <fill>
      <patternFill patternType="solid">
        <fgColor rgb="FFF2F2F2"/>
        <bgColor rgb="FFE2EFDA"/>
      </patternFill>
    </fill>
    <fill>
      <patternFill patternType="solid">
        <fgColor rgb="FFDEEAF1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366092"/>
        <bgColor rgb="FF1F4E79"/>
      </patternFill>
    </fill>
    <fill>
      <patternFill patternType="solid">
        <fgColor rgb="FFBDD7EE"/>
        <bgColor rgb="FFDEEAF1"/>
      </patternFill>
    </fill>
    <fill>
      <patternFill patternType="solid">
        <fgColor rgb="FF9DC3E6"/>
        <bgColor rgb="FFC0C0C0"/>
      </patternFill>
    </fill>
    <fill>
      <patternFill patternType="solid">
        <fgColor rgb="FF375623"/>
        <bgColor rgb="FF595959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2F2F2"/>
      </patternFill>
    </fill>
    <fill>
      <patternFill patternType="solid">
        <fgColor rgb="FFC55A11"/>
        <bgColor rgb="FF993300"/>
      </patternFill>
    </fill>
    <fill>
      <patternFill patternType="solid">
        <fgColor rgb="00FFF2CC"/>
      </patternFill>
    </fill>
  </fills>
  <borders count="8">
    <border>
      <left/>
      <right/>
      <top/>
      <bottom/>
      <diagonal/>
    </border>
    <border>
      <left style="thin"/>
      <right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medium"/>
      <top style="medium"/>
      <bottom style="medium"/>
      <diagonal/>
    </border>
    <border>
      <left/>
      <right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bottom"/>
    </xf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/>
    </xf>
    <xf numFmtId="0" fontId="10" fillId="6" borderId="2" applyAlignment="1" pivotButton="0" quotePrefix="0" xfId="0">
      <alignment horizontal="left" vertical="center"/>
    </xf>
    <xf numFmtId="10" fontId="11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10" fontId="13" fillId="7" borderId="2" applyAlignment="1" pivotButton="0" quotePrefix="0" xfId="0">
      <alignment horizontal="right" vertical="center"/>
    </xf>
    <xf numFmtId="0" fontId="14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3" fontId="15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3" fontId="15" fillId="8" borderId="2" applyAlignment="1" pivotButton="0" quotePrefix="0" xfId="0">
      <alignment horizontal="right" vertical="center"/>
    </xf>
    <xf numFmtId="0" fontId="14" fillId="8" borderId="2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0" fontId="9" fillId="9" borderId="2" applyAlignment="1" pivotButton="0" quotePrefix="0" xfId="0">
      <alignment horizontal="left" vertical="center"/>
    </xf>
    <xf numFmtId="3" fontId="16" fillId="9" borderId="2" applyAlignment="1" pivotButton="0" quotePrefix="0" xfId="0">
      <alignment horizontal="right" vertical="center"/>
    </xf>
    <xf numFmtId="0" fontId="14" fillId="9" borderId="2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3" fontId="19" fillId="8" borderId="2" applyAlignment="1" pivotButton="0" quotePrefix="0" xfId="0">
      <alignment horizontal="right" vertical="center"/>
    </xf>
    <xf numFmtId="3" fontId="20" fillId="11" borderId="2" applyAlignment="1" pivotButton="0" quotePrefix="0" xfId="0">
      <alignment horizontal="right" vertical="center"/>
    </xf>
    <xf numFmtId="3" fontId="19" fillId="11" borderId="2" applyAlignment="1" pivotButton="0" quotePrefix="0" xfId="0">
      <alignment horizontal="right" vertical="center"/>
    </xf>
    <xf numFmtId="0" fontId="9" fillId="4" borderId="2" applyAlignment="1" pivotButton="0" quotePrefix="0" xfId="0">
      <alignment horizontal="left" vertical="center"/>
    </xf>
    <xf numFmtId="3" fontId="19" fillId="4" borderId="2" applyAlignment="1" pivotButton="0" quotePrefix="0" xfId="0">
      <alignment horizontal="right" vertical="center"/>
    </xf>
    <xf numFmtId="3" fontId="21" fillId="6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left" vertical="center"/>
    </xf>
    <xf numFmtId="0" fontId="23" fillId="3" borderId="1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4" fillId="8" borderId="2" applyAlignment="1" pivotButton="0" quotePrefix="0" xfId="0">
      <alignment horizontal="center" vertical="center" wrapText="1"/>
    </xf>
    <xf numFmtId="3" fontId="20" fillId="8" borderId="2" applyAlignment="1" pivotButton="0" quotePrefix="0" xfId="0">
      <alignment horizontal="right" vertical="center"/>
    </xf>
    <xf numFmtId="164" fontId="19" fillId="8" borderId="2" applyAlignment="1" pivotButton="0" quotePrefix="0" xfId="0">
      <alignment horizontal="right" vertical="center"/>
    </xf>
    <xf numFmtId="0" fontId="25" fillId="8" borderId="2" applyAlignment="1" pivotButton="0" quotePrefix="0" xfId="0">
      <alignment horizontal="center" vertical="center"/>
    </xf>
    <xf numFmtId="0" fontId="24" fillId="7" borderId="1" applyAlignment="1" pivotButton="0" quotePrefix="0" xfId="0">
      <alignment horizontal="left" vertical="center"/>
    </xf>
    <xf numFmtId="0" fontId="14" fillId="8" borderId="2" applyAlignment="1" pivotButton="0" quotePrefix="0" xfId="0">
      <alignment horizontal="left" vertical="center"/>
    </xf>
    <xf numFmtId="0" fontId="24" fillId="6" borderId="2" applyAlignment="1" pivotButton="0" quotePrefix="0" xfId="0">
      <alignment horizontal="center" vertical="center"/>
    </xf>
    <xf numFmtId="3" fontId="26" fillId="6" borderId="2" applyAlignment="1" pivotButton="0" quotePrefix="0" xfId="0">
      <alignment horizontal="right" vertical="center"/>
    </xf>
    <xf numFmtId="164" fontId="19" fillId="6" borderId="2" applyAlignment="1" pivotButton="0" quotePrefix="0" xfId="0">
      <alignment horizontal="right" vertical="center"/>
    </xf>
    <xf numFmtId="0" fontId="27" fillId="6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left" vertical="center"/>
    </xf>
    <xf numFmtId="0" fontId="24" fillId="4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right" vertical="center"/>
    </xf>
    <xf numFmtId="0" fontId="25" fillId="4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0" fillId="11" borderId="2" applyAlignment="1" pivotButton="0" quotePrefix="0" xfId="0">
      <alignment horizontal="general" vertical="bottom"/>
    </xf>
    <xf numFmtId="3" fontId="15" fillId="11" borderId="2" applyAlignment="1" pivotButton="0" quotePrefix="0" xfId="0">
      <alignment horizontal="right" vertical="center"/>
    </xf>
    <xf numFmtId="3" fontId="28" fillId="12" borderId="2" applyAlignment="1" pivotButton="0" quotePrefix="0" xfId="0">
      <alignment horizontal="right" vertical="center"/>
    </xf>
    <xf numFmtId="3" fontId="29" fillId="12" borderId="2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0" fontId="8" fillId="13" borderId="2" applyAlignment="1" pivotButton="0" quotePrefix="0" xfId="0">
      <alignment horizontal="center" vertical="center" wrapText="1"/>
    </xf>
    <xf numFmtId="0" fontId="9" fillId="13" borderId="1" applyAlignment="1" pivotButton="0" quotePrefix="0" xfId="0">
      <alignment horizontal="left" vertical="center"/>
    </xf>
    <xf numFmtId="0" fontId="19" fillId="14" borderId="2" applyAlignment="1" pivotButton="0" quotePrefix="0" xfId="0">
      <alignment horizontal="left" vertical="center"/>
    </xf>
    <xf numFmtId="165" fontId="13" fillId="14" borderId="1" applyAlignment="1" pivotButton="0" quotePrefix="0" xfId="0">
      <alignment horizontal="right" vertical="center"/>
    </xf>
    <xf numFmtId="0" fontId="0" fillId="7" borderId="2" applyAlignment="1" pivotButton="0" quotePrefix="0" xfId="0">
      <alignment horizontal="general" vertical="bottom"/>
    </xf>
    <xf numFmtId="0" fontId="0" fillId="14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left" vertical="center"/>
    </xf>
    <xf numFmtId="165" fontId="13" fillId="15" borderId="1" applyAlignment="1" pivotButton="0" quotePrefix="0" xfId="0">
      <alignment horizontal="right" vertical="center"/>
    </xf>
    <xf numFmtId="0" fontId="0" fillId="15" borderId="2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right" vertical="center"/>
    </xf>
    <xf numFmtId="165" fontId="19" fillId="7" borderId="2" applyAlignment="1" pivotButton="0" quotePrefix="0" xfId="0">
      <alignment horizontal="right" vertical="center"/>
    </xf>
    <xf numFmtId="165" fontId="26" fillId="6" borderId="2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/>
    </xf>
    <xf numFmtId="165" fontId="13" fillId="0" borderId="1" applyAlignment="1" pivotButton="0" quotePrefix="0" xfId="0">
      <alignment horizontal="right" vertical="center"/>
    </xf>
    <xf numFmtId="0" fontId="14" fillId="14" borderId="2" applyAlignment="1" pivotButton="0" quotePrefix="0" xfId="0">
      <alignment horizontal="left" vertical="center"/>
    </xf>
    <xf numFmtId="164" fontId="13" fillId="14" borderId="1" applyAlignment="1" pivotButton="0" quotePrefix="0" xfId="0">
      <alignment horizontal="right" vertical="center"/>
    </xf>
    <xf numFmtId="164" fontId="19" fillId="7" borderId="2" applyAlignment="1" pivotButton="0" quotePrefix="0" xfId="0">
      <alignment horizontal="right" vertical="center"/>
    </xf>
    <xf numFmtId="164" fontId="16" fillId="6" borderId="1" applyAlignment="1" pivotButton="0" quotePrefix="0" xfId="0">
      <alignment horizontal="right" vertical="center"/>
    </xf>
    <xf numFmtId="0" fontId="0" fillId="6" borderId="2" applyAlignment="1" pivotButton="0" quotePrefix="0" xfId="0">
      <alignment horizontal="general" vertical="bottom"/>
    </xf>
    <xf numFmtId="0" fontId="6" fillId="16" borderId="1" applyAlignment="1" pivotButton="0" quotePrefix="0" xfId="0">
      <alignment horizontal="center" vertical="center"/>
    </xf>
    <xf numFmtId="0" fontId="8" fillId="16" borderId="2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left" vertical="center"/>
    </xf>
    <xf numFmtId="0" fontId="21" fillId="6" borderId="2" applyAlignment="1" pivotButton="0" quotePrefix="0" xfId="0">
      <alignment horizontal="left" vertical="center"/>
    </xf>
    <xf numFmtId="3" fontId="32" fillId="6" borderId="2" applyAlignment="1" pivotButton="0" quotePrefix="0" xfId="0">
      <alignment horizontal="right" vertical="center"/>
    </xf>
    <xf numFmtId="3" fontId="33" fillId="6" borderId="2" applyAlignment="1" pivotButton="0" quotePrefix="0" xfId="0">
      <alignment horizontal="right" vertical="center"/>
    </xf>
    <xf numFmtId="165" fontId="33" fillId="6" borderId="2" applyAlignment="1" pivotButton="0" quotePrefix="0" xfId="0">
      <alignment horizontal="right" vertical="center"/>
    </xf>
    <xf numFmtId="164" fontId="21" fillId="6" borderId="2" applyAlignment="1" pivotButton="0" quotePrefix="0" xfId="0">
      <alignment horizontal="right" vertical="center"/>
    </xf>
    <xf numFmtId="164" fontId="33" fillId="6" borderId="2" applyAlignment="1" pivotButton="0" quotePrefix="0" xfId="0">
      <alignment horizontal="right" vertical="center"/>
    </xf>
    <xf numFmtId="0" fontId="34" fillId="6" borderId="2" applyAlignment="1" pivotButton="0" quotePrefix="0" xfId="0">
      <alignment horizontal="center" vertical="center"/>
    </xf>
    <xf numFmtId="0" fontId="19" fillId="15" borderId="2" applyAlignment="1" pivotButton="0" quotePrefix="0" xfId="0">
      <alignment horizontal="left" vertical="center"/>
    </xf>
    <xf numFmtId="3" fontId="32" fillId="15" borderId="2" applyAlignment="1" pivotButton="0" quotePrefix="0" xfId="0">
      <alignment horizontal="right" vertical="center"/>
    </xf>
    <xf numFmtId="165" fontId="32" fillId="15" borderId="2" applyAlignment="1" pivotButton="0" quotePrefix="0" xfId="0">
      <alignment horizontal="right" vertical="center"/>
    </xf>
    <xf numFmtId="164" fontId="26" fillId="15" borderId="2" applyAlignment="1" pivotButton="0" quotePrefix="0" xfId="0">
      <alignment horizontal="right" vertical="center"/>
    </xf>
    <xf numFmtId="164" fontId="32" fillId="15" borderId="2" applyAlignment="1" pivotButton="0" quotePrefix="0" xfId="0">
      <alignment horizontal="right" vertical="center"/>
    </xf>
    <xf numFmtId="0" fontId="19" fillId="0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/>
    </xf>
    <xf numFmtId="3" fontId="32" fillId="7" borderId="2" applyAlignment="1" pivotButton="0" quotePrefix="0" xfId="0">
      <alignment horizontal="right" vertical="center"/>
    </xf>
    <xf numFmtId="165" fontId="32" fillId="7" borderId="2" applyAlignment="1" pivotButton="0" quotePrefix="0" xfId="0">
      <alignment horizontal="right" vertical="center"/>
    </xf>
    <xf numFmtId="164" fontId="26" fillId="7" borderId="2" applyAlignment="1" pivotButton="0" quotePrefix="0" xfId="0">
      <alignment horizontal="right" vertical="center"/>
    </xf>
    <xf numFmtId="164" fontId="32" fillId="7" borderId="2" applyAlignment="1" pivotButton="0" quotePrefix="0" xfId="0">
      <alignment horizontal="right" vertical="center"/>
    </xf>
    <xf numFmtId="0" fontId="19" fillId="7" borderId="2" applyAlignment="1" pivotButton="0" quotePrefix="0" xfId="0">
      <alignment horizontal="center" vertical="center"/>
    </xf>
    <xf numFmtId="0" fontId="35" fillId="7" borderId="2" applyAlignment="1" pivotButton="0" quotePrefix="0" xfId="0">
      <alignment horizontal="center" vertical="center"/>
    </xf>
    <xf numFmtId="0" fontId="36" fillId="7" borderId="1" applyAlignment="1" pivotButton="0" quotePrefix="0" xfId="0">
      <alignment horizontal="left" vertical="center"/>
    </xf>
    <xf numFmtId="0" fontId="38" fillId="7" borderId="2" applyAlignment="1" pivotButton="0" quotePrefix="0" xfId="0">
      <alignment horizontal="center" vertical="center"/>
    </xf>
    <xf numFmtId="10" fontId="39" fillId="6" borderId="2" applyAlignment="1" pivotButton="0" quotePrefix="0" xfId="0">
      <alignment horizontal="center" vertical="bottom"/>
    </xf>
    <xf numFmtId="3" fontId="32" fillId="6" borderId="2" applyAlignment="1" pivotButton="0" quotePrefix="0" xfId="0">
      <alignment horizontal="right" vertical="bottom"/>
    </xf>
    <xf numFmtId="165" fontId="32" fillId="6" borderId="2" applyAlignment="1" pivotButton="0" quotePrefix="0" xfId="0">
      <alignment horizontal="right" vertical="bottom"/>
    </xf>
    <xf numFmtId="164" fontId="32" fillId="6" borderId="2" applyAlignment="1" pivotButton="0" quotePrefix="0" xfId="0">
      <alignment horizontal="right" vertical="bottom"/>
    </xf>
    <xf numFmtId="0" fontId="27" fillId="6" borderId="2" applyAlignment="1" pivotButton="0" quotePrefix="0" xfId="0">
      <alignment horizontal="center" vertical="bottom"/>
    </xf>
    <xf numFmtId="10" fontId="39" fillId="0" borderId="2" applyAlignment="1" pivotButton="0" quotePrefix="0" xfId="0">
      <alignment horizontal="center" vertical="bottom"/>
    </xf>
    <xf numFmtId="3" fontId="32" fillId="0" borderId="2" applyAlignment="1" pivotButton="0" quotePrefix="0" xfId="0">
      <alignment horizontal="right" vertical="bottom"/>
    </xf>
    <xf numFmtId="165" fontId="32" fillId="0" borderId="2" applyAlignment="1" pivotButton="0" quotePrefix="0" xfId="0">
      <alignment horizontal="right" vertical="bottom"/>
    </xf>
    <xf numFmtId="164" fontId="32" fillId="0" borderId="2" applyAlignment="1" pivotButton="0" quotePrefix="0" xfId="0">
      <alignment horizontal="right" vertical="bottom"/>
    </xf>
    <xf numFmtId="0" fontId="21" fillId="0" borderId="2" applyAlignment="1" pivotButton="0" quotePrefix="0" xfId="0">
      <alignment horizontal="center" vertical="bottom"/>
    </xf>
    <xf numFmtId="10" fontId="39" fillId="7" borderId="2" applyAlignment="1" pivotButton="0" quotePrefix="0" xfId="0">
      <alignment horizontal="center" vertical="bottom"/>
    </xf>
    <xf numFmtId="3" fontId="32" fillId="7" borderId="2" applyAlignment="1" pivotButton="0" quotePrefix="0" xfId="0">
      <alignment horizontal="right" vertical="bottom"/>
    </xf>
    <xf numFmtId="165" fontId="32" fillId="7" borderId="2" applyAlignment="1" pivotButton="0" quotePrefix="0" xfId="0">
      <alignment horizontal="right" vertical="bottom"/>
    </xf>
    <xf numFmtId="164" fontId="32" fillId="7" borderId="2" applyAlignment="1" pivotButton="0" quotePrefix="0" xfId="0">
      <alignment horizontal="right" vertical="bottom"/>
    </xf>
    <xf numFmtId="0" fontId="21" fillId="7" borderId="2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5" pivotButton="0" quotePrefix="0" xfId="0"/>
    <xf numFmtId="0" fontId="5" fillId="0" borderId="0" applyAlignment="1" pivotButton="0" quotePrefix="0" xfId="0">
      <alignment horizontal="left" vertical="bottom"/>
    </xf>
    <xf numFmtId="0" fontId="40" fillId="17" borderId="0" applyAlignment="1" pivotButton="0" quotePrefix="0" xfId="0">
      <alignment vertical="center"/>
    </xf>
    <xf numFmtId="0" fontId="0" fillId="17" borderId="0" pivotButton="0" quotePrefix="0" xfId="0"/>
    <xf numFmtId="0" fontId="6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left" vertical="center"/>
    </xf>
    <xf numFmtId="0" fontId="10" fillId="6" borderId="2" applyAlignment="1" pivotButton="0" quotePrefix="0" xfId="0">
      <alignment horizontal="left" vertical="center"/>
    </xf>
    <xf numFmtId="10" fontId="11" fillId="6" borderId="3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10" fontId="13" fillId="7" borderId="2" applyAlignment="1" pivotButton="0" quotePrefix="0" xfId="0">
      <alignment horizontal="right" vertical="center"/>
    </xf>
    <xf numFmtId="0" fontId="14" fillId="6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3" fontId="15" fillId="6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/>
    </xf>
    <xf numFmtId="0" fontId="14" fillId="7" borderId="1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3" fontId="15" fillId="8" borderId="2" applyAlignment="1" pivotButton="0" quotePrefix="0" xfId="0">
      <alignment horizontal="right" vertical="center"/>
    </xf>
    <xf numFmtId="0" fontId="14" fillId="8" borderId="2" applyAlignment="1" pivotButton="0" quotePrefix="0" xfId="0">
      <alignment horizontal="center" vertical="center"/>
    </xf>
    <xf numFmtId="0" fontId="14" fillId="8" borderId="1" applyAlignment="1" pivotButton="0" quotePrefix="0" xfId="0">
      <alignment horizontal="left" vertical="center"/>
    </xf>
    <xf numFmtId="0" fontId="9" fillId="9" borderId="2" applyAlignment="1" pivotButton="0" quotePrefix="0" xfId="0">
      <alignment horizontal="left" vertical="center"/>
    </xf>
    <xf numFmtId="3" fontId="16" fillId="9" borderId="2" applyAlignment="1" pivotButton="0" quotePrefix="0" xfId="0">
      <alignment horizontal="right" vertical="center"/>
    </xf>
    <xf numFmtId="0" fontId="14" fillId="9" borderId="2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8" fillId="10" borderId="2" applyAlignment="1" pivotButton="0" quotePrefix="0" xfId="0">
      <alignment horizontal="center" vertical="center" wrapText="1"/>
    </xf>
    <xf numFmtId="0" fontId="17" fillId="10" borderId="2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3" fontId="19" fillId="8" borderId="2" applyAlignment="1" pivotButton="0" quotePrefix="0" xfId="0">
      <alignment horizontal="right" vertical="center"/>
    </xf>
    <xf numFmtId="3" fontId="20" fillId="11" borderId="2" applyAlignment="1" pivotButton="0" quotePrefix="0" xfId="0">
      <alignment horizontal="right" vertical="center"/>
    </xf>
    <xf numFmtId="3" fontId="19" fillId="11" borderId="2" applyAlignment="1" pivotButton="0" quotePrefix="0" xfId="0">
      <alignment horizontal="right" vertical="center"/>
    </xf>
    <xf numFmtId="0" fontId="9" fillId="4" borderId="2" applyAlignment="1" pivotButton="0" quotePrefix="0" xfId="0">
      <alignment horizontal="left" vertical="center"/>
    </xf>
    <xf numFmtId="3" fontId="19" fillId="4" borderId="2" applyAlignment="1" pivotButton="0" quotePrefix="0" xfId="0">
      <alignment horizontal="right" vertical="center"/>
    </xf>
    <xf numFmtId="3" fontId="21" fillId="6" borderId="2" applyAlignment="1" pivotButton="0" quotePrefix="0" xfId="0">
      <alignment horizontal="right" vertical="center"/>
    </xf>
    <xf numFmtId="0" fontId="20" fillId="6" borderId="1" applyAlignment="1" pivotButton="0" quotePrefix="0" xfId="0">
      <alignment horizontal="left" vertical="center"/>
    </xf>
    <xf numFmtId="0" fontId="23" fillId="3" borderId="1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4" fillId="8" borderId="2" applyAlignment="1" pivotButton="0" quotePrefix="0" xfId="0">
      <alignment horizontal="center" vertical="center" wrapText="1"/>
    </xf>
    <xf numFmtId="3" fontId="20" fillId="8" borderId="2" applyAlignment="1" pivotButton="0" quotePrefix="0" xfId="0">
      <alignment horizontal="right" vertical="center"/>
    </xf>
    <xf numFmtId="164" fontId="19" fillId="8" borderId="2" applyAlignment="1" pivotButton="0" quotePrefix="0" xfId="0">
      <alignment horizontal="right" vertical="center"/>
    </xf>
    <xf numFmtId="0" fontId="25" fillId="8" borderId="2" applyAlignment="1" pivotButton="0" quotePrefix="0" xfId="0">
      <alignment horizontal="center" vertical="center"/>
    </xf>
    <xf numFmtId="0" fontId="24" fillId="7" borderId="1" applyAlignment="1" pivotButton="0" quotePrefix="0" xfId="0">
      <alignment horizontal="left" vertical="center"/>
    </xf>
    <xf numFmtId="0" fontId="14" fillId="8" borderId="2" applyAlignment="1" pivotButton="0" quotePrefix="0" xfId="0">
      <alignment horizontal="left" vertical="center"/>
    </xf>
    <xf numFmtId="0" fontId="24" fillId="6" borderId="2" applyAlignment="1" pivotButton="0" quotePrefix="0" xfId="0">
      <alignment horizontal="center" vertical="center"/>
    </xf>
    <xf numFmtId="3" fontId="26" fillId="6" borderId="2" applyAlignment="1" pivotButton="0" quotePrefix="0" xfId="0">
      <alignment horizontal="right" vertical="center"/>
    </xf>
    <xf numFmtId="164" fontId="19" fillId="6" borderId="2" applyAlignment="1" pivotButton="0" quotePrefix="0" xfId="0">
      <alignment horizontal="right" vertical="center"/>
    </xf>
    <xf numFmtId="0" fontId="27" fillId="6" borderId="2" applyAlignment="1" pivotButton="0" quotePrefix="0" xfId="0">
      <alignment horizontal="center" vertical="center"/>
    </xf>
    <xf numFmtId="0" fontId="14" fillId="4" borderId="2" applyAlignment="1" pivotButton="0" quotePrefix="0" xfId="0">
      <alignment horizontal="left" vertical="center"/>
    </xf>
    <xf numFmtId="0" fontId="24" fillId="4" borderId="2" applyAlignment="1" pivotButton="0" quotePrefix="0" xfId="0">
      <alignment horizontal="center" vertical="center"/>
    </xf>
    <xf numFmtId="164" fontId="19" fillId="4" borderId="2" applyAlignment="1" pivotButton="0" quotePrefix="0" xfId="0">
      <alignment horizontal="right" vertical="center"/>
    </xf>
    <xf numFmtId="0" fontId="25" fillId="4" borderId="2" applyAlignment="1" pivotButton="0" quotePrefix="0" xfId="0">
      <alignment horizontal="center" vertical="center"/>
    </xf>
    <xf numFmtId="0" fontId="7" fillId="11" borderId="2" applyAlignment="1" pivotButton="0" quotePrefix="0" xfId="0">
      <alignment horizontal="left" vertical="center"/>
    </xf>
    <xf numFmtId="0" fontId="0" fillId="11" borderId="2" applyAlignment="1" pivotButton="0" quotePrefix="0" xfId="0">
      <alignment horizontal="general" vertical="bottom"/>
    </xf>
    <xf numFmtId="3" fontId="15" fillId="11" borderId="2" applyAlignment="1" pivotButton="0" quotePrefix="0" xfId="0">
      <alignment horizontal="right" vertical="center"/>
    </xf>
    <xf numFmtId="3" fontId="28" fillId="12" borderId="2" applyAlignment="1" pivotButton="0" quotePrefix="0" xfId="0">
      <alignment horizontal="right" vertical="center"/>
    </xf>
    <xf numFmtId="3" fontId="29" fillId="12" borderId="2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0" fontId="8" fillId="13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9" fillId="13" borderId="1" applyAlignment="1" pivotButton="0" quotePrefix="0" xfId="0">
      <alignment horizontal="left" vertical="center"/>
    </xf>
    <xf numFmtId="0" fontId="19" fillId="14" borderId="2" applyAlignment="1" pivotButton="0" quotePrefix="0" xfId="0">
      <alignment horizontal="left" vertical="center"/>
    </xf>
    <xf numFmtId="165" fontId="13" fillId="14" borderId="1" applyAlignment="1" pivotButton="0" quotePrefix="0" xfId="0">
      <alignment horizontal="right" vertical="center"/>
    </xf>
    <xf numFmtId="0" fontId="0" fillId="7" borderId="2" applyAlignment="1" pivotButton="0" quotePrefix="0" xfId="0">
      <alignment horizontal="general" vertical="bottom"/>
    </xf>
    <xf numFmtId="0" fontId="0" fillId="14" borderId="2" applyAlignment="1" pivotButton="0" quotePrefix="0" xfId="0">
      <alignment horizontal="general" vertical="bottom"/>
    </xf>
    <xf numFmtId="0" fontId="19" fillId="0" borderId="2" applyAlignment="1" pivotButton="0" quotePrefix="0" xfId="0">
      <alignment horizontal="left" vertical="center"/>
    </xf>
    <xf numFmtId="165" fontId="13" fillId="15" borderId="1" applyAlignment="1" pivotButton="0" quotePrefix="0" xfId="0">
      <alignment horizontal="right" vertical="center"/>
    </xf>
    <xf numFmtId="0" fontId="0" fillId="15" borderId="2" applyAlignment="1" pivotButton="0" quotePrefix="0" xfId="0">
      <alignment horizontal="general" vertical="bottom"/>
    </xf>
    <xf numFmtId="165" fontId="16" fillId="6" borderId="1" applyAlignment="1" pivotButton="0" quotePrefix="0" xfId="0">
      <alignment horizontal="right" vertical="center"/>
    </xf>
    <xf numFmtId="165" fontId="19" fillId="7" borderId="2" applyAlignment="1" pivotButton="0" quotePrefix="0" xfId="0">
      <alignment horizontal="right" vertical="center"/>
    </xf>
    <xf numFmtId="165" fontId="26" fillId="6" borderId="2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/>
    </xf>
    <xf numFmtId="165" fontId="13" fillId="0" borderId="1" applyAlignment="1" pivotButton="0" quotePrefix="0" xfId="0">
      <alignment horizontal="right" vertical="center"/>
    </xf>
    <xf numFmtId="0" fontId="14" fillId="14" borderId="2" applyAlignment="1" pivotButton="0" quotePrefix="0" xfId="0">
      <alignment horizontal="left" vertical="center"/>
    </xf>
    <xf numFmtId="164" fontId="13" fillId="14" borderId="1" applyAlignment="1" pivotButton="0" quotePrefix="0" xfId="0">
      <alignment horizontal="right" vertical="center"/>
    </xf>
    <xf numFmtId="164" fontId="19" fillId="7" borderId="2" applyAlignment="1" pivotButton="0" quotePrefix="0" xfId="0">
      <alignment horizontal="right" vertical="center"/>
    </xf>
    <xf numFmtId="164" fontId="16" fillId="6" borderId="1" applyAlignment="1" pivotButton="0" quotePrefix="0" xfId="0">
      <alignment horizontal="right" vertical="center"/>
    </xf>
    <xf numFmtId="0" fontId="0" fillId="6" borderId="2" applyAlignment="1" pivotButton="0" quotePrefix="0" xfId="0">
      <alignment horizontal="general" vertical="bottom"/>
    </xf>
    <xf numFmtId="0" fontId="6" fillId="16" borderId="1" applyAlignment="1" pivotButton="0" quotePrefix="0" xfId="0">
      <alignment horizontal="center" vertical="center"/>
    </xf>
    <xf numFmtId="0" fontId="8" fillId="16" borderId="2" applyAlignment="1" pivotButton="0" quotePrefix="0" xfId="0">
      <alignment horizontal="center" vertical="center" wrapText="1"/>
    </xf>
    <xf numFmtId="0" fontId="9" fillId="16" borderId="1" applyAlignment="1" pivotButton="0" quotePrefix="0" xfId="0">
      <alignment horizontal="left" vertical="center"/>
    </xf>
    <xf numFmtId="0" fontId="21" fillId="6" borderId="2" applyAlignment="1" pivotButton="0" quotePrefix="0" xfId="0">
      <alignment horizontal="left" vertical="center"/>
    </xf>
    <xf numFmtId="3" fontId="32" fillId="6" borderId="2" applyAlignment="1" pivotButton="0" quotePrefix="0" xfId="0">
      <alignment horizontal="right" vertical="center"/>
    </xf>
    <xf numFmtId="3" fontId="33" fillId="6" borderId="2" applyAlignment="1" pivotButton="0" quotePrefix="0" xfId="0">
      <alignment horizontal="right" vertical="center"/>
    </xf>
    <xf numFmtId="165" fontId="33" fillId="6" borderId="2" applyAlignment="1" pivotButton="0" quotePrefix="0" xfId="0">
      <alignment horizontal="right" vertical="center"/>
    </xf>
    <xf numFmtId="164" fontId="21" fillId="6" borderId="2" applyAlignment="1" pivotButton="0" quotePrefix="0" xfId="0">
      <alignment horizontal="right" vertical="center"/>
    </xf>
    <xf numFmtId="164" fontId="33" fillId="6" borderId="2" applyAlignment="1" pivotButton="0" quotePrefix="0" xfId="0">
      <alignment horizontal="right" vertical="center"/>
    </xf>
    <xf numFmtId="0" fontId="34" fillId="6" borderId="2" applyAlignment="1" pivotButton="0" quotePrefix="0" xfId="0">
      <alignment horizontal="center" vertical="center"/>
    </xf>
    <xf numFmtId="0" fontId="19" fillId="15" borderId="2" applyAlignment="1" pivotButton="0" quotePrefix="0" xfId="0">
      <alignment horizontal="left" vertical="center"/>
    </xf>
    <xf numFmtId="3" fontId="32" fillId="15" borderId="2" applyAlignment="1" pivotButton="0" quotePrefix="0" xfId="0">
      <alignment horizontal="right" vertical="center"/>
    </xf>
    <xf numFmtId="165" fontId="32" fillId="15" borderId="2" applyAlignment="1" pivotButton="0" quotePrefix="0" xfId="0">
      <alignment horizontal="right" vertical="center"/>
    </xf>
    <xf numFmtId="164" fontId="26" fillId="15" borderId="2" applyAlignment="1" pivotButton="0" quotePrefix="0" xfId="0">
      <alignment horizontal="right" vertical="center"/>
    </xf>
    <xf numFmtId="164" fontId="32" fillId="15" borderId="2" applyAlignment="1" pivotButton="0" quotePrefix="0" xfId="0">
      <alignment horizontal="right" vertical="center"/>
    </xf>
    <xf numFmtId="0" fontId="19" fillId="0" borderId="2" applyAlignment="1" pivotButton="0" quotePrefix="0" xfId="0">
      <alignment horizontal="center" vertical="center"/>
    </xf>
    <xf numFmtId="0" fontId="19" fillId="7" borderId="2" applyAlignment="1" pivotButton="0" quotePrefix="0" xfId="0">
      <alignment horizontal="left" vertical="center"/>
    </xf>
    <xf numFmtId="3" fontId="32" fillId="7" borderId="2" applyAlignment="1" pivotButton="0" quotePrefix="0" xfId="0">
      <alignment horizontal="right" vertical="center"/>
    </xf>
    <xf numFmtId="165" fontId="32" fillId="7" borderId="2" applyAlignment="1" pivotButton="0" quotePrefix="0" xfId="0">
      <alignment horizontal="right" vertical="center"/>
    </xf>
    <xf numFmtId="164" fontId="26" fillId="7" borderId="2" applyAlignment="1" pivotButton="0" quotePrefix="0" xfId="0">
      <alignment horizontal="right" vertical="center"/>
    </xf>
    <xf numFmtId="164" fontId="32" fillId="7" borderId="2" applyAlignment="1" pivotButton="0" quotePrefix="0" xfId="0">
      <alignment horizontal="right" vertical="center"/>
    </xf>
    <xf numFmtId="0" fontId="19" fillId="7" borderId="2" applyAlignment="1" pivotButton="0" quotePrefix="0" xfId="0">
      <alignment horizontal="center" vertical="center"/>
    </xf>
    <xf numFmtId="0" fontId="35" fillId="7" borderId="2" applyAlignment="1" pivotButton="0" quotePrefix="0" xfId="0">
      <alignment horizontal="center" vertical="center"/>
    </xf>
    <xf numFmtId="0" fontId="36" fillId="7" borderId="1" applyAlignment="1" pivotButton="0" quotePrefix="0" xfId="0">
      <alignment horizontal="left" vertical="center"/>
    </xf>
    <xf numFmtId="0" fontId="38" fillId="7" borderId="2" applyAlignment="1" pivotButton="0" quotePrefix="0" xfId="0">
      <alignment horizontal="center" vertical="center"/>
    </xf>
    <xf numFmtId="10" fontId="39" fillId="6" borderId="2" applyAlignment="1" pivotButton="0" quotePrefix="0" xfId="0">
      <alignment horizontal="center" vertical="bottom"/>
    </xf>
    <xf numFmtId="3" fontId="32" fillId="6" borderId="2" applyAlignment="1" pivotButton="0" quotePrefix="0" xfId="0">
      <alignment horizontal="right" vertical="bottom"/>
    </xf>
    <xf numFmtId="165" fontId="32" fillId="6" borderId="2" applyAlignment="1" pivotButton="0" quotePrefix="0" xfId="0">
      <alignment horizontal="right" vertical="bottom"/>
    </xf>
    <xf numFmtId="164" fontId="32" fillId="6" borderId="2" applyAlignment="1" pivotButton="0" quotePrefix="0" xfId="0">
      <alignment horizontal="right" vertical="bottom"/>
    </xf>
    <xf numFmtId="0" fontId="27" fillId="6" borderId="2" applyAlignment="1" pivotButton="0" quotePrefix="0" xfId="0">
      <alignment horizontal="center" vertical="bottom"/>
    </xf>
    <xf numFmtId="10" fontId="39" fillId="0" borderId="2" applyAlignment="1" pivotButton="0" quotePrefix="0" xfId="0">
      <alignment horizontal="center" vertical="bottom"/>
    </xf>
    <xf numFmtId="3" fontId="32" fillId="0" borderId="2" applyAlignment="1" pivotButton="0" quotePrefix="0" xfId="0">
      <alignment horizontal="right" vertical="bottom"/>
    </xf>
    <xf numFmtId="165" fontId="32" fillId="0" borderId="2" applyAlignment="1" pivotButton="0" quotePrefix="0" xfId="0">
      <alignment horizontal="right" vertical="bottom"/>
    </xf>
    <xf numFmtId="164" fontId="32" fillId="0" borderId="2" applyAlignment="1" pivotButton="0" quotePrefix="0" xfId="0">
      <alignment horizontal="right" vertical="bottom"/>
    </xf>
    <xf numFmtId="0" fontId="21" fillId="0" borderId="2" applyAlignment="1" pivotButton="0" quotePrefix="0" xfId="0">
      <alignment horizontal="center" vertical="bottom"/>
    </xf>
    <xf numFmtId="10" fontId="39" fillId="7" borderId="2" applyAlignment="1" pivotButton="0" quotePrefix="0" xfId="0">
      <alignment horizontal="center" vertical="bottom"/>
    </xf>
    <xf numFmtId="3" fontId="32" fillId="7" borderId="2" applyAlignment="1" pivotButton="0" quotePrefix="0" xfId="0">
      <alignment horizontal="right" vertical="bottom"/>
    </xf>
    <xf numFmtId="165" fontId="32" fillId="7" borderId="2" applyAlignment="1" pivotButton="0" quotePrefix="0" xfId="0">
      <alignment horizontal="right" vertical="bottom"/>
    </xf>
    <xf numFmtId="164" fontId="32" fillId="7" borderId="2" applyAlignment="1" pivotButton="0" quotePrefix="0" xfId="0">
      <alignment horizontal="right" vertical="bottom"/>
    </xf>
    <xf numFmtId="0" fontId="21" fillId="7" borderId="2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EEAF1"/>
      <rgbColor rgb="FF660066"/>
      <rgbColor rgb="FFFF8080"/>
      <rgbColor rgb="FF366092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CE4D6"/>
      <rgbColor rgb="FF9DC3E6"/>
      <rgbColor rgb="FFFF99CC"/>
      <rgbColor rgb="FFCC99FF"/>
      <rgbColor rgb="FFFFCCCC"/>
      <rgbColor rgb="FF2E75B6"/>
      <rgbColor rgb="FF33CCCC"/>
      <rgbColor rgb="FF99CC00"/>
      <rgbColor rgb="FFFFCC00"/>
      <rgbColor rgb="FFFF9900"/>
      <rgbColor rgb="FFC55A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K2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119" min="1" max="1"/>
    <col width="12" customWidth="1" style="119" min="2" max="2"/>
    <col width="8" customWidth="1" style="119" min="3" max="3"/>
    <col width="12" customWidth="1" style="119" min="4" max="8"/>
    <col width="35" customWidth="1" style="119" min="9" max="9"/>
    <col width="8" customWidth="1" style="119" min="10" max="11"/>
  </cols>
  <sheetData>
    <row r="1" ht="24" customHeight="1" s="120">
      <c r="A1" s="121" t="inlineStr">
        <is>
          <t>女川町上水道事業　料金算定前提条件・パラメータ入力シート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</row>
    <row r="2" ht="12" customHeight="1" s="120">
      <c r="A2" s="123" t="inlineStr">
        <is>
          <t>★ 黄色セルに数値を入力してください。総括原価シートの計算結果が自動更新されます。</t>
        </is>
      </c>
    </row>
    <row r="3" ht="20" customHeight="1" s="120">
      <c r="A3" s="124" t="inlineStr">
        <is>
          <t>【この版は中間報告書（改訂版）の前提と一致しません】　計算根拠には使用しないでください。　本文の数値は 09_interim_report/onagawa_adopted_calc.xlsx（採用計算表）で再現します。</t>
        </is>
      </c>
      <c r="B3" s="125" t="n"/>
      <c r="C3" s="125" t="n"/>
      <c r="D3" s="125" t="n"/>
      <c r="E3" s="125" t="n"/>
      <c r="F3" s="125" t="n"/>
      <c r="G3" s="125" t="n"/>
      <c r="H3" s="125" t="n"/>
    </row>
    <row r="4" ht="18" customHeight="1" s="120">
      <c r="A4" s="126" t="inlineStr">
        <is>
          <t>【A】資産維持率（最重要パラメータ）</t>
        </is>
      </c>
      <c r="B4" s="122" t="n"/>
      <c r="C4" s="122" t="n"/>
      <c r="D4" s="122" t="n"/>
      <c r="E4" s="122" t="n"/>
      <c r="F4" s="122" t="n"/>
      <c r="G4" s="122" t="n"/>
      <c r="H4" s="122" t="n"/>
      <c r="I4" s="122" t="n"/>
      <c r="J4" s="122" t="n"/>
    </row>
    <row r="5" ht="18" customHeight="1" s="120">
      <c r="A5" s="127" t="inlineStr">
        <is>
          <t xml:space="preserve">　資産維持率を下のセル（B7）に直接入力してください。1.0〜3.0%の範囲で設定可能です。</t>
        </is>
      </c>
      <c r="B5" s="122" t="n"/>
      <c r="C5" s="122" t="n"/>
      <c r="D5" s="122" t="n"/>
      <c r="E5" s="122" t="n"/>
      <c r="F5" s="122" t="n"/>
      <c r="G5" s="122" t="n"/>
      <c r="H5" s="122" t="n"/>
      <c r="I5" s="122" t="n"/>
      <c r="J5" s="122" t="n"/>
    </row>
    <row r="6" ht="39.75" customHeight="1" s="120">
      <c r="A6" s="128" t="inlineStr">
        <is>
          <t>入力項目</t>
        </is>
      </c>
      <c r="B6" s="128" t="inlineStr">
        <is>
          <t>入力値</t>
        </is>
      </c>
      <c r="C6" s="128" t="inlineStr">
        <is>
          <t>単位</t>
        </is>
      </c>
      <c r="D6" s="129" t="inlineStr">
        <is>
          <t>参考：最小値
（1.0%）</t>
        </is>
      </c>
      <c r="E6" s="129" t="inlineStr">
        <is>
          <t>参考：標準値
（2.0%）</t>
        </is>
      </c>
      <c r="F6" s="129" t="inlineStr">
        <is>
          <t>参考：標準値
（3.0%）</t>
        </is>
      </c>
      <c r="G6" s="130" t="inlineStr">
        <is>
          <t>入力ガイド・根拠</t>
        </is>
      </c>
      <c r="H6" s="122" t="n"/>
      <c r="I6" s="122" t="n"/>
      <c r="J6" s="122" t="n"/>
    </row>
    <row r="7" ht="36" customHeight="1" s="120">
      <c r="A7" s="131" t="inlineStr">
        <is>
          <t>資産維持率</t>
        </is>
      </c>
      <c r="B7" s="132" t="n">
        <v>0.03</v>
      </c>
      <c r="C7" s="133" t="inlineStr">
        <is>
          <t>（%）</t>
        </is>
      </c>
      <c r="D7" s="134" t="n">
        <v>0.01</v>
      </c>
      <c r="E7" s="134" t="n">
        <v>0.02</v>
      </c>
      <c r="F7" s="134" t="n">
        <v>0.03</v>
      </c>
      <c r="G7" s="135" t="inlineStr">
        <is>
          <t>日本水道協会「水道料金算定要領」標準3%。女川町試算シート現設定1%。1〜3%の範囲で設定。</t>
        </is>
      </c>
      <c r="H7" s="122" t="n"/>
      <c r="I7" s="122" t="n"/>
      <c r="J7" s="122" t="n"/>
    </row>
    <row r="8" ht="4.5" customHeight="1" s="120"/>
    <row r="9" ht="18" customHeight="1" s="120">
      <c r="A9" s="136" t="inlineStr">
        <is>
          <t>【B】資産維持費の算定基礎データ（対象資産）</t>
        </is>
      </c>
      <c r="B9" s="122" t="n"/>
      <c r="C9" s="122" t="n"/>
      <c r="D9" s="122" t="n"/>
      <c r="E9" s="122" t="n"/>
      <c r="F9" s="122" t="n"/>
      <c r="G9" s="122" t="n"/>
      <c r="H9" s="122" t="n"/>
      <c r="I9" s="122" t="n"/>
      <c r="J9" s="122" t="n"/>
    </row>
    <row r="10" ht="39.75" customHeight="1" s="120">
      <c r="A10" s="129" t="inlineStr">
        <is>
          <t>項目</t>
        </is>
      </c>
      <c r="B10" s="129" t="inlineStr">
        <is>
          <t>入力値
（千円）</t>
        </is>
      </c>
      <c r="C10" s="129" t="inlineStr">
        <is>
          <t>入力
区分</t>
        </is>
      </c>
      <c r="D10" s="130" t="inlineStr">
        <is>
          <t>根拠・算定方法</t>
        </is>
      </c>
      <c r="E10" s="122" t="n"/>
      <c r="F10" s="122" t="n"/>
      <c r="G10" s="122" t="n"/>
      <c r="H10" s="122" t="n"/>
      <c r="I10" s="122" t="n"/>
      <c r="J10" s="122" t="n"/>
    </row>
    <row r="11" ht="21.75" customHeight="1" s="120">
      <c r="A11" s="137" t="inlineStr">
        <is>
          <t>対象資産①：期首（R8.4.1）帳簿価額</t>
        </is>
      </c>
      <c r="B11" s="138" t="n">
        <v>1042625</v>
      </c>
      <c r="C11" s="139" t="inlineStr">
        <is>
          <t>★入力</t>
        </is>
      </c>
      <c r="D11" s="140" t="inlineStr">
        <is>
          <t>試算シート【料金算定】資産維持費シートのH31末帳簿価額。R8年度の固定資産台帳で要確認・更新。</t>
        </is>
      </c>
      <c r="E11" s="122" t="n"/>
      <c r="F11" s="122" t="n"/>
      <c r="G11" s="122" t="n"/>
      <c r="H11" s="122" t="n"/>
      <c r="I11" s="122" t="n"/>
      <c r="J11" s="122" t="n"/>
    </row>
    <row r="12" ht="21.75" customHeight="1" s="120">
      <c r="A12" s="137" t="inlineStr">
        <is>
          <t>対象資産②：期末（R12.3.31）帳簿価額</t>
        </is>
      </c>
      <c r="B12" s="138" t="n">
        <v>750000</v>
      </c>
      <c r="C12" s="139" t="inlineStr">
        <is>
          <t>★入力</t>
        </is>
      </c>
      <c r="D12" s="140" t="inlineStr">
        <is>
          <t>推計値。R8〜R12の減価償却（年平均約406,000千円）と管路更新等新規取得を考慮。要精算。</t>
        </is>
      </c>
      <c r="E12" s="122" t="n"/>
      <c r="F12" s="122" t="n"/>
      <c r="G12" s="122" t="n"/>
      <c r="H12" s="122" t="n"/>
      <c r="I12" s="122" t="n"/>
      <c r="J12" s="122" t="n"/>
    </row>
    <row r="13" ht="19.5" customHeight="1" s="120">
      <c r="A13" s="141" t="inlineStr">
        <is>
          <t>対象資産（期首期末平均）</t>
        </is>
      </c>
      <c r="B13" s="142">
        <f>ROUND((B11+B12)/2,0)</f>
        <v/>
      </c>
      <c r="C13" s="143" t="inlineStr">
        <is>
          <t>自動計算</t>
        </is>
      </c>
      <c r="D13" s="144" t="inlineStr">
        <is>
          <t>（期首＋期末）÷2　日本水道協会料金算定要領の算定方式</t>
        </is>
      </c>
      <c r="E13" s="122" t="n"/>
      <c r="F13" s="122" t="n"/>
      <c r="G13" s="122" t="n"/>
      <c r="H13" s="122" t="n"/>
      <c r="I13" s="122" t="n"/>
      <c r="J13" s="122" t="n"/>
    </row>
    <row r="14" ht="25.5" customHeight="1" s="120">
      <c r="A14" s="145" t="inlineStr">
        <is>
          <t>資産維持費（年間）</t>
        </is>
      </c>
      <c r="B14" s="146">
        <f>ROUND(B13*B7,0)</f>
        <v/>
      </c>
      <c r="C14" s="147" t="inlineStr">
        <is>
          <t>千円/年</t>
        </is>
      </c>
      <c r="D14" s="148" t="inlineStr">
        <is>
          <t>対象資産（期首期末平均）×資産維持率（B7セル）で自動計算。資産維持率を変更するとここが更新されます。</t>
        </is>
      </c>
      <c r="E14" s="122" t="n"/>
      <c r="F14" s="122" t="n"/>
      <c r="G14" s="122" t="n"/>
      <c r="H14" s="122" t="n"/>
      <c r="I14" s="122" t="n"/>
      <c r="J14" s="122" t="n"/>
    </row>
    <row r="15" ht="25.5" customHeight="1" s="120">
      <c r="A15" s="145" t="inlineStr">
        <is>
          <t>資産維持費（5年合計）</t>
        </is>
      </c>
      <c r="B15" s="146">
        <f>B14*5</f>
        <v/>
      </c>
      <c r="C15" s="147" t="inlineStr">
        <is>
          <t>千円</t>
        </is>
      </c>
      <c r="D15" s="148" t="inlineStr">
        <is>
          <t>年間資産維持費×5年間</t>
        </is>
      </c>
      <c r="E15" s="122" t="n"/>
      <c r="F15" s="122" t="n"/>
      <c r="G15" s="122" t="n"/>
      <c r="H15" s="122" t="n"/>
      <c r="I15" s="122" t="n"/>
      <c r="J15" s="122" t="n"/>
    </row>
    <row r="16" ht="4.5" customHeight="1" s="120"/>
    <row r="17" ht="18" customHeight="1" s="120">
      <c r="A17" s="149" t="inlineStr">
        <is>
          <t>【C】費用項目（財政シミュレーション確定値）　単位：千円</t>
        </is>
      </c>
      <c r="B17" s="122" t="n"/>
      <c r="C17" s="122" t="n"/>
      <c r="D17" s="122" t="n"/>
      <c r="E17" s="122" t="n"/>
      <c r="F17" s="122" t="n"/>
      <c r="G17" s="122" t="n"/>
      <c r="H17" s="122" t="n"/>
      <c r="I17" s="122" t="n"/>
      <c r="J17" s="122" t="n"/>
    </row>
    <row r="18" ht="36" customHeight="1" s="120">
      <c r="A18" s="150" t="inlineStr">
        <is>
          <t>費目</t>
        </is>
      </c>
      <c r="B18" s="151" t="inlineStr">
        <is>
          <t>R8</t>
        </is>
      </c>
      <c r="C18" s="151" t="inlineStr">
        <is>
          <t>R9</t>
        </is>
      </c>
      <c r="D18" s="151" t="inlineStr">
        <is>
          <t>R10</t>
        </is>
      </c>
      <c r="E18" s="151" t="inlineStr">
        <is>
          <t>R11</t>
        </is>
      </c>
      <c r="F18" s="151" t="inlineStr">
        <is>
          <t>R12</t>
        </is>
      </c>
      <c r="G18" s="151" t="inlineStr">
        <is>
          <t>5年合計</t>
        </is>
      </c>
      <c r="H18" s="150" t="inlineStr">
        <is>
          <t>年平均</t>
        </is>
      </c>
      <c r="I18" s="152" t="inlineStr">
        <is>
          <t>出所・備考</t>
        </is>
      </c>
      <c r="J18" s="122" t="n"/>
    </row>
    <row r="19" ht="19.5" customHeight="1" s="120">
      <c r="A19" s="141" t="inlineStr">
        <is>
          <t>Ⅰ 維持管理費（減価償却費除く）</t>
        </is>
      </c>
      <c r="B19" s="153" t="n">
        <v>131926</v>
      </c>
      <c r="C19" s="153" t="n">
        <v>133182</v>
      </c>
      <c r="D19" s="153" t="n">
        <v>134453</v>
      </c>
      <c r="E19" s="153" t="n">
        <v>135742</v>
      </c>
      <c r="F19" s="153" t="n">
        <v>137024</v>
      </c>
      <c r="G19" s="154">
        <f>SUM(B19:F19)</f>
        <v/>
      </c>
      <c r="H19" s="155">
        <f>G19/5</f>
        <v/>
      </c>
      <c r="I19" s="140" t="inlineStr">
        <is>
          <t>財政シミュ 営業費用ー減価償却費。人件費・動力費・修繕費・委託料等</t>
        </is>
      </c>
      <c r="J19" s="122" t="n"/>
    </row>
    <row r="20" ht="19.5" customHeight="1" s="120">
      <c r="A20" s="141" t="inlineStr">
        <is>
          <t>Ⅱ 減価償却費</t>
        </is>
      </c>
      <c r="B20" s="153" t="n">
        <v>395267</v>
      </c>
      <c r="C20" s="153" t="n">
        <v>414923</v>
      </c>
      <c r="D20" s="153" t="n">
        <v>412863</v>
      </c>
      <c r="E20" s="153" t="n">
        <v>407153</v>
      </c>
      <c r="F20" s="153" t="n">
        <v>402234</v>
      </c>
      <c r="G20" s="154">
        <f>SUM(B20:F20)</f>
        <v/>
      </c>
      <c r="H20" s="155">
        <f>G20/5</f>
        <v/>
      </c>
      <c r="I20" s="140" t="inlineStr">
        <is>
          <t>財政シミュ Row52。既存資産＋管路更新・北上川導水管の新規取得資産を含む。</t>
        </is>
      </c>
      <c r="J20" s="122" t="n"/>
    </row>
    <row r="21" ht="19.5" customHeight="1" s="120">
      <c r="A21" s="141" t="inlineStr">
        <is>
          <t>Ⅲ 支払利息（既往債）</t>
        </is>
      </c>
      <c r="B21" s="153" t="n">
        <v>10790</v>
      </c>
      <c r="C21" s="153" t="n">
        <v>10530</v>
      </c>
      <c r="D21" s="153" t="n">
        <v>10172</v>
      </c>
      <c r="E21" s="153" t="n">
        <v>9805</v>
      </c>
      <c r="F21" s="153" t="n">
        <v>9288</v>
      </c>
      <c r="G21" s="154">
        <f>SUM(B21:F21)</f>
        <v/>
      </c>
      <c r="H21" s="155">
        <f>G21/5</f>
        <v/>
      </c>
      <c r="I21" s="140" t="inlineStr">
        <is>
          <t>財政シミュ Row60。逓減傾向。</t>
        </is>
      </c>
      <c r="J21" s="122" t="n"/>
    </row>
    <row r="22" ht="19.5" customHeight="1" s="120">
      <c r="A22" s="141" t="inlineStr">
        <is>
          <t>Ⅳ 支払利息（新規債）</t>
        </is>
      </c>
      <c r="B22" s="153" t="n">
        <v>9238</v>
      </c>
      <c r="C22" s="153" t="n">
        <v>18507</v>
      </c>
      <c r="D22" s="153" t="n">
        <v>26641</v>
      </c>
      <c r="E22" s="153" t="n">
        <v>34316</v>
      </c>
      <c r="F22" s="153" t="n">
        <v>38700</v>
      </c>
      <c r="G22" s="154">
        <f>SUM(B22:F22)</f>
        <v/>
      </c>
      <c r="H22" s="155">
        <f>G22/5</f>
        <v/>
      </c>
      <c r="I22" s="140" t="inlineStr">
        <is>
          <t>財政シミュ Row61。北上川導水管借入後に急増。</t>
        </is>
      </c>
      <c r="J22" s="122" t="n"/>
    </row>
    <row r="23" ht="19.5" customHeight="1" s="120">
      <c r="A23" s="156" t="inlineStr">
        <is>
          <t>Ⅵ 控除：長期前受金戻入益</t>
        </is>
      </c>
      <c r="B23" s="157" t="n">
        <v>-94000</v>
      </c>
      <c r="C23" s="157" t="n">
        <v>-92000</v>
      </c>
      <c r="D23" s="157" t="n">
        <v>-90000</v>
      </c>
      <c r="E23" s="157" t="n">
        <v>-88000</v>
      </c>
      <c r="F23" s="157" t="n">
        <v>-86000</v>
      </c>
      <c r="G23" s="154">
        <f>SUM(B23:F23)</f>
        <v/>
      </c>
      <c r="H23" s="155">
        <f>G23/5</f>
        <v/>
      </c>
      <c r="I23" s="140" t="inlineStr">
        <is>
          <t>（推計値）△表示。財政シミュR6〜R7平均から推計。要精査。</t>
        </is>
      </c>
      <c r="J23" s="122" t="n"/>
    </row>
    <row r="24" ht="19.5" customHeight="1" s="120">
      <c r="A24" s="156" t="inlineStr">
        <is>
          <t>Ⅶ 控除：他会計補助金等</t>
        </is>
      </c>
      <c r="B24" s="157" t="n">
        <v>-3000</v>
      </c>
      <c r="C24" s="157" t="n">
        <v>-3000</v>
      </c>
      <c r="D24" s="157" t="n">
        <v>-3000</v>
      </c>
      <c r="E24" s="157" t="n">
        <v>-3000</v>
      </c>
      <c r="F24" s="157" t="n">
        <v>-3000</v>
      </c>
      <c r="G24" s="154">
        <f>SUM(B24:F24)</f>
        <v/>
      </c>
      <c r="H24" s="155">
        <f>G24/5</f>
        <v/>
      </c>
      <c r="I24" s="140" t="inlineStr">
        <is>
          <t>（推計値）国定基準内繰入金等の控除。要精査。</t>
        </is>
      </c>
      <c r="J24" s="122" t="n"/>
    </row>
    <row r="25" ht="19.5" customHeight="1" s="120">
      <c r="A25" s="137" t="inlineStr">
        <is>
          <t>Ⅴ 資産維持費（★可変）</t>
        </is>
      </c>
      <c r="B25" s="158">
        <f>$B$14</f>
        <v/>
      </c>
      <c r="C25" s="158">
        <f>$B$14</f>
        <v/>
      </c>
      <c r="D25" s="158">
        <f>$B$14</f>
        <v/>
      </c>
      <c r="E25" s="158">
        <f>$B$14</f>
        <v/>
      </c>
      <c r="F25" s="158">
        <f>$B$14</f>
        <v/>
      </c>
      <c r="G25" s="158">
        <f>B14*5</f>
        <v/>
      </c>
      <c r="H25" s="158">
        <f>B14</f>
        <v/>
      </c>
      <c r="I25" s="159" t="inlineStr">
        <is>
          <t>★B7セルの資産維持率に連動して自動計算。ここを変えるにはB7セルを変更してください。</t>
        </is>
      </c>
      <c r="J25" s="122" t="n"/>
    </row>
  </sheetData>
  <mergeCells count="22">
    <mergeCell ref="A5:J5"/>
    <mergeCell ref="A17:J17"/>
    <mergeCell ref="D12:J12"/>
    <mergeCell ref="A4:J4"/>
    <mergeCell ref="D15:J15"/>
    <mergeCell ref="D14:J14"/>
    <mergeCell ref="A9:J9"/>
    <mergeCell ref="I25:J25"/>
    <mergeCell ref="D10:J10"/>
    <mergeCell ref="I22:J22"/>
    <mergeCell ref="I18:J18"/>
    <mergeCell ref="I21:J21"/>
    <mergeCell ref="A1:J1"/>
    <mergeCell ref="I24:J24"/>
    <mergeCell ref="G7:J7"/>
    <mergeCell ref="I23:J23"/>
    <mergeCell ref="D11:J11"/>
    <mergeCell ref="D13:J13"/>
    <mergeCell ref="G6:J6"/>
    <mergeCell ref="I20:J20"/>
    <mergeCell ref="I19:J19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N4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119" min="1" max="1"/>
    <col width="14" customWidth="1" style="119" min="2" max="3"/>
    <col width="16" customWidth="1" style="119" min="4" max="4"/>
    <col width="12" customWidth="1" style="119" min="5" max="7"/>
    <col width="8" customWidth="1" style="119" min="8" max="8"/>
    <col width="32" customWidth="1" style="119" min="9" max="9"/>
    <col width="8" customWidth="1" style="119" min="10" max="14"/>
  </cols>
  <sheetData>
    <row r="1" ht="24" customHeight="1" s="120">
      <c r="A1" s="121" t="inlineStr">
        <is>
          <t>女川町上水道事業　総括原価シミュレーション　R8〜R12（5年間）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  <c r="J1" s="122" t="n"/>
      <c r="K1" s="122" t="n"/>
      <c r="L1" s="122" t="n"/>
      <c r="M1" s="122" t="n"/>
      <c r="N1" s="122" t="n"/>
    </row>
    <row r="2" ht="12" customHeight="1" s="120">
      <c r="A2" s="123" t="inlineStr">
        <is>
          <t>「前提条件（入力）」シートのB7セル（資産維持率）を変更すると、このシートの全計算が自動更新されます。　黄色セル＝パラメータ連動。青色セル＝固定値。</t>
        </is>
      </c>
    </row>
    <row r="3" ht="20" customHeight="1" s="120">
      <c r="A3" s="124" t="inlineStr">
        <is>
          <t>【この版は中間報告書（改訂版）の前提と一致しません】　計算根拠には使用しないでください。　本文の数値は 09_interim_report/onagawa_adopted_calc.xlsx（採用計算表）で再現します。</t>
        </is>
      </c>
      <c r="B3" s="125" t="n"/>
      <c r="C3" s="125" t="n"/>
      <c r="D3" s="125" t="n"/>
      <c r="E3" s="125" t="n"/>
      <c r="F3" s="125" t="n"/>
      <c r="G3" s="125" t="n"/>
      <c r="H3" s="125" t="n"/>
    </row>
    <row r="4" ht="27.75" customHeight="1" s="120">
      <c r="A4" s="160">
        <f>" 現在の資産維持率："&amp;TEXT('前提条件（入力）'!B7,"0.00%")&amp;"　　資産維持費（年間）："&amp;TEXT('前提条件（入力）'!B14,"#,##0")&amp;"千円"&amp;"　　資産維持費（5年合計）："&amp;TEXT('前提条件（入力）'!B15,"#,##0")&amp;"千円"</f>
        <v/>
      </c>
      <c r="B4" s="122" t="n"/>
      <c r="C4" s="122" t="n"/>
      <c r="D4" s="122" t="n"/>
      <c r="E4" s="122" t="n"/>
      <c r="F4" s="122" t="n"/>
      <c r="G4" s="122" t="n"/>
      <c r="H4" s="122" t="n"/>
      <c r="I4" s="122" t="n"/>
      <c r="J4" s="122" t="n"/>
      <c r="K4" s="122" t="n"/>
      <c r="L4" s="122" t="n"/>
      <c r="M4" s="122" t="n"/>
      <c r="N4" s="122" t="n"/>
    </row>
    <row r="5" ht="4.5" customHeight="1" s="120"/>
    <row r="6" ht="18" customHeight="1" s="120">
      <c r="A6" s="136" t="inlineStr">
        <is>
          <t>【A】年度別・費目別　原価集計表（千円）　※資産維持率変更で自動再計算</t>
        </is>
      </c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  <c r="L6" s="122" t="n"/>
      <c r="M6" s="122" t="n"/>
      <c r="N6" s="122" t="n"/>
    </row>
    <row r="7" ht="43.5" customHeight="1" s="120">
      <c r="A7" s="129" t="inlineStr">
        <is>
          <t>費目</t>
        </is>
      </c>
      <c r="B7" s="129" t="inlineStr">
        <is>
          <t>算入
区分</t>
        </is>
      </c>
      <c r="C7" s="161" t="inlineStr">
        <is>
          <t>R8</t>
        </is>
      </c>
      <c r="D7" s="161" t="inlineStr">
        <is>
          <t>R9</t>
        </is>
      </c>
      <c r="E7" s="161" t="inlineStr">
        <is>
          <t>R10</t>
        </is>
      </c>
      <c r="F7" s="161" t="inlineStr">
        <is>
          <t>R11</t>
        </is>
      </c>
      <c r="G7" s="161" t="inlineStr">
        <is>
          <t>R12</t>
        </is>
      </c>
      <c r="H7" s="161" t="inlineStr">
        <is>
          <t>5年合計</t>
        </is>
      </c>
      <c r="I7" s="129" t="inlineStr">
        <is>
          <t>年平均</t>
        </is>
      </c>
      <c r="J7" s="129" t="inlineStr">
        <is>
          <t>総括原価
構成比</t>
        </is>
      </c>
      <c r="K7" s="129" t="inlineStr">
        <is>
          <t>変動
有無</t>
        </is>
      </c>
      <c r="L7" s="129" t="inlineStr">
        <is>
          <t>出所・根拠</t>
        </is>
      </c>
    </row>
    <row r="8" ht="19.5" customHeight="1" s="120">
      <c r="A8" s="141" t="inlineStr">
        <is>
          <t>Ⅰ 維持管理費（減価償却費除く）</t>
        </is>
      </c>
      <c r="B8" s="162" t="inlineStr">
        <is>
          <t>＋固定費
・変動費</t>
        </is>
      </c>
      <c r="C8" s="163">
        <f>'前提条件（入力）'!B19</f>
        <v/>
      </c>
      <c r="D8" s="163">
        <f>'前提条件（入力）'!C19</f>
        <v/>
      </c>
      <c r="E8" s="163">
        <f>'前提条件（入力）'!D19</f>
        <v/>
      </c>
      <c r="F8" s="163">
        <f>'前提条件（入力）'!E19</f>
        <v/>
      </c>
      <c r="G8" s="163">
        <f>'前提条件（入力）'!F19</f>
        <v/>
      </c>
      <c r="H8" s="154">
        <f>SUM(C8:G8)</f>
        <v/>
      </c>
      <c r="I8" s="155">
        <f>H8/5</f>
        <v/>
      </c>
      <c r="J8" s="164">
        <f>IF(H15&lt;&gt;0,ABS(H8)/ABS(H15),0)</f>
        <v/>
      </c>
      <c r="K8" s="165" t="inlineStr">
        <is>
          <t>固定</t>
        </is>
      </c>
      <c r="L8" s="166" t="inlineStr">
        <is>
          <t>財政シミュ（営業費用-減価償却費）</t>
        </is>
      </c>
      <c r="M8" s="122" t="n"/>
      <c r="N8" s="122" t="n"/>
    </row>
    <row r="9" ht="19.5" customHeight="1" s="120">
      <c r="A9" s="141" t="inlineStr">
        <is>
          <t>Ⅱ 減価償却費</t>
        </is>
      </c>
      <c r="B9" s="162" t="inlineStr">
        <is>
          <t>＋固定費</t>
        </is>
      </c>
      <c r="C9" s="163">
        <f>'前提条件（入力）'!B20</f>
        <v/>
      </c>
      <c r="D9" s="163">
        <f>'前提条件（入力）'!C20</f>
        <v/>
      </c>
      <c r="E9" s="163">
        <f>'前提条件（入力）'!D20</f>
        <v/>
      </c>
      <c r="F9" s="163">
        <f>'前提条件（入力）'!E20</f>
        <v/>
      </c>
      <c r="G9" s="163">
        <f>'前提条件（入力）'!F20</f>
        <v/>
      </c>
      <c r="H9" s="154">
        <f>SUM(C9:G9)</f>
        <v/>
      </c>
      <c r="I9" s="155">
        <f>H9/5</f>
        <v/>
      </c>
      <c r="J9" s="164">
        <f>IF(H15&lt;&gt;0,ABS(H9)/ABS(H15),0)</f>
        <v/>
      </c>
      <c r="K9" s="165" t="inlineStr">
        <is>
          <t>固定</t>
        </is>
      </c>
      <c r="L9" s="166" t="inlineStr">
        <is>
          <t>財政シミュ Row52</t>
        </is>
      </c>
      <c r="M9" s="122" t="n"/>
      <c r="N9" s="122" t="n"/>
    </row>
    <row r="10" ht="19.5" customHeight="1" s="120">
      <c r="A10" s="167" t="inlineStr">
        <is>
          <t>Ⅲ 支払利息（既往債）</t>
        </is>
      </c>
      <c r="B10" s="162" t="inlineStr">
        <is>
          <t>＋固定費</t>
        </is>
      </c>
      <c r="C10" s="153">
        <f>'前提条件（入力）'!B21</f>
        <v/>
      </c>
      <c r="D10" s="153">
        <f>'前提条件（入力）'!C21</f>
        <v/>
      </c>
      <c r="E10" s="153">
        <f>'前提条件（入力）'!D21</f>
        <v/>
      </c>
      <c r="F10" s="153">
        <f>'前提条件（入力）'!E21</f>
        <v/>
      </c>
      <c r="G10" s="153">
        <f>'前提条件（入力）'!F21</f>
        <v/>
      </c>
      <c r="H10" s="154">
        <f>SUM(C10:G10)</f>
        <v/>
      </c>
      <c r="I10" s="155">
        <f>H10/5</f>
        <v/>
      </c>
      <c r="J10" s="164">
        <f>IF(H15&lt;&gt;0,ABS(H10)/ABS(H15),0)</f>
        <v/>
      </c>
      <c r="K10" s="165" t="inlineStr">
        <is>
          <t>固定</t>
        </is>
      </c>
      <c r="L10" s="166" t="inlineStr">
        <is>
          <t>財政シミュ Row60</t>
        </is>
      </c>
      <c r="M10" s="122" t="n"/>
      <c r="N10" s="122" t="n"/>
    </row>
    <row r="11" ht="19.5" customHeight="1" s="120">
      <c r="A11" s="167" t="inlineStr">
        <is>
          <t>Ⅳ 支払利息（新規債）</t>
        </is>
      </c>
      <c r="B11" s="162" t="inlineStr">
        <is>
          <t>＋固定費</t>
        </is>
      </c>
      <c r="C11" s="153">
        <f>'前提条件（入力）'!B22</f>
        <v/>
      </c>
      <c r="D11" s="153">
        <f>'前提条件（入力）'!C22</f>
        <v/>
      </c>
      <c r="E11" s="153">
        <f>'前提条件（入力）'!D22</f>
        <v/>
      </c>
      <c r="F11" s="153">
        <f>'前提条件（入力）'!E22</f>
        <v/>
      </c>
      <c r="G11" s="153">
        <f>'前提条件（入力）'!F22</f>
        <v/>
      </c>
      <c r="H11" s="154">
        <f>SUM(C11:G11)</f>
        <v/>
      </c>
      <c r="I11" s="155">
        <f>H11/5</f>
        <v/>
      </c>
      <c r="J11" s="164">
        <f>IF(H15&lt;&gt;0,ABS(H11)/ABS(H15),0)</f>
        <v/>
      </c>
      <c r="K11" s="165" t="inlineStr">
        <is>
          <t>固定</t>
        </is>
      </c>
      <c r="L11" s="166" t="inlineStr">
        <is>
          <t>財政シミュ Row61</t>
        </is>
      </c>
      <c r="M11" s="122" t="n"/>
      <c r="N11" s="122" t="n"/>
    </row>
    <row r="12" ht="19.5" customHeight="1" s="120">
      <c r="A12" s="137" t="inlineStr">
        <is>
          <t>Ⅴ 資産維持費（★可変）</t>
        </is>
      </c>
      <c r="B12" s="168" t="inlineStr">
        <is>
          <t>＋固定費</t>
        </is>
      </c>
      <c r="C12" s="158">
        <f>'前提条件（入力）'!B25</f>
        <v/>
      </c>
      <c r="D12" s="158">
        <f>'前提条件（入力）'!C25</f>
        <v/>
      </c>
      <c r="E12" s="158">
        <f>'前提条件（入力）'!D25</f>
        <v/>
      </c>
      <c r="F12" s="158">
        <f>'前提条件（入力）'!E25</f>
        <v/>
      </c>
      <c r="G12" s="158">
        <f>'前提条件（入力）'!F25</f>
        <v/>
      </c>
      <c r="H12" s="158">
        <f>SUM(C12:G12)</f>
        <v/>
      </c>
      <c r="I12" s="169">
        <f>H12/5</f>
        <v/>
      </c>
      <c r="J12" s="170">
        <f>IF(H15&lt;&gt;0,ABS(H12)/ABS(H15),0)</f>
        <v/>
      </c>
      <c r="K12" s="171" t="inlineStr">
        <is>
          <t>★変動</t>
        </is>
      </c>
      <c r="L12" s="166" t="inlineStr">
        <is>
          <t>前提シートB7×対象資産平均で自動計算</t>
        </is>
      </c>
      <c r="M12" s="122" t="n"/>
      <c r="N12" s="122" t="n"/>
    </row>
    <row r="13" ht="19.5" customHeight="1" s="120">
      <c r="A13" s="172" t="inlineStr">
        <is>
          <t>Ⅵ 控除：長期前受金戻入益</t>
        </is>
      </c>
      <c r="B13" s="173" t="inlineStr">
        <is>
          <t>－控除</t>
        </is>
      </c>
      <c r="C13" s="157">
        <f>'前提条件（入力）'!B23</f>
        <v/>
      </c>
      <c r="D13" s="157">
        <f>'前提条件（入力）'!C23</f>
        <v/>
      </c>
      <c r="E13" s="157">
        <f>'前提条件（入力）'!D23</f>
        <v/>
      </c>
      <c r="F13" s="157">
        <f>'前提条件（入力）'!E23</f>
        <v/>
      </c>
      <c r="G13" s="157">
        <f>'前提条件（入力）'!F23</f>
        <v/>
      </c>
      <c r="H13" s="154">
        <f>SUM(C13:G13)</f>
        <v/>
      </c>
      <c r="I13" s="155">
        <f>H13/5</f>
        <v/>
      </c>
      <c r="J13" s="174">
        <f>IF(H15&lt;&gt;0,ABS(H13)/ABS(H15),0)</f>
        <v/>
      </c>
      <c r="K13" s="175" t="inlineStr">
        <is>
          <t>固定</t>
        </is>
      </c>
      <c r="L13" s="166" t="inlineStr">
        <is>
          <t>（推計）△控除項目</t>
        </is>
      </c>
      <c r="M13" s="122" t="n"/>
      <c r="N13" s="122" t="n"/>
    </row>
    <row r="14" ht="19.5" customHeight="1" s="120">
      <c r="A14" s="172" t="inlineStr">
        <is>
          <t>Ⅶ 控除：他会計補助金等</t>
        </is>
      </c>
      <c r="B14" s="173" t="inlineStr">
        <is>
          <t>－控除</t>
        </is>
      </c>
      <c r="C14" s="157">
        <f>'前提条件（入力）'!B24</f>
        <v/>
      </c>
      <c r="D14" s="157">
        <f>'前提条件（入力）'!C24</f>
        <v/>
      </c>
      <c r="E14" s="157">
        <f>'前提条件（入力）'!D24</f>
        <v/>
      </c>
      <c r="F14" s="157">
        <f>'前提条件（入力）'!E24</f>
        <v/>
      </c>
      <c r="G14" s="157">
        <f>'前提条件（入力）'!F24</f>
        <v/>
      </c>
      <c r="H14" s="154">
        <f>SUM(C14:G14)</f>
        <v/>
      </c>
      <c r="I14" s="155">
        <f>H14/5</f>
        <v/>
      </c>
      <c r="J14" s="174">
        <f>IF(H15&lt;&gt;0,ABS(H14)/ABS(H15),0)</f>
        <v/>
      </c>
      <c r="K14" s="175" t="inlineStr">
        <is>
          <t>固定</t>
        </is>
      </c>
      <c r="L14" s="166" t="inlineStr">
        <is>
          <t>（推計）△控除項目</t>
        </is>
      </c>
      <c r="M14" s="122" t="n"/>
      <c r="N14" s="122" t="n"/>
    </row>
    <row r="15" ht="24" customHeight="1" s="120">
      <c r="A15" s="176" t="inlineStr">
        <is>
          <t>総括原価　合　計</t>
        </is>
      </c>
      <c r="B15" s="177" t="n"/>
      <c r="C15" s="178">
        <f>SUM(C8:C14)</f>
        <v/>
      </c>
      <c r="D15" s="178">
        <f>SUM(D8:D14)</f>
        <v/>
      </c>
      <c r="E15" s="178">
        <f>SUM(E8:E14)</f>
        <v/>
      </c>
      <c r="F15" s="178">
        <f>SUM(F8:F14)</f>
        <v/>
      </c>
      <c r="G15" s="178">
        <f>SUM(G8:G14)</f>
        <v/>
      </c>
      <c r="H15" s="179">
        <f>SUM(C15:G15)</f>
        <v/>
      </c>
      <c r="I15" s="180">
        <f>H15/5</f>
        <v/>
      </c>
      <c r="J15" s="177" t="n"/>
      <c r="K15" s="177" t="n"/>
      <c r="L15" s="177" t="n"/>
      <c r="M15" s="177" t="n"/>
      <c r="N15" s="177" t="n"/>
    </row>
    <row r="16" ht="4.5" customHeight="1" s="120"/>
    <row r="17" ht="18" customHeight="1" s="120">
      <c r="A17" s="181" t="inlineStr">
        <is>
          <t>【B】供給単価・料金回収率　自動算定</t>
        </is>
      </c>
      <c r="B17" s="122" t="n"/>
      <c r="C17" s="122" t="n"/>
      <c r="D17" s="122" t="n"/>
      <c r="E17" s="122" t="n"/>
      <c r="F17" s="122" t="n"/>
      <c r="G17" s="122" t="n"/>
      <c r="H17" s="122" t="n"/>
      <c r="I17" s="122" t="n"/>
      <c r="J17" s="122" t="n"/>
      <c r="K17" s="122" t="n"/>
      <c r="L17" s="122" t="n"/>
      <c r="M17" s="122" t="n"/>
      <c r="N17" s="122" t="n"/>
    </row>
    <row r="18" ht="43.5" customHeight="1" s="120">
      <c r="A18" s="182" t="inlineStr">
        <is>
          <t>指標</t>
        </is>
      </c>
      <c r="B18" s="182" t="inlineStr">
        <is>
          <t>算定値（自動）</t>
        </is>
      </c>
      <c r="C18" s="122" t="n"/>
      <c r="D18" s="183" t="n"/>
      <c r="E18" s="182" t="inlineStr">
        <is>
          <t>参考：現行
（R7実績）</t>
        </is>
      </c>
      <c r="F18" s="182" t="inlineStr">
        <is>
          <t>差異
（改善幅）</t>
        </is>
      </c>
      <c r="G18" s="184" t="inlineStr">
        <is>
          <t>算定式・根拠</t>
        </is>
      </c>
      <c r="H18" s="122" t="n"/>
      <c r="I18" s="122" t="n"/>
      <c r="J18" s="122" t="n"/>
      <c r="K18" s="122" t="n"/>
      <c r="L18" s="122" t="n"/>
      <c r="M18" s="122" t="n"/>
      <c r="N18" s="122" t="n"/>
    </row>
    <row r="19" ht="21.75" customHeight="1" s="120">
      <c r="A19" s="185" t="inlineStr">
        <is>
          <t>5年間 有収水量</t>
        </is>
      </c>
      <c r="B19" s="186" t="inlineStr">
        <is>
          <t>4,316,000㎥（4,316千㎥）</t>
        </is>
      </c>
      <c r="C19" s="122" t="n"/>
      <c r="D19" s="122" t="n"/>
      <c r="E19" s="187" t="n"/>
      <c r="F19" s="188" t="n"/>
      <c r="G19" s="166" t="inlineStr">
        <is>
          <t>財政シミュ 水需要予測。R8:901→R12:818千㎥の合計。</t>
        </is>
      </c>
      <c r="H19" s="122" t="n"/>
      <c r="I19" s="122" t="n"/>
      <c r="J19" s="122" t="n"/>
      <c r="K19" s="122" t="n"/>
      <c r="L19" s="122" t="n"/>
      <c r="M19" s="122" t="n"/>
      <c r="N19" s="122" t="n"/>
    </row>
    <row r="20" ht="21.75" customHeight="1" s="120">
      <c r="A20" s="189" t="inlineStr">
        <is>
          <t>5年間 総括原価</t>
        </is>
      </c>
      <c r="B20" s="190">
        <f>H15</f>
        <v/>
      </c>
      <c r="C20" s="122" t="n"/>
      <c r="D20" s="122" t="n"/>
      <c r="E20" s="187" t="n"/>
      <c r="F20" s="191" t="n"/>
      <c r="G20" s="166" t="inlineStr">
        <is>
          <t>上記Ⅰ〜Ⅶの合計（千円）。資産維持率変更で自動更新。</t>
        </is>
      </c>
      <c r="H20" s="122" t="n"/>
      <c r="I20" s="122" t="n"/>
      <c r="J20" s="122" t="n"/>
      <c r="K20" s="122" t="n"/>
      <c r="L20" s="122" t="n"/>
      <c r="M20" s="122" t="n"/>
      <c r="N20" s="122" t="n"/>
    </row>
    <row r="21" ht="21.75" customHeight="1" s="120">
      <c r="A21" s="137" t="inlineStr">
        <is>
          <t>給水原価（算定）</t>
        </is>
      </c>
      <c r="B21" s="192">
        <f>ROUND(H15*1000/4316000,1)</f>
        <v/>
      </c>
      <c r="C21" s="122" t="n"/>
      <c r="D21" s="122" t="n"/>
      <c r="E21" s="193" t="n">
        <v>128.2</v>
      </c>
      <c r="F21" s="194">
        <f>ROUND(H15*1000/4316000,1)-128.2</f>
        <v/>
      </c>
      <c r="G21" s="166" t="inlineStr">
        <is>
          <t>総括原価（千円）×1,000÷有収水量（㎥）。[円/㎥]</t>
        </is>
      </c>
      <c r="H21" s="122" t="n"/>
      <c r="I21" s="122" t="n"/>
      <c r="J21" s="122" t="n"/>
      <c r="K21" s="122" t="n"/>
      <c r="L21" s="122" t="n"/>
      <c r="M21" s="122" t="n"/>
      <c r="N21" s="122" t="n"/>
    </row>
    <row r="22" ht="21.75" customHeight="1" s="120">
      <c r="A22" s="195" t="inlineStr">
        <is>
          <t>現行供給単価（R7実績）</t>
        </is>
      </c>
      <c r="B22" s="196" t="inlineStr">
        <is>
          <t>128.2</t>
        </is>
      </c>
      <c r="C22" s="122" t="n"/>
      <c r="D22" s="122" t="n"/>
      <c r="E22" s="193" t="n">
        <v>128.2</v>
      </c>
      <c r="F22" s="191" t="n"/>
      <c r="G22" s="166" t="inlineStr">
        <is>
          <t>使用料収入131,429千円÷有収水量1,024千㎥（R7実績）</t>
        </is>
      </c>
      <c r="H22" s="122" t="n"/>
      <c r="I22" s="122" t="n"/>
      <c r="J22" s="122" t="n"/>
      <c r="K22" s="122" t="n"/>
      <c r="L22" s="122" t="n"/>
      <c r="M22" s="122" t="n"/>
      <c r="N22" s="122" t="n"/>
    </row>
    <row r="23" ht="21.75" customHeight="1" s="120">
      <c r="A23" s="197" t="inlineStr">
        <is>
          <t>料金回収率（現行）</t>
        </is>
      </c>
      <c r="B23" s="198">
        <f>128.2/ROUND(H15*1000/4316000,1)</f>
        <v/>
      </c>
      <c r="C23" s="122" t="n"/>
      <c r="D23" s="122" t="n"/>
      <c r="E23" s="199" t="n">
        <v>0.5286999999999999</v>
      </c>
      <c r="F23" s="188" t="n"/>
      <c r="G23" s="166" t="inlineStr">
        <is>
          <t>現行供給単価÷算定給水原価。100%が目標。</t>
        </is>
      </c>
      <c r="H23" s="122" t="n"/>
      <c r="I23" s="122" t="n"/>
      <c r="J23" s="122" t="n"/>
      <c r="K23" s="122" t="n"/>
      <c r="L23" s="122" t="n"/>
      <c r="M23" s="122" t="n"/>
      <c r="N23" s="122" t="n"/>
    </row>
    <row r="24" ht="21.75" customHeight="1" s="120">
      <c r="A24" s="195" t="inlineStr">
        <is>
          <t>改定後 供給単価（基本1.5倍・超過+22円）</t>
        </is>
      </c>
      <c r="B24" s="196" t="inlineStr">
        <is>
          <t>192.3</t>
        </is>
      </c>
      <c r="C24" s="122" t="n"/>
      <c r="D24" s="122" t="n"/>
      <c r="E24" s="193" t="n">
        <v>192.3</v>
      </c>
      <c r="F24" s="191" t="n"/>
      <c r="G24" s="166" t="inlineStr">
        <is>
          <t>基本料金1.5倍・超過料金+22円の改定案適用時の概算（別途試算）</t>
        </is>
      </c>
      <c r="H24" s="122" t="n"/>
      <c r="I24" s="122" t="n"/>
      <c r="J24" s="122" t="n"/>
      <c r="K24" s="122" t="n"/>
      <c r="L24" s="122" t="n"/>
      <c r="M24" s="122" t="n"/>
      <c r="N24" s="122" t="n"/>
    </row>
    <row r="25" ht="21.75" customHeight="1" s="120">
      <c r="A25" s="137" t="inlineStr">
        <is>
          <t>料金回収率（改定後）</t>
        </is>
      </c>
      <c r="B25" s="200">
        <f>192.3/ROUND(H15*1000/4316000,1)</f>
        <v/>
      </c>
      <c r="C25" s="122" t="n"/>
      <c r="D25" s="122" t="n"/>
      <c r="E25" s="187" t="n"/>
      <c r="F25" s="201" t="n"/>
      <c r="G25" s="166" t="inlineStr">
        <is>
          <t>改定後供給単価÷算定給水原価。100%目標に対する達成度。</t>
        </is>
      </c>
      <c r="H25" s="122" t="n"/>
      <c r="I25" s="122" t="n"/>
      <c r="J25" s="122" t="n"/>
      <c r="K25" s="122" t="n"/>
      <c r="L25" s="122" t="n"/>
      <c r="M25" s="122" t="n"/>
      <c r="N25" s="122" t="n"/>
    </row>
    <row r="26" ht="21.75" customHeight="1" s="120">
      <c r="A26" s="137" t="inlineStr">
        <is>
          <t>不足額（1件あたり月額換算）</t>
        </is>
      </c>
      <c r="B26" s="192">
        <f>ROUND((ROUND(H15*1000/4316000,1)-128.2)/12,0)</f>
        <v/>
      </c>
      <c r="C26" s="122" t="n"/>
      <c r="D26" s="122" t="n"/>
      <c r="E26" s="187" t="n"/>
      <c r="F26" s="201" t="n"/>
      <c r="G26" s="166" t="inlineStr">
        <is>
          <t>（算定給水原価 - 現行供給単価）÷12ヶ月。追加で必要な月額収入の目安。</t>
        </is>
      </c>
      <c r="H26" s="122" t="n"/>
      <c r="I26" s="122" t="n"/>
      <c r="J26" s="122" t="n"/>
      <c r="K26" s="122" t="n"/>
      <c r="L26" s="122" t="n"/>
      <c r="M26" s="122" t="n"/>
      <c r="N26" s="122" t="n"/>
    </row>
    <row r="27" ht="4.5" customHeight="1" s="120"/>
    <row r="28" ht="18" customHeight="1" s="120">
      <c r="A28" s="202" t="inlineStr">
        <is>
          <t>【C】資産維持率 感度分析　（1.0%〜3.0% のシナリオ比較）</t>
        </is>
      </c>
      <c r="B28" s="122" t="n"/>
      <c r="C28" s="122" t="n"/>
      <c r="D28" s="122" t="n"/>
      <c r="E28" s="122" t="n"/>
      <c r="F28" s="122" t="n"/>
      <c r="G28" s="122" t="n"/>
      <c r="H28" s="122" t="n"/>
      <c r="I28" s="122" t="n"/>
      <c r="J28" s="122" t="n"/>
      <c r="K28" s="122" t="n"/>
      <c r="L28" s="122" t="n"/>
      <c r="M28" s="122" t="n"/>
      <c r="N28" s="122" t="n"/>
    </row>
    <row r="29" ht="12" customHeight="1" s="120">
      <c r="A29" s="123" t="inlineStr">
        <is>
          <t>下記は各資産維持率における総括原価・給水原価・料金回収率の試算値。強調行が現在の設定値（前提シートB7と連動）。</t>
        </is>
      </c>
    </row>
    <row r="30" ht="43.5" customHeight="1" s="120">
      <c r="A30" s="203" t="inlineStr">
        <is>
          <t>資産維持率</t>
        </is>
      </c>
      <c r="B30" s="203" t="inlineStr">
        <is>
          <t>資産維持費
（年間・千円）</t>
        </is>
      </c>
      <c r="C30" s="203" t="inlineStr">
        <is>
          <t>資産維持費
（5年計・千円）</t>
        </is>
      </c>
      <c r="D30" s="203" t="inlineStr">
        <is>
          <t>総括原価
（5年計・千円）</t>
        </is>
      </c>
      <c r="E30" s="203" t="inlineStr">
        <is>
          <t>給水原価
（円/㎥）</t>
        </is>
      </c>
      <c r="F30" s="203" t="inlineStr">
        <is>
          <t>料金回収率
（現行128円）</t>
        </is>
      </c>
      <c r="G30" s="203" t="inlineStr">
        <is>
          <t>料金回収率
（改定後192円）</t>
        </is>
      </c>
      <c r="H30" s="203" t="inlineStr">
        <is>
          <t>日本水道
協会要領</t>
        </is>
      </c>
      <c r="I30" s="204" t="inlineStr">
        <is>
          <t>評価・コメント</t>
        </is>
      </c>
      <c r="J30" s="122" t="n"/>
      <c r="K30" s="122" t="n"/>
      <c r="L30" s="122" t="n"/>
      <c r="M30" s="122" t="n"/>
      <c r="N30" s="122" t="n"/>
    </row>
    <row r="31" ht="18" customHeight="1" s="120">
      <c r="A31" s="205">
        <f>IF(ABS('前提条件（入力）'!$B$7-0.01)&lt;0.0001,"▶ 1.0%（現設定）","1.0%（現設定）")</f>
        <v/>
      </c>
      <c r="B31" s="206">
        <f>ROUND('前提条件（入力）'!$B$13*0.01,0)</f>
        <v/>
      </c>
      <c r="C31" s="206">
        <f>ROUND('前提条件（入力）'!$B$13*0.01,0)*5</f>
        <v/>
      </c>
      <c r="D31" s="207">
        <f>2417754+ROUND('前提条件（入力）'!$B$13*0.01,0)*5</f>
        <v/>
      </c>
      <c r="E31" s="208">
        <f>ROUND((2417754+ROUND('前提条件（入力）'!$B$13*0.01,0)*5)*1000/4316000,1)</f>
        <v/>
      </c>
      <c r="F31" s="209">
        <f>IF(E31&lt;&gt;0,128.2/E31,0)</f>
        <v/>
      </c>
      <c r="G31" s="210">
        <f>IF(E31&lt;&gt;0,192.3/E31,0)</f>
        <v/>
      </c>
      <c r="H31" s="211" t="inlineStr">
        <is>
          <t>△現設定</t>
        </is>
      </c>
      <c r="I31" s="166" t="inlineStr">
        <is>
          <t>試算シート現設定。資金不足のリスクが高い。</t>
        </is>
      </c>
      <c r="J31" s="122" t="n"/>
      <c r="K31" s="122" t="n"/>
      <c r="L31" s="122" t="n"/>
      <c r="M31" s="122" t="n"/>
      <c r="N31" s="122" t="n"/>
    </row>
    <row r="32" ht="18" customHeight="1" s="120">
      <c r="A32" s="212">
        <f>IF(ABS('前提条件（入力）'!$B$7-0.013)&lt;0.0001,"▶ 1.3%","1.3%")</f>
        <v/>
      </c>
      <c r="B32" s="213">
        <f>ROUND('前提条件（入力）'!$B$13*0.013,0)</f>
        <v/>
      </c>
      <c r="C32" s="213">
        <f>ROUND('前提条件（入力）'!$B$13*0.013,0)*5</f>
        <v/>
      </c>
      <c r="D32" s="213">
        <f>2417754+ROUND('前提条件（入力）'!$B$13*0.013,0)*5</f>
        <v/>
      </c>
      <c r="E32" s="214">
        <f>ROUND((2417754+ROUND('前提条件（入力）'!$B$13*0.013,0)*5)*1000/4316000,1)</f>
        <v/>
      </c>
      <c r="F32" s="215">
        <f>IF(E32&lt;&gt;0,128.2/E32,0)</f>
        <v/>
      </c>
      <c r="G32" s="216">
        <f>IF(E32&lt;&gt;0,192.3/E32,0)</f>
        <v/>
      </c>
      <c r="H32" s="217" t="n"/>
      <c r="I32" s="166" t="inlineStr">
        <is>
          <t>現設定より僅かな上乗せ。</t>
        </is>
      </c>
      <c r="J32" s="122" t="n"/>
      <c r="K32" s="122" t="n"/>
      <c r="L32" s="122" t="n"/>
      <c r="M32" s="122" t="n"/>
      <c r="N32" s="122" t="n"/>
    </row>
    <row r="33" ht="18" customHeight="1" s="120">
      <c r="A33" s="218">
        <f>IF(ABS('前提条件（入力）'!$B$7-0.015)&lt;0.0001,"▶ 1.5%","1.5%")</f>
        <v/>
      </c>
      <c r="B33" s="219">
        <f>ROUND('前提条件（入力）'!$B$13*0.015,0)</f>
        <v/>
      </c>
      <c r="C33" s="219">
        <f>ROUND('前提条件（入力）'!$B$13*0.015,0)*5</f>
        <v/>
      </c>
      <c r="D33" s="219">
        <f>2417754+ROUND('前提条件（入力）'!$B$13*0.015,0)*5</f>
        <v/>
      </c>
      <c r="E33" s="220">
        <f>ROUND((2417754+ROUND('前提条件（入力）'!$B$13*0.015,0)*5)*1000/4316000,1)</f>
        <v/>
      </c>
      <c r="F33" s="221">
        <f>IF(E33&lt;&gt;0,128.2/E33,0)</f>
        <v/>
      </c>
      <c r="G33" s="222">
        <f>IF(E33&lt;&gt;0,192.3/E33,0)</f>
        <v/>
      </c>
      <c r="H33" s="223" t="n"/>
      <c r="I33" s="166" t="inlineStr">
        <is>
          <t>小規模改定での現実的な下限水準。</t>
        </is>
      </c>
      <c r="J33" s="122" t="n"/>
      <c r="K33" s="122" t="n"/>
      <c r="L33" s="122" t="n"/>
      <c r="M33" s="122" t="n"/>
      <c r="N33" s="122" t="n"/>
    </row>
    <row r="34" ht="18" customHeight="1" s="120">
      <c r="A34" s="212">
        <f>IF(ABS('前提条件（入力）'!$B$7-0.017)&lt;0.0001,"▶ 1.7%","1.7%")</f>
        <v/>
      </c>
      <c r="B34" s="213">
        <f>ROUND('前提条件（入力）'!$B$13*0.017,0)</f>
        <v/>
      </c>
      <c r="C34" s="213">
        <f>ROUND('前提条件（入力）'!$B$13*0.017,0)*5</f>
        <v/>
      </c>
      <c r="D34" s="213">
        <f>2417754+ROUND('前提条件（入力）'!$B$13*0.017,0)*5</f>
        <v/>
      </c>
      <c r="E34" s="214">
        <f>ROUND((2417754+ROUND('前提条件（入力）'!$B$13*0.017,0)*5)*1000/4316000,1)</f>
        <v/>
      </c>
      <c r="F34" s="215">
        <f>IF(E34&lt;&gt;0,128.2/E34,0)</f>
        <v/>
      </c>
      <c r="G34" s="216">
        <f>IF(E34&lt;&gt;0,192.3/E34,0)</f>
        <v/>
      </c>
      <c r="H34" s="217" t="n"/>
      <c r="I34" s="166" t="inlineStr">
        <is>
          <t>段階的引き上げの中間値。</t>
        </is>
      </c>
      <c r="J34" s="122" t="n"/>
      <c r="K34" s="122" t="n"/>
      <c r="L34" s="122" t="n"/>
      <c r="M34" s="122" t="n"/>
      <c r="N34" s="122" t="n"/>
    </row>
    <row r="35" ht="18" customHeight="1" s="120">
      <c r="A35" s="218">
        <f>IF(ABS('前提条件（入力）'!$B$7-0.02)&lt;0.0001,"▶ 2.0%（推奨下限）","2.0%（推奨下限）")</f>
        <v/>
      </c>
      <c r="B35" s="219">
        <f>ROUND('前提条件（入力）'!$B$13*0.02,0)</f>
        <v/>
      </c>
      <c r="C35" s="219">
        <f>ROUND('前提条件（入力）'!$B$13*0.02,0)*5</f>
        <v/>
      </c>
      <c r="D35" s="219">
        <f>2417754+ROUND('前提条件（入力）'!$B$13*0.02,0)*5</f>
        <v/>
      </c>
      <c r="E35" s="220">
        <f>ROUND((2417754+ROUND('前提条件（入力）'!$B$13*0.02,0)*5)*1000/4316000,1)</f>
        <v/>
      </c>
      <c r="F35" s="221">
        <f>IF(E35&lt;&gt;0,128.2/E35,0)</f>
        <v/>
      </c>
      <c r="G35" s="222">
        <f>IF(E35&lt;&gt;0,192.3/E35,0)</f>
        <v/>
      </c>
      <c r="H35" s="224" t="inlineStr">
        <is>
          <t>○推奨</t>
        </is>
      </c>
      <c r="I35" s="166" t="inlineStr">
        <is>
          <t>女川町規模での推奨水準（最低ライン）。</t>
        </is>
      </c>
      <c r="J35" s="122" t="n"/>
      <c r="K35" s="122" t="n"/>
      <c r="L35" s="122" t="n"/>
      <c r="M35" s="122" t="n"/>
      <c r="N35" s="122" t="n"/>
    </row>
    <row r="36" ht="18" customHeight="1" s="120">
      <c r="A36" s="212">
        <f>IF(ABS('前提条件（入力）'!$B$7-0.023)&lt;0.0001,"▶ 2.3%（松山市）","2.3%（松山市）")</f>
        <v/>
      </c>
      <c r="B36" s="213">
        <f>ROUND('前提条件（入力）'!$B$13*0.023,0)</f>
        <v/>
      </c>
      <c r="C36" s="213">
        <f>ROUND('前提条件（入力）'!$B$13*0.023,0)*5</f>
        <v/>
      </c>
      <c r="D36" s="213">
        <f>2417754+ROUND('前提条件（入力）'!$B$13*0.023,0)*5</f>
        <v/>
      </c>
      <c r="E36" s="214">
        <f>ROUND((2417754+ROUND('前提条件（入力）'!$B$13*0.023,0)*5)*1000/4316000,1)</f>
        <v/>
      </c>
      <c r="F36" s="215">
        <f>IF(E36&lt;&gt;0,128.2/E36,0)</f>
        <v/>
      </c>
      <c r="G36" s="216">
        <f>IF(E36&lt;&gt;0,192.3/E36,0)</f>
        <v/>
      </c>
      <c r="H36" s="217" t="n"/>
      <c r="I36" s="166" t="inlineStr">
        <is>
          <t>松山市事例（PDF P11）と同水準。</t>
        </is>
      </c>
      <c r="J36" s="122" t="n"/>
      <c r="K36" s="122" t="n"/>
      <c r="L36" s="122" t="n"/>
      <c r="M36" s="122" t="n"/>
      <c r="N36" s="122" t="n"/>
    </row>
    <row r="37" ht="18" customHeight="1" s="120">
      <c r="A37" s="218">
        <f>IF(ABS('前提条件（入力）'!$B$7-0.025)&lt;0.0001,"▶ 2.5%","2.5%")</f>
        <v/>
      </c>
      <c r="B37" s="219">
        <f>ROUND('前提条件（入力）'!$B$13*0.025,0)</f>
        <v/>
      </c>
      <c r="C37" s="219">
        <f>ROUND('前提条件（入力）'!$B$13*0.025,0)*5</f>
        <v/>
      </c>
      <c r="D37" s="219">
        <f>2417754+ROUND('前提条件（入力）'!$B$13*0.025,0)*5</f>
        <v/>
      </c>
      <c r="E37" s="220">
        <f>ROUND((2417754+ROUND('前提条件（入力）'!$B$13*0.025,0)*5)*1000/4316000,1)</f>
        <v/>
      </c>
      <c r="F37" s="221">
        <f>IF(E37&lt;&gt;0,128.2/E37,0)</f>
        <v/>
      </c>
      <c r="G37" s="222">
        <f>IF(E37&lt;&gt;0,192.3/E37,0)</f>
        <v/>
      </c>
      <c r="H37" s="224" t="inlineStr">
        <is>
          <t>○推奨</t>
        </is>
      </c>
      <c r="I37" s="225" t="inlineStr">
        <is>
          <t>2.0〜3.0%の中間。</t>
        </is>
      </c>
      <c r="J37" s="122" t="n"/>
      <c r="K37" s="122" t="n"/>
      <c r="L37" s="122" t="n"/>
      <c r="M37" s="122" t="n"/>
      <c r="N37" s="122" t="n"/>
    </row>
    <row r="38" ht="18" customHeight="1" s="120">
      <c r="A38" s="212">
        <f>IF(ABS('前提条件（入力）'!$B$7-0.027)&lt;0.0001,"▶ 2.7%","2.7%")</f>
        <v/>
      </c>
      <c r="B38" s="213">
        <f>ROUND('前提条件（入力）'!$B$13*0.027,0)</f>
        <v/>
      </c>
      <c r="C38" s="213">
        <f>ROUND('前提条件（入力）'!$B$13*0.027,0)*5</f>
        <v/>
      </c>
      <c r="D38" s="213">
        <f>2417754+ROUND('前提条件（入力）'!$B$13*0.027,0)*5</f>
        <v/>
      </c>
      <c r="E38" s="214">
        <f>ROUND((2417754+ROUND('前提条件（入力）'!$B$13*0.027,0)*5)*1000/4316000,1)</f>
        <v/>
      </c>
      <c r="F38" s="215">
        <f>IF(E38&lt;&gt;0,128.2/E38,0)</f>
        <v/>
      </c>
      <c r="G38" s="216">
        <f>IF(E38&lt;&gt;0,192.3/E38,0)</f>
        <v/>
      </c>
      <c r="H38" s="217" t="n"/>
      <c r="I38" s="166" t="inlineStr">
        <is>
          <t>標準3%に近い水準。</t>
        </is>
      </c>
      <c r="J38" s="122" t="n"/>
      <c r="K38" s="122" t="n"/>
      <c r="L38" s="122" t="n"/>
      <c r="M38" s="122" t="n"/>
      <c r="N38" s="122" t="n"/>
    </row>
    <row r="39" ht="18" customHeight="1" s="120">
      <c r="A39" s="218">
        <f>IF(ABS('前提条件（入力）'!$B$7-0.03)&lt;0.0001,"▶ 3.0%（要領標準）","3.0%（要領標準）")</f>
        <v/>
      </c>
      <c r="B39" s="219">
        <f>ROUND('前提条件（入力）'!$B$13*0.03,0)</f>
        <v/>
      </c>
      <c r="C39" s="219">
        <f>ROUND('前提条件（入力）'!$B$13*0.03,0)*5</f>
        <v/>
      </c>
      <c r="D39" s="219">
        <f>2417754+ROUND('前提条件（入力）'!$B$13*0.03,0)*5</f>
        <v/>
      </c>
      <c r="E39" s="220">
        <f>ROUND((2417754+ROUND('前提条件（入力）'!$B$13*0.03,0)*5)*1000/4316000,1)</f>
        <v/>
      </c>
      <c r="F39" s="221">
        <f>IF(E39&lt;&gt;0,128.2/E39,0)</f>
        <v/>
      </c>
      <c r="G39" s="222">
        <f>IF(E39&lt;&gt;0,192.3/E39,0)</f>
        <v/>
      </c>
      <c r="H39" s="226" t="inlineStr">
        <is>
          <t>◎標準</t>
        </is>
      </c>
      <c r="I39" s="166" t="inlineStr">
        <is>
          <t>日本水道協会要領の標準。最大の財源確保。</t>
        </is>
      </c>
      <c r="J39" s="122" t="n"/>
      <c r="K39" s="122" t="n"/>
      <c r="L39" s="122" t="n"/>
      <c r="M39" s="122" t="n"/>
      <c r="N39" s="122" t="n"/>
    </row>
    <row r="40" ht="12" customHeight="1" s="120">
      <c r="A40" s="123" t="inlineStr">
        <is>
          <t>※「▶」マークが現在の設定値（前提シートB7）と一致する行を示します。資産維持率を変更すると▶が移動します。</t>
        </is>
      </c>
    </row>
  </sheetData>
  <mergeCells count="43">
    <mergeCell ref="A40:N40"/>
    <mergeCell ref="I32:N32"/>
    <mergeCell ref="G21:N21"/>
    <mergeCell ref="B23:D23"/>
    <mergeCell ref="L14:N14"/>
    <mergeCell ref="I37:N37"/>
    <mergeCell ref="G22:N22"/>
    <mergeCell ref="L8:N8"/>
    <mergeCell ref="G23:N23"/>
    <mergeCell ref="A1:N1"/>
    <mergeCell ref="B19:D19"/>
    <mergeCell ref="A6:N6"/>
    <mergeCell ref="L10:N10"/>
    <mergeCell ref="I33:N33"/>
    <mergeCell ref="L9:N9"/>
    <mergeCell ref="G19:N19"/>
    <mergeCell ref="I39:N39"/>
    <mergeCell ref="I35:N35"/>
    <mergeCell ref="B24:D24"/>
    <mergeCell ref="I38:N38"/>
    <mergeCell ref="B20:D20"/>
    <mergeCell ref="G18:N18"/>
    <mergeCell ref="L11:N11"/>
    <mergeCell ref="A2:N2"/>
    <mergeCell ref="G24:N24"/>
    <mergeCell ref="B26:D26"/>
    <mergeCell ref="I31:N31"/>
    <mergeCell ref="I34:N34"/>
    <mergeCell ref="B25:D25"/>
    <mergeCell ref="I30:N30"/>
    <mergeCell ref="A17:N17"/>
    <mergeCell ref="G20:N20"/>
    <mergeCell ref="G26:N26"/>
    <mergeCell ref="A4:N4"/>
    <mergeCell ref="B22:D22"/>
    <mergeCell ref="I36:N36"/>
    <mergeCell ref="L13:N13"/>
    <mergeCell ref="G25:N25"/>
    <mergeCell ref="A29:N29"/>
    <mergeCell ref="B18:D18"/>
    <mergeCell ref="B21:D21"/>
    <mergeCell ref="L12:N12"/>
    <mergeCell ref="A28:N28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0" customWidth="1" style="119" min="1" max="1"/>
    <col width="14" customWidth="1" style="119" min="2" max="3"/>
    <col width="16" customWidth="1" style="119" min="4" max="4"/>
    <col width="12" customWidth="1" style="119" min="5" max="7"/>
    <col width="10" customWidth="1" style="119" min="8" max="8"/>
  </cols>
  <sheetData>
    <row r="1" ht="24" customHeight="1" s="120">
      <c r="A1" s="121" t="inlineStr">
        <is>
          <t>女川町上水道事業　資産維持率 感度分析データ（グラフ作成用）</t>
        </is>
      </c>
      <c r="B1" s="122" t="n"/>
      <c r="C1" s="122" t="n"/>
      <c r="D1" s="122" t="n"/>
      <c r="E1" s="122" t="n"/>
      <c r="F1" s="122" t="n"/>
      <c r="G1" s="122" t="n"/>
      <c r="H1" s="122" t="n"/>
      <c r="I1" s="122" t="n"/>
    </row>
    <row r="2" ht="12" customHeight="1" s="120">
      <c r="A2" s="123" t="inlineStr">
        <is>
          <t>前提条件シートのB7（資産維持率）・B13（対象資産平均）に連動して自動更新。グラフ化に使用してください。</t>
        </is>
      </c>
    </row>
    <row r="3" ht="4.5" customHeight="1" s="120"/>
    <row r="4" ht="18" customHeight="1" s="120">
      <c r="A4" s="202" t="inlineStr">
        <is>
          <t>感度分析：資産維持率 1.0%〜3.0% のシナリオ別試算値</t>
        </is>
      </c>
      <c r="B4" s="122" t="n"/>
      <c r="C4" s="122" t="n"/>
      <c r="D4" s="122" t="n"/>
      <c r="E4" s="122" t="n"/>
      <c r="F4" s="122" t="n"/>
      <c r="G4" s="122" t="n"/>
      <c r="H4" s="122" t="n"/>
      <c r="I4" s="122" t="n"/>
    </row>
    <row r="5" ht="43.5" customHeight="1" s="120">
      <c r="A5" s="203" t="inlineStr">
        <is>
          <t>資産維持率</t>
        </is>
      </c>
      <c r="B5" s="203" t="inlineStr">
        <is>
          <t>資産維持費
年間（千円）</t>
        </is>
      </c>
      <c r="C5" s="203" t="inlineStr">
        <is>
          <t>資産維持費
5年計（千円）</t>
        </is>
      </c>
      <c r="D5" s="203" t="inlineStr">
        <is>
          <t>総括原価
5年計（千円）</t>
        </is>
      </c>
      <c r="E5" s="203" t="inlineStr">
        <is>
          <t>給水原価
（円/㎥）</t>
        </is>
      </c>
      <c r="F5" s="203" t="inlineStr">
        <is>
          <t>料金回収率
現行128円</t>
        </is>
      </c>
      <c r="G5" s="203" t="inlineStr">
        <is>
          <t>料金回収率
改定後192円</t>
        </is>
      </c>
      <c r="H5" s="203" t="inlineStr">
        <is>
          <t>★現在値
（★印）</t>
        </is>
      </c>
    </row>
    <row r="6" ht="18" customHeight="1" s="120">
      <c r="A6" s="227" t="n">
        <v>0.01</v>
      </c>
      <c r="B6" s="228">
        <f>ROUND('前提条件（入力）'!$B$13*0.01,0)</f>
        <v/>
      </c>
      <c r="C6" s="228">
        <f>ROUND('前提条件（入力）'!$B$13*0.01,0)*5</f>
        <v/>
      </c>
      <c r="D6" s="228">
        <f>2417754+ROUND('前提条件（入力）'!$B$13*0.01,0)*5</f>
        <v/>
      </c>
      <c r="E6" s="229">
        <f>ROUND((2417754+ROUND('前提条件（入力）'!$B$13*0.01,0)*5)*1000/4316000,1)</f>
        <v/>
      </c>
      <c r="F6" s="230">
        <f>IF(E6&lt;&gt;0,128.2/E6,0)</f>
        <v/>
      </c>
      <c r="G6" s="230">
        <f>IF(E6&lt;&gt;0,192.3/E6,0)</f>
        <v/>
      </c>
      <c r="H6" s="231">
        <f>IF(ABS('前提条件（入力）'!$B$7-0.01)&lt;0.0001,"★現在値","")</f>
        <v/>
      </c>
    </row>
    <row r="7" ht="18" customHeight="1" s="120">
      <c r="A7" s="232" t="n">
        <v>0.013</v>
      </c>
      <c r="B7" s="233">
        <f>ROUND('前提条件（入力）'!$B$13*0.013,0)</f>
        <v/>
      </c>
      <c r="C7" s="233">
        <f>ROUND('前提条件（入力）'!$B$13*0.013,0)*5</f>
        <v/>
      </c>
      <c r="D7" s="233">
        <f>2417754+ROUND('前提条件（入力）'!$B$13*0.013,0)*5</f>
        <v/>
      </c>
      <c r="E7" s="234">
        <f>ROUND((2417754+ROUND('前提条件（入力）'!$B$13*0.013,0)*5)*1000/4316000,1)</f>
        <v/>
      </c>
      <c r="F7" s="235">
        <f>IF(E7&lt;&gt;0,128.2/E7,0)</f>
        <v/>
      </c>
      <c r="G7" s="235">
        <f>IF(E7&lt;&gt;0,192.3/E7,0)</f>
        <v/>
      </c>
      <c r="H7" s="236">
        <f>IF(ABS('前提条件（入力）'!$B$7-0.013)&lt;0.0001,"★現在値","")</f>
        <v/>
      </c>
    </row>
    <row r="8" ht="18" customHeight="1" s="120">
      <c r="A8" s="237" t="n">
        <v>0.015</v>
      </c>
      <c r="B8" s="238">
        <f>ROUND('前提条件（入力）'!$B$13*0.015,0)</f>
        <v/>
      </c>
      <c r="C8" s="238">
        <f>ROUND('前提条件（入力）'!$B$13*0.015,0)*5</f>
        <v/>
      </c>
      <c r="D8" s="238">
        <f>2417754+ROUND('前提条件（入力）'!$B$13*0.015,0)*5</f>
        <v/>
      </c>
      <c r="E8" s="239">
        <f>ROUND((2417754+ROUND('前提条件（入力）'!$B$13*0.015,0)*5)*1000/4316000,1)</f>
        <v/>
      </c>
      <c r="F8" s="240">
        <f>IF(E8&lt;&gt;0,128.2/E8,0)</f>
        <v/>
      </c>
      <c r="G8" s="240">
        <f>IF(E8&lt;&gt;0,192.3/E8,0)</f>
        <v/>
      </c>
      <c r="H8" s="241">
        <f>IF(ABS('前提条件（入力）'!$B$7-0.015)&lt;0.0001,"★現在値","")</f>
        <v/>
      </c>
    </row>
    <row r="9" ht="18" customHeight="1" s="120">
      <c r="A9" s="232" t="n">
        <v>0.017</v>
      </c>
      <c r="B9" s="233">
        <f>ROUND('前提条件（入力）'!$B$13*0.017,0)</f>
        <v/>
      </c>
      <c r="C9" s="233">
        <f>ROUND('前提条件（入力）'!$B$13*0.017,0)*5</f>
        <v/>
      </c>
      <c r="D9" s="233">
        <f>2417754+ROUND('前提条件（入力）'!$B$13*0.017,0)*5</f>
        <v/>
      </c>
      <c r="E9" s="234">
        <f>ROUND((2417754+ROUND('前提条件（入力）'!$B$13*0.017,0)*5)*1000/4316000,1)</f>
        <v/>
      </c>
      <c r="F9" s="235">
        <f>IF(E9&lt;&gt;0,128.2/E9,0)</f>
        <v/>
      </c>
      <c r="G9" s="235">
        <f>IF(E9&lt;&gt;0,192.3/E9,0)</f>
        <v/>
      </c>
      <c r="H9" s="236">
        <f>IF(ABS('前提条件（入力）'!$B$7-0.017)&lt;0.0001,"★現在値","")</f>
        <v/>
      </c>
    </row>
    <row r="10" ht="18" customHeight="1" s="120">
      <c r="A10" s="237" t="n">
        <v>0.02</v>
      </c>
      <c r="B10" s="238">
        <f>ROUND('前提条件（入力）'!$B$13*0.02,0)</f>
        <v/>
      </c>
      <c r="C10" s="238">
        <f>ROUND('前提条件（入力）'!$B$13*0.02,0)*5</f>
        <v/>
      </c>
      <c r="D10" s="238">
        <f>2417754+ROUND('前提条件（入力）'!$B$13*0.02,0)*5</f>
        <v/>
      </c>
      <c r="E10" s="239">
        <f>ROUND((2417754+ROUND('前提条件（入力）'!$B$13*0.02,0)*5)*1000/4316000,1)</f>
        <v/>
      </c>
      <c r="F10" s="240">
        <f>IF(E10&lt;&gt;0,128.2/E10,0)</f>
        <v/>
      </c>
      <c r="G10" s="240">
        <f>IF(E10&lt;&gt;0,192.3/E10,0)</f>
        <v/>
      </c>
      <c r="H10" s="241">
        <f>IF(ABS('前提条件（入力）'!$B$7-0.02)&lt;0.0001,"★現在値","")</f>
        <v/>
      </c>
    </row>
    <row r="11" ht="18" customHeight="1" s="120">
      <c r="A11" s="232" t="n">
        <v>0.023</v>
      </c>
      <c r="B11" s="233">
        <f>ROUND('前提条件（入力）'!$B$13*0.023,0)</f>
        <v/>
      </c>
      <c r="C11" s="233">
        <f>ROUND('前提条件（入力）'!$B$13*0.023,0)*5</f>
        <v/>
      </c>
      <c r="D11" s="233">
        <f>2417754+ROUND('前提条件（入力）'!$B$13*0.023,0)*5</f>
        <v/>
      </c>
      <c r="E11" s="234">
        <f>ROUND((2417754+ROUND('前提条件（入力）'!$B$13*0.023,0)*5)*1000/4316000,1)</f>
        <v/>
      </c>
      <c r="F11" s="235">
        <f>IF(E11&lt;&gt;0,128.2/E11,0)</f>
        <v/>
      </c>
      <c r="G11" s="235">
        <f>IF(E11&lt;&gt;0,192.3/E11,0)</f>
        <v/>
      </c>
      <c r="H11" s="236">
        <f>IF(ABS('前提条件（入力）'!$B$7-0.023)&lt;0.0001,"★現在値","")</f>
        <v/>
      </c>
    </row>
    <row r="12" ht="18" customHeight="1" s="120">
      <c r="A12" s="237" t="n">
        <v>0.025</v>
      </c>
      <c r="B12" s="238">
        <f>ROUND('前提条件（入力）'!$B$13*0.025,0)</f>
        <v/>
      </c>
      <c r="C12" s="238">
        <f>ROUND('前提条件（入力）'!$B$13*0.025,0)*5</f>
        <v/>
      </c>
      <c r="D12" s="238">
        <f>2417754+ROUND('前提条件（入力）'!$B$13*0.025,0)*5</f>
        <v/>
      </c>
      <c r="E12" s="239">
        <f>ROUND((2417754+ROUND('前提条件（入力）'!$B$13*0.025,0)*5)*1000/4316000,1)</f>
        <v/>
      </c>
      <c r="F12" s="240">
        <f>IF(E12&lt;&gt;0,128.2/E12,0)</f>
        <v/>
      </c>
      <c r="G12" s="240">
        <f>IF(E12&lt;&gt;0,192.3/E12,0)</f>
        <v/>
      </c>
      <c r="H12" s="241">
        <f>IF(ABS('前提条件（入力）'!$B$7-0.025)&lt;0.0001,"★現在値","")</f>
        <v/>
      </c>
    </row>
    <row r="13" ht="18" customHeight="1" s="120">
      <c r="A13" s="232" t="n">
        <v>0.027</v>
      </c>
      <c r="B13" s="233">
        <f>ROUND('前提条件（入力）'!$B$13*0.027,0)</f>
        <v/>
      </c>
      <c r="C13" s="233">
        <f>ROUND('前提条件（入力）'!$B$13*0.027,0)*5</f>
        <v/>
      </c>
      <c r="D13" s="233">
        <f>2417754+ROUND('前提条件（入力）'!$B$13*0.027,0)*5</f>
        <v/>
      </c>
      <c r="E13" s="234">
        <f>ROUND((2417754+ROUND('前提条件（入力）'!$B$13*0.027,0)*5)*1000/4316000,1)</f>
        <v/>
      </c>
      <c r="F13" s="235">
        <f>IF(E13&lt;&gt;0,128.2/E13,0)</f>
        <v/>
      </c>
      <c r="G13" s="235">
        <f>IF(E13&lt;&gt;0,192.3/E13,0)</f>
        <v/>
      </c>
      <c r="H13" s="236">
        <f>IF(ABS('前提条件（入力）'!$B$7-0.027)&lt;0.0001,"★現在値","")</f>
        <v/>
      </c>
    </row>
    <row r="14" ht="18" customHeight="1" s="120">
      <c r="A14" s="237" t="n">
        <v>0.03</v>
      </c>
      <c r="B14" s="238">
        <f>ROUND('前提条件（入力）'!$B$13*0.03,0)</f>
        <v/>
      </c>
      <c r="C14" s="238">
        <f>ROUND('前提条件（入力）'!$B$13*0.03,0)*5</f>
        <v/>
      </c>
      <c r="D14" s="238">
        <f>2417754+ROUND('前提条件（入力）'!$B$13*0.03,0)*5</f>
        <v/>
      </c>
      <c r="E14" s="239">
        <f>ROUND((2417754+ROUND('前提条件（入力）'!$B$13*0.03,0)*5)*1000/4316000,1)</f>
        <v/>
      </c>
      <c r="F14" s="240">
        <f>IF(E14&lt;&gt;0,128.2/E14,0)</f>
        <v/>
      </c>
      <c r="G14" s="240">
        <f>IF(E14&lt;&gt;0,192.3/E14,0)</f>
        <v/>
      </c>
      <c r="H14" s="241">
        <f>IF(ABS('前提条件（入力）'!$B$7-0.03)&lt;0.0001,"★現在値","")</f>
        <v/>
      </c>
    </row>
  </sheetData>
  <mergeCells count="3">
    <mergeCell ref="A1:I1"/>
    <mergeCell ref="A4:I4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02_total_cost_simulation</dc:title>
  <dc:subject>令和8年度上下水道経営指標評価書作成等業務委託</dc:subject>
  <dc:creator>若山諒太</dc:creator>
  <cp:lastModifiedBy>若山諒太</cp:lastModifiedBy>
  <cp:revision>1</cp:revision>
  <dcterms:created xsi:type="dcterms:W3CDTF">2026-09-28T10:27:08Z</dcterms:created>
  <dcterms:modified xsi:type="dcterms:W3CDTF">2026-09-28T10:27:08Z</dcterms:modified>
  <cp:category>ビズアップ公共コンサルティング株式会社</cp:category>
</cp:coreProperties>
</file>