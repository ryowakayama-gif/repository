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年度別推移サマリー" sheetId="1" state="visible" r:id="rId3"/>
    <sheet name="R1口径別明細" sheetId="2" state="visible" r:id="rId4"/>
    <sheet name="R2口径別明細" sheetId="3" state="visible" r:id="rId5"/>
    <sheet name="R3口径別明細" sheetId="4" state="visible" r:id="rId6"/>
    <sheet name="R4口径別明細" sheetId="5" state="visible" r:id="rId7"/>
    <sheet name="R5口径別明細" sheetId="6" state="visible" r:id="rId8"/>
    <sheet name="R6口径別明細" sheetId="7" state="visible" r:id="rId9"/>
    <sheet name="R7口径別明細" sheetId="8" state="visible" r:id="rId10"/>
    <sheet name="経営戦略_整合確認メモ" sheetId="9" state="visible" r:id="rId11"/>
    <sheet name="超過水量_使用料金推移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<sst xmlns="http://schemas.openxmlformats.org/spreadsheetml/2006/main" count="644" uniqueCount="147">
  <si>
    <t xml:space="preserve">水道料金調定集計表　年度別推移サマリー（R1〜R7）　【女川町水道事業】</t>
  </si>
  <si>
    <t xml:space="preserve">※令和6年度末 給水人口5,769人・有収水量1,019千㎥・料金収入118,830千円（経営戦略確認値）</t>
  </si>
  <si>
    <t xml:space="preserve">① 件数推移（基本水量件数）　単位：件</t>
  </si>
  <si>
    <t xml:space="preserve">口径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</si>
  <si>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</si>
  <si>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</si>
  <si>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</si>
  <si>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</si>
  <si>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</si>
  <si>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</si>
  <si>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R7</t>
  </si>
  <si>
    <r>
      <rPr>
        <b val="true"/>
        <sz val="10"/>
        <color rgb="FFFFFFFF"/>
        <rFont val="Arial"/>
        <family val="0"/>
        <charset val="1"/>
      </rPr>
      <t xml:space="preserve">R3</t>
    </r>
    <r>
      <rPr>
        <b val="true"/>
        <sz val="10"/>
        <color rgb="FFFFFFFF"/>
        <rFont val="Noto Sans CJK SC"/>
        <family val="2"/>
      </rPr>
      <t xml:space="preserve">〜</t>
    </r>
    <r>
      <rPr>
        <b val="true"/>
        <sz val="10"/>
        <color rgb="FFFFFFFF"/>
        <rFont val="Arial"/>
        <family val="0"/>
        <charset val="1"/>
      </rPr>
      <t xml:space="preserve">R7
</t>
    </r>
    <r>
      <rPr>
        <b val="true"/>
        <sz val="10"/>
        <color rgb="FFFFFFFF"/>
        <rFont val="Noto Sans CJK SC"/>
        <family val="2"/>
      </rPr>
      <t xml:space="preserve">平均</t>
    </r>
  </si>
  <si>
    <t xml:space="preserve">対R1比
(R7/R1)</t>
  </si>
  <si>
    <t xml:space="preserve">増減
(R7-R1)</t>
  </si>
  <si>
    <t xml:space="preserve">13mm</t>
  </si>
  <si>
    <t xml:space="preserve">20mm</t>
  </si>
  <si>
    <t xml:space="preserve">25mm</t>
  </si>
  <si>
    <t xml:space="preserve">40mm</t>
  </si>
  <si>
    <t xml:space="preserve">50mm</t>
  </si>
  <si>
    <t xml:space="preserve">75mm</t>
  </si>
  <si>
    <t xml:space="preserve">100mm</t>
  </si>
  <si>
    <t xml:space="preserve">合　計</t>
  </si>
  <si>
    <t xml:space="preserve">② 有収水量推移　単位：㎥</t>
  </si>
  <si>
    <t xml:space="preserve">③ 使用料金（調定額）推移　単位：円</t>
  </si>
  <si>
    <t xml:space="preserve">④ 超過水量推移　単位：㎥</t>
  </si>
  <si>
    <t xml:space="preserve">水道料金調定集計表　口径別明細　R1年度（令和元年度）</t>
  </si>
  <si>
    <t xml:space="preserve">基本水量
件数</t>
  </si>
  <si>
    <t xml:space="preserve">超過水量
件数</t>
  </si>
  <si>
    <t xml:space="preserve">有収水量
件数</t>
  </si>
  <si>
    <t xml:space="preserve">メーター
件数</t>
  </si>
  <si>
    <t xml:space="preserve">基本水量
(㎥)</t>
  </si>
  <si>
    <t xml:space="preserve">超過水量
(㎥)</t>
  </si>
  <si>
    <t xml:space="preserve">有収水量
(㎥)</t>
  </si>
  <si>
    <t xml:space="preserve">有効水量
(㎥)</t>
  </si>
  <si>
    <t xml:space="preserve">基本料金
(円)</t>
  </si>
  <si>
    <t xml:space="preserve">超過料金
(円)</t>
  </si>
  <si>
    <t xml:space="preserve">消費税
(円)</t>
  </si>
  <si>
    <t xml:space="preserve">メーター料金
(円)</t>
  </si>
  <si>
    <t xml:space="preserve">消費税②
(円)</t>
  </si>
  <si>
    <t xml:space="preserve">使用料金
(円)</t>
  </si>
  <si>
    <t xml:space="preserve">【参考】現行料金単価（女川町 経営戦略確認値）</t>
  </si>
  <si>
    <t xml:space="preserve">種別</t>
  </si>
  <si>
    <t xml:space="preserve">適用区分</t>
  </si>
  <si>
    <t xml:space="preserve">現行単価（税込）</t>
  </si>
  <si>
    <t xml:space="preserve">改定後仮算定（税込）</t>
  </si>
  <si>
    <t xml:space="preserve">基本料金</t>
  </si>
  <si>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㎥まで（一般用）</t>
    </r>
  </si>
  <si>
    <r>
      <rPr>
        <sz val="10"/>
        <color rgb="FF000000"/>
        <rFont val="Arial"/>
        <family val="0"/>
        <charset val="1"/>
      </rPr>
      <t xml:space="preserve">990</t>
    </r>
    <r>
      <rPr>
        <sz val="10"/>
        <color rgb="FF000000"/>
        <rFont val="Noto Sans CJK SC"/>
        <family val="2"/>
      </rPr>
      <t xml:space="preserve">円</t>
    </r>
  </si>
  <si>
    <r>
      <rPr>
        <sz val="10"/>
        <color rgb="FF000000"/>
        <rFont val="Arial"/>
        <family val="0"/>
        <charset val="1"/>
      </rPr>
      <t xml:space="preserve">1,760</t>
    </r>
    <r>
      <rPr>
        <sz val="10"/>
        <color rgb="FF000000"/>
        <rFont val="Noto Sans CJK SC"/>
        <family val="2"/>
      </rPr>
      <t xml:space="preserve">円</t>
    </r>
  </si>
  <si>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㎥まで（一般用）</t>
    </r>
  </si>
  <si>
    <r>
      <rPr>
        <sz val="10"/>
        <color rgb="FF000000"/>
        <rFont val="Arial"/>
        <family val="0"/>
        <charset val="1"/>
      </rPr>
      <t xml:space="preserve">1,210</t>
    </r>
    <r>
      <rPr>
        <sz val="10"/>
        <color rgb="FF000000"/>
        <rFont val="Noto Sans CJK SC"/>
        <family val="2"/>
      </rPr>
      <t xml:space="preserve">円</t>
    </r>
  </si>
  <si>
    <t xml:space="preserve">超過料金</t>
  </si>
  <si>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Noto Sans CJK SC"/>
        <family val="2"/>
      </rPr>
      <t xml:space="preserve">㎥まで（一般用）</t>
    </r>
  </si>
  <si>
    <r>
      <rPr>
        <sz val="10"/>
        <color rgb="FF000000"/>
        <rFont val="Arial"/>
        <family val="0"/>
        <charset val="1"/>
      </rPr>
      <t xml:space="preserve">121</t>
    </r>
    <r>
      <rPr>
        <sz val="10"/>
        <color rgb="FF000000"/>
        <rFont val="Noto Sans CJK SC"/>
        <family val="2"/>
      </rPr>
      <t xml:space="preserve">円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㎥</t>
    </r>
  </si>
  <si>
    <r>
      <rPr>
        <sz val="10"/>
        <color rgb="FF000000"/>
        <rFont val="Arial"/>
        <family val="0"/>
        <charset val="1"/>
      </rPr>
      <t xml:space="preserve">143</t>
    </r>
    <r>
      <rPr>
        <sz val="10"/>
        <color rgb="FF000000"/>
        <rFont val="Noto Sans CJK SC"/>
        <family val="2"/>
      </rPr>
      <t xml:space="preserve">円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㎥</t>
    </r>
  </si>
  <si>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Noto Sans CJK SC"/>
        <family val="2"/>
      </rPr>
      <t xml:space="preserve">㎥超（一般用）</t>
    </r>
  </si>
  <si>
    <r>
      <rPr>
        <sz val="10"/>
        <color rgb="FF000000"/>
        <rFont val="Arial"/>
        <family val="0"/>
        <charset val="1"/>
      </rPr>
      <t xml:space="preserve">110</t>
    </r>
    <r>
      <rPr>
        <sz val="10"/>
        <color rgb="FF000000"/>
        <rFont val="Noto Sans CJK SC"/>
        <family val="2"/>
      </rPr>
      <t xml:space="preserve">円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㎥</t>
    </r>
  </si>
  <si>
    <r>
      <rPr>
        <sz val="10"/>
        <color rgb="FF000000"/>
        <rFont val="Arial"/>
        <family val="0"/>
        <charset val="1"/>
      </rPr>
      <t xml:space="preserve">132</t>
    </r>
    <r>
      <rPr>
        <sz val="10"/>
        <color rgb="FF000000"/>
        <rFont val="Noto Sans CJK SC"/>
        <family val="2"/>
      </rPr>
      <t xml:space="preserve">円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㎥</t>
    </r>
  </si>
  <si>
    <t xml:space="preserve">メーター</t>
  </si>
  <si>
    <r>
      <rPr>
        <sz val="10"/>
        <color rgb="FF000000"/>
        <rFont val="Arial"/>
        <family val="0"/>
        <charset val="1"/>
      </rPr>
      <t xml:space="preserve">13mm / 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</si>
  <si>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円</t>
    </r>
  </si>
  <si>
    <r>
      <rPr>
        <sz val="10"/>
        <color rgb="FF000000"/>
        <rFont val="Arial"/>
        <family val="0"/>
        <charset val="1"/>
      </rPr>
      <t xml:space="preserve">209</t>
    </r>
    <r>
      <rPr>
        <sz val="10"/>
        <color rgb="FF000000"/>
        <rFont val="Noto Sans CJK SC"/>
        <family val="2"/>
      </rPr>
      <t xml:space="preserve">円（スマメ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年版）</t>
    </r>
  </si>
  <si>
    <r>
      <rPr>
        <sz val="10"/>
        <color rgb="FF000000"/>
        <rFont val="Arial"/>
        <family val="0"/>
        <charset val="1"/>
      </rPr>
      <t xml:space="preserve">20mm / 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</si>
  <si>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77</t>
    </r>
    <r>
      <rPr>
        <sz val="10"/>
        <color rgb="FF000000"/>
        <rFont val="Noto Sans CJK SC"/>
        <family val="2"/>
      </rPr>
      <t xml:space="preserve">円</t>
    </r>
  </si>
  <si>
    <r>
      <rPr>
        <sz val="10"/>
        <color rgb="FF000000"/>
        <rFont val="Arial"/>
        <family val="0"/>
        <charset val="1"/>
      </rPr>
      <t xml:space="preserve">209</t>
    </r>
    <r>
      <rPr>
        <sz val="10"/>
        <color rgb="FF000000"/>
        <rFont val="Noto Sans CJK SC"/>
        <family val="2"/>
      </rPr>
      <t xml:space="preserve">円</t>
    </r>
  </si>
  <si>
    <r>
      <rPr>
        <sz val="10"/>
        <color rgb="FF000000"/>
        <rFont val="Arial"/>
        <family val="0"/>
        <charset val="1"/>
      </rPr>
      <t xml:space="preserve">50mm / 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</si>
  <si>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880</t>
    </r>
    <r>
      <rPr>
        <sz val="10"/>
        <color rgb="FF000000"/>
        <rFont val="Noto Sans CJK SC"/>
        <family val="2"/>
      </rPr>
      <t xml:space="preserve">円</t>
    </r>
  </si>
  <si>
    <r>
      <rPr>
        <sz val="10"/>
        <color rgb="FF000000"/>
        <rFont val="Arial"/>
        <family val="0"/>
        <charset val="1"/>
      </rPr>
      <t xml:space="preserve">451</t>
    </r>
    <r>
      <rPr>
        <sz val="10"/>
        <color rgb="FF000000"/>
        <rFont val="Noto Sans CJK SC"/>
        <family val="2"/>
      </rPr>
      <t xml:space="preserve">円</t>
    </r>
  </si>
  <si>
    <r>
      <rPr>
        <sz val="10"/>
        <color rgb="FF000000"/>
        <rFont val="Arial"/>
        <family val="0"/>
        <charset val="1"/>
      </rPr>
      <t xml:space="preserve">100mm / 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</si>
  <si>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1,320</t>
    </r>
    <r>
      <rPr>
        <sz val="10"/>
        <color rgb="FF000000"/>
        <rFont val="Noto Sans CJK SC"/>
        <family val="2"/>
      </rPr>
      <t xml:space="preserve">円</t>
    </r>
  </si>
  <si>
    <r>
      <rPr>
        <sz val="10"/>
        <color rgb="FF000000"/>
        <rFont val="Arial"/>
        <family val="0"/>
        <charset val="1"/>
      </rPr>
      <t xml:space="preserve">979</t>
    </r>
    <r>
      <rPr>
        <sz val="10"/>
        <color rgb="FF000000"/>
        <rFont val="Noto Sans CJK SC"/>
        <family val="2"/>
      </rPr>
      <t xml:space="preserve">円</t>
    </r>
  </si>
  <si>
    <t xml:space="preserve">水道料金調定集計表　口径別明細　R2年度（令和2年度）</t>
  </si>
  <si>
    <t xml:space="preserve">水道料金調定集計表　口径別明細　R3年度（令和3年度）</t>
  </si>
  <si>
    <t xml:space="preserve">水道料金調定集計表　口径別明細　R4年度（令和4年度）</t>
  </si>
  <si>
    <t xml:space="preserve">水道料金調定集計表　口径別明細　R5年度（令和5年度）</t>
  </si>
  <si>
    <t xml:space="preserve">水道料金調定集計表　口径別明細　R6年度（令和6年度）</t>
  </si>
  <si>
    <t xml:space="preserve">水道料金調定集計表　口径別明細　R7年度（令和7年度）</t>
  </si>
  <si>
    <t xml:space="preserve">女川町水道事業　経営戦略策定 データ整合確認メモ（令和8年4月作成）</t>
  </si>
  <si>
    <r>
      <rPr>
        <b val="true"/>
        <sz val="11"/>
        <color rgb="FFFFFFFF"/>
        <rFont val="Arial"/>
        <family val="0"/>
        <charset val="1"/>
      </rPr>
      <t xml:space="preserve">A. </t>
    </r>
    <r>
      <rPr>
        <b val="true"/>
        <sz val="11"/>
        <color rgb="FFFFFFFF"/>
        <rFont val="Noto Sans CJK SC"/>
        <family val="2"/>
      </rPr>
      <t xml:space="preserve">人口・水需要推計の確認ポイント</t>
    </r>
  </si>
  <si>
    <t xml:space="preserve">確認項目</t>
  </si>
  <si>
    <t xml:space="preserve">内容</t>
  </si>
  <si>
    <t xml:space="preserve">状態</t>
  </si>
  <si>
    <t xml:space="preserve">給水人口 R6末実績</t>
  </si>
  <si>
    <t xml:space="preserve">報告書：5,769人　/ 試算シート統計R5：5,317人　→ 年度ズレの可能性</t>
  </si>
  <si>
    <t xml:space="preserve">▲ 要確認</t>
  </si>
  <si>
    <t xml:space="preserve">有収水量 H28欠損</t>
  </si>
  <si>
    <t xml:space="preserve">試算シート【統計】H28欄が空白。10年平均計算に影響する可能性</t>
  </si>
  <si>
    <r>
      <rPr>
        <sz val="10"/>
        <color rgb="FF000000"/>
        <rFont val="Arial"/>
        <family val="0"/>
        <charset val="1"/>
      </rPr>
      <t xml:space="preserve">R6→R8</t>
    </r>
    <r>
      <rPr>
        <sz val="10"/>
        <color rgb="FF000000"/>
        <rFont val="Noto Sans CJK SC"/>
        <family val="2"/>
      </rPr>
      <t xml:space="preserve">の有収水量急減</t>
    </r>
  </si>
  <si>
    <t xml:space="preserve">実績1,019千㎥→推計901千㎥（▲118千㎥）。人口減少のみで説明できるか要検討</t>
  </si>
  <si>
    <t xml:space="preserve">推計方式</t>
  </si>
  <si>
    <t xml:space="preserve">「直近10年の1人1日有収水量 × 推計給水人口」による推計 → 方式は適切</t>
  </si>
  <si>
    <t xml:space="preserve">○ 確認済</t>
  </si>
  <si>
    <t xml:space="preserve">給水延べ戸数</t>
  </si>
  <si>
    <t xml:space="preserve">横ばい〜微減傾向の継続を仮定 → 方式は適切</t>
  </si>
  <si>
    <r>
      <rPr>
        <b val="true"/>
        <sz val="11"/>
        <color rgb="FFFFFFFF"/>
        <rFont val="Arial"/>
        <family val="0"/>
        <charset val="1"/>
      </rPr>
      <t xml:space="preserve">B. </t>
    </r>
    <r>
      <rPr>
        <b val="true"/>
        <sz val="11"/>
        <color rgb="FFFFFFFF"/>
        <rFont val="Noto Sans CJK SC"/>
        <family val="2"/>
      </rPr>
      <t xml:space="preserve">企業債ファイルと財政シミュレーションの整合確認</t>
    </r>
  </si>
  <si>
    <t xml:space="preserve">企業債ファイルの網羅性</t>
  </si>
  <si>
    <t xml:space="preserve">企業債_AII（出島架橋のみ）。BSシートR5末残高7億6,336万円 vs 出島架橋5億2,889万円。差額約2億3,447万円分の企業債が未記載</t>
  </si>
  <si>
    <t xml:space="preserve">★ 要緊急確認</t>
  </si>
  <si>
    <t xml:space="preserve">財政シミュ 既往債元金</t>
  </si>
  <si>
    <r>
      <rPr>
        <sz val="10"/>
        <color rgb="FF000000"/>
        <rFont val="Arial"/>
        <family val="0"/>
        <charset val="1"/>
      </rPr>
      <t xml:space="preserve">Row97</t>
    </r>
    <r>
      <rPr>
        <sz val="10"/>
        <color rgb="FF000000"/>
        <rFont val="Noto Sans CJK SC"/>
        <family val="2"/>
      </rPr>
      <t xml:space="preserve">の既往債元金は</t>
    </r>
    <r>
      <rPr>
        <sz val="10"/>
        <color rgb="FF000000"/>
        <rFont val="Arial"/>
        <family val="0"/>
        <charset val="1"/>
      </rPr>
      <t xml:space="preserve">BS</t>
    </r>
    <r>
      <rPr>
        <sz val="10"/>
        <color rgb="FF000000"/>
        <rFont val="Noto Sans CJK SC"/>
        <family val="2"/>
      </rPr>
      <t xml:space="preserve">ベースで計算。出島架橋単独より毎年大きい（例：</t>
    </r>
    <r>
      <rPr>
        <sz val="10"/>
        <color rgb="FF000000"/>
        <rFont val="Arial"/>
        <family val="0"/>
        <charset val="1"/>
      </rPr>
      <t xml:space="preserve">R8 30.9</t>
    </r>
    <r>
      <rPr>
        <sz val="10"/>
        <color rgb="FF000000"/>
        <rFont val="Noto Sans CJK SC"/>
        <family val="2"/>
      </rPr>
      <t xml:space="preserve">百万円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企業債ファイル</t>
    </r>
    <r>
      <rPr>
        <sz val="10"/>
        <color rgb="FF000000"/>
        <rFont val="Arial"/>
        <family val="0"/>
        <charset val="1"/>
      </rPr>
      <t xml:space="preserve">10.7</t>
    </r>
    <r>
      <rPr>
        <sz val="10"/>
        <color rgb="FF000000"/>
        <rFont val="Noto Sans CJK SC"/>
        <family val="2"/>
      </rPr>
      <t xml:space="preserve">百万円）</t>
    </r>
  </si>
  <si>
    <t xml:space="preserve">財政シミュ 既往債利息</t>
  </si>
  <si>
    <r>
      <rPr>
        <sz val="10"/>
        <color rgb="FF000000"/>
        <rFont val="Arial"/>
        <family val="0"/>
        <charset val="1"/>
      </rPr>
      <t xml:space="preserve">Row60</t>
    </r>
    <r>
      <rPr>
        <sz val="10"/>
        <color rgb="FF000000"/>
        <rFont val="Noto Sans CJK SC"/>
        <family val="2"/>
      </rPr>
      <t xml:space="preserve">の既往債利息も同様に乖離（</t>
    </r>
    <r>
      <rPr>
        <sz val="10"/>
        <color rgb="FF000000"/>
        <rFont val="Arial"/>
        <family val="0"/>
        <charset val="1"/>
      </rPr>
      <t xml:space="preserve">R8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10.8</t>
    </r>
    <r>
      <rPr>
        <sz val="10"/>
        <color rgb="FF000000"/>
        <rFont val="Noto Sans CJK SC"/>
        <family val="2"/>
      </rPr>
      <t xml:space="preserve">百万円 </t>
    </r>
    <r>
      <rPr>
        <sz val="10"/>
        <color rgb="FF000000"/>
        <rFont val="Arial"/>
        <family val="0"/>
        <charset val="1"/>
      </rPr>
      <t xml:space="preserve">vs 3.98</t>
    </r>
    <r>
      <rPr>
        <sz val="10"/>
        <color rgb="FF000000"/>
        <rFont val="Noto Sans CJK SC"/>
        <family val="2"/>
      </rPr>
      <t xml:space="preserve">百万円）</t>
    </r>
  </si>
  <si>
    <t xml:space="preserve">新規債返済条件</t>
  </si>
  <si>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年・年利</t>
    </r>
    <r>
      <rPr>
        <sz val="10"/>
        <color rgb="FF000000"/>
        <rFont val="Arial"/>
        <family val="0"/>
        <charset val="1"/>
      </rPr>
      <t xml:space="preserve">2.1%</t>
    </r>
    <r>
      <rPr>
        <sz val="10"/>
        <color rgb="FF000000"/>
        <rFont val="Noto Sans CJK SC"/>
        <family val="2"/>
      </rPr>
      <t xml:space="preserve">・元利均等（</t>
    </r>
    <r>
      <rPr>
        <sz val="10"/>
        <color rgb="FF000000"/>
        <rFont val="Arial"/>
        <family val="0"/>
        <charset val="1"/>
      </rPr>
      <t xml:space="preserve">PPMT/IPMT</t>
    </r>
    <r>
      <rPr>
        <sz val="10"/>
        <color rgb="FF000000"/>
        <rFont val="Noto Sans CJK SC"/>
        <family val="2"/>
      </rPr>
      <t xml:space="preserve">）→ 構造は適切</t>
    </r>
  </si>
  <si>
    <r>
      <rPr>
        <sz val="10"/>
        <color rgb="FF000000"/>
        <rFont val="Arial"/>
        <family val="0"/>
        <charset val="1"/>
      </rPr>
      <t xml:space="preserve">R5→R6 </t>
    </r>
    <r>
      <rPr>
        <sz val="10"/>
        <color rgb="FF000000"/>
        <rFont val="Noto Sans CJK SC"/>
        <family val="2"/>
      </rPr>
      <t xml:space="preserve">企業債残高変動</t>
    </r>
  </si>
  <si>
    <r>
      <rPr>
        <sz val="10"/>
        <color rgb="FF000000"/>
        <rFont val="Arial"/>
        <family val="0"/>
        <charset val="1"/>
      </rPr>
      <t xml:space="preserve">BS</t>
    </r>
    <r>
      <rPr>
        <sz val="10"/>
        <color rgb="FF000000"/>
        <rFont val="Noto Sans CJK SC"/>
        <family val="2"/>
      </rPr>
      <t xml:space="preserve">の</t>
    </r>
    <r>
      <rPr>
        <sz val="10"/>
        <color rgb="FF000000"/>
        <rFont val="Arial"/>
        <family val="0"/>
        <charset val="1"/>
      </rPr>
      <t xml:space="preserve">R5</t>
    </r>
    <r>
      <rPr>
        <sz val="10"/>
        <color rgb="FF000000"/>
        <rFont val="Noto Sans CJK SC"/>
        <family val="2"/>
      </rPr>
      <t xml:space="preserve">末</t>
    </r>
    <r>
      <rPr>
        <sz val="10"/>
        <color rgb="FF000000"/>
        <rFont val="Arial"/>
        <family val="0"/>
        <charset val="1"/>
      </rPr>
      <t xml:space="preserve">7.6</t>
    </r>
    <r>
      <rPr>
        <sz val="10"/>
        <color rgb="FF000000"/>
        <rFont val="Noto Sans CJK SC"/>
        <family val="2"/>
      </rPr>
      <t xml:space="preserve">億→</t>
    </r>
    <r>
      <rPr>
        <sz val="10"/>
        <color rgb="FF000000"/>
        <rFont val="Arial"/>
        <family val="0"/>
        <charset val="1"/>
      </rPr>
      <t xml:space="preserve">R6</t>
    </r>
    <r>
      <rPr>
        <sz val="10"/>
        <color rgb="FF000000"/>
        <rFont val="Noto Sans CJK SC"/>
        <family val="2"/>
      </rPr>
      <t xml:space="preserve">末</t>
    </r>
    <r>
      <rPr>
        <sz val="10"/>
        <color rgb="FF000000"/>
        <rFont val="Arial"/>
        <family val="0"/>
        <charset val="1"/>
      </rPr>
      <t xml:space="preserve">2.1</t>
    </r>
    <r>
      <rPr>
        <sz val="10"/>
        <color rgb="FF000000"/>
        <rFont val="Noto Sans CJK SC"/>
        <family val="2"/>
      </rPr>
      <t xml:space="preserve">億と急減。</t>
    </r>
    <r>
      <rPr>
        <sz val="10"/>
        <color rgb="FF000000"/>
        <rFont val="Arial"/>
        <family val="0"/>
        <charset val="1"/>
      </rPr>
      <t xml:space="preserve">R5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R6</t>
    </r>
    <r>
      <rPr>
        <sz val="10"/>
        <color rgb="FF000000"/>
        <rFont val="Noto Sans CJK SC"/>
        <family val="2"/>
      </rPr>
      <t xml:space="preserve">間の繰上償還・再構成等を確認要</t>
    </r>
  </si>
  <si>
    <r>
      <rPr>
        <b val="true"/>
        <sz val="11"/>
        <color rgb="FFFFFFFF"/>
        <rFont val="Arial"/>
        <family val="0"/>
        <charset val="1"/>
      </rPr>
      <t xml:space="preserve">C. </t>
    </r>
    <r>
      <rPr>
        <b val="true"/>
        <sz val="11"/>
        <color rgb="FFFFFFFF"/>
        <rFont val="Noto Sans CJK SC"/>
        <family val="2"/>
      </rPr>
      <t xml:space="preserve">料金改定の考え方と試算シートの整合確認</t>
    </r>
  </si>
  <si>
    <t xml:space="preserve">現行料金単価</t>
  </si>
  <si>
    <t xml:space="preserve">試算シートの現行単価と報告書3-3の料金体系が完全一致</t>
  </si>
  <si>
    <t xml:space="preserve">基本料金改定率</t>
  </si>
  <si>
    <t xml:space="preserve">試算シート：1.5倍（仮算定）。990円→1,760円 / 1,210円→1,760円（２段階を統一）</t>
  </si>
  <si>
    <t xml:space="preserve">▲ 仮算定</t>
  </si>
  <si>
    <t xml:space="preserve">従量料金改定</t>
  </si>
  <si>
    <t xml:space="preserve">試算シート：改定率1.0倍（現状維持）＋別途+22円/㎥の仮算定が混在。どちらが正式か不明確</t>
  </si>
  <si>
    <t xml:space="preserve">改定適用開始年度</t>
  </si>
  <si>
    <t xml:space="preserve">報告書：「後半期」の改定と示唆 / 試算シート：R7列から改定後単価を参照。矛盾あり</t>
  </si>
  <si>
    <t xml:space="preserve">★ 要確認</t>
  </si>
  <si>
    <t xml:space="preserve">メーター料金改定</t>
  </si>
  <si>
    <t xml:space="preserve">スマメ4年版（13mm 418円）とスマメ8年版（13mm 209円）の2案が存在。採用版が未確定</t>
  </si>
  <si>
    <t xml:space="preserve">料金改定率シート REFエラー</t>
  </si>
  <si>
    <r>
      <rPr>
        <sz val="10"/>
        <rFont val="Arial"/>
        <family val="0"/>
        <charset val="1"/>
      </rPr>
      <t xml:space="preserve">C9</t>
    </r>
    <r>
      <rPr>
        <sz val="10"/>
        <rFont val="Noto Sans CJK SC"/>
        <family val="2"/>
      </rPr>
      <t xml:space="preserve">から</t>
    </r>
    <r>
      <rPr>
        <sz val="10"/>
        <rFont val="Arial"/>
        <family val="0"/>
        <charset val="1"/>
      </rPr>
      <t xml:space="preserve">C16</t>
    </r>
    <r>
      <rPr>
        <sz val="10"/>
        <rFont val="Noto Sans CJK SC"/>
        <family val="2"/>
      </rPr>
      <t xml:space="preserve">の各口径現行単価セルが参照エラー状態。参照元シートを修正または直接入力が必要</t>
    </r>
  </si>
  <si>
    <t xml:space="preserve">★ 要修正</t>
  </si>
  <si>
    <t xml:space="preserve">経常収支比率</t>
  </si>
  <si>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未満が継続。類似団体平均以下 → 料金改定の必要性の根拠として整合</t>
    </r>
  </si>
  <si>
    <t xml:space="preserve">料金回収率R5実績</t>
  </si>
  <si>
    <r>
      <rPr>
        <sz val="10"/>
        <color rgb="FF000000"/>
        <rFont val="Arial"/>
        <family val="0"/>
        <charset val="1"/>
      </rPr>
      <t xml:space="preserve">52.87%</t>
    </r>
    <r>
      <rPr>
        <sz val="10"/>
        <color rgb="FF000000"/>
        <rFont val="Noto Sans CJK SC"/>
        <family val="2"/>
      </rPr>
      <t xml:space="preserve">（目標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に対し大幅未達）→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倍改定の規模感と整合</t>
    </r>
  </si>
  <si>
    <r>
      <rPr>
        <b val="true"/>
        <sz val="11"/>
        <color rgb="FFFFFFFF"/>
        <rFont val="Arial"/>
        <family val="0"/>
        <charset val="1"/>
      </rPr>
      <t xml:space="preserve">D. </t>
    </r>
    <r>
      <rPr>
        <b val="true"/>
        <sz val="11"/>
        <color rgb="FFFFFFFF"/>
        <rFont val="Noto Sans CJK SC"/>
        <family val="2"/>
      </rPr>
      <t xml:space="preserve">投資計画と財政シミュレーションの整合確認</t>
    </r>
  </si>
  <si>
    <t xml:space="preserve">管路更新費</t>
  </si>
  <si>
    <r>
      <rPr>
        <sz val="10"/>
        <color rgb="FF000000"/>
        <rFont val="Arial"/>
        <family val="0"/>
        <charset val="1"/>
      </rPr>
      <t xml:space="preserve">R8</t>
    </r>
    <r>
      <rPr>
        <sz val="10"/>
        <color rgb="FF000000"/>
        <rFont val="Noto Sans CJK SC"/>
        <family val="2"/>
      </rPr>
      <t xml:space="preserve">に約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億</t>
    </r>
    <r>
      <rPr>
        <sz val="10"/>
        <color rgb="FF000000"/>
        <rFont val="Arial"/>
        <family val="0"/>
        <charset val="1"/>
      </rPr>
      <t xml:space="preserve">3,000</t>
    </r>
    <r>
      <rPr>
        <sz val="10"/>
        <color rgb="FF000000"/>
        <rFont val="Noto Sans CJK SC"/>
        <family val="2"/>
      </rPr>
      <t xml:space="preserve">万円集中（法定耐用年数</t>
    </r>
    <r>
      <rPr>
        <sz val="10"/>
        <color rgb="FF000000"/>
        <rFont val="Arial"/>
        <family val="0"/>
        <charset val="1"/>
      </rPr>
      <t xml:space="preserve">×1.2</t>
    </r>
    <r>
      <rPr>
        <sz val="10"/>
        <color rgb="FF000000"/>
        <rFont val="Noto Sans CJK SC"/>
        <family val="2"/>
      </rPr>
      <t xml:space="preserve">倍一斉更新の影響）。峰値の分散を検討余地あり</t>
    </r>
  </si>
  <si>
    <t xml:space="preserve">▲ 要検討</t>
  </si>
  <si>
    <t xml:space="preserve">北上川導水管費</t>
  </si>
  <si>
    <r>
      <rPr>
        <sz val="10"/>
        <color rgb="FF000000"/>
        <rFont val="Arial"/>
        <family val="0"/>
        <charset val="1"/>
      </rPr>
      <t xml:space="preserve">R9</t>
    </r>
    <r>
      <rPr>
        <sz val="10"/>
        <color rgb="FF000000"/>
        <rFont val="Noto Sans CJK SC"/>
        <family val="2"/>
      </rPr>
      <t xml:space="preserve">時点で約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億</t>
    </r>
    <r>
      <rPr>
        <sz val="10"/>
        <color rgb="FF000000"/>
        <rFont val="Arial"/>
        <family val="0"/>
        <charset val="1"/>
      </rPr>
      <t xml:space="preserve">7,000</t>
    </r>
    <r>
      <rPr>
        <sz val="10"/>
        <color rgb="FF000000"/>
        <rFont val="Noto Sans CJK SC"/>
        <family val="2"/>
      </rPr>
      <t xml:space="preserve">万円（</t>
    </r>
    <r>
      <rPr>
        <sz val="10"/>
        <color rgb="FF000000"/>
        <rFont val="Arial"/>
        <family val="0"/>
        <charset val="1"/>
      </rPr>
      <t xml:space="preserve">220+450+80</t>
    </r>
    <r>
      <rPr>
        <sz val="10"/>
        <color rgb="FF000000"/>
        <rFont val="Noto Sans CJK SC"/>
        <family val="2"/>
      </rPr>
      <t xml:space="preserve">百万円）。大型投資として別途計上</t>
    </r>
  </si>
  <si>
    <t xml:space="preserve">国庫補助金</t>
  </si>
  <si>
    <r>
      <rPr>
        <sz val="10"/>
        <color rgb="FF000000"/>
        <rFont val="Arial"/>
        <family val="0"/>
        <charset val="1"/>
      </rPr>
      <t xml:space="preserve">R8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63.3</t>
    </r>
    <r>
      <rPr>
        <sz val="10"/>
        <color rgb="FF000000"/>
        <rFont val="Noto Sans CJK SC"/>
        <family val="2"/>
      </rPr>
      <t xml:space="preserve">百万円、</t>
    </r>
    <r>
      <rPr>
        <sz val="10"/>
        <color rgb="FF000000"/>
        <rFont val="Arial"/>
        <family val="0"/>
        <charset val="1"/>
      </rPr>
      <t xml:space="preserve">R9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R12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百万円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R13</t>
    </r>
    <r>
      <rPr>
        <sz val="10"/>
        <color rgb="FF000000"/>
        <rFont val="Noto Sans CJK SC"/>
        <family val="2"/>
      </rPr>
      <t xml:space="preserve">以降：ゼロ想定。長期財源後退を織り込み済み</t>
    </r>
  </si>
  <si>
    <t xml:space="preserve">企業債借入ロジック</t>
  </si>
  <si>
    <r>
      <rPr>
        <sz val="10"/>
        <color rgb="FF000000"/>
        <rFont val="Arial"/>
        <family val="0"/>
        <charset val="1"/>
      </rPr>
      <t xml:space="preserve">IF</t>
    </r>
    <r>
      <rPr>
        <sz val="10"/>
        <color rgb="FF000000"/>
        <rFont val="Noto Sans CJK SC"/>
        <family val="2"/>
      </rPr>
      <t xml:space="preserve">式で「投資額－補助金等が正の場合のみ借入」。財源自動調整の構造は適切</t>
    </r>
  </si>
  <si>
    <t xml:space="preserve">配列数式の未評価</t>
  </si>
  <si>
    <r>
      <rPr>
        <sz val="10"/>
        <color rgb="FF000000"/>
        <rFont val="Arial"/>
        <family val="0"/>
        <charset val="1"/>
      </rPr>
      <t xml:space="preserve">Row92</t>
    </r>
    <r>
      <rPr>
        <sz val="10"/>
        <color rgb="FF000000"/>
        <rFont val="Noto Sans CJK SC"/>
        <family val="2"/>
      </rPr>
      <t xml:space="preserve">（送配水施設費）と</t>
    </r>
    <r>
      <rPr>
        <sz val="10"/>
        <color rgb="FF000000"/>
        <rFont val="Arial"/>
        <family val="0"/>
        <charset val="1"/>
      </rPr>
      <t xml:space="preserve">Row8</t>
    </r>
    <r>
      <rPr>
        <sz val="10"/>
        <color rgb="FF000000"/>
        <rFont val="Noto Sans CJK SC"/>
        <family val="2"/>
      </rPr>
      <t xml:space="preserve">（新規取得）の連動に配列数式を含む。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で開いて再計算が必要</t>
    </r>
  </si>
  <si>
    <t xml:space="preserve">計画期間内投資総額</t>
  </si>
  <si>
    <t xml:space="preserve">報告書記載：45億円以上の建設改良費 → 財政シミュのR8〜R17投資合計と要突合</t>
  </si>
  <si>
    <t xml:space="preserve">凡例</t>
  </si>
  <si>
    <t xml:space="preserve">報告書・試算シート間で整合が取れている項目</t>
  </si>
  <si>
    <t xml:space="preserve">確認・調整が必要な項目（実務作業で対応可能）</t>
  </si>
  <si>
    <t xml:space="preserve">報告書公表前に必ず修正・確認が必要な重要事項</t>
  </si>
  <si>
    <t xml:space="preserve">水道料金調定集計表　超過水量・使用料金　口径別推移（R1〜R7）</t>
  </si>
  <si>
    <t xml:space="preserve">【超過水量推移】　単位：㎥</t>
  </si>
  <si>
    <t xml:space="preserve">【使用料金（調定額）推移】　単位：円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</si>
</sst>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"/>
    <numFmt numFmtId="167" formatCode="0.0%"/>
    <numFmt numFmtId="168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Noto Sans CJK SC"/>
      <family val="2"/>
      <charset val="1"/>
    </font>
    <font>
      <i val="true"/>
      <sz val="9"/>
      <color rgb="FF595959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Noto Sans CJK SC"/>
      <family val="2"/>
      <charset val="1"/>
    </font>
    <font>
      <b val="true"/>
      <sz val="10"/>
      <name val="Arial"/>
      <family val="0"/>
      <charset val="1"/>
    </font>
    <font>
      <sz val="10"/>
      <color rgb="FF000000"/>
      <name val="Noto Sans CJK SC"/>
      <family val="2"/>
      <charset val="1"/>
    </font>
    <font>
      <sz val="10"/>
      <color rgb="FF000000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10"/>
      <name val="Noto Sans CJK SC"/>
      <family val="2"/>
      <charset val="1"/>
    </font>
    <font>
      <sz val="10"/>
      <name val="Noto Sans CJK SC"/>
      <family val="2"/>
    </font>
    <font>
      <b val="true"/>
      <sz val="10"/>
      <name val="Noto Sans CJK SC"/>
      <family val="2"/>
      <charset val="1"/>
    </font>
  </fonts>
  <fills count="2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E2EFDA"/>
      </patternFill>
    </fill>
    <fill>
      <patternFill patternType="solid">
        <fgColor rgb="FFBDD7EE"/>
        <bgColor rgb="FFD9D9D9"/>
      </patternFill>
    </fill>
    <fill>
      <patternFill patternType="solid">
        <fgColor rgb="FF375623"/>
        <bgColor rgb="FF404040"/>
      </patternFill>
    </fill>
    <fill>
      <patternFill patternType="solid">
        <fgColor rgb="FFE2EFDA"/>
        <bgColor rgb="FFDEEAF1"/>
      </patternFill>
    </fill>
    <fill>
      <patternFill patternType="solid">
        <fgColor rgb="FFC6EFCE"/>
        <bgColor rgb="FFE2EFDA"/>
      </patternFill>
    </fill>
    <fill>
      <patternFill patternType="solid">
        <fgColor rgb="FF7030A0"/>
        <bgColor rgb="FF993366"/>
      </patternFill>
    </fill>
    <fill>
      <patternFill patternType="solid">
        <fgColor rgb="FFEAD1FB"/>
        <bgColor rgb="FFD9D9D9"/>
      </patternFill>
    </fill>
    <fill>
      <patternFill patternType="solid">
        <fgColor rgb="FFD9B3FF"/>
        <bgColor rgb="FFEAD1FB"/>
      </patternFill>
    </fill>
    <fill>
      <patternFill patternType="solid">
        <fgColor rgb="FFC55A11"/>
        <bgColor rgb="FF993300"/>
      </patternFill>
    </fill>
    <fill>
      <patternFill patternType="solid">
        <fgColor rgb="FFFCE4D6"/>
        <bgColor rgb="FFFFF2CC"/>
      </patternFill>
    </fill>
    <fill>
      <patternFill patternType="solid">
        <fgColor rgb="FFF4B183"/>
        <bgColor rgb="FFFFCCCC"/>
      </patternFill>
    </fill>
    <fill>
      <patternFill patternType="solid">
        <fgColor rgb="FF595959"/>
        <bgColor rgb="FF404040"/>
      </patternFill>
    </fill>
    <fill>
      <patternFill patternType="solid">
        <fgColor rgb="FFD9D9D9"/>
        <bgColor rgb="FFDEEAF1"/>
      </patternFill>
    </fill>
    <fill>
      <patternFill patternType="solid">
        <fgColor rgb="FFFFF2CC"/>
        <bgColor rgb="FFFCE4D6"/>
      </patternFill>
    </fill>
    <fill>
      <patternFill patternType="solid">
        <fgColor rgb="FFC00000"/>
        <bgColor rgb="FF800000"/>
      </patternFill>
    </fill>
    <fill>
      <patternFill patternType="solid">
        <fgColor rgb="FFFFCCCC"/>
        <bgColor rgb="FFFCE4D6"/>
      </patternFill>
    </fill>
    <fill>
      <patternFill patternType="solid">
        <fgColor rgb="FF404040"/>
        <bgColor rgb="FF37562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7030A0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EAD1FB"/>
      <rgbColor rgb="FFF4B183"/>
      <rgbColor rgb="FFD9B3FF"/>
      <rgbColor rgb="FFFFCCCC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003366"/>
      <rgbColor rgb="FF339966"/>
      <rgbColor rgb="FF003300"/>
      <rgbColor rgb="FF375623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8" min="2" style="1" width="13"/>
    <col collapsed="false" customWidth="true" hidden="false" outlineLevel="0" max="9" min="9" style="1" width="12"/>
    <col collapsed="false" customWidth="true" hidden="false" outlineLevel="0" max="10" min="10" style="1" width="9"/>
    <col collapsed="false" customWidth="true" hidden="false" outlineLevel="0" max="11" min="11" style="1" width="13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3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6" hidden="false" customHeight="true" outlineLevel="0" collapsed="false"/>
    <row r="4" customFormat="false" ht="18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customFormat="false" ht="36" hidden="false" customHeight="true" outlineLevel="0" collapsed="false">
      <c r="A5" s="5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7" t="s">
        <v>12</v>
      </c>
      <c r="K5" s="7" t="s">
        <v>13</v>
      </c>
    </row>
    <row r="6" customFormat="false" ht="15" hidden="false" customHeight="true" outlineLevel="0" collapsed="false">
      <c r="A6" s="8" t="s">
        <v>14</v>
      </c>
      <c r="B6" s="9" t="n">
        <v>9193</v>
      </c>
      <c r="C6" s="9" t="n">
        <v>8896</v>
      </c>
      <c r="D6" s="9" t="n">
        <v>8680</v>
      </c>
      <c r="E6" s="9" t="n">
        <v>8569</v>
      </c>
      <c r="F6" s="9" t="n">
        <v>8453</v>
      </c>
      <c r="G6" s="9" t="n">
        <v>8467</v>
      </c>
      <c r="H6" s="9" t="n">
        <v>8821</v>
      </c>
      <c r="I6" s="10" t="n">
        <f aca="false">AVERAGE(D6:H6)</f>
        <v>8598</v>
      </c>
      <c r="J6" s="11" t="n">
        <f aca="false">H6/B6</f>
        <v>0.959534428369412</v>
      </c>
      <c r="K6" s="9" t="n">
        <v>-372</v>
      </c>
    </row>
    <row r="7" customFormat="false" ht="15" hidden="false" customHeight="true" outlineLevel="0" collapsed="false">
      <c r="A7" s="12" t="s">
        <v>15</v>
      </c>
      <c r="B7" s="13" t="n">
        <v>25506</v>
      </c>
      <c r="C7" s="13" t="n">
        <v>25629</v>
      </c>
      <c r="D7" s="13" t="n">
        <v>25749</v>
      </c>
      <c r="E7" s="13" t="n">
        <v>25765</v>
      </c>
      <c r="F7" s="13" t="n">
        <v>25813</v>
      </c>
      <c r="G7" s="13" t="n">
        <v>25705</v>
      </c>
      <c r="H7" s="13" t="n">
        <v>25682</v>
      </c>
      <c r="I7" s="14" t="n">
        <f aca="false">AVERAGE(D7:H7)</f>
        <v>25742.8</v>
      </c>
      <c r="J7" s="15" t="n">
        <f aca="false">H7/B7</f>
        <v>1.00690033717557</v>
      </c>
      <c r="K7" s="13" t="n">
        <v>176</v>
      </c>
    </row>
    <row r="8" customFormat="false" ht="15" hidden="false" customHeight="true" outlineLevel="0" collapsed="false">
      <c r="A8" s="8" t="s">
        <v>16</v>
      </c>
      <c r="B8" s="9" t="n">
        <v>854</v>
      </c>
      <c r="C8" s="9" t="n">
        <v>829</v>
      </c>
      <c r="D8" s="9" t="n">
        <v>825</v>
      </c>
      <c r="E8" s="9" t="n">
        <v>821</v>
      </c>
      <c r="F8" s="9" t="n">
        <v>827</v>
      </c>
      <c r="G8" s="9" t="n">
        <v>849</v>
      </c>
      <c r="H8" s="9" t="n">
        <v>855</v>
      </c>
      <c r="I8" s="10" t="n">
        <f aca="false">AVERAGE(D8:H8)</f>
        <v>835.4</v>
      </c>
      <c r="J8" s="11" t="n">
        <f aca="false">H8/B8</f>
        <v>1.00117096018735</v>
      </c>
      <c r="K8" s="9" t="n">
        <v>1</v>
      </c>
    </row>
    <row r="9" customFormat="false" ht="15" hidden="false" customHeight="true" outlineLevel="0" collapsed="false">
      <c r="A9" s="12" t="s">
        <v>17</v>
      </c>
      <c r="B9" s="13" t="n">
        <v>744</v>
      </c>
      <c r="C9" s="13" t="n">
        <v>830</v>
      </c>
      <c r="D9" s="13" t="n">
        <v>882</v>
      </c>
      <c r="E9" s="13" t="n">
        <v>872</v>
      </c>
      <c r="F9" s="13" t="n">
        <v>888</v>
      </c>
      <c r="G9" s="13" t="n">
        <v>880</v>
      </c>
      <c r="H9" s="13" t="n">
        <v>893</v>
      </c>
      <c r="I9" s="14" t="n">
        <f aca="false">AVERAGE(D9:H9)</f>
        <v>883</v>
      </c>
      <c r="J9" s="15" t="n">
        <f aca="false">H9/B9</f>
        <v>1.2002688172043</v>
      </c>
      <c r="K9" s="13" t="n">
        <v>149</v>
      </c>
    </row>
    <row r="10" customFormat="false" ht="15" hidden="false" customHeight="true" outlineLevel="0" collapsed="false">
      <c r="A10" s="8" t="s">
        <v>18</v>
      </c>
      <c r="B10" s="9" t="n">
        <v>235</v>
      </c>
      <c r="C10" s="9" t="n">
        <v>245</v>
      </c>
      <c r="D10" s="9" t="n">
        <v>253</v>
      </c>
      <c r="E10" s="9" t="n">
        <v>268</v>
      </c>
      <c r="F10" s="9" t="n">
        <v>268</v>
      </c>
      <c r="G10" s="9" t="n">
        <v>279</v>
      </c>
      <c r="H10" s="9" t="n">
        <v>271</v>
      </c>
      <c r="I10" s="10" t="n">
        <f aca="false">AVERAGE(D10:H10)</f>
        <v>267.8</v>
      </c>
      <c r="J10" s="11" t="n">
        <f aca="false">H10/B10</f>
        <v>1.1531914893617</v>
      </c>
      <c r="K10" s="9" t="n">
        <v>36</v>
      </c>
    </row>
    <row r="11" customFormat="false" ht="15" hidden="false" customHeight="true" outlineLevel="0" collapsed="false">
      <c r="A11" s="12" t="s">
        <v>19</v>
      </c>
      <c r="B11" s="13" t="n">
        <v>80</v>
      </c>
      <c r="C11" s="13" t="n">
        <v>97</v>
      </c>
      <c r="D11" s="13" t="n">
        <v>97</v>
      </c>
      <c r="E11" s="13" t="n">
        <v>96</v>
      </c>
      <c r="F11" s="13" t="n">
        <v>106</v>
      </c>
      <c r="G11" s="13" t="n">
        <v>110</v>
      </c>
      <c r="H11" s="13" t="n">
        <v>110</v>
      </c>
      <c r="I11" s="14" t="n">
        <f aca="false">AVERAGE(D11:H11)</f>
        <v>103.8</v>
      </c>
      <c r="J11" s="15" t="n">
        <f aca="false">H11/B11</f>
        <v>1.375</v>
      </c>
      <c r="K11" s="13" t="n">
        <v>30</v>
      </c>
    </row>
    <row r="12" customFormat="false" ht="15" hidden="false" customHeight="true" outlineLevel="0" collapsed="false">
      <c r="A12" s="8" t="s">
        <v>20</v>
      </c>
      <c r="B12" s="9" t="n">
        <v>48</v>
      </c>
      <c r="C12" s="9" t="n">
        <v>44</v>
      </c>
      <c r="D12" s="9" t="n">
        <v>34</v>
      </c>
      <c r="E12" s="9" t="n">
        <v>35</v>
      </c>
      <c r="F12" s="9" t="n">
        <v>36</v>
      </c>
      <c r="G12" s="9" t="n">
        <v>36</v>
      </c>
      <c r="H12" s="9" t="n">
        <v>36</v>
      </c>
      <c r="I12" s="10" t="n">
        <f aca="false">AVERAGE(D12:H12)</f>
        <v>35.4</v>
      </c>
      <c r="J12" s="11" t="n">
        <f aca="false">H12/B12</f>
        <v>0.75</v>
      </c>
      <c r="K12" s="9" t="n">
        <v>-12</v>
      </c>
    </row>
    <row r="13" customFormat="false" ht="15" hidden="false" customHeight="true" outlineLevel="0" collapsed="false">
      <c r="A13" s="16" t="s">
        <v>21</v>
      </c>
      <c r="B13" s="17" t="n">
        <f aca="false">SUM(B6:B12)</f>
        <v>36660</v>
      </c>
      <c r="C13" s="17" t="n">
        <f aca="false">SUM(C6:C12)</f>
        <v>36570</v>
      </c>
      <c r="D13" s="17" t="n">
        <f aca="false">SUM(D6:D12)</f>
        <v>36520</v>
      </c>
      <c r="E13" s="17" t="n">
        <f aca="false">SUM(E6:E12)</f>
        <v>36426</v>
      </c>
      <c r="F13" s="17" t="n">
        <f aca="false">SUM(F6:F12)</f>
        <v>36391</v>
      </c>
      <c r="G13" s="17" t="n">
        <f aca="false">SUM(G6:G12)</f>
        <v>36326</v>
      </c>
      <c r="H13" s="17" t="n">
        <f aca="false">SUM(H6:H12)</f>
        <v>36668</v>
      </c>
      <c r="I13" s="18" t="n">
        <f aca="false">AVERAGE(D13:H13)</f>
        <v>36466.2</v>
      </c>
      <c r="J13" s="19" t="n">
        <f aca="false">H13/B13</f>
        <v>1.00021822149482</v>
      </c>
      <c r="K13" s="20" t="n">
        <f aca="false">H13-B13</f>
        <v>8</v>
      </c>
    </row>
    <row r="14" customFormat="false" ht="6" hidden="false" customHeight="true" outlineLevel="0" collapsed="false"/>
    <row r="15" customFormat="false" ht="18" hidden="false" customHeight="true" outlineLevel="0" collapsed="false">
      <c r="A15" s="21" t="s">
        <v>22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customFormat="false" ht="36" hidden="false" customHeight="true" outlineLevel="0" collapsed="false">
      <c r="A16" s="22" t="s">
        <v>3</v>
      </c>
      <c r="B16" s="23" t="s">
        <v>4</v>
      </c>
      <c r="C16" s="23" t="s">
        <v>5</v>
      </c>
      <c r="D16" s="23" t="s">
        <v>6</v>
      </c>
      <c r="E16" s="23" t="s">
        <v>7</v>
      </c>
      <c r="F16" s="23" t="s">
        <v>8</v>
      </c>
      <c r="G16" s="23" t="s">
        <v>9</v>
      </c>
      <c r="H16" s="23" t="s">
        <v>10</v>
      </c>
      <c r="I16" s="23" t="s">
        <v>11</v>
      </c>
      <c r="J16" s="24" t="s">
        <v>12</v>
      </c>
      <c r="K16" s="24" t="s">
        <v>13</v>
      </c>
    </row>
    <row r="17" customFormat="false" ht="15" hidden="false" customHeight="true" outlineLevel="0" collapsed="false">
      <c r="A17" s="25" t="s">
        <v>14</v>
      </c>
      <c r="B17" s="26" t="n">
        <v>115009</v>
      </c>
      <c r="C17" s="26" t="n">
        <v>113067</v>
      </c>
      <c r="D17" s="26" t="n">
        <v>107247</v>
      </c>
      <c r="E17" s="26" t="n">
        <v>102958</v>
      </c>
      <c r="F17" s="26" t="n">
        <v>100626</v>
      </c>
      <c r="G17" s="26" t="n">
        <v>99077</v>
      </c>
      <c r="H17" s="26" t="n">
        <v>97948</v>
      </c>
      <c r="I17" s="27" t="n">
        <f aca="false">AVERAGE(D17:H17)</f>
        <v>101571.2</v>
      </c>
      <c r="J17" s="28" t="n">
        <f aca="false">H17/B17</f>
        <v>0.851655087862689</v>
      </c>
      <c r="K17" s="26" t="n">
        <v>-17061</v>
      </c>
    </row>
    <row r="18" customFormat="false" ht="15" hidden="false" customHeight="true" outlineLevel="0" collapsed="false">
      <c r="A18" s="12" t="s">
        <v>15</v>
      </c>
      <c r="B18" s="13" t="n">
        <v>396822</v>
      </c>
      <c r="C18" s="13" t="n">
        <v>409780</v>
      </c>
      <c r="D18" s="13" t="n">
        <v>395838</v>
      </c>
      <c r="E18" s="13" t="n">
        <v>377773</v>
      </c>
      <c r="F18" s="13" t="n">
        <v>376649</v>
      </c>
      <c r="G18" s="13" t="n">
        <v>371282</v>
      </c>
      <c r="H18" s="13" t="n">
        <v>368421</v>
      </c>
      <c r="I18" s="14" t="n">
        <f aca="false">AVERAGE(D18:H18)</f>
        <v>377992.6</v>
      </c>
      <c r="J18" s="15" t="n">
        <f aca="false">H18/B18</f>
        <v>0.928428867351105</v>
      </c>
      <c r="K18" s="13" t="n">
        <v>-28401</v>
      </c>
    </row>
    <row r="19" customFormat="false" ht="15" hidden="false" customHeight="true" outlineLevel="0" collapsed="false">
      <c r="A19" s="25" t="s">
        <v>16</v>
      </c>
      <c r="B19" s="26" t="n">
        <v>61923</v>
      </c>
      <c r="C19" s="26" t="n">
        <v>61626</v>
      </c>
      <c r="D19" s="26" t="n">
        <v>64783</v>
      </c>
      <c r="E19" s="26" t="n">
        <v>66125</v>
      </c>
      <c r="F19" s="26" t="n">
        <v>64327</v>
      </c>
      <c r="G19" s="26" t="n">
        <v>61698</v>
      </c>
      <c r="H19" s="26" t="n">
        <v>56055</v>
      </c>
      <c r="I19" s="27" t="n">
        <f aca="false">AVERAGE(D19:H19)</f>
        <v>62597.6</v>
      </c>
      <c r="J19" s="28" t="n">
        <f aca="false">H19/B19</f>
        <v>0.905237149362918</v>
      </c>
      <c r="K19" s="26" t="n">
        <v>-5868</v>
      </c>
    </row>
    <row r="20" customFormat="false" ht="15" hidden="false" customHeight="true" outlineLevel="0" collapsed="false">
      <c r="A20" s="12" t="s">
        <v>17</v>
      </c>
      <c r="B20" s="13" t="n">
        <v>157659</v>
      </c>
      <c r="C20" s="13" t="n">
        <v>164818</v>
      </c>
      <c r="D20" s="13" t="n">
        <v>171975</v>
      </c>
      <c r="E20" s="13" t="n">
        <v>177896</v>
      </c>
      <c r="F20" s="13" t="n">
        <v>198341</v>
      </c>
      <c r="G20" s="13" t="n">
        <v>190009</v>
      </c>
      <c r="H20" s="13" t="n">
        <v>194502</v>
      </c>
      <c r="I20" s="14" t="n">
        <f aca="false">AVERAGE(D20:H20)</f>
        <v>186544.6</v>
      </c>
      <c r="J20" s="15" t="n">
        <f aca="false">H20/B20</f>
        <v>1.23368789602877</v>
      </c>
      <c r="K20" s="13" t="n">
        <v>36843</v>
      </c>
    </row>
    <row r="21" customFormat="false" ht="15" hidden="false" customHeight="true" outlineLevel="0" collapsed="false">
      <c r="A21" s="25" t="s">
        <v>18</v>
      </c>
      <c r="B21" s="26" t="n">
        <v>141008</v>
      </c>
      <c r="C21" s="26" t="n">
        <v>144504</v>
      </c>
      <c r="D21" s="26" t="n">
        <v>148448</v>
      </c>
      <c r="E21" s="26" t="n">
        <v>145405</v>
      </c>
      <c r="F21" s="26" t="n">
        <v>135760</v>
      </c>
      <c r="G21" s="26" t="n">
        <v>129041</v>
      </c>
      <c r="H21" s="26" t="n">
        <v>138892</v>
      </c>
      <c r="I21" s="27" t="n">
        <f aca="false">AVERAGE(D21:H21)</f>
        <v>139509.2</v>
      </c>
      <c r="J21" s="28" t="n">
        <f aca="false">H21/B21</f>
        <v>0.984993759219335</v>
      </c>
      <c r="K21" s="26" t="n">
        <v>-2116</v>
      </c>
    </row>
    <row r="22" customFormat="false" ht="15" hidden="false" customHeight="true" outlineLevel="0" collapsed="false">
      <c r="A22" s="12" t="s">
        <v>19</v>
      </c>
      <c r="B22" s="13" t="n">
        <v>96926</v>
      </c>
      <c r="C22" s="13" t="n">
        <v>121881</v>
      </c>
      <c r="D22" s="13" t="n">
        <v>152592</v>
      </c>
      <c r="E22" s="13" t="n">
        <v>147607</v>
      </c>
      <c r="F22" s="13" t="n">
        <v>152865</v>
      </c>
      <c r="G22" s="13" t="n">
        <v>149234</v>
      </c>
      <c r="H22" s="13" t="n">
        <v>151940</v>
      </c>
      <c r="I22" s="14" t="n">
        <f aca="false">AVERAGE(D22:H22)</f>
        <v>150847.6</v>
      </c>
      <c r="J22" s="15" t="n">
        <f aca="false">H22/B22</f>
        <v>1.56758764418216</v>
      </c>
      <c r="K22" s="13" t="n">
        <v>55014</v>
      </c>
    </row>
    <row r="23" customFormat="false" ht="15" hidden="false" customHeight="true" outlineLevel="0" collapsed="false">
      <c r="A23" s="25" t="s">
        <v>20</v>
      </c>
      <c r="B23" s="26" t="n">
        <v>16410</v>
      </c>
      <c r="C23" s="26" t="n">
        <v>14294</v>
      </c>
      <c r="D23" s="26" t="n">
        <v>11949</v>
      </c>
      <c r="E23" s="26" t="n">
        <v>9930</v>
      </c>
      <c r="F23" s="26" t="n">
        <v>10734</v>
      </c>
      <c r="G23" s="26" t="n">
        <v>18980</v>
      </c>
      <c r="H23" s="26" t="n">
        <v>16818</v>
      </c>
      <c r="I23" s="27" t="n">
        <f aca="false">AVERAGE(D23:H23)</f>
        <v>13682.2</v>
      </c>
      <c r="J23" s="28" t="n">
        <f aca="false">H23/B23</f>
        <v>1.02486288848263</v>
      </c>
      <c r="K23" s="26" t="n">
        <v>408</v>
      </c>
    </row>
    <row r="24" customFormat="false" ht="15" hidden="false" customHeight="true" outlineLevel="0" collapsed="false">
      <c r="A24" s="29" t="s">
        <v>21</v>
      </c>
      <c r="B24" s="30" t="n">
        <f aca="false">SUM(B17:B23)</f>
        <v>985757</v>
      </c>
      <c r="C24" s="30" t="n">
        <f aca="false">SUM(C17:C23)</f>
        <v>1029970</v>
      </c>
      <c r="D24" s="30" t="n">
        <f aca="false">SUM(D17:D23)</f>
        <v>1052832</v>
      </c>
      <c r="E24" s="30" t="n">
        <f aca="false">SUM(E17:E23)</f>
        <v>1027694</v>
      </c>
      <c r="F24" s="30" t="n">
        <f aca="false">SUM(F17:F23)</f>
        <v>1039302</v>
      </c>
      <c r="G24" s="30" t="n">
        <f aca="false">SUM(G17:G23)</f>
        <v>1019321</v>
      </c>
      <c r="H24" s="30" t="n">
        <f aca="false">SUM(H17:H23)</f>
        <v>1024576</v>
      </c>
      <c r="I24" s="31" t="n">
        <f aca="false">AVERAGE(D24:H24)</f>
        <v>1032745</v>
      </c>
      <c r="J24" s="32" t="n">
        <f aca="false">H24/B24</f>
        <v>1.0393798877411</v>
      </c>
      <c r="K24" s="33" t="n">
        <f aca="false">H24-B24</f>
        <v>38819</v>
      </c>
    </row>
    <row r="25" customFormat="false" ht="6" hidden="false" customHeight="true" outlineLevel="0" collapsed="false"/>
    <row r="26" customFormat="false" ht="18" hidden="false" customHeight="true" outlineLevel="0" collapsed="false">
      <c r="A26" s="34" t="s">
        <v>23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</row>
    <row r="27" customFormat="false" ht="36" hidden="false" customHeight="true" outlineLevel="0" collapsed="false">
      <c r="A27" s="35" t="s">
        <v>3</v>
      </c>
      <c r="B27" s="36" t="s">
        <v>4</v>
      </c>
      <c r="C27" s="36" t="s">
        <v>5</v>
      </c>
      <c r="D27" s="36" t="s">
        <v>6</v>
      </c>
      <c r="E27" s="36" t="s">
        <v>7</v>
      </c>
      <c r="F27" s="36" t="s">
        <v>8</v>
      </c>
      <c r="G27" s="36" t="s">
        <v>9</v>
      </c>
      <c r="H27" s="36" t="s">
        <v>10</v>
      </c>
      <c r="I27" s="36" t="s">
        <v>11</v>
      </c>
      <c r="J27" s="37" t="s">
        <v>12</v>
      </c>
      <c r="K27" s="37" t="s">
        <v>13</v>
      </c>
    </row>
    <row r="28" customFormat="false" ht="15" hidden="false" customHeight="true" outlineLevel="0" collapsed="false">
      <c r="A28" s="38" t="s">
        <v>14</v>
      </c>
      <c r="B28" s="39" t="n">
        <v>16836400</v>
      </c>
      <c r="C28" s="39" t="n">
        <v>16679460</v>
      </c>
      <c r="D28" s="39" t="n">
        <v>15974760</v>
      </c>
      <c r="E28" s="39" t="n">
        <v>15488470</v>
      </c>
      <c r="F28" s="39" t="n">
        <v>15226550</v>
      </c>
      <c r="G28" s="39" t="n">
        <v>15202044</v>
      </c>
      <c r="H28" s="39" t="n">
        <v>15322868</v>
      </c>
      <c r="I28" s="40" t="n">
        <f aca="false">AVERAGE(D28:H28)</f>
        <v>15442938.4</v>
      </c>
      <c r="J28" s="41" t="n">
        <f aca="false">H28/B28</f>
        <v>0.910103585089449</v>
      </c>
      <c r="K28" s="39" t="n">
        <v>-1513532</v>
      </c>
    </row>
    <row r="29" customFormat="false" ht="15" hidden="false" customHeight="true" outlineLevel="0" collapsed="false">
      <c r="A29" s="12" t="s">
        <v>15</v>
      </c>
      <c r="B29" s="13" t="n">
        <v>54443970</v>
      </c>
      <c r="C29" s="13" t="n">
        <v>56572000</v>
      </c>
      <c r="D29" s="13" t="n">
        <v>55153210</v>
      </c>
      <c r="E29" s="13" t="n">
        <v>53253010</v>
      </c>
      <c r="F29" s="13" t="n">
        <v>53237490</v>
      </c>
      <c r="G29" s="13" t="n">
        <v>52966133</v>
      </c>
      <c r="H29" s="13" t="n">
        <v>52640302</v>
      </c>
      <c r="I29" s="14" t="n">
        <f aca="false">AVERAGE(D29:H29)</f>
        <v>53450029</v>
      </c>
      <c r="J29" s="15" t="n">
        <f aca="false">H29/B29</f>
        <v>0.966871115387067</v>
      </c>
      <c r="K29" s="13" t="n">
        <v>-1803668</v>
      </c>
    </row>
    <row r="30" customFormat="false" ht="15" hidden="false" customHeight="true" outlineLevel="0" collapsed="false">
      <c r="A30" s="38" t="s">
        <v>16</v>
      </c>
      <c r="B30" s="39" t="n">
        <v>7333870</v>
      </c>
      <c r="C30" s="39" t="n">
        <v>7401620</v>
      </c>
      <c r="D30" s="39" t="n">
        <v>7740060</v>
      </c>
      <c r="E30" s="39" t="n">
        <v>7881940</v>
      </c>
      <c r="F30" s="39" t="n">
        <v>7682400</v>
      </c>
      <c r="G30" s="39" t="n">
        <v>7416629</v>
      </c>
      <c r="H30" s="39" t="n">
        <v>6782875</v>
      </c>
      <c r="I30" s="40" t="n">
        <f aca="false">AVERAGE(D30:H30)</f>
        <v>7500780.8</v>
      </c>
      <c r="J30" s="41" t="n">
        <f aca="false">H30/B30</f>
        <v>0.924869816345258</v>
      </c>
      <c r="K30" s="39" t="n">
        <v>-550995</v>
      </c>
    </row>
    <row r="31" customFormat="false" ht="15" hidden="false" customHeight="true" outlineLevel="0" collapsed="false">
      <c r="A31" s="12" t="s">
        <v>17</v>
      </c>
      <c r="B31" s="13" t="n">
        <v>17673890</v>
      </c>
      <c r="C31" s="13" t="n">
        <v>18901470</v>
      </c>
      <c r="D31" s="13" t="n">
        <v>20076500</v>
      </c>
      <c r="E31" s="13" t="n">
        <v>20582850</v>
      </c>
      <c r="F31" s="13" t="n">
        <v>22524470</v>
      </c>
      <c r="G31" s="13" t="n">
        <v>21579745</v>
      </c>
      <c r="H31" s="13" t="n">
        <v>22065956</v>
      </c>
      <c r="I31" s="14" t="n">
        <f aca="false">AVERAGE(D31:H31)</f>
        <v>21365904.2</v>
      </c>
      <c r="J31" s="15" t="n">
        <f aca="false">H31/B31</f>
        <v>1.24850590334103</v>
      </c>
      <c r="K31" s="13" t="n">
        <v>4392066</v>
      </c>
    </row>
    <row r="32" customFormat="false" ht="15" hidden="false" customHeight="true" outlineLevel="0" collapsed="false">
      <c r="A32" s="38" t="s">
        <v>18</v>
      </c>
      <c r="B32" s="39" t="n">
        <v>15727830</v>
      </c>
      <c r="C32" s="39" t="n">
        <v>16324560</v>
      </c>
      <c r="D32" s="39" t="n">
        <v>16778580</v>
      </c>
      <c r="E32" s="39" t="n">
        <v>16466120</v>
      </c>
      <c r="F32" s="39" t="n">
        <v>15406710</v>
      </c>
      <c r="G32" s="39" t="n">
        <v>14686199</v>
      </c>
      <c r="H32" s="39" t="n">
        <v>15761779</v>
      </c>
      <c r="I32" s="40" t="n">
        <f aca="false">AVERAGE(D32:H32)</f>
        <v>15819877.6</v>
      </c>
      <c r="J32" s="41" t="n">
        <f aca="false">H32/B32</f>
        <v>1.00215853045207</v>
      </c>
      <c r="K32" s="39" t="n">
        <v>33949</v>
      </c>
    </row>
    <row r="33" customFormat="false" ht="15" hidden="false" customHeight="true" outlineLevel="0" collapsed="false">
      <c r="A33" s="12" t="s">
        <v>19</v>
      </c>
      <c r="B33" s="13" t="n">
        <v>10696980</v>
      </c>
      <c r="C33" s="13" t="n">
        <v>13615750</v>
      </c>
      <c r="D33" s="13" t="n">
        <v>16992750</v>
      </c>
      <c r="E33" s="13" t="n">
        <v>16442420</v>
      </c>
      <c r="F33" s="13" t="n">
        <v>17041250</v>
      </c>
      <c r="G33" s="13" t="n">
        <v>16649160</v>
      </c>
      <c r="H33" s="13" t="n">
        <v>16945995</v>
      </c>
      <c r="I33" s="14" t="n">
        <f aca="false">AVERAGE(D33:H33)</f>
        <v>16814315</v>
      </c>
      <c r="J33" s="15" t="n">
        <f aca="false">H33/B33</f>
        <v>1.58418497557254</v>
      </c>
      <c r="K33" s="13" t="n">
        <v>6249015</v>
      </c>
    </row>
    <row r="34" customFormat="false" ht="15" hidden="false" customHeight="true" outlineLevel="0" collapsed="false">
      <c r="A34" s="38" t="s">
        <v>20</v>
      </c>
      <c r="B34" s="39" t="n">
        <v>1883310</v>
      </c>
      <c r="C34" s="39" t="n">
        <v>1653160</v>
      </c>
      <c r="D34" s="39" t="n">
        <v>1373040</v>
      </c>
      <c r="E34" s="39" t="n">
        <v>1151360</v>
      </c>
      <c r="F34" s="39" t="n">
        <v>1238570</v>
      </c>
      <c r="G34" s="39" t="n">
        <v>2146100</v>
      </c>
      <c r="H34" s="39" t="n">
        <v>1909050</v>
      </c>
      <c r="I34" s="40" t="n">
        <f aca="false">AVERAGE(D34:H34)</f>
        <v>1563624</v>
      </c>
      <c r="J34" s="41" t="n">
        <f aca="false">H34/B34</f>
        <v>1.01366742596811</v>
      </c>
      <c r="K34" s="39" t="n">
        <v>25740</v>
      </c>
    </row>
    <row r="35" customFormat="false" ht="15" hidden="false" customHeight="true" outlineLevel="0" collapsed="false">
      <c r="A35" s="42" t="s">
        <v>21</v>
      </c>
      <c r="B35" s="43" t="n">
        <f aca="false">SUM(B28:B34)</f>
        <v>124596250</v>
      </c>
      <c r="C35" s="43" t="n">
        <f aca="false">SUM(C28:C34)</f>
        <v>131148020</v>
      </c>
      <c r="D35" s="43" t="n">
        <f aca="false">SUM(D28:D34)</f>
        <v>134088900</v>
      </c>
      <c r="E35" s="43" t="n">
        <f aca="false">SUM(E28:E34)</f>
        <v>131266170</v>
      </c>
      <c r="F35" s="43" t="n">
        <f aca="false">SUM(F28:F34)</f>
        <v>132357440</v>
      </c>
      <c r="G35" s="43" t="n">
        <f aca="false">SUM(G28:G34)</f>
        <v>130646010</v>
      </c>
      <c r="H35" s="43" t="n">
        <f aca="false">SUM(H28:H34)</f>
        <v>131428825</v>
      </c>
      <c r="I35" s="44" t="n">
        <f aca="false">AVERAGE(D35:H35)</f>
        <v>131957469</v>
      </c>
      <c r="J35" s="45" t="n">
        <f aca="false">H35/B35</f>
        <v>1.05483772585451</v>
      </c>
      <c r="K35" s="46" t="n">
        <f aca="false">H35-B35</f>
        <v>6832575</v>
      </c>
    </row>
    <row r="36" customFormat="false" ht="6" hidden="false" customHeight="true" outlineLevel="0" collapsed="false"/>
    <row r="37" customFormat="false" ht="18" hidden="false" customHeight="true" outlineLevel="0" collapsed="false">
      <c r="A37" s="47" t="s">
        <v>24</v>
      </c>
      <c r="B37" s="47"/>
      <c r="C37" s="47"/>
      <c r="D37" s="47"/>
      <c r="E37" s="47"/>
      <c r="F37" s="47"/>
      <c r="G37" s="47"/>
      <c r="H37" s="47"/>
      <c r="I37" s="47"/>
      <c r="J37" s="47"/>
      <c r="K37" s="47"/>
    </row>
    <row r="38" customFormat="false" ht="36" hidden="false" customHeight="true" outlineLevel="0" collapsed="false">
      <c r="A38" s="48" t="s">
        <v>3</v>
      </c>
      <c r="B38" s="49" t="s">
        <v>4</v>
      </c>
      <c r="C38" s="49" t="s">
        <v>5</v>
      </c>
      <c r="D38" s="49" t="s">
        <v>6</v>
      </c>
      <c r="E38" s="49" t="s">
        <v>7</v>
      </c>
      <c r="F38" s="49" t="s">
        <v>8</v>
      </c>
      <c r="G38" s="49" t="s">
        <v>9</v>
      </c>
      <c r="H38" s="49" t="s">
        <v>10</v>
      </c>
      <c r="I38" s="49" t="s">
        <v>11</v>
      </c>
      <c r="J38" s="50" t="s">
        <v>12</v>
      </c>
      <c r="K38" s="50" t="s">
        <v>13</v>
      </c>
    </row>
    <row r="39" customFormat="false" ht="15" hidden="false" customHeight="true" outlineLevel="0" collapsed="false">
      <c r="A39" s="51" t="s">
        <v>14</v>
      </c>
      <c r="B39" s="52" t="n">
        <v>50921</v>
      </c>
      <c r="C39" s="52" t="n">
        <v>50500</v>
      </c>
      <c r="D39" s="52" t="n">
        <v>46903</v>
      </c>
      <c r="E39" s="52" t="n">
        <v>44103</v>
      </c>
      <c r="F39" s="52" t="n">
        <v>43236</v>
      </c>
      <c r="G39" s="52" t="n">
        <v>42695</v>
      </c>
      <c r="H39" s="52" t="n">
        <v>40572</v>
      </c>
      <c r="I39" s="53" t="n">
        <f aca="false">AVERAGE(D39:H39)</f>
        <v>43501.8</v>
      </c>
      <c r="J39" s="54" t="n">
        <f aca="false">H39/B39</f>
        <v>0.796763614225958</v>
      </c>
      <c r="K39" s="52" t="n">
        <v>-10349</v>
      </c>
    </row>
    <row r="40" customFormat="false" ht="15" hidden="false" customHeight="true" outlineLevel="0" collapsed="false">
      <c r="A40" s="12" t="s">
        <v>15</v>
      </c>
      <c r="B40" s="13" t="n">
        <v>199068</v>
      </c>
      <c r="C40" s="13" t="n">
        <v>208906</v>
      </c>
      <c r="D40" s="13" t="n">
        <v>196010</v>
      </c>
      <c r="E40" s="13" t="n">
        <v>179985</v>
      </c>
      <c r="F40" s="13" t="n">
        <v>179592</v>
      </c>
      <c r="G40" s="13" t="n">
        <v>176803</v>
      </c>
      <c r="H40" s="13" t="n">
        <v>174586</v>
      </c>
      <c r="I40" s="14" t="n">
        <f aca="false">AVERAGE(D40:H40)</f>
        <v>181395.2</v>
      </c>
      <c r="J40" s="15" t="n">
        <f aca="false">H40/B40</f>
        <v>0.877016898748167</v>
      </c>
      <c r="K40" s="13" t="n">
        <v>-24482</v>
      </c>
    </row>
    <row r="41" customFormat="false" ht="15" hidden="false" customHeight="true" outlineLevel="0" collapsed="false">
      <c r="A41" s="51" t="s">
        <v>16</v>
      </c>
      <c r="B41" s="52" t="n">
        <v>54927</v>
      </c>
      <c r="C41" s="52" t="n">
        <v>55192</v>
      </c>
      <c r="D41" s="52" t="n">
        <v>58239</v>
      </c>
      <c r="E41" s="52" t="n">
        <v>59527</v>
      </c>
      <c r="F41" s="52" t="n">
        <v>57646</v>
      </c>
      <c r="G41" s="52" t="n">
        <v>54905</v>
      </c>
      <c r="H41" s="52" t="n">
        <v>49286</v>
      </c>
      <c r="I41" s="53" t="n">
        <f aca="false">AVERAGE(D41:H41)</f>
        <v>55920.6</v>
      </c>
      <c r="J41" s="54" t="n">
        <f aca="false">H41/B41</f>
        <v>0.897300052797349</v>
      </c>
      <c r="K41" s="52" t="n">
        <v>-5641</v>
      </c>
    </row>
    <row r="42" customFormat="false" ht="15" hidden="false" customHeight="true" outlineLevel="0" collapsed="false">
      <c r="A42" s="12" t="s">
        <v>17</v>
      </c>
      <c r="B42" s="13" t="n">
        <v>145424</v>
      </c>
      <c r="C42" s="13" t="n">
        <v>153205</v>
      </c>
      <c r="D42" s="13" t="n">
        <v>162964</v>
      </c>
      <c r="E42" s="13" t="n">
        <v>167774</v>
      </c>
      <c r="F42" s="13" t="n">
        <v>185027</v>
      </c>
      <c r="G42" s="13" t="n">
        <v>176599</v>
      </c>
      <c r="H42" s="13" t="n">
        <v>180890</v>
      </c>
      <c r="I42" s="14" t="n">
        <f aca="false">AVERAGE(D42:H42)</f>
        <v>174650.8</v>
      </c>
      <c r="J42" s="15" t="n">
        <f aca="false">H42/B42</f>
        <v>1.24387996479261</v>
      </c>
      <c r="K42" s="13" t="n">
        <v>35466</v>
      </c>
    </row>
    <row r="43" customFormat="false" ht="15" hidden="false" customHeight="true" outlineLevel="0" collapsed="false">
      <c r="A43" s="51" t="s">
        <v>18</v>
      </c>
      <c r="B43" s="52" t="n">
        <v>138712</v>
      </c>
      <c r="C43" s="52" t="n">
        <v>142152</v>
      </c>
      <c r="D43" s="52" t="n">
        <v>146053</v>
      </c>
      <c r="E43" s="52" t="n">
        <v>142921</v>
      </c>
      <c r="F43" s="52" t="n">
        <v>133240</v>
      </c>
      <c r="G43" s="52" t="n">
        <v>126458</v>
      </c>
      <c r="H43" s="52" t="n">
        <v>136435</v>
      </c>
      <c r="I43" s="53" t="n">
        <f aca="false">AVERAGE(D43:H43)</f>
        <v>137021.4</v>
      </c>
      <c r="J43" s="54" t="n">
        <f aca="false">H43/B43</f>
        <v>0.983584693465598</v>
      </c>
      <c r="K43" s="52" t="n">
        <v>-2277</v>
      </c>
    </row>
    <row r="44" customFormat="false" ht="15" hidden="false" customHeight="true" outlineLevel="0" collapsed="false">
      <c r="A44" s="12" t="s">
        <v>19</v>
      </c>
      <c r="B44" s="13" t="n">
        <v>96136</v>
      </c>
      <c r="C44" s="13" t="n">
        <v>120914</v>
      </c>
      <c r="D44" s="13" t="n">
        <v>151622</v>
      </c>
      <c r="E44" s="13" t="n">
        <v>146647</v>
      </c>
      <c r="F44" s="13" t="n">
        <v>151805</v>
      </c>
      <c r="G44" s="13" t="n">
        <v>148134</v>
      </c>
      <c r="H44" s="13" t="n">
        <v>150840</v>
      </c>
      <c r="I44" s="14" t="n">
        <f aca="false">AVERAGE(D44:H44)</f>
        <v>149809.6</v>
      </c>
      <c r="J44" s="15" t="n">
        <f aca="false">H44/B44</f>
        <v>1.56902721145045</v>
      </c>
      <c r="K44" s="13" t="n">
        <v>54704</v>
      </c>
    </row>
    <row r="45" customFormat="false" ht="15" hidden="false" customHeight="true" outlineLevel="0" collapsed="false">
      <c r="A45" s="51" t="s">
        <v>20</v>
      </c>
      <c r="B45" s="52" t="n">
        <v>16010</v>
      </c>
      <c r="C45" s="52" t="n">
        <v>13954</v>
      </c>
      <c r="D45" s="52" t="n">
        <v>11709</v>
      </c>
      <c r="E45" s="52" t="n">
        <v>9690</v>
      </c>
      <c r="F45" s="52" t="n">
        <v>10494</v>
      </c>
      <c r="G45" s="52" t="n">
        <v>18740</v>
      </c>
      <c r="H45" s="52" t="n">
        <v>16578</v>
      </c>
      <c r="I45" s="53" t="n">
        <f aca="false">AVERAGE(D45:H45)</f>
        <v>13442.2</v>
      </c>
      <c r="J45" s="54" t="n">
        <f aca="false">H45/B45</f>
        <v>1.03547782635853</v>
      </c>
      <c r="K45" s="52" t="n">
        <v>568</v>
      </c>
    </row>
    <row r="46" customFormat="false" ht="15" hidden="false" customHeight="true" outlineLevel="0" collapsed="false">
      <c r="A46" s="55" t="s">
        <v>21</v>
      </c>
      <c r="B46" s="56" t="n">
        <f aca="false">SUM(B39:B45)</f>
        <v>701198</v>
      </c>
      <c r="C46" s="56" t="n">
        <f aca="false">SUM(C39:C45)</f>
        <v>744823</v>
      </c>
      <c r="D46" s="56" t="n">
        <f aca="false">SUM(D39:D45)</f>
        <v>773500</v>
      </c>
      <c r="E46" s="56" t="n">
        <f aca="false">SUM(E39:E45)</f>
        <v>750647</v>
      </c>
      <c r="F46" s="56" t="n">
        <f aca="false">SUM(F39:F45)</f>
        <v>761040</v>
      </c>
      <c r="G46" s="56" t="n">
        <f aca="false">SUM(G39:G45)</f>
        <v>744334</v>
      </c>
      <c r="H46" s="56" t="n">
        <f aca="false">SUM(H39:H45)</f>
        <v>749187</v>
      </c>
      <c r="I46" s="57" t="n">
        <f aca="false">AVERAGE(D46:H46)</f>
        <v>755741.6</v>
      </c>
      <c r="J46" s="58" t="n">
        <f aca="false">H46/B46</f>
        <v>1.06843858653333</v>
      </c>
      <c r="K46" s="59" t="n">
        <f aca="false">H46-B46</f>
        <v>47989</v>
      </c>
    </row>
  </sheetData>
  <mergeCells count="6">
    <mergeCell ref="A1:K1"/>
    <mergeCell ref="A2:K2"/>
    <mergeCell ref="A4:K4"/>
    <mergeCell ref="A15:K15"/>
    <mergeCell ref="A26:K26"/>
    <mergeCell ref="A37:K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5" min="2" style="1" width="10"/>
    <col collapsed="false" customWidth="true" hidden="false" outlineLevel="0" max="9" min="6" style="1" width="12"/>
    <col collapsed="false" customWidth="true" hidden="false" outlineLevel="0" max="15" min="10" style="1" width="13"/>
  </cols>
  <sheetData>
    <row r="1" customFormat="false" ht="21.75" hidden="false" customHeight="true" outlineLevel="0" collapsed="false">
      <c r="A1" s="2" t="s">
        <v>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6" hidden="false" customHeight="true" outlineLevel="0" collapsed="false"/>
    <row r="3" customFormat="false" ht="37.5" hidden="false" customHeight="true" outlineLevel="0" collapsed="false">
      <c r="A3" s="5" t="s">
        <v>3</v>
      </c>
      <c r="B3" s="7" t="s">
        <v>26</v>
      </c>
      <c r="C3" s="7" t="s">
        <v>27</v>
      </c>
      <c r="D3" s="7" t="s">
        <v>28</v>
      </c>
      <c r="E3" s="7" t="s">
        <v>29</v>
      </c>
      <c r="F3" s="7" t="s">
        <v>30</v>
      </c>
      <c r="G3" s="7" t="s">
        <v>31</v>
      </c>
      <c r="H3" s="7" t="s">
        <v>32</v>
      </c>
      <c r="I3" s="7" t="s">
        <v>33</v>
      </c>
      <c r="J3" s="7" t="s">
        <v>34</v>
      </c>
      <c r="K3" s="7" t="s">
        <v>35</v>
      </c>
      <c r="L3" s="7" t="s">
        <v>36</v>
      </c>
      <c r="M3" s="7" t="s">
        <v>37</v>
      </c>
      <c r="N3" s="7" t="s">
        <v>38</v>
      </c>
      <c r="O3" s="7" t="s">
        <v>39</v>
      </c>
    </row>
    <row r="4" customFormat="false" ht="15" hidden="false" customHeight="true" outlineLevel="0" collapsed="false">
      <c r="A4" s="8" t="s">
        <v>14</v>
      </c>
      <c r="B4" s="9" t="n">
        <v>9193</v>
      </c>
      <c r="C4" s="9" t="n">
        <v>4601</v>
      </c>
      <c r="D4" s="9" t="n">
        <v>9193</v>
      </c>
      <c r="E4" s="9" t="n">
        <v>9193</v>
      </c>
      <c r="F4" s="9" t="n">
        <v>64088</v>
      </c>
      <c r="G4" s="9" t="n">
        <v>50921</v>
      </c>
      <c r="H4" s="9" t="n">
        <v>115009</v>
      </c>
      <c r="I4" s="9" t="n">
        <v>115009</v>
      </c>
      <c r="J4" s="9" t="n">
        <v>9503850</v>
      </c>
      <c r="K4" s="9" t="n">
        <v>5601100</v>
      </c>
      <c r="L4" s="9" t="n">
        <v>1271800</v>
      </c>
      <c r="M4" s="9" t="n">
        <v>459650</v>
      </c>
      <c r="N4" s="9" t="n">
        <v>0</v>
      </c>
      <c r="O4" s="9" t="n">
        <v>16836400</v>
      </c>
    </row>
    <row r="5" customFormat="false" ht="15" hidden="false" customHeight="true" outlineLevel="0" collapsed="false">
      <c r="A5" s="12" t="s">
        <v>15</v>
      </c>
      <c r="B5" s="13" t="n">
        <v>25506</v>
      </c>
      <c r="C5" s="13" t="n">
        <v>14839</v>
      </c>
      <c r="D5" s="13" t="n">
        <v>25506</v>
      </c>
      <c r="E5" s="13" t="n">
        <v>25498</v>
      </c>
      <c r="F5" s="13" t="n">
        <v>197754</v>
      </c>
      <c r="G5" s="13" t="n">
        <v>199068</v>
      </c>
      <c r="H5" s="13" t="n">
        <v>396822</v>
      </c>
      <c r="I5" s="13" t="n">
        <v>396822</v>
      </c>
      <c r="J5" s="13" t="n">
        <v>26792600</v>
      </c>
      <c r="K5" s="13" t="n">
        <v>21758130</v>
      </c>
      <c r="L5" s="13" t="n">
        <v>4108380</v>
      </c>
      <c r="M5" s="13" t="n">
        <v>1784860</v>
      </c>
      <c r="N5" s="13" t="n">
        <v>0</v>
      </c>
      <c r="O5" s="13" t="n">
        <v>54443970</v>
      </c>
    </row>
    <row r="6" customFormat="false" ht="15" hidden="false" customHeight="true" outlineLevel="0" collapsed="false">
      <c r="A6" s="8" t="s">
        <v>16</v>
      </c>
      <c r="B6" s="9" t="n">
        <v>854</v>
      </c>
      <c r="C6" s="9" t="n">
        <v>591</v>
      </c>
      <c r="D6" s="9" t="n">
        <v>854</v>
      </c>
      <c r="E6" s="9" t="n">
        <v>854</v>
      </c>
      <c r="F6" s="9" t="n">
        <v>6996</v>
      </c>
      <c r="G6" s="9" t="n">
        <v>54927</v>
      </c>
      <c r="H6" s="9" t="n">
        <v>61923</v>
      </c>
      <c r="I6" s="9" t="n">
        <v>61923</v>
      </c>
      <c r="J6" s="9" t="n">
        <v>904450</v>
      </c>
      <c r="K6" s="9" t="n">
        <v>5765960</v>
      </c>
      <c r="L6" s="9" t="n">
        <v>575230</v>
      </c>
      <c r="M6" s="9" t="n">
        <v>85400</v>
      </c>
      <c r="N6" s="9" t="n">
        <v>2830</v>
      </c>
      <c r="O6" s="9" t="n">
        <v>7333870</v>
      </c>
    </row>
    <row r="7" customFormat="false" ht="15" hidden="false" customHeight="true" outlineLevel="0" collapsed="false">
      <c r="A7" s="12" t="s">
        <v>17</v>
      </c>
      <c r="B7" s="13" t="n">
        <v>744</v>
      </c>
      <c r="C7" s="13" t="n">
        <v>600</v>
      </c>
      <c r="D7" s="13" t="n">
        <v>744</v>
      </c>
      <c r="E7" s="13" t="n">
        <v>744</v>
      </c>
      <c r="F7" s="13" t="n">
        <v>12235</v>
      </c>
      <c r="G7" s="13" t="n">
        <v>145424</v>
      </c>
      <c r="H7" s="13" t="n">
        <v>157659</v>
      </c>
      <c r="I7" s="13" t="n">
        <v>157595</v>
      </c>
      <c r="J7" s="13" t="n">
        <v>1182900</v>
      </c>
      <c r="K7" s="13" t="n">
        <v>14933820</v>
      </c>
      <c r="L7" s="13" t="n">
        <v>1398340</v>
      </c>
      <c r="M7" s="13" t="n">
        <v>148800</v>
      </c>
      <c r="N7" s="13" t="n">
        <v>10030</v>
      </c>
      <c r="O7" s="13" t="n">
        <v>17673890</v>
      </c>
    </row>
    <row r="8" customFormat="false" ht="15" hidden="false" customHeight="true" outlineLevel="0" collapsed="false">
      <c r="A8" s="8" t="s">
        <v>18</v>
      </c>
      <c r="B8" s="9" t="n">
        <v>235</v>
      </c>
      <c r="C8" s="9" t="n">
        <v>224</v>
      </c>
      <c r="D8" s="9" t="n">
        <v>235</v>
      </c>
      <c r="E8" s="9" t="n">
        <v>235</v>
      </c>
      <c r="F8" s="9" t="n">
        <v>2296</v>
      </c>
      <c r="G8" s="9" t="n">
        <v>138712</v>
      </c>
      <c r="H8" s="9" t="n">
        <v>141008</v>
      </c>
      <c r="I8" s="9" t="n">
        <v>141008</v>
      </c>
      <c r="J8" s="9" t="n">
        <v>254800</v>
      </c>
      <c r="K8" s="9" t="n">
        <v>14026480</v>
      </c>
      <c r="L8" s="9" t="n">
        <v>1242810</v>
      </c>
      <c r="M8" s="9" t="n">
        <v>188000</v>
      </c>
      <c r="N8" s="9" t="n">
        <v>15740</v>
      </c>
      <c r="O8" s="9" t="n">
        <v>15727830</v>
      </c>
    </row>
    <row r="9" customFormat="false" ht="15" hidden="false" customHeight="true" outlineLevel="0" collapsed="false">
      <c r="A9" s="12" t="s">
        <v>19</v>
      </c>
      <c r="B9" s="13" t="n">
        <v>80</v>
      </c>
      <c r="C9" s="13" t="n">
        <v>79</v>
      </c>
      <c r="D9" s="13" t="n">
        <v>80</v>
      </c>
      <c r="E9" s="13" t="n">
        <v>80</v>
      </c>
      <c r="F9" s="13" t="n">
        <v>790</v>
      </c>
      <c r="G9" s="13" t="n">
        <v>96136</v>
      </c>
      <c r="H9" s="13" t="n">
        <v>96926</v>
      </c>
      <c r="I9" s="13" t="n">
        <v>96926</v>
      </c>
      <c r="J9" s="13" t="n">
        <v>87800</v>
      </c>
      <c r="K9" s="13" t="n">
        <v>9682070</v>
      </c>
      <c r="L9" s="13" t="n">
        <v>840230</v>
      </c>
      <c r="M9" s="13" t="n">
        <v>80000</v>
      </c>
      <c r="N9" s="13" t="n">
        <v>6880</v>
      </c>
      <c r="O9" s="13" t="n">
        <v>10696980</v>
      </c>
    </row>
    <row r="10" customFormat="false" ht="15" hidden="false" customHeight="true" outlineLevel="0" collapsed="false">
      <c r="A10" s="8" t="s">
        <v>20</v>
      </c>
      <c r="B10" s="9" t="n">
        <v>48</v>
      </c>
      <c r="C10" s="9" t="n">
        <v>48</v>
      </c>
      <c r="D10" s="9" t="n">
        <v>48</v>
      </c>
      <c r="E10" s="9" t="n">
        <v>40</v>
      </c>
      <c r="F10" s="9" t="n">
        <v>400</v>
      </c>
      <c r="G10" s="9" t="n">
        <v>16010</v>
      </c>
      <c r="H10" s="9" t="n">
        <v>16410</v>
      </c>
      <c r="I10" s="9" t="n">
        <v>16174</v>
      </c>
      <c r="J10" s="9" t="n">
        <v>44000</v>
      </c>
      <c r="K10" s="9" t="n">
        <v>1636840</v>
      </c>
      <c r="L10" s="9" t="n">
        <v>150510</v>
      </c>
      <c r="M10" s="9" t="n">
        <v>48000</v>
      </c>
      <c r="N10" s="9" t="n">
        <v>3960</v>
      </c>
      <c r="O10" s="9" t="n">
        <v>1883310</v>
      </c>
    </row>
    <row r="11" customFormat="false" ht="15" hidden="false" customHeight="true" outlineLevel="0" collapsed="false">
      <c r="A11" s="16" t="s">
        <v>21</v>
      </c>
      <c r="B11" s="17" t="n">
        <f aca="false">SUM(B4:B10)</f>
        <v>36660</v>
      </c>
      <c r="C11" s="17" t="n">
        <f aca="false">SUM(C4:C10)</f>
        <v>20982</v>
      </c>
      <c r="D11" s="17" t="n">
        <f aca="false">SUM(D4:D10)</f>
        <v>36660</v>
      </c>
      <c r="E11" s="17" t="n">
        <f aca="false">SUM(E4:E10)</f>
        <v>36644</v>
      </c>
      <c r="F11" s="17" t="n">
        <f aca="false">SUM(F4:F10)</f>
        <v>284559</v>
      </c>
      <c r="G11" s="17" t="n">
        <f aca="false">SUM(G4:G10)</f>
        <v>701198</v>
      </c>
      <c r="H11" s="17" t="n">
        <f aca="false">SUM(H4:H10)</f>
        <v>985757</v>
      </c>
      <c r="I11" s="17" t="n">
        <f aca="false">SUM(I4:I10)</f>
        <v>985457</v>
      </c>
      <c r="J11" s="17" t="n">
        <f aca="false">SUM(J4:J10)</f>
        <v>38770400</v>
      </c>
      <c r="K11" s="17" t="n">
        <f aca="false">SUM(K4:K10)</f>
        <v>73404400</v>
      </c>
      <c r="L11" s="17" t="n">
        <f aca="false">SUM(L4:L10)</f>
        <v>9587300</v>
      </c>
      <c r="M11" s="17" t="n">
        <f aca="false">SUM(M4:M10)</f>
        <v>2794710</v>
      </c>
      <c r="N11" s="17" t="n">
        <f aca="false">SUM(N4:N10)</f>
        <v>39440</v>
      </c>
      <c r="O11" s="17" t="n">
        <f aca="false">SUM(O4:O10)</f>
        <v>124596250</v>
      </c>
    </row>
    <row r="12" customFormat="false" ht="6" hidden="false" customHeight="true" outlineLevel="0" collapsed="false"/>
    <row r="13" customFormat="false" ht="18" hidden="false" customHeight="true" outlineLevel="0" collapsed="false">
      <c r="A13" s="60" t="s">
        <v>40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</row>
    <row r="14" customFormat="false" ht="15" hidden="false" customHeight="true" outlineLevel="0" collapsed="false">
      <c r="A14" s="61" t="s">
        <v>41</v>
      </c>
      <c r="B14" s="61" t="s">
        <v>42</v>
      </c>
      <c r="C14" s="62" t="s">
        <v>43</v>
      </c>
      <c r="D14" s="62" t="s">
        <v>44</v>
      </c>
    </row>
    <row r="15" customFormat="false" ht="15" hidden="false" customHeight="true" outlineLevel="0" collapsed="false">
      <c r="A15" s="63" t="s">
        <v>45</v>
      </c>
      <c r="B15" s="64" t="s">
        <v>46</v>
      </c>
      <c r="C15" s="65" t="s">
        <v>47</v>
      </c>
      <c r="D15" s="65" t="s">
        <v>48</v>
      </c>
    </row>
    <row r="16" customFormat="false" ht="15" hidden="false" customHeight="true" outlineLevel="0" collapsed="false">
      <c r="A16" s="66" t="s">
        <v>45</v>
      </c>
      <c r="B16" s="12" t="s">
        <v>49</v>
      </c>
      <c r="C16" s="67" t="s">
        <v>50</v>
      </c>
      <c r="D16" s="67" t="s">
        <v>48</v>
      </c>
    </row>
    <row r="17" customFormat="false" ht="15" hidden="false" customHeight="true" outlineLevel="0" collapsed="false">
      <c r="A17" s="63" t="s">
        <v>51</v>
      </c>
      <c r="B17" s="64" t="s">
        <v>52</v>
      </c>
      <c r="C17" s="65" t="s">
        <v>53</v>
      </c>
      <c r="D17" s="65" t="s">
        <v>54</v>
      </c>
    </row>
    <row r="18" customFormat="false" ht="15" hidden="false" customHeight="true" outlineLevel="0" collapsed="false">
      <c r="A18" s="66" t="s">
        <v>51</v>
      </c>
      <c r="B18" s="12" t="s">
        <v>55</v>
      </c>
      <c r="C18" s="67" t="s">
        <v>56</v>
      </c>
      <c r="D18" s="67" t="s">
        <v>57</v>
      </c>
    </row>
    <row r="19" customFormat="false" ht="15" hidden="false" customHeight="true" outlineLevel="0" collapsed="false">
      <c r="A19" s="63" t="s">
        <v>58</v>
      </c>
      <c r="B19" s="64" t="s">
        <v>59</v>
      </c>
      <c r="C19" s="65" t="s">
        <v>60</v>
      </c>
      <c r="D19" s="65" t="s">
        <v>61</v>
      </c>
    </row>
    <row r="20" customFormat="false" ht="15" hidden="false" customHeight="true" outlineLevel="0" collapsed="false">
      <c r="A20" s="66" t="s">
        <v>58</v>
      </c>
      <c r="B20" s="12" t="s">
        <v>62</v>
      </c>
      <c r="C20" s="67" t="s">
        <v>63</v>
      </c>
      <c r="D20" s="67" t="s">
        <v>64</v>
      </c>
    </row>
    <row r="21" customFormat="false" ht="15" hidden="false" customHeight="true" outlineLevel="0" collapsed="false">
      <c r="A21" s="63" t="s">
        <v>58</v>
      </c>
      <c r="B21" s="64" t="s">
        <v>65</v>
      </c>
      <c r="C21" s="65" t="s">
        <v>66</v>
      </c>
      <c r="D21" s="65" t="s">
        <v>67</v>
      </c>
    </row>
    <row r="22" customFormat="false" ht="15" hidden="false" customHeight="true" outlineLevel="0" collapsed="false">
      <c r="A22" s="66" t="s">
        <v>58</v>
      </c>
      <c r="B22" s="12" t="s">
        <v>68</v>
      </c>
      <c r="C22" s="67" t="s">
        <v>69</v>
      </c>
      <c r="D22" s="67" t="s">
        <v>70</v>
      </c>
    </row>
  </sheetData>
  <mergeCells count="2">
    <mergeCell ref="A1:O1"/>
    <mergeCell ref="A13:O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5" min="2" style="1" width="10"/>
    <col collapsed="false" customWidth="true" hidden="false" outlineLevel="0" max="9" min="6" style="1" width="12"/>
    <col collapsed="false" customWidth="true" hidden="false" outlineLevel="0" max="15" min="10" style="1" width="13"/>
  </cols>
  <sheetData>
    <row r="1" customFormat="false" ht="21.75" hidden="false" customHeight="true" outlineLevel="0" collapsed="false">
      <c r="A1" s="2" t="s">
        <v>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6" hidden="false" customHeight="true" outlineLevel="0" collapsed="false"/>
    <row r="3" customFormat="false" ht="37.5" hidden="false" customHeight="true" outlineLevel="0" collapsed="false">
      <c r="A3" s="5" t="s">
        <v>3</v>
      </c>
      <c r="B3" s="7" t="s">
        <v>26</v>
      </c>
      <c r="C3" s="7" t="s">
        <v>27</v>
      </c>
      <c r="D3" s="7" t="s">
        <v>28</v>
      </c>
      <c r="E3" s="7" t="s">
        <v>29</v>
      </c>
      <c r="F3" s="7" t="s">
        <v>30</v>
      </c>
      <c r="G3" s="7" t="s">
        <v>31</v>
      </c>
      <c r="H3" s="7" t="s">
        <v>32</v>
      </c>
      <c r="I3" s="7" t="s">
        <v>33</v>
      </c>
      <c r="J3" s="7" t="s">
        <v>34</v>
      </c>
      <c r="K3" s="7" t="s">
        <v>35</v>
      </c>
      <c r="L3" s="7" t="s">
        <v>36</v>
      </c>
      <c r="M3" s="7" t="s">
        <v>37</v>
      </c>
      <c r="N3" s="7" t="s">
        <v>38</v>
      </c>
      <c r="O3" s="7" t="s">
        <v>39</v>
      </c>
    </row>
    <row r="4" customFormat="false" ht="15" hidden="false" customHeight="true" outlineLevel="0" collapsed="false">
      <c r="A4" s="8" t="s">
        <v>14</v>
      </c>
      <c r="B4" s="9" t="n">
        <v>8896</v>
      </c>
      <c r="C4" s="9" t="n">
        <v>4515</v>
      </c>
      <c r="D4" s="9" t="n">
        <v>8896</v>
      </c>
      <c r="E4" s="9" t="n">
        <v>8896</v>
      </c>
      <c r="F4" s="9" t="n">
        <v>62567</v>
      </c>
      <c r="G4" s="9" t="n">
        <v>50500</v>
      </c>
      <c r="H4" s="9" t="n">
        <v>113067</v>
      </c>
      <c r="I4" s="9" t="n">
        <v>113067</v>
      </c>
      <c r="J4" s="9" t="n">
        <v>9222000</v>
      </c>
      <c r="K4" s="9" t="n">
        <v>5554510</v>
      </c>
      <c r="L4" s="9" t="n">
        <v>1458150</v>
      </c>
      <c r="M4" s="9" t="n">
        <v>444800</v>
      </c>
      <c r="N4" s="9" t="n">
        <v>0</v>
      </c>
      <c r="O4" s="9" t="n">
        <v>16679460</v>
      </c>
    </row>
    <row r="5" customFormat="false" ht="15" hidden="false" customHeight="true" outlineLevel="0" collapsed="false">
      <c r="A5" s="12" t="s">
        <v>15</v>
      </c>
      <c r="B5" s="13" t="n">
        <v>25629</v>
      </c>
      <c r="C5" s="13" t="n">
        <v>15318</v>
      </c>
      <c r="D5" s="13" t="n">
        <v>25629</v>
      </c>
      <c r="E5" s="13" t="n">
        <v>25629</v>
      </c>
      <c r="F5" s="13" t="n">
        <v>200874</v>
      </c>
      <c r="G5" s="13" t="n">
        <v>208906</v>
      </c>
      <c r="H5" s="13" t="n">
        <v>409780</v>
      </c>
      <c r="I5" s="13" t="n">
        <v>409780</v>
      </c>
      <c r="J5" s="13" t="n">
        <v>26962900</v>
      </c>
      <c r="K5" s="13" t="n">
        <v>22894420</v>
      </c>
      <c r="L5" s="13" t="n">
        <v>4920650</v>
      </c>
      <c r="M5" s="13" t="n">
        <v>1794030</v>
      </c>
      <c r="N5" s="13" t="n">
        <v>0</v>
      </c>
      <c r="O5" s="13" t="n">
        <v>56572000</v>
      </c>
    </row>
    <row r="6" customFormat="false" ht="15" hidden="false" customHeight="true" outlineLevel="0" collapsed="false">
      <c r="A6" s="8" t="s">
        <v>16</v>
      </c>
      <c r="B6" s="9" t="n">
        <v>829</v>
      </c>
      <c r="C6" s="9" t="n">
        <v>524</v>
      </c>
      <c r="D6" s="9" t="n">
        <v>829</v>
      </c>
      <c r="E6" s="9" t="n">
        <v>829</v>
      </c>
      <c r="F6" s="9" t="n">
        <v>6434</v>
      </c>
      <c r="G6" s="9" t="n">
        <v>55192</v>
      </c>
      <c r="H6" s="9" t="n">
        <v>61626</v>
      </c>
      <c r="I6" s="9" t="n">
        <v>61626</v>
      </c>
      <c r="J6" s="9" t="n">
        <v>868800</v>
      </c>
      <c r="K6" s="9" t="n">
        <v>5778400</v>
      </c>
      <c r="L6" s="9" t="n">
        <v>663230</v>
      </c>
      <c r="M6" s="9" t="n">
        <v>82900</v>
      </c>
      <c r="N6" s="9" t="n">
        <v>8290</v>
      </c>
      <c r="O6" s="9" t="n">
        <v>7401620</v>
      </c>
    </row>
    <row r="7" customFormat="false" ht="15" hidden="false" customHeight="true" outlineLevel="0" collapsed="false">
      <c r="A7" s="12" t="s">
        <v>17</v>
      </c>
      <c r="B7" s="13" t="n">
        <v>830</v>
      </c>
      <c r="C7" s="13" t="n">
        <v>659</v>
      </c>
      <c r="D7" s="13" t="n">
        <v>830</v>
      </c>
      <c r="E7" s="13" t="n">
        <v>830</v>
      </c>
      <c r="F7" s="13" t="n">
        <v>11613</v>
      </c>
      <c r="G7" s="13" t="n">
        <v>153205</v>
      </c>
      <c r="H7" s="13" t="n">
        <v>164818</v>
      </c>
      <c r="I7" s="13" t="n">
        <v>164818</v>
      </c>
      <c r="J7" s="13" t="n">
        <v>1271150</v>
      </c>
      <c r="K7" s="13" t="n">
        <v>15747280</v>
      </c>
      <c r="L7" s="13" t="n">
        <v>1700440</v>
      </c>
      <c r="M7" s="13" t="n">
        <v>166000</v>
      </c>
      <c r="N7" s="13" t="n">
        <v>16600</v>
      </c>
      <c r="O7" s="13" t="n">
        <v>18901470</v>
      </c>
    </row>
    <row r="8" customFormat="false" ht="15" hidden="false" customHeight="true" outlineLevel="0" collapsed="false">
      <c r="A8" s="8" t="s">
        <v>18</v>
      </c>
      <c r="B8" s="9" t="n">
        <v>245</v>
      </c>
      <c r="C8" s="9" t="n">
        <v>226</v>
      </c>
      <c r="D8" s="9" t="n">
        <v>245</v>
      </c>
      <c r="E8" s="9" t="n">
        <v>242</v>
      </c>
      <c r="F8" s="9" t="n">
        <v>2352</v>
      </c>
      <c r="G8" s="9" t="n">
        <v>142152</v>
      </c>
      <c r="H8" s="9" t="n">
        <v>144504</v>
      </c>
      <c r="I8" s="9" t="n">
        <v>144504</v>
      </c>
      <c r="J8" s="9" t="n">
        <v>265000</v>
      </c>
      <c r="K8" s="9" t="n">
        <v>14382190</v>
      </c>
      <c r="L8" s="9" t="n">
        <v>1464410</v>
      </c>
      <c r="M8" s="9" t="n">
        <v>193600</v>
      </c>
      <c r="N8" s="9" t="n">
        <v>19360</v>
      </c>
      <c r="O8" s="9" t="n">
        <v>16324560</v>
      </c>
    </row>
    <row r="9" customFormat="false" ht="15" hidden="false" customHeight="true" outlineLevel="0" collapsed="false">
      <c r="A9" s="12" t="s">
        <v>19</v>
      </c>
      <c r="B9" s="13" t="n">
        <v>97</v>
      </c>
      <c r="C9" s="13" t="n">
        <v>96</v>
      </c>
      <c r="D9" s="13" t="n">
        <v>97</v>
      </c>
      <c r="E9" s="13" t="n">
        <v>97</v>
      </c>
      <c r="F9" s="13" t="n">
        <v>967</v>
      </c>
      <c r="G9" s="13" t="n">
        <v>120914</v>
      </c>
      <c r="H9" s="13" t="n">
        <v>121881</v>
      </c>
      <c r="I9" s="13" t="n">
        <v>121881</v>
      </c>
      <c r="J9" s="13" t="n">
        <v>106700</v>
      </c>
      <c r="K9" s="13" t="n">
        <v>12174290</v>
      </c>
      <c r="L9" s="13" t="n">
        <v>1228060</v>
      </c>
      <c r="M9" s="13" t="n">
        <v>97000</v>
      </c>
      <c r="N9" s="13" t="n">
        <v>9700</v>
      </c>
      <c r="O9" s="13" t="n">
        <v>13615750</v>
      </c>
    </row>
    <row r="10" customFormat="false" ht="15" hidden="false" customHeight="true" outlineLevel="0" collapsed="false">
      <c r="A10" s="8" t="s">
        <v>20</v>
      </c>
      <c r="B10" s="9" t="n">
        <v>44</v>
      </c>
      <c r="C10" s="9" t="n">
        <v>44</v>
      </c>
      <c r="D10" s="9" t="n">
        <v>44</v>
      </c>
      <c r="E10" s="9" t="n">
        <v>34</v>
      </c>
      <c r="F10" s="9" t="n">
        <v>340</v>
      </c>
      <c r="G10" s="9" t="n">
        <v>13954</v>
      </c>
      <c r="H10" s="9" t="n">
        <v>14294</v>
      </c>
      <c r="I10" s="9" t="n">
        <v>14294</v>
      </c>
      <c r="J10" s="9" t="n">
        <v>37400</v>
      </c>
      <c r="K10" s="9" t="n">
        <v>1424730</v>
      </c>
      <c r="L10" s="9" t="n">
        <v>146150</v>
      </c>
      <c r="M10" s="9" t="n">
        <v>40800</v>
      </c>
      <c r="N10" s="9" t="n">
        <v>4080</v>
      </c>
      <c r="O10" s="9" t="n">
        <v>1653160</v>
      </c>
    </row>
    <row r="11" customFormat="false" ht="15" hidden="false" customHeight="true" outlineLevel="0" collapsed="false">
      <c r="A11" s="16" t="s">
        <v>21</v>
      </c>
      <c r="B11" s="17" t="n">
        <f aca="false">SUM(B4:B10)</f>
        <v>36570</v>
      </c>
      <c r="C11" s="17" t="n">
        <f aca="false">SUM(C4:C10)</f>
        <v>21382</v>
      </c>
      <c r="D11" s="17" t="n">
        <f aca="false">SUM(D4:D10)</f>
        <v>36570</v>
      </c>
      <c r="E11" s="17" t="n">
        <f aca="false">SUM(E4:E10)</f>
        <v>36557</v>
      </c>
      <c r="F11" s="17" t="n">
        <f aca="false">SUM(F4:F10)</f>
        <v>285147</v>
      </c>
      <c r="G11" s="17" t="n">
        <f aca="false">SUM(G4:G10)</f>
        <v>744823</v>
      </c>
      <c r="H11" s="17" t="n">
        <f aca="false">SUM(H4:H10)</f>
        <v>1029970</v>
      </c>
      <c r="I11" s="17" t="n">
        <f aca="false">SUM(I4:I10)</f>
        <v>1029970</v>
      </c>
      <c r="J11" s="17" t="n">
        <f aca="false">SUM(J4:J10)</f>
        <v>38733950</v>
      </c>
      <c r="K11" s="17" t="n">
        <f aca="false">SUM(K4:K10)</f>
        <v>77955820</v>
      </c>
      <c r="L11" s="17" t="n">
        <f aca="false">SUM(L4:L10)</f>
        <v>11581090</v>
      </c>
      <c r="M11" s="17" t="n">
        <f aca="false">SUM(M4:M10)</f>
        <v>2819130</v>
      </c>
      <c r="N11" s="17" t="n">
        <f aca="false">SUM(N4:N10)</f>
        <v>58030</v>
      </c>
      <c r="O11" s="17" t="n">
        <f aca="false">SUM(O4:O10)</f>
        <v>131148020</v>
      </c>
    </row>
    <row r="12" customFormat="false" ht="6" hidden="false" customHeight="true" outlineLevel="0" collapsed="false"/>
    <row r="13" customFormat="false" ht="18" hidden="false" customHeight="true" outlineLevel="0" collapsed="false">
      <c r="A13" s="60" t="s">
        <v>40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</row>
    <row r="14" customFormat="false" ht="15" hidden="false" customHeight="true" outlineLevel="0" collapsed="false">
      <c r="A14" s="61" t="s">
        <v>41</v>
      </c>
      <c r="B14" s="61" t="s">
        <v>42</v>
      </c>
      <c r="C14" s="62" t="s">
        <v>43</v>
      </c>
      <c r="D14" s="62" t="s">
        <v>44</v>
      </c>
    </row>
    <row r="15" customFormat="false" ht="15" hidden="false" customHeight="true" outlineLevel="0" collapsed="false">
      <c r="A15" s="63" t="s">
        <v>45</v>
      </c>
      <c r="B15" s="64" t="s">
        <v>46</v>
      </c>
      <c r="C15" s="65" t="s">
        <v>47</v>
      </c>
      <c r="D15" s="65" t="s">
        <v>48</v>
      </c>
    </row>
    <row r="16" customFormat="false" ht="15" hidden="false" customHeight="true" outlineLevel="0" collapsed="false">
      <c r="A16" s="66" t="s">
        <v>45</v>
      </c>
      <c r="B16" s="12" t="s">
        <v>49</v>
      </c>
      <c r="C16" s="67" t="s">
        <v>50</v>
      </c>
      <c r="D16" s="67" t="s">
        <v>48</v>
      </c>
    </row>
    <row r="17" customFormat="false" ht="15" hidden="false" customHeight="true" outlineLevel="0" collapsed="false">
      <c r="A17" s="63" t="s">
        <v>51</v>
      </c>
      <c r="B17" s="64" t="s">
        <v>52</v>
      </c>
      <c r="C17" s="65" t="s">
        <v>53</v>
      </c>
      <c r="D17" s="65" t="s">
        <v>54</v>
      </c>
    </row>
    <row r="18" customFormat="false" ht="15" hidden="false" customHeight="true" outlineLevel="0" collapsed="false">
      <c r="A18" s="66" t="s">
        <v>51</v>
      </c>
      <c r="B18" s="12" t="s">
        <v>55</v>
      </c>
      <c r="C18" s="67" t="s">
        <v>56</v>
      </c>
      <c r="D18" s="67" t="s">
        <v>57</v>
      </c>
    </row>
    <row r="19" customFormat="false" ht="15" hidden="false" customHeight="true" outlineLevel="0" collapsed="false">
      <c r="A19" s="63" t="s">
        <v>58</v>
      </c>
      <c r="B19" s="64" t="s">
        <v>59</v>
      </c>
      <c r="C19" s="65" t="s">
        <v>60</v>
      </c>
      <c r="D19" s="65" t="s">
        <v>61</v>
      </c>
    </row>
    <row r="20" customFormat="false" ht="15" hidden="false" customHeight="true" outlineLevel="0" collapsed="false">
      <c r="A20" s="66" t="s">
        <v>58</v>
      </c>
      <c r="B20" s="12" t="s">
        <v>62</v>
      </c>
      <c r="C20" s="67" t="s">
        <v>63</v>
      </c>
      <c r="D20" s="67" t="s">
        <v>64</v>
      </c>
    </row>
    <row r="21" customFormat="false" ht="15" hidden="false" customHeight="true" outlineLevel="0" collapsed="false">
      <c r="A21" s="63" t="s">
        <v>58</v>
      </c>
      <c r="B21" s="64" t="s">
        <v>65</v>
      </c>
      <c r="C21" s="65" t="s">
        <v>66</v>
      </c>
      <c r="D21" s="65" t="s">
        <v>67</v>
      </c>
    </row>
    <row r="22" customFormat="false" ht="15" hidden="false" customHeight="true" outlineLevel="0" collapsed="false">
      <c r="A22" s="66" t="s">
        <v>58</v>
      </c>
      <c r="B22" s="12" t="s">
        <v>68</v>
      </c>
      <c r="C22" s="67" t="s">
        <v>69</v>
      </c>
      <c r="D22" s="67" t="s">
        <v>70</v>
      </c>
    </row>
  </sheetData>
  <mergeCells count="2">
    <mergeCell ref="A1:O1"/>
    <mergeCell ref="A13:O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5" min="2" style="1" width="10"/>
    <col collapsed="false" customWidth="true" hidden="false" outlineLevel="0" max="9" min="6" style="1" width="12"/>
    <col collapsed="false" customWidth="true" hidden="false" outlineLevel="0" max="15" min="10" style="1" width="13"/>
  </cols>
  <sheetData>
    <row r="1" customFormat="false" ht="21.75" hidden="false" customHeight="true" outlineLevel="0" collapsed="false">
      <c r="A1" s="2" t="s">
        <v>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6" hidden="false" customHeight="true" outlineLevel="0" collapsed="false"/>
    <row r="3" customFormat="false" ht="37.5" hidden="false" customHeight="true" outlineLevel="0" collapsed="false">
      <c r="A3" s="5" t="s">
        <v>3</v>
      </c>
      <c r="B3" s="7" t="s">
        <v>26</v>
      </c>
      <c r="C3" s="7" t="s">
        <v>27</v>
      </c>
      <c r="D3" s="7" t="s">
        <v>28</v>
      </c>
      <c r="E3" s="7" t="s">
        <v>29</v>
      </c>
      <c r="F3" s="7" t="s">
        <v>30</v>
      </c>
      <c r="G3" s="7" t="s">
        <v>31</v>
      </c>
      <c r="H3" s="7" t="s">
        <v>32</v>
      </c>
      <c r="I3" s="7" t="s">
        <v>33</v>
      </c>
      <c r="J3" s="7" t="s">
        <v>34</v>
      </c>
      <c r="K3" s="7" t="s">
        <v>35</v>
      </c>
      <c r="L3" s="7" t="s">
        <v>36</v>
      </c>
      <c r="M3" s="7" t="s">
        <v>37</v>
      </c>
      <c r="N3" s="7" t="s">
        <v>38</v>
      </c>
      <c r="O3" s="7" t="s">
        <v>39</v>
      </c>
    </row>
    <row r="4" customFormat="false" ht="15" hidden="false" customHeight="true" outlineLevel="0" collapsed="false">
      <c r="A4" s="8" t="s">
        <v>14</v>
      </c>
      <c r="B4" s="9" t="n">
        <v>8680</v>
      </c>
      <c r="C4" s="9" t="n">
        <v>4280</v>
      </c>
      <c r="D4" s="9" t="n">
        <v>8680</v>
      </c>
      <c r="E4" s="9" t="n">
        <v>8680</v>
      </c>
      <c r="F4" s="9" t="n">
        <v>60344</v>
      </c>
      <c r="G4" s="9" t="n">
        <v>46903</v>
      </c>
      <c r="H4" s="9" t="n">
        <v>107247</v>
      </c>
      <c r="I4" s="9" t="n">
        <v>107247</v>
      </c>
      <c r="J4" s="9" t="n">
        <v>8986400</v>
      </c>
      <c r="K4" s="9" t="n">
        <v>5158410</v>
      </c>
      <c r="L4" s="9" t="n">
        <v>1395950</v>
      </c>
      <c r="M4" s="9" t="n">
        <v>434000</v>
      </c>
      <c r="N4" s="9" t="n">
        <v>0</v>
      </c>
      <c r="O4" s="9" t="n">
        <v>15974760</v>
      </c>
    </row>
    <row r="5" customFormat="false" ht="15" hidden="false" customHeight="true" outlineLevel="0" collapsed="false">
      <c r="A5" s="12" t="s">
        <v>15</v>
      </c>
      <c r="B5" s="13" t="n">
        <v>25749</v>
      </c>
      <c r="C5" s="13" t="n">
        <v>15014</v>
      </c>
      <c r="D5" s="13" t="n">
        <v>25749</v>
      </c>
      <c r="E5" s="13" t="n">
        <v>25749</v>
      </c>
      <c r="F5" s="13" t="n">
        <v>199828</v>
      </c>
      <c r="G5" s="13" t="n">
        <v>196010</v>
      </c>
      <c r="H5" s="13" t="n">
        <v>395838</v>
      </c>
      <c r="I5" s="13" t="n">
        <v>395838</v>
      </c>
      <c r="J5" s="13" t="n">
        <v>27079850</v>
      </c>
      <c r="K5" s="13" t="n">
        <v>21478360</v>
      </c>
      <c r="L5" s="13" t="n">
        <v>4792570</v>
      </c>
      <c r="M5" s="13" t="n">
        <v>1802430</v>
      </c>
      <c r="N5" s="13" t="n">
        <v>0</v>
      </c>
      <c r="O5" s="13" t="n">
        <v>55153210</v>
      </c>
    </row>
    <row r="6" customFormat="false" ht="15" hidden="false" customHeight="true" outlineLevel="0" collapsed="false">
      <c r="A6" s="8" t="s">
        <v>16</v>
      </c>
      <c r="B6" s="9" t="n">
        <v>825</v>
      </c>
      <c r="C6" s="9" t="n">
        <v>538</v>
      </c>
      <c r="D6" s="9" t="n">
        <v>825</v>
      </c>
      <c r="E6" s="9" t="n">
        <v>825</v>
      </c>
      <c r="F6" s="9" t="n">
        <v>6544</v>
      </c>
      <c r="G6" s="9" t="n">
        <v>58239</v>
      </c>
      <c r="H6" s="9" t="n">
        <v>64783</v>
      </c>
      <c r="I6" s="9" t="n">
        <v>64783</v>
      </c>
      <c r="J6" s="9" t="n">
        <v>867950</v>
      </c>
      <c r="K6" s="9" t="n">
        <v>6087360</v>
      </c>
      <c r="L6" s="9" t="n">
        <v>694000</v>
      </c>
      <c r="M6" s="9" t="n">
        <v>82500</v>
      </c>
      <c r="N6" s="9" t="n">
        <v>8250</v>
      </c>
      <c r="O6" s="9" t="n">
        <v>7740060</v>
      </c>
    </row>
    <row r="7" customFormat="false" ht="15" hidden="false" customHeight="true" outlineLevel="0" collapsed="false">
      <c r="A7" s="12" t="s">
        <v>17</v>
      </c>
      <c r="B7" s="13" t="n">
        <v>882</v>
      </c>
      <c r="C7" s="13" t="n">
        <v>695</v>
      </c>
      <c r="D7" s="13" t="n">
        <v>882</v>
      </c>
      <c r="E7" s="13" t="n">
        <v>882</v>
      </c>
      <c r="F7" s="13" t="n">
        <v>9011</v>
      </c>
      <c r="G7" s="13" t="n">
        <v>162964</v>
      </c>
      <c r="H7" s="13" t="n">
        <v>171975</v>
      </c>
      <c r="I7" s="13" t="n">
        <v>171975</v>
      </c>
      <c r="J7" s="13" t="n">
        <v>1327450</v>
      </c>
      <c r="K7" s="13" t="n">
        <v>16748750</v>
      </c>
      <c r="L7" s="13" t="n">
        <v>1806260</v>
      </c>
      <c r="M7" s="13" t="n">
        <v>176400</v>
      </c>
      <c r="N7" s="13" t="n">
        <v>17640</v>
      </c>
      <c r="O7" s="13" t="n">
        <v>20076500</v>
      </c>
    </row>
    <row r="8" customFormat="false" ht="15" hidden="false" customHeight="true" outlineLevel="0" collapsed="false">
      <c r="A8" s="8" t="s">
        <v>18</v>
      </c>
      <c r="B8" s="9" t="n">
        <v>253</v>
      </c>
      <c r="C8" s="9" t="n">
        <v>232</v>
      </c>
      <c r="D8" s="9" t="n">
        <v>253</v>
      </c>
      <c r="E8" s="9" t="n">
        <v>249</v>
      </c>
      <c r="F8" s="9" t="n">
        <v>2395</v>
      </c>
      <c r="G8" s="9" t="n">
        <v>146053</v>
      </c>
      <c r="H8" s="9" t="n">
        <v>148448</v>
      </c>
      <c r="I8" s="9" t="n">
        <v>148448</v>
      </c>
      <c r="J8" s="9" t="n">
        <v>275150</v>
      </c>
      <c r="K8" s="9" t="n">
        <v>14779150</v>
      </c>
      <c r="L8" s="9" t="n">
        <v>1505160</v>
      </c>
      <c r="M8" s="9" t="n">
        <v>199200</v>
      </c>
      <c r="N8" s="9" t="n">
        <v>19920</v>
      </c>
      <c r="O8" s="9" t="n">
        <v>16778580</v>
      </c>
    </row>
    <row r="9" customFormat="false" ht="15" hidden="false" customHeight="true" outlineLevel="0" collapsed="false">
      <c r="A9" s="12" t="s">
        <v>19</v>
      </c>
      <c r="B9" s="13" t="n">
        <v>97</v>
      </c>
      <c r="C9" s="13" t="n">
        <v>97</v>
      </c>
      <c r="D9" s="13" t="n">
        <v>97</v>
      </c>
      <c r="E9" s="13" t="n">
        <v>97</v>
      </c>
      <c r="F9" s="13" t="n">
        <v>970</v>
      </c>
      <c r="G9" s="13" t="n">
        <v>151622</v>
      </c>
      <c r="H9" s="13" t="n">
        <v>152592</v>
      </c>
      <c r="I9" s="13" t="n">
        <v>152592</v>
      </c>
      <c r="J9" s="13" t="n">
        <v>106700</v>
      </c>
      <c r="K9" s="13" t="n">
        <v>15244310</v>
      </c>
      <c r="L9" s="13" t="n">
        <v>1535040</v>
      </c>
      <c r="M9" s="13" t="n">
        <v>97000</v>
      </c>
      <c r="N9" s="13" t="n">
        <v>9700</v>
      </c>
      <c r="O9" s="13" t="n">
        <v>16992750</v>
      </c>
    </row>
    <row r="10" customFormat="false" ht="15" hidden="false" customHeight="true" outlineLevel="0" collapsed="false">
      <c r="A10" s="8" t="s">
        <v>20</v>
      </c>
      <c r="B10" s="9" t="n">
        <v>34</v>
      </c>
      <c r="C10" s="9" t="n">
        <v>34</v>
      </c>
      <c r="D10" s="9" t="n">
        <v>34</v>
      </c>
      <c r="E10" s="9" t="n">
        <v>24</v>
      </c>
      <c r="F10" s="9" t="n">
        <v>240</v>
      </c>
      <c r="G10" s="9" t="n">
        <v>11709</v>
      </c>
      <c r="H10" s="9" t="n">
        <v>11949</v>
      </c>
      <c r="I10" s="9" t="n">
        <v>11949</v>
      </c>
      <c r="J10" s="9" t="n">
        <v>26400</v>
      </c>
      <c r="K10" s="9" t="n">
        <v>1193050</v>
      </c>
      <c r="L10" s="9" t="n">
        <v>121910</v>
      </c>
      <c r="M10" s="9" t="n">
        <v>28800</v>
      </c>
      <c r="N10" s="9" t="n">
        <v>2880</v>
      </c>
      <c r="O10" s="9" t="n">
        <v>1373040</v>
      </c>
    </row>
    <row r="11" customFormat="false" ht="15" hidden="false" customHeight="true" outlineLevel="0" collapsed="false">
      <c r="A11" s="16" t="s">
        <v>21</v>
      </c>
      <c r="B11" s="17" t="n">
        <f aca="false">SUM(B4:B10)</f>
        <v>36520</v>
      </c>
      <c r="C11" s="17" t="n">
        <f aca="false">SUM(C4:C10)</f>
        <v>20890</v>
      </c>
      <c r="D11" s="17" t="n">
        <f aca="false">SUM(D4:D10)</f>
        <v>36520</v>
      </c>
      <c r="E11" s="17" t="n">
        <f aca="false">SUM(E4:E10)</f>
        <v>36506</v>
      </c>
      <c r="F11" s="17" t="n">
        <f aca="false">SUM(F4:F10)</f>
        <v>279332</v>
      </c>
      <c r="G11" s="17" t="n">
        <f aca="false">SUM(G4:G10)</f>
        <v>773500</v>
      </c>
      <c r="H11" s="17" t="n">
        <f aca="false">SUM(H4:H10)</f>
        <v>1052832</v>
      </c>
      <c r="I11" s="17" t="n">
        <f aca="false">SUM(I4:I10)</f>
        <v>1052832</v>
      </c>
      <c r="J11" s="17" t="n">
        <f aca="false">SUM(J4:J10)</f>
        <v>38669900</v>
      </c>
      <c r="K11" s="17" t="n">
        <f aca="false">SUM(K4:K10)</f>
        <v>80689390</v>
      </c>
      <c r="L11" s="17" t="n">
        <f aca="false">SUM(L4:L10)</f>
        <v>11850890</v>
      </c>
      <c r="M11" s="17" t="n">
        <f aca="false">SUM(M4:M10)</f>
        <v>2820330</v>
      </c>
      <c r="N11" s="17" t="n">
        <f aca="false">SUM(N4:N10)</f>
        <v>58390</v>
      </c>
      <c r="O11" s="17" t="n">
        <f aca="false">SUM(O4:O10)</f>
        <v>134088900</v>
      </c>
    </row>
    <row r="12" customFormat="false" ht="6" hidden="false" customHeight="true" outlineLevel="0" collapsed="false"/>
    <row r="13" customFormat="false" ht="18" hidden="false" customHeight="true" outlineLevel="0" collapsed="false">
      <c r="A13" s="60" t="s">
        <v>40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</row>
    <row r="14" customFormat="false" ht="15" hidden="false" customHeight="true" outlineLevel="0" collapsed="false">
      <c r="A14" s="61" t="s">
        <v>41</v>
      </c>
      <c r="B14" s="61" t="s">
        <v>42</v>
      </c>
      <c r="C14" s="62" t="s">
        <v>43</v>
      </c>
      <c r="D14" s="62" t="s">
        <v>44</v>
      </c>
    </row>
    <row r="15" customFormat="false" ht="15" hidden="false" customHeight="true" outlineLevel="0" collapsed="false">
      <c r="A15" s="63" t="s">
        <v>45</v>
      </c>
      <c r="B15" s="64" t="s">
        <v>46</v>
      </c>
      <c r="C15" s="65" t="s">
        <v>47</v>
      </c>
      <c r="D15" s="65" t="s">
        <v>48</v>
      </c>
    </row>
    <row r="16" customFormat="false" ht="15" hidden="false" customHeight="true" outlineLevel="0" collapsed="false">
      <c r="A16" s="66" t="s">
        <v>45</v>
      </c>
      <c r="B16" s="12" t="s">
        <v>49</v>
      </c>
      <c r="C16" s="67" t="s">
        <v>50</v>
      </c>
      <c r="D16" s="67" t="s">
        <v>48</v>
      </c>
    </row>
    <row r="17" customFormat="false" ht="15" hidden="false" customHeight="true" outlineLevel="0" collapsed="false">
      <c r="A17" s="63" t="s">
        <v>51</v>
      </c>
      <c r="B17" s="64" t="s">
        <v>52</v>
      </c>
      <c r="C17" s="65" t="s">
        <v>53</v>
      </c>
      <c r="D17" s="65" t="s">
        <v>54</v>
      </c>
    </row>
    <row r="18" customFormat="false" ht="15" hidden="false" customHeight="true" outlineLevel="0" collapsed="false">
      <c r="A18" s="66" t="s">
        <v>51</v>
      </c>
      <c r="B18" s="12" t="s">
        <v>55</v>
      </c>
      <c r="C18" s="67" t="s">
        <v>56</v>
      </c>
      <c r="D18" s="67" t="s">
        <v>57</v>
      </c>
    </row>
    <row r="19" customFormat="false" ht="15" hidden="false" customHeight="true" outlineLevel="0" collapsed="false">
      <c r="A19" s="63" t="s">
        <v>58</v>
      </c>
      <c r="B19" s="64" t="s">
        <v>59</v>
      </c>
      <c r="C19" s="65" t="s">
        <v>60</v>
      </c>
      <c r="D19" s="65" t="s">
        <v>61</v>
      </c>
    </row>
    <row r="20" customFormat="false" ht="15" hidden="false" customHeight="true" outlineLevel="0" collapsed="false">
      <c r="A20" s="66" t="s">
        <v>58</v>
      </c>
      <c r="B20" s="12" t="s">
        <v>62</v>
      </c>
      <c r="C20" s="67" t="s">
        <v>63</v>
      </c>
      <c r="D20" s="67" t="s">
        <v>64</v>
      </c>
    </row>
    <row r="21" customFormat="false" ht="15" hidden="false" customHeight="true" outlineLevel="0" collapsed="false">
      <c r="A21" s="63" t="s">
        <v>58</v>
      </c>
      <c r="B21" s="64" t="s">
        <v>65</v>
      </c>
      <c r="C21" s="65" t="s">
        <v>66</v>
      </c>
      <c r="D21" s="65" t="s">
        <v>67</v>
      </c>
    </row>
    <row r="22" customFormat="false" ht="15" hidden="false" customHeight="true" outlineLevel="0" collapsed="false">
      <c r="A22" s="66" t="s">
        <v>58</v>
      </c>
      <c r="B22" s="12" t="s">
        <v>68</v>
      </c>
      <c r="C22" s="67" t="s">
        <v>69</v>
      </c>
      <c r="D22" s="67" t="s">
        <v>70</v>
      </c>
    </row>
  </sheetData>
  <mergeCells count="2">
    <mergeCell ref="A1:O1"/>
    <mergeCell ref="A13:O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5" min="2" style="1" width="10"/>
    <col collapsed="false" customWidth="true" hidden="false" outlineLevel="0" max="9" min="6" style="1" width="12"/>
    <col collapsed="false" customWidth="true" hidden="false" outlineLevel="0" max="15" min="10" style="1" width="13"/>
  </cols>
  <sheetData>
    <row r="1" customFormat="false" ht="21.75" hidden="false" customHeight="true" outlineLevel="0" collapsed="false">
      <c r="A1" s="2" t="s">
        <v>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6" hidden="false" customHeight="true" outlineLevel="0" collapsed="false"/>
    <row r="3" customFormat="false" ht="37.5" hidden="false" customHeight="true" outlineLevel="0" collapsed="false">
      <c r="A3" s="5" t="s">
        <v>3</v>
      </c>
      <c r="B3" s="7" t="s">
        <v>26</v>
      </c>
      <c r="C3" s="7" t="s">
        <v>27</v>
      </c>
      <c r="D3" s="7" t="s">
        <v>28</v>
      </c>
      <c r="E3" s="7" t="s">
        <v>29</v>
      </c>
      <c r="F3" s="7" t="s">
        <v>30</v>
      </c>
      <c r="G3" s="7" t="s">
        <v>31</v>
      </c>
      <c r="H3" s="7" t="s">
        <v>32</v>
      </c>
      <c r="I3" s="7" t="s">
        <v>33</v>
      </c>
      <c r="J3" s="7" t="s">
        <v>34</v>
      </c>
      <c r="K3" s="7" t="s">
        <v>35</v>
      </c>
      <c r="L3" s="7" t="s">
        <v>36</v>
      </c>
      <c r="M3" s="7" t="s">
        <v>37</v>
      </c>
      <c r="N3" s="7" t="s">
        <v>38</v>
      </c>
      <c r="O3" s="7" t="s">
        <v>39</v>
      </c>
    </row>
    <row r="4" customFormat="false" ht="15" hidden="false" customHeight="true" outlineLevel="0" collapsed="false">
      <c r="A4" s="8" t="s">
        <v>14</v>
      </c>
      <c r="B4" s="9" t="n">
        <v>8569</v>
      </c>
      <c r="C4" s="9" t="n">
        <v>4070</v>
      </c>
      <c r="D4" s="9" t="n">
        <v>8569</v>
      </c>
      <c r="E4" s="9" t="n">
        <v>8569</v>
      </c>
      <c r="F4" s="9" t="n">
        <v>58855</v>
      </c>
      <c r="G4" s="9" t="n">
        <v>44103</v>
      </c>
      <c r="H4" s="9" t="n">
        <v>102958</v>
      </c>
      <c r="I4" s="9" t="n">
        <v>102958</v>
      </c>
      <c r="J4" s="9" t="n">
        <v>8855100</v>
      </c>
      <c r="K4" s="9" t="n">
        <v>4851330</v>
      </c>
      <c r="L4" s="9" t="n">
        <v>1353590</v>
      </c>
      <c r="M4" s="9" t="n">
        <v>428450</v>
      </c>
      <c r="N4" s="9" t="n">
        <v>0</v>
      </c>
      <c r="O4" s="9" t="n">
        <v>15488470</v>
      </c>
    </row>
    <row r="5" customFormat="false" ht="15" hidden="false" customHeight="true" outlineLevel="0" collapsed="false">
      <c r="A5" s="12" t="s">
        <v>15</v>
      </c>
      <c r="B5" s="13" t="n">
        <v>25765</v>
      </c>
      <c r="C5" s="13" t="n">
        <v>14514</v>
      </c>
      <c r="D5" s="13" t="n">
        <v>25765</v>
      </c>
      <c r="E5" s="13" t="n">
        <v>25765</v>
      </c>
      <c r="F5" s="13" t="n">
        <v>197788</v>
      </c>
      <c r="G5" s="13" t="n">
        <v>179985</v>
      </c>
      <c r="H5" s="13" t="n">
        <v>377773</v>
      </c>
      <c r="I5" s="13" t="n">
        <v>377773</v>
      </c>
      <c r="J5" s="13" t="n">
        <v>27068550</v>
      </c>
      <c r="K5" s="13" t="n">
        <v>19759660</v>
      </c>
      <c r="L5" s="13" t="n">
        <v>4621250</v>
      </c>
      <c r="M5" s="13" t="n">
        <v>1803550</v>
      </c>
      <c r="N5" s="13" t="n">
        <v>0</v>
      </c>
      <c r="O5" s="13" t="n">
        <v>53253010</v>
      </c>
    </row>
    <row r="6" customFormat="false" ht="15" hidden="false" customHeight="true" outlineLevel="0" collapsed="false">
      <c r="A6" s="8" t="s">
        <v>16</v>
      </c>
      <c r="B6" s="9" t="n">
        <v>821</v>
      </c>
      <c r="C6" s="9" t="n">
        <v>544</v>
      </c>
      <c r="D6" s="9" t="n">
        <v>821</v>
      </c>
      <c r="E6" s="9" t="n">
        <v>821</v>
      </c>
      <c r="F6" s="9" t="n">
        <v>6598</v>
      </c>
      <c r="G6" s="9" t="n">
        <v>59527</v>
      </c>
      <c r="H6" s="9" t="n">
        <v>66125</v>
      </c>
      <c r="I6" s="9" t="n">
        <v>66217</v>
      </c>
      <c r="J6" s="9" t="n">
        <v>866550</v>
      </c>
      <c r="K6" s="9" t="n">
        <v>6218150</v>
      </c>
      <c r="L6" s="9" t="n">
        <v>706930</v>
      </c>
      <c r="M6" s="9" t="n">
        <v>82100</v>
      </c>
      <c r="N6" s="9" t="n">
        <v>8210</v>
      </c>
      <c r="O6" s="9" t="n">
        <v>7881940</v>
      </c>
    </row>
    <row r="7" customFormat="false" ht="15" hidden="false" customHeight="true" outlineLevel="0" collapsed="false">
      <c r="A7" s="12" t="s">
        <v>17</v>
      </c>
      <c r="B7" s="13" t="n">
        <v>872</v>
      </c>
      <c r="C7" s="13" t="n">
        <v>689</v>
      </c>
      <c r="D7" s="13" t="n">
        <v>872</v>
      </c>
      <c r="E7" s="13" t="n">
        <v>872</v>
      </c>
      <c r="F7" s="13" t="n">
        <v>10122</v>
      </c>
      <c r="G7" s="13" t="n">
        <v>167774</v>
      </c>
      <c r="H7" s="13" t="n">
        <v>177896</v>
      </c>
      <c r="I7" s="13" t="n">
        <v>177896</v>
      </c>
      <c r="J7" s="13" t="n">
        <v>1317050</v>
      </c>
      <c r="K7" s="13" t="n">
        <v>17221450</v>
      </c>
      <c r="L7" s="13" t="n">
        <v>1852510</v>
      </c>
      <c r="M7" s="13" t="n">
        <v>174400</v>
      </c>
      <c r="N7" s="13" t="n">
        <v>17440</v>
      </c>
      <c r="O7" s="13" t="n">
        <v>20582850</v>
      </c>
    </row>
    <row r="8" customFormat="false" ht="15" hidden="false" customHeight="true" outlineLevel="0" collapsed="false">
      <c r="A8" s="8" t="s">
        <v>18</v>
      </c>
      <c r="B8" s="9" t="n">
        <v>268</v>
      </c>
      <c r="C8" s="9" t="n">
        <v>233</v>
      </c>
      <c r="D8" s="9" t="n">
        <v>268</v>
      </c>
      <c r="E8" s="9" t="n">
        <v>264</v>
      </c>
      <c r="F8" s="9" t="n">
        <v>2484</v>
      </c>
      <c r="G8" s="9" t="n">
        <v>142921</v>
      </c>
      <c r="H8" s="9" t="n">
        <v>145405</v>
      </c>
      <c r="I8" s="9" t="n">
        <v>145405</v>
      </c>
      <c r="J8" s="9" t="n">
        <v>290800</v>
      </c>
      <c r="K8" s="9" t="n">
        <v>14467460</v>
      </c>
      <c r="L8" s="9" t="n">
        <v>1475540</v>
      </c>
      <c r="M8" s="9" t="n">
        <v>211200</v>
      </c>
      <c r="N8" s="9" t="n">
        <v>21120</v>
      </c>
      <c r="O8" s="9" t="n">
        <v>16466120</v>
      </c>
    </row>
    <row r="9" customFormat="false" ht="15" hidden="false" customHeight="true" outlineLevel="0" collapsed="false">
      <c r="A9" s="12" t="s">
        <v>19</v>
      </c>
      <c r="B9" s="13" t="n">
        <v>96</v>
      </c>
      <c r="C9" s="13" t="n">
        <v>96</v>
      </c>
      <c r="D9" s="13" t="n">
        <v>96</v>
      </c>
      <c r="E9" s="13" t="n">
        <v>96</v>
      </c>
      <c r="F9" s="13" t="n">
        <v>960</v>
      </c>
      <c r="G9" s="13" t="n">
        <v>146647</v>
      </c>
      <c r="H9" s="13" t="n">
        <v>147607</v>
      </c>
      <c r="I9" s="13" t="n">
        <v>147607</v>
      </c>
      <c r="J9" s="13" t="n">
        <v>105600</v>
      </c>
      <c r="K9" s="13" t="n">
        <v>14746120</v>
      </c>
      <c r="L9" s="13" t="n">
        <v>1485100</v>
      </c>
      <c r="M9" s="13" t="n">
        <v>96000</v>
      </c>
      <c r="N9" s="13" t="n">
        <v>9600</v>
      </c>
      <c r="O9" s="13" t="n">
        <v>16442420</v>
      </c>
    </row>
    <row r="10" customFormat="false" ht="15" hidden="false" customHeight="true" outlineLevel="0" collapsed="false">
      <c r="A10" s="8" t="s">
        <v>20</v>
      </c>
      <c r="B10" s="9" t="n">
        <v>35</v>
      </c>
      <c r="C10" s="9" t="n">
        <v>35</v>
      </c>
      <c r="D10" s="9" t="n">
        <v>35</v>
      </c>
      <c r="E10" s="9" t="n">
        <v>24</v>
      </c>
      <c r="F10" s="9" t="n">
        <v>240</v>
      </c>
      <c r="G10" s="9" t="n">
        <v>9690</v>
      </c>
      <c r="H10" s="9" t="n">
        <v>9930</v>
      </c>
      <c r="I10" s="9" t="n">
        <v>9930</v>
      </c>
      <c r="J10" s="9" t="n">
        <v>26400</v>
      </c>
      <c r="K10" s="9" t="n">
        <v>991580</v>
      </c>
      <c r="L10" s="9" t="n">
        <v>101700</v>
      </c>
      <c r="M10" s="9" t="n">
        <v>28800</v>
      </c>
      <c r="N10" s="9" t="n">
        <v>2880</v>
      </c>
      <c r="O10" s="9" t="n">
        <v>1151360</v>
      </c>
    </row>
    <row r="11" customFormat="false" ht="15" hidden="false" customHeight="true" outlineLevel="0" collapsed="false">
      <c r="A11" s="16" t="s">
        <v>21</v>
      </c>
      <c r="B11" s="17" t="n">
        <f aca="false">SUM(B4:B10)</f>
        <v>36426</v>
      </c>
      <c r="C11" s="17" t="n">
        <f aca="false">SUM(C4:C10)</f>
        <v>20181</v>
      </c>
      <c r="D11" s="17" t="n">
        <f aca="false">SUM(D4:D10)</f>
        <v>36426</v>
      </c>
      <c r="E11" s="17" t="n">
        <f aca="false">SUM(E4:E10)</f>
        <v>36411</v>
      </c>
      <c r="F11" s="17" t="n">
        <f aca="false">SUM(F4:F10)</f>
        <v>277047</v>
      </c>
      <c r="G11" s="17" t="n">
        <f aca="false">SUM(G4:G10)</f>
        <v>750647</v>
      </c>
      <c r="H11" s="17" t="n">
        <f aca="false">SUM(H4:H10)</f>
        <v>1027694</v>
      </c>
      <c r="I11" s="17" t="n">
        <f aca="false">SUM(I4:I10)</f>
        <v>1027786</v>
      </c>
      <c r="J11" s="17" t="n">
        <f aca="false">SUM(J4:J10)</f>
        <v>38530050</v>
      </c>
      <c r="K11" s="17" t="n">
        <f aca="false">SUM(K4:K10)</f>
        <v>78255750</v>
      </c>
      <c r="L11" s="17" t="n">
        <f aca="false">SUM(L4:L10)</f>
        <v>11596620</v>
      </c>
      <c r="M11" s="17" t="n">
        <f aca="false">SUM(M4:M10)</f>
        <v>2824500</v>
      </c>
      <c r="N11" s="17" t="n">
        <f aca="false">SUM(N4:N10)</f>
        <v>59250</v>
      </c>
      <c r="O11" s="17" t="n">
        <f aca="false">SUM(O4:O10)</f>
        <v>131266170</v>
      </c>
    </row>
    <row r="12" customFormat="false" ht="6" hidden="false" customHeight="true" outlineLevel="0" collapsed="false"/>
    <row r="13" customFormat="false" ht="18" hidden="false" customHeight="true" outlineLevel="0" collapsed="false">
      <c r="A13" s="60" t="s">
        <v>40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</row>
    <row r="14" customFormat="false" ht="15" hidden="false" customHeight="true" outlineLevel="0" collapsed="false">
      <c r="A14" s="61" t="s">
        <v>41</v>
      </c>
      <c r="B14" s="61" t="s">
        <v>42</v>
      </c>
      <c r="C14" s="62" t="s">
        <v>43</v>
      </c>
      <c r="D14" s="62" t="s">
        <v>44</v>
      </c>
    </row>
    <row r="15" customFormat="false" ht="15" hidden="false" customHeight="true" outlineLevel="0" collapsed="false">
      <c r="A15" s="63" t="s">
        <v>45</v>
      </c>
      <c r="B15" s="64" t="s">
        <v>46</v>
      </c>
      <c r="C15" s="65" t="s">
        <v>47</v>
      </c>
      <c r="D15" s="65" t="s">
        <v>48</v>
      </c>
    </row>
    <row r="16" customFormat="false" ht="15" hidden="false" customHeight="true" outlineLevel="0" collapsed="false">
      <c r="A16" s="66" t="s">
        <v>45</v>
      </c>
      <c r="B16" s="12" t="s">
        <v>49</v>
      </c>
      <c r="C16" s="67" t="s">
        <v>50</v>
      </c>
      <c r="D16" s="67" t="s">
        <v>48</v>
      </c>
    </row>
    <row r="17" customFormat="false" ht="15" hidden="false" customHeight="true" outlineLevel="0" collapsed="false">
      <c r="A17" s="63" t="s">
        <v>51</v>
      </c>
      <c r="B17" s="64" t="s">
        <v>52</v>
      </c>
      <c r="C17" s="65" t="s">
        <v>53</v>
      </c>
      <c r="D17" s="65" t="s">
        <v>54</v>
      </c>
    </row>
    <row r="18" customFormat="false" ht="15" hidden="false" customHeight="true" outlineLevel="0" collapsed="false">
      <c r="A18" s="66" t="s">
        <v>51</v>
      </c>
      <c r="B18" s="12" t="s">
        <v>55</v>
      </c>
      <c r="C18" s="67" t="s">
        <v>56</v>
      </c>
      <c r="D18" s="67" t="s">
        <v>57</v>
      </c>
    </row>
    <row r="19" customFormat="false" ht="15" hidden="false" customHeight="true" outlineLevel="0" collapsed="false">
      <c r="A19" s="63" t="s">
        <v>58</v>
      </c>
      <c r="B19" s="64" t="s">
        <v>59</v>
      </c>
      <c r="C19" s="65" t="s">
        <v>60</v>
      </c>
      <c r="D19" s="65" t="s">
        <v>61</v>
      </c>
    </row>
    <row r="20" customFormat="false" ht="15" hidden="false" customHeight="true" outlineLevel="0" collapsed="false">
      <c r="A20" s="66" t="s">
        <v>58</v>
      </c>
      <c r="B20" s="12" t="s">
        <v>62</v>
      </c>
      <c r="C20" s="67" t="s">
        <v>63</v>
      </c>
      <c r="D20" s="67" t="s">
        <v>64</v>
      </c>
    </row>
    <row r="21" customFormat="false" ht="15" hidden="false" customHeight="true" outlineLevel="0" collapsed="false">
      <c r="A21" s="63" t="s">
        <v>58</v>
      </c>
      <c r="B21" s="64" t="s">
        <v>65</v>
      </c>
      <c r="C21" s="65" t="s">
        <v>66</v>
      </c>
      <c r="D21" s="65" t="s">
        <v>67</v>
      </c>
    </row>
    <row r="22" customFormat="false" ht="15" hidden="false" customHeight="true" outlineLevel="0" collapsed="false">
      <c r="A22" s="66" t="s">
        <v>58</v>
      </c>
      <c r="B22" s="12" t="s">
        <v>68</v>
      </c>
      <c r="C22" s="67" t="s">
        <v>69</v>
      </c>
      <c r="D22" s="67" t="s">
        <v>70</v>
      </c>
    </row>
  </sheetData>
  <mergeCells count="2">
    <mergeCell ref="A1:O1"/>
    <mergeCell ref="A13:O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5" min="2" style="1" width="10"/>
    <col collapsed="false" customWidth="true" hidden="false" outlineLevel="0" max="9" min="6" style="1" width="12"/>
    <col collapsed="false" customWidth="true" hidden="false" outlineLevel="0" max="15" min="10" style="1" width="13"/>
  </cols>
  <sheetData>
    <row r="1" customFormat="false" ht="21.75" hidden="false" customHeight="true" outlineLevel="0" collapsed="false">
      <c r="A1" s="2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6" hidden="false" customHeight="true" outlineLevel="0" collapsed="false"/>
    <row r="3" customFormat="false" ht="37.5" hidden="false" customHeight="true" outlineLevel="0" collapsed="false">
      <c r="A3" s="5" t="s">
        <v>3</v>
      </c>
      <c r="B3" s="7" t="s">
        <v>26</v>
      </c>
      <c r="C3" s="7" t="s">
        <v>27</v>
      </c>
      <c r="D3" s="7" t="s">
        <v>28</v>
      </c>
      <c r="E3" s="7" t="s">
        <v>29</v>
      </c>
      <c r="F3" s="7" t="s">
        <v>30</v>
      </c>
      <c r="G3" s="7" t="s">
        <v>31</v>
      </c>
      <c r="H3" s="7" t="s">
        <v>32</v>
      </c>
      <c r="I3" s="7" t="s">
        <v>33</v>
      </c>
      <c r="J3" s="7" t="s">
        <v>34</v>
      </c>
      <c r="K3" s="7" t="s">
        <v>35</v>
      </c>
      <c r="L3" s="7" t="s">
        <v>36</v>
      </c>
      <c r="M3" s="7" t="s">
        <v>37</v>
      </c>
      <c r="N3" s="7" t="s">
        <v>38</v>
      </c>
      <c r="O3" s="7" t="s">
        <v>39</v>
      </c>
    </row>
    <row r="4" customFormat="false" ht="15" hidden="false" customHeight="true" outlineLevel="0" collapsed="false">
      <c r="A4" s="8" t="s">
        <v>14</v>
      </c>
      <c r="B4" s="9" t="n">
        <v>8453</v>
      </c>
      <c r="C4" s="9" t="n">
        <v>3961</v>
      </c>
      <c r="D4" s="9" t="n">
        <v>8453</v>
      </c>
      <c r="E4" s="9" t="n">
        <v>8453</v>
      </c>
      <c r="F4" s="9" t="n">
        <v>57390</v>
      </c>
      <c r="G4" s="9" t="n">
        <v>43236</v>
      </c>
      <c r="H4" s="9" t="n">
        <v>100626</v>
      </c>
      <c r="I4" s="9" t="n">
        <v>100626</v>
      </c>
      <c r="J4" s="9" t="n">
        <v>8717652</v>
      </c>
      <c r="K4" s="9" t="n">
        <v>4753200</v>
      </c>
      <c r="L4" s="9" t="n">
        <v>1333048</v>
      </c>
      <c r="M4" s="9" t="n">
        <v>415715</v>
      </c>
      <c r="N4" s="9" t="n">
        <v>6935</v>
      </c>
      <c r="O4" s="9" t="n">
        <v>15226550</v>
      </c>
    </row>
    <row r="5" customFormat="false" ht="15" hidden="false" customHeight="true" outlineLevel="0" collapsed="false">
      <c r="A5" s="12" t="s">
        <v>15</v>
      </c>
      <c r="B5" s="13" t="n">
        <v>25813</v>
      </c>
      <c r="C5" s="13" t="n">
        <v>14339</v>
      </c>
      <c r="D5" s="13" t="n">
        <v>25813</v>
      </c>
      <c r="E5" s="13" t="n">
        <v>25813</v>
      </c>
      <c r="F5" s="13" t="n">
        <v>197057</v>
      </c>
      <c r="G5" s="13" t="n">
        <v>179592</v>
      </c>
      <c r="H5" s="13" t="n">
        <v>376649</v>
      </c>
      <c r="I5" s="13" t="n">
        <v>376649</v>
      </c>
      <c r="J5" s="13" t="n">
        <v>27082274</v>
      </c>
      <c r="K5" s="13" t="n">
        <v>19718400</v>
      </c>
      <c r="L5" s="13" t="n">
        <v>4629906</v>
      </c>
      <c r="M5" s="13" t="n">
        <v>1776838</v>
      </c>
      <c r="N5" s="13" t="n">
        <v>30072</v>
      </c>
      <c r="O5" s="13" t="n">
        <v>53237490</v>
      </c>
    </row>
    <row r="6" customFormat="false" ht="15" hidden="false" customHeight="true" outlineLevel="0" collapsed="false">
      <c r="A6" s="8" t="s">
        <v>16</v>
      </c>
      <c r="B6" s="9" t="n">
        <v>827</v>
      </c>
      <c r="C6" s="9" t="n">
        <v>557</v>
      </c>
      <c r="D6" s="9" t="n">
        <v>827</v>
      </c>
      <c r="E6" s="9" t="n">
        <v>827</v>
      </c>
      <c r="F6" s="9" t="n">
        <v>6681</v>
      </c>
      <c r="G6" s="9" t="n">
        <v>57646</v>
      </c>
      <c r="H6" s="9" t="n">
        <v>64327</v>
      </c>
      <c r="I6" s="9" t="n">
        <v>64327</v>
      </c>
      <c r="J6" s="9" t="n">
        <v>873449</v>
      </c>
      <c r="K6" s="9" t="n">
        <v>6028980</v>
      </c>
      <c r="L6" s="9" t="n">
        <v>689001</v>
      </c>
      <c r="M6" s="9" t="n">
        <v>82700</v>
      </c>
      <c r="N6" s="9" t="n">
        <v>8270</v>
      </c>
      <c r="O6" s="9" t="n">
        <v>7682400</v>
      </c>
    </row>
    <row r="7" customFormat="false" ht="15" hidden="false" customHeight="true" outlineLevel="0" collapsed="false">
      <c r="A7" s="12" t="s">
        <v>17</v>
      </c>
      <c r="B7" s="13" t="n">
        <v>888</v>
      </c>
      <c r="C7" s="13" t="n">
        <v>705</v>
      </c>
      <c r="D7" s="13" t="n">
        <v>888</v>
      </c>
      <c r="E7" s="13" t="n">
        <v>888</v>
      </c>
      <c r="F7" s="13" t="n">
        <v>13314</v>
      </c>
      <c r="G7" s="13" t="n">
        <v>185027</v>
      </c>
      <c r="H7" s="13" t="n">
        <v>198341</v>
      </c>
      <c r="I7" s="13" t="n">
        <v>198341</v>
      </c>
      <c r="J7" s="13" t="n">
        <v>1334109</v>
      </c>
      <c r="K7" s="13" t="n">
        <v>18966190</v>
      </c>
      <c r="L7" s="13" t="n">
        <v>2028811</v>
      </c>
      <c r="M7" s="13" t="n">
        <v>177600</v>
      </c>
      <c r="N7" s="13" t="n">
        <v>17760</v>
      </c>
      <c r="O7" s="13" t="n">
        <v>22524470</v>
      </c>
    </row>
    <row r="8" customFormat="false" ht="15" hidden="false" customHeight="true" outlineLevel="0" collapsed="false">
      <c r="A8" s="8" t="s">
        <v>18</v>
      </c>
      <c r="B8" s="9" t="n">
        <v>268</v>
      </c>
      <c r="C8" s="9" t="n">
        <v>231</v>
      </c>
      <c r="D8" s="9" t="n">
        <v>268</v>
      </c>
      <c r="E8" s="9" t="n">
        <v>264</v>
      </c>
      <c r="F8" s="9" t="n">
        <v>2520</v>
      </c>
      <c r="G8" s="9" t="n">
        <v>133240</v>
      </c>
      <c r="H8" s="9" t="n">
        <v>135760</v>
      </c>
      <c r="I8" s="9" t="n">
        <v>135760</v>
      </c>
      <c r="J8" s="9" t="n">
        <v>291547</v>
      </c>
      <c r="K8" s="9" t="n">
        <v>13503540</v>
      </c>
      <c r="L8" s="9" t="n">
        <v>1379303</v>
      </c>
      <c r="M8" s="9" t="n">
        <v>211200</v>
      </c>
      <c r="N8" s="9" t="n">
        <v>21120</v>
      </c>
      <c r="O8" s="9" t="n">
        <v>15406710</v>
      </c>
    </row>
    <row r="9" customFormat="false" ht="15" hidden="false" customHeight="true" outlineLevel="0" collapsed="false">
      <c r="A9" s="12" t="s">
        <v>19</v>
      </c>
      <c r="B9" s="13" t="n">
        <v>106</v>
      </c>
      <c r="C9" s="13" t="n">
        <v>106</v>
      </c>
      <c r="D9" s="13" t="n">
        <v>106</v>
      </c>
      <c r="E9" s="13" t="n">
        <v>106</v>
      </c>
      <c r="F9" s="13" t="n">
        <v>1060</v>
      </c>
      <c r="G9" s="13" t="n">
        <v>151805</v>
      </c>
      <c r="H9" s="13" t="n">
        <v>152865</v>
      </c>
      <c r="I9" s="13" t="n">
        <v>152865</v>
      </c>
      <c r="J9" s="13" t="n">
        <v>116576</v>
      </c>
      <c r="K9" s="13" t="n">
        <v>15269520</v>
      </c>
      <c r="L9" s="13" t="n">
        <v>1538554</v>
      </c>
      <c r="M9" s="13" t="n">
        <v>106000</v>
      </c>
      <c r="N9" s="13" t="n">
        <v>10600</v>
      </c>
      <c r="O9" s="13" t="n">
        <v>17041250</v>
      </c>
    </row>
    <row r="10" customFormat="false" ht="15" hidden="false" customHeight="true" outlineLevel="0" collapsed="false">
      <c r="A10" s="8" t="s">
        <v>20</v>
      </c>
      <c r="B10" s="9" t="n">
        <v>36</v>
      </c>
      <c r="C10" s="9" t="n">
        <v>36</v>
      </c>
      <c r="D10" s="9" t="n">
        <v>36</v>
      </c>
      <c r="E10" s="9" t="n">
        <v>24</v>
      </c>
      <c r="F10" s="9" t="n">
        <v>240</v>
      </c>
      <c r="G10" s="9" t="n">
        <v>10494</v>
      </c>
      <c r="H10" s="9" t="n">
        <v>10734</v>
      </c>
      <c r="I10" s="9" t="n">
        <v>10734</v>
      </c>
      <c r="J10" s="9" t="n">
        <v>26390</v>
      </c>
      <c r="K10" s="9" t="n">
        <v>1070833</v>
      </c>
      <c r="L10" s="9" t="n">
        <v>109667</v>
      </c>
      <c r="M10" s="9" t="n">
        <v>28800</v>
      </c>
      <c r="N10" s="9" t="n">
        <v>2880</v>
      </c>
      <c r="O10" s="9" t="n">
        <v>1238570</v>
      </c>
    </row>
    <row r="11" customFormat="false" ht="15" hidden="false" customHeight="true" outlineLevel="0" collapsed="false">
      <c r="A11" s="16" t="s">
        <v>21</v>
      </c>
      <c r="B11" s="17" t="n">
        <f aca="false">SUM(B4:B10)</f>
        <v>36391</v>
      </c>
      <c r="C11" s="17" t="n">
        <f aca="false">SUM(C4:C10)</f>
        <v>19935</v>
      </c>
      <c r="D11" s="17" t="n">
        <f aca="false">SUM(D4:D10)</f>
        <v>36391</v>
      </c>
      <c r="E11" s="17" t="n">
        <f aca="false">SUM(E4:E10)</f>
        <v>36375</v>
      </c>
      <c r="F11" s="17" t="n">
        <f aca="false">SUM(F4:F10)</f>
        <v>278262</v>
      </c>
      <c r="G11" s="17" t="n">
        <f aca="false">SUM(G4:G10)</f>
        <v>761040</v>
      </c>
      <c r="H11" s="17" t="n">
        <f aca="false">SUM(H4:H10)</f>
        <v>1039302</v>
      </c>
      <c r="I11" s="17" t="n">
        <f aca="false">SUM(I4:I10)</f>
        <v>1039302</v>
      </c>
      <c r="J11" s="17" t="n">
        <f aca="false">SUM(J4:J10)</f>
        <v>38441997</v>
      </c>
      <c r="K11" s="17" t="n">
        <f aca="false">SUM(K4:K10)</f>
        <v>79310663</v>
      </c>
      <c r="L11" s="17" t="n">
        <f aca="false">SUM(L4:L10)</f>
        <v>11708290</v>
      </c>
      <c r="M11" s="17" t="n">
        <f aca="false">SUM(M4:M10)</f>
        <v>2798853</v>
      </c>
      <c r="N11" s="17" t="n">
        <f aca="false">SUM(N4:N10)</f>
        <v>97637</v>
      </c>
      <c r="O11" s="17" t="n">
        <f aca="false">SUM(O4:O10)</f>
        <v>132357440</v>
      </c>
    </row>
    <row r="12" customFormat="false" ht="6" hidden="false" customHeight="true" outlineLevel="0" collapsed="false"/>
    <row r="13" customFormat="false" ht="18" hidden="false" customHeight="true" outlineLevel="0" collapsed="false">
      <c r="A13" s="60" t="s">
        <v>40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</row>
    <row r="14" customFormat="false" ht="15" hidden="false" customHeight="true" outlineLevel="0" collapsed="false">
      <c r="A14" s="61" t="s">
        <v>41</v>
      </c>
      <c r="B14" s="61" t="s">
        <v>42</v>
      </c>
      <c r="C14" s="62" t="s">
        <v>43</v>
      </c>
      <c r="D14" s="62" t="s">
        <v>44</v>
      </c>
    </row>
    <row r="15" customFormat="false" ht="15" hidden="false" customHeight="true" outlineLevel="0" collapsed="false">
      <c r="A15" s="63" t="s">
        <v>45</v>
      </c>
      <c r="B15" s="64" t="s">
        <v>46</v>
      </c>
      <c r="C15" s="65" t="s">
        <v>47</v>
      </c>
      <c r="D15" s="65" t="s">
        <v>48</v>
      </c>
    </row>
    <row r="16" customFormat="false" ht="15" hidden="false" customHeight="true" outlineLevel="0" collapsed="false">
      <c r="A16" s="66" t="s">
        <v>45</v>
      </c>
      <c r="B16" s="12" t="s">
        <v>49</v>
      </c>
      <c r="C16" s="67" t="s">
        <v>50</v>
      </c>
      <c r="D16" s="67" t="s">
        <v>48</v>
      </c>
    </row>
    <row r="17" customFormat="false" ht="15" hidden="false" customHeight="true" outlineLevel="0" collapsed="false">
      <c r="A17" s="63" t="s">
        <v>51</v>
      </c>
      <c r="B17" s="64" t="s">
        <v>52</v>
      </c>
      <c r="C17" s="65" t="s">
        <v>53</v>
      </c>
      <c r="D17" s="65" t="s">
        <v>54</v>
      </c>
    </row>
    <row r="18" customFormat="false" ht="15" hidden="false" customHeight="true" outlineLevel="0" collapsed="false">
      <c r="A18" s="66" t="s">
        <v>51</v>
      </c>
      <c r="B18" s="12" t="s">
        <v>55</v>
      </c>
      <c r="C18" s="67" t="s">
        <v>56</v>
      </c>
      <c r="D18" s="67" t="s">
        <v>57</v>
      </c>
    </row>
    <row r="19" customFormat="false" ht="15" hidden="false" customHeight="true" outlineLevel="0" collapsed="false">
      <c r="A19" s="63" t="s">
        <v>58</v>
      </c>
      <c r="B19" s="64" t="s">
        <v>59</v>
      </c>
      <c r="C19" s="65" t="s">
        <v>60</v>
      </c>
      <c r="D19" s="65" t="s">
        <v>61</v>
      </c>
    </row>
    <row r="20" customFormat="false" ht="15" hidden="false" customHeight="true" outlineLevel="0" collapsed="false">
      <c r="A20" s="66" t="s">
        <v>58</v>
      </c>
      <c r="B20" s="12" t="s">
        <v>62</v>
      </c>
      <c r="C20" s="67" t="s">
        <v>63</v>
      </c>
      <c r="D20" s="67" t="s">
        <v>64</v>
      </c>
    </row>
    <row r="21" customFormat="false" ht="15" hidden="false" customHeight="true" outlineLevel="0" collapsed="false">
      <c r="A21" s="63" t="s">
        <v>58</v>
      </c>
      <c r="B21" s="64" t="s">
        <v>65</v>
      </c>
      <c r="C21" s="65" t="s">
        <v>66</v>
      </c>
      <c r="D21" s="65" t="s">
        <v>67</v>
      </c>
    </row>
    <row r="22" customFormat="false" ht="15" hidden="false" customHeight="true" outlineLevel="0" collapsed="false">
      <c r="A22" s="66" t="s">
        <v>58</v>
      </c>
      <c r="B22" s="12" t="s">
        <v>68</v>
      </c>
      <c r="C22" s="67" t="s">
        <v>69</v>
      </c>
      <c r="D22" s="67" t="s">
        <v>70</v>
      </c>
    </row>
  </sheetData>
  <mergeCells count="2">
    <mergeCell ref="A1:O1"/>
    <mergeCell ref="A13:O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5" min="2" style="1" width="10"/>
    <col collapsed="false" customWidth="true" hidden="false" outlineLevel="0" max="9" min="6" style="1" width="12"/>
    <col collapsed="false" customWidth="true" hidden="false" outlineLevel="0" max="15" min="10" style="1" width="13"/>
  </cols>
  <sheetData>
    <row r="1" customFormat="false" ht="21.75" hidden="false" customHeight="true" outlineLevel="0" collapsed="false">
      <c r="A1" s="2" t="s">
        <v>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6" hidden="false" customHeight="true" outlineLevel="0" collapsed="false"/>
    <row r="3" customFormat="false" ht="37.5" hidden="false" customHeight="true" outlineLevel="0" collapsed="false">
      <c r="A3" s="5" t="s">
        <v>3</v>
      </c>
      <c r="B3" s="7" t="s">
        <v>26</v>
      </c>
      <c r="C3" s="7" t="s">
        <v>27</v>
      </c>
      <c r="D3" s="7" t="s">
        <v>28</v>
      </c>
      <c r="E3" s="7" t="s">
        <v>29</v>
      </c>
      <c r="F3" s="7" t="s">
        <v>30</v>
      </c>
      <c r="G3" s="7" t="s">
        <v>31</v>
      </c>
      <c r="H3" s="7" t="s">
        <v>32</v>
      </c>
      <c r="I3" s="7" t="s">
        <v>33</v>
      </c>
      <c r="J3" s="7" t="s">
        <v>34</v>
      </c>
      <c r="K3" s="7" t="s">
        <v>35</v>
      </c>
      <c r="L3" s="7" t="s">
        <v>36</v>
      </c>
      <c r="M3" s="7" t="s">
        <v>37</v>
      </c>
      <c r="N3" s="7" t="s">
        <v>38</v>
      </c>
      <c r="O3" s="7" t="s">
        <v>39</v>
      </c>
    </row>
    <row r="4" customFormat="false" ht="15" hidden="false" customHeight="true" outlineLevel="0" collapsed="false">
      <c r="A4" s="8" t="s">
        <v>14</v>
      </c>
      <c r="B4" s="9" t="n">
        <v>8467</v>
      </c>
      <c r="C4" s="9" t="n">
        <v>3826</v>
      </c>
      <c r="D4" s="9" t="n">
        <v>8467</v>
      </c>
      <c r="E4" s="9" t="n">
        <v>8467</v>
      </c>
      <c r="F4" s="9" t="n">
        <v>56382</v>
      </c>
      <c r="G4" s="9" t="n">
        <v>42695</v>
      </c>
      <c r="H4" s="9" t="n">
        <v>99077</v>
      </c>
      <c r="I4" s="9" t="n">
        <v>99977</v>
      </c>
      <c r="J4" s="9" t="n">
        <v>8702950</v>
      </c>
      <c r="K4" s="9" t="n">
        <v>4693740</v>
      </c>
      <c r="L4" s="9" t="n">
        <v>1339669</v>
      </c>
      <c r="M4" s="9" t="n">
        <v>423350</v>
      </c>
      <c r="N4" s="9" t="n">
        <v>42335</v>
      </c>
      <c r="O4" s="9" t="n">
        <v>15202044</v>
      </c>
    </row>
    <row r="5" customFormat="false" ht="15" hidden="false" customHeight="true" outlineLevel="0" collapsed="false">
      <c r="A5" s="12" t="s">
        <v>15</v>
      </c>
      <c r="B5" s="13" t="n">
        <v>25705</v>
      </c>
      <c r="C5" s="13" t="n">
        <v>14186</v>
      </c>
      <c r="D5" s="13" t="n">
        <v>25705</v>
      </c>
      <c r="E5" s="13" t="n">
        <v>25705</v>
      </c>
      <c r="F5" s="13" t="n">
        <v>194479</v>
      </c>
      <c r="G5" s="13" t="n">
        <v>176803</v>
      </c>
      <c r="H5" s="13" t="n">
        <v>371282</v>
      </c>
      <c r="I5" s="13" t="n">
        <v>371282</v>
      </c>
      <c r="J5" s="13" t="n">
        <v>26941550</v>
      </c>
      <c r="K5" s="13" t="n">
        <v>19410130</v>
      </c>
      <c r="L5" s="13" t="n">
        <v>4635168</v>
      </c>
      <c r="M5" s="13" t="n">
        <v>1799350</v>
      </c>
      <c r="N5" s="13" t="n">
        <v>179935</v>
      </c>
      <c r="O5" s="13" t="n">
        <v>52966133</v>
      </c>
    </row>
    <row r="6" customFormat="false" ht="15" hidden="false" customHeight="true" outlineLevel="0" collapsed="false">
      <c r="A6" s="8" t="s">
        <v>16</v>
      </c>
      <c r="B6" s="9" t="n">
        <v>849</v>
      </c>
      <c r="C6" s="9" t="n">
        <v>564</v>
      </c>
      <c r="D6" s="9" t="n">
        <v>849</v>
      </c>
      <c r="E6" s="9" t="n">
        <v>849</v>
      </c>
      <c r="F6" s="9" t="n">
        <v>6793</v>
      </c>
      <c r="G6" s="9" t="n">
        <v>54905</v>
      </c>
      <c r="H6" s="9" t="n">
        <v>61698</v>
      </c>
      <c r="I6" s="9" t="n">
        <v>61698</v>
      </c>
      <c r="J6" s="9" t="n">
        <v>896750</v>
      </c>
      <c r="K6" s="9" t="n">
        <v>5760740</v>
      </c>
      <c r="L6" s="9" t="n">
        <v>665749</v>
      </c>
      <c r="M6" s="9" t="n">
        <v>84900</v>
      </c>
      <c r="N6" s="9" t="n">
        <v>8490</v>
      </c>
      <c r="O6" s="9" t="n">
        <v>7416629</v>
      </c>
    </row>
    <row r="7" customFormat="false" ht="15" hidden="false" customHeight="true" outlineLevel="0" collapsed="false">
      <c r="A7" s="12" t="s">
        <v>17</v>
      </c>
      <c r="B7" s="13" t="n">
        <v>880</v>
      </c>
      <c r="C7" s="13" t="n">
        <v>689</v>
      </c>
      <c r="D7" s="13" t="n">
        <v>880</v>
      </c>
      <c r="E7" s="13" t="n">
        <v>880</v>
      </c>
      <c r="F7" s="13" t="n">
        <v>13410</v>
      </c>
      <c r="G7" s="13" t="n">
        <v>176599</v>
      </c>
      <c r="H7" s="13" t="n">
        <v>190009</v>
      </c>
      <c r="I7" s="13" t="n">
        <v>190009</v>
      </c>
      <c r="J7" s="13" t="n">
        <v>1325250</v>
      </c>
      <c r="K7" s="13" t="n">
        <v>18116700</v>
      </c>
      <c r="L7" s="13" t="n">
        <v>1944195</v>
      </c>
      <c r="M7" s="13" t="n">
        <v>176000</v>
      </c>
      <c r="N7" s="13" t="n">
        <v>17600</v>
      </c>
      <c r="O7" s="13" t="n">
        <v>21579745</v>
      </c>
    </row>
    <row r="8" customFormat="false" ht="15" hidden="false" customHeight="true" outlineLevel="0" collapsed="false">
      <c r="A8" s="8" t="s">
        <v>18</v>
      </c>
      <c r="B8" s="9" t="n">
        <v>279</v>
      </c>
      <c r="C8" s="9" t="n">
        <v>240</v>
      </c>
      <c r="D8" s="9" t="n">
        <v>279</v>
      </c>
      <c r="E8" s="9" t="n">
        <v>275</v>
      </c>
      <c r="F8" s="9" t="n">
        <v>2583</v>
      </c>
      <c r="G8" s="9" t="n">
        <v>126458</v>
      </c>
      <c r="H8" s="9" t="n">
        <v>129041</v>
      </c>
      <c r="I8" s="9" t="n">
        <v>129041</v>
      </c>
      <c r="J8" s="9" t="n">
        <v>302150</v>
      </c>
      <c r="K8" s="9" t="n">
        <v>12828940</v>
      </c>
      <c r="L8" s="9" t="n">
        <v>1313109</v>
      </c>
      <c r="M8" s="9" t="n">
        <v>220000</v>
      </c>
      <c r="N8" s="9" t="n">
        <v>22000</v>
      </c>
      <c r="O8" s="9" t="n">
        <v>14686199</v>
      </c>
    </row>
    <row r="9" customFormat="false" ht="15" hidden="false" customHeight="true" outlineLevel="0" collapsed="false">
      <c r="A9" s="12" t="s">
        <v>19</v>
      </c>
      <c r="B9" s="13" t="n">
        <v>110</v>
      </c>
      <c r="C9" s="13" t="n">
        <v>110</v>
      </c>
      <c r="D9" s="13" t="n">
        <v>110</v>
      </c>
      <c r="E9" s="13" t="n">
        <v>110</v>
      </c>
      <c r="F9" s="13" t="n">
        <v>1100</v>
      </c>
      <c r="G9" s="13" t="n">
        <v>148134</v>
      </c>
      <c r="H9" s="13" t="n">
        <v>149234</v>
      </c>
      <c r="I9" s="13" t="n">
        <v>149234</v>
      </c>
      <c r="J9" s="13" t="n">
        <v>121000</v>
      </c>
      <c r="K9" s="13" t="n">
        <v>14904600</v>
      </c>
      <c r="L9" s="13" t="n">
        <v>1502560</v>
      </c>
      <c r="M9" s="13" t="n">
        <v>110000</v>
      </c>
      <c r="N9" s="13" t="n">
        <v>11000</v>
      </c>
      <c r="O9" s="13" t="n">
        <v>16649160</v>
      </c>
    </row>
    <row r="10" customFormat="false" ht="15" hidden="false" customHeight="true" outlineLevel="0" collapsed="false">
      <c r="A10" s="8" t="s">
        <v>20</v>
      </c>
      <c r="B10" s="9" t="n">
        <v>36</v>
      </c>
      <c r="C10" s="9" t="n">
        <v>36</v>
      </c>
      <c r="D10" s="9" t="n">
        <v>36</v>
      </c>
      <c r="E10" s="9" t="n">
        <v>24</v>
      </c>
      <c r="F10" s="9" t="n">
        <v>240</v>
      </c>
      <c r="G10" s="9" t="n">
        <v>18740</v>
      </c>
      <c r="H10" s="9" t="n">
        <v>18980</v>
      </c>
      <c r="I10" s="9" t="n">
        <v>18980</v>
      </c>
      <c r="J10" s="9" t="n">
        <v>26400</v>
      </c>
      <c r="K10" s="9" t="n">
        <v>1895800</v>
      </c>
      <c r="L10" s="9" t="n">
        <v>192220</v>
      </c>
      <c r="M10" s="9" t="n">
        <v>28800</v>
      </c>
      <c r="N10" s="9" t="n">
        <v>2880</v>
      </c>
      <c r="O10" s="9" t="n">
        <v>2146100</v>
      </c>
    </row>
    <row r="11" customFormat="false" ht="15" hidden="false" customHeight="true" outlineLevel="0" collapsed="false">
      <c r="A11" s="16" t="s">
        <v>21</v>
      </c>
      <c r="B11" s="17" t="n">
        <f aca="false">SUM(B4:B10)</f>
        <v>36326</v>
      </c>
      <c r="C11" s="17" t="n">
        <f aca="false">SUM(C4:C10)</f>
        <v>19651</v>
      </c>
      <c r="D11" s="17" t="n">
        <f aca="false">SUM(D4:D10)</f>
        <v>36326</v>
      </c>
      <c r="E11" s="17" t="n">
        <f aca="false">SUM(E4:E10)</f>
        <v>36310</v>
      </c>
      <c r="F11" s="17" t="n">
        <f aca="false">SUM(F4:F10)</f>
        <v>274987</v>
      </c>
      <c r="G11" s="17" t="n">
        <f aca="false">SUM(G4:G10)</f>
        <v>744334</v>
      </c>
      <c r="H11" s="17" t="n">
        <f aca="false">SUM(H4:H10)</f>
        <v>1019321</v>
      </c>
      <c r="I11" s="17" t="n">
        <f aca="false">SUM(I4:I10)</f>
        <v>1020221</v>
      </c>
      <c r="J11" s="17" t="n">
        <f aca="false">SUM(J4:J10)</f>
        <v>38316050</v>
      </c>
      <c r="K11" s="17" t="n">
        <f aca="false">SUM(K4:K10)</f>
        <v>77610650</v>
      </c>
      <c r="L11" s="17" t="n">
        <f aca="false">SUM(L4:L10)</f>
        <v>11592670</v>
      </c>
      <c r="M11" s="17" t="n">
        <f aca="false">SUM(M4:M10)</f>
        <v>2842400</v>
      </c>
      <c r="N11" s="17" t="n">
        <f aca="false">SUM(N4:N10)</f>
        <v>284240</v>
      </c>
      <c r="O11" s="17" t="n">
        <f aca="false">SUM(O4:O10)</f>
        <v>130646010</v>
      </c>
    </row>
    <row r="12" customFormat="false" ht="6" hidden="false" customHeight="true" outlineLevel="0" collapsed="false"/>
    <row r="13" customFormat="false" ht="18" hidden="false" customHeight="true" outlineLevel="0" collapsed="false">
      <c r="A13" s="60" t="s">
        <v>40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</row>
    <row r="14" customFormat="false" ht="15" hidden="false" customHeight="true" outlineLevel="0" collapsed="false">
      <c r="A14" s="61" t="s">
        <v>41</v>
      </c>
      <c r="B14" s="61" t="s">
        <v>42</v>
      </c>
      <c r="C14" s="62" t="s">
        <v>43</v>
      </c>
      <c r="D14" s="62" t="s">
        <v>44</v>
      </c>
    </row>
    <row r="15" customFormat="false" ht="15" hidden="false" customHeight="true" outlineLevel="0" collapsed="false">
      <c r="A15" s="63" t="s">
        <v>45</v>
      </c>
      <c r="B15" s="64" t="s">
        <v>46</v>
      </c>
      <c r="C15" s="65" t="s">
        <v>47</v>
      </c>
      <c r="D15" s="65" t="s">
        <v>48</v>
      </c>
    </row>
    <row r="16" customFormat="false" ht="15" hidden="false" customHeight="true" outlineLevel="0" collapsed="false">
      <c r="A16" s="66" t="s">
        <v>45</v>
      </c>
      <c r="B16" s="12" t="s">
        <v>49</v>
      </c>
      <c r="C16" s="67" t="s">
        <v>50</v>
      </c>
      <c r="D16" s="67" t="s">
        <v>48</v>
      </c>
    </row>
    <row r="17" customFormat="false" ht="15" hidden="false" customHeight="true" outlineLevel="0" collapsed="false">
      <c r="A17" s="63" t="s">
        <v>51</v>
      </c>
      <c r="B17" s="64" t="s">
        <v>52</v>
      </c>
      <c r="C17" s="65" t="s">
        <v>53</v>
      </c>
      <c r="D17" s="65" t="s">
        <v>54</v>
      </c>
    </row>
    <row r="18" customFormat="false" ht="15" hidden="false" customHeight="true" outlineLevel="0" collapsed="false">
      <c r="A18" s="66" t="s">
        <v>51</v>
      </c>
      <c r="B18" s="12" t="s">
        <v>55</v>
      </c>
      <c r="C18" s="67" t="s">
        <v>56</v>
      </c>
      <c r="D18" s="67" t="s">
        <v>57</v>
      </c>
    </row>
    <row r="19" customFormat="false" ht="15" hidden="false" customHeight="true" outlineLevel="0" collapsed="false">
      <c r="A19" s="63" t="s">
        <v>58</v>
      </c>
      <c r="B19" s="64" t="s">
        <v>59</v>
      </c>
      <c r="C19" s="65" t="s">
        <v>60</v>
      </c>
      <c r="D19" s="65" t="s">
        <v>61</v>
      </c>
    </row>
    <row r="20" customFormat="false" ht="15" hidden="false" customHeight="true" outlineLevel="0" collapsed="false">
      <c r="A20" s="66" t="s">
        <v>58</v>
      </c>
      <c r="B20" s="12" t="s">
        <v>62</v>
      </c>
      <c r="C20" s="67" t="s">
        <v>63</v>
      </c>
      <c r="D20" s="67" t="s">
        <v>64</v>
      </c>
    </row>
    <row r="21" customFormat="false" ht="15" hidden="false" customHeight="true" outlineLevel="0" collapsed="false">
      <c r="A21" s="63" t="s">
        <v>58</v>
      </c>
      <c r="B21" s="64" t="s">
        <v>65</v>
      </c>
      <c r="C21" s="65" t="s">
        <v>66</v>
      </c>
      <c r="D21" s="65" t="s">
        <v>67</v>
      </c>
    </row>
    <row r="22" customFormat="false" ht="15" hidden="false" customHeight="true" outlineLevel="0" collapsed="false">
      <c r="A22" s="66" t="s">
        <v>58</v>
      </c>
      <c r="B22" s="12" t="s">
        <v>68</v>
      </c>
      <c r="C22" s="67" t="s">
        <v>69</v>
      </c>
      <c r="D22" s="67" t="s">
        <v>70</v>
      </c>
    </row>
  </sheetData>
  <mergeCells count="2">
    <mergeCell ref="A1:O1"/>
    <mergeCell ref="A13:O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5" min="2" style="1" width="10"/>
    <col collapsed="false" customWidth="true" hidden="false" outlineLevel="0" max="9" min="6" style="1" width="12"/>
    <col collapsed="false" customWidth="true" hidden="false" outlineLevel="0" max="15" min="10" style="1" width="13"/>
  </cols>
  <sheetData>
    <row r="1" customFormat="false" ht="21.75" hidden="false" customHeight="true" outlineLevel="0" collapsed="false">
      <c r="A1" s="2" t="s">
        <v>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6" hidden="false" customHeight="true" outlineLevel="0" collapsed="false"/>
    <row r="3" customFormat="false" ht="37.5" hidden="false" customHeight="true" outlineLevel="0" collapsed="false">
      <c r="A3" s="5" t="s">
        <v>3</v>
      </c>
      <c r="B3" s="7" t="s">
        <v>26</v>
      </c>
      <c r="C3" s="7" t="s">
        <v>27</v>
      </c>
      <c r="D3" s="7" t="s">
        <v>28</v>
      </c>
      <c r="E3" s="7" t="s">
        <v>29</v>
      </c>
      <c r="F3" s="7" t="s">
        <v>30</v>
      </c>
      <c r="G3" s="7" t="s">
        <v>31</v>
      </c>
      <c r="H3" s="7" t="s">
        <v>32</v>
      </c>
      <c r="I3" s="7" t="s">
        <v>33</v>
      </c>
      <c r="J3" s="7" t="s">
        <v>34</v>
      </c>
      <c r="K3" s="7" t="s">
        <v>35</v>
      </c>
      <c r="L3" s="7" t="s">
        <v>36</v>
      </c>
      <c r="M3" s="7" t="s">
        <v>37</v>
      </c>
      <c r="N3" s="7" t="s">
        <v>38</v>
      </c>
      <c r="O3" s="7" t="s">
        <v>39</v>
      </c>
    </row>
    <row r="4" customFormat="false" ht="15" hidden="false" customHeight="true" outlineLevel="0" collapsed="false">
      <c r="A4" s="8" t="s">
        <v>14</v>
      </c>
      <c r="B4" s="9" t="n">
        <v>8821</v>
      </c>
      <c r="C4" s="9" t="n">
        <v>3719</v>
      </c>
      <c r="D4" s="9" t="n">
        <v>8821</v>
      </c>
      <c r="E4" s="9" t="n">
        <v>8821</v>
      </c>
      <c r="F4" s="9" t="n">
        <v>57376</v>
      </c>
      <c r="G4" s="9" t="n">
        <v>40572</v>
      </c>
      <c r="H4" s="9" t="n">
        <v>97948</v>
      </c>
      <c r="I4" s="9" t="n">
        <v>97965</v>
      </c>
      <c r="J4" s="9" t="n">
        <v>9027150</v>
      </c>
      <c r="K4" s="9" t="n">
        <v>4461680</v>
      </c>
      <c r="L4" s="9" t="n">
        <v>1348883</v>
      </c>
      <c r="M4" s="9" t="n">
        <v>441050</v>
      </c>
      <c r="N4" s="9" t="n">
        <v>44105</v>
      </c>
      <c r="O4" s="9" t="n">
        <v>15322868</v>
      </c>
    </row>
    <row r="5" customFormat="false" ht="15" hidden="false" customHeight="true" outlineLevel="0" collapsed="false">
      <c r="A5" s="12" t="s">
        <v>15</v>
      </c>
      <c r="B5" s="13" t="n">
        <v>25682</v>
      </c>
      <c r="C5" s="13" t="n">
        <v>14126</v>
      </c>
      <c r="D5" s="13" t="n">
        <v>25682</v>
      </c>
      <c r="E5" s="13" t="n">
        <v>25682</v>
      </c>
      <c r="F5" s="13" t="n">
        <v>193835</v>
      </c>
      <c r="G5" s="13" t="n">
        <v>174586</v>
      </c>
      <c r="H5" s="13" t="n">
        <v>368421</v>
      </c>
      <c r="I5" s="13" t="n">
        <v>368447</v>
      </c>
      <c r="J5" s="13" t="n">
        <v>26895800</v>
      </c>
      <c r="K5" s="13" t="n">
        <v>19161280</v>
      </c>
      <c r="L5" s="13" t="n">
        <v>4605708</v>
      </c>
      <c r="M5" s="13" t="n">
        <v>1797740</v>
      </c>
      <c r="N5" s="13" t="n">
        <v>179774</v>
      </c>
      <c r="O5" s="13" t="n">
        <v>52640302</v>
      </c>
    </row>
    <row r="6" customFormat="false" ht="15" hidden="false" customHeight="true" outlineLevel="0" collapsed="false">
      <c r="A6" s="8" t="s">
        <v>16</v>
      </c>
      <c r="B6" s="9" t="n">
        <v>855</v>
      </c>
      <c r="C6" s="9" t="n">
        <v>566</v>
      </c>
      <c r="D6" s="9" t="n">
        <v>855</v>
      </c>
      <c r="E6" s="9" t="n">
        <v>855</v>
      </c>
      <c r="F6" s="9" t="n">
        <v>6769</v>
      </c>
      <c r="G6" s="9" t="n">
        <v>49286</v>
      </c>
      <c r="H6" s="9" t="n">
        <v>56055</v>
      </c>
      <c r="I6" s="9" t="n">
        <v>56055</v>
      </c>
      <c r="J6" s="9" t="n">
        <v>899600</v>
      </c>
      <c r="K6" s="9" t="n">
        <v>5181150</v>
      </c>
      <c r="L6" s="9" t="n">
        <v>608075</v>
      </c>
      <c r="M6" s="9" t="n">
        <v>85500</v>
      </c>
      <c r="N6" s="9" t="n">
        <v>8550</v>
      </c>
      <c r="O6" s="9" t="n">
        <v>6782875</v>
      </c>
    </row>
    <row r="7" customFormat="false" ht="15" hidden="false" customHeight="true" outlineLevel="0" collapsed="false">
      <c r="A7" s="12" t="s">
        <v>17</v>
      </c>
      <c r="B7" s="13" t="n">
        <v>893</v>
      </c>
      <c r="C7" s="13" t="n">
        <v>701</v>
      </c>
      <c r="D7" s="13" t="n">
        <v>893</v>
      </c>
      <c r="E7" s="13" t="n">
        <v>893</v>
      </c>
      <c r="F7" s="13" t="n">
        <v>13612</v>
      </c>
      <c r="G7" s="13" t="n">
        <v>180890</v>
      </c>
      <c r="H7" s="13" t="n">
        <v>194502</v>
      </c>
      <c r="I7" s="13" t="n">
        <v>192710</v>
      </c>
      <c r="J7" s="13" t="n">
        <v>1339100</v>
      </c>
      <c r="K7" s="13" t="n">
        <v>18542260</v>
      </c>
      <c r="L7" s="13" t="n">
        <v>1988136</v>
      </c>
      <c r="M7" s="13" t="n">
        <v>178600</v>
      </c>
      <c r="N7" s="13" t="n">
        <v>17860</v>
      </c>
      <c r="O7" s="13" t="n">
        <v>22065956</v>
      </c>
    </row>
    <row r="8" customFormat="false" ht="15" hidden="false" customHeight="true" outlineLevel="0" collapsed="false">
      <c r="A8" s="8" t="s">
        <v>18</v>
      </c>
      <c r="B8" s="9" t="n">
        <v>271</v>
      </c>
      <c r="C8" s="9" t="n">
        <v>227</v>
      </c>
      <c r="D8" s="9" t="n">
        <v>271</v>
      </c>
      <c r="E8" s="9" t="n">
        <v>271</v>
      </c>
      <c r="F8" s="9" t="n">
        <v>2457</v>
      </c>
      <c r="G8" s="9" t="n">
        <v>136435</v>
      </c>
      <c r="H8" s="9" t="n">
        <v>138892</v>
      </c>
      <c r="I8" s="9" t="n">
        <v>139336</v>
      </c>
      <c r="J8" s="9" t="n">
        <v>291000</v>
      </c>
      <c r="K8" s="9" t="n">
        <v>13825090</v>
      </c>
      <c r="L8" s="9" t="n">
        <v>1411609</v>
      </c>
      <c r="M8" s="9" t="n">
        <v>212800</v>
      </c>
      <c r="N8" s="9" t="n">
        <v>21280</v>
      </c>
      <c r="O8" s="9" t="n">
        <v>15761779</v>
      </c>
    </row>
    <row r="9" customFormat="false" ht="15" hidden="false" customHeight="true" outlineLevel="0" collapsed="false">
      <c r="A9" s="12" t="s">
        <v>19</v>
      </c>
      <c r="B9" s="13" t="n">
        <v>110</v>
      </c>
      <c r="C9" s="13" t="n">
        <v>110</v>
      </c>
      <c r="D9" s="13" t="n">
        <v>110</v>
      </c>
      <c r="E9" s="13" t="n">
        <v>110</v>
      </c>
      <c r="F9" s="13" t="n">
        <v>1100</v>
      </c>
      <c r="G9" s="13" t="n">
        <v>150840</v>
      </c>
      <c r="H9" s="13" t="n">
        <v>151940</v>
      </c>
      <c r="I9" s="13" t="n">
        <v>151940</v>
      </c>
      <c r="J9" s="13" t="n">
        <v>121000</v>
      </c>
      <c r="K9" s="13" t="n">
        <v>15174450</v>
      </c>
      <c r="L9" s="13" t="n">
        <v>1529545</v>
      </c>
      <c r="M9" s="13" t="n">
        <v>110000</v>
      </c>
      <c r="N9" s="13" t="n">
        <v>11000</v>
      </c>
      <c r="O9" s="13" t="n">
        <v>16945995</v>
      </c>
    </row>
    <row r="10" customFormat="false" ht="15" hidden="false" customHeight="true" outlineLevel="0" collapsed="false">
      <c r="A10" s="8" t="s">
        <v>20</v>
      </c>
      <c r="B10" s="9" t="n">
        <v>36</v>
      </c>
      <c r="C10" s="9" t="n">
        <v>36</v>
      </c>
      <c r="D10" s="9" t="n">
        <v>36</v>
      </c>
      <c r="E10" s="9" t="n">
        <v>36</v>
      </c>
      <c r="F10" s="9" t="n">
        <v>240</v>
      </c>
      <c r="G10" s="9" t="n">
        <v>16578</v>
      </c>
      <c r="H10" s="9" t="n">
        <v>16818</v>
      </c>
      <c r="I10" s="9" t="n">
        <v>16818</v>
      </c>
      <c r="J10" s="9" t="n">
        <v>26400</v>
      </c>
      <c r="K10" s="9" t="n">
        <v>1680300</v>
      </c>
      <c r="L10" s="9" t="n">
        <v>170670</v>
      </c>
      <c r="M10" s="9" t="n">
        <v>28800</v>
      </c>
      <c r="N10" s="9" t="n">
        <v>2880</v>
      </c>
      <c r="O10" s="9" t="n">
        <v>1909050</v>
      </c>
    </row>
    <row r="11" customFormat="false" ht="15" hidden="false" customHeight="true" outlineLevel="0" collapsed="false">
      <c r="A11" s="16" t="s">
        <v>21</v>
      </c>
      <c r="B11" s="17" t="n">
        <f aca="false">SUM(B4:B10)</f>
        <v>36668</v>
      </c>
      <c r="C11" s="17" t="n">
        <f aca="false">SUM(C4:C10)</f>
        <v>19485</v>
      </c>
      <c r="D11" s="17" t="n">
        <f aca="false">SUM(D4:D10)</f>
        <v>36668</v>
      </c>
      <c r="E11" s="17" t="n">
        <f aca="false">SUM(E4:E10)</f>
        <v>36668</v>
      </c>
      <c r="F11" s="17" t="n">
        <f aca="false">SUM(F4:F10)</f>
        <v>275389</v>
      </c>
      <c r="G11" s="17" t="n">
        <f aca="false">SUM(G4:G10)</f>
        <v>749187</v>
      </c>
      <c r="H11" s="17" t="n">
        <f aca="false">SUM(H4:H10)</f>
        <v>1024576</v>
      </c>
      <c r="I11" s="17" t="n">
        <f aca="false">SUM(I4:I10)</f>
        <v>1023271</v>
      </c>
      <c r="J11" s="17" t="n">
        <f aca="false">SUM(J4:J10)</f>
        <v>38600050</v>
      </c>
      <c r="K11" s="17" t="n">
        <f aca="false">SUM(K4:K10)</f>
        <v>78026210</v>
      </c>
      <c r="L11" s="17" t="n">
        <f aca="false">SUM(L4:L10)</f>
        <v>11662626</v>
      </c>
      <c r="M11" s="17" t="n">
        <f aca="false">SUM(M4:M10)</f>
        <v>2854490</v>
      </c>
      <c r="N11" s="17" t="n">
        <f aca="false">SUM(N4:N10)</f>
        <v>285449</v>
      </c>
      <c r="O11" s="17" t="n">
        <f aca="false">SUM(O4:O10)</f>
        <v>131428825</v>
      </c>
    </row>
    <row r="12" customFormat="false" ht="6" hidden="false" customHeight="true" outlineLevel="0" collapsed="false"/>
    <row r="13" customFormat="false" ht="18" hidden="false" customHeight="true" outlineLevel="0" collapsed="false">
      <c r="A13" s="60" t="s">
        <v>40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</row>
    <row r="14" customFormat="false" ht="15" hidden="false" customHeight="true" outlineLevel="0" collapsed="false">
      <c r="A14" s="61" t="s">
        <v>41</v>
      </c>
      <c r="B14" s="61" t="s">
        <v>42</v>
      </c>
      <c r="C14" s="62" t="s">
        <v>43</v>
      </c>
      <c r="D14" s="62" t="s">
        <v>44</v>
      </c>
    </row>
    <row r="15" customFormat="false" ht="15" hidden="false" customHeight="true" outlineLevel="0" collapsed="false">
      <c r="A15" s="63" t="s">
        <v>45</v>
      </c>
      <c r="B15" s="64" t="s">
        <v>46</v>
      </c>
      <c r="C15" s="65" t="s">
        <v>47</v>
      </c>
      <c r="D15" s="65" t="s">
        <v>48</v>
      </c>
    </row>
    <row r="16" customFormat="false" ht="15" hidden="false" customHeight="true" outlineLevel="0" collapsed="false">
      <c r="A16" s="66" t="s">
        <v>45</v>
      </c>
      <c r="B16" s="12" t="s">
        <v>49</v>
      </c>
      <c r="C16" s="67" t="s">
        <v>50</v>
      </c>
      <c r="D16" s="67" t="s">
        <v>48</v>
      </c>
    </row>
    <row r="17" customFormat="false" ht="15" hidden="false" customHeight="true" outlineLevel="0" collapsed="false">
      <c r="A17" s="63" t="s">
        <v>51</v>
      </c>
      <c r="B17" s="64" t="s">
        <v>52</v>
      </c>
      <c r="C17" s="65" t="s">
        <v>53</v>
      </c>
      <c r="D17" s="65" t="s">
        <v>54</v>
      </c>
    </row>
    <row r="18" customFormat="false" ht="15" hidden="false" customHeight="true" outlineLevel="0" collapsed="false">
      <c r="A18" s="66" t="s">
        <v>51</v>
      </c>
      <c r="B18" s="12" t="s">
        <v>55</v>
      </c>
      <c r="C18" s="67" t="s">
        <v>56</v>
      </c>
      <c r="D18" s="67" t="s">
        <v>57</v>
      </c>
    </row>
    <row r="19" customFormat="false" ht="15" hidden="false" customHeight="true" outlineLevel="0" collapsed="false">
      <c r="A19" s="63" t="s">
        <v>58</v>
      </c>
      <c r="B19" s="64" t="s">
        <v>59</v>
      </c>
      <c r="C19" s="65" t="s">
        <v>60</v>
      </c>
      <c r="D19" s="65" t="s">
        <v>61</v>
      </c>
    </row>
    <row r="20" customFormat="false" ht="15" hidden="false" customHeight="true" outlineLevel="0" collapsed="false">
      <c r="A20" s="66" t="s">
        <v>58</v>
      </c>
      <c r="B20" s="12" t="s">
        <v>62</v>
      </c>
      <c r="C20" s="67" t="s">
        <v>63</v>
      </c>
      <c r="D20" s="67" t="s">
        <v>64</v>
      </c>
    </row>
    <row r="21" customFormat="false" ht="15" hidden="false" customHeight="true" outlineLevel="0" collapsed="false">
      <c r="A21" s="63" t="s">
        <v>58</v>
      </c>
      <c r="B21" s="64" t="s">
        <v>65</v>
      </c>
      <c r="C21" s="65" t="s">
        <v>66</v>
      </c>
      <c r="D21" s="65" t="s">
        <v>67</v>
      </c>
    </row>
    <row r="22" customFormat="false" ht="15" hidden="false" customHeight="true" outlineLevel="0" collapsed="false">
      <c r="A22" s="66" t="s">
        <v>58</v>
      </c>
      <c r="B22" s="12" t="s">
        <v>68</v>
      </c>
      <c r="C22" s="67" t="s">
        <v>69</v>
      </c>
      <c r="D22" s="67" t="s">
        <v>70</v>
      </c>
    </row>
  </sheetData>
  <mergeCells count="2">
    <mergeCell ref="A1:O1"/>
    <mergeCell ref="A13:O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55"/>
    <col collapsed="false" customWidth="true" hidden="false" outlineLevel="0" max="7" min="3" style="1" width="8"/>
    <col collapsed="false" customWidth="true" hidden="false" outlineLevel="0" max="8" min="8" style="1" width="14"/>
  </cols>
  <sheetData>
    <row r="1" customFormat="false" ht="21.75" hidden="false" customHeight="true" outlineLevel="0" collapsed="false">
      <c r="A1" s="2" t="s">
        <v>77</v>
      </c>
      <c r="B1" s="2"/>
      <c r="C1" s="2"/>
      <c r="D1" s="2"/>
      <c r="E1" s="2"/>
      <c r="F1" s="2"/>
      <c r="G1" s="2"/>
      <c r="H1" s="2"/>
    </row>
    <row r="3" customFormat="false" ht="18" hidden="false" customHeight="true" outlineLevel="0" collapsed="false">
      <c r="A3" s="68" t="s">
        <v>78</v>
      </c>
      <c r="B3" s="68"/>
      <c r="C3" s="68"/>
      <c r="D3" s="68"/>
      <c r="E3" s="68"/>
      <c r="F3" s="68"/>
      <c r="G3" s="68"/>
      <c r="H3" s="68"/>
    </row>
    <row r="4" customFormat="false" ht="15" hidden="false" customHeight="true" outlineLevel="0" collapsed="false">
      <c r="A4" s="61" t="s">
        <v>79</v>
      </c>
      <c r="B4" s="61" t="s">
        <v>80</v>
      </c>
      <c r="C4" s="61" t="s">
        <v>81</v>
      </c>
    </row>
    <row r="5" customFormat="false" ht="15" hidden="false" customHeight="true" outlineLevel="0" collapsed="false">
      <c r="A5" s="63" t="s">
        <v>82</v>
      </c>
      <c r="B5" s="69" t="s">
        <v>83</v>
      </c>
      <c r="C5" s="69"/>
      <c r="D5" s="69"/>
      <c r="E5" s="69"/>
      <c r="F5" s="69"/>
      <c r="G5" s="69"/>
      <c r="H5" s="70" t="s">
        <v>84</v>
      </c>
    </row>
    <row r="6" customFormat="false" ht="15" hidden="false" customHeight="true" outlineLevel="0" collapsed="false">
      <c r="A6" s="63" t="s">
        <v>85</v>
      </c>
      <c r="B6" s="69" t="s">
        <v>86</v>
      </c>
      <c r="C6" s="69"/>
      <c r="D6" s="69"/>
      <c r="E6" s="69"/>
      <c r="F6" s="69"/>
      <c r="G6" s="69"/>
      <c r="H6" s="70" t="s">
        <v>84</v>
      </c>
    </row>
    <row r="7" customFormat="false" ht="15" hidden="false" customHeight="true" outlineLevel="0" collapsed="false">
      <c r="A7" s="64" t="s">
        <v>87</v>
      </c>
      <c r="B7" s="69" t="s">
        <v>88</v>
      </c>
      <c r="C7" s="69"/>
      <c r="D7" s="69"/>
      <c r="E7" s="69"/>
      <c r="F7" s="69"/>
      <c r="G7" s="69"/>
      <c r="H7" s="70" t="s">
        <v>84</v>
      </c>
    </row>
    <row r="8" customFormat="false" ht="15" hidden="false" customHeight="true" outlineLevel="0" collapsed="false">
      <c r="A8" s="71" t="s">
        <v>89</v>
      </c>
      <c r="B8" s="72" t="s">
        <v>90</v>
      </c>
      <c r="C8" s="72"/>
      <c r="D8" s="72"/>
      <c r="E8" s="72"/>
      <c r="F8" s="72"/>
      <c r="G8" s="72"/>
      <c r="H8" s="73" t="s">
        <v>91</v>
      </c>
    </row>
    <row r="9" customFormat="false" ht="6" hidden="false" customHeight="true" outlineLevel="0" collapsed="false">
      <c r="A9" s="71" t="s">
        <v>92</v>
      </c>
      <c r="B9" s="72" t="s">
        <v>93</v>
      </c>
      <c r="C9" s="72"/>
      <c r="D9" s="72"/>
      <c r="E9" s="72"/>
      <c r="F9" s="72"/>
      <c r="G9" s="72"/>
      <c r="H9" s="73" t="s">
        <v>91</v>
      </c>
    </row>
    <row r="10" customFormat="false" ht="18" hidden="false" customHeight="true" outlineLevel="0" collapsed="false">
      <c r="A10" s="74" t="s">
        <v>94</v>
      </c>
      <c r="B10" s="74"/>
      <c r="C10" s="74"/>
      <c r="D10" s="74"/>
      <c r="E10" s="74"/>
      <c r="F10" s="74"/>
      <c r="G10" s="74"/>
      <c r="H10" s="74"/>
    </row>
    <row r="11" customFormat="false" ht="15" hidden="false" customHeight="true" outlineLevel="0" collapsed="false">
      <c r="A11" s="61" t="s">
        <v>79</v>
      </c>
      <c r="B11" s="61" t="s">
        <v>80</v>
      </c>
      <c r="C11" s="61" t="s">
        <v>81</v>
      </c>
    </row>
    <row r="12" customFormat="false" ht="15" hidden="false" customHeight="true" outlineLevel="0" collapsed="false">
      <c r="A12" s="75" t="s">
        <v>95</v>
      </c>
      <c r="B12" s="76" t="s">
        <v>96</v>
      </c>
      <c r="C12" s="76"/>
      <c r="D12" s="76"/>
      <c r="E12" s="76"/>
      <c r="F12" s="76"/>
      <c r="G12" s="76"/>
      <c r="H12" s="77" t="s">
        <v>97</v>
      </c>
    </row>
    <row r="13" customFormat="false" ht="15" hidden="false" customHeight="true" outlineLevel="0" collapsed="false">
      <c r="A13" s="75" t="s">
        <v>98</v>
      </c>
      <c r="B13" s="78" t="s">
        <v>99</v>
      </c>
      <c r="C13" s="78"/>
      <c r="D13" s="78"/>
      <c r="E13" s="78"/>
      <c r="F13" s="78"/>
      <c r="G13" s="78"/>
      <c r="H13" s="77" t="s">
        <v>97</v>
      </c>
    </row>
    <row r="14" customFormat="false" ht="15" hidden="false" customHeight="true" outlineLevel="0" collapsed="false">
      <c r="A14" s="75" t="s">
        <v>100</v>
      </c>
      <c r="B14" s="78" t="s">
        <v>101</v>
      </c>
      <c r="C14" s="78"/>
      <c r="D14" s="78"/>
      <c r="E14" s="78"/>
      <c r="F14" s="78"/>
      <c r="G14" s="78"/>
      <c r="H14" s="77" t="s">
        <v>97</v>
      </c>
    </row>
    <row r="15" customFormat="false" ht="15" hidden="false" customHeight="true" outlineLevel="0" collapsed="false">
      <c r="A15" s="71" t="s">
        <v>102</v>
      </c>
      <c r="B15" s="79" t="s">
        <v>103</v>
      </c>
      <c r="C15" s="79"/>
      <c r="D15" s="79"/>
      <c r="E15" s="79"/>
      <c r="F15" s="79"/>
      <c r="G15" s="79"/>
      <c r="H15" s="73" t="s">
        <v>91</v>
      </c>
    </row>
    <row r="16" customFormat="false" ht="6" hidden="false" customHeight="true" outlineLevel="0" collapsed="false">
      <c r="A16" s="64" t="s">
        <v>104</v>
      </c>
      <c r="B16" s="80" t="s">
        <v>105</v>
      </c>
      <c r="C16" s="80"/>
      <c r="D16" s="80"/>
      <c r="E16" s="80"/>
      <c r="F16" s="80"/>
      <c r="G16" s="80"/>
      <c r="H16" s="70" t="s">
        <v>84</v>
      </c>
    </row>
    <row r="17" customFormat="false" ht="18" hidden="false" customHeight="true" outlineLevel="0" collapsed="false">
      <c r="A17" s="81" t="s">
        <v>106</v>
      </c>
      <c r="B17" s="81"/>
      <c r="C17" s="81"/>
      <c r="D17" s="81"/>
      <c r="E17" s="81"/>
      <c r="F17" s="81"/>
      <c r="G17" s="81"/>
      <c r="H17" s="81"/>
    </row>
    <row r="18" customFormat="false" ht="15" hidden="false" customHeight="true" outlineLevel="0" collapsed="false">
      <c r="A18" s="61" t="s">
        <v>79</v>
      </c>
      <c r="B18" s="61" t="s">
        <v>80</v>
      </c>
      <c r="C18" s="61" t="s">
        <v>81</v>
      </c>
    </row>
    <row r="19" customFormat="false" ht="15" hidden="false" customHeight="true" outlineLevel="0" collapsed="false">
      <c r="A19" s="71" t="s">
        <v>107</v>
      </c>
      <c r="B19" s="72" t="s">
        <v>108</v>
      </c>
      <c r="C19" s="72"/>
      <c r="D19" s="72"/>
      <c r="E19" s="72"/>
      <c r="F19" s="72"/>
      <c r="G19" s="72"/>
      <c r="H19" s="73" t="s">
        <v>91</v>
      </c>
    </row>
    <row r="20" customFormat="false" ht="15" hidden="false" customHeight="true" outlineLevel="0" collapsed="false">
      <c r="A20" s="63" t="s">
        <v>109</v>
      </c>
      <c r="B20" s="69" t="s">
        <v>110</v>
      </c>
      <c r="C20" s="69"/>
      <c r="D20" s="69"/>
      <c r="E20" s="69"/>
      <c r="F20" s="69"/>
      <c r="G20" s="69"/>
      <c r="H20" s="70" t="s">
        <v>111</v>
      </c>
    </row>
    <row r="21" customFormat="false" ht="15" hidden="false" customHeight="true" outlineLevel="0" collapsed="false">
      <c r="A21" s="63" t="s">
        <v>112</v>
      </c>
      <c r="B21" s="69" t="s">
        <v>113</v>
      </c>
      <c r="C21" s="69"/>
      <c r="D21" s="69"/>
      <c r="E21" s="69"/>
      <c r="F21" s="69"/>
      <c r="G21" s="69"/>
      <c r="H21" s="70" t="s">
        <v>84</v>
      </c>
    </row>
    <row r="22" customFormat="false" ht="15" hidden="false" customHeight="true" outlineLevel="0" collapsed="false">
      <c r="A22" s="75" t="s">
        <v>114</v>
      </c>
      <c r="B22" s="76" t="s">
        <v>115</v>
      </c>
      <c r="C22" s="76"/>
      <c r="D22" s="76"/>
      <c r="E22" s="76"/>
      <c r="F22" s="76"/>
      <c r="G22" s="76"/>
      <c r="H22" s="77" t="s">
        <v>116</v>
      </c>
    </row>
    <row r="23" customFormat="false" ht="15" hidden="false" customHeight="true" outlineLevel="0" collapsed="false">
      <c r="A23" s="75" t="s">
        <v>117</v>
      </c>
      <c r="B23" s="76" t="s">
        <v>118</v>
      </c>
      <c r="C23" s="76"/>
      <c r="D23" s="76"/>
      <c r="E23" s="76"/>
      <c r="F23" s="76"/>
      <c r="G23" s="76"/>
      <c r="H23" s="77" t="s">
        <v>116</v>
      </c>
    </row>
    <row r="24" customFormat="false" ht="15" hidden="false" customHeight="true" outlineLevel="0" collapsed="false">
      <c r="A24" s="82" t="s">
        <v>119</v>
      </c>
      <c r="B24" s="83" t="s">
        <v>120</v>
      </c>
      <c r="C24" s="83"/>
      <c r="D24" s="83"/>
      <c r="E24" s="83"/>
      <c r="F24" s="83"/>
      <c r="G24" s="83"/>
      <c r="H24" s="84" t="s">
        <v>121</v>
      </c>
    </row>
    <row r="25" customFormat="false" ht="15" hidden="false" customHeight="true" outlineLevel="0" collapsed="false">
      <c r="A25" s="71" t="s">
        <v>122</v>
      </c>
      <c r="B25" s="79" t="s">
        <v>123</v>
      </c>
      <c r="C25" s="79"/>
      <c r="D25" s="79"/>
      <c r="E25" s="79"/>
      <c r="F25" s="79"/>
      <c r="G25" s="79"/>
      <c r="H25" s="73" t="s">
        <v>91</v>
      </c>
    </row>
    <row r="26" customFormat="false" ht="6" hidden="false" customHeight="true" outlineLevel="0" collapsed="false">
      <c r="A26" s="71" t="s">
        <v>124</v>
      </c>
      <c r="B26" s="79" t="s">
        <v>125</v>
      </c>
      <c r="C26" s="79"/>
      <c r="D26" s="79"/>
      <c r="E26" s="79"/>
      <c r="F26" s="79"/>
      <c r="G26" s="79"/>
      <c r="H26" s="73" t="s">
        <v>91</v>
      </c>
    </row>
    <row r="27" customFormat="false" ht="18" hidden="false" customHeight="true" outlineLevel="0" collapsed="false">
      <c r="A27" s="85" t="s">
        <v>126</v>
      </c>
      <c r="B27" s="85"/>
      <c r="C27" s="85"/>
      <c r="D27" s="85"/>
      <c r="E27" s="85"/>
      <c r="F27" s="85"/>
      <c r="G27" s="85"/>
      <c r="H27" s="85"/>
    </row>
    <row r="28" customFormat="false" ht="15" hidden="false" customHeight="true" outlineLevel="0" collapsed="false">
      <c r="A28" s="61" t="s">
        <v>79</v>
      </c>
      <c r="B28" s="61" t="s">
        <v>80</v>
      </c>
      <c r="C28" s="61" t="s">
        <v>81</v>
      </c>
    </row>
    <row r="29" customFormat="false" ht="15" hidden="false" customHeight="true" outlineLevel="0" collapsed="false">
      <c r="A29" s="63" t="s">
        <v>127</v>
      </c>
      <c r="B29" s="80" t="s">
        <v>128</v>
      </c>
      <c r="C29" s="80"/>
      <c r="D29" s="80"/>
      <c r="E29" s="80"/>
      <c r="F29" s="80"/>
      <c r="G29" s="80"/>
      <c r="H29" s="70" t="s">
        <v>129</v>
      </c>
    </row>
    <row r="30" customFormat="false" ht="15" hidden="false" customHeight="true" outlineLevel="0" collapsed="false">
      <c r="A30" s="63" t="s">
        <v>130</v>
      </c>
      <c r="B30" s="80" t="s">
        <v>131</v>
      </c>
      <c r="C30" s="80"/>
      <c r="D30" s="80"/>
      <c r="E30" s="80"/>
      <c r="F30" s="80"/>
      <c r="G30" s="80"/>
      <c r="H30" s="70" t="s">
        <v>84</v>
      </c>
    </row>
    <row r="31" customFormat="false" ht="15" hidden="false" customHeight="true" outlineLevel="0" collapsed="false">
      <c r="A31" s="71" t="s">
        <v>132</v>
      </c>
      <c r="B31" s="79" t="s">
        <v>133</v>
      </c>
      <c r="C31" s="79"/>
      <c r="D31" s="79"/>
      <c r="E31" s="79"/>
      <c r="F31" s="79"/>
      <c r="G31" s="79"/>
      <c r="H31" s="73" t="s">
        <v>91</v>
      </c>
    </row>
    <row r="32" customFormat="false" ht="15" hidden="false" customHeight="true" outlineLevel="0" collapsed="false">
      <c r="A32" s="71" t="s">
        <v>134</v>
      </c>
      <c r="B32" s="79" t="s">
        <v>135</v>
      </c>
      <c r="C32" s="79"/>
      <c r="D32" s="79"/>
      <c r="E32" s="79"/>
      <c r="F32" s="79"/>
      <c r="G32" s="79"/>
      <c r="H32" s="73" t="s">
        <v>91</v>
      </c>
    </row>
    <row r="33" customFormat="false" ht="15" hidden="false" customHeight="true" outlineLevel="0" collapsed="false">
      <c r="A33" s="63" t="s">
        <v>136</v>
      </c>
      <c r="B33" s="80" t="s">
        <v>137</v>
      </c>
      <c r="C33" s="80"/>
      <c r="D33" s="80"/>
      <c r="E33" s="80"/>
      <c r="F33" s="80"/>
      <c r="G33" s="80"/>
      <c r="H33" s="70" t="s">
        <v>84</v>
      </c>
    </row>
    <row r="34" customFormat="false" ht="6" hidden="false" customHeight="true" outlineLevel="0" collapsed="false">
      <c r="A34" s="63" t="s">
        <v>138</v>
      </c>
      <c r="B34" s="69" t="s">
        <v>139</v>
      </c>
      <c r="C34" s="69"/>
      <c r="D34" s="69"/>
      <c r="E34" s="69"/>
      <c r="F34" s="69"/>
      <c r="G34" s="69"/>
      <c r="H34" s="70" t="s">
        <v>84</v>
      </c>
    </row>
    <row r="35" customFormat="false" ht="18" hidden="false" customHeight="true" outlineLevel="0" collapsed="false">
      <c r="A35" s="86" t="s">
        <v>140</v>
      </c>
      <c r="B35" s="86"/>
      <c r="C35" s="86"/>
      <c r="D35" s="86"/>
      <c r="E35" s="86"/>
      <c r="F35" s="86"/>
      <c r="G35" s="86"/>
      <c r="H35" s="86"/>
    </row>
    <row r="36" customFormat="false" ht="15" hidden="false" customHeight="true" outlineLevel="0" collapsed="false">
      <c r="A36" s="73" t="s">
        <v>91</v>
      </c>
      <c r="B36" s="72" t="s">
        <v>141</v>
      </c>
      <c r="C36" s="72"/>
      <c r="D36" s="72"/>
      <c r="E36" s="72"/>
      <c r="F36" s="72"/>
      <c r="G36" s="72"/>
      <c r="H36" s="72"/>
    </row>
    <row r="37" customFormat="false" ht="15" hidden="false" customHeight="true" outlineLevel="0" collapsed="false">
      <c r="A37" s="70" t="s">
        <v>84</v>
      </c>
      <c r="B37" s="69" t="s">
        <v>142</v>
      </c>
      <c r="C37" s="69"/>
      <c r="D37" s="69"/>
      <c r="E37" s="69"/>
      <c r="F37" s="69"/>
      <c r="G37" s="69"/>
      <c r="H37" s="69"/>
    </row>
    <row r="38" customFormat="false" ht="15" hidden="false" customHeight="true" outlineLevel="0" collapsed="false">
      <c r="A38" s="77" t="s">
        <v>97</v>
      </c>
      <c r="B38" s="76" t="s">
        <v>143</v>
      </c>
      <c r="C38" s="76"/>
      <c r="D38" s="76"/>
      <c r="E38" s="76"/>
      <c r="F38" s="76"/>
      <c r="G38" s="76"/>
      <c r="H38" s="76"/>
    </row>
  </sheetData>
  <mergeCells count="33">
    <mergeCell ref="A1:H1"/>
    <mergeCell ref="A3:H3"/>
    <mergeCell ref="B5:G5"/>
    <mergeCell ref="B6:G6"/>
    <mergeCell ref="B7:G7"/>
    <mergeCell ref="B8:G8"/>
    <mergeCell ref="B9:G9"/>
    <mergeCell ref="A10:H10"/>
    <mergeCell ref="B12:G12"/>
    <mergeCell ref="B13:G13"/>
    <mergeCell ref="B14:G14"/>
    <mergeCell ref="B15:G15"/>
    <mergeCell ref="B16:G16"/>
    <mergeCell ref="A17:H17"/>
    <mergeCell ref="B19:G19"/>
    <mergeCell ref="B20:G20"/>
    <mergeCell ref="B21:G21"/>
    <mergeCell ref="B22:G22"/>
    <mergeCell ref="B23:G23"/>
    <mergeCell ref="B24:G24"/>
    <mergeCell ref="B25:G25"/>
    <mergeCell ref="B26:G26"/>
    <mergeCell ref="A27:H27"/>
    <mergeCell ref="B29:G29"/>
    <mergeCell ref="B30:G30"/>
    <mergeCell ref="B31:G31"/>
    <mergeCell ref="B32:G32"/>
    <mergeCell ref="B33:G33"/>
    <mergeCell ref="B34:G34"/>
    <mergeCell ref="A35:H35"/>
    <mergeCell ref="B36:H36"/>
    <mergeCell ref="B37:H37"/>
    <mergeCell ref="B38:H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9" min="2" style="1" width="14"/>
    <col collapsed="false" customWidth="true" hidden="false" outlineLevel="0" max="10" min="10" style="1" width="9"/>
  </cols>
  <sheetData>
    <row r="1" customFormat="false" ht="21.75" hidden="false" customHeight="true" outlineLevel="0" collapsed="false">
      <c r="A1" s="2" t="s">
        <v>144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8" hidden="false" customHeight="true" outlineLevel="0" collapsed="false">
      <c r="A3" s="47" t="s">
        <v>145</v>
      </c>
      <c r="B3" s="47"/>
      <c r="C3" s="47"/>
      <c r="D3" s="47"/>
      <c r="E3" s="47"/>
      <c r="F3" s="47"/>
      <c r="G3" s="47"/>
      <c r="H3" s="47"/>
      <c r="I3" s="47"/>
      <c r="J3" s="47"/>
    </row>
    <row r="4" customFormat="false" ht="36" hidden="false" customHeight="true" outlineLevel="0" collapsed="false">
      <c r="A4" s="48" t="s">
        <v>3</v>
      </c>
      <c r="B4" s="49" t="s">
        <v>4</v>
      </c>
      <c r="C4" s="49" t="s">
        <v>5</v>
      </c>
      <c r="D4" s="49" t="s">
        <v>6</v>
      </c>
      <c r="E4" s="49" t="s">
        <v>7</v>
      </c>
      <c r="F4" s="49" t="s">
        <v>8</v>
      </c>
      <c r="G4" s="49" t="s">
        <v>9</v>
      </c>
      <c r="H4" s="49" t="s">
        <v>10</v>
      </c>
      <c r="I4" s="50" t="s">
        <v>13</v>
      </c>
      <c r="J4" s="50" t="s">
        <v>12</v>
      </c>
    </row>
    <row r="5" customFormat="false" ht="15" hidden="false" customHeight="true" outlineLevel="0" collapsed="false">
      <c r="A5" s="51" t="s">
        <v>14</v>
      </c>
      <c r="B5" s="52" t="n">
        <v>50921</v>
      </c>
      <c r="C5" s="52" t="n">
        <v>50500</v>
      </c>
      <c r="D5" s="52" t="n">
        <v>46903</v>
      </c>
      <c r="E5" s="52" t="n">
        <v>44103</v>
      </c>
      <c r="F5" s="52" t="n">
        <v>43236</v>
      </c>
      <c r="G5" s="52" t="n">
        <v>42695</v>
      </c>
      <c r="H5" s="52" t="n">
        <v>40572</v>
      </c>
      <c r="I5" s="52" t="n">
        <v>-10349</v>
      </c>
      <c r="J5" s="54" t="n">
        <f aca="false">H5/B5</f>
        <v>0.796763614225958</v>
      </c>
    </row>
    <row r="6" customFormat="false" ht="15" hidden="false" customHeight="true" outlineLevel="0" collapsed="false">
      <c r="A6" s="12" t="s">
        <v>15</v>
      </c>
      <c r="B6" s="13" t="n">
        <v>199068</v>
      </c>
      <c r="C6" s="13" t="n">
        <v>208906</v>
      </c>
      <c r="D6" s="13" t="n">
        <v>196010</v>
      </c>
      <c r="E6" s="13" t="n">
        <v>179985</v>
      </c>
      <c r="F6" s="13" t="n">
        <v>179592</v>
      </c>
      <c r="G6" s="13" t="n">
        <v>176803</v>
      </c>
      <c r="H6" s="13" t="n">
        <v>174586</v>
      </c>
      <c r="I6" s="13" t="n">
        <v>-24482</v>
      </c>
      <c r="J6" s="15" t="n">
        <f aca="false">H6/B6</f>
        <v>0.877016898748167</v>
      </c>
    </row>
    <row r="7" customFormat="false" ht="15" hidden="false" customHeight="true" outlineLevel="0" collapsed="false">
      <c r="A7" s="51" t="s">
        <v>16</v>
      </c>
      <c r="B7" s="52" t="n">
        <v>54927</v>
      </c>
      <c r="C7" s="52" t="n">
        <v>55192</v>
      </c>
      <c r="D7" s="52" t="n">
        <v>58239</v>
      </c>
      <c r="E7" s="52" t="n">
        <v>59527</v>
      </c>
      <c r="F7" s="52" t="n">
        <v>57646</v>
      </c>
      <c r="G7" s="52" t="n">
        <v>54905</v>
      </c>
      <c r="H7" s="52" t="n">
        <v>49286</v>
      </c>
      <c r="I7" s="52" t="n">
        <v>-5641</v>
      </c>
      <c r="J7" s="54" t="n">
        <f aca="false">H7/B7</f>
        <v>0.897300052797349</v>
      </c>
    </row>
    <row r="8" customFormat="false" ht="15" hidden="false" customHeight="true" outlineLevel="0" collapsed="false">
      <c r="A8" s="12" t="s">
        <v>17</v>
      </c>
      <c r="B8" s="13" t="n">
        <v>145424</v>
      </c>
      <c r="C8" s="13" t="n">
        <v>153205</v>
      </c>
      <c r="D8" s="13" t="n">
        <v>162964</v>
      </c>
      <c r="E8" s="13" t="n">
        <v>167774</v>
      </c>
      <c r="F8" s="13" t="n">
        <v>185027</v>
      </c>
      <c r="G8" s="13" t="n">
        <v>176599</v>
      </c>
      <c r="H8" s="13" t="n">
        <v>180890</v>
      </c>
      <c r="I8" s="13" t="n">
        <v>35466</v>
      </c>
      <c r="J8" s="15" t="n">
        <f aca="false">H8/B8</f>
        <v>1.24387996479261</v>
      </c>
    </row>
    <row r="9" customFormat="false" ht="15" hidden="false" customHeight="true" outlineLevel="0" collapsed="false">
      <c r="A9" s="51" t="s">
        <v>18</v>
      </c>
      <c r="B9" s="52" t="n">
        <v>138712</v>
      </c>
      <c r="C9" s="52" t="n">
        <v>142152</v>
      </c>
      <c r="D9" s="52" t="n">
        <v>146053</v>
      </c>
      <c r="E9" s="52" t="n">
        <v>142921</v>
      </c>
      <c r="F9" s="52" t="n">
        <v>133240</v>
      </c>
      <c r="G9" s="52" t="n">
        <v>126458</v>
      </c>
      <c r="H9" s="52" t="n">
        <v>136435</v>
      </c>
      <c r="I9" s="52" t="n">
        <v>-2277</v>
      </c>
      <c r="J9" s="54" t="n">
        <f aca="false">H9/B9</f>
        <v>0.983584693465598</v>
      </c>
    </row>
    <row r="10" customFormat="false" ht="15" hidden="false" customHeight="true" outlineLevel="0" collapsed="false">
      <c r="A10" s="12" t="s">
        <v>19</v>
      </c>
      <c r="B10" s="13" t="n">
        <v>96136</v>
      </c>
      <c r="C10" s="13" t="n">
        <v>120914</v>
      </c>
      <c r="D10" s="13" t="n">
        <v>151622</v>
      </c>
      <c r="E10" s="13" t="n">
        <v>146647</v>
      </c>
      <c r="F10" s="13" t="n">
        <v>151805</v>
      </c>
      <c r="G10" s="13" t="n">
        <v>148134</v>
      </c>
      <c r="H10" s="13" t="n">
        <v>150840</v>
      </c>
      <c r="I10" s="13" t="n">
        <v>54704</v>
      </c>
      <c r="J10" s="15" t="n">
        <f aca="false">H10/B10</f>
        <v>1.56902721145045</v>
      </c>
    </row>
    <row r="11" customFormat="false" ht="15" hidden="false" customHeight="true" outlineLevel="0" collapsed="false">
      <c r="A11" s="51" t="s">
        <v>20</v>
      </c>
      <c r="B11" s="52" t="n">
        <v>16010</v>
      </c>
      <c r="C11" s="52" t="n">
        <v>13954</v>
      </c>
      <c r="D11" s="52" t="n">
        <v>11709</v>
      </c>
      <c r="E11" s="52" t="n">
        <v>9690</v>
      </c>
      <c r="F11" s="52" t="n">
        <v>10494</v>
      </c>
      <c r="G11" s="52" t="n">
        <v>18740</v>
      </c>
      <c r="H11" s="52" t="n">
        <v>16578</v>
      </c>
      <c r="I11" s="52" t="n">
        <v>568</v>
      </c>
      <c r="J11" s="54" t="n">
        <f aca="false">H11/B11</f>
        <v>1.03547782635853</v>
      </c>
    </row>
    <row r="12" customFormat="false" ht="15" hidden="false" customHeight="true" outlineLevel="0" collapsed="false">
      <c r="A12" s="55" t="s">
        <v>21</v>
      </c>
      <c r="B12" s="56" t="n">
        <f aca="false">SUM(B5:B11)</f>
        <v>701198</v>
      </c>
      <c r="C12" s="56" t="n">
        <f aca="false">SUM(C5:C11)</f>
        <v>744823</v>
      </c>
      <c r="D12" s="56" t="n">
        <f aca="false">SUM(D5:D11)</f>
        <v>773500</v>
      </c>
      <c r="E12" s="56" t="n">
        <f aca="false">SUM(E5:E11)</f>
        <v>750647</v>
      </c>
      <c r="F12" s="56" t="n">
        <f aca="false">SUM(F5:F11)</f>
        <v>761040</v>
      </c>
      <c r="G12" s="56" t="n">
        <f aca="false">SUM(G5:G11)</f>
        <v>744334</v>
      </c>
      <c r="H12" s="56" t="n">
        <f aca="false">SUM(H5:H11)</f>
        <v>749187</v>
      </c>
      <c r="I12" s="59" t="n">
        <f aca="false">H12-B12</f>
        <v>47989</v>
      </c>
      <c r="J12" s="58" t="n">
        <f aca="false">H12/B12</f>
        <v>1.06843858653333</v>
      </c>
    </row>
    <row r="13" customFormat="false" ht="6" hidden="false" customHeight="true" outlineLevel="0" collapsed="false"/>
    <row r="14" customFormat="false" ht="18" hidden="false" customHeight="true" outlineLevel="0" collapsed="false">
      <c r="A14" s="34" t="s">
        <v>146</v>
      </c>
      <c r="B14" s="34"/>
      <c r="C14" s="34"/>
      <c r="D14" s="34"/>
      <c r="E14" s="34"/>
      <c r="F14" s="34"/>
      <c r="G14" s="34"/>
      <c r="H14" s="34"/>
      <c r="I14" s="34"/>
      <c r="J14" s="34"/>
    </row>
    <row r="15" customFormat="false" ht="36" hidden="false" customHeight="true" outlineLevel="0" collapsed="false">
      <c r="A15" s="35" t="s">
        <v>3</v>
      </c>
      <c r="B15" s="36" t="s">
        <v>4</v>
      </c>
      <c r="C15" s="36" t="s">
        <v>5</v>
      </c>
      <c r="D15" s="36" t="s">
        <v>6</v>
      </c>
      <c r="E15" s="36" t="s">
        <v>7</v>
      </c>
      <c r="F15" s="36" t="s">
        <v>8</v>
      </c>
      <c r="G15" s="36" t="s">
        <v>9</v>
      </c>
      <c r="H15" s="36" t="s">
        <v>10</v>
      </c>
      <c r="I15" s="37" t="s">
        <v>13</v>
      </c>
      <c r="J15" s="37" t="s">
        <v>12</v>
      </c>
    </row>
    <row r="16" customFormat="false" ht="15" hidden="false" customHeight="true" outlineLevel="0" collapsed="false">
      <c r="A16" s="38" t="s">
        <v>14</v>
      </c>
      <c r="B16" s="39" t="n">
        <v>16836400</v>
      </c>
      <c r="C16" s="39" t="n">
        <v>16679460</v>
      </c>
      <c r="D16" s="39" t="n">
        <v>15974760</v>
      </c>
      <c r="E16" s="39" t="n">
        <v>15488470</v>
      </c>
      <c r="F16" s="39" t="n">
        <v>15226550</v>
      </c>
      <c r="G16" s="39" t="n">
        <v>15202044</v>
      </c>
      <c r="H16" s="39" t="n">
        <v>15322868</v>
      </c>
      <c r="I16" s="39" t="n">
        <v>-1513532</v>
      </c>
      <c r="J16" s="41" t="n">
        <f aca="false">H16/B16</f>
        <v>0.910103585089449</v>
      </c>
    </row>
    <row r="17" customFormat="false" ht="15" hidden="false" customHeight="true" outlineLevel="0" collapsed="false">
      <c r="A17" s="12" t="s">
        <v>15</v>
      </c>
      <c r="B17" s="13" t="n">
        <v>54443970</v>
      </c>
      <c r="C17" s="13" t="n">
        <v>56572000</v>
      </c>
      <c r="D17" s="13" t="n">
        <v>55153210</v>
      </c>
      <c r="E17" s="13" t="n">
        <v>53253010</v>
      </c>
      <c r="F17" s="13" t="n">
        <v>53237490</v>
      </c>
      <c r="G17" s="13" t="n">
        <v>52966133</v>
      </c>
      <c r="H17" s="13" t="n">
        <v>52640302</v>
      </c>
      <c r="I17" s="13" t="n">
        <v>-1803668</v>
      </c>
      <c r="J17" s="15" t="n">
        <f aca="false">H17/B17</f>
        <v>0.966871115387067</v>
      </c>
    </row>
    <row r="18" customFormat="false" ht="15" hidden="false" customHeight="true" outlineLevel="0" collapsed="false">
      <c r="A18" s="38" t="s">
        <v>16</v>
      </c>
      <c r="B18" s="39" t="n">
        <v>7333870</v>
      </c>
      <c r="C18" s="39" t="n">
        <v>7401620</v>
      </c>
      <c r="D18" s="39" t="n">
        <v>7740060</v>
      </c>
      <c r="E18" s="39" t="n">
        <v>7881940</v>
      </c>
      <c r="F18" s="39" t="n">
        <v>7682400</v>
      </c>
      <c r="G18" s="39" t="n">
        <v>7416629</v>
      </c>
      <c r="H18" s="39" t="n">
        <v>6782875</v>
      </c>
      <c r="I18" s="39" t="n">
        <v>-550995</v>
      </c>
      <c r="J18" s="41" t="n">
        <f aca="false">H18/B18</f>
        <v>0.924869816345258</v>
      </c>
    </row>
    <row r="19" customFormat="false" ht="15" hidden="false" customHeight="true" outlineLevel="0" collapsed="false">
      <c r="A19" s="12" t="s">
        <v>17</v>
      </c>
      <c r="B19" s="13" t="n">
        <v>17673890</v>
      </c>
      <c r="C19" s="13" t="n">
        <v>18901470</v>
      </c>
      <c r="D19" s="13" t="n">
        <v>20076500</v>
      </c>
      <c r="E19" s="13" t="n">
        <v>20582850</v>
      </c>
      <c r="F19" s="13" t="n">
        <v>22524470</v>
      </c>
      <c r="G19" s="13" t="n">
        <v>21579745</v>
      </c>
      <c r="H19" s="13" t="n">
        <v>22065956</v>
      </c>
      <c r="I19" s="13" t="n">
        <v>4392066</v>
      </c>
      <c r="J19" s="15" t="n">
        <f aca="false">H19/B19</f>
        <v>1.24850590334103</v>
      </c>
    </row>
    <row r="20" customFormat="false" ht="15" hidden="false" customHeight="true" outlineLevel="0" collapsed="false">
      <c r="A20" s="38" t="s">
        <v>18</v>
      </c>
      <c r="B20" s="39" t="n">
        <v>15727830</v>
      </c>
      <c r="C20" s="39" t="n">
        <v>16324560</v>
      </c>
      <c r="D20" s="39" t="n">
        <v>16778580</v>
      </c>
      <c r="E20" s="39" t="n">
        <v>16466120</v>
      </c>
      <c r="F20" s="39" t="n">
        <v>15406710</v>
      </c>
      <c r="G20" s="39" t="n">
        <v>14686199</v>
      </c>
      <c r="H20" s="39" t="n">
        <v>15761779</v>
      </c>
      <c r="I20" s="39" t="n">
        <v>33949</v>
      </c>
      <c r="J20" s="41" t="n">
        <f aca="false">H20/B20</f>
        <v>1.00215853045207</v>
      </c>
    </row>
    <row r="21" customFormat="false" ht="15" hidden="false" customHeight="true" outlineLevel="0" collapsed="false">
      <c r="A21" s="12" t="s">
        <v>19</v>
      </c>
      <c r="B21" s="13" t="n">
        <v>10696980</v>
      </c>
      <c r="C21" s="13" t="n">
        <v>13615750</v>
      </c>
      <c r="D21" s="13" t="n">
        <v>16992750</v>
      </c>
      <c r="E21" s="13" t="n">
        <v>16442420</v>
      </c>
      <c r="F21" s="13" t="n">
        <v>17041250</v>
      </c>
      <c r="G21" s="13" t="n">
        <v>16649160</v>
      </c>
      <c r="H21" s="13" t="n">
        <v>16945995</v>
      </c>
      <c r="I21" s="13" t="n">
        <v>6249015</v>
      </c>
      <c r="J21" s="15" t="n">
        <f aca="false">H21/B21</f>
        <v>1.58418497557254</v>
      </c>
    </row>
    <row r="22" customFormat="false" ht="15" hidden="false" customHeight="true" outlineLevel="0" collapsed="false">
      <c r="A22" s="38" t="s">
        <v>20</v>
      </c>
      <c r="B22" s="39" t="n">
        <v>1883310</v>
      </c>
      <c r="C22" s="39" t="n">
        <v>1653160</v>
      </c>
      <c r="D22" s="39" t="n">
        <v>1373040</v>
      </c>
      <c r="E22" s="39" t="n">
        <v>1151360</v>
      </c>
      <c r="F22" s="39" t="n">
        <v>1238570</v>
      </c>
      <c r="G22" s="39" t="n">
        <v>2146100</v>
      </c>
      <c r="H22" s="39" t="n">
        <v>1909050</v>
      </c>
      <c r="I22" s="39" t="n">
        <v>25740</v>
      </c>
      <c r="J22" s="41" t="n">
        <f aca="false">H22/B22</f>
        <v>1.01366742596811</v>
      </c>
    </row>
    <row r="23" customFormat="false" ht="15" hidden="false" customHeight="true" outlineLevel="0" collapsed="false">
      <c r="A23" s="42" t="s">
        <v>21</v>
      </c>
      <c r="B23" s="43" t="n">
        <f aca="false">SUM(B16:B22)</f>
        <v>124596250</v>
      </c>
      <c r="C23" s="43" t="n">
        <f aca="false">SUM(C16:C22)</f>
        <v>131148020</v>
      </c>
      <c r="D23" s="43" t="n">
        <f aca="false">SUM(D16:D22)</f>
        <v>134088900</v>
      </c>
      <c r="E23" s="43" t="n">
        <f aca="false">SUM(E16:E22)</f>
        <v>131266170</v>
      </c>
      <c r="F23" s="43" t="n">
        <f aca="false">SUM(F16:F22)</f>
        <v>132357440</v>
      </c>
      <c r="G23" s="43" t="n">
        <f aca="false">SUM(G16:G22)</f>
        <v>130646010</v>
      </c>
      <c r="H23" s="43" t="n">
        <f aca="false">SUM(H16:H22)</f>
        <v>131428825</v>
      </c>
      <c r="I23" s="46" t="n">
        <f aca="false">H23-B23</f>
        <v>6832575</v>
      </c>
      <c r="J23" s="45" t="n">
        <f aca="false">H23/B23</f>
        <v>1.05483772585451</v>
      </c>
    </row>
  </sheetData>
  <mergeCells count="3">
    <mergeCell ref="A1:J1"/>
    <mergeCell ref="A3:J3"/>
    <mergeCell ref="A14:J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08_billing_summary_R1toR7_v2</dc:title>
  <dc:subject>令和8年度上下水道経営指標評価書作成等業務委託</dc:subject>
  <dc:creator>若山諒太</dc:creator>
  <cp:lastModifiedBy>若山諒太</cp:lastModifiedBy>
  <cp:revision>1</cp:revision>
  <dcterms:created xsi:type="dcterms:W3CDTF">2026-09-28T10:17:35Z</dcterms:created>
  <dcterms:modified xsi:type="dcterms:W3CDTF">2026-09-28T10:17:35Z</dcterms:modified>
  <cp:category>ビズアップ公共コンサルティング株式会社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