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前提条件" sheetId="1" state="visible" r:id="rId1"/>
    <sheet xmlns:r="http://schemas.openxmlformats.org/officeDocument/2006/relationships" name="02_総括原価" sheetId="2" state="visible" r:id="rId2"/>
    <sheet xmlns:r="http://schemas.openxmlformats.org/officeDocument/2006/relationships" name="03_パターン1_現行体系維持" sheetId="3" state="visible" r:id="rId3"/>
    <sheet xmlns:r="http://schemas.openxmlformats.org/officeDocument/2006/relationships" name="04_パターン2_赤字半減案" sheetId="4" state="visible" r:id="rId4"/>
    <sheet xmlns:r="http://schemas.openxmlformats.org/officeDocument/2006/relationships" name="05_パターン3_口径別料金表案" sheetId="5" state="visible" r:id="rId5"/>
    <sheet xmlns:r="http://schemas.openxmlformats.org/officeDocument/2006/relationships" name="06_水産加工業影響" sheetId="6" state="visible" r:id="rId6"/>
    <sheet xmlns:r="http://schemas.openxmlformats.org/officeDocument/2006/relationships" name="07_改定案比較表" sheetId="7" state="visible" r:id="rId7"/>
    <sheet xmlns:r="http://schemas.openxmlformats.org/officeDocument/2006/relationships" name="08_住民議会用要約"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quot;倍&quot;"/>
  </numFmts>
  <fonts count="25">
    <font>
      <name val="Calibri"/>
      <family val="2"/>
      <color theme="1"/>
      <sz val="11"/>
      <scheme val="minor"/>
    </font>
    <font>
      <name val="Arial"/>
      <b val="1"/>
      <color rgb="00FFFFFF"/>
      <sz val="11"/>
    </font>
    <font>
      <name val="Arial"/>
      <i val="1"/>
      <color rgb="00595959"/>
      <sz val="8"/>
    </font>
    <font>
      <name val="Arial"/>
      <b val="1"/>
      <color rgb="00FFFFFF"/>
      <sz val="9"/>
    </font>
    <font>
      <name val="Arial"/>
      <color rgb="00000000"/>
      <sz val="9"/>
    </font>
    <font>
      <name val="Arial"/>
      <b val="1"/>
      <color rgb="00000000"/>
      <sz val="10"/>
    </font>
    <font>
      <name val="Arial"/>
      <b val="1"/>
      <color rgb="00C00000"/>
      <sz val="14"/>
    </font>
    <font>
      <name val="Arial"/>
      <color rgb="00000000"/>
      <sz val="8"/>
    </font>
    <font>
      <name val="Arial"/>
      <b val="1"/>
      <color rgb="00008000"/>
      <sz val="9"/>
    </font>
    <font>
      <name val="Arial"/>
      <b val="1"/>
      <color rgb="00000000"/>
      <sz val="9"/>
    </font>
    <font>
      <name val="Arial"/>
      <b val="1"/>
      <color rgb="00C00000"/>
      <sz val="9"/>
    </font>
    <font>
      <name val="Arial"/>
      <b val="1"/>
      <color rgb="000000FF"/>
      <sz val="9"/>
    </font>
    <font>
      <name val="Arial"/>
      <color rgb="000000FF"/>
      <sz val="9"/>
    </font>
    <font>
      <name val="Arial"/>
      <color rgb="00C00000"/>
      <sz val="9"/>
    </font>
    <font>
      <name val="Arial"/>
      <b val="1"/>
      <color rgb="001F4E79"/>
      <sz val="11"/>
    </font>
    <font>
      <name val="Arial"/>
      <b val="1"/>
      <color rgb="001F4E79"/>
      <sz val="10"/>
    </font>
    <font>
      <name val="Arial"/>
      <color rgb="00595959"/>
      <sz val="8"/>
    </font>
    <font>
      <name val="Arial"/>
      <color rgb="00C00000"/>
      <sz val="8"/>
    </font>
    <font>
      <name val="Arial"/>
      <sz val="10"/>
    </font>
    <font>
      <name val="Arial"/>
      <b val="1"/>
      <sz val="10"/>
    </font>
    <font>
      <name val="Arial"/>
      <color rgb="00808080"/>
      <sz val="9"/>
    </font>
    <font>
      <name val="Arial"/>
      <color rgb="00375623"/>
      <sz val="9"/>
    </font>
    <font>
      <name val="Arial"/>
      <sz val="9"/>
    </font>
    <font>
      <name val="Arial"/>
      <b val="1"/>
      <color rgb="00375623"/>
      <sz val="9"/>
    </font>
    <font>
      <name val="Arial"/>
      <b val="1"/>
      <color rgb="00FFFFFF"/>
      <sz val="12"/>
    </font>
  </fonts>
  <fills count="20">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C00000"/>
      </patternFill>
    </fill>
    <fill>
      <patternFill patternType="solid">
        <fgColor rgb="00FFF2CC"/>
      </patternFill>
    </fill>
    <fill>
      <patternFill patternType="solid">
        <fgColor rgb="00F2F2F2"/>
      </patternFill>
    </fill>
    <fill>
      <patternFill patternType="solid">
        <fgColor rgb="00FCE4D6"/>
      </patternFill>
    </fill>
    <fill>
      <patternFill patternType="solid">
        <fgColor rgb="00366092"/>
      </patternFill>
    </fill>
    <fill>
      <patternFill patternType="solid">
        <fgColor rgb="00BDD7EE"/>
      </patternFill>
    </fill>
    <fill>
      <patternFill patternType="solid">
        <fgColor rgb="00FFCCCC"/>
      </patternFill>
    </fill>
    <fill>
      <patternFill patternType="solid">
        <fgColor rgb="009DC3E6"/>
      </patternFill>
    </fill>
    <fill>
      <patternFill patternType="solid">
        <fgColor rgb="00375623"/>
      </patternFill>
    </fill>
    <fill>
      <patternFill patternType="solid">
        <fgColor rgb="00E2EFDA"/>
      </patternFill>
    </fill>
    <fill>
      <patternFill patternType="solid">
        <fgColor rgb="00FFFFFF"/>
      </patternFill>
    </fill>
    <fill>
      <patternFill patternType="solid">
        <fgColor rgb="00EBF3FB"/>
      </patternFill>
    </fill>
    <fill>
      <patternFill patternType="solid">
        <fgColor rgb="00D6E8F7"/>
      </patternFill>
    </fill>
    <fill>
      <patternFill patternType="solid">
        <fgColor rgb="00C55A11"/>
      </patternFill>
    </fill>
    <fill>
      <patternFill patternType="solid">
        <fgColor rgb="00EAD1FB"/>
      </patternFill>
    </fill>
  </fills>
  <borders count="7">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right style="medium"/>
      <top style="medium"/>
      <bottom style="medium"/>
    </border>
  </borders>
  <cellStyleXfs count="1">
    <xf numFmtId="0" fontId="0" fillId="0" borderId="0"/>
  </cellStyleXfs>
  <cellXfs count="17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xf>
    <xf numFmtId="0" fontId="3" fillId="3" borderId="1" applyAlignment="1" pivotButton="0" quotePrefix="0" xfId="0">
      <alignment horizontal="center" vertical="center"/>
    </xf>
    <xf numFmtId="0" fontId="3"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center" vertical="center" wrapText="1"/>
    </xf>
    <xf numFmtId="0" fontId="5" fillId="6" borderId="1" applyAlignment="1" pivotButton="0" quotePrefix="0" xfId="0">
      <alignment horizontal="left" vertical="center"/>
    </xf>
    <xf numFmtId="10" fontId="6" fillId="6" borderId="6" applyAlignment="1" pivotButton="0" quotePrefix="0" xfId="0">
      <alignment horizontal="center" vertical="center"/>
    </xf>
    <xf numFmtId="0" fontId="4" fillId="6" borderId="1" applyAlignment="1" pivotButton="0" quotePrefix="0" xfId="0">
      <alignment horizontal="center" vertical="center"/>
    </xf>
    <xf numFmtId="10" fontId="4" fillId="7" borderId="1" applyAlignment="1" pivotButton="0" quotePrefix="0" xfId="0">
      <alignment horizontal="right" vertical="center"/>
    </xf>
    <xf numFmtId="0" fontId="7" fillId="6" borderId="1" applyAlignment="1" pivotButton="0" quotePrefix="0" xfId="0">
      <alignment horizontal="left" vertical="center"/>
    </xf>
    <xf numFmtId="0" fontId="4" fillId="6" borderId="1" applyAlignment="1" pivotButton="0" quotePrefix="0" xfId="0">
      <alignment horizontal="left" vertical="center"/>
    </xf>
    <xf numFmtId="3" fontId="5" fillId="6" borderId="1" applyAlignment="1" pivotButton="0" quotePrefix="0" xfId="0">
      <alignment horizontal="right" vertical="center"/>
    </xf>
    <xf numFmtId="0" fontId="7" fillId="6" borderId="1" applyAlignment="1" pivotButton="0" quotePrefix="0" xfId="0">
      <alignment horizontal="center" vertical="center"/>
    </xf>
    <xf numFmtId="0" fontId="7" fillId="7" borderId="1" applyAlignment="1" pivotButton="0" quotePrefix="0" xfId="0">
      <alignment horizontal="left" vertical="center"/>
    </xf>
    <xf numFmtId="3" fontId="8" fillId="4" borderId="1" applyAlignment="1" pivotButton="0" quotePrefix="0" xfId="0">
      <alignment horizontal="right" vertical="center"/>
    </xf>
    <xf numFmtId="0" fontId="7" fillId="4" borderId="1" applyAlignment="1" pivotButton="0" quotePrefix="0" xfId="0">
      <alignment horizontal="center" vertical="center"/>
    </xf>
    <xf numFmtId="0" fontId="9" fillId="8" borderId="1" applyAlignment="1" pivotButton="0" quotePrefix="0" xfId="0">
      <alignment horizontal="left" vertical="center"/>
    </xf>
    <xf numFmtId="3" fontId="10" fillId="8" borderId="1" applyAlignment="1" pivotButton="0" quotePrefix="0" xfId="0">
      <alignment horizontal="right" vertical="center"/>
    </xf>
    <xf numFmtId="0" fontId="7" fillId="8" borderId="1" applyAlignment="1" pivotButton="0" quotePrefix="0" xfId="0">
      <alignment horizontal="center" vertical="center"/>
    </xf>
    <xf numFmtId="0" fontId="3" fillId="9" borderId="1" applyAlignment="1" pivotButton="0" quotePrefix="0" xfId="0">
      <alignment horizontal="center" vertical="center"/>
    </xf>
    <xf numFmtId="0" fontId="3" fillId="9" borderId="1" applyAlignment="1" pivotButton="0" quotePrefix="0" xfId="0">
      <alignment horizontal="center" vertical="center" wrapText="1"/>
    </xf>
    <xf numFmtId="0" fontId="9" fillId="8" borderId="1" applyAlignment="1" pivotButton="0" quotePrefix="0" xfId="0">
      <alignment horizontal="center" vertical="center"/>
    </xf>
    <xf numFmtId="3" fontId="4" fillId="8" borderId="1" applyAlignment="1" pivotButton="0" quotePrefix="0" xfId="0">
      <alignment horizontal="right" vertical="center"/>
    </xf>
    <xf numFmtId="3" fontId="4" fillId="0" borderId="1" applyAlignment="1" pivotButton="0" quotePrefix="0" xfId="0">
      <alignment horizontal="right" vertical="center"/>
    </xf>
    <xf numFmtId="3" fontId="4" fillId="4" borderId="1" applyAlignment="1" pivotButton="0" quotePrefix="0" xfId="0">
      <alignment horizontal="right" vertical="center"/>
    </xf>
    <xf numFmtId="0" fontId="9" fillId="10" borderId="1" applyAlignment="1" pivotButton="0" quotePrefix="0" xfId="0">
      <alignment horizontal="left" vertical="center"/>
    </xf>
    <xf numFmtId="3" fontId="9" fillId="10" borderId="1" applyAlignment="1" pivotButton="0" quotePrefix="0" xfId="0">
      <alignment horizontal="right" vertical="center"/>
    </xf>
    <xf numFmtId="0" fontId="4" fillId="10" borderId="1" applyAlignment="1" pivotButton="0" quotePrefix="0" xfId="0">
      <alignment horizontal="left" vertical="center"/>
    </xf>
    <xf numFmtId="0" fontId="1" fillId="5" borderId="1" applyAlignment="1" pivotButton="0" quotePrefix="0" xfId="0">
      <alignment horizontal="center" vertical="center"/>
    </xf>
    <xf numFmtId="0" fontId="9" fillId="4" borderId="1" applyAlignment="1" pivotButton="0" quotePrefix="0" xfId="0">
      <alignment horizontal="left" vertical="center"/>
    </xf>
    <xf numFmtId="3" fontId="11" fillId="4" borderId="1" applyAlignment="1" pivotButton="0" quotePrefix="0" xfId="0">
      <alignment horizontal="right" vertical="center"/>
    </xf>
    <xf numFmtId="3" fontId="4" fillId="10" borderId="1" applyAlignment="1" pivotButton="0" quotePrefix="0" xfId="0">
      <alignment horizontal="right" vertical="center"/>
    </xf>
    <xf numFmtId="164" fontId="4" fillId="4" borderId="1" applyAlignment="1" pivotButton="0" quotePrefix="0" xfId="0">
      <alignment horizontal="right" vertical="center"/>
    </xf>
    <xf numFmtId="0" fontId="16" fillId="4" borderId="1" applyAlignment="1" pivotButton="0" quotePrefix="0" xfId="0">
      <alignment horizontal="center" vertical="center"/>
    </xf>
    <xf numFmtId="3" fontId="12" fillId="4" borderId="1" applyAlignment="1" pivotButton="0" quotePrefix="0" xfId="0">
      <alignment horizontal="right" vertical="center"/>
    </xf>
    <xf numFmtId="0" fontId="9" fillId="6" borderId="1" applyAlignment="1" pivotButton="0" quotePrefix="0" xfId="0">
      <alignment horizontal="left" vertical="center"/>
    </xf>
    <xf numFmtId="3" fontId="10" fillId="6" borderId="1" applyAlignment="1" pivotButton="0" quotePrefix="0" xfId="0">
      <alignment horizontal="right" vertical="center"/>
    </xf>
    <xf numFmtId="3" fontId="13" fillId="6" borderId="1" applyAlignment="1" pivotButton="0" quotePrefix="0" xfId="0">
      <alignment horizontal="right" vertical="center"/>
    </xf>
    <xf numFmtId="164" fontId="4" fillId="6" borderId="1" applyAlignment="1" pivotButton="0" quotePrefix="0" xfId="0">
      <alignment horizontal="right" vertical="center"/>
    </xf>
    <xf numFmtId="0" fontId="17" fillId="6" borderId="1" applyAlignment="1" pivotButton="0" quotePrefix="0" xfId="0">
      <alignment horizontal="center" vertical="center"/>
    </xf>
    <xf numFmtId="0" fontId="4" fillId="11" borderId="1" applyAlignment="1" pivotButton="0" quotePrefix="0" xfId="0">
      <alignment horizontal="left" vertical="center"/>
    </xf>
    <xf numFmtId="0" fontId="7" fillId="11" borderId="1" applyAlignment="1" pivotButton="0" quotePrefix="0" xfId="0">
      <alignment horizontal="center" vertical="center"/>
    </xf>
    <xf numFmtId="3" fontId="13" fillId="11" borderId="1" applyAlignment="1" pivotButton="0" quotePrefix="0" xfId="0">
      <alignment horizontal="right" vertical="center"/>
    </xf>
    <xf numFmtId="164" fontId="4" fillId="11" borderId="1" applyAlignment="1" pivotButton="0" quotePrefix="0" xfId="0">
      <alignment horizontal="right" vertical="center"/>
    </xf>
    <xf numFmtId="0" fontId="16" fillId="11" borderId="1" applyAlignment="1" pivotButton="0" quotePrefix="0" xfId="0">
      <alignment horizontal="center" vertical="center"/>
    </xf>
    <xf numFmtId="0" fontId="9" fillId="12" borderId="1" applyAlignment="1" pivotButton="0" quotePrefix="0" xfId="0">
      <alignment horizontal="left" vertical="center"/>
    </xf>
    <xf numFmtId="0" fontId="4" fillId="12" borderId="1" applyAlignment="1" pivotButton="0" quotePrefix="0" xfId="0">
      <alignment horizontal="center" vertical="center"/>
    </xf>
    <xf numFmtId="3" fontId="5" fillId="12" borderId="1" applyAlignment="1" pivotButton="0" quotePrefix="0" xfId="0">
      <alignment horizontal="right" vertical="center"/>
    </xf>
    <xf numFmtId="3" fontId="14" fillId="12" borderId="1" applyAlignment="1" pivotButton="0" quotePrefix="0" xfId="0">
      <alignment horizontal="right" vertical="center"/>
    </xf>
    <xf numFmtId="3" fontId="15" fillId="12" borderId="1" applyAlignment="1" pivotButton="0" quotePrefix="0" xfId="0">
      <alignment horizontal="right" vertical="center"/>
    </xf>
    <xf numFmtId="164" fontId="4" fillId="12" borderId="1" applyAlignment="1" pivotButton="0" quotePrefix="0" xfId="0">
      <alignment horizontal="right" vertical="center"/>
    </xf>
    <xf numFmtId="0" fontId="0" fillId="12" borderId="1" pivotButton="0" quotePrefix="0" xfId="0"/>
    <xf numFmtId="0" fontId="3" fillId="13" borderId="1" applyAlignment="1" pivotButton="0" quotePrefix="0" xfId="0">
      <alignment horizontal="center" vertical="center"/>
    </xf>
    <xf numFmtId="0" fontId="3" fillId="13" borderId="1" applyAlignment="1" pivotButton="0" quotePrefix="0" xfId="0">
      <alignment horizontal="center" vertical="center" wrapText="1"/>
    </xf>
    <xf numFmtId="0" fontId="4" fillId="14" borderId="1" applyAlignment="1" pivotButton="0" quotePrefix="0" xfId="0">
      <alignment horizontal="left" vertical="center"/>
    </xf>
    <xf numFmtId="0" fontId="0" fillId="7" borderId="1" pivotButton="0" quotePrefix="0" xfId="0"/>
    <xf numFmtId="0" fontId="0" fillId="14" borderId="1" pivotButton="0" quotePrefix="0" xfId="0"/>
    <xf numFmtId="49" fontId="18" fillId="15" borderId="1" applyAlignment="1" pivotButton="0" quotePrefix="0" xfId="0">
      <alignment horizontal="left" vertical="center"/>
    </xf>
    <xf numFmtId="0" fontId="0" fillId="15" borderId="1" pivotButton="0" quotePrefix="0" xfId="0"/>
    <xf numFmtId="49" fontId="19" fillId="6" borderId="1" applyAlignment="1" pivotButton="0" quotePrefix="0" xfId="0">
      <alignment horizontal="left" vertical="center"/>
    </xf>
    <xf numFmtId="0" fontId="0" fillId="6" borderId="1" pivotButton="0" quotePrefix="0" xfId="0"/>
    <xf numFmtId="0" fontId="4" fillId="11" borderId="1" applyAlignment="1" pivotButton="0" quotePrefix="0" xfId="0">
      <alignment horizontal="left" vertical="center" wrapText="1"/>
    </xf>
    <xf numFmtId="0" fontId="4" fillId="7" borderId="1" applyAlignment="1" pivotButton="0" quotePrefix="0" xfId="0">
      <alignment horizontal="left" vertical="center"/>
    </xf>
    <xf numFmtId="3" fontId="4" fillId="7" borderId="1" applyAlignment="1" pivotButton="0" quotePrefix="0" xfId="0">
      <alignment horizontal="right" vertical="center"/>
    </xf>
    <xf numFmtId="3" fontId="13" fillId="7" borderId="1" applyAlignment="1" pivotButton="0" quotePrefix="0" xfId="0">
      <alignment horizontal="right" vertical="center"/>
    </xf>
    <xf numFmtId="164" fontId="13" fillId="7" borderId="1" applyAlignment="1" pivotButton="0" quotePrefix="0" xfId="0">
      <alignment horizontal="right" vertical="center"/>
    </xf>
    <xf numFmtId="165" fontId="4" fillId="7" borderId="1" applyAlignment="1" pivotButton="0" quotePrefix="0" xfId="0">
      <alignment horizontal="right" vertical="center"/>
    </xf>
    <xf numFmtId="164" fontId="4" fillId="7" borderId="1" applyAlignment="1" pivotButton="0" quotePrefix="0" xfId="0">
      <alignment horizontal="right" vertical="center"/>
    </xf>
    <xf numFmtId="3" fontId="13" fillId="0" borderId="1" applyAlignment="1" pivotButton="0" quotePrefix="0" xfId="0">
      <alignment horizontal="right" vertical="center"/>
    </xf>
    <xf numFmtId="164" fontId="13" fillId="0" borderId="1" applyAlignment="1" pivotButton="0" quotePrefix="0" xfId="0">
      <alignment horizontal="right" vertical="center"/>
    </xf>
    <xf numFmtId="165" fontId="4" fillId="0" borderId="1" applyAlignment="1" pivotButton="0" quotePrefix="0" xfId="0">
      <alignment horizontal="right" vertical="center"/>
    </xf>
    <xf numFmtId="164" fontId="4" fillId="0" borderId="1" applyAlignment="1" pivotButton="0" quotePrefix="0" xfId="0">
      <alignment horizontal="right" vertical="center"/>
    </xf>
    <xf numFmtId="0" fontId="7" fillId="0" borderId="1" applyAlignment="1" pivotButton="0" quotePrefix="0" xfId="0">
      <alignment horizontal="left" vertical="center"/>
    </xf>
    <xf numFmtId="3" fontId="9" fillId="6" borderId="1" applyAlignment="1" pivotButton="0" quotePrefix="0" xfId="0">
      <alignment horizontal="right" vertical="center"/>
    </xf>
    <xf numFmtId="3" fontId="4" fillId="6" borderId="1" applyAlignment="1" pivotButton="0" quotePrefix="0" xfId="0">
      <alignment horizontal="right" vertical="center"/>
    </xf>
    <xf numFmtId="3" fontId="10" fillId="6" borderId="1" applyAlignment="1" pivotButton="0" quotePrefix="0" xfId="0">
      <alignment horizontal="right" vertical="center"/>
    </xf>
    <xf numFmtId="164" fontId="10" fillId="6" borderId="1" applyAlignment="1" pivotButton="0" quotePrefix="0" xfId="0">
      <alignment horizontal="right" vertical="center"/>
    </xf>
    <xf numFmtId="165" fontId="9" fillId="6" borderId="1" applyAlignment="1" pivotButton="0" quotePrefix="0" xfId="0">
      <alignment horizontal="right" vertical="center"/>
    </xf>
    <xf numFmtId="164" fontId="4" fillId="6" borderId="1" applyAlignment="1" pivotButton="0" quotePrefix="0" xfId="0">
      <alignment horizontal="right" vertical="center"/>
    </xf>
    <xf numFmtId="0" fontId="4" fillId="16" borderId="1" applyAlignment="1" pivotButton="0" quotePrefix="0" xfId="0">
      <alignment horizontal="left" vertical="center"/>
    </xf>
    <xf numFmtId="165" fontId="4" fillId="16" borderId="1" applyAlignment="1" pivotButton="0" quotePrefix="0" xfId="0">
      <alignment horizontal="right" vertical="center"/>
    </xf>
    <xf numFmtId="3" fontId="4" fillId="16" borderId="1" applyAlignment="1" pivotButton="0" quotePrefix="0" xfId="0">
      <alignment horizontal="right" vertical="center"/>
    </xf>
    <xf numFmtId="3" fontId="9" fillId="16" borderId="1" applyAlignment="1" pivotButton="0" quotePrefix="0" xfId="0">
      <alignment horizontal="right" vertical="center"/>
    </xf>
    <xf numFmtId="165" fontId="13" fillId="16" borderId="1" applyAlignment="1" pivotButton="0" quotePrefix="0" xfId="0">
      <alignment horizontal="right" vertical="center"/>
    </xf>
    <xf numFmtId="165" fontId="10" fillId="16" borderId="1" applyAlignment="1" pivotButton="0" quotePrefix="0" xfId="0">
      <alignment horizontal="right" vertical="center"/>
    </xf>
    <xf numFmtId="0" fontId="4" fillId="17" borderId="1" applyAlignment="1" pivotButton="0" quotePrefix="0" xfId="0">
      <alignment horizontal="left" vertical="center"/>
    </xf>
    <xf numFmtId="165" fontId="4" fillId="17" borderId="1" applyAlignment="1" pivotButton="0" quotePrefix="0" xfId="0">
      <alignment horizontal="right" vertical="center"/>
    </xf>
    <xf numFmtId="3" fontId="4" fillId="17" borderId="1" applyAlignment="1" pivotButton="0" quotePrefix="0" xfId="0">
      <alignment horizontal="right" vertical="center"/>
    </xf>
    <xf numFmtId="3" fontId="9" fillId="17" borderId="1" applyAlignment="1" pivotButton="0" quotePrefix="0" xfId="0">
      <alignment horizontal="right" vertical="center"/>
    </xf>
    <xf numFmtId="165" fontId="13" fillId="17" borderId="1" applyAlignment="1" pivotButton="0" quotePrefix="0" xfId="0">
      <alignment horizontal="right" vertical="center"/>
    </xf>
    <xf numFmtId="165" fontId="10" fillId="17" borderId="1" applyAlignment="1" pivotButton="0" quotePrefix="0" xfId="0">
      <alignment horizontal="right" vertical="center"/>
    </xf>
    <xf numFmtId="3" fontId="9" fillId="7" borderId="1" applyAlignment="1" pivotButton="0" quotePrefix="0" xfId="0">
      <alignment horizontal="right" vertical="center"/>
    </xf>
    <xf numFmtId="165" fontId="13" fillId="7" borderId="1" applyAlignment="1" pivotButton="0" quotePrefix="0" xfId="0">
      <alignment horizontal="right" vertical="center"/>
    </xf>
    <xf numFmtId="165" fontId="10" fillId="7" borderId="1" applyAlignment="1" pivotButton="0" quotePrefix="0" xfId="0">
      <alignment horizontal="right" vertical="center"/>
    </xf>
    <xf numFmtId="165" fontId="4" fillId="14" borderId="1" applyAlignment="1" pivotButton="0" quotePrefix="0" xfId="0">
      <alignment horizontal="right" vertical="center"/>
    </xf>
    <xf numFmtId="3" fontId="4" fillId="14" borderId="1" applyAlignment="1" pivotButton="0" quotePrefix="0" xfId="0">
      <alignment horizontal="right" vertical="center"/>
    </xf>
    <xf numFmtId="3" fontId="9" fillId="14" borderId="1" applyAlignment="1" pivotButton="0" quotePrefix="0" xfId="0">
      <alignment horizontal="right" vertical="center"/>
    </xf>
    <xf numFmtId="165" fontId="13" fillId="14" borderId="1" applyAlignment="1" pivotButton="0" quotePrefix="0" xfId="0">
      <alignment horizontal="right" vertical="center"/>
    </xf>
    <xf numFmtId="165" fontId="10" fillId="14" borderId="1" applyAlignment="1" pivotButton="0" quotePrefix="0" xfId="0">
      <alignment horizontal="right" vertical="center"/>
    </xf>
    <xf numFmtId="0" fontId="4" fillId="8" borderId="1" applyAlignment="1" pivotButton="0" quotePrefix="0" xfId="0">
      <alignment horizontal="left" vertical="center"/>
    </xf>
    <xf numFmtId="165" fontId="4" fillId="8" borderId="1" applyAlignment="1" pivotButton="0" quotePrefix="0" xfId="0">
      <alignment horizontal="right" vertical="center"/>
    </xf>
    <xf numFmtId="3" fontId="9" fillId="8" borderId="1" applyAlignment="1" pivotButton="0" quotePrefix="0" xfId="0">
      <alignment horizontal="right" vertical="center"/>
    </xf>
    <xf numFmtId="165" fontId="13" fillId="8" borderId="1" applyAlignment="1" pivotButton="0" quotePrefix="0" xfId="0">
      <alignment horizontal="right" vertical="center"/>
    </xf>
    <xf numFmtId="165" fontId="10" fillId="8" borderId="1" applyAlignment="1" pivotButton="0" quotePrefix="0" xfId="0">
      <alignment horizontal="right" vertical="center"/>
    </xf>
    <xf numFmtId="165" fontId="4" fillId="11" borderId="1" applyAlignment="1" pivotButton="0" quotePrefix="0" xfId="0">
      <alignment horizontal="right" vertical="center"/>
    </xf>
    <xf numFmtId="3" fontId="4" fillId="11" borderId="1" applyAlignment="1" pivotButton="0" quotePrefix="0" xfId="0">
      <alignment horizontal="right" vertical="center"/>
    </xf>
    <xf numFmtId="3" fontId="9" fillId="11" borderId="1" applyAlignment="1" pivotButton="0" quotePrefix="0" xfId="0">
      <alignment horizontal="right" vertical="center"/>
    </xf>
    <xf numFmtId="165" fontId="13" fillId="11" borderId="1" applyAlignment="1" pivotButton="0" quotePrefix="0" xfId="0">
      <alignment horizontal="right" vertical="center"/>
    </xf>
    <xf numFmtId="165" fontId="10" fillId="11" borderId="1" applyAlignment="1" pivotButton="0" quotePrefix="0" xfId="0">
      <alignment horizontal="right" vertical="center"/>
    </xf>
    <xf numFmtId="0" fontId="0" fillId="10" borderId="1" pivotButton="0" quotePrefix="0" xfId="0"/>
    <xf numFmtId="3" fontId="9" fillId="10" borderId="1" applyAlignment="1" pivotButton="0" quotePrefix="0" xfId="0">
      <alignment horizontal="right" vertical="center"/>
    </xf>
    <xf numFmtId="165" fontId="10" fillId="10" borderId="1" applyAlignment="1" pivotButton="0" quotePrefix="0" xfId="0">
      <alignment horizontal="right" vertical="center"/>
    </xf>
    <xf numFmtId="0" fontId="3" fillId="18" borderId="1" applyAlignment="1" pivotButton="0" quotePrefix="0" xfId="0">
      <alignment horizontal="center" vertical="center"/>
    </xf>
    <xf numFmtId="0" fontId="3" fillId="18" borderId="1" applyAlignment="1" pivotButton="0" quotePrefix="0" xfId="0">
      <alignment horizontal="center" vertical="center" wrapText="1"/>
    </xf>
    <xf numFmtId="3" fontId="7" fillId="7" borderId="1" applyAlignment="1" pivotButton="0" quotePrefix="0" xfId="0">
      <alignment horizontal="left" vertical="center"/>
    </xf>
    <xf numFmtId="0" fontId="4" fillId="7" borderId="1" applyAlignment="1" pivotButton="0" quotePrefix="0" xfId="0">
      <alignment horizontal="center" vertical="center" wrapText="1"/>
    </xf>
    <xf numFmtId="0" fontId="4" fillId="7" borderId="1" applyAlignment="1" pivotButton="0" quotePrefix="0" xfId="0">
      <alignment horizontal="center" vertical="center"/>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6" borderId="1" applyAlignment="1" pivotButton="0" quotePrefix="0" xfId="0">
      <alignment horizontal="center" vertical="center"/>
    </xf>
    <xf numFmtId="164" fontId="9" fillId="6" borderId="1" applyAlignment="1" pivotButton="0" quotePrefix="0" xfId="0">
      <alignment horizontal="right" vertical="center"/>
    </xf>
    <xf numFmtId="165" fontId="4" fillId="6" borderId="1" applyAlignment="1" pivotButton="0" quotePrefix="0" xfId="0">
      <alignment horizontal="right" vertical="center"/>
    </xf>
    <xf numFmtId="0" fontId="9" fillId="14" borderId="1" applyAlignment="1" pivotButton="0" quotePrefix="0" xfId="0">
      <alignment horizontal="center" vertical="center"/>
    </xf>
    <xf numFmtId="0" fontId="4" fillId="14" borderId="1" applyAlignment="1" pivotButton="0" quotePrefix="0" xfId="0">
      <alignment horizontal="center" vertical="center"/>
    </xf>
    <xf numFmtId="0" fontId="9" fillId="14" borderId="1" applyAlignment="1" pivotButton="0" quotePrefix="0" xfId="0">
      <alignment horizontal="left" vertical="center"/>
    </xf>
    <xf numFmtId="164" fontId="4" fillId="14" borderId="1" applyAlignment="1" pivotButton="0" quotePrefix="0" xfId="0">
      <alignment horizontal="right" vertical="center"/>
    </xf>
    <xf numFmtId="0" fontId="9" fillId="4" borderId="1" applyAlignment="1" pivotButton="0" quotePrefix="0" xfId="0">
      <alignment horizontal="center" vertical="center"/>
    </xf>
    <xf numFmtId="3" fontId="9" fillId="4" borderId="1" applyAlignment="1" pivotButton="0" quotePrefix="0" xfId="0">
      <alignment horizontal="right" vertical="center"/>
    </xf>
    <xf numFmtId="166" fontId="4" fillId="4" borderId="1" applyAlignment="1" pivotButton="0" quotePrefix="0" xfId="0">
      <alignment horizontal="right" vertical="center"/>
    </xf>
    <xf numFmtId="3" fontId="20" fillId="7" borderId="1" applyAlignment="1" pivotButton="0" quotePrefix="0" xfId="0">
      <alignment horizontal="right" vertical="center"/>
    </xf>
    <xf numFmtId="0" fontId="9" fillId="0" borderId="1" applyAlignment="1" pivotButton="0" quotePrefix="0" xfId="0">
      <alignment horizontal="center" vertical="center"/>
    </xf>
    <xf numFmtId="3" fontId="9" fillId="0" borderId="1" applyAlignment="1" pivotButton="0" quotePrefix="0" xfId="0">
      <alignment horizontal="right" vertical="center"/>
    </xf>
    <xf numFmtId="166" fontId="4" fillId="0" borderId="1" applyAlignment="1" pivotButton="0" quotePrefix="0" xfId="0">
      <alignment horizontal="right" vertical="center"/>
    </xf>
    <xf numFmtId="3" fontId="21" fillId="7" borderId="1" applyAlignment="1" pivotButton="0" quotePrefix="0" xfId="0">
      <alignment horizontal="right" vertical="center"/>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4" fillId="0" borderId="1" applyAlignment="1" pivotButton="0" quotePrefix="0" xfId="0">
      <alignment horizontal="left" vertical="center" wrapText="1"/>
    </xf>
    <xf numFmtId="0" fontId="22" fillId="6" borderId="1" applyAlignment="1" pivotButton="0" quotePrefix="0" xfId="0">
      <alignment horizontal="left" vertical="center" wrapText="1"/>
    </xf>
    <xf numFmtId="3" fontId="23" fillId="4" borderId="1" applyAlignment="1" pivotButton="0" quotePrefix="0" xfId="0">
      <alignment horizontal="right" vertical="center"/>
    </xf>
    <xf numFmtId="164" fontId="13" fillId="4" borderId="1" applyAlignment="1" pivotButton="0" quotePrefix="0" xfId="0">
      <alignment horizontal="right" vertical="center"/>
    </xf>
    <xf numFmtId="164" fontId="4" fillId="4" borderId="1" applyAlignment="1" pivotButton="0" quotePrefix="0" xfId="0">
      <alignment horizontal="right" vertical="center"/>
    </xf>
    <xf numFmtId="164" fontId="21" fillId="4" borderId="1" applyAlignment="1" pivotButton="0" quotePrefix="0" xfId="0">
      <alignment horizontal="right" vertical="center"/>
    </xf>
    <xf numFmtId="3" fontId="23" fillId="0" borderId="1" applyAlignment="1" pivotButton="0" quotePrefix="0" xfId="0">
      <alignment horizontal="right" vertical="center"/>
    </xf>
    <xf numFmtId="164" fontId="21" fillId="0" borderId="1" applyAlignment="1" pivotButton="0" quotePrefix="0" xfId="0">
      <alignment horizontal="right" vertical="center"/>
    </xf>
    <xf numFmtId="3" fontId="10" fillId="10" borderId="1" applyAlignment="1" pivotButton="0" quotePrefix="0" xfId="0">
      <alignment horizontal="right" vertical="center"/>
    </xf>
    <xf numFmtId="3" fontId="23" fillId="10" borderId="1" applyAlignment="1" pivotButton="0" quotePrefix="0" xfId="0">
      <alignment horizontal="right" vertical="center"/>
    </xf>
    <xf numFmtId="164" fontId="10" fillId="10" borderId="1" applyAlignment="1" pivotButton="0" quotePrefix="0" xfId="0">
      <alignment horizontal="right" vertical="center"/>
    </xf>
    <xf numFmtId="164" fontId="23" fillId="10" borderId="1" applyAlignment="1" pivotButton="0" quotePrefix="0" xfId="0">
      <alignment horizontal="right" vertical="center"/>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9" fillId="4" borderId="1" applyAlignment="1" pivotButton="0" quotePrefix="0" xfId="0">
      <alignment horizontal="center" vertical="center" wrapText="1"/>
    </xf>
    <xf numFmtId="3" fontId="10" fillId="4" borderId="1" applyAlignment="1" pivotButton="0" quotePrefix="0" xfId="0">
      <alignment horizontal="right" vertical="center"/>
    </xf>
    <xf numFmtId="0" fontId="9" fillId="14" borderId="1" applyAlignment="1" pivotButton="0" quotePrefix="0" xfId="0">
      <alignment horizontal="center" vertical="center" wrapText="1"/>
    </xf>
    <xf numFmtId="3" fontId="10" fillId="14" borderId="1" applyAlignment="1" pivotButton="0" quotePrefix="0" xfId="0">
      <alignment horizontal="right" vertical="center"/>
    </xf>
    <xf numFmtId="0" fontId="9" fillId="7" borderId="1" applyAlignment="1" pivotButton="0" quotePrefix="0" xfId="0">
      <alignment horizontal="center" vertical="center" wrapText="1"/>
    </xf>
    <xf numFmtId="3" fontId="10" fillId="7" borderId="1" applyAlignment="1" pivotButton="0" quotePrefix="0" xfId="0">
      <alignment horizontal="right" vertical="center"/>
    </xf>
    <xf numFmtId="0" fontId="9" fillId="8" borderId="1" applyAlignment="1" pivotButton="0" quotePrefix="0" xfId="0">
      <alignment horizontal="center" vertical="center" wrapText="1"/>
    </xf>
    <xf numFmtId="0" fontId="9" fillId="19" borderId="1" applyAlignment="1" pivotButton="0" quotePrefix="0" xfId="0">
      <alignment horizontal="center" vertical="center" wrapText="1"/>
    </xf>
    <xf numFmtId="0" fontId="4" fillId="19" borderId="1" applyAlignment="1" pivotButton="0" quotePrefix="0" xfId="0">
      <alignment horizontal="left" vertical="center"/>
    </xf>
    <xf numFmtId="0" fontId="4" fillId="19" borderId="1" applyAlignment="1" pivotButton="0" quotePrefix="0" xfId="0">
      <alignment horizontal="center" vertical="center"/>
    </xf>
    <xf numFmtId="0" fontId="24" fillId="2" borderId="1" applyAlignment="1" pivotButton="0" quotePrefix="0" xfId="0">
      <alignment horizontal="center" vertical="center"/>
    </xf>
    <xf numFmtId="0" fontId="9" fillId="11" borderId="1" applyAlignment="1" pivotButton="0" quotePrefix="0" xfId="0">
      <alignment horizontal="left" vertical="center"/>
    </xf>
    <xf numFmtId="0" fontId="4" fillId="11" borderId="1" applyAlignment="1" pivotButton="0" quotePrefix="0" xfId="0">
      <alignment horizontal="center" vertical="center"/>
    </xf>
    <xf numFmtId="0" fontId="9" fillId="0" borderId="1" applyAlignment="1" pivotButton="0" quotePrefix="0" xfId="0">
      <alignment horizontal="left" vertic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4" customWidth="1" min="1" max="1"/>
    <col width="12"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2" customHeight="1">
      <c r="A1" s="1" t="inlineStr">
        <is>
          <t>女川町水道事業　料金改定検討　前提条件（入力セル）</t>
        </is>
      </c>
    </row>
    <row r="2" ht="12" customHeight="1">
      <c r="A2" s="2" t="inlineStr">
        <is>
          <t>業務仕様書対応版　令和8年（2026年）作成　　★黄色セルが入力箇所</t>
        </is>
      </c>
    </row>
    <row r="3" ht="5" customHeight="1"/>
    <row r="4" ht="16" customHeight="1">
      <c r="A4" s="3" t="inlineStr">
        <is>
          <t>【A】料金算定対象期間</t>
        </is>
      </c>
    </row>
    <row r="5" ht="28" customHeight="1">
      <c r="A5" s="4" t="inlineStr">
        <is>
          <t>項目</t>
        </is>
      </c>
      <c r="B5" s="4" t="inlineStr">
        <is>
          <t>設定値</t>
        </is>
      </c>
      <c r="C5" s="4" t="inlineStr">
        <is>
          <t>数値</t>
        </is>
      </c>
      <c r="D5" s="4" t="inlineStr">
        <is>
          <t>根拠・備考</t>
        </is>
      </c>
      <c r="E5" s="5" t="n"/>
      <c r="F5" s="5" t="n"/>
      <c r="G5" s="5" t="n"/>
      <c r="H5" s="5" t="n"/>
      <c r="I5" s="5" t="n"/>
      <c r="J5" s="6" t="n"/>
    </row>
    <row r="6" ht="18" customHeight="1">
      <c r="A6" s="7" t="inlineStr">
        <is>
          <t>算定対象期間</t>
        </is>
      </c>
      <c r="B6" s="7" t="inlineStr">
        <is>
          <t>R8〜R12（令和8〜12年度）</t>
        </is>
      </c>
      <c r="C6" s="8" t="inlineStr">
        <is>
          <t>5年間</t>
        </is>
      </c>
      <c r="D6" s="7" t="inlineStr">
        <is>
          <t>水道法施行規則第12条「おおむね3年」 → 実務標準5年</t>
        </is>
      </c>
    </row>
    <row r="7" ht="18" customHeight="1">
      <c r="A7" s="9" t="inlineStr">
        <is>
          <t>期首基準日</t>
        </is>
      </c>
      <c r="B7" s="9" t="inlineStr">
        <is>
          <t>R8.4.1（令和8年4月1日）</t>
        </is>
      </c>
      <c r="C7" s="10" t="inlineStr">
        <is>
          <t>─</t>
        </is>
      </c>
      <c r="D7" s="9" t="inlineStr">
        <is>
          <t>対象資産の基準日</t>
        </is>
      </c>
    </row>
    <row r="8" ht="18" customHeight="1">
      <c r="A8" s="7" t="inlineStr">
        <is>
          <t>期末基準日</t>
        </is>
      </c>
      <c r="B8" s="7" t="inlineStr">
        <is>
          <t>R12.3.31（令和12年3月31日）</t>
        </is>
      </c>
      <c r="C8" s="8" t="inlineStr">
        <is>
          <t>─</t>
        </is>
      </c>
      <c r="D8" s="7" t="inlineStr"/>
    </row>
    <row r="9" ht="18" customHeight="1">
      <c r="A9" s="9" t="inlineStr">
        <is>
          <t>改定実施時期</t>
        </is>
      </c>
      <c r="B9" s="9" t="inlineStr">
        <is>
          <t>R8年度内（議会議決後）</t>
        </is>
      </c>
      <c r="C9" s="10" t="inlineStr">
        <is>
          <t>─</t>
        </is>
      </c>
      <c r="D9" s="9" t="inlineStr">
        <is>
          <t>仕様書「9月末中間報告」に対応。最終報告後に議決が前提</t>
        </is>
      </c>
    </row>
    <row r="10" ht="5" customHeight="1"/>
    <row r="11" ht="16" customHeight="1">
      <c r="A11" s="11" t="inlineStr">
        <is>
          <t>【B】資産維持費率　★ここを変更すると全シートが再計算されます</t>
        </is>
      </c>
    </row>
    <row r="12" ht="12" customHeight="1">
      <c r="A12" s="2" t="inlineStr">
        <is>
          <t>業務仕様書：資産維持費3%を原価に組み込むこと　→ B14セルを3.0%に設定してください</t>
        </is>
      </c>
    </row>
    <row r="13" ht="28" customHeight="1">
      <c r="A13" s="4" t="inlineStr">
        <is>
          <t>入力項目</t>
        </is>
      </c>
      <c r="B13" s="12" t="inlineStr">
        <is>
          <t>★入力値</t>
        </is>
      </c>
      <c r="C13" s="4" t="inlineStr">
        <is>
          <t>単位</t>
        </is>
      </c>
      <c r="D13" s="4" t="inlineStr">
        <is>
          <t>1.0%</t>
        </is>
      </c>
      <c r="E13" s="4" t="inlineStr">
        <is>
          <t>1.5%</t>
        </is>
      </c>
      <c r="F13" s="4" t="inlineStr">
        <is>
          <t>2.0%</t>
        </is>
      </c>
      <c r="G13" s="4" t="inlineStr">
        <is>
          <t>2.5%</t>
        </is>
      </c>
      <c r="H13" s="4" t="inlineStr">
        <is>
          <t>3.0%（正式）</t>
        </is>
      </c>
      <c r="I13" s="4" t="inlineStr">
        <is>
          <t>根拠</t>
        </is>
      </c>
    </row>
    <row r="14" ht="32" customHeight="1">
      <c r="A14" s="13" t="inlineStr">
        <is>
          <t>資産維持率</t>
        </is>
      </c>
      <c r="B14" s="14" t="n">
        <v>0.03</v>
      </c>
      <c r="C14" s="15" t="inlineStr">
        <is>
          <t>（%）</t>
        </is>
      </c>
      <c r="D14" s="16" t="n">
        <v>0.01</v>
      </c>
      <c r="E14" s="16" t="n">
        <v>0.015</v>
      </c>
      <c r="F14" s="16" t="n">
        <v>0.02</v>
      </c>
      <c r="G14" s="16" t="n">
        <v>0.025</v>
      </c>
      <c r="H14" s="16" t="n">
        <v>0.03</v>
      </c>
      <c r="I14" s="17" t="inlineStr">
        <is>
          <t>日本水道協会「水道料金算定要領」標準3%。業務仕様書では3%を正式ケースとして指定。</t>
        </is>
      </c>
    </row>
    <row r="15" ht="5" customHeight="1"/>
    <row r="16" ht="16" customHeight="1">
      <c r="A16" s="3" t="inlineStr">
        <is>
          <t>【C】対象資産（資産維持費の算定基礎）</t>
        </is>
      </c>
    </row>
    <row r="17" ht="28" customHeight="1">
      <c r="A17" s="4" t="inlineStr">
        <is>
          <t>項目</t>
        </is>
      </c>
      <c r="B17" s="4" t="inlineStr">
        <is>
          <t>金額（千円）</t>
        </is>
      </c>
      <c r="C17" s="4" t="inlineStr">
        <is>
          <t>入力区分</t>
        </is>
      </c>
      <c r="D17" s="4" t="inlineStr">
        <is>
          <t>根拠・算定方法</t>
        </is>
      </c>
      <c r="E17" s="5" t="n"/>
      <c r="F17" s="5" t="n"/>
      <c r="G17" s="5" t="n"/>
      <c r="H17" s="5" t="n"/>
      <c r="I17" s="5" t="n"/>
      <c r="J17" s="6" t="n"/>
    </row>
    <row r="18" ht="20" customHeight="1">
      <c r="A18" s="18" t="inlineStr">
        <is>
          <t>対象資産①：期首（R8.4.1）</t>
        </is>
      </c>
      <c r="B18" s="19" t="n">
        <v>1042625</v>
      </c>
      <c r="C18" s="20" t="inlineStr">
        <is>
          <t>★入力</t>
        </is>
      </c>
      <c r="D18" s="21" t="inlineStr">
        <is>
          <t>試算シート【料金算定】資産維持費シート帳簿価額。R8固定資産台帳で要更新。</t>
        </is>
      </c>
    </row>
    <row r="19" ht="20" customHeight="1">
      <c r="A19" s="18" t="inlineStr">
        <is>
          <t>対象資産②：期末（R12.3.31）</t>
        </is>
      </c>
      <c r="B19" s="19" t="n">
        <v>750000</v>
      </c>
      <c r="C19" s="20" t="inlineStr">
        <is>
          <t>★入力</t>
        </is>
      </c>
      <c r="D19" s="21" t="inlineStr">
        <is>
          <t>推計値。R8〜R12の減価償却・新規取得を考慮。確定後に要修正。</t>
        </is>
      </c>
    </row>
    <row r="20" ht="20" customHeight="1">
      <c r="A20" s="7" t="inlineStr">
        <is>
          <t>対象資産（期首期末平均）</t>
        </is>
      </c>
      <c r="B20" s="22">
        <f>ROUND((B18+B19)/2,0)</f>
        <v/>
      </c>
      <c r="C20" s="23" t="inlineStr">
        <is>
          <t>自動</t>
        </is>
      </c>
      <c r="D20" s="21" t="inlineStr">
        <is>
          <t>自動計算 =(B18+B19)/2</t>
        </is>
      </c>
    </row>
    <row r="21" ht="20" customHeight="1">
      <c r="A21" s="24" t="inlineStr">
        <is>
          <t>資産維持費（年間）</t>
        </is>
      </c>
      <c r="B21" s="25">
        <f>ROUND(B20*B14,0)</f>
        <v/>
      </c>
      <c r="C21" s="26" t="inlineStr">
        <is>
          <t>自動</t>
        </is>
      </c>
      <c r="D21" s="21" t="inlineStr">
        <is>
          <t>自動計算 =B20×B14（資産維持率）</t>
        </is>
      </c>
    </row>
    <row r="22" ht="20" customHeight="1">
      <c r="A22" s="24" t="inlineStr">
        <is>
          <t>資産維持費（5年合計）</t>
        </is>
      </c>
      <c r="B22" s="25">
        <f>B21*5</f>
        <v/>
      </c>
      <c r="C22" s="26" t="inlineStr">
        <is>
          <t>自動</t>
        </is>
      </c>
      <c r="D22" s="21" t="inlineStr">
        <is>
          <t>自動計算 =B21×5</t>
        </is>
      </c>
    </row>
    <row r="23" ht="5" customHeight="1"/>
    <row r="24" ht="16" customHeight="1">
      <c r="A24" s="27" t="inlineStr">
        <is>
          <t>【D】有収水量・料金収入（R8〜R12推計）</t>
        </is>
      </c>
    </row>
    <row r="25" ht="28" customHeight="1">
      <c r="A25" s="28" t="inlineStr">
        <is>
          <t>年度</t>
        </is>
      </c>
      <c r="B25" s="28" t="inlineStr">
        <is>
          <t>有収水量（㎥）</t>
        </is>
      </c>
      <c r="C25" s="28" t="inlineStr">
        <is>
          <t>使用料収入（千円）</t>
        </is>
      </c>
      <c r="D25" s="28" t="inlineStr">
        <is>
          <t>給水人口（人）</t>
        </is>
      </c>
      <c r="E25" s="28" t="inlineStr">
        <is>
          <t>改定前収入（千円）</t>
        </is>
      </c>
      <c r="F25" s="28" t="inlineStr">
        <is>
          <t>備考</t>
        </is>
      </c>
      <c r="G25" s="5" t="n"/>
      <c r="H25" s="5" t="n"/>
      <c r="I25" s="5" t="n"/>
      <c r="J25" s="6" t="n"/>
    </row>
    <row r="26" ht="18" customHeight="1">
      <c r="A26" s="29" t="inlineStr">
        <is>
          <t>R8期首</t>
        </is>
      </c>
      <c r="B26" s="30" t="n">
        <v>901000</v>
      </c>
      <c r="C26" s="30" t="n">
        <v>121539</v>
      </c>
      <c r="D26" s="30" t="n">
        <v>5625</v>
      </c>
      <c r="E26" s="30" t="n">
        <v>121539</v>
      </c>
      <c r="F26" s="21" t="inlineStr">
        <is>
          <t>管路更新10.4億円集中年度</t>
        </is>
      </c>
    </row>
    <row r="27" ht="18" customHeight="1">
      <c r="A27" s="10" t="inlineStr">
        <is>
          <t>R9</t>
        </is>
      </c>
      <c r="B27" s="31" t="n">
        <v>883000</v>
      </c>
      <c r="C27" s="31" t="n">
        <v>119904</v>
      </c>
      <c r="D27" s="31" t="n">
        <v>5509</v>
      </c>
      <c r="E27" s="31" t="n">
        <v>119904</v>
      </c>
      <c r="F27" s="21" t="inlineStr">
        <is>
          <t>北上川導水管工事着手</t>
        </is>
      </c>
    </row>
    <row r="28" ht="18" customHeight="1">
      <c r="A28" s="8" t="inlineStr">
        <is>
          <t>R10</t>
        </is>
      </c>
      <c r="B28" s="32" t="n">
        <v>865000</v>
      </c>
      <c r="C28" s="32" t="n">
        <v>118312</v>
      </c>
      <c r="D28" s="32" t="n">
        <v>5396</v>
      </c>
      <c r="E28" s="32" t="n">
        <v>118312</v>
      </c>
      <c r="F28" s="21" t="inlineStr"/>
    </row>
    <row r="29" ht="18" customHeight="1">
      <c r="A29" s="10" t="inlineStr">
        <is>
          <t>R11</t>
        </is>
      </c>
      <c r="B29" s="31" t="n">
        <v>849000</v>
      </c>
      <c r="C29" s="31" t="n">
        <v>116955</v>
      </c>
      <c r="D29" s="31" t="n">
        <v>5285</v>
      </c>
      <c r="E29" s="31" t="n">
        <v>116955</v>
      </c>
      <c r="F29" s="21" t="inlineStr"/>
    </row>
    <row r="30" ht="18" customHeight="1">
      <c r="A30" s="29" t="inlineStr">
        <is>
          <t>R12期末</t>
        </is>
      </c>
      <c r="B30" s="30" t="n">
        <v>818000</v>
      </c>
      <c r="C30" s="30" t="n">
        <v>114135</v>
      </c>
      <c r="D30" s="30" t="n">
        <v>5102</v>
      </c>
      <c r="E30" s="30" t="n">
        <v>114135</v>
      </c>
      <c r="F30" s="21" t="inlineStr"/>
    </row>
    <row r="31" ht="20" customHeight="1">
      <c r="A31" s="33" t="inlineStr">
        <is>
          <t>5年合計</t>
        </is>
      </c>
      <c r="B31" s="34">
        <f>SUM(B26:B30)</f>
        <v/>
      </c>
      <c r="C31" s="34">
        <f>SUM(C26:C30)</f>
        <v/>
      </c>
      <c r="D31" s="34">
        <f>ROUND(AVERAGE(D26:D30),0)</f>
        <v/>
      </c>
      <c r="E31" s="34">
        <f>SUM(E26:E30)</f>
        <v/>
      </c>
      <c r="F31" s="35" t="inlineStr">
        <is>
          <t>5年合計・平均</t>
        </is>
      </c>
    </row>
  </sheetData>
  <mergeCells count="26">
    <mergeCell ref="F29:J29"/>
    <mergeCell ref="D18:J18"/>
    <mergeCell ref="D9:J9"/>
    <mergeCell ref="D8:J8"/>
    <mergeCell ref="F25:J25"/>
    <mergeCell ref="A4:J4"/>
    <mergeCell ref="D5:J5"/>
    <mergeCell ref="F30:J30"/>
    <mergeCell ref="D20:J20"/>
    <mergeCell ref="A24:J24"/>
    <mergeCell ref="D19:J19"/>
    <mergeCell ref="F26:J26"/>
    <mergeCell ref="A11:J11"/>
    <mergeCell ref="A1:J1"/>
    <mergeCell ref="D22:J22"/>
    <mergeCell ref="D21:J21"/>
    <mergeCell ref="D6:J6"/>
    <mergeCell ref="F28:J28"/>
    <mergeCell ref="F31:J31"/>
    <mergeCell ref="I14:J14"/>
    <mergeCell ref="A16:J16"/>
    <mergeCell ref="F27:J27"/>
    <mergeCell ref="D17:J17"/>
    <mergeCell ref="D7:J7"/>
    <mergeCell ref="A12:J12"/>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workbookViewId="0">
      <pane ySplit="7" topLeftCell="A8"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4" customWidth="1" min="7" max="7"/>
    <col width="12" customWidth="1" min="8" max="8"/>
    <col width="12" customWidth="1" min="9" max="9"/>
    <col width="8" customWidth="1" min="10" max="10"/>
    <col width="8" customWidth="1" min="11" max="11"/>
    <col width="30" customWidth="1" min="12" max="12"/>
  </cols>
  <sheetData>
    <row r="1" ht="22" customHeight="1">
      <c r="A1" s="1" t="inlineStr">
        <is>
          <t>女川町水道事業　総括原価の算定　R8〜R12（5年間）　資産維持費3%を正式ケースとして算入</t>
        </is>
      </c>
    </row>
    <row r="2" ht="12" customHeight="1">
      <c r="A2" s="2" t="inlineStr">
        <is>
          <t>業務仕様書要求：資産維持費3%を原価に組み込むこと。「前提条件」シートB14セルの資産維持率と連動。　給水原価 ＝ 総括原価5年計÷有収水量5年計（円/㎥）</t>
        </is>
      </c>
    </row>
    <row r="3" ht="5" customHeight="1"/>
    <row r="4" ht="26" customHeight="1">
      <c r="A4" s="36">
        <f>" ▶ 現在の資産維持率："&amp;TEXT('01_前提条件'!B14,"0.00%")&amp;"　資産維持費（年間）："&amp;TEXT('01_前提条件'!B21,"#,##0")&amp;"千円"&amp;"　総括原価5年："&amp;TEXT(H23*1000,"#,##0")&amp;"百万円"</f>
        <v/>
      </c>
    </row>
    <row r="5" ht="5" customHeight="1"/>
    <row r="6" ht="16" customHeight="1">
      <c r="A6" s="3" t="inlineStr">
        <is>
          <t>【費目別原価集計】　単位：千円</t>
        </is>
      </c>
    </row>
    <row r="7" ht="44" customHeight="1">
      <c r="A7" s="4" t="inlineStr">
        <is>
          <t>費目</t>
        </is>
      </c>
      <c r="B7" s="4" t="inlineStr">
        <is>
          <t>算入区分</t>
        </is>
      </c>
      <c r="C7" s="4" t="inlineStr">
        <is>
          <t>R8</t>
        </is>
      </c>
      <c r="D7" s="4" t="inlineStr">
        <is>
          <t>R9</t>
        </is>
      </c>
      <c r="E7" s="4" t="inlineStr">
        <is>
          <t>R10</t>
        </is>
      </c>
      <c r="F7" s="4" t="inlineStr">
        <is>
          <t>R11</t>
        </is>
      </c>
      <c r="G7" s="4" t="inlineStr">
        <is>
          <t>R12</t>
        </is>
      </c>
      <c r="H7" s="4" t="inlineStr">
        <is>
          <t>5年合計</t>
        </is>
      </c>
      <c r="I7" s="4" t="inlineStr">
        <is>
          <t>年平均</t>
        </is>
      </c>
      <c r="J7" s="4" t="inlineStr">
        <is>
          <t>構成比</t>
        </is>
      </c>
      <c r="K7" s="4" t="inlineStr">
        <is>
          <t>変動</t>
        </is>
      </c>
      <c r="L7" s="4" t="inlineStr">
        <is>
          <t>備考</t>
        </is>
      </c>
    </row>
    <row r="8" ht="20" customHeight="1">
      <c r="A8" s="37" t="inlineStr">
        <is>
          <t>Ⅰ 維持管理費（減価償却費除く）</t>
        </is>
      </c>
      <c r="B8" s="23" t="inlineStr">
        <is>
          <t>＋</t>
        </is>
      </c>
      <c r="C8" s="38" t="n">
        <v>131926</v>
      </c>
      <c r="D8" s="38" t="n">
        <v>133182</v>
      </c>
      <c r="E8" s="38" t="n">
        <v>134453</v>
      </c>
      <c r="F8" s="38" t="n">
        <v>135742</v>
      </c>
      <c r="G8" s="38" t="n">
        <v>137024</v>
      </c>
      <c r="H8" s="34">
        <f>SUM(C8:G8)</f>
        <v/>
      </c>
      <c r="I8" s="39">
        <f>H8/5</f>
        <v/>
      </c>
      <c r="J8" s="40">
        <f>IF(H15&lt;&gt;0,ABS(H8)/ABS(H15),0)</f>
        <v/>
      </c>
      <c r="K8" s="41" t="inlineStr">
        <is>
          <t>固定</t>
        </is>
      </c>
      <c r="L8" s="21" t="inlineStr">
        <is>
          <t>財政シミュ（営業費用−減価償却費）人件費・動力費・修繕費・委託料等</t>
        </is>
      </c>
    </row>
    <row r="9" ht="20" customHeight="1">
      <c r="A9" s="37" t="inlineStr">
        <is>
          <t>Ⅱ 減価償却費</t>
        </is>
      </c>
      <c r="B9" s="23" t="inlineStr">
        <is>
          <t>＋</t>
        </is>
      </c>
      <c r="C9" s="38" t="n">
        <v>395267</v>
      </c>
      <c r="D9" s="38" t="n">
        <v>414923</v>
      </c>
      <c r="E9" s="38" t="n">
        <v>412863</v>
      </c>
      <c r="F9" s="38" t="n">
        <v>407153</v>
      </c>
      <c r="G9" s="38" t="n">
        <v>402234</v>
      </c>
      <c r="H9" s="34">
        <f>SUM(C9:G9)</f>
        <v/>
      </c>
      <c r="I9" s="39">
        <f>H9/5</f>
        <v/>
      </c>
      <c r="J9" s="40">
        <f>IF(H15&lt;&gt;0,ABS(H9)/ABS(H15),0)</f>
        <v/>
      </c>
      <c r="K9" s="41" t="inlineStr">
        <is>
          <t>固定</t>
        </is>
      </c>
      <c r="L9" s="21" t="inlineStr">
        <is>
          <t>財政シミュ Row52。管路更新・北上川導水管の新規取得含む。★最大費目（81%）</t>
        </is>
      </c>
    </row>
    <row r="10" ht="20" customHeight="1">
      <c r="A10" s="7" t="inlineStr">
        <is>
          <t>Ⅲ 支払利息（既往債）</t>
        </is>
      </c>
      <c r="B10" s="23" t="inlineStr">
        <is>
          <t>＋</t>
        </is>
      </c>
      <c r="C10" s="42" t="n">
        <v>10790</v>
      </c>
      <c r="D10" s="42" t="n">
        <v>10530</v>
      </c>
      <c r="E10" s="42" t="n">
        <v>10172</v>
      </c>
      <c r="F10" s="42" t="n">
        <v>9805</v>
      </c>
      <c r="G10" s="42" t="n">
        <v>9288</v>
      </c>
      <c r="H10" s="34">
        <f>SUM(C10:G10)</f>
        <v/>
      </c>
      <c r="I10" s="39">
        <f>H10/5</f>
        <v/>
      </c>
      <c r="J10" s="40">
        <f>IF(H15&lt;&gt;0,ABS(H10)/ABS(H15),0)</f>
        <v/>
      </c>
      <c r="K10" s="41" t="inlineStr">
        <is>
          <t>固定</t>
        </is>
      </c>
      <c r="L10" s="21" t="inlineStr">
        <is>
          <t>財政シミュ Row60。逓減傾向。</t>
        </is>
      </c>
    </row>
    <row r="11" ht="20" customHeight="1">
      <c r="A11" s="7" t="inlineStr">
        <is>
          <t>Ⅳ 支払利息（新規債）</t>
        </is>
      </c>
      <c r="B11" s="23" t="inlineStr">
        <is>
          <t>＋</t>
        </is>
      </c>
      <c r="C11" s="42" t="n">
        <v>9238</v>
      </c>
      <c r="D11" s="42" t="n">
        <v>18507</v>
      </c>
      <c r="E11" s="42" t="n">
        <v>26641</v>
      </c>
      <c r="F11" s="42" t="n">
        <v>34316</v>
      </c>
      <c r="G11" s="42" t="n">
        <v>38700</v>
      </c>
      <c r="H11" s="34">
        <f>SUM(C11:G11)</f>
        <v/>
      </c>
      <c r="I11" s="39">
        <f>H11/5</f>
        <v/>
      </c>
      <c r="J11" s="40">
        <f>IF(H15&lt;&gt;0,ABS(H11)/ABS(H15),0)</f>
        <v/>
      </c>
      <c r="K11" s="41" t="inlineStr">
        <is>
          <t>固定</t>
        </is>
      </c>
      <c r="L11" s="21" t="inlineStr">
        <is>
          <t>財政シミュ Row61。北上川導水管借入後に急増。</t>
        </is>
      </c>
    </row>
    <row r="12" ht="20" customHeight="1">
      <c r="A12" s="43" t="inlineStr">
        <is>
          <t>Ⅴ 資産維持費（★前提シート連動）</t>
        </is>
      </c>
      <c r="B12" s="20" t="inlineStr">
        <is>
          <t>＋</t>
        </is>
      </c>
      <c r="C12" s="44">
        <f>'01_前提条件'!B21</f>
        <v/>
      </c>
      <c r="D12" s="44">
        <f>'01_前提条件'!B21</f>
        <v/>
      </c>
      <c r="E12" s="44">
        <f>'01_前提条件'!B21</f>
        <v/>
      </c>
      <c r="F12" s="44">
        <f>'01_前提条件'!B21</f>
        <v/>
      </c>
      <c r="G12" s="44">
        <f>'01_前提条件'!B21</f>
        <v/>
      </c>
      <c r="H12" s="44">
        <f>SUM(C12:G12)</f>
        <v/>
      </c>
      <c r="I12" s="45">
        <f>H12/5</f>
        <v/>
      </c>
      <c r="J12" s="46">
        <f>IF(H15&lt;&gt;0,ABS(H12)/ABS(H15),0)</f>
        <v/>
      </c>
      <c r="K12" s="47" t="inlineStr">
        <is>
          <t>★変動</t>
        </is>
      </c>
      <c r="L12" s="21" t="inlineStr">
        <is>
          <t>前提シートB21（資産維持費年間）から参照。資産維持率変更で自動更新。</t>
        </is>
      </c>
    </row>
    <row r="13" ht="20" customHeight="1">
      <c r="A13" s="48" t="inlineStr">
        <is>
          <t>Ⅵ 控除：長期前受金戻入益</t>
        </is>
      </c>
      <c r="B13" s="49" t="inlineStr">
        <is>
          <t>－</t>
        </is>
      </c>
      <c r="C13" s="50" t="n">
        <v>-94000</v>
      </c>
      <c r="D13" s="50" t="n">
        <v>-92000</v>
      </c>
      <c r="E13" s="50" t="n">
        <v>-90000</v>
      </c>
      <c r="F13" s="50" t="n">
        <v>-88000</v>
      </c>
      <c r="G13" s="50" t="n">
        <v>-86000</v>
      </c>
      <c r="H13" s="34">
        <f>SUM(C13:G13)</f>
        <v/>
      </c>
      <c r="I13" s="39">
        <f>H13/5</f>
        <v/>
      </c>
      <c r="J13" s="51">
        <f>IF(H15&lt;&gt;0,ABS(H13)/ABS(H15),0)</f>
        <v/>
      </c>
      <c r="K13" s="52" t="inlineStr">
        <is>
          <t>固定</t>
        </is>
      </c>
      <c r="L13" s="21" t="inlineStr">
        <is>
          <t>（推計）非キャッシュ控除。減価償却費の約22%を相殺。</t>
        </is>
      </c>
    </row>
    <row r="14" ht="20" customHeight="1">
      <c r="A14" s="48" t="inlineStr">
        <is>
          <t>Ⅶ 控除：他会計補助金等</t>
        </is>
      </c>
      <c r="B14" s="49" t="inlineStr">
        <is>
          <t>－</t>
        </is>
      </c>
      <c r="C14" s="50" t="n">
        <v>-3000</v>
      </c>
      <c r="D14" s="50" t="n">
        <v>-3000</v>
      </c>
      <c r="E14" s="50" t="n">
        <v>-3000</v>
      </c>
      <c r="F14" s="50" t="n">
        <v>-3000</v>
      </c>
      <c r="G14" s="50" t="n">
        <v>-3000</v>
      </c>
      <c r="H14" s="34">
        <f>SUM(C14:G14)</f>
        <v/>
      </c>
      <c r="I14" s="39">
        <f>H14/5</f>
        <v/>
      </c>
      <c r="J14" s="51">
        <f>IF(H15&lt;&gt;0,ABS(H14)/ABS(H15),0)</f>
        <v/>
      </c>
      <c r="K14" s="52" t="inlineStr">
        <is>
          <t>固定</t>
        </is>
      </c>
      <c r="L14" s="21" t="inlineStr">
        <is>
          <t>（推計）基準内繰入金等の控除。要精査。</t>
        </is>
      </c>
    </row>
    <row r="15" ht="24" customHeight="1">
      <c r="A15" s="53" t="inlineStr">
        <is>
          <t>総括原価　合　計</t>
        </is>
      </c>
      <c r="B15" s="54" t="inlineStr"/>
      <c r="C15" s="55">
        <f>SUM(C8:C14)</f>
        <v/>
      </c>
      <c r="D15" s="55">
        <f>SUM(D8:D14)</f>
        <v/>
      </c>
      <c r="E15" s="55">
        <f>SUM(E8:E14)</f>
        <v/>
      </c>
      <c r="F15" s="55">
        <f>SUM(F8:F14)</f>
        <v/>
      </c>
      <c r="G15" s="55">
        <f>SUM(G8:G14)</f>
        <v/>
      </c>
      <c r="H15" s="56">
        <f>SUM(C15:G15)</f>
        <v/>
      </c>
      <c r="I15" s="57">
        <f>H15/5</f>
        <v/>
      </c>
      <c r="J15" s="58">
        <f>1</f>
        <v/>
      </c>
      <c r="K15" s="59" t="n"/>
      <c r="L15" s="59" t="n"/>
    </row>
    <row r="16" ht="5" customHeight="1"/>
    <row r="17" ht="16" customHeight="1">
      <c r="A17" s="60" t="inlineStr">
        <is>
          <t>【給水原価・料金回収率の算定】（前提シート連動で自動計算）</t>
        </is>
      </c>
    </row>
    <row r="18" ht="28" customHeight="1">
      <c r="A18" s="61" t="inlineStr">
        <is>
          <t>指標</t>
        </is>
      </c>
      <c r="B18" s="61" t="inlineStr">
        <is>
          <t>算定値（自動計算）</t>
        </is>
      </c>
      <c r="C18" s="5" t="n"/>
      <c r="D18" s="6" t="n"/>
      <c r="E18" s="61" t="inlineStr">
        <is>
          <t>参考：R5実績</t>
        </is>
      </c>
      <c r="F18" s="61" t="inlineStr">
        <is>
          <t>差異</t>
        </is>
      </c>
      <c r="G18" s="61" t="inlineStr">
        <is>
          <t>算定根拠・説明</t>
        </is>
      </c>
      <c r="H18" s="5" t="n"/>
      <c r="I18" s="5" t="n"/>
      <c r="J18" s="5" t="n"/>
      <c r="K18" s="5" t="n"/>
      <c r="L18" s="6" t="n"/>
    </row>
    <row r="19" ht="22" customHeight="1">
      <c r="A19" s="62" t="inlineStr">
        <is>
          <t>5年間 有収水量</t>
        </is>
      </c>
      <c r="B19" s="62" t="inlineStr">
        <is>
          <t>4,316,000㎥</t>
        </is>
      </c>
      <c r="E19" s="63" t="n"/>
      <c r="F19" s="64" t="n"/>
      <c r="G19" s="21" t="inlineStr">
        <is>
          <t>財政シミュ水需要予測より</t>
        </is>
      </c>
    </row>
    <row r="20" ht="22" customHeight="1">
      <c r="A20" s="9" t="inlineStr">
        <is>
          <t>5年間 総括原価</t>
        </is>
      </c>
      <c r="B20" s="65">
        <f>H15&amp;"千円"</f>
        <v/>
      </c>
      <c r="E20" s="63" t="n"/>
      <c r="F20" s="66" t="n"/>
      <c r="G20" s="21" t="inlineStr">
        <is>
          <t>上記費目合計（資産維持率連動）</t>
        </is>
      </c>
    </row>
    <row r="21" ht="22" customHeight="1">
      <c r="A21" s="43" t="inlineStr">
        <is>
          <t>給水原価（算定値）</t>
        </is>
      </c>
      <c r="B21" s="67">
        <f>ROUND(H15*1000/4316000,1)&amp;"円/㎥"</f>
        <v/>
      </c>
      <c r="E21" s="21" t="inlineStr">
        <is>
          <t>約242円（R5実績逆算）</t>
        </is>
      </c>
      <c r="F21" s="68" t="n"/>
      <c r="G21" s="21" t="inlineStr">
        <is>
          <t>総括原価×1000÷有収水量。R5実績の料金回収率52.87%から逆算した242円とは別概念（注参照）</t>
        </is>
      </c>
    </row>
    <row r="22" ht="22" customHeight="1">
      <c r="A22" s="9" t="inlineStr">
        <is>
          <t>現行供給単価（R7実績）</t>
        </is>
      </c>
      <c r="B22" s="9" t="inlineStr">
        <is>
          <t>128.2円/㎥</t>
        </is>
      </c>
      <c r="E22" s="63" t="n"/>
      <c r="F22" s="66" t="n"/>
      <c r="G22" s="21" t="inlineStr">
        <is>
          <t>131,429千円÷1,025千㎥（R7実績）</t>
        </is>
      </c>
    </row>
    <row r="23" ht="22" customHeight="1">
      <c r="A23" s="43" t="inlineStr">
        <is>
          <t>料金回収率（現行供給単価ベース）</t>
        </is>
      </c>
      <c r="B23" s="67">
        <f>TEXT(128.2/ROUND(H15*1000/4316000,1),"0.0%")&amp;"（総括原価ベース）"</f>
        <v/>
      </c>
      <c r="E23" s="21" t="inlineStr">
        <is>
          <t>52.87%（R5実績ベース）</t>
        </is>
      </c>
      <c r="F23" s="68" t="n"/>
      <c r="G23" s="21" t="inlineStr">
        <is>
          <t>【重要】R5実績242円ベースと総括原価572円ベースの乖離に注意（md Section5.2参照）</t>
        </is>
      </c>
    </row>
    <row r="24" ht="22" customHeight="1">
      <c r="A24" s="9" t="inlineStr">
        <is>
          <t>改定後 供給単価（試算シート案1.5倍）</t>
        </is>
      </c>
      <c r="B24" s="9" t="inlineStr">
        <is>
          <t>約192円/㎥</t>
        </is>
      </c>
      <c r="E24" s="63" t="n"/>
      <c r="F24" s="66" t="n"/>
      <c r="G24" s="21" t="inlineStr">
        <is>
          <t>基本料金1.5倍・超過+22円の改定案。R5実績ベースの料金回収率は79%に改善。</t>
        </is>
      </c>
    </row>
    <row r="25" ht="22" customHeight="1">
      <c r="A25" s="43" t="inlineStr">
        <is>
          <t>料金回収率（改定後・R5実績ベース）</t>
        </is>
      </c>
      <c r="B25" s="43" t="inlineStr">
        <is>
          <t>約79%</t>
        </is>
      </c>
      <c r="E25" s="21" t="inlineStr">
        <is>
          <t>100%（目標）</t>
        </is>
      </c>
      <c r="F25" s="68" t="n"/>
      <c r="G25" s="21" t="inlineStr">
        <is>
          <t>R5実績給水原価242円ベース。総括原価ベースでは約34%。段階改定の必要性を示す。</t>
        </is>
      </c>
    </row>
    <row r="26" ht="50" customHeight="1">
      <c r="A26" s="69" t="inlineStr">
        <is>
          <t>【料金回収率の説明方法（仕様書対応・md Section5.2）】
① R5実績ベース（給水原価約242円）：1.5倍改定で供給単価192円→回収率79%に改善。住民向け説明に使用。
② R8〜R12総括原価ベース（給水原価約572円）：改定後でも回収率約34%。段階改定・繰入金の必要性を説明する場面で使用。</t>
        </is>
      </c>
    </row>
    <row r="27"/>
    <row r="28"/>
  </sheetData>
  <mergeCells count="29">
    <mergeCell ref="L9"/>
    <mergeCell ref="G19:L19"/>
    <mergeCell ref="B23:D23"/>
    <mergeCell ref="G18:L18"/>
    <mergeCell ref="L11"/>
    <mergeCell ref="A2:L2"/>
    <mergeCell ref="B19:D19"/>
    <mergeCell ref="G24:L24"/>
    <mergeCell ref="A17:L17"/>
    <mergeCell ref="A26:L28"/>
    <mergeCell ref="G20:L20"/>
    <mergeCell ref="B24:D24"/>
    <mergeCell ref="B20:D20"/>
    <mergeCell ref="A4:L4"/>
    <mergeCell ref="L13"/>
    <mergeCell ref="G25:L25"/>
    <mergeCell ref="L12"/>
    <mergeCell ref="G22:L22"/>
    <mergeCell ref="B25:D25"/>
    <mergeCell ref="G21:L21"/>
    <mergeCell ref="L14"/>
    <mergeCell ref="L8"/>
    <mergeCell ref="B22:D22"/>
    <mergeCell ref="A1:L1"/>
    <mergeCell ref="B18:D18"/>
    <mergeCell ref="G23:L23"/>
    <mergeCell ref="A6:L6"/>
    <mergeCell ref="B21:D21"/>
    <mergeCell ref="L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22" customWidth="1" min="1" max="1"/>
    <col width="8" customWidth="1" min="2" max="2"/>
    <col width="7" customWidth="1" min="3" max="3"/>
    <col width="8" customWidth="1" min="4" max="4"/>
    <col width="9" customWidth="1" min="5" max="5"/>
    <col width="9" customWidth="1" min="6" max="6"/>
    <col width="11" customWidth="1" min="7" max="7"/>
    <col width="12" customWidth="1" min="8" max="8"/>
    <col width="10" customWidth="1" min="9" max="9"/>
    <col width="10" customWidth="1" min="10" max="10"/>
    <col width="11" customWidth="1" min="11" max="11"/>
    <col width="12" customWidth="1" min="12" max="12"/>
    <col width="20" customWidth="1" min="13" max="13"/>
  </cols>
  <sheetData>
    <row r="1" ht="22" customHeight="1">
      <c r="A1" s="1" t="inlineStr">
        <is>
          <t>女川町水道事業　料金改定シミュレーション①　現行体系維持案（仕様書パターン1）</t>
        </is>
      </c>
    </row>
    <row r="2" ht="12" customHeight="1">
      <c r="A2" s="2" t="inlineStr">
        <is>
          <t>現行の用途別・逓減制を維持したまま、総括原価（資産維持費3%含む）に対する必要改定率を算定する。　一律改定率・標準家庭影響・大口影響・水産加工業影響を整理。</t>
        </is>
      </c>
    </row>
    <row r="3" ht="5" customHeight="1"/>
    <row r="4" ht="16" customHeight="1">
      <c r="A4" s="3" t="inlineStr">
        <is>
          <t>【A】資産維持率別 必要改定率・供給単価（前提シートB14と連動）</t>
        </is>
      </c>
    </row>
    <row r="5" ht="52" customHeight="1">
      <c r="A5" s="4" t="inlineStr">
        <is>
          <t>資産維持率</t>
        </is>
      </c>
      <c r="B5" s="4" t="inlineStr">
        <is>
          <t>資産維持費
年間（千円）</t>
        </is>
      </c>
      <c r="C5" s="4" t="inlineStr">
        <is>
          <t>総括原価
5年計（千円）</t>
        </is>
      </c>
      <c r="D5" s="4" t="inlineStr">
        <is>
          <t>現行収入
5年計（千円）</t>
        </is>
      </c>
      <c r="E5" s="4" t="inlineStr">
        <is>
          <t>年間不足額
（千円）</t>
        </is>
      </c>
      <c r="F5" s="4" t="inlineStr">
        <is>
          <t>必要改定率
（一律）</t>
        </is>
      </c>
      <c r="G5" s="4" t="inlineStr">
        <is>
          <t>給水原価
（円/㎥）</t>
        </is>
      </c>
      <c r="H5" s="4" t="inlineStr">
        <is>
          <t>料金回収率
現行128円</t>
        </is>
      </c>
      <c r="I5" s="4" t="inlineStr">
        <is>
          <t>料金回収率
改定後192円</t>
        </is>
      </c>
      <c r="J5" s="4" t="inlineStr">
        <is>
          <t>1件/月
不足額（円）</t>
        </is>
      </c>
      <c r="K5" s="4" t="inlineStr">
        <is>
          <t>評価</t>
        </is>
      </c>
    </row>
    <row r="6" ht="18" customHeight="1">
      <c r="A6" s="70" t="inlineStr">
        <is>
          <t>1.0%</t>
        </is>
      </c>
      <c r="B6" s="71" t="n">
        <v>8963</v>
      </c>
      <c r="C6" s="71" t="n">
        <v>2462569</v>
      </c>
      <c r="D6" s="71" t="n">
        <v>590845</v>
      </c>
      <c r="E6" s="72" t="n">
        <v>374345</v>
      </c>
      <c r="F6" s="73" t="n">
        <v>3.167876515837487</v>
      </c>
      <c r="G6" s="74" t="n">
        <v>570.6</v>
      </c>
      <c r="H6" s="75" t="n">
        <v>0.225</v>
      </c>
      <c r="I6" s="75" t="n">
        <v>0.337</v>
      </c>
      <c r="J6" s="72" t="n">
        <v>10211</v>
      </c>
      <c r="K6" s="21" t="inlineStr">
        <is>
          <t>△現設定</t>
        </is>
      </c>
    </row>
    <row r="7" ht="18" customHeight="1">
      <c r="A7" s="9" t="inlineStr">
        <is>
          <t>1.5%</t>
        </is>
      </c>
      <c r="B7" s="31" t="n">
        <v>13444</v>
      </c>
      <c r="C7" s="31" t="n">
        <v>2484974</v>
      </c>
      <c r="D7" s="31" t="n">
        <v>590845</v>
      </c>
      <c r="E7" s="76" t="n">
        <v>378826</v>
      </c>
      <c r="F7" s="77" t="n">
        <v>3.20579678257411</v>
      </c>
      <c r="G7" s="78" t="n">
        <v>575.8</v>
      </c>
      <c r="H7" s="79" t="n">
        <v>0.223</v>
      </c>
      <c r="I7" s="79" t="n">
        <v>0.334</v>
      </c>
      <c r="J7" s="76" t="n">
        <v>10333</v>
      </c>
      <c r="K7" s="80" t="inlineStr"/>
    </row>
    <row r="8" ht="18" customHeight="1">
      <c r="A8" s="70" t="inlineStr">
        <is>
          <t>2.0%</t>
        </is>
      </c>
      <c r="B8" s="71" t="n">
        <v>17926</v>
      </c>
      <c r="C8" s="71" t="n">
        <v>2507384</v>
      </c>
      <c r="D8" s="71" t="n">
        <v>590845</v>
      </c>
      <c r="E8" s="72" t="n">
        <v>383308</v>
      </c>
      <c r="F8" s="73" t="n">
        <v>3.243725511767045</v>
      </c>
      <c r="G8" s="74" t="n">
        <v>581</v>
      </c>
      <c r="H8" s="75" t="n">
        <v>0.221</v>
      </c>
      <c r="I8" s="75" t="n">
        <v>0.331</v>
      </c>
      <c r="J8" s="72" t="n">
        <v>10456</v>
      </c>
      <c r="K8" s="21" t="inlineStr"/>
    </row>
    <row r="9" ht="18" customHeight="1">
      <c r="A9" s="9" t="inlineStr">
        <is>
          <t>2.5%</t>
        </is>
      </c>
      <c r="B9" s="31" t="n">
        <v>22408</v>
      </c>
      <c r="C9" s="31" t="n">
        <v>2529794</v>
      </c>
      <c r="D9" s="31" t="n">
        <v>590845</v>
      </c>
      <c r="E9" s="76" t="n">
        <v>387790</v>
      </c>
      <c r="F9" s="77" t="n">
        <v>3.281654240959982</v>
      </c>
      <c r="G9" s="78" t="n">
        <v>586.1</v>
      </c>
      <c r="H9" s="79" t="n">
        <v>0.219</v>
      </c>
      <c r="I9" s="79" t="n">
        <v>0.328</v>
      </c>
      <c r="J9" s="76" t="n">
        <v>10578</v>
      </c>
      <c r="K9" s="80" t="inlineStr"/>
    </row>
    <row r="10" ht="18" customHeight="1">
      <c r="A10" s="43" t="inlineStr">
        <is>
          <t>3.0%（正式）　◀正式</t>
        </is>
      </c>
      <c r="B10" s="81" t="n">
        <v>26889</v>
      </c>
      <c r="C10" s="81" t="n">
        <v>2552199</v>
      </c>
      <c r="D10" s="82" t="n">
        <v>590845</v>
      </c>
      <c r="E10" s="83" t="n">
        <v>392271</v>
      </c>
      <c r="F10" s="84" t="n">
        <v>3.319574507696604</v>
      </c>
      <c r="G10" s="85" t="n">
        <v>591.3</v>
      </c>
      <c r="H10" s="86" t="n">
        <v>0.217</v>
      </c>
      <c r="I10" s="86" t="n">
        <v>0.325</v>
      </c>
      <c r="J10" s="83" t="n">
        <v>10700</v>
      </c>
      <c r="K10" s="17" t="inlineStr">
        <is>
          <t>◎要領標準・業務仕様書正式</t>
        </is>
      </c>
    </row>
    <row r="11" ht="5" customHeight="1"/>
    <row r="12" ht="16" customHeight="1">
      <c r="A12" s="60" t="inlineStr">
        <is>
          <t>【B】水量ゾーン別 改定案の影響試算（現行体系維持・一律引き上げ）</t>
        </is>
      </c>
    </row>
    <row r="13" ht="52" customHeight="1">
      <c r="A13" s="61" t="inlineStr">
        <is>
          <t>水量ゾーン</t>
        </is>
      </c>
      <c r="B13" s="61" t="inlineStr">
        <is>
          <t>月平均
水量(㎥)</t>
        </is>
      </c>
      <c r="C13" s="61" t="inlineStr">
        <is>
          <t>月次
件数</t>
        </is>
      </c>
      <c r="D13" s="61" t="inlineStr">
        <is>
          <t>現行
料金(円)</t>
        </is>
      </c>
      <c r="E13" s="61" t="inlineStr">
        <is>
          <t>+10%改定
後(円)</t>
        </is>
      </c>
      <c r="F13" s="61" t="inlineStr">
        <is>
          <t>+20%改定
後(円)</t>
        </is>
      </c>
      <c r="G13" s="61" t="inlineStr">
        <is>
          <t>現行体系
+22円超過
改定案(円)</t>
        </is>
      </c>
      <c r="H13" s="61" t="inlineStr">
        <is>
          <t>試算シート案
基本1.5倍
+22円超過(円)</t>
        </is>
      </c>
      <c r="I13" s="61" t="inlineStr">
        <is>
          <t>+10%月次
増収(千円)</t>
        </is>
      </c>
      <c r="J13" s="61" t="inlineStr">
        <is>
          <t>+20%月次
増収(千円)</t>
        </is>
      </c>
      <c r="K13" s="61" t="inlineStr">
        <is>
          <t>+22円超過
月次増収(千円)</t>
        </is>
      </c>
      <c r="L13" s="61" t="inlineStr">
        <is>
          <t>試算シート
月次増収(千円)</t>
        </is>
      </c>
    </row>
    <row r="14" ht="18" customHeight="1">
      <c r="A14" s="87" t="inlineStr">
        <is>
          <t>① 0㎥</t>
        </is>
      </c>
      <c r="B14" s="88" t="n">
        <v>0</v>
      </c>
      <c r="C14" s="89" t="n">
        <v>297</v>
      </c>
      <c r="D14" s="89" t="n">
        <v>990</v>
      </c>
      <c r="E14" s="89" t="n">
        <v>1089</v>
      </c>
      <c r="F14" s="89" t="n">
        <v>1188</v>
      </c>
      <c r="G14" s="89" t="n">
        <v>990</v>
      </c>
      <c r="H14" s="90" t="n">
        <v>1760</v>
      </c>
      <c r="I14" s="91" t="n">
        <v>29.4</v>
      </c>
      <c r="J14" s="91" t="n">
        <v>58.8</v>
      </c>
      <c r="K14" s="91" t="n">
        <v>0</v>
      </c>
      <c r="L14" s="92" t="n">
        <v>228.7</v>
      </c>
    </row>
    <row r="15" ht="18" customHeight="1">
      <c r="A15" s="87" t="inlineStr">
        <is>
          <t>② 1〜5㎥</t>
        </is>
      </c>
      <c r="B15" s="88" t="n">
        <v>2.9</v>
      </c>
      <c r="C15" s="89" t="n">
        <v>513</v>
      </c>
      <c r="D15" s="89" t="n">
        <v>990</v>
      </c>
      <c r="E15" s="89" t="n">
        <v>1089</v>
      </c>
      <c r="F15" s="89" t="n">
        <v>1188</v>
      </c>
      <c r="G15" s="89" t="n">
        <v>990</v>
      </c>
      <c r="H15" s="90" t="n">
        <v>1760</v>
      </c>
      <c r="I15" s="91" t="n">
        <v>50.8</v>
      </c>
      <c r="J15" s="91" t="n">
        <v>101.6</v>
      </c>
      <c r="K15" s="91" t="n">
        <v>0</v>
      </c>
      <c r="L15" s="92" t="n">
        <v>395</v>
      </c>
    </row>
    <row r="16" ht="18" customHeight="1">
      <c r="A16" s="93" t="inlineStr">
        <is>
          <t>③ 6〜10㎥</t>
        </is>
      </c>
      <c r="B16" s="94" t="n">
        <v>8</v>
      </c>
      <c r="C16" s="95" t="n">
        <v>590</v>
      </c>
      <c r="D16" s="95" t="n">
        <v>1210</v>
      </c>
      <c r="E16" s="95" t="n">
        <v>1331</v>
      </c>
      <c r="F16" s="95" t="n">
        <v>1452</v>
      </c>
      <c r="G16" s="95" t="n">
        <v>1210</v>
      </c>
      <c r="H16" s="96" t="n">
        <v>1760</v>
      </c>
      <c r="I16" s="97" t="n">
        <v>71.40000000000001</v>
      </c>
      <c r="J16" s="97" t="n">
        <v>142.8</v>
      </c>
      <c r="K16" s="97" t="n">
        <v>0</v>
      </c>
      <c r="L16" s="98" t="n">
        <v>324.5</v>
      </c>
    </row>
    <row r="17" ht="18" customHeight="1">
      <c r="A17" s="70" t="inlineStr">
        <is>
          <t>④ 11〜20㎥</t>
        </is>
      </c>
      <c r="B17" s="74" t="n">
        <v>14.9</v>
      </c>
      <c r="C17" s="71" t="n">
        <v>856</v>
      </c>
      <c r="D17" s="71" t="n">
        <v>1802.9</v>
      </c>
      <c r="E17" s="71" t="n">
        <v>1982.7</v>
      </c>
      <c r="F17" s="71" t="n">
        <v>2162.5</v>
      </c>
      <c r="G17" s="71" t="n">
        <v>1910.7</v>
      </c>
      <c r="H17" s="99" t="n">
        <v>2460.7</v>
      </c>
      <c r="I17" s="100" t="n">
        <v>153.9</v>
      </c>
      <c r="J17" s="100" t="n">
        <v>307.8</v>
      </c>
      <c r="K17" s="100" t="n">
        <v>92.3</v>
      </c>
      <c r="L17" s="101" t="n">
        <v>563.1</v>
      </c>
    </row>
    <row r="18" ht="18" customHeight="1">
      <c r="A18" s="70" t="inlineStr">
        <is>
          <t>⑤ 21〜50㎥</t>
        </is>
      </c>
      <c r="B18" s="74" t="n">
        <v>28.7</v>
      </c>
      <c r="C18" s="71" t="n">
        <v>672</v>
      </c>
      <c r="D18" s="71" t="n">
        <v>3472.7</v>
      </c>
      <c r="E18" s="71" t="n">
        <v>3818.1</v>
      </c>
      <c r="F18" s="71" t="n">
        <v>4163.5</v>
      </c>
      <c r="G18" s="71" t="n">
        <v>3884.1</v>
      </c>
      <c r="H18" s="99" t="n">
        <v>4434.1</v>
      </c>
      <c r="I18" s="100" t="n">
        <v>232.1</v>
      </c>
      <c r="J18" s="100" t="n">
        <v>464.2</v>
      </c>
      <c r="K18" s="100" t="n">
        <v>276.5</v>
      </c>
      <c r="L18" s="101" t="n">
        <v>646.1</v>
      </c>
    </row>
    <row r="19" ht="18" customHeight="1">
      <c r="A19" s="62" t="inlineStr">
        <is>
          <t>⑥ 51〜100㎥</t>
        </is>
      </c>
      <c r="B19" s="102" t="n">
        <v>71.59999999999999</v>
      </c>
      <c r="C19" s="103" t="n">
        <v>55</v>
      </c>
      <c r="D19" s="103" t="n">
        <v>8663.599999999999</v>
      </c>
      <c r="E19" s="103" t="n">
        <v>9523.799999999999</v>
      </c>
      <c r="F19" s="103" t="n">
        <v>10384</v>
      </c>
      <c r="G19" s="103" t="n">
        <v>10018.8</v>
      </c>
      <c r="H19" s="104" t="n">
        <v>10568.8</v>
      </c>
      <c r="I19" s="105" t="n">
        <v>47.3</v>
      </c>
      <c r="J19" s="105" t="n">
        <v>94.59999999999999</v>
      </c>
      <c r="K19" s="105" t="n">
        <v>74.5</v>
      </c>
      <c r="L19" s="106" t="n">
        <v>104.8</v>
      </c>
    </row>
    <row r="20" ht="18" customHeight="1">
      <c r="A20" s="107" t="inlineStr">
        <is>
          <t>⑦ 101〜500㎥</t>
        </is>
      </c>
      <c r="B20" s="108" t="n">
        <v>197.5</v>
      </c>
      <c r="C20" s="30" t="n">
        <v>55</v>
      </c>
      <c r="D20" s="30" t="n">
        <v>22825</v>
      </c>
      <c r="E20" s="30" t="n">
        <v>25098.5</v>
      </c>
      <c r="F20" s="30" t="n">
        <v>27372</v>
      </c>
      <c r="G20" s="30" t="n">
        <v>26950</v>
      </c>
      <c r="H20" s="109" t="n">
        <v>27500</v>
      </c>
      <c r="I20" s="110" t="n">
        <v>125</v>
      </c>
      <c r="J20" s="110" t="n">
        <v>250.1</v>
      </c>
      <c r="K20" s="110" t="n">
        <v>226.9</v>
      </c>
      <c r="L20" s="111" t="n">
        <v>257.1</v>
      </c>
    </row>
    <row r="21" ht="18" customHeight="1">
      <c r="A21" s="48" t="inlineStr">
        <is>
          <t>⑧ 501㎥超</t>
        </is>
      </c>
      <c r="B21" s="112" t="n">
        <v>1030.5</v>
      </c>
      <c r="C21" s="113" t="n">
        <v>18</v>
      </c>
      <c r="D21" s="113" t="n">
        <v>114455</v>
      </c>
      <c r="E21" s="113" t="n">
        <v>125891.5</v>
      </c>
      <c r="F21" s="113" t="n">
        <v>137328</v>
      </c>
      <c r="G21" s="113" t="n">
        <v>136906</v>
      </c>
      <c r="H21" s="114" t="n">
        <v>137456</v>
      </c>
      <c r="I21" s="115" t="n">
        <v>205.9</v>
      </c>
      <c r="J21" s="115" t="n">
        <v>411.7</v>
      </c>
      <c r="K21" s="115" t="n">
        <v>404.1</v>
      </c>
      <c r="L21" s="116" t="n">
        <v>414</v>
      </c>
    </row>
    <row r="22">
      <c r="A22" s="33" t="inlineStr">
        <is>
          <t>合計（月次）</t>
        </is>
      </c>
      <c r="B22" s="117" t="n"/>
      <c r="C22" s="118" t="n">
        <v>3056</v>
      </c>
      <c r="D22" s="117" t="n"/>
      <c r="E22" s="117" t="n"/>
      <c r="F22" s="117" t="n"/>
      <c r="G22" s="117" t="n"/>
      <c r="H22" s="117" t="n"/>
      <c r="I22" s="119" t="n">
        <v>915.8</v>
      </c>
      <c r="J22" s="119" t="n">
        <v>1831.6</v>
      </c>
      <c r="K22" s="119" t="n">
        <v>1074.3</v>
      </c>
      <c r="L22" s="119" t="n">
        <v>2933.3</v>
      </c>
      <c r="M22" s="117" t="n"/>
    </row>
    <row r="23" ht="5" customHeight="1"/>
    <row r="24" ht="16" customHeight="1">
      <c r="A24" s="120" t="inlineStr">
        <is>
          <t>【年間換算増収額と目標不足額との比較】</t>
        </is>
      </c>
    </row>
    <row r="25" ht="12" customHeight="1">
      <c r="A25" s="2" t="inlineStr">
        <is>
          <t>目標不足額：資産維持率3%ケース年間不足額 392,271千円/年（維持管理費+利息+資産維持費-現行収入）</t>
        </is>
      </c>
    </row>
    <row r="26" ht="28" customHeight="1">
      <c r="A26" s="121" t="inlineStr">
        <is>
          <t>改定案</t>
        </is>
      </c>
      <c r="B26" s="121" t="inlineStr">
        <is>
          <t>年間増収額（千円）</t>
        </is>
      </c>
      <c r="C26" s="121" t="inlineStr">
        <is>
          <t>目標不足額（千円）</t>
        </is>
      </c>
      <c r="D26" s="121" t="inlineStr">
        <is>
          <t>充足率（%）</t>
        </is>
      </c>
      <c r="E26" s="121" t="inlineStr">
        <is>
          <t>評価・残課題</t>
        </is>
      </c>
      <c r="F26" s="5" t="n"/>
      <c r="G26" s="5" t="n"/>
      <c r="H26" s="5" t="n"/>
      <c r="I26" s="5" t="n"/>
      <c r="J26" s="5" t="n"/>
      <c r="K26" s="5" t="n"/>
      <c r="L26" s="5" t="n"/>
      <c r="M26" s="6" t="n"/>
    </row>
    <row r="27" ht="18" customHeight="1">
      <c r="A27" s="70" t="inlineStr">
        <is>
          <t>+10%一律改定</t>
        </is>
      </c>
      <c r="B27" s="72" t="n">
        <v>10990</v>
      </c>
      <c r="C27" s="71" t="n">
        <v>392271</v>
      </c>
      <c r="D27" s="75" t="n">
        <v>0.028</v>
      </c>
      <c r="E27" s="122" t="inlineStr">
        <is>
          <t>2.8%充足。残381,281千円は繰入金・段階改定で対応。</t>
        </is>
      </c>
      <c r="F27" s="5" t="n"/>
      <c r="G27" s="5" t="n"/>
      <c r="H27" s="5" t="n"/>
      <c r="I27" s="5" t="n"/>
      <c r="J27" s="5" t="n"/>
      <c r="K27" s="5" t="n"/>
      <c r="L27" s="5" t="n"/>
      <c r="M27" s="6" t="n"/>
    </row>
    <row r="28" ht="18" customHeight="1">
      <c r="A28" s="9" t="inlineStr">
        <is>
          <t>+20%一律改定</t>
        </is>
      </c>
      <c r="B28" s="76" t="n">
        <v>21979</v>
      </c>
      <c r="C28" s="31" t="n">
        <v>392271</v>
      </c>
      <c r="D28" s="79" t="n">
        <v>0.056</v>
      </c>
      <c r="E28" s="122" t="inlineStr">
        <is>
          <t>5.6%充足。残370,292千円は繰入金・段階改定で対応。</t>
        </is>
      </c>
      <c r="F28" s="5" t="n"/>
      <c r="G28" s="5" t="n"/>
      <c r="H28" s="5" t="n"/>
      <c r="I28" s="5" t="n"/>
      <c r="J28" s="5" t="n"/>
      <c r="K28" s="5" t="n"/>
      <c r="L28" s="5" t="n"/>
      <c r="M28" s="6" t="n"/>
    </row>
    <row r="29" ht="18" customHeight="1">
      <c r="A29" s="70" t="inlineStr">
        <is>
          <t>超過料金+22円（試算シート既存案）</t>
        </is>
      </c>
      <c r="B29" s="72" t="n">
        <v>12891</v>
      </c>
      <c r="C29" s="71" t="n">
        <v>392271</v>
      </c>
      <c r="D29" s="75" t="n">
        <v>0.033</v>
      </c>
      <c r="E29" s="122" t="inlineStr">
        <is>
          <t>3.3%充足。残379,380千円は繰入金・段階改定で対応。</t>
        </is>
      </c>
      <c r="F29" s="5" t="n"/>
      <c r="G29" s="5" t="n"/>
      <c r="H29" s="5" t="n"/>
      <c r="I29" s="5" t="n"/>
      <c r="J29" s="5" t="n"/>
      <c r="K29" s="5" t="n"/>
      <c r="L29" s="5" t="n"/>
      <c r="M29" s="6" t="n"/>
    </row>
    <row r="30" ht="18" customHeight="1">
      <c r="A30" s="43" t="inlineStr">
        <is>
          <t>基本1.5倍+超過+22円（試算シート全体案）</t>
        </is>
      </c>
      <c r="B30" s="83" t="n">
        <v>35199</v>
      </c>
      <c r="C30" s="82" t="n">
        <v>392271</v>
      </c>
      <c r="D30" s="86" t="n">
        <v>0.09</v>
      </c>
      <c r="E30" s="122" t="inlineStr">
        <is>
          <t>9.0%充足。残357,072千円は繰入金・段階改定で対応。</t>
        </is>
      </c>
      <c r="F30" s="5" t="n"/>
      <c r="G30" s="5" t="n"/>
      <c r="H30" s="5" t="n"/>
      <c r="I30" s="5" t="n"/>
      <c r="J30" s="5" t="n"/>
      <c r="K30" s="5" t="n"/>
      <c r="L30" s="5" t="n"/>
      <c r="M30" s="6" t="n"/>
    </row>
  </sheetData>
  <mergeCells count="11">
    <mergeCell ref="E29:M29"/>
    <mergeCell ref="A1:M1"/>
    <mergeCell ref="E27:M27"/>
    <mergeCell ref="E28:M28"/>
    <mergeCell ref="A12:M12"/>
    <mergeCell ref="A4:M4"/>
    <mergeCell ref="E26:M26"/>
    <mergeCell ref="A25:M25"/>
    <mergeCell ref="A24:M24"/>
    <mergeCell ref="A2:M2"/>
    <mergeCell ref="E30:M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18" customWidth="1" min="1" max="1"/>
    <col width="10" customWidth="1" min="2" max="2"/>
    <col width="22" customWidth="1" min="3" max="3"/>
    <col width="28" customWidth="1" min="4" max="4"/>
    <col width="10" customWidth="1" min="5" max="5"/>
    <col width="12" customWidth="1" min="6" max="6"/>
    <col width="8" customWidth="1" min="7" max="7"/>
    <col width="10" customWidth="1" min="8" max="8"/>
    <col width="14" customWidth="1" min="9" max="9"/>
    <col width="10" customWidth="1" min="10" max="10"/>
    <col width="10" customWidth="1" min="11" max="11"/>
    <col width="10" customWidth="1" min="12" max="12"/>
  </cols>
  <sheetData>
    <row r="1" ht="22" customHeight="1">
      <c r="A1" s="1" t="inlineStr">
        <is>
          <t>女川町水道事業　料金改定シミュレーション②　赤字半減案（仕様書パターン2）</t>
        </is>
      </c>
    </row>
    <row r="2" ht="12" customHeight="1">
      <c r="A2" s="2" t="inlineStr">
        <is>
          <t>現状の赤字を定義し、半減を目標として段階的な改定率を設定する。急激な改定を避けながら財政改善を図る現実的段階案。仕様書「パターン2」直接対応。</t>
        </is>
      </c>
    </row>
    <row r="3" ht="5" customHeight="1"/>
    <row r="4" ht="16" customHeight="1">
      <c r="A4" s="11" t="inlineStr">
        <is>
          <t>【A】「赤字」の定義と現状値（3パターンで明確化）</t>
        </is>
      </c>
    </row>
    <row r="5" ht="28" customHeight="1">
      <c r="A5" s="12" t="inlineStr">
        <is>
          <t>定義</t>
        </is>
      </c>
      <c r="B5" s="12" t="inlineStr">
        <is>
          <t>算定式</t>
        </is>
      </c>
      <c r="C5" s="12" t="inlineStr">
        <is>
          <t>基準年度</t>
        </is>
      </c>
      <c r="D5" s="12" t="inlineStr">
        <is>
          <t>現状値</t>
        </is>
      </c>
      <c r="E5" s="12" t="inlineStr">
        <is>
          <t>説明</t>
        </is>
      </c>
      <c r="F5" s="12" t="inlineStr">
        <is>
          <t>今回の使い方</t>
        </is>
      </c>
    </row>
    <row r="6" ht="28" customHeight="1">
      <c r="A6" s="123" t="inlineStr">
        <is>
          <t>定義①
営業損失</t>
        </is>
      </c>
      <c r="B6" s="70" t="inlineStr">
        <is>
          <t>営業収益−営業費用　R7推計　約▲383,000千円/年</t>
        </is>
      </c>
      <c r="E6" s="21" t="inlineStr">
        <is>
          <t>純粋な事業収支。最も厳しい数字。住民への説明で「水道は赤字」と言える根拠。</t>
        </is>
      </c>
      <c r="K6" s="124" t="inlineStr">
        <is>
          <t>使用</t>
        </is>
      </c>
    </row>
    <row r="7" ht="28" customHeight="1">
      <c r="A7" s="125" t="inlineStr">
        <is>
          <t>定義②
経常損失（収支差）</t>
        </is>
      </c>
      <c r="B7" s="9" t="inlineStr">
        <is>
          <t>収益的収入−収益的支出　R7推計　約▲19,415千円/年</t>
        </is>
      </c>
      <c r="E7" s="21" t="inlineStr">
        <is>
          <t>損益計算書ベースの経常損益。決算上の評価に使用。</t>
        </is>
      </c>
      <c r="K7" s="10" t="inlineStr">
        <is>
          <t>参考</t>
        </is>
      </c>
    </row>
    <row r="8" ht="28" customHeight="1">
      <c r="A8" s="126" t="inlineStr">
        <is>
          <t>定義③
キャッシュ不足額
（実質赤字）</t>
        </is>
      </c>
      <c r="B8" s="18" t="inlineStr">
        <is>
          <t>料金収入−（維持管理費+利息+資産維持費）　R8〜R12推計　約▲69,820千円/年（2%）
約▲74,302千円/年（3%）</t>
        </is>
      </c>
      <c r="E8" s="21" t="inlineStr">
        <is>
          <t>料金で賄えていない実態額。料金改定で埋めるべき金額の最小限。最も政策的に有用な指標。</t>
        </is>
      </c>
      <c r="K8" s="127" t="inlineStr">
        <is>
          <t>★主用</t>
        </is>
      </c>
    </row>
    <row r="9" ht="28" customHeight="1">
      <c r="A9" s="125" t="inlineStr">
        <is>
          <t>定義④
総括原価ベース不足額</t>
        </is>
      </c>
      <c r="B9" s="9" t="inlineStr">
        <is>
          <t>総括原価−現行料金収入　R8〜R12推計（3%）　約▲392,271千円/年</t>
        </is>
      </c>
      <c r="E9" s="21" t="inlineStr">
        <is>
          <t>減価償却費（非キャッシュ）含む。全額料金回収は現実的でない。将来財源確保の目標値。</t>
        </is>
      </c>
      <c r="K9" s="10" t="inlineStr">
        <is>
          <t>参考</t>
        </is>
      </c>
    </row>
    <row r="10" ht="5" customHeight="1"/>
    <row r="11" ht="16" customHeight="1">
      <c r="A11" s="3" t="inlineStr">
        <is>
          <t>【B】赤字半減目標の設定と必要改定率（定義③：キャッシュ不足額ベース）</t>
        </is>
      </c>
    </row>
    <row r="12" ht="12" customHeight="1">
      <c r="A12" s="2" t="inlineStr">
        <is>
          <t>定義③「キャッシュ不足額」：現行料金収入118,169千円 − (維持管理費年平均134,465+利息35,519+資産維持費26,889）= ▲78,704千円/年（3%ケース）</t>
        </is>
      </c>
    </row>
    <row r="13" ht="48" customHeight="1">
      <c r="A13" s="4" t="inlineStr">
        <is>
          <t>目標設定</t>
        </is>
      </c>
      <c r="B13" s="4" t="inlineStr">
        <is>
          <t>目標赤字削減額
（千円/年）</t>
        </is>
      </c>
      <c r="C13" s="4" t="inlineStr">
        <is>
          <t>必要増収額
（千円/年）</t>
        </is>
      </c>
      <c r="D13" s="4" t="inlineStr">
        <is>
          <t>現行収入比
改定率（%）</t>
        </is>
      </c>
      <c r="E13" s="4" t="inlineStr">
        <is>
          <t>基本料金
必要増額</t>
        </is>
      </c>
      <c r="F13" s="4" t="inlineStr">
        <is>
          <t>超過料金
必要増額(/㎥)</t>
        </is>
      </c>
      <c r="G13" s="4" t="inlineStr">
        <is>
          <t>試算シート案
年間増収</t>
        </is>
      </c>
      <c r="H13" s="4" t="inlineStr">
        <is>
          <t>充足率</t>
        </is>
      </c>
      <c r="I13" s="4" t="inlineStr">
        <is>
          <t>評価・説明</t>
        </is>
      </c>
      <c r="J13" s="5" t="n"/>
      <c r="K13" s="5" t="n"/>
      <c r="L13" s="6" t="n"/>
    </row>
    <row r="14" ht="22" customHeight="1">
      <c r="A14" s="70" t="inlineStr">
        <is>
          <t>1/4削減（第1段階）</t>
        </is>
      </c>
      <c r="B14" s="72" t="n">
        <v>19696</v>
      </c>
      <c r="C14" s="72" t="n">
        <v>19696</v>
      </c>
      <c r="D14" s="75" t="n">
        <v>0.167</v>
      </c>
      <c r="E14" s="71" t="n">
        <v>537</v>
      </c>
      <c r="F14" s="74" t="n">
        <v>403.4</v>
      </c>
      <c r="G14" s="71" t="n">
        <v>35199</v>
      </c>
      <c r="H14" s="75" t="n">
        <v>1.787114134849716</v>
      </c>
      <c r="I14" s="21" t="inlineStr"/>
    </row>
    <row r="15" ht="22" customHeight="1">
      <c r="A15" s="43" t="inlineStr">
        <is>
          <t>1/2削減★（赤字半減・目標）</t>
        </is>
      </c>
      <c r="B15" s="83" t="n">
        <v>39392</v>
      </c>
      <c r="C15" s="83" t="n">
        <v>39392</v>
      </c>
      <c r="D15" s="128" t="n">
        <v>0.333</v>
      </c>
      <c r="E15" s="82" t="n">
        <v>1075</v>
      </c>
      <c r="F15" s="129" t="n">
        <v>806.7</v>
      </c>
      <c r="G15" s="82" t="n">
        <v>35199</v>
      </c>
      <c r="H15" s="86" t="n">
        <v>0.8935570674248579</v>
      </c>
      <c r="I15" s="21" t="inlineStr">
        <is>
          <t>仕様書パターン2：赤字半減</t>
        </is>
      </c>
    </row>
    <row r="16" ht="22" customHeight="1">
      <c r="A16" s="70" t="inlineStr">
        <is>
          <t>3/4削減（第2段階）</t>
        </is>
      </c>
      <c r="B16" s="72" t="n">
        <v>59087</v>
      </c>
      <c r="C16" s="72" t="n">
        <v>59087</v>
      </c>
      <c r="D16" s="75" t="n">
        <v>0.5</v>
      </c>
      <c r="E16" s="71" t="n">
        <v>1612</v>
      </c>
      <c r="F16" s="74" t="n">
        <v>1210</v>
      </c>
      <c r="G16" s="71" t="n">
        <v>35199</v>
      </c>
      <c r="H16" s="75" t="n">
        <v>0.5957147934401814</v>
      </c>
      <c r="I16" s="21" t="inlineStr"/>
    </row>
    <row r="17" ht="22" customHeight="1">
      <c r="A17" s="9" t="inlineStr">
        <is>
          <t>完全解消（目標100%）</t>
        </is>
      </c>
      <c r="B17" s="76" t="n">
        <v>78783</v>
      </c>
      <c r="C17" s="76" t="n">
        <v>78783</v>
      </c>
      <c r="D17" s="79" t="n">
        <v>0.667</v>
      </c>
      <c r="E17" s="31" t="n">
        <v>2149</v>
      </c>
      <c r="F17" s="78" t="n">
        <v>1613.4</v>
      </c>
      <c r="G17" s="31" t="n">
        <v>35199</v>
      </c>
      <c r="H17" s="79" t="n">
        <v>0.446784204714215</v>
      </c>
      <c r="I17" s="21" t="inlineStr">
        <is>
          <t>段階改定の最終到達点</t>
        </is>
      </c>
    </row>
    <row r="18" ht="5" customHeight="1"/>
    <row r="19" ht="16" customHeight="1">
      <c r="A19" s="60" t="inlineStr">
        <is>
          <t>【C】段階改定スケジュール案（赤字半減→完全解消 2段階）</t>
        </is>
      </c>
    </row>
    <row r="20" ht="12" customHeight="1">
      <c r="A20" s="2" t="inlineStr">
        <is>
          <t>仕様書「パターン2」：赤字半減を第1次改定目標とし、次期（R13〜）に第2次改定で完全解消を目指す2段階案</t>
        </is>
      </c>
    </row>
    <row r="21" ht="28" customHeight="1">
      <c r="A21" s="61" t="inlineStr">
        <is>
          <t>改定段階</t>
        </is>
      </c>
      <c r="B21" s="61" t="inlineStr">
        <is>
          <t>改定時期</t>
        </is>
      </c>
      <c r="C21" s="61" t="inlineStr">
        <is>
          <t>目標</t>
        </is>
      </c>
      <c r="D21" s="61" t="inlineStr">
        <is>
          <t>改定内容概要</t>
        </is>
      </c>
      <c r="E21" s="6" t="n"/>
      <c r="F21" s="61" t="inlineStr">
        <is>
          <t>改定後
収入（千円/年）</t>
        </is>
      </c>
      <c r="G21" s="61" t="inlineStr">
        <is>
          <t>充足率</t>
        </is>
      </c>
    </row>
    <row r="22" ht="20" customHeight="1">
      <c r="A22" s="130" t="inlineStr">
        <is>
          <t>第1次改定</t>
        </is>
      </c>
      <c r="B22" s="131" t="inlineStr">
        <is>
          <t>R8年度内</t>
        </is>
      </c>
      <c r="C22" s="132" t="inlineStr">
        <is>
          <t>赤字半減（定義③の50%解消）</t>
        </is>
      </c>
      <c r="D22" s="62" t="inlineStr">
        <is>
          <t>基本料金+300〜400円、超過料金+11〜22円</t>
        </is>
      </c>
      <c r="E22" s="6" t="n"/>
      <c r="F22" s="103" t="n">
        <v>157560</v>
      </c>
      <c r="G22" s="133" t="n">
        <v>0.5</v>
      </c>
    </row>
    <row r="23" ht="20" customHeight="1">
      <c r="A23" s="10" t="inlineStr">
        <is>
          <t>第2次改定</t>
        </is>
      </c>
      <c r="B23" s="10" t="inlineStr">
        <is>
          <t>R13〜R17</t>
        </is>
      </c>
      <c r="C23" s="9" t="inlineStr">
        <is>
          <t>赤字解消（定義③の100%解消）</t>
        </is>
      </c>
      <c r="D23" s="9" t="inlineStr">
        <is>
          <t>残余不足額を基本料金・超過料金・体系見直しで対応</t>
        </is>
      </c>
      <c r="E23" s="6" t="n"/>
      <c r="F23" s="31" t="n">
        <v>196952</v>
      </c>
      <c r="G23" s="79" t="n">
        <v>1</v>
      </c>
    </row>
    <row r="24" ht="20" customHeight="1">
      <c r="A24" s="131" t="inlineStr">
        <is>
          <t>目標到達</t>
        </is>
      </c>
      <c r="B24" s="131" t="inlineStr">
        <is>
          <t>R17以降</t>
        </is>
      </c>
      <c r="C24" s="62" t="inlineStr">
        <is>
          <t>キャッシュ収支均衡</t>
        </is>
      </c>
      <c r="D24" s="62" t="inlineStr">
        <is>
          <t>段階改定完了後に体系見直し・口径別移行を検討</t>
        </is>
      </c>
      <c r="E24" s="6" t="n"/>
      <c r="F24" s="103" t="n">
        <v>196952</v>
      </c>
      <c r="G24" s="133" t="n">
        <v>1</v>
      </c>
    </row>
  </sheetData>
  <mergeCells count="24">
    <mergeCell ref="I14:L14"/>
    <mergeCell ref="I17:L17"/>
    <mergeCell ref="B8:D8"/>
    <mergeCell ref="E9:J9"/>
    <mergeCell ref="D22:E22"/>
    <mergeCell ref="E6:J6"/>
    <mergeCell ref="A12:L12"/>
    <mergeCell ref="D21:E21"/>
    <mergeCell ref="I13:L13"/>
    <mergeCell ref="A2:L2"/>
    <mergeCell ref="B9:D9"/>
    <mergeCell ref="I15:L15"/>
    <mergeCell ref="B6:D6"/>
    <mergeCell ref="A4:L4"/>
    <mergeCell ref="E7:J7"/>
    <mergeCell ref="A20:L20"/>
    <mergeCell ref="A19:L19"/>
    <mergeCell ref="I16:L16"/>
    <mergeCell ref="B7:D7"/>
    <mergeCell ref="D24:E24"/>
    <mergeCell ref="A11:L11"/>
    <mergeCell ref="A1:L1"/>
    <mergeCell ref="D23:E23"/>
    <mergeCell ref="E8:J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14" customWidth="1" min="1" max="1"/>
    <col width="10" customWidth="1" min="2" max="2"/>
    <col width="12" customWidth="1" min="3" max="3"/>
    <col width="10" customWidth="1" min="4" max="4"/>
    <col width="10" customWidth="1" min="5" max="5"/>
    <col width="10" customWidth="1" min="6" max="6"/>
    <col width="10" customWidth="1" min="7" max="7"/>
    <col width="12" customWidth="1" min="8" max="8"/>
    <col width="14" customWidth="1" min="9" max="9"/>
    <col width="14" customWidth="1" min="10" max="10"/>
    <col width="14" customWidth="1" min="11" max="11"/>
    <col width="14" customWidth="1" min="12" max="12"/>
    <col width="10" customWidth="1" min="13" max="13"/>
    <col width="10" customWidth="1" min="14" max="14"/>
  </cols>
  <sheetData>
    <row r="1" ht="22" customHeight="1">
      <c r="A1" s="1" t="inlineStr">
        <is>
          <t>女川町水道事業　料金改定シミュレーション③　口径別料金表案（仕様書パターン3）</t>
        </is>
      </c>
    </row>
    <row r="2" ht="12" customHeight="1">
      <c r="A2" s="2" t="inlineStr">
        <is>
          <t>現行の用途別体系から口径別体系へ移行した場合の料金表案（3-A：標準逓増型・3-B：産業配慮型）。県内4団体比較（過去チャット確認済み）を参考に設計。塩竈モデル（生産用水105円）を産業配慮案の基礎とする。</t>
        </is>
      </c>
    </row>
    <row r="3" ht="5" customHeight="1"/>
    <row r="4" ht="16" customHeight="1">
      <c r="A4" s="3" t="inlineStr">
        <is>
          <t>【パターン3-A】口径別基本料金＋段階逓増従量料金（標準型）</t>
        </is>
      </c>
    </row>
    <row r="5" ht="12" customHeight="1">
      <c r="A5" s="2" t="inlineStr">
        <is>
          <t>石巻広域・塩竈市（一般用）の体系を参考に設計。13〜100mmの口径別基本料金＋水量段階別逓増単価。</t>
        </is>
      </c>
    </row>
    <row r="6" ht="52" customHeight="1">
      <c r="A6" s="4" t="inlineStr">
        <is>
          <t>口径</t>
        </is>
      </c>
      <c r="B6" s="4" t="inlineStr">
        <is>
          <t>現行
メーター使用料</t>
        </is>
      </c>
      <c r="C6" s="4" t="inlineStr">
        <is>
          <t>案3-A
基本料金（税込）</t>
        </is>
      </c>
      <c r="D6" s="4" t="inlineStr">
        <is>
          <t>〜10㎥
単価</t>
        </is>
      </c>
      <c r="E6" s="4" t="inlineStr">
        <is>
          <t>11〜30㎥
単価</t>
        </is>
      </c>
      <c r="F6" s="4" t="inlineStr">
        <is>
          <t>31〜100㎥
単価</t>
        </is>
      </c>
      <c r="G6" s="4" t="inlineStr">
        <is>
          <t>100㎥超
単価</t>
        </is>
      </c>
      <c r="H6" s="4" t="inlineStr">
        <is>
          <t>50㎥使用
月額（試算）</t>
        </is>
      </c>
      <c r="I6" s="4" t="inlineStr">
        <is>
          <t>1,000㎥使用
月額（試算）</t>
        </is>
      </c>
      <c r="J6" s="4" t="inlineStr">
        <is>
          <t>現行比
（1,000㎥）</t>
        </is>
      </c>
      <c r="K6" s="4" t="inlineStr">
        <is>
          <t>塩竈市
一般用（参考）</t>
        </is>
      </c>
      <c r="L6" s="4" t="inlineStr">
        <is>
          <t>差異
（3-A vs塩竈）</t>
        </is>
      </c>
    </row>
    <row r="7" ht="18" customHeight="1">
      <c r="A7" s="134" t="inlineStr">
        <is>
          <t>13mm</t>
        </is>
      </c>
      <c r="B7" s="32" t="n">
        <v>55</v>
      </c>
      <c r="C7" s="135" t="n">
        <v>1100</v>
      </c>
      <c r="D7" s="32" t="n">
        <v>121</v>
      </c>
      <c r="E7" s="32" t="n">
        <v>132</v>
      </c>
      <c r="F7" s="32" t="n">
        <v>143</v>
      </c>
      <c r="G7" s="32" t="n">
        <v>121</v>
      </c>
      <c r="H7" s="32" t="n">
        <v>6600</v>
      </c>
      <c r="I7" s="135" t="n">
        <v>122650</v>
      </c>
      <c r="J7" s="136" t="n">
        <v>1.1</v>
      </c>
      <c r="K7" s="71" t="n">
        <v>0</v>
      </c>
      <c r="L7" s="137" t="n">
        <v>0</v>
      </c>
    </row>
    <row r="8" ht="18" customHeight="1">
      <c r="A8" s="138" t="inlineStr">
        <is>
          <t>20mm</t>
        </is>
      </c>
      <c r="B8" s="31" t="n">
        <v>77</v>
      </c>
      <c r="C8" s="139" t="n">
        <v>1320</v>
      </c>
      <c r="D8" s="31" t="n">
        <v>121</v>
      </c>
      <c r="E8" s="31" t="n">
        <v>132</v>
      </c>
      <c r="F8" s="31" t="n">
        <v>143</v>
      </c>
      <c r="G8" s="31" t="n">
        <v>121</v>
      </c>
      <c r="H8" s="31" t="n">
        <v>6820</v>
      </c>
      <c r="I8" s="139" t="n">
        <v>122870</v>
      </c>
      <c r="J8" s="140" t="n">
        <v>1.11</v>
      </c>
      <c r="K8" s="71" t="n">
        <v>0</v>
      </c>
      <c r="L8" s="137" t="n">
        <v>0</v>
      </c>
    </row>
    <row r="9" ht="18" customHeight="1">
      <c r="A9" s="134" t="inlineStr">
        <is>
          <t>25mm</t>
        </is>
      </c>
      <c r="B9" s="32" t="n">
        <v>110</v>
      </c>
      <c r="C9" s="135" t="n">
        <v>1760</v>
      </c>
      <c r="D9" s="32" t="n">
        <v>121</v>
      </c>
      <c r="E9" s="32" t="n">
        <v>132</v>
      </c>
      <c r="F9" s="32" t="n">
        <v>143</v>
      </c>
      <c r="G9" s="32" t="n">
        <v>121</v>
      </c>
      <c r="H9" s="32" t="n">
        <v>7260</v>
      </c>
      <c r="I9" s="135" t="n">
        <v>123310</v>
      </c>
      <c r="J9" s="136" t="n">
        <v>1.11</v>
      </c>
      <c r="K9" s="71" t="n">
        <v>0</v>
      </c>
      <c r="L9" s="137" t="n">
        <v>0</v>
      </c>
    </row>
    <row r="10" ht="18" customHeight="1">
      <c r="A10" s="138" t="inlineStr">
        <is>
          <t>40mm</t>
        </is>
      </c>
      <c r="B10" s="31" t="n">
        <v>220</v>
      </c>
      <c r="C10" s="139" t="n">
        <v>3080</v>
      </c>
      <c r="D10" s="31" t="n">
        <v>121</v>
      </c>
      <c r="E10" s="31" t="n">
        <v>132</v>
      </c>
      <c r="F10" s="31" t="n">
        <v>143</v>
      </c>
      <c r="G10" s="31" t="n">
        <v>121</v>
      </c>
      <c r="H10" s="31" t="n">
        <v>8580</v>
      </c>
      <c r="I10" s="139" t="n">
        <v>124630</v>
      </c>
      <c r="J10" s="140" t="n">
        <v>1.12</v>
      </c>
      <c r="K10" s="71" t="n">
        <v>0</v>
      </c>
      <c r="L10" s="137" t="n">
        <v>0</v>
      </c>
    </row>
    <row r="11" ht="18" customHeight="1">
      <c r="A11" s="134" t="inlineStr">
        <is>
          <t>50mm</t>
        </is>
      </c>
      <c r="B11" s="32" t="n">
        <v>880</v>
      </c>
      <c r="C11" s="135" t="n">
        <v>5500</v>
      </c>
      <c r="D11" s="32" t="n">
        <v>121</v>
      </c>
      <c r="E11" s="32" t="n">
        <v>132</v>
      </c>
      <c r="F11" s="32" t="n">
        <v>143</v>
      </c>
      <c r="G11" s="32" t="n">
        <v>121</v>
      </c>
      <c r="H11" s="32" t="n">
        <v>11000</v>
      </c>
      <c r="I11" s="135" t="n">
        <v>127050</v>
      </c>
      <c r="J11" s="136" t="n">
        <v>1.13</v>
      </c>
      <c r="K11" s="71" t="n">
        <v>327668</v>
      </c>
      <c r="L11" s="141" t="n">
        <v>-200618</v>
      </c>
    </row>
    <row r="12" ht="18" customHeight="1">
      <c r="A12" s="138" t="inlineStr">
        <is>
          <t>75mm</t>
        </is>
      </c>
      <c r="B12" s="31" t="n">
        <v>1100</v>
      </c>
      <c r="C12" s="139" t="n">
        <v>9900</v>
      </c>
      <c r="D12" s="31" t="n">
        <v>121</v>
      </c>
      <c r="E12" s="31" t="n">
        <v>132</v>
      </c>
      <c r="F12" s="31" t="n">
        <v>143</v>
      </c>
      <c r="G12" s="31" t="n">
        <v>121</v>
      </c>
      <c r="H12" s="31" t="n">
        <v>15400</v>
      </c>
      <c r="I12" s="139" t="n">
        <v>131450</v>
      </c>
      <c r="J12" s="140" t="n">
        <v>1.17</v>
      </c>
      <c r="K12" s="71" t="n">
        <v>327668</v>
      </c>
      <c r="L12" s="141" t="n">
        <v>-196218</v>
      </c>
    </row>
    <row r="13" ht="18" customHeight="1">
      <c r="A13" s="134" t="inlineStr">
        <is>
          <t>100mm</t>
        </is>
      </c>
      <c r="B13" s="32" t="n">
        <v>1320</v>
      </c>
      <c r="C13" s="135" t="n">
        <v>16500</v>
      </c>
      <c r="D13" s="32" t="n">
        <v>121</v>
      </c>
      <c r="E13" s="32" t="n">
        <v>132</v>
      </c>
      <c r="F13" s="32" t="n">
        <v>143</v>
      </c>
      <c r="G13" s="32" t="n">
        <v>121</v>
      </c>
      <c r="H13" s="32" t="n">
        <v>22000</v>
      </c>
      <c r="I13" s="135" t="n">
        <v>138050</v>
      </c>
      <c r="J13" s="136" t="n">
        <v>1.23</v>
      </c>
      <c r="K13" s="71" t="n">
        <v>327668</v>
      </c>
      <c r="L13" s="141" t="n">
        <v>-189618</v>
      </c>
    </row>
    <row r="14" ht="5" customHeight="1"/>
    <row r="15" ht="16" customHeight="1">
      <c r="A15" s="120" t="inlineStr">
        <is>
          <t>【パターン3-B】口径別体系＋産業用特例区分（塩竈モデル参考・水産加工業配慮）</t>
        </is>
      </c>
    </row>
    <row r="16" ht="12" customHeight="1">
      <c r="A16" s="2" t="inlineStr">
        <is>
          <t>塩竈市「生産用水用105円/㎥（税抜）＝約115.5円/㎥（税込）」を参考に、女川町の水産加工業向け産業用特例区分を設計。基本料金なし・定額従量型で女川現行水準を維持。月500㎥以上・特定業種（水産加工業等）に適用。</t>
        </is>
      </c>
    </row>
    <row r="17" ht="36" customHeight="1">
      <c r="A17" s="121" t="inlineStr">
        <is>
          <t>区分</t>
        </is>
      </c>
      <c r="B17" s="121" t="inlineStr">
        <is>
          <t>適用対象</t>
        </is>
      </c>
      <c r="C17" s="121" t="inlineStr">
        <is>
          <t>基本料金</t>
        </is>
      </c>
      <c r="D17" s="121" t="inlineStr">
        <is>
          <t>〜500㎥
単価（税込）</t>
        </is>
      </c>
      <c r="E17" s="121" t="inlineStr">
        <is>
          <t>500㎥超
単価（税込）</t>
        </is>
      </c>
      <c r="F17" s="121" t="inlineStr">
        <is>
          <t>塩竈市
参考値</t>
        </is>
      </c>
      <c r="G17" s="121" t="inlineStr">
        <is>
          <t>女川案
メリット</t>
        </is>
      </c>
      <c r="H17" s="121" t="inlineStr">
        <is>
          <t>適用要件</t>
        </is>
      </c>
      <c r="I17" s="121" t="inlineStr">
        <is>
          <t>財政影響・留意事項</t>
        </is>
      </c>
      <c r="J17" s="5" t="n"/>
      <c r="K17" s="5" t="n"/>
      <c r="L17" s="5" t="n"/>
      <c r="M17" s="5" t="n"/>
      <c r="N17" s="6" t="n"/>
    </row>
    <row r="18" ht="36" customHeight="1">
      <c r="A18" s="142" t="inlineStr">
        <is>
          <t>産業用特例①
（塩竈モデル型）</t>
        </is>
      </c>
      <c r="B18" s="143" t="inlineStr">
        <is>
          <t>水産加工業・食品製造業
（月500㎥以上）</t>
        </is>
      </c>
      <c r="C18" s="144" t="inlineStr">
        <is>
          <t>なし（0円）</t>
        </is>
      </c>
      <c r="D18" s="144" t="inlineStr">
        <is>
          <t>115円/㎥</t>
        </is>
      </c>
      <c r="E18" s="144" t="inlineStr">
        <is>
          <t>115円/㎥</t>
        </is>
      </c>
      <c r="F18" s="144" t="inlineStr">
        <is>
          <t>105円（税抜）≒116円（税込）</t>
        </is>
      </c>
      <c r="G18" s="143" t="inlineStr">
        <is>
          <t>現行と同水準維持</t>
        </is>
      </c>
      <c r="H18" s="143" t="inlineStr">
        <is>
          <t>月500㎥以上・特定業種・町長認定</t>
        </is>
      </c>
      <c r="I18" s="21" t="inlineStr">
        <is>
          <t>現行逓減制からの移行がスムーズ。塩竈市が既に運用実績あり（参考事例）。収入減少リスクは現行比軽微。</t>
        </is>
      </c>
    </row>
    <row r="19" ht="36" customHeight="1">
      <c r="A19" s="125" t="inlineStr">
        <is>
          <t>産業用特例②
（緩和逓増型）</t>
        </is>
      </c>
      <c r="B19" s="145" t="inlineStr">
        <is>
          <t>同上（段階移行用）</t>
        </is>
      </c>
      <c r="C19" s="10" t="inlineStr">
        <is>
          <t>口径別基本料金</t>
        </is>
      </c>
      <c r="D19" s="10" t="inlineStr">
        <is>
          <t>115〜130円/㎥
（経過措置付き）</t>
        </is>
      </c>
      <c r="E19" s="10" t="inlineStr">
        <is>
          <t>130〜143円/㎥</t>
        </is>
      </c>
      <c r="F19" s="10" t="inlineStr">
        <is>
          <t>─</t>
        </is>
      </c>
      <c r="G19" s="145" t="inlineStr">
        <is>
          <t>5〜10年で段階的に
3-A標準型へ移行</t>
        </is>
      </c>
      <c r="H19" s="145" t="inlineStr">
        <is>
          <t>同上＋経過措置期間申請</t>
        </is>
      </c>
      <c r="I19" s="21" t="inlineStr">
        <is>
          <t>段階改定と組み合わせることで急激な負担増を回避。経過措置期間を10年とすることで事業者の設備投資計画に影響を与えない。</t>
        </is>
      </c>
    </row>
    <row r="20" ht="5" customHeight="1"/>
    <row r="21" ht="55" customHeight="1">
      <c r="A21" s="146" t="inlineStr">
        <is>
          <t>【塩竈市「生産用水用」に関する正確な表現（md Section5.3参照）】
塩竈市には、団地水産加工業協同組合向けの生産用水料金105円/㎥（税抜）という既存制度がある。これは県内において水産加工業向けの特例的料金設定が制度化されている先例であり、女川町の激変緩和策の有力な参考モデルとなる。
※「塩竈モデルを全県全水産加工業者に適用すべき」という表現は避けること。全県適用時は収入減・補填財源・対象限定の制度設計が必要。</t>
        </is>
      </c>
    </row>
    <row r="22"/>
    <row r="23"/>
  </sheetData>
  <mergeCells count="10">
    <mergeCell ref="A21:N23"/>
    <mergeCell ref="I19:N19"/>
    <mergeCell ref="A4:N4"/>
    <mergeCell ref="A2:N2"/>
    <mergeCell ref="A16:N16"/>
    <mergeCell ref="A15:N15"/>
    <mergeCell ref="I17:N17"/>
    <mergeCell ref="I18:N18"/>
    <mergeCell ref="A5:N5"/>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18" customWidth="1" min="1" max="1"/>
    <col width="6" customWidth="1" min="2" max="2"/>
    <col width="8" customWidth="1" min="3" max="3"/>
    <col width="5" customWidth="1" min="4" max="4"/>
    <col width="10" customWidth="1" min="5" max="5"/>
    <col width="10" customWidth="1" min="6" max="6"/>
    <col width="11" customWidth="1" min="7" max="7"/>
    <col width="11" customWidth="1" min="8" max="8"/>
    <col width="11" customWidth="1" min="9" max="9"/>
    <col width="11" customWidth="1" min="10" max="10"/>
    <col width="9" customWidth="1" min="11" max="11"/>
    <col width="9" customWidth="1" min="12" max="12"/>
    <col width="9" customWidth="1" min="13" max="13"/>
    <col width="9" customWidth="1" min="14" max="14"/>
  </cols>
  <sheetData>
    <row r="1" ht="22" customHeight="1">
      <c r="A1" s="1" t="inlineStr">
        <is>
          <t>女川町水道事業　水産加工業（19社モデル）への料金改定影響試算</t>
        </is>
      </c>
    </row>
    <row r="2" ht="12" customHeight="1">
      <c r="A2" s="2" t="inlineStr">
        <is>
          <t>過去チャット（会計支援PJ）確認済みの19社モデル（小規模5社/中規模8社/大規模5社/超大口1社）を使用。★の列は実使用水量データ取得後に置き換えること（現在は推計値）。</t>
        </is>
      </c>
    </row>
    <row r="3" ht="5" customHeight="1"/>
    <row r="4" ht="16" customHeight="1">
      <c r="A4" s="3" t="inlineStr">
        <is>
          <t>【水産加工業19社モデル】月間使用水量・現行料金・改定案別比較</t>
        </is>
      </c>
    </row>
    <row r="5" ht="56" customHeight="1">
      <c r="A5" s="4" t="inlineStr">
        <is>
          <t>規模区分</t>
        </is>
      </c>
      <c r="B5" s="4" t="inlineStr">
        <is>
          <t>口径</t>
        </is>
      </c>
      <c r="C5" s="4" t="inlineStr">
        <is>
          <t>月間使用
水量（㎥）</t>
        </is>
      </c>
      <c r="D5" s="4" t="inlineStr">
        <is>
          <t>社数</t>
        </is>
      </c>
      <c r="E5" s="4" t="inlineStr">
        <is>
          <t>現行
月額（円）</t>
        </is>
      </c>
      <c r="F5" s="4" t="inlineStr">
        <is>
          <t>現行
年額（千円）</t>
        </is>
      </c>
      <c r="G5" s="4" t="inlineStr">
        <is>
          <t>①現行体系
+22円超過
月額（円）</t>
        </is>
      </c>
      <c r="H5" s="4" t="inlineStr">
        <is>
          <t>②試算案
基本1.5倍
+22円超過（円）</t>
        </is>
      </c>
      <c r="I5" s="4" t="inlineStr">
        <is>
          <t>③口径別
3-A標準型
月額（円）</t>
        </is>
      </c>
      <c r="J5" s="4" t="inlineStr">
        <is>
          <t>④口径別
3-B産業
特例月額（円）</t>
        </is>
      </c>
      <c r="K5" s="4" t="inlineStr">
        <is>
          <t>①vs現行
増減率</t>
        </is>
      </c>
      <c r="L5" s="4" t="inlineStr">
        <is>
          <t>②vs現行
増減率</t>
        </is>
      </c>
      <c r="M5" s="4" t="inlineStr">
        <is>
          <t>③vs現行
増減率</t>
        </is>
      </c>
      <c r="N5" s="4" t="inlineStr">
        <is>
          <t>④vs現行
増減率</t>
        </is>
      </c>
    </row>
    <row r="6" ht="22" customHeight="1">
      <c r="A6" s="7" t="inlineStr">
        <is>
          <t>小規模（家族経営）</t>
        </is>
      </c>
      <c r="B6" s="8" t="inlineStr">
        <is>
          <t>25mm</t>
        </is>
      </c>
      <c r="C6" s="32" t="n">
        <v>200</v>
      </c>
      <c r="D6" s="32" t="n">
        <v>5</v>
      </c>
      <c r="E6" s="135" t="n">
        <v>23210</v>
      </c>
      <c r="F6" s="32" t="n">
        <v>1393</v>
      </c>
      <c r="G6" s="32" t="n">
        <v>27390</v>
      </c>
      <c r="H6" s="32" t="n">
        <v>27940</v>
      </c>
      <c r="I6" s="32" t="n">
        <v>26510</v>
      </c>
      <c r="J6" s="147" t="n">
        <v>23000</v>
      </c>
      <c r="K6" s="148" t="n">
        <v>0.1800947867298578</v>
      </c>
      <c r="L6" s="149" t="n">
        <v>0.2037914691943128</v>
      </c>
      <c r="M6" s="149" t="n">
        <v>0.1421800947867299</v>
      </c>
      <c r="N6" s="150" t="n">
        <v>-0.00904782421370099</v>
      </c>
    </row>
    <row r="7" ht="22" customHeight="1">
      <c r="A7" s="9" t="inlineStr">
        <is>
          <t>中規模（一般加工）</t>
        </is>
      </c>
      <c r="B7" s="10" t="inlineStr">
        <is>
          <t>50mm</t>
        </is>
      </c>
      <c r="C7" s="31" t="n">
        <v>1000</v>
      </c>
      <c r="D7" s="31" t="n">
        <v>8</v>
      </c>
      <c r="E7" s="139" t="n">
        <v>111980</v>
      </c>
      <c r="F7" s="31" t="n">
        <v>10750</v>
      </c>
      <c r="G7" s="31" t="n">
        <v>133760</v>
      </c>
      <c r="H7" s="31" t="n">
        <v>134310</v>
      </c>
      <c r="I7" s="31" t="n">
        <v>127050</v>
      </c>
      <c r="J7" s="151" t="n">
        <v>115000</v>
      </c>
      <c r="K7" s="77" t="n">
        <v>0.1944990176817289</v>
      </c>
      <c r="L7" s="79" t="n">
        <v>0.1994106090373281</v>
      </c>
      <c r="M7" s="79" t="n">
        <v>0.1345776031434185</v>
      </c>
      <c r="N7" s="152" t="n">
        <v>0.02696910162529023</v>
      </c>
    </row>
    <row r="8" ht="22" customHeight="1">
      <c r="A8" s="7" t="inlineStr">
        <is>
          <t>大規模（冷凍・主要）</t>
        </is>
      </c>
      <c r="B8" s="8" t="inlineStr">
        <is>
          <t>75mm</t>
        </is>
      </c>
      <c r="C8" s="32" t="n">
        <v>3000</v>
      </c>
      <c r="D8" s="32" t="n">
        <v>5</v>
      </c>
      <c r="E8" s="135" t="n">
        <v>332200</v>
      </c>
      <c r="F8" s="32" t="n">
        <v>19932</v>
      </c>
      <c r="G8" s="32" t="n">
        <v>397980</v>
      </c>
      <c r="H8" s="32" t="n">
        <v>398530</v>
      </c>
      <c r="I8" s="32" t="n">
        <v>373450</v>
      </c>
      <c r="J8" s="147" t="n">
        <v>345000</v>
      </c>
      <c r="K8" s="148" t="n">
        <v>0.1980132450331126</v>
      </c>
      <c r="L8" s="149" t="n">
        <v>0.1996688741721854</v>
      </c>
      <c r="M8" s="149" t="n">
        <v>0.1241721854304636</v>
      </c>
      <c r="N8" s="150" t="n">
        <v>0.03853100541842264</v>
      </c>
    </row>
    <row r="9" ht="22" customHeight="1">
      <c r="A9" s="9" t="inlineStr">
        <is>
          <t>超大口（大手）</t>
        </is>
      </c>
      <c r="B9" s="10" t="inlineStr">
        <is>
          <t>100mm</t>
        </is>
      </c>
      <c r="C9" s="31" t="n">
        <v>8000</v>
      </c>
      <c r="D9" s="31" t="n">
        <v>1</v>
      </c>
      <c r="E9" s="139" t="n">
        <v>882420</v>
      </c>
      <c r="F9" s="31" t="n">
        <v>10589</v>
      </c>
      <c r="G9" s="31" t="n">
        <v>1058200</v>
      </c>
      <c r="H9" s="31" t="n">
        <v>1058750</v>
      </c>
      <c r="I9" s="31" t="n">
        <v>985050</v>
      </c>
      <c r="J9" s="151" t="n">
        <v>920000</v>
      </c>
      <c r="K9" s="77" t="n">
        <v>0.1992021939665919</v>
      </c>
      <c r="L9" s="79" t="n">
        <v>0.199825479930192</v>
      </c>
      <c r="M9" s="79" t="n">
        <v>0.1163051608077786</v>
      </c>
      <c r="N9" s="152" t="n">
        <v>0.04258743002198499</v>
      </c>
    </row>
    <row r="10" ht="20" customHeight="1">
      <c r="A10" s="33" t="inlineStr">
        <is>
          <t>19社合計年間（千円）</t>
        </is>
      </c>
      <c r="B10" s="117" t="n"/>
      <c r="C10" s="117" t="n"/>
      <c r="D10" s="117" t="n"/>
      <c r="E10" s="118" t="n">
        <v>42664</v>
      </c>
      <c r="F10" s="118" t="n">
        <v>42664</v>
      </c>
      <c r="G10" s="153" t="n">
        <v>51062</v>
      </c>
      <c r="H10" s="153" t="n">
        <v>51187</v>
      </c>
      <c r="I10" s="153" t="n">
        <v>48015</v>
      </c>
      <c r="J10" s="154" t="n">
        <v>44160</v>
      </c>
      <c r="K10" s="155" t="n">
        <v>0.1968379691222424</v>
      </c>
      <c r="L10" s="155" t="n">
        <v>0.1997772346152655</v>
      </c>
      <c r="M10" s="155" t="n">
        <v>0.1254292874601652</v>
      </c>
      <c r="N10" s="156" t="n">
        <v>0.0350714846244069</v>
      </c>
    </row>
    <row r="11" ht="5" customHeight="1"/>
    <row r="12" ht="12" customHeight="1">
      <c r="A12" s="2" t="inlineStr">
        <is>
          <t>★実使用水量データ取得後に月間使用水量（C列）を実績値に差し替えること。19社モデルの構成比（D列）も確認要。</t>
        </is>
      </c>
    </row>
    <row r="13" ht="12" customHeight="1">
      <c r="A13" s="2" t="inlineStr">
        <is>
          <t>④口径別3-B産業特例は現行の女川町水準（約110〜115円/㎥）を維持する設計。単純な口径別・逓増型移行（③3-A）では+140〜+190%の負担増となる。</t>
        </is>
      </c>
    </row>
  </sheetData>
  <mergeCells count="5">
    <mergeCell ref="A12:N12"/>
    <mergeCell ref="A4:N4"/>
    <mergeCell ref="A2:N2"/>
    <mergeCell ref="A13:N13"/>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2" customWidth="1" min="1" max="1"/>
    <col width="22" customWidth="1" min="2" max="2"/>
    <col width="12" customWidth="1" min="3" max="3"/>
    <col width="10" customWidth="1" min="4" max="4"/>
    <col width="10" customWidth="1" min="5" max="5"/>
    <col width="10" customWidth="1" min="6" max="6"/>
    <col width="12" customWidth="1" min="7" max="7"/>
    <col width="8" customWidth="1" min="8" max="8"/>
    <col width="8" customWidth="1" min="9" max="9"/>
    <col width="8" customWidth="1" min="10" max="10"/>
    <col width="28" customWidth="1" min="11" max="11"/>
    <col width="10" customWidth="1" min="12" max="12"/>
  </cols>
  <sheetData>
    <row r="1" ht="22" customHeight="1">
      <c r="A1" s="1" t="inlineStr">
        <is>
          <t>女川町水道事業　料金改定案 A〜E案 横断比較表（仕様書対応・住民議会説明用）</t>
        </is>
      </c>
    </row>
    <row r="2" ht="12" customHeight="1">
      <c r="A2" s="2" t="inlineStr">
        <is>
          <t>業務仕様書対応：住民・議会で「切り抜いて使える」体裁で整理。mdファイル第7章対応。</t>
        </is>
      </c>
    </row>
    <row r="3" ht="5" customHeight="1"/>
    <row r="4" ht="16" customHeight="1">
      <c r="A4" s="157" t="inlineStr">
        <is>
          <t>【改定案 A〜E案の概要比較】</t>
        </is>
      </c>
    </row>
    <row r="5" ht="52" customHeight="1">
      <c r="A5" s="158" t="inlineStr">
        <is>
          <t>案</t>
        </is>
      </c>
      <c r="B5" s="158" t="inlineStr">
        <is>
          <t>改定内容概要</t>
        </is>
      </c>
      <c r="C5" s="158" t="inlineStr">
        <is>
          <t>料金体系</t>
        </is>
      </c>
      <c r="D5" s="158" t="inlineStr">
        <is>
          <t>年間増収
見込（千円）</t>
        </is>
      </c>
      <c r="E5" s="158" t="inlineStr">
        <is>
          <t>キャッシュ不足額
充足率（3%）</t>
        </is>
      </c>
      <c r="F5" s="158" t="inlineStr">
        <is>
          <t>標準世帯
月額影響</t>
        </is>
      </c>
      <c r="G5" s="158" t="inlineStr">
        <is>
          <t>水産加工業
影響（中規模）</t>
        </is>
      </c>
      <c r="H5" s="158" t="inlineStr">
        <is>
          <t>住民説明
しやすさ</t>
        </is>
      </c>
      <c r="I5" s="158" t="inlineStr">
        <is>
          <t>財政改善
効果</t>
        </is>
      </c>
      <c r="J5" s="158" t="inlineStr">
        <is>
          <t>総合評価</t>
        </is>
      </c>
    </row>
    <row r="6" ht="36" customHeight="1">
      <c r="A6" s="159" t="inlineStr">
        <is>
          <t>A案
現行体系維持
必要改定率案</t>
        </is>
      </c>
      <c r="B6" s="7" t="inlineStr">
        <is>
          <t>現行の用途別・逓減制を維持したまま総括原価不足分を改定</t>
        </is>
      </c>
      <c r="D6" s="160" t="n">
        <v>28159</v>
      </c>
      <c r="E6" s="8" t="inlineStr">
        <is>
          <t>約27%</t>
        </is>
      </c>
      <c r="F6" s="8" t="inlineStr">
        <is>
          <t>月+558円</t>
        </is>
      </c>
      <c r="G6" s="8" t="inlineStr">
        <is>
          <t>+191%〜+330%（逓減制残存）</t>
        </is>
      </c>
      <c r="H6" s="8" t="inlineStr">
        <is>
          <t>◎ 変更幅小</t>
        </is>
      </c>
      <c r="I6" s="8" t="inlineStr">
        <is>
          <t>△ 逓減制継続で大口有利</t>
        </is>
      </c>
      <c r="J6" s="21" t="inlineStr">
        <is>
          <t>第1候補。現行制度維持で説明容易。仕様書パターン1</t>
        </is>
      </c>
    </row>
    <row r="7" ht="36" customHeight="1">
      <c r="A7" s="161" t="inlineStr">
        <is>
          <t>B案
赤字半減案</t>
        </is>
      </c>
      <c r="B7" s="62" t="inlineStr">
        <is>
          <t>現行体系維持・赤字半減を目標とした段階的改定</t>
        </is>
      </c>
      <c r="D7" s="162" t="n">
        <v>196136</v>
      </c>
      <c r="E7" s="131" t="inlineStr">
        <is>
          <t>50%（段階第1次）</t>
        </is>
      </c>
      <c r="F7" s="131" t="inlineStr">
        <is>
          <t>月+300〜400円</t>
        </is>
      </c>
      <c r="G7" s="131" t="inlineStr">
        <is>
          <t>+50〜100%程度</t>
        </is>
      </c>
      <c r="H7" s="131" t="inlineStr">
        <is>
          <t>◎ 段階改定で議会受容</t>
        </is>
      </c>
      <c r="I7" s="131" t="inlineStr">
        <is>
          <t>△ 不足解消には2段階必要</t>
        </is>
      </c>
      <c r="J7" s="21" t="inlineStr">
        <is>
          <t>段階改定の現実案。仕様書パターン2。中間報告で提示に最適</t>
        </is>
      </c>
    </row>
    <row r="8" ht="36" customHeight="1">
      <c r="A8" s="163" t="inlineStr">
        <is>
          <t>C案
口径別・
標準逓増案</t>
        </is>
      </c>
      <c r="B8" s="70" t="inlineStr">
        <is>
          <t>口径別基本料金＋段階逓増従量料金へ移行（標準型）</t>
        </is>
      </c>
      <c r="D8" s="164" t="n">
        <v>5386479</v>
      </c>
      <c r="E8" s="124" t="inlineStr">
        <is>
          <t>─</t>
        </is>
      </c>
      <c r="F8" s="124" t="inlineStr">
        <is>
          <t>月+500〜700円</t>
        </is>
      </c>
      <c r="G8" s="124" t="inlineStr">
        <is>
          <t>+140〜+330%（逓減制廃止）</t>
        </is>
      </c>
      <c r="H8" s="124" t="inlineStr">
        <is>
          <t>△ 体系変更で説明負荷大</t>
        </is>
      </c>
      <c r="I8" s="124" t="inlineStr">
        <is>
          <t>○ 固定費負担明確化</t>
        </is>
      </c>
      <c r="J8" s="21" t="inlineStr">
        <is>
          <t>単独採用は慎重。水産加工業影響試算が必須。仕様書パターン3-A</t>
        </is>
      </c>
    </row>
    <row r="9" ht="36" customHeight="1">
      <c r="A9" s="165" t="inlineStr">
        <is>
          <t>D案
口径別・
産業配慮案</t>
        </is>
      </c>
      <c r="B9" s="107" t="inlineStr">
        <is>
          <t>口径別体系＋水産加工業向け産業用特例区分（塩竈モデル）</t>
        </is>
      </c>
      <c r="D9" s="144" t="inlineStr">
        <is>
          <t>─（産業特例による収入減を考慮）</t>
        </is>
      </c>
      <c r="E9" s="144" t="inlineStr">
        <is>
          <t>─</t>
        </is>
      </c>
      <c r="F9" s="144" t="inlineStr">
        <is>
          <t>月+500〜700円</t>
        </is>
      </c>
      <c r="G9" s="144" t="inlineStr">
        <is>
          <t>現行水準維持（±10%程度）</t>
        </is>
      </c>
      <c r="H9" s="144" t="inlineStr">
        <is>
          <t>△ 制度設計複雑</t>
        </is>
      </c>
      <c r="I9" s="144" t="inlineStr">
        <is>
          <t>○ 産業保護と標準化両立</t>
        </is>
      </c>
      <c r="J9" s="21" t="inlineStr">
        <is>
          <t>塩竈モデルを参考にした産業配慮案。C案の補完。仕様書パターン3-B</t>
        </is>
      </c>
    </row>
    <row r="10" ht="36" customHeight="1">
      <c r="A10" s="166" t="inlineStr">
        <is>
          <t>E案
段階改定・
経過措置案</t>
        </is>
      </c>
      <c r="B10" s="167" t="inlineStr">
        <is>
          <t>5〜10年で段階的に改定（B案の長期版・複数案の組み合わせ）</t>
        </is>
      </c>
      <c r="D10" s="168" t="inlineStr">
        <is>
          <t>─（段階ごとに設定）</t>
        </is>
      </c>
      <c r="E10" s="168" t="inlineStr">
        <is>
          <t>─（R13到達時に100%目標）</t>
        </is>
      </c>
      <c r="F10" s="168" t="inlineStr">
        <is>
          <t>初年度月+200〜300円</t>
        </is>
      </c>
      <c r="G10" s="168" t="inlineStr">
        <is>
          <t>段階移行で緩和</t>
        </is>
      </c>
      <c r="H10" s="168" t="inlineStr">
        <is>
          <t>◎ 議会・事業者に最受容</t>
        </is>
      </c>
      <c r="I10" s="168" t="inlineStr">
        <is>
          <t>△ 改善に時間</t>
        </is>
      </c>
      <c r="J10" s="21" t="inlineStr">
        <is>
          <t>激変緩和として最も受容されやすい。B案との組み合わせで実効性向上</t>
        </is>
      </c>
    </row>
    <row r="11" ht="5" customHeight="1"/>
    <row r="12" ht="12" customHeight="1">
      <c r="A12" s="2" t="inlineStr">
        <is>
          <t>※年間増収・充足率は月次ボリュームゾーン試算値（約44%サンプル）から拡張した推計値。実使用水量データ取得後に精緻化が必要。</t>
        </is>
      </c>
    </row>
    <row r="13" ht="12" customHeight="1">
      <c r="A13" s="2" t="inlineStr">
        <is>
          <t>※「キャッシュ不足額充足率」は定義③（キャッシュ不足額：料金収入−維持管理費−利息−資産維持費3%）に対する比率。</t>
        </is>
      </c>
    </row>
  </sheetData>
  <mergeCells count="15">
    <mergeCell ref="J7:L7"/>
    <mergeCell ref="B6:C6"/>
    <mergeCell ref="A2:L2"/>
    <mergeCell ref="J6:L6"/>
    <mergeCell ref="B7:C7"/>
    <mergeCell ref="J10:L10"/>
    <mergeCell ref="A1:L1"/>
    <mergeCell ref="B10:C10"/>
    <mergeCell ref="A13:L13"/>
    <mergeCell ref="J8:L8"/>
    <mergeCell ref="J9:L9"/>
    <mergeCell ref="B9:C9"/>
    <mergeCell ref="B8:C8"/>
    <mergeCell ref="A12:L12"/>
    <mergeCell ref="A4:L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8" customWidth="1" min="10" max="10"/>
  </cols>
  <sheetData>
    <row r="1" ht="22" customHeight="1">
      <c r="A1" s="169" t="inlineStr">
        <is>
          <t>女川町水道事業　料金改定の必要性と改定案の概要　【住民・議会説明用】</t>
        </is>
      </c>
    </row>
    <row r="2" ht="8" customHeight="1"/>
    <row r="3" ht="16" customHeight="1">
      <c r="A3" s="11" t="inlineStr">
        <is>
          <t>① なぜ料金改定が必要か</t>
        </is>
      </c>
    </row>
    <row r="4" ht="28" customHeight="1">
      <c r="A4" s="12" t="inlineStr">
        <is>
          <t>論点</t>
        </is>
      </c>
      <c r="B4" s="12" t="inlineStr">
        <is>
          <t>現状値</t>
        </is>
      </c>
      <c r="C4" s="12" t="inlineStr">
        <is>
          <t>目標・基準</t>
        </is>
      </c>
      <c r="D4" s="12" t="inlineStr">
        <is>
          <t>説明方法</t>
        </is>
      </c>
      <c r="E4" s="5" t="n"/>
      <c r="F4" s="5" t="n"/>
      <c r="G4" s="5" t="n"/>
      <c r="H4" s="5" t="n"/>
      <c r="I4" s="5" t="n"/>
      <c r="J4" s="6" t="n"/>
    </row>
    <row r="5" ht="24" customHeight="1">
      <c r="A5" s="170" t="inlineStr">
        <is>
          <t>料金回収率（R5実績ベース）</t>
        </is>
      </c>
      <c r="B5" s="171" t="inlineStr">
        <is>
          <t>52.87%</t>
        </is>
      </c>
      <c r="C5" s="171" t="inlineStr">
        <is>
          <t>100%（目標）</t>
        </is>
      </c>
      <c r="D5" s="21" t="inlineStr">
        <is>
          <t>R5実績：給水原価242円/㎥に対し供給単価128円/㎥。約半分しか回収できていない。「水1㎥あたり約114円を補助等で補填している」と説明。</t>
        </is>
      </c>
    </row>
    <row r="6" ht="24" customHeight="1">
      <c r="A6" s="172" t="inlineStr">
        <is>
          <t>経常収支</t>
        </is>
      </c>
      <c r="B6" s="10" t="inlineStr">
        <is>
          <t>収益的収支赤字継続</t>
        </is>
      </c>
      <c r="C6" s="10" t="inlineStr">
        <is>
          <t>均衡</t>
        </is>
      </c>
      <c r="D6" s="21" t="inlineStr">
        <is>
          <t>収益的支出が収益的収入を超過。現行料金を維持し続けると財政悪化が加速する。</t>
        </is>
      </c>
    </row>
    <row r="7" ht="24" customHeight="1">
      <c r="A7" s="170" t="inlineStr">
        <is>
          <t>施設老朽化・更新投資</t>
        </is>
      </c>
      <c r="B7" s="171" t="inlineStr">
        <is>
          <t>R8:管路更新10.4億円
R9:北上川導水管6.7億円</t>
        </is>
      </c>
      <c r="C7" s="171" t="inlineStr">
        <is>
          <t>投資財源確保</t>
        </is>
      </c>
      <c r="D7" s="21" t="inlineStr">
        <is>
          <t>老朽施設の大規模更新が集中する。料金収入で財源の一部を賄う必要がある。</t>
        </is>
      </c>
    </row>
    <row r="8" ht="24" customHeight="1">
      <c r="A8" s="172" t="inlineStr">
        <is>
          <t>国の政策方針</t>
        </is>
      </c>
      <c r="B8" s="10" t="inlineStr">
        <is>
          <t>資産維持費3%を原価算入を推奨</t>
        </is>
      </c>
      <c r="C8" s="10" t="inlineStr">
        <is>
          <t>適正原価の確保</t>
        </is>
      </c>
      <c r="D8" s="21" t="inlineStr">
        <is>
          <t>PDF資料2-2（厚生労働省）：資産維持費3%を総括原価に算入し、将来の更新財源を料金で確保することが求められている。</t>
        </is>
      </c>
    </row>
    <row r="9" ht="5" customHeight="1"/>
    <row r="10" ht="16" customHeight="1">
      <c r="A10" s="3" t="inlineStr">
        <is>
          <t>② 改定案の比較（3案・シンプル版）</t>
        </is>
      </c>
    </row>
    <row r="11" ht="28" customHeight="1">
      <c r="A11" s="4" t="inlineStr"/>
      <c r="B11" s="4" t="inlineStr">
        <is>
          <t>A案（現行体系）</t>
        </is>
      </c>
      <c r="C11" s="4" t="inlineStr">
        <is>
          <t>B案（赤字半減）</t>
        </is>
      </c>
      <c r="D11" s="4" t="inlineStr">
        <is>
          <t>D案（産業配慮）</t>
        </is>
      </c>
      <c r="E11" s="4" t="inlineStr">
        <is>
          <t>方針</t>
        </is>
      </c>
      <c r="F11" s="5" t="n"/>
      <c r="G11" s="5" t="n"/>
      <c r="H11" s="5" t="n"/>
      <c r="I11" s="5" t="n"/>
      <c r="J11" s="6" t="n"/>
    </row>
    <row r="12" ht="26" customHeight="1">
      <c r="A12" s="134" t="inlineStr">
        <is>
          <t>改定内容</t>
        </is>
      </c>
      <c r="B12" s="7" t="inlineStr">
        <is>
          <t>用途別・逓減制維持のまま単価引き上げ</t>
        </is>
      </c>
      <c r="D12" s="7" t="inlineStr">
        <is>
          <t>段階的に赤字半減を目指す</t>
        </is>
      </c>
      <c r="G12" s="7" t="inlineStr">
        <is>
          <t>口径別移行＋水産加工業特例</t>
        </is>
      </c>
      <c r="J12" s="173" t="n"/>
    </row>
    <row r="13" ht="26" customHeight="1">
      <c r="A13" s="10" t="inlineStr">
        <is>
          <t>基本料金</t>
        </is>
      </c>
      <c r="B13" s="9" t="inlineStr">
        <is>
          <t>990→1,320〜1,540円</t>
        </is>
      </c>
      <c r="D13" s="9" t="inlineStr">
        <is>
          <t>990→1,200〜1,300円（段階）</t>
        </is>
      </c>
      <c r="G13" s="9" t="inlineStr">
        <is>
          <t>口径別：13mm1,100〜20mm1,320円</t>
        </is>
      </c>
      <c r="J13" s="66" t="n"/>
    </row>
    <row r="14" ht="26" customHeight="1">
      <c r="A14" s="8" t="inlineStr">
        <is>
          <t>超過料金</t>
        </is>
      </c>
      <c r="B14" s="7" t="inlineStr">
        <is>
          <t>121→132〜143円/㎥</t>
        </is>
      </c>
      <c r="D14" s="7" t="inlineStr">
        <is>
          <t>121→132円/㎥</t>
        </is>
      </c>
      <c r="G14" s="7" t="inlineStr">
        <is>
          <t>121→132〜143円（段階逓増）</t>
        </is>
      </c>
      <c r="J14" s="173" t="n"/>
    </row>
    <row r="15" ht="26" customHeight="1">
      <c r="A15" s="10" t="inlineStr">
        <is>
          <t>標準世帯
（20㎥/月）月額</t>
        </is>
      </c>
      <c r="B15" s="9" t="inlineStr">
        <is>
          <t>現行2,395円→3,020〜3,245円
（+625〜850円）</t>
        </is>
      </c>
      <c r="D15" s="9" t="inlineStr">
        <is>
          <t>現行2,395円→2,715〜2,895円
（+320〜500円）</t>
        </is>
      </c>
      <c r="G15" s="9" t="inlineStr">
        <is>
          <t>現行2,395円→2,860〜3,020円
（+465〜625円）</t>
        </is>
      </c>
      <c r="J15" s="66" t="n"/>
    </row>
    <row r="16" ht="26" customHeight="1">
      <c r="A16" s="8" t="inlineStr">
        <is>
          <t>水産加工業
（中規模1,000㎥）</t>
        </is>
      </c>
      <c r="B16" s="7" t="inlineStr">
        <is>
          <t>現行111,980円→136,520円
（+21.9%）</t>
        </is>
      </c>
      <c r="D16" s="7" t="inlineStr">
        <is>
          <t>現行111,980円→125,000〜130,000円
（+11〜16%）</t>
        </is>
      </c>
      <c r="G16" s="7" t="inlineStr">
        <is>
          <t>産業特例適用で115,500円
（+3.1%、ほぼ現行維持）</t>
        </is>
      </c>
      <c r="J16" s="173" t="n"/>
    </row>
    <row r="17" ht="26" customHeight="1">
      <c r="A17" s="10" t="inlineStr">
        <is>
          <t>年間増収見込</t>
        </is>
      </c>
      <c r="B17" s="9" t="inlineStr">
        <is>
          <t>約35,000千円</t>
        </is>
      </c>
      <c r="D17" s="9" t="inlineStr">
        <is>
          <t>約37,000千円</t>
        </is>
      </c>
      <c r="G17" s="9" t="inlineStr">
        <is>
          <t>産業特例収入減あり（別途試算）</t>
        </is>
      </c>
      <c r="J17" s="66" t="n"/>
    </row>
    <row r="18" ht="26" customHeight="1">
      <c r="A18" s="8" t="inlineStr">
        <is>
          <t>仕様書パターン</t>
        </is>
      </c>
      <c r="B18" s="7" t="inlineStr">
        <is>
          <t>パターン1</t>
        </is>
      </c>
      <c r="D18" s="7" t="inlineStr">
        <is>
          <t>パターン2</t>
        </is>
      </c>
      <c r="G18" s="7" t="inlineStr">
        <is>
          <t>パターン3-B</t>
        </is>
      </c>
      <c r="J18" s="173" t="n"/>
    </row>
    <row r="19" ht="26" customHeight="1">
      <c r="A19" s="138" t="inlineStr">
        <is>
          <t>推奨度</t>
        </is>
      </c>
      <c r="B19" s="9" t="inlineStr">
        <is>
          <t>◎ 第1候補</t>
        </is>
      </c>
      <c r="D19" s="9" t="inlineStr">
        <is>
          <t>◎ 段階改定として推奨</t>
        </is>
      </c>
      <c r="G19" s="9" t="inlineStr">
        <is>
          <t>○ C案の補完として提示</t>
        </is>
      </c>
      <c r="J19" s="66" t="n"/>
    </row>
    <row r="20" ht="5" customHeight="1"/>
    <row r="21" ht="12" customHeight="1">
      <c r="A21" s="2" t="inlineStr">
        <is>
          <t>本資料は業務仕様書「住民・議会向けに切り抜いて使える資料」として作成。数値は調定データ・財政シミュに基づく推計値。確定値は令和8年度決算確定後に更新。</t>
        </is>
      </c>
    </row>
  </sheetData>
  <mergeCells count="34">
    <mergeCell ref="D4:J4"/>
    <mergeCell ref="D13:F13"/>
    <mergeCell ref="B16:C16"/>
    <mergeCell ref="G13:I13"/>
    <mergeCell ref="G19:I19"/>
    <mergeCell ref="D8:J8"/>
    <mergeCell ref="G18:I18"/>
    <mergeCell ref="D17:F17"/>
    <mergeCell ref="B18:C18"/>
    <mergeCell ref="A10:J10"/>
    <mergeCell ref="D16:F16"/>
    <mergeCell ref="D5:J5"/>
    <mergeCell ref="G15:I15"/>
    <mergeCell ref="B12:C12"/>
    <mergeCell ref="E11:J11"/>
    <mergeCell ref="G14:I14"/>
    <mergeCell ref="D12:F12"/>
    <mergeCell ref="D18:F18"/>
    <mergeCell ref="B14:C14"/>
    <mergeCell ref="B17:C17"/>
    <mergeCell ref="D15:F15"/>
    <mergeCell ref="B13:C13"/>
    <mergeCell ref="A1:J1"/>
    <mergeCell ref="G16:I16"/>
    <mergeCell ref="D14:F14"/>
    <mergeCell ref="B19:C19"/>
    <mergeCell ref="D6:J6"/>
    <mergeCell ref="G12:I12"/>
    <mergeCell ref="D19:F19"/>
    <mergeCell ref="B15:C15"/>
    <mergeCell ref="A3:J3"/>
    <mergeCell ref="D7:J7"/>
    <mergeCell ref="A21:J21"/>
    <mergeCell ref="G17:I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01_rate_reform_simulation_MAIN</dc:title>
  <dc:subject>令和8年度上下水道経営指標評価書作成等業務委託</dc:subject>
  <dc:creator>若山諒太</dc:creator>
  <cp:lastModifiedBy>若山諒太</cp:lastModifiedBy>
  <cp:revision>1</cp:revision>
  <dcterms:created xsi:type="dcterms:W3CDTF">2026-09-28T08:02:27Z</dcterms:created>
  <dcterms:modified xsi:type="dcterms:W3CDTF">2026-09-28T08:02:27Z</dcterms:modified>
  <cp:category>ビズアップ公共コンサルティング株式会社</cp:category>
</cp:coreProperties>
</file>