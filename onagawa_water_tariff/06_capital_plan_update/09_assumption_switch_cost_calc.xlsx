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5">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調査票＋北上川導水管</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他会計補助金 272,997千円</t>
        </is>
      </c>
      <c r="E22" s="9" t="inlineStr">
        <is>
          <t>他会計補助金＋補助金 691,997千円 ／ 推計値 ／ 控除しない</t>
        </is>
      </c>
      <c r="G22" s="10" t="inlineStr">
        <is>
          <t>基準内繰入金は控除、基準外繰入金（赤字補填）は控除しないのが原則。区分が未確定。</t>
        </is>
      </c>
    </row>
    <row r="23" ht="30" customHeight="1">
      <c r="A23" s="6" t="inlineStr">
        <is>
          <t>C4</t>
        </is>
      </c>
      <c r="B23" s="7" t="inlineStr">
        <is>
          <t>その他営業収益・受取利息・雑収益の控除</t>
        </is>
      </c>
      <c r="C23" s="8" t="inlineStr">
        <is>
          <t>控除しない</t>
        </is>
      </c>
      <c r="D23" s="9" t="inlineStr">
        <is>
          <t>控除する（26,494千円）</t>
        </is>
      </c>
      <c r="E23" s="9" t="inlineStr">
        <is>
          <t>控除しない</t>
        </is>
      </c>
      <c r="G23" s="10" t="inlineStr">
        <is>
          <t>算定要領では営業外収益として控除対象。成果品では控除されていない。</t>
        </is>
      </c>
    </row>
    <row r="24" ht="30" customHeight="1">
      <c r="A24" s="6" t="inlineStr">
        <is>
          <t>C5</t>
        </is>
      </c>
      <c r="B24" s="7" t="inlineStr">
        <is>
          <t>雑支出の算入</t>
        </is>
      </c>
      <c r="C24" s="8" t="inlineStr">
        <is>
          <t>算入しない</t>
        </is>
      </c>
      <c r="D24" s="9" t="inlineStr">
        <is>
          <t>算入していない</t>
        </is>
      </c>
      <c r="E24" s="9" t="inlineStr">
        <is>
          <t>算入する（36,696千円）／ 算入しない</t>
        </is>
      </c>
      <c r="G24" s="10" t="inlineStr">
        <is>
          <t>営業外費用。経営戦略の料金算定でも成果品でも算入されていない。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"経営戦略の計画,建設改良費調査票,調査票＋北上川導水管"</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1,011,000。うち670,000は北上川導水管。</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割合(%)欄に金額444,000が入力されているため、繰入金が約3.9兆円になる。総整備費は正しいままなので気づきにくい。</t>
        </is>
      </c>
      <c r="D39" s="31" t="n"/>
      <c r="E39" s="15" t="n"/>
      <c r="G39" s="32" t="inlineStr">
        <is>
          <t>割合欄に50を入力する。</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北上川導水管</t>
        </is>
      </c>
      <c r="C42" s="30" t="inlineStr">
        <is>
          <t>経営戦略にはR9に670,000の計上があるが、調査票にない。</t>
        </is>
      </c>
      <c r="D42" s="31" t="n"/>
      <c r="E42" s="15" t="n"/>
      <c r="G42" s="32" t="inlineStr">
        <is>
          <t>中止・繰延・記載漏れのいずれか確認する。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【調査票＋北上川導水管】</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北上川導水管（調査票に未計上・復元）</t>
        </is>
      </c>
      <c r="B25" s="34" t="n">
        <v>0</v>
      </c>
      <c r="C25" s="34" t="n">
        <v>670000</v>
      </c>
      <c r="D25" s="34" t="n">
        <v>0</v>
      </c>
      <c r="E25" s="34" t="n">
        <v>0</v>
      </c>
      <c r="F25" s="34" t="n">
        <v>0</v>
      </c>
      <c r="G25" s="34" t="n">
        <v>0</v>
      </c>
      <c r="H25" s="34" t="n">
        <v>0</v>
      </c>
      <c r="I25" s="34" t="n">
        <v>0</v>
      </c>
      <c r="J25" s="34" t="n">
        <v>0</v>
      </c>
      <c r="K25" s="34" t="n">
        <v>0</v>
      </c>
      <c r="L25" s="35" t="n">
        <v>670000</v>
      </c>
    </row>
    <row r="26">
      <c r="A26" s="14" t="inlineStr">
        <is>
          <t>計</t>
        </is>
      </c>
      <c r="B26" s="36" t="n">
        <v>565400</v>
      </c>
      <c r="C26" s="36" t="n">
        <v>1539600</v>
      </c>
      <c r="D26" s="36" t="n">
        <v>210000</v>
      </c>
      <c r="E26" s="36" t="n">
        <v>320000</v>
      </c>
      <c r="F26" s="36" t="n">
        <v>320000</v>
      </c>
      <c r="G26" s="36" t="n">
        <v>320000</v>
      </c>
      <c r="H26" s="36" t="n">
        <v>160000</v>
      </c>
      <c r="I26" s="36" t="n">
        <v>250000</v>
      </c>
      <c r="J26" s="36" t="n">
        <v>250000</v>
      </c>
      <c r="K26" s="36" t="n">
        <v>250000</v>
      </c>
      <c r="L26" s="20" t="n">
        <v>4185000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調査票＋北上川導水管</t>
        </is>
      </c>
      <c r="B78" s="33" t="inlineStr">
        <is>
          <t>損益計算書ベース</t>
        </is>
      </c>
      <c r="C78" s="33" t="n">
        <v>35</v>
      </c>
      <c r="D78" s="33" t="n">
        <v>15</v>
      </c>
      <c r="E78" s="34" t="n">
        <v>332674</v>
      </c>
      <c r="F78" s="34" t="n">
        <v>25186</v>
      </c>
      <c r="G78" s="38" t="inlineStr">
        <is>
          <t>調査票＋北上川導水管|損益計算書ベース|35|15</t>
        </is>
      </c>
    </row>
    <row r="79">
      <c r="A79" s="33" t="inlineStr">
        <is>
          <t>調査票＋北上川導水管</t>
        </is>
      </c>
      <c r="B79" s="33" t="inlineStr">
        <is>
          <t>損益計算書ベース</t>
        </is>
      </c>
      <c r="C79" s="33" t="n">
        <v>35</v>
      </c>
      <c r="D79" s="33" t="n">
        <v>20</v>
      </c>
      <c r="E79" s="34" t="n">
        <v>282384</v>
      </c>
      <c r="F79" s="34" t="n">
        <v>25186</v>
      </c>
      <c r="G79" s="38" t="inlineStr">
        <is>
          <t>調査票＋北上川導水管|損益計算書ベース|35|20</t>
        </is>
      </c>
    </row>
    <row r="80">
      <c r="A80" s="33" t="inlineStr">
        <is>
          <t>調査票＋北上川導水管</t>
        </is>
      </c>
      <c r="B80" s="33" t="inlineStr">
        <is>
          <t>損益計算書ベース</t>
        </is>
      </c>
      <c r="C80" s="33" t="n">
        <v>35</v>
      </c>
      <c r="D80" s="33" t="n">
        <v>25</v>
      </c>
      <c r="E80" s="34" t="n">
        <v>252210</v>
      </c>
      <c r="F80" s="34" t="n">
        <v>25186</v>
      </c>
      <c r="G80" s="38" t="inlineStr">
        <is>
          <t>調査票＋北上川導水管|損益計算書ベース|35|25</t>
        </is>
      </c>
    </row>
    <row r="81">
      <c r="A81" s="33" t="inlineStr">
        <is>
          <t>調査票＋北上川導水管</t>
        </is>
      </c>
      <c r="B81" s="33" t="inlineStr">
        <is>
          <t>損益計算書ベース</t>
        </is>
      </c>
      <c r="C81" s="33" t="n">
        <v>35</v>
      </c>
      <c r="D81" s="33" t="n">
        <v>30</v>
      </c>
      <c r="E81" s="34" t="n">
        <v>232094</v>
      </c>
      <c r="F81" s="34" t="n">
        <v>25186</v>
      </c>
      <c r="G81" s="38" t="inlineStr">
        <is>
          <t>調査票＋北上川導水管|損益計算書ベース|35|30</t>
        </is>
      </c>
    </row>
    <row r="82">
      <c r="A82" s="33" t="inlineStr">
        <is>
          <t>調査票＋北上川導水管</t>
        </is>
      </c>
      <c r="B82" s="33" t="inlineStr">
        <is>
          <t>損益計算書ベース</t>
        </is>
      </c>
      <c r="C82" s="33" t="n">
        <v>35</v>
      </c>
      <c r="D82" s="33" t="n">
        <v>38</v>
      </c>
      <c r="E82" s="34" t="n">
        <v>210920</v>
      </c>
      <c r="F82" s="34" t="n">
        <v>25186</v>
      </c>
      <c r="G82" s="38" t="inlineStr">
        <is>
          <t>調査票＋北上川導水管|損益計算書ベース|35|38</t>
        </is>
      </c>
    </row>
    <row r="83">
      <c r="A83" s="33" t="inlineStr">
        <is>
          <t>調査票＋北上川導水管</t>
        </is>
      </c>
      <c r="B83" s="33" t="inlineStr">
        <is>
          <t>損益計算書ベース</t>
        </is>
      </c>
      <c r="C83" s="33" t="n">
        <v>35</v>
      </c>
      <c r="D83" s="33" t="n">
        <v>40</v>
      </c>
      <c r="E83" s="34" t="n">
        <v>206949</v>
      </c>
      <c r="F83" s="34" t="n">
        <v>25186</v>
      </c>
      <c r="G83" s="38" t="inlineStr">
        <is>
          <t>調査票＋北上川導水管|損益計算書ベース|35|40</t>
        </is>
      </c>
    </row>
    <row r="84">
      <c r="A84" s="33" t="inlineStr">
        <is>
          <t>調査票＋北上川導水管</t>
        </is>
      </c>
      <c r="B84" s="33" t="inlineStr">
        <is>
          <t>損益計算書ベース</t>
        </is>
      </c>
      <c r="C84" s="33" t="n">
        <v>38</v>
      </c>
      <c r="D84" s="33" t="n">
        <v>15</v>
      </c>
      <c r="E84" s="34" t="n">
        <v>322292</v>
      </c>
      <c r="F84" s="34" t="n">
        <v>23197</v>
      </c>
      <c r="G84" s="38" t="inlineStr">
        <is>
          <t>調査票＋北上川導水管|損益計算書ベース|38|15</t>
        </is>
      </c>
    </row>
    <row r="85">
      <c r="A85" s="33" t="inlineStr">
        <is>
          <t>調査票＋北上川導水管</t>
        </is>
      </c>
      <c r="B85" s="33" t="inlineStr">
        <is>
          <t>損益計算書ベース</t>
        </is>
      </c>
      <c r="C85" s="33" t="n">
        <v>38</v>
      </c>
      <c r="D85" s="33" t="n">
        <v>20</v>
      </c>
      <c r="E85" s="34" t="n">
        <v>272002</v>
      </c>
      <c r="F85" s="34" t="n">
        <v>23197</v>
      </c>
      <c r="G85" s="38" t="inlineStr">
        <is>
          <t>調査票＋北上川導水管|損益計算書ベース|38|20</t>
        </is>
      </c>
    </row>
    <row r="86">
      <c r="A86" s="33" t="inlineStr">
        <is>
          <t>調査票＋北上川導水管</t>
        </is>
      </c>
      <c r="B86" s="33" t="inlineStr">
        <is>
          <t>損益計算書ベース</t>
        </is>
      </c>
      <c r="C86" s="33" t="n">
        <v>38</v>
      </c>
      <c r="D86" s="33" t="n">
        <v>25</v>
      </c>
      <c r="E86" s="34" t="n">
        <v>241828</v>
      </c>
      <c r="F86" s="34" t="n">
        <v>23197</v>
      </c>
      <c r="G86" s="38" t="inlineStr">
        <is>
          <t>調査票＋北上川導水管|損益計算書ベース|38|25</t>
        </is>
      </c>
    </row>
    <row r="87">
      <c r="A87" s="33" t="inlineStr">
        <is>
          <t>調査票＋北上川導水管</t>
        </is>
      </c>
      <c r="B87" s="33" t="inlineStr">
        <is>
          <t>損益計算書ベース</t>
        </is>
      </c>
      <c r="C87" s="33" t="n">
        <v>38</v>
      </c>
      <c r="D87" s="33" t="n">
        <v>30</v>
      </c>
      <c r="E87" s="34" t="n">
        <v>221712</v>
      </c>
      <c r="F87" s="34" t="n">
        <v>23197</v>
      </c>
      <c r="G87" s="38" t="inlineStr">
        <is>
          <t>調査票＋北上川導水管|損益計算書ベース|38|30</t>
        </is>
      </c>
    </row>
    <row r="88">
      <c r="A88" s="33" t="inlineStr">
        <is>
          <t>調査票＋北上川導水管</t>
        </is>
      </c>
      <c r="B88" s="33" t="inlineStr">
        <is>
          <t>損益計算書ベース</t>
        </is>
      </c>
      <c r="C88" s="33" t="n">
        <v>38</v>
      </c>
      <c r="D88" s="33" t="n">
        <v>38</v>
      </c>
      <c r="E88" s="34" t="n">
        <v>200537</v>
      </c>
      <c r="F88" s="34" t="n">
        <v>23197</v>
      </c>
      <c r="G88" s="38" t="inlineStr">
        <is>
          <t>調査票＋北上川導水管|損益計算書ベース|38|38</t>
        </is>
      </c>
    </row>
    <row r="89">
      <c r="A89" s="33" t="inlineStr">
        <is>
          <t>調査票＋北上川導水管</t>
        </is>
      </c>
      <c r="B89" s="33" t="inlineStr">
        <is>
          <t>損益計算書ベース</t>
        </is>
      </c>
      <c r="C89" s="33" t="n">
        <v>38</v>
      </c>
      <c r="D89" s="33" t="n">
        <v>40</v>
      </c>
      <c r="E89" s="34" t="n">
        <v>196567</v>
      </c>
      <c r="F89" s="34" t="n">
        <v>23197</v>
      </c>
      <c r="G89" s="38" t="inlineStr">
        <is>
          <t>調査票＋北上川導水管|損益計算書ベース|38|40</t>
        </is>
      </c>
    </row>
    <row r="90">
      <c r="A90" s="33" t="inlineStr">
        <is>
          <t>調査票＋北上川導水管</t>
        </is>
      </c>
      <c r="B90" s="33" t="inlineStr">
        <is>
          <t>損益計算書ベース</t>
        </is>
      </c>
      <c r="C90" s="33" t="n">
        <v>40</v>
      </c>
      <c r="D90" s="33" t="n">
        <v>15</v>
      </c>
      <c r="E90" s="34" t="n">
        <v>316235</v>
      </c>
      <c r="F90" s="34" t="n">
        <v>22038</v>
      </c>
      <c r="G90" s="38" t="inlineStr">
        <is>
          <t>調査票＋北上川導水管|損益計算書ベース|40|15</t>
        </is>
      </c>
    </row>
    <row r="91">
      <c r="A91" s="33" t="inlineStr">
        <is>
          <t>調査票＋北上川導水管</t>
        </is>
      </c>
      <c r="B91" s="33" t="inlineStr">
        <is>
          <t>損益計算書ベース</t>
        </is>
      </c>
      <c r="C91" s="33" t="n">
        <v>40</v>
      </c>
      <c r="D91" s="33" t="n">
        <v>20</v>
      </c>
      <c r="E91" s="34" t="n">
        <v>265945</v>
      </c>
      <c r="F91" s="34" t="n">
        <v>22038</v>
      </c>
      <c r="G91" s="38" t="inlineStr">
        <is>
          <t>調査票＋北上川導水管|損益計算書ベース|40|20</t>
        </is>
      </c>
    </row>
    <row r="92">
      <c r="A92" s="33" t="inlineStr">
        <is>
          <t>調査票＋北上川導水管</t>
        </is>
      </c>
      <c r="B92" s="33" t="inlineStr">
        <is>
          <t>損益計算書ベース</t>
        </is>
      </c>
      <c r="C92" s="33" t="n">
        <v>40</v>
      </c>
      <c r="D92" s="33" t="n">
        <v>25</v>
      </c>
      <c r="E92" s="34" t="n">
        <v>235771</v>
      </c>
      <c r="F92" s="34" t="n">
        <v>22038</v>
      </c>
      <c r="G92" s="38" t="inlineStr">
        <is>
          <t>調査票＋北上川導水管|損益計算書ベース|40|25</t>
        </is>
      </c>
    </row>
    <row r="93">
      <c r="A93" s="33" t="inlineStr">
        <is>
          <t>調査票＋北上川導水管</t>
        </is>
      </c>
      <c r="B93" s="33" t="inlineStr">
        <is>
          <t>損益計算書ベース</t>
        </is>
      </c>
      <c r="C93" s="33" t="n">
        <v>40</v>
      </c>
      <c r="D93" s="33" t="n">
        <v>30</v>
      </c>
      <c r="E93" s="34" t="n">
        <v>215655</v>
      </c>
      <c r="F93" s="34" t="n">
        <v>22038</v>
      </c>
      <c r="G93" s="38" t="inlineStr">
        <is>
          <t>調査票＋北上川導水管|損益計算書ベース|40|30</t>
        </is>
      </c>
    </row>
    <row r="94">
      <c r="A94" s="33" t="inlineStr">
        <is>
          <t>調査票＋北上川導水管</t>
        </is>
      </c>
      <c r="B94" s="33" t="inlineStr">
        <is>
          <t>損益計算書ベース</t>
        </is>
      </c>
      <c r="C94" s="33" t="n">
        <v>40</v>
      </c>
      <c r="D94" s="33" t="n">
        <v>38</v>
      </c>
      <c r="E94" s="34" t="n">
        <v>194480</v>
      </c>
      <c r="F94" s="34" t="n">
        <v>22038</v>
      </c>
      <c r="G94" s="38" t="inlineStr">
        <is>
          <t>調査票＋北上川導水管|損益計算書ベース|40|38</t>
        </is>
      </c>
    </row>
    <row r="95">
      <c r="A95" s="33" t="inlineStr">
        <is>
          <t>調査票＋北上川導水管</t>
        </is>
      </c>
      <c r="B95" s="33" t="inlineStr">
        <is>
          <t>損益計算書ベース</t>
        </is>
      </c>
      <c r="C95" s="33" t="n">
        <v>40</v>
      </c>
      <c r="D95" s="33" t="n">
        <v>40</v>
      </c>
      <c r="E95" s="34" t="n">
        <v>190510</v>
      </c>
      <c r="F95" s="34" t="n">
        <v>22038</v>
      </c>
      <c r="G95" s="38" t="inlineStr">
        <is>
          <t>調査票＋北上川導水管|損益計算書ベース|40|40</t>
        </is>
      </c>
    </row>
    <row r="96">
      <c r="A96" s="33" t="inlineStr">
        <is>
          <t>調査票＋北上川導水管</t>
        </is>
      </c>
      <c r="B96" s="33" t="inlineStr">
        <is>
          <t>固定資産台帳ベース</t>
        </is>
      </c>
      <c r="C96" s="33" t="n">
        <v>35</v>
      </c>
      <c r="D96" s="33" t="n">
        <v>15</v>
      </c>
      <c r="E96" s="34" t="n">
        <v>307489</v>
      </c>
      <c r="F96" s="34" t="n">
        <v>0</v>
      </c>
      <c r="G96" s="38" t="inlineStr">
        <is>
          <t>調査票＋北上川導水管|固定資産台帳ベース|35|15</t>
        </is>
      </c>
    </row>
    <row r="97">
      <c r="A97" s="33" t="inlineStr">
        <is>
          <t>調査票＋北上川導水管</t>
        </is>
      </c>
      <c r="B97" s="33" t="inlineStr">
        <is>
          <t>固定資産台帳ベース</t>
        </is>
      </c>
      <c r="C97" s="33" t="n">
        <v>35</v>
      </c>
      <c r="D97" s="33" t="n">
        <v>20</v>
      </c>
      <c r="E97" s="34" t="n">
        <v>257199</v>
      </c>
      <c r="F97" s="34" t="n">
        <v>0</v>
      </c>
      <c r="G97" s="38" t="inlineStr">
        <is>
          <t>調査票＋北上川導水管|固定資産台帳ベース|35|20</t>
        </is>
      </c>
    </row>
    <row r="98">
      <c r="A98" s="33" t="inlineStr">
        <is>
          <t>調査票＋北上川導水管</t>
        </is>
      </c>
      <c r="B98" s="33" t="inlineStr">
        <is>
          <t>固定資産台帳ベース</t>
        </is>
      </c>
      <c r="C98" s="33" t="n">
        <v>35</v>
      </c>
      <c r="D98" s="33" t="n">
        <v>25</v>
      </c>
      <c r="E98" s="34" t="n">
        <v>227025</v>
      </c>
      <c r="F98" s="34" t="n">
        <v>0</v>
      </c>
      <c r="G98" s="38" t="inlineStr">
        <is>
          <t>調査票＋北上川導水管|固定資産台帳ベース|35|25</t>
        </is>
      </c>
    </row>
    <row r="99">
      <c r="A99" s="33" t="inlineStr">
        <is>
          <t>調査票＋北上川導水管</t>
        </is>
      </c>
      <c r="B99" s="33" t="inlineStr">
        <is>
          <t>固定資産台帳ベース</t>
        </is>
      </c>
      <c r="C99" s="33" t="n">
        <v>35</v>
      </c>
      <c r="D99" s="33" t="n">
        <v>30</v>
      </c>
      <c r="E99" s="34" t="n">
        <v>206909</v>
      </c>
      <c r="F99" s="34" t="n">
        <v>0</v>
      </c>
      <c r="G99" s="38" t="inlineStr">
        <is>
          <t>調査票＋北上川導水管|固定資産台帳ベース|35|30</t>
        </is>
      </c>
    </row>
    <row r="100">
      <c r="A100" s="33" t="inlineStr">
        <is>
          <t>調査票＋北上川導水管</t>
        </is>
      </c>
      <c r="B100" s="33" t="inlineStr">
        <is>
          <t>固定資産台帳ベース</t>
        </is>
      </c>
      <c r="C100" s="33" t="n">
        <v>35</v>
      </c>
      <c r="D100" s="33" t="n">
        <v>38</v>
      </c>
      <c r="E100" s="34" t="n">
        <v>185734</v>
      </c>
      <c r="F100" s="34" t="n">
        <v>0</v>
      </c>
      <c r="G100" s="38" t="inlineStr">
        <is>
          <t>調査票＋北上川導水管|固定資産台帳ベース|35|38</t>
        </is>
      </c>
    </row>
    <row r="101">
      <c r="A101" s="33" t="inlineStr">
        <is>
          <t>調査票＋北上川導水管</t>
        </is>
      </c>
      <c r="B101" s="33" t="inlineStr">
        <is>
          <t>固定資産台帳ベース</t>
        </is>
      </c>
      <c r="C101" s="33" t="n">
        <v>35</v>
      </c>
      <c r="D101" s="33" t="n">
        <v>40</v>
      </c>
      <c r="E101" s="34" t="n">
        <v>181764</v>
      </c>
      <c r="F101" s="34" t="n">
        <v>0</v>
      </c>
      <c r="G101" s="38" t="inlineStr">
        <is>
          <t>調査票＋北上川導水管|固定資産台帳ベース|35|40</t>
        </is>
      </c>
    </row>
    <row r="102">
      <c r="A102" s="33" t="inlineStr">
        <is>
          <t>調査票＋北上川導水管</t>
        </is>
      </c>
      <c r="B102" s="33" t="inlineStr">
        <is>
          <t>固定資産台帳ベース</t>
        </is>
      </c>
      <c r="C102" s="33" t="n">
        <v>38</v>
      </c>
      <c r="D102" s="33" t="n">
        <v>15</v>
      </c>
      <c r="E102" s="34" t="n">
        <v>299094</v>
      </c>
      <c r="F102" s="34" t="n">
        <v>0</v>
      </c>
      <c r="G102" s="38" t="inlineStr">
        <is>
          <t>調査票＋北上川導水管|固定資産台帳ベース|38|15</t>
        </is>
      </c>
    </row>
    <row r="103">
      <c r="A103" s="33" t="inlineStr">
        <is>
          <t>調査票＋北上川導水管</t>
        </is>
      </c>
      <c r="B103" s="33" t="inlineStr">
        <is>
          <t>固定資産台帳ベース</t>
        </is>
      </c>
      <c r="C103" s="33" t="n">
        <v>38</v>
      </c>
      <c r="D103" s="33" t="n">
        <v>20</v>
      </c>
      <c r="E103" s="34" t="n">
        <v>248804</v>
      </c>
      <c r="F103" s="34" t="n">
        <v>0</v>
      </c>
      <c r="G103" s="38" t="inlineStr">
        <is>
          <t>調査票＋北上川導水管|固定資産台帳ベース|38|20</t>
        </is>
      </c>
    </row>
    <row r="104">
      <c r="A104" s="33" t="inlineStr">
        <is>
          <t>調査票＋北上川導水管</t>
        </is>
      </c>
      <c r="B104" s="33" t="inlineStr">
        <is>
          <t>固定資産台帳ベース</t>
        </is>
      </c>
      <c r="C104" s="33" t="n">
        <v>38</v>
      </c>
      <c r="D104" s="33" t="n">
        <v>25</v>
      </c>
      <c r="E104" s="34" t="n">
        <v>218630</v>
      </c>
      <c r="F104" s="34" t="n">
        <v>0</v>
      </c>
      <c r="G104" s="38" t="inlineStr">
        <is>
          <t>調査票＋北上川導水管|固定資産台帳ベース|38|25</t>
        </is>
      </c>
    </row>
    <row r="105">
      <c r="A105" s="33" t="inlineStr">
        <is>
          <t>調査票＋北上川導水管</t>
        </is>
      </c>
      <c r="B105" s="33" t="inlineStr">
        <is>
          <t>固定資産台帳ベース</t>
        </is>
      </c>
      <c r="C105" s="33" t="n">
        <v>38</v>
      </c>
      <c r="D105" s="33" t="n">
        <v>30</v>
      </c>
      <c r="E105" s="34" t="n">
        <v>198514</v>
      </c>
      <c r="F105" s="34" t="n">
        <v>0</v>
      </c>
      <c r="G105" s="38" t="inlineStr">
        <is>
          <t>調査票＋北上川導水管|固定資産台帳ベース|38|30</t>
        </is>
      </c>
    </row>
    <row r="106">
      <c r="A106" s="33" t="inlineStr">
        <is>
          <t>調査票＋北上川導水管</t>
        </is>
      </c>
      <c r="B106" s="33" t="inlineStr">
        <is>
          <t>固定資産台帳ベース</t>
        </is>
      </c>
      <c r="C106" s="33" t="n">
        <v>38</v>
      </c>
      <c r="D106" s="33" t="n">
        <v>38</v>
      </c>
      <c r="E106" s="34" t="n">
        <v>177339</v>
      </c>
      <c r="F106" s="34" t="n">
        <v>0</v>
      </c>
      <c r="G106" s="38" t="inlineStr">
        <is>
          <t>調査票＋北上川導水管|固定資産台帳ベース|38|38</t>
        </is>
      </c>
    </row>
    <row r="107">
      <c r="A107" s="33" t="inlineStr">
        <is>
          <t>調査票＋北上川導水管</t>
        </is>
      </c>
      <c r="B107" s="33" t="inlineStr">
        <is>
          <t>固定資産台帳ベース</t>
        </is>
      </c>
      <c r="C107" s="33" t="n">
        <v>38</v>
      </c>
      <c r="D107" s="33" t="n">
        <v>40</v>
      </c>
      <c r="E107" s="34" t="n">
        <v>173369</v>
      </c>
      <c r="F107" s="34" t="n">
        <v>0</v>
      </c>
      <c r="G107" s="38" t="inlineStr">
        <is>
          <t>調査票＋北上川導水管|固定資産台帳ベース|38|40</t>
        </is>
      </c>
    </row>
    <row r="108">
      <c r="A108" s="33" t="inlineStr">
        <is>
          <t>調査票＋北上川導水管</t>
        </is>
      </c>
      <c r="B108" s="33" t="inlineStr">
        <is>
          <t>固定資産台帳ベース</t>
        </is>
      </c>
      <c r="C108" s="33" t="n">
        <v>40</v>
      </c>
      <c r="D108" s="33" t="n">
        <v>15</v>
      </c>
      <c r="E108" s="34" t="n">
        <v>294198</v>
      </c>
      <c r="F108" s="34" t="n">
        <v>0</v>
      </c>
      <c r="G108" s="38" t="inlineStr">
        <is>
          <t>調査票＋北上川導水管|固定資産台帳ベース|40|15</t>
        </is>
      </c>
    </row>
    <row r="109">
      <c r="A109" s="33" t="inlineStr">
        <is>
          <t>調査票＋北上川導水管</t>
        </is>
      </c>
      <c r="B109" s="33" t="inlineStr">
        <is>
          <t>固定資産台帳ベース</t>
        </is>
      </c>
      <c r="C109" s="33" t="n">
        <v>40</v>
      </c>
      <c r="D109" s="33" t="n">
        <v>20</v>
      </c>
      <c r="E109" s="34" t="n">
        <v>243908</v>
      </c>
      <c r="F109" s="34" t="n">
        <v>0</v>
      </c>
      <c r="G109" s="38" t="inlineStr">
        <is>
          <t>調査票＋北上川導水管|固定資産台帳ベース|40|20</t>
        </is>
      </c>
    </row>
    <row r="110">
      <c r="A110" s="33" t="inlineStr">
        <is>
          <t>調査票＋北上川導水管</t>
        </is>
      </c>
      <c r="B110" s="33" t="inlineStr">
        <is>
          <t>固定資産台帳ベース</t>
        </is>
      </c>
      <c r="C110" s="33" t="n">
        <v>40</v>
      </c>
      <c r="D110" s="33" t="n">
        <v>25</v>
      </c>
      <c r="E110" s="34" t="n">
        <v>213734</v>
      </c>
      <c r="F110" s="34" t="n">
        <v>0</v>
      </c>
      <c r="G110" s="38" t="inlineStr">
        <is>
          <t>調査票＋北上川導水管|固定資産台帳ベース|40|25</t>
        </is>
      </c>
    </row>
    <row r="111">
      <c r="A111" s="33" t="inlineStr">
        <is>
          <t>調査票＋北上川導水管</t>
        </is>
      </c>
      <c r="B111" s="33" t="inlineStr">
        <is>
          <t>固定資産台帳ベース</t>
        </is>
      </c>
      <c r="C111" s="33" t="n">
        <v>40</v>
      </c>
      <c r="D111" s="33" t="n">
        <v>30</v>
      </c>
      <c r="E111" s="34" t="n">
        <v>193618</v>
      </c>
      <c r="F111" s="34" t="n">
        <v>0</v>
      </c>
      <c r="G111" s="38" t="inlineStr">
        <is>
          <t>調査票＋北上川導水管|固定資産台帳ベース|40|30</t>
        </is>
      </c>
    </row>
    <row r="112">
      <c r="A112" s="33" t="inlineStr">
        <is>
          <t>調査票＋北上川導水管</t>
        </is>
      </c>
      <c r="B112" s="33" t="inlineStr">
        <is>
          <t>固定資産台帳ベース</t>
        </is>
      </c>
      <c r="C112" s="33" t="n">
        <v>40</v>
      </c>
      <c r="D112" s="33" t="n">
        <v>38</v>
      </c>
      <c r="E112" s="34" t="n">
        <v>172443</v>
      </c>
      <c r="F112" s="34" t="n">
        <v>0</v>
      </c>
      <c r="G112" s="38" t="inlineStr">
        <is>
          <t>調査票＋北上川導水管|固定資産台帳ベース|40|38</t>
        </is>
      </c>
    </row>
    <row r="113">
      <c r="A113" s="33" t="inlineStr">
        <is>
          <t>調査票＋北上川導水管</t>
        </is>
      </c>
      <c r="B113" s="33" t="inlineStr">
        <is>
          <t>固定資産台帳ベース</t>
        </is>
      </c>
      <c r="C113" s="33" t="n">
        <v>40</v>
      </c>
      <c r="D113" s="33" t="n">
        <v>40</v>
      </c>
      <c r="E113" s="34" t="n">
        <v>168472</v>
      </c>
      <c r="F113" s="34" t="n">
        <v>0</v>
      </c>
      <c r="G113" s="38" t="inlineStr">
        <is>
          <t>調査票＋北上川導水管|固定資産台帳ベース|40|40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調査票＋北上川導水管</t>
        </is>
      </c>
      <c r="B162" s="33" t="n">
        <v>2</v>
      </c>
      <c r="C162" s="33" t="inlineStr">
        <is>
          <t>経営戦略方式（40年・据置なし）</t>
        </is>
      </c>
      <c r="D162" s="34" t="n">
        <v>88796</v>
      </c>
      <c r="E162" s="34" t="n">
        <v>76388</v>
      </c>
      <c r="G162" s="38" t="inlineStr">
        <is>
          <t>調査票＋北上川導水管|2.0|経営戦略方式（40年・据置なし）</t>
        </is>
      </c>
    </row>
    <row r="163">
      <c r="A163" s="33" t="inlineStr">
        <is>
          <t>調査票＋北上川導水管</t>
        </is>
      </c>
      <c r="B163" s="33" t="n">
        <v>2</v>
      </c>
      <c r="C163" s="33" t="inlineStr">
        <is>
          <t>調査票方式（25/40年・据置3年）</t>
        </is>
      </c>
      <c r="D163" s="34" t="n">
        <v>90374</v>
      </c>
      <c r="E163" s="34" t="n">
        <v>6296</v>
      </c>
      <c r="G163" s="38" t="inlineStr">
        <is>
          <t>調査票＋北上川導水管|2.0|調査票方式（25/40年・据置3年）</t>
        </is>
      </c>
    </row>
    <row r="164">
      <c r="A164" s="33" t="inlineStr">
        <is>
          <t>調査票＋北上川導水管</t>
        </is>
      </c>
      <c r="B164" s="33" t="n">
        <v>2.1</v>
      </c>
      <c r="C164" s="33" t="inlineStr">
        <is>
          <t>経営戦略方式（40年・据置なし）</t>
        </is>
      </c>
      <c r="D164" s="34" t="n">
        <v>93271</v>
      </c>
      <c r="E164" s="34" t="n">
        <v>74824</v>
      </c>
      <c r="G164" s="38" t="inlineStr">
        <is>
          <t>調査票＋北上川導水管|2.1|経営戦略方式（40年・据置なし）</t>
        </is>
      </c>
    </row>
    <row r="165">
      <c r="A165" s="33" t="inlineStr">
        <is>
          <t>調査票＋北上川導水管</t>
        </is>
      </c>
      <c r="B165" s="33" t="n">
        <v>2.1</v>
      </c>
      <c r="C165" s="33" t="inlineStr">
        <is>
          <t>調査票方式（25/40年・据置3年）</t>
        </is>
      </c>
      <c r="D165" s="34" t="n">
        <v>94893</v>
      </c>
      <c r="E165" s="34" t="n">
        <v>6188</v>
      </c>
      <c r="G165" s="38" t="inlineStr">
        <is>
          <t>調査票＋北上川導水管|2.1|調査票方式（25/40年・据置3年）</t>
        </is>
      </c>
    </row>
    <row r="166">
      <c r="A166" s="33" t="inlineStr">
        <is>
          <t>調査票＋北上川導水管</t>
        </is>
      </c>
      <c r="B166" s="33" t="n">
        <v>2.2</v>
      </c>
      <c r="C166" s="33" t="inlineStr">
        <is>
          <t>経営戦略方式（40年・据置なし）</t>
        </is>
      </c>
      <c r="D166" s="34" t="n">
        <v>97748</v>
      </c>
      <c r="E166" s="34" t="n">
        <v>73285</v>
      </c>
      <c r="G166" s="38" t="inlineStr">
        <is>
          <t>調査票＋北上川導水管|2.2|経営戦略方式（40年・据置なし）</t>
        </is>
      </c>
    </row>
    <row r="167">
      <c r="A167" s="33" t="inlineStr">
        <is>
          <t>調査票＋北上川導水管</t>
        </is>
      </c>
      <c r="B167" s="33" t="n">
        <v>2.2</v>
      </c>
      <c r="C167" s="33" t="inlineStr">
        <is>
          <t>調査票方式（25/40年・据置3年）</t>
        </is>
      </c>
      <c r="D167" s="34" t="n">
        <v>99411</v>
      </c>
      <c r="E167" s="34" t="n">
        <v>6082</v>
      </c>
      <c r="G167" s="38" t="inlineStr">
        <is>
          <t>調査票＋北上川導水管|2.2|調査票方式（25/40年・据置3年）</t>
        </is>
      </c>
    </row>
    <row r="168">
      <c r="A168" s="33" t="inlineStr">
        <is>
          <t>調査票＋北上川導水管</t>
        </is>
      </c>
      <c r="B168" s="33" t="n">
        <v>2.3</v>
      </c>
      <c r="C168" s="33" t="inlineStr">
        <is>
          <t>経営戦略方式（40年・据置なし）</t>
        </is>
      </c>
      <c r="D168" s="34" t="n">
        <v>102229</v>
      </c>
      <c r="E168" s="34" t="n">
        <v>71769</v>
      </c>
      <c r="G168" s="38" t="inlineStr">
        <is>
          <t>調査票＋北上川導水管|2.3|経営戦略方式（40年・据置なし）</t>
        </is>
      </c>
    </row>
    <row r="169">
      <c r="A169" s="33" t="inlineStr">
        <is>
          <t>調査票＋北上川導水管</t>
        </is>
      </c>
      <c r="B169" s="33" t="n">
        <v>2.3</v>
      </c>
      <c r="C169" s="33" t="inlineStr">
        <is>
          <t>調査票方式（25/40年・据置3年）</t>
        </is>
      </c>
      <c r="D169" s="34" t="n">
        <v>103930</v>
      </c>
      <c r="E169" s="34" t="n">
        <v>5977</v>
      </c>
      <c r="G169" s="38" t="inlineStr">
        <is>
          <t>調査票＋北上川導水管|2.3|調査票方式（25/40年・据置3年）</t>
        </is>
      </c>
    </row>
    <row r="170">
      <c r="A170" s="33" t="inlineStr">
        <is>
          <t>調査票＋北上川導水管</t>
        </is>
      </c>
      <c r="B170" s="33" t="n">
        <v>2.4</v>
      </c>
      <c r="C170" s="33" t="inlineStr">
        <is>
          <t>経営戦略方式（40年・据置なし）</t>
        </is>
      </c>
      <c r="D170" s="34" t="n">
        <v>106711</v>
      </c>
      <c r="E170" s="34" t="n">
        <v>70278</v>
      </c>
      <c r="G170" s="38" t="inlineStr">
        <is>
          <t>調査票＋北上川導水管|2.4|経営戦略方式（40年・据置なし）</t>
        </is>
      </c>
    </row>
    <row r="171">
      <c r="A171" s="33" t="inlineStr">
        <is>
          <t>調査票＋北上川導水管</t>
        </is>
      </c>
      <c r="B171" s="33" t="n">
        <v>2.4</v>
      </c>
      <c r="C171" s="33" t="inlineStr">
        <is>
          <t>調査票方式（25/40年・据置3年）</t>
        </is>
      </c>
      <c r="D171" s="34" t="n">
        <v>108449</v>
      </c>
      <c r="E171" s="34" t="n">
        <v>5873</v>
      </c>
      <c r="G171" s="38" t="inlineStr">
        <is>
          <t>調査票＋北上川導水管|2.4|調査票方式（25/40年・据置3年）</t>
        </is>
      </c>
    </row>
    <row r="172">
      <c r="A172" s="33" t="inlineStr">
        <is>
          <t>調査票＋北上川導水管</t>
        </is>
      </c>
      <c r="B172" s="33" t="n">
        <v>2.5</v>
      </c>
      <c r="C172" s="33" t="inlineStr">
        <is>
          <t>経営戦略方式（40年・据置なし）</t>
        </is>
      </c>
      <c r="D172" s="34" t="n">
        <v>111196</v>
      </c>
      <c r="E172" s="34" t="n">
        <v>68812</v>
      </c>
      <c r="G172" s="38" t="inlineStr">
        <is>
          <t>調査票＋北上川導水管|2.5|経営戦略方式（40年・据置なし）</t>
        </is>
      </c>
    </row>
    <row r="173">
      <c r="A173" s="33" t="inlineStr">
        <is>
          <t>調査票＋北上川導水管</t>
        </is>
      </c>
      <c r="B173" s="33" t="n">
        <v>2.5</v>
      </c>
      <c r="C173" s="33" t="inlineStr">
        <is>
          <t>調査票方式（25/40年・据置3年）</t>
        </is>
      </c>
      <c r="D173" s="34" t="n">
        <v>112968</v>
      </c>
      <c r="E173" s="34" t="n">
        <v>5772</v>
      </c>
      <c r="G173" s="38" t="inlineStr">
        <is>
          <t>調査票＋北上川導水管|2.5|調査票方式（25/40年・据置3年）</t>
        </is>
      </c>
    </row>
    <row r="174">
      <c r="A174" s="33" t="inlineStr">
        <is>
          <t>調査票＋北上川導水管</t>
        </is>
      </c>
      <c r="B174" s="33" t="n">
        <v>2.6</v>
      </c>
      <c r="C174" s="33" t="inlineStr">
        <is>
          <t>経営戦略方式（40年・据置なし）</t>
        </is>
      </c>
      <c r="D174" s="34" t="n">
        <v>115684</v>
      </c>
      <c r="E174" s="34" t="n">
        <v>67369</v>
      </c>
      <c r="G174" s="38" t="inlineStr">
        <is>
          <t>調査票＋北上川導水管|2.6|経営戦略方式（40年・据置なし）</t>
        </is>
      </c>
    </row>
    <row r="175">
      <c r="A175" s="33" t="inlineStr">
        <is>
          <t>調査票＋北上川導水管</t>
        </is>
      </c>
      <c r="B175" s="33" t="n">
        <v>2.6</v>
      </c>
      <c r="C175" s="33" t="inlineStr">
        <is>
          <t>調査票方式（25/40年・据置3年）</t>
        </is>
      </c>
      <c r="D175" s="34" t="n">
        <v>117486</v>
      </c>
      <c r="E175" s="34" t="n">
        <v>5671</v>
      </c>
      <c r="G175" s="38" t="inlineStr">
        <is>
          <t>調査票＋北上川導水管|2.6|調査票方式（25/40年・据置3年）</t>
        </is>
      </c>
    </row>
    <row r="176">
      <c r="A176" s="33" t="inlineStr">
        <is>
          <t>調査票＋北上川導水管</t>
        </is>
      </c>
      <c r="B176" s="33" t="n">
        <v>2.7</v>
      </c>
      <c r="C176" s="33" t="inlineStr">
        <is>
          <t>経営戦略方式（40年・据置なし）</t>
        </is>
      </c>
      <c r="D176" s="34" t="n">
        <v>120174</v>
      </c>
      <c r="E176" s="34" t="n">
        <v>65950</v>
      </c>
      <c r="G176" s="38" t="inlineStr">
        <is>
          <t>調査票＋北上川導水管|2.7|経営戦略方式（40年・据置なし）</t>
        </is>
      </c>
    </row>
    <row r="177">
      <c r="A177" s="33" t="inlineStr">
        <is>
          <t>調査票＋北上川導水管</t>
        </is>
      </c>
      <c r="B177" s="33" t="n">
        <v>2.7</v>
      </c>
      <c r="C177" s="33" t="inlineStr">
        <is>
          <t>調査票方式（25/40年・据置3年）</t>
        </is>
      </c>
      <c r="D177" s="34" t="n">
        <v>122005</v>
      </c>
      <c r="E177" s="34" t="n">
        <v>5573</v>
      </c>
      <c r="G177" s="38" t="inlineStr">
        <is>
          <t>調査票＋北上川導水管|2.7|調査票方式（25/40年・据置3年）</t>
        </is>
      </c>
    </row>
    <row r="178">
      <c r="A178" s="33" t="inlineStr">
        <is>
          <t>調査票＋北上川導水管</t>
        </is>
      </c>
      <c r="B178" s="33" t="n">
        <v>2.8</v>
      </c>
      <c r="C178" s="33" t="inlineStr">
        <is>
          <t>経営戦略方式（40年・据置なし）</t>
        </is>
      </c>
      <c r="D178" s="34" t="n">
        <v>124666</v>
      </c>
      <c r="E178" s="34" t="n">
        <v>64554</v>
      </c>
      <c r="G178" s="38" t="inlineStr">
        <is>
          <t>調査票＋北上川導水管|2.8|経営戦略方式（40年・据置なし）</t>
        </is>
      </c>
    </row>
    <row r="179">
      <c r="A179" s="33" t="inlineStr">
        <is>
          <t>調査票＋北上川導水管</t>
        </is>
      </c>
      <c r="B179" s="33" t="n">
        <v>2.8</v>
      </c>
      <c r="C179" s="33" t="inlineStr">
        <is>
          <t>調査票方式（25/40年・据置3年）</t>
        </is>
      </c>
      <c r="D179" s="34" t="n">
        <v>126524</v>
      </c>
      <c r="E179" s="34" t="n">
        <v>5475</v>
      </c>
      <c r="G179" s="38" t="inlineStr">
        <is>
          <t>調査票＋北上川導水管|2.8|調査票方式（25/40年・据置3年）</t>
        </is>
      </c>
    </row>
    <row r="180">
      <c r="A180" s="33" t="inlineStr">
        <is>
          <t>調査票＋北上川導水管</t>
        </is>
      </c>
      <c r="B180" s="33" t="n">
        <v>2.9</v>
      </c>
      <c r="C180" s="33" t="inlineStr">
        <is>
          <t>経営戦略方式（40年・据置なし）</t>
        </is>
      </c>
      <c r="D180" s="34" t="n">
        <v>129160</v>
      </c>
      <c r="E180" s="34" t="n">
        <v>63182</v>
      </c>
      <c r="G180" s="38" t="inlineStr">
        <is>
          <t>調査票＋北上川導水管|2.9|経営戦略方式（40年・据置なし）</t>
        </is>
      </c>
    </row>
    <row r="181">
      <c r="A181" s="33" t="inlineStr">
        <is>
          <t>調査票＋北上川導水管</t>
        </is>
      </c>
      <c r="B181" s="33" t="n">
        <v>2.9</v>
      </c>
      <c r="C181" s="33" t="inlineStr">
        <is>
          <t>調査票方式（25/40年・据置3年）</t>
        </is>
      </c>
      <c r="D181" s="34" t="n">
        <v>131042</v>
      </c>
      <c r="E181" s="34" t="n">
        <v>5380</v>
      </c>
      <c r="G181" s="38" t="inlineStr">
        <is>
          <t>調査票＋北上川導水管|2.9|調査票方式（25/40年・据置3年）</t>
        </is>
      </c>
    </row>
    <row r="182">
      <c r="A182" s="33" t="inlineStr">
        <is>
          <t>調査票＋北上川導水管</t>
        </is>
      </c>
      <c r="B182" s="33" t="n">
        <v>3</v>
      </c>
      <c r="C182" s="33" t="inlineStr">
        <is>
          <t>経営戦略方式（40年・据置なし）</t>
        </is>
      </c>
      <c r="D182" s="34" t="n">
        <v>133657</v>
      </c>
      <c r="E182" s="34" t="n">
        <v>61833</v>
      </c>
      <c r="G182" s="38" t="inlineStr">
        <is>
          <t>調査票＋北上川導水管|3.0|経営戦略方式（40年・据置なし）</t>
        </is>
      </c>
    </row>
    <row r="183">
      <c r="A183" s="33" t="inlineStr">
        <is>
          <t>調査票＋北上川導水管</t>
        </is>
      </c>
      <c r="B183" s="33" t="n">
        <v>3</v>
      </c>
      <c r="C183" s="33" t="inlineStr">
        <is>
          <t>調査票方式（25/40年・据置3年）</t>
        </is>
      </c>
      <c r="D183" s="34" t="n">
        <v>135561</v>
      </c>
      <c r="E183" s="34" t="n">
        <v>5285</v>
      </c>
      <c r="G183" s="38" t="inlineStr">
        <is>
          <t>調査票＋北上川導水管|3.0|調査票方式（25/40年・据置3年）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21" t="inlineStr">
        <is>
          <t>⑤ ④＋控除項目を経営戦略の実額に</t>
        </is>
      </c>
      <c r="C9" s="40" t="n">
        <v>1060830.7</v>
      </c>
      <c r="D9" s="41" t="n">
        <v>245.8</v>
      </c>
      <c r="E9" s="42" t="n">
        <v>0.5</v>
      </c>
      <c r="F9" s="40" t="n">
        <v>93997.10000000001</v>
      </c>
      <c r="G9" s="43" t="n">
        <v>1.8</v>
      </c>
      <c r="H9" s="40" t="n">
        <v>672327</v>
      </c>
      <c r="I9" s="40" t="n">
        <v>1961661.1</v>
      </c>
      <c r="J9" s="40" t="n">
        <v>-1864947.4</v>
      </c>
    </row>
    <row r="10">
      <c r="B10" s="39" t="inlineStr">
        <is>
          <t>⑥ ⑤＋動力費・薬品費と雑支出を補正</t>
        </is>
      </c>
      <c r="C10" s="40" t="n">
        <v>1144693.7</v>
      </c>
      <c r="D10" s="41" t="n">
        <v>265.2</v>
      </c>
      <c r="E10" s="42" t="n">
        <v>0.5</v>
      </c>
      <c r="F10" s="40" t="n">
        <v>110769.7</v>
      </c>
      <c r="G10" s="43" t="n">
        <v>1.9</v>
      </c>
      <c r="H10" s="40" t="n">
        <v>719494</v>
      </c>
      <c r="I10" s="40" t="n">
        <v>1961661.1</v>
      </c>
      <c r="J10" s="40" t="n">
        <v>-1864947.4</v>
      </c>
    </row>
    <row r="11">
      <c r="B11" s="21" t="inlineStr">
        <is>
          <t>⑦ ⑥＋機械電気を20年償却</t>
        </is>
      </c>
      <c r="C11" s="40" t="n">
        <v>1216158.4</v>
      </c>
      <c r="D11" s="41" t="n">
        <v>281.8</v>
      </c>
      <c r="E11" s="42" t="n">
        <v>0.5</v>
      </c>
      <c r="F11" s="40" t="n">
        <v>125062.7</v>
      </c>
      <c r="G11" s="43" t="n">
        <v>2.1</v>
      </c>
      <c r="H11" s="40" t="n">
        <v>719494</v>
      </c>
      <c r="I11" s="40" t="n">
        <v>2033125.8</v>
      </c>
      <c r="J11" s="40" t="n">
        <v>-1864947.4</v>
      </c>
    </row>
    <row r="12">
      <c r="B12" s="21" t="inlineStr">
        <is>
          <t>⑧ ⑥＋北上川導水管を復元</t>
        </is>
      </c>
      <c r="C12" s="40" t="n">
        <v>1228729.5</v>
      </c>
      <c r="D12" s="41" t="n">
        <v>284.7</v>
      </c>
      <c r="E12" s="42" t="n">
        <v>0.5</v>
      </c>
      <c r="F12" s="40" t="n">
        <v>127576.9</v>
      </c>
      <c r="G12" s="43" t="n">
        <v>2.1</v>
      </c>
      <c r="H12" s="40" t="n">
        <v>719494</v>
      </c>
      <c r="I12" s="40" t="n">
        <v>2014555.8</v>
      </c>
      <c r="J12" s="40" t="n">
        <v>-1864947.4</v>
      </c>
    </row>
    <row r="13">
      <c r="B13" s="21" t="inlineStr">
        <is>
          <t>⑨ ⑥＋借入利率3.0％</t>
        </is>
      </c>
      <c r="C13" s="40" t="n">
        <v>1171601.3</v>
      </c>
      <c r="D13" s="41" t="n">
        <v>271.5</v>
      </c>
      <c r="E13" s="42" t="n">
        <v>0.5</v>
      </c>
      <c r="F13" s="40" t="n">
        <v>116151.3</v>
      </c>
      <c r="G13" s="43" t="n">
        <v>2</v>
      </c>
      <c r="H13" s="40" t="n">
        <v>719494</v>
      </c>
      <c r="I13" s="40" t="n">
        <v>1961661.1</v>
      </c>
      <c r="J13" s="40" t="n">
        <v>-1864947.4</v>
      </c>
    </row>
    <row r="14">
      <c r="B14" s="21" t="inlineStr">
        <is>
          <t>⑩ ⑥で減価償却を固定資産台帳ベースに</t>
        </is>
      </c>
      <c r="C14" s="40" t="n">
        <v>1033873.7</v>
      </c>
      <c r="D14" s="41" t="n">
        <v>239.5</v>
      </c>
      <c r="E14" s="42" t="n">
        <v>0.5</v>
      </c>
      <c r="F14" s="40" t="n">
        <v>88605.7</v>
      </c>
      <c r="G14" s="43" t="n">
        <v>1.7</v>
      </c>
      <c r="H14" s="40" t="n">
        <v>719494</v>
      </c>
      <c r="I14" s="40" t="n">
        <v>285384.7</v>
      </c>
      <c r="J14" s="40" t="n">
        <v>-299491</v>
      </c>
    </row>
    <row r="16">
      <c r="B16" s="44" t="inlineStr">
        <is>
          <t>▼ 読み取り方</t>
        </is>
      </c>
    </row>
    <row r="17">
      <c r="B17" s="12" t="inlineStr">
        <is>
          <t>・①と②の差が、経営戦略と成果品の前提の違いによるものです。建設改良費の改定より、控除項目の扱いの方が影響が大きくなっています。</t>
        </is>
      </c>
    </row>
    <row r="18">
      <c r="B18" s="12" t="inlineStr">
        <is>
          <t>・②→④で給水原価が大きく下がるのは、長期前受金戻入益を推計値450,000千円から実額1,542,259千円に置き換えたためです。</t>
        </is>
      </c>
    </row>
    <row r="19">
      <c r="B19" s="12" t="inlineStr">
        <is>
          <t>・⑩は減価償却費を経営戦略と同じ固定資産台帳ベースに揃えたもので、①に近づきます。</t>
        </is>
      </c>
    </row>
    <row r="20">
      <c r="B20" s="12" t="inlineStr">
        <is>
          <t>・⑦⑧⑨は、確定していない前提（機械電気の耐用年数・北上川導水管・借入利率）が振れた場合の幅を示しています。</t>
        </is>
      </c>
    </row>
  </sheetData>
  <mergeCells count="7">
    <mergeCell ref="A1:J1"/>
    <mergeCell ref="B19:J19"/>
    <mergeCell ref="B20:J20"/>
    <mergeCell ref="B17:J17"/>
    <mergeCell ref="B18:J18"/>
    <mergeCell ref="A2:J2"/>
    <mergeCell ref="B16:J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2026-09-08T13:56:07Z</dcterms:created>
  <dcterms:modified xmlns:dcterms="http://purl.org/dc/terms/" xmlns:xsi="http://www.w3.org/2001/XMLSchema-instance" xsi:type="dcterms:W3CDTF">2026-09-08T13:56:07Z</dcterms:modified>
</cp:coreProperties>
</file>