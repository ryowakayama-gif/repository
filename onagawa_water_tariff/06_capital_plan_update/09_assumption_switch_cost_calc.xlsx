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他会計補助金 272,997千円</t>
        </is>
      </c>
      <c r="E22" s="9" t="inlineStr">
        <is>
          <t>他会計補助金＋補助金 691,997千円 ／ 推計値 ／ 控除しない</t>
        </is>
      </c>
      <c r="G22" s="10" t="inlineStr">
        <is>
          <t>★基準内繰入金は控除、基準外繰入金（赤字補填）は控除しない。経営戦略報告書案3-8⑹は「国が定める繰出基準以外の繰出金によって収入不足を補填している」と述べ、4-1⑷も繰入金を「現金部分の赤字補填」で算定としているため、全額を基準外とみて控除しないのが本文に整合する。</t>
        </is>
      </c>
    </row>
    <row r="23" ht="30" customHeight="1">
      <c r="A23" s="6" t="inlineStr">
        <is>
          <t>C4</t>
        </is>
      </c>
      <c r="B23" s="7" t="inlineStr">
        <is>
          <t>その他営業収益・受取利息・雑収益の控除</t>
        </is>
      </c>
      <c r="C23" s="8" t="inlineStr">
        <is>
          <t>控除しない</t>
        </is>
      </c>
      <c r="D23" s="9" t="inlineStr">
        <is>
          <t>控除する（26,494千円）</t>
        </is>
      </c>
      <c r="E23" s="9" t="inlineStr">
        <is>
          <t>控除しない</t>
        </is>
      </c>
      <c r="G23" s="10" t="inlineStr">
        <is>
          <t>算定要領では営業外収益として控除対象。成果品では控除されていない。</t>
        </is>
      </c>
    </row>
    <row r="24" ht="30" customHeight="1">
      <c r="A24" s="6" t="inlineStr">
        <is>
          <t>C5</t>
        </is>
      </c>
      <c r="B24" s="7" t="inlineStr">
        <is>
          <t>雑支出の算入</t>
        </is>
      </c>
      <c r="C24" s="8" t="inlineStr">
        <is>
          <t>算入しない</t>
        </is>
      </c>
      <c r="D24" s="9" t="inlineStr">
        <is>
          <t>算入していない</t>
        </is>
      </c>
      <c r="E24" s="9" t="inlineStr">
        <is>
          <t>算入する（36,696千円）／ 算入しない</t>
        </is>
      </c>
      <c r="G24" s="10" t="inlineStr">
        <is>
          <t>営業外費用。経営戦略の料金算定でも成果品でも算入されていない。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割合(%)欄に金額444,000が入力されているため、繰入金が約3.9兆円になる。総整備費は正しいままなので気づきにくい。</t>
        </is>
      </c>
      <c r="D39" s="31" t="n"/>
      <c r="E39" s="15" t="n"/>
      <c r="G39" s="32" t="inlineStr">
        <is>
          <t>割合欄に50を入力する。</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④＋動力費・薬品費と雑支出を補正（繰入金は控除しない）</t>
        </is>
      </c>
      <c r="C9" s="40" t="n">
        <v>1417690.7</v>
      </c>
      <c r="D9" s="41" t="n">
        <v>328.5</v>
      </c>
      <c r="E9" s="42" t="n">
        <v>0.4</v>
      </c>
      <c r="F9" s="40" t="n">
        <v>165369.1</v>
      </c>
      <c r="G9" s="43" t="n">
        <v>2.4</v>
      </c>
      <c r="H9" s="40" t="n">
        <v>719494</v>
      </c>
      <c r="I9" s="40" t="n">
        <v>1961661.1</v>
      </c>
      <c r="J9" s="40" t="n">
        <v>-1591950.4</v>
      </c>
    </row>
    <row r="10">
      <c r="B10" s="21" t="inlineStr">
        <is>
          <t>⑥ ⑤＋他会計補助金272,997を控除（基準内とみる場合）</t>
        </is>
      </c>
      <c r="C10" s="40" t="n">
        <v>1144693.7</v>
      </c>
      <c r="D10" s="41" t="n">
        <v>265.2</v>
      </c>
      <c r="E10" s="42" t="n">
        <v>0.5</v>
      </c>
      <c r="F10" s="40" t="n">
        <v>110769.7</v>
      </c>
      <c r="G10" s="43" t="n">
        <v>1.9</v>
      </c>
      <c r="H10" s="40" t="n">
        <v>719494</v>
      </c>
      <c r="I10" s="40" t="n">
        <v>1961661.1</v>
      </c>
      <c r="J10" s="40" t="n">
        <v>-1864947.4</v>
      </c>
    </row>
    <row r="11">
      <c r="B11" s="21" t="inlineStr">
        <is>
          <t>⑦ ⑤＋他会計補助金＋補助金691,997を控除</t>
        </is>
      </c>
      <c r="C11" s="40" t="n">
        <v>725693.7</v>
      </c>
      <c r="D11" s="41" t="n">
        <v>168.1</v>
      </c>
      <c r="E11" s="42" t="n">
        <v>0.8</v>
      </c>
      <c r="F11" s="40" t="n">
        <v>26969.7</v>
      </c>
      <c r="G11" s="43" t="n">
        <v>1.2</v>
      </c>
      <c r="H11" s="40" t="n">
        <v>719494</v>
      </c>
      <c r="I11" s="40" t="n">
        <v>1961661.1</v>
      </c>
      <c r="J11" s="40" t="n">
        <v>-2283947.4</v>
      </c>
    </row>
    <row r="12">
      <c r="B12" s="21" t="inlineStr">
        <is>
          <t>⑧ ⑤＋機械・電気を20年償却</t>
        </is>
      </c>
      <c r="C12" s="40" t="n">
        <v>1489155.4</v>
      </c>
      <c r="D12" s="41" t="n">
        <v>345</v>
      </c>
      <c r="E12" s="42" t="n">
        <v>0.4</v>
      </c>
      <c r="F12" s="40" t="n">
        <v>179662.1</v>
      </c>
      <c r="G12" s="43" t="n">
        <v>2.5</v>
      </c>
      <c r="H12" s="40" t="n">
        <v>719494</v>
      </c>
      <c r="I12" s="40" t="n">
        <v>2033125.8</v>
      </c>
      <c r="J12" s="40" t="n">
        <v>-1591950.4</v>
      </c>
    </row>
    <row r="13">
      <c r="B13" s="21" t="inlineStr">
        <is>
          <t>⑨ ⑤＋量水器費を戻す</t>
        </is>
      </c>
      <c r="C13" s="40" t="n">
        <v>1426138.8</v>
      </c>
      <c r="D13" s="41" t="n">
        <v>330.4</v>
      </c>
      <c r="E13" s="42" t="n">
        <v>0.4</v>
      </c>
      <c r="F13" s="40" t="n">
        <v>167058.8</v>
      </c>
      <c r="G13" s="43" t="n">
        <v>2.4</v>
      </c>
      <c r="H13" s="40" t="n">
        <v>719494</v>
      </c>
      <c r="I13" s="40" t="n">
        <v>1966397.9</v>
      </c>
      <c r="J13" s="40" t="n">
        <v>-1591950.4</v>
      </c>
    </row>
    <row r="14">
      <c r="B14" s="21" t="inlineStr">
        <is>
          <t>⑩ ⑤＋借入利率3.0％</t>
        </is>
      </c>
      <c r="C14" s="40" t="n">
        <v>1444598.3</v>
      </c>
      <c r="D14" s="41" t="n">
        <v>334.7</v>
      </c>
      <c r="E14" s="42" t="n">
        <v>0.4</v>
      </c>
      <c r="F14" s="40" t="n">
        <v>170750.7</v>
      </c>
      <c r="G14" s="43" t="n">
        <v>2.4</v>
      </c>
      <c r="H14" s="40" t="n">
        <v>719494</v>
      </c>
      <c r="I14" s="40" t="n">
        <v>1961661.1</v>
      </c>
      <c r="J14" s="40" t="n">
        <v>-1591950.4</v>
      </c>
    </row>
    <row r="15">
      <c r="B15" s="21" t="inlineStr">
        <is>
          <t>⑪ ⑤で減価償却を固定資産台帳ベースに</t>
        </is>
      </c>
      <c r="C15" s="40" t="n">
        <v>1306870.7</v>
      </c>
      <c r="D15" s="41" t="n">
        <v>302.8</v>
      </c>
      <c r="E15" s="42" t="n">
        <v>0.4</v>
      </c>
      <c r="F15" s="40" t="n">
        <v>143205.1</v>
      </c>
      <c r="G15" s="43" t="n">
        <v>2.2</v>
      </c>
      <c r="H15" s="40" t="n">
        <v>719494</v>
      </c>
      <c r="I15" s="40" t="n">
        <v>285384.7</v>
      </c>
      <c r="J15" s="40" t="n">
        <v>-26494</v>
      </c>
    </row>
    <row r="17">
      <c r="B17" s="44" t="inlineStr">
        <is>
          <t>▼ 読み取り方</t>
        </is>
      </c>
    </row>
    <row r="18">
      <c r="B18" s="12" t="inlineStr">
        <is>
          <t>・①と②の差が、経営戦略と成果品の前提の違いによるものです。建設改良費の改定より、控除項目の扱いの方が影響が大きくなっています。</t>
        </is>
      </c>
    </row>
    <row r="19">
      <c r="B19" s="12" t="inlineStr">
        <is>
          <t>・②→④で給水原価が大きく下がるのは、長期前受金戻入益を推計値450,000千円から実額1,542,259千円に置き換えたためです。</t>
        </is>
      </c>
    </row>
    <row r="20">
      <c r="B20" s="12" t="inlineStr">
        <is>
          <t>・⑤は繰入金を控除しない前提です。経営戦略報告書案が「繰出基準以外の繰出金で補填している」と述べているためで、基準内と認められる分があれば⑥⑦の水準まで下がります。</t>
        </is>
      </c>
    </row>
    <row r="21">
      <c r="B21" s="12" t="inlineStr">
        <is>
          <t>・⑪は減価償却費を経営戦略と同じ固定資産台帳ベースに揃えたもので、①に近づきます。</t>
        </is>
      </c>
    </row>
    <row r="22">
      <c r="B22"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17:J17"/>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【C】建設改良費の施設区分別対比（R8〜R17・千円）</t>
        </is>
      </c>
    </row>
    <row r="27">
      <c r="A27" s="5" t="inlineStr"/>
      <c r="B27" s="5" t="inlineStr">
        <is>
          <t>施設区分</t>
        </is>
      </c>
      <c r="C27" s="5" t="inlineStr">
        <is>
          <t>経営戦略の計画</t>
        </is>
      </c>
      <c r="D27" s="5" t="inlineStr">
        <is>
          <t>建設改良費調査票</t>
        </is>
      </c>
      <c r="E27" s="5" t="inlineStr">
        <is>
          <t>差引</t>
        </is>
      </c>
      <c r="F27" s="5" t="inlineStr"/>
      <c r="G27" s="5" t="inlineStr">
        <is>
          <t>対応する事業</t>
        </is>
      </c>
    </row>
    <row r="28">
      <c r="A28" s="6" t="n">
        <v>1</v>
      </c>
      <c r="B28" s="45" t="inlineStr">
        <is>
          <t>取・導水管</t>
        </is>
      </c>
      <c r="C28" s="46" t="n">
        <v>0</v>
      </c>
      <c r="D28" s="46" t="n">
        <v>0</v>
      </c>
      <c r="E28" s="46" t="n">
        <v>0</v>
      </c>
      <c r="G28" s="12" t="inlineStr">
        <is>
          <t>―</t>
        </is>
      </c>
    </row>
    <row r="29">
      <c r="A29" s="6" t="n">
        <v>2</v>
      </c>
      <c r="B29" s="45" t="inlineStr">
        <is>
          <t>送水管</t>
        </is>
      </c>
      <c r="C29" s="46" t="n">
        <v>400000</v>
      </c>
      <c r="D29" s="46" t="n">
        <v>170000</v>
      </c>
      <c r="E29" s="47" t="n">
        <v>-230000</v>
      </c>
      <c r="G29" s="12" t="inlineStr">
        <is>
          <t>No.4 江島海底送水管本復旧工事</t>
        </is>
      </c>
    </row>
    <row r="30">
      <c r="A30" s="6" t="n">
        <v>3</v>
      </c>
      <c r="B30" s="45" t="inlineStr">
        <is>
          <t>配水本管</t>
        </is>
      </c>
      <c r="C30" s="46" t="n">
        <v>1380000</v>
      </c>
      <c r="D30" s="46" t="n">
        <v>1180000</v>
      </c>
      <c r="E30" s="47" t="n">
        <v>-200000</v>
      </c>
      <c r="G30" s="12" t="inlineStr">
        <is>
          <t>No.1 老朽管布設替工事</t>
        </is>
      </c>
    </row>
    <row r="31">
      <c r="A31" s="6" t="n">
        <v>4</v>
      </c>
      <c r="B31" s="45" t="inlineStr">
        <is>
          <t>配水支管</t>
        </is>
      </c>
      <c r="C31" s="46" t="n">
        <v>0</v>
      </c>
      <c r="D31" s="46" t="n">
        <v>0</v>
      </c>
      <c r="E31" s="46" t="n">
        <v>0</v>
      </c>
      <c r="G31" s="12" t="inlineStr">
        <is>
          <t>―</t>
        </is>
      </c>
    </row>
    <row r="32">
      <c r="A32" s="6" t="n">
        <v>5</v>
      </c>
      <c r="B32" s="45" t="inlineStr">
        <is>
          <t>構造物及び設備</t>
        </is>
      </c>
      <c r="C32" s="46" t="n">
        <v>2640000</v>
      </c>
      <c r="D32" s="46" t="n">
        <v>2165000</v>
      </c>
      <c r="E32" s="47" t="n">
        <v>-475000</v>
      </c>
      <c r="G32" s="12" t="inlineStr">
        <is>
          <t>No.2 水道施設耐震化（1,277,000）＋No.3 鷲神高度処理（888,000）</t>
        </is>
      </c>
    </row>
    <row r="33">
      <c r="A33" s="6" t="n">
        <v>6</v>
      </c>
      <c r="B33" s="45" t="inlineStr">
        <is>
          <t>量水器費</t>
        </is>
      </c>
      <c r="C33" s="46" t="n">
        <v>106000</v>
      </c>
      <c r="D33" s="46" t="n">
        <v>0</v>
      </c>
      <c r="E33" s="47" t="n">
        <v>-106000</v>
      </c>
      <c r="G33" s="12" t="inlineStr">
        <is>
          <t>調査票の対象外</t>
        </is>
      </c>
    </row>
    <row r="34">
      <c r="B34" s="19" t="inlineStr">
        <is>
          <t>計</t>
        </is>
      </c>
      <c r="C34" s="20" t="n">
        <v>4526000</v>
      </c>
      <c r="D34" s="20" t="n">
        <v>3515000</v>
      </c>
      <c r="E34" s="20" t="n">
        <v>-1011000</v>
      </c>
    </row>
    <row r="36">
      <c r="B36" s="12" t="inlineStr">
        <is>
          <t>※ 経営戦略の内訳は【成行】財政シミュ r119〜r124（更新投資額）。量水器費は同 r93。</t>
        </is>
      </c>
    </row>
  </sheetData>
  <mergeCells count="14">
    <mergeCell ref="A4:H4"/>
    <mergeCell ref="A26:H26"/>
    <mergeCell ref="A15:H15"/>
    <mergeCell ref="C19:E19"/>
    <mergeCell ref="B36:G36"/>
    <mergeCell ref="A2:H2"/>
    <mergeCell ref="C23:E23"/>
    <mergeCell ref="C22:E22"/>
    <mergeCell ref="C18:E18"/>
    <mergeCell ref="C17:E17"/>
    <mergeCell ref="A1:H1"/>
    <mergeCell ref="C21:E21"/>
    <mergeCell ref="C20:E20"/>
    <mergeCell ref="C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2026-09-08T14:34:33Z</dcterms:created>
  <dcterms:modified xmlns:dcterms="http://purl.org/dc/terms/" xmlns:xsi="http://www.w3.org/2001/XMLSchema-instance" xsi:type="dcterms:W3CDTF">2026-09-08T14:34:33Z</dcterms:modified>
</cp:coreProperties>
</file>