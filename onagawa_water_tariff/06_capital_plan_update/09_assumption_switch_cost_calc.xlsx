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設定" sheetId="1" state="visible" r:id="rId1"/>
    <sheet xmlns:r="http://schemas.openxmlformats.org/officeDocument/2006/relationships" name="02_総括原価" sheetId="2" state="visible" r:id="rId2"/>
    <sheet xmlns:r="http://schemas.openxmlformats.org/officeDocument/2006/relationships" name="03_差異一覧" sheetId="3" state="visible" r:id="rId3"/>
    <sheet xmlns:r="http://schemas.openxmlformats.org/officeDocument/2006/relationships" name="04_建設改良費" sheetId="4" state="visible" r:id="rId4"/>
    <sheet xmlns:r="http://schemas.openxmlformats.org/officeDocument/2006/relationships" name="05_計算用データ" sheetId="5" state="hidden" r:id="rId5"/>
    <sheet xmlns:r="http://schemas.openxmlformats.org/officeDocument/2006/relationships" name="06_主要ケース" sheetId="6" state="visible" r:id="rId6"/>
    <sheet xmlns:r="http://schemas.openxmlformats.org/officeDocument/2006/relationships" name="07_参照元"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2">
    <font>
      <name val="Calibri"/>
      <family val="2"/>
      <color theme="1"/>
      <sz val="11"/>
      <scheme val="minor"/>
    </font>
    <font>
      <name val="Arial"/>
      <b val="1"/>
      <color rgb="00FFFFFF"/>
      <sz val="14"/>
    </font>
    <font>
      <name val="Arial"/>
      <color rgb="00404040"/>
      <sz val="9"/>
    </font>
    <font>
      <name val="Arial"/>
      <b val="1"/>
      <color rgb="00FFFFFF"/>
      <sz val="11"/>
    </font>
    <font>
      <name val="Arial"/>
      <b val="1"/>
      <color rgb="00FFFFFF"/>
      <sz val="9"/>
    </font>
    <font>
      <name val="Arial"/>
      <color rgb="00808080"/>
      <sz val="9"/>
    </font>
    <font>
      <name val="Arial"/>
      <sz val="10"/>
    </font>
    <font>
      <name val="Arial"/>
      <b val="1"/>
      <color rgb="00C00000"/>
      <sz val="10"/>
    </font>
    <font>
      <name val="Arial"/>
      <color rgb="00595959"/>
      <sz val="9"/>
    </font>
    <font>
      <name val="Arial"/>
      <b val="1"/>
      <color rgb="001F3864"/>
      <sz val="10"/>
    </font>
    <font>
      <name val="Arial"/>
      <b val="1"/>
      <color rgb="001F3864"/>
    </font>
    <font>
      <name val="Arial"/>
      <sz val="9"/>
    </font>
    <font>
      <name val="Arial"/>
      <color rgb="00808080"/>
      <sz val="8"/>
    </font>
    <font>
      <name val="Arial"/>
      <b val="1"/>
      <color rgb="001F3864"/>
      <sz val="9"/>
    </font>
    <font>
      <name val="Arial"/>
      <color rgb="00000000"/>
      <sz val="10"/>
    </font>
    <font>
      <name val="Arial"/>
      <b val="1"/>
      <color rgb="001F3864"/>
      <sz val="11"/>
    </font>
    <font>
      <name val="Arial"/>
      <color rgb="00C00000"/>
      <sz val="9"/>
    </font>
    <font>
      <name val="Arial"/>
      <b val="1"/>
      <sz val="10"/>
    </font>
    <font>
      <name val="Arial"/>
      <color rgb="00000000"/>
      <sz val="9"/>
    </font>
    <font>
      <name val="Arial"/>
      <b val="1"/>
      <color rgb="00C00000"/>
      <sz val="9"/>
    </font>
    <font>
      <name val="Arial"/>
      <b val="1"/>
      <sz val="9"/>
    </font>
    <font>
      <name val="Arial"/>
      <color rgb="00375623"/>
      <sz val="9"/>
    </font>
  </fonts>
  <fills count="7">
    <fill>
      <patternFill/>
    </fill>
    <fill>
      <patternFill patternType="gray125"/>
    </fill>
    <fill>
      <patternFill patternType="solid">
        <fgColor rgb="001F3864"/>
      </patternFill>
    </fill>
    <fill>
      <patternFill patternType="solid">
        <fgColor rgb="002E75B6"/>
      </patternFill>
    </fill>
    <fill>
      <patternFill patternType="solid">
        <fgColor rgb="00C55A11"/>
      </patternFill>
    </fill>
    <fill>
      <patternFill patternType="solid">
        <fgColor rgb="00FFF2CC"/>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48">
    <xf numFmtId="0" fontId="0" fillId="0" borderId="0" pivotButton="0" quotePrefix="0" xfId="0"/>
    <xf numFmtId="0" fontId="1" fillId="2" borderId="0" pivotButton="0" quotePrefix="0" xfId="0"/>
    <xf numFmtId="0" fontId="2" fillId="0" borderId="0" pivotButton="0" quotePrefix="0" xfId="0"/>
    <xf numFmtId="0" fontId="7"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5" fillId="0" borderId="0" pivotButton="0" quotePrefix="0" xfId="0"/>
    <xf numFmtId="0" fontId="6" fillId="0" borderId="1" applyAlignment="1" pivotButton="0" quotePrefix="0" xfId="0">
      <alignment vertical="center" wrapText="1"/>
    </xf>
    <xf numFmtId="0" fontId="7" fillId="5" borderId="1" applyAlignment="1" pivotButton="0" quotePrefix="0" xfId="0">
      <alignment horizontal="center"/>
    </xf>
    <xf numFmtId="0" fontId="2" fillId="0" borderId="1" applyAlignment="1" pivotButton="0" quotePrefix="0" xfId="0">
      <alignment vertical="center" wrapText="1"/>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2" fillId="0" borderId="1" pivotButton="0" quotePrefix="0" xfId="0"/>
    <xf numFmtId="0" fontId="13" fillId="0" borderId="1" pivotButton="0" quotePrefix="0" xfId="0"/>
    <xf numFmtId="0" fontId="0" fillId="0" borderId="4" pivotButton="0" quotePrefix="0" xfId="0"/>
    <xf numFmtId="0" fontId="14" fillId="0" borderId="1" pivotButton="0" quotePrefix="0" xfId="0"/>
    <xf numFmtId="3" fontId="14" fillId="0" borderId="1" pivotButton="0" quotePrefix="0" xfId="0"/>
    <xf numFmtId="0" fontId="8" fillId="0" borderId="0" applyAlignment="1" pivotButton="0" quotePrefix="0" xfId="0">
      <alignment vertical="center" wrapText="1"/>
    </xf>
    <xf numFmtId="0" fontId="9" fillId="0" borderId="1" pivotButton="0" quotePrefix="0" xfId="0"/>
    <xf numFmtId="3" fontId="9" fillId="6" borderId="1" pivotButton="0" quotePrefix="0" xfId="0"/>
    <xf numFmtId="0" fontId="6" fillId="0" borderId="1" pivotButton="0" quotePrefix="0" xfId="0"/>
    <xf numFmtId="3" fontId="15" fillId="0" borderId="1" pivotButton="0" quotePrefix="0" xfId="0"/>
    <xf numFmtId="164" fontId="15" fillId="0" borderId="1" pivotButton="0" quotePrefix="0" xfId="0"/>
    <xf numFmtId="165" fontId="15" fillId="0" borderId="1" pivotButton="0" quotePrefix="0" xfId="0"/>
    <xf numFmtId="4" fontId="15" fillId="0" borderId="1" pivotButton="0" quotePrefix="0" xfId="0"/>
    <xf numFmtId="0" fontId="16" fillId="0" borderId="0" pivotButton="0" quotePrefix="0" xfId="0"/>
    <xf numFmtId="0" fontId="18" fillId="0" borderId="1" applyAlignment="1" pivotButton="0" quotePrefix="0" xfId="0">
      <alignment vertical="center" wrapText="1"/>
    </xf>
    <xf numFmtId="0" fontId="19" fillId="0" borderId="1" applyAlignment="1" pivotButton="0" quotePrefix="0" xfId="0">
      <alignment vertical="center" wrapText="1"/>
    </xf>
    <xf numFmtId="0" fontId="20" fillId="0" borderId="1" applyAlignment="1" pivotButton="0" quotePrefix="0" xfId="0">
      <alignment vertical="center" wrapText="1"/>
    </xf>
    <xf numFmtId="0" fontId="11" fillId="0" borderId="1" applyAlignment="1" pivotButton="0" quotePrefix="0" xfId="0">
      <alignment vertical="center" wrapText="1"/>
    </xf>
    <xf numFmtId="0" fontId="0" fillId="0" borderId="5" pivotButton="0" quotePrefix="0" xfId="0"/>
    <xf numFmtId="0" fontId="21" fillId="0" borderId="0" applyAlignment="1" pivotButton="0" quotePrefix="0" xfId="0">
      <alignment vertical="center" wrapText="1"/>
    </xf>
    <xf numFmtId="0" fontId="11" fillId="0" borderId="1" pivotButton="0" quotePrefix="0" xfId="0"/>
    <xf numFmtId="3" fontId="11" fillId="0" borderId="1" pivotButton="0" quotePrefix="0" xfId="0"/>
    <xf numFmtId="3" fontId="20" fillId="0" borderId="1" pivotButton="0" quotePrefix="0" xfId="0"/>
    <xf numFmtId="3" fontId="13" fillId="6" borderId="1" pivotButton="0" quotePrefix="0" xfId="0"/>
    <xf numFmtId="0" fontId="10" fillId="0" borderId="0" pivotButton="0" quotePrefix="0" xfId="0"/>
    <xf numFmtId="0" fontId="12" fillId="0" borderId="0" pivotButton="0" quotePrefix="0" xfId="0"/>
    <xf numFmtId="0" fontId="17" fillId="0" borderId="1" pivotButton="0" quotePrefix="0" xfId="0"/>
    <xf numFmtId="3" fontId="6" fillId="0" borderId="1" pivotButton="0" quotePrefix="0" xfId="0"/>
    <xf numFmtId="164" fontId="6" fillId="0" borderId="1" pivotButton="0" quotePrefix="0" xfId="0"/>
    <xf numFmtId="165" fontId="6" fillId="0" borderId="1" pivotButton="0" quotePrefix="0" xfId="0"/>
    <xf numFmtId="4" fontId="6" fillId="0" borderId="1" pivotButton="0" quotePrefix="0" xfId="0"/>
    <xf numFmtId="0" fontId="13" fillId="0" borderId="0" pivotButton="0" quotePrefix="0" xfId="0"/>
    <xf numFmtId="0" fontId="20" fillId="0" borderId="1" pivotButton="0" quotePrefix="0" xfId="0"/>
    <xf numFmtId="3" fontId="18" fillId="0" borderId="1" pivotButton="0" quotePrefix="0" xfId="0"/>
    <xf numFmtId="3"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4" customWidth="1" min="1" max="1"/>
    <col width="34" customWidth="1" min="2" max="2"/>
    <col width="26" customWidth="1" min="3" max="3"/>
    <col width="26" customWidth="1" min="4" max="4"/>
    <col width="26" customWidth="1" min="5" max="5"/>
    <col width="17" customWidth="1" min="6" max="6"/>
    <col width="52" customWidth="1" min="7" max="7"/>
    <col width="3" customWidth="1" min="8" max="8"/>
    <col width="3" customWidth="1" min="9" max="9"/>
    <col width="3" customWidth="1" min="10" max="10"/>
  </cols>
  <sheetData>
    <row r="1" ht="24" customHeight="1">
      <c r="A1" s="1" t="inlineStr">
        <is>
          <t>女川町水道事業　総括原価　前提条件の切替表</t>
        </is>
      </c>
    </row>
    <row r="2">
      <c r="A2" s="2" t="inlineStr">
        <is>
          <t>黄色のセルが選択箇所です。経営戦略の前提と、今回の再試算の前提を項目ごとに切り替えられます。選択を変えると「02_総括原価」の計算結果が更新されます。</t>
        </is>
      </c>
    </row>
    <row r="3">
      <c r="B3" s="3" t="inlineStr">
        <is>
          <t>初期値は現在の成果品（01_rate_reform_simulation_MAIN.xlsx）の前提を再現しています。この状態で総括原価は2,552,199千円、給水原価591.3円/㎥、必要改定率4.32倍になります。</t>
        </is>
      </c>
    </row>
    <row r="4">
      <c r="A4" s="4" t="inlineStr">
        <is>
          <t>【A】建設改良費と資本費の前提</t>
        </is>
      </c>
    </row>
    <row r="5">
      <c r="A5" s="5" t="inlineStr"/>
      <c r="B5" s="5" t="inlineStr">
        <is>
          <t>項目</t>
        </is>
      </c>
      <c r="C5" s="5" t="inlineStr">
        <is>
          <t>選択（黄色セル）</t>
        </is>
      </c>
      <c r="D5" s="5" t="inlineStr">
        <is>
          <t>経営戦略の設定</t>
        </is>
      </c>
      <c r="E5" s="5" t="inlineStr">
        <is>
          <t>再試算の候補</t>
        </is>
      </c>
      <c r="F5" s="5" t="inlineStr"/>
      <c r="G5" s="5" t="inlineStr">
        <is>
          <t>説明</t>
        </is>
      </c>
    </row>
    <row r="6">
      <c r="A6" s="6" t="inlineStr">
        <is>
          <t>A1</t>
        </is>
      </c>
      <c r="B6" s="7" t="inlineStr">
        <is>
          <t>建設改良費</t>
        </is>
      </c>
      <c r="C6" s="8" t="inlineStr">
        <is>
          <t>経営戦略の計画</t>
        </is>
      </c>
      <c r="D6" s="9" t="inlineStr">
        <is>
          <t>経営戦略の計画</t>
        </is>
      </c>
      <c r="E6" s="9" t="inlineStr">
        <is>
          <t>調査票 ／ 調査票＋量水器費</t>
        </is>
      </c>
      <c r="G6" s="10" t="inlineStr">
        <is>
          <t>R8〜R17の整備費。経営戦略4,526,000千円、調査票3,515,000千円。</t>
        </is>
      </c>
    </row>
    <row r="7">
      <c r="A7" s="6" t="inlineStr">
        <is>
          <t>A2</t>
        </is>
      </c>
      <c r="B7" s="7" t="inlineStr">
        <is>
          <t>新規取得資産の耐用年数（管路・構築物）</t>
        </is>
      </c>
      <c r="C7" s="8" t="n">
        <v>38</v>
      </c>
      <c r="D7" s="9" t="inlineStr">
        <is>
          <t>38年</t>
        </is>
      </c>
      <c r="E7" s="9" t="inlineStr">
        <is>
          <t>35年 ／ 40年（調査票の入力値）</t>
        </is>
      </c>
      <c r="G7" s="10" t="inlineStr">
        <is>
          <t>経営戦略は機械・電気を区分せず一律38年。調査票は4事業とも40年。</t>
        </is>
      </c>
    </row>
    <row r="8">
      <c r="A8" s="6" t="inlineStr">
        <is>
          <t>A3</t>
        </is>
      </c>
      <c r="B8" s="7" t="inlineStr">
        <is>
          <t>新規取得資産の耐用年数（機械・電気）</t>
        </is>
      </c>
      <c r="C8" s="8" t="n">
        <v>38</v>
      </c>
      <c r="D8" s="9" t="inlineStr">
        <is>
          <t>38年（区分なし）</t>
        </is>
      </c>
      <c r="E8" s="9" t="inlineStr">
        <is>
          <t>15年 ／ 20年 ／ 25年 ／ 30年 ／ 40年</t>
        </is>
      </c>
      <c r="G8" s="10" t="inlineStr">
        <is>
          <t>鷲神高度処理設備が該当。経営戦略は38年、法定耐用年数はこれより短い。</t>
        </is>
      </c>
    </row>
    <row r="9">
      <c r="A9" s="6" t="inlineStr">
        <is>
          <t>A4</t>
        </is>
      </c>
      <c r="B9" s="7" t="inlineStr">
        <is>
          <t>企業債の借入利率（％）</t>
        </is>
      </c>
      <c r="C9" s="8" t="n">
        <v>2.1</v>
      </c>
      <c r="D9" s="9" t="inlineStr">
        <is>
          <t>2.1％</t>
        </is>
      </c>
      <c r="E9" s="9" t="inlineStr">
        <is>
          <t>2.0〜3.0％から選択</t>
        </is>
      </c>
      <c r="G9" s="10" t="inlineStr">
        <is>
          <t>調査票の利率欄は4事業とも未入力。経営戦略の加重平均借入利率は2.1％。</t>
        </is>
      </c>
    </row>
    <row r="10">
      <c r="A10" s="6" t="inlineStr">
        <is>
          <t>A5</t>
        </is>
      </c>
      <c r="B10" s="7" t="inlineStr">
        <is>
          <t>企業債の償還条件</t>
        </is>
      </c>
      <c r="C10" s="8" t="inlineStr">
        <is>
          <t>経営戦略方式（40年・据置なし）</t>
        </is>
      </c>
      <c r="D10" s="9" t="inlineStr">
        <is>
          <t>40年・元利均等・借入翌年度から</t>
        </is>
      </c>
      <c r="E10" s="9" t="inlineStr">
        <is>
          <t>調査票方式（25/40年・据置3年）</t>
        </is>
      </c>
      <c r="G10" s="10" t="inlineStr">
        <is>
          <t>調査票はNo.1が25年、他は40年、据置3年。</t>
        </is>
      </c>
    </row>
    <row r="12">
      <c r="A12" s="4" t="inlineStr">
        <is>
          <t>【B】資産維持費の前提</t>
        </is>
      </c>
    </row>
    <row r="13">
      <c r="A13" s="5" t="inlineStr"/>
      <c r="B13" s="5" t="inlineStr">
        <is>
          <t>項目</t>
        </is>
      </c>
      <c r="C13" s="5" t="inlineStr">
        <is>
          <t>選択（黄色セル）</t>
        </is>
      </c>
      <c r="D13" s="5" t="inlineStr">
        <is>
          <t>経営戦略の設定</t>
        </is>
      </c>
      <c r="E13" s="5" t="inlineStr">
        <is>
          <t>再試算の候補</t>
        </is>
      </c>
      <c r="F13" s="5" t="inlineStr"/>
      <c r="G13" s="5" t="inlineStr">
        <is>
          <t>説明</t>
        </is>
      </c>
    </row>
    <row r="14">
      <c r="A14" s="6" t="inlineStr">
        <is>
          <t>B1</t>
        </is>
      </c>
      <c r="B14" s="7" t="inlineStr">
        <is>
          <t>資産維持率（％）</t>
        </is>
      </c>
      <c r="C14" s="8" t="n">
        <v>3</v>
      </c>
      <c r="D14" s="9" t="inlineStr">
        <is>
          <t>1.0％</t>
        </is>
      </c>
      <c r="E14" s="9" t="inlineStr">
        <is>
          <t>3.0％（業務仕様書の正式ケース）</t>
        </is>
      </c>
      <c r="G14" s="10" t="inlineStr">
        <is>
          <t>経営戦略は「従前それほど大きな修繕がないため1.0％と仮定」。仕様書は3％の算入を求めている。</t>
        </is>
      </c>
    </row>
    <row r="15">
      <c r="A15" s="6" t="inlineStr">
        <is>
          <t>B2</t>
        </is>
      </c>
      <c r="B15" s="7" t="inlineStr">
        <is>
          <t>対象資産の取り方</t>
        </is>
      </c>
      <c r="C15" s="8" t="inlineStr">
        <is>
          <t>期首期末平均</t>
        </is>
      </c>
      <c r="D15" s="9" t="inlineStr">
        <is>
          <t>期首の帳簿価額 1,042,625千円</t>
        </is>
      </c>
      <c r="E15" s="9" t="inlineStr">
        <is>
          <t>期首期末平均 896,312千円</t>
        </is>
      </c>
      <c r="G15" s="10" t="inlineStr">
        <is>
          <t>経営戦略は期首のみ。日本水道協会の算定要領は期首期末平均。</t>
        </is>
      </c>
    </row>
    <row r="16">
      <c r="A16" s="6" t="inlineStr">
        <is>
          <t>B3</t>
        </is>
      </c>
      <c r="B16" s="7" t="inlineStr">
        <is>
          <t>資産維持費の年数</t>
        </is>
      </c>
      <c r="C16" s="8" t="n">
        <v>5</v>
      </c>
      <c r="D16" s="9" t="inlineStr">
        <is>
          <t>4年</t>
        </is>
      </c>
      <c r="E16" s="9" t="inlineStr">
        <is>
          <t>5年（R8〜R12）</t>
        </is>
      </c>
      <c r="G16" s="10" t="inlineStr">
        <is>
          <t>経営戦略の料金算定期間は4年。本件の算定期間はR8〜R12の5年。</t>
        </is>
      </c>
    </row>
    <row r="18">
      <c r="A18" s="4" t="inlineStr">
        <is>
          <t>【C】減価償却費と控除項目の前提　★総括原価への影響が最も大きい区分</t>
        </is>
      </c>
    </row>
    <row r="19">
      <c r="A19" s="5" t="inlineStr"/>
      <c r="B19" s="5" t="inlineStr">
        <is>
          <t>項目</t>
        </is>
      </c>
      <c r="C19" s="5" t="inlineStr">
        <is>
          <t>選択（黄色セル）</t>
        </is>
      </c>
      <c r="D19" s="5" t="inlineStr">
        <is>
          <t>経営戦略の設定</t>
        </is>
      </c>
      <c r="E19" s="5" t="inlineStr">
        <is>
          <t>再試算の候補</t>
        </is>
      </c>
      <c r="F19" s="5" t="inlineStr"/>
      <c r="G19" s="5" t="inlineStr">
        <is>
          <t>説明</t>
        </is>
      </c>
    </row>
    <row r="20" ht="30" customHeight="1">
      <c r="A20" s="6" t="inlineStr">
        <is>
          <t>C1</t>
        </is>
      </c>
      <c r="B20" s="7" t="inlineStr">
        <is>
          <t>減価償却費の算入方法</t>
        </is>
      </c>
      <c r="C20" s="8" t="inlineStr">
        <is>
          <t>損益計算書ベース</t>
        </is>
      </c>
      <c r="D20" s="9" t="inlineStr">
        <is>
          <t>固定資産台帳ベース</t>
        </is>
      </c>
      <c r="E20" s="9" t="inlineStr">
        <is>
          <t>損益計算書ベース</t>
        </is>
      </c>
      <c r="G20" s="10" t="inlineStr">
        <is>
          <t>経営戦略は補助財源で取得した資産の償却費を原価に入れず、長期前受金戻入も控除しない。成果品は償却費を全額入れ、長期前受金戻入を控除する。両者は本来同じ結果になるべきもの。</t>
        </is>
      </c>
    </row>
    <row r="21" ht="30" customHeight="1">
      <c r="A21" s="6" t="inlineStr">
        <is>
          <t>C2</t>
        </is>
      </c>
      <c r="B21" s="7" t="inlineStr">
        <is>
          <t>長期前受金戻入益の控除額</t>
        </is>
      </c>
      <c r="C21" s="8" t="inlineStr">
        <is>
          <t>成果品の推計値</t>
        </is>
      </c>
      <c r="D21" s="9" t="inlineStr">
        <is>
          <t>実額（1,542,259千円・既往資産分）</t>
        </is>
      </c>
      <c r="E21" s="9" t="inlineStr">
        <is>
          <t>実額 ／ 推計値 ／ 控除しない</t>
        </is>
      </c>
      <c r="G21" s="10" t="inlineStr">
        <is>
          <t>★経営戦略の実額は成果品の推計値の3.4倍。震災復興交付金で取得した資産が多いため。「減価償却費の算入方法」で固定資産台帳ベースを選ぶとこの項目は自動的に無効になる。</t>
        </is>
      </c>
    </row>
    <row r="22" ht="30" customHeight="1">
      <c r="A22" s="6" t="inlineStr">
        <is>
          <t>C3</t>
        </is>
      </c>
      <c r="B22" s="7" t="inlineStr">
        <is>
          <t>他会計補助金等の控除額</t>
        </is>
      </c>
      <c r="C22" s="8" t="inlineStr">
        <is>
          <t>成果品の推計値</t>
        </is>
      </c>
      <c r="D22" s="9" t="inlineStr">
        <is>
          <t>控除していない</t>
        </is>
      </c>
      <c r="E22" s="9" t="inlineStr">
        <is>
          <t>他会計補助金＋補助金 691,997千円 ／ 推計値 ／ 控除しない</t>
        </is>
      </c>
      <c r="G22" s="10" t="inlineStr">
        <is>
          <t>★経営戦略の原価計算表（分解原価集計）は他会計補助金を控除していない。期間原価集計J列の控除項目の●印は要領上の分類として付されているだけで、最終集計には反映されていない。これに合わせて控除しないのが確定した前提。繰出基準の整理が変わる場合はここを切り替える。</t>
        </is>
      </c>
    </row>
    <row r="23" ht="30" customHeight="1">
      <c r="A23" s="6" t="inlineStr">
        <is>
          <t>C4</t>
        </is>
      </c>
      <c r="B23" s="7" t="inlineStr">
        <is>
          <t>その他営業収益・受取利息・雑収益の控除</t>
        </is>
      </c>
      <c r="C23" s="8" t="inlineStr">
        <is>
          <t>控除しない</t>
        </is>
      </c>
      <c r="D23" s="9" t="inlineStr">
        <is>
          <t>控除していない</t>
        </is>
      </c>
      <c r="E23" s="9" t="inlineStr">
        <is>
          <t>控除する（26,494千円）</t>
        </is>
      </c>
      <c r="G23" s="10" t="inlineStr">
        <is>
          <t>期間原価集計では控除項目の●が付いているが、分解原価集計では控除されていない。経営戦略に合わせて控除しない。</t>
        </is>
      </c>
    </row>
    <row r="24" ht="30" customHeight="1">
      <c r="A24" s="6" t="inlineStr">
        <is>
          <t>C5</t>
        </is>
      </c>
      <c r="B24" s="7" t="inlineStr">
        <is>
          <t>雑支出の算入</t>
        </is>
      </c>
      <c r="C24" s="8" t="inlineStr">
        <is>
          <t>算入しない</t>
        </is>
      </c>
      <c r="D24" s="9" t="inlineStr">
        <is>
          <t>算入していない</t>
        </is>
      </c>
      <c r="E24" s="9" t="inlineStr">
        <is>
          <t>算入する（36,696千円）</t>
        </is>
      </c>
      <c r="G24" s="10" t="inlineStr">
        <is>
          <t>期間原価集計では固定費の●が付いているが、分解原価集計では算入されていない。経営戦略に合わせて算入しない。</t>
        </is>
      </c>
    </row>
    <row r="25" ht="30" customHeight="1">
      <c r="A25" s="6" t="inlineStr">
        <is>
          <t>C6</t>
        </is>
      </c>
      <c r="B25" s="7" t="inlineStr">
        <is>
          <t>動力費・薬品費の単価</t>
        </is>
      </c>
      <c r="C25" s="8" t="inlineStr">
        <is>
          <t>経営戦略の値のまま</t>
        </is>
      </c>
      <c r="D25" s="9" t="inlineStr">
        <is>
          <t>経営戦略の値のまま</t>
        </is>
      </c>
      <c r="E25" s="9" t="inlineStr">
        <is>
          <t>実績単価に補正（＋47,167千円）</t>
        </is>
      </c>
      <c r="G25" s="10" t="inlineStr">
        <is>
          <t>★経営戦略の単価算定は、1年分の費用を10年分の有収水量で割っており、実績の1/9〜1/14の水準。</t>
        </is>
      </c>
    </row>
    <row r="27">
      <c r="B27" s="11" t="inlineStr">
        <is>
          <t>▼ 一括設定の目安</t>
        </is>
      </c>
    </row>
    <row r="28">
      <c r="B28" s="12" t="inlineStr">
        <is>
          <t>「経営戦略に合わせる」…A1=経営戦略の計画／A2=38／A3=38／A4=2.1／A5=経営戦略方式／B1=1.0／B2=期首の帳簿価額／B3=4／C1=固定資産台帳ベース／C3=他会計補助金 272,997千円／C4=控除する／C5=算入しない／C6=経営戦略の値のまま</t>
        </is>
      </c>
    </row>
    <row r="29">
      <c r="B29" s="12" t="inlineStr">
        <is>
          <t>「今回の再試算」…A1=建設改良費調査票／A2=38／A3=38／A4=2.1／A5=経営戦略方式／B1=3.0／B2=期首期末平均／B3=5／C1=損益計算書ベース／C2=実額／C3=他会計補助金 272,997千円／C4=控除する／C5=算入する／C6=実績単価に補正</t>
        </is>
      </c>
    </row>
  </sheetData>
  <mergeCells count="8">
    <mergeCell ref="B3:G3"/>
    <mergeCell ref="A2:L2"/>
    <mergeCell ref="B28:G28"/>
    <mergeCell ref="A1:L1"/>
    <mergeCell ref="A18:L18"/>
    <mergeCell ref="B29:G29"/>
    <mergeCell ref="A12:L12"/>
    <mergeCell ref="A4:L4"/>
  </mergeCells>
  <dataValidations count="14">
    <dataValidation sqref="C6" showDropDown="0" showInputMessage="0" showErrorMessage="0" allowBlank="0" type="list">
      <formula1>"経営戦略の計画,建設改良費調査票,調査票＋量水器費"</formula1>
    </dataValidation>
    <dataValidation sqref="C7" showDropDown="0" showInputMessage="0" showErrorMessage="0" allowBlank="0" type="list">
      <formula1>"35,38,40"</formula1>
    </dataValidation>
    <dataValidation sqref="C8" showDropDown="0" showInputMessage="0" showErrorMessage="0" allowBlank="0" type="list">
      <formula1>"15,20,25,30,38,40"</formula1>
    </dataValidation>
    <dataValidation sqref="C9" showDropDown="0" showInputMessage="0" showErrorMessage="0" allowBlank="0" type="list">
      <formula1>"2.0,2.1,2.2,2.3,2.4,2.5,2.6,2.7,2.8,2.9,3.0"</formula1>
    </dataValidation>
    <dataValidation sqref="C10" showDropDown="0" showInputMessage="0" showErrorMessage="0" allowBlank="0" type="list">
      <formula1>"経営戦略方式（40年・据置なし）,調査票方式（25/40年・据置3年）"</formula1>
    </dataValidation>
    <dataValidation sqref="C14" showDropDown="0" showInputMessage="0" showErrorMessage="0" allowBlank="0" type="list">
      <formula1>"1.0,1.5,2.0,2.5,3.0"</formula1>
    </dataValidation>
    <dataValidation sqref="C15" showDropDown="0" showInputMessage="0" showErrorMessage="0" allowBlank="0" type="list">
      <formula1>"期首の帳簿価額,期首期末平均"</formula1>
    </dataValidation>
    <dataValidation sqref="C16" showDropDown="0" showInputMessage="0" showErrorMessage="0" allowBlank="0" type="list">
      <formula1>"4,5"</formula1>
    </dataValidation>
    <dataValidation sqref="C20" showDropDown="0" showInputMessage="0" showErrorMessage="0" allowBlank="0" type="list">
      <formula1>"損益計算書ベース,固定資産台帳ベース"</formula1>
    </dataValidation>
    <dataValidation sqref="C21" showDropDown="0" showInputMessage="0" showErrorMessage="0" allowBlank="0" type="list">
      <formula1>"経営戦略の実額,成果品の推計値,控除しない"</formula1>
    </dataValidation>
    <dataValidation sqref="C22" showDropDown="0" showInputMessage="0" showErrorMessage="0" allowBlank="0" type="list">
      <formula1>"他会計補助金のみ,他会計補助金＋補助金,成果品の推計値,控除しない"</formula1>
    </dataValidation>
    <dataValidation sqref="C23" showDropDown="0" showInputMessage="0" showErrorMessage="0" allowBlank="0" type="list">
      <formula1>"控除する,控除しない"</formula1>
    </dataValidation>
    <dataValidation sqref="C24" showDropDown="0" showInputMessage="0" showErrorMessage="0" allowBlank="0" type="list">
      <formula1>"算入する,算入しない"</formula1>
    </dataValidation>
    <dataValidation sqref="C25" showDropDown="0" showInputMessage="0" showErrorMessage="0" allowBlank="0" type="list">
      <formula1>"経営戦略の値のまま,実績単価に補正"</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showGridLines="0" workbookViewId="0">
      <selection activeCell="A1" sqref="A1"/>
    </sheetView>
  </sheetViews>
  <sheetFormatPr baseColWidth="8" defaultRowHeight="15"/>
  <cols>
    <col width="4" customWidth="1" min="1" max="1"/>
    <col width="40" customWidth="1" min="2" max="2"/>
    <col width="20" customWidth="1" min="3" max="3"/>
    <col width="20" customWidth="1" min="4" max="4"/>
    <col width="14" customWidth="1" min="5" max="5"/>
    <col width="3" customWidth="1" min="6" max="6"/>
    <col width="64" customWidth="1" min="7" max="7"/>
    <col width="3" customWidth="1" min="8" max="8"/>
    <col width="3" customWidth="1" min="9" max="9"/>
  </cols>
  <sheetData>
    <row r="1" ht="24" customHeight="1">
      <c r="A1" s="1" t="inlineStr">
        <is>
          <t>女川町水道事業　総括原価の算定　R8〜R12（5年間）</t>
        </is>
      </c>
    </row>
    <row r="2">
      <c r="A2" s="2" t="inlineStr">
        <is>
          <t>「01_設定」の選択に基づいて計算しています。金額はすべて千円。</t>
        </is>
      </c>
    </row>
    <row r="4">
      <c r="A4" s="4" t="inlineStr">
        <is>
          <t>【1】適用中の前提条件</t>
        </is>
      </c>
    </row>
    <row r="5">
      <c r="B5" s="13" t="inlineStr">
        <is>
          <t>建設改良費</t>
        </is>
      </c>
      <c r="C5" s="14">
        <f>'01_設定'!$C$6</f>
        <v/>
      </c>
      <c r="D5" s="15" t="n"/>
    </row>
    <row r="6">
      <c r="B6" s="13" t="inlineStr">
        <is>
          <t>耐用年数（管路・構築物）</t>
        </is>
      </c>
      <c r="C6" s="14">
        <f>'01_設定'!$C$7</f>
        <v/>
      </c>
      <c r="D6" s="15" t="n"/>
    </row>
    <row r="7">
      <c r="B7" s="13" t="inlineStr">
        <is>
          <t>耐用年数（機械・電気）</t>
        </is>
      </c>
      <c r="C7" s="14">
        <f>'01_設定'!$C$8</f>
        <v/>
      </c>
      <c r="D7" s="15" t="n"/>
    </row>
    <row r="8">
      <c r="B8" s="13" t="inlineStr">
        <is>
          <t>借入利率（％）</t>
        </is>
      </c>
      <c r="C8" s="14">
        <f>'01_設定'!$C$9</f>
        <v/>
      </c>
      <c r="D8" s="15" t="n"/>
    </row>
    <row r="9">
      <c r="B9" s="13" t="inlineStr">
        <is>
          <t>償還条件</t>
        </is>
      </c>
      <c r="C9" s="14">
        <f>'01_設定'!$C$10</f>
        <v/>
      </c>
      <c r="D9" s="15" t="n"/>
    </row>
    <row r="10">
      <c r="B10" s="13" t="inlineStr">
        <is>
          <t>資産維持率（％）</t>
        </is>
      </c>
      <c r="C10" s="14">
        <f>'01_設定'!$C$14</f>
        <v/>
      </c>
      <c r="D10" s="15" t="n"/>
    </row>
    <row r="11">
      <c r="B11" s="13" t="inlineStr">
        <is>
          <t>対象資産の取り方</t>
        </is>
      </c>
      <c r="C11" s="14">
        <f>'01_設定'!$C$15</f>
        <v/>
      </c>
      <c r="D11" s="15" t="n"/>
    </row>
    <row r="12">
      <c r="B12" s="13" t="inlineStr">
        <is>
          <t>資産維持費の年数</t>
        </is>
      </c>
      <c r="C12" s="14">
        <f>'01_設定'!$C$16</f>
        <v/>
      </c>
      <c r="D12" s="15" t="n"/>
    </row>
    <row r="13">
      <c r="B13" s="13" t="inlineStr">
        <is>
          <t>減価償却費の算入方法</t>
        </is>
      </c>
      <c r="C13" s="14">
        <f>'01_設定'!$C$20</f>
        <v/>
      </c>
      <c r="D13" s="15" t="n"/>
    </row>
    <row r="14">
      <c r="B14" s="13" t="inlineStr">
        <is>
          <t>長期前受金戻入益の控除</t>
        </is>
      </c>
      <c r="C14" s="14">
        <f>'01_設定'!$C$21</f>
        <v/>
      </c>
      <c r="D14" s="15" t="n"/>
    </row>
    <row r="15">
      <c r="B15" s="13" t="inlineStr">
        <is>
          <t>他会計補助金等の控除</t>
        </is>
      </c>
      <c r="C15" s="14">
        <f>'01_設定'!$C$22</f>
        <v/>
      </c>
      <c r="D15" s="15" t="n"/>
    </row>
    <row r="16">
      <c r="B16" s="13" t="inlineStr">
        <is>
          <t>その他収益の控除</t>
        </is>
      </c>
      <c r="C16" s="14">
        <f>'01_設定'!$C$23</f>
        <v/>
      </c>
      <c r="D16" s="15" t="n"/>
    </row>
    <row r="17">
      <c r="B17" s="13" t="inlineStr">
        <is>
          <t>雑支出</t>
        </is>
      </c>
      <c r="C17" s="14">
        <f>'01_設定'!$C$24</f>
        <v/>
      </c>
      <c r="D17" s="15" t="n"/>
    </row>
    <row r="18">
      <c r="B18" s="13" t="inlineStr">
        <is>
          <t>動力費・薬品費</t>
        </is>
      </c>
      <c r="C18" s="14">
        <f>'01_設定'!$C$25</f>
        <v/>
      </c>
      <c r="D18" s="15" t="n"/>
    </row>
    <row r="20">
      <c r="A20" s="4" t="inlineStr">
        <is>
          <t>【2】総括原価の算定</t>
        </is>
      </c>
    </row>
    <row r="21">
      <c r="A21" s="5" t="inlineStr"/>
      <c r="B21" s="5" t="inlineStr">
        <is>
          <t>費目</t>
        </is>
      </c>
      <c r="C21" s="5" t="inlineStr">
        <is>
          <t>金額（千円）</t>
        </is>
      </c>
      <c r="D21" s="5" t="inlineStr"/>
      <c r="E21" s="5" t="inlineStr"/>
      <c r="F21" s="5" t="inlineStr"/>
      <c r="G21" s="5" t="inlineStr">
        <is>
          <t>算定の内容</t>
        </is>
      </c>
    </row>
    <row r="22" ht="26" customHeight="1">
      <c r="A22" s="6" t="inlineStr">
        <is>
          <t>Ⅰ</t>
        </is>
      </c>
      <c r="B22" s="16" t="inlineStr">
        <is>
          <t>維持管理費</t>
        </is>
      </c>
      <c r="C22" s="17">
        <f>672327+IF('01_設定'!$C$25="実績単価に補正",47167,0)</f>
        <v/>
      </c>
      <c r="G22" s="18" t="inlineStr">
        <is>
          <t>財政シミュの営業費用−減価償却費。動力費・薬品費の単価をR1〜R5実績で置き換えると＋47,167千円。</t>
        </is>
      </c>
    </row>
    <row r="23" ht="26" customHeight="1">
      <c r="A23" s="6" t="inlineStr">
        <is>
          <t>Ⅱ</t>
        </is>
      </c>
      <c r="B23" s="16" t="inlineStr">
        <is>
          <t>減価償却費</t>
        </is>
      </c>
      <c r="C23" s="17">
        <f>IF('01_設定'!$C$20="固定資産台帳ベース",32188*5+INDEX('05_計算用データ'!$E$6:$E$113,MATCH('01_設定'!$C$6&amp;"|"&amp;'01_設定'!$C$20&amp;"|"&amp;'01_設定'!$C$7&amp;"|"&amp;'01_設定'!$C$8,'05_計算用データ'!$G$6:$G$113,0)),2032440-218421+INDEX('05_計算用データ'!$E$6:$E$113,MATCH('01_設定'!$C$6&amp;"|"&amp;'01_設定'!$C$20&amp;"|"&amp;'01_設定'!$C$7&amp;"|"&amp;'01_設定'!$C$8,'05_計算用データ'!$G$6:$G$113,0)))</f>
        <v/>
      </c>
      <c r="G23" s="18" t="inlineStr">
        <is>
          <t>損益計算書ベースは財政シミュ計上額から旧計画の新規取得分を除き、選択した計画の償却費を加算。固定資産台帳ベースは既往資産の年32,188千円×5年に、補助財源を除いた新規取得分を加算。</t>
        </is>
      </c>
    </row>
    <row r="24" ht="26" customHeight="1">
      <c r="A24" s="6" t="inlineStr">
        <is>
          <t>Ⅲ</t>
        </is>
      </c>
      <c r="B24" s="16" t="inlineStr">
        <is>
          <t>支払利息（既往債）</t>
        </is>
      </c>
      <c r="C24" s="17">
        <f>50585</f>
        <v/>
      </c>
      <c r="G24" s="18" t="inlineStr">
        <is>
          <t>財政シミュの既往債利息。</t>
        </is>
      </c>
    </row>
    <row r="25" ht="26" customHeight="1">
      <c r="A25" s="6" t="inlineStr">
        <is>
          <t>Ⅳ</t>
        </is>
      </c>
      <c r="B25" s="16" t="inlineStr">
        <is>
          <t>支払利息（新規債）</t>
        </is>
      </c>
      <c r="C25" s="17">
        <f>44630+INDEX('05_計算用データ'!$D$118:$D$183,MATCH('01_設定'!$C$6&amp;"|"&amp;TEXT('01_設定'!$C$9,"0.0")&amp;"|"&amp;'01_設定'!$C$10,'05_計算用データ'!$G$118:$G$183,0))</f>
        <v/>
      </c>
      <c r="G25" s="18" t="inlineStr">
        <is>
          <t>R7以前の借入分44,630千円は固定。R8以降の借入分を選択した計画・借入利率・償還条件で算定。</t>
        </is>
      </c>
    </row>
    <row r="26" ht="26" customHeight="1">
      <c r="A26" s="6" t="inlineStr">
        <is>
          <t>Ⅴ</t>
        </is>
      </c>
      <c r="B26" s="16" t="inlineStr">
        <is>
          <t>雑支出</t>
        </is>
      </c>
      <c r="C26" s="17">
        <f>IF('01_設定'!$C$24="算入する",36696,0)</f>
        <v/>
      </c>
      <c r="G26" s="18" t="inlineStr">
        <is>
          <t>営業外費用。</t>
        </is>
      </c>
    </row>
    <row r="27" ht="26" customHeight="1">
      <c r="A27" s="6" t="inlineStr">
        <is>
          <t>Ⅵ</t>
        </is>
      </c>
      <c r="B27" s="16" t="inlineStr">
        <is>
          <t>資産維持費</t>
        </is>
      </c>
      <c r="C27" s="17">
        <f>ROUND(IF('01_設定'!$C$15="期首の帳簿価額",1042625,896312)*'01_設定'!$C$14/100,0)*'01_設定'!$C$16</f>
        <v/>
      </c>
      <c r="G27" s="18" t="inlineStr">
        <is>
          <t>対象資産×資産維持率×年数。</t>
        </is>
      </c>
    </row>
    <row r="28" ht="26" customHeight="1">
      <c r="A28" s="6" t="inlineStr">
        <is>
          <t>Ⅶ</t>
        </is>
      </c>
      <c r="B28" s="16" t="inlineStr">
        <is>
          <t>控除：長期前受金戻入益</t>
        </is>
      </c>
      <c r="C28" s="17">
        <f>-IF('01_設定'!$C$20="固定資産台帳ベース",0,IF('01_設定'!$C$21="経営戦略の実額",1542259+INDEX('05_計算用データ'!$F$6:$F$113,MATCH('01_設定'!$C$6&amp;"|"&amp;'01_設定'!$C$20&amp;"|"&amp;'01_設定'!$C$7&amp;"|"&amp;'01_設定'!$C$8,'05_計算用データ'!$G$6:$G$113,0)),IF('01_設定'!$C$21="成果品の推計値",450000,0)))</f>
        <v/>
      </c>
      <c r="G28" s="18" t="inlineStr">
        <is>
          <t>固定資産台帳ベースを選んだ場合は二重控除になるため自動的にゼロ。</t>
        </is>
      </c>
    </row>
    <row r="29" ht="26" customHeight="1">
      <c r="A29" s="6" t="inlineStr">
        <is>
          <t>Ⅷ</t>
        </is>
      </c>
      <c r="B29" s="16" t="inlineStr">
        <is>
          <t>控除：他会計補助金等</t>
        </is>
      </c>
      <c r="C29" s="17">
        <f>-IF('01_設定'!$C$22="他会計補助金のみ",272997,IF('01_設定'!$C$22="他会計補助金＋補助金",691997,IF('01_設定'!$C$22="成果品の推計値",15000,0)))</f>
        <v/>
      </c>
      <c r="G29" s="18" t="inlineStr">
        <is>
          <t>基準内繰入金は控除、基準外繰入金（赤字補填）は控除しないのが原則。</t>
        </is>
      </c>
    </row>
    <row r="30" ht="26" customHeight="1">
      <c r="A30" s="6" t="inlineStr">
        <is>
          <t>Ⅸ</t>
        </is>
      </c>
      <c r="B30" s="16" t="inlineStr">
        <is>
          <t>控除：その他営業収益・受取利息・雑収益</t>
        </is>
      </c>
      <c r="C30" s="17">
        <f>-IF('01_設定'!$C$23="控除する",26494,0)</f>
        <v/>
      </c>
      <c r="G30" s="18" t="inlineStr">
        <is>
          <t>算定要領上の控除項目。</t>
        </is>
      </c>
    </row>
    <row r="31" ht="26" customHeight="1">
      <c r="A31" s="6" t="inlineStr"/>
      <c r="B31" s="19" t="inlineStr">
        <is>
          <t>総括原価　合計</t>
        </is>
      </c>
      <c r="C31" s="20">
        <f>SUM(C22:C30)</f>
        <v/>
      </c>
      <c r="G31" s="18" t="inlineStr"/>
    </row>
    <row r="33">
      <c r="A33" s="4" t="inlineStr">
        <is>
          <t>【3】給水原価・料金回収率・必要改定幅</t>
        </is>
      </c>
    </row>
    <row r="34">
      <c r="A34" s="5" t="inlineStr"/>
      <c r="B34" s="5" t="inlineStr">
        <is>
          <t>指標</t>
        </is>
      </c>
      <c r="C34" s="5" t="inlineStr">
        <is>
          <t>算定値</t>
        </is>
      </c>
      <c r="D34" s="5" t="inlineStr"/>
      <c r="E34" s="5" t="inlineStr"/>
      <c r="F34" s="5" t="inlineStr"/>
      <c r="G34" s="5" t="inlineStr">
        <is>
          <t>算定式</t>
        </is>
      </c>
    </row>
    <row r="35">
      <c r="B35" s="21" t="inlineStr">
        <is>
          <t>有収水量 R8〜R12（㎥）</t>
        </is>
      </c>
      <c r="C35" s="22">
        <f>4316000</f>
        <v/>
      </c>
      <c r="G35" s="12" t="inlineStr">
        <is>
          <t>財政シミュの水需要予測。</t>
        </is>
      </c>
    </row>
    <row r="36">
      <c r="B36" s="21" t="inlineStr">
        <is>
          <t>給水収益 R8〜R12（千円・現行料金）</t>
        </is>
      </c>
      <c r="C36" s="22">
        <f>590845</f>
        <v/>
      </c>
      <c r="G36" s="12" t="inlineStr">
        <is>
          <t>財政シミュの給水収益。</t>
        </is>
      </c>
    </row>
    <row r="37">
      <c r="B37" s="21" t="inlineStr">
        <is>
          <t>給水原価（円/㎥）</t>
        </is>
      </c>
      <c r="C37" s="23">
        <f>C31*1000/4316000</f>
        <v/>
      </c>
      <c r="G37" s="12" t="inlineStr">
        <is>
          <t>総括原価×1,000÷有収水量。</t>
        </is>
      </c>
    </row>
    <row r="38">
      <c r="B38" s="21" t="inlineStr">
        <is>
          <t>現行供給単価（円/㎥）</t>
        </is>
      </c>
      <c r="C38" s="23">
        <f>128.2</f>
        <v/>
      </c>
      <c r="G38" s="12" t="inlineStr">
        <is>
          <t>R7実績 131,429千円÷1,025千㎥。</t>
        </is>
      </c>
    </row>
    <row r="39">
      <c r="B39" s="21" t="inlineStr">
        <is>
          <t>料金回収率</t>
        </is>
      </c>
      <c r="C39" s="24">
        <f>128.2/C37</f>
        <v/>
      </c>
      <c r="G39" s="12" t="inlineStr">
        <is>
          <t>現行供給単価÷給水原価。</t>
        </is>
      </c>
    </row>
    <row r="40">
      <c r="B40" s="21" t="inlineStr">
        <is>
          <t>年間不足額（千円/年）</t>
        </is>
      </c>
      <c r="C40" s="22">
        <f>(C31-590845)/5</f>
        <v/>
      </c>
      <c r="G40" s="12" t="inlineStr">
        <is>
          <t>（総括原価−給水収益）÷5年。</t>
        </is>
      </c>
    </row>
    <row r="41">
      <c r="B41" s="21" t="inlineStr">
        <is>
          <t>必要改定率（総括原価÷現行収入）</t>
        </is>
      </c>
      <c r="C41" s="25">
        <f>C31/590845</f>
        <v/>
      </c>
      <c r="G41" s="12" t="inlineStr">
        <is>
          <t>1.00倍なら現行料金で原価を回収できる水準。</t>
        </is>
      </c>
    </row>
    <row r="42">
      <c r="B42" s="21" t="inlineStr">
        <is>
          <t>標準世帯（20㎥/月）月額への換算（円）</t>
        </is>
      </c>
      <c r="C42" s="22">
        <f>ROUND(2395*C31/590845,0)</f>
        <v/>
      </c>
      <c r="G42" s="12" t="inlineStr">
        <is>
          <t>現行2,395円×必要改定率。参考値。</t>
        </is>
      </c>
    </row>
    <row r="44">
      <c r="B44" s="26" t="inlineStr">
        <is>
          <t>※ この表は開いたときに再計算されます。数値が空欄に見える場合は、Excelで開き直してください。</t>
        </is>
      </c>
    </row>
  </sheetData>
  <mergeCells count="19">
    <mergeCell ref="C6:D6"/>
    <mergeCell ref="C15:D15"/>
    <mergeCell ref="C5:D5"/>
    <mergeCell ref="C14:D14"/>
    <mergeCell ref="A2:I2"/>
    <mergeCell ref="C10:D10"/>
    <mergeCell ref="C16:D16"/>
    <mergeCell ref="A33:I33"/>
    <mergeCell ref="C9:D9"/>
    <mergeCell ref="A4:I4"/>
    <mergeCell ref="A20:I20"/>
    <mergeCell ref="C12:D12"/>
    <mergeCell ref="C11:D11"/>
    <mergeCell ref="C17:D17"/>
    <mergeCell ref="C8:D8"/>
    <mergeCell ref="C7:D7"/>
    <mergeCell ref="A1:I1"/>
    <mergeCell ref="C13:D13"/>
    <mergeCell ref="C18:D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4" customWidth="1" min="1" max="1"/>
    <col width="30" customWidth="1" min="2" max="2"/>
    <col width="30" customWidth="1" min="3" max="3"/>
    <col width="30" customWidth="1" min="4" max="4"/>
    <col width="16" customWidth="1" min="5" max="5"/>
    <col width="3" customWidth="1" min="6" max="6"/>
    <col width="58" customWidth="1" min="7" max="7"/>
    <col width="3" customWidth="1" min="8" max="8"/>
  </cols>
  <sheetData>
    <row r="1" ht="24" customHeight="1">
      <c r="A1" s="1" t="inlineStr">
        <is>
          <t>経営戦略と再試算の差異一覧</t>
        </is>
      </c>
    </row>
    <row r="2">
      <c r="A2" s="2" t="inlineStr">
        <is>
          <t>双方の設定が異なる箇所と、確認が必要な箇所をまとめたものです。金額は千円。</t>
        </is>
      </c>
    </row>
    <row r="4">
      <c r="A4" s="4" t="inlineStr">
        <is>
          <t>【A】前提条件の差異（「01_設定」で切り替えられる項目）</t>
        </is>
      </c>
    </row>
    <row r="5">
      <c r="A5" s="5" t="inlineStr"/>
      <c r="B5" s="5" t="inlineStr">
        <is>
          <t>項目</t>
        </is>
      </c>
      <c r="C5" s="5" t="inlineStr">
        <is>
          <t>経営戦略</t>
        </is>
      </c>
      <c r="D5" s="5" t="inlineStr">
        <is>
          <t>再試算（成果品）</t>
        </is>
      </c>
      <c r="E5" s="5" t="inlineStr">
        <is>
          <t>影響の大きさ</t>
        </is>
      </c>
      <c r="F5" s="5" t="inlineStr"/>
      <c r="G5" s="5" t="inlineStr">
        <is>
          <t>内容</t>
        </is>
      </c>
    </row>
    <row r="6" ht="28" customHeight="1">
      <c r="A6" s="6" t="n">
        <v>1</v>
      </c>
      <c r="B6" s="27" t="inlineStr">
        <is>
          <t>料金算定期間</t>
        </is>
      </c>
      <c r="C6" s="27" t="inlineStr">
        <is>
          <t>R6〜R9の4年間</t>
        </is>
      </c>
      <c r="D6" s="27" t="inlineStr">
        <is>
          <t>R8〜R12の5年間</t>
        </is>
      </c>
      <c r="E6" s="28" t="inlineStr">
        <is>
          <t>大</t>
        </is>
      </c>
      <c r="G6" s="27" t="inlineStr">
        <is>
          <t>経営戦略の期間原価集計は年度ラベルがH31・R2・R3・R4のままだが、参照先の数値はR6〜R9。ラベルの更新漏れ。</t>
        </is>
      </c>
    </row>
    <row r="7" ht="28" customHeight="1">
      <c r="A7" s="6" t="n">
        <v>2</v>
      </c>
      <c r="B7" s="27" t="inlineStr">
        <is>
          <t>減価償却費の算入方法</t>
        </is>
      </c>
      <c r="C7" s="27" t="inlineStr">
        <is>
          <t>固定資産台帳ベース 128,750（4年）</t>
        </is>
      </c>
      <c r="D7" s="27" t="inlineStr">
        <is>
          <t>損益計算書ベース 2,032,440（5年）</t>
        </is>
      </c>
      <c r="E7" s="28" t="inlineStr">
        <is>
          <t>特大</t>
        </is>
      </c>
      <c r="G7" s="27" t="inlineStr">
        <is>
          <t>経営戦略は補助財源で取得した資産の償却費を原価に算入していない。成果品は全額算入し長期前受金戻入を控除する方式。</t>
        </is>
      </c>
    </row>
    <row r="8" ht="28" customHeight="1">
      <c r="A8" s="6" t="n">
        <v>3</v>
      </c>
      <c r="B8" s="27" t="inlineStr">
        <is>
          <t>長期前受金戻入益の控除</t>
        </is>
      </c>
      <c r="C8" s="27" t="inlineStr">
        <is>
          <t>実額 1,542,259（R8〜R12・既往資産分）</t>
        </is>
      </c>
      <c r="D8" s="27" t="inlineStr">
        <is>
          <t>推計 450,000</t>
        </is>
      </c>
      <c r="E8" s="28" t="inlineStr">
        <is>
          <t>特大</t>
        </is>
      </c>
      <c r="G8" s="27" t="inlineStr">
        <is>
          <t>成果品の推計値は実額の約29％。震災復興交付金で取得した資産が多く、償却費の8割超が戻入で相殺される構造。</t>
        </is>
      </c>
    </row>
    <row r="9" ht="28" customHeight="1">
      <c r="A9" s="6" t="n">
        <v>4</v>
      </c>
      <c r="B9" s="27" t="inlineStr">
        <is>
          <t>他会計補助金等の控除</t>
        </is>
      </c>
      <c r="C9" s="27" t="inlineStr">
        <is>
          <t>他会計補助金 272,997（R8〜R12）</t>
        </is>
      </c>
      <c r="D9" s="27" t="inlineStr">
        <is>
          <t>推計 15,000</t>
        </is>
      </c>
      <c r="E9" s="28" t="inlineStr">
        <is>
          <t>大</t>
        </is>
      </c>
      <c r="G9" s="27" t="inlineStr">
        <is>
          <t>経営戦略の算定式は「減価償却費＋人件費＋支払利息」。基準内・基準外の区分が未確定。</t>
        </is>
      </c>
    </row>
    <row r="10" ht="28" customHeight="1">
      <c r="A10" s="6" t="n">
        <v>5</v>
      </c>
      <c r="B10" s="27" t="inlineStr">
        <is>
          <t>補助金の控除</t>
        </is>
      </c>
      <c r="C10" s="27" t="inlineStr">
        <is>
          <t>419,000（R8〜R12・営業外収益）</t>
        </is>
      </c>
      <c r="D10" s="27" t="inlineStr">
        <is>
          <t>算入なし</t>
        </is>
      </c>
      <c r="E10" s="28" t="inlineStr">
        <is>
          <t>大</t>
        </is>
      </c>
      <c r="G10" s="27" t="inlineStr">
        <is>
          <t>性格の確認が必要。</t>
        </is>
      </c>
    </row>
    <row r="11" ht="28" customHeight="1">
      <c r="A11" s="6" t="n">
        <v>6</v>
      </c>
      <c r="B11" s="27" t="inlineStr">
        <is>
          <t>その他営業収益・受取利息・雑収益</t>
        </is>
      </c>
      <c r="C11" s="27" t="inlineStr">
        <is>
          <t>控除する 26,494</t>
        </is>
      </c>
      <c r="D11" s="27" t="inlineStr">
        <is>
          <t>控除していない</t>
        </is>
      </c>
      <c r="E11" s="27" t="inlineStr">
        <is>
          <t>小</t>
        </is>
      </c>
      <c r="G11" s="27" t="inlineStr">
        <is>
          <t>算定要領上の控除項目。</t>
        </is>
      </c>
    </row>
    <row r="12" ht="28" customHeight="1">
      <c r="A12" s="6" t="n">
        <v>7</v>
      </c>
      <c r="B12" s="27" t="inlineStr">
        <is>
          <t>雑支出</t>
        </is>
      </c>
      <c r="C12" s="27" t="inlineStr">
        <is>
          <t>算入していない 36,696</t>
        </is>
      </c>
      <c r="D12" s="27" t="inlineStr">
        <is>
          <t>算入していない</t>
        </is>
      </c>
      <c r="E12" s="27" t="inlineStr">
        <is>
          <t>小</t>
        </is>
      </c>
      <c r="G12" s="27" t="inlineStr">
        <is>
          <t>営業外費用。双方とも未算入。</t>
        </is>
      </c>
    </row>
    <row r="13" ht="28" customHeight="1">
      <c r="A13" s="6" t="n">
        <v>8</v>
      </c>
      <c r="B13" s="27" t="inlineStr">
        <is>
          <t>資産維持率</t>
        </is>
      </c>
      <c r="C13" s="27" t="inlineStr">
        <is>
          <t>1.0％</t>
        </is>
      </c>
      <c r="D13" s="27" t="inlineStr">
        <is>
          <t>3.0％</t>
        </is>
      </c>
      <c r="E13" s="27" t="inlineStr">
        <is>
          <t>中</t>
        </is>
      </c>
      <c r="G13" s="27" t="inlineStr">
        <is>
          <t>経営戦略は「従前それほど大きな修繕がない」ことを理由に1.0％と仮定。仕様書は3％を求めている。</t>
        </is>
      </c>
    </row>
    <row r="14" ht="28" customHeight="1">
      <c r="A14" s="6" t="n">
        <v>9</v>
      </c>
      <c r="B14" s="27" t="inlineStr">
        <is>
          <t>資産維持費の対象資産</t>
        </is>
      </c>
      <c r="C14" s="27" t="inlineStr">
        <is>
          <t>期首 1,042,625</t>
        </is>
      </c>
      <c r="D14" s="27" t="inlineStr">
        <is>
          <t>期首期末平均 896,312</t>
        </is>
      </c>
      <c r="E14" s="27" t="inlineStr">
        <is>
          <t>中</t>
        </is>
      </c>
      <c r="G14" s="27" t="inlineStr">
        <is>
          <t>算定要領は期首期末平均。</t>
        </is>
      </c>
    </row>
    <row r="15" ht="28" customHeight="1">
      <c r="A15" s="6" t="n">
        <v>10</v>
      </c>
      <c r="B15" s="27" t="inlineStr">
        <is>
          <t>資産維持費の年数</t>
        </is>
      </c>
      <c r="C15" s="27" t="inlineStr">
        <is>
          <t>4年</t>
        </is>
      </c>
      <c r="D15" s="27" t="inlineStr">
        <is>
          <t>5年</t>
        </is>
      </c>
      <c r="E15" s="27" t="inlineStr">
        <is>
          <t>中</t>
        </is>
      </c>
      <c r="G15" s="27" t="inlineStr">
        <is>
          <t>料金算定期間の設定に連動。</t>
        </is>
      </c>
    </row>
    <row r="16" ht="28" customHeight="1">
      <c r="A16" s="6" t="n">
        <v>11</v>
      </c>
      <c r="B16" s="27" t="inlineStr">
        <is>
          <t>新規取得資産の耐用年数</t>
        </is>
      </c>
      <c r="C16" s="27" t="inlineStr">
        <is>
          <t>一律38年（機械・電気の区分なし）</t>
        </is>
      </c>
      <c r="D16" s="27" t="inlineStr">
        <is>
          <t>調査票40年</t>
        </is>
      </c>
      <c r="E16" s="27" t="inlineStr">
        <is>
          <t>中</t>
        </is>
      </c>
      <c r="G16" s="27" t="inlineStr">
        <is>
          <t>鷲神高度処理設備は機械・電気設備。法定耐用年数はこれより短い。</t>
        </is>
      </c>
    </row>
    <row r="17" ht="28" customHeight="1">
      <c r="A17" s="6" t="n">
        <v>12</v>
      </c>
      <c r="B17" s="27" t="inlineStr">
        <is>
          <t>企業債の借入利率</t>
        </is>
      </c>
      <c r="C17" s="27" t="inlineStr">
        <is>
          <t>2.1％</t>
        </is>
      </c>
      <c r="D17" s="27" t="inlineStr">
        <is>
          <t>調査票は未入力</t>
        </is>
      </c>
      <c r="E17" s="27" t="inlineStr">
        <is>
          <t>小</t>
        </is>
      </c>
      <c r="G17" s="27" t="inlineStr">
        <is>
          <t>経営戦略の根拠欄には「1.79％」と別の数値が残っている。</t>
        </is>
      </c>
    </row>
    <row r="18" ht="28" customHeight="1">
      <c r="A18" s="6" t="n">
        <v>13</v>
      </c>
      <c r="B18" s="27" t="inlineStr">
        <is>
          <t>企業債の償還条件</t>
        </is>
      </c>
      <c r="C18" s="27" t="inlineStr">
        <is>
          <t>40年・元利均等・借入翌年度から</t>
        </is>
      </c>
      <c r="D18" s="27" t="inlineStr">
        <is>
          <t>調査票は25／40年・据置3年</t>
        </is>
      </c>
      <c r="E18" s="27" t="inlineStr">
        <is>
          <t>小</t>
        </is>
      </c>
      <c r="G18" s="27" t="inlineStr"/>
    </row>
    <row r="19" ht="28" customHeight="1">
      <c r="A19" s="6" t="n">
        <v>14</v>
      </c>
      <c r="B19" s="27" t="inlineStr">
        <is>
          <t>建設改良費</t>
        </is>
      </c>
      <c r="C19" s="27" t="inlineStr">
        <is>
          <t>4,526,000（R8〜R17）</t>
        </is>
      </c>
      <c r="D19" s="27" t="inlineStr">
        <is>
          <t>3,515,000（調査票）</t>
        </is>
      </c>
      <c r="E19" s="27" t="inlineStr">
        <is>
          <t>中</t>
        </is>
      </c>
      <c r="G19" s="27" t="inlineStr">
        <is>
          <t>差 1,011,000。施設区分別では構造物及び設備▲475,000、送水管▲230,000、配水本管▲200,000、量水器費▲106,000。</t>
        </is>
      </c>
    </row>
    <row r="20" ht="28" customHeight="1">
      <c r="A20" s="6" t="n">
        <v>15</v>
      </c>
      <c r="B20" s="27" t="inlineStr">
        <is>
          <t>動力費・薬品費の単価</t>
        </is>
      </c>
      <c r="C20" s="27" t="inlineStr">
        <is>
          <t>1年分の費用を10年分の有収水量で除している</t>
        </is>
      </c>
      <c r="D20" s="27" t="inlineStr">
        <is>
          <t>経営戦略の値をそのまま使用</t>
        </is>
      </c>
      <c r="E20" s="27" t="inlineStr">
        <is>
          <t>中</t>
        </is>
      </c>
      <c r="G20" s="27" t="inlineStr">
        <is>
          <t>実績の1/9〜1/14の水準。年約7,200の過小計上。</t>
        </is>
      </c>
    </row>
    <row r="21" ht="28" customHeight="1">
      <c r="A21" s="6" t="n">
        <v>16</v>
      </c>
      <c r="B21" s="27" t="inlineStr">
        <is>
          <t>有収水量 R8〜R12</t>
        </is>
      </c>
      <c r="C21" s="27" t="inlineStr">
        <is>
          <t>4,315,366㎥</t>
        </is>
      </c>
      <c r="D21" s="27" t="inlineStr">
        <is>
          <t>4,316,000㎥</t>
        </is>
      </c>
      <c r="E21" s="27" t="inlineStr">
        <is>
          <t>なし</t>
        </is>
      </c>
      <c r="G21" s="27" t="inlineStr">
        <is>
          <t>丸めの差のみ。</t>
        </is>
      </c>
    </row>
    <row r="22" ht="28" customHeight="1">
      <c r="A22" s="6" t="n">
        <v>17</v>
      </c>
      <c r="B22" s="27" t="inlineStr">
        <is>
          <t>給水収益 R8〜R12</t>
        </is>
      </c>
      <c r="C22" s="27" t="inlineStr">
        <is>
          <t>590,845</t>
        </is>
      </c>
      <c r="D22" s="27" t="inlineStr">
        <is>
          <t>590,845</t>
        </is>
      </c>
      <c r="E22" s="27" t="inlineStr">
        <is>
          <t>なし</t>
        </is>
      </c>
      <c r="G22" s="27" t="inlineStr">
        <is>
          <t>一致。</t>
        </is>
      </c>
    </row>
    <row r="23" ht="28" customHeight="1">
      <c r="A23" s="6" t="n">
        <v>18</v>
      </c>
      <c r="B23" s="27" t="inlineStr">
        <is>
          <t>維持管理費 R8〜R12</t>
        </is>
      </c>
      <c r="C23" s="27" t="inlineStr">
        <is>
          <t>672,328</t>
        </is>
      </c>
      <c r="D23" s="27" t="inlineStr">
        <is>
          <t>672,327</t>
        </is>
      </c>
      <c r="E23" s="27" t="inlineStr">
        <is>
          <t>なし</t>
        </is>
      </c>
      <c r="G23" s="27" t="inlineStr">
        <is>
          <t>一致。</t>
        </is>
      </c>
    </row>
    <row r="24" ht="28" customHeight="1">
      <c r="A24" s="6" t="n">
        <v>19</v>
      </c>
      <c r="B24" s="27" t="inlineStr">
        <is>
          <t>支払利息（既往債）R8〜R12</t>
        </is>
      </c>
      <c r="C24" s="27" t="inlineStr">
        <is>
          <t>50,585</t>
        </is>
      </c>
      <c r="D24" s="27" t="inlineStr">
        <is>
          <t>50,585</t>
        </is>
      </c>
      <c r="E24" s="27" t="inlineStr">
        <is>
          <t>なし</t>
        </is>
      </c>
      <c r="G24" s="27" t="inlineStr">
        <is>
          <t>一致。</t>
        </is>
      </c>
    </row>
    <row r="26">
      <c r="A26" s="4" t="inlineStr">
        <is>
          <t>【B】経営戦略試算シートで確認が必要な箇所</t>
        </is>
      </c>
    </row>
    <row r="27">
      <c r="A27" s="5" t="inlineStr"/>
      <c r="B27" s="5" t="inlineStr">
        <is>
          <t>箇所</t>
        </is>
      </c>
      <c r="C27" s="5" t="inlineStr">
        <is>
          <t>内容</t>
        </is>
      </c>
      <c r="D27" s="5" t="inlineStr"/>
      <c r="E27" s="5" t="inlineStr"/>
      <c r="F27" s="5" t="inlineStr"/>
      <c r="G27" s="5" t="inlineStr">
        <is>
          <t>対応</t>
        </is>
      </c>
    </row>
    <row r="28" ht="34" customHeight="1">
      <c r="A28" s="6" t="n">
        <v>1</v>
      </c>
      <c r="B28" s="29" t="inlineStr">
        <is>
          <t>料金算定－要領 総括原価シート</t>
        </is>
      </c>
      <c r="C28" s="30" t="inlineStr">
        <is>
          <t>固定費の配賦から料金表の算定まで、参照切れにより計算結果が出ない状態。</t>
        </is>
      </c>
      <c r="D28" s="31" t="n"/>
      <c r="E28" s="15" t="n"/>
      <c r="G28" s="32" t="inlineStr">
        <is>
          <t>有収水量合計と口径別調定件数の参照先を復旧する。</t>
        </is>
      </c>
    </row>
    <row r="29" ht="34" customHeight="1">
      <c r="A29" s="6" t="n">
        <v>2</v>
      </c>
      <c r="B29" s="29" t="inlineStr">
        <is>
          <t>料金算定－現行×改定率 総括原価シート</t>
        </is>
      </c>
      <c r="C29" s="30" t="inlineStr">
        <is>
          <t>口径別基本料金・水量料金の算定結果がすべて参照切れ。</t>
        </is>
      </c>
      <c r="D29" s="31" t="n"/>
      <c r="E29" s="15" t="n"/>
      <c r="G29" s="32" t="inlineStr">
        <is>
          <t>同上。</t>
        </is>
      </c>
    </row>
    <row r="30" ht="34" customHeight="1">
      <c r="A30" s="6" t="n">
        <v>3</v>
      </c>
      <c r="B30" s="29" t="inlineStr">
        <is>
          <t>原水及び浄水費の動力費</t>
        </is>
      </c>
      <c r="C30" s="30" t="inlineStr">
        <is>
          <t>1年分の平均費用を10年分の有収水量合計で除して単価を算定しており、さらに単価を整数に丸めているため1円/㎥になっている。計上額は有収水量と同額。</t>
        </is>
      </c>
      <c r="D30" s="31" t="n"/>
      <c r="E30" s="15" t="n"/>
      <c r="G30" s="32" t="inlineStr">
        <is>
          <t>単価を1年あたりの有収水量で算定し直す。実績ベースでは約4.7円/㎥。</t>
        </is>
      </c>
    </row>
    <row r="31" ht="34" customHeight="1">
      <c r="A31" s="6" t="n">
        <v>4</v>
      </c>
      <c r="B31" s="29" t="inlineStr">
        <is>
          <t>原水及び浄水費の薬品費</t>
        </is>
      </c>
      <c r="C31" s="30" t="inlineStr">
        <is>
          <t>同じ理由で0.258円/㎥。実績ベースでは約2.3円/㎥。</t>
        </is>
      </c>
      <c r="D31" s="31" t="n"/>
      <c r="E31" s="15" t="n"/>
      <c r="G31" s="32" t="inlineStr">
        <is>
          <t>同上。</t>
        </is>
      </c>
    </row>
    <row r="32" ht="34" customHeight="1">
      <c r="A32" s="6" t="n">
        <v>5</v>
      </c>
      <c r="B32" s="29" t="inlineStr">
        <is>
          <t>配水及び給水費の動力費</t>
        </is>
      </c>
      <c r="C32" s="30" t="inlineStr">
        <is>
          <t>同じ理由で単価が0.25円/㎥となり、整数への丸めで0円になっている。実績では年2,159千円が発生している。</t>
        </is>
      </c>
      <c r="D32" s="31" t="n"/>
      <c r="E32" s="15" t="n"/>
      <c r="G32" s="32" t="inlineStr">
        <is>
          <t>同上。丸めの位置も見直す。</t>
        </is>
      </c>
    </row>
    <row r="33" ht="34" customHeight="1">
      <c r="A33" s="6" t="n">
        <v>6</v>
      </c>
      <c r="B33" s="29" t="inlineStr">
        <is>
          <t>期間原価集計の年度ラベル</t>
        </is>
      </c>
      <c r="C33" s="30" t="inlineStr">
        <is>
          <t>K4〜N4が「H31・R2・R3・R4」のままだが、参照先の数値はR6〜R9。</t>
        </is>
      </c>
      <c r="D33" s="31" t="n"/>
      <c r="E33" s="15" t="n"/>
      <c r="G33" s="32" t="inlineStr">
        <is>
          <t>ラベルを実態に合わせる。</t>
        </is>
      </c>
    </row>
    <row r="34" ht="34" customHeight="1">
      <c r="A34" s="6" t="n">
        <v>7</v>
      </c>
      <c r="B34" s="29" t="inlineStr">
        <is>
          <t>支払利息の算定根拠欄</t>
        </is>
      </c>
      <c r="C34" s="30" t="inlineStr">
        <is>
          <t>「利率の平均値（1.79％）」と記載されているが、実際の計算は2.1％。</t>
        </is>
      </c>
      <c r="D34" s="31" t="n"/>
      <c r="E34" s="15" t="n"/>
      <c r="G34" s="32" t="inlineStr">
        <is>
          <t>根拠欄を2.1％に更新する。</t>
        </is>
      </c>
    </row>
    <row r="35" ht="34" customHeight="1">
      <c r="A35" s="6" t="n">
        <v>8</v>
      </c>
      <c r="B35" s="29" t="inlineStr">
        <is>
          <t>新規取得資産の耐用年数</t>
        </is>
      </c>
      <c r="C35" s="30" t="inlineStr">
        <is>
          <t>機械・電気設備を区分せず一律38年。貸借対照表では「機械及び装置」を独立科目として持っている。</t>
        </is>
      </c>
      <c r="D35" s="31" t="n"/>
      <c r="E35" s="15" t="n"/>
      <c r="G35" s="32" t="inlineStr">
        <is>
          <t>将来取得分についても資産区分ごとの耐用年数を設定するか、一律とする理由を明記する。</t>
        </is>
      </c>
    </row>
    <row r="37">
      <c r="A37" s="4" t="inlineStr">
        <is>
          <t>【C】建設改良費調査票で確認が必要な箇所</t>
        </is>
      </c>
    </row>
    <row r="38">
      <c r="A38" s="5" t="inlineStr"/>
      <c r="B38" s="5" t="inlineStr">
        <is>
          <t>箇所</t>
        </is>
      </c>
      <c r="C38" s="5" t="inlineStr">
        <is>
          <t>内容</t>
        </is>
      </c>
      <c r="D38" s="5" t="inlineStr"/>
      <c r="E38" s="5" t="inlineStr"/>
      <c r="F38" s="5" t="inlineStr"/>
      <c r="G38" s="5" t="inlineStr">
        <is>
          <t>対応</t>
        </is>
      </c>
    </row>
    <row r="39" ht="30" customHeight="1">
      <c r="A39" s="6" t="n">
        <v>1</v>
      </c>
      <c r="B39" s="29" t="inlineStr">
        <is>
          <t>No.3 鷲神高度処理設備の財源構成割合</t>
        </is>
      </c>
      <c r="C39" s="30" t="inlineStr">
        <is>
          <t>「財源構成割合(%)」欄に金額（企業債444,000・繰入金444,000）が入力されている。単純な割合で出せない事業があるため、入力された金額を正として扱う。ただし様式の財源行の数式が割合前提（整備費×入力値÷100）のままのため、集計表の「財源：繰入金」が約3.9兆円、「財源：その他」が同額のマイナスになる。</t>
        </is>
      </c>
      <c r="D39" s="31" t="n"/>
      <c r="E39" s="15" t="n"/>
      <c r="G39" s="32" t="inlineStr">
        <is>
          <t>当方で入力金額から直接集計する。様式の数式は今後の混乱を避けるため修正しておく。女川町への再提出依頼は不要。</t>
        </is>
      </c>
    </row>
    <row r="40" ht="30" customHeight="1">
      <c r="A40" s="6" t="n">
        <v>2</v>
      </c>
      <c r="B40" s="29" t="inlineStr">
        <is>
          <t>企業債の利率</t>
        </is>
      </c>
      <c r="C40" s="30" t="inlineStr">
        <is>
          <t>4事業とも未入力。</t>
        </is>
      </c>
      <c r="D40" s="31" t="n"/>
      <c r="E40" s="15" t="n"/>
      <c r="G40" s="32" t="inlineStr">
        <is>
          <t>借入予定利率を記入する。</t>
        </is>
      </c>
    </row>
    <row r="41" ht="30" customHeight="1">
      <c r="A41" s="6" t="n">
        <v>3</v>
      </c>
      <c r="B41" s="29" t="inlineStr">
        <is>
          <t>No.4 江島海底送水管</t>
        </is>
      </c>
      <c r="C41" s="30" t="inlineStr">
        <is>
          <t>資産種別・更新新規の別・補助単独の別がいずれも未入力。</t>
        </is>
      </c>
      <c r="D41" s="31" t="n"/>
      <c r="E41" s="15" t="n"/>
      <c r="G41" s="32" t="inlineStr">
        <is>
          <t>記入する。</t>
        </is>
      </c>
    </row>
    <row r="42" ht="30" customHeight="1">
      <c r="A42" s="6" t="n">
        <v>4</v>
      </c>
      <c r="B42" s="29" t="inlineStr">
        <is>
          <t>量水器費</t>
        </is>
      </c>
      <c r="C42" s="30" t="inlineStr">
        <is>
          <t>経営戦略はR8〜R17で106,000を計上しているが、調査票は委託・工事のみを対象としているため計上されていない。</t>
        </is>
      </c>
      <c r="D42" s="31" t="n"/>
      <c r="E42" s="15" t="n"/>
      <c r="G42" s="32" t="inlineStr">
        <is>
          <t>量水器の更新費を別途見込む必要があるか確認する。</t>
        </is>
      </c>
    </row>
    <row r="43" ht="30" customHeight="1">
      <c r="A43" s="6" t="n">
        <v>5</v>
      </c>
      <c r="B43" s="29" t="inlineStr">
        <is>
          <t>出資金と繰入金</t>
        </is>
      </c>
      <c r="C43" s="30" t="inlineStr">
        <is>
          <t>経営戦略は出資金1,230,000、調査票は繰入金444,000。差786,000。</t>
        </is>
      </c>
      <c r="D43" s="31" t="n"/>
      <c r="E43" s="15" t="n"/>
      <c r="G43" s="32" t="inlineStr">
        <is>
          <t>一般会計負担の方針を確認する。</t>
        </is>
      </c>
    </row>
    <row r="44" ht="30" customHeight="1">
      <c r="A44" s="6" t="n">
        <v>6</v>
      </c>
      <c r="B44" s="29" t="inlineStr">
        <is>
          <t>対象期間</t>
        </is>
      </c>
      <c r="C44" s="30" t="inlineStr">
        <is>
          <t>入力方法シートはR9〜R17だが、様式と回答はR8を含む。</t>
        </is>
      </c>
      <c r="D44" s="31" t="n"/>
      <c r="E44" s="15" t="n"/>
      <c r="G44" s="32" t="inlineStr">
        <is>
          <t>R8分の網羅性を確認する。</t>
        </is>
      </c>
    </row>
    <row r="45" ht="30" customHeight="1">
      <c r="A45" s="6" t="n">
        <v>7</v>
      </c>
      <c r="B45" s="29" t="inlineStr">
        <is>
          <t>償却年数</t>
        </is>
      </c>
      <c r="C45" s="30" t="inlineStr">
        <is>
          <t>4事業とも40年。鷲神高度処理設備は機械・電気設備。</t>
        </is>
      </c>
      <c r="D45" s="31" t="n"/>
      <c r="E45" s="15" t="n"/>
      <c r="G45" s="32" t="inlineStr">
        <is>
          <t>資産区分に応じた年数か確認する。</t>
        </is>
      </c>
    </row>
  </sheetData>
  <mergeCells count="20">
    <mergeCell ref="C44:E44"/>
    <mergeCell ref="C41:E41"/>
    <mergeCell ref="C31:E31"/>
    <mergeCell ref="C40:E40"/>
    <mergeCell ref="A1:H1"/>
    <mergeCell ref="C43:E43"/>
    <mergeCell ref="C39:E39"/>
    <mergeCell ref="A37:H37"/>
    <mergeCell ref="C32:E32"/>
    <mergeCell ref="A26:H26"/>
    <mergeCell ref="C28:E28"/>
    <mergeCell ref="A2:H2"/>
    <mergeCell ref="C30:E30"/>
    <mergeCell ref="C34:E34"/>
    <mergeCell ref="C42:E42"/>
    <mergeCell ref="A4:H4"/>
    <mergeCell ref="C33:E33"/>
    <mergeCell ref="C45:E45"/>
    <mergeCell ref="C29:E29"/>
    <mergeCell ref="C35:E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4" customHeight="1">
      <c r="A1" s="1" t="inlineStr">
        <is>
          <t>建設改良費の新旧比較（R8〜R17）</t>
        </is>
      </c>
    </row>
    <row r="2">
      <c r="A2" s="2" t="inlineStr">
        <is>
          <t>金額は千円。</t>
        </is>
      </c>
    </row>
    <row r="4">
      <c r="A4" s="4" t="inlineStr">
        <is>
          <t>【経営戦略の計画】</t>
        </is>
      </c>
    </row>
    <row r="5">
      <c r="A5" s="5" t="inlineStr">
        <is>
          <t>事業名</t>
        </is>
      </c>
      <c r="B5" s="5" t="inlineStr">
        <is>
          <t>R8</t>
        </is>
      </c>
      <c r="C5" s="5" t="inlineStr">
        <is>
          <t>R9</t>
        </is>
      </c>
      <c r="D5" s="5" t="inlineStr">
        <is>
          <t>R10</t>
        </is>
      </c>
      <c r="E5" s="5" t="inlineStr">
        <is>
          <t>R11</t>
        </is>
      </c>
      <c r="F5" s="5" t="inlineStr">
        <is>
          <t>R12</t>
        </is>
      </c>
      <c r="G5" s="5" t="inlineStr">
        <is>
          <t>R13</t>
        </is>
      </c>
      <c r="H5" s="5" t="inlineStr">
        <is>
          <t>R14</t>
        </is>
      </c>
      <c r="I5" s="5" t="inlineStr">
        <is>
          <t>R15</t>
        </is>
      </c>
      <c r="J5" s="5" t="inlineStr">
        <is>
          <t>R16</t>
        </is>
      </c>
      <c r="K5" s="5" t="inlineStr">
        <is>
          <t>R17</t>
        </is>
      </c>
      <c r="L5" s="5" t="inlineStr">
        <is>
          <t>合計</t>
        </is>
      </c>
    </row>
    <row r="6">
      <c r="A6" s="33" t="inlineStr">
        <is>
          <t>経営戦略の建設改良費</t>
        </is>
      </c>
      <c r="B6" s="34" t="n">
        <v>1030000</v>
      </c>
      <c r="C6" s="34" t="n">
        <v>950000</v>
      </c>
      <c r="D6" s="34" t="n">
        <v>500000</v>
      </c>
      <c r="E6" s="34" t="n">
        <v>330000</v>
      </c>
      <c r="F6" s="34" t="n">
        <v>310000</v>
      </c>
      <c r="G6" s="34" t="n">
        <v>311000</v>
      </c>
      <c r="H6" s="34" t="n">
        <v>371000</v>
      </c>
      <c r="I6" s="34" t="n">
        <v>294000</v>
      </c>
      <c r="J6" s="34" t="n">
        <v>230000</v>
      </c>
      <c r="K6" s="34" t="n">
        <v>200000</v>
      </c>
      <c r="L6" s="35" t="n">
        <v>4526000</v>
      </c>
    </row>
    <row r="7">
      <c r="A7" s="14" t="inlineStr">
        <is>
          <t>計</t>
        </is>
      </c>
      <c r="B7" s="36" t="n">
        <v>1030000</v>
      </c>
      <c r="C7" s="36" t="n">
        <v>950000</v>
      </c>
      <c r="D7" s="36" t="n">
        <v>500000</v>
      </c>
      <c r="E7" s="36" t="n">
        <v>330000</v>
      </c>
      <c r="F7" s="36" t="n">
        <v>310000</v>
      </c>
      <c r="G7" s="36" t="n">
        <v>311000</v>
      </c>
      <c r="H7" s="36" t="n">
        <v>371000</v>
      </c>
      <c r="I7" s="36" t="n">
        <v>294000</v>
      </c>
      <c r="J7" s="36" t="n">
        <v>230000</v>
      </c>
      <c r="K7" s="36" t="n">
        <v>200000</v>
      </c>
      <c r="L7" s="20" t="n">
        <v>4526000</v>
      </c>
    </row>
    <row r="10">
      <c r="A10" s="4" t="inlineStr">
        <is>
          <t>【建設改良費調査票】</t>
        </is>
      </c>
    </row>
    <row r="11">
      <c r="A11" s="5" t="inlineStr">
        <is>
          <t>事業名</t>
        </is>
      </c>
      <c r="B11" s="5" t="inlineStr">
        <is>
          <t>R8</t>
        </is>
      </c>
      <c r="C11" s="5" t="inlineStr">
        <is>
          <t>R9</t>
        </is>
      </c>
      <c r="D11" s="5" t="inlineStr">
        <is>
          <t>R10</t>
        </is>
      </c>
      <c r="E11" s="5" t="inlineStr">
        <is>
          <t>R11</t>
        </is>
      </c>
      <c r="F11" s="5" t="inlineStr">
        <is>
          <t>R12</t>
        </is>
      </c>
      <c r="G11" s="5" t="inlineStr">
        <is>
          <t>R13</t>
        </is>
      </c>
      <c r="H11" s="5" t="inlineStr">
        <is>
          <t>R14</t>
        </is>
      </c>
      <c r="I11" s="5" t="inlineStr">
        <is>
          <t>R15</t>
        </is>
      </c>
      <c r="J11" s="5" t="inlineStr">
        <is>
          <t>R16</t>
        </is>
      </c>
      <c r="K11" s="5" t="inlineStr">
        <is>
          <t>R17</t>
        </is>
      </c>
      <c r="L11" s="5" t="inlineStr">
        <is>
          <t>合計</t>
        </is>
      </c>
    </row>
    <row r="12">
      <c r="A12" s="33" t="inlineStr">
        <is>
          <t>No.1 老朽管布設替工事</t>
        </is>
      </c>
      <c r="B12" s="34" t="n">
        <v>180000</v>
      </c>
      <c r="C12" s="34" t="n">
        <v>150000</v>
      </c>
      <c r="D12" s="34" t="n">
        <v>150000</v>
      </c>
      <c r="E12" s="34" t="n">
        <v>100000</v>
      </c>
      <c r="F12" s="34" t="n">
        <v>100000</v>
      </c>
      <c r="G12" s="34" t="n">
        <v>100000</v>
      </c>
      <c r="H12" s="34" t="n">
        <v>100000</v>
      </c>
      <c r="I12" s="34" t="n">
        <v>100000</v>
      </c>
      <c r="J12" s="34" t="n">
        <v>100000</v>
      </c>
      <c r="K12" s="34" t="n">
        <v>100000</v>
      </c>
      <c r="L12" s="35" t="n">
        <v>1180000</v>
      </c>
    </row>
    <row r="13">
      <c r="A13" s="33" t="inlineStr">
        <is>
          <t>No.2 水道施設耐震化工事</t>
        </is>
      </c>
      <c r="B13" s="34" t="n">
        <v>12000</v>
      </c>
      <c r="C13" s="34" t="n">
        <v>35000</v>
      </c>
      <c r="D13" s="34" t="n">
        <v>60000</v>
      </c>
      <c r="E13" s="34" t="n">
        <v>220000</v>
      </c>
      <c r="F13" s="34" t="n">
        <v>220000</v>
      </c>
      <c r="G13" s="34" t="n">
        <v>220000</v>
      </c>
      <c r="H13" s="34" t="n">
        <v>60000</v>
      </c>
      <c r="I13" s="34" t="n">
        <v>150000</v>
      </c>
      <c r="J13" s="34" t="n">
        <v>150000</v>
      </c>
      <c r="K13" s="34" t="n">
        <v>150000</v>
      </c>
      <c r="L13" s="35" t="n">
        <v>1277000</v>
      </c>
    </row>
    <row r="14">
      <c r="A14" s="33" t="inlineStr">
        <is>
          <t>No.3 鷲神高度処理設備整備工事</t>
        </is>
      </c>
      <c r="B14" s="34" t="n">
        <v>353400</v>
      </c>
      <c r="C14" s="34" t="n">
        <v>534600</v>
      </c>
      <c r="D14" s="34" t="n">
        <v>0</v>
      </c>
      <c r="E14" s="34" t="n">
        <v>0</v>
      </c>
      <c r="F14" s="34" t="n">
        <v>0</v>
      </c>
      <c r="G14" s="34" t="n">
        <v>0</v>
      </c>
      <c r="H14" s="34" t="n">
        <v>0</v>
      </c>
      <c r="I14" s="34" t="n">
        <v>0</v>
      </c>
      <c r="J14" s="34" t="n">
        <v>0</v>
      </c>
      <c r="K14" s="34" t="n">
        <v>0</v>
      </c>
      <c r="L14" s="35" t="n">
        <v>888000</v>
      </c>
    </row>
    <row r="15">
      <c r="A15" s="33" t="inlineStr">
        <is>
          <t>No.4 江島海底送水管本復旧工事</t>
        </is>
      </c>
      <c r="B15" s="34" t="n">
        <v>20000</v>
      </c>
      <c r="C15" s="34" t="n">
        <v>150000</v>
      </c>
      <c r="D15" s="34" t="n">
        <v>0</v>
      </c>
      <c r="E15" s="34" t="n">
        <v>0</v>
      </c>
      <c r="F15" s="34" t="n">
        <v>0</v>
      </c>
      <c r="G15" s="34" t="n">
        <v>0</v>
      </c>
      <c r="H15" s="34" t="n">
        <v>0</v>
      </c>
      <c r="I15" s="34" t="n">
        <v>0</v>
      </c>
      <c r="J15" s="34" t="n">
        <v>0</v>
      </c>
      <c r="K15" s="34" t="n">
        <v>0</v>
      </c>
      <c r="L15" s="35" t="n">
        <v>170000</v>
      </c>
    </row>
    <row r="16">
      <c r="A16" s="14" t="inlineStr">
        <is>
          <t>計</t>
        </is>
      </c>
      <c r="B16" s="36" t="n">
        <v>565400</v>
      </c>
      <c r="C16" s="36" t="n">
        <v>869600</v>
      </c>
      <c r="D16" s="36" t="n">
        <v>210000</v>
      </c>
      <c r="E16" s="36" t="n">
        <v>320000</v>
      </c>
      <c r="F16" s="36" t="n">
        <v>320000</v>
      </c>
      <c r="G16" s="36" t="n">
        <v>320000</v>
      </c>
      <c r="H16" s="36" t="n">
        <v>160000</v>
      </c>
      <c r="I16" s="36" t="n">
        <v>250000</v>
      </c>
      <c r="J16" s="36" t="n">
        <v>250000</v>
      </c>
      <c r="K16" s="36" t="n">
        <v>250000</v>
      </c>
      <c r="L16" s="20" t="n">
        <v>3515000</v>
      </c>
    </row>
    <row r="19">
      <c r="A19" s="4" t="inlineStr">
        <is>
          <t>【調査票＋量水器費】</t>
        </is>
      </c>
    </row>
    <row r="20">
      <c r="A20" s="5" t="inlineStr">
        <is>
          <t>事業名</t>
        </is>
      </c>
      <c r="B20" s="5" t="inlineStr">
        <is>
          <t>R8</t>
        </is>
      </c>
      <c r="C20" s="5" t="inlineStr">
        <is>
          <t>R9</t>
        </is>
      </c>
      <c r="D20" s="5" t="inlineStr">
        <is>
          <t>R10</t>
        </is>
      </c>
      <c r="E20" s="5" t="inlineStr">
        <is>
          <t>R11</t>
        </is>
      </c>
      <c r="F20" s="5" t="inlineStr">
        <is>
          <t>R12</t>
        </is>
      </c>
      <c r="G20" s="5" t="inlineStr">
        <is>
          <t>R13</t>
        </is>
      </c>
      <c r="H20" s="5" t="inlineStr">
        <is>
          <t>R14</t>
        </is>
      </c>
      <c r="I20" s="5" t="inlineStr">
        <is>
          <t>R15</t>
        </is>
      </c>
      <c r="J20" s="5" t="inlineStr">
        <is>
          <t>R16</t>
        </is>
      </c>
      <c r="K20" s="5" t="inlineStr">
        <is>
          <t>R17</t>
        </is>
      </c>
      <c r="L20" s="5" t="inlineStr">
        <is>
          <t>合計</t>
        </is>
      </c>
    </row>
    <row r="21">
      <c r="A21" s="33" t="inlineStr">
        <is>
          <t>No.1 老朽管布設替工事</t>
        </is>
      </c>
      <c r="B21" s="34" t="n">
        <v>180000</v>
      </c>
      <c r="C21" s="34" t="n">
        <v>150000</v>
      </c>
      <c r="D21" s="34" t="n">
        <v>150000</v>
      </c>
      <c r="E21" s="34" t="n">
        <v>100000</v>
      </c>
      <c r="F21" s="34" t="n">
        <v>100000</v>
      </c>
      <c r="G21" s="34" t="n">
        <v>100000</v>
      </c>
      <c r="H21" s="34" t="n">
        <v>100000</v>
      </c>
      <c r="I21" s="34" t="n">
        <v>100000</v>
      </c>
      <c r="J21" s="34" t="n">
        <v>100000</v>
      </c>
      <c r="K21" s="34" t="n">
        <v>100000</v>
      </c>
      <c r="L21" s="35" t="n">
        <v>1180000</v>
      </c>
    </row>
    <row r="22">
      <c r="A22" s="33" t="inlineStr">
        <is>
          <t>No.2 水道施設耐震化工事</t>
        </is>
      </c>
      <c r="B22" s="34" t="n">
        <v>12000</v>
      </c>
      <c r="C22" s="34" t="n">
        <v>35000</v>
      </c>
      <c r="D22" s="34" t="n">
        <v>60000</v>
      </c>
      <c r="E22" s="34" t="n">
        <v>220000</v>
      </c>
      <c r="F22" s="34" t="n">
        <v>220000</v>
      </c>
      <c r="G22" s="34" t="n">
        <v>220000</v>
      </c>
      <c r="H22" s="34" t="n">
        <v>60000</v>
      </c>
      <c r="I22" s="34" t="n">
        <v>150000</v>
      </c>
      <c r="J22" s="34" t="n">
        <v>150000</v>
      </c>
      <c r="K22" s="34" t="n">
        <v>150000</v>
      </c>
      <c r="L22" s="35" t="n">
        <v>1277000</v>
      </c>
    </row>
    <row r="23">
      <c r="A23" s="33" t="inlineStr">
        <is>
          <t>No.3 鷲神高度処理設備整備工事</t>
        </is>
      </c>
      <c r="B23" s="34" t="n">
        <v>353400</v>
      </c>
      <c r="C23" s="34" t="n">
        <v>534600</v>
      </c>
      <c r="D23" s="34" t="n">
        <v>0</v>
      </c>
      <c r="E23" s="34" t="n">
        <v>0</v>
      </c>
      <c r="F23" s="34" t="n">
        <v>0</v>
      </c>
      <c r="G23" s="34" t="n">
        <v>0</v>
      </c>
      <c r="H23" s="34" t="n">
        <v>0</v>
      </c>
      <c r="I23" s="34" t="n">
        <v>0</v>
      </c>
      <c r="J23" s="34" t="n">
        <v>0</v>
      </c>
      <c r="K23" s="34" t="n">
        <v>0</v>
      </c>
      <c r="L23" s="35" t="n">
        <v>888000</v>
      </c>
    </row>
    <row r="24">
      <c r="A24" s="33" t="inlineStr">
        <is>
          <t>No.4 江島海底送水管本復旧工事</t>
        </is>
      </c>
      <c r="B24" s="34" t="n">
        <v>20000</v>
      </c>
      <c r="C24" s="34" t="n">
        <v>150000</v>
      </c>
      <c r="D24" s="34" t="n">
        <v>0</v>
      </c>
      <c r="E24" s="34" t="n">
        <v>0</v>
      </c>
      <c r="F24" s="34" t="n">
        <v>0</v>
      </c>
      <c r="G24" s="34" t="n">
        <v>0</v>
      </c>
      <c r="H24" s="34" t="n">
        <v>0</v>
      </c>
      <c r="I24" s="34" t="n">
        <v>0</v>
      </c>
      <c r="J24" s="34" t="n">
        <v>0</v>
      </c>
      <c r="K24" s="34" t="n">
        <v>0</v>
      </c>
      <c r="L24" s="35" t="n">
        <v>170000</v>
      </c>
    </row>
    <row r="25">
      <c r="A25" s="33" t="inlineStr">
        <is>
          <t>量水器費（調査票の対象外・経営戦略から復元）</t>
        </is>
      </c>
      <c r="B25" s="34" t="n">
        <v>20000</v>
      </c>
      <c r="C25" s="34" t="n">
        <v>20000</v>
      </c>
      <c r="D25" s="34" t="n">
        <v>20000</v>
      </c>
      <c r="E25" s="34" t="n">
        <v>0</v>
      </c>
      <c r="F25" s="34" t="n">
        <v>0</v>
      </c>
      <c r="G25" s="34" t="n">
        <v>1000</v>
      </c>
      <c r="H25" s="34" t="n">
        <v>1000</v>
      </c>
      <c r="I25" s="34" t="n">
        <v>4000</v>
      </c>
      <c r="J25" s="34" t="n">
        <v>20000</v>
      </c>
      <c r="K25" s="34" t="n">
        <v>20000</v>
      </c>
      <c r="L25" s="35" t="n">
        <v>106000</v>
      </c>
    </row>
    <row r="26">
      <c r="A26" s="14" t="inlineStr">
        <is>
          <t>計</t>
        </is>
      </c>
      <c r="B26" s="36" t="n">
        <v>585400</v>
      </c>
      <c r="C26" s="36" t="n">
        <v>889600</v>
      </c>
      <c r="D26" s="36" t="n">
        <v>230000</v>
      </c>
      <c r="E26" s="36" t="n">
        <v>320000</v>
      </c>
      <c r="F26" s="36" t="n">
        <v>320000</v>
      </c>
      <c r="G26" s="36" t="n">
        <v>321000</v>
      </c>
      <c r="H26" s="36" t="n">
        <v>161000</v>
      </c>
      <c r="I26" s="36" t="n">
        <v>254000</v>
      </c>
      <c r="J26" s="36" t="n">
        <v>270000</v>
      </c>
      <c r="K26" s="36" t="n">
        <v>270000</v>
      </c>
      <c r="L26" s="20" t="n">
        <v>3621000</v>
      </c>
    </row>
  </sheetData>
  <mergeCells count="5">
    <mergeCell ref="A19:M19"/>
    <mergeCell ref="A1:M1"/>
    <mergeCell ref="A4:M4"/>
    <mergeCell ref="A2:M2"/>
    <mergeCell ref="A10:M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3"/>
  <sheetViews>
    <sheetView showGridLines="0" workbookViewId="0">
      <selection activeCell="A1" sqref="A1"/>
    </sheetView>
  </sheetViews>
  <sheetFormatPr baseColWidth="8" defaultRowHeight="15"/>
  <cols>
    <col width="24" customWidth="1" min="1" max="1"/>
    <col width="34" customWidth="1" min="2" max="2"/>
    <col width="12" customWidth="1" min="3" max="3"/>
    <col width="12" customWidth="1" min="4" max="4"/>
    <col width="18" customWidth="1" min="5" max="5"/>
    <col width="18" customWidth="1" min="6" max="6"/>
    <col width="14" customWidth="1" min="7" max="7"/>
    <col width="20" customWidth="1" min="8" max="8"/>
    <col width="18" customWidth="1" min="9" max="9"/>
  </cols>
  <sheetData>
    <row r="1" ht="24" customHeight="1">
      <c r="A1" s="1" t="inlineStr">
        <is>
          <t>計算用データ（参照専用）</t>
        </is>
      </c>
    </row>
    <row r="2">
      <c r="A2" s="2" t="inlineStr">
        <is>
          <t>「01_設定」の選択に応じて「02_総括原価」が参照します。直接編集しないでください。</t>
        </is>
      </c>
    </row>
    <row r="4">
      <c r="A4" s="37" t="inlineStr">
        <is>
          <t>【減価償却費・長期前受金（新規取得分）R8〜R12 5年計・千円】</t>
        </is>
      </c>
    </row>
    <row r="5">
      <c r="A5" s="5" t="inlineStr">
        <is>
          <t>計画</t>
        </is>
      </c>
      <c r="B5" s="5" t="inlineStr">
        <is>
          <t>減価償却費の算入方法</t>
        </is>
      </c>
      <c r="C5" s="5" t="inlineStr">
        <is>
          <t>管路年数</t>
        </is>
      </c>
      <c r="D5" s="5" t="inlineStr">
        <is>
          <t>機電年数</t>
        </is>
      </c>
      <c r="E5" s="5" t="inlineStr">
        <is>
          <t>減価償却費</t>
        </is>
      </c>
      <c r="F5" s="5" t="inlineStr">
        <is>
          <t>長期前受金(新規)</t>
        </is>
      </c>
      <c r="G5" s="5" t="inlineStr">
        <is>
          <t>照合キー</t>
        </is>
      </c>
    </row>
    <row r="6">
      <c r="A6" s="33" t="inlineStr">
        <is>
          <t>経営戦略の計画</t>
        </is>
      </c>
      <c r="B6" s="33" t="inlineStr">
        <is>
          <t>損益計算書ベース</t>
        </is>
      </c>
      <c r="C6" s="33" t="n">
        <v>35</v>
      </c>
      <c r="D6" s="33" t="n">
        <v>15</v>
      </c>
      <c r="E6" s="34" t="n">
        <v>237143</v>
      </c>
      <c r="F6" s="34" t="n">
        <v>16666</v>
      </c>
      <c r="G6" s="38" t="inlineStr">
        <is>
          <t>経営戦略の計画|損益計算書ベース|35|15</t>
        </is>
      </c>
    </row>
    <row r="7">
      <c r="A7" s="33" t="inlineStr">
        <is>
          <t>経営戦略の計画</t>
        </is>
      </c>
      <c r="B7" s="33" t="inlineStr">
        <is>
          <t>損益計算書ベース</t>
        </is>
      </c>
      <c r="C7" s="33" t="n">
        <v>35</v>
      </c>
      <c r="D7" s="33" t="n">
        <v>20</v>
      </c>
      <c r="E7" s="34" t="n">
        <v>237143</v>
      </c>
      <c r="F7" s="34" t="n">
        <v>16666</v>
      </c>
      <c r="G7" s="38" t="inlineStr">
        <is>
          <t>経営戦略の計画|損益計算書ベース|35|20</t>
        </is>
      </c>
    </row>
    <row r="8">
      <c r="A8" s="33" t="inlineStr">
        <is>
          <t>経営戦略の計画</t>
        </is>
      </c>
      <c r="B8" s="33" t="inlineStr">
        <is>
          <t>損益計算書ベース</t>
        </is>
      </c>
      <c r="C8" s="33" t="n">
        <v>35</v>
      </c>
      <c r="D8" s="33" t="n">
        <v>25</v>
      </c>
      <c r="E8" s="34" t="n">
        <v>237143</v>
      </c>
      <c r="F8" s="34" t="n">
        <v>16666</v>
      </c>
      <c r="G8" s="38" t="inlineStr">
        <is>
          <t>経営戦略の計画|損益計算書ベース|35|25</t>
        </is>
      </c>
    </row>
    <row r="9">
      <c r="A9" s="33" t="inlineStr">
        <is>
          <t>経営戦略の計画</t>
        </is>
      </c>
      <c r="B9" s="33" t="inlineStr">
        <is>
          <t>損益計算書ベース</t>
        </is>
      </c>
      <c r="C9" s="33" t="n">
        <v>35</v>
      </c>
      <c r="D9" s="33" t="n">
        <v>30</v>
      </c>
      <c r="E9" s="34" t="n">
        <v>237143</v>
      </c>
      <c r="F9" s="34" t="n">
        <v>16666</v>
      </c>
      <c r="G9" s="38" t="inlineStr">
        <is>
          <t>経営戦略の計画|損益計算書ベース|35|30</t>
        </is>
      </c>
    </row>
    <row r="10">
      <c r="A10" s="33" t="inlineStr">
        <is>
          <t>経営戦略の計画</t>
        </is>
      </c>
      <c r="B10" s="33" t="inlineStr">
        <is>
          <t>損益計算書ベース</t>
        </is>
      </c>
      <c r="C10" s="33" t="n">
        <v>35</v>
      </c>
      <c r="D10" s="33" t="n">
        <v>38</v>
      </c>
      <c r="E10" s="34" t="n">
        <v>237143</v>
      </c>
      <c r="F10" s="34" t="n">
        <v>16666</v>
      </c>
      <c r="G10" s="38" t="inlineStr">
        <is>
          <t>経営戦略の計画|損益計算書ベース|35|38</t>
        </is>
      </c>
    </row>
    <row r="11">
      <c r="A11" s="33" t="inlineStr">
        <is>
          <t>経営戦略の計画</t>
        </is>
      </c>
      <c r="B11" s="33" t="inlineStr">
        <is>
          <t>損益計算書ベース</t>
        </is>
      </c>
      <c r="C11" s="33" t="n">
        <v>35</v>
      </c>
      <c r="D11" s="33" t="n">
        <v>40</v>
      </c>
      <c r="E11" s="34" t="n">
        <v>237143</v>
      </c>
      <c r="F11" s="34" t="n">
        <v>16666</v>
      </c>
      <c r="G11" s="38" t="inlineStr">
        <is>
          <t>経営戦略の計画|損益計算書ベース|35|40</t>
        </is>
      </c>
    </row>
    <row r="12">
      <c r="A12" s="33" t="inlineStr">
        <is>
          <t>経営戦略の計画</t>
        </is>
      </c>
      <c r="B12" s="33" t="inlineStr">
        <is>
          <t>損益計算書ベース</t>
        </is>
      </c>
      <c r="C12" s="33" t="n">
        <v>38</v>
      </c>
      <c r="D12" s="33" t="n">
        <v>15</v>
      </c>
      <c r="E12" s="34" t="n">
        <v>218421</v>
      </c>
      <c r="F12" s="34" t="n">
        <v>15351</v>
      </c>
      <c r="G12" s="38" t="inlineStr">
        <is>
          <t>経営戦略の計画|損益計算書ベース|38|15</t>
        </is>
      </c>
    </row>
    <row r="13">
      <c r="A13" s="33" t="inlineStr">
        <is>
          <t>経営戦略の計画</t>
        </is>
      </c>
      <c r="B13" s="33" t="inlineStr">
        <is>
          <t>損益計算書ベース</t>
        </is>
      </c>
      <c r="C13" s="33" t="n">
        <v>38</v>
      </c>
      <c r="D13" s="33" t="n">
        <v>20</v>
      </c>
      <c r="E13" s="34" t="n">
        <v>218421</v>
      </c>
      <c r="F13" s="34" t="n">
        <v>15351</v>
      </c>
      <c r="G13" s="38" t="inlineStr">
        <is>
          <t>経営戦略の計画|損益計算書ベース|38|20</t>
        </is>
      </c>
    </row>
    <row r="14">
      <c r="A14" s="33" t="inlineStr">
        <is>
          <t>経営戦略の計画</t>
        </is>
      </c>
      <c r="B14" s="33" t="inlineStr">
        <is>
          <t>損益計算書ベース</t>
        </is>
      </c>
      <c r="C14" s="33" t="n">
        <v>38</v>
      </c>
      <c r="D14" s="33" t="n">
        <v>25</v>
      </c>
      <c r="E14" s="34" t="n">
        <v>218421</v>
      </c>
      <c r="F14" s="34" t="n">
        <v>15351</v>
      </c>
      <c r="G14" s="38" t="inlineStr">
        <is>
          <t>経営戦略の計画|損益計算書ベース|38|25</t>
        </is>
      </c>
    </row>
    <row r="15">
      <c r="A15" s="33" t="inlineStr">
        <is>
          <t>経営戦略の計画</t>
        </is>
      </c>
      <c r="B15" s="33" t="inlineStr">
        <is>
          <t>損益計算書ベース</t>
        </is>
      </c>
      <c r="C15" s="33" t="n">
        <v>38</v>
      </c>
      <c r="D15" s="33" t="n">
        <v>30</v>
      </c>
      <c r="E15" s="34" t="n">
        <v>218421</v>
      </c>
      <c r="F15" s="34" t="n">
        <v>15351</v>
      </c>
      <c r="G15" s="38" t="inlineStr">
        <is>
          <t>経営戦略の計画|損益計算書ベース|38|30</t>
        </is>
      </c>
    </row>
    <row r="16">
      <c r="A16" s="33" t="inlineStr">
        <is>
          <t>経営戦略の計画</t>
        </is>
      </c>
      <c r="B16" s="33" t="inlineStr">
        <is>
          <t>損益計算書ベース</t>
        </is>
      </c>
      <c r="C16" s="33" t="n">
        <v>38</v>
      </c>
      <c r="D16" s="33" t="n">
        <v>38</v>
      </c>
      <c r="E16" s="34" t="n">
        <v>218421</v>
      </c>
      <c r="F16" s="34" t="n">
        <v>15351</v>
      </c>
      <c r="G16" s="38" t="inlineStr">
        <is>
          <t>経営戦略の計画|損益計算書ベース|38|38</t>
        </is>
      </c>
    </row>
    <row r="17">
      <c r="A17" s="33" t="inlineStr">
        <is>
          <t>経営戦略の計画</t>
        </is>
      </c>
      <c r="B17" s="33" t="inlineStr">
        <is>
          <t>損益計算書ベース</t>
        </is>
      </c>
      <c r="C17" s="33" t="n">
        <v>38</v>
      </c>
      <c r="D17" s="33" t="n">
        <v>40</v>
      </c>
      <c r="E17" s="34" t="n">
        <v>218421</v>
      </c>
      <c r="F17" s="34" t="n">
        <v>15351</v>
      </c>
      <c r="G17" s="38" t="inlineStr">
        <is>
          <t>経営戦略の計画|損益計算書ベース|38|40</t>
        </is>
      </c>
    </row>
    <row r="18">
      <c r="A18" s="33" t="inlineStr">
        <is>
          <t>経営戦略の計画</t>
        </is>
      </c>
      <c r="B18" s="33" t="inlineStr">
        <is>
          <t>損益計算書ベース</t>
        </is>
      </c>
      <c r="C18" s="33" t="n">
        <v>40</v>
      </c>
      <c r="D18" s="33" t="n">
        <v>15</v>
      </c>
      <c r="E18" s="34" t="n">
        <v>207500</v>
      </c>
      <c r="F18" s="34" t="n">
        <v>14583</v>
      </c>
      <c r="G18" s="38" t="inlineStr">
        <is>
          <t>経営戦略の計画|損益計算書ベース|40|15</t>
        </is>
      </c>
    </row>
    <row r="19">
      <c r="A19" s="33" t="inlineStr">
        <is>
          <t>経営戦略の計画</t>
        </is>
      </c>
      <c r="B19" s="33" t="inlineStr">
        <is>
          <t>損益計算書ベース</t>
        </is>
      </c>
      <c r="C19" s="33" t="n">
        <v>40</v>
      </c>
      <c r="D19" s="33" t="n">
        <v>20</v>
      </c>
      <c r="E19" s="34" t="n">
        <v>207500</v>
      </c>
      <c r="F19" s="34" t="n">
        <v>14583</v>
      </c>
      <c r="G19" s="38" t="inlineStr">
        <is>
          <t>経営戦略の計画|損益計算書ベース|40|20</t>
        </is>
      </c>
    </row>
    <row r="20">
      <c r="A20" s="33" t="inlineStr">
        <is>
          <t>経営戦略の計画</t>
        </is>
      </c>
      <c r="B20" s="33" t="inlineStr">
        <is>
          <t>損益計算書ベース</t>
        </is>
      </c>
      <c r="C20" s="33" t="n">
        <v>40</v>
      </c>
      <c r="D20" s="33" t="n">
        <v>25</v>
      </c>
      <c r="E20" s="34" t="n">
        <v>207500</v>
      </c>
      <c r="F20" s="34" t="n">
        <v>14583</v>
      </c>
      <c r="G20" s="38" t="inlineStr">
        <is>
          <t>経営戦略の計画|損益計算書ベース|40|25</t>
        </is>
      </c>
    </row>
    <row r="21">
      <c r="A21" s="33" t="inlineStr">
        <is>
          <t>経営戦略の計画</t>
        </is>
      </c>
      <c r="B21" s="33" t="inlineStr">
        <is>
          <t>損益計算書ベース</t>
        </is>
      </c>
      <c r="C21" s="33" t="n">
        <v>40</v>
      </c>
      <c r="D21" s="33" t="n">
        <v>30</v>
      </c>
      <c r="E21" s="34" t="n">
        <v>207500</v>
      </c>
      <c r="F21" s="34" t="n">
        <v>14583</v>
      </c>
      <c r="G21" s="38" t="inlineStr">
        <is>
          <t>経営戦略の計画|損益計算書ベース|40|30</t>
        </is>
      </c>
    </row>
    <row r="22">
      <c r="A22" s="33" t="inlineStr">
        <is>
          <t>経営戦略の計画</t>
        </is>
      </c>
      <c r="B22" s="33" t="inlineStr">
        <is>
          <t>損益計算書ベース</t>
        </is>
      </c>
      <c r="C22" s="33" t="n">
        <v>40</v>
      </c>
      <c r="D22" s="33" t="n">
        <v>38</v>
      </c>
      <c r="E22" s="34" t="n">
        <v>207500</v>
      </c>
      <c r="F22" s="34" t="n">
        <v>14583</v>
      </c>
      <c r="G22" s="38" t="inlineStr">
        <is>
          <t>経営戦略の計画|損益計算書ベース|40|38</t>
        </is>
      </c>
    </row>
    <row r="23">
      <c r="A23" s="33" t="inlineStr">
        <is>
          <t>経営戦略の計画</t>
        </is>
      </c>
      <c r="B23" s="33" t="inlineStr">
        <is>
          <t>損益計算書ベース</t>
        </is>
      </c>
      <c r="C23" s="33" t="n">
        <v>40</v>
      </c>
      <c r="D23" s="33" t="n">
        <v>40</v>
      </c>
      <c r="E23" s="34" t="n">
        <v>207500</v>
      </c>
      <c r="F23" s="34" t="n">
        <v>14583</v>
      </c>
      <c r="G23" s="38" t="inlineStr">
        <is>
          <t>経営戦略の計画|損益計算書ベース|40|40</t>
        </is>
      </c>
    </row>
    <row r="24">
      <c r="A24" s="33" t="inlineStr">
        <is>
          <t>経営戦略の計画</t>
        </is>
      </c>
      <c r="B24" s="33" t="inlineStr">
        <is>
          <t>固定資産台帳ベース</t>
        </is>
      </c>
      <c r="C24" s="33" t="n">
        <v>35</v>
      </c>
      <c r="D24" s="33" t="n">
        <v>15</v>
      </c>
      <c r="E24" s="34" t="n">
        <v>220477</v>
      </c>
      <c r="F24" s="34" t="n">
        <v>0</v>
      </c>
      <c r="G24" s="38" t="inlineStr">
        <is>
          <t>経営戦略の計画|固定資産台帳ベース|35|15</t>
        </is>
      </c>
    </row>
    <row r="25">
      <c r="A25" s="33" t="inlineStr">
        <is>
          <t>経営戦略の計画</t>
        </is>
      </c>
      <c r="B25" s="33" t="inlineStr">
        <is>
          <t>固定資産台帳ベース</t>
        </is>
      </c>
      <c r="C25" s="33" t="n">
        <v>35</v>
      </c>
      <c r="D25" s="33" t="n">
        <v>20</v>
      </c>
      <c r="E25" s="34" t="n">
        <v>220477</v>
      </c>
      <c r="F25" s="34" t="n">
        <v>0</v>
      </c>
      <c r="G25" s="38" t="inlineStr">
        <is>
          <t>経営戦略の計画|固定資産台帳ベース|35|20</t>
        </is>
      </c>
    </row>
    <row r="26">
      <c r="A26" s="33" t="inlineStr">
        <is>
          <t>経営戦略の計画</t>
        </is>
      </c>
      <c r="B26" s="33" t="inlineStr">
        <is>
          <t>固定資産台帳ベース</t>
        </is>
      </c>
      <c r="C26" s="33" t="n">
        <v>35</v>
      </c>
      <c r="D26" s="33" t="n">
        <v>25</v>
      </c>
      <c r="E26" s="34" t="n">
        <v>220477</v>
      </c>
      <c r="F26" s="34" t="n">
        <v>0</v>
      </c>
      <c r="G26" s="38" t="inlineStr">
        <is>
          <t>経営戦略の計画|固定資産台帳ベース|35|25</t>
        </is>
      </c>
    </row>
    <row r="27">
      <c r="A27" s="33" t="inlineStr">
        <is>
          <t>経営戦略の計画</t>
        </is>
      </c>
      <c r="B27" s="33" t="inlineStr">
        <is>
          <t>固定資産台帳ベース</t>
        </is>
      </c>
      <c r="C27" s="33" t="n">
        <v>35</v>
      </c>
      <c r="D27" s="33" t="n">
        <v>30</v>
      </c>
      <c r="E27" s="34" t="n">
        <v>220477</v>
      </c>
      <c r="F27" s="34" t="n">
        <v>0</v>
      </c>
      <c r="G27" s="38" t="inlineStr">
        <is>
          <t>経営戦略の計画|固定資産台帳ベース|35|30</t>
        </is>
      </c>
    </row>
    <row r="28">
      <c r="A28" s="33" t="inlineStr">
        <is>
          <t>経営戦略の計画</t>
        </is>
      </c>
      <c r="B28" s="33" t="inlineStr">
        <is>
          <t>固定資産台帳ベース</t>
        </is>
      </c>
      <c r="C28" s="33" t="n">
        <v>35</v>
      </c>
      <c r="D28" s="33" t="n">
        <v>38</v>
      </c>
      <c r="E28" s="34" t="n">
        <v>220477</v>
      </c>
      <c r="F28" s="34" t="n">
        <v>0</v>
      </c>
      <c r="G28" s="38" t="inlineStr">
        <is>
          <t>経営戦略の計画|固定資産台帳ベース|35|38</t>
        </is>
      </c>
    </row>
    <row r="29">
      <c r="A29" s="33" t="inlineStr">
        <is>
          <t>経営戦略の計画</t>
        </is>
      </c>
      <c r="B29" s="33" t="inlineStr">
        <is>
          <t>固定資産台帳ベース</t>
        </is>
      </c>
      <c r="C29" s="33" t="n">
        <v>35</v>
      </c>
      <c r="D29" s="33" t="n">
        <v>40</v>
      </c>
      <c r="E29" s="34" t="n">
        <v>220477</v>
      </c>
      <c r="F29" s="34" t="n">
        <v>0</v>
      </c>
      <c r="G29" s="38" t="inlineStr">
        <is>
          <t>経営戦略の計画|固定資産台帳ベース|35|40</t>
        </is>
      </c>
    </row>
    <row r="30">
      <c r="A30" s="33" t="inlineStr">
        <is>
          <t>経営戦略の計画</t>
        </is>
      </c>
      <c r="B30" s="33" t="inlineStr">
        <is>
          <t>固定資産台帳ベース</t>
        </is>
      </c>
      <c r="C30" s="33" t="n">
        <v>38</v>
      </c>
      <c r="D30" s="33" t="n">
        <v>15</v>
      </c>
      <c r="E30" s="34" t="n">
        <v>203071</v>
      </c>
      <c r="F30" s="34" t="n">
        <v>0</v>
      </c>
      <c r="G30" s="38" t="inlineStr">
        <is>
          <t>経営戦略の計画|固定資産台帳ベース|38|15</t>
        </is>
      </c>
    </row>
    <row r="31">
      <c r="A31" s="33" t="inlineStr">
        <is>
          <t>経営戦略の計画</t>
        </is>
      </c>
      <c r="B31" s="33" t="inlineStr">
        <is>
          <t>固定資産台帳ベース</t>
        </is>
      </c>
      <c r="C31" s="33" t="n">
        <v>38</v>
      </c>
      <c r="D31" s="33" t="n">
        <v>20</v>
      </c>
      <c r="E31" s="34" t="n">
        <v>203071</v>
      </c>
      <c r="F31" s="34" t="n">
        <v>0</v>
      </c>
      <c r="G31" s="38" t="inlineStr">
        <is>
          <t>経営戦略の計画|固定資産台帳ベース|38|20</t>
        </is>
      </c>
    </row>
    <row r="32">
      <c r="A32" s="33" t="inlineStr">
        <is>
          <t>経営戦略の計画</t>
        </is>
      </c>
      <c r="B32" s="33" t="inlineStr">
        <is>
          <t>固定資産台帳ベース</t>
        </is>
      </c>
      <c r="C32" s="33" t="n">
        <v>38</v>
      </c>
      <c r="D32" s="33" t="n">
        <v>25</v>
      </c>
      <c r="E32" s="34" t="n">
        <v>203071</v>
      </c>
      <c r="F32" s="34" t="n">
        <v>0</v>
      </c>
      <c r="G32" s="38" t="inlineStr">
        <is>
          <t>経営戦略の計画|固定資産台帳ベース|38|25</t>
        </is>
      </c>
    </row>
    <row r="33">
      <c r="A33" s="33" t="inlineStr">
        <is>
          <t>経営戦略の計画</t>
        </is>
      </c>
      <c r="B33" s="33" t="inlineStr">
        <is>
          <t>固定資産台帳ベース</t>
        </is>
      </c>
      <c r="C33" s="33" t="n">
        <v>38</v>
      </c>
      <c r="D33" s="33" t="n">
        <v>30</v>
      </c>
      <c r="E33" s="34" t="n">
        <v>203071</v>
      </c>
      <c r="F33" s="34" t="n">
        <v>0</v>
      </c>
      <c r="G33" s="38" t="inlineStr">
        <is>
          <t>経営戦略の計画|固定資産台帳ベース|38|30</t>
        </is>
      </c>
    </row>
    <row r="34">
      <c r="A34" s="33" t="inlineStr">
        <is>
          <t>経営戦略の計画</t>
        </is>
      </c>
      <c r="B34" s="33" t="inlineStr">
        <is>
          <t>固定資産台帳ベース</t>
        </is>
      </c>
      <c r="C34" s="33" t="n">
        <v>38</v>
      </c>
      <c r="D34" s="33" t="n">
        <v>38</v>
      </c>
      <c r="E34" s="34" t="n">
        <v>203071</v>
      </c>
      <c r="F34" s="34" t="n">
        <v>0</v>
      </c>
      <c r="G34" s="38" t="inlineStr">
        <is>
          <t>経営戦略の計画|固定資産台帳ベース|38|38</t>
        </is>
      </c>
    </row>
    <row r="35">
      <c r="A35" s="33" t="inlineStr">
        <is>
          <t>経営戦略の計画</t>
        </is>
      </c>
      <c r="B35" s="33" t="inlineStr">
        <is>
          <t>固定資産台帳ベース</t>
        </is>
      </c>
      <c r="C35" s="33" t="n">
        <v>38</v>
      </c>
      <c r="D35" s="33" t="n">
        <v>40</v>
      </c>
      <c r="E35" s="34" t="n">
        <v>203071</v>
      </c>
      <c r="F35" s="34" t="n">
        <v>0</v>
      </c>
      <c r="G35" s="38" t="inlineStr">
        <is>
          <t>経営戦略の計画|固定資産台帳ベース|38|40</t>
        </is>
      </c>
    </row>
    <row r="36">
      <c r="A36" s="33" t="inlineStr">
        <is>
          <t>経営戦略の計画</t>
        </is>
      </c>
      <c r="B36" s="33" t="inlineStr">
        <is>
          <t>固定資産台帳ベース</t>
        </is>
      </c>
      <c r="C36" s="33" t="n">
        <v>40</v>
      </c>
      <c r="D36" s="33" t="n">
        <v>15</v>
      </c>
      <c r="E36" s="34" t="n">
        <v>192917</v>
      </c>
      <c r="F36" s="34" t="n">
        <v>0</v>
      </c>
      <c r="G36" s="38" t="inlineStr">
        <is>
          <t>経営戦略の計画|固定資産台帳ベース|40|15</t>
        </is>
      </c>
    </row>
    <row r="37">
      <c r="A37" s="33" t="inlineStr">
        <is>
          <t>経営戦略の計画</t>
        </is>
      </c>
      <c r="B37" s="33" t="inlineStr">
        <is>
          <t>固定資産台帳ベース</t>
        </is>
      </c>
      <c r="C37" s="33" t="n">
        <v>40</v>
      </c>
      <c r="D37" s="33" t="n">
        <v>20</v>
      </c>
      <c r="E37" s="34" t="n">
        <v>192917</v>
      </c>
      <c r="F37" s="34" t="n">
        <v>0</v>
      </c>
      <c r="G37" s="38" t="inlineStr">
        <is>
          <t>経営戦略の計画|固定資産台帳ベース|40|20</t>
        </is>
      </c>
    </row>
    <row r="38">
      <c r="A38" s="33" t="inlineStr">
        <is>
          <t>経営戦略の計画</t>
        </is>
      </c>
      <c r="B38" s="33" t="inlineStr">
        <is>
          <t>固定資産台帳ベース</t>
        </is>
      </c>
      <c r="C38" s="33" t="n">
        <v>40</v>
      </c>
      <c r="D38" s="33" t="n">
        <v>25</v>
      </c>
      <c r="E38" s="34" t="n">
        <v>192917</v>
      </c>
      <c r="F38" s="34" t="n">
        <v>0</v>
      </c>
      <c r="G38" s="38" t="inlineStr">
        <is>
          <t>経営戦略の計画|固定資産台帳ベース|40|25</t>
        </is>
      </c>
    </row>
    <row r="39">
      <c r="A39" s="33" t="inlineStr">
        <is>
          <t>経営戦略の計画</t>
        </is>
      </c>
      <c r="B39" s="33" t="inlineStr">
        <is>
          <t>固定資産台帳ベース</t>
        </is>
      </c>
      <c r="C39" s="33" t="n">
        <v>40</v>
      </c>
      <c r="D39" s="33" t="n">
        <v>30</v>
      </c>
      <c r="E39" s="34" t="n">
        <v>192917</v>
      </c>
      <c r="F39" s="34" t="n">
        <v>0</v>
      </c>
      <c r="G39" s="38" t="inlineStr">
        <is>
          <t>経営戦略の計画|固定資産台帳ベース|40|30</t>
        </is>
      </c>
    </row>
    <row r="40">
      <c r="A40" s="33" t="inlineStr">
        <is>
          <t>経営戦略の計画</t>
        </is>
      </c>
      <c r="B40" s="33" t="inlineStr">
        <is>
          <t>固定資産台帳ベース</t>
        </is>
      </c>
      <c r="C40" s="33" t="n">
        <v>40</v>
      </c>
      <c r="D40" s="33" t="n">
        <v>38</v>
      </c>
      <c r="E40" s="34" t="n">
        <v>192917</v>
      </c>
      <c r="F40" s="34" t="n">
        <v>0</v>
      </c>
      <c r="G40" s="38" t="inlineStr">
        <is>
          <t>経営戦略の計画|固定資産台帳ベース|40|38</t>
        </is>
      </c>
    </row>
    <row r="41">
      <c r="A41" s="33" t="inlineStr">
        <is>
          <t>経営戦略の計画</t>
        </is>
      </c>
      <c r="B41" s="33" t="inlineStr">
        <is>
          <t>固定資産台帳ベース</t>
        </is>
      </c>
      <c r="C41" s="33" t="n">
        <v>40</v>
      </c>
      <c r="D41" s="33" t="n">
        <v>40</v>
      </c>
      <c r="E41" s="34" t="n">
        <v>192917</v>
      </c>
      <c r="F41" s="34" t="n">
        <v>0</v>
      </c>
      <c r="G41" s="38" t="inlineStr">
        <is>
          <t>経営戦略の計画|固定資産台帳ベース|40|40</t>
        </is>
      </c>
    </row>
    <row r="42">
      <c r="A42" s="33" t="inlineStr">
        <is>
          <t>建設改良費調査票</t>
        </is>
      </c>
      <c r="B42" s="33" t="inlineStr">
        <is>
          <t>損益計算書ベース</t>
        </is>
      </c>
      <c r="C42" s="33" t="n">
        <v>35</v>
      </c>
      <c r="D42" s="33" t="n">
        <v>15</v>
      </c>
      <c r="E42" s="34" t="n">
        <v>275246</v>
      </c>
      <c r="F42" s="34" t="n">
        <v>25186</v>
      </c>
      <c r="G42" s="38" t="inlineStr">
        <is>
          <t>建設改良費調査票|損益計算書ベース|35|15</t>
        </is>
      </c>
    </row>
    <row r="43">
      <c r="A43" s="33" t="inlineStr">
        <is>
          <t>建設改良費調査票</t>
        </is>
      </c>
      <c r="B43" s="33" t="inlineStr">
        <is>
          <t>損益計算書ベース</t>
        </is>
      </c>
      <c r="C43" s="33" t="n">
        <v>35</v>
      </c>
      <c r="D43" s="33" t="n">
        <v>20</v>
      </c>
      <c r="E43" s="34" t="n">
        <v>224956</v>
      </c>
      <c r="F43" s="34" t="n">
        <v>25186</v>
      </c>
      <c r="G43" s="38" t="inlineStr">
        <is>
          <t>建設改良費調査票|損益計算書ベース|35|20</t>
        </is>
      </c>
    </row>
    <row r="44">
      <c r="A44" s="33" t="inlineStr">
        <is>
          <t>建設改良費調査票</t>
        </is>
      </c>
      <c r="B44" s="33" t="inlineStr">
        <is>
          <t>損益計算書ベース</t>
        </is>
      </c>
      <c r="C44" s="33" t="n">
        <v>35</v>
      </c>
      <c r="D44" s="33" t="n">
        <v>25</v>
      </c>
      <c r="E44" s="34" t="n">
        <v>194782</v>
      </c>
      <c r="F44" s="34" t="n">
        <v>25186</v>
      </c>
      <c r="G44" s="38" t="inlineStr">
        <is>
          <t>建設改良費調査票|損益計算書ベース|35|25</t>
        </is>
      </c>
    </row>
    <row r="45">
      <c r="A45" s="33" t="inlineStr">
        <is>
          <t>建設改良費調査票</t>
        </is>
      </c>
      <c r="B45" s="33" t="inlineStr">
        <is>
          <t>損益計算書ベース</t>
        </is>
      </c>
      <c r="C45" s="33" t="n">
        <v>35</v>
      </c>
      <c r="D45" s="33" t="n">
        <v>30</v>
      </c>
      <c r="E45" s="34" t="n">
        <v>174666</v>
      </c>
      <c r="F45" s="34" t="n">
        <v>25186</v>
      </c>
      <c r="G45" s="38" t="inlineStr">
        <is>
          <t>建設改良費調査票|損益計算書ベース|35|30</t>
        </is>
      </c>
    </row>
    <row r="46">
      <c r="A46" s="33" t="inlineStr">
        <is>
          <t>建設改良費調査票</t>
        </is>
      </c>
      <c r="B46" s="33" t="inlineStr">
        <is>
          <t>損益計算書ベース</t>
        </is>
      </c>
      <c r="C46" s="33" t="n">
        <v>35</v>
      </c>
      <c r="D46" s="33" t="n">
        <v>38</v>
      </c>
      <c r="E46" s="34" t="n">
        <v>153491</v>
      </c>
      <c r="F46" s="34" t="n">
        <v>25186</v>
      </c>
      <c r="G46" s="38" t="inlineStr">
        <is>
          <t>建設改良費調査票|損益計算書ベース|35|38</t>
        </is>
      </c>
    </row>
    <row r="47">
      <c r="A47" s="33" t="inlineStr">
        <is>
          <t>建設改良費調査票</t>
        </is>
      </c>
      <c r="B47" s="33" t="inlineStr">
        <is>
          <t>損益計算書ベース</t>
        </is>
      </c>
      <c r="C47" s="33" t="n">
        <v>35</v>
      </c>
      <c r="D47" s="33" t="n">
        <v>40</v>
      </c>
      <c r="E47" s="34" t="n">
        <v>149521</v>
      </c>
      <c r="F47" s="34" t="n">
        <v>25186</v>
      </c>
      <c r="G47" s="38" t="inlineStr">
        <is>
          <t>建設改良費調査票|損益計算書ベース|35|40</t>
        </is>
      </c>
    </row>
    <row r="48">
      <c r="A48" s="33" t="inlineStr">
        <is>
          <t>建設改良費調査票</t>
        </is>
      </c>
      <c r="B48" s="33" t="inlineStr">
        <is>
          <t>損益計算書ベース</t>
        </is>
      </c>
      <c r="C48" s="33" t="n">
        <v>38</v>
      </c>
      <c r="D48" s="33" t="n">
        <v>15</v>
      </c>
      <c r="E48" s="34" t="n">
        <v>269397</v>
      </c>
      <c r="F48" s="34" t="n">
        <v>23197</v>
      </c>
      <c r="G48" s="38" t="inlineStr">
        <is>
          <t>建設改良費調査票|損益計算書ベース|38|15</t>
        </is>
      </c>
    </row>
    <row r="49">
      <c r="A49" s="33" t="inlineStr">
        <is>
          <t>建設改良費調査票</t>
        </is>
      </c>
      <c r="B49" s="33" t="inlineStr">
        <is>
          <t>損益計算書ベース</t>
        </is>
      </c>
      <c r="C49" s="33" t="n">
        <v>38</v>
      </c>
      <c r="D49" s="33" t="n">
        <v>20</v>
      </c>
      <c r="E49" s="34" t="n">
        <v>219107</v>
      </c>
      <c r="F49" s="34" t="n">
        <v>23197</v>
      </c>
      <c r="G49" s="38" t="inlineStr">
        <is>
          <t>建設改良費調査票|損益計算書ベース|38|20</t>
        </is>
      </c>
    </row>
    <row r="50">
      <c r="A50" s="33" t="inlineStr">
        <is>
          <t>建設改良費調査票</t>
        </is>
      </c>
      <c r="B50" s="33" t="inlineStr">
        <is>
          <t>損益計算書ベース</t>
        </is>
      </c>
      <c r="C50" s="33" t="n">
        <v>38</v>
      </c>
      <c r="D50" s="33" t="n">
        <v>25</v>
      </c>
      <c r="E50" s="34" t="n">
        <v>188933</v>
      </c>
      <c r="F50" s="34" t="n">
        <v>23197</v>
      </c>
      <c r="G50" s="38" t="inlineStr">
        <is>
          <t>建設改良費調査票|損益計算書ベース|38|25</t>
        </is>
      </c>
    </row>
    <row r="51">
      <c r="A51" s="33" t="inlineStr">
        <is>
          <t>建設改良費調査票</t>
        </is>
      </c>
      <c r="B51" s="33" t="inlineStr">
        <is>
          <t>損益計算書ベース</t>
        </is>
      </c>
      <c r="C51" s="33" t="n">
        <v>38</v>
      </c>
      <c r="D51" s="33" t="n">
        <v>30</v>
      </c>
      <c r="E51" s="34" t="n">
        <v>168817</v>
      </c>
      <c r="F51" s="34" t="n">
        <v>23197</v>
      </c>
      <c r="G51" s="38" t="inlineStr">
        <is>
          <t>建設改良費調査票|損益計算書ベース|38|30</t>
        </is>
      </c>
    </row>
    <row r="52">
      <c r="A52" s="33" t="inlineStr">
        <is>
          <t>建設改良費調査票</t>
        </is>
      </c>
      <c r="B52" s="33" t="inlineStr">
        <is>
          <t>損益計算書ベース</t>
        </is>
      </c>
      <c r="C52" s="33" t="n">
        <v>38</v>
      </c>
      <c r="D52" s="33" t="n">
        <v>38</v>
      </c>
      <c r="E52" s="34" t="n">
        <v>147642</v>
      </c>
      <c r="F52" s="34" t="n">
        <v>23197</v>
      </c>
      <c r="G52" s="38" t="inlineStr">
        <is>
          <t>建設改良費調査票|損益計算書ベース|38|38</t>
        </is>
      </c>
    </row>
    <row r="53">
      <c r="A53" s="33" t="inlineStr">
        <is>
          <t>建設改良費調査票</t>
        </is>
      </c>
      <c r="B53" s="33" t="inlineStr">
        <is>
          <t>損益計算書ベース</t>
        </is>
      </c>
      <c r="C53" s="33" t="n">
        <v>38</v>
      </c>
      <c r="D53" s="33" t="n">
        <v>40</v>
      </c>
      <c r="E53" s="34" t="n">
        <v>143672</v>
      </c>
      <c r="F53" s="34" t="n">
        <v>23197</v>
      </c>
      <c r="G53" s="38" t="inlineStr">
        <is>
          <t>建設改良費調査票|損益計算書ベース|38|40</t>
        </is>
      </c>
    </row>
    <row r="54">
      <c r="A54" s="33" t="inlineStr">
        <is>
          <t>建設改良費調査票</t>
        </is>
      </c>
      <c r="B54" s="33" t="inlineStr">
        <is>
          <t>損益計算書ベース</t>
        </is>
      </c>
      <c r="C54" s="33" t="n">
        <v>40</v>
      </c>
      <c r="D54" s="33" t="n">
        <v>15</v>
      </c>
      <c r="E54" s="34" t="n">
        <v>265985</v>
      </c>
      <c r="F54" s="34" t="n">
        <v>22038</v>
      </c>
      <c r="G54" s="38" t="inlineStr">
        <is>
          <t>建設改良費調査票|損益計算書ベース|40|15</t>
        </is>
      </c>
    </row>
    <row r="55">
      <c r="A55" s="33" t="inlineStr">
        <is>
          <t>建設改良費調査票</t>
        </is>
      </c>
      <c r="B55" s="33" t="inlineStr">
        <is>
          <t>損益計算書ベース</t>
        </is>
      </c>
      <c r="C55" s="33" t="n">
        <v>40</v>
      </c>
      <c r="D55" s="33" t="n">
        <v>20</v>
      </c>
      <c r="E55" s="34" t="n">
        <v>215695</v>
      </c>
      <c r="F55" s="34" t="n">
        <v>22038</v>
      </c>
      <c r="G55" s="38" t="inlineStr">
        <is>
          <t>建設改良費調査票|損益計算書ベース|40|20</t>
        </is>
      </c>
    </row>
    <row r="56">
      <c r="A56" s="33" t="inlineStr">
        <is>
          <t>建設改良費調査票</t>
        </is>
      </c>
      <c r="B56" s="33" t="inlineStr">
        <is>
          <t>損益計算書ベース</t>
        </is>
      </c>
      <c r="C56" s="33" t="n">
        <v>40</v>
      </c>
      <c r="D56" s="33" t="n">
        <v>25</v>
      </c>
      <c r="E56" s="34" t="n">
        <v>185521</v>
      </c>
      <c r="F56" s="34" t="n">
        <v>22038</v>
      </c>
      <c r="G56" s="38" t="inlineStr">
        <is>
          <t>建設改良費調査票|損益計算書ベース|40|25</t>
        </is>
      </c>
    </row>
    <row r="57">
      <c r="A57" s="33" t="inlineStr">
        <is>
          <t>建設改良費調査票</t>
        </is>
      </c>
      <c r="B57" s="33" t="inlineStr">
        <is>
          <t>損益計算書ベース</t>
        </is>
      </c>
      <c r="C57" s="33" t="n">
        <v>40</v>
      </c>
      <c r="D57" s="33" t="n">
        <v>30</v>
      </c>
      <c r="E57" s="34" t="n">
        <v>165405</v>
      </c>
      <c r="F57" s="34" t="n">
        <v>22038</v>
      </c>
      <c r="G57" s="38" t="inlineStr">
        <is>
          <t>建設改良費調査票|損益計算書ベース|40|30</t>
        </is>
      </c>
    </row>
    <row r="58">
      <c r="A58" s="33" t="inlineStr">
        <is>
          <t>建設改良費調査票</t>
        </is>
      </c>
      <c r="B58" s="33" t="inlineStr">
        <is>
          <t>損益計算書ベース</t>
        </is>
      </c>
      <c r="C58" s="33" t="n">
        <v>40</v>
      </c>
      <c r="D58" s="33" t="n">
        <v>38</v>
      </c>
      <c r="E58" s="34" t="n">
        <v>144230</v>
      </c>
      <c r="F58" s="34" t="n">
        <v>22038</v>
      </c>
      <c r="G58" s="38" t="inlineStr">
        <is>
          <t>建設改良費調査票|損益計算書ベース|40|38</t>
        </is>
      </c>
    </row>
    <row r="59">
      <c r="A59" s="33" t="inlineStr">
        <is>
          <t>建設改良費調査票</t>
        </is>
      </c>
      <c r="B59" s="33" t="inlineStr">
        <is>
          <t>損益計算書ベース</t>
        </is>
      </c>
      <c r="C59" s="33" t="n">
        <v>40</v>
      </c>
      <c r="D59" s="33" t="n">
        <v>40</v>
      </c>
      <c r="E59" s="34" t="n">
        <v>140260</v>
      </c>
      <c r="F59" s="34" t="n">
        <v>22038</v>
      </c>
      <c r="G59" s="38" t="inlineStr">
        <is>
          <t>建設改良費調査票|損益計算書ベース|40|40</t>
        </is>
      </c>
    </row>
    <row r="60">
      <c r="A60" s="33" t="inlineStr">
        <is>
          <t>建設改良費調査票</t>
        </is>
      </c>
      <c r="B60" s="33" t="inlineStr">
        <is>
          <t>固定資産台帳ベース</t>
        </is>
      </c>
      <c r="C60" s="33" t="n">
        <v>35</v>
      </c>
      <c r="D60" s="33" t="n">
        <v>15</v>
      </c>
      <c r="E60" s="34" t="n">
        <v>250060</v>
      </c>
      <c r="F60" s="34" t="n">
        <v>0</v>
      </c>
      <c r="G60" s="38" t="inlineStr">
        <is>
          <t>建設改良費調査票|固定資産台帳ベース|35|15</t>
        </is>
      </c>
    </row>
    <row r="61">
      <c r="A61" s="33" t="inlineStr">
        <is>
          <t>建設改良費調査票</t>
        </is>
      </c>
      <c r="B61" s="33" t="inlineStr">
        <is>
          <t>固定資産台帳ベース</t>
        </is>
      </c>
      <c r="C61" s="33" t="n">
        <v>35</v>
      </c>
      <c r="D61" s="33" t="n">
        <v>20</v>
      </c>
      <c r="E61" s="34" t="n">
        <v>199770</v>
      </c>
      <c r="F61" s="34" t="n">
        <v>0</v>
      </c>
      <c r="G61" s="38" t="inlineStr">
        <is>
          <t>建設改良費調査票|固定資産台帳ベース|35|20</t>
        </is>
      </c>
    </row>
    <row r="62">
      <c r="A62" s="33" t="inlineStr">
        <is>
          <t>建設改良費調査票</t>
        </is>
      </c>
      <c r="B62" s="33" t="inlineStr">
        <is>
          <t>固定資産台帳ベース</t>
        </is>
      </c>
      <c r="C62" s="33" t="n">
        <v>35</v>
      </c>
      <c r="D62" s="33" t="n">
        <v>25</v>
      </c>
      <c r="E62" s="34" t="n">
        <v>169596</v>
      </c>
      <c r="F62" s="34" t="n">
        <v>0</v>
      </c>
      <c r="G62" s="38" t="inlineStr">
        <is>
          <t>建設改良費調査票|固定資産台帳ベース|35|25</t>
        </is>
      </c>
    </row>
    <row r="63">
      <c r="A63" s="33" t="inlineStr">
        <is>
          <t>建設改良費調査票</t>
        </is>
      </c>
      <c r="B63" s="33" t="inlineStr">
        <is>
          <t>固定資産台帳ベース</t>
        </is>
      </c>
      <c r="C63" s="33" t="n">
        <v>35</v>
      </c>
      <c r="D63" s="33" t="n">
        <v>30</v>
      </c>
      <c r="E63" s="34" t="n">
        <v>149480</v>
      </c>
      <c r="F63" s="34" t="n">
        <v>0</v>
      </c>
      <c r="G63" s="38" t="inlineStr">
        <is>
          <t>建設改良費調査票|固定資産台帳ベース|35|30</t>
        </is>
      </c>
    </row>
    <row r="64">
      <c r="A64" s="33" t="inlineStr">
        <is>
          <t>建設改良費調査票</t>
        </is>
      </c>
      <c r="B64" s="33" t="inlineStr">
        <is>
          <t>固定資産台帳ベース</t>
        </is>
      </c>
      <c r="C64" s="33" t="n">
        <v>35</v>
      </c>
      <c r="D64" s="33" t="n">
        <v>38</v>
      </c>
      <c r="E64" s="34" t="n">
        <v>128305</v>
      </c>
      <c r="F64" s="34" t="n">
        <v>0</v>
      </c>
      <c r="G64" s="38" t="inlineStr">
        <is>
          <t>建設改良費調査票|固定資産台帳ベース|35|38</t>
        </is>
      </c>
    </row>
    <row r="65">
      <c r="A65" s="33" t="inlineStr">
        <is>
          <t>建設改良費調査票</t>
        </is>
      </c>
      <c r="B65" s="33" t="inlineStr">
        <is>
          <t>固定資産台帳ベース</t>
        </is>
      </c>
      <c r="C65" s="33" t="n">
        <v>35</v>
      </c>
      <c r="D65" s="33" t="n">
        <v>40</v>
      </c>
      <c r="E65" s="34" t="n">
        <v>124335</v>
      </c>
      <c r="F65" s="34" t="n">
        <v>0</v>
      </c>
      <c r="G65" s="38" t="inlineStr">
        <is>
          <t>建設改良費調査票|固定資産台帳ベース|35|40</t>
        </is>
      </c>
    </row>
    <row r="66">
      <c r="A66" s="33" t="inlineStr">
        <is>
          <t>建設改良費調査票</t>
        </is>
      </c>
      <c r="B66" s="33" t="inlineStr">
        <is>
          <t>固定資産台帳ベース</t>
        </is>
      </c>
      <c r="C66" s="33" t="n">
        <v>38</v>
      </c>
      <c r="D66" s="33" t="n">
        <v>15</v>
      </c>
      <c r="E66" s="34" t="n">
        <v>246199</v>
      </c>
      <c r="F66" s="34" t="n">
        <v>0</v>
      </c>
      <c r="G66" s="38" t="inlineStr">
        <is>
          <t>建設改良費調査票|固定資産台帳ベース|38|15</t>
        </is>
      </c>
    </row>
    <row r="67">
      <c r="A67" s="33" t="inlineStr">
        <is>
          <t>建設改良費調査票</t>
        </is>
      </c>
      <c r="B67" s="33" t="inlineStr">
        <is>
          <t>固定資産台帳ベース</t>
        </is>
      </c>
      <c r="C67" s="33" t="n">
        <v>38</v>
      </c>
      <c r="D67" s="33" t="n">
        <v>20</v>
      </c>
      <c r="E67" s="34" t="n">
        <v>195909</v>
      </c>
      <c r="F67" s="34" t="n">
        <v>0</v>
      </c>
      <c r="G67" s="38" t="inlineStr">
        <is>
          <t>建設改良費調査票|固定資産台帳ベース|38|20</t>
        </is>
      </c>
    </row>
    <row r="68">
      <c r="A68" s="33" t="inlineStr">
        <is>
          <t>建設改良費調査票</t>
        </is>
      </c>
      <c r="B68" s="33" t="inlineStr">
        <is>
          <t>固定資産台帳ベース</t>
        </is>
      </c>
      <c r="C68" s="33" t="n">
        <v>38</v>
      </c>
      <c r="D68" s="33" t="n">
        <v>25</v>
      </c>
      <c r="E68" s="34" t="n">
        <v>165735</v>
      </c>
      <c r="F68" s="34" t="n">
        <v>0</v>
      </c>
      <c r="G68" s="38" t="inlineStr">
        <is>
          <t>建設改良費調査票|固定資産台帳ベース|38|25</t>
        </is>
      </c>
    </row>
    <row r="69">
      <c r="A69" s="33" t="inlineStr">
        <is>
          <t>建設改良費調査票</t>
        </is>
      </c>
      <c r="B69" s="33" t="inlineStr">
        <is>
          <t>固定資産台帳ベース</t>
        </is>
      </c>
      <c r="C69" s="33" t="n">
        <v>38</v>
      </c>
      <c r="D69" s="33" t="n">
        <v>30</v>
      </c>
      <c r="E69" s="34" t="n">
        <v>145619</v>
      </c>
      <c r="F69" s="34" t="n">
        <v>0</v>
      </c>
      <c r="G69" s="38" t="inlineStr">
        <is>
          <t>建設改良費調査票|固定資産台帳ベース|38|30</t>
        </is>
      </c>
    </row>
    <row r="70">
      <c r="A70" s="33" t="inlineStr">
        <is>
          <t>建設改良費調査票</t>
        </is>
      </c>
      <c r="B70" s="33" t="inlineStr">
        <is>
          <t>固定資産台帳ベース</t>
        </is>
      </c>
      <c r="C70" s="33" t="n">
        <v>38</v>
      </c>
      <c r="D70" s="33" t="n">
        <v>38</v>
      </c>
      <c r="E70" s="34" t="n">
        <v>124445</v>
      </c>
      <c r="F70" s="34" t="n">
        <v>0</v>
      </c>
      <c r="G70" s="38" t="inlineStr">
        <is>
          <t>建設改良費調査票|固定資産台帳ベース|38|38</t>
        </is>
      </c>
    </row>
    <row r="71">
      <c r="A71" s="33" t="inlineStr">
        <is>
          <t>建設改良費調査票</t>
        </is>
      </c>
      <c r="B71" s="33" t="inlineStr">
        <is>
          <t>固定資産台帳ベース</t>
        </is>
      </c>
      <c r="C71" s="33" t="n">
        <v>38</v>
      </c>
      <c r="D71" s="33" t="n">
        <v>40</v>
      </c>
      <c r="E71" s="34" t="n">
        <v>120474</v>
      </c>
      <c r="F71" s="34" t="n">
        <v>0</v>
      </c>
      <c r="G71" s="38" t="inlineStr">
        <is>
          <t>建設改良費調査票|固定資産台帳ベース|38|40</t>
        </is>
      </c>
    </row>
    <row r="72">
      <c r="A72" s="33" t="inlineStr">
        <is>
          <t>建設改良費調査票</t>
        </is>
      </c>
      <c r="B72" s="33" t="inlineStr">
        <is>
          <t>固定資産台帳ベース</t>
        </is>
      </c>
      <c r="C72" s="33" t="n">
        <v>40</v>
      </c>
      <c r="D72" s="33" t="n">
        <v>15</v>
      </c>
      <c r="E72" s="34" t="n">
        <v>243948</v>
      </c>
      <c r="F72" s="34" t="n">
        <v>0</v>
      </c>
      <c r="G72" s="38" t="inlineStr">
        <is>
          <t>建設改良費調査票|固定資産台帳ベース|40|15</t>
        </is>
      </c>
    </row>
    <row r="73">
      <c r="A73" s="33" t="inlineStr">
        <is>
          <t>建設改良費調査票</t>
        </is>
      </c>
      <c r="B73" s="33" t="inlineStr">
        <is>
          <t>固定資産台帳ベース</t>
        </is>
      </c>
      <c r="C73" s="33" t="n">
        <v>40</v>
      </c>
      <c r="D73" s="33" t="n">
        <v>20</v>
      </c>
      <c r="E73" s="34" t="n">
        <v>193658</v>
      </c>
      <c r="F73" s="34" t="n">
        <v>0</v>
      </c>
      <c r="G73" s="38" t="inlineStr">
        <is>
          <t>建設改良費調査票|固定資産台帳ベース|40|20</t>
        </is>
      </c>
    </row>
    <row r="74">
      <c r="A74" s="33" t="inlineStr">
        <is>
          <t>建設改良費調査票</t>
        </is>
      </c>
      <c r="B74" s="33" t="inlineStr">
        <is>
          <t>固定資産台帳ベース</t>
        </is>
      </c>
      <c r="C74" s="33" t="n">
        <v>40</v>
      </c>
      <c r="D74" s="33" t="n">
        <v>25</v>
      </c>
      <c r="E74" s="34" t="n">
        <v>163484</v>
      </c>
      <c r="F74" s="34" t="n">
        <v>0</v>
      </c>
      <c r="G74" s="38" t="inlineStr">
        <is>
          <t>建設改良費調査票|固定資産台帳ベース|40|25</t>
        </is>
      </c>
    </row>
    <row r="75">
      <c r="A75" s="33" t="inlineStr">
        <is>
          <t>建設改良費調査票</t>
        </is>
      </c>
      <c r="B75" s="33" t="inlineStr">
        <is>
          <t>固定資産台帳ベース</t>
        </is>
      </c>
      <c r="C75" s="33" t="n">
        <v>40</v>
      </c>
      <c r="D75" s="33" t="n">
        <v>30</v>
      </c>
      <c r="E75" s="34" t="n">
        <v>143368</v>
      </c>
      <c r="F75" s="34" t="n">
        <v>0</v>
      </c>
      <c r="G75" s="38" t="inlineStr">
        <is>
          <t>建設改良費調査票|固定資産台帳ベース|40|30</t>
        </is>
      </c>
    </row>
    <row r="76">
      <c r="A76" s="33" t="inlineStr">
        <is>
          <t>建設改良費調査票</t>
        </is>
      </c>
      <c r="B76" s="33" t="inlineStr">
        <is>
          <t>固定資産台帳ベース</t>
        </is>
      </c>
      <c r="C76" s="33" t="n">
        <v>40</v>
      </c>
      <c r="D76" s="33" t="n">
        <v>38</v>
      </c>
      <c r="E76" s="34" t="n">
        <v>122193</v>
      </c>
      <c r="F76" s="34" t="n">
        <v>0</v>
      </c>
      <c r="G76" s="38" t="inlineStr">
        <is>
          <t>建設改良費調査票|固定資産台帳ベース|40|38</t>
        </is>
      </c>
    </row>
    <row r="77">
      <c r="A77" s="33" t="inlineStr">
        <is>
          <t>建設改良費調査票</t>
        </is>
      </c>
      <c r="B77" s="33" t="inlineStr">
        <is>
          <t>固定資産台帳ベース</t>
        </is>
      </c>
      <c r="C77" s="33" t="n">
        <v>40</v>
      </c>
      <c r="D77" s="33" t="n">
        <v>40</v>
      </c>
      <c r="E77" s="34" t="n">
        <v>118222</v>
      </c>
      <c r="F77" s="34" t="n">
        <v>0</v>
      </c>
      <c r="G77" s="38" t="inlineStr">
        <is>
          <t>建設改良費調査票|固定資産台帳ベース|40|40</t>
        </is>
      </c>
    </row>
    <row r="78">
      <c r="A78" s="33" t="inlineStr">
        <is>
          <t>調査票＋量水器費</t>
        </is>
      </c>
      <c r="B78" s="33" t="inlineStr">
        <is>
          <t>損益計算書ベース</t>
        </is>
      </c>
      <c r="C78" s="33" t="n">
        <v>35</v>
      </c>
      <c r="D78" s="33" t="n">
        <v>15</v>
      </c>
      <c r="E78" s="34" t="n">
        <v>280389</v>
      </c>
      <c r="F78" s="34" t="n">
        <v>25186</v>
      </c>
      <c r="G78" s="38" t="inlineStr">
        <is>
          <t>調査票＋量水器費|損益計算書ベース|35|15</t>
        </is>
      </c>
    </row>
    <row r="79">
      <c r="A79" s="33" t="inlineStr">
        <is>
          <t>調査票＋量水器費</t>
        </is>
      </c>
      <c r="B79" s="33" t="inlineStr">
        <is>
          <t>損益計算書ベース</t>
        </is>
      </c>
      <c r="C79" s="33" t="n">
        <v>35</v>
      </c>
      <c r="D79" s="33" t="n">
        <v>20</v>
      </c>
      <c r="E79" s="34" t="n">
        <v>230099</v>
      </c>
      <c r="F79" s="34" t="n">
        <v>25186</v>
      </c>
      <c r="G79" s="38" t="inlineStr">
        <is>
          <t>調査票＋量水器費|損益計算書ベース|35|20</t>
        </is>
      </c>
    </row>
    <row r="80">
      <c r="A80" s="33" t="inlineStr">
        <is>
          <t>調査票＋量水器費</t>
        </is>
      </c>
      <c r="B80" s="33" t="inlineStr">
        <is>
          <t>損益計算書ベース</t>
        </is>
      </c>
      <c r="C80" s="33" t="n">
        <v>35</v>
      </c>
      <c r="D80" s="33" t="n">
        <v>25</v>
      </c>
      <c r="E80" s="34" t="n">
        <v>199925</v>
      </c>
      <c r="F80" s="34" t="n">
        <v>25186</v>
      </c>
      <c r="G80" s="38" t="inlineStr">
        <is>
          <t>調査票＋量水器費|損益計算書ベース|35|25</t>
        </is>
      </c>
    </row>
    <row r="81">
      <c r="A81" s="33" t="inlineStr">
        <is>
          <t>調査票＋量水器費</t>
        </is>
      </c>
      <c r="B81" s="33" t="inlineStr">
        <is>
          <t>損益計算書ベース</t>
        </is>
      </c>
      <c r="C81" s="33" t="n">
        <v>35</v>
      </c>
      <c r="D81" s="33" t="n">
        <v>30</v>
      </c>
      <c r="E81" s="34" t="n">
        <v>179809</v>
      </c>
      <c r="F81" s="34" t="n">
        <v>25186</v>
      </c>
      <c r="G81" s="38" t="inlineStr">
        <is>
          <t>調査票＋量水器費|損益計算書ベース|35|30</t>
        </is>
      </c>
    </row>
    <row r="82">
      <c r="A82" s="33" t="inlineStr">
        <is>
          <t>調査票＋量水器費</t>
        </is>
      </c>
      <c r="B82" s="33" t="inlineStr">
        <is>
          <t>損益計算書ベース</t>
        </is>
      </c>
      <c r="C82" s="33" t="n">
        <v>35</v>
      </c>
      <c r="D82" s="33" t="n">
        <v>38</v>
      </c>
      <c r="E82" s="34" t="n">
        <v>158634</v>
      </c>
      <c r="F82" s="34" t="n">
        <v>25186</v>
      </c>
      <c r="G82" s="38" t="inlineStr">
        <is>
          <t>調査票＋量水器費|損益計算書ベース|35|38</t>
        </is>
      </c>
    </row>
    <row r="83">
      <c r="A83" s="33" t="inlineStr">
        <is>
          <t>調査票＋量水器費</t>
        </is>
      </c>
      <c r="B83" s="33" t="inlineStr">
        <is>
          <t>損益計算書ベース</t>
        </is>
      </c>
      <c r="C83" s="33" t="n">
        <v>35</v>
      </c>
      <c r="D83" s="33" t="n">
        <v>40</v>
      </c>
      <c r="E83" s="34" t="n">
        <v>154664</v>
      </c>
      <c r="F83" s="34" t="n">
        <v>25186</v>
      </c>
      <c r="G83" s="38" t="inlineStr">
        <is>
          <t>調査票＋量水器費|損益計算書ベース|35|40</t>
        </is>
      </c>
    </row>
    <row r="84">
      <c r="A84" s="33" t="inlineStr">
        <is>
          <t>調査票＋量水器費</t>
        </is>
      </c>
      <c r="B84" s="33" t="inlineStr">
        <is>
          <t>損益計算書ベース</t>
        </is>
      </c>
      <c r="C84" s="33" t="n">
        <v>38</v>
      </c>
      <c r="D84" s="33" t="n">
        <v>15</v>
      </c>
      <c r="E84" s="34" t="n">
        <v>274134</v>
      </c>
      <c r="F84" s="34" t="n">
        <v>23197</v>
      </c>
      <c r="G84" s="38" t="inlineStr">
        <is>
          <t>調査票＋量水器費|損益計算書ベース|38|15</t>
        </is>
      </c>
    </row>
    <row r="85">
      <c r="A85" s="33" t="inlineStr">
        <is>
          <t>調査票＋量水器費</t>
        </is>
      </c>
      <c r="B85" s="33" t="inlineStr">
        <is>
          <t>損益計算書ベース</t>
        </is>
      </c>
      <c r="C85" s="33" t="n">
        <v>38</v>
      </c>
      <c r="D85" s="33" t="n">
        <v>20</v>
      </c>
      <c r="E85" s="34" t="n">
        <v>223844</v>
      </c>
      <c r="F85" s="34" t="n">
        <v>23197</v>
      </c>
      <c r="G85" s="38" t="inlineStr">
        <is>
          <t>調査票＋量水器費|損益計算書ベース|38|20</t>
        </is>
      </c>
    </row>
    <row r="86">
      <c r="A86" s="33" t="inlineStr">
        <is>
          <t>調査票＋量水器費</t>
        </is>
      </c>
      <c r="B86" s="33" t="inlineStr">
        <is>
          <t>損益計算書ベース</t>
        </is>
      </c>
      <c r="C86" s="33" t="n">
        <v>38</v>
      </c>
      <c r="D86" s="33" t="n">
        <v>25</v>
      </c>
      <c r="E86" s="34" t="n">
        <v>193670</v>
      </c>
      <c r="F86" s="34" t="n">
        <v>23197</v>
      </c>
      <c r="G86" s="38" t="inlineStr">
        <is>
          <t>調査票＋量水器費|損益計算書ベース|38|25</t>
        </is>
      </c>
    </row>
    <row r="87">
      <c r="A87" s="33" t="inlineStr">
        <is>
          <t>調査票＋量水器費</t>
        </is>
      </c>
      <c r="B87" s="33" t="inlineStr">
        <is>
          <t>損益計算書ベース</t>
        </is>
      </c>
      <c r="C87" s="33" t="n">
        <v>38</v>
      </c>
      <c r="D87" s="33" t="n">
        <v>30</v>
      </c>
      <c r="E87" s="34" t="n">
        <v>173554</v>
      </c>
      <c r="F87" s="34" t="n">
        <v>23197</v>
      </c>
      <c r="G87" s="38" t="inlineStr">
        <is>
          <t>調査票＋量水器費|損益計算書ベース|38|30</t>
        </is>
      </c>
    </row>
    <row r="88">
      <c r="A88" s="33" t="inlineStr">
        <is>
          <t>調査票＋量水器費</t>
        </is>
      </c>
      <c r="B88" s="33" t="inlineStr">
        <is>
          <t>損益計算書ベース</t>
        </is>
      </c>
      <c r="C88" s="33" t="n">
        <v>38</v>
      </c>
      <c r="D88" s="33" t="n">
        <v>38</v>
      </c>
      <c r="E88" s="34" t="n">
        <v>152379</v>
      </c>
      <c r="F88" s="34" t="n">
        <v>23197</v>
      </c>
      <c r="G88" s="38" t="inlineStr">
        <is>
          <t>調査票＋量水器費|損益計算書ベース|38|38</t>
        </is>
      </c>
    </row>
    <row r="89">
      <c r="A89" s="33" t="inlineStr">
        <is>
          <t>調査票＋量水器費</t>
        </is>
      </c>
      <c r="B89" s="33" t="inlineStr">
        <is>
          <t>損益計算書ベース</t>
        </is>
      </c>
      <c r="C89" s="33" t="n">
        <v>38</v>
      </c>
      <c r="D89" s="33" t="n">
        <v>40</v>
      </c>
      <c r="E89" s="34" t="n">
        <v>148409</v>
      </c>
      <c r="F89" s="34" t="n">
        <v>23197</v>
      </c>
      <c r="G89" s="38" t="inlineStr">
        <is>
          <t>調査票＋量水器費|損益計算書ベース|38|40</t>
        </is>
      </c>
    </row>
    <row r="90">
      <c r="A90" s="33" t="inlineStr">
        <is>
          <t>調査票＋量水器費</t>
        </is>
      </c>
      <c r="B90" s="33" t="inlineStr">
        <is>
          <t>損益計算書ベース</t>
        </is>
      </c>
      <c r="C90" s="33" t="n">
        <v>40</v>
      </c>
      <c r="D90" s="33" t="n">
        <v>15</v>
      </c>
      <c r="E90" s="34" t="n">
        <v>270485</v>
      </c>
      <c r="F90" s="34" t="n">
        <v>22038</v>
      </c>
      <c r="G90" s="38" t="inlineStr">
        <is>
          <t>調査票＋量水器費|損益計算書ベース|40|15</t>
        </is>
      </c>
    </row>
    <row r="91">
      <c r="A91" s="33" t="inlineStr">
        <is>
          <t>調査票＋量水器費</t>
        </is>
      </c>
      <c r="B91" s="33" t="inlineStr">
        <is>
          <t>損益計算書ベース</t>
        </is>
      </c>
      <c r="C91" s="33" t="n">
        <v>40</v>
      </c>
      <c r="D91" s="33" t="n">
        <v>20</v>
      </c>
      <c r="E91" s="34" t="n">
        <v>220195</v>
      </c>
      <c r="F91" s="34" t="n">
        <v>22038</v>
      </c>
      <c r="G91" s="38" t="inlineStr">
        <is>
          <t>調査票＋量水器費|損益計算書ベース|40|20</t>
        </is>
      </c>
    </row>
    <row r="92">
      <c r="A92" s="33" t="inlineStr">
        <is>
          <t>調査票＋量水器費</t>
        </is>
      </c>
      <c r="B92" s="33" t="inlineStr">
        <is>
          <t>損益計算書ベース</t>
        </is>
      </c>
      <c r="C92" s="33" t="n">
        <v>40</v>
      </c>
      <c r="D92" s="33" t="n">
        <v>25</v>
      </c>
      <c r="E92" s="34" t="n">
        <v>190021</v>
      </c>
      <c r="F92" s="34" t="n">
        <v>22038</v>
      </c>
      <c r="G92" s="38" t="inlineStr">
        <is>
          <t>調査票＋量水器費|損益計算書ベース|40|25</t>
        </is>
      </c>
    </row>
    <row r="93">
      <c r="A93" s="33" t="inlineStr">
        <is>
          <t>調査票＋量水器費</t>
        </is>
      </c>
      <c r="B93" s="33" t="inlineStr">
        <is>
          <t>損益計算書ベース</t>
        </is>
      </c>
      <c r="C93" s="33" t="n">
        <v>40</v>
      </c>
      <c r="D93" s="33" t="n">
        <v>30</v>
      </c>
      <c r="E93" s="34" t="n">
        <v>169905</v>
      </c>
      <c r="F93" s="34" t="n">
        <v>22038</v>
      </c>
      <c r="G93" s="38" t="inlineStr">
        <is>
          <t>調査票＋量水器費|損益計算書ベース|40|30</t>
        </is>
      </c>
    </row>
    <row r="94">
      <c r="A94" s="33" t="inlineStr">
        <is>
          <t>調査票＋量水器費</t>
        </is>
      </c>
      <c r="B94" s="33" t="inlineStr">
        <is>
          <t>損益計算書ベース</t>
        </is>
      </c>
      <c r="C94" s="33" t="n">
        <v>40</v>
      </c>
      <c r="D94" s="33" t="n">
        <v>38</v>
      </c>
      <c r="E94" s="34" t="n">
        <v>148730</v>
      </c>
      <c r="F94" s="34" t="n">
        <v>22038</v>
      </c>
      <c r="G94" s="38" t="inlineStr">
        <is>
          <t>調査票＋量水器費|損益計算書ベース|40|38</t>
        </is>
      </c>
    </row>
    <row r="95">
      <c r="A95" s="33" t="inlineStr">
        <is>
          <t>調査票＋量水器費</t>
        </is>
      </c>
      <c r="B95" s="33" t="inlineStr">
        <is>
          <t>損益計算書ベース</t>
        </is>
      </c>
      <c r="C95" s="33" t="n">
        <v>40</v>
      </c>
      <c r="D95" s="33" t="n">
        <v>40</v>
      </c>
      <c r="E95" s="34" t="n">
        <v>144760</v>
      </c>
      <c r="F95" s="34" t="n">
        <v>22038</v>
      </c>
      <c r="G95" s="38" t="inlineStr">
        <is>
          <t>調査票＋量水器費|損益計算書ベース|40|40</t>
        </is>
      </c>
    </row>
    <row r="96">
      <c r="A96" s="33" t="inlineStr">
        <is>
          <t>調査票＋量水器費</t>
        </is>
      </c>
      <c r="B96" s="33" t="inlineStr">
        <is>
          <t>固定資産台帳ベース</t>
        </is>
      </c>
      <c r="C96" s="33" t="n">
        <v>35</v>
      </c>
      <c r="D96" s="33" t="n">
        <v>15</v>
      </c>
      <c r="E96" s="34" t="n">
        <v>255203</v>
      </c>
      <c r="F96" s="34" t="n">
        <v>0</v>
      </c>
      <c r="G96" s="38" t="inlineStr">
        <is>
          <t>調査票＋量水器費|固定資産台帳ベース|35|15</t>
        </is>
      </c>
    </row>
    <row r="97">
      <c r="A97" s="33" t="inlineStr">
        <is>
          <t>調査票＋量水器費</t>
        </is>
      </c>
      <c r="B97" s="33" t="inlineStr">
        <is>
          <t>固定資産台帳ベース</t>
        </is>
      </c>
      <c r="C97" s="33" t="n">
        <v>35</v>
      </c>
      <c r="D97" s="33" t="n">
        <v>20</v>
      </c>
      <c r="E97" s="34" t="n">
        <v>204913</v>
      </c>
      <c r="F97" s="34" t="n">
        <v>0</v>
      </c>
      <c r="G97" s="38" t="inlineStr">
        <is>
          <t>調査票＋量水器費|固定資産台帳ベース|35|20</t>
        </is>
      </c>
    </row>
    <row r="98">
      <c r="A98" s="33" t="inlineStr">
        <is>
          <t>調査票＋量水器費</t>
        </is>
      </c>
      <c r="B98" s="33" t="inlineStr">
        <is>
          <t>固定資産台帳ベース</t>
        </is>
      </c>
      <c r="C98" s="33" t="n">
        <v>35</v>
      </c>
      <c r="D98" s="33" t="n">
        <v>25</v>
      </c>
      <c r="E98" s="34" t="n">
        <v>174739</v>
      </c>
      <c r="F98" s="34" t="n">
        <v>0</v>
      </c>
      <c r="G98" s="38" t="inlineStr">
        <is>
          <t>調査票＋量水器費|固定資産台帳ベース|35|25</t>
        </is>
      </c>
    </row>
    <row r="99">
      <c r="A99" s="33" t="inlineStr">
        <is>
          <t>調査票＋量水器費</t>
        </is>
      </c>
      <c r="B99" s="33" t="inlineStr">
        <is>
          <t>固定資産台帳ベース</t>
        </is>
      </c>
      <c r="C99" s="33" t="n">
        <v>35</v>
      </c>
      <c r="D99" s="33" t="n">
        <v>30</v>
      </c>
      <c r="E99" s="34" t="n">
        <v>154623</v>
      </c>
      <c r="F99" s="34" t="n">
        <v>0</v>
      </c>
      <c r="G99" s="38" t="inlineStr">
        <is>
          <t>調査票＋量水器費|固定資産台帳ベース|35|30</t>
        </is>
      </c>
    </row>
    <row r="100">
      <c r="A100" s="33" t="inlineStr">
        <is>
          <t>調査票＋量水器費</t>
        </is>
      </c>
      <c r="B100" s="33" t="inlineStr">
        <is>
          <t>固定資産台帳ベース</t>
        </is>
      </c>
      <c r="C100" s="33" t="n">
        <v>35</v>
      </c>
      <c r="D100" s="33" t="n">
        <v>38</v>
      </c>
      <c r="E100" s="34" t="n">
        <v>133448</v>
      </c>
      <c r="F100" s="34" t="n">
        <v>0</v>
      </c>
      <c r="G100" s="38" t="inlineStr">
        <is>
          <t>調査票＋量水器費|固定資産台帳ベース|35|38</t>
        </is>
      </c>
    </row>
    <row r="101">
      <c r="A101" s="33" t="inlineStr">
        <is>
          <t>調査票＋量水器費</t>
        </is>
      </c>
      <c r="B101" s="33" t="inlineStr">
        <is>
          <t>固定資産台帳ベース</t>
        </is>
      </c>
      <c r="C101" s="33" t="n">
        <v>35</v>
      </c>
      <c r="D101" s="33" t="n">
        <v>40</v>
      </c>
      <c r="E101" s="34" t="n">
        <v>129478</v>
      </c>
      <c r="F101" s="34" t="n">
        <v>0</v>
      </c>
      <c r="G101" s="38" t="inlineStr">
        <is>
          <t>調査票＋量水器費|固定資産台帳ベース|35|40</t>
        </is>
      </c>
    </row>
    <row r="102">
      <c r="A102" s="33" t="inlineStr">
        <is>
          <t>調査票＋量水器費</t>
        </is>
      </c>
      <c r="B102" s="33" t="inlineStr">
        <is>
          <t>固定資産台帳ベース</t>
        </is>
      </c>
      <c r="C102" s="33" t="n">
        <v>38</v>
      </c>
      <c r="D102" s="33" t="n">
        <v>15</v>
      </c>
      <c r="E102" s="34" t="n">
        <v>250936</v>
      </c>
      <c r="F102" s="34" t="n">
        <v>0</v>
      </c>
      <c r="G102" s="38" t="inlineStr">
        <is>
          <t>調査票＋量水器費|固定資産台帳ベース|38|15</t>
        </is>
      </c>
    </row>
    <row r="103">
      <c r="A103" s="33" t="inlineStr">
        <is>
          <t>調査票＋量水器費</t>
        </is>
      </c>
      <c r="B103" s="33" t="inlineStr">
        <is>
          <t>固定資産台帳ベース</t>
        </is>
      </c>
      <c r="C103" s="33" t="n">
        <v>38</v>
      </c>
      <c r="D103" s="33" t="n">
        <v>20</v>
      </c>
      <c r="E103" s="34" t="n">
        <v>200646</v>
      </c>
      <c r="F103" s="34" t="n">
        <v>0</v>
      </c>
      <c r="G103" s="38" t="inlineStr">
        <is>
          <t>調査票＋量水器費|固定資産台帳ベース|38|20</t>
        </is>
      </c>
    </row>
    <row r="104">
      <c r="A104" s="33" t="inlineStr">
        <is>
          <t>調査票＋量水器費</t>
        </is>
      </c>
      <c r="B104" s="33" t="inlineStr">
        <is>
          <t>固定資産台帳ベース</t>
        </is>
      </c>
      <c r="C104" s="33" t="n">
        <v>38</v>
      </c>
      <c r="D104" s="33" t="n">
        <v>25</v>
      </c>
      <c r="E104" s="34" t="n">
        <v>170472</v>
      </c>
      <c r="F104" s="34" t="n">
        <v>0</v>
      </c>
      <c r="G104" s="38" t="inlineStr">
        <is>
          <t>調査票＋量水器費|固定資産台帳ベース|38|25</t>
        </is>
      </c>
    </row>
    <row r="105">
      <c r="A105" s="33" t="inlineStr">
        <is>
          <t>調査票＋量水器費</t>
        </is>
      </c>
      <c r="B105" s="33" t="inlineStr">
        <is>
          <t>固定資産台帳ベース</t>
        </is>
      </c>
      <c r="C105" s="33" t="n">
        <v>38</v>
      </c>
      <c r="D105" s="33" t="n">
        <v>30</v>
      </c>
      <c r="E105" s="34" t="n">
        <v>150356</v>
      </c>
      <c r="F105" s="34" t="n">
        <v>0</v>
      </c>
      <c r="G105" s="38" t="inlineStr">
        <is>
          <t>調査票＋量水器費|固定資産台帳ベース|38|30</t>
        </is>
      </c>
    </row>
    <row r="106">
      <c r="A106" s="33" t="inlineStr">
        <is>
          <t>調査票＋量水器費</t>
        </is>
      </c>
      <c r="B106" s="33" t="inlineStr">
        <is>
          <t>固定資産台帳ベース</t>
        </is>
      </c>
      <c r="C106" s="33" t="n">
        <v>38</v>
      </c>
      <c r="D106" s="33" t="n">
        <v>38</v>
      </c>
      <c r="E106" s="34" t="n">
        <v>129182</v>
      </c>
      <c r="F106" s="34" t="n">
        <v>0</v>
      </c>
      <c r="G106" s="38" t="inlineStr">
        <is>
          <t>調査票＋量水器費|固定資産台帳ベース|38|38</t>
        </is>
      </c>
    </row>
    <row r="107">
      <c r="A107" s="33" t="inlineStr">
        <is>
          <t>調査票＋量水器費</t>
        </is>
      </c>
      <c r="B107" s="33" t="inlineStr">
        <is>
          <t>固定資産台帳ベース</t>
        </is>
      </c>
      <c r="C107" s="33" t="n">
        <v>38</v>
      </c>
      <c r="D107" s="33" t="n">
        <v>40</v>
      </c>
      <c r="E107" s="34" t="n">
        <v>125211</v>
      </c>
      <c r="F107" s="34" t="n">
        <v>0</v>
      </c>
      <c r="G107" s="38" t="inlineStr">
        <is>
          <t>調査票＋量水器費|固定資産台帳ベース|38|40</t>
        </is>
      </c>
    </row>
    <row r="108">
      <c r="A108" s="33" t="inlineStr">
        <is>
          <t>調査票＋量水器費</t>
        </is>
      </c>
      <c r="B108" s="33" t="inlineStr">
        <is>
          <t>固定資産台帳ベース</t>
        </is>
      </c>
      <c r="C108" s="33" t="n">
        <v>40</v>
      </c>
      <c r="D108" s="33" t="n">
        <v>15</v>
      </c>
      <c r="E108" s="34" t="n">
        <v>248448</v>
      </c>
      <c r="F108" s="34" t="n">
        <v>0</v>
      </c>
      <c r="G108" s="38" t="inlineStr">
        <is>
          <t>調査票＋量水器費|固定資産台帳ベース|40|15</t>
        </is>
      </c>
    </row>
    <row r="109">
      <c r="A109" s="33" t="inlineStr">
        <is>
          <t>調査票＋量水器費</t>
        </is>
      </c>
      <c r="B109" s="33" t="inlineStr">
        <is>
          <t>固定資産台帳ベース</t>
        </is>
      </c>
      <c r="C109" s="33" t="n">
        <v>40</v>
      </c>
      <c r="D109" s="33" t="n">
        <v>20</v>
      </c>
      <c r="E109" s="34" t="n">
        <v>198158</v>
      </c>
      <c r="F109" s="34" t="n">
        <v>0</v>
      </c>
      <c r="G109" s="38" t="inlineStr">
        <is>
          <t>調査票＋量水器費|固定資産台帳ベース|40|20</t>
        </is>
      </c>
    </row>
    <row r="110">
      <c r="A110" s="33" t="inlineStr">
        <is>
          <t>調査票＋量水器費</t>
        </is>
      </c>
      <c r="B110" s="33" t="inlineStr">
        <is>
          <t>固定資産台帳ベース</t>
        </is>
      </c>
      <c r="C110" s="33" t="n">
        <v>40</v>
      </c>
      <c r="D110" s="33" t="n">
        <v>25</v>
      </c>
      <c r="E110" s="34" t="n">
        <v>167984</v>
      </c>
      <c r="F110" s="34" t="n">
        <v>0</v>
      </c>
      <c r="G110" s="38" t="inlineStr">
        <is>
          <t>調査票＋量水器費|固定資産台帳ベース|40|25</t>
        </is>
      </c>
    </row>
    <row r="111">
      <c r="A111" s="33" t="inlineStr">
        <is>
          <t>調査票＋量水器費</t>
        </is>
      </c>
      <c r="B111" s="33" t="inlineStr">
        <is>
          <t>固定資産台帳ベース</t>
        </is>
      </c>
      <c r="C111" s="33" t="n">
        <v>40</v>
      </c>
      <c r="D111" s="33" t="n">
        <v>30</v>
      </c>
      <c r="E111" s="34" t="n">
        <v>147868</v>
      </c>
      <c r="F111" s="34" t="n">
        <v>0</v>
      </c>
      <c r="G111" s="38" t="inlineStr">
        <is>
          <t>調査票＋量水器費|固定資産台帳ベース|40|30</t>
        </is>
      </c>
    </row>
    <row r="112">
      <c r="A112" s="33" t="inlineStr">
        <is>
          <t>調査票＋量水器費</t>
        </is>
      </c>
      <c r="B112" s="33" t="inlineStr">
        <is>
          <t>固定資産台帳ベース</t>
        </is>
      </c>
      <c r="C112" s="33" t="n">
        <v>40</v>
      </c>
      <c r="D112" s="33" t="n">
        <v>38</v>
      </c>
      <c r="E112" s="34" t="n">
        <v>126693</v>
      </c>
      <c r="F112" s="34" t="n">
        <v>0</v>
      </c>
      <c r="G112" s="38" t="inlineStr">
        <is>
          <t>調査票＋量水器費|固定資産台帳ベース|40|38</t>
        </is>
      </c>
    </row>
    <row r="113">
      <c r="A113" s="33" t="inlineStr">
        <is>
          <t>調査票＋量水器費</t>
        </is>
      </c>
      <c r="B113" s="33" t="inlineStr">
        <is>
          <t>固定資産台帳ベース</t>
        </is>
      </c>
      <c r="C113" s="33" t="n">
        <v>40</v>
      </c>
      <c r="D113" s="33" t="n">
        <v>40</v>
      </c>
      <c r="E113" s="34" t="n">
        <v>122722</v>
      </c>
      <c r="F113" s="34" t="n">
        <v>0</v>
      </c>
      <c r="G113" s="38" t="inlineStr">
        <is>
          <t>調査票＋量水器費|固定資産台帳ベース|40|40</t>
        </is>
      </c>
    </row>
    <row r="116">
      <c r="A116" s="37" t="inlineStr">
        <is>
          <t>【支払利息・元金償還（新規債）R8〜R12 5年計・千円】</t>
        </is>
      </c>
    </row>
    <row r="117">
      <c r="A117" s="5" t="inlineStr">
        <is>
          <t>計画</t>
        </is>
      </c>
      <c r="B117" s="5" t="inlineStr">
        <is>
          <t>借入利率(％)</t>
        </is>
      </c>
      <c r="C117" s="5" t="inlineStr">
        <is>
          <t>償還条件</t>
        </is>
      </c>
      <c r="D117" s="5" t="inlineStr">
        <is>
          <t>支払利息</t>
        </is>
      </c>
      <c r="E117" s="5" t="inlineStr">
        <is>
          <t>元金償還</t>
        </is>
      </c>
      <c r="F117" s="5" t="inlineStr"/>
      <c r="G117" s="5" t="inlineStr">
        <is>
          <t>照合キー</t>
        </is>
      </c>
    </row>
    <row r="118">
      <c r="A118" s="33" t="inlineStr">
        <is>
          <t>経営戦略の計画</t>
        </is>
      </c>
      <c r="B118" s="33" t="n">
        <v>2</v>
      </c>
      <c r="C118" s="33" t="inlineStr">
        <is>
          <t>経営戦略方式（40年・据置なし）</t>
        </is>
      </c>
      <c r="D118" s="34" t="n">
        <v>78800</v>
      </c>
      <c r="E118" s="34" t="n">
        <v>67850</v>
      </c>
      <c r="G118" s="38" t="inlineStr">
        <is>
          <t>経営戦略の計画|2.0|経営戦略方式（40年・据置なし）</t>
        </is>
      </c>
    </row>
    <row r="119">
      <c r="A119" s="33" t="inlineStr">
        <is>
          <t>経営戦略の計画</t>
        </is>
      </c>
      <c r="B119" s="33" t="n">
        <v>2</v>
      </c>
      <c r="C119" s="33" t="inlineStr">
        <is>
          <t>調査票方式（25/40年・据置3年）</t>
        </is>
      </c>
      <c r="D119" s="34" t="n">
        <v>80234</v>
      </c>
      <c r="E119" s="34" t="n">
        <v>7428</v>
      </c>
      <c r="G119" s="38" t="inlineStr">
        <is>
          <t>経営戦略の計画|2.0|調査票方式（25/40年・据置3年）</t>
        </is>
      </c>
    </row>
    <row r="120">
      <c r="A120" s="33" t="inlineStr">
        <is>
          <t>経営戦略の計画</t>
        </is>
      </c>
      <c r="B120" s="33" t="n">
        <v>2.1</v>
      </c>
      <c r="C120" s="33" t="inlineStr">
        <is>
          <t>経営戦略方式（40年・据置なし）</t>
        </is>
      </c>
      <c r="D120" s="34" t="n">
        <v>82772</v>
      </c>
      <c r="E120" s="34" t="n">
        <v>66462</v>
      </c>
      <c r="G120" s="38" t="inlineStr">
        <is>
          <t>経営戦略の計画|2.1|経営戦略方式（40年・据置なし）</t>
        </is>
      </c>
    </row>
    <row r="121">
      <c r="A121" s="33" t="inlineStr">
        <is>
          <t>経営戦略の計画</t>
        </is>
      </c>
      <c r="B121" s="33" t="n">
        <v>2.1</v>
      </c>
      <c r="C121" s="33" t="inlineStr">
        <is>
          <t>調査票方式（25/40年・据置3年）</t>
        </is>
      </c>
      <c r="D121" s="34" t="n">
        <v>84245</v>
      </c>
      <c r="E121" s="34" t="n">
        <v>7268</v>
      </c>
      <c r="G121" s="38" t="inlineStr">
        <is>
          <t>経営戦略の計画|2.1|調査票方式（25/40年・据置3年）</t>
        </is>
      </c>
    </row>
    <row r="122">
      <c r="A122" s="33" t="inlineStr">
        <is>
          <t>経営戦略の計画</t>
        </is>
      </c>
      <c r="B122" s="33" t="n">
        <v>2.2</v>
      </c>
      <c r="C122" s="33" t="inlineStr">
        <is>
          <t>経営戦略方式（40年・据置なし）</t>
        </is>
      </c>
      <c r="D122" s="34" t="n">
        <v>86746</v>
      </c>
      <c r="E122" s="34" t="n">
        <v>65096</v>
      </c>
      <c r="G122" s="38" t="inlineStr">
        <is>
          <t>経営戦略の計画|2.2|経営戦略方式（40年・据置なし）</t>
        </is>
      </c>
    </row>
    <row r="123">
      <c r="A123" s="33" t="inlineStr">
        <is>
          <t>経営戦略の計画</t>
        </is>
      </c>
      <c r="B123" s="33" t="n">
        <v>2.2</v>
      </c>
      <c r="C123" s="33" t="inlineStr">
        <is>
          <t>調査票方式（25/40年・据置3年）</t>
        </is>
      </c>
      <c r="D123" s="34" t="n">
        <v>88257</v>
      </c>
      <c r="E123" s="34" t="n">
        <v>7111</v>
      </c>
      <c r="G123" s="38" t="inlineStr">
        <is>
          <t>経営戦略の計画|2.2|調査票方式（25/40年・据置3年）</t>
        </is>
      </c>
    </row>
    <row r="124">
      <c r="A124" s="33" t="inlineStr">
        <is>
          <t>経営戦略の計画</t>
        </is>
      </c>
      <c r="B124" s="33" t="n">
        <v>2.3</v>
      </c>
      <c r="C124" s="33" t="inlineStr">
        <is>
          <t>経営戦略方式（40年・据置なし）</t>
        </is>
      </c>
      <c r="D124" s="34" t="n">
        <v>90722</v>
      </c>
      <c r="E124" s="34" t="n">
        <v>63752</v>
      </c>
      <c r="G124" s="38" t="inlineStr">
        <is>
          <t>経営戦略の計画|2.3|経営戦略方式（40年・据置なし）</t>
        </is>
      </c>
    </row>
    <row r="125">
      <c r="A125" s="33" t="inlineStr">
        <is>
          <t>経営戦略の計画</t>
        </is>
      </c>
      <c r="B125" s="33" t="n">
        <v>2.3</v>
      </c>
      <c r="C125" s="33" t="inlineStr">
        <is>
          <t>調査票方式（25/40年・据置3年）</t>
        </is>
      </c>
      <c r="D125" s="34" t="n">
        <v>92269</v>
      </c>
      <c r="E125" s="34" t="n">
        <v>6957</v>
      </c>
      <c r="G125" s="38" t="inlineStr">
        <is>
          <t>経営戦略の計画|2.3|調査票方式（25/40年・据置3年）</t>
        </is>
      </c>
    </row>
    <row r="126">
      <c r="A126" s="33" t="inlineStr">
        <is>
          <t>経営戦略の計画</t>
        </is>
      </c>
      <c r="B126" s="33" t="n">
        <v>2.4</v>
      </c>
      <c r="C126" s="33" t="inlineStr">
        <is>
          <t>経営戦略方式（40年・据置なし）</t>
        </is>
      </c>
      <c r="D126" s="34" t="n">
        <v>94701</v>
      </c>
      <c r="E126" s="34" t="n">
        <v>62429</v>
      </c>
      <c r="G126" s="38" t="inlineStr">
        <is>
          <t>経営戦略の計画|2.4|経営戦略方式（40年・据置なし）</t>
        </is>
      </c>
    </row>
    <row r="127">
      <c r="A127" s="33" t="inlineStr">
        <is>
          <t>経営戦略の計画</t>
        </is>
      </c>
      <c r="B127" s="33" t="n">
        <v>2.4</v>
      </c>
      <c r="C127" s="33" t="inlineStr">
        <is>
          <t>調査票方式（25/40年・据置3年）</t>
        </is>
      </c>
      <c r="D127" s="34" t="n">
        <v>96280</v>
      </c>
      <c r="E127" s="34" t="n">
        <v>6806</v>
      </c>
      <c r="G127" s="38" t="inlineStr">
        <is>
          <t>経営戦略の計画|2.4|調査票方式（25/40年・据置3年）</t>
        </is>
      </c>
    </row>
    <row r="128">
      <c r="A128" s="33" t="inlineStr">
        <is>
          <t>経営戦略の計画</t>
        </is>
      </c>
      <c r="B128" s="33" t="n">
        <v>2.5</v>
      </c>
      <c r="C128" s="33" t="inlineStr">
        <is>
          <t>経営戦略方式（40年・据置なし）</t>
        </is>
      </c>
      <c r="D128" s="34" t="n">
        <v>98682</v>
      </c>
      <c r="E128" s="34" t="n">
        <v>61128</v>
      </c>
      <c r="G128" s="38" t="inlineStr">
        <is>
          <t>経営戦略の計画|2.5|経営戦略方式（40年・据置なし）</t>
        </is>
      </c>
    </row>
    <row r="129">
      <c r="A129" s="33" t="inlineStr">
        <is>
          <t>経営戦略の計画</t>
        </is>
      </c>
      <c r="B129" s="33" t="n">
        <v>2.5</v>
      </c>
      <c r="C129" s="33" t="inlineStr">
        <is>
          <t>調査票方式（25/40年・据置3年）</t>
        </is>
      </c>
      <c r="D129" s="34" t="n">
        <v>100292</v>
      </c>
      <c r="E129" s="34" t="n">
        <v>6657</v>
      </c>
      <c r="G129" s="38" t="inlineStr">
        <is>
          <t>経営戦略の計画|2.5|調査票方式（25/40年・据置3年）</t>
        </is>
      </c>
    </row>
    <row r="130">
      <c r="A130" s="33" t="inlineStr">
        <is>
          <t>経営戦略の計画</t>
        </is>
      </c>
      <c r="B130" s="33" t="n">
        <v>2.6</v>
      </c>
      <c r="C130" s="33" t="inlineStr">
        <is>
          <t>経営戦略方式（40年・据置なし）</t>
        </is>
      </c>
      <c r="D130" s="34" t="n">
        <v>102665</v>
      </c>
      <c r="E130" s="34" t="n">
        <v>59848</v>
      </c>
      <c r="G130" s="38" t="inlineStr">
        <is>
          <t>経営戦略の計画|2.6|経営戦略方式（40年・据置なし）</t>
        </is>
      </c>
    </row>
    <row r="131">
      <c r="A131" s="33" t="inlineStr">
        <is>
          <t>経営戦略の計画</t>
        </is>
      </c>
      <c r="B131" s="33" t="n">
        <v>2.6</v>
      </c>
      <c r="C131" s="33" t="inlineStr">
        <is>
          <t>調査票方式（25/40年・据置3年）</t>
        </is>
      </c>
      <c r="D131" s="34" t="n">
        <v>104304</v>
      </c>
      <c r="E131" s="34" t="n">
        <v>6510</v>
      </c>
      <c r="G131" s="38" t="inlineStr">
        <is>
          <t>経営戦略の計画|2.6|調査票方式（25/40年・据置3年）</t>
        </is>
      </c>
    </row>
    <row r="132">
      <c r="A132" s="33" t="inlineStr">
        <is>
          <t>経営戦略の計画</t>
        </is>
      </c>
      <c r="B132" s="33" t="n">
        <v>2.7</v>
      </c>
      <c r="C132" s="33" t="inlineStr">
        <is>
          <t>経営戦略方式（40年・据置なし）</t>
        </is>
      </c>
      <c r="D132" s="34" t="n">
        <v>106651</v>
      </c>
      <c r="E132" s="34" t="n">
        <v>58589</v>
      </c>
      <c r="G132" s="38" t="inlineStr">
        <is>
          <t>経営戦略の計画|2.7|経営戦略方式（40年・据置なし）</t>
        </is>
      </c>
    </row>
    <row r="133">
      <c r="A133" s="33" t="inlineStr">
        <is>
          <t>経営戦略の計画</t>
        </is>
      </c>
      <c r="B133" s="33" t="n">
        <v>2.7</v>
      </c>
      <c r="C133" s="33" t="inlineStr">
        <is>
          <t>調査票方式（25/40年・据置3年）</t>
        </is>
      </c>
      <c r="D133" s="34" t="n">
        <v>108315</v>
      </c>
      <c r="E133" s="34" t="n">
        <v>6366</v>
      </c>
      <c r="G133" s="38" t="inlineStr">
        <is>
          <t>経営戦略の計画|2.7|調査票方式（25/40年・据置3年）</t>
        </is>
      </c>
    </row>
    <row r="134">
      <c r="A134" s="33" t="inlineStr">
        <is>
          <t>経営戦略の計画</t>
        </is>
      </c>
      <c r="B134" s="33" t="n">
        <v>2.8</v>
      </c>
      <c r="C134" s="33" t="inlineStr">
        <is>
          <t>経営戦略方式（40年・据置なし）</t>
        </is>
      </c>
      <c r="D134" s="34" t="n">
        <v>110638</v>
      </c>
      <c r="E134" s="34" t="n">
        <v>57350</v>
      </c>
      <c r="G134" s="38" t="inlineStr">
        <is>
          <t>経営戦略の計画|2.8|経営戦略方式（40年・据置なし）</t>
        </is>
      </c>
    </row>
    <row r="135">
      <c r="A135" s="33" t="inlineStr">
        <is>
          <t>経営戦略の計画</t>
        </is>
      </c>
      <c r="B135" s="33" t="n">
        <v>2.8</v>
      </c>
      <c r="C135" s="33" t="inlineStr">
        <is>
          <t>調査票方式（25/40年・据置3年）</t>
        </is>
      </c>
      <c r="D135" s="34" t="n">
        <v>112327</v>
      </c>
      <c r="E135" s="34" t="n">
        <v>6225</v>
      </c>
      <c r="G135" s="38" t="inlineStr">
        <is>
          <t>経営戦略の計画|2.8|調査票方式（25/40年・据置3年）</t>
        </is>
      </c>
    </row>
    <row r="136">
      <c r="A136" s="33" t="inlineStr">
        <is>
          <t>経営戦略の計画</t>
        </is>
      </c>
      <c r="B136" s="33" t="n">
        <v>2.9</v>
      </c>
      <c r="C136" s="33" t="inlineStr">
        <is>
          <t>経営戦略方式（40年・据置なし）</t>
        </is>
      </c>
      <c r="D136" s="34" t="n">
        <v>114628</v>
      </c>
      <c r="E136" s="34" t="n">
        <v>56133</v>
      </c>
      <c r="G136" s="38" t="inlineStr">
        <is>
          <t>経営戦略の計画|2.9|経営戦略方式（40年・据置なし）</t>
        </is>
      </c>
    </row>
    <row r="137">
      <c r="A137" s="33" t="inlineStr">
        <is>
          <t>経営戦略の計画</t>
        </is>
      </c>
      <c r="B137" s="33" t="n">
        <v>2.9</v>
      </c>
      <c r="C137" s="33" t="inlineStr">
        <is>
          <t>調査票方式（25/40年・据置3年）</t>
        </is>
      </c>
      <c r="D137" s="34" t="n">
        <v>116339</v>
      </c>
      <c r="E137" s="34" t="n">
        <v>6087</v>
      </c>
      <c r="G137" s="38" t="inlineStr">
        <is>
          <t>経営戦略の計画|2.9|調査票方式（25/40年・据置3年）</t>
        </is>
      </c>
    </row>
    <row r="138">
      <c r="A138" s="33" t="inlineStr">
        <is>
          <t>経営戦略の計画</t>
        </is>
      </c>
      <c r="B138" s="33" t="n">
        <v>3</v>
      </c>
      <c r="C138" s="33" t="inlineStr">
        <is>
          <t>経営戦略方式（40年・据置なし）</t>
        </is>
      </c>
      <c r="D138" s="34" t="n">
        <v>118619</v>
      </c>
      <c r="E138" s="34" t="n">
        <v>54936</v>
      </c>
      <c r="G138" s="38" t="inlineStr">
        <is>
          <t>経営戦略の計画|3.0|経営戦略方式（40年・据置なし）</t>
        </is>
      </c>
    </row>
    <row r="139">
      <c r="A139" s="33" t="inlineStr">
        <is>
          <t>経営戦略の計画</t>
        </is>
      </c>
      <c r="B139" s="33" t="n">
        <v>3</v>
      </c>
      <c r="C139" s="33" t="inlineStr">
        <is>
          <t>調査票方式（25/40年・据置3年）</t>
        </is>
      </c>
      <c r="D139" s="34" t="n">
        <v>120350</v>
      </c>
      <c r="E139" s="34" t="n">
        <v>5950</v>
      </c>
      <c r="G139" s="38" t="inlineStr">
        <is>
          <t>経営戦略の計画|3.0|調査票方式（25/40年・据置3年）</t>
        </is>
      </c>
    </row>
    <row r="140">
      <c r="A140" s="33" t="inlineStr">
        <is>
          <t>建設改良費調査票</t>
        </is>
      </c>
      <c r="B140" s="33" t="n">
        <v>2</v>
      </c>
      <c r="C140" s="33" t="inlineStr">
        <is>
          <t>経営戦略方式（40年・据置なし）</t>
        </is>
      </c>
      <c r="D140" s="34" t="n">
        <v>59149</v>
      </c>
      <c r="E140" s="34" t="n">
        <v>50928</v>
      </c>
      <c r="G140" s="38" t="inlineStr">
        <is>
          <t>建設改良費調査票|2.0|経営戦略方式（40年・据置なし）</t>
        </is>
      </c>
    </row>
    <row r="141">
      <c r="A141" s="33" t="inlineStr">
        <is>
          <t>建設改良費調査票</t>
        </is>
      </c>
      <c r="B141" s="33" t="n">
        <v>2</v>
      </c>
      <c r="C141" s="33" t="inlineStr">
        <is>
          <t>調査票方式（25/40年・据置3年）</t>
        </is>
      </c>
      <c r="D141" s="34" t="n">
        <v>60224</v>
      </c>
      <c r="E141" s="34" t="n">
        <v>6296</v>
      </c>
      <c r="G141" s="38" t="inlineStr">
        <is>
          <t>建設改良費調査票|2.0|調査票方式（25/40年・据置3年）</t>
        </is>
      </c>
    </row>
    <row r="142">
      <c r="A142" s="33" t="inlineStr">
        <is>
          <t>建設改良費調査票</t>
        </is>
      </c>
      <c r="B142" s="33" t="n">
        <v>2.1</v>
      </c>
      <c r="C142" s="33" t="inlineStr">
        <is>
          <t>経営戦略方式（40年・据置なし）</t>
        </is>
      </c>
      <c r="D142" s="34" t="n">
        <v>62130</v>
      </c>
      <c r="E142" s="34" t="n">
        <v>49886</v>
      </c>
      <c r="G142" s="38" t="inlineStr">
        <is>
          <t>建設改良費調査票|2.1|経営戦略方式（40年・据置なし）</t>
        </is>
      </c>
    </row>
    <row r="143">
      <c r="A143" s="33" t="inlineStr">
        <is>
          <t>建設改良費調査票</t>
        </is>
      </c>
      <c r="B143" s="33" t="n">
        <v>2.1</v>
      </c>
      <c r="C143" s="33" t="inlineStr">
        <is>
          <t>調査票方式（25/40年・据置3年）</t>
        </is>
      </c>
      <c r="D143" s="34" t="n">
        <v>63235</v>
      </c>
      <c r="E143" s="34" t="n">
        <v>6188</v>
      </c>
      <c r="G143" s="38" t="inlineStr">
        <is>
          <t>建設改良費調査票|2.1|調査票方式（25/40年・据置3年）</t>
        </is>
      </c>
    </row>
    <row r="144">
      <c r="A144" s="33" t="inlineStr">
        <is>
          <t>建設改良費調査票</t>
        </is>
      </c>
      <c r="B144" s="33" t="n">
        <v>2.2</v>
      </c>
      <c r="C144" s="33" t="inlineStr">
        <is>
          <t>経営戦略方式（40年・据置なし）</t>
        </is>
      </c>
      <c r="D144" s="34" t="n">
        <v>65113</v>
      </c>
      <c r="E144" s="34" t="n">
        <v>48861</v>
      </c>
      <c r="G144" s="38" t="inlineStr">
        <is>
          <t>建設改良費調査票|2.2|経営戦略方式（40年・据置なし）</t>
        </is>
      </c>
    </row>
    <row r="145">
      <c r="A145" s="33" t="inlineStr">
        <is>
          <t>建設改良費調査票</t>
        </is>
      </c>
      <c r="B145" s="33" t="n">
        <v>2.2</v>
      </c>
      <c r="C145" s="33" t="inlineStr">
        <is>
          <t>調査票方式（25/40年・据置3年）</t>
        </is>
      </c>
      <c r="D145" s="34" t="n">
        <v>66246</v>
      </c>
      <c r="E145" s="34" t="n">
        <v>6082</v>
      </c>
      <c r="G145" s="38" t="inlineStr">
        <is>
          <t>建設改良費調査票|2.2|調査票方式（25/40年・据置3年）</t>
        </is>
      </c>
    </row>
    <row r="146">
      <c r="A146" s="33" t="inlineStr">
        <is>
          <t>建設改良費調査票</t>
        </is>
      </c>
      <c r="B146" s="33" t="n">
        <v>2.3</v>
      </c>
      <c r="C146" s="33" t="inlineStr">
        <is>
          <t>経営戦略方式（40年・据置なし）</t>
        </is>
      </c>
      <c r="D146" s="34" t="n">
        <v>68098</v>
      </c>
      <c r="E146" s="34" t="n">
        <v>47852</v>
      </c>
      <c r="G146" s="38" t="inlineStr">
        <is>
          <t>建設改良費調査票|2.3|経営戦略方式（40年・据置なし）</t>
        </is>
      </c>
    </row>
    <row r="147">
      <c r="A147" s="33" t="inlineStr">
        <is>
          <t>建設改良費調査票</t>
        </is>
      </c>
      <c r="B147" s="33" t="n">
        <v>2.3</v>
      </c>
      <c r="C147" s="33" t="inlineStr">
        <is>
          <t>調査票方式（25/40年・据置3年）</t>
        </is>
      </c>
      <c r="D147" s="34" t="n">
        <v>69258</v>
      </c>
      <c r="E147" s="34" t="n">
        <v>5977</v>
      </c>
      <c r="G147" s="38" t="inlineStr">
        <is>
          <t>建設改良費調査票|2.3|調査票方式（25/40年・据置3年）</t>
        </is>
      </c>
    </row>
    <row r="148">
      <c r="A148" s="33" t="inlineStr">
        <is>
          <t>建設改良費調査票</t>
        </is>
      </c>
      <c r="B148" s="33" t="n">
        <v>2.4</v>
      </c>
      <c r="C148" s="33" t="inlineStr">
        <is>
          <t>経営戦略方式（40年・据置なし）</t>
        </is>
      </c>
      <c r="D148" s="34" t="n">
        <v>71084</v>
      </c>
      <c r="E148" s="34" t="n">
        <v>46859</v>
      </c>
      <c r="G148" s="38" t="inlineStr">
        <is>
          <t>建設改良費調査票|2.4|経営戦略方式（40年・据置なし）</t>
        </is>
      </c>
    </row>
    <row r="149">
      <c r="A149" s="33" t="inlineStr">
        <is>
          <t>建設改良費調査票</t>
        </is>
      </c>
      <c r="B149" s="33" t="n">
        <v>2.4</v>
      </c>
      <c r="C149" s="33" t="inlineStr">
        <is>
          <t>調査票方式（25/40年・据置3年）</t>
        </is>
      </c>
      <c r="D149" s="34" t="n">
        <v>72269</v>
      </c>
      <c r="E149" s="34" t="n">
        <v>5873</v>
      </c>
      <c r="G149" s="38" t="inlineStr">
        <is>
          <t>建設改良費調査票|2.4|調査票方式（25/40年・据置3年）</t>
        </is>
      </c>
    </row>
    <row r="150">
      <c r="A150" s="33" t="inlineStr">
        <is>
          <t>建設改良費調査票</t>
        </is>
      </c>
      <c r="B150" s="33" t="n">
        <v>2.5</v>
      </c>
      <c r="C150" s="33" t="inlineStr">
        <is>
          <t>経営戦略方式（40年・据置なし）</t>
        </is>
      </c>
      <c r="D150" s="34" t="n">
        <v>74073</v>
      </c>
      <c r="E150" s="34" t="n">
        <v>45882</v>
      </c>
      <c r="G150" s="38" t="inlineStr">
        <is>
          <t>建設改良費調査票|2.5|経営戦略方式（40年・据置なし）</t>
        </is>
      </c>
    </row>
    <row r="151">
      <c r="A151" s="33" t="inlineStr">
        <is>
          <t>建設改良費調査票</t>
        </is>
      </c>
      <c r="B151" s="33" t="n">
        <v>2.5</v>
      </c>
      <c r="C151" s="33" t="inlineStr">
        <is>
          <t>調査票方式（25/40年・据置3年）</t>
        </is>
      </c>
      <c r="D151" s="34" t="n">
        <v>75280</v>
      </c>
      <c r="E151" s="34" t="n">
        <v>5772</v>
      </c>
      <c r="G151" s="38" t="inlineStr">
        <is>
          <t>建設改良費調査票|2.5|調査票方式（25/40年・据置3年）</t>
        </is>
      </c>
    </row>
    <row r="152">
      <c r="A152" s="33" t="inlineStr">
        <is>
          <t>建設改良費調査票</t>
        </is>
      </c>
      <c r="B152" s="33" t="n">
        <v>2.6</v>
      </c>
      <c r="C152" s="33" t="inlineStr">
        <is>
          <t>経営戦略方式（40年・据置なし）</t>
        </is>
      </c>
      <c r="D152" s="34" t="n">
        <v>77063</v>
      </c>
      <c r="E152" s="34" t="n">
        <v>44921</v>
      </c>
      <c r="G152" s="38" t="inlineStr">
        <is>
          <t>建設改良費調査票|2.6|経営戦略方式（40年・据置なし）</t>
        </is>
      </c>
    </row>
    <row r="153">
      <c r="A153" s="33" t="inlineStr">
        <is>
          <t>建設改良費調査票</t>
        </is>
      </c>
      <c r="B153" s="33" t="n">
        <v>2.6</v>
      </c>
      <c r="C153" s="33" t="inlineStr">
        <is>
          <t>調査票方式（25/40年・据置3年）</t>
        </is>
      </c>
      <c r="D153" s="34" t="n">
        <v>78291</v>
      </c>
      <c r="E153" s="34" t="n">
        <v>5671</v>
      </c>
      <c r="G153" s="38" t="inlineStr">
        <is>
          <t>建設改良費調査票|2.6|調査票方式（25/40年・据置3年）</t>
        </is>
      </c>
    </row>
    <row r="154">
      <c r="A154" s="33" t="inlineStr">
        <is>
          <t>建設改良費調査票</t>
        </is>
      </c>
      <c r="B154" s="33" t="n">
        <v>2.7</v>
      </c>
      <c r="C154" s="33" t="inlineStr">
        <is>
          <t>経営戦略方式（40年・据置なし）</t>
        </is>
      </c>
      <c r="D154" s="34" t="n">
        <v>80054</v>
      </c>
      <c r="E154" s="34" t="n">
        <v>43976</v>
      </c>
      <c r="G154" s="38" t="inlineStr">
        <is>
          <t>建設改良費調査票|2.7|経営戦略方式（40年・据置なし）</t>
        </is>
      </c>
    </row>
    <row r="155">
      <c r="A155" s="33" t="inlineStr">
        <is>
          <t>建設改良費調査票</t>
        </is>
      </c>
      <c r="B155" s="33" t="n">
        <v>2.7</v>
      </c>
      <c r="C155" s="33" t="inlineStr">
        <is>
          <t>調査票方式（25/40年・据置3年）</t>
        </is>
      </c>
      <c r="D155" s="34" t="n">
        <v>81302</v>
      </c>
      <c r="E155" s="34" t="n">
        <v>5573</v>
      </c>
      <c r="G155" s="38" t="inlineStr">
        <is>
          <t>建設改良費調査票|2.7|調査票方式（25/40年・据置3年）</t>
        </is>
      </c>
    </row>
    <row r="156">
      <c r="A156" s="33" t="inlineStr">
        <is>
          <t>建設改良費調査票</t>
        </is>
      </c>
      <c r="B156" s="33" t="n">
        <v>2.8</v>
      </c>
      <c r="C156" s="33" t="inlineStr">
        <is>
          <t>経営戦略方式（40年・据置なし）</t>
        </is>
      </c>
      <c r="D156" s="34" t="n">
        <v>83047</v>
      </c>
      <c r="E156" s="34" t="n">
        <v>43047</v>
      </c>
      <c r="G156" s="38" t="inlineStr">
        <is>
          <t>建設改良費調査票|2.8|経営戦略方式（40年・据置なし）</t>
        </is>
      </c>
    </row>
    <row r="157">
      <c r="A157" s="33" t="inlineStr">
        <is>
          <t>建設改良費調査票</t>
        </is>
      </c>
      <c r="B157" s="33" t="n">
        <v>2.8</v>
      </c>
      <c r="C157" s="33" t="inlineStr">
        <is>
          <t>調査票方式（25/40年・据置3年）</t>
        </is>
      </c>
      <c r="D157" s="34" t="n">
        <v>84314</v>
      </c>
      <c r="E157" s="34" t="n">
        <v>5475</v>
      </c>
      <c r="G157" s="38" t="inlineStr">
        <is>
          <t>建設改良費調査票|2.8|調査票方式（25/40年・据置3年）</t>
        </is>
      </c>
    </row>
    <row r="158">
      <c r="A158" s="33" t="inlineStr">
        <is>
          <t>建設改良費調査票</t>
        </is>
      </c>
      <c r="B158" s="33" t="n">
        <v>2.9</v>
      </c>
      <c r="C158" s="33" t="inlineStr">
        <is>
          <t>経営戦略方式（40年・据置なし）</t>
        </is>
      </c>
      <c r="D158" s="34" t="n">
        <v>86042</v>
      </c>
      <c r="E158" s="34" t="n">
        <v>42133</v>
      </c>
      <c r="G158" s="38" t="inlineStr">
        <is>
          <t>建設改良費調査票|2.9|経営戦略方式（40年・据置なし）</t>
        </is>
      </c>
    </row>
    <row r="159">
      <c r="A159" s="33" t="inlineStr">
        <is>
          <t>建設改良費調査票</t>
        </is>
      </c>
      <c r="B159" s="33" t="n">
        <v>2.9</v>
      </c>
      <c r="C159" s="33" t="inlineStr">
        <is>
          <t>調査票方式（25/40年・据置3年）</t>
        </is>
      </c>
      <c r="D159" s="34" t="n">
        <v>87325</v>
      </c>
      <c r="E159" s="34" t="n">
        <v>5380</v>
      </c>
      <c r="G159" s="38" t="inlineStr">
        <is>
          <t>建設改良費調査票|2.9|調査票方式（25/40年・据置3年）</t>
        </is>
      </c>
    </row>
    <row r="160">
      <c r="A160" s="33" t="inlineStr">
        <is>
          <t>建設改良費調査票</t>
        </is>
      </c>
      <c r="B160" s="33" t="n">
        <v>3</v>
      </c>
      <c r="C160" s="33" t="inlineStr">
        <is>
          <t>経営戦略方式（40年・据置なし）</t>
        </is>
      </c>
      <c r="D160" s="34" t="n">
        <v>89038</v>
      </c>
      <c r="E160" s="34" t="n">
        <v>41234</v>
      </c>
      <c r="G160" s="38" t="inlineStr">
        <is>
          <t>建設改良費調査票|3.0|経営戦略方式（40年・据置なし）</t>
        </is>
      </c>
    </row>
    <row r="161">
      <c r="A161" s="33" t="inlineStr">
        <is>
          <t>建設改良費調査票</t>
        </is>
      </c>
      <c r="B161" s="33" t="n">
        <v>3</v>
      </c>
      <c r="C161" s="33" t="inlineStr">
        <is>
          <t>調査票方式（25/40年・据置3年）</t>
        </is>
      </c>
      <c r="D161" s="34" t="n">
        <v>90336</v>
      </c>
      <c r="E161" s="34" t="n">
        <v>5285</v>
      </c>
      <c r="G161" s="38" t="inlineStr">
        <is>
          <t>建設改良費調査票|3.0|調査票方式（25/40年・据置3年）</t>
        </is>
      </c>
    </row>
    <row r="162">
      <c r="A162" s="33" t="inlineStr">
        <is>
          <t>調査票＋量水器費</t>
        </is>
      </c>
      <c r="B162" s="33" t="n">
        <v>2</v>
      </c>
      <c r="C162" s="33" t="inlineStr">
        <is>
          <t>経営戦略方式（40年・据置なし）</t>
        </is>
      </c>
      <c r="D162" s="34" t="n">
        <v>62682</v>
      </c>
      <c r="E162" s="34" t="n">
        <v>53975</v>
      </c>
      <c r="G162" s="38" t="inlineStr">
        <is>
          <t>調査票＋量水器費|2.0|経営戦略方式（40年・据置なし）</t>
        </is>
      </c>
    </row>
    <row r="163">
      <c r="A163" s="33" t="inlineStr">
        <is>
          <t>調査票＋量水器費</t>
        </is>
      </c>
      <c r="B163" s="33" t="n">
        <v>2</v>
      </c>
      <c r="C163" s="33" t="inlineStr">
        <is>
          <t>調査票方式（25/40年・据置3年）</t>
        </is>
      </c>
      <c r="D163" s="34" t="n">
        <v>63824</v>
      </c>
      <c r="E163" s="34" t="n">
        <v>6627</v>
      </c>
      <c r="G163" s="38" t="inlineStr">
        <is>
          <t>調査票＋量水器費|2.0|調査票方式（25/40年・据置3年）</t>
        </is>
      </c>
    </row>
    <row r="164">
      <c r="A164" s="33" t="inlineStr">
        <is>
          <t>調査票＋量水器費</t>
        </is>
      </c>
      <c r="B164" s="33" t="n">
        <v>2.1</v>
      </c>
      <c r="C164" s="33" t="inlineStr">
        <is>
          <t>経営戦略方式（40年・据置なし）</t>
        </is>
      </c>
      <c r="D164" s="34" t="n">
        <v>65841</v>
      </c>
      <c r="E164" s="34" t="n">
        <v>52871</v>
      </c>
      <c r="G164" s="38" t="inlineStr">
        <is>
          <t>調査票＋量水器費|2.1|経営戦略方式（40年・据置なし）</t>
        </is>
      </c>
    </row>
    <row r="165">
      <c r="A165" s="33" t="inlineStr">
        <is>
          <t>調査票＋量水器費</t>
        </is>
      </c>
      <c r="B165" s="33" t="n">
        <v>2.1</v>
      </c>
      <c r="C165" s="33" t="inlineStr">
        <is>
          <t>調査票方式（25/40年・据置3年）</t>
        </is>
      </c>
      <c r="D165" s="34" t="n">
        <v>67015</v>
      </c>
      <c r="E165" s="34" t="n">
        <v>6512</v>
      </c>
      <c r="G165" s="38" t="inlineStr">
        <is>
          <t>調査票＋量水器費|2.1|調査票方式（25/40年・据置3年）</t>
        </is>
      </c>
    </row>
    <row r="166">
      <c r="A166" s="33" t="inlineStr">
        <is>
          <t>調査票＋量水器費</t>
        </is>
      </c>
      <c r="B166" s="33" t="n">
        <v>2.2</v>
      </c>
      <c r="C166" s="33" t="inlineStr">
        <is>
          <t>経営戦略方式（40年・据置なし）</t>
        </is>
      </c>
      <c r="D166" s="34" t="n">
        <v>69003</v>
      </c>
      <c r="E166" s="34" t="n">
        <v>51785</v>
      </c>
      <c r="G166" s="38" t="inlineStr">
        <is>
          <t>調査票＋量水器費|2.2|経営戦略方式（40年・据置なし）</t>
        </is>
      </c>
    </row>
    <row r="167">
      <c r="A167" s="33" t="inlineStr">
        <is>
          <t>調査票＋量水器費</t>
        </is>
      </c>
      <c r="B167" s="33" t="n">
        <v>2.2</v>
      </c>
      <c r="C167" s="33" t="inlineStr">
        <is>
          <t>調査票方式（25/40年・据置3年）</t>
        </is>
      </c>
      <c r="D167" s="34" t="n">
        <v>70206</v>
      </c>
      <c r="E167" s="34" t="n">
        <v>6399</v>
      </c>
      <c r="G167" s="38" t="inlineStr">
        <is>
          <t>調査票＋量水器費|2.2|調査票方式（25/40年・据置3年）</t>
        </is>
      </c>
    </row>
    <row r="168">
      <c r="A168" s="33" t="inlineStr">
        <is>
          <t>調査票＋量水器費</t>
        </is>
      </c>
      <c r="B168" s="33" t="n">
        <v>2.3</v>
      </c>
      <c r="C168" s="33" t="inlineStr">
        <is>
          <t>経営戦略方式（40年・据置なし）</t>
        </is>
      </c>
      <c r="D168" s="34" t="n">
        <v>72166</v>
      </c>
      <c r="E168" s="34" t="n">
        <v>50715</v>
      </c>
      <c r="G168" s="38" t="inlineStr">
        <is>
          <t>調査票＋量水器費|2.3|経営戦略方式（40年・据置なし）</t>
        </is>
      </c>
    </row>
    <row r="169">
      <c r="A169" s="33" t="inlineStr">
        <is>
          <t>調査票＋量水器費</t>
        </is>
      </c>
      <c r="B169" s="33" t="n">
        <v>2.3</v>
      </c>
      <c r="C169" s="33" t="inlineStr">
        <is>
          <t>調査票方式（25/40年・据置3年）</t>
        </is>
      </c>
      <c r="D169" s="34" t="n">
        <v>73398</v>
      </c>
      <c r="E169" s="34" t="n">
        <v>6287</v>
      </c>
      <c r="G169" s="38" t="inlineStr">
        <is>
          <t>調査票＋量水器費|2.3|調査票方式（25/40年・据置3年）</t>
        </is>
      </c>
    </row>
    <row r="170">
      <c r="A170" s="33" t="inlineStr">
        <is>
          <t>調査票＋量水器費</t>
        </is>
      </c>
      <c r="B170" s="33" t="n">
        <v>2.4</v>
      </c>
      <c r="C170" s="33" t="inlineStr">
        <is>
          <t>経営戦略方式（40年・据置なし）</t>
        </is>
      </c>
      <c r="D170" s="34" t="n">
        <v>75331</v>
      </c>
      <c r="E170" s="34" t="n">
        <v>49663</v>
      </c>
      <c r="G170" s="38" t="inlineStr">
        <is>
          <t>調査票＋量水器費|2.4|経営戦略方式（40年・据置なし）</t>
        </is>
      </c>
    </row>
    <row r="171">
      <c r="A171" s="33" t="inlineStr">
        <is>
          <t>調査票＋量水器費</t>
        </is>
      </c>
      <c r="B171" s="33" t="n">
        <v>2.4</v>
      </c>
      <c r="C171" s="33" t="inlineStr">
        <is>
          <t>調査票方式（25/40年・据置3年）</t>
        </is>
      </c>
      <c r="D171" s="34" t="n">
        <v>76589</v>
      </c>
      <c r="E171" s="34" t="n">
        <v>6177</v>
      </c>
      <c r="G171" s="38" t="inlineStr">
        <is>
          <t>調査票＋量水器費|2.4|調査票方式（25/40年・据置3年）</t>
        </is>
      </c>
    </row>
    <row r="172">
      <c r="A172" s="33" t="inlineStr">
        <is>
          <t>調査票＋量水器費</t>
        </is>
      </c>
      <c r="B172" s="33" t="n">
        <v>2.5</v>
      </c>
      <c r="C172" s="33" t="inlineStr">
        <is>
          <t>経営戦略方式（40年・据置なし）</t>
        </is>
      </c>
      <c r="D172" s="34" t="n">
        <v>78498</v>
      </c>
      <c r="E172" s="34" t="n">
        <v>48628</v>
      </c>
      <c r="G172" s="38" t="inlineStr">
        <is>
          <t>調査票＋量水器費|2.5|経営戦略方式（40年・据置なし）</t>
        </is>
      </c>
    </row>
    <row r="173">
      <c r="A173" s="33" t="inlineStr">
        <is>
          <t>調査票＋量水器費</t>
        </is>
      </c>
      <c r="B173" s="33" t="n">
        <v>2.5</v>
      </c>
      <c r="C173" s="33" t="inlineStr">
        <is>
          <t>調査票方式（25/40年・据置3年）</t>
        </is>
      </c>
      <c r="D173" s="34" t="n">
        <v>79780</v>
      </c>
      <c r="E173" s="34" t="n">
        <v>6068</v>
      </c>
      <c r="G173" s="38" t="inlineStr">
        <is>
          <t>調査票＋量水器費|2.5|調査票方式（25/40年・据置3年）</t>
        </is>
      </c>
    </row>
    <row r="174">
      <c r="A174" s="33" t="inlineStr">
        <is>
          <t>調査票＋量水器費</t>
        </is>
      </c>
      <c r="B174" s="33" t="n">
        <v>2.6</v>
      </c>
      <c r="C174" s="33" t="inlineStr">
        <is>
          <t>経営戦略方式（40年・据置なし）</t>
        </is>
      </c>
      <c r="D174" s="34" t="n">
        <v>81666</v>
      </c>
      <c r="E174" s="34" t="n">
        <v>47609</v>
      </c>
      <c r="G174" s="38" t="inlineStr">
        <is>
          <t>調査票＋量水器費|2.6|経営戦略方式（40年・据置なし）</t>
        </is>
      </c>
    </row>
    <row r="175">
      <c r="A175" s="33" t="inlineStr">
        <is>
          <t>調査票＋量水器費</t>
        </is>
      </c>
      <c r="B175" s="33" t="n">
        <v>2.6</v>
      </c>
      <c r="C175" s="33" t="inlineStr">
        <is>
          <t>調査票方式（25/40年・据置3年）</t>
        </is>
      </c>
      <c r="D175" s="34" t="n">
        <v>82971</v>
      </c>
      <c r="E175" s="34" t="n">
        <v>5962</v>
      </c>
      <c r="G175" s="38" t="inlineStr">
        <is>
          <t>調査票＋量水器費|2.6|調査票方式（25/40年・据置3年）</t>
        </is>
      </c>
    </row>
    <row r="176">
      <c r="A176" s="33" t="inlineStr">
        <is>
          <t>調査票＋量水器費</t>
        </is>
      </c>
      <c r="B176" s="33" t="n">
        <v>2.7</v>
      </c>
      <c r="C176" s="33" t="inlineStr">
        <is>
          <t>経営戦略方式（40年・据置なし）</t>
        </is>
      </c>
      <c r="D176" s="34" t="n">
        <v>84836</v>
      </c>
      <c r="E176" s="34" t="n">
        <v>46608</v>
      </c>
      <c r="G176" s="38" t="inlineStr">
        <is>
          <t>調査票＋量水器費|2.7|経営戦略方式（40年・据置なし）</t>
        </is>
      </c>
    </row>
    <row r="177">
      <c r="A177" s="33" t="inlineStr">
        <is>
          <t>調査票＋量水器費</t>
        </is>
      </c>
      <c r="B177" s="33" t="n">
        <v>2.7</v>
      </c>
      <c r="C177" s="33" t="inlineStr">
        <is>
          <t>調査票方式（25/40年・据置3年）</t>
        </is>
      </c>
      <c r="D177" s="34" t="n">
        <v>86162</v>
      </c>
      <c r="E177" s="34" t="n">
        <v>5856</v>
      </c>
      <c r="G177" s="38" t="inlineStr">
        <is>
          <t>調査票＋量水器費|2.7|調査票方式（25/40年・据置3年）</t>
        </is>
      </c>
    </row>
    <row r="178">
      <c r="A178" s="33" t="inlineStr">
        <is>
          <t>調査票＋量水器費</t>
        </is>
      </c>
      <c r="B178" s="33" t="n">
        <v>2.8</v>
      </c>
      <c r="C178" s="33" t="inlineStr">
        <is>
          <t>経営戦略方式（40年・据置なし）</t>
        </is>
      </c>
      <c r="D178" s="34" t="n">
        <v>88008</v>
      </c>
      <c r="E178" s="34" t="n">
        <v>45623</v>
      </c>
      <c r="G178" s="38" t="inlineStr">
        <is>
          <t>調査票＋量水器費|2.8|経営戦略方式（40年・据置なし）</t>
        </is>
      </c>
    </row>
    <row r="179">
      <c r="A179" s="33" t="inlineStr">
        <is>
          <t>調査票＋量水器費</t>
        </is>
      </c>
      <c r="B179" s="33" t="n">
        <v>2.8</v>
      </c>
      <c r="C179" s="33" t="inlineStr">
        <is>
          <t>調査票方式（25/40年・据置3年）</t>
        </is>
      </c>
      <c r="D179" s="34" t="n">
        <v>89354</v>
      </c>
      <c r="E179" s="34" t="n">
        <v>5753</v>
      </c>
      <c r="G179" s="38" t="inlineStr">
        <is>
          <t>調査票＋量水器費|2.8|調査票方式（25/40年・据置3年）</t>
        </is>
      </c>
    </row>
    <row r="180">
      <c r="A180" s="33" t="inlineStr">
        <is>
          <t>調査票＋量水器費</t>
        </is>
      </c>
      <c r="B180" s="33" t="n">
        <v>2.9</v>
      </c>
      <c r="C180" s="33" t="inlineStr">
        <is>
          <t>経営戦略方式（40年・据置なし）</t>
        </is>
      </c>
      <c r="D180" s="34" t="n">
        <v>91182</v>
      </c>
      <c r="E180" s="34" t="n">
        <v>44654</v>
      </c>
      <c r="G180" s="38" t="inlineStr">
        <is>
          <t>調査票＋量水器費|2.9|経営戦略方式（40年・据置なし）</t>
        </is>
      </c>
    </row>
    <row r="181">
      <c r="A181" s="33" t="inlineStr">
        <is>
          <t>調査票＋量水器費</t>
        </is>
      </c>
      <c r="B181" s="33" t="n">
        <v>2.9</v>
      </c>
      <c r="C181" s="33" t="inlineStr">
        <is>
          <t>調査票方式（25/40年・据置3年）</t>
        </is>
      </c>
      <c r="D181" s="34" t="n">
        <v>92545</v>
      </c>
      <c r="E181" s="34" t="n">
        <v>5651</v>
      </c>
      <c r="G181" s="38" t="inlineStr">
        <is>
          <t>調査票＋量水器費|2.9|調査票方式（25/40年・据置3年）</t>
        </is>
      </c>
    </row>
    <row r="182">
      <c r="A182" s="33" t="inlineStr">
        <is>
          <t>調査票＋量水器費</t>
        </is>
      </c>
      <c r="B182" s="33" t="n">
        <v>3</v>
      </c>
      <c r="C182" s="33" t="inlineStr">
        <is>
          <t>経営戦略方式（40年・据置なし）</t>
        </is>
      </c>
      <c r="D182" s="34" t="n">
        <v>94357</v>
      </c>
      <c r="E182" s="34" t="n">
        <v>43702</v>
      </c>
      <c r="G182" s="38" t="inlineStr">
        <is>
          <t>調査票＋量水器費|3.0|経営戦略方式（40年・据置なし）</t>
        </is>
      </c>
    </row>
    <row r="183">
      <c r="A183" s="33" t="inlineStr">
        <is>
          <t>調査票＋量水器費</t>
        </is>
      </c>
      <c r="B183" s="33" t="n">
        <v>3</v>
      </c>
      <c r="C183" s="33" t="inlineStr">
        <is>
          <t>調査票方式（25/40年・据置3年）</t>
        </is>
      </c>
      <c r="D183" s="34" t="n">
        <v>95736</v>
      </c>
      <c r="E183" s="34" t="n">
        <v>5550</v>
      </c>
      <c r="G183" s="38" t="inlineStr">
        <is>
          <t>調査票＋量水器費|3.0|調査票方式（25/40年・据置3年）</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showGridLines="0" workbookViewId="0">
      <selection activeCell="A1" sqref="A1"/>
    </sheetView>
  </sheetViews>
  <sheetFormatPr baseColWidth="8" defaultRowHeight="15"/>
  <cols>
    <col width="4" customWidth="1" min="1" max="1"/>
    <col width="40" customWidth="1" min="2" max="2"/>
    <col width="17" customWidth="1" min="3" max="3"/>
    <col width="15" customWidth="1" min="4" max="4"/>
    <col width="13" customWidth="1" min="5" max="5"/>
    <col width="13" customWidth="1" min="6" max="6"/>
    <col width="13" customWidth="1" min="7" max="7"/>
    <col width="13" customWidth="1" min="8" max="8"/>
    <col width="13" customWidth="1" min="9" max="9"/>
    <col width="13" customWidth="1" min="10" max="10"/>
  </cols>
  <sheetData>
    <row r="1" ht="24" customHeight="1">
      <c r="A1" s="1" t="inlineStr">
        <is>
          <t>主要ケースの計算結果一覧</t>
        </is>
      </c>
    </row>
    <row r="2">
      <c r="A2" s="2" t="inlineStr">
        <is>
          <t>「01_設定」で選択できる組み合わせのうち、代表的なものを並べたものです。金額は千円。</t>
        </is>
      </c>
    </row>
    <row r="4">
      <c r="A4" s="5" t="inlineStr"/>
      <c r="B4" s="5" t="inlineStr">
        <is>
          <t>ケース</t>
        </is>
      </c>
      <c r="C4" s="5" t="inlineStr">
        <is>
          <t>総括原価5年計</t>
        </is>
      </c>
      <c r="D4" s="5" t="inlineStr">
        <is>
          <t>給水原価(円/㎥)</t>
        </is>
      </c>
      <c r="E4" s="5" t="inlineStr">
        <is>
          <t>料金回収率</t>
        </is>
      </c>
      <c r="F4" s="5" t="inlineStr">
        <is>
          <t>年間不足額</t>
        </is>
      </c>
      <c r="G4" s="5" t="inlineStr">
        <is>
          <t>必要改定率</t>
        </is>
      </c>
      <c r="H4" s="5" t="inlineStr">
        <is>
          <t>維持管理費</t>
        </is>
      </c>
      <c r="I4" s="5" t="inlineStr">
        <is>
          <t>減価償却費</t>
        </is>
      </c>
      <c r="J4" s="5" t="inlineStr">
        <is>
          <t>控除計</t>
        </is>
      </c>
    </row>
    <row r="5">
      <c r="B5" s="39" t="inlineStr">
        <is>
          <t>① 経営戦略の前提をそのまま使う</t>
        </is>
      </c>
      <c r="C5" s="40" t="n">
        <v>956537.3</v>
      </c>
      <c r="D5" s="41" t="n">
        <v>221.6</v>
      </c>
      <c r="E5" s="42" t="n">
        <v>0.6</v>
      </c>
      <c r="F5" s="40" t="n">
        <v>73138.5</v>
      </c>
      <c r="G5" s="43" t="n">
        <v>1.6</v>
      </c>
      <c r="H5" s="40" t="n">
        <v>672327</v>
      </c>
      <c r="I5" s="40" t="n">
        <v>364010.5</v>
      </c>
      <c r="J5" s="40" t="n">
        <v>-299491</v>
      </c>
    </row>
    <row r="6">
      <c r="B6" s="39" t="inlineStr">
        <is>
          <t>② 成果品（現行）の前提</t>
        </is>
      </c>
      <c r="C6" s="40" t="n">
        <v>2552198.8</v>
      </c>
      <c r="D6" s="41" t="n">
        <v>591.3</v>
      </c>
      <c r="E6" s="42" t="n">
        <v>0.2</v>
      </c>
      <c r="F6" s="40" t="n">
        <v>392270.8</v>
      </c>
      <c r="G6" s="43" t="n">
        <v>4.3</v>
      </c>
      <c r="H6" s="40" t="n">
        <v>672327</v>
      </c>
      <c r="I6" s="40" t="n">
        <v>2032440</v>
      </c>
      <c r="J6" s="40" t="n">
        <v>-465000</v>
      </c>
    </row>
    <row r="7">
      <c r="B7" s="21" t="inlineStr">
        <is>
          <t>③ ②に建設改良費調査票だけ反映</t>
        </is>
      </c>
      <c r="C7" s="40" t="n">
        <v>2460778.1</v>
      </c>
      <c r="D7" s="41" t="n">
        <v>570.2</v>
      </c>
      <c r="E7" s="42" t="n">
        <v>0.2</v>
      </c>
      <c r="F7" s="40" t="n">
        <v>373986.6</v>
      </c>
      <c r="G7" s="43" t="n">
        <v>4.2</v>
      </c>
      <c r="H7" s="40" t="n">
        <v>672327</v>
      </c>
      <c r="I7" s="40" t="n">
        <v>1961661.1</v>
      </c>
      <c r="J7" s="40" t="n">
        <v>-465000</v>
      </c>
    </row>
    <row r="8">
      <c r="B8" s="21" t="inlineStr">
        <is>
          <t>④ ③＋長期前受金戻入を実額に</t>
        </is>
      </c>
      <c r="C8" s="40" t="n">
        <v>1345321.7</v>
      </c>
      <c r="D8" s="41" t="n">
        <v>311.7</v>
      </c>
      <c r="E8" s="42" t="n">
        <v>0.4</v>
      </c>
      <c r="F8" s="40" t="n">
        <v>150895.3</v>
      </c>
      <c r="G8" s="43" t="n">
        <v>2.3</v>
      </c>
      <c r="H8" s="40" t="n">
        <v>672327</v>
      </c>
      <c r="I8" s="40" t="n">
        <v>1961661.1</v>
      </c>
      <c r="J8" s="40" t="n">
        <v>-1580456.4</v>
      </c>
    </row>
    <row r="9">
      <c r="B9" s="39" t="inlineStr">
        <is>
          <t>⑤ ④＋動力費・薬品費を補正【確定した前提】</t>
        </is>
      </c>
      <c r="C9" s="40" t="n">
        <v>1407488.7</v>
      </c>
      <c r="D9" s="41" t="n">
        <v>326.1</v>
      </c>
      <c r="E9" s="42" t="n">
        <v>0.4</v>
      </c>
      <c r="F9" s="40" t="n">
        <v>163328.7</v>
      </c>
      <c r="G9" s="43" t="n">
        <v>2.4</v>
      </c>
      <c r="H9" s="40" t="n">
        <v>719494</v>
      </c>
      <c r="I9" s="40" t="n">
        <v>1961661.1</v>
      </c>
      <c r="J9" s="40" t="n">
        <v>-1565456.4</v>
      </c>
    </row>
    <row r="10">
      <c r="B10" s="21" t="inlineStr">
        <is>
          <t>⑥ ⑤＋他会計補助金272,997を控除（繰出基準が変わる場合）</t>
        </is>
      </c>
      <c r="C10" s="40" t="n">
        <v>1134491.7</v>
      </c>
      <c r="D10" s="41" t="n">
        <v>262.9</v>
      </c>
      <c r="E10" s="42" t="n">
        <v>0.5</v>
      </c>
      <c r="F10" s="40" t="n">
        <v>108729.3</v>
      </c>
      <c r="G10" s="43" t="n">
        <v>1.9</v>
      </c>
      <c r="H10" s="40" t="n">
        <v>719494</v>
      </c>
      <c r="I10" s="40" t="n">
        <v>1961661.1</v>
      </c>
      <c r="J10" s="40" t="n">
        <v>-1838453.4</v>
      </c>
    </row>
    <row r="11">
      <c r="B11" s="21" t="inlineStr">
        <is>
          <t>⑦ ⑤＋他会計補助金＋補助金691,997を控除</t>
        </is>
      </c>
      <c r="C11" s="40" t="n">
        <v>715491.7</v>
      </c>
      <c r="D11" s="41" t="n">
        <v>165.8</v>
      </c>
      <c r="E11" s="42" t="n">
        <v>0.8</v>
      </c>
      <c r="F11" s="40" t="n">
        <v>24929.3</v>
      </c>
      <c r="G11" s="43" t="n">
        <v>1.2</v>
      </c>
      <c r="H11" s="40" t="n">
        <v>719494</v>
      </c>
      <c r="I11" s="40" t="n">
        <v>1961661.1</v>
      </c>
      <c r="J11" s="40" t="n">
        <v>-2257453.4</v>
      </c>
    </row>
    <row r="12">
      <c r="B12" s="21" t="inlineStr">
        <is>
          <t>⑧ ⑤＋機械・電気を20年償却</t>
        </is>
      </c>
      <c r="C12" s="40" t="n">
        <v>1478953.4</v>
      </c>
      <c r="D12" s="41" t="n">
        <v>342.7</v>
      </c>
      <c r="E12" s="42" t="n">
        <v>0.4</v>
      </c>
      <c r="F12" s="40" t="n">
        <v>177621.7</v>
      </c>
      <c r="G12" s="43" t="n">
        <v>2.5</v>
      </c>
      <c r="H12" s="40" t="n">
        <v>719494</v>
      </c>
      <c r="I12" s="40" t="n">
        <v>2033125.8</v>
      </c>
      <c r="J12" s="40" t="n">
        <v>-1565456.4</v>
      </c>
    </row>
    <row r="13">
      <c r="B13" s="21" t="inlineStr">
        <is>
          <t>⑨ ⑤＋量水器費を戻す</t>
        </is>
      </c>
      <c r="C13" s="40" t="n">
        <v>1415936.8</v>
      </c>
      <c r="D13" s="41" t="n">
        <v>328.1</v>
      </c>
      <c r="E13" s="42" t="n">
        <v>0.4</v>
      </c>
      <c r="F13" s="40" t="n">
        <v>165018.4</v>
      </c>
      <c r="G13" s="43" t="n">
        <v>2.4</v>
      </c>
      <c r="H13" s="40" t="n">
        <v>719494</v>
      </c>
      <c r="I13" s="40" t="n">
        <v>1966397.9</v>
      </c>
      <c r="J13" s="40" t="n">
        <v>-1565456.4</v>
      </c>
    </row>
    <row r="14">
      <c r="B14" s="21" t="inlineStr">
        <is>
          <t>⑩ ⑤＋借入利率3.0％</t>
        </is>
      </c>
      <c r="C14" s="40" t="n">
        <v>1434396.3</v>
      </c>
      <c r="D14" s="41" t="n">
        <v>332.3</v>
      </c>
      <c r="E14" s="42" t="n">
        <v>0.4</v>
      </c>
      <c r="F14" s="40" t="n">
        <v>168710.3</v>
      </c>
      <c r="G14" s="43" t="n">
        <v>2.4</v>
      </c>
      <c r="H14" s="40" t="n">
        <v>719494</v>
      </c>
      <c r="I14" s="40" t="n">
        <v>1961661.1</v>
      </c>
      <c r="J14" s="40" t="n">
        <v>-1565456.4</v>
      </c>
    </row>
    <row r="15">
      <c r="B15" s="21" t="inlineStr">
        <is>
          <t>⑪ ⑤で減価償却を固定資産台帳ベースに</t>
        </is>
      </c>
      <c r="C15" s="40" t="n">
        <v>1296668.7</v>
      </c>
      <c r="D15" s="41" t="n">
        <v>300.4</v>
      </c>
      <c r="E15" s="42" t="n">
        <v>0.4</v>
      </c>
      <c r="F15" s="40" t="n">
        <v>141164.7</v>
      </c>
      <c r="G15" s="43" t="n">
        <v>2.2</v>
      </c>
      <c r="H15" s="40" t="n">
        <v>719494</v>
      </c>
      <c r="I15" s="40" t="n">
        <v>285384.7</v>
      </c>
      <c r="J15" s="40" t="n">
        <v>0</v>
      </c>
    </row>
    <row r="16">
      <c r="B16" s="21" t="inlineStr">
        <is>
          <t>⑫ ⑤＋その他営業収益等を控除し雑支出を算入</t>
        </is>
      </c>
      <c r="C16" s="40" t="n">
        <v>1417690.7</v>
      </c>
      <c r="D16" s="41" t="n">
        <v>328.5</v>
      </c>
      <c r="E16" s="42" t="n">
        <v>0.4</v>
      </c>
      <c r="F16" s="40" t="n">
        <v>165369.1</v>
      </c>
      <c r="G16" s="43" t="n">
        <v>2.4</v>
      </c>
      <c r="H16" s="40" t="n">
        <v>719494</v>
      </c>
      <c r="I16" s="40" t="n">
        <v>1961661.1</v>
      </c>
      <c r="J16" s="40" t="n">
        <v>-1591950.4</v>
      </c>
    </row>
    <row r="18">
      <c r="B18" s="44" t="inlineStr">
        <is>
          <t>▼ 読み取り方</t>
        </is>
      </c>
    </row>
    <row r="19">
      <c r="B19" s="12" t="inlineStr">
        <is>
          <t>・①と②の差が、経営戦略と成果品の前提の違いによるものです。建設改良費の改定より、控除項目の扱いの方が影響が大きくなっています。</t>
        </is>
      </c>
    </row>
    <row r="20">
      <c r="B20" s="12" t="inlineStr">
        <is>
          <t>・②→④で給水原価が大きく下がるのは、長期前受金戻入益を推計値450,000千円から実額1,542,259千円に置き換えたためです。</t>
        </is>
      </c>
    </row>
    <row r="21">
      <c r="B21" s="12" t="inlineStr">
        <is>
          <t>・⑤は繰入金を控除しない前提です。経営戦略報告書案が「繰出基準以外の繰出金で補填している」と述べているためで、基準内と認められる分があれば⑥⑦の水準まで下がります。</t>
        </is>
      </c>
    </row>
    <row r="22">
      <c r="B22" s="12" t="inlineStr">
        <is>
          <t>・⑪は減価償却費を経営戦略と同じ固定資産台帳ベースに揃えたもので、①に近づきます。</t>
        </is>
      </c>
    </row>
    <row r="23">
      <c r="B23" s="12" t="inlineStr">
        <is>
          <t>・⑧⑨⑩は、確定していない前提（機械電気の耐用年数・量水器費・借入利率）が振れた場合の幅を示しています。</t>
        </is>
      </c>
    </row>
  </sheetData>
  <mergeCells count="8">
    <mergeCell ref="A1:J1"/>
    <mergeCell ref="B19:J19"/>
    <mergeCell ref="B20:J20"/>
    <mergeCell ref="B22:J22"/>
    <mergeCell ref="B23:J23"/>
    <mergeCell ref="B18:J18"/>
    <mergeCell ref="A2:J2"/>
    <mergeCell ref="B21:J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4" customWidth="1" min="1" max="1"/>
    <col width="30" customWidth="1" min="2" max="2"/>
    <col width="34" customWidth="1" min="3" max="3"/>
    <col width="30" customWidth="1" min="4" max="4"/>
    <col width="3" customWidth="1" min="5" max="5"/>
    <col width="3" customWidth="1" min="6" max="6"/>
    <col width="60" customWidth="1" min="7" max="7"/>
    <col width="3" customWidth="1" min="8" max="8"/>
  </cols>
  <sheetData>
    <row r="1" ht="24" customHeight="1">
      <c r="A1" s="1" t="inlineStr">
        <is>
          <t>主要な数値の参照元</t>
        </is>
      </c>
    </row>
    <row r="2">
      <c r="A2" s="2" t="inlineStr">
        <is>
          <t>各数値がどのファイル・シート・行から来ているかの対応表です。</t>
        </is>
      </c>
    </row>
    <row r="4">
      <c r="A4" s="4" t="inlineStr">
        <is>
          <t>【A】控除項目</t>
        </is>
      </c>
    </row>
    <row r="5">
      <c r="A5" s="5" t="inlineStr"/>
      <c r="B5" s="5" t="inlineStr">
        <is>
          <t>項目</t>
        </is>
      </c>
      <c r="C5" s="5" t="inlineStr">
        <is>
          <t>参照元</t>
        </is>
      </c>
      <c r="D5" s="5" t="inlineStr">
        <is>
          <t>値</t>
        </is>
      </c>
      <c r="E5" s="5" t="inlineStr"/>
      <c r="F5" s="5" t="inlineStr"/>
      <c r="G5" s="5" t="inlineStr">
        <is>
          <t>確認結果</t>
        </is>
      </c>
    </row>
    <row r="6" ht="44" customHeight="1">
      <c r="A6" s="6" t="n">
        <v>1</v>
      </c>
      <c r="B6" s="29" t="inlineStr">
        <is>
          <t>長期前受金戻入益（既往資産分）</t>
        </is>
      </c>
      <c r="C6" s="30" t="inlineStr">
        <is>
          <t>経営戦略試算シート【成行】財政シミュ r17</t>
        </is>
      </c>
      <c r="D6" s="30" t="inlineStr">
        <is>
          <t>R8 329,946／R9 324,870／R10 311,865／R11 299,986／R12 290,154（5年計1,542,259）</t>
        </is>
      </c>
      <c r="G6" s="30" t="inlineStr">
        <is>
          <t>全年度が直接入力の固定値。根拠欄は「固定資産台帳データに基づく算定額」。固定資産台帳そのものは同ブックに含まれていない。実績（【PL】決算数値入力 r26）はR3 336,382／R4 419,320／R5 336,409で、見込額はこの水準と整合している。</t>
        </is>
      </c>
    </row>
    <row r="7" ht="44" customHeight="1">
      <c r="A7" s="6" t="n">
        <v>2</v>
      </c>
      <c r="B7" s="29" t="inlineStr">
        <is>
          <t>長期前受金戻入益（新規取得分）</t>
        </is>
      </c>
      <c r="C7" s="30" t="inlineStr">
        <is>
          <t>【成行】財政シミュ r18 ＝ 新規取得!P5</t>
        </is>
      </c>
      <c r="D7" s="30" t="inlineStr">
        <is>
          <t>R8 0／R9 1,667／R10 2,982／R11 4,298／R12 5,614</t>
        </is>
      </c>
      <c r="G7" s="30" t="inlineStr">
        <is>
          <t>国庫補助金を38年で収益化。新規取得シートH3の式は 財政シミュ!$V$77/38。</t>
        </is>
      </c>
    </row>
    <row r="8" ht="44" customHeight="1">
      <c r="A8" s="6" t="n">
        <v>3</v>
      </c>
      <c r="B8" s="29" t="inlineStr">
        <is>
          <t>成果品の推計値</t>
        </is>
      </c>
      <c r="C8" s="30" t="inlineStr">
        <is>
          <t>01_rate_reform_simulation_MAIN.xlsx 02_総括原価 C13:G13</t>
        </is>
      </c>
      <c r="D8" s="30" t="inlineStr">
        <is>
          <t>R8 ▲94,000／R9 ▲92,000／R10 ▲90,000／R11 ▲88,000／R12 ▲86,000（5年計450,000）</t>
        </is>
      </c>
      <c r="G8" s="30" t="inlineStr">
        <is>
          <t>注記は「（推計）非キャッシュ控除。減価償却費の約22%を相殺」。経営戦略の見込額はR8で減価償却費の83%、5年平均で77%にあたり、推計値は約3.4分の1。</t>
        </is>
      </c>
    </row>
    <row r="9" ht="44" customHeight="1">
      <c r="A9" s="6" t="n">
        <v>4</v>
      </c>
      <c r="B9" s="29" t="inlineStr">
        <is>
          <t>他会計補助金（収益的収入）</t>
        </is>
      </c>
      <c r="C9" s="30" t="inlineStr">
        <is>
          <t>【成行】財政シミュ r13 ＝ r44＋r59</t>
        </is>
      </c>
      <c r="D9" s="30" t="inlineStr">
        <is>
          <t>R8 38,617／R9 47,830／R10 55,812／R11 63,330／R12 67,408（5年計272,997）</t>
        </is>
      </c>
      <c r="G9" s="30" t="inlineStr">
        <is>
          <t>総係費の人件費（r44）と支払利息（r59）の合計。根拠欄は「現状の算定式（＝減価償却費＋人件費＋支払利息）」と書かれているが、式に減価償却費は入っていない。</t>
        </is>
      </c>
    </row>
    <row r="10" ht="44" customHeight="1">
      <c r="A10" s="6" t="n">
        <v>5</v>
      </c>
      <c r="B10" s="29" t="inlineStr">
        <is>
          <t>補助金（収益的収入）</t>
        </is>
      </c>
      <c r="C10" s="30" t="inlineStr">
        <is>
          <t>【成行】財政シミュ r14</t>
        </is>
      </c>
      <c r="D10" s="30" t="inlineStr">
        <is>
          <t>R8 59,000／R9〜R12 各90,000（5年計419,000）</t>
        </is>
      </c>
      <c r="G10" s="30" t="inlineStr">
        <is>
          <t>直接入力の固定値で根拠欄なし。料金改定後シートでは同じ行が「既往債の支払利息（r60）」に置き換わっており、2つのシートで中身が食い違っている。</t>
        </is>
      </c>
    </row>
    <row r="11" ht="44" customHeight="1">
      <c r="A11" s="6" t="n">
        <v>6</v>
      </c>
      <c r="B11" s="29" t="inlineStr">
        <is>
          <t>他会計補助金（資本的収入）</t>
        </is>
      </c>
      <c r="C11" s="30" t="inlineStr">
        <is>
          <t>【成行】財政シミュ r76</t>
        </is>
      </c>
      <c r="D11" s="30" t="inlineStr">
        <is>
          <t>R8〜R17 各3,000</t>
        </is>
      </c>
      <c r="G11" s="30" t="inlineStr">
        <is>
          <t>直接入力の固定値。根拠欄は「R6以降はゼロ」とあり、値と矛盾している。</t>
        </is>
      </c>
    </row>
    <row r="12" ht="44" customHeight="1">
      <c r="A12" s="6" t="n">
        <v>7</v>
      </c>
      <c r="B12" s="29" t="inlineStr">
        <is>
          <t>他会計補助（元金償還）</t>
        </is>
      </c>
      <c r="C12" s="30" t="inlineStr">
        <is>
          <t>【成行】財政シミュ (料金改定後) r79 ＝ r97</t>
        </is>
      </c>
      <c r="D12" s="30" t="inlineStr">
        <is>
          <t>R8 30,882／R9 44,652／R10 38,509／R11 47,923／R12 53,577</t>
        </is>
      </c>
      <c r="G12" s="30" t="inlineStr">
        <is>
          <t>★資本的収入の最下段。R6末の既往債の元金償還額と同額で、企業債元金償還に対する繰出。繰出基準に該当する典型例だが、資本的収支のため収益的収支の総括原価には入らない。成行シートには計上されていない（同じ行は「固定資産売却代金・計上しない」）。</t>
        </is>
      </c>
    </row>
    <row r="13" ht="44" customHeight="1">
      <c r="A13" s="6" t="n">
        <v>8</v>
      </c>
      <c r="B13" s="29" t="inlineStr">
        <is>
          <t>出資金（資本的収入）</t>
        </is>
      </c>
      <c r="C13" s="30" t="inlineStr">
        <is>
          <t>【成行】財政シミュ r75</t>
        </is>
      </c>
      <c r="D13" s="30" t="inlineStr">
        <is>
          <t>R8 515,000（＝65,000＋450,000）／R9 495,000／R10 60,000／R11 40,000／R12以降 20,000</t>
        </is>
      </c>
      <c r="G13" s="30" t="inlineStr">
        <is>
          <t>直接入力の固定値。根拠欄は「予定額」。</t>
        </is>
      </c>
    </row>
    <row r="15">
      <c r="A15" s="4" t="inlineStr">
        <is>
          <t>【B】経営戦略報告書案の記載</t>
        </is>
      </c>
    </row>
    <row r="16">
      <c r="A16" s="5" t="inlineStr"/>
      <c r="B16" s="5" t="inlineStr">
        <is>
          <t>箇所</t>
        </is>
      </c>
      <c r="C16" s="5" t="inlineStr">
        <is>
          <t>記載内容</t>
        </is>
      </c>
      <c r="D16" s="5" t="inlineStr"/>
      <c r="E16" s="5" t="inlineStr"/>
      <c r="F16" s="5" t="inlineStr"/>
      <c r="G16" s="5" t="inlineStr">
        <is>
          <t>読み取れること</t>
        </is>
      </c>
    </row>
    <row r="17" ht="46" customHeight="1">
      <c r="A17" s="6" t="n">
        <v>1</v>
      </c>
      <c r="B17" s="29" t="inlineStr">
        <is>
          <t>3-8 ⑹料金回収率</t>
        </is>
      </c>
      <c r="C17" s="30" t="inlineStr">
        <is>
          <t>数値が低く、国が定める繰出基準以外の繰出金によって収入不足を補填している状況で、今後も施設更新の予定がありますが、料金改定を行うのか施設更新（投資規模）を先送り又は縮小するのか判断が求められます。</t>
        </is>
      </c>
      <c r="D17" s="31" t="n"/>
      <c r="E17" s="15" t="n"/>
      <c r="G17" s="32" t="inlineStr">
        <is>
          <t>現在の繰入金の相当部分が基準外（赤字補填）であると本文が明言している。</t>
        </is>
      </c>
    </row>
    <row r="18" ht="46" customHeight="1">
      <c r="A18" s="6" t="n">
        <v>2</v>
      </c>
      <c r="B18" s="29" t="inlineStr">
        <is>
          <t>4-1 ⑷一般会計繰入金</t>
        </is>
      </c>
      <c r="C18" s="30" t="inlineStr">
        <is>
          <t>過去の一般会計からの繰入手法（現金部分の赤字補填）により算定しました。</t>
        </is>
      </c>
      <c r="D18" s="31" t="n"/>
      <c r="E18" s="15" t="n"/>
      <c r="G18" s="32" t="inlineStr">
        <is>
          <t>財政シミュの繰入金は赤字補填額として算定されており、繰出基準に基づく積上げではない。</t>
        </is>
      </c>
    </row>
    <row r="19" ht="46" customHeight="1">
      <c r="A19" s="6" t="n">
        <v>3</v>
      </c>
      <c r="B19" s="29" t="inlineStr">
        <is>
          <t>4-1 ⑹支払利息</t>
        </is>
      </c>
      <c r="C19" s="30" t="inlineStr">
        <is>
          <t>企業債残高に地方債の加重平均借入利率（2.1％）を乗じて試算しました。</t>
        </is>
      </c>
      <c r="D19" s="31" t="n"/>
      <c r="E19" s="15" t="n"/>
      <c r="G19" s="32" t="inlineStr">
        <is>
          <t>借入利率は2.1％。ただし財政シミュr61の根拠欄には「1.79％」と別の数値が残っている。</t>
        </is>
      </c>
    </row>
    <row r="20" ht="46" customHeight="1">
      <c r="A20" s="6" t="n">
        <v>4</v>
      </c>
      <c r="B20" s="29" t="inlineStr">
        <is>
          <t>4-1 ⑺企業債償還金</t>
        </is>
      </c>
      <c r="C20" s="30" t="inlineStr">
        <is>
          <t>建設改良費から補助金収入を控除した残額を企業債で充当し、借入年度の翌年度から40年にわたり元利均等で返済すると仮定して試算しました。</t>
        </is>
      </c>
      <c r="D20" s="31" t="n"/>
      <c r="E20" s="15" t="n"/>
      <c r="G20" s="32" t="inlineStr">
        <is>
          <t>据置期間は設定されていない。調査票は据置3年。</t>
        </is>
      </c>
    </row>
    <row r="21" ht="46" customHeight="1">
      <c r="A21" s="6" t="n">
        <v>5</v>
      </c>
      <c r="B21" s="29" t="inlineStr">
        <is>
          <t>4-5 ⑵②企業債</t>
        </is>
      </c>
      <c r="C21" s="30" t="inlineStr">
        <is>
          <t>新たに高度処理施設の整備のほか、老朽管布設替えや水道施設耐震化など将来の更新投資に伴い、企業債の元利償還金の額が増加する見込みです。</t>
        </is>
      </c>
      <c r="D21" s="31" t="n"/>
      <c r="E21" s="15" t="n"/>
      <c r="G21" s="32" t="inlineStr">
        <is>
          <t>調査票のNo.1〜No.3と対応している。北上川導水管への言及はない。</t>
        </is>
      </c>
    </row>
    <row r="22" ht="46" customHeight="1">
      <c r="A22" s="6" t="n">
        <v>6</v>
      </c>
      <c r="B22" s="29" t="inlineStr">
        <is>
          <t>4-5 ⑵③繰入金</t>
        </is>
      </c>
      <c r="C22" s="30" t="inlineStr">
        <is>
          <t>企業債償還及び施設改良費等を水道料金等収入だけで賄うことが困難な状況にあることから、一般会計から一定額を繰入を行う計画となっています。国の定める繰出基準内の繰入金はもとより、不採算地域となる出島地区・江島地区に対する費用負担について、一般会計側との協議を継続していきます。</t>
        </is>
      </c>
      <c r="D22" s="31" t="n"/>
      <c r="E22" s="15" t="n"/>
      <c r="G22" s="32" t="inlineStr">
        <is>
          <t>基準内繰入は既にあり、それに加えて離島分の基準外繰入を求めていく方針。</t>
        </is>
      </c>
    </row>
    <row r="23" ht="46" customHeight="1">
      <c r="A23" s="6" t="n">
        <v>7</v>
      </c>
      <c r="B23" s="29" t="inlineStr">
        <is>
          <t>5 ⑶一般会計繰入金</t>
        </is>
      </c>
      <c r="C23" s="30" t="inlineStr">
        <is>
          <t>離半島地区での施設整備には、国の定める基準内繰入金のほかに、地域的事情によるものとして基準外繰入金により整備することが必要となるので、一般会計での負担ができないか検討・協議を行っていきます。</t>
        </is>
      </c>
      <c r="D23" s="31" t="n"/>
      <c r="E23" s="15" t="n"/>
      <c r="G23" s="32" t="inlineStr">
        <is>
          <t>基準内と基準外を明確に区別して記述している。現時点では基準外の負担は未確定。</t>
        </is>
      </c>
    </row>
    <row r="24" ht="46" customHeight="1">
      <c r="A24" s="6" t="n">
        <v>8</v>
      </c>
      <c r="B24" s="29" t="inlineStr">
        <is>
          <t>2-2 現状</t>
        </is>
      </c>
      <c r="C24" s="30" t="inlineStr">
        <is>
          <t>今後は、本町から24km離れた一級河川・北上川（石巻市）からの導水管や東日本大震災後に未更新の管路、施設の更新による災害危機対策が求められています。</t>
        </is>
      </c>
      <c r="D24" s="31" t="n"/>
      <c r="E24" s="15" t="n"/>
      <c r="G24" s="32" t="inlineStr">
        <is>
          <t>★北上川導水管は「求められている課題」として書かれているだけで、投資計画には計上されていない。更新投資額の内訳（r119）の「取・導水管」は全年度ゼロ。</t>
        </is>
      </c>
    </row>
    <row r="26">
      <c r="A26" s="4" t="inlineStr">
        <is>
          <t>【C】経営戦略の原価計算表の作り（【料金算定】分解原価集計）</t>
        </is>
      </c>
    </row>
    <row r="27">
      <c r="A27" s="5" t="inlineStr"/>
      <c r="B27" s="5" t="inlineStr">
        <is>
          <t>費目</t>
        </is>
      </c>
      <c r="C27" s="5" t="inlineStr">
        <is>
          <t>算定式</t>
        </is>
      </c>
      <c r="D27" s="5" t="inlineStr">
        <is>
          <t>4年計（円）</t>
        </is>
      </c>
      <c r="E27" s="5" t="inlineStr"/>
      <c r="F27" s="5" t="inlineStr"/>
      <c r="G27" s="5" t="inlineStr">
        <is>
          <t>内容</t>
        </is>
      </c>
    </row>
    <row r="28" ht="40" customHeight="1">
      <c r="A28" s="6" t="n">
        <v>1</v>
      </c>
      <c r="B28" s="29" t="inlineStr">
        <is>
          <t>維持管理費（原浄水）</t>
        </is>
      </c>
      <c r="C28" s="30" t="inlineStr">
        <is>
          <t>期間原価集計!O24−O26−O27</t>
        </is>
      </c>
      <c r="D28" s="30" t="inlineStr">
        <is>
          <t>255,240,131</t>
        </is>
      </c>
      <c r="G28" s="30" t="inlineStr">
        <is>
          <t>原水及び浄水費から動力費・薬品費を除いた額。動力費・薬品費は変動費として別掲。</t>
        </is>
      </c>
    </row>
    <row r="29" ht="40" customHeight="1">
      <c r="A29" s="6" t="n">
        <v>2</v>
      </c>
      <c r="B29" s="29" t="inlineStr">
        <is>
          <t>維持管理費（配給水）</t>
        </is>
      </c>
      <c r="C29" s="30" t="inlineStr">
        <is>
          <t>期間原価集計!O32−O34−O35</t>
        </is>
      </c>
      <c r="D29" s="30" t="inlineStr">
        <is>
          <t>134,698,869</t>
        </is>
      </c>
      <c r="G29" s="30" t="inlineStr">
        <is>
          <t>配水及び給水費から同様に控除。</t>
        </is>
      </c>
    </row>
    <row r="30" ht="40" customHeight="1">
      <c r="A30" s="6" t="n">
        <v>3</v>
      </c>
      <c r="B30" s="29" t="inlineStr">
        <is>
          <t>維持管理費（その他管理）</t>
        </is>
      </c>
      <c r="C30" s="30" t="inlineStr">
        <is>
          <t>期間原価集計!O40</t>
        </is>
      </c>
      <c r="D30" s="30" t="inlineStr">
        <is>
          <t>130,727,396</t>
        </is>
      </c>
      <c r="G30" s="30" t="inlineStr">
        <is>
          <t>総係費。</t>
        </is>
      </c>
    </row>
    <row r="31" ht="40" customHeight="1">
      <c r="A31" s="6" t="n">
        <v>4</v>
      </c>
      <c r="B31" s="29" t="inlineStr">
        <is>
          <t>減価償却費等</t>
        </is>
      </c>
      <c r="C31" s="30" t="inlineStr">
        <is>
          <t>固定資産台帳集計結果 T6＋T7＋T8</t>
        </is>
      </c>
      <c r="D31" s="30" t="inlineStr">
        <is>
          <t>128,750,077</t>
        </is>
      </c>
      <c r="G31" s="30" t="inlineStr">
        <is>
          <t>★取水12,729,056＋浄水16,442,189＋配水99,578,832。損益計算書の減価償却費1,591,381,741ではなく、固定資産台帳の自己財源相当分のみ。補助財源で取得した資産の償却費は原価に入れない設計。</t>
        </is>
      </c>
    </row>
    <row r="32" ht="40" customHeight="1">
      <c r="A32" s="6" t="n">
        <v>5</v>
      </c>
      <c r="B32" s="29" t="inlineStr">
        <is>
          <t>支払利息</t>
        </is>
      </c>
      <c r="C32" s="30" t="inlineStr">
        <is>
          <t>固定資産台帳集計結果 T19＋T20＋T21</t>
        </is>
      </c>
      <c r="D32" s="30" t="inlineStr">
        <is>
          <t>39,061,345</t>
        </is>
      </c>
      <c r="G32" s="30" t="inlineStr">
        <is>
          <t>★H30末の既往債分のみ。期間原価集計O58の新規債利息32,793,807は算入されていない。</t>
        </is>
      </c>
    </row>
    <row r="33" ht="40" customHeight="1">
      <c r="A33" s="6" t="n">
        <v>6</v>
      </c>
      <c r="B33" s="29" t="inlineStr">
        <is>
          <t>資産維持費</t>
        </is>
      </c>
      <c r="C33" s="30" t="inlineStr">
        <is>
          <t>【料金算定】資産維持費!C12＋C13</t>
        </is>
      </c>
      <c r="D33" s="30" t="inlineStr">
        <is>
          <t>41,705,008</t>
        </is>
      </c>
      <c r="G33" s="30" t="inlineStr">
        <is>
          <t>対象資産1,042,625,176×1.0%×4年。</t>
        </is>
      </c>
    </row>
    <row r="34" ht="40" customHeight="1">
      <c r="A34" s="6" t="n">
        <v>7</v>
      </c>
      <c r="B34" s="29" t="inlineStr">
        <is>
          <t>合計</t>
        </is>
      </c>
      <c r="C34" s="30" t="inlineStr"/>
      <c r="D34" s="30" t="inlineStr">
        <is>
          <t>734,751,816</t>
        </is>
      </c>
      <c r="G34" s="30" t="inlineStr">
        <is>
          <t>料金算定期間はR6〜R9の4年（期間原価集計K4〜N4のラベルはH31・R2・R3・R4のまま）。</t>
        </is>
      </c>
    </row>
    <row r="36">
      <c r="B36" s="26" t="inlineStr">
        <is>
          <t>★ 控除項目は一切参照されていない。期間原価集計のJ列「控除項目」に●が付いている</t>
        </is>
      </c>
    </row>
    <row r="37">
      <c r="B37" s="12" t="inlineStr">
        <is>
          <t xml:space="preserve">　 その他の営業収益・受取利息・他会計補助金・雑収益・長期前受金戻入益は、分解原価集計の算定式に現れない。</t>
        </is>
      </c>
    </row>
    <row r="38">
      <c r="B38" s="12" t="inlineStr">
        <is>
          <t xml:space="preserve">　 補助財源分は「減価償却費と支払利息を固定資産台帳ベースに絞る」ことで原価から除く設計になっている。</t>
        </is>
      </c>
    </row>
    <row r="39">
      <c r="B39" s="26" t="inlineStr">
        <is>
          <t>★ 雑支出（期間原価集計O59・固定費の●あり）も分解原価集計では算入されていない。</t>
        </is>
      </c>
    </row>
    <row r="40">
      <c r="B40" s="26" t="inlineStr">
        <is>
          <t>★ 期間原価集計の営業外収益の内訳（受取利息＋他会計補助金＋雑収益＋長期前受金戻入益）は、</t>
        </is>
      </c>
    </row>
    <row r="41">
      <c r="B41" s="12" t="inlineStr">
        <is>
          <t xml:space="preserve">　 R8で373,468,663円となり、同シートの営業外収益合計432,468,663円と59,000,000円合わない。</t>
        </is>
      </c>
    </row>
    <row r="42">
      <c r="B42" s="12" t="inlineStr">
        <is>
          <t xml:space="preserve">　 差額は成行シートの「補助金」で、期間原価集計には行そのものがない。</t>
        </is>
      </c>
    </row>
    <row r="44">
      <c r="A44" s="4" t="inlineStr">
        <is>
          <t>【D】建設改良費の施設区分別対比（R8〜R17・千円）</t>
        </is>
      </c>
    </row>
    <row r="45">
      <c r="A45" s="5" t="inlineStr"/>
      <c r="B45" s="5" t="inlineStr">
        <is>
          <t>施設区分</t>
        </is>
      </c>
      <c r="C45" s="5" t="inlineStr">
        <is>
          <t>経営戦略の計画</t>
        </is>
      </c>
      <c r="D45" s="5" t="inlineStr">
        <is>
          <t>建設改良費調査票</t>
        </is>
      </c>
      <c r="E45" s="5" t="inlineStr">
        <is>
          <t>差引</t>
        </is>
      </c>
      <c r="F45" s="5" t="inlineStr"/>
      <c r="G45" s="5" t="inlineStr">
        <is>
          <t>対応する事業</t>
        </is>
      </c>
    </row>
    <row r="46">
      <c r="A46" s="6" t="n">
        <v>1</v>
      </c>
      <c r="B46" s="45" t="inlineStr">
        <is>
          <t>取・導水管</t>
        </is>
      </c>
      <c r="C46" s="46" t="n">
        <v>0</v>
      </c>
      <c r="D46" s="46" t="n">
        <v>0</v>
      </c>
      <c r="E46" s="46" t="n">
        <v>0</v>
      </c>
      <c r="G46" s="12" t="inlineStr">
        <is>
          <t>―</t>
        </is>
      </c>
    </row>
    <row r="47">
      <c r="A47" s="6" t="n">
        <v>2</v>
      </c>
      <c r="B47" s="45" t="inlineStr">
        <is>
          <t>送水管</t>
        </is>
      </c>
      <c r="C47" s="46" t="n">
        <v>400000</v>
      </c>
      <c r="D47" s="46" t="n">
        <v>170000</v>
      </c>
      <c r="E47" s="47" t="n">
        <v>-230000</v>
      </c>
      <c r="G47" s="12" t="inlineStr">
        <is>
          <t>No.4 江島海底送水管本復旧工事</t>
        </is>
      </c>
    </row>
    <row r="48">
      <c r="A48" s="6" t="n">
        <v>3</v>
      </c>
      <c r="B48" s="45" t="inlineStr">
        <is>
          <t>配水本管</t>
        </is>
      </c>
      <c r="C48" s="46" t="n">
        <v>1380000</v>
      </c>
      <c r="D48" s="46" t="n">
        <v>1180000</v>
      </c>
      <c r="E48" s="47" t="n">
        <v>-200000</v>
      </c>
      <c r="G48" s="12" t="inlineStr">
        <is>
          <t>No.1 老朽管布設替工事</t>
        </is>
      </c>
    </row>
    <row r="49">
      <c r="A49" s="6" t="n">
        <v>4</v>
      </c>
      <c r="B49" s="45" t="inlineStr">
        <is>
          <t>配水支管</t>
        </is>
      </c>
      <c r="C49" s="46" t="n">
        <v>0</v>
      </c>
      <c r="D49" s="46" t="n">
        <v>0</v>
      </c>
      <c r="E49" s="46" t="n">
        <v>0</v>
      </c>
      <c r="G49" s="12" t="inlineStr">
        <is>
          <t>―</t>
        </is>
      </c>
    </row>
    <row r="50">
      <c r="A50" s="6" t="n">
        <v>5</v>
      </c>
      <c r="B50" s="45" t="inlineStr">
        <is>
          <t>構造物及び設備</t>
        </is>
      </c>
      <c r="C50" s="46" t="n">
        <v>2640000</v>
      </c>
      <c r="D50" s="46" t="n">
        <v>2165000</v>
      </c>
      <c r="E50" s="47" t="n">
        <v>-475000</v>
      </c>
      <c r="G50" s="12" t="inlineStr">
        <is>
          <t>No.2 水道施設耐震化（1,277,000）＋No.3 鷲神高度処理（888,000）</t>
        </is>
      </c>
    </row>
    <row r="51">
      <c r="A51" s="6" t="n">
        <v>6</v>
      </c>
      <c r="B51" s="45" t="inlineStr">
        <is>
          <t>量水器費</t>
        </is>
      </c>
      <c r="C51" s="46" t="n">
        <v>106000</v>
      </c>
      <c r="D51" s="46" t="n">
        <v>0</v>
      </c>
      <c r="E51" s="47" t="n">
        <v>-106000</v>
      </c>
      <c r="G51" s="12" t="inlineStr">
        <is>
          <t>調査票の対象外</t>
        </is>
      </c>
    </row>
    <row r="52">
      <c r="B52" s="19" t="inlineStr">
        <is>
          <t>計</t>
        </is>
      </c>
      <c r="C52" s="20" t="n">
        <v>4526000</v>
      </c>
      <c r="D52" s="20" t="n">
        <v>3515000</v>
      </c>
      <c r="E52" s="20" t="n">
        <v>-1011000</v>
      </c>
    </row>
    <row r="54">
      <c r="B54" s="12" t="inlineStr">
        <is>
          <t>※ 経営戦略の内訳は【成行】財政シミュ r119〜r124（更新投資額）。量水器費は同 r93。</t>
        </is>
      </c>
    </row>
  </sheetData>
  <mergeCells count="22">
    <mergeCell ref="B42:G42"/>
    <mergeCell ref="A15:H15"/>
    <mergeCell ref="C22:E22"/>
    <mergeCell ref="A1:H1"/>
    <mergeCell ref="C21:E21"/>
    <mergeCell ref="B38:G38"/>
    <mergeCell ref="B37:G37"/>
    <mergeCell ref="C23:E23"/>
    <mergeCell ref="C17:E17"/>
    <mergeCell ref="B40:G40"/>
    <mergeCell ref="A26:H26"/>
    <mergeCell ref="C19:E19"/>
    <mergeCell ref="B36:G36"/>
    <mergeCell ref="A2:H2"/>
    <mergeCell ref="B41:G41"/>
    <mergeCell ref="C18:E18"/>
    <mergeCell ref="C24:E24"/>
    <mergeCell ref="A4:H4"/>
    <mergeCell ref="B54:G54"/>
    <mergeCell ref="A44:H44"/>
    <mergeCell ref="C20:E20"/>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09_assumption_switch_cost_calc</dc:title>
  <dc:subject>令和8年度上下水道経営指標評価書作成等業務委託</dc:subject>
  <dc:creator>若山諒太</dc:creator>
  <cp:lastModifiedBy>若山諒太</cp:lastModifiedBy>
  <cp:revision>1</cp:revision>
  <dcterms:created xsi:type="dcterms:W3CDTF">2026-09-28T08:19:30Z</dcterms:created>
  <dcterms:modified xsi:type="dcterms:W3CDTF">2026-09-28T08:19:30Z</dcterms:modified>
  <cp:category>ビズアップ公共コンサルティング株式会社</cp:category>
</cp:coreProperties>
</file>