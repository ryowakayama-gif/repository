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kensetu16\Desktop\"/>
    </mc:Choice>
  </mc:AlternateContent>
  <xr:revisionPtr revIDLastSave="0" documentId="13_ncr:1_{E2668C63-C82B-45F4-8F42-F566BE6808B3}" xr6:coauthVersionLast="47" xr6:coauthVersionMax="47" xr10:uidLastSave="{00000000-0000-0000-0000-000000000000}"/>
  <bookViews>
    <workbookView xWindow="-28920" yWindow="-120" windowWidth="29040" windowHeight="15720" activeTab="1" xr2:uid="{00000000-000D-0000-FFFF-FFFF00000000}"/>
  </bookViews>
  <sheets>
    <sheet name="入力方法" sheetId="1" r:id="rId1"/>
    <sheet name="建設改良費調査票" sheetId="2" r:id="rId2"/>
    <sheet name="集計表" sheetId="3" r:id="rId3"/>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33" i="2" l="1"/>
  <c r="B25" i="2"/>
  <c r="A25" i="2"/>
  <c r="B9" i="2"/>
  <c r="B254" i="2"/>
  <c r="K5" i="3"/>
  <c r="J5" i="3"/>
  <c r="I5" i="3"/>
  <c r="H5" i="3"/>
  <c r="G5" i="3"/>
  <c r="F5" i="3"/>
  <c r="E5" i="3"/>
  <c r="D5" i="3"/>
  <c r="C5" i="3"/>
  <c r="B5" i="3"/>
  <c r="K322" i="2"/>
  <c r="G322" i="2"/>
  <c r="K321" i="2"/>
  <c r="J321" i="2"/>
  <c r="I321" i="2"/>
  <c r="H321" i="2"/>
  <c r="G321" i="2"/>
  <c r="F321" i="2"/>
  <c r="L321" i="2" s="1"/>
  <c r="E321" i="2"/>
  <c r="D321" i="2"/>
  <c r="C321" i="2"/>
  <c r="B321" i="2"/>
  <c r="K320" i="2"/>
  <c r="J320" i="2"/>
  <c r="I320" i="2"/>
  <c r="H320" i="2"/>
  <c r="G320" i="2"/>
  <c r="F320" i="2"/>
  <c r="F322" i="2" s="1"/>
  <c r="E320" i="2"/>
  <c r="D320" i="2"/>
  <c r="C320" i="2"/>
  <c r="B320" i="2"/>
  <c r="L320" i="2" s="1"/>
  <c r="K319" i="2"/>
  <c r="J319" i="2"/>
  <c r="I319" i="2"/>
  <c r="H319" i="2"/>
  <c r="G319" i="2"/>
  <c r="F319" i="2"/>
  <c r="E319" i="2"/>
  <c r="D319" i="2"/>
  <c r="L319" i="2" s="1"/>
  <c r="C319" i="2"/>
  <c r="B319" i="2"/>
  <c r="K318" i="2"/>
  <c r="J318" i="2"/>
  <c r="J322" i="2" s="1"/>
  <c r="I318" i="2"/>
  <c r="I322" i="2" s="1"/>
  <c r="H318" i="2"/>
  <c r="H322" i="2" s="1"/>
  <c r="G318" i="2"/>
  <c r="F318" i="2"/>
  <c r="E318" i="2"/>
  <c r="E322" i="2" s="1"/>
  <c r="D318" i="2"/>
  <c r="D322" i="2" s="1"/>
  <c r="C318" i="2"/>
  <c r="C322" i="2" s="1"/>
  <c r="B318" i="2"/>
  <c r="L318" i="2" s="1"/>
  <c r="L317" i="2"/>
  <c r="I306" i="2"/>
  <c r="H306" i="2"/>
  <c r="G306" i="2"/>
  <c r="C306" i="2"/>
  <c r="K305" i="2"/>
  <c r="J305" i="2"/>
  <c r="I305" i="2"/>
  <c r="H305" i="2"/>
  <c r="G305" i="2"/>
  <c r="F305" i="2"/>
  <c r="E305" i="2"/>
  <c r="D305" i="2"/>
  <c r="C305" i="2"/>
  <c r="B305" i="2"/>
  <c r="L305" i="2" s="1"/>
  <c r="K304" i="2"/>
  <c r="J304" i="2"/>
  <c r="I304" i="2"/>
  <c r="H304" i="2"/>
  <c r="G304" i="2"/>
  <c r="F304" i="2"/>
  <c r="E304" i="2"/>
  <c r="D304" i="2"/>
  <c r="C304" i="2"/>
  <c r="B304" i="2"/>
  <c r="B306" i="2" s="1"/>
  <c r="L306" i="2" s="1"/>
  <c r="L303" i="2"/>
  <c r="K303" i="2"/>
  <c r="J303" i="2"/>
  <c r="I303" i="2"/>
  <c r="H303" i="2"/>
  <c r="G303" i="2"/>
  <c r="F303" i="2"/>
  <c r="E303" i="2"/>
  <c r="D303" i="2"/>
  <c r="C303" i="2"/>
  <c r="B303" i="2"/>
  <c r="K302" i="2"/>
  <c r="K306" i="2" s="1"/>
  <c r="J302" i="2"/>
  <c r="J306" i="2" s="1"/>
  <c r="I302" i="2"/>
  <c r="H302" i="2"/>
  <c r="G302" i="2"/>
  <c r="F302" i="2"/>
  <c r="F306" i="2" s="1"/>
  <c r="E302" i="2"/>
  <c r="E306" i="2" s="1"/>
  <c r="D302" i="2"/>
  <c r="D306" i="2" s="1"/>
  <c r="C302" i="2"/>
  <c r="L302" i="2" s="1"/>
  <c r="B302" i="2"/>
  <c r="L301" i="2"/>
  <c r="K290" i="2"/>
  <c r="E290" i="2"/>
  <c r="D290" i="2"/>
  <c r="C290" i="2"/>
  <c r="K289" i="2"/>
  <c r="J289" i="2"/>
  <c r="I289" i="2"/>
  <c r="H289" i="2"/>
  <c r="G289" i="2"/>
  <c r="F289" i="2"/>
  <c r="E289" i="2"/>
  <c r="D289" i="2"/>
  <c r="C289" i="2"/>
  <c r="B289" i="2"/>
  <c r="L289" i="2" s="1"/>
  <c r="K288" i="2"/>
  <c r="J288" i="2"/>
  <c r="J290" i="2" s="1"/>
  <c r="I288" i="2"/>
  <c r="H288" i="2"/>
  <c r="G288" i="2"/>
  <c r="F288" i="2"/>
  <c r="E288" i="2"/>
  <c r="D288" i="2"/>
  <c r="C288" i="2"/>
  <c r="B288" i="2"/>
  <c r="L288" i="2" s="1"/>
  <c r="K287" i="2"/>
  <c r="J287" i="2"/>
  <c r="I287" i="2"/>
  <c r="H287" i="2"/>
  <c r="L287" i="2" s="1"/>
  <c r="G287" i="2"/>
  <c r="F287" i="2"/>
  <c r="E287" i="2"/>
  <c r="D287" i="2"/>
  <c r="C287" i="2"/>
  <c r="B287" i="2"/>
  <c r="K286" i="2"/>
  <c r="J286" i="2"/>
  <c r="I286" i="2"/>
  <c r="I290" i="2" s="1"/>
  <c r="H286" i="2"/>
  <c r="H290" i="2" s="1"/>
  <c r="G286" i="2"/>
  <c r="G290" i="2" s="1"/>
  <c r="F286" i="2"/>
  <c r="F290" i="2" s="1"/>
  <c r="E286" i="2"/>
  <c r="D286" i="2"/>
  <c r="C286" i="2"/>
  <c r="B286" i="2"/>
  <c r="B290" i="2" s="1"/>
  <c r="L285" i="2"/>
  <c r="K274" i="2"/>
  <c r="G274" i="2"/>
  <c r="K273" i="2"/>
  <c r="J273" i="2"/>
  <c r="I273" i="2"/>
  <c r="H273" i="2"/>
  <c r="G273" i="2"/>
  <c r="F273" i="2"/>
  <c r="L273" i="2" s="1"/>
  <c r="E273" i="2"/>
  <c r="D273" i="2"/>
  <c r="C273" i="2"/>
  <c r="B273" i="2"/>
  <c r="K272" i="2"/>
  <c r="J272" i="2"/>
  <c r="I272" i="2"/>
  <c r="H272" i="2"/>
  <c r="G272" i="2"/>
  <c r="F272" i="2"/>
  <c r="F274" i="2" s="1"/>
  <c r="E272" i="2"/>
  <c r="D272" i="2"/>
  <c r="C272" i="2"/>
  <c r="B272" i="2"/>
  <c r="L272" i="2" s="1"/>
  <c r="K271" i="2"/>
  <c r="J271" i="2"/>
  <c r="I271" i="2"/>
  <c r="H271" i="2"/>
  <c r="G271" i="2"/>
  <c r="F271" i="2"/>
  <c r="E271" i="2"/>
  <c r="D271" i="2"/>
  <c r="L271" i="2" s="1"/>
  <c r="C271" i="2"/>
  <c r="B271" i="2"/>
  <c r="K270" i="2"/>
  <c r="J270" i="2"/>
  <c r="J274" i="2" s="1"/>
  <c r="I270" i="2"/>
  <c r="I274" i="2" s="1"/>
  <c r="H270" i="2"/>
  <c r="H274" i="2" s="1"/>
  <c r="G270" i="2"/>
  <c r="F270" i="2"/>
  <c r="E270" i="2"/>
  <c r="E274" i="2" s="1"/>
  <c r="D270" i="2"/>
  <c r="D274" i="2" s="1"/>
  <c r="C270" i="2"/>
  <c r="C274" i="2" s="1"/>
  <c r="B270" i="2"/>
  <c r="L270" i="2" s="1"/>
  <c r="L269" i="2"/>
  <c r="K257" i="2"/>
  <c r="J257" i="2"/>
  <c r="I257" i="2"/>
  <c r="H257" i="2"/>
  <c r="G257" i="2"/>
  <c r="F257" i="2"/>
  <c r="E257" i="2"/>
  <c r="D257" i="2"/>
  <c r="C257" i="2"/>
  <c r="B257" i="2"/>
  <c r="L257" i="2" s="1"/>
  <c r="K256" i="2"/>
  <c r="J256" i="2"/>
  <c r="I256" i="2"/>
  <c r="H256" i="2"/>
  <c r="G256" i="2"/>
  <c r="F256" i="2"/>
  <c r="E256" i="2"/>
  <c r="D256" i="2"/>
  <c r="C256" i="2"/>
  <c r="B256" i="2"/>
  <c r="K255" i="2"/>
  <c r="J255" i="2"/>
  <c r="I255" i="2"/>
  <c r="H255" i="2"/>
  <c r="G255" i="2"/>
  <c r="F255" i="2"/>
  <c r="E255" i="2"/>
  <c r="D255" i="2"/>
  <c r="C255" i="2"/>
  <c r="B255" i="2"/>
  <c r="L255" i="2" s="1"/>
  <c r="K254" i="2"/>
  <c r="K258" i="2" s="1"/>
  <c r="J254" i="2"/>
  <c r="J258" i="2" s="1"/>
  <c r="I254" i="2"/>
  <c r="I258" i="2" s="1"/>
  <c r="H254" i="2"/>
  <c r="H258" i="2" s="1"/>
  <c r="G254" i="2"/>
  <c r="G258" i="2" s="1"/>
  <c r="F254" i="2"/>
  <c r="F258" i="2" s="1"/>
  <c r="E254" i="2"/>
  <c r="E258" i="2" s="1"/>
  <c r="D254" i="2"/>
  <c r="D258" i="2" s="1"/>
  <c r="C254" i="2"/>
  <c r="C258" i="2" s="1"/>
  <c r="L253" i="2"/>
  <c r="K242" i="2"/>
  <c r="E242" i="2"/>
  <c r="D242" i="2"/>
  <c r="C242" i="2"/>
  <c r="K241" i="2"/>
  <c r="J241" i="2"/>
  <c r="I241" i="2"/>
  <c r="H241" i="2"/>
  <c r="G241" i="2"/>
  <c r="F241" i="2"/>
  <c r="E241" i="2"/>
  <c r="D241" i="2"/>
  <c r="C241" i="2"/>
  <c r="B241" i="2"/>
  <c r="L241" i="2" s="1"/>
  <c r="K240" i="2"/>
  <c r="J240" i="2"/>
  <c r="J242" i="2" s="1"/>
  <c r="I240" i="2"/>
  <c r="H240" i="2"/>
  <c r="G240" i="2"/>
  <c r="F240" i="2"/>
  <c r="E240" i="2"/>
  <c r="D240" i="2"/>
  <c r="C240" i="2"/>
  <c r="B240" i="2"/>
  <c r="L240" i="2" s="1"/>
  <c r="K239" i="2"/>
  <c r="J239" i="2"/>
  <c r="I239" i="2"/>
  <c r="H239" i="2"/>
  <c r="L239" i="2" s="1"/>
  <c r="G239" i="2"/>
  <c r="F239" i="2"/>
  <c r="E239" i="2"/>
  <c r="D239" i="2"/>
  <c r="C239" i="2"/>
  <c r="B239" i="2"/>
  <c r="B242" i="2" s="1"/>
  <c r="K238" i="2"/>
  <c r="J238" i="2"/>
  <c r="I238" i="2"/>
  <c r="I242" i="2" s="1"/>
  <c r="H238" i="2"/>
  <c r="H242" i="2" s="1"/>
  <c r="G238" i="2"/>
  <c r="G242" i="2" s="1"/>
  <c r="F238" i="2"/>
  <c r="F242" i="2" s="1"/>
  <c r="E238" i="2"/>
  <c r="D238" i="2"/>
  <c r="C238" i="2"/>
  <c r="B238" i="2"/>
  <c r="L237" i="2"/>
  <c r="K226" i="2"/>
  <c r="G226" i="2"/>
  <c r="K225" i="2"/>
  <c r="J225" i="2"/>
  <c r="I225" i="2"/>
  <c r="H225" i="2"/>
  <c r="G225" i="2"/>
  <c r="F225" i="2"/>
  <c r="L225" i="2" s="1"/>
  <c r="E225" i="2"/>
  <c r="D225" i="2"/>
  <c r="C225" i="2"/>
  <c r="B225" i="2"/>
  <c r="K224" i="2"/>
  <c r="J224" i="2"/>
  <c r="I224" i="2"/>
  <c r="H224" i="2"/>
  <c r="G224" i="2"/>
  <c r="F224" i="2"/>
  <c r="F226" i="2" s="1"/>
  <c r="E224" i="2"/>
  <c r="D224" i="2"/>
  <c r="C224" i="2"/>
  <c r="B224" i="2"/>
  <c r="L224" i="2" s="1"/>
  <c r="K223" i="2"/>
  <c r="J223" i="2"/>
  <c r="J226" i="2" s="1"/>
  <c r="I223" i="2"/>
  <c r="H223" i="2"/>
  <c r="G223" i="2"/>
  <c r="F223" i="2"/>
  <c r="E223" i="2"/>
  <c r="D223" i="2"/>
  <c r="L223" i="2" s="1"/>
  <c r="C223" i="2"/>
  <c r="B223" i="2"/>
  <c r="K222" i="2"/>
  <c r="J222" i="2"/>
  <c r="I222" i="2"/>
  <c r="I226" i="2" s="1"/>
  <c r="H222" i="2"/>
  <c r="H226" i="2" s="1"/>
  <c r="G222" i="2"/>
  <c r="F222" i="2"/>
  <c r="E222" i="2"/>
  <c r="E226" i="2" s="1"/>
  <c r="D222" i="2"/>
  <c r="D226" i="2" s="1"/>
  <c r="C222" i="2"/>
  <c r="C226" i="2" s="1"/>
  <c r="B222" i="2"/>
  <c r="L222" i="2" s="1"/>
  <c r="L221" i="2"/>
  <c r="I210" i="2"/>
  <c r="H210" i="2"/>
  <c r="G210" i="2"/>
  <c r="C210" i="2"/>
  <c r="K209" i="2"/>
  <c r="J209" i="2"/>
  <c r="I209" i="2"/>
  <c r="H209" i="2"/>
  <c r="G209" i="2"/>
  <c r="F209" i="2"/>
  <c r="E209" i="2"/>
  <c r="D209" i="2"/>
  <c r="C209" i="2"/>
  <c r="B209" i="2"/>
  <c r="L209" i="2" s="1"/>
  <c r="K208" i="2"/>
  <c r="J208" i="2"/>
  <c r="I208" i="2"/>
  <c r="H208" i="2"/>
  <c r="G208" i="2"/>
  <c r="F208" i="2"/>
  <c r="E208" i="2"/>
  <c r="D208" i="2"/>
  <c r="C208" i="2"/>
  <c r="B208" i="2"/>
  <c r="B210" i="2" s="1"/>
  <c r="L207" i="2"/>
  <c r="K207" i="2"/>
  <c r="J207" i="2"/>
  <c r="I207" i="2"/>
  <c r="H207" i="2"/>
  <c r="G207" i="2"/>
  <c r="F207" i="2"/>
  <c r="F210" i="2" s="1"/>
  <c r="E207" i="2"/>
  <c r="D207" i="2"/>
  <c r="C207" i="2"/>
  <c r="B207" i="2"/>
  <c r="K206" i="2"/>
  <c r="K210" i="2" s="1"/>
  <c r="J206" i="2"/>
  <c r="J210" i="2" s="1"/>
  <c r="I206" i="2"/>
  <c r="H206" i="2"/>
  <c r="G206" i="2"/>
  <c r="F206" i="2"/>
  <c r="E206" i="2"/>
  <c r="E210" i="2" s="1"/>
  <c r="D206" i="2"/>
  <c r="D210" i="2" s="1"/>
  <c r="C206" i="2"/>
  <c r="L206" i="2" s="1"/>
  <c r="B206" i="2"/>
  <c r="L205" i="2"/>
  <c r="K194" i="2"/>
  <c r="E194" i="2"/>
  <c r="D194" i="2"/>
  <c r="C194" i="2"/>
  <c r="K193" i="2"/>
  <c r="J193" i="2"/>
  <c r="I193" i="2"/>
  <c r="H193" i="2"/>
  <c r="G193" i="2"/>
  <c r="F193" i="2"/>
  <c r="E193" i="2"/>
  <c r="D193" i="2"/>
  <c r="C193" i="2"/>
  <c r="B193" i="2"/>
  <c r="L193" i="2" s="1"/>
  <c r="K192" i="2"/>
  <c r="J192" i="2"/>
  <c r="J194" i="2" s="1"/>
  <c r="I192" i="2"/>
  <c r="H192" i="2"/>
  <c r="G192" i="2"/>
  <c r="F192" i="2"/>
  <c r="E192" i="2"/>
  <c r="D192" i="2"/>
  <c r="C192" i="2"/>
  <c r="B192" i="2"/>
  <c r="L192" i="2" s="1"/>
  <c r="K191" i="2"/>
  <c r="J191" i="2"/>
  <c r="I191" i="2"/>
  <c r="H191" i="2"/>
  <c r="L191" i="2" s="1"/>
  <c r="G191" i="2"/>
  <c r="F191" i="2"/>
  <c r="E191" i="2"/>
  <c r="D191" i="2"/>
  <c r="C191" i="2"/>
  <c r="B191" i="2"/>
  <c r="B194" i="2" s="1"/>
  <c r="K190" i="2"/>
  <c r="J190" i="2"/>
  <c r="I190" i="2"/>
  <c r="I194" i="2" s="1"/>
  <c r="H190" i="2"/>
  <c r="H194" i="2" s="1"/>
  <c r="G190" i="2"/>
  <c r="L190" i="2" s="1"/>
  <c r="F190" i="2"/>
  <c r="F194" i="2" s="1"/>
  <c r="E190" i="2"/>
  <c r="D190" i="2"/>
  <c r="C190" i="2"/>
  <c r="B190" i="2"/>
  <c r="L189" i="2"/>
  <c r="K178" i="2"/>
  <c r="G178" i="2"/>
  <c r="K177" i="2"/>
  <c r="J177" i="2"/>
  <c r="I177" i="2"/>
  <c r="H177" i="2"/>
  <c r="G177" i="2"/>
  <c r="F177" i="2"/>
  <c r="L177" i="2" s="1"/>
  <c r="E177" i="2"/>
  <c r="D177" i="2"/>
  <c r="C177" i="2"/>
  <c r="B177" i="2"/>
  <c r="K176" i="2"/>
  <c r="J176" i="2"/>
  <c r="I176" i="2"/>
  <c r="H176" i="2"/>
  <c r="G176" i="2"/>
  <c r="F176" i="2"/>
  <c r="F178" i="2" s="1"/>
  <c r="E176" i="2"/>
  <c r="D176" i="2"/>
  <c r="C176" i="2"/>
  <c r="B176" i="2"/>
  <c r="L176" i="2" s="1"/>
  <c r="K175" i="2"/>
  <c r="J175" i="2"/>
  <c r="J178" i="2" s="1"/>
  <c r="I175" i="2"/>
  <c r="H175" i="2"/>
  <c r="G175" i="2"/>
  <c r="F175" i="2"/>
  <c r="E175" i="2"/>
  <c r="D175" i="2"/>
  <c r="L175" i="2" s="1"/>
  <c r="C175" i="2"/>
  <c r="B175" i="2"/>
  <c r="K174" i="2"/>
  <c r="J174" i="2"/>
  <c r="I174" i="2"/>
  <c r="I178" i="2" s="1"/>
  <c r="H174" i="2"/>
  <c r="H178" i="2" s="1"/>
  <c r="G174" i="2"/>
  <c r="F174" i="2"/>
  <c r="E174" i="2"/>
  <c r="E178" i="2" s="1"/>
  <c r="D174" i="2"/>
  <c r="D178" i="2" s="1"/>
  <c r="C174" i="2"/>
  <c r="C178" i="2" s="1"/>
  <c r="B174" i="2"/>
  <c r="L174" i="2" s="1"/>
  <c r="L173" i="2"/>
  <c r="I162" i="2"/>
  <c r="H162" i="2"/>
  <c r="G162" i="2"/>
  <c r="C162" i="2"/>
  <c r="K161" i="2"/>
  <c r="J161" i="2"/>
  <c r="I161" i="2"/>
  <c r="H161" i="2"/>
  <c r="G161" i="2"/>
  <c r="F161" i="2"/>
  <c r="E161" i="2"/>
  <c r="D161" i="2"/>
  <c r="C161" i="2"/>
  <c r="B161" i="2"/>
  <c r="L161" i="2" s="1"/>
  <c r="K160" i="2"/>
  <c r="J160" i="2"/>
  <c r="I160" i="2"/>
  <c r="H160" i="2"/>
  <c r="G160" i="2"/>
  <c r="F160" i="2"/>
  <c r="E160" i="2"/>
  <c r="D160" i="2"/>
  <c r="C160" i="2"/>
  <c r="B160" i="2"/>
  <c r="B162" i="2" s="1"/>
  <c r="L159" i="2"/>
  <c r="K159" i="2"/>
  <c r="J159" i="2"/>
  <c r="I159" i="2"/>
  <c r="H159" i="2"/>
  <c r="G159" i="2"/>
  <c r="F159" i="2"/>
  <c r="F162" i="2" s="1"/>
  <c r="E159" i="2"/>
  <c r="D159" i="2"/>
  <c r="C159" i="2"/>
  <c r="B159" i="2"/>
  <c r="K158" i="2"/>
  <c r="K162" i="2" s="1"/>
  <c r="J158" i="2"/>
  <c r="J162" i="2" s="1"/>
  <c r="I158" i="2"/>
  <c r="H158" i="2"/>
  <c r="G158" i="2"/>
  <c r="F158" i="2"/>
  <c r="E158" i="2"/>
  <c r="E162" i="2" s="1"/>
  <c r="D158" i="2"/>
  <c r="D162" i="2" s="1"/>
  <c r="C158" i="2"/>
  <c r="L158" i="2" s="1"/>
  <c r="B158" i="2"/>
  <c r="L157" i="2"/>
  <c r="K146" i="2"/>
  <c r="E146" i="2"/>
  <c r="D146" i="2"/>
  <c r="C146" i="2"/>
  <c r="K145" i="2"/>
  <c r="J145" i="2"/>
  <c r="I145" i="2"/>
  <c r="H145" i="2"/>
  <c r="G145" i="2"/>
  <c r="F145" i="2"/>
  <c r="E145" i="2"/>
  <c r="D145" i="2"/>
  <c r="C145" i="2"/>
  <c r="B145" i="2"/>
  <c r="L145" i="2" s="1"/>
  <c r="K144" i="2"/>
  <c r="J144" i="2"/>
  <c r="J146" i="2" s="1"/>
  <c r="I144" i="2"/>
  <c r="H144" i="2"/>
  <c r="G144" i="2"/>
  <c r="F144" i="2"/>
  <c r="E144" i="2"/>
  <c r="D144" i="2"/>
  <c r="C144" i="2"/>
  <c r="B144" i="2"/>
  <c r="L144" i="2" s="1"/>
  <c r="K143" i="2"/>
  <c r="J143" i="2"/>
  <c r="I143" i="2"/>
  <c r="H143" i="2"/>
  <c r="L143" i="2" s="1"/>
  <c r="G143" i="2"/>
  <c r="F143" i="2"/>
  <c r="E143" i="2"/>
  <c r="D143" i="2"/>
  <c r="C143" i="2"/>
  <c r="B143" i="2"/>
  <c r="B146" i="2" s="1"/>
  <c r="K142" i="2"/>
  <c r="J142" i="2"/>
  <c r="I142" i="2"/>
  <c r="I146" i="2" s="1"/>
  <c r="H142" i="2"/>
  <c r="H146" i="2" s="1"/>
  <c r="G142" i="2"/>
  <c r="G146" i="2" s="1"/>
  <c r="F142" i="2"/>
  <c r="F146" i="2" s="1"/>
  <c r="E142" i="2"/>
  <c r="D142" i="2"/>
  <c r="C142" i="2"/>
  <c r="B142" i="2"/>
  <c r="L141" i="2"/>
  <c r="K130" i="2"/>
  <c r="G130" i="2"/>
  <c r="K129" i="2"/>
  <c r="J129" i="2"/>
  <c r="I129" i="2"/>
  <c r="H129" i="2"/>
  <c r="G129" i="2"/>
  <c r="F129" i="2"/>
  <c r="L129" i="2" s="1"/>
  <c r="E129" i="2"/>
  <c r="D129" i="2"/>
  <c r="C129" i="2"/>
  <c r="B129" i="2"/>
  <c r="K128" i="2"/>
  <c r="J128" i="2"/>
  <c r="I128" i="2"/>
  <c r="H128" i="2"/>
  <c r="G128" i="2"/>
  <c r="F128" i="2"/>
  <c r="F130" i="2" s="1"/>
  <c r="E128" i="2"/>
  <c r="D128" i="2"/>
  <c r="C128" i="2"/>
  <c r="B128" i="2"/>
  <c r="L128" i="2" s="1"/>
  <c r="K127" i="2"/>
  <c r="J127" i="2"/>
  <c r="J130" i="2" s="1"/>
  <c r="I127" i="2"/>
  <c r="H127" i="2"/>
  <c r="G127" i="2"/>
  <c r="F127" i="2"/>
  <c r="E127" i="2"/>
  <c r="D127" i="2"/>
  <c r="L127" i="2" s="1"/>
  <c r="C127" i="2"/>
  <c r="B127" i="2"/>
  <c r="K126" i="2"/>
  <c r="J126" i="2"/>
  <c r="I126" i="2"/>
  <c r="I130" i="2" s="1"/>
  <c r="H126" i="2"/>
  <c r="H130" i="2" s="1"/>
  <c r="G126" i="2"/>
  <c r="F126" i="2"/>
  <c r="E126" i="2"/>
  <c r="E130" i="2" s="1"/>
  <c r="D126" i="2"/>
  <c r="D130" i="2" s="1"/>
  <c r="C126" i="2"/>
  <c r="C130" i="2" s="1"/>
  <c r="B126" i="2"/>
  <c r="L126" i="2" s="1"/>
  <c r="L125" i="2"/>
  <c r="I114" i="2"/>
  <c r="H114" i="2"/>
  <c r="G114" i="2"/>
  <c r="C114" i="2"/>
  <c r="K113" i="2"/>
  <c r="J113" i="2"/>
  <c r="I113" i="2"/>
  <c r="H113" i="2"/>
  <c r="G113" i="2"/>
  <c r="F113" i="2"/>
  <c r="E113" i="2"/>
  <c r="D113" i="2"/>
  <c r="C113" i="2"/>
  <c r="B113" i="2"/>
  <c r="L113" i="2" s="1"/>
  <c r="K112" i="2"/>
  <c r="J112" i="2"/>
  <c r="I112" i="2"/>
  <c r="H112" i="2"/>
  <c r="G112" i="2"/>
  <c r="F112" i="2"/>
  <c r="E112" i="2"/>
  <c r="D112" i="2"/>
  <c r="C112" i="2"/>
  <c r="B112" i="2"/>
  <c r="B114" i="2" s="1"/>
  <c r="L111" i="2"/>
  <c r="K111" i="2"/>
  <c r="J111" i="2"/>
  <c r="I111" i="2"/>
  <c r="H111" i="2"/>
  <c r="G111" i="2"/>
  <c r="F111" i="2"/>
  <c r="F114" i="2" s="1"/>
  <c r="E111" i="2"/>
  <c r="D111" i="2"/>
  <c r="C111" i="2"/>
  <c r="B111" i="2"/>
  <c r="K110" i="2"/>
  <c r="K114" i="2" s="1"/>
  <c r="J110" i="2"/>
  <c r="J114" i="2" s="1"/>
  <c r="I110" i="2"/>
  <c r="H110" i="2"/>
  <c r="G110" i="2"/>
  <c r="F110" i="2"/>
  <c r="E110" i="2"/>
  <c r="E114" i="2" s="1"/>
  <c r="D110" i="2"/>
  <c r="D114" i="2" s="1"/>
  <c r="C110" i="2"/>
  <c r="L110" i="2" s="1"/>
  <c r="B110" i="2"/>
  <c r="L109" i="2"/>
  <c r="K98" i="2"/>
  <c r="E98" i="2"/>
  <c r="D98" i="2"/>
  <c r="C98" i="2"/>
  <c r="K97" i="2"/>
  <c r="J97" i="2"/>
  <c r="I97" i="2"/>
  <c r="H97" i="2"/>
  <c r="G97" i="2"/>
  <c r="F97" i="2"/>
  <c r="E97" i="2"/>
  <c r="D97" i="2"/>
  <c r="C97" i="2"/>
  <c r="B97" i="2"/>
  <c r="L97" i="2" s="1"/>
  <c r="K96" i="2"/>
  <c r="J96" i="2"/>
  <c r="J98" i="2" s="1"/>
  <c r="I96" i="2"/>
  <c r="H96" i="2"/>
  <c r="G96" i="2"/>
  <c r="F96" i="2"/>
  <c r="E96" i="2"/>
  <c r="D96" i="2"/>
  <c r="C96" i="2"/>
  <c r="B96" i="2"/>
  <c r="L96" i="2" s="1"/>
  <c r="K95" i="2"/>
  <c r="J95" i="2"/>
  <c r="I95" i="2"/>
  <c r="H95" i="2"/>
  <c r="L95" i="2" s="1"/>
  <c r="G95" i="2"/>
  <c r="F95" i="2"/>
  <c r="E95" i="2"/>
  <c r="D95" i="2"/>
  <c r="C95" i="2"/>
  <c r="B95" i="2"/>
  <c r="B98" i="2" s="1"/>
  <c r="K94" i="2"/>
  <c r="J94" i="2"/>
  <c r="I94" i="2"/>
  <c r="I98" i="2" s="1"/>
  <c r="H94" i="2"/>
  <c r="H98" i="2" s="1"/>
  <c r="G94" i="2"/>
  <c r="G98" i="2" s="1"/>
  <c r="F94" i="2"/>
  <c r="F98" i="2" s="1"/>
  <c r="E94" i="2"/>
  <c r="D94" i="2"/>
  <c r="C94" i="2"/>
  <c r="B94" i="2"/>
  <c r="L93" i="2"/>
  <c r="K82" i="2"/>
  <c r="G82" i="2"/>
  <c r="K81" i="2"/>
  <c r="J81" i="2"/>
  <c r="I81" i="2"/>
  <c r="H81" i="2"/>
  <c r="G81" i="2"/>
  <c r="F81" i="2"/>
  <c r="L81" i="2" s="1"/>
  <c r="E81" i="2"/>
  <c r="D81" i="2"/>
  <c r="C81" i="2"/>
  <c r="B81" i="2"/>
  <c r="K80" i="2"/>
  <c r="J80" i="2"/>
  <c r="I80" i="2"/>
  <c r="H80" i="2"/>
  <c r="G80" i="2"/>
  <c r="F80" i="2"/>
  <c r="E80" i="2"/>
  <c r="D80" i="2"/>
  <c r="C80" i="2"/>
  <c r="B80" i="2"/>
  <c r="L80" i="2" s="1"/>
  <c r="K79" i="2"/>
  <c r="J79" i="2"/>
  <c r="J82" i="2" s="1"/>
  <c r="I79" i="2"/>
  <c r="H79" i="2"/>
  <c r="G79" i="2"/>
  <c r="F79" i="2"/>
  <c r="E79" i="2"/>
  <c r="D79" i="2"/>
  <c r="L79" i="2" s="1"/>
  <c r="C79" i="2"/>
  <c r="B79" i="2"/>
  <c r="K78" i="2"/>
  <c r="J78" i="2"/>
  <c r="I78" i="2"/>
  <c r="I82" i="2" s="1"/>
  <c r="H78" i="2"/>
  <c r="H82" i="2" s="1"/>
  <c r="G78" i="2"/>
  <c r="F78" i="2"/>
  <c r="F82" i="2" s="1"/>
  <c r="E78" i="2"/>
  <c r="E82" i="2" s="1"/>
  <c r="D78" i="2"/>
  <c r="D82" i="2" s="1"/>
  <c r="C78" i="2"/>
  <c r="C82" i="2" s="1"/>
  <c r="B78" i="2"/>
  <c r="L78" i="2" s="1"/>
  <c r="L77" i="2"/>
  <c r="K65" i="2"/>
  <c r="J65" i="2"/>
  <c r="I65" i="2"/>
  <c r="H65" i="2"/>
  <c r="G65" i="2"/>
  <c r="F65" i="2"/>
  <c r="E65" i="2"/>
  <c r="D65" i="2"/>
  <c r="C65" i="2"/>
  <c r="B65" i="2"/>
  <c r="K64" i="2"/>
  <c r="J64" i="2"/>
  <c r="I64" i="2"/>
  <c r="H64" i="2"/>
  <c r="G64" i="2"/>
  <c r="F64" i="2"/>
  <c r="E64" i="2"/>
  <c r="D64" i="2"/>
  <c r="D8" i="3" s="1"/>
  <c r="C64" i="2"/>
  <c r="B64" i="2"/>
  <c r="K63" i="2"/>
  <c r="J63" i="2"/>
  <c r="I63" i="2"/>
  <c r="H63" i="2"/>
  <c r="G63" i="2"/>
  <c r="G66" i="2" s="1"/>
  <c r="F63" i="2"/>
  <c r="E63" i="2"/>
  <c r="D63" i="2"/>
  <c r="K62" i="2"/>
  <c r="J62" i="2"/>
  <c r="I62" i="2"/>
  <c r="H62" i="2"/>
  <c r="G62" i="2"/>
  <c r="F62" i="2"/>
  <c r="E62" i="2"/>
  <c r="D62" i="2"/>
  <c r="C62" i="2"/>
  <c r="B62" i="2"/>
  <c r="L61" i="2"/>
  <c r="E50" i="2"/>
  <c r="D50" i="2"/>
  <c r="C50" i="2"/>
  <c r="K49" i="2"/>
  <c r="K50" i="2" s="1"/>
  <c r="J49" i="2"/>
  <c r="I49" i="2"/>
  <c r="H49" i="2"/>
  <c r="G49" i="2"/>
  <c r="F49" i="2"/>
  <c r="E49" i="2"/>
  <c r="D49" i="2"/>
  <c r="C49" i="2"/>
  <c r="B49" i="2"/>
  <c r="K48" i="2"/>
  <c r="J48" i="2"/>
  <c r="I48" i="2"/>
  <c r="H48" i="2"/>
  <c r="G48" i="2"/>
  <c r="F48" i="2"/>
  <c r="E48" i="2"/>
  <c r="D48" i="2"/>
  <c r="C48" i="2"/>
  <c r="B48" i="2"/>
  <c r="L48" i="2" s="1"/>
  <c r="K47" i="2"/>
  <c r="J47" i="2"/>
  <c r="I47" i="2"/>
  <c r="H47" i="2"/>
  <c r="G47" i="2"/>
  <c r="F47" i="2"/>
  <c r="E47" i="2"/>
  <c r="E7" i="3" s="1"/>
  <c r="D47" i="2"/>
  <c r="K46" i="2"/>
  <c r="J46" i="2"/>
  <c r="I46" i="2"/>
  <c r="H46" i="2"/>
  <c r="H50" i="2" s="1"/>
  <c r="G46" i="2"/>
  <c r="L46" i="2" s="1"/>
  <c r="F46" i="2"/>
  <c r="F50" i="2" s="1"/>
  <c r="E46" i="2"/>
  <c r="D46" i="2"/>
  <c r="C46" i="2"/>
  <c r="B46" i="2"/>
  <c r="L45" i="2"/>
  <c r="K32" i="2"/>
  <c r="J32" i="2"/>
  <c r="I32" i="2"/>
  <c r="H32" i="2"/>
  <c r="G32" i="2"/>
  <c r="F32" i="2"/>
  <c r="E32" i="2"/>
  <c r="D32" i="2"/>
  <c r="C32" i="2"/>
  <c r="B32" i="2"/>
  <c r="L29" i="2"/>
  <c r="K17" i="2"/>
  <c r="J17" i="2"/>
  <c r="I17" i="2"/>
  <c r="H17" i="2"/>
  <c r="G17" i="2"/>
  <c r="F17" i="2"/>
  <c r="E17" i="2"/>
  <c r="D17" i="2"/>
  <c r="C17" i="2"/>
  <c r="B17" i="2"/>
  <c r="K16" i="2"/>
  <c r="J16" i="2"/>
  <c r="I16" i="2"/>
  <c r="H16" i="2"/>
  <c r="G16" i="2"/>
  <c r="G8" i="3" s="1"/>
  <c r="F16" i="2"/>
  <c r="E16" i="2"/>
  <c r="D16" i="2"/>
  <c r="C16" i="2"/>
  <c r="B16" i="2"/>
  <c r="L13" i="2"/>
  <c r="I50" i="2" l="1"/>
  <c r="L49" i="2"/>
  <c r="J50" i="2"/>
  <c r="J7" i="3"/>
  <c r="I8" i="3"/>
  <c r="F8" i="3"/>
  <c r="L32" i="2"/>
  <c r="E8" i="3"/>
  <c r="L15" i="2"/>
  <c r="L17" i="2"/>
  <c r="L30" i="2"/>
  <c r="C8" i="3"/>
  <c r="L31" i="2"/>
  <c r="B6" i="3"/>
  <c r="B50" i="2"/>
  <c r="L47" i="2"/>
  <c r="C6" i="3"/>
  <c r="L62" i="2"/>
  <c r="B258" i="2"/>
  <c r="L258" i="2" s="1"/>
  <c r="L5" i="3"/>
  <c r="L254" i="2"/>
  <c r="B7" i="3"/>
  <c r="K7" i="3"/>
  <c r="C18" i="2"/>
  <c r="B18" i="2"/>
  <c r="K8" i="3"/>
  <c r="L16" i="2"/>
  <c r="I66" i="2"/>
  <c r="F7" i="3"/>
  <c r="G7" i="3"/>
  <c r="H8" i="3"/>
  <c r="H66" i="2"/>
  <c r="L65" i="2"/>
  <c r="K66" i="2"/>
  <c r="C66" i="2"/>
  <c r="F66" i="2"/>
  <c r="J8" i="3"/>
  <c r="H7" i="3"/>
  <c r="D66" i="2"/>
  <c r="I7" i="3"/>
  <c r="E66" i="2"/>
  <c r="C7" i="3"/>
  <c r="B66" i="2"/>
  <c r="L63" i="2"/>
  <c r="J66" i="2"/>
  <c r="L64" i="2"/>
  <c r="D7" i="3"/>
  <c r="D6" i="3"/>
  <c r="L98" i="2"/>
  <c r="L210" i="2"/>
  <c r="L290" i="2"/>
  <c r="L162" i="2"/>
  <c r="L146" i="2"/>
  <c r="L194" i="2"/>
  <c r="L242" i="2"/>
  <c r="L114" i="2"/>
  <c r="D18" i="2"/>
  <c r="B8" i="3"/>
  <c r="L94" i="2"/>
  <c r="L142" i="2"/>
  <c r="L238" i="2"/>
  <c r="L286" i="2"/>
  <c r="B82" i="2"/>
  <c r="L82" i="2" s="1"/>
  <c r="B130" i="2"/>
  <c r="L130" i="2" s="1"/>
  <c r="B178" i="2"/>
  <c r="L178" i="2" s="1"/>
  <c r="B226" i="2"/>
  <c r="L226" i="2" s="1"/>
  <c r="B274" i="2"/>
  <c r="L274" i="2" s="1"/>
  <c r="B322" i="2"/>
  <c r="L322" i="2" s="1"/>
  <c r="G50" i="2"/>
  <c r="G194" i="2"/>
  <c r="L112" i="2"/>
  <c r="L160" i="2"/>
  <c r="L208" i="2"/>
  <c r="L256" i="2"/>
  <c r="L304" i="2"/>
  <c r="L50" i="2" l="1"/>
  <c r="D10" i="3"/>
  <c r="L8" i="3"/>
  <c r="L66" i="2"/>
  <c r="L7" i="3"/>
  <c r="E6" i="3"/>
  <c r="E18" i="2"/>
  <c r="E10" i="3" s="1"/>
  <c r="F10" i="3"/>
  <c r="F6" i="3"/>
  <c r="F18" i="2"/>
  <c r="G10" i="3"/>
  <c r="G6" i="3"/>
  <c r="G18" i="2"/>
  <c r="H6" i="3"/>
  <c r="H18" i="2"/>
  <c r="H10" i="3" s="1"/>
  <c r="I6" i="3"/>
  <c r="I18" i="2"/>
  <c r="I10" i="3" l="1"/>
  <c r="J6" i="3"/>
  <c r="J18" i="2"/>
  <c r="J10" i="3" l="1"/>
  <c r="K6" i="3"/>
  <c r="L6" i="3" s="1"/>
  <c r="L14" i="2"/>
  <c r="A9" i="2"/>
  <c r="K18" i="2"/>
  <c r="K10" i="3" s="1"/>
  <c r="L18" i="2"/>
  <c r="B10" i="3"/>
  <c r="C10" i="3"/>
  <c r="L34" i="2"/>
  <c r="D25" i="2" s="1"/>
  <c r="L10" i="3" l="1"/>
  <c r="E9" i="3"/>
  <c r="D9" i="3"/>
  <c r="I9" i="3"/>
  <c r="G9" i="3"/>
  <c r="J9" i="3"/>
  <c r="C9" i="3"/>
  <c r="H9" i="3"/>
  <c r="F9" i="3"/>
  <c r="K9" i="3"/>
  <c r="B9" i="3" l="1"/>
  <c r="L9"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suidou08</author>
  </authors>
  <commentList>
    <comment ref="B13" authorId="0" shapeId="0" xr:uid="{24066224-9168-42E4-803D-26BC9495D827}">
      <text>
        <r>
          <rPr>
            <b/>
            <sz val="9"/>
            <color indexed="81"/>
            <rFont val="MS P ゴシック"/>
            <family val="3"/>
            <charset val="128"/>
          </rPr>
          <t>送水管　100,000
老朽管　80,000</t>
        </r>
      </text>
    </comment>
    <comment ref="C13" authorId="0" shapeId="0" xr:uid="{1D28F596-969E-4BC9-AF6C-94EE77013294}">
      <text>
        <r>
          <rPr>
            <b/>
            <sz val="9"/>
            <color indexed="81"/>
            <rFont val="MS P ゴシック"/>
            <family val="3"/>
            <charset val="128"/>
          </rPr>
          <t>送水管　100,000
老朽管　　50,000</t>
        </r>
      </text>
    </comment>
    <comment ref="D13" authorId="0" shapeId="0" xr:uid="{B4BC6B1E-521F-45C4-85B3-CEF41EF905DA}">
      <text>
        <r>
          <rPr>
            <b/>
            <sz val="9"/>
            <color indexed="81"/>
            <rFont val="MS P ゴシック"/>
            <family val="3"/>
            <charset val="128"/>
          </rPr>
          <t>送水管　100,000
老朽管　　50,000</t>
        </r>
      </text>
    </comment>
    <comment ref="E13" authorId="0" shapeId="0" xr:uid="{C76543F7-D162-476A-A61B-201474B5F2DB}">
      <text>
        <r>
          <rPr>
            <b/>
            <sz val="9"/>
            <color indexed="81"/>
            <rFont val="MS P ゴシック"/>
            <family val="3"/>
            <charset val="128"/>
          </rPr>
          <t>以下
老朽管　100,000</t>
        </r>
      </text>
    </comment>
    <comment ref="B29" authorId="0" shapeId="0" xr:uid="{B23FE6B5-30E4-478B-9A7F-92E89C3FB3B0}">
      <text>
        <r>
          <rPr>
            <b/>
            <sz val="9"/>
            <color indexed="81"/>
            <rFont val="MS P ゴシック"/>
            <family val="3"/>
            <charset val="128"/>
          </rPr>
          <t>旭が丘耐震診断　12,000</t>
        </r>
      </text>
    </comment>
    <comment ref="C29" authorId="0" shapeId="0" xr:uid="{CA914905-42F1-4EE1-A708-0D7D911F8830}">
      <text>
        <r>
          <rPr>
            <b/>
            <sz val="9"/>
            <color indexed="81"/>
            <rFont val="MS P ゴシック"/>
            <family val="3"/>
            <charset val="128"/>
          </rPr>
          <t>出島低区、塚浜、江島
耐震診断　35,000</t>
        </r>
      </text>
    </comment>
    <comment ref="D29" authorId="0" shapeId="0" xr:uid="{A711AD8D-3D5A-4395-B6C3-FD877482EA7A}">
      <text>
        <r>
          <rPr>
            <b/>
            <sz val="9"/>
            <color indexed="81"/>
            <rFont val="MS P ゴシック"/>
            <family val="3"/>
            <charset val="128"/>
          </rPr>
          <t>女川PC・RC詳細設計
60,000</t>
        </r>
      </text>
    </comment>
    <comment ref="E29" authorId="0" shapeId="0" xr:uid="{826C8536-3BDF-4EDF-A551-3633F4F36679}">
      <text>
        <r>
          <rPr>
            <b/>
            <sz val="9"/>
            <color indexed="81"/>
            <rFont val="MS P ゴシック"/>
            <family val="3"/>
            <charset val="128"/>
          </rPr>
          <t>女川PC　320,000
女川RC　320,000
3か年事業　年割
213,000≒220,000</t>
        </r>
      </text>
    </comment>
    <comment ref="H29" authorId="0" shapeId="0" xr:uid="{7BF74610-C7C6-474E-8610-B108C4BB851B}">
      <text>
        <r>
          <rPr>
            <b/>
            <sz val="9"/>
            <color indexed="81"/>
            <rFont val="MS P ゴシック"/>
            <family val="3"/>
            <charset val="128"/>
          </rPr>
          <t>鷲神詳細設計
60,000</t>
        </r>
      </text>
    </comment>
    <comment ref="I29" authorId="0" shapeId="0" xr:uid="{AE302E07-C426-4E77-B24C-D763F392CA01}">
      <text>
        <r>
          <rPr>
            <b/>
            <sz val="9"/>
            <color indexed="81"/>
            <rFont val="MS P ゴシック"/>
            <family val="3"/>
            <charset val="128"/>
          </rPr>
          <t>鷲神PC工事
430,000
3か年事業　年度割
143,000≒150,000</t>
        </r>
      </text>
    </comment>
    <comment ref="B45" authorId="0" shapeId="0" xr:uid="{B9C7A574-BFAB-44D6-A132-77D24786BCA7}">
      <text>
        <r>
          <rPr>
            <b/>
            <sz val="9"/>
            <color indexed="81"/>
            <rFont val="MS P ゴシック"/>
            <family val="3"/>
            <charset val="128"/>
          </rPr>
          <t>高度処理工事　348,000
施工監理　5,400</t>
        </r>
      </text>
    </comment>
    <comment ref="C45" authorId="0" shapeId="0" xr:uid="{D409C9A2-84A8-42B8-A190-50E74B32AC25}">
      <text>
        <r>
          <rPr>
            <b/>
            <sz val="9"/>
            <color indexed="81"/>
            <rFont val="MS P ゴシック"/>
            <family val="3"/>
            <charset val="128"/>
          </rPr>
          <t>高度処理工事　522,000
施工監理　12,600</t>
        </r>
      </text>
    </comment>
    <comment ref="B61" authorId="0" shapeId="0" xr:uid="{181ED536-0ED5-4C52-8A12-984D3FAD48A2}">
      <text>
        <r>
          <rPr>
            <b/>
            <sz val="9"/>
            <color indexed="81"/>
            <rFont val="MS P ゴシック"/>
            <family val="3"/>
            <charset val="128"/>
          </rPr>
          <t>詳細設計　20,000</t>
        </r>
      </text>
    </comment>
    <comment ref="C61" authorId="0" shapeId="0" xr:uid="{2E4B0B2C-C998-4C0F-8505-5B5FD54EDD78}">
      <text>
        <r>
          <rPr>
            <b/>
            <sz val="9"/>
            <color indexed="81"/>
            <rFont val="MS P ゴシック"/>
            <family val="3"/>
            <charset val="128"/>
          </rPr>
          <t>概算本復旧費　150,000</t>
        </r>
      </text>
    </comment>
  </commentList>
</comments>
</file>

<file path=xl/sharedStrings.xml><?xml version="1.0" encoding="utf-8"?>
<sst xmlns="http://schemas.openxmlformats.org/spreadsheetml/2006/main" count="994" uniqueCount="126">
  <si>
    <t>建設改良費調査票 入力ガイド</t>
  </si>
  <si>
    <t>■ 基本ルール</t>
  </si>
  <si>
    <t>金額の単位はすべて【税込み・千円単位】で入力をお願いいたします。</t>
  </si>
  <si>
    <t>建設改良費調査票（女川町上下水道事業）</t>
  </si>
  <si>
    <t>※将来の建設事業計画に基づき、事業ごと（施設別・金額規模別）に必要事項を入力してください。黄色のセルが入力箇所です。</t>
  </si>
  <si>
    <t>※金額はすべて【税込み・千円単位】で入力してください。</t>
  </si>
  <si>
    <t>【No.1】 事業名称：</t>
  </si>
  <si>
    <t>資産種別</t>
  </si>
  <si>
    <t>財源構成割合 (%) ※合計100%</t>
  </si>
  <si>
    <t>償却条件</t>
  </si>
  <si>
    <t>企業債償還条件</t>
  </si>
  <si>
    <t>国費</t>
  </si>
  <si>
    <t>企業債</t>
  </si>
  <si>
    <t>負担金</t>
  </si>
  <si>
    <t>繰入金</t>
  </si>
  <si>
    <t>償却年数</t>
  </si>
  <si>
    <t>残存価額</t>
  </si>
  <si>
    <t>利率(%)</t>
  </si>
  <si>
    <t>据置期間</t>
  </si>
  <si>
    <t>償還年数</t>
  </si>
  <si>
    <t>方式</t>
  </si>
  <si>
    <t>西暦</t>
  </si>
  <si>
    <t>2026</t>
  </si>
  <si>
    <t>2027</t>
  </si>
  <si>
    <t>2028</t>
  </si>
  <si>
    <t>2029</t>
  </si>
  <si>
    <t>2030</t>
  </si>
  <si>
    <t>2031</t>
  </si>
  <si>
    <t>2032</t>
  </si>
  <si>
    <t>2033</t>
  </si>
  <si>
    <t>2034</t>
  </si>
  <si>
    <t>2035</t>
  </si>
  <si>
    <t>合計</t>
  </si>
  <si>
    <t>和暦</t>
  </si>
  <si>
    <t>R8</t>
  </si>
  <si>
    <t>R9</t>
  </si>
  <si>
    <t>R10</t>
  </si>
  <si>
    <t>R11</t>
  </si>
  <si>
    <t>R12</t>
  </si>
  <si>
    <t>R13</t>
  </si>
  <si>
    <t>R14</t>
  </si>
  <si>
    <t>R15</t>
  </si>
  <si>
    <t>R16</t>
  </si>
  <si>
    <t>R17</t>
  </si>
  <si>
    <t>整備費（千円）</t>
  </si>
  <si>
    <t>財源：国費</t>
  </si>
  <si>
    <t>財源：企業債</t>
  </si>
  <si>
    <t>財源：負担金</t>
  </si>
  <si>
    <t>財源：繰入金</t>
  </si>
  <si>
    <t>財源：その他</t>
  </si>
  <si>
    <t>【No.2】 事業名称：</t>
  </si>
  <si>
    <t>【No.3】 事業名称：</t>
  </si>
  <si>
    <t>【No.4】 事業名称：</t>
  </si>
  <si>
    <t>【No.5】 事業名称：</t>
  </si>
  <si>
    <t>【No.6】 事業名称：</t>
  </si>
  <si>
    <t>【No.7】 事業名称：</t>
  </si>
  <si>
    <t>【No.8】 事業名称：</t>
  </si>
  <si>
    <t>【No.9】 事業名称：</t>
  </si>
  <si>
    <t>【No.10】 事業名称：</t>
  </si>
  <si>
    <t>【No.11】 事業名称：</t>
  </si>
  <si>
    <t>【No.12】 事業名称：</t>
  </si>
  <si>
    <t>【No.13】 事業名称：</t>
  </si>
  <si>
    <t>【No.14】 事業名称：</t>
  </si>
  <si>
    <t>【No.15】 事業名称：</t>
  </si>
  <si>
    <t>【No.16】 事業名称：</t>
  </si>
  <si>
    <t>【No.17】 事業名称：</t>
  </si>
  <si>
    <t>【No.18】 事業名称：</t>
  </si>
  <si>
    <t>【No.19】 事業名称：</t>
  </si>
  <si>
    <t>【No.20】 事業名称：</t>
  </si>
  <si>
    <t>建設改良費 集計表（全事業合計）</t>
  </si>
  <si>
    <t>※「建設改良費調査票」シート（No.1〜20）に入力された値が自動集計されます。</t>
  </si>
  <si>
    <t>項目 \ 年度</t>
  </si>
  <si>
    <t>2026
(R8)</t>
  </si>
  <si>
    <t>2027
(R9)</t>
  </si>
  <si>
    <t>2028
(R10)</t>
  </si>
  <si>
    <t>2029
(R11)</t>
  </si>
  <si>
    <t>2030
(R12)</t>
  </si>
  <si>
    <t>2031
(R13)</t>
  </si>
  <si>
    <t>2032
(R14)</t>
  </si>
  <si>
    <t>2033
(R15)</t>
  </si>
  <si>
    <t>2034
(R16)</t>
  </si>
  <si>
    <t>2035
(R17)</t>
  </si>
  <si>
    <t>総整備費</t>
  </si>
  <si>
    <t>グレーのセルは「自動計算」されますが、金額がわかっているものについては直接入力してください。</t>
    <rPh sb="19" eb="21">
      <t>キンガク</t>
    </rPh>
    <rPh sb="35" eb="37">
      <t>チョクセツ</t>
    </rPh>
    <rPh sb="37" eb="39">
      <t>ニュウリョク</t>
    </rPh>
    <phoneticPr fontId="10"/>
  </si>
  <si>
    <t>黄色のセルが「入力箇所」です。担当者様はこちらに数値を入力してください。</t>
    <phoneticPr fontId="10"/>
  </si>
  <si>
    <t>更新/新規</t>
  </si>
  <si>
    <t>補助/単独</t>
  </si>
  <si>
    <t>■対象選別ルール</t>
    <rPh sb="1" eb="3">
      <t>タイショウ</t>
    </rPh>
    <rPh sb="3" eb="5">
      <t>センベツ</t>
    </rPh>
    <phoneticPr fontId="10"/>
  </si>
  <si>
    <t>①</t>
    <phoneticPr fontId="10"/>
  </si>
  <si>
    <t>Ｒ９～Ｒ１７で行う予定の委託（設計等）・工事について、全て抜き出してください。</t>
    <rPh sb="7" eb="8">
      <t>オコナ</t>
    </rPh>
    <rPh sb="9" eb="11">
      <t>ヨテイ</t>
    </rPh>
    <rPh sb="12" eb="14">
      <t>イタク</t>
    </rPh>
    <rPh sb="15" eb="17">
      <t>セッケイ</t>
    </rPh>
    <rPh sb="17" eb="18">
      <t>トウ</t>
    </rPh>
    <rPh sb="20" eb="22">
      <t>コウジ</t>
    </rPh>
    <rPh sb="27" eb="28">
      <t>スベ</t>
    </rPh>
    <rPh sb="29" eb="30">
      <t>ヌ</t>
    </rPh>
    <rPh sb="31" eb="32">
      <t>ダ</t>
    </rPh>
    <phoneticPr fontId="10"/>
  </si>
  <si>
    <t>②</t>
    <phoneticPr fontId="10"/>
  </si>
  <si>
    <t>③</t>
    <phoneticPr fontId="10"/>
  </si>
  <si>
    <t>④</t>
    <phoneticPr fontId="10"/>
  </si>
  <si>
    <t>⑤</t>
    <phoneticPr fontId="10"/>
  </si>
  <si>
    <t>下水道は、「管渠」「ポンプ場」「処理場（流域下水道負担金）」を計上してください。</t>
    <rPh sb="0" eb="3">
      <t>ゲスイドウ</t>
    </rPh>
    <rPh sb="6" eb="8">
      <t>カンキョ</t>
    </rPh>
    <rPh sb="13" eb="14">
      <t>ジョウ</t>
    </rPh>
    <rPh sb="16" eb="19">
      <t>ショリジョウ</t>
    </rPh>
    <rPh sb="20" eb="22">
      <t>リュウイキ</t>
    </rPh>
    <rPh sb="22" eb="25">
      <t>ゲスイドウ</t>
    </rPh>
    <rPh sb="25" eb="28">
      <t>フタンキン</t>
    </rPh>
    <rPh sb="31" eb="33">
      <t>ケイジョウ</t>
    </rPh>
    <phoneticPr fontId="10"/>
  </si>
  <si>
    <t>上水道は、「浄水場」「配水池」「その他」で計上してください。</t>
    <rPh sb="0" eb="3">
      <t>ジョウスイドウ</t>
    </rPh>
    <rPh sb="6" eb="9">
      <t>ジョウスイジョウ</t>
    </rPh>
    <rPh sb="11" eb="14">
      <t>ハイスイチ</t>
    </rPh>
    <rPh sb="18" eb="19">
      <t>タ</t>
    </rPh>
    <rPh sb="21" eb="23">
      <t>ケイジョウ</t>
    </rPh>
    <phoneticPr fontId="10"/>
  </si>
  <si>
    <t>　老朽配水管、送水管は、その他に分類してください。</t>
    <rPh sb="1" eb="3">
      <t>ロウキュウ</t>
    </rPh>
    <rPh sb="3" eb="6">
      <t>ハイスイカン</t>
    </rPh>
    <rPh sb="7" eb="10">
      <t>ソウスイカン</t>
    </rPh>
    <rPh sb="14" eb="15">
      <t>タ</t>
    </rPh>
    <rPh sb="16" eb="18">
      <t>ブンルイ</t>
    </rPh>
    <phoneticPr fontId="10"/>
  </si>
  <si>
    <t>浄化槽は、全て「その他」に分類してください。</t>
    <rPh sb="0" eb="3">
      <t>ジョウカソウ</t>
    </rPh>
    <rPh sb="5" eb="6">
      <t>スベ</t>
    </rPh>
    <rPh sb="10" eb="11">
      <t>タ</t>
    </rPh>
    <rPh sb="13" eb="15">
      <t>ブンルイ</t>
    </rPh>
    <phoneticPr fontId="10"/>
  </si>
  <si>
    <t>更新／新規の別、補助／単独の別を入力してください。</t>
    <rPh sb="0" eb="2">
      <t>コウシン</t>
    </rPh>
    <rPh sb="3" eb="5">
      <t>シンキ</t>
    </rPh>
    <rPh sb="6" eb="7">
      <t>ベツ</t>
    </rPh>
    <rPh sb="8" eb="10">
      <t>ホジョ</t>
    </rPh>
    <rPh sb="11" eb="13">
      <t>タンドク</t>
    </rPh>
    <rPh sb="14" eb="15">
      <t>ベツ</t>
    </rPh>
    <rPh sb="16" eb="18">
      <t>ニュウリョク</t>
    </rPh>
    <phoneticPr fontId="10"/>
  </si>
  <si>
    <t>委託・工事金額は、概算でも構いませんが、金額があまりにも大きくズレると料金改定に大きく影響を与えます。</t>
    <rPh sb="0" eb="2">
      <t>イタク</t>
    </rPh>
    <rPh sb="3" eb="5">
      <t>コウジ</t>
    </rPh>
    <rPh sb="5" eb="7">
      <t>キンガク</t>
    </rPh>
    <rPh sb="9" eb="11">
      <t>ガイサン</t>
    </rPh>
    <rPh sb="13" eb="14">
      <t>カマ</t>
    </rPh>
    <rPh sb="20" eb="22">
      <t>キンガク</t>
    </rPh>
    <rPh sb="28" eb="29">
      <t>オオ</t>
    </rPh>
    <rPh sb="35" eb="37">
      <t>リョウキン</t>
    </rPh>
    <rPh sb="37" eb="39">
      <t>カイテイ</t>
    </rPh>
    <rPh sb="40" eb="41">
      <t>オオ</t>
    </rPh>
    <rPh sb="43" eb="45">
      <t>エイキョウ</t>
    </rPh>
    <rPh sb="46" eb="47">
      <t>アタ</t>
    </rPh>
    <phoneticPr fontId="10"/>
  </si>
  <si>
    <t>20事業まで記載できますが、不足する場合は、コピーして作成してください。</t>
    <rPh sb="2" eb="4">
      <t>ジギョウ</t>
    </rPh>
    <rPh sb="6" eb="8">
      <t>キサイ</t>
    </rPh>
    <rPh sb="14" eb="16">
      <t>フソク</t>
    </rPh>
    <rPh sb="18" eb="20">
      <t>バアイ</t>
    </rPh>
    <rPh sb="27" eb="29">
      <t>サクセイ</t>
    </rPh>
    <phoneticPr fontId="10"/>
  </si>
  <si>
    <t>入力返答期限は、８月28日（金）までです。８月31日には、データをビズアップ公共コンサルティングに提出します。</t>
    <rPh sb="0" eb="2">
      <t>ニュウリョク</t>
    </rPh>
    <rPh sb="2" eb="4">
      <t>ヘントウ</t>
    </rPh>
    <rPh sb="4" eb="6">
      <t>キゲン</t>
    </rPh>
    <rPh sb="9" eb="10">
      <t>ガツ</t>
    </rPh>
    <rPh sb="12" eb="13">
      <t>ニチ</t>
    </rPh>
    <rPh sb="14" eb="15">
      <t>キン</t>
    </rPh>
    <rPh sb="22" eb="23">
      <t>ガツ</t>
    </rPh>
    <rPh sb="25" eb="26">
      <t>ニチ</t>
    </rPh>
    <rPh sb="38" eb="40">
      <t>コウキョウ</t>
    </rPh>
    <rPh sb="49" eb="51">
      <t>テイシュツ</t>
    </rPh>
    <phoneticPr fontId="10"/>
  </si>
  <si>
    <t>老朽管布設替工事（詳細設計業務を含む）</t>
    <rPh sb="0" eb="3">
      <t>ロウキュウカン</t>
    </rPh>
    <rPh sb="3" eb="6">
      <t>フセツカ</t>
    </rPh>
    <rPh sb="6" eb="8">
      <t>コウジ</t>
    </rPh>
    <rPh sb="9" eb="11">
      <t>ショウサイ</t>
    </rPh>
    <rPh sb="11" eb="13">
      <t>セッケイ</t>
    </rPh>
    <rPh sb="13" eb="15">
      <t>ギョウム</t>
    </rPh>
    <rPh sb="16" eb="17">
      <t>フク</t>
    </rPh>
    <phoneticPr fontId="10"/>
  </si>
  <si>
    <t>電源立地地域対策交付金</t>
    <rPh sb="0" eb="2">
      <t>デンゲン</t>
    </rPh>
    <rPh sb="2" eb="4">
      <t>リッチ</t>
    </rPh>
    <rPh sb="4" eb="6">
      <t>チイキ</t>
    </rPh>
    <rPh sb="6" eb="8">
      <t>タイサク</t>
    </rPh>
    <rPh sb="8" eb="11">
      <t>コウフキン</t>
    </rPh>
    <phoneticPr fontId="10"/>
  </si>
  <si>
    <t>memo</t>
    <phoneticPr fontId="10"/>
  </si>
  <si>
    <t>老朽管布設替工事については、基準内繰入可能であるが、更新率により金額上限が定まるため、全て企業債という厳しい状況で見込むものとする。</t>
    <rPh sb="0" eb="2">
      <t>ロウキュウ</t>
    </rPh>
    <rPh sb="2" eb="3">
      <t>カン</t>
    </rPh>
    <rPh sb="3" eb="6">
      <t>フセツガ</t>
    </rPh>
    <rPh sb="6" eb="8">
      <t>コウジ</t>
    </rPh>
    <rPh sb="14" eb="17">
      <t>キジュンナイ</t>
    </rPh>
    <rPh sb="17" eb="19">
      <t>クリイレ</t>
    </rPh>
    <rPh sb="19" eb="21">
      <t>カノウ</t>
    </rPh>
    <rPh sb="26" eb="28">
      <t>コウシン</t>
    </rPh>
    <rPh sb="28" eb="29">
      <t>リツ</t>
    </rPh>
    <rPh sb="32" eb="34">
      <t>キンガク</t>
    </rPh>
    <rPh sb="34" eb="36">
      <t>ジョウゲン</t>
    </rPh>
    <rPh sb="37" eb="38">
      <t>サダ</t>
    </rPh>
    <rPh sb="43" eb="44">
      <t>スベ</t>
    </rPh>
    <rPh sb="45" eb="47">
      <t>キギョウ</t>
    </rPh>
    <rPh sb="47" eb="48">
      <t>サイ</t>
    </rPh>
    <rPh sb="51" eb="52">
      <t>キビ</t>
    </rPh>
    <rPh sb="54" eb="56">
      <t>ジョウキョウ</t>
    </rPh>
    <rPh sb="57" eb="59">
      <t>ミコ</t>
    </rPh>
    <phoneticPr fontId="10"/>
  </si>
  <si>
    <t>その他</t>
  </si>
  <si>
    <t>更新</t>
  </si>
  <si>
    <t>補助</t>
  </si>
  <si>
    <t>また、送水管についても基準内で１／４を見込むことは可能だが、こちらも想定として除く。</t>
    <rPh sb="3" eb="6">
      <t>ソウスイカン</t>
    </rPh>
    <rPh sb="11" eb="14">
      <t>キジュンナイ</t>
    </rPh>
    <rPh sb="19" eb="21">
      <t>ミコ</t>
    </rPh>
    <rPh sb="25" eb="27">
      <t>カノウ</t>
    </rPh>
    <rPh sb="34" eb="36">
      <t>ソウテイ</t>
    </rPh>
    <rPh sb="39" eb="40">
      <t>ノゾ</t>
    </rPh>
    <phoneticPr fontId="10"/>
  </si>
  <si>
    <t>配水池</t>
  </si>
  <si>
    <t>水道施設耐震化工事（調査、設計を含む）</t>
    <rPh sb="0" eb="2">
      <t>スイドウ</t>
    </rPh>
    <rPh sb="2" eb="4">
      <t>シセツ</t>
    </rPh>
    <rPh sb="4" eb="7">
      <t>タイシンカ</t>
    </rPh>
    <rPh sb="7" eb="9">
      <t>コウジ</t>
    </rPh>
    <rPh sb="10" eb="12">
      <t>チョウサ</t>
    </rPh>
    <rPh sb="13" eb="15">
      <t>セッケイ</t>
    </rPh>
    <rPh sb="16" eb="17">
      <t>フク</t>
    </rPh>
    <phoneticPr fontId="10"/>
  </si>
  <si>
    <t>元利均等</t>
  </si>
  <si>
    <t>鷲神高度処理設備整備工事</t>
    <rPh sb="0" eb="2">
      <t>ワシカミ</t>
    </rPh>
    <rPh sb="2" eb="6">
      <t>コウドショリ</t>
    </rPh>
    <rPh sb="6" eb="8">
      <t>セツビ</t>
    </rPh>
    <rPh sb="8" eb="10">
      <t>セイビ</t>
    </rPh>
    <rPh sb="10" eb="12">
      <t>コウジ</t>
    </rPh>
    <phoneticPr fontId="10"/>
  </si>
  <si>
    <t>新規</t>
  </si>
  <si>
    <t>単独</t>
  </si>
  <si>
    <t>浄水場</t>
  </si>
  <si>
    <t>岸田元首相主導の耐震化関連事業である。</t>
    <rPh sb="0" eb="2">
      <t>キシダ</t>
    </rPh>
    <rPh sb="2" eb="5">
      <t>モトシュショウ</t>
    </rPh>
    <rPh sb="5" eb="7">
      <t>シュドウ</t>
    </rPh>
    <rPh sb="8" eb="11">
      <t>タイシンカ</t>
    </rPh>
    <rPh sb="11" eb="13">
      <t>カンレン</t>
    </rPh>
    <rPh sb="13" eb="15">
      <t>ジギョウ</t>
    </rPh>
    <phoneticPr fontId="10"/>
  </si>
  <si>
    <t>国の求めに応じて令和7年度から配水池の耐震診断を実施している。</t>
    <rPh sb="0" eb="1">
      <t>クニ</t>
    </rPh>
    <rPh sb="2" eb="3">
      <t>モト</t>
    </rPh>
    <rPh sb="5" eb="6">
      <t>オウ</t>
    </rPh>
    <rPh sb="8" eb="10">
      <t>レイワ</t>
    </rPh>
    <rPh sb="11" eb="13">
      <t>ネンド</t>
    </rPh>
    <rPh sb="15" eb="18">
      <t>ハイスイチ</t>
    </rPh>
    <rPh sb="19" eb="21">
      <t>タイシン</t>
    </rPh>
    <rPh sb="21" eb="23">
      <t>シンダン</t>
    </rPh>
    <rPh sb="24" eb="26">
      <t>ジッシ</t>
    </rPh>
    <phoneticPr fontId="10"/>
  </si>
  <si>
    <t>耐震診断は令和９年度まで実施予定である。</t>
    <rPh sb="0" eb="2">
      <t>タイシン</t>
    </rPh>
    <rPh sb="2" eb="4">
      <t>シンダン</t>
    </rPh>
    <rPh sb="5" eb="7">
      <t>レイワ</t>
    </rPh>
    <rPh sb="8" eb="10">
      <t>ネンド</t>
    </rPh>
    <rPh sb="12" eb="14">
      <t>ジッシ</t>
    </rPh>
    <rPh sb="14" eb="16">
      <t>ヨテイ</t>
    </rPh>
    <phoneticPr fontId="10"/>
  </si>
  <si>
    <t>その後、町中心部で対応が必要となる工事を想定している。</t>
    <rPh sb="2" eb="3">
      <t>ゴ</t>
    </rPh>
    <rPh sb="4" eb="5">
      <t>マチ</t>
    </rPh>
    <rPh sb="5" eb="8">
      <t>チュウシンブ</t>
    </rPh>
    <rPh sb="9" eb="11">
      <t>タイオウ</t>
    </rPh>
    <rPh sb="12" eb="14">
      <t>ヒツヨウ</t>
    </rPh>
    <rPh sb="17" eb="19">
      <t>コウジ</t>
    </rPh>
    <rPh sb="20" eb="22">
      <t>ソウテイ</t>
    </rPh>
    <phoneticPr fontId="10"/>
  </si>
  <si>
    <t>既に発注済みで令和９年度までの工事である。</t>
    <rPh sb="0" eb="1">
      <t>スデ</t>
    </rPh>
    <rPh sb="2" eb="4">
      <t>ハッチュウ</t>
    </rPh>
    <rPh sb="4" eb="5">
      <t>ズ</t>
    </rPh>
    <rPh sb="7" eb="9">
      <t>レイワ</t>
    </rPh>
    <rPh sb="10" eb="12">
      <t>ネンド</t>
    </rPh>
    <rPh sb="15" eb="17">
      <t>コウジ</t>
    </rPh>
    <phoneticPr fontId="10"/>
  </si>
  <si>
    <t>新設である。</t>
    <rPh sb="0" eb="2">
      <t>シンセツ</t>
    </rPh>
    <phoneticPr fontId="10"/>
  </si>
  <si>
    <t>この施設新設により捨水量が減り、有収水量が増える見込みである。</t>
    <rPh sb="2" eb="4">
      <t>シセツ</t>
    </rPh>
    <rPh sb="4" eb="6">
      <t>シンセツ</t>
    </rPh>
    <rPh sb="9" eb="10">
      <t>ス</t>
    </rPh>
    <rPh sb="10" eb="11">
      <t>ミズ</t>
    </rPh>
    <rPh sb="11" eb="12">
      <t>リョウ</t>
    </rPh>
    <rPh sb="13" eb="14">
      <t>ヘ</t>
    </rPh>
    <rPh sb="16" eb="18">
      <t>ユウシュウ</t>
    </rPh>
    <rPh sb="18" eb="20">
      <t>スイリョウ</t>
    </rPh>
    <rPh sb="21" eb="22">
      <t>フ</t>
    </rPh>
    <rPh sb="24" eb="26">
      <t>ミコ</t>
    </rPh>
    <phoneticPr fontId="10"/>
  </si>
  <si>
    <t>また、捨水減により動力費、薬品費等も減少見通しである。</t>
    <rPh sb="3" eb="4">
      <t>ス</t>
    </rPh>
    <rPh sb="4" eb="5">
      <t>ミズ</t>
    </rPh>
    <rPh sb="5" eb="6">
      <t>ゲン</t>
    </rPh>
    <rPh sb="9" eb="11">
      <t>ドウリョク</t>
    </rPh>
    <rPh sb="11" eb="12">
      <t>ヒ</t>
    </rPh>
    <rPh sb="13" eb="15">
      <t>ヤクヒン</t>
    </rPh>
    <rPh sb="15" eb="16">
      <t>ヒ</t>
    </rPh>
    <rPh sb="16" eb="17">
      <t>トウ</t>
    </rPh>
    <rPh sb="18" eb="20">
      <t>ゲンショウ</t>
    </rPh>
    <rPh sb="20" eb="22">
      <t>ミトオ</t>
    </rPh>
    <phoneticPr fontId="10"/>
  </si>
  <si>
    <t>江島海底送水管本復旧工事</t>
    <rPh sb="0" eb="2">
      <t>エノシマ</t>
    </rPh>
    <rPh sb="2" eb="7">
      <t>カイテイソウスイカン</t>
    </rPh>
    <rPh sb="7" eb="8">
      <t>ホン</t>
    </rPh>
    <rPh sb="8" eb="10">
      <t>フッキュウ</t>
    </rPh>
    <rPh sb="10" eb="12">
      <t>コウジ</t>
    </rPh>
    <phoneticPr fontId="10"/>
  </si>
</sst>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ＭＳ Ｐゴシック"/>
      <family val="2"/>
      <scheme val="minor"/>
    </font>
    <font>
      <b/>
      <sz val="16"/>
      <name val="Meiryo"/>
      <family val="3"/>
      <charset val="128"/>
    </font>
    <font>
      <sz val="9"/>
      <color rgb="FF000000"/>
      <name val="Meiryo"/>
      <family val="3"/>
      <charset val="128"/>
    </font>
    <font>
      <b/>
      <sz val="10"/>
      <color rgb="FF000000"/>
      <name val="Meiryo"/>
      <family val="3"/>
      <charset val="128"/>
    </font>
    <font>
      <b/>
      <sz val="11"/>
      <color rgb="FFFFFFFF"/>
      <name val="Meiryo"/>
      <family val="3"/>
      <charset val="128"/>
    </font>
    <font>
      <sz val="10"/>
      <color rgb="FF000000"/>
      <name val="Meiryo"/>
      <family val="3"/>
      <charset val="128"/>
    </font>
    <font>
      <b/>
      <sz val="14"/>
      <color rgb="FF1F4E78"/>
      <name val="Meiryo"/>
      <family val="3"/>
      <charset val="128"/>
    </font>
    <font>
      <b/>
      <sz val="11"/>
      <color rgb="FF1F4E78"/>
      <name val="Meiryo"/>
      <family val="3"/>
      <charset val="128"/>
    </font>
    <font>
      <sz val="10"/>
      <name val="Meiryo"/>
      <family val="3"/>
      <charset val="128"/>
    </font>
    <font>
      <b/>
      <sz val="10"/>
      <color rgb="FFFF0000"/>
      <name val="Meiryo"/>
      <family val="3"/>
      <charset val="128"/>
    </font>
    <font>
      <sz val="6"/>
      <name val="ＭＳ Ｐゴシック"/>
      <family val="3"/>
      <charset val="128"/>
      <scheme val="minor"/>
    </font>
    <font>
      <b/>
      <sz val="16"/>
      <color rgb="FFFF0000"/>
      <name val="ＭＳ Ｐゴシック"/>
      <family val="3"/>
      <charset val="128"/>
      <scheme val="minor"/>
    </font>
    <font>
      <b/>
      <sz val="9"/>
      <color indexed="81"/>
      <name val="MS P ゴシック"/>
      <family val="3"/>
      <charset val="128"/>
    </font>
  </fonts>
  <fills count="6">
    <fill>
      <patternFill patternType="none"/>
    </fill>
    <fill>
      <patternFill patternType="gray125"/>
    </fill>
    <fill>
      <patternFill patternType="solid">
        <fgColor rgb="FF4F81BD"/>
        <bgColor rgb="FF4F81BD"/>
      </patternFill>
    </fill>
    <fill>
      <patternFill patternType="solid">
        <fgColor rgb="FFFFFFE0"/>
        <bgColor rgb="FFFFFFE0"/>
      </patternFill>
    </fill>
    <fill>
      <patternFill patternType="solid">
        <fgColor rgb="FFDCE6F1"/>
        <bgColor rgb="FFDCE6F1"/>
      </patternFill>
    </fill>
    <fill>
      <patternFill patternType="solid">
        <fgColor rgb="FFF2F2F2"/>
        <bgColor rgb="FFF2F2F2"/>
      </patternFill>
    </fill>
  </fills>
  <borders count="2">
    <border>
      <left/>
      <right/>
      <top/>
      <bottom/>
      <diagonal/>
    </border>
    <border>
      <left style="thin">
        <color rgb="FFA6A6A6"/>
      </left>
      <right style="thin">
        <color rgb="FFA6A6A6"/>
      </right>
      <top style="thin">
        <color rgb="FFA6A6A6"/>
      </top>
      <bottom style="thin">
        <color rgb="FFA6A6A6"/>
      </bottom>
      <diagonal/>
    </border>
  </borders>
  <cellStyleXfs count="1">
    <xf numFmtId="0" fontId="0" fillId="0" borderId="0"/>
  </cellStyleXfs>
  <cellXfs count="27">
    <xf numFmtId="0" fontId="0" fillId="0" borderId="0" xfId="0"/>
    <xf numFmtId="0" fontId="1" fillId="0" borderId="0" xfId="0" applyFont="1"/>
    <xf numFmtId="0" fontId="2" fillId="0" borderId="0" xfId="0" applyFont="1"/>
    <xf numFmtId="0" fontId="3" fillId="4" borderId="1" xfId="0" applyFont="1" applyFill="1" applyBorder="1"/>
    <xf numFmtId="0" fontId="0" fillId="3" borderId="1" xfId="0" applyFill="1" applyBorder="1"/>
    <xf numFmtId="0" fontId="3" fillId="4" borderId="1" xfId="0" applyFont="1" applyFill="1" applyBorder="1" applyAlignment="1">
      <alignment horizontal="center" vertical="center" wrapText="1"/>
    </xf>
    <xf numFmtId="0" fontId="0" fillId="0" borderId="1" xfId="0" applyBorder="1"/>
    <xf numFmtId="0" fontId="0" fillId="3" borderId="1" xfId="0" applyFill="1" applyBorder="1" applyAlignment="1">
      <alignment horizontal="center" vertical="center" wrapText="1"/>
    </xf>
    <xf numFmtId="3" fontId="0" fillId="3" borderId="1" xfId="0" applyNumberFormat="1" applyFill="1" applyBorder="1"/>
    <xf numFmtId="3" fontId="3" fillId="5" borderId="1" xfId="0" applyNumberFormat="1" applyFont="1" applyFill="1" applyBorder="1"/>
    <xf numFmtId="0" fontId="5" fillId="4" borderId="1" xfId="0" applyFont="1" applyFill="1" applyBorder="1" applyAlignment="1">
      <alignment horizontal="right" vertical="center" wrapText="1"/>
    </xf>
    <xf numFmtId="3" fontId="0" fillId="5" borderId="1" xfId="0" applyNumberFormat="1" applyFill="1" applyBorder="1"/>
    <xf numFmtId="0" fontId="6" fillId="0" borderId="0" xfId="0" applyFont="1"/>
    <xf numFmtId="0" fontId="7" fillId="0" borderId="0" xfId="0" applyFont="1"/>
    <xf numFmtId="0" fontId="8" fillId="0" borderId="0" xfId="0" applyFont="1"/>
    <xf numFmtId="0" fontId="0" fillId="5" borderId="1" xfId="0" applyFill="1" applyBorder="1"/>
    <xf numFmtId="0" fontId="9" fillId="0" borderId="0" xfId="0" applyFont="1"/>
    <xf numFmtId="0" fontId="3" fillId="2" borderId="1" xfId="0" applyFont="1" applyFill="1" applyBorder="1" applyAlignment="1">
      <alignment horizontal="center" vertical="center" wrapText="1"/>
    </xf>
    <xf numFmtId="3" fontId="5" fillId="0" borderId="1" xfId="0" applyNumberFormat="1" applyFont="1" applyBorder="1"/>
    <xf numFmtId="3" fontId="5" fillId="5" borderId="1" xfId="0" applyNumberFormat="1" applyFont="1" applyFill="1" applyBorder="1"/>
    <xf numFmtId="0" fontId="0" fillId="0" borderId="0" xfId="0" applyAlignment="1">
      <alignment horizontal="right"/>
    </xf>
    <xf numFmtId="0" fontId="11" fillId="0" borderId="0" xfId="0" applyFont="1" applyAlignment="1">
      <alignment horizontal="left"/>
    </xf>
    <xf numFmtId="0" fontId="3" fillId="4" borderId="1" xfId="0" applyFont="1" applyFill="1" applyBorder="1" applyAlignment="1">
      <alignment horizontal="center" vertical="center" wrapText="1"/>
    </xf>
    <xf numFmtId="0" fontId="0" fillId="0" borderId="1" xfId="0" applyBorder="1"/>
    <xf numFmtId="0" fontId="0" fillId="3" borderId="1" xfId="0" applyFill="1" applyBorder="1"/>
    <xf numFmtId="0" fontId="4" fillId="2" borderId="1" xfId="0" applyFont="1" applyFill="1" applyBorder="1"/>
    <xf numFmtId="3" fontId="0" fillId="3" borderId="1" xfId="0" applyNumberFormat="1" applyFill="1" applyBorder="1" applyAlignment="1">
      <alignment horizontal="center" vertical="center" wrapText="1"/>
    </xf>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10</xdr:col>
      <xdr:colOff>13139</xdr:colOff>
      <xdr:row>11</xdr:row>
      <xdr:rowOff>16093</xdr:rowOff>
    </xdr:from>
    <xdr:to>
      <xdr:col>12</xdr:col>
      <xdr:colOff>454449</xdr:colOff>
      <xdr:row>17</xdr:row>
      <xdr:rowOff>16750</xdr:rowOff>
    </xdr:to>
    <xdr:pic>
      <xdr:nvPicPr>
        <xdr:cNvPr id="2" name="図 1">
          <a:extLst>
            <a:ext uri="{FF2B5EF4-FFF2-40B4-BE49-F238E27FC236}">
              <a16:creationId xmlns:a16="http://schemas.microsoft.com/office/drawing/2014/main" id="{CEFA85AB-8895-2C3D-0747-244DD5EC62D6}"/>
            </a:ext>
          </a:extLst>
        </xdr:cNvPr>
        <xdr:cNvPicPr>
          <a:picLocks noChangeAspect="1"/>
        </xdr:cNvPicPr>
      </xdr:nvPicPr>
      <xdr:blipFill>
        <a:blip xmlns:r="http://schemas.openxmlformats.org/officeDocument/2006/relationships" r:embed="rId1"/>
        <a:stretch>
          <a:fillRect/>
        </a:stretch>
      </xdr:blipFill>
      <xdr:spPr>
        <a:xfrm>
          <a:off x="6122277" y="2210127"/>
          <a:ext cx="1663138" cy="1033036"/>
        </a:xfrm>
        <a:prstGeom prst="rect">
          <a:avLst/>
        </a:prstGeom>
        <a:ln>
          <a:solidFill>
            <a:schemeClr val="tx1"/>
          </a:solid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C26"/>
  <sheetViews>
    <sheetView zoomScale="145" zoomScaleNormal="145" workbookViewId="0">
      <selection activeCell="B25" sqref="B25"/>
    </sheetView>
  </sheetViews>
  <sheetFormatPr defaultRowHeight="13.2"/>
  <sheetData>
    <row r="2" spans="2:3" ht="21.6">
      <c r="B2" s="12" t="s">
        <v>0</v>
      </c>
    </row>
    <row r="4" spans="2:3" ht="17.399999999999999">
      <c r="B4" s="13" t="s">
        <v>1</v>
      </c>
    </row>
    <row r="5" spans="2:3" ht="16.2">
      <c r="B5" s="4"/>
      <c r="C5" s="14" t="s">
        <v>84</v>
      </c>
    </row>
    <row r="6" spans="2:3" ht="16.2">
      <c r="B6" s="15"/>
      <c r="C6" s="14" t="s">
        <v>83</v>
      </c>
    </row>
    <row r="7" spans="2:3" ht="16.2">
      <c r="C7" s="16" t="s">
        <v>2</v>
      </c>
    </row>
    <row r="10" spans="2:3" ht="17.399999999999999">
      <c r="B10" s="13" t="s">
        <v>87</v>
      </c>
    </row>
    <row r="11" spans="2:3">
      <c r="B11" s="20" t="s">
        <v>88</v>
      </c>
      <c r="C11" t="s">
        <v>89</v>
      </c>
    </row>
    <row r="12" spans="2:3">
      <c r="B12" s="20" t="s">
        <v>90</v>
      </c>
      <c r="C12" t="s">
        <v>94</v>
      </c>
    </row>
    <row r="13" spans="2:3">
      <c r="B13" s="20"/>
      <c r="C13" t="s">
        <v>95</v>
      </c>
    </row>
    <row r="14" spans="2:3">
      <c r="B14" s="20"/>
      <c r="C14" t="s">
        <v>96</v>
      </c>
    </row>
    <row r="15" spans="2:3">
      <c r="B15" s="20"/>
      <c r="C15" t="s">
        <v>97</v>
      </c>
    </row>
    <row r="16" spans="2:3">
      <c r="B16" s="20"/>
    </row>
    <row r="17" spans="2:3">
      <c r="B17" s="20"/>
    </row>
    <row r="18" spans="2:3">
      <c r="B18" s="20"/>
    </row>
    <row r="19" spans="2:3">
      <c r="B19" s="20" t="s">
        <v>91</v>
      </c>
      <c r="C19" t="s">
        <v>98</v>
      </c>
    </row>
    <row r="20" spans="2:3">
      <c r="B20" s="20" t="s">
        <v>92</v>
      </c>
      <c r="C20" t="s">
        <v>99</v>
      </c>
    </row>
    <row r="21" spans="2:3">
      <c r="B21" s="20" t="s">
        <v>93</v>
      </c>
      <c r="C21" t="s">
        <v>100</v>
      </c>
    </row>
    <row r="22" spans="2:3">
      <c r="B22" s="20"/>
    </row>
    <row r="23" spans="2:3">
      <c r="B23" s="20"/>
    </row>
    <row r="24" spans="2:3" ht="19.2">
      <c r="B24" s="21" t="s">
        <v>101</v>
      </c>
    </row>
    <row r="25" spans="2:3">
      <c r="B25" s="20"/>
    </row>
    <row r="26" spans="2:3">
      <c r="B26" s="20"/>
    </row>
  </sheetData>
  <phoneticPr fontId="10"/>
  <pageMargins left="0.75" right="0.75" top="1" bottom="1" header="0.5" footer="0.5"/>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322"/>
  <sheetViews>
    <sheetView tabSelected="1" zoomScale="130" zoomScaleNormal="130" workbookViewId="0">
      <selection activeCell="C54" sqref="C54"/>
    </sheetView>
  </sheetViews>
  <sheetFormatPr defaultRowHeight="13.2"/>
  <cols>
    <col min="1" max="1" width="18" customWidth="1"/>
    <col min="2" max="11" width="11" customWidth="1"/>
    <col min="12" max="12" width="14" customWidth="1"/>
  </cols>
  <sheetData>
    <row r="1" spans="1:14" ht="26.4">
      <c r="A1" s="1" t="s">
        <v>3</v>
      </c>
    </row>
    <row r="2" spans="1:14" ht="16.2">
      <c r="A2" s="2" t="s">
        <v>4</v>
      </c>
    </row>
    <row r="3" spans="1:14" ht="16.2">
      <c r="A3" s="2" t="s">
        <v>5</v>
      </c>
    </row>
    <row r="5" spans="1:14" ht="17.399999999999999">
      <c r="A5" s="25" t="s">
        <v>6</v>
      </c>
      <c r="B5" s="23"/>
      <c r="C5" s="24" t="s">
        <v>102</v>
      </c>
      <c r="D5" s="23"/>
      <c r="E5" s="23"/>
      <c r="F5" s="23"/>
      <c r="G5" s="23"/>
      <c r="H5" s="23"/>
      <c r="I5" s="23"/>
      <c r="J5" s="23"/>
      <c r="K5" s="23"/>
      <c r="L5" s="23"/>
      <c r="N5" t="s">
        <v>104</v>
      </c>
    </row>
    <row r="6" spans="1:14" ht="16.2">
      <c r="A6" s="3" t="s">
        <v>7</v>
      </c>
      <c r="B6" s="4" t="s">
        <v>106</v>
      </c>
      <c r="C6" s="3" t="s">
        <v>85</v>
      </c>
      <c r="D6" s="4" t="s">
        <v>107</v>
      </c>
      <c r="E6" s="3" t="s">
        <v>86</v>
      </c>
      <c r="F6" s="4" t="s">
        <v>108</v>
      </c>
      <c r="G6" s="6"/>
      <c r="H6" s="6"/>
      <c r="I6" s="6"/>
      <c r="J6" s="6"/>
      <c r="K6" s="6"/>
      <c r="L6" s="6"/>
      <c r="N6" t="s">
        <v>105</v>
      </c>
    </row>
    <row r="7" spans="1:14">
      <c r="A7" s="22" t="s">
        <v>8</v>
      </c>
      <c r="B7" s="23"/>
      <c r="C7" s="23"/>
      <c r="D7" s="23"/>
      <c r="E7" s="22" t="s">
        <v>9</v>
      </c>
      <c r="F7" s="23"/>
      <c r="G7" s="22" t="s">
        <v>10</v>
      </c>
      <c r="H7" s="23"/>
      <c r="I7" s="23"/>
      <c r="J7" s="23"/>
      <c r="K7" s="6"/>
      <c r="L7" s="6"/>
      <c r="N7" t="s">
        <v>109</v>
      </c>
    </row>
    <row r="8" spans="1:14" ht="16.2">
      <c r="A8" s="5" t="s">
        <v>11</v>
      </c>
      <c r="B8" s="5" t="s">
        <v>12</v>
      </c>
      <c r="C8" s="5" t="s">
        <v>13</v>
      </c>
      <c r="D8" s="5" t="s">
        <v>14</v>
      </c>
      <c r="E8" s="5" t="s">
        <v>15</v>
      </c>
      <c r="F8" s="5" t="s">
        <v>16</v>
      </c>
      <c r="G8" s="5" t="s">
        <v>17</v>
      </c>
      <c r="H8" s="5" t="s">
        <v>18</v>
      </c>
      <c r="I8" s="5" t="s">
        <v>19</v>
      </c>
      <c r="J8" s="5" t="s">
        <v>20</v>
      </c>
      <c r="K8" s="6"/>
      <c r="L8" s="6"/>
    </row>
    <row r="9" spans="1:14">
      <c r="A9" s="26">
        <f>L14</f>
        <v>240000</v>
      </c>
      <c r="B9" s="26">
        <f>L15</f>
        <v>940000</v>
      </c>
      <c r="C9" s="7"/>
      <c r="D9" s="7"/>
      <c r="E9" s="7">
        <v>40</v>
      </c>
      <c r="F9" s="7"/>
      <c r="G9" s="7"/>
      <c r="H9" s="7">
        <v>3</v>
      </c>
      <c r="I9" s="7">
        <v>25</v>
      </c>
      <c r="J9" s="7" t="s">
        <v>112</v>
      </c>
      <c r="K9" s="6"/>
      <c r="L9" s="6"/>
    </row>
    <row r="11" spans="1:14" ht="16.2">
      <c r="A11" s="5" t="s">
        <v>21</v>
      </c>
      <c r="B11" s="5" t="s">
        <v>22</v>
      </c>
      <c r="C11" s="5" t="s">
        <v>23</v>
      </c>
      <c r="D11" s="5" t="s">
        <v>24</v>
      </c>
      <c r="E11" s="5" t="s">
        <v>25</v>
      </c>
      <c r="F11" s="5" t="s">
        <v>26</v>
      </c>
      <c r="G11" s="5" t="s">
        <v>27</v>
      </c>
      <c r="H11" s="5" t="s">
        <v>28</v>
      </c>
      <c r="I11" s="5" t="s">
        <v>29</v>
      </c>
      <c r="J11" s="5" t="s">
        <v>30</v>
      </c>
      <c r="K11" s="5" t="s">
        <v>31</v>
      </c>
      <c r="L11" s="5" t="s">
        <v>32</v>
      </c>
    </row>
    <row r="12" spans="1:14" ht="16.2">
      <c r="A12" s="5" t="s">
        <v>33</v>
      </c>
      <c r="B12" s="5" t="s">
        <v>34</v>
      </c>
      <c r="C12" s="5" t="s">
        <v>35</v>
      </c>
      <c r="D12" s="5" t="s">
        <v>36</v>
      </c>
      <c r="E12" s="5" t="s">
        <v>37</v>
      </c>
      <c r="F12" s="5" t="s">
        <v>38</v>
      </c>
      <c r="G12" s="5" t="s">
        <v>39</v>
      </c>
      <c r="H12" s="5" t="s">
        <v>40</v>
      </c>
      <c r="I12" s="5" t="s">
        <v>41</v>
      </c>
      <c r="J12" s="5" t="s">
        <v>42</v>
      </c>
      <c r="K12" s="5" t="s">
        <v>43</v>
      </c>
      <c r="L12" s="5"/>
    </row>
    <row r="13" spans="1:14" ht="16.2">
      <c r="A13" s="5" t="s">
        <v>44</v>
      </c>
      <c r="B13" s="8">
        <v>180000</v>
      </c>
      <c r="C13" s="8">
        <v>150000</v>
      </c>
      <c r="D13" s="8">
        <v>150000</v>
      </c>
      <c r="E13" s="8">
        <v>100000</v>
      </c>
      <c r="F13" s="8">
        <v>100000</v>
      </c>
      <c r="G13" s="8">
        <v>100000</v>
      </c>
      <c r="H13" s="8">
        <v>100000</v>
      </c>
      <c r="I13" s="8">
        <v>100000</v>
      </c>
      <c r="J13" s="8">
        <v>100000</v>
      </c>
      <c r="K13" s="8">
        <v>100000</v>
      </c>
      <c r="L13" s="9">
        <f t="shared" ref="L13:L18" si="0">SUM(B13:K13)</f>
        <v>1180000</v>
      </c>
    </row>
    <row r="14" spans="1:14" ht="16.2">
      <c r="A14" s="10" t="s">
        <v>45</v>
      </c>
      <c r="B14" s="11">
        <v>80000</v>
      </c>
      <c r="C14" s="11">
        <v>80000</v>
      </c>
      <c r="D14" s="11">
        <v>80000</v>
      </c>
      <c r="E14" s="11">
        <v>0</v>
      </c>
      <c r="F14" s="11">
        <v>0</v>
      </c>
      <c r="G14" s="11">
        <v>0</v>
      </c>
      <c r="H14" s="11">
        <v>0</v>
      </c>
      <c r="I14" s="11">
        <v>0</v>
      </c>
      <c r="J14" s="11">
        <v>0</v>
      </c>
      <c r="K14" s="11">
        <v>0</v>
      </c>
      <c r="L14" s="9">
        <f t="shared" si="0"/>
        <v>240000</v>
      </c>
      <c r="M14" t="s">
        <v>103</v>
      </c>
    </row>
    <row r="15" spans="1:14" ht="16.2">
      <c r="A15" s="10" t="s">
        <v>46</v>
      </c>
      <c r="B15" s="11">
        <v>100000</v>
      </c>
      <c r="C15" s="11">
        <v>70000</v>
      </c>
      <c r="D15" s="11">
        <v>70000</v>
      </c>
      <c r="E15" s="11">
        <v>100000</v>
      </c>
      <c r="F15" s="11">
        <v>100000</v>
      </c>
      <c r="G15" s="11">
        <v>100000</v>
      </c>
      <c r="H15" s="11">
        <v>100000</v>
      </c>
      <c r="I15" s="11">
        <v>100000</v>
      </c>
      <c r="J15" s="11">
        <v>100000</v>
      </c>
      <c r="K15" s="11">
        <v>100000</v>
      </c>
      <c r="L15" s="9">
        <f t="shared" si="0"/>
        <v>940000</v>
      </c>
    </row>
    <row r="16" spans="1:14" ht="16.2">
      <c r="A16" s="10" t="s">
        <v>47</v>
      </c>
      <c r="B16" s="11">
        <f t="shared" ref="B16:K16" si="1">IFERROR(ROUNDDOWN(B13*($C$9/100), 0), 0)</f>
        <v>0</v>
      </c>
      <c r="C16" s="11">
        <f t="shared" si="1"/>
        <v>0</v>
      </c>
      <c r="D16" s="11">
        <f t="shared" si="1"/>
        <v>0</v>
      </c>
      <c r="E16" s="11">
        <f t="shared" si="1"/>
        <v>0</v>
      </c>
      <c r="F16" s="11">
        <f t="shared" si="1"/>
        <v>0</v>
      </c>
      <c r="G16" s="11">
        <f t="shared" si="1"/>
        <v>0</v>
      </c>
      <c r="H16" s="11">
        <f t="shared" si="1"/>
        <v>0</v>
      </c>
      <c r="I16" s="11">
        <f t="shared" si="1"/>
        <v>0</v>
      </c>
      <c r="J16" s="11">
        <f t="shared" si="1"/>
        <v>0</v>
      </c>
      <c r="K16" s="11">
        <f t="shared" si="1"/>
        <v>0</v>
      </c>
      <c r="L16" s="9">
        <f t="shared" si="0"/>
        <v>0</v>
      </c>
    </row>
    <row r="17" spans="1:14" ht="16.2">
      <c r="A17" s="10" t="s">
        <v>48</v>
      </c>
      <c r="B17" s="11">
        <f t="shared" ref="B17:K17" si="2">IFERROR(ROUNDDOWN(B13*($D$9/100), 0), 0)</f>
        <v>0</v>
      </c>
      <c r="C17" s="11">
        <f t="shared" si="2"/>
        <v>0</v>
      </c>
      <c r="D17" s="11">
        <f t="shared" si="2"/>
        <v>0</v>
      </c>
      <c r="E17" s="11">
        <f t="shared" si="2"/>
        <v>0</v>
      </c>
      <c r="F17" s="11">
        <f t="shared" si="2"/>
        <v>0</v>
      </c>
      <c r="G17" s="11">
        <f t="shared" si="2"/>
        <v>0</v>
      </c>
      <c r="H17" s="11">
        <f t="shared" si="2"/>
        <v>0</v>
      </c>
      <c r="I17" s="11">
        <f t="shared" si="2"/>
        <v>0</v>
      </c>
      <c r="J17" s="11">
        <f t="shared" si="2"/>
        <v>0</v>
      </c>
      <c r="K17" s="11">
        <f t="shared" si="2"/>
        <v>0</v>
      </c>
      <c r="L17" s="9">
        <f t="shared" si="0"/>
        <v>0</v>
      </c>
    </row>
    <row r="18" spans="1:14" ht="16.2">
      <c r="A18" s="10" t="s">
        <v>49</v>
      </c>
      <c r="B18" s="11">
        <f t="shared" ref="B18:K18" si="3">IFERROR(B13-SUM(B14:B17), 0)</f>
        <v>0</v>
      </c>
      <c r="C18" s="11">
        <f t="shared" si="3"/>
        <v>0</v>
      </c>
      <c r="D18" s="11">
        <f t="shared" si="3"/>
        <v>0</v>
      </c>
      <c r="E18" s="11">
        <f t="shared" si="3"/>
        <v>0</v>
      </c>
      <c r="F18" s="11">
        <f t="shared" si="3"/>
        <v>0</v>
      </c>
      <c r="G18" s="11">
        <f t="shared" si="3"/>
        <v>0</v>
      </c>
      <c r="H18" s="11">
        <f t="shared" si="3"/>
        <v>0</v>
      </c>
      <c r="I18" s="11">
        <f t="shared" si="3"/>
        <v>0</v>
      </c>
      <c r="J18" s="11">
        <f t="shared" si="3"/>
        <v>0</v>
      </c>
      <c r="K18" s="11">
        <f t="shared" si="3"/>
        <v>0</v>
      </c>
      <c r="L18" s="9">
        <f t="shared" si="0"/>
        <v>0</v>
      </c>
    </row>
    <row r="21" spans="1:14" ht="17.399999999999999">
      <c r="A21" s="25" t="s">
        <v>50</v>
      </c>
      <c r="B21" s="23"/>
      <c r="C21" s="24" t="s">
        <v>111</v>
      </c>
      <c r="D21" s="23"/>
      <c r="E21" s="23"/>
      <c r="F21" s="23"/>
      <c r="G21" s="23"/>
      <c r="H21" s="23"/>
      <c r="I21" s="23"/>
      <c r="J21" s="23"/>
      <c r="K21" s="23"/>
      <c r="L21" s="23"/>
    </row>
    <row r="22" spans="1:14" ht="16.2">
      <c r="A22" s="3" t="s">
        <v>7</v>
      </c>
      <c r="B22" s="4" t="s">
        <v>110</v>
      </c>
      <c r="C22" s="3" t="s">
        <v>85</v>
      </c>
      <c r="D22" s="4" t="s">
        <v>107</v>
      </c>
      <c r="E22" s="3" t="s">
        <v>86</v>
      </c>
      <c r="F22" s="4" t="s">
        <v>108</v>
      </c>
      <c r="G22" s="6"/>
      <c r="H22" s="6"/>
      <c r="I22" s="6"/>
      <c r="J22" s="6"/>
      <c r="K22" s="6"/>
      <c r="L22" s="6"/>
      <c r="N22" t="s">
        <v>104</v>
      </c>
    </row>
    <row r="23" spans="1:14">
      <c r="A23" s="22" t="s">
        <v>8</v>
      </c>
      <c r="B23" s="23"/>
      <c r="C23" s="23"/>
      <c r="D23" s="23"/>
      <c r="E23" s="22" t="s">
        <v>9</v>
      </c>
      <c r="F23" s="23"/>
      <c r="G23" s="22" t="s">
        <v>10</v>
      </c>
      <c r="H23" s="23"/>
      <c r="I23" s="23"/>
      <c r="J23" s="23"/>
      <c r="K23" s="6"/>
      <c r="L23" s="6"/>
      <c r="N23" t="s">
        <v>117</v>
      </c>
    </row>
    <row r="24" spans="1:14" ht="16.2">
      <c r="A24" s="5" t="s">
        <v>11</v>
      </c>
      <c r="B24" s="5" t="s">
        <v>12</v>
      </c>
      <c r="C24" s="5" t="s">
        <v>13</v>
      </c>
      <c r="D24" s="5" t="s">
        <v>14</v>
      </c>
      <c r="E24" s="5" t="s">
        <v>15</v>
      </c>
      <c r="F24" s="5" t="s">
        <v>16</v>
      </c>
      <c r="G24" s="5" t="s">
        <v>17</v>
      </c>
      <c r="H24" s="5" t="s">
        <v>18</v>
      </c>
      <c r="I24" s="5" t="s">
        <v>19</v>
      </c>
      <c r="J24" s="5" t="s">
        <v>20</v>
      </c>
      <c r="K24" s="6"/>
      <c r="L24" s="6"/>
      <c r="N24" t="s">
        <v>118</v>
      </c>
    </row>
    <row r="25" spans="1:14">
      <c r="A25" s="26">
        <f>L30</f>
        <v>331000</v>
      </c>
      <c r="B25" s="26">
        <f>L31</f>
        <v>922500</v>
      </c>
      <c r="C25" s="7"/>
      <c r="D25" s="26">
        <f>L34</f>
        <v>23500</v>
      </c>
      <c r="E25" s="7">
        <v>40</v>
      </c>
      <c r="F25" s="7"/>
      <c r="G25" s="7"/>
      <c r="H25" s="7">
        <v>3</v>
      </c>
      <c r="I25" s="7">
        <v>40</v>
      </c>
      <c r="J25" s="7" t="s">
        <v>112</v>
      </c>
      <c r="K25" s="6"/>
      <c r="L25" s="6"/>
      <c r="N25" t="s">
        <v>119</v>
      </c>
    </row>
    <row r="26" spans="1:14">
      <c r="N26" t="s">
        <v>120</v>
      </c>
    </row>
    <row r="27" spans="1:14" ht="16.2">
      <c r="A27" s="5" t="s">
        <v>21</v>
      </c>
      <c r="B27" s="5" t="s">
        <v>22</v>
      </c>
      <c r="C27" s="5" t="s">
        <v>23</v>
      </c>
      <c r="D27" s="5" t="s">
        <v>24</v>
      </c>
      <c r="E27" s="5" t="s">
        <v>25</v>
      </c>
      <c r="F27" s="5" t="s">
        <v>26</v>
      </c>
      <c r="G27" s="5" t="s">
        <v>27</v>
      </c>
      <c r="H27" s="5" t="s">
        <v>28</v>
      </c>
      <c r="I27" s="5" t="s">
        <v>29</v>
      </c>
      <c r="J27" s="5" t="s">
        <v>30</v>
      </c>
      <c r="K27" s="5" t="s">
        <v>31</v>
      </c>
      <c r="L27" s="5" t="s">
        <v>32</v>
      </c>
    </row>
    <row r="28" spans="1:14" ht="16.2">
      <c r="A28" s="5" t="s">
        <v>33</v>
      </c>
      <c r="B28" s="5" t="s">
        <v>34</v>
      </c>
      <c r="C28" s="5" t="s">
        <v>35</v>
      </c>
      <c r="D28" s="5" t="s">
        <v>36</v>
      </c>
      <c r="E28" s="5" t="s">
        <v>37</v>
      </c>
      <c r="F28" s="5" t="s">
        <v>38</v>
      </c>
      <c r="G28" s="5" t="s">
        <v>39</v>
      </c>
      <c r="H28" s="5" t="s">
        <v>40</v>
      </c>
      <c r="I28" s="5" t="s">
        <v>41</v>
      </c>
      <c r="J28" s="5" t="s">
        <v>42</v>
      </c>
      <c r="K28" s="5" t="s">
        <v>43</v>
      </c>
      <c r="L28" s="5"/>
    </row>
    <row r="29" spans="1:14" ht="16.2">
      <c r="A29" s="5" t="s">
        <v>44</v>
      </c>
      <c r="B29" s="8">
        <v>12000</v>
      </c>
      <c r="C29" s="8">
        <v>35000</v>
      </c>
      <c r="D29" s="8">
        <v>60000</v>
      </c>
      <c r="E29" s="8">
        <v>220000</v>
      </c>
      <c r="F29" s="8">
        <v>220000</v>
      </c>
      <c r="G29" s="8">
        <v>220000</v>
      </c>
      <c r="H29" s="8">
        <v>60000</v>
      </c>
      <c r="I29" s="8">
        <v>150000</v>
      </c>
      <c r="J29" s="8">
        <v>150000</v>
      </c>
      <c r="K29" s="8">
        <v>150000</v>
      </c>
      <c r="L29" s="9">
        <f t="shared" ref="L29:L34" si="4">SUM(B29:K29)</f>
        <v>1277000</v>
      </c>
    </row>
    <row r="30" spans="1:14" ht="16.2">
      <c r="A30" s="10" t="s">
        <v>45</v>
      </c>
      <c r="B30" s="11">
        <v>6000</v>
      </c>
      <c r="C30" s="11">
        <v>17500</v>
      </c>
      <c r="D30" s="11">
        <v>15000</v>
      </c>
      <c r="E30" s="11">
        <v>55000</v>
      </c>
      <c r="F30" s="11">
        <v>55000</v>
      </c>
      <c r="G30" s="11">
        <v>55000</v>
      </c>
      <c r="H30" s="11">
        <v>15000</v>
      </c>
      <c r="I30" s="11">
        <v>37500</v>
      </c>
      <c r="J30" s="11">
        <v>37500</v>
      </c>
      <c r="K30" s="11">
        <v>37500</v>
      </c>
      <c r="L30" s="9">
        <f t="shared" si="4"/>
        <v>331000</v>
      </c>
    </row>
    <row r="31" spans="1:14" ht="16.2">
      <c r="A31" s="10" t="s">
        <v>46</v>
      </c>
      <c r="B31" s="11">
        <v>0</v>
      </c>
      <c r="C31" s="11">
        <v>0</v>
      </c>
      <c r="D31" s="11">
        <v>45000</v>
      </c>
      <c r="E31" s="11">
        <v>165000</v>
      </c>
      <c r="F31" s="11">
        <v>165000</v>
      </c>
      <c r="G31" s="11">
        <v>165000</v>
      </c>
      <c r="H31" s="11">
        <v>45000</v>
      </c>
      <c r="I31" s="11">
        <v>112500</v>
      </c>
      <c r="J31" s="11">
        <v>112500</v>
      </c>
      <c r="K31" s="11">
        <v>112500</v>
      </c>
      <c r="L31" s="9">
        <f t="shared" si="4"/>
        <v>922500</v>
      </c>
    </row>
    <row r="32" spans="1:14" ht="16.2">
      <c r="A32" s="10" t="s">
        <v>47</v>
      </c>
      <c r="B32" s="11">
        <f t="shared" ref="B32:K32" si="5">IFERROR(ROUNDDOWN(B29*($C$25/100), 0), 0)</f>
        <v>0</v>
      </c>
      <c r="C32" s="11">
        <f t="shared" si="5"/>
        <v>0</v>
      </c>
      <c r="D32" s="11">
        <f t="shared" si="5"/>
        <v>0</v>
      </c>
      <c r="E32" s="11">
        <f t="shared" si="5"/>
        <v>0</v>
      </c>
      <c r="F32" s="11">
        <f t="shared" si="5"/>
        <v>0</v>
      </c>
      <c r="G32" s="11">
        <f t="shared" si="5"/>
        <v>0</v>
      </c>
      <c r="H32" s="11">
        <f t="shared" si="5"/>
        <v>0</v>
      </c>
      <c r="I32" s="11">
        <f t="shared" si="5"/>
        <v>0</v>
      </c>
      <c r="J32" s="11">
        <f t="shared" si="5"/>
        <v>0</v>
      </c>
      <c r="K32" s="11">
        <f t="shared" si="5"/>
        <v>0</v>
      </c>
      <c r="L32" s="9">
        <f t="shared" si="4"/>
        <v>0</v>
      </c>
    </row>
    <row r="33" spans="1:14" ht="16.2">
      <c r="A33" s="10" t="s">
        <v>48</v>
      </c>
      <c r="B33" s="11">
        <v>0</v>
      </c>
      <c r="C33" s="11">
        <v>0</v>
      </c>
      <c r="D33" s="11">
        <v>0</v>
      </c>
      <c r="E33" s="11">
        <v>0</v>
      </c>
      <c r="F33" s="11">
        <v>0</v>
      </c>
      <c r="G33" s="11">
        <v>0</v>
      </c>
      <c r="H33" s="11">
        <v>0</v>
      </c>
      <c r="I33" s="11">
        <v>0</v>
      </c>
      <c r="J33" s="11">
        <v>0</v>
      </c>
      <c r="K33" s="11">
        <v>0</v>
      </c>
      <c r="L33" s="9">
        <f>SUM(B33:K33)</f>
        <v>0</v>
      </c>
    </row>
    <row r="34" spans="1:14" ht="16.2">
      <c r="A34" s="10" t="s">
        <v>49</v>
      </c>
      <c r="B34" s="11">
        <v>6000</v>
      </c>
      <c r="C34" s="11">
        <v>17500</v>
      </c>
      <c r="D34" s="11">
        <v>0</v>
      </c>
      <c r="E34" s="11">
        <v>0</v>
      </c>
      <c r="F34" s="11">
        <v>0</v>
      </c>
      <c r="G34" s="11">
        <v>0</v>
      </c>
      <c r="H34" s="11">
        <v>0</v>
      </c>
      <c r="I34" s="11">
        <v>0</v>
      </c>
      <c r="J34" s="11">
        <v>0</v>
      </c>
      <c r="K34" s="11">
        <v>0</v>
      </c>
      <c r="L34" s="9">
        <f t="shared" si="4"/>
        <v>23500</v>
      </c>
    </row>
    <row r="37" spans="1:14" ht="17.399999999999999">
      <c r="A37" s="25" t="s">
        <v>51</v>
      </c>
      <c r="B37" s="23"/>
      <c r="C37" s="24" t="s">
        <v>113</v>
      </c>
      <c r="D37" s="23"/>
      <c r="E37" s="23"/>
      <c r="F37" s="23"/>
      <c r="G37" s="23"/>
      <c r="H37" s="23"/>
      <c r="I37" s="23"/>
      <c r="J37" s="23"/>
      <c r="K37" s="23"/>
      <c r="L37" s="23"/>
    </row>
    <row r="38" spans="1:14" ht="16.2">
      <c r="A38" s="3" t="s">
        <v>7</v>
      </c>
      <c r="B38" s="4" t="s">
        <v>116</v>
      </c>
      <c r="C38" s="3" t="s">
        <v>85</v>
      </c>
      <c r="D38" s="4" t="s">
        <v>114</v>
      </c>
      <c r="E38" s="3" t="s">
        <v>86</v>
      </c>
      <c r="F38" s="4" t="s">
        <v>115</v>
      </c>
      <c r="G38" s="6"/>
      <c r="H38" s="6"/>
      <c r="I38" s="6"/>
      <c r="J38" s="6"/>
      <c r="K38" s="6"/>
      <c r="L38" s="6"/>
      <c r="N38" t="s">
        <v>104</v>
      </c>
    </row>
    <row r="39" spans="1:14">
      <c r="A39" s="22" t="s">
        <v>8</v>
      </c>
      <c r="B39" s="23"/>
      <c r="C39" s="23"/>
      <c r="D39" s="23"/>
      <c r="E39" s="22" t="s">
        <v>9</v>
      </c>
      <c r="F39" s="23"/>
      <c r="G39" s="22" t="s">
        <v>10</v>
      </c>
      <c r="H39" s="23"/>
      <c r="I39" s="23"/>
      <c r="J39" s="23"/>
      <c r="K39" s="6"/>
      <c r="L39" s="6"/>
      <c r="N39" t="s">
        <v>121</v>
      </c>
    </row>
    <row r="40" spans="1:14" ht="16.2">
      <c r="A40" s="5" t="s">
        <v>11</v>
      </c>
      <c r="B40" s="5" t="s">
        <v>12</v>
      </c>
      <c r="C40" s="5" t="s">
        <v>13</v>
      </c>
      <c r="D40" s="5" t="s">
        <v>14</v>
      </c>
      <c r="E40" s="5" t="s">
        <v>15</v>
      </c>
      <c r="F40" s="5" t="s">
        <v>16</v>
      </c>
      <c r="G40" s="5" t="s">
        <v>17</v>
      </c>
      <c r="H40" s="5" t="s">
        <v>18</v>
      </c>
      <c r="I40" s="5" t="s">
        <v>19</v>
      </c>
      <c r="J40" s="5" t="s">
        <v>20</v>
      </c>
      <c r="K40" s="6"/>
      <c r="L40" s="6"/>
      <c r="N40" t="s">
        <v>122</v>
      </c>
    </row>
    <row r="41" spans="1:14">
      <c r="A41" s="7"/>
      <c r="B41" s="7">
        <v>444000</v>
      </c>
      <c r="C41" s="7"/>
      <c r="D41" s="7">
        <v>444000</v>
      </c>
      <c r="E41" s="7">
        <v>40</v>
      </c>
      <c r="F41" s="7"/>
      <c r="G41" s="7"/>
      <c r="H41" s="7">
        <v>3</v>
      </c>
      <c r="I41" s="7">
        <v>40</v>
      </c>
      <c r="J41" s="7" t="s">
        <v>112</v>
      </c>
      <c r="K41" s="6"/>
      <c r="L41" s="6"/>
      <c r="N41" t="s">
        <v>123</v>
      </c>
    </row>
    <row r="42" spans="1:14">
      <c r="N42" t="s">
        <v>124</v>
      </c>
    </row>
    <row r="43" spans="1:14" ht="16.2">
      <c r="A43" s="5" t="s">
        <v>21</v>
      </c>
      <c r="B43" s="5" t="s">
        <v>22</v>
      </c>
      <c r="C43" s="5" t="s">
        <v>23</v>
      </c>
      <c r="D43" s="5" t="s">
        <v>24</v>
      </c>
      <c r="E43" s="5" t="s">
        <v>25</v>
      </c>
      <c r="F43" s="5" t="s">
        <v>26</v>
      </c>
      <c r="G43" s="5" t="s">
        <v>27</v>
      </c>
      <c r="H43" s="5" t="s">
        <v>28</v>
      </c>
      <c r="I43" s="5" t="s">
        <v>29</v>
      </c>
      <c r="J43" s="5" t="s">
        <v>30</v>
      </c>
      <c r="K43" s="5" t="s">
        <v>31</v>
      </c>
      <c r="L43" s="5" t="s">
        <v>32</v>
      </c>
    </row>
    <row r="44" spans="1:14" ht="16.2">
      <c r="A44" s="5" t="s">
        <v>33</v>
      </c>
      <c r="B44" s="5" t="s">
        <v>34</v>
      </c>
      <c r="C44" s="5" t="s">
        <v>35</v>
      </c>
      <c r="D44" s="5" t="s">
        <v>36</v>
      </c>
      <c r="E44" s="5" t="s">
        <v>37</v>
      </c>
      <c r="F44" s="5" t="s">
        <v>38</v>
      </c>
      <c r="G44" s="5" t="s">
        <v>39</v>
      </c>
      <c r="H44" s="5" t="s">
        <v>40</v>
      </c>
      <c r="I44" s="5" t="s">
        <v>41</v>
      </c>
      <c r="J44" s="5" t="s">
        <v>42</v>
      </c>
      <c r="K44" s="5" t="s">
        <v>43</v>
      </c>
      <c r="L44" s="5"/>
    </row>
    <row r="45" spans="1:14" ht="16.2">
      <c r="A45" s="5" t="s">
        <v>44</v>
      </c>
      <c r="B45" s="8">
        <v>353400</v>
      </c>
      <c r="C45" s="8">
        <v>534600</v>
      </c>
      <c r="D45" s="8"/>
      <c r="E45" s="8"/>
      <c r="F45" s="8"/>
      <c r="G45" s="8"/>
      <c r="H45" s="8"/>
      <c r="I45" s="8"/>
      <c r="J45" s="8"/>
      <c r="K45" s="8"/>
      <c r="L45" s="9">
        <f t="shared" ref="L45:L50" si="6">SUM(B45:K45)</f>
        <v>888000</v>
      </c>
    </row>
    <row r="46" spans="1:14" ht="16.2">
      <c r="A46" s="10" t="s">
        <v>45</v>
      </c>
      <c r="B46" s="11">
        <f t="shared" ref="B46:K46" si="7">IFERROR(ROUNDDOWN(B45*($A$41/100), 0), 0)</f>
        <v>0</v>
      </c>
      <c r="C46" s="11">
        <f t="shared" si="7"/>
        <v>0</v>
      </c>
      <c r="D46" s="11">
        <f t="shared" si="7"/>
        <v>0</v>
      </c>
      <c r="E46" s="11">
        <f t="shared" si="7"/>
        <v>0</v>
      </c>
      <c r="F46" s="11">
        <f t="shared" si="7"/>
        <v>0</v>
      </c>
      <c r="G46" s="11">
        <f t="shared" si="7"/>
        <v>0</v>
      </c>
      <c r="H46" s="11">
        <f t="shared" si="7"/>
        <v>0</v>
      </c>
      <c r="I46" s="11">
        <f t="shared" si="7"/>
        <v>0</v>
      </c>
      <c r="J46" s="11">
        <f t="shared" si="7"/>
        <v>0</v>
      </c>
      <c r="K46" s="11">
        <f t="shared" si="7"/>
        <v>0</v>
      </c>
      <c r="L46" s="9">
        <f t="shared" si="6"/>
        <v>0</v>
      </c>
    </row>
    <row r="47" spans="1:14" ht="16.2">
      <c r="A47" s="10" t="s">
        <v>46</v>
      </c>
      <c r="B47" s="11">
        <v>176700</v>
      </c>
      <c r="C47" s="11">
        <v>267300</v>
      </c>
      <c r="D47" s="11">
        <f t="shared" ref="D47:K47" si="8">IFERROR(ROUNDDOWN(D45*($B$41/100), 0), 0)</f>
        <v>0</v>
      </c>
      <c r="E47" s="11">
        <f t="shared" si="8"/>
        <v>0</v>
      </c>
      <c r="F47" s="11">
        <f t="shared" si="8"/>
        <v>0</v>
      </c>
      <c r="G47" s="11">
        <f t="shared" si="8"/>
        <v>0</v>
      </c>
      <c r="H47" s="11">
        <f t="shared" si="8"/>
        <v>0</v>
      </c>
      <c r="I47" s="11">
        <f t="shared" si="8"/>
        <v>0</v>
      </c>
      <c r="J47" s="11">
        <f t="shared" si="8"/>
        <v>0</v>
      </c>
      <c r="K47" s="11">
        <f t="shared" si="8"/>
        <v>0</v>
      </c>
      <c r="L47" s="9">
        <f t="shared" si="6"/>
        <v>444000</v>
      </c>
    </row>
    <row r="48" spans="1:14" ht="16.2">
      <c r="A48" s="10" t="s">
        <v>47</v>
      </c>
      <c r="B48" s="11">
        <f t="shared" ref="B48:K48" si="9">IFERROR(ROUNDDOWN(B45*($C$41/100), 0), 0)</f>
        <v>0</v>
      </c>
      <c r="C48" s="11">
        <f t="shared" si="9"/>
        <v>0</v>
      </c>
      <c r="D48" s="11">
        <f t="shared" si="9"/>
        <v>0</v>
      </c>
      <c r="E48" s="11">
        <f t="shared" si="9"/>
        <v>0</v>
      </c>
      <c r="F48" s="11">
        <f t="shared" si="9"/>
        <v>0</v>
      </c>
      <c r="G48" s="11">
        <f t="shared" si="9"/>
        <v>0</v>
      </c>
      <c r="H48" s="11">
        <f t="shared" si="9"/>
        <v>0</v>
      </c>
      <c r="I48" s="11">
        <f t="shared" si="9"/>
        <v>0</v>
      </c>
      <c r="J48" s="11">
        <f t="shared" si="9"/>
        <v>0</v>
      </c>
      <c r="K48" s="11">
        <f t="shared" si="9"/>
        <v>0</v>
      </c>
      <c r="L48" s="9">
        <f t="shared" si="6"/>
        <v>0</v>
      </c>
    </row>
    <row r="49" spans="1:12" ht="16.2">
      <c r="A49" s="10" t="s">
        <v>48</v>
      </c>
      <c r="B49" s="11">
        <f t="shared" ref="B49:K49" si="10">IFERROR(ROUNDDOWN(B45*($D$41/100), 0), 0)</f>
        <v>1569096000</v>
      </c>
      <c r="C49" s="11">
        <f t="shared" si="10"/>
        <v>2373624000</v>
      </c>
      <c r="D49" s="11">
        <f t="shared" si="10"/>
        <v>0</v>
      </c>
      <c r="E49" s="11">
        <f t="shared" si="10"/>
        <v>0</v>
      </c>
      <c r="F49" s="11">
        <f t="shared" si="10"/>
        <v>0</v>
      </c>
      <c r="G49" s="11">
        <f t="shared" si="10"/>
        <v>0</v>
      </c>
      <c r="H49" s="11">
        <f t="shared" si="10"/>
        <v>0</v>
      </c>
      <c r="I49" s="11">
        <f t="shared" si="10"/>
        <v>0</v>
      </c>
      <c r="J49" s="11">
        <f t="shared" si="10"/>
        <v>0</v>
      </c>
      <c r="K49" s="11">
        <f t="shared" si="10"/>
        <v>0</v>
      </c>
      <c r="L49" s="9">
        <f t="shared" si="6"/>
        <v>3942720000</v>
      </c>
    </row>
    <row r="50" spans="1:12" ht="16.2">
      <c r="A50" s="10" t="s">
        <v>49</v>
      </c>
      <c r="B50" s="11">
        <f t="shared" ref="B50:K50" si="11">IFERROR(B45-SUM(B46:B49), 0)</f>
        <v>-1568919300</v>
      </c>
      <c r="C50" s="11">
        <f t="shared" si="11"/>
        <v>-2373356700</v>
      </c>
      <c r="D50" s="11">
        <f t="shared" si="11"/>
        <v>0</v>
      </c>
      <c r="E50" s="11">
        <f t="shared" si="11"/>
        <v>0</v>
      </c>
      <c r="F50" s="11">
        <f t="shared" si="11"/>
        <v>0</v>
      </c>
      <c r="G50" s="11">
        <f t="shared" si="11"/>
        <v>0</v>
      </c>
      <c r="H50" s="11">
        <f t="shared" si="11"/>
        <v>0</v>
      </c>
      <c r="I50" s="11">
        <f t="shared" si="11"/>
        <v>0</v>
      </c>
      <c r="J50" s="11">
        <f t="shared" si="11"/>
        <v>0</v>
      </c>
      <c r="K50" s="11">
        <f t="shared" si="11"/>
        <v>0</v>
      </c>
      <c r="L50" s="9">
        <f t="shared" si="6"/>
        <v>-3942276000</v>
      </c>
    </row>
    <row r="53" spans="1:12" ht="17.399999999999999">
      <c r="A53" s="25" t="s">
        <v>52</v>
      </c>
      <c r="B53" s="23"/>
      <c r="C53" s="24" t="s">
        <v>125</v>
      </c>
      <c r="D53" s="23"/>
      <c r="E53" s="23"/>
      <c r="F53" s="23"/>
      <c r="G53" s="23"/>
      <c r="H53" s="23"/>
      <c r="I53" s="23"/>
      <c r="J53" s="23"/>
      <c r="K53" s="23"/>
      <c r="L53" s="23"/>
    </row>
    <row r="54" spans="1:12" ht="16.2">
      <c r="A54" s="3" t="s">
        <v>7</v>
      </c>
      <c r="B54" s="4"/>
      <c r="C54" s="3" t="s">
        <v>85</v>
      </c>
      <c r="D54" s="4"/>
      <c r="E54" s="3" t="s">
        <v>86</v>
      </c>
      <c r="F54" s="4"/>
      <c r="G54" s="6"/>
      <c r="H54" s="6"/>
      <c r="I54" s="6"/>
      <c r="J54" s="6"/>
      <c r="K54" s="6"/>
      <c r="L54" s="6"/>
    </row>
    <row r="55" spans="1:12">
      <c r="A55" s="22" t="s">
        <v>8</v>
      </c>
      <c r="B55" s="23"/>
      <c r="C55" s="23"/>
      <c r="D55" s="23"/>
      <c r="E55" s="22" t="s">
        <v>9</v>
      </c>
      <c r="F55" s="23"/>
      <c r="G55" s="22" t="s">
        <v>10</v>
      </c>
      <c r="H55" s="23"/>
      <c r="I55" s="23"/>
      <c r="J55" s="23"/>
      <c r="K55" s="6"/>
      <c r="L55" s="6"/>
    </row>
    <row r="56" spans="1:12" ht="16.2">
      <c r="A56" s="5" t="s">
        <v>11</v>
      </c>
      <c r="B56" s="5" t="s">
        <v>12</v>
      </c>
      <c r="C56" s="5" t="s">
        <v>13</v>
      </c>
      <c r="D56" s="5" t="s">
        <v>14</v>
      </c>
      <c r="E56" s="5" t="s">
        <v>15</v>
      </c>
      <c r="F56" s="5" t="s">
        <v>16</v>
      </c>
      <c r="G56" s="5" t="s">
        <v>17</v>
      </c>
      <c r="H56" s="5" t="s">
        <v>18</v>
      </c>
      <c r="I56" s="5" t="s">
        <v>19</v>
      </c>
      <c r="J56" s="5" t="s">
        <v>20</v>
      </c>
      <c r="K56" s="6"/>
      <c r="L56" s="6"/>
    </row>
    <row r="57" spans="1:12">
      <c r="A57" s="7"/>
      <c r="B57" s="7"/>
      <c r="C57" s="7"/>
      <c r="D57" s="7"/>
      <c r="E57" s="7">
        <v>40</v>
      </c>
      <c r="F57" s="7"/>
      <c r="G57" s="7"/>
      <c r="H57" s="7">
        <v>3</v>
      </c>
      <c r="I57" s="7">
        <v>40</v>
      </c>
      <c r="J57" s="7" t="s">
        <v>112</v>
      </c>
      <c r="K57" s="6"/>
      <c r="L57" s="6"/>
    </row>
    <row r="59" spans="1:12" ht="16.2">
      <c r="A59" s="5" t="s">
        <v>21</v>
      </c>
      <c r="B59" s="5" t="s">
        <v>22</v>
      </c>
      <c r="C59" s="5" t="s">
        <v>23</v>
      </c>
      <c r="D59" s="5" t="s">
        <v>24</v>
      </c>
      <c r="E59" s="5" t="s">
        <v>25</v>
      </c>
      <c r="F59" s="5" t="s">
        <v>26</v>
      </c>
      <c r="G59" s="5" t="s">
        <v>27</v>
      </c>
      <c r="H59" s="5" t="s">
        <v>28</v>
      </c>
      <c r="I59" s="5" t="s">
        <v>29</v>
      </c>
      <c r="J59" s="5" t="s">
        <v>30</v>
      </c>
      <c r="K59" s="5" t="s">
        <v>31</v>
      </c>
      <c r="L59" s="5" t="s">
        <v>32</v>
      </c>
    </row>
    <row r="60" spans="1:12" ht="16.2">
      <c r="A60" s="5" t="s">
        <v>33</v>
      </c>
      <c r="B60" s="5" t="s">
        <v>34</v>
      </c>
      <c r="C60" s="5" t="s">
        <v>35</v>
      </c>
      <c r="D60" s="5" t="s">
        <v>36</v>
      </c>
      <c r="E60" s="5" t="s">
        <v>37</v>
      </c>
      <c r="F60" s="5" t="s">
        <v>38</v>
      </c>
      <c r="G60" s="5" t="s">
        <v>39</v>
      </c>
      <c r="H60" s="5" t="s">
        <v>40</v>
      </c>
      <c r="I60" s="5" t="s">
        <v>41</v>
      </c>
      <c r="J60" s="5" t="s">
        <v>42</v>
      </c>
      <c r="K60" s="5" t="s">
        <v>43</v>
      </c>
      <c r="L60" s="5"/>
    </row>
    <row r="61" spans="1:12" ht="16.2">
      <c r="A61" s="5" t="s">
        <v>44</v>
      </c>
      <c r="B61" s="8">
        <v>20000</v>
      </c>
      <c r="C61" s="8">
        <v>150000</v>
      </c>
      <c r="D61" s="8"/>
      <c r="E61" s="8"/>
      <c r="F61" s="8"/>
      <c r="G61" s="8"/>
      <c r="H61" s="8"/>
      <c r="I61" s="8"/>
      <c r="J61" s="8"/>
      <c r="K61" s="8"/>
      <c r="L61" s="9">
        <f t="shared" ref="L61:L66" si="12">SUM(B61:K61)</f>
        <v>170000</v>
      </c>
    </row>
    <row r="62" spans="1:12" ht="16.2">
      <c r="A62" s="10" t="s">
        <v>45</v>
      </c>
      <c r="B62" s="11">
        <f t="shared" ref="B62:K62" si="13">IFERROR(ROUNDDOWN(B61*($A$57/100), 0), 0)</f>
        <v>0</v>
      </c>
      <c r="C62" s="11">
        <f t="shared" si="13"/>
        <v>0</v>
      </c>
      <c r="D62" s="11">
        <f t="shared" si="13"/>
        <v>0</v>
      </c>
      <c r="E62" s="11">
        <f t="shared" si="13"/>
        <v>0</v>
      </c>
      <c r="F62" s="11">
        <f t="shared" si="13"/>
        <v>0</v>
      </c>
      <c r="G62" s="11">
        <f t="shared" si="13"/>
        <v>0</v>
      </c>
      <c r="H62" s="11">
        <f t="shared" si="13"/>
        <v>0</v>
      </c>
      <c r="I62" s="11">
        <f t="shared" si="13"/>
        <v>0</v>
      </c>
      <c r="J62" s="11">
        <f t="shared" si="13"/>
        <v>0</v>
      </c>
      <c r="K62" s="11">
        <f t="shared" si="13"/>
        <v>0</v>
      </c>
      <c r="L62" s="9">
        <f t="shared" si="12"/>
        <v>0</v>
      </c>
    </row>
    <row r="63" spans="1:12" ht="16.2">
      <c r="A63" s="10" t="s">
        <v>46</v>
      </c>
      <c r="B63" s="11">
        <v>15000</v>
      </c>
      <c r="C63" s="11">
        <v>112500</v>
      </c>
      <c r="D63" s="11">
        <f t="shared" ref="D63:K63" si="14">IFERROR(ROUNDDOWN(D61*($B$57/100), 0), 0)</f>
        <v>0</v>
      </c>
      <c r="E63" s="11">
        <f t="shared" si="14"/>
        <v>0</v>
      </c>
      <c r="F63" s="11">
        <f t="shared" si="14"/>
        <v>0</v>
      </c>
      <c r="G63" s="11">
        <f t="shared" si="14"/>
        <v>0</v>
      </c>
      <c r="H63" s="11">
        <f t="shared" si="14"/>
        <v>0</v>
      </c>
      <c r="I63" s="11">
        <f t="shared" si="14"/>
        <v>0</v>
      </c>
      <c r="J63" s="11">
        <f t="shared" si="14"/>
        <v>0</v>
      </c>
      <c r="K63" s="11">
        <f t="shared" si="14"/>
        <v>0</v>
      </c>
      <c r="L63" s="9">
        <f t="shared" si="12"/>
        <v>127500</v>
      </c>
    </row>
    <row r="64" spans="1:12" ht="16.2">
      <c r="A64" s="10" t="s">
        <v>47</v>
      </c>
      <c r="B64" s="11">
        <f t="shared" ref="B64:K64" si="15">IFERROR(ROUNDDOWN(B61*($C$57/100), 0), 0)</f>
        <v>0</v>
      </c>
      <c r="C64" s="11">
        <f t="shared" si="15"/>
        <v>0</v>
      </c>
      <c r="D64" s="11">
        <f t="shared" si="15"/>
        <v>0</v>
      </c>
      <c r="E64" s="11">
        <f t="shared" si="15"/>
        <v>0</v>
      </c>
      <c r="F64" s="11">
        <f t="shared" si="15"/>
        <v>0</v>
      </c>
      <c r="G64" s="11">
        <f t="shared" si="15"/>
        <v>0</v>
      </c>
      <c r="H64" s="11">
        <f t="shared" si="15"/>
        <v>0</v>
      </c>
      <c r="I64" s="11">
        <f t="shared" si="15"/>
        <v>0</v>
      </c>
      <c r="J64" s="11">
        <f t="shared" si="15"/>
        <v>0</v>
      </c>
      <c r="K64" s="11">
        <f t="shared" si="15"/>
        <v>0</v>
      </c>
      <c r="L64" s="9">
        <f t="shared" si="12"/>
        <v>0</v>
      </c>
    </row>
    <row r="65" spans="1:12" ht="16.2">
      <c r="A65" s="10" t="s">
        <v>48</v>
      </c>
      <c r="B65" s="11">
        <f t="shared" ref="B65:K65" si="16">IFERROR(ROUNDDOWN(B61*($D$57/100), 0), 0)</f>
        <v>0</v>
      </c>
      <c r="C65" s="11">
        <f t="shared" si="16"/>
        <v>0</v>
      </c>
      <c r="D65" s="11">
        <f t="shared" si="16"/>
        <v>0</v>
      </c>
      <c r="E65" s="11">
        <f t="shared" si="16"/>
        <v>0</v>
      </c>
      <c r="F65" s="11">
        <f t="shared" si="16"/>
        <v>0</v>
      </c>
      <c r="G65" s="11">
        <f t="shared" si="16"/>
        <v>0</v>
      </c>
      <c r="H65" s="11">
        <f t="shared" si="16"/>
        <v>0</v>
      </c>
      <c r="I65" s="11">
        <f t="shared" si="16"/>
        <v>0</v>
      </c>
      <c r="J65" s="11">
        <f t="shared" si="16"/>
        <v>0</v>
      </c>
      <c r="K65" s="11">
        <f t="shared" si="16"/>
        <v>0</v>
      </c>
      <c r="L65" s="9">
        <f t="shared" si="12"/>
        <v>0</v>
      </c>
    </row>
    <row r="66" spans="1:12" ht="16.2">
      <c r="A66" s="10" t="s">
        <v>49</v>
      </c>
      <c r="B66" s="11">
        <f t="shared" ref="B66:K66" si="17">IFERROR(B61-SUM(B62:B65), 0)</f>
        <v>5000</v>
      </c>
      <c r="C66" s="11">
        <f t="shared" si="17"/>
        <v>37500</v>
      </c>
      <c r="D66" s="11">
        <f t="shared" si="17"/>
        <v>0</v>
      </c>
      <c r="E66" s="11">
        <f t="shared" si="17"/>
        <v>0</v>
      </c>
      <c r="F66" s="11">
        <f t="shared" si="17"/>
        <v>0</v>
      </c>
      <c r="G66" s="11">
        <f t="shared" si="17"/>
        <v>0</v>
      </c>
      <c r="H66" s="11">
        <f t="shared" si="17"/>
        <v>0</v>
      </c>
      <c r="I66" s="11">
        <f t="shared" si="17"/>
        <v>0</v>
      </c>
      <c r="J66" s="11">
        <f t="shared" si="17"/>
        <v>0</v>
      </c>
      <c r="K66" s="11">
        <f t="shared" si="17"/>
        <v>0</v>
      </c>
      <c r="L66" s="9">
        <f t="shared" si="12"/>
        <v>42500</v>
      </c>
    </row>
    <row r="69" spans="1:12" ht="17.399999999999999">
      <c r="A69" s="25" t="s">
        <v>53</v>
      </c>
      <c r="B69" s="23"/>
      <c r="C69" s="24"/>
      <c r="D69" s="23"/>
      <c r="E69" s="23"/>
      <c r="F69" s="23"/>
      <c r="G69" s="23"/>
      <c r="H69" s="23"/>
      <c r="I69" s="23"/>
      <c r="J69" s="23"/>
      <c r="K69" s="23"/>
      <c r="L69" s="23"/>
    </row>
    <row r="70" spans="1:12" ht="16.2">
      <c r="A70" s="3" t="s">
        <v>7</v>
      </c>
      <c r="B70" s="4"/>
      <c r="C70" s="3" t="s">
        <v>85</v>
      </c>
      <c r="D70" s="4"/>
      <c r="E70" s="3" t="s">
        <v>86</v>
      </c>
      <c r="F70" s="4"/>
      <c r="G70" s="6"/>
      <c r="H70" s="6"/>
      <c r="I70" s="6"/>
      <c r="J70" s="6"/>
      <c r="K70" s="6"/>
      <c r="L70" s="6"/>
    </row>
    <row r="71" spans="1:12">
      <c r="A71" s="22" t="s">
        <v>8</v>
      </c>
      <c r="B71" s="23"/>
      <c r="C71" s="23"/>
      <c r="D71" s="23"/>
      <c r="E71" s="22" t="s">
        <v>9</v>
      </c>
      <c r="F71" s="23"/>
      <c r="G71" s="22" t="s">
        <v>10</v>
      </c>
      <c r="H71" s="23"/>
      <c r="I71" s="23"/>
      <c r="J71" s="23"/>
      <c r="K71" s="6"/>
      <c r="L71" s="6"/>
    </row>
    <row r="72" spans="1:12" ht="16.2">
      <c r="A72" s="5" t="s">
        <v>11</v>
      </c>
      <c r="B72" s="5" t="s">
        <v>12</v>
      </c>
      <c r="C72" s="5" t="s">
        <v>13</v>
      </c>
      <c r="D72" s="5" t="s">
        <v>14</v>
      </c>
      <c r="E72" s="5" t="s">
        <v>15</v>
      </c>
      <c r="F72" s="5" t="s">
        <v>16</v>
      </c>
      <c r="G72" s="5" t="s">
        <v>17</v>
      </c>
      <c r="H72" s="5" t="s">
        <v>18</v>
      </c>
      <c r="I72" s="5" t="s">
        <v>19</v>
      </c>
      <c r="J72" s="5" t="s">
        <v>20</v>
      </c>
      <c r="K72" s="6"/>
      <c r="L72" s="6"/>
    </row>
    <row r="73" spans="1:12">
      <c r="A73" s="7"/>
      <c r="B73" s="7"/>
      <c r="C73" s="7"/>
      <c r="D73" s="7"/>
      <c r="E73" s="7"/>
      <c r="F73" s="7"/>
      <c r="G73" s="7"/>
      <c r="H73" s="7"/>
      <c r="I73" s="7"/>
      <c r="J73" s="7"/>
      <c r="K73" s="6"/>
      <c r="L73" s="6"/>
    </row>
    <row r="75" spans="1:12" ht="16.2">
      <c r="A75" s="5" t="s">
        <v>21</v>
      </c>
      <c r="B75" s="5" t="s">
        <v>22</v>
      </c>
      <c r="C75" s="5" t="s">
        <v>23</v>
      </c>
      <c r="D75" s="5" t="s">
        <v>24</v>
      </c>
      <c r="E75" s="5" t="s">
        <v>25</v>
      </c>
      <c r="F75" s="5" t="s">
        <v>26</v>
      </c>
      <c r="G75" s="5" t="s">
        <v>27</v>
      </c>
      <c r="H75" s="5" t="s">
        <v>28</v>
      </c>
      <c r="I75" s="5" t="s">
        <v>29</v>
      </c>
      <c r="J75" s="5" t="s">
        <v>30</v>
      </c>
      <c r="K75" s="5" t="s">
        <v>31</v>
      </c>
      <c r="L75" s="5" t="s">
        <v>32</v>
      </c>
    </row>
    <row r="76" spans="1:12" ht="16.2">
      <c r="A76" s="5" t="s">
        <v>33</v>
      </c>
      <c r="B76" s="5" t="s">
        <v>34</v>
      </c>
      <c r="C76" s="5" t="s">
        <v>35</v>
      </c>
      <c r="D76" s="5" t="s">
        <v>36</v>
      </c>
      <c r="E76" s="5" t="s">
        <v>37</v>
      </c>
      <c r="F76" s="5" t="s">
        <v>38</v>
      </c>
      <c r="G76" s="5" t="s">
        <v>39</v>
      </c>
      <c r="H76" s="5" t="s">
        <v>40</v>
      </c>
      <c r="I76" s="5" t="s">
        <v>41</v>
      </c>
      <c r="J76" s="5" t="s">
        <v>42</v>
      </c>
      <c r="K76" s="5" t="s">
        <v>43</v>
      </c>
      <c r="L76" s="5"/>
    </row>
    <row r="77" spans="1:12" ht="16.2">
      <c r="A77" s="5" t="s">
        <v>44</v>
      </c>
      <c r="B77" s="8"/>
      <c r="C77" s="8"/>
      <c r="D77" s="8"/>
      <c r="E77" s="8"/>
      <c r="F77" s="8"/>
      <c r="G77" s="8"/>
      <c r="H77" s="8"/>
      <c r="I77" s="8"/>
      <c r="J77" s="8"/>
      <c r="K77" s="8"/>
      <c r="L77" s="9">
        <f t="shared" ref="L77:L82" si="18">SUM(B77:K77)</f>
        <v>0</v>
      </c>
    </row>
    <row r="78" spans="1:12" ht="16.2">
      <c r="A78" s="10" t="s">
        <v>45</v>
      </c>
      <c r="B78" s="11">
        <f t="shared" ref="B78:K78" si="19">IFERROR(ROUNDDOWN(B77*($A$73/100), 0), 0)</f>
        <v>0</v>
      </c>
      <c r="C78" s="11">
        <f t="shared" si="19"/>
        <v>0</v>
      </c>
      <c r="D78" s="11">
        <f t="shared" si="19"/>
        <v>0</v>
      </c>
      <c r="E78" s="11">
        <f t="shared" si="19"/>
        <v>0</v>
      </c>
      <c r="F78" s="11">
        <f t="shared" si="19"/>
        <v>0</v>
      </c>
      <c r="G78" s="11">
        <f t="shared" si="19"/>
        <v>0</v>
      </c>
      <c r="H78" s="11">
        <f t="shared" si="19"/>
        <v>0</v>
      </c>
      <c r="I78" s="11">
        <f t="shared" si="19"/>
        <v>0</v>
      </c>
      <c r="J78" s="11">
        <f t="shared" si="19"/>
        <v>0</v>
      </c>
      <c r="K78" s="11">
        <f t="shared" si="19"/>
        <v>0</v>
      </c>
      <c r="L78" s="9">
        <f t="shared" si="18"/>
        <v>0</v>
      </c>
    </row>
    <row r="79" spans="1:12" ht="16.2">
      <c r="A79" s="10" t="s">
        <v>46</v>
      </c>
      <c r="B79" s="11">
        <f t="shared" ref="B79:K79" si="20">IFERROR(ROUNDDOWN(B77*($B$73/100), 0), 0)</f>
        <v>0</v>
      </c>
      <c r="C79" s="11">
        <f t="shared" si="20"/>
        <v>0</v>
      </c>
      <c r="D79" s="11">
        <f t="shared" si="20"/>
        <v>0</v>
      </c>
      <c r="E79" s="11">
        <f t="shared" si="20"/>
        <v>0</v>
      </c>
      <c r="F79" s="11">
        <f t="shared" si="20"/>
        <v>0</v>
      </c>
      <c r="G79" s="11">
        <f t="shared" si="20"/>
        <v>0</v>
      </c>
      <c r="H79" s="11">
        <f t="shared" si="20"/>
        <v>0</v>
      </c>
      <c r="I79" s="11">
        <f t="shared" si="20"/>
        <v>0</v>
      </c>
      <c r="J79" s="11">
        <f t="shared" si="20"/>
        <v>0</v>
      </c>
      <c r="K79" s="11">
        <f t="shared" si="20"/>
        <v>0</v>
      </c>
      <c r="L79" s="9">
        <f t="shared" si="18"/>
        <v>0</v>
      </c>
    </row>
    <row r="80" spans="1:12" ht="16.2">
      <c r="A80" s="10" t="s">
        <v>47</v>
      </c>
      <c r="B80" s="11">
        <f t="shared" ref="B80:K80" si="21">IFERROR(ROUNDDOWN(B77*($C$73/100), 0), 0)</f>
        <v>0</v>
      </c>
      <c r="C80" s="11">
        <f t="shared" si="21"/>
        <v>0</v>
      </c>
      <c r="D80" s="11">
        <f t="shared" si="21"/>
        <v>0</v>
      </c>
      <c r="E80" s="11">
        <f t="shared" si="21"/>
        <v>0</v>
      </c>
      <c r="F80" s="11">
        <f t="shared" si="21"/>
        <v>0</v>
      </c>
      <c r="G80" s="11">
        <f t="shared" si="21"/>
        <v>0</v>
      </c>
      <c r="H80" s="11">
        <f t="shared" si="21"/>
        <v>0</v>
      </c>
      <c r="I80" s="11">
        <f t="shared" si="21"/>
        <v>0</v>
      </c>
      <c r="J80" s="11">
        <f t="shared" si="21"/>
        <v>0</v>
      </c>
      <c r="K80" s="11">
        <f t="shared" si="21"/>
        <v>0</v>
      </c>
      <c r="L80" s="9">
        <f t="shared" si="18"/>
        <v>0</v>
      </c>
    </row>
    <row r="81" spans="1:12" ht="16.2">
      <c r="A81" s="10" t="s">
        <v>48</v>
      </c>
      <c r="B81" s="11">
        <f t="shared" ref="B81:K81" si="22">IFERROR(ROUNDDOWN(B77*($D$73/100), 0), 0)</f>
        <v>0</v>
      </c>
      <c r="C81" s="11">
        <f t="shared" si="22"/>
        <v>0</v>
      </c>
      <c r="D81" s="11">
        <f t="shared" si="22"/>
        <v>0</v>
      </c>
      <c r="E81" s="11">
        <f t="shared" si="22"/>
        <v>0</v>
      </c>
      <c r="F81" s="11">
        <f t="shared" si="22"/>
        <v>0</v>
      </c>
      <c r="G81" s="11">
        <f t="shared" si="22"/>
        <v>0</v>
      </c>
      <c r="H81" s="11">
        <f t="shared" si="22"/>
        <v>0</v>
      </c>
      <c r="I81" s="11">
        <f t="shared" si="22"/>
        <v>0</v>
      </c>
      <c r="J81" s="11">
        <f t="shared" si="22"/>
        <v>0</v>
      </c>
      <c r="K81" s="11">
        <f t="shared" si="22"/>
        <v>0</v>
      </c>
      <c r="L81" s="9">
        <f t="shared" si="18"/>
        <v>0</v>
      </c>
    </row>
    <row r="82" spans="1:12" ht="16.2">
      <c r="A82" s="10" t="s">
        <v>49</v>
      </c>
      <c r="B82" s="11">
        <f t="shared" ref="B82:K82" si="23">IFERROR(B77-SUM(B78:B81), 0)</f>
        <v>0</v>
      </c>
      <c r="C82" s="11">
        <f t="shared" si="23"/>
        <v>0</v>
      </c>
      <c r="D82" s="11">
        <f t="shared" si="23"/>
        <v>0</v>
      </c>
      <c r="E82" s="11">
        <f t="shared" si="23"/>
        <v>0</v>
      </c>
      <c r="F82" s="11">
        <f t="shared" si="23"/>
        <v>0</v>
      </c>
      <c r="G82" s="11">
        <f t="shared" si="23"/>
        <v>0</v>
      </c>
      <c r="H82" s="11">
        <f t="shared" si="23"/>
        <v>0</v>
      </c>
      <c r="I82" s="11">
        <f t="shared" si="23"/>
        <v>0</v>
      </c>
      <c r="J82" s="11">
        <f t="shared" si="23"/>
        <v>0</v>
      </c>
      <c r="K82" s="11">
        <f t="shared" si="23"/>
        <v>0</v>
      </c>
      <c r="L82" s="9">
        <f t="shared" si="18"/>
        <v>0</v>
      </c>
    </row>
    <row r="85" spans="1:12" ht="17.399999999999999">
      <c r="A85" s="25" t="s">
        <v>54</v>
      </c>
      <c r="B85" s="23"/>
      <c r="C85" s="24"/>
      <c r="D85" s="23"/>
      <c r="E85" s="23"/>
      <c r="F85" s="23"/>
      <c r="G85" s="23"/>
      <c r="H85" s="23"/>
      <c r="I85" s="23"/>
      <c r="J85" s="23"/>
      <c r="K85" s="23"/>
      <c r="L85" s="23"/>
    </row>
    <row r="86" spans="1:12" ht="16.2">
      <c r="A86" s="3" t="s">
        <v>7</v>
      </c>
      <c r="B86" s="4"/>
      <c r="C86" s="3" t="s">
        <v>85</v>
      </c>
      <c r="D86" s="4"/>
      <c r="E86" s="3" t="s">
        <v>86</v>
      </c>
      <c r="F86" s="4"/>
      <c r="G86" s="6"/>
      <c r="H86" s="6"/>
      <c r="I86" s="6"/>
      <c r="J86" s="6"/>
      <c r="K86" s="6"/>
      <c r="L86" s="6"/>
    </row>
    <row r="87" spans="1:12">
      <c r="A87" s="22" t="s">
        <v>8</v>
      </c>
      <c r="B87" s="23"/>
      <c r="C87" s="23"/>
      <c r="D87" s="23"/>
      <c r="E87" s="22" t="s">
        <v>9</v>
      </c>
      <c r="F87" s="23"/>
      <c r="G87" s="22" t="s">
        <v>10</v>
      </c>
      <c r="H87" s="23"/>
      <c r="I87" s="23"/>
      <c r="J87" s="23"/>
      <c r="K87" s="6"/>
      <c r="L87" s="6"/>
    </row>
    <row r="88" spans="1:12" ht="16.2">
      <c r="A88" s="5" t="s">
        <v>11</v>
      </c>
      <c r="B88" s="5" t="s">
        <v>12</v>
      </c>
      <c r="C88" s="5" t="s">
        <v>13</v>
      </c>
      <c r="D88" s="5" t="s">
        <v>14</v>
      </c>
      <c r="E88" s="5" t="s">
        <v>15</v>
      </c>
      <c r="F88" s="5" t="s">
        <v>16</v>
      </c>
      <c r="G88" s="5" t="s">
        <v>17</v>
      </c>
      <c r="H88" s="5" t="s">
        <v>18</v>
      </c>
      <c r="I88" s="5" t="s">
        <v>19</v>
      </c>
      <c r="J88" s="5" t="s">
        <v>20</v>
      </c>
      <c r="K88" s="6"/>
      <c r="L88" s="6"/>
    </row>
    <row r="89" spans="1:12">
      <c r="A89" s="7"/>
      <c r="B89" s="7"/>
      <c r="C89" s="7"/>
      <c r="D89" s="7"/>
      <c r="E89" s="7"/>
      <c r="F89" s="7"/>
      <c r="G89" s="7"/>
      <c r="H89" s="7"/>
      <c r="I89" s="7"/>
      <c r="J89" s="7"/>
      <c r="K89" s="6"/>
      <c r="L89" s="6"/>
    </row>
    <row r="91" spans="1:12" ht="16.2">
      <c r="A91" s="5" t="s">
        <v>21</v>
      </c>
      <c r="B91" s="5" t="s">
        <v>22</v>
      </c>
      <c r="C91" s="5" t="s">
        <v>23</v>
      </c>
      <c r="D91" s="5" t="s">
        <v>24</v>
      </c>
      <c r="E91" s="5" t="s">
        <v>25</v>
      </c>
      <c r="F91" s="5" t="s">
        <v>26</v>
      </c>
      <c r="G91" s="5" t="s">
        <v>27</v>
      </c>
      <c r="H91" s="5" t="s">
        <v>28</v>
      </c>
      <c r="I91" s="5" t="s">
        <v>29</v>
      </c>
      <c r="J91" s="5" t="s">
        <v>30</v>
      </c>
      <c r="K91" s="5" t="s">
        <v>31</v>
      </c>
      <c r="L91" s="5" t="s">
        <v>32</v>
      </c>
    </row>
    <row r="92" spans="1:12" ht="16.2">
      <c r="A92" s="5" t="s">
        <v>33</v>
      </c>
      <c r="B92" s="5" t="s">
        <v>34</v>
      </c>
      <c r="C92" s="5" t="s">
        <v>35</v>
      </c>
      <c r="D92" s="5" t="s">
        <v>36</v>
      </c>
      <c r="E92" s="5" t="s">
        <v>37</v>
      </c>
      <c r="F92" s="5" t="s">
        <v>38</v>
      </c>
      <c r="G92" s="5" t="s">
        <v>39</v>
      </c>
      <c r="H92" s="5" t="s">
        <v>40</v>
      </c>
      <c r="I92" s="5" t="s">
        <v>41</v>
      </c>
      <c r="J92" s="5" t="s">
        <v>42</v>
      </c>
      <c r="K92" s="5" t="s">
        <v>43</v>
      </c>
      <c r="L92" s="5"/>
    </row>
    <row r="93" spans="1:12" ht="16.2">
      <c r="A93" s="5" t="s">
        <v>44</v>
      </c>
      <c r="B93" s="8"/>
      <c r="C93" s="8"/>
      <c r="D93" s="8"/>
      <c r="E93" s="8"/>
      <c r="F93" s="8"/>
      <c r="G93" s="8"/>
      <c r="H93" s="8"/>
      <c r="I93" s="8"/>
      <c r="J93" s="8"/>
      <c r="K93" s="8"/>
      <c r="L93" s="9">
        <f t="shared" ref="L93:L98" si="24">SUM(B93:K93)</f>
        <v>0</v>
      </c>
    </row>
    <row r="94" spans="1:12" ht="16.2">
      <c r="A94" s="10" t="s">
        <v>45</v>
      </c>
      <c r="B94" s="11">
        <f t="shared" ref="B94:K94" si="25">IFERROR(ROUNDDOWN(B93*($A$89/100), 0), 0)</f>
        <v>0</v>
      </c>
      <c r="C94" s="11">
        <f t="shared" si="25"/>
        <v>0</v>
      </c>
      <c r="D94" s="11">
        <f t="shared" si="25"/>
        <v>0</v>
      </c>
      <c r="E94" s="11">
        <f t="shared" si="25"/>
        <v>0</v>
      </c>
      <c r="F94" s="11">
        <f t="shared" si="25"/>
        <v>0</v>
      </c>
      <c r="G94" s="11">
        <f t="shared" si="25"/>
        <v>0</v>
      </c>
      <c r="H94" s="11">
        <f t="shared" si="25"/>
        <v>0</v>
      </c>
      <c r="I94" s="11">
        <f t="shared" si="25"/>
        <v>0</v>
      </c>
      <c r="J94" s="11">
        <f t="shared" si="25"/>
        <v>0</v>
      </c>
      <c r="K94" s="11">
        <f t="shared" si="25"/>
        <v>0</v>
      </c>
      <c r="L94" s="9">
        <f t="shared" si="24"/>
        <v>0</v>
      </c>
    </row>
    <row r="95" spans="1:12" ht="16.2">
      <c r="A95" s="10" t="s">
        <v>46</v>
      </c>
      <c r="B95" s="11">
        <f t="shared" ref="B95:K95" si="26">IFERROR(ROUNDDOWN(B93*($B$89/100), 0), 0)</f>
        <v>0</v>
      </c>
      <c r="C95" s="11">
        <f t="shared" si="26"/>
        <v>0</v>
      </c>
      <c r="D95" s="11">
        <f t="shared" si="26"/>
        <v>0</v>
      </c>
      <c r="E95" s="11">
        <f t="shared" si="26"/>
        <v>0</v>
      </c>
      <c r="F95" s="11">
        <f t="shared" si="26"/>
        <v>0</v>
      </c>
      <c r="G95" s="11">
        <f t="shared" si="26"/>
        <v>0</v>
      </c>
      <c r="H95" s="11">
        <f t="shared" si="26"/>
        <v>0</v>
      </c>
      <c r="I95" s="11">
        <f t="shared" si="26"/>
        <v>0</v>
      </c>
      <c r="J95" s="11">
        <f t="shared" si="26"/>
        <v>0</v>
      </c>
      <c r="K95" s="11">
        <f t="shared" si="26"/>
        <v>0</v>
      </c>
      <c r="L95" s="9">
        <f t="shared" si="24"/>
        <v>0</v>
      </c>
    </row>
    <row r="96" spans="1:12" ht="16.2">
      <c r="A96" s="10" t="s">
        <v>47</v>
      </c>
      <c r="B96" s="11">
        <f t="shared" ref="B96:K96" si="27">IFERROR(ROUNDDOWN(B93*($C$89/100), 0), 0)</f>
        <v>0</v>
      </c>
      <c r="C96" s="11">
        <f t="shared" si="27"/>
        <v>0</v>
      </c>
      <c r="D96" s="11">
        <f t="shared" si="27"/>
        <v>0</v>
      </c>
      <c r="E96" s="11">
        <f t="shared" si="27"/>
        <v>0</v>
      </c>
      <c r="F96" s="11">
        <f t="shared" si="27"/>
        <v>0</v>
      </c>
      <c r="G96" s="11">
        <f t="shared" si="27"/>
        <v>0</v>
      </c>
      <c r="H96" s="11">
        <f t="shared" si="27"/>
        <v>0</v>
      </c>
      <c r="I96" s="11">
        <f t="shared" si="27"/>
        <v>0</v>
      </c>
      <c r="J96" s="11">
        <f t="shared" si="27"/>
        <v>0</v>
      </c>
      <c r="K96" s="11">
        <f t="shared" si="27"/>
        <v>0</v>
      </c>
      <c r="L96" s="9">
        <f t="shared" si="24"/>
        <v>0</v>
      </c>
    </row>
    <row r="97" spans="1:12" ht="16.2">
      <c r="A97" s="10" t="s">
        <v>48</v>
      </c>
      <c r="B97" s="11">
        <f t="shared" ref="B97:K97" si="28">IFERROR(ROUNDDOWN(B93*($D$89/100), 0), 0)</f>
        <v>0</v>
      </c>
      <c r="C97" s="11">
        <f t="shared" si="28"/>
        <v>0</v>
      </c>
      <c r="D97" s="11">
        <f t="shared" si="28"/>
        <v>0</v>
      </c>
      <c r="E97" s="11">
        <f t="shared" si="28"/>
        <v>0</v>
      </c>
      <c r="F97" s="11">
        <f t="shared" si="28"/>
        <v>0</v>
      </c>
      <c r="G97" s="11">
        <f t="shared" si="28"/>
        <v>0</v>
      </c>
      <c r="H97" s="11">
        <f t="shared" si="28"/>
        <v>0</v>
      </c>
      <c r="I97" s="11">
        <f t="shared" si="28"/>
        <v>0</v>
      </c>
      <c r="J97" s="11">
        <f t="shared" si="28"/>
        <v>0</v>
      </c>
      <c r="K97" s="11">
        <f t="shared" si="28"/>
        <v>0</v>
      </c>
      <c r="L97" s="9">
        <f t="shared" si="24"/>
        <v>0</v>
      </c>
    </row>
    <row r="98" spans="1:12" ht="16.2">
      <c r="A98" s="10" t="s">
        <v>49</v>
      </c>
      <c r="B98" s="11">
        <f t="shared" ref="B98:K98" si="29">IFERROR(B93-SUM(B94:B97), 0)</f>
        <v>0</v>
      </c>
      <c r="C98" s="11">
        <f t="shared" si="29"/>
        <v>0</v>
      </c>
      <c r="D98" s="11">
        <f t="shared" si="29"/>
        <v>0</v>
      </c>
      <c r="E98" s="11">
        <f t="shared" si="29"/>
        <v>0</v>
      </c>
      <c r="F98" s="11">
        <f t="shared" si="29"/>
        <v>0</v>
      </c>
      <c r="G98" s="11">
        <f t="shared" si="29"/>
        <v>0</v>
      </c>
      <c r="H98" s="11">
        <f t="shared" si="29"/>
        <v>0</v>
      </c>
      <c r="I98" s="11">
        <f t="shared" si="29"/>
        <v>0</v>
      </c>
      <c r="J98" s="11">
        <f t="shared" si="29"/>
        <v>0</v>
      </c>
      <c r="K98" s="11">
        <f t="shared" si="29"/>
        <v>0</v>
      </c>
      <c r="L98" s="9">
        <f t="shared" si="24"/>
        <v>0</v>
      </c>
    </row>
    <row r="101" spans="1:12" ht="17.399999999999999">
      <c r="A101" s="25" t="s">
        <v>55</v>
      </c>
      <c r="B101" s="23"/>
      <c r="C101" s="24"/>
      <c r="D101" s="23"/>
      <c r="E101" s="23"/>
      <c r="F101" s="23"/>
      <c r="G101" s="23"/>
      <c r="H101" s="23"/>
      <c r="I101" s="23"/>
      <c r="J101" s="23"/>
      <c r="K101" s="23"/>
      <c r="L101" s="23"/>
    </row>
    <row r="102" spans="1:12" ht="16.2">
      <c r="A102" s="3" t="s">
        <v>7</v>
      </c>
      <c r="B102" s="4"/>
      <c r="C102" s="3" t="s">
        <v>85</v>
      </c>
      <c r="D102" s="4"/>
      <c r="E102" s="3" t="s">
        <v>86</v>
      </c>
      <c r="F102" s="4"/>
      <c r="G102" s="6"/>
      <c r="H102" s="6"/>
      <c r="I102" s="6"/>
      <c r="J102" s="6"/>
      <c r="K102" s="6"/>
      <c r="L102" s="6"/>
    </row>
    <row r="103" spans="1:12">
      <c r="A103" s="22" t="s">
        <v>8</v>
      </c>
      <c r="B103" s="23"/>
      <c r="C103" s="23"/>
      <c r="D103" s="23"/>
      <c r="E103" s="22" t="s">
        <v>9</v>
      </c>
      <c r="F103" s="23"/>
      <c r="G103" s="22" t="s">
        <v>10</v>
      </c>
      <c r="H103" s="23"/>
      <c r="I103" s="23"/>
      <c r="J103" s="23"/>
      <c r="K103" s="6"/>
      <c r="L103" s="6"/>
    </row>
    <row r="104" spans="1:12" ht="16.2">
      <c r="A104" s="5" t="s">
        <v>11</v>
      </c>
      <c r="B104" s="5" t="s">
        <v>12</v>
      </c>
      <c r="C104" s="5" t="s">
        <v>13</v>
      </c>
      <c r="D104" s="5" t="s">
        <v>14</v>
      </c>
      <c r="E104" s="5" t="s">
        <v>15</v>
      </c>
      <c r="F104" s="5" t="s">
        <v>16</v>
      </c>
      <c r="G104" s="5" t="s">
        <v>17</v>
      </c>
      <c r="H104" s="5" t="s">
        <v>18</v>
      </c>
      <c r="I104" s="5" t="s">
        <v>19</v>
      </c>
      <c r="J104" s="5" t="s">
        <v>20</v>
      </c>
      <c r="K104" s="6"/>
      <c r="L104" s="6"/>
    </row>
    <row r="105" spans="1:12">
      <c r="A105" s="7"/>
      <c r="B105" s="7"/>
      <c r="C105" s="7"/>
      <c r="D105" s="7"/>
      <c r="E105" s="7"/>
      <c r="F105" s="7"/>
      <c r="G105" s="7"/>
      <c r="H105" s="7"/>
      <c r="I105" s="7"/>
      <c r="J105" s="7"/>
      <c r="K105" s="6"/>
      <c r="L105" s="6"/>
    </row>
    <row r="107" spans="1:12" ht="16.2">
      <c r="A107" s="5" t="s">
        <v>21</v>
      </c>
      <c r="B107" s="5" t="s">
        <v>22</v>
      </c>
      <c r="C107" s="5" t="s">
        <v>23</v>
      </c>
      <c r="D107" s="5" t="s">
        <v>24</v>
      </c>
      <c r="E107" s="5" t="s">
        <v>25</v>
      </c>
      <c r="F107" s="5" t="s">
        <v>26</v>
      </c>
      <c r="G107" s="5" t="s">
        <v>27</v>
      </c>
      <c r="H107" s="5" t="s">
        <v>28</v>
      </c>
      <c r="I107" s="5" t="s">
        <v>29</v>
      </c>
      <c r="J107" s="5" t="s">
        <v>30</v>
      </c>
      <c r="K107" s="5" t="s">
        <v>31</v>
      </c>
      <c r="L107" s="5" t="s">
        <v>32</v>
      </c>
    </row>
    <row r="108" spans="1:12" ht="16.2">
      <c r="A108" s="5" t="s">
        <v>33</v>
      </c>
      <c r="B108" s="5" t="s">
        <v>34</v>
      </c>
      <c r="C108" s="5" t="s">
        <v>35</v>
      </c>
      <c r="D108" s="5" t="s">
        <v>36</v>
      </c>
      <c r="E108" s="5" t="s">
        <v>37</v>
      </c>
      <c r="F108" s="5" t="s">
        <v>38</v>
      </c>
      <c r="G108" s="5" t="s">
        <v>39</v>
      </c>
      <c r="H108" s="5" t="s">
        <v>40</v>
      </c>
      <c r="I108" s="5" t="s">
        <v>41</v>
      </c>
      <c r="J108" s="5" t="s">
        <v>42</v>
      </c>
      <c r="K108" s="5" t="s">
        <v>43</v>
      </c>
      <c r="L108" s="5"/>
    </row>
    <row r="109" spans="1:12" ht="16.2">
      <c r="A109" s="5" t="s">
        <v>44</v>
      </c>
      <c r="B109" s="8"/>
      <c r="C109" s="8"/>
      <c r="D109" s="8"/>
      <c r="E109" s="8"/>
      <c r="F109" s="8"/>
      <c r="G109" s="8"/>
      <c r="H109" s="8"/>
      <c r="I109" s="8"/>
      <c r="J109" s="8"/>
      <c r="K109" s="8"/>
      <c r="L109" s="9">
        <f t="shared" ref="L109:L114" si="30">SUM(B109:K109)</f>
        <v>0</v>
      </c>
    </row>
    <row r="110" spans="1:12" ht="16.2">
      <c r="A110" s="10" t="s">
        <v>45</v>
      </c>
      <c r="B110" s="11">
        <f t="shared" ref="B110:K110" si="31">IFERROR(ROUNDDOWN(B109*($A$105/100), 0), 0)</f>
        <v>0</v>
      </c>
      <c r="C110" s="11">
        <f t="shared" si="31"/>
        <v>0</v>
      </c>
      <c r="D110" s="11">
        <f t="shared" si="31"/>
        <v>0</v>
      </c>
      <c r="E110" s="11">
        <f t="shared" si="31"/>
        <v>0</v>
      </c>
      <c r="F110" s="11">
        <f t="shared" si="31"/>
        <v>0</v>
      </c>
      <c r="G110" s="11">
        <f t="shared" si="31"/>
        <v>0</v>
      </c>
      <c r="H110" s="11">
        <f t="shared" si="31"/>
        <v>0</v>
      </c>
      <c r="I110" s="11">
        <f t="shared" si="31"/>
        <v>0</v>
      </c>
      <c r="J110" s="11">
        <f t="shared" si="31"/>
        <v>0</v>
      </c>
      <c r="K110" s="11">
        <f t="shared" si="31"/>
        <v>0</v>
      </c>
      <c r="L110" s="9">
        <f t="shared" si="30"/>
        <v>0</v>
      </c>
    </row>
    <row r="111" spans="1:12" ht="16.2">
      <c r="A111" s="10" t="s">
        <v>46</v>
      </c>
      <c r="B111" s="11">
        <f t="shared" ref="B111:K111" si="32">IFERROR(ROUNDDOWN(B109*($B$105/100), 0), 0)</f>
        <v>0</v>
      </c>
      <c r="C111" s="11">
        <f t="shared" si="32"/>
        <v>0</v>
      </c>
      <c r="D111" s="11">
        <f t="shared" si="32"/>
        <v>0</v>
      </c>
      <c r="E111" s="11">
        <f t="shared" si="32"/>
        <v>0</v>
      </c>
      <c r="F111" s="11">
        <f t="shared" si="32"/>
        <v>0</v>
      </c>
      <c r="G111" s="11">
        <f t="shared" si="32"/>
        <v>0</v>
      </c>
      <c r="H111" s="11">
        <f t="shared" si="32"/>
        <v>0</v>
      </c>
      <c r="I111" s="11">
        <f t="shared" si="32"/>
        <v>0</v>
      </c>
      <c r="J111" s="11">
        <f t="shared" si="32"/>
        <v>0</v>
      </c>
      <c r="K111" s="11">
        <f t="shared" si="32"/>
        <v>0</v>
      </c>
      <c r="L111" s="9">
        <f t="shared" si="30"/>
        <v>0</v>
      </c>
    </row>
    <row r="112" spans="1:12" ht="16.2">
      <c r="A112" s="10" t="s">
        <v>47</v>
      </c>
      <c r="B112" s="11">
        <f t="shared" ref="B112:K112" si="33">IFERROR(ROUNDDOWN(B109*($C$105/100), 0), 0)</f>
        <v>0</v>
      </c>
      <c r="C112" s="11">
        <f t="shared" si="33"/>
        <v>0</v>
      </c>
      <c r="D112" s="11">
        <f t="shared" si="33"/>
        <v>0</v>
      </c>
      <c r="E112" s="11">
        <f t="shared" si="33"/>
        <v>0</v>
      </c>
      <c r="F112" s="11">
        <f t="shared" si="33"/>
        <v>0</v>
      </c>
      <c r="G112" s="11">
        <f t="shared" si="33"/>
        <v>0</v>
      </c>
      <c r="H112" s="11">
        <f t="shared" si="33"/>
        <v>0</v>
      </c>
      <c r="I112" s="11">
        <f t="shared" si="33"/>
        <v>0</v>
      </c>
      <c r="J112" s="11">
        <f t="shared" si="33"/>
        <v>0</v>
      </c>
      <c r="K112" s="11">
        <f t="shared" si="33"/>
        <v>0</v>
      </c>
      <c r="L112" s="9">
        <f t="shared" si="30"/>
        <v>0</v>
      </c>
    </row>
    <row r="113" spans="1:12" ht="16.2">
      <c r="A113" s="10" t="s">
        <v>48</v>
      </c>
      <c r="B113" s="11">
        <f t="shared" ref="B113:K113" si="34">IFERROR(ROUNDDOWN(B109*($D$105/100), 0), 0)</f>
        <v>0</v>
      </c>
      <c r="C113" s="11">
        <f t="shared" si="34"/>
        <v>0</v>
      </c>
      <c r="D113" s="11">
        <f t="shared" si="34"/>
        <v>0</v>
      </c>
      <c r="E113" s="11">
        <f t="shared" si="34"/>
        <v>0</v>
      </c>
      <c r="F113" s="11">
        <f t="shared" si="34"/>
        <v>0</v>
      </c>
      <c r="G113" s="11">
        <f t="shared" si="34"/>
        <v>0</v>
      </c>
      <c r="H113" s="11">
        <f t="shared" si="34"/>
        <v>0</v>
      </c>
      <c r="I113" s="11">
        <f t="shared" si="34"/>
        <v>0</v>
      </c>
      <c r="J113" s="11">
        <f t="shared" si="34"/>
        <v>0</v>
      </c>
      <c r="K113" s="11">
        <f t="shared" si="34"/>
        <v>0</v>
      </c>
      <c r="L113" s="9">
        <f t="shared" si="30"/>
        <v>0</v>
      </c>
    </row>
    <row r="114" spans="1:12" ht="16.2">
      <c r="A114" s="10" t="s">
        <v>49</v>
      </c>
      <c r="B114" s="11">
        <f t="shared" ref="B114:K114" si="35">IFERROR(B109-SUM(B110:B113), 0)</f>
        <v>0</v>
      </c>
      <c r="C114" s="11">
        <f t="shared" si="35"/>
        <v>0</v>
      </c>
      <c r="D114" s="11">
        <f t="shared" si="35"/>
        <v>0</v>
      </c>
      <c r="E114" s="11">
        <f t="shared" si="35"/>
        <v>0</v>
      </c>
      <c r="F114" s="11">
        <f t="shared" si="35"/>
        <v>0</v>
      </c>
      <c r="G114" s="11">
        <f t="shared" si="35"/>
        <v>0</v>
      </c>
      <c r="H114" s="11">
        <f t="shared" si="35"/>
        <v>0</v>
      </c>
      <c r="I114" s="11">
        <f t="shared" si="35"/>
        <v>0</v>
      </c>
      <c r="J114" s="11">
        <f t="shared" si="35"/>
        <v>0</v>
      </c>
      <c r="K114" s="11">
        <f t="shared" si="35"/>
        <v>0</v>
      </c>
      <c r="L114" s="9">
        <f t="shared" si="30"/>
        <v>0</v>
      </c>
    </row>
    <row r="117" spans="1:12" ht="17.399999999999999">
      <c r="A117" s="25" t="s">
        <v>56</v>
      </c>
      <c r="B117" s="23"/>
      <c r="C117" s="24"/>
      <c r="D117" s="23"/>
      <c r="E117" s="23"/>
      <c r="F117" s="23"/>
      <c r="G117" s="23"/>
      <c r="H117" s="23"/>
      <c r="I117" s="23"/>
      <c r="J117" s="23"/>
      <c r="K117" s="23"/>
      <c r="L117" s="23"/>
    </row>
    <row r="118" spans="1:12" ht="16.2">
      <c r="A118" s="3" t="s">
        <v>7</v>
      </c>
      <c r="B118" s="4"/>
      <c r="C118" s="3" t="s">
        <v>85</v>
      </c>
      <c r="D118" s="4"/>
      <c r="E118" s="3" t="s">
        <v>86</v>
      </c>
      <c r="F118" s="4"/>
      <c r="G118" s="6"/>
      <c r="H118" s="6"/>
      <c r="I118" s="6"/>
      <c r="J118" s="6"/>
      <c r="K118" s="6"/>
      <c r="L118" s="6"/>
    </row>
    <row r="119" spans="1:12">
      <c r="A119" s="22" t="s">
        <v>8</v>
      </c>
      <c r="B119" s="23"/>
      <c r="C119" s="23"/>
      <c r="D119" s="23"/>
      <c r="E119" s="22" t="s">
        <v>9</v>
      </c>
      <c r="F119" s="23"/>
      <c r="G119" s="22" t="s">
        <v>10</v>
      </c>
      <c r="H119" s="23"/>
      <c r="I119" s="23"/>
      <c r="J119" s="23"/>
      <c r="K119" s="6"/>
      <c r="L119" s="6"/>
    </row>
    <row r="120" spans="1:12" ht="16.2">
      <c r="A120" s="5" t="s">
        <v>11</v>
      </c>
      <c r="B120" s="5" t="s">
        <v>12</v>
      </c>
      <c r="C120" s="5" t="s">
        <v>13</v>
      </c>
      <c r="D120" s="5" t="s">
        <v>14</v>
      </c>
      <c r="E120" s="5" t="s">
        <v>15</v>
      </c>
      <c r="F120" s="5" t="s">
        <v>16</v>
      </c>
      <c r="G120" s="5" t="s">
        <v>17</v>
      </c>
      <c r="H120" s="5" t="s">
        <v>18</v>
      </c>
      <c r="I120" s="5" t="s">
        <v>19</v>
      </c>
      <c r="J120" s="5" t="s">
        <v>20</v>
      </c>
      <c r="K120" s="6"/>
      <c r="L120" s="6"/>
    </row>
    <row r="121" spans="1:12">
      <c r="A121" s="7"/>
      <c r="B121" s="7"/>
      <c r="C121" s="7"/>
      <c r="D121" s="7"/>
      <c r="E121" s="7"/>
      <c r="F121" s="7"/>
      <c r="G121" s="7"/>
      <c r="H121" s="7"/>
      <c r="I121" s="7"/>
      <c r="J121" s="7"/>
      <c r="K121" s="6"/>
      <c r="L121" s="6"/>
    </row>
    <row r="123" spans="1:12" ht="16.2">
      <c r="A123" s="5" t="s">
        <v>21</v>
      </c>
      <c r="B123" s="5" t="s">
        <v>22</v>
      </c>
      <c r="C123" s="5" t="s">
        <v>23</v>
      </c>
      <c r="D123" s="5" t="s">
        <v>24</v>
      </c>
      <c r="E123" s="5" t="s">
        <v>25</v>
      </c>
      <c r="F123" s="5" t="s">
        <v>26</v>
      </c>
      <c r="G123" s="5" t="s">
        <v>27</v>
      </c>
      <c r="H123" s="5" t="s">
        <v>28</v>
      </c>
      <c r="I123" s="5" t="s">
        <v>29</v>
      </c>
      <c r="J123" s="5" t="s">
        <v>30</v>
      </c>
      <c r="K123" s="5" t="s">
        <v>31</v>
      </c>
      <c r="L123" s="5" t="s">
        <v>32</v>
      </c>
    </row>
    <row r="124" spans="1:12" ht="16.2">
      <c r="A124" s="5" t="s">
        <v>33</v>
      </c>
      <c r="B124" s="5" t="s">
        <v>34</v>
      </c>
      <c r="C124" s="5" t="s">
        <v>35</v>
      </c>
      <c r="D124" s="5" t="s">
        <v>36</v>
      </c>
      <c r="E124" s="5" t="s">
        <v>37</v>
      </c>
      <c r="F124" s="5" t="s">
        <v>38</v>
      </c>
      <c r="G124" s="5" t="s">
        <v>39</v>
      </c>
      <c r="H124" s="5" t="s">
        <v>40</v>
      </c>
      <c r="I124" s="5" t="s">
        <v>41</v>
      </c>
      <c r="J124" s="5" t="s">
        <v>42</v>
      </c>
      <c r="K124" s="5" t="s">
        <v>43</v>
      </c>
      <c r="L124" s="5"/>
    </row>
    <row r="125" spans="1:12" ht="16.2">
      <c r="A125" s="5" t="s">
        <v>44</v>
      </c>
      <c r="B125" s="8"/>
      <c r="C125" s="8"/>
      <c r="D125" s="8"/>
      <c r="E125" s="8"/>
      <c r="F125" s="8"/>
      <c r="G125" s="8"/>
      <c r="H125" s="8"/>
      <c r="I125" s="8"/>
      <c r="J125" s="8"/>
      <c r="K125" s="8"/>
      <c r="L125" s="9">
        <f t="shared" ref="L125:L130" si="36">SUM(B125:K125)</f>
        <v>0</v>
      </c>
    </row>
    <row r="126" spans="1:12" ht="16.2">
      <c r="A126" s="10" t="s">
        <v>45</v>
      </c>
      <c r="B126" s="11">
        <f t="shared" ref="B126:K126" si="37">IFERROR(ROUNDDOWN(B125*($A$121/100), 0), 0)</f>
        <v>0</v>
      </c>
      <c r="C126" s="11">
        <f t="shared" si="37"/>
        <v>0</v>
      </c>
      <c r="D126" s="11">
        <f t="shared" si="37"/>
        <v>0</v>
      </c>
      <c r="E126" s="11">
        <f t="shared" si="37"/>
        <v>0</v>
      </c>
      <c r="F126" s="11">
        <f t="shared" si="37"/>
        <v>0</v>
      </c>
      <c r="G126" s="11">
        <f t="shared" si="37"/>
        <v>0</v>
      </c>
      <c r="H126" s="11">
        <f t="shared" si="37"/>
        <v>0</v>
      </c>
      <c r="I126" s="11">
        <f t="shared" si="37"/>
        <v>0</v>
      </c>
      <c r="J126" s="11">
        <f t="shared" si="37"/>
        <v>0</v>
      </c>
      <c r="K126" s="11">
        <f t="shared" si="37"/>
        <v>0</v>
      </c>
      <c r="L126" s="9">
        <f t="shared" si="36"/>
        <v>0</v>
      </c>
    </row>
    <row r="127" spans="1:12" ht="16.2">
      <c r="A127" s="10" t="s">
        <v>46</v>
      </c>
      <c r="B127" s="11">
        <f t="shared" ref="B127:K127" si="38">IFERROR(ROUNDDOWN(B125*($B$121/100), 0), 0)</f>
        <v>0</v>
      </c>
      <c r="C127" s="11">
        <f t="shared" si="38"/>
        <v>0</v>
      </c>
      <c r="D127" s="11">
        <f t="shared" si="38"/>
        <v>0</v>
      </c>
      <c r="E127" s="11">
        <f t="shared" si="38"/>
        <v>0</v>
      </c>
      <c r="F127" s="11">
        <f t="shared" si="38"/>
        <v>0</v>
      </c>
      <c r="G127" s="11">
        <f t="shared" si="38"/>
        <v>0</v>
      </c>
      <c r="H127" s="11">
        <f t="shared" si="38"/>
        <v>0</v>
      </c>
      <c r="I127" s="11">
        <f t="shared" si="38"/>
        <v>0</v>
      </c>
      <c r="J127" s="11">
        <f t="shared" si="38"/>
        <v>0</v>
      </c>
      <c r="K127" s="11">
        <f t="shared" si="38"/>
        <v>0</v>
      </c>
      <c r="L127" s="9">
        <f t="shared" si="36"/>
        <v>0</v>
      </c>
    </row>
    <row r="128" spans="1:12" ht="16.2">
      <c r="A128" s="10" t="s">
        <v>47</v>
      </c>
      <c r="B128" s="11">
        <f t="shared" ref="B128:K128" si="39">IFERROR(ROUNDDOWN(B125*($C$121/100), 0), 0)</f>
        <v>0</v>
      </c>
      <c r="C128" s="11">
        <f t="shared" si="39"/>
        <v>0</v>
      </c>
      <c r="D128" s="11">
        <f t="shared" si="39"/>
        <v>0</v>
      </c>
      <c r="E128" s="11">
        <f t="shared" si="39"/>
        <v>0</v>
      </c>
      <c r="F128" s="11">
        <f t="shared" si="39"/>
        <v>0</v>
      </c>
      <c r="G128" s="11">
        <f t="shared" si="39"/>
        <v>0</v>
      </c>
      <c r="H128" s="11">
        <f t="shared" si="39"/>
        <v>0</v>
      </c>
      <c r="I128" s="11">
        <f t="shared" si="39"/>
        <v>0</v>
      </c>
      <c r="J128" s="11">
        <f t="shared" si="39"/>
        <v>0</v>
      </c>
      <c r="K128" s="11">
        <f t="shared" si="39"/>
        <v>0</v>
      </c>
      <c r="L128" s="9">
        <f t="shared" si="36"/>
        <v>0</v>
      </c>
    </row>
    <row r="129" spans="1:12" ht="16.2">
      <c r="A129" s="10" t="s">
        <v>48</v>
      </c>
      <c r="B129" s="11">
        <f t="shared" ref="B129:K129" si="40">IFERROR(ROUNDDOWN(B125*($D$121/100), 0), 0)</f>
        <v>0</v>
      </c>
      <c r="C129" s="11">
        <f t="shared" si="40"/>
        <v>0</v>
      </c>
      <c r="D129" s="11">
        <f t="shared" si="40"/>
        <v>0</v>
      </c>
      <c r="E129" s="11">
        <f t="shared" si="40"/>
        <v>0</v>
      </c>
      <c r="F129" s="11">
        <f t="shared" si="40"/>
        <v>0</v>
      </c>
      <c r="G129" s="11">
        <f t="shared" si="40"/>
        <v>0</v>
      </c>
      <c r="H129" s="11">
        <f t="shared" si="40"/>
        <v>0</v>
      </c>
      <c r="I129" s="11">
        <f t="shared" si="40"/>
        <v>0</v>
      </c>
      <c r="J129" s="11">
        <f t="shared" si="40"/>
        <v>0</v>
      </c>
      <c r="K129" s="11">
        <f t="shared" si="40"/>
        <v>0</v>
      </c>
      <c r="L129" s="9">
        <f t="shared" si="36"/>
        <v>0</v>
      </c>
    </row>
    <row r="130" spans="1:12" ht="16.2">
      <c r="A130" s="10" t="s">
        <v>49</v>
      </c>
      <c r="B130" s="11">
        <f t="shared" ref="B130:K130" si="41">IFERROR(B125-SUM(B126:B129), 0)</f>
        <v>0</v>
      </c>
      <c r="C130" s="11">
        <f t="shared" si="41"/>
        <v>0</v>
      </c>
      <c r="D130" s="11">
        <f t="shared" si="41"/>
        <v>0</v>
      </c>
      <c r="E130" s="11">
        <f t="shared" si="41"/>
        <v>0</v>
      </c>
      <c r="F130" s="11">
        <f t="shared" si="41"/>
        <v>0</v>
      </c>
      <c r="G130" s="11">
        <f t="shared" si="41"/>
        <v>0</v>
      </c>
      <c r="H130" s="11">
        <f t="shared" si="41"/>
        <v>0</v>
      </c>
      <c r="I130" s="11">
        <f t="shared" si="41"/>
        <v>0</v>
      </c>
      <c r="J130" s="11">
        <f t="shared" si="41"/>
        <v>0</v>
      </c>
      <c r="K130" s="11">
        <f t="shared" si="41"/>
        <v>0</v>
      </c>
      <c r="L130" s="9">
        <f t="shared" si="36"/>
        <v>0</v>
      </c>
    </row>
    <row r="133" spans="1:12" ht="17.399999999999999">
      <c r="A133" s="25" t="s">
        <v>57</v>
      </c>
      <c r="B133" s="23"/>
      <c r="C133" s="24"/>
      <c r="D133" s="23"/>
      <c r="E133" s="23"/>
      <c r="F133" s="23"/>
      <c r="G133" s="23"/>
      <c r="H133" s="23"/>
      <c r="I133" s="23"/>
      <c r="J133" s="23"/>
      <c r="K133" s="23"/>
      <c r="L133" s="23"/>
    </row>
    <row r="134" spans="1:12" ht="16.2">
      <c r="A134" s="3" t="s">
        <v>7</v>
      </c>
      <c r="B134" s="4"/>
      <c r="C134" s="3" t="s">
        <v>85</v>
      </c>
      <c r="D134" s="4"/>
      <c r="E134" s="3" t="s">
        <v>86</v>
      </c>
      <c r="F134" s="4"/>
      <c r="G134" s="6"/>
      <c r="H134" s="6"/>
      <c r="I134" s="6"/>
      <c r="J134" s="6"/>
      <c r="K134" s="6"/>
      <c r="L134" s="6"/>
    </row>
    <row r="135" spans="1:12">
      <c r="A135" s="22" t="s">
        <v>8</v>
      </c>
      <c r="B135" s="23"/>
      <c r="C135" s="23"/>
      <c r="D135" s="23"/>
      <c r="E135" s="22" t="s">
        <v>9</v>
      </c>
      <c r="F135" s="23"/>
      <c r="G135" s="22" t="s">
        <v>10</v>
      </c>
      <c r="H135" s="23"/>
      <c r="I135" s="23"/>
      <c r="J135" s="23"/>
      <c r="K135" s="6"/>
      <c r="L135" s="6"/>
    </row>
    <row r="136" spans="1:12" ht="16.2">
      <c r="A136" s="5" t="s">
        <v>11</v>
      </c>
      <c r="B136" s="5" t="s">
        <v>12</v>
      </c>
      <c r="C136" s="5" t="s">
        <v>13</v>
      </c>
      <c r="D136" s="5" t="s">
        <v>14</v>
      </c>
      <c r="E136" s="5" t="s">
        <v>15</v>
      </c>
      <c r="F136" s="5" t="s">
        <v>16</v>
      </c>
      <c r="G136" s="5" t="s">
        <v>17</v>
      </c>
      <c r="H136" s="5" t="s">
        <v>18</v>
      </c>
      <c r="I136" s="5" t="s">
        <v>19</v>
      </c>
      <c r="J136" s="5" t="s">
        <v>20</v>
      </c>
      <c r="K136" s="6"/>
      <c r="L136" s="6"/>
    </row>
    <row r="137" spans="1:12">
      <c r="A137" s="7"/>
      <c r="B137" s="7"/>
      <c r="C137" s="7"/>
      <c r="D137" s="7"/>
      <c r="E137" s="7"/>
      <c r="F137" s="7"/>
      <c r="G137" s="7"/>
      <c r="H137" s="7"/>
      <c r="I137" s="7"/>
      <c r="J137" s="7"/>
      <c r="K137" s="6"/>
      <c r="L137" s="6"/>
    </row>
    <row r="139" spans="1:12" ht="16.2">
      <c r="A139" s="5" t="s">
        <v>21</v>
      </c>
      <c r="B139" s="5" t="s">
        <v>22</v>
      </c>
      <c r="C139" s="5" t="s">
        <v>23</v>
      </c>
      <c r="D139" s="5" t="s">
        <v>24</v>
      </c>
      <c r="E139" s="5" t="s">
        <v>25</v>
      </c>
      <c r="F139" s="5" t="s">
        <v>26</v>
      </c>
      <c r="G139" s="5" t="s">
        <v>27</v>
      </c>
      <c r="H139" s="5" t="s">
        <v>28</v>
      </c>
      <c r="I139" s="5" t="s">
        <v>29</v>
      </c>
      <c r="J139" s="5" t="s">
        <v>30</v>
      </c>
      <c r="K139" s="5" t="s">
        <v>31</v>
      </c>
      <c r="L139" s="5" t="s">
        <v>32</v>
      </c>
    </row>
    <row r="140" spans="1:12" ht="16.2">
      <c r="A140" s="5" t="s">
        <v>33</v>
      </c>
      <c r="B140" s="5" t="s">
        <v>34</v>
      </c>
      <c r="C140" s="5" t="s">
        <v>35</v>
      </c>
      <c r="D140" s="5" t="s">
        <v>36</v>
      </c>
      <c r="E140" s="5" t="s">
        <v>37</v>
      </c>
      <c r="F140" s="5" t="s">
        <v>38</v>
      </c>
      <c r="G140" s="5" t="s">
        <v>39</v>
      </c>
      <c r="H140" s="5" t="s">
        <v>40</v>
      </c>
      <c r="I140" s="5" t="s">
        <v>41</v>
      </c>
      <c r="J140" s="5" t="s">
        <v>42</v>
      </c>
      <c r="K140" s="5" t="s">
        <v>43</v>
      </c>
      <c r="L140" s="5"/>
    </row>
    <row r="141" spans="1:12" ht="16.2">
      <c r="A141" s="5" t="s">
        <v>44</v>
      </c>
      <c r="B141" s="8"/>
      <c r="C141" s="8"/>
      <c r="D141" s="8"/>
      <c r="E141" s="8"/>
      <c r="F141" s="8"/>
      <c r="G141" s="8"/>
      <c r="H141" s="8"/>
      <c r="I141" s="8"/>
      <c r="J141" s="8"/>
      <c r="K141" s="8"/>
      <c r="L141" s="9">
        <f t="shared" ref="L141:L146" si="42">SUM(B141:K141)</f>
        <v>0</v>
      </c>
    </row>
    <row r="142" spans="1:12" ht="16.2">
      <c r="A142" s="10" t="s">
        <v>45</v>
      </c>
      <c r="B142" s="11">
        <f t="shared" ref="B142:K142" si="43">IFERROR(ROUNDDOWN(B141*($A$137/100), 0), 0)</f>
        <v>0</v>
      </c>
      <c r="C142" s="11">
        <f t="shared" si="43"/>
        <v>0</v>
      </c>
      <c r="D142" s="11">
        <f t="shared" si="43"/>
        <v>0</v>
      </c>
      <c r="E142" s="11">
        <f t="shared" si="43"/>
        <v>0</v>
      </c>
      <c r="F142" s="11">
        <f t="shared" si="43"/>
        <v>0</v>
      </c>
      <c r="G142" s="11">
        <f t="shared" si="43"/>
        <v>0</v>
      </c>
      <c r="H142" s="11">
        <f t="shared" si="43"/>
        <v>0</v>
      </c>
      <c r="I142" s="11">
        <f t="shared" si="43"/>
        <v>0</v>
      </c>
      <c r="J142" s="11">
        <f t="shared" si="43"/>
        <v>0</v>
      </c>
      <c r="K142" s="11">
        <f t="shared" si="43"/>
        <v>0</v>
      </c>
      <c r="L142" s="9">
        <f t="shared" si="42"/>
        <v>0</v>
      </c>
    </row>
    <row r="143" spans="1:12" ht="16.2">
      <c r="A143" s="10" t="s">
        <v>46</v>
      </c>
      <c r="B143" s="11">
        <f t="shared" ref="B143:K143" si="44">IFERROR(ROUNDDOWN(B141*($B$137/100), 0), 0)</f>
        <v>0</v>
      </c>
      <c r="C143" s="11">
        <f t="shared" si="44"/>
        <v>0</v>
      </c>
      <c r="D143" s="11">
        <f t="shared" si="44"/>
        <v>0</v>
      </c>
      <c r="E143" s="11">
        <f t="shared" si="44"/>
        <v>0</v>
      </c>
      <c r="F143" s="11">
        <f t="shared" si="44"/>
        <v>0</v>
      </c>
      <c r="G143" s="11">
        <f t="shared" si="44"/>
        <v>0</v>
      </c>
      <c r="H143" s="11">
        <f t="shared" si="44"/>
        <v>0</v>
      </c>
      <c r="I143" s="11">
        <f t="shared" si="44"/>
        <v>0</v>
      </c>
      <c r="J143" s="11">
        <f t="shared" si="44"/>
        <v>0</v>
      </c>
      <c r="K143" s="11">
        <f t="shared" si="44"/>
        <v>0</v>
      </c>
      <c r="L143" s="9">
        <f t="shared" si="42"/>
        <v>0</v>
      </c>
    </row>
    <row r="144" spans="1:12" ht="16.2">
      <c r="A144" s="10" t="s">
        <v>47</v>
      </c>
      <c r="B144" s="11">
        <f t="shared" ref="B144:K144" si="45">IFERROR(ROUNDDOWN(B141*($C$137/100), 0), 0)</f>
        <v>0</v>
      </c>
      <c r="C144" s="11">
        <f t="shared" si="45"/>
        <v>0</v>
      </c>
      <c r="D144" s="11">
        <f t="shared" si="45"/>
        <v>0</v>
      </c>
      <c r="E144" s="11">
        <f t="shared" si="45"/>
        <v>0</v>
      </c>
      <c r="F144" s="11">
        <f t="shared" si="45"/>
        <v>0</v>
      </c>
      <c r="G144" s="11">
        <f t="shared" si="45"/>
        <v>0</v>
      </c>
      <c r="H144" s="11">
        <f t="shared" si="45"/>
        <v>0</v>
      </c>
      <c r="I144" s="11">
        <f t="shared" si="45"/>
        <v>0</v>
      </c>
      <c r="J144" s="11">
        <f t="shared" si="45"/>
        <v>0</v>
      </c>
      <c r="K144" s="11">
        <f t="shared" si="45"/>
        <v>0</v>
      </c>
      <c r="L144" s="9">
        <f t="shared" si="42"/>
        <v>0</v>
      </c>
    </row>
    <row r="145" spans="1:12" ht="16.2">
      <c r="A145" s="10" t="s">
        <v>48</v>
      </c>
      <c r="B145" s="11">
        <f t="shared" ref="B145:K145" si="46">IFERROR(ROUNDDOWN(B141*($D$137/100), 0), 0)</f>
        <v>0</v>
      </c>
      <c r="C145" s="11">
        <f t="shared" si="46"/>
        <v>0</v>
      </c>
      <c r="D145" s="11">
        <f t="shared" si="46"/>
        <v>0</v>
      </c>
      <c r="E145" s="11">
        <f t="shared" si="46"/>
        <v>0</v>
      </c>
      <c r="F145" s="11">
        <f t="shared" si="46"/>
        <v>0</v>
      </c>
      <c r="G145" s="11">
        <f t="shared" si="46"/>
        <v>0</v>
      </c>
      <c r="H145" s="11">
        <f t="shared" si="46"/>
        <v>0</v>
      </c>
      <c r="I145" s="11">
        <f t="shared" si="46"/>
        <v>0</v>
      </c>
      <c r="J145" s="11">
        <f t="shared" si="46"/>
        <v>0</v>
      </c>
      <c r="K145" s="11">
        <f t="shared" si="46"/>
        <v>0</v>
      </c>
      <c r="L145" s="9">
        <f t="shared" si="42"/>
        <v>0</v>
      </c>
    </row>
    <row r="146" spans="1:12" ht="16.2">
      <c r="A146" s="10" t="s">
        <v>49</v>
      </c>
      <c r="B146" s="11">
        <f t="shared" ref="B146:K146" si="47">IFERROR(B141-SUM(B142:B145), 0)</f>
        <v>0</v>
      </c>
      <c r="C146" s="11">
        <f t="shared" si="47"/>
        <v>0</v>
      </c>
      <c r="D146" s="11">
        <f t="shared" si="47"/>
        <v>0</v>
      </c>
      <c r="E146" s="11">
        <f t="shared" si="47"/>
        <v>0</v>
      </c>
      <c r="F146" s="11">
        <f t="shared" si="47"/>
        <v>0</v>
      </c>
      <c r="G146" s="11">
        <f t="shared" si="47"/>
        <v>0</v>
      </c>
      <c r="H146" s="11">
        <f t="shared" si="47"/>
        <v>0</v>
      </c>
      <c r="I146" s="11">
        <f t="shared" si="47"/>
        <v>0</v>
      </c>
      <c r="J146" s="11">
        <f t="shared" si="47"/>
        <v>0</v>
      </c>
      <c r="K146" s="11">
        <f t="shared" si="47"/>
        <v>0</v>
      </c>
      <c r="L146" s="9">
        <f t="shared" si="42"/>
        <v>0</v>
      </c>
    </row>
    <row r="149" spans="1:12" ht="17.399999999999999">
      <c r="A149" s="25" t="s">
        <v>58</v>
      </c>
      <c r="B149" s="23"/>
      <c r="C149" s="24"/>
      <c r="D149" s="23"/>
      <c r="E149" s="23"/>
      <c r="F149" s="23"/>
      <c r="G149" s="23"/>
      <c r="H149" s="23"/>
      <c r="I149" s="23"/>
      <c r="J149" s="23"/>
      <c r="K149" s="23"/>
      <c r="L149" s="23"/>
    </row>
    <row r="150" spans="1:12" ht="16.2">
      <c r="A150" s="3" t="s">
        <v>7</v>
      </c>
      <c r="B150" s="4"/>
      <c r="C150" s="3" t="s">
        <v>85</v>
      </c>
      <c r="D150" s="4"/>
      <c r="E150" s="3" t="s">
        <v>86</v>
      </c>
      <c r="F150" s="4"/>
      <c r="G150" s="6"/>
      <c r="H150" s="6"/>
      <c r="I150" s="6"/>
      <c r="J150" s="6"/>
      <c r="K150" s="6"/>
      <c r="L150" s="6"/>
    </row>
    <row r="151" spans="1:12">
      <c r="A151" s="22" t="s">
        <v>8</v>
      </c>
      <c r="B151" s="23"/>
      <c r="C151" s="23"/>
      <c r="D151" s="23"/>
      <c r="E151" s="22" t="s">
        <v>9</v>
      </c>
      <c r="F151" s="23"/>
      <c r="G151" s="22" t="s">
        <v>10</v>
      </c>
      <c r="H151" s="23"/>
      <c r="I151" s="23"/>
      <c r="J151" s="23"/>
      <c r="K151" s="6"/>
      <c r="L151" s="6"/>
    </row>
    <row r="152" spans="1:12" ht="16.2">
      <c r="A152" s="5" t="s">
        <v>11</v>
      </c>
      <c r="B152" s="5" t="s">
        <v>12</v>
      </c>
      <c r="C152" s="5" t="s">
        <v>13</v>
      </c>
      <c r="D152" s="5" t="s">
        <v>14</v>
      </c>
      <c r="E152" s="5" t="s">
        <v>15</v>
      </c>
      <c r="F152" s="5" t="s">
        <v>16</v>
      </c>
      <c r="G152" s="5" t="s">
        <v>17</v>
      </c>
      <c r="H152" s="5" t="s">
        <v>18</v>
      </c>
      <c r="I152" s="5" t="s">
        <v>19</v>
      </c>
      <c r="J152" s="5" t="s">
        <v>20</v>
      </c>
      <c r="K152" s="6"/>
      <c r="L152" s="6"/>
    </row>
    <row r="153" spans="1:12">
      <c r="A153" s="7"/>
      <c r="B153" s="7"/>
      <c r="C153" s="7"/>
      <c r="D153" s="7"/>
      <c r="E153" s="7"/>
      <c r="F153" s="7"/>
      <c r="G153" s="7"/>
      <c r="H153" s="7"/>
      <c r="I153" s="7"/>
      <c r="J153" s="7"/>
      <c r="K153" s="6"/>
      <c r="L153" s="6"/>
    </row>
    <row r="155" spans="1:12" ht="16.2">
      <c r="A155" s="5" t="s">
        <v>21</v>
      </c>
      <c r="B155" s="5" t="s">
        <v>22</v>
      </c>
      <c r="C155" s="5" t="s">
        <v>23</v>
      </c>
      <c r="D155" s="5" t="s">
        <v>24</v>
      </c>
      <c r="E155" s="5" t="s">
        <v>25</v>
      </c>
      <c r="F155" s="5" t="s">
        <v>26</v>
      </c>
      <c r="G155" s="5" t="s">
        <v>27</v>
      </c>
      <c r="H155" s="5" t="s">
        <v>28</v>
      </c>
      <c r="I155" s="5" t="s">
        <v>29</v>
      </c>
      <c r="J155" s="5" t="s">
        <v>30</v>
      </c>
      <c r="K155" s="5" t="s">
        <v>31</v>
      </c>
      <c r="L155" s="5" t="s">
        <v>32</v>
      </c>
    </row>
    <row r="156" spans="1:12" ht="16.2">
      <c r="A156" s="5" t="s">
        <v>33</v>
      </c>
      <c r="B156" s="5" t="s">
        <v>34</v>
      </c>
      <c r="C156" s="5" t="s">
        <v>35</v>
      </c>
      <c r="D156" s="5" t="s">
        <v>36</v>
      </c>
      <c r="E156" s="5" t="s">
        <v>37</v>
      </c>
      <c r="F156" s="5" t="s">
        <v>38</v>
      </c>
      <c r="G156" s="5" t="s">
        <v>39</v>
      </c>
      <c r="H156" s="5" t="s">
        <v>40</v>
      </c>
      <c r="I156" s="5" t="s">
        <v>41</v>
      </c>
      <c r="J156" s="5" t="s">
        <v>42</v>
      </c>
      <c r="K156" s="5" t="s">
        <v>43</v>
      </c>
      <c r="L156" s="5"/>
    </row>
    <row r="157" spans="1:12" ht="16.2">
      <c r="A157" s="5" t="s">
        <v>44</v>
      </c>
      <c r="B157" s="8"/>
      <c r="C157" s="8"/>
      <c r="D157" s="8"/>
      <c r="E157" s="8"/>
      <c r="F157" s="8"/>
      <c r="G157" s="8"/>
      <c r="H157" s="8"/>
      <c r="I157" s="8"/>
      <c r="J157" s="8"/>
      <c r="K157" s="8"/>
      <c r="L157" s="9">
        <f t="shared" ref="L157:L162" si="48">SUM(B157:K157)</f>
        <v>0</v>
      </c>
    </row>
    <row r="158" spans="1:12" ht="16.2">
      <c r="A158" s="10" t="s">
        <v>45</v>
      </c>
      <c r="B158" s="11">
        <f t="shared" ref="B158:K158" si="49">IFERROR(ROUNDDOWN(B157*($A$153/100), 0), 0)</f>
        <v>0</v>
      </c>
      <c r="C158" s="11">
        <f t="shared" si="49"/>
        <v>0</v>
      </c>
      <c r="D158" s="11">
        <f t="shared" si="49"/>
        <v>0</v>
      </c>
      <c r="E158" s="11">
        <f t="shared" si="49"/>
        <v>0</v>
      </c>
      <c r="F158" s="11">
        <f t="shared" si="49"/>
        <v>0</v>
      </c>
      <c r="G158" s="11">
        <f t="shared" si="49"/>
        <v>0</v>
      </c>
      <c r="H158" s="11">
        <f t="shared" si="49"/>
        <v>0</v>
      </c>
      <c r="I158" s="11">
        <f t="shared" si="49"/>
        <v>0</v>
      </c>
      <c r="J158" s="11">
        <f t="shared" si="49"/>
        <v>0</v>
      </c>
      <c r="K158" s="11">
        <f t="shared" si="49"/>
        <v>0</v>
      </c>
      <c r="L158" s="9">
        <f t="shared" si="48"/>
        <v>0</v>
      </c>
    </row>
    <row r="159" spans="1:12" ht="16.2">
      <c r="A159" s="10" t="s">
        <v>46</v>
      </c>
      <c r="B159" s="11">
        <f t="shared" ref="B159:K159" si="50">IFERROR(ROUNDDOWN(B157*($B$153/100), 0), 0)</f>
        <v>0</v>
      </c>
      <c r="C159" s="11">
        <f t="shared" si="50"/>
        <v>0</v>
      </c>
      <c r="D159" s="11">
        <f t="shared" si="50"/>
        <v>0</v>
      </c>
      <c r="E159" s="11">
        <f t="shared" si="50"/>
        <v>0</v>
      </c>
      <c r="F159" s="11">
        <f t="shared" si="50"/>
        <v>0</v>
      </c>
      <c r="G159" s="11">
        <f t="shared" si="50"/>
        <v>0</v>
      </c>
      <c r="H159" s="11">
        <f t="shared" si="50"/>
        <v>0</v>
      </c>
      <c r="I159" s="11">
        <f t="shared" si="50"/>
        <v>0</v>
      </c>
      <c r="J159" s="11">
        <f t="shared" si="50"/>
        <v>0</v>
      </c>
      <c r="K159" s="11">
        <f t="shared" si="50"/>
        <v>0</v>
      </c>
      <c r="L159" s="9">
        <f t="shared" si="48"/>
        <v>0</v>
      </c>
    </row>
    <row r="160" spans="1:12" ht="16.2">
      <c r="A160" s="10" t="s">
        <v>47</v>
      </c>
      <c r="B160" s="11">
        <f t="shared" ref="B160:K160" si="51">IFERROR(ROUNDDOWN(B157*($C$153/100), 0), 0)</f>
        <v>0</v>
      </c>
      <c r="C160" s="11">
        <f t="shared" si="51"/>
        <v>0</v>
      </c>
      <c r="D160" s="11">
        <f t="shared" si="51"/>
        <v>0</v>
      </c>
      <c r="E160" s="11">
        <f t="shared" si="51"/>
        <v>0</v>
      </c>
      <c r="F160" s="11">
        <f t="shared" si="51"/>
        <v>0</v>
      </c>
      <c r="G160" s="11">
        <f t="shared" si="51"/>
        <v>0</v>
      </c>
      <c r="H160" s="11">
        <f t="shared" si="51"/>
        <v>0</v>
      </c>
      <c r="I160" s="11">
        <f t="shared" si="51"/>
        <v>0</v>
      </c>
      <c r="J160" s="11">
        <f t="shared" si="51"/>
        <v>0</v>
      </c>
      <c r="K160" s="11">
        <f t="shared" si="51"/>
        <v>0</v>
      </c>
      <c r="L160" s="9">
        <f t="shared" si="48"/>
        <v>0</v>
      </c>
    </row>
    <row r="161" spans="1:12" ht="16.2">
      <c r="A161" s="10" t="s">
        <v>48</v>
      </c>
      <c r="B161" s="11">
        <f t="shared" ref="B161:K161" si="52">IFERROR(ROUNDDOWN(B157*($D$153/100), 0), 0)</f>
        <v>0</v>
      </c>
      <c r="C161" s="11">
        <f t="shared" si="52"/>
        <v>0</v>
      </c>
      <c r="D161" s="11">
        <f t="shared" si="52"/>
        <v>0</v>
      </c>
      <c r="E161" s="11">
        <f t="shared" si="52"/>
        <v>0</v>
      </c>
      <c r="F161" s="11">
        <f t="shared" si="52"/>
        <v>0</v>
      </c>
      <c r="G161" s="11">
        <f t="shared" si="52"/>
        <v>0</v>
      </c>
      <c r="H161" s="11">
        <f t="shared" si="52"/>
        <v>0</v>
      </c>
      <c r="I161" s="11">
        <f t="shared" si="52"/>
        <v>0</v>
      </c>
      <c r="J161" s="11">
        <f t="shared" si="52"/>
        <v>0</v>
      </c>
      <c r="K161" s="11">
        <f t="shared" si="52"/>
        <v>0</v>
      </c>
      <c r="L161" s="9">
        <f t="shared" si="48"/>
        <v>0</v>
      </c>
    </row>
    <row r="162" spans="1:12" ht="16.2">
      <c r="A162" s="10" t="s">
        <v>49</v>
      </c>
      <c r="B162" s="11">
        <f t="shared" ref="B162:K162" si="53">IFERROR(B157-SUM(B158:B161), 0)</f>
        <v>0</v>
      </c>
      <c r="C162" s="11">
        <f t="shared" si="53"/>
        <v>0</v>
      </c>
      <c r="D162" s="11">
        <f t="shared" si="53"/>
        <v>0</v>
      </c>
      <c r="E162" s="11">
        <f t="shared" si="53"/>
        <v>0</v>
      </c>
      <c r="F162" s="11">
        <f t="shared" si="53"/>
        <v>0</v>
      </c>
      <c r="G162" s="11">
        <f t="shared" si="53"/>
        <v>0</v>
      </c>
      <c r="H162" s="11">
        <f t="shared" si="53"/>
        <v>0</v>
      </c>
      <c r="I162" s="11">
        <f t="shared" si="53"/>
        <v>0</v>
      </c>
      <c r="J162" s="11">
        <f t="shared" si="53"/>
        <v>0</v>
      </c>
      <c r="K162" s="11">
        <f t="shared" si="53"/>
        <v>0</v>
      </c>
      <c r="L162" s="9">
        <f t="shared" si="48"/>
        <v>0</v>
      </c>
    </row>
    <row r="165" spans="1:12" ht="17.399999999999999">
      <c r="A165" s="25" t="s">
        <v>59</v>
      </c>
      <c r="B165" s="23"/>
      <c r="C165" s="24"/>
      <c r="D165" s="23"/>
      <c r="E165" s="23"/>
      <c r="F165" s="23"/>
      <c r="G165" s="23"/>
      <c r="H165" s="23"/>
      <c r="I165" s="23"/>
      <c r="J165" s="23"/>
      <c r="K165" s="23"/>
      <c r="L165" s="23"/>
    </row>
    <row r="166" spans="1:12" ht="16.2">
      <c r="A166" s="3" t="s">
        <v>7</v>
      </c>
      <c r="B166" s="4"/>
      <c r="C166" s="3" t="s">
        <v>85</v>
      </c>
      <c r="D166" s="4"/>
      <c r="E166" s="3" t="s">
        <v>86</v>
      </c>
      <c r="F166" s="4"/>
      <c r="G166" s="6"/>
      <c r="H166" s="6"/>
      <c r="I166" s="6"/>
      <c r="J166" s="6"/>
      <c r="K166" s="6"/>
      <c r="L166" s="6"/>
    </row>
    <row r="167" spans="1:12">
      <c r="A167" s="22" t="s">
        <v>8</v>
      </c>
      <c r="B167" s="23"/>
      <c r="C167" s="23"/>
      <c r="D167" s="23"/>
      <c r="E167" s="22" t="s">
        <v>9</v>
      </c>
      <c r="F167" s="23"/>
      <c r="G167" s="22" t="s">
        <v>10</v>
      </c>
      <c r="H167" s="23"/>
      <c r="I167" s="23"/>
      <c r="J167" s="23"/>
      <c r="K167" s="6"/>
      <c r="L167" s="6"/>
    </row>
    <row r="168" spans="1:12" ht="16.2">
      <c r="A168" s="5" t="s">
        <v>11</v>
      </c>
      <c r="B168" s="5" t="s">
        <v>12</v>
      </c>
      <c r="C168" s="5" t="s">
        <v>13</v>
      </c>
      <c r="D168" s="5" t="s">
        <v>14</v>
      </c>
      <c r="E168" s="5" t="s">
        <v>15</v>
      </c>
      <c r="F168" s="5" t="s">
        <v>16</v>
      </c>
      <c r="G168" s="5" t="s">
        <v>17</v>
      </c>
      <c r="H168" s="5" t="s">
        <v>18</v>
      </c>
      <c r="I168" s="5" t="s">
        <v>19</v>
      </c>
      <c r="J168" s="5" t="s">
        <v>20</v>
      </c>
      <c r="K168" s="6"/>
      <c r="L168" s="6"/>
    </row>
    <row r="169" spans="1:12">
      <c r="A169" s="7"/>
      <c r="B169" s="7"/>
      <c r="C169" s="7"/>
      <c r="D169" s="7"/>
      <c r="E169" s="7"/>
      <c r="F169" s="7"/>
      <c r="G169" s="7"/>
      <c r="H169" s="7"/>
      <c r="I169" s="7"/>
      <c r="J169" s="7"/>
      <c r="K169" s="6"/>
      <c r="L169" s="6"/>
    </row>
    <row r="171" spans="1:12" ht="16.2">
      <c r="A171" s="5" t="s">
        <v>21</v>
      </c>
      <c r="B171" s="5" t="s">
        <v>22</v>
      </c>
      <c r="C171" s="5" t="s">
        <v>23</v>
      </c>
      <c r="D171" s="5" t="s">
        <v>24</v>
      </c>
      <c r="E171" s="5" t="s">
        <v>25</v>
      </c>
      <c r="F171" s="5" t="s">
        <v>26</v>
      </c>
      <c r="G171" s="5" t="s">
        <v>27</v>
      </c>
      <c r="H171" s="5" t="s">
        <v>28</v>
      </c>
      <c r="I171" s="5" t="s">
        <v>29</v>
      </c>
      <c r="J171" s="5" t="s">
        <v>30</v>
      </c>
      <c r="K171" s="5" t="s">
        <v>31</v>
      </c>
      <c r="L171" s="5" t="s">
        <v>32</v>
      </c>
    </row>
    <row r="172" spans="1:12" ht="16.2">
      <c r="A172" s="5" t="s">
        <v>33</v>
      </c>
      <c r="B172" s="5" t="s">
        <v>34</v>
      </c>
      <c r="C172" s="5" t="s">
        <v>35</v>
      </c>
      <c r="D172" s="5" t="s">
        <v>36</v>
      </c>
      <c r="E172" s="5" t="s">
        <v>37</v>
      </c>
      <c r="F172" s="5" t="s">
        <v>38</v>
      </c>
      <c r="G172" s="5" t="s">
        <v>39</v>
      </c>
      <c r="H172" s="5" t="s">
        <v>40</v>
      </c>
      <c r="I172" s="5" t="s">
        <v>41</v>
      </c>
      <c r="J172" s="5" t="s">
        <v>42</v>
      </c>
      <c r="K172" s="5" t="s">
        <v>43</v>
      </c>
      <c r="L172" s="5"/>
    </row>
    <row r="173" spans="1:12" ht="16.2">
      <c r="A173" s="5" t="s">
        <v>44</v>
      </c>
      <c r="B173" s="8"/>
      <c r="C173" s="8"/>
      <c r="D173" s="8"/>
      <c r="E173" s="8"/>
      <c r="F173" s="8"/>
      <c r="G173" s="8"/>
      <c r="H173" s="8"/>
      <c r="I173" s="8"/>
      <c r="J173" s="8"/>
      <c r="K173" s="8"/>
      <c r="L173" s="9">
        <f t="shared" ref="L173:L178" si="54">SUM(B173:K173)</f>
        <v>0</v>
      </c>
    </row>
    <row r="174" spans="1:12" ht="16.2">
      <c r="A174" s="10" t="s">
        <v>45</v>
      </c>
      <c r="B174" s="11">
        <f t="shared" ref="B174:K174" si="55">IFERROR(ROUNDDOWN(B173*($A$169/100), 0), 0)</f>
        <v>0</v>
      </c>
      <c r="C174" s="11">
        <f t="shared" si="55"/>
        <v>0</v>
      </c>
      <c r="D174" s="11">
        <f t="shared" si="55"/>
        <v>0</v>
      </c>
      <c r="E174" s="11">
        <f t="shared" si="55"/>
        <v>0</v>
      </c>
      <c r="F174" s="11">
        <f t="shared" si="55"/>
        <v>0</v>
      </c>
      <c r="G174" s="11">
        <f t="shared" si="55"/>
        <v>0</v>
      </c>
      <c r="H174" s="11">
        <f t="shared" si="55"/>
        <v>0</v>
      </c>
      <c r="I174" s="11">
        <f t="shared" si="55"/>
        <v>0</v>
      </c>
      <c r="J174" s="11">
        <f t="shared" si="55"/>
        <v>0</v>
      </c>
      <c r="K174" s="11">
        <f t="shared" si="55"/>
        <v>0</v>
      </c>
      <c r="L174" s="9">
        <f t="shared" si="54"/>
        <v>0</v>
      </c>
    </row>
    <row r="175" spans="1:12" ht="16.2">
      <c r="A175" s="10" t="s">
        <v>46</v>
      </c>
      <c r="B175" s="11">
        <f t="shared" ref="B175:K175" si="56">IFERROR(ROUNDDOWN(B173*($B$169/100), 0), 0)</f>
        <v>0</v>
      </c>
      <c r="C175" s="11">
        <f t="shared" si="56"/>
        <v>0</v>
      </c>
      <c r="D175" s="11">
        <f t="shared" si="56"/>
        <v>0</v>
      </c>
      <c r="E175" s="11">
        <f t="shared" si="56"/>
        <v>0</v>
      </c>
      <c r="F175" s="11">
        <f t="shared" si="56"/>
        <v>0</v>
      </c>
      <c r="G175" s="11">
        <f t="shared" si="56"/>
        <v>0</v>
      </c>
      <c r="H175" s="11">
        <f t="shared" si="56"/>
        <v>0</v>
      </c>
      <c r="I175" s="11">
        <f t="shared" si="56"/>
        <v>0</v>
      </c>
      <c r="J175" s="11">
        <f t="shared" si="56"/>
        <v>0</v>
      </c>
      <c r="K175" s="11">
        <f t="shared" si="56"/>
        <v>0</v>
      </c>
      <c r="L175" s="9">
        <f t="shared" si="54"/>
        <v>0</v>
      </c>
    </row>
    <row r="176" spans="1:12" ht="16.2">
      <c r="A176" s="10" t="s">
        <v>47</v>
      </c>
      <c r="B176" s="11">
        <f t="shared" ref="B176:K176" si="57">IFERROR(ROUNDDOWN(B173*($C$169/100), 0), 0)</f>
        <v>0</v>
      </c>
      <c r="C176" s="11">
        <f t="shared" si="57"/>
        <v>0</v>
      </c>
      <c r="D176" s="11">
        <f t="shared" si="57"/>
        <v>0</v>
      </c>
      <c r="E176" s="11">
        <f t="shared" si="57"/>
        <v>0</v>
      </c>
      <c r="F176" s="11">
        <f t="shared" si="57"/>
        <v>0</v>
      </c>
      <c r="G176" s="11">
        <f t="shared" si="57"/>
        <v>0</v>
      </c>
      <c r="H176" s="11">
        <f t="shared" si="57"/>
        <v>0</v>
      </c>
      <c r="I176" s="11">
        <f t="shared" si="57"/>
        <v>0</v>
      </c>
      <c r="J176" s="11">
        <f t="shared" si="57"/>
        <v>0</v>
      </c>
      <c r="K176" s="11">
        <f t="shared" si="57"/>
        <v>0</v>
      </c>
      <c r="L176" s="9">
        <f t="shared" si="54"/>
        <v>0</v>
      </c>
    </row>
    <row r="177" spans="1:12" ht="16.2">
      <c r="A177" s="10" t="s">
        <v>48</v>
      </c>
      <c r="B177" s="11">
        <f t="shared" ref="B177:K177" si="58">IFERROR(ROUNDDOWN(B173*($D$169/100), 0), 0)</f>
        <v>0</v>
      </c>
      <c r="C177" s="11">
        <f t="shared" si="58"/>
        <v>0</v>
      </c>
      <c r="D177" s="11">
        <f t="shared" si="58"/>
        <v>0</v>
      </c>
      <c r="E177" s="11">
        <f t="shared" si="58"/>
        <v>0</v>
      </c>
      <c r="F177" s="11">
        <f t="shared" si="58"/>
        <v>0</v>
      </c>
      <c r="G177" s="11">
        <f t="shared" si="58"/>
        <v>0</v>
      </c>
      <c r="H177" s="11">
        <f t="shared" si="58"/>
        <v>0</v>
      </c>
      <c r="I177" s="11">
        <f t="shared" si="58"/>
        <v>0</v>
      </c>
      <c r="J177" s="11">
        <f t="shared" si="58"/>
        <v>0</v>
      </c>
      <c r="K177" s="11">
        <f t="shared" si="58"/>
        <v>0</v>
      </c>
      <c r="L177" s="9">
        <f t="shared" si="54"/>
        <v>0</v>
      </c>
    </row>
    <row r="178" spans="1:12" ht="16.2">
      <c r="A178" s="10" t="s">
        <v>49</v>
      </c>
      <c r="B178" s="11">
        <f t="shared" ref="B178:K178" si="59">IFERROR(B173-SUM(B174:B177), 0)</f>
        <v>0</v>
      </c>
      <c r="C178" s="11">
        <f t="shared" si="59"/>
        <v>0</v>
      </c>
      <c r="D178" s="11">
        <f t="shared" si="59"/>
        <v>0</v>
      </c>
      <c r="E178" s="11">
        <f t="shared" si="59"/>
        <v>0</v>
      </c>
      <c r="F178" s="11">
        <f t="shared" si="59"/>
        <v>0</v>
      </c>
      <c r="G178" s="11">
        <f t="shared" si="59"/>
        <v>0</v>
      </c>
      <c r="H178" s="11">
        <f t="shared" si="59"/>
        <v>0</v>
      </c>
      <c r="I178" s="11">
        <f t="shared" si="59"/>
        <v>0</v>
      </c>
      <c r="J178" s="11">
        <f t="shared" si="59"/>
        <v>0</v>
      </c>
      <c r="K178" s="11">
        <f t="shared" si="59"/>
        <v>0</v>
      </c>
      <c r="L178" s="9">
        <f t="shared" si="54"/>
        <v>0</v>
      </c>
    </row>
    <row r="181" spans="1:12" ht="17.399999999999999">
      <c r="A181" s="25" t="s">
        <v>60</v>
      </c>
      <c r="B181" s="23"/>
      <c r="C181" s="24"/>
      <c r="D181" s="23"/>
      <c r="E181" s="23"/>
      <c r="F181" s="23"/>
      <c r="G181" s="23"/>
      <c r="H181" s="23"/>
      <c r="I181" s="23"/>
      <c r="J181" s="23"/>
      <c r="K181" s="23"/>
      <c r="L181" s="23"/>
    </row>
    <row r="182" spans="1:12" ht="16.2">
      <c r="A182" s="3" t="s">
        <v>7</v>
      </c>
      <c r="B182" s="4"/>
      <c r="C182" s="3" t="s">
        <v>85</v>
      </c>
      <c r="D182" s="4"/>
      <c r="E182" s="3" t="s">
        <v>86</v>
      </c>
      <c r="F182" s="4"/>
      <c r="G182" s="6"/>
      <c r="H182" s="6"/>
      <c r="I182" s="6"/>
      <c r="J182" s="6"/>
      <c r="K182" s="6"/>
      <c r="L182" s="6"/>
    </row>
    <row r="183" spans="1:12">
      <c r="A183" s="22" t="s">
        <v>8</v>
      </c>
      <c r="B183" s="23"/>
      <c r="C183" s="23"/>
      <c r="D183" s="23"/>
      <c r="E183" s="22" t="s">
        <v>9</v>
      </c>
      <c r="F183" s="23"/>
      <c r="G183" s="22" t="s">
        <v>10</v>
      </c>
      <c r="H183" s="23"/>
      <c r="I183" s="23"/>
      <c r="J183" s="23"/>
      <c r="K183" s="6"/>
      <c r="L183" s="6"/>
    </row>
    <row r="184" spans="1:12" ht="16.2">
      <c r="A184" s="5" t="s">
        <v>11</v>
      </c>
      <c r="B184" s="5" t="s">
        <v>12</v>
      </c>
      <c r="C184" s="5" t="s">
        <v>13</v>
      </c>
      <c r="D184" s="5" t="s">
        <v>14</v>
      </c>
      <c r="E184" s="5" t="s">
        <v>15</v>
      </c>
      <c r="F184" s="5" t="s">
        <v>16</v>
      </c>
      <c r="G184" s="5" t="s">
        <v>17</v>
      </c>
      <c r="H184" s="5" t="s">
        <v>18</v>
      </c>
      <c r="I184" s="5" t="s">
        <v>19</v>
      </c>
      <c r="J184" s="5" t="s">
        <v>20</v>
      </c>
      <c r="K184" s="6"/>
      <c r="L184" s="6"/>
    </row>
    <row r="185" spans="1:12">
      <c r="A185" s="7"/>
      <c r="B185" s="7"/>
      <c r="C185" s="7"/>
      <c r="D185" s="7"/>
      <c r="E185" s="7"/>
      <c r="F185" s="7"/>
      <c r="G185" s="7"/>
      <c r="H185" s="7"/>
      <c r="I185" s="7"/>
      <c r="J185" s="7"/>
      <c r="K185" s="6"/>
      <c r="L185" s="6"/>
    </row>
    <row r="187" spans="1:12" ht="16.2">
      <c r="A187" s="5" t="s">
        <v>21</v>
      </c>
      <c r="B187" s="5" t="s">
        <v>22</v>
      </c>
      <c r="C187" s="5" t="s">
        <v>23</v>
      </c>
      <c r="D187" s="5" t="s">
        <v>24</v>
      </c>
      <c r="E187" s="5" t="s">
        <v>25</v>
      </c>
      <c r="F187" s="5" t="s">
        <v>26</v>
      </c>
      <c r="G187" s="5" t="s">
        <v>27</v>
      </c>
      <c r="H187" s="5" t="s">
        <v>28</v>
      </c>
      <c r="I187" s="5" t="s">
        <v>29</v>
      </c>
      <c r="J187" s="5" t="s">
        <v>30</v>
      </c>
      <c r="K187" s="5" t="s">
        <v>31</v>
      </c>
      <c r="L187" s="5" t="s">
        <v>32</v>
      </c>
    </row>
    <row r="188" spans="1:12" ht="16.2">
      <c r="A188" s="5" t="s">
        <v>33</v>
      </c>
      <c r="B188" s="5" t="s">
        <v>34</v>
      </c>
      <c r="C188" s="5" t="s">
        <v>35</v>
      </c>
      <c r="D188" s="5" t="s">
        <v>36</v>
      </c>
      <c r="E188" s="5" t="s">
        <v>37</v>
      </c>
      <c r="F188" s="5" t="s">
        <v>38</v>
      </c>
      <c r="G188" s="5" t="s">
        <v>39</v>
      </c>
      <c r="H188" s="5" t="s">
        <v>40</v>
      </c>
      <c r="I188" s="5" t="s">
        <v>41</v>
      </c>
      <c r="J188" s="5" t="s">
        <v>42</v>
      </c>
      <c r="K188" s="5" t="s">
        <v>43</v>
      </c>
      <c r="L188" s="5"/>
    </row>
    <row r="189" spans="1:12" ht="16.2">
      <c r="A189" s="5" t="s">
        <v>44</v>
      </c>
      <c r="B189" s="8"/>
      <c r="C189" s="8"/>
      <c r="D189" s="8"/>
      <c r="E189" s="8"/>
      <c r="F189" s="8"/>
      <c r="G189" s="8"/>
      <c r="H189" s="8"/>
      <c r="I189" s="8"/>
      <c r="J189" s="8"/>
      <c r="K189" s="8"/>
      <c r="L189" s="9">
        <f t="shared" ref="L189:L194" si="60">SUM(B189:K189)</f>
        <v>0</v>
      </c>
    </row>
    <row r="190" spans="1:12" ht="16.2">
      <c r="A190" s="10" t="s">
        <v>45</v>
      </c>
      <c r="B190" s="11">
        <f t="shared" ref="B190:K190" si="61">IFERROR(ROUNDDOWN(B189*($A$185/100), 0), 0)</f>
        <v>0</v>
      </c>
      <c r="C190" s="11">
        <f t="shared" si="61"/>
        <v>0</v>
      </c>
      <c r="D190" s="11">
        <f t="shared" si="61"/>
        <v>0</v>
      </c>
      <c r="E190" s="11">
        <f t="shared" si="61"/>
        <v>0</v>
      </c>
      <c r="F190" s="11">
        <f t="shared" si="61"/>
        <v>0</v>
      </c>
      <c r="G190" s="11">
        <f t="shared" si="61"/>
        <v>0</v>
      </c>
      <c r="H190" s="11">
        <f t="shared" si="61"/>
        <v>0</v>
      </c>
      <c r="I190" s="11">
        <f t="shared" si="61"/>
        <v>0</v>
      </c>
      <c r="J190" s="11">
        <f t="shared" si="61"/>
        <v>0</v>
      </c>
      <c r="K190" s="11">
        <f t="shared" si="61"/>
        <v>0</v>
      </c>
      <c r="L190" s="9">
        <f t="shared" si="60"/>
        <v>0</v>
      </c>
    </row>
    <row r="191" spans="1:12" ht="16.2">
      <c r="A191" s="10" t="s">
        <v>46</v>
      </c>
      <c r="B191" s="11">
        <f t="shared" ref="B191:K191" si="62">IFERROR(ROUNDDOWN(B189*($B$185/100), 0), 0)</f>
        <v>0</v>
      </c>
      <c r="C191" s="11">
        <f t="shared" si="62"/>
        <v>0</v>
      </c>
      <c r="D191" s="11">
        <f t="shared" si="62"/>
        <v>0</v>
      </c>
      <c r="E191" s="11">
        <f t="shared" si="62"/>
        <v>0</v>
      </c>
      <c r="F191" s="11">
        <f t="shared" si="62"/>
        <v>0</v>
      </c>
      <c r="G191" s="11">
        <f t="shared" si="62"/>
        <v>0</v>
      </c>
      <c r="H191" s="11">
        <f t="shared" si="62"/>
        <v>0</v>
      </c>
      <c r="I191" s="11">
        <f t="shared" si="62"/>
        <v>0</v>
      </c>
      <c r="J191" s="11">
        <f t="shared" si="62"/>
        <v>0</v>
      </c>
      <c r="K191" s="11">
        <f t="shared" si="62"/>
        <v>0</v>
      </c>
      <c r="L191" s="9">
        <f t="shared" si="60"/>
        <v>0</v>
      </c>
    </row>
    <row r="192" spans="1:12" ht="16.2">
      <c r="A192" s="10" t="s">
        <v>47</v>
      </c>
      <c r="B192" s="11">
        <f t="shared" ref="B192:K192" si="63">IFERROR(ROUNDDOWN(B189*($C$185/100), 0), 0)</f>
        <v>0</v>
      </c>
      <c r="C192" s="11">
        <f t="shared" si="63"/>
        <v>0</v>
      </c>
      <c r="D192" s="11">
        <f t="shared" si="63"/>
        <v>0</v>
      </c>
      <c r="E192" s="11">
        <f t="shared" si="63"/>
        <v>0</v>
      </c>
      <c r="F192" s="11">
        <f t="shared" si="63"/>
        <v>0</v>
      </c>
      <c r="G192" s="11">
        <f t="shared" si="63"/>
        <v>0</v>
      </c>
      <c r="H192" s="11">
        <f t="shared" si="63"/>
        <v>0</v>
      </c>
      <c r="I192" s="11">
        <f t="shared" si="63"/>
        <v>0</v>
      </c>
      <c r="J192" s="11">
        <f t="shared" si="63"/>
        <v>0</v>
      </c>
      <c r="K192" s="11">
        <f t="shared" si="63"/>
        <v>0</v>
      </c>
      <c r="L192" s="9">
        <f t="shared" si="60"/>
        <v>0</v>
      </c>
    </row>
    <row r="193" spans="1:12" ht="16.2">
      <c r="A193" s="10" t="s">
        <v>48</v>
      </c>
      <c r="B193" s="11">
        <f t="shared" ref="B193:K193" si="64">IFERROR(ROUNDDOWN(B189*($D$185/100), 0), 0)</f>
        <v>0</v>
      </c>
      <c r="C193" s="11">
        <f t="shared" si="64"/>
        <v>0</v>
      </c>
      <c r="D193" s="11">
        <f t="shared" si="64"/>
        <v>0</v>
      </c>
      <c r="E193" s="11">
        <f t="shared" si="64"/>
        <v>0</v>
      </c>
      <c r="F193" s="11">
        <f t="shared" si="64"/>
        <v>0</v>
      </c>
      <c r="G193" s="11">
        <f t="shared" si="64"/>
        <v>0</v>
      </c>
      <c r="H193" s="11">
        <f t="shared" si="64"/>
        <v>0</v>
      </c>
      <c r="I193" s="11">
        <f t="shared" si="64"/>
        <v>0</v>
      </c>
      <c r="J193" s="11">
        <f t="shared" si="64"/>
        <v>0</v>
      </c>
      <c r="K193" s="11">
        <f t="shared" si="64"/>
        <v>0</v>
      </c>
      <c r="L193" s="9">
        <f t="shared" si="60"/>
        <v>0</v>
      </c>
    </row>
    <row r="194" spans="1:12" ht="16.2">
      <c r="A194" s="10" t="s">
        <v>49</v>
      </c>
      <c r="B194" s="11">
        <f t="shared" ref="B194:K194" si="65">IFERROR(B189-SUM(B190:B193), 0)</f>
        <v>0</v>
      </c>
      <c r="C194" s="11">
        <f t="shared" si="65"/>
        <v>0</v>
      </c>
      <c r="D194" s="11">
        <f t="shared" si="65"/>
        <v>0</v>
      </c>
      <c r="E194" s="11">
        <f t="shared" si="65"/>
        <v>0</v>
      </c>
      <c r="F194" s="11">
        <f t="shared" si="65"/>
        <v>0</v>
      </c>
      <c r="G194" s="11">
        <f t="shared" si="65"/>
        <v>0</v>
      </c>
      <c r="H194" s="11">
        <f t="shared" si="65"/>
        <v>0</v>
      </c>
      <c r="I194" s="11">
        <f t="shared" si="65"/>
        <v>0</v>
      </c>
      <c r="J194" s="11">
        <f t="shared" si="65"/>
        <v>0</v>
      </c>
      <c r="K194" s="11">
        <f t="shared" si="65"/>
        <v>0</v>
      </c>
      <c r="L194" s="9">
        <f t="shared" si="60"/>
        <v>0</v>
      </c>
    </row>
    <row r="197" spans="1:12" ht="17.399999999999999">
      <c r="A197" s="25" t="s">
        <v>61</v>
      </c>
      <c r="B197" s="23"/>
      <c r="C197" s="24"/>
      <c r="D197" s="23"/>
      <c r="E197" s="23"/>
      <c r="F197" s="23"/>
      <c r="G197" s="23"/>
      <c r="H197" s="23"/>
      <c r="I197" s="23"/>
      <c r="J197" s="23"/>
      <c r="K197" s="23"/>
      <c r="L197" s="23"/>
    </row>
    <row r="198" spans="1:12" ht="16.2">
      <c r="A198" s="3" t="s">
        <v>7</v>
      </c>
      <c r="B198" s="4"/>
      <c r="C198" s="3" t="s">
        <v>85</v>
      </c>
      <c r="D198" s="4"/>
      <c r="E198" s="3" t="s">
        <v>86</v>
      </c>
      <c r="F198" s="4"/>
      <c r="G198" s="6"/>
      <c r="H198" s="6"/>
      <c r="I198" s="6"/>
      <c r="J198" s="6"/>
      <c r="K198" s="6"/>
      <c r="L198" s="6"/>
    </row>
    <row r="199" spans="1:12">
      <c r="A199" s="22" t="s">
        <v>8</v>
      </c>
      <c r="B199" s="23"/>
      <c r="C199" s="23"/>
      <c r="D199" s="23"/>
      <c r="E199" s="22" t="s">
        <v>9</v>
      </c>
      <c r="F199" s="23"/>
      <c r="G199" s="22" t="s">
        <v>10</v>
      </c>
      <c r="H199" s="23"/>
      <c r="I199" s="23"/>
      <c r="J199" s="23"/>
      <c r="K199" s="6"/>
      <c r="L199" s="6"/>
    </row>
    <row r="200" spans="1:12" ht="16.2">
      <c r="A200" s="5" t="s">
        <v>11</v>
      </c>
      <c r="B200" s="5" t="s">
        <v>12</v>
      </c>
      <c r="C200" s="5" t="s">
        <v>13</v>
      </c>
      <c r="D200" s="5" t="s">
        <v>14</v>
      </c>
      <c r="E200" s="5" t="s">
        <v>15</v>
      </c>
      <c r="F200" s="5" t="s">
        <v>16</v>
      </c>
      <c r="G200" s="5" t="s">
        <v>17</v>
      </c>
      <c r="H200" s="5" t="s">
        <v>18</v>
      </c>
      <c r="I200" s="5" t="s">
        <v>19</v>
      </c>
      <c r="J200" s="5" t="s">
        <v>20</v>
      </c>
      <c r="K200" s="6"/>
      <c r="L200" s="6"/>
    </row>
    <row r="201" spans="1:12">
      <c r="A201" s="7"/>
      <c r="B201" s="7"/>
      <c r="C201" s="7"/>
      <c r="D201" s="7"/>
      <c r="E201" s="7"/>
      <c r="F201" s="7"/>
      <c r="G201" s="7"/>
      <c r="H201" s="7"/>
      <c r="I201" s="7"/>
      <c r="J201" s="7"/>
      <c r="K201" s="6"/>
      <c r="L201" s="6"/>
    </row>
    <row r="203" spans="1:12" ht="16.2">
      <c r="A203" s="5" t="s">
        <v>21</v>
      </c>
      <c r="B203" s="5" t="s">
        <v>22</v>
      </c>
      <c r="C203" s="5" t="s">
        <v>23</v>
      </c>
      <c r="D203" s="5" t="s">
        <v>24</v>
      </c>
      <c r="E203" s="5" t="s">
        <v>25</v>
      </c>
      <c r="F203" s="5" t="s">
        <v>26</v>
      </c>
      <c r="G203" s="5" t="s">
        <v>27</v>
      </c>
      <c r="H203" s="5" t="s">
        <v>28</v>
      </c>
      <c r="I203" s="5" t="s">
        <v>29</v>
      </c>
      <c r="J203" s="5" t="s">
        <v>30</v>
      </c>
      <c r="K203" s="5" t="s">
        <v>31</v>
      </c>
      <c r="L203" s="5" t="s">
        <v>32</v>
      </c>
    </row>
    <row r="204" spans="1:12" ht="16.2">
      <c r="A204" s="5" t="s">
        <v>33</v>
      </c>
      <c r="B204" s="5" t="s">
        <v>34</v>
      </c>
      <c r="C204" s="5" t="s">
        <v>35</v>
      </c>
      <c r="D204" s="5" t="s">
        <v>36</v>
      </c>
      <c r="E204" s="5" t="s">
        <v>37</v>
      </c>
      <c r="F204" s="5" t="s">
        <v>38</v>
      </c>
      <c r="G204" s="5" t="s">
        <v>39</v>
      </c>
      <c r="H204" s="5" t="s">
        <v>40</v>
      </c>
      <c r="I204" s="5" t="s">
        <v>41</v>
      </c>
      <c r="J204" s="5" t="s">
        <v>42</v>
      </c>
      <c r="K204" s="5" t="s">
        <v>43</v>
      </c>
      <c r="L204" s="5"/>
    </row>
    <row r="205" spans="1:12" ht="16.2">
      <c r="A205" s="5" t="s">
        <v>44</v>
      </c>
      <c r="B205" s="8"/>
      <c r="C205" s="8"/>
      <c r="D205" s="8"/>
      <c r="E205" s="8"/>
      <c r="F205" s="8"/>
      <c r="G205" s="8"/>
      <c r="H205" s="8"/>
      <c r="I205" s="8"/>
      <c r="J205" s="8"/>
      <c r="K205" s="8"/>
      <c r="L205" s="9">
        <f t="shared" ref="L205:L210" si="66">SUM(B205:K205)</f>
        <v>0</v>
      </c>
    </row>
    <row r="206" spans="1:12" ht="16.2">
      <c r="A206" s="10" t="s">
        <v>45</v>
      </c>
      <c r="B206" s="11">
        <f t="shared" ref="B206:K206" si="67">IFERROR(ROUNDDOWN(B205*($A$201/100), 0), 0)</f>
        <v>0</v>
      </c>
      <c r="C206" s="11">
        <f t="shared" si="67"/>
        <v>0</v>
      </c>
      <c r="D206" s="11">
        <f t="shared" si="67"/>
        <v>0</v>
      </c>
      <c r="E206" s="11">
        <f t="shared" si="67"/>
        <v>0</v>
      </c>
      <c r="F206" s="11">
        <f t="shared" si="67"/>
        <v>0</v>
      </c>
      <c r="G206" s="11">
        <f t="shared" si="67"/>
        <v>0</v>
      </c>
      <c r="H206" s="11">
        <f t="shared" si="67"/>
        <v>0</v>
      </c>
      <c r="I206" s="11">
        <f t="shared" si="67"/>
        <v>0</v>
      </c>
      <c r="J206" s="11">
        <f t="shared" si="67"/>
        <v>0</v>
      </c>
      <c r="K206" s="11">
        <f t="shared" si="67"/>
        <v>0</v>
      </c>
      <c r="L206" s="9">
        <f t="shared" si="66"/>
        <v>0</v>
      </c>
    </row>
    <row r="207" spans="1:12" ht="16.2">
      <c r="A207" s="10" t="s">
        <v>46</v>
      </c>
      <c r="B207" s="11">
        <f t="shared" ref="B207:K207" si="68">IFERROR(ROUNDDOWN(B205*($B$201/100), 0), 0)</f>
        <v>0</v>
      </c>
      <c r="C207" s="11">
        <f t="shared" si="68"/>
        <v>0</v>
      </c>
      <c r="D207" s="11">
        <f t="shared" si="68"/>
        <v>0</v>
      </c>
      <c r="E207" s="11">
        <f t="shared" si="68"/>
        <v>0</v>
      </c>
      <c r="F207" s="11">
        <f t="shared" si="68"/>
        <v>0</v>
      </c>
      <c r="G207" s="11">
        <f t="shared" si="68"/>
        <v>0</v>
      </c>
      <c r="H207" s="11">
        <f t="shared" si="68"/>
        <v>0</v>
      </c>
      <c r="I207" s="11">
        <f t="shared" si="68"/>
        <v>0</v>
      </c>
      <c r="J207" s="11">
        <f t="shared" si="68"/>
        <v>0</v>
      </c>
      <c r="K207" s="11">
        <f t="shared" si="68"/>
        <v>0</v>
      </c>
      <c r="L207" s="9">
        <f t="shared" si="66"/>
        <v>0</v>
      </c>
    </row>
    <row r="208" spans="1:12" ht="16.2">
      <c r="A208" s="10" t="s">
        <v>47</v>
      </c>
      <c r="B208" s="11">
        <f t="shared" ref="B208:K208" si="69">IFERROR(ROUNDDOWN(B205*($C$201/100), 0), 0)</f>
        <v>0</v>
      </c>
      <c r="C208" s="11">
        <f t="shared" si="69"/>
        <v>0</v>
      </c>
      <c r="D208" s="11">
        <f t="shared" si="69"/>
        <v>0</v>
      </c>
      <c r="E208" s="11">
        <f t="shared" si="69"/>
        <v>0</v>
      </c>
      <c r="F208" s="11">
        <f t="shared" si="69"/>
        <v>0</v>
      </c>
      <c r="G208" s="11">
        <f t="shared" si="69"/>
        <v>0</v>
      </c>
      <c r="H208" s="11">
        <f t="shared" si="69"/>
        <v>0</v>
      </c>
      <c r="I208" s="11">
        <f t="shared" si="69"/>
        <v>0</v>
      </c>
      <c r="J208" s="11">
        <f t="shared" si="69"/>
        <v>0</v>
      </c>
      <c r="K208" s="11">
        <f t="shared" si="69"/>
        <v>0</v>
      </c>
      <c r="L208" s="9">
        <f t="shared" si="66"/>
        <v>0</v>
      </c>
    </row>
    <row r="209" spans="1:12" ht="16.2">
      <c r="A209" s="10" t="s">
        <v>48</v>
      </c>
      <c r="B209" s="11">
        <f t="shared" ref="B209:K209" si="70">IFERROR(ROUNDDOWN(B205*($D$201/100), 0), 0)</f>
        <v>0</v>
      </c>
      <c r="C209" s="11">
        <f t="shared" si="70"/>
        <v>0</v>
      </c>
      <c r="D209" s="11">
        <f t="shared" si="70"/>
        <v>0</v>
      </c>
      <c r="E209" s="11">
        <f t="shared" si="70"/>
        <v>0</v>
      </c>
      <c r="F209" s="11">
        <f t="shared" si="70"/>
        <v>0</v>
      </c>
      <c r="G209" s="11">
        <f t="shared" si="70"/>
        <v>0</v>
      </c>
      <c r="H209" s="11">
        <f t="shared" si="70"/>
        <v>0</v>
      </c>
      <c r="I209" s="11">
        <f t="shared" si="70"/>
        <v>0</v>
      </c>
      <c r="J209" s="11">
        <f t="shared" si="70"/>
        <v>0</v>
      </c>
      <c r="K209" s="11">
        <f t="shared" si="70"/>
        <v>0</v>
      </c>
      <c r="L209" s="9">
        <f t="shared" si="66"/>
        <v>0</v>
      </c>
    </row>
    <row r="210" spans="1:12" ht="16.2">
      <c r="A210" s="10" t="s">
        <v>49</v>
      </c>
      <c r="B210" s="11">
        <f t="shared" ref="B210:K210" si="71">IFERROR(B205-SUM(B206:B209), 0)</f>
        <v>0</v>
      </c>
      <c r="C210" s="11">
        <f t="shared" si="71"/>
        <v>0</v>
      </c>
      <c r="D210" s="11">
        <f t="shared" si="71"/>
        <v>0</v>
      </c>
      <c r="E210" s="11">
        <f t="shared" si="71"/>
        <v>0</v>
      </c>
      <c r="F210" s="11">
        <f t="shared" si="71"/>
        <v>0</v>
      </c>
      <c r="G210" s="11">
        <f t="shared" si="71"/>
        <v>0</v>
      </c>
      <c r="H210" s="11">
        <f t="shared" si="71"/>
        <v>0</v>
      </c>
      <c r="I210" s="11">
        <f t="shared" si="71"/>
        <v>0</v>
      </c>
      <c r="J210" s="11">
        <f t="shared" si="71"/>
        <v>0</v>
      </c>
      <c r="K210" s="11">
        <f t="shared" si="71"/>
        <v>0</v>
      </c>
      <c r="L210" s="9">
        <f t="shared" si="66"/>
        <v>0</v>
      </c>
    </row>
    <row r="213" spans="1:12" ht="17.399999999999999">
      <c r="A213" s="25" t="s">
        <v>62</v>
      </c>
      <c r="B213" s="23"/>
      <c r="C213" s="24"/>
      <c r="D213" s="23"/>
      <c r="E213" s="23"/>
      <c r="F213" s="23"/>
      <c r="G213" s="23"/>
      <c r="H213" s="23"/>
      <c r="I213" s="23"/>
      <c r="J213" s="23"/>
      <c r="K213" s="23"/>
      <c r="L213" s="23"/>
    </row>
    <row r="214" spans="1:12" ht="16.2">
      <c r="A214" s="3" t="s">
        <v>7</v>
      </c>
      <c r="B214" s="4"/>
      <c r="C214" s="3" t="s">
        <v>85</v>
      </c>
      <c r="D214" s="4"/>
      <c r="E214" s="3" t="s">
        <v>86</v>
      </c>
      <c r="F214" s="4"/>
      <c r="G214" s="6"/>
      <c r="H214" s="6"/>
      <c r="I214" s="6"/>
      <c r="J214" s="6"/>
      <c r="K214" s="6"/>
      <c r="L214" s="6"/>
    </row>
    <row r="215" spans="1:12">
      <c r="A215" s="22" t="s">
        <v>8</v>
      </c>
      <c r="B215" s="23"/>
      <c r="C215" s="23"/>
      <c r="D215" s="23"/>
      <c r="E215" s="22" t="s">
        <v>9</v>
      </c>
      <c r="F215" s="23"/>
      <c r="G215" s="22" t="s">
        <v>10</v>
      </c>
      <c r="H215" s="23"/>
      <c r="I215" s="23"/>
      <c r="J215" s="23"/>
      <c r="K215" s="6"/>
      <c r="L215" s="6"/>
    </row>
    <row r="216" spans="1:12" ht="16.2">
      <c r="A216" s="5" t="s">
        <v>11</v>
      </c>
      <c r="B216" s="5" t="s">
        <v>12</v>
      </c>
      <c r="C216" s="5" t="s">
        <v>13</v>
      </c>
      <c r="D216" s="5" t="s">
        <v>14</v>
      </c>
      <c r="E216" s="5" t="s">
        <v>15</v>
      </c>
      <c r="F216" s="5" t="s">
        <v>16</v>
      </c>
      <c r="G216" s="5" t="s">
        <v>17</v>
      </c>
      <c r="H216" s="5" t="s">
        <v>18</v>
      </c>
      <c r="I216" s="5" t="s">
        <v>19</v>
      </c>
      <c r="J216" s="5" t="s">
        <v>20</v>
      </c>
      <c r="K216" s="6"/>
      <c r="L216" s="6"/>
    </row>
    <row r="217" spans="1:12">
      <c r="A217" s="7"/>
      <c r="B217" s="7"/>
      <c r="C217" s="7"/>
      <c r="D217" s="7"/>
      <c r="E217" s="7"/>
      <c r="F217" s="7"/>
      <c r="G217" s="7"/>
      <c r="H217" s="7"/>
      <c r="I217" s="7"/>
      <c r="J217" s="7"/>
      <c r="K217" s="6"/>
      <c r="L217" s="6"/>
    </row>
    <row r="219" spans="1:12" ht="16.2">
      <c r="A219" s="5" t="s">
        <v>21</v>
      </c>
      <c r="B219" s="5" t="s">
        <v>22</v>
      </c>
      <c r="C219" s="5" t="s">
        <v>23</v>
      </c>
      <c r="D219" s="5" t="s">
        <v>24</v>
      </c>
      <c r="E219" s="5" t="s">
        <v>25</v>
      </c>
      <c r="F219" s="5" t="s">
        <v>26</v>
      </c>
      <c r="G219" s="5" t="s">
        <v>27</v>
      </c>
      <c r="H219" s="5" t="s">
        <v>28</v>
      </c>
      <c r="I219" s="5" t="s">
        <v>29</v>
      </c>
      <c r="J219" s="5" t="s">
        <v>30</v>
      </c>
      <c r="K219" s="5" t="s">
        <v>31</v>
      </c>
      <c r="L219" s="5" t="s">
        <v>32</v>
      </c>
    </row>
    <row r="220" spans="1:12" ht="16.2">
      <c r="A220" s="5" t="s">
        <v>33</v>
      </c>
      <c r="B220" s="5" t="s">
        <v>34</v>
      </c>
      <c r="C220" s="5" t="s">
        <v>35</v>
      </c>
      <c r="D220" s="5" t="s">
        <v>36</v>
      </c>
      <c r="E220" s="5" t="s">
        <v>37</v>
      </c>
      <c r="F220" s="5" t="s">
        <v>38</v>
      </c>
      <c r="G220" s="5" t="s">
        <v>39</v>
      </c>
      <c r="H220" s="5" t="s">
        <v>40</v>
      </c>
      <c r="I220" s="5" t="s">
        <v>41</v>
      </c>
      <c r="J220" s="5" t="s">
        <v>42</v>
      </c>
      <c r="K220" s="5" t="s">
        <v>43</v>
      </c>
      <c r="L220" s="5"/>
    </row>
    <row r="221" spans="1:12" ht="16.2">
      <c r="A221" s="5" t="s">
        <v>44</v>
      </c>
      <c r="B221" s="8"/>
      <c r="C221" s="8"/>
      <c r="D221" s="8"/>
      <c r="E221" s="8"/>
      <c r="F221" s="8"/>
      <c r="G221" s="8"/>
      <c r="H221" s="8"/>
      <c r="I221" s="8"/>
      <c r="J221" s="8"/>
      <c r="K221" s="8"/>
      <c r="L221" s="9">
        <f t="shared" ref="L221:L226" si="72">SUM(B221:K221)</f>
        <v>0</v>
      </c>
    </row>
    <row r="222" spans="1:12" ht="16.2">
      <c r="A222" s="10" t="s">
        <v>45</v>
      </c>
      <c r="B222" s="11">
        <f t="shared" ref="B222:K222" si="73">IFERROR(ROUNDDOWN(B221*($A$217/100), 0), 0)</f>
        <v>0</v>
      </c>
      <c r="C222" s="11">
        <f t="shared" si="73"/>
        <v>0</v>
      </c>
      <c r="D222" s="11">
        <f t="shared" si="73"/>
        <v>0</v>
      </c>
      <c r="E222" s="11">
        <f t="shared" si="73"/>
        <v>0</v>
      </c>
      <c r="F222" s="11">
        <f t="shared" si="73"/>
        <v>0</v>
      </c>
      <c r="G222" s="11">
        <f t="shared" si="73"/>
        <v>0</v>
      </c>
      <c r="H222" s="11">
        <f t="shared" si="73"/>
        <v>0</v>
      </c>
      <c r="I222" s="11">
        <f t="shared" si="73"/>
        <v>0</v>
      </c>
      <c r="J222" s="11">
        <f t="shared" si="73"/>
        <v>0</v>
      </c>
      <c r="K222" s="11">
        <f t="shared" si="73"/>
        <v>0</v>
      </c>
      <c r="L222" s="9">
        <f t="shared" si="72"/>
        <v>0</v>
      </c>
    </row>
    <row r="223" spans="1:12" ht="16.2">
      <c r="A223" s="10" t="s">
        <v>46</v>
      </c>
      <c r="B223" s="11">
        <f t="shared" ref="B223:K223" si="74">IFERROR(ROUNDDOWN(B221*($B$217/100), 0), 0)</f>
        <v>0</v>
      </c>
      <c r="C223" s="11">
        <f t="shared" si="74"/>
        <v>0</v>
      </c>
      <c r="D223" s="11">
        <f t="shared" si="74"/>
        <v>0</v>
      </c>
      <c r="E223" s="11">
        <f t="shared" si="74"/>
        <v>0</v>
      </c>
      <c r="F223" s="11">
        <f t="shared" si="74"/>
        <v>0</v>
      </c>
      <c r="G223" s="11">
        <f t="shared" si="74"/>
        <v>0</v>
      </c>
      <c r="H223" s="11">
        <f t="shared" si="74"/>
        <v>0</v>
      </c>
      <c r="I223" s="11">
        <f t="shared" si="74"/>
        <v>0</v>
      </c>
      <c r="J223" s="11">
        <f t="shared" si="74"/>
        <v>0</v>
      </c>
      <c r="K223" s="11">
        <f t="shared" si="74"/>
        <v>0</v>
      </c>
      <c r="L223" s="9">
        <f t="shared" si="72"/>
        <v>0</v>
      </c>
    </row>
    <row r="224" spans="1:12" ht="16.2">
      <c r="A224" s="10" t="s">
        <v>47</v>
      </c>
      <c r="B224" s="11">
        <f t="shared" ref="B224:K224" si="75">IFERROR(ROUNDDOWN(B221*($C$217/100), 0), 0)</f>
        <v>0</v>
      </c>
      <c r="C224" s="11">
        <f t="shared" si="75"/>
        <v>0</v>
      </c>
      <c r="D224" s="11">
        <f t="shared" si="75"/>
        <v>0</v>
      </c>
      <c r="E224" s="11">
        <f t="shared" si="75"/>
        <v>0</v>
      </c>
      <c r="F224" s="11">
        <f t="shared" si="75"/>
        <v>0</v>
      </c>
      <c r="G224" s="11">
        <f t="shared" si="75"/>
        <v>0</v>
      </c>
      <c r="H224" s="11">
        <f t="shared" si="75"/>
        <v>0</v>
      </c>
      <c r="I224" s="11">
        <f t="shared" si="75"/>
        <v>0</v>
      </c>
      <c r="J224" s="11">
        <f t="shared" si="75"/>
        <v>0</v>
      </c>
      <c r="K224" s="11">
        <f t="shared" si="75"/>
        <v>0</v>
      </c>
      <c r="L224" s="9">
        <f t="shared" si="72"/>
        <v>0</v>
      </c>
    </row>
    <row r="225" spans="1:12" ht="16.2">
      <c r="A225" s="10" t="s">
        <v>48</v>
      </c>
      <c r="B225" s="11">
        <f t="shared" ref="B225:K225" si="76">IFERROR(ROUNDDOWN(B221*($D$217/100), 0), 0)</f>
        <v>0</v>
      </c>
      <c r="C225" s="11">
        <f t="shared" si="76"/>
        <v>0</v>
      </c>
      <c r="D225" s="11">
        <f t="shared" si="76"/>
        <v>0</v>
      </c>
      <c r="E225" s="11">
        <f t="shared" si="76"/>
        <v>0</v>
      </c>
      <c r="F225" s="11">
        <f t="shared" si="76"/>
        <v>0</v>
      </c>
      <c r="G225" s="11">
        <f t="shared" si="76"/>
        <v>0</v>
      </c>
      <c r="H225" s="11">
        <f t="shared" si="76"/>
        <v>0</v>
      </c>
      <c r="I225" s="11">
        <f t="shared" si="76"/>
        <v>0</v>
      </c>
      <c r="J225" s="11">
        <f t="shared" si="76"/>
        <v>0</v>
      </c>
      <c r="K225" s="11">
        <f t="shared" si="76"/>
        <v>0</v>
      </c>
      <c r="L225" s="9">
        <f t="shared" si="72"/>
        <v>0</v>
      </c>
    </row>
    <row r="226" spans="1:12" ht="16.2">
      <c r="A226" s="10" t="s">
        <v>49</v>
      </c>
      <c r="B226" s="11">
        <f t="shared" ref="B226:K226" si="77">IFERROR(B221-SUM(B222:B225), 0)</f>
        <v>0</v>
      </c>
      <c r="C226" s="11">
        <f t="shared" si="77"/>
        <v>0</v>
      </c>
      <c r="D226" s="11">
        <f t="shared" si="77"/>
        <v>0</v>
      </c>
      <c r="E226" s="11">
        <f t="shared" si="77"/>
        <v>0</v>
      </c>
      <c r="F226" s="11">
        <f t="shared" si="77"/>
        <v>0</v>
      </c>
      <c r="G226" s="11">
        <f t="shared" si="77"/>
        <v>0</v>
      </c>
      <c r="H226" s="11">
        <f t="shared" si="77"/>
        <v>0</v>
      </c>
      <c r="I226" s="11">
        <f t="shared" si="77"/>
        <v>0</v>
      </c>
      <c r="J226" s="11">
        <f t="shared" si="77"/>
        <v>0</v>
      </c>
      <c r="K226" s="11">
        <f t="shared" si="77"/>
        <v>0</v>
      </c>
      <c r="L226" s="9">
        <f t="shared" si="72"/>
        <v>0</v>
      </c>
    </row>
    <row r="229" spans="1:12" ht="17.399999999999999">
      <c r="A229" s="25" t="s">
        <v>63</v>
      </c>
      <c r="B229" s="23"/>
      <c r="C229" s="24"/>
      <c r="D229" s="23"/>
      <c r="E229" s="23"/>
      <c r="F229" s="23"/>
      <c r="G229" s="23"/>
      <c r="H229" s="23"/>
      <c r="I229" s="23"/>
      <c r="J229" s="23"/>
      <c r="K229" s="23"/>
      <c r="L229" s="23"/>
    </row>
    <row r="230" spans="1:12" ht="16.2">
      <c r="A230" s="3" t="s">
        <v>7</v>
      </c>
      <c r="B230" s="4"/>
      <c r="C230" s="3" t="s">
        <v>85</v>
      </c>
      <c r="D230" s="4"/>
      <c r="E230" s="3" t="s">
        <v>86</v>
      </c>
      <c r="F230" s="4"/>
      <c r="G230" s="6"/>
      <c r="H230" s="6"/>
      <c r="I230" s="6"/>
      <c r="J230" s="6"/>
      <c r="K230" s="6"/>
      <c r="L230" s="6"/>
    </row>
    <row r="231" spans="1:12">
      <c r="A231" s="22" t="s">
        <v>8</v>
      </c>
      <c r="B231" s="23"/>
      <c r="C231" s="23"/>
      <c r="D231" s="23"/>
      <c r="E231" s="22" t="s">
        <v>9</v>
      </c>
      <c r="F231" s="23"/>
      <c r="G231" s="22" t="s">
        <v>10</v>
      </c>
      <c r="H231" s="23"/>
      <c r="I231" s="23"/>
      <c r="J231" s="23"/>
      <c r="K231" s="6"/>
      <c r="L231" s="6"/>
    </row>
    <row r="232" spans="1:12" ht="16.2">
      <c r="A232" s="5" t="s">
        <v>11</v>
      </c>
      <c r="B232" s="5" t="s">
        <v>12</v>
      </c>
      <c r="C232" s="5" t="s">
        <v>13</v>
      </c>
      <c r="D232" s="5" t="s">
        <v>14</v>
      </c>
      <c r="E232" s="5" t="s">
        <v>15</v>
      </c>
      <c r="F232" s="5" t="s">
        <v>16</v>
      </c>
      <c r="G232" s="5" t="s">
        <v>17</v>
      </c>
      <c r="H232" s="5" t="s">
        <v>18</v>
      </c>
      <c r="I232" s="5" t="s">
        <v>19</v>
      </c>
      <c r="J232" s="5" t="s">
        <v>20</v>
      </c>
      <c r="K232" s="6"/>
      <c r="L232" s="6"/>
    </row>
    <row r="233" spans="1:12">
      <c r="A233" s="7"/>
      <c r="B233" s="7"/>
      <c r="C233" s="7"/>
      <c r="D233" s="7"/>
      <c r="E233" s="7"/>
      <c r="F233" s="7"/>
      <c r="G233" s="7"/>
      <c r="H233" s="7"/>
      <c r="I233" s="7"/>
      <c r="J233" s="7"/>
      <c r="K233" s="6"/>
      <c r="L233" s="6"/>
    </row>
    <row r="235" spans="1:12" ht="16.2">
      <c r="A235" s="5" t="s">
        <v>21</v>
      </c>
      <c r="B235" s="5" t="s">
        <v>22</v>
      </c>
      <c r="C235" s="5" t="s">
        <v>23</v>
      </c>
      <c r="D235" s="5" t="s">
        <v>24</v>
      </c>
      <c r="E235" s="5" t="s">
        <v>25</v>
      </c>
      <c r="F235" s="5" t="s">
        <v>26</v>
      </c>
      <c r="G235" s="5" t="s">
        <v>27</v>
      </c>
      <c r="H235" s="5" t="s">
        <v>28</v>
      </c>
      <c r="I235" s="5" t="s">
        <v>29</v>
      </c>
      <c r="J235" s="5" t="s">
        <v>30</v>
      </c>
      <c r="K235" s="5" t="s">
        <v>31</v>
      </c>
      <c r="L235" s="5" t="s">
        <v>32</v>
      </c>
    </row>
    <row r="236" spans="1:12" ht="16.2">
      <c r="A236" s="5" t="s">
        <v>33</v>
      </c>
      <c r="B236" s="5" t="s">
        <v>34</v>
      </c>
      <c r="C236" s="5" t="s">
        <v>35</v>
      </c>
      <c r="D236" s="5" t="s">
        <v>36</v>
      </c>
      <c r="E236" s="5" t="s">
        <v>37</v>
      </c>
      <c r="F236" s="5" t="s">
        <v>38</v>
      </c>
      <c r="G236" s="5" t="s">
        <v>39</v>
      </c>
      <c r="H236" s="5" t="s">
        <v>40</v>
      </c>
      <c r="I236" s="5" t="s">
        <v>41</v>
      </c>
      <c r="J236" s="5" t="s">
        <v>42</v>
      </c>
      <c r="K236" s="5" t="s">
        <v>43</v>
      </c>
      <c r="L236" s="5"/>
    </row>
    <row r="237" spans="1:12" ht="16.2">
      <c r="A237" s="5" t="s">
        <v>44</v>
      </c>
      <c r="B237" s="8"/>
      <c r="C237" s="8"/>
      <c r="D237" s="8"/>
      <c r="E237" s="8"/>
      <c r="F237" s="8"/>
      <c r="G237" s="8"/>
      <c r="H237" s="8"/>
      <c r="I237" s="8"/>
      <c r="J237" s="8"/>
      <c r="K237" s="8"/>
      <c r="L237" s="9">
        <f t="shared" ref="L237:L242" si="78">SUM(B237:K237)</f>
        <v>0</v>
      </c>
    </row>
    <row r="238" spans="1:12" ht="16.2">
      <c r="A238" s="10" t="s">
        <v>45</v>
      </c>
      <c r="B238" s="11">
        <f t="shared" ref="B238:K238" si="79">IFERROR(ROUNDDOWN(B237*($A$233/100), 0), 0)</f>
        <v>0</v>
      </c>
      <c r="C238" s="11">
        <f t="shared" si="79"/>
        <v>0</v>
      </c>
      <c r="D238" s="11">
        <f t="shared" si="79"/>
        <v>0</v>
      </c>
      <c r="E238" s="11">
        <f t="shared" si="79"/>
        <v>0</v>
      </c>
      <c r="F238" s="11">
        <f t="shared" si="79"/>
        <v>0</v>
      </c>
      <c r="G238" s="11">
        <f t="shared" si="79"/>
        <v>0</v>
      </c>
      <c r="H238" s="11">
        <f t="shared" si="79"/>
        <v>0</v>
      </c>
      <c r="I238" s="11">
        <f t="shared" si="79"/>
        <v>0</v>
      </c>
      <c r="J238" s="11">
        <f t="shared" si="79"/>
        <v>0</v>
      </c>
      <c r="K238" s="11">
        <f t="shared" si="79"/>
        <v>0</v>
      </c>
      <c r="L238" s="9">
        <f t="shared" si="78"/>
        <v>0</v>
      </c>
    </row>
    <row r="239" spans="1:12" ht="16.2">
      <c r="A239" s="10" t="s">
        <v>46</v>
      </c>
      <c r="B239" s="11">
        <f t="shared" ref="B239:K239" si="80">IFERROR(ROUNDDOWN(B237*($B$233/100), 0), 0)</f>
        <v>0</v>
      </c>
      <c r="C239" s="11">
        <f t="shared" si="80"/>
        <v>0</v>
      </c>
      <c r="D239" s="11">
        <f t="shared" si="80"/>
        <v>0</v>
      </c>
      <c r="E239" s="11">
        <f t="shared" si="80"/>
        <v>0</v>
      </c>
      <c r="F239" s="11">
        <f t="shared" si="80"/>
        <v>0</v>
      </c>
      <c r="G239" s="11">
        <f t="shared" si="80"/>
        <v>0</v>
      </c>
      <c r="H239" s="11">
        <f t="shared" si="80"/>
        <v>0</v>
      </c>
      <c r="I239" s="11">
        <f t="shared" si="80"/>
        <v>0</v>
      </c>
      <c r="J239" s="11">
        <f t="shared" si="80"/>
        <v>0</v>
      </c>
      <c r="K239" s="11">
        <f t="shared" si="80"/>
        <v>0</v>
      </c>
      <c r="L239" s="9">
        <f t="shared" si="78"/>
        <v>0</v>
      </c>
    </row>
    <row r="240" spans="1:12" ht="16.2">
      <c r="A240" s="10" t="s">
        <v>47</v>
      </c>
      <c r="B240" s="11">
        <f t="shared" ref="B240:K240" si="81">IFERROR(ROUNDDOWN(B237*($C$233/100), 0), 0)</f>
        <v>0</v>
      </c>
      <c r="C240" s="11">
        <f t="shared" si="81"/>
        <v>0</v>
      </c>
      <c r="D240" s="11">
        <f t="shared" si="81"/>
        <v>0</v>
      </c>
      <c r="E240" s="11">
        <f t="shared" si="81"/>
        <v>0</v>
      </c>
      <c r="F240" s="11">
        <f t="shared" si="81"/>
        <v>0</v>
      </c>
      <c r="G240" s="11">
        <f t="shared" si="81"/>
        <v>0</v>
      </c>
      <c r="H240" s="11">
        <f t="shared" si="81"/>
        <v>0</v>
      </c>
      <c r="I240" s="11">
        <f t="shared" si="81"/>
        <v>0</v>
      </c>
      <c r="J240" s="11">
        <f t="shared" si="81"/>
        <v>0</v>
      </c>
      <c r="K240" s="11">
        <f t="shared" si="81"/>
        <v>0</v>
      </c>
      <c r="L240" s="9">
        <f t="shared" si="78"/>
        <v>0</v>
      </c>
    </row>
    <row r="241" spans="1:12" ht="16.2">
      <c r="A241" s="10" t="s">
        <v>48</v>
      </c>
      <c r="B241" s="11">
        <f t="shared" ref="B241:K241" si="82">IFERROR(ROUNDDOWN(B237*($D$233/100), 0), 0)</f>
        <v>0</v>
      </c>
      <c r="C241" s="11">
        <f t="shared" si="82"/>
        <v>0</v>
      </c>
      <c r="D241" s="11">
        <f t="shared" si="82"/>
        <v>0</v>
      </c>
      <c r="E241" s="11">
        <f t="shared" si="82"/>
        <v>0</v>
      </c>
      <c r="F241" s="11">
        <f t="shared" si="82"/>
        <v>0</v>
      </c>
      <c r="G241" s="11">
        <f t="shared" si="82"/>
        <v>0</v>
      </c>
      <c r="H241" s="11">
        <f t="shared" si="82"/>
        <v>0</v>
      </c>
      <c r="I241" s="11">
        <f t="shared" si="82"/>
        <v>0</v>
      </c>
      <c r="J241" s="11">
        <f t="shared" si="82"/>
        <v>0</v>
      </c>
      <c r="K241" s="11">
        <f t="shared" si="82"/>
        <v>0</v>
      </c>
      <c r="L241" s="9">
        <f t="shared" si="78"/>
        <v>0</v>
      </c>
    </row>
    <row r="242" spans="1:12" ht="16.2">
      <c r="A242" s="10" t="s">
        <v>49</v>
      </c>
      <c r="B242" s="11">
        <f t="shared" ref="B242:K242" si="83">IFERROR(B237-SUM(B238:B241), 0)</f>
        <v>0</v>
      </c>
      <c r="C242" s="11">
        <f t="shared" si="83"/>
        <v>0</v>
      </c>
      <c r="D242" s="11">
        <f t="shared" si="83"/>
        <v>0</v>
      </c>
      <c r="E242" s="11">
        <f t="shared" si="83"/>
        <v>0</v>
      </c>
      <c r="F242" s="11">
        <f t="shared" si="83"/>
        <v>0</v>
      </c>
      <c r="G242" s="11">
        <f t="shared" si="83"/>
        <v>0</v>
      </c>
      <c r="H242" s="11">
        <f t="shared" si="83"/>
        <v>0</v>
      </c>
      <c r="I242" s="11">
        <f t="shared" si="83"/>
        <v>0</v>
      </c>
      <c r="J242" s="11">
        <f t="shared" si="83"/>
        <v>0</v>
      </c>
      <c r="K242" s="11">
        <f t="shared" si="83"/>
        <v>0</v>
      </c>
      <c r="L242" s="9">
        <f t="shared" si="78"/>
        <v>0</v>
      </c>
    </row>
    <row r="245" spans="1:12" ht="17.399999999999999">
      <c r="A245" s="25" t="s">
        <v>64</v>
      </c>
      <c r="B245" s="23"/>
      <c r="C245" s="24"/>
      <c r="D245" s="23"/>
      <c r="E245" s="23"/>
      <c r="F245" s="23"/>
      <c r="G245" s="23"/>
      <c r="H245" s="23"/>
      <c r="I245" s="23"/>
      <c r="J245" s="23"/>
      <c r="K245" s="23"/>
      <c r="L245" s="23"/>
    </row>
    <row r="246" spans="1:12" ht="16.2">
      <c r="A246" s="3" t="s">
        <v>7</v>
      </c>
      <c r="B246" s="4"/>
      <c r="C246" s="3" t="s">
        <v>85</v>
      </c>
      <c r="D246" s="4"/>
      <c r="E246" s="3" t="s">
        <v>86</v>
      </c>
      <c r="F246" s="4"/>
      <c r="G246" s="6"/>
      <c r="H246" s="6"/>
      <c r="I246" s="6"/>
      <c r="J246" s="6"/>
      <c r="K246" s="6"/>
      <c r="L246" s="6"/>
    </row>
    <row r="247" spans="1:12">
      <c r="A247" s="22" t="s">
        <v>8</v>
      </c>
      <c r="B247" s="23"/>
      <c r="C247" s="23"/>
      <c r="D247" s="23"/>
      <c r="E247" s="22" t="s">
        <v>9</v>
      </c>
      <c r="F247" s="23"/>
      <c r="G247" s="22" t="s">
        <v>10</v>
      </c>
      <c r="H247" s="23"/>
      <c r="I247" s="23"/>
      <c r="J247" s="23"/>
      <c r="K247" s="6"/>
      <c r="L247" s="6"/>
    </row>
    <row r="248" spans="1:12" ht="16.2">
      <c r="A248" s="5" t="s">
        <v>11</v>
      </c>
      <c r="B248" s="5" t="s">
        <v>12</v>
      </c>
      <c r="C248" s="5" t="s">
        <v>13</v>
      </c>
      <c r="D248" s="5" t="s">
        <v>14</v>
      </c>
      <c r="E248" s="5" t="s">
        <v>15</v>
      </c>
      <c r="F248" s="5" t="s">
        <v>16</v>
      </c>
      <c r="G248" s="5" t="s">
        <v>17</v>
      </c>
      <c r="H248" s="5" t="s">
        <v>18</v>
      </c>
      <c r="I248" s="5" t="s">
        <v>19</v>
      </c>
      <c r="J248" s="5" t="s">
        <v>20</v>
      </c>
      <c r="K248" s="6"/>
      <c r="L248" s="6"/>
    </row>
    <row r="249" spans="1:12">
      <c r="A249" s="7"/>
      <c r="B249" s="7"/>
      <c r="C249" s="7"/>
      <c r="D249" s="7"/>
      <c r="E249" s="7"/>
      <c r="F249" s="7"/>
      <c r="G249" s="7"/>
      <c r="H249" s="7"/>
      <c r="I249" s="7"/>
      <c r="J249" s="7"/>
      <c r="K249" s="6"/>
      <c r="L249" s="6"/>
    </row>
    <row r="251" spans="1:12" ht="16.2">
      <c r="A251" s="5" t="s">
        <v>21</v>
      </c>
      <c r="B251" s="5" t="s">
        <v>22</v>
      </c>
      <c r="C251" s="5" t="s">
        <v>23</v>
      </c>
      <c r="D251" s="5" t="s">
        <v>24</v>
      </c>
      <c r="E251" s="5" t="s">
        <v>25</v>
      </c>
      <c r="F251" s="5" t="s">
        <v>26</v>
      </c>
      <c r="G251" s="5" t="s">
        <v>27</v>
      </c>
      <c r="H251" s="5" t="s">
        <v>28</v>
      </c>
      <c r="I251" s="5" t="s">
        <v>29</v>
      </c>
      <c r="J251" s="5" t="s">
        <v>30</v>
      </c>
      <c r="K251" s="5" t="s">
        <v>31</v>
      </c>
      <c r="L251" s="5" t="s">
        <v>32</v>
      </c>
    </row>
    <row r="252" spans="1:12" ht="16.2">
      <c r="A252" s="5" t="s">
        <v>33</v>
      </c>
      <c r="B252" s="5" t="s">
        <v>34</v>
      </c>
      <c r="C252" s="5" t="s">
        <v>35</v>
      </c>
      <c r="D252" s="5" t="s">
        <v>36</v>
      </c>
      <c r="E252" s="5" t="s">
        <v>37</v>
      </c>
      <c r="F252" s="5" t="s">
        <v>38</v>
      </c>
      <c r="G252" s="5" t="s">
        <v>39</v>
      </c>
      <c r="H252" s="5" t="s">
        <v>40</v>
      </c>
      <c r="I252" s="5" t="s">
        <v>41</v>
      </c>
      <c r="J252" s="5" t="s">
        <v>42</v>
      </c>
      <c r="K252" s="5" t="s">
        <v>43</v>
      </c>
      <c r="L252" s="5"/>
    </row>
    <row r="253" spans="1:12" ht="16.2">
      <c r="A253" s="5" t="s">
        <v>44</v>
      </c>
      <c r="B253" s="8"/>
      <c r="C253" s="8"/>
      <c r="D253" s="8"/>
      <c r="E253" s="8"/>
      <c r="F253" s="8"/>
      <c r="G253" s="8"/>
      <c r="H253" s="8"/>
      <c r="I253" s="8"/>
      <c r="J253" s="8"/>
      <c r="K253" s="8"/>
      <c r="L253" s="9">
        <f t="shared" ref="L253:L258" si="84">SUM(B253:K253)</f>
        <v>0</v>
      </c>
    </row>
    <row r="254" spans="1:12" ht="16.2">
      <c r="A254" s="10" t="s">
        <v>45</v>
      </c>
      <c r="B254" s="11">
        <f>IFERROR(ROUNDDOWN(B253*($A$249/100), 0), 0)</f>
        <v>0</v>
      </c>
      <c r="C254" s="11">
        <f t="shared" ref="C254:K254" si="85">IFERROR(ROUNDDOWN(C253*($A$249/100), 0), 0)</f>
        <v>0</v>
      </c>
      <c r="D254" s="11">
        <f t="shared" si="85"/>
        <v>0</v>
      </c>
      <c r="E254" s="11">
        <f t="shared" si="85"/>
        <v>0</v>
      </c>
      <c r="F254" s="11">
        <f t="shared" si="85"/>
        <v>0</v>
      </c>
      <c r="G254" s="11">
        <f t="shared" si="85"/>
        <v>0</v>
      </c>
      <c r="H254" s="11">
        <f t="shared" si="85"/>
        <v>0</v>
      </c>
      <c r="I254" s="11">
        <f t="shared" si="85"/>
        <v>0</v>
      </c>
      <c r="J254" s="11">
        <f t="shared" si="85"/>
        <v>0</v>
      </c>
      <c r="K254" s="11">
        <f t="shared" si="85"/>
        <v>0</v>
      </c>
      <c r="L254" s="9">
        <f t="shared" si="84"/>
        <v>0</v>
      </c>
    </row>
    <row r="255" spans="1:12" ht="16.2">
      <c r="A255" s="10" t="s">
        <v>46</v>
      </c>
      <c r="B255" s="11">
        <f t="shared" ref="B255:K255" si="86">IFERROR(ROUNDDOWN(B253*($B$249/100), 0), 0)</f>
        <v>0</v>
      </c>
      <c r="C255" s="11">
        <f t="shared" si="86"/>
        <v>0</v>
      </c>
      <c r="D255" s="11">
        <f t="shared" si="86"/>
        <v>0</v>
      </c>
      <c r="E255" s="11">
        <f t="shared" si="86"/>
        <v>0</v>
      </c>
      <c r="F255" s="11">
        <f t="shared" si="86"/>
        <v>0</v>
      </c>
      <c r="G255" s="11">
        <f t="shared" si="86"/>
        <v>0</v>
      </c>
      <c r="H255" s="11">
        <f t="shared" si="86"/>
        <v>0</v>
      </c>
      <c r="I255" s="11">
        <f t="shared" si="86"/>
        <v>0</v>
      </c>
      <c r="J255" s="11">
        <f t="shared" si="86"/>
        <v>0</v>
      </c>
      <c r="K255" s="11">
        <f t="shared" si="86"/>
        <v>0</v>
      </c>
      <c r="L255" s="9">
        <f t="shared" si="84"/>
        <v>0</v>
      </c>
    </row>
    <row r="256" spans="1:12" ht="16.2">
      <c r="A256" s="10" t="s">
        <v>47</v>
      </c>
      <c r="B256" s="11">
        <f t="shared" ref="B256:K256" si="87">IFERROR(ROUNDDOWN(B253*($C$249/100), 0), 0)</f>
        <v>0</v>
      </c>
      <c r="C256" s="11">
        <f t="shared" si="87"/>
        <v>0</v>
      </c>
      <c r="D256" s="11">
        <f t="shared" si="87"/>
        <v>0</v>
      </c>
      <c r="E256" s="11">
        <f t="shared" si="87"/>
        <v>0</v>
      </c>
      <c r="F256" s="11">
        <f t="shared" si="87"/>
        <v>0</v>
      </c>
      <c r="G256" s="11">
        <f t="shared" si="87"/>
        <v>0</v>
      </c>
      <c r="H256" s="11">
        <f t="shared" si="87"/>
        <v>0</v>
      </c>
      <c r="I256" s="11">
        <f t="shared" si="87"/>
        <v>0</v>
      </c>
      <c r="J256" s="11">
        <f t="shared" si="87"/>
        <v>0</v>
      </c>
      <c r="K256" s="11">
        <f t="shared" si="87"/>
        <v>0</v>
      </c>
      <c r="L256" s="9">
        <f t="shared" si="84"/>
        <v>0</v>
      </c>
    </row>
    <row r="257" spans="1:12" ht="16.2">
      <c r="A257" s="10" t="s">
        <v>48</v>
      </c>
      <c r="B257" s="11">
        <f t="shared" ref="B257:K257" si="88">IFERROR(ROUNDDOWN(B253*($D$249/100), 0), 0)</f>
        <v>0</v>
      </c>
      <c r="C257" s="11">
        <f t="shared" si="88"/>
        <v>0</v>
      </c>
      <c r="D257" s="11">
        <f t="shared" si="88"/>
        <v>0</v>
      </c>
      <c r="E257" s="11">
        <f t="shared" si="88"/>
        <v>0</v>
      </c>
      <c r="F257" s="11">
        <f t="shared" si="88"/>
        <v>0</v>
      </c>
      <c r="G257" s="11">
        <f t="shared" si="88"/>
        <v>0</v>
      </c>
      <c r="H257" s="11">
        <f t="shared" si="88"/>
        <v>0</v>
      </c>
      <c r="I257" s="11">
        <f t="shared" si="88"/>
        <v>0</v>
      </c>
      <c r="J257" s="11">
        <f t="shared" si="88"/>
        <v>0</v>
      </c>
      <c r="K257" s="11">
        <f t="shared" si="88"/>
        <v>0</v>
      </c>
      <c r="L257" s="9">
        <f t="shared" si="84"/>
        <v>0</v>
      </c>
    </row>
    <row r="258" spans="1:12" ht="16.2">
      <c r="A258" s="10" t="s">
        <v>49</v>
      </c>
      <c r="B258" s="11">
        <f t="shared" ref="B258:K258" si="89">IFERROR(B253-SUM(B254:B257), 0)</f>
        <v>0</v>
      </c>
      <c r="C258" s="11">
        <f t="shared" si="89"/>
        <v>0</v>
      </c>
      <c r="D258" s="11">
        <f t="shared" si="89"/>
        <v>0</v>
      </c>
      <c r="E258" s="11">
        <f t="shared" si="89"/>
        <v>0</v>
      </c>
      <c r="F258" s="11">
        <f t="shared" si="89"/>
        <v>0</v>
      </c>
      <c r="G258" s="11">
        <f t="shared" si="89"/>
        <v>0</v>
      </c>
      <c r="H258" s="11">
        <f t="shared" si="89"/>
        <v>0</v>
      </c>
      <c r="I258" s="11">
        <f t="shared" si="89"/>
        <v>0</v>
      </c>
      <c r="J258" s="11">
        <f t="shared" si="89"/>
        <v>0</v>
      </c>
      <c r="K258" s="11">
        <f t="shared" si="89"/>
        <v>0</v>
      </c>
      <c r="L258" s="9">
        <f t="shared" si="84"/>
        <v>0</v>
      </c>
    </row>
    <row r="261" spans="1:12" ht="17.399999999999999">
      <c r="A261" s="25" t="s">
        <v>65</v>
      </c>
      <c r="B261" s="23"/>
      <c r="C261" s="24"/>
      <c r="D261" s="23"/>
      <c r="E261" s="23"/>
      <c r="F261" s="23"/>
      <c r="G261" s="23"/>
      <c r="H261" s="23"/>
      <c r="I261" s="23"/>
      <c r="J261" s="23"/>
      <c r="K261" s="23"/>
      <c r="L261" s="23"/>
    </row>
    <row r="262" spans="1:12" ht="16.2">
      <c r="A262" s="3" t="s">
        <v>7</v>
      </c>
      <c r="B262" s="4"/>
      <c r="C262" s="3" t="s">
        <v>85</v>
      </c>
      <c r="D262" s="4"/>
      <c r="E262" s="3" t="s">
        <v>86</v>
      </c>
      <c r="F262" s="4"/>
      <c r="G262" s="6"/>
      <c r="H262" s="6"/>
      <c r="I262" s="6"/>
      <c r="J262" s="6"/>
      <c r="K262" s="6"/>
      <c r="L262" s="6"/>
    </row>
    <row r="263" spans="1:12">
      <c r="A263" s="22" t="s">
        <v>8</v>
      </c>
      <c r="B263" s="23"/>
      <c r="C263" s="23"/>
      <c r="D263" s="23"/>
      <c r="E263" s="22" t="s">
        <v>9</v>
      </c>
      <c r="F263" s="23"/>
      <c r="G263" s="22" t="s">
        <v>10</v>
      </c>
      <c r="H263" s="23"/>
      <c r="I263" s="23"/>
      <c r="J263" s="23"/>
      <c r="K263" s="6"/>
      <c r="L263" s="6"/>
    </row>
    <row r="264" spans="1:12" ht="16.2">
      <c r="A264" s="5" t="s">
        <v>11</v>
      </c>
      <c r="B264" s="5" t="s">
        <v>12</v>
      </c>
      <c r="C264" s="5" t="s">
        <v>13</v>
      </c>
      <c r="D264" s="5" t="s">
        <v>14</v>
      </c>
      <c r="E264" s="5" t="s">
        <v>15</v>
      </c>
      <c r="F264" s="5" t="s">
        <v>16</v>
      </c>
      <c r="G264" s="5" t="s">
        <v>17</v>
      </c>
      <c r="H264" s="5" t="s">
        <v>18</v>
      </c>
      <c r="I264" s="5" t="s">
        <v>19</v>
      </c>
      <c r="J264" s="5" t="s">
        <v>20</v>
      </c>
      <c r="K264" s="6"/>
      <c r="L264" s="6"/>
    </row>
    <row r="265" spans="1:12">
      <c r="A265" s="7"/>
      <c r="B265" s="7"/>
      <c r="C265" s="7"/>
      <c r="D265" s="7"/>
      <c r="E265" s="7"/>
      <c r="F265" s="7"/>
      <c r="G265" s="7"/>
      <c r="H265" s="7"/>
      <c r="I265" s="7"/>
      <c r="J265" s="7"/>
      <c r="K265" s="6"/>
      <c r="L265" s="6"/>
    </row>
    <row r="267" spans="1:12" ht="16.2">
      <c r="A267" s="5" t="s">
        <v>21</v>
      </c>
      <c r="B267" s="5" t="s">
        <v>22</v>
      </c>
      <c r="C267" s="5" t="s">
        <v>23</v>
      </c>
      <c r="D267" s="5" t="s">
        <v>24</v>
      </c>
      <c r="E267" s="5" t="s">
        <v>25</v>
      </c>
      <c r="F267" s="5" t="s">
        <v>26</v>
      </c>
      <c r="G267" s="5" t="s">
        <v>27</v>
      </c>
      <c r="H267" s="5" t="s">
        <v>28</v>
      </c>
      <c r="I267" s="5" t="s">
        <v>29</v>
      </c>
      <c r="J267" s="5" t="s">
        <v>30</v>
      </c>
      <c r="K267" s="5" t="s">
        <v>31</v>
      </c>
      <c r="L267" s="5" t="s">
        <v>32</v>
      </c>
    </row>
    <row r="268" spans="1:12" ht="16.2">
      <c r="A268" s="5" t="s">
        <v>33</v>
      </c>
      <c r="B268" s="5" t="s">
        <v>34</v>
      </c>
      <c r="C268" s="5" t="s">
        <v>35</v>
      </c>
      <c r="D268" s="5" t="s">
        <v>36</v>
      </c>
      <c r="E268" s="5" t="s">
        <v>37</v>
      </c>
      <c r="F268" s="5" t="s">
        <v>38</v>
      </c>
      <c r="G268" s="5" t="s">
        <v>39</v>
      </c>
      <c r="H268" s="5" t="s">
        <v>40</v>
      </c>
      <c r="I268" s="5" t="s">
        <v>41</v>
      </c>
      <c r="J268" s="5" t="s">
        <v>42</v>
      </c>
      <c r="K268" s="5" t="s">
        <v>43</v>
      </c>
      <c r="L268" s="5"/>
    </row>
    <row r="269" spans="1:12" ht="16.2">
      <c r="A269" s="5" t="s">
        <v>44</v>
      </c>
      <c r="B269" s="8"/>
      <c r="C269" s="8"/>
      <c r="D269" s="8"/>
      <c r="E269" s="8"/>
      <c r="F269" s="8"/>
      <c r="G269" s="8"/>
      <c r="H269" s="8"/>
      <c r="I269" s="8"/>
      <c r="J269" s="8"/>
      <c r="K269" s="8"/>
      <c r="L269" s="9">
        <f t="shared" ref="L269:L274" si="90">SUM(B269:K269)</f>
        <v>0</v>
      </c>
    </row>
    <row r="270" spans="1:12" ht="16.2">
      <c r="A270" s="10" t="s">
        <v>45</v>
      </c>
      <c r="B270" s="11">
        <f t="shared" ref="B270:K270" si="91">IFERROR(ROUNDDOWN(B269*($A$265/100), 0), 0)</f>
        <v>0</v>
      </c>
      <c r="C270" s="11">
        <f t="shared" si="91"/>
        <v>0</v>
      </c>
      <c r="D270" s="11">
        <f t="shared" si="91"/>
        <v>0</v>
      </c>
      <c r="E270" s="11">
        <f t="shared" si="91"/>
        <v>0</v>
      </c>
      <c r="F270" s="11">
        <f t="shared" si="91"/>
        <v>0</v>
      </c>
      <c r="G270" s="11">
        <f t="shared" si="91"/>
        <v>0</v>
      </c>
      <c r="H270" s="11">
        <f t="shared" si="91"/>
        <v>0</v>
      </c>
      <c r="I270" s="11">
        <f t="shared" si="91"/>
        <v>0</v>
      </c>
      <c r="J270" s="11">
        <f t="shared" si="91"/>
        <v>0</v>
      </c>
      <c r="K270" s="11">
        <f t="shared" si="91"/>
        <v>0</v>
      </c>
      <c r="L270" s="9">
        <f t="shared" si="90"/>
        <v>0</v>
      </c>
    </row>
    <row r="271" spans="1:12" ht="16.2">
      <c r="A271" s="10" t="s">
        <v>46</v>
      </c>
      <c r="B271" s="11">
        <f t="shared" ref="B271:K271" si="92">IFERROR(ROUNDDOWN(B269*($B$265/100), 0), 0)</f>
        <v>0</v>
      </c>
      <c r="C271" s="11">
        <f t="shared" si="92"/>
        <v>0</v>
      </c>
      <c r="D271" s="11">
        <f t="shared" si="92"/>
        <v>0</v>
      </c>
      <c r="E271" s="11">
        <f t="shared" si="92"/>
        <v>0</v>
      </c>
      <c r="F271" s="11">
        <f t="shared" si="92"/>
        <v>0</v>
      </c>
      <c r="G271" s="11">
        <f t="shared" si="92"/>
        <v>0</v>
      </c>
      <c r="H271" s="11">
        <f t="shared" si="92"/>
        <v>0</v>
      </c>
      <c r="I271" s="11">
        <f t="shared" si="92"/>
        <v>0</v>
      </c>
      <c r="J271" s="11">
        <f t="shared" si="92"/>
        <v>0</v>
      </c>
      <c r="K271" s="11">
        <f t="shared" si="92"/>
        <v>0</v>
      </c>
      <c r="L271" s="9">
        <f t="shared" si="90"/>
        <v>0</v>
      </c>
    </row>
    <row r="272" spans="1:12" ht="16.2">
      <c r="A272" s="10" t="s">
        <v>47</v>
      </c>
      <c r="B272" s="11">
        <f t="shared" ref="B272:K272" si="93">IFERROR(ROUNDDOWN(B269*($C$265/100), 0), 0)</f>
        <v>0</v>
      </c>
      <c r="C272" s="11">
        <f t="shared" si="93"/>
        <v>0</v>
      </c>
      <c r="D272" s="11">
        <f t="shared" si="93"/>
        <v>0</v>
      </c>
      <c r="E272" s="11">
        <f t="shared" si="93"/>
        <v>0</v>
      </c>
      <c r="F272" s="11">
        <f t="shared" si="93"/>
        <v>0</v>
      </c>
      <c r="G272" s="11">
        <f t="shared" si="93"/>
        <v>0</v>
      </c>
      <c r="H272" s="11">
        <f t="shared" si="93"/>
        <v>0</v>
      </c>
      <c r="I272" s="11">
        <f t="shared" si="93"/>
        <v>0</v>
      </c>
      <c r="J272" s="11">
        <f t="shared" si="93"/>
        <v>0</v>
      </c>
      <c r="K272" s="11">
        <f t="shared" si="93"/>
        <v>0</v>
      </c>
      <c r="L272" s="9">
        <f t="shared" si="90"/>
        <v>0</v>
      </c>
    </row>
    <row r="273" spans="1:12" ht="16.2">
      <c r="A273" s="10" t="s">
        <v>48</v>
      </c>
      <c r="B273" s="11">
        <f t="shared" ref="B273:K273" si="94">IFERROR(ROUNDDOWN(B269*($D$265/100), 0), 0)</f>
        <v>0</v>
      </c>
      <c r="C273" s="11">
        <f t="shared" si="94"/>
        <v>0</v>
      </c>
      <c r="D273" s="11">
        <f t="shared" si="94"/>
        <v>0</v>
      </c>
      <c r="E273" s="11">
        <f t="shared" si="94"/>
        <v>0</v>
      </c>
      <c r="F273" s="11">
        <f t="shared" si="94"/>
        <v>0</v>
      </c>
      <c r="G273" s="11">
        <f t="shared" si="94"/>
        <v>0</v>
      </c>
      <c r="H273" s="11">
        <f t="shared" si="94"/>
        <v>0</v>
      </c>
      <c r="I273" s="11">
        <f t="shared" si="94"/>
        <v>0</v>
      </c>
      <c r="J273" s="11">
        <f t="shared" si="94"/>
        <v>0</v>
      </c>
      <c r="K273" s="11">
        <f t="shared" si="94"/>
        <v>0</v>
      </c>
      <c r="L273" s="9">
        <f t="shared" si="90"/>
        <v>0</v>
      </c>
    </row>
    <row r="274" spans="1:12" ht="16.2">
      <c r="A274" s="10" t="s">
        <v>49</v>
      </c>
      <c r="B274" s="11">
        <f t="shared" ref="B274:K274" si="95">IFERROR(B269-SUM(B270:B273), 0)</f>
        <v>0</v>
      </c>
      <c r="C274" s="11">
        <f t="shared" si="95"/>
        <v>0</v>
      </c>
      <c r="D274" s="11">
        <f t="shared" si="95"/>
        <v>0</v>
      </c>
      <c r="E274" s="11">
        <f t="shared" si="95"/>
        <v>0</v>
      </c>
      <c r="F274" s="11">
        <f t="shared" si="95"/>
        <v>0</v>
      </c>
      <c r="G274" s="11">
        <f t="shared" si="95"/>
        <v>0</v>
      </c>
      <c r="H274" s="11">
        <f t="shared" si="95"/>
        <v>0</v>
      </c>
      <c r="I274" s="11">
        <f t="shared" si="95"/>
        <v>0</v>
      </c>
      <c r="J274" s="11">
        <f t="shared" si="95"/>
        <v>0</v>
      </c>
      <c r="K274" s="11">
        <f t="shared" si="95"/>
        <v>0</v>
      </c>
      <c r="L274" s="9">
        <f t="shared" si="90"/>
        <v>0</v>
      </c>
    </row>
    <row r="277" spans="1:12" ht="17.399999999999999">
      <c r="A277" s="25" t="s">
        <v>66</v>
      </c>
      <c r="B277" s="23"/>
      <c r="C277" s="24"/>
      <c r="D277" s="23"/>
      <c r="E277" s="23"/>
      <c r="F277" s="23"/>
      <c r="G277" s="23"/>
      <c r="H277" s="23"/>
      <c r="I277" s="23"/>
      <c r="J277" s="23"/>
      <c r="K277" s="23"/>
      <c r="L277" s="23"/>
    </row>
    <row r="278" spans="1:12" ht="16.2">
      <c r="A278" s="3" t="s">
        <v>7</v>
      </c>
      <c r="B278" s="4"/>
      <c r="C278" s="3" t="s">
        <v>85</v>
      </c>
      <c r="D278" s="4"/>
      <c r="E278" s="3" t="s">
        <v>86</v>
      </c>
      <c r="F278" s="4"/>
      <c r="G278" s="6"/>
      <c r="H278" s="6"/>
      <c r="I278" s="6"/>
      <c r="J278" s="6"/>
      <c r="K278" s="6"/>
      <c r="L278" s="6"/>
    </row>
    <row r="279" spans="1:12">
      <c r="A279" s="22" t="s">
        <v>8</v>
      </c>
      <c r="B279" s="23"/>
      <c r="C279" s="23"/>
      <c r="D279" s="23"/>
      <c r="E279" s="22" t="s">
        <v>9</v>
      </c>
      <c r="F279" s="23"/>
      <c r="G279" s="22" t="s">
        <v>10</v>
      </c>
      <c r="H279" s="23"/>
      <c r="I279" s="23"/>
      <c r="J279" s="23"/>
      <c r="K279" s="6"/>
      <c r="L279" s="6"/>
    </row>
    <row r="280" spans="1:12" ht="16.2">
      <c r="A280" s="5" t="s">
        <v>11</v>
      </c>
      <c r="B280" s="5" t="s">
        <v>12</v>
      </c>
      <c r="C280" s="5" t="s">
        <v>13</v>
      </c>
      <c r="D280" s="5" t="s">
        <v>14</v>
      </c>
      <c r="E280" s="5" t="s">
        <v>15</v>
      </c>
      <c r="F280" s="5" t="s">
        <v>16</v>
      </c>
      <c r="G280" s="5" t="s">
        <v>17</v>
      </c>
      <c r="H280" s="5" t="s">
        <v>18</v>
      </c>
      <c r="I280" s="5" t="s">
        <v>19</v>
      </c>
      <c r="J280" s="5" t="s">
        <v>20</v>
      </c>
      <c r="K280" s="6"/>
      <c r="L280" s="6"/>
    </row>
    <row r="281" spans="1:12">
      <c r="A281" s="7"/>
      <c r="B281" s="7"/>
      <c r="C281" s="7"/>
      <c r="D281" s="7"/>
      <c r="E281" s="7"/>
      <c r="F281" s="7"/>
      <c r="G281" s="7"/>
      <c r="H281" s="7"/>
      <c r="I281" s="7"/>
      <c r="J281" s="7"/>
      <c r="K281" s="6"/>
      <c r="L281" s="6"/>
    </row>
    <row r="283" spans="1:12" ht="16.2">
      <c r="A283" s="5" t="s">
        <v>21</v>
      </c>
      <c r="B283" s="5" t="s">
        <v>22</v>
      </c>
      <c r="C283" s="5" t="s">
        <v>23</v>
      </c>
      <c r="D283" s="5" t="s">
        <v>24</v>
      </c>
      <c r="E283" s="5" t="s">
        <v>25</v>
      </c>
      <c r="F283" s="5" t="s">
        <v>26</v>
      </c>
      <c r="G283" s="5" t="s">
        <v>27</v>
      </c>
      <c r="H283" s="5" t="s">
        <v>28</v>
      </c>
      <c r="I283" s="5" t="s">
        <v>29</v>
      </c>
      <c r="J283" s="5" t="s">
        <v>30</v>
      </c>
      <c r="K283" s="5" t="s">
        <v>31</v>
      </c>
      <c r="L283" s="5" t="s">
        <v>32</v>
      </c>
    </row>
    <row r="284" spans="1:12" ht="16.2">
      <c r="A284" s="5" t="s">
        <v>33</v>
      </c>
      <c r="B284" s="5" t="s">
        <v>34</v>
      </c>
      <c r="C284" s="5" t="s">
        <v>35</v>
      </c>
      <c r="D284" s="5" t="s">
        <v>36</v>
      </c>
      <c r="E284" s="5" t="s">
        <v>37</v>
      </c>
      <c r="F284" s="5" t="s">
        <v>38</v>
      </c>
      <c r="G284" s="5" t="s">
        <v>39</v>
      </c>
      <c r="H284" s="5" t="s">
        <v>40</v>
      </c>
      <c r="I284" s="5" t="s">
        <v>41</v>
      </c>
      <c r="J284" s="5" t="s">
        <v>42</v>
      </c>
      <c r="K284" s="5" t="s">
        <v>43</v>
      </c>
      <c r="L284" s="5"/>
    </row>
    <row r="285" spans="1:12" ht="16.2">
      <c r="A285" s="5" t="s">
        <v>44</v>
      </c>
      <c r="B285" s="8"/>
      <c r="C285" s="8"/>
      <c r="D285" s="8"/>
      <c r="E285" s="8"/>
      <c r="F285" s="8"/>
      <c r="G285" s="8"/>
      <c r="H285" s="8"/>
      <c r="I285" s="8"/>
      <c r="J285" s="8"/>
      <c r="K285" s="8"/>
      <c r="L285" s="9">
        <f t="shared" ref="L285:L290" si="96">SUM(B285:K285)</f>
        <v>0</v>
      </c>
    </row>
    <row r="286" spans="1:12" ht="16.2">
      <c r="A286" s="10" t="s">
        <v>45</v>
      </c>
      <c r="B286" s="11">
        <f t="shared" ref="B286:K286" si="97">IFERROR(ROUNDDOWN(B285*($A$281/100), 0), 0)</f>
        <v>0</v>
      </c>
      <c r="C286" s="11">
        <f t="shared" si="97"/>
        <v>0</v>
      </c>
      <c r="D286" s="11">
        <f t="shared" si="97"/>
        <v>0</v>
      </c>
      <c r="E286" s="11">
        <f t="shared" si="97"/>
        <v>0</v>
      </c>
      <c r="F286" s="11">
        <f t="shared" si="97"/>
        <v>0</v>
      </c>
      <c r="G286" s="11">
        <f t="shared" si="97"/>
        <v>0</v>
      </c>
      <c r="H286" s="11">
        <f t="shared" si="97"/>
        <v>0</v>
      </c>
      <c r="I286" s="11">
        <f t="shared" si="97"/>
        <v>0</v>
      </c>
      <c r="J286" s="11">
        <f t="shared" si="97"/>
        <v>0</v>
      </c>
      <c r="K286" s="11">
        <f t="shared" si="97"/>
        <v>0</v>
      </c>
      <c r="L286" s="9">
        <f t="shared" si="96"/>
        <v>0</v>
      </c>
    </row>
    <row r="287" spans="1:12" ht="16.2">
      <c r="A287" s="10" t="s">
        <v>46</v>
      </c>
      <c r="B287" s="11">
        <f t="shared" ref="B287:K287" si="98">IFERROR(ROUNDDOWN(B285*($B$281/100), 0), 0)</f>
        <v>0</v>
      </c>
      <c r="C287" s="11">
        <f t="shared" si="98"/>
        <v>0</v>
      </c>
      <c r="D287" s="11">
        <f t="shared" si="98"/>
        <v>0</v>
      </c>
      <c r="E287" s="11">
        <f t="shared" si="98"/>
        <v>0</v>
      </c>
      <c r="F287" s="11">
        <f t="shared" si="98"/>
        <v>0</v>
      </c>
      <c r="G287" s="11">
        <f t="shared" si="98"/>
        <v>0</v>
      </c>
      <c r="H287" s="11">
        <f t="shared" si="98"/>
        <v>0</v>
      </c>
      <c r="I287" s="11">
        <f t="shared" si="98"/>
        <v>0</v>
      </c>
      <c r="J287" s="11">
        <f t="shared" si="98"/>
        <v>0</v>
      </c>
      <c r="K287" s="11">
        <f t="shared" si="98"/>
        <v>0</v>
      </c>
      <c r="L287" s="9">
        <f t="shared" si="96"/>
        <v>0</v>
      </c>
    </row>
    <row r="288" spans="1:12" ht="16.2">
      <c r="A288" s="10" t="s">
        <v>47</v>
      </c>
      <c r="B288" s="11">
        <f t="shared" ref="B288:K288" si="99">IFERROR(ROUNDDOWN(B285*($C$281/100), 0), 0)</f>
        <v>0</v>
      </c>
      <c r="C288" s="11">
        <f t="shared" si="99"/>
        <v>0</v>
      </c>
      <c r="D288" s="11">
        <f t="shared" si="99"/>
        <v>0</v>
      </c>
      <c r="E288" s="11">
        <f t="shared" si="99"/>
        <v>0</v>
      </c>
      <c r="F288" s="11">
        <f t="shared" si="99"/>
        <v>0</v>
      </c>
      <c r="G288" s="11">
        <f t="shared" si="99"/>
        <v>0</v>
      </c>
      <c r="H288" s="11">
        <f t="shared" si="99"/>
        <v>0</v>
      </c>
      <c r="I288" s="11">
        <f t="shared" si="99"/>
        <v>0</v>
      </c>
      <c r="J288" s="11">
        <f t="shared" si="99"/>
        <v>0</v>
      </c>
      <c r="K288" s="11">
        <f t="shared" si="99"/>
        <v>0</v>
      </c>
      <c r="L288" s="9">
        <f t="shared" si="96"/>
        <v>0</v>
      </c>
    </row>
    <row r="289" spans="1:12" ht="16.2">
      <c r="A289" s="10" t="s">
        <v>48</v>
      </c>
      <c r="B289" s="11">
        <f t="shared" ref="B289:K289" si="100">IFERROR(ROUNDDOWN(B285*($D$281/100), 0), 0)</f>
        <v>0</v>
      </c>
      <c r="C289" s="11">
        <f t="shared" si="100"/>
        <v>0</v>
      </c>
      <c r="D289" s="11">
        <f t="shared" si="100"/>
        <v>0</v>
      </c>
      <c r="E289" s="11">
        <f t="shared" si="100"/>
        <v>0</v>
      </c>
      <c r="F289" s="11">
        <f t="shared" si="100"/>
        <v>0</v>
      </c>
      <c r="G289" s="11">
        <f t="shared" si="100"/>
        <v>0</v>
      </c>
      <c r="H289" s="11">
        <f t="shared" si="100"/>
        <v>0</v>
      </c>
      <c r="I289" s="11">
        <f t="shared" si="100"/>
        <v>0</v>
      </c>
      <c r="J289" s="11">
        <f t="shared" si="100"/>
        <v>0</v>
      </c>
      <c r="K289" s="11">
        <f t="shared" si="100"/>
        <v>0</v>
      </c>
      <c r="L289" s="9">
        <f t="shared" si="96"/>
        <v>0</v>
      </c>
    </row>
    <row r="290" spans="1:12" ht="16.2">
      <c r="A290" s="10" t="s">
        <v>49</v>
      </c>
      <c r="B290" s="11">
        <f t="shared" ref="B290:K290" si="101">IFERROR(B285-SUM(B286:B289), 0)</f>
        <v>0</v>
      </c>
      <c r="C290" s="11">
        <f t="shared" si="101"/>
        <v>0</v>
      </c>
      <c r="D290" s="11">
        <f t="shared" si="101"/>
        <v>0</v>
      </c>
      <c r="E290" s="11">
        <f t="shared" si="101"/>
        <v>0</v>
      </c>
      <c r="F290" s="11">
        <f t="shared" si="101"/>
        <v>0</v>
      </c>
      <c r="G290" s="11">
        <f t="shared" si="101"/>
        <v>0</v>
      </c>
      <c r="H290" s="11">
        <f t="shared" si="101"/>
        <v>0</v>
      </c>
      <c r="I290" s="11">
        <f t="shared" si="101"/>
        <v>0</v>
      </c>
      <c r="J290" s="11">
        <f t="shared" si="101"/>
        <v>0</v>
      </c>
      <c r="K290" s="11">
        <f t="shared" si="101"/>
        <v>0</v>
      </c>
      <c r="L290" s="9">
        <f t="shared" si="96"/>
        <v>0</v>
      </c>
    </row>
    <row r="293" spans="1:12" ht="17.399999999999999">
      <c r="A293" s="25" t="s">
        <v>67</v>
      </c>
      <c r="B293" s="23"/>
      <c r="C293" s="24"/>
      <c r="D293" s="23"/>
      <c r="E293" s="23"/>
      <c r="F293" s="23"/>
      <c r="G293" s="23"/>
      <c r="H293" s="23"/>
      <c r="I293" s="23"/>
      <c r="J293" s="23"/>
      <c r="K293" s="23"/>
      <c r="L293" s="23"/>
    </row>
    <row r="294" spans="1:12" ht="16.2">
      <c r="A294" s="3" t="s">
        <v>7</v>
      </c>
      <c r="B294" s="4"/>
      <c r="C294" s="3" t="s">
        <v>85</v>
      </c>
      <c r="D294" s="4"/>
      <c r="E294" s="3" t="s">
        <v>86</v>
      </c>
      <c r="F294" s="4"/>
      <c r="G294" s="6"/>
      <c r="H294" s="6"/>
      <c r="I294" s="6"/>
      <c r="J294" s="6"/>
      <c r="K294" s="6"/>
      <c r="L294" s="6"/>
    </row>
    <row r="295" spans="1:12">
      <c r="A295" s="22" t="s">
        <v>8</v>
      </c>
      <c r="B295" s="23"/>
      <c r="C295" s="23"/>
      <c r="D295" s="23"/>
      <c r="E295" s="22" t="s">
        <v>9</v>
      </c>
      <c r="F295" s="23"/>
      <c r="G295" s="22" t="s">
        <v>10</v>
      </c>
      <c r="H295" s="23"/>
      <c r="I295" s="23"/>
      <c r="J295" s="23"/>
      <c r="K295" s="6"/>
      <c r="L295" s="6"/>
    </row>
    <row r="296" spans="1:12" ht="16.2">
      <c r="A296" s="5" t="s">
        <v>11</v>
      </c>
      <c r="B296" s="5" t="s">
        <v>12</v>
      </c>
      <c r="C296" s="5" t="s">
        <v>13</v>
      </c>
      <c r="D296" s="5" t="s">
        <v>14</v>
      </c>
      <c r="E296" s="5" t="s">
        <v>15</v>
      </c>
      <c r="F296" s="5" t="s">
        <v>16</v>
      </c>
      <c r="G296" s="5" t="s">
        <v>17</v>
      </c>
      <c r="H296" s="5" t="s">
        <v>18</v>
      </c>
      <c r="I296" s="5" t="s">
        <v>19</v>
      </c>
      <c r="J296" s="5" t="s">
        <v>20</v>
      </c>
      <c r="K296" s="6"/>
      <c r="L296" s="6"/>
    </row>
    <row r="297" spans="1:12">
      <c r="A297" s="7"/>
      <c r="B297" s="7"/>
      <c r="C297" s="7"/>
      <c r="D297" s="7"/>
      <c r="E297" s="7"/>
      <c r="F297" s="7"/>
      <c r="G297" s="7"/>
      <c r="H297" s="7"/>
      <c r="I297" s="7"/>
      <c r="J297" s="7"/>
      <c r="K297" s="6"/>
      <c r="L297" s="6"/>
    </row>
    <row r="299" spans="1:12" ht="16.2">
      <c r="A299" s="5" t="s">
        <v>21</v>
      </c>
      <c r="B299" s="5" t="s">
        <v>22</v>
      </c>
      <c r="C299" s="5" t="s">
        <v>23</v>
      </c>
      <c r="D299" s="5" t="s">
        <v>24</v>
      </c>
      <c r="E299" s="5" t="s">
        <v>25</v>
      </c>
      <c r="F299" s="5" t="s">
        <v>26</v>
      </c>
      <c r="G299" s="5" t="s">
        <v>27</v>
      </c>
      <c r="H299" s="5" t="s">
        <v>28</v>
      </c>
      <c r="I299" s="5" t="s">
        <v>29</v>
      </c>
      <c r="J299" s="5" t="s">
        <v>30</v>
      </c>
      <c r="K299" s="5" t="s">
        <v>31</v>
      </c>
      <c r="L299" s="5" t="s">
        <v>32</v>
      </c>
    </row>
    <row r="300" spans="1:12" ht="16.2">
      <c r="A300" s="5" t="s">
        <v>33</v>
      </c>
      <c r="B300" s="5" t="s">
        <v>34</v>
      </c>
      <c r="C300" s="5" t="s">
        <v>35</v>
      </c>
      <c r="D300" s="5" t="s">
        <v>36</v>
      </c>
      <c r="E300" s="5" t="s">
        <v>37</v>
      </c>
      <c r="F300" s="5" t="s">
        <v>38</v>
      </c>
      <c r="G300" s="5" t="s">
        <v>39</v>
      </c>
      <c r="H300" s="5" t="s">
        <v>40</v>
      </c>
      <c r="I300" s="5" t="s">
        <v>41</v>
      </c>
      <c r="J300" s="5" t="s">
        <v>42</v>
      </c>
      <c r="K300" s="5" t="s">
        <v>43</v>
      </c>
      <c r="L300" s="5"/>
    </row>
    <row r="301" spans="1:12" ht="16.2">
      <c r="A301" s="5" t="s">
        <v>44</v>
      </c>
      <c r="B301" s="8"/>
      <c r="C301" s="8"/>
      <c r="D301" s="8"/>
      <c r="E301" s="8"/>
      <c r="F301" s="8"/>
      <c r="G301" s="8"/>
      <c r="H301" s="8"/>
      <c r="I301" s="8"/>
      <c r="J301" s="8"/>
      <c r="K301" s="8"/>
      <c r="L301" s="9">
        <f t="shared" ref="L301:L306" si="102">SUM(B301:K301)</f>
        <v>0</v>
      </c>
    </row>
    <row r="302" spans="1:12" ht="16.2">
      <c r="A302" s="10" t="s">
        <v>45</v>
      </c>
      <c r="B302" s="11">
        <f t="shared" ref="B302:K302" si="103">IFERROR(ROUNDDOWN(B301*($A$297/100), 0), 0)</f>
        <v>0</v>
      </c>
      <c r="C302" s="11">
        <f t="shared" si="103"/>
        <v>0</v>
      </c>
      <c r="D302" s="11">
        <f t="shared" si="103"/>
        <v>0</v>
      </c>
      <c r="E302" s="11">
        <f t="shared" si="103"/>
        <v>0</v>
      </c>
      <c r="F302" s="11">
        <f t="shared" si="103"/>
        <v>0</v>
      </c>
      <c r="G302" s="11">
        <f t="shared" si="103"/>
        <v>0</v>
      </c>
      <c r="H302" s="11">
        <f t="shared" si="103"/>
        <v>0</v>
      </c>
      <c r="I302" s="11">
        <f t="shared" si="103"/>
        <v>0</v>
      </c>
      <c r="J302" s="11">
        <f t="shared" si="103"/>
        <v>0</v>
      </c>
      <c r="K302" s="11">
        <f t="shared" si="103"/>
        <v>0</v>
      </c>
      <c r="L302" s="9">
        <f t="shared" si="102"/>
        <v>0</v>
      </c>
    </row>
    <row r="303" spans="1:12" ht="16.2">
      <c r="A303" s="10" t="s">
        <v>46</v>
      </c>
      <c r="B303" s="11">
        <f t="shared" ref="B303:K303" si="104">IFERROR(ROUNDDOWN(B301*($B$297/100), 0), 0)</f>
        <v>0</v>
      </c>
      <c r="C303" s="11">
        <f t="shared" si="104"/>
        <v>0</v>
      </c>
      <c r="D303" s="11">
        <f t="shared" si="104"/>
        <v>0</v>
      </c>
      <c r="E303" s="11">
        <f t="shared" si="104"/>
        <v>0</v>
      </c>
      <c r="F303" s="11">
        <f t="shared" si="104"/>
        <v>0</v>
      </c>
      <c r="G303" s="11">
        <f t="shared" si="104"/>
        <v>0</v>
      </c>
      <c r="H303" s="11">
        <f t="shared" si="104"/>
        <v>0</v>
      </c>
      <c r="I303" s="11">
        <f t="shared" si="104"/>
        <v>0</v>
      </c>
      <c r="J303" s="11">
        <f t="shared" si="104"/>
        <v>0</v>
      </c>
      <c r="K303" s="11">
        <f t="shared" si="104"/>
        <v>0</v>
      </c>
      <c r="L303" s="9">
        <f t="shared" si="102"/>
        <v>0</v>
      </c>
    </row>
    <row r="304" spans="1:12" ht="16.2">
      <c r="A304" s="10" t="s">
        <v>47</v>
      </c>
      <c r="B304" s="11">
        <f t="shared" ref="B304:K304" si="105">IFERROR(ROUNDDOWN(B301*($C$297/100), 0), 0)</f>
        <v>0</v>
      </c>
      <c r="C304" s="11">
        <f t="shared" si="105"/>
        <v>0</v>
      </c>
      <c r="D304" s="11">
        <f t="shared" si="105"/>
        <v>0</v>
      </c>
      <c r="E304" s="11">
        <f t="shared" si="105"/>
        <v>0</v>
      </c>
      <c r="F304" s="11">
        <f t="shared" si="105"/>
        <v>0</v>
      </c>
      <c r="G304" s="11">
        <f t="shared" si="105"/>
        <v>0</v>
      </c>
      <c r="H304" s="11">
        <f t="shared" si="105"/>
        <v>0</v>
      </c>
      <c r="I304" s="11">
        <f t="shared" si="105"/>
        <v>0</v>
      </c>
      <c r="J304" s="11">
        <f t="shared" si="105"/>
        <v>0</v>
      </c>
      <c r="K304" s="11">
        <f t="shared" si="105"/>
        <v>0</v>
      </c>
      <c r="L304" s="9">
        <f t="shared" si="102"/>
        <v>0</v>
      </c>
    </row>
    <row r="305" spans="1:12" ht="16.2">
      <c r="A305" s="10" t="s">
        <v>48</v>
      </c>
      <c r="B305" s="11">
        <f t="shared" ref="B305:K305" si="106">IFERROR(ROUNDDOWN(B301*($D$297/100), 0), 0)</f>
        <v>0</v>
      </c>
      <c r="C305" s="11">
        <f t="shared" si="106"/>
        <v>0</v>
      </c>
      <c r="D305" s="11">
        <f t="shared" si="106"/>
        <v>0</v>
      </c>
      <c r="E305" s="11">
        <f t="shared" si="106"/>
        <v>0</v>
      </c>
      <c r="F305" s="11">
        <f t="shared" si="106"/>
        <v>0</v>
      </c>
      <c r="G305" s="11">
        <f t="shared" si="106"/>
        <v>0</v>
      </c>
      <c r="H305" s="11">
        <f t="shared" si="106"/>
        <v>0</v>
      </c>
      <c r="I305" s="11">
        <f t="shared" si="106"/>
        <v>0</v>
      </c>
      <c r="J305" s="11">
        <f t="shared" si="106"/>
        <v>0</v>
      </c>
      <c r="K305" s="11">
        <f t="shared" si="106"/>
        <v>0</v>
      </c>
      <c r="L305" s="9">
        <f t="shared" si="102"/>
        <v>0</v>
      </c>
    </row>
    <row r="306" spans="1:12" ht="16.2">
      <c r="A306" s="10" t="s">
        <v>49</v>
      </c>
      <c r="B306" s="11">
        <f t="shared" ref="B306:K306" si="107">IFERROR(B301-SUM(B302:B305), 0)</f>
        <v>0</v>
      </c>
      <c r="C306" s="11">
        <f t="shared" si="107"/>
        <v>0</v>
      </c>
      <c r="D306" s="11">
        <f t="shared" si="107"/>
        <v>0</v>
      </c>
      <c r="E306" s="11">
        <f t="shared" si="107"/>
        <v>0</v>
      </c>
      <c r="F306" s="11">
        <f t="shared" si="107"/>
        <v>0</v>
      </c>
      <c r="G306" s="11">
        <f t="shared" si="107"/>
        <v>0</v>
      </c>
      <c r="H306" s="11">
        <f t="shared" si="107"/>
        <v>0</v>
      </c>
      <c r="I306" s="11">
        <f t="shared" si="107"/>
        <v>0</v>
      </c>
      <c r="J306" s="11">
        <f t="shared" si="107"/>
        <v>0</v>
      </c>
      <c r="K306" s="11">
        <f t="shared" si="107"/>
        <v>0</v>
      </c>
      <c r="L306" s="9">
        <f t="shared" si="102"/>
        <v>0</v>
      </c>
    </row>
    <row r="309" spans="1:12" ht="17.399999999999999">
      <c r="A309" s="25" t="s">
        <v>68</v>
      </c>
      <c r="B309" s="23"/>
      <c r="C309" s="24"/>
      <c r="D309" s="23"/>
      <c r="E309" s="23"/>
      <c r="F309" s="23"/>
      <c r="G309" s="23"/>
      <c r="H309" s="23"/>
      <c r="I309" s="23"/>
      <c r="J309" s="23"/>
      <c r="K309" s="23"/>
      <c r="L309" s="23"/>
    </row>
    <row r="310" spans="1:12" ht="16.2">
      <c r="A310" s="3" t="s">
        <v>7</v>
      </c>
      <c r="B310" s="4"/>
      <c r="C310" s="3" t="s">
        <v>85</v>
      </c>
      <c r="D310" s="4"/>
      <c r="E310" s="3" t="s">
        <v>86</v>
      </c>
      <c r="F310" s="4"/>
      <c r="G310" s="6"/>
      <c r="H310" s="6"/>
      <c r="I310" s="6"/>
      <c r="J310" s="6"/>
      <c r="K310" s="6"/>
      <c r="L310" s="6"/>
    </row>
    <row r="311" spans="1:12">
      <c r="A311" s="22" t="s">
        <v>8</v>
      </c>
      <c r="B311" s="23"/>
      <c r="C311" s="23"/>
      <c r="D311" s="23"/>
      <c r="E311" s="22" t="s">
        <v>9</v>
      </c>
      <c r="F311" s="23"/>
      <c r="G311" s="22" t="s">
        <v>10</v>
      </c>
      <c r="H311" s="23"/>
      <c r="I311" s="23"/>
      <c r="J311" s="23"/>
      <c r="K311" s="6"/>
      <c r="L311" s="6"/>
    </row>
    <row r="312" spans="1:12" ht="16.2">
      <c r="A312" s="5" t="s">
        <v>11</v>
      </c>
      <c r="B312" s="5" t="s">
        <v>12</v>
      </c>
      <c r="C312" s="5" t="s">
        <v>13</v>
      </c>
      <c r="D312" s="5" t="s">
        <v>14</v>
      </c>
      <c r="E312" s="5" t="s">
        <v>15</v>
      </c>
      <c r="F312" s="5" t="s">
        <v>16</v>
      </c>
      <c r="G312" s="5" t="s">
        <v>17</v>
      </c>
      <c r="H312" s="5" t="s">
        <v>18</v>
      </c>
      <c r="I312" s="5" t="s">
        <v>19</v>
      </c>
      <c r="J312" s="5" t="s">
        <v>20</v>
      </c>
      <c r="K312" s="6"/>
      <c r="L312" s="6"/>
    </row>
    <row r="313" spans="1:12">
      <c r="A313" s="7"/>
      <c r="B313" s="7"/>
      <c r="C313" s="7"/>
      <c r="D313" s="7"/>
      <c r="E313" s="7"/>
      <c r="F313" s="7"/>
      <c r="G313" s="7"/>
      <c r="H313" s="7"/>
      <c r="I313" s="7"/>
      <c r="J313" s="7"/>
      <c r="K313" s="6"/>
      <c r="L313" s="6"/>
    </row>
    <row r="315" spans="1:12" ht="16.2">
      <c r="A315" s="5" t="s">
        <v>21</v>
      </c>
      <c r="B315" s="5" t="s">
        <v>22</v>
      </c>
      <c r="C315" s="5" t="s">
        <v>23</v>
      </c>
      <c r="D315" s="5" t="s">
        <v>24</v>
      </c>
      <c r="E315" s="5" t="s">
        <v>25</v>
      </c>
      <c r="F315" s="5" t="s">
        <v>26</v>
      </c>
      <c r="G315" s="5" t="s">
        <v>27</v>
      </c>
      <c r="H315" s="5" t="s">
        <v>28</v>
      </c>
      <c r="I315" s="5" t="s">
        <v>29</v>
      </c>
      <c r="J315" s="5" t="s">
        <v>30</v>
      </c>
      <c r="K315" s="5" t="s">
        <v>31</v>
      </c>
      <c r="L315" s="5" t="s">
        <v>32</v>
      </c>
    </row>
    <row r="316" spans="1:12" ht="16.2">
      <c r="A316" s="5" t="s">
        <v>33</v>
      </c>
      <c r="B316" s="5" t="s">
        <v>34</v>
      </c>
      <c r="C316" s="5" t="s">
        <v>35</v>
      </c>
      <c r="D316" s="5" t="s">
        <v>36</v>
      </c>
      <c r="E316" s="5" t="s">
        <v>37</v>
      </c>
      <c r="F316" s="5" t="s">
        <v>38</v>
      </c>
      <c r="G316" s="5" t="s">
        <v>39</v>
      </c>
      <c r="H316" s="5" t="s">
        <v>40</v>
      </c>
      <c r="I316" s="5" t="s">
        <v>41</v>
      </c>
      <c r="J316" s="5" t="s">
        <v>42</v>
      </c>
      <c r="K316" s="5" t="s">
        <v>43</v>
      </c>
      <c r="L316" s="5"/>
    </row>
    <row r="317" spans="1:12" ht="16.2">
      <c r="A317" s="5" t="s">
        <v>44</v>
      </c>
      <c r="B317" s="8"/>
      <c r="C317" s="8"/>
      <c r="D317" s="8"/>
      <c r="E317" s="8"/>
      <c r="F317" s="8"/>
      <c r="G317" s="8"/>
      <c r="H317" s="8"/>
      <c r="I317" s="8"/>
      <c r="J317" s="8"/>
      <c r="K317" s="8"/>
      <c r="L317" s="9">
        <f t="shared" ref="L317:L322" si="108">SUM(B317:K317)</f>
        <v>0</v>
      </c>
    </row>
    <row r="318" spans="1:12" ht="16.2">
      <c r="A318" s="10" t="s">
        <v>45</v>
      </c>
      <c r="B318" s="11">
        <f t="shared" ref="B318:K318" si="109">IFERROR(ROUNDDOWN(B317*($A$313/100), 0), 0)</f>
        <v>0</v>
      </c>
      <c r="C318" s="11">
        <f t="shared" si="109"/>
        <v>0</v>
      </c>
      <c r="D318" s="11">
        <f t="shared" si="109"/>
        <v>0</v>
      </c>
      <c r="E318" s="11">
        <f t="shared" si="109"/>
        <v>0</v>
      </c>
      <c r="F318" s="11">
        <f t="shared" si="109"/>
        <v>0</v>
      </c>
      <c r="G318" s="11">
        <f t="shared" si="109"/>
        <v>0</v>
      </c>
      <c r="H318" s="11">
        <f t="shared" si="109"/>
        <v>0</v>
      </c>
      <c r="I318" s="11">
        <f t="shared" si="109"/>
        <v>0</v>
      </c>
      <c r="J318" s="11">
        <f t="shared" si="109"/>
        <v>0</v>
      </c>
      <c r="K318" s="11">
        <f t="shared" si="109"/>
        <v>0</v>
      </c>
      <c r="L318" s="9">
        <f t="shared" si="108"/>
        <v>0</v>
      </c>
    </row>
    <row r="319" spans="1:12" ht="16.2">
      <c r="A319" s="10" t="s">
        <v>46</v>
      </c>
      <c r="B319" s="11">
        <f t="shared" ref="B319:K319" si="110">IFERROR(ROUNDDOWN(B317*($B$313/100), 0), 0)</f>
        <v>0</v>
      </c>
      <c r="C319" s="11">
        <f t="shared" si="110"/>
        <v>0</v>
      </c>
      <c r="D319" s="11">
        <f t="shared" si="110"/>
        <v>0</v>
      </c>
      <c r="E319" s="11">
        <f t="shared" si="110"/>
        <v>0</v>
      </c>
      <c r="F319" s="11">
        <f t="shared" si="110"/>
        <v>0</v>
      </c>
      <c r="G319" s="11">
        <f t="shared" si="110"/>
        <v>0</v>
      </c>
      <c r="H319" s="11">
        <f t="shared" si="110"/>
        <v>0</v>
      </c>
      <c r="I319" s="11">
        <f t="shared" si="110"/>
        <v>0</v>
      </c>
      <c r="J319" s="11">
        <f t="shared" si="110"/>
        <v>0</v>
      </c>
      <c r="K319" s="11">
        <f t="shared" si="110"/>
        <v>0</v>
      </c>
      <c r="L319" s="9">
        <f t="shared" si="108"/>
        <v>0</v>
      </c>
    </row>
    <row r="320" spans="1:12" ht="16.2">
      <c r="A320" s="10" t="s">
        <v>47</v>
      </c>
      <c r="B320" s="11">
        <f t="shared" ref="B320:K320" si="111">IFERROR(ROUNDDOWN(B317*($C$313/100), 0), 0)</f>
        <v>0</v>
      </c>
      <c r="C320" s="11">
        <f t="shared" si="111"/>
        <v>0</v>
      </c>
      <c r="D320" s="11">
        <f t="shared" si="111"/>
        <v>0</v>
      </c>
      <c r="E320" s="11">
        <f t="shared" si="111"/>
        <v>0</v>
      </c>
      <c r="F320" s="11">
        <f t="shared" si="111"/>
        <v>0</v>
      </c>
      <c r="G320" s="11">
        <f t="shared" si="111"/>
        <v>0</v>
      </c>
      <c r="H320" s="11">
        <f t="shared" si="111"/>
        <v>0</v>
      </c>
      <c r="I320" s="11">
        <f t="shared" si="111"/>
        <v>0</v>
      </c>
      <c r="J320" s="11">
        <f t="shared" si="111"/>
        <v>0</v>
      </c>
      <c r="K320" s="11">
        <f t="shared" si="111"/>
        <v>0</v>
      </c>
      <c r="L320" s="9">
        <f t="shared" si="108"/>
        <v>0</v>
      </c>
    </row>
    <row r="321" spans="1:12" ht="16.2">
      <c r="A321" s="10" t="s">
        <v>48</v>
      </c>
      <c r="B321" s="11">
        <f t="shared" ref="B321:K321" si="112">IFERROR(ROUNDDOWN(B317*($D$313/100), 0), 0)</f>
        <v>0</v>
      </c>
      <c r="C321" s="11">
        <f t="shared" si="112"/>
        <v>0</v>
      </c>
      <c r="D321" s="11">
        <f t="shared" si="112"/>
        <v>0</v>
      </c>
      <c r="E321" s="11">
        <f t="shared" si="112"/>
        <v>0</v>
      </c>
      <c r="F321" s="11">
        <f t="shared" si="112"/>
        <v>0</v>
      </c>
      <c r="G321" s="11">
        <f t="shared" si="112"/>
        <v>0</v>
      </c>
      <c r="H321" s="11">
        <f t="shared" si="112"/>
        <v>0</v>
      </c>
      <c r="I321" s="11">
        <f t="shared" si="112"/>
        <v>0</v>
      </c>
      <c r="J321" s="11">
        <f t="shared" si="112"/>
        <v>0</v>
      </c>
      <c r="K321" s="11">
        <f t="shared" si="112"/>
        <v>0</v>
      </c>
      <c r="L321" s="9">
        <f t="shared" si="108"/>
        <v>0</v>
      </c>
    </row>
    <row r="322" spans="1:12" ht="16.2">
      <c r="A322" s="10" t="s">
        <v>49</v>
      </c>
      <c r="B322" s="11">
        <f t="shared" ref="B322:K322" si="113">IFERROR(B317-SUM(B318:B321), 0)</f>
        <v>0</v>
      </c>
      <c r="C322" s="11">
        <f t="shared" si="113"/>
        <v>0</v>
      </c>
      <c r="D322" s="11">
        <f t="shared" si="113"/>
        <v>0</v>
      </c>
      <c r="E322" s="11">
        <f t="shared" si="113"/>
        <v>0</v>
      </c>
      <c r="F322" s="11">
        <f t="shared" si="113"/>
        <v>0</v>
      </c>
      <c r="G322" s="11">
        <f t="shared" si="113"/>
        <v>0</v>
      </c>
      <c r="H322" s="11">
        <f t="shared" si="113"/>
        <v>0</v>
      </c>
      <c r="I322" s="11">
        <f t="shared" si="113"/>
        <v>0</v>
      </c>
      <c r="J322" s="11">
        <f t="shared" si="113"/>
        <v>0</v>
      </c>
      <c r="K322" s="11">
        <f t="shared" si="113"/>
        <v>0</v>
      </c>
      <c r="L322" s="9">
        <f t="shared" si="108"/>
        <v>0</v>
      </c>
    </row>
  </sheetData>
  <mergeCells count="100">
    <mergeCell ref="E23:F23"/>
    <mergeCell ref="G119:J119"/>
    <mergeCell ref="C165:L165"/>
    <mergeCell ref="G295:J295"/>
    <mergeCell ref="E87:F87"/>
    <mergeCell ref="C293:L293"/>
    <mergeCell ref="C101:L101"/>
    <mergeCell ref="C229:L229"/>
    <mergeCell ref="E39:F39"/>
    <mergeCell ref="C37:L37"/>
    <mergeCell ref="C69:L69"/>
    <mergeCell ref="A39:D39"/>
    <mergeCell ref="E279:F279"/>
    <mergeCell ref="A279:D279"/>
    <mergeCell ref="A197:B197"/>
    <mergeCell ref="E231:F231"/>
    <mergeCell ref="A309:B309"/>
    <mergeCell ref="A71:D71"/>
    <mergeCell ref="A229:B229"/>
    <mergeCell ref="C213:L213"/>
    <mergeCell ref="A261:B261"/>
    <mergeCell ref="E151:F151"/>
    <mergeCell ref="A231:D231"/>
    <mergeCell ref="E135:F135"/>
    <mergeCell ref="E215:F215"/>
    <mergeCell ref="A295:D295"/>
    <mergeCell ref="E103:F103"/>
    <mergeCell ref="A133:B133"/>
    <mergeCell ref="E263:F263"/>
    <mergeCell ref="A263:D263"/>
    <mergeCell ref="A215:D215"/>
    <mergeCell ref="C309:L309"/>
    <mergeCell ref="E183:F183"/>
    <mergeCell ref="A117:B117"/>
    <mergeCell ref="G279:J279"/>
    <mergeCell ref="G231:J231"/>
    <mergeCell ref="A245:B245"/>
    <mergeCell ref="A165:B165"/>
    <mergeCell ref="C181:L181"/>
    <mergeCell ref="G135:J135"/>
    <mergeCell ref="E119:F119"/>
    <mergeCell ref="G71:J71"/>
    <mergeCell ref="A101:B101"/>
    <mergeCell ref="A85:B85"/>
    <mergeCell ref="A149:B149"/>
    <mergeCell ref="A53:B53"/>
    <mergeCell ref="C133:L133"/>
    <mergeCell ref="C53:L53"/>
    <mergeCell ref="G55:J55"/>
    <mergeCell ref="E71:F71"/>
    <mergeCell ref="A69:B69"/>
    <mergeCell ref="C85:L85"/>
    <mergeCell ref="A311:D311"/>
    <mergeCell ref="E55:F55"/>
    <mergeCell ref="A135:D135"/>
    <mergeCell ref="G215:J215"/>
    <mergeCell ref="E247:F247"/>
    <mergeCell ref="G183:J183"/>
    <mergeCell ref="A199:D199"/>
    <mergeCell ref="G311:J311"/>
    <mergeCell ref="A167:D167"/>
    <mergeCell ref="G247:J247"/>
    <mergeCell ref="C245:L245"/>
    <mergeCell ref="G151:J151"/>
    <mergeCell ref="C197:L197"/>
    <mergeCell ref="A181:B181"/>
    <mergeCell ref="C261:L261"/>
    <mergeCell ref="C117:L117"/>
    <mergeCell ref="E311:F311"/>
    <mergeCell ref="A103:D103"/>
    <mergeCell ref="A21:B21"/>
    <mergeCell ref="G39:J39"/>
    <mergeCell ref="A5:B5"/>
    <mergeCell ref="A87:D87"/>
    <mergeCell ref="G199:J199"/>
    <mergeCell ref="G103:J103"/>
    <mergeCell ref="C277:L277"/>
    <mergeCell ref="E7:F7"/>
    <mergeCell ref="G263:J263"/>
    <mergeCell ref="G87:J87"/>
    <mergeCell ref="G167:J167"/>
    <mergeCell ref="A247:D247"/>
    <mergeCell ref="A23:D23"/>
    <mergeCell ref="C149:L149"/>
    <mergeCell ref="E295:F295"/>
    <mergeCell ref="E167:F167"/>
    <mergeCell ref="C5:L5"/>
    <mergeCell ref="A119:D119"/>
    <mergeCell ref="A213:B213"/>
    <mergeCell ref="A183:D183"/>
    <mergeCell ref="E199:F199"/>
    <mergeCell ref="A55:D55"/>
    <mergeCell ref="C21:L21"/>
    <mergeCell ref="A151:D151"/>
    <mergeCell ref="A7:D7"/>
    <mergeCell ref="A37:B37"/>
    <mergeCell ref="G23:J23"/>
    <mergeCell ref="G7:J7"/>
    <mergeCell ref="A293:B293"/>
    <mergeCell ref="A277:B277"/>
  </mergeCells>
  <phoneticPr fontId="10"/>
  <dataValidations count="4">
    <dataValidation type="list" allowBlank="1" sqref="B6 B22 B38 B54 B70 B86 B102 B118 B134 B150 B166 B182 B198 B214 B230 B246 B262 B278 B294 B310" xr:uid="{00000000-0002-0000-0100-000000000000}">
      <formula1>"管渠,ポンプ場,処理場,浄水場,配水池,その他"</formula1>
    </dataValidation>
    <dataValidation type="list" allowBlank="1" sqref="D6 D22 D38 D54 D70 D86 D102 D118 D134 D150 D166 D182 D198 D214 D230 D246 D262 D278 D294 D310" xr:uid="{00000000-0002-0000-0100-000001000000}">
      <formula1>"更新,新規"</formula1>
    </dataValidation>
    <dataValidation type="list" allowBlank="1" sqref="F6 F22 F38 F54 F70 F86 F102 F118 F134 F150 F166 F182 F198 F214 F230 F246 F262 F278 F294 F310" xr:uid="{00000000-0002-0000-0100-000002000000}">
      <formula1>"単独,補助"</formula1>
    </dataValidation>
    <dataValidation type="list" allowBlank="1" sqref="J9 J25 J313 J41 J73 J89 J105 J121 J137 J153 J169 J185 J201 J217 J233 J249 J265 J281 J297 J57" xr:uid="{00000000-0002-0000-0100-000003000000}">
      <formula1>"元金均等,元利均等"</formula1>
    </dataValidation>
  </dataValidations>
  <pageMargins left="0.75" right="0.75" top="1" bottom="1" header="0.5" footer="0.5"/>
  <pageSetup paperSize="9"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0"/>
  <sheetViews>
    <sheetView workbookViewId="0"/>
  </sheetViews>
  <sheetFormatPr defaultRowHeight="13.2"/>
  <cols>
    <col min="1" max="1" width="20" customWidth="1"/>
    <col min="2" max="11" width="12" customWidth="1"/>
    <col min="12" max="12" width="15" customWidth="1"/>
  </cols>
  <sheetData>
    <row r="1" spans="1:12" ht="26.4">
      <c r="A1" s="1" t="s">
        <v>69</v>
      </c>
    </row>
    <row r="2" spans="1:12" ht="16.2">
      <c r="A2" s="2" t="s">
        <v>70</v>
      </c>
    </row>
    <row r="4" spans="1:12" ht="30" customHeight="1">
      <c r="A4" s="17" t="s">
        <v>71</v>
      </c>
      <c r="B4" s="17" t="s">
        <v>72</v>
      </c>
      <c r="C4" s="17" t="s">
        <v>73</v>
      </c>
      <c r="D4" s="17" t="s">
        <v>74</v>
      </c>
      <c r="E4" s="17" t="s">
        <v>75</v>
      </c>
      <c r="F4" s="17" t="s">
        <v>76</v>
      </c>
      <c r="G4" s="17" t="s">
        <v>77</v>
      </c>
      <c r="H4" s="17" t="s">
        <v>78</v>
      </c>
      <c r="I4" s="17" t="s">
        <v>79</v>
      </c>
      <c r="J4" s="17" t="s">
        <v>80</v>
      </c>
      <c r="K4" s="17" t="s">
        <v>81</v>
      </c>
      <c r="L4" s="17" t="s">
        <v>32</v>
      </c>
    </row>
    <row r="5" spans="1:12" ht="16.2">
      <c r="A5" s="5" t="s">
        <v>82</v>
      </c>
      <c r="B5" s="9">
        <f>SUM(建設改良費調査票!B13,建設改良費調査票!B29,建設改良費調査票!B45,建設改良費調査票!B61,建設改良費調査票!B77,建設改良費調査票!B93,建設改良費調査票!B109,建設改良費調査票!B125,建設改良費調査票!B141,建設改良費調査票!B157,建設改良費調査票!B173,建設改良費調査票!B189,建設改良費調査票!B205,建設改良費調査票!B221,建設改良費調査票!B237,建設改良費調査票!B253,建設改良費調査票!B269,建設改良費調査票!B285,建設改良費調査票!B301,建設改良費調査票!B317)</f>
        <v>565400</v>
      </c>
      <c r="C5" s="9">
        <f>SUM(建設改良費調査票!C13,建設改良費調査票!C29,建設改良費調査票!C45,建設改良費調査票!C61,建設改良費調査票!C77,建設改良費調査票!C93,建設改良費調査票!C109,建設改良費調査票!C125,建設改良費調査票!C141,建設改良費調査票!C157,建設改良費調査票!C173,建設改良費調査票!C189,建設改良費調査票!C205,建設改良費調査票!C221,建設改良費調査票!C237,建設改良費調査票!C253,建設改良費調査票!C269,建設改良費調査票!C285,建設改良費調査票!C301,建設改良費調査票!C317)</f>
        <v>869600</v>
      </c>
      <c r="D5" s="9">
        <f>SUM(建設改良費調査票!D13,建設改良費調査票!D29,建設改良費調査票!D45,建設改良費調査票!D61,建設改良費調査票!D77,建設改良費調査票!D93,建設改良費調査票!D109,建設改良費調査票!D125,建設改良費調査票!D141,建設改良費調査票!D157,建設改良費調査票!D173,建設改良費調査票!D189,建設改良費調査票!D205,建設改良費調査票!D221,建設改良費調査票!D237,建設改良費調査票!D253,建設改良費調査票!D269,建設改良費調査票!D285,建設改良費調査票!D301,建設改良費調査票!D317)</f>
        <v>210000</v>
      </c>
      <c r="E5" s="9">
        <f>SUM(建設改良費調査票!E13,建設改良費調査票!E29,建設改良費調査票!E45,建設改良費調査票!E61,建設改良費調査票!E77,建設改良費調査票!E93,建設改良費調査票!E109,建設改良費調査票!E125,建設改良費調査票!E141,建設改良費調査票!E157,建設改良費調査票!E173,建設改良費調査票!E189,建設改良費調査票!E205,建設改良費調査票!E221,建設改良費調査票!E237,建設改良費調査票!E253,建設改良費調査票!E269,建設改良費調査票!E285,建設改良費調査票!E301,建設改良費調査票!E317)</f>
        <v>320000</v>
      </c>
      <c r="F5" s="9">
        <f>SUM(建設改良費調査票!F13,建設改良費調査票!F29,建設改良費調査票!F45,建設改良費調査票!F61,建設改良費調査票!F77,建設改良費調査票!F93,建設改良費調査票!F109,建設改良費調査票!F125,建設改良費調査票!F141,建設改良費調査票!F157,建設改良費調査票!F173,建設改良費調査票!F189,建設改良費調査票!F205,建設改良費調査票!F221,建設改良費調査票!F237,建設改良費調査票!F253,建設改良費調査票!F269,建設改良費調査票!F285,建設改良費調査票!F301,建設改良費調査票!F317)</f>
        <v>320000</v>
      </c>
      <c r="G5" s="9">
        <f>SUM(建設改良費調査票!G13,建設改良費調査票!G29,建設改良費調査票!G45,建設改良費調査票!G61,建設改良費調査票!G77,建設改良費調査票!G93,建設改良費調査票!G109,建設改良費調査票!G125,建設改良費調査票!G141,建設改良費調査票!G157,建設改良費調査票!G173,建設改良費調査票!G189,建設改良費調査票!G205,建設改良費調査票!G221,建設改良費調査票!G237,建設改良費調査票!G253,建設改良費調査票!G269,建設改良費調査票!G285,建設改良費調査票!G301,建設改良費調査票!G317)</f>
        <v>320000</v>
      </c>
      <c r="H5" s="9">
        <f>SUM(建設改良費調査票!H13,建設改良費調査票!H29,建設改良費調査票!H45,建設改良費調査票!H61,建設改良費調査票!H77,建設改良費調査票!H93,建設改良費調査票!H109,建設改良費調査票!H125,建設改良費調査票!H141,建設改良費調査票!H157,建設改良費調査票!H173,建設改良費調査票!H189,建設改良費調査票!H205,建設改良費調査票!H221,建設改良費調査票!H237,建設改良費調査票!H253,建設改良費調査票!H269,建設改良費調査票!H285,建設改良費調査票!H301,建設改良費調査票!H317)</f>
        <v>160000</v>
      </c>
      <c r="I5" s="9">
        <f>SUM(建設改良費調査票!I13,建設改良費調査票!I29,建設改良費調査票!I45,建設改良費調査票!I61,建設改良費調査票!I77,建設改良費調査票!I93,建設改良費調査票!I109,建設改良費調査票!I125,建設改良費調査票!I141,建設改良費調査票!I157,建設改良費調査票!I173,建設改良費調査票!I189,建設改良費調査票!I205,建設改良費調査票!I221,建設改良費調査票!I237,建設改良費調査票!I253,建設改良費調査票!I269,建設改良費調査票!I285,建設改良費調査票!I301,建設改良費調査票!I317)</f>
        <v>250000</v>
      </c>
      <c r="J5" s="9">
        <f>SUM(建設改良費調査票!J13,建設改良費調査票!J29,建設改良費調査票!J45,建設改良費調査票!J61,建設改良費調査票!J77,建設改良費調査票!J93,建設改良費調査票!J109,建設改良費調査票!J125,建設改良費調査票!J141,建設改良費調査票!J157,建設改良費調査票!J173,建設改良費調査票!J189,建設改良費調査票!J205,建設改良費調査票!J221,建設改良費調査票!J237,建設改良費調査票!J253,建設改良費調査票!J269,建設改良費調査票!J285,建設改良費調査票!J301,建設改良費調査票!J317)</f>
        <v>250000</v>
      </c>
      <c r="K5" s="9">
        <f>SUM(建設改良費調査票!K13,建設改良費調査票!K29,建設改良費調査票!K45,建設改良費調査票!K61,建設改良費調査票!K77,建設改良費調査票!K93,建設改良費調査票!K109,建設改良費調査票!K125,建設改良費調査票!K141,建設改良費調査票!K157,建設改良費調査票!K173,建設改良費調査票!K189,建設改良費調査票!K205,建設改良費調査票!K221,建設改良費調査票!K237,建設改良費調査票!K253,建設改良費調査票!K269,建設改良費調査票!K285,建設改良費調査票!K301,建設改良費調査票!K317)</f>
        <v>250000</v>
      </c>
      <c r="L5" s="9">
        <f t="shared" ref="L5:L10" si="0">SUM(B5:K5)</f>
        <v>3515000</v>
      </c>
    </row>
    <row r="6" spans="1:12" ht="16.2">
      <c r="A6" s="10" t="s">
        <v>45</v>
      </c>
      <c r="B6" s="18">
        <f>SUM(建設改良費調査票!B14,建設改良費調査票!B30,建設改良費調査票!B46,建設改良費調査票!B62,建設改良費調査票!B78,建設改良費調査票!B94,建設改良費調査票!B110,建設改良費調査票!B126,建設改良費調査票!B142,建設改良費調査票!B158,建設改良費調査票!B174,建設改良費調査票!B190,建設改良費調査票!B206,建設改良費調査票!B222,建設改良費調査票!B238,建設改良費調査票!B254,建設改良費調査票!B270,建設改良費調査票!B286,建設改良費調査票!B302,建設改良費調査票!B318)</f>
        <v>86000</v>
      </c>
      <c r="C6" s="18">
        <f>SUM(建設改良費調査票!C14,建設改良費調査票!C30,建設改良費調査票!C46,建設改良費調査票!C62,建設改良費調査票!C78,建設改良費調査票!C94,建設改良費調査票!C110,建設改良費調査票!C126,建設改良費調査票!C142,建設改良費調査票!C158,建設改良費調査票!C174,建設改良費調査票!C190,建設改良費調査票!C206,建設改良費調査票!C222,建設改良費調査票!C238,建設改良費調査票!C254,建設改良費調査票!C270,建設改良費調査票!C286,建設改良費調査票!C302,建設改良費調査票!C318)</f>
        <v>97500</v>
      </c>
      <c r="D6" s="18">
        <f>SUM(建設改良費調査票!D14,建設改良費調査票!D30,建設改良費調査票!D46,建設改良費調査票!D62,建設改良費調査票!D78,建設改良費調査票!D94,建設改良費調査票!D110,建設改良費調査票!D126,建設改良費調査票!D142,建設改良費調査票!D158,建設改良費調査票!D174,建設改良費調査票!D190,建設改良費調査票!D206,建設改良費調査票!D222,建設改良費調査票!D238,建設改良費調査票!D254,建設改良費調査票!D270,建設改良費調査票!D286,建設改良費調査票!D302,建設改良費調査票!D318)</f>
        <v>95000</v>
      </c>
      <c r="E6" s="18">
        <f>SUM(建設改良費調査票!E14,建設改良費調査票!E30,建設改良費調査票!E46,建設改良費調査票!E62,建設改良費調査票!E78,建設改良費調査票!E94,建設改良費調査票!E110,建設改良費調査票!E126,建設改良費調査票!E142,建設改良費調査票!E158,建設改良費調査票!E174,建設改良費調査票!E190,建設改良費調査票!E206,建設改良費調査票!E222,建設改良費調査票!E238,建設改良費調査票!E254,建設改良費調査票!E270,建設改良費調査票!E286,建設改良費調査票!E302,建設改良費調査票!E318)</f>
        <v>55000</v>
      </c>
      <c r="F6" s="18">
        <f>SUM(建設改良費調査票!F14,建設改良費調査票!F30,建設改良費調査票!F46,建設改良費調査票!F62,建設改良費調査票!F78,建設改良費調査票!F94,建設改良費調査票!F110,建設改良費調査票!F126,建設改良費調査票!F142,建設改良費調査票!F158,建設改良費調査票!F174,建設改良費調査票!F190,建設改良費調査票!F206,建設改良費調査票!F222,建設改良費調査票!F238,建設改良費調査票!F254,建設改良費調査票!F270,建設改良費調査票!F286,建設改良費調査票!F302,建設改良費調査票!F318)</f>
        <v>55000</v>
      </c>
      <c r="G6" s="18">
        <f>SUM(建設改良費調査票!G14,建設改良費調査票!G30,建設改良費調査票!G46,建設改良費調査票!G62,建設改良費調査票!G78,建設改良費調査票!G94,建設改良費調査票!G110,建設改良費調査票!G126,建設改良費調査票!G142,建設改良費調査票!G158,建設改良費調査票!G174,建設改良費調査票!G190,建設改良費調査票!G206,建設改良費調査票!G222,建設改良費調査票!G238,建設改良費調査票!G254,建設改良費調査票!G270,建設改良費調査票!G286,建設改良費調査票!G302,建設改良費調査票!G318)</f>
        <v>55000</v>
      </c>
      <c r="H6" s="18">
        <f>SUM(建設改良費調査票!H14,建設改良費調査票!H30,建設改良費調査票!H46,建設改良費調査票!H62,建設改良費調査票!H78,建設改良費調査票!H94,建設改良費調査票!H110,建設改良費調査票!H126,建設改良費調査票!H142,建設改良費調査票!H158,建設改良費調査票!H174,建設改良費調査票!H190,建設改良費調査票!H206,建設改良費調査票!H222,建設改良費調査票!H238,建設改良費調査票!H254,建設改良費調査票!H270,建設改良費調査票!H286,建設改良費調査票!H302,建設改良費調査票!H318)</f>
        <v>15000</v>
      </c>
      <c r="I6" s="18">
        <f>SUM(建設改良費調査票!I14,建設改良費調査票!I30,建設改良費調査票!I46,建設改良費調査票!I62,建設改良費調査票!I78,建設改良費調査票!I94,建設改良費調査票!I110,建設改良費調査票!I126,建設改良費調査票!I142,建設改良費調査票!I158,建設改良費調査票!I174,建設改良費調査票!I190,建設改良費調査票!I206,建設改良費調査票!I222,建設改良費調査票!I238,建設改良費調査票!I254,建設改良費調査票!I270,建設改良費調査票!I286,建設改良費調査票!I302,建設改良費調査票!I318)</f>
        <v>37500</v>
      </c>
      <c r="J6" s="18">
        <f>SUM(建設改良費調査票!J14,建設改良費調査票!J30,建設改良費調査票!J46,建設改良費調査票!J62,建設改良費調査票!J78,建設改良費調査票!J94,建設改良費調査票!J110,建設改良費調査票!J126,建設改良費調査票!J142,建設改良費調査票!J158,建設改良費調査票!J174,建設改良費調査票!J190,建設改良費調査票!J206,建設改良費調査票!J222,建設改良費調査票!J238,建設改良費調査票!J254,建設改良費調査票!J270,建設改良費調査票!J286,建設改良費調査票!J302,建設改良費調査票!J318)</f>
        <v>37500</v>
      </c>
      <c r="K6" s="18">
        <f>SUM(建設改良費調査票!K14,建設改良費調査票!K30,建設改良費調査票!K46,建設改良費調査票!K62,建設改良費調査票!K78,建設改良費調査票!K94,建設改良費調査票!K110,建設改良費調査票!K126,建設改良費調査票!K142,建設改良費調査票!K158,建設改良費調査票!K174,建設改良費調査票!K190,建設改良費調査票!K206,建設改良費調査票!K222,建設改良費調査票!K238,建設改良費調査票!K254,建設改良費調査票!K270,建設改良費調査票!K286,建設改良費調査票!K302,建設改良費調査票!K318)</f>
        <v>37500</v>
      </c>
      <c r="L6" s="19">
        <f t="shared" si="0"/>
        <v>571000</v>
      </c>
    </row>
    <row r="7" spans="1:12" ht="16.2">
      <c r="A7" s="10" t="s">
        <v>46</v>
      </c>
      <c r="B7" s="18">
        <f>SUM(建設改良費調査票!B15,建設改良費調査票!B31,建設改良費調査票!B47,建設改良費調査票!B63,建設改良費調査票!B79,建設改良費調査票!B95,建設改良費調査票!B111,建設改良費調査票!B127,建設改良費調査票!B143,建設改良費調査票!B159,建設改良費調査票!B175,建設改良費調査票!B191,建設改良費調査票!B207,建設改良費調査票!B223,建設改良費調査票!B239,建設改良費調査票!B255,建設改良費調査票!B271,建設改良費調査票!B287,建設改良費調査票!B303,建設改良費調査票!B319)</f>
        <v>291700</v>
      </c>
      <c r="C7" s="18">
        <f>SUM(建設改良費調査票!C15,建設改良費調査票!C31,建設改良費調査票!C47,建設改良費調査票!C63,建設改良費調査票!C79,建設改良費調査票!C95,建設改良費調査票!C111,建設改良費調査票!C127,建設改良費調査票!C143,建設改良費調査票!C159,建設改良費調査票!C175,建設改良費調査票!C191,建設改良費調査票!C207,建設改良費調査票!C223,建設改良費調査票!C239,建設改良費調査票!C255,建設改良費調査票!C271,建設改良費調査票!C287,建設改良費調査票!C303,建設改良費調査票!C319)</f>
        <v>449800</v>
      </c>
      <c r="D7" s="18">
        <f>SUM(建設改良費調査票!D15,建設改良費調査票!D31,建設改良費調査票!D47,建設改良費調査票!D63,建設改良費調査票!D79,建設改良費調査票!D95,建設改良費調査票!D111,建設改良費調査票!D127,建設改良費調査票!D143,建設改良費調査票!D159,建設改良費調査票!D175,建設改良費調査票!D191,建設改良費調査票!D207,建設改良費調査票!D223,建設改良費調査票!D239,建設改良費調査票!D255,建設改良費調査票!D271,建設改良費調査票!D287,建設改良費調査票!D303,建設改良費調査票!D319)</f>
        <v>115000</v>
      </c>
      <c r="E7" s="18">
        <f>SUM(建設改良費調査票!E15,建設改良費調査票!E31,建設改良費調査票!E47,建設改良費調査票!E63,建設改良費調査票!E79,建設改良費調査票!E95,建設改良費調査票!E111,建設改良費調査票!E127,建設改良費調査票!E143,建設改良費調査票!E159,建設改良費調査票!E175,建設改良費調査票!E191,建設改良費調査票!E207,建設改良費調査票!E223,建設改良費調査票!E239,建設改良費調査票!E255,建設改良費調査票!E271,建設改良費調査票!E287,建設改良費調査票!E303,建設改良費調査票!E319)</f>
        <v>265000</v>
      </c>
      <c r="F7" s="18">
        <f>SUM(建設改良費調査票!F15,建設改良費調査票!F31,建設改良費調査票!F47,建設改良費調査票!F63,建設改良費調査票!F79,建設改良費調査票!F95,建設改良費調査票!F111,建設改良費調査票!F127,建設改良費調査票!F143,建設改良費調査票!F159,建設改良費調査票!F175,建設改良費調査票!F191,建設改良費調査票!F207,建設改良費調査票!F223,建設改良費調査票!F239,建設改良費調査票!F255,建設改良費調査票!F271,建設改良費調査票!F287,建設改良費調査票!F303,建設改良費調査票!F319)</f>
        <v>265000</v>
      </c>
      <c r="G7" s="18">
        <f>SUM(建設改良費調査票!G15,建設改良費調査票!G31,建設改良費調査票!G47,建設改良費調査票!G63,建設改良費調査票!G79,建設改良費調査票!G95,建設改良費調査票!G111,建設改良費調査票!G127,建設改良費調査票!G143,建設改良費調査票!G159,建設改良費調査票!G175,建設改良費調査票!G191,建設改良費調査票!G207,建設改良費調査票!G223,建設改良費調査票!G239,建設改良費調査票!G255,建設改良費調査票!G271,建設改良費調査票!G287,建設改良費調査票!G303,建設改良費調査票!G319)</f>
        <v>265000</v>
      </c>
      <c r="H7" s="18">
        <f>SUM(建設改良費調査票!H15,建設改良費調査票!H31,建設改良費調査票!H47,建設改良費調査票!H63,建設改良費調査票!H79,建設改良費調査票!H95,建設改良費調査票!H111,建設改良費調査票!H127,建設改良費調査票!H143,建設改良費調査票!H159,建設改良費調査票!H175,建設改良費調査票!H191,建設改良費調査票!H207,建設改良費調査票!H223,建設改良費調査票!H239,建設改良費調査票!H255,建設改良費調査票!H271,建設改良費調査票!H287,建設改良費調査票!H303,建設改良費調査票!H319)</f>
        <v>145000</v>
      </c>
      <c r="I7" s="18">
        <f>SUM(建設改良費調査票!I15,建設改良費調査票!I31,建設改良費調査票!I47,建設改良費調査票!I63,建設改良費調査票!I79,建設改良費調査票!I95,建設改良費調査票!I111,建設改良費調査票!I127,建設改良費調査票!I143,建設改良費調査票!I159,建設改良費調査票!I175,建設改良費調査票!I191,建設改良費調査票!I207,建設改良費調査票!I223,建設改良費調査票!I239,建設改良費調査票!I255,建設改良費調査票!I271,建設改良費調査票!I287,建設改良費調査票!I303,建設改良費調査票!I319)</f>
        <v>212500</v>
      </c>
      <c r="J7" s="18">
        <f>SUM(建設改良費調査票!J15,建設改良費調査票!J31,建設改良費調査票!J47,建設改良費調査票!J63,建設改良費調査票!J79,建設改良費調査票!J95,建設改良費調査票!J111,建設改良費調査票!J127,建設改良費調査票!J143,建設改良費調査票!J159,建設改良費調査票!J175,建設改良費調査票!J191,建設改良費調査票!J207,建設改良費調査票!J223,建設改良費調査票!J239,建設改良費調査票!J255,建設改良費調査票!J271,建設改良費調査票!J287,建設改良費調査票!J303,建設改良費調査票!J319)</f>
        <v>212500</v>
      </c>
      <c r="K7" s="18">
        <f>SUM(建設改良費調査票!K15,建設改良費調査票!K31,建設改良費調査票!K47,建設改良費調査票!K63,建設改良費調査票!K79,建設改良費調査票!K95,建設改良費調査票!K111,建設改良費調査票!K127,建設改良費調査票!K143,建設改良費調査票!K159,建設改良費調査票!K175,建設改良費調査票!K191,建設改良費調査票!K207,建設改良費調査票!K223,建設改良費調査票!K239,建設改良費調査票!K255,建設改良費調査票!K271,建設改良費調査票!K287,建設改良費調査票!K303,建設改良費調査票!K319)</f>
        <v>212500</v>
      </c>
      <c r="L7" s="19">
        <f t="shared" si="0"/>
        <v>2434000</v>
      </c>
    </row>
    <row r="8" spans="1:12" ht="16.2">
      <c r="A8" s="10" t="s">
        <v>47</v>
      </c>
      <c r="B8" s="18">
        <f>SUM(建設改良費調査票!B16,建設改良費調査票!B32,建設改良費調査票!B48,建設改良費調査票!B64,建設改良費調査票!B80,建設改良費調査票!B96,建設改良費調査票!B112,建設改良費調査票!B128,建設改良費調査票!B144,建設改良費調査票!B160,建設改良費調査票!B176,建設改良費調査票!B192,建設改良費調査票!B208,建設改良費調査票!B224,建設改良費調査票!B240,建設改良費調査票!B256,建設改良費調査票!B272,建設改良費調査票!B288,建設改良費調査票!B304,建設改良費調査票!B320)</f>
        <v>0</v>
      </c>
      <c r="C8" s="18">
        <f>SUM(建設改良費調査票!C16,建設改良費調査票!C32,建設改良費調査票!C48,建設改良費調査票!C64,建設改良費調査票!C80,建設改良費調査票!C96,建設改良費調査票!C112,建設改良費調査票!C128,建設改良費調査票!C144,建設改良費調査票!C160,建設改良費調査票!C176,建設改良費調査票!C192,建設改良費調査票!C208,建設改良費調査票!C224,建設改良費調査票!C240,建設改良費調査票!C256,建設改良費調査票!C272,建設改良費調査票!C288,建設改良費調査票!C304,建設改良費調査票!C320)</f>
        <v>0</v>
      </c>
      <c r="D8" s="18">
        <f>SUM(建設改良費調査票!D16,建設改良費調査票!D32,建設改良費調査票!D48,建設改良費調査票!D64,建設改良費調査票!D80,建設改良費調査票!D96,建設改良費調査票!D112,建設改良費調査票!D128,建設改良費調査票!D144,建設改良費調査票!D160,建設改良費調査票!D176,建設改良費調査票!D192,建設改良費調査票!D208,建設改良費調査票!D224,建設改良費調査票!D240,建設改良費調査票!D256,建設改良費調査票!D272,建設改良費調査票!D288,建設改良費調査票!D304,建設改良費調査票!D320)</f>
        <v>0</v>
      </c>
      <c r="E8" s="18">
        <f>SUM(建設改良費調査票!E16,建設改良費調査票!E32,建設改良費調査票!E48,建設改良費調査票!E64,建設改良費調査票!E80,建設改良費調査票!E96,建設改良費調査票!E112,建設改良費調査票!E128,建設改良費調査票!E144,建設改良費調査票!E160,建設改良費調査票!E176,建設改良費調査票!E192,建設改良費調査票!E208,建設改良費調査票!E224,建設改良費調査票!E240,建設改良費調査票!E256,建設改良費調査票!E272,建設改良費調査票!E288,建設改良費調査票!E304,建設改良費調査票!E320)</f>
        <v>0</v>
      </c>
      <c r="F8" s="18">
        <f>SUM(建設改良費調査票!F16,建設改良費調査票!F32,建設改良費調査票!F48,建設改良費調査票!F64,建設改良費調査票!F80,建設改良費調査票!F96,建設改良費調査票!F112,建設改良費調査票!F128,建設改良費調査票!F144,建設改良費調査票!F160,建設改良費調査票!F176,建設改良費調査票!F192,建設改良費調査票!F208,建設改良費調査票!F224,建設改良費調査票!F240,建設改良費調査票!F256,建設改良費調査票!F272,建設改良費調査票!F288,建設改良費調査票!F304,建設改良費調査票!F320)</f>
        <v>0</v>
      </c>
      <c r="G8" s="18">
        <f>SUM(建設改良費調査票!G16,建設改良費調査票!G32,建設改良費調査票!G48,建設改良費調査票!G64,建設改良費調査票!G80,建設改良費調査票!G96,建設改良費調査票!G112,建設改良費調査票!G128,建設改良費調査票!G144,建設改良費調査票!G160,建設改良費調査票!G176,建設改良費調査票!G192,建設改良費調査票!G208,建設改良費調査票!G224,建設改良費調査票!G240,建設改良費調査票!G256,建設改良費調査票!G272,建設改良費調査票!G288,建設改良費調査票!G304,建設改良費調査票!G320)</f>
        <v>0</v>
      </c>
      <c r="H8" s="18">
        <f>SUM(建設改良費調査票!H16,建設改良費調査票!H32,建設改良費調査票!H48,建設改良費調査票!H64,建設改良費調査票!H80,建設改良費調査票!H96,建設改良費調査票!H112,建設改良費調査票!H128,建設改良費調査票!H144,建設改良費調査票!H160,建設改良費調査票!H176,建設改良費調査票!H192,建設改良費調査票!H208,建設改良費調査票!H224,建設改良費調査票!H240,建設改良費調査票!H256,建設改良費調査票!H272,建設改良費調査票!H288,建設改良費調査票!H304,建設改良費調査票!H320)</f>
        <v>0</v>
      </c>
      <c r="I8" s="18">
        <f>SUM(建設改良費調査票!I16,建設改良費調査票!I32,建設改良費調査票!I48,建設改良費調査票!I64,建設改良費調査票!I80,建設改良費調査票!I96,建設改良費調査票!I112,建設改良費調査票!I128,建設改良費調査票!I144,建設改良費調査票!I160,建設改良費調査票!I176,建設改良費調査票!I192,建設改良費調査票!I208,建設改良費調査票!I224,建設改良費調査票!I240,建設改良費調査票!I256,建設改良費調査票!I272,建設改良費調査票!I288,建設改良費調査票!I304,建設改良費調査票!I320)</f>
        <v>0</v>
      </c>
      <c r="J8" s="18">
        <f>SUM(建設改良費調査票!J16,建設改良費調査票!J32,建設改良費調査票!J48,建設改良費調査票!J64,建設改良費調査票!J80,建設改良費調査票!J96,建設改良費調査票!J112,建設改良費調査票!J128,建設改良費調査票!J144,建設改良費調査票!J160,建設改良費調査票!J176,建設改良費調査票!J192,建設改良費調査票!J208,建設改良費調査票!J224,建設改良費調査票!J240,建設改良費調査票!J256,建設改良費調査票!J272,建設改良費調査票!J288,建設改良費調査票!J304,建設改良費調査票!J320)</f>
        <v>0</v>
      </c>
      <c r="K8" s="18">
        <f>SUM(建設改良費調査票!K16,建設改良費調査票!K32,建設改良費調査票!K48,建設改良費調査票!K64,建設改良費調査票!K80,建設改良費調査票!K96,建設改良費調査票!K112,建設改良費調査票!K128,建設改良費調査票!K144,建設改良費調査票!K160,建設改良費調査票!K176,建設改良費調査票!K192,建設改良費調査票!K208,建設改良費調査票!K224,建設改良費調査票!K240,建設改良費調査票!K256,建設改良費調査票!K272,建設改良費調査票!K288,建設改良費調査票!K304,建設改良費調査票!K320)</f>
        <v>0</v>
      </c>
      <c r="L8" s="19">
        <f t="shared" si="0"/>
        <v>0</v>
      </c>
    </row>
    <row r="9" spans="1:12" ht="16.2">
      <c r="A9" s="10" t="s">
        <v>48</v>
      </c>
      <c r="B9" s="18">
        <f>SUM(建設改良費調査票!B17,建設改良費調査票!B33,建設改良費調査票!B49,建設改良費調査票!B65,建設改良費調査票!B81,建設改良費調査票!B97,建設改良費調査票!B113,建設改良費調査票!B129,建設改良費調査票!B145,建設改良費調査票!B161,建設改良費調査票!B177,建設改良費調査票!B193,建設改良費調査票!B209,建設改良費調査票!B225,建設改良費調査票!B241,建設改良費調査票!B257,建設改良費調査票!B273,建設改良費調査票!B289,建設改良費調査票!B305,建設改良費調査票!B321)</f>
        <v>1569096000</v>
      </c>
      <c r="C9" s="18">
        <f>SUM(建設改良費調査票!C17,建設改良費調査票!C33,建設改良費調査票!C49,建設改良費調査票!C65,建設改良費調査票!C81,建設改良費調査票!C97,建設改良費調査票!C113,建設改良費調査票!C129,建設改良費調査票!C145,建設改良費調査票!C161,建設改良費調査票!C177,建設改良費調査票!C193,建設改良費調査票!C209,建設改良費調査票!C225,建設改良費調査票!C241,建設改良費調査票!C257,建設改良費調査票!C273,建設改良費調査票!C289,建設改良費調査票!C305,建設改良費調査票!C321)</f>
        <v>2373624000</v>
      </c>
      <c r="D9" s="18">
        <f>SUM(建設改良費調査票!D17,建設改良費調査票!D33,建設改良費調査票!D49,建設改良費調査票!D65,建設改良費調査票!D81,建設改良費調査票!D97,建設改良費調査票!D113,建設改良費調査票!D129,建設改良費調査票!D145,建設改良費調査票!D161,建設改良費調査票!D177,建設改良費調査票!D193,建設改良費調査票!D209,建設改良費調査票!D225,建設改良費調査票!D241,建設改良費調査票!D257,建設改良費調査票!D273,建設改良費調査票!D289,建設改良費調査票!D305,建設改良費調査票!D321)</f>
        <v>0</v>
      </c>
      <c r="E9" s="18">
        <f>SUM(建設改良費調査票!E17,建設改良費調査票!E33,建設改良費調査票!E49,建設改良費調査票!E65,建設改良費調査票!E81,建設改良費調査票!E97,建設改良費調査票!E113,建設改良費調査票!E129,建設改良費調査票!E145,建設改良費調査票!E161,建設改良費調査票!E177,建設改良費調査票!E193,建設改良費調査票!E209,建設改良費調査票!E225,建設改良費調査票!E241,建設改良費調査票!E257,建設改良費調査票!E273,建設改良費調査票!E289,建設改良費調査票!E305,建設改良費調査票!E321)</f>
        <v>0</v>
      </c>
      <c r="F9" s="18">
        <f>SUM(建設改良費調査票!F17,建設改良費調査票!F33,建設改良費調査票!F49,建設改良費調査票!F65,建設改良費調査票!F81,建設改良費調査票!F97,建設改良費調査票!F113,建設改良費調査票!F129,建設改良費調査票!F145,建設改良費調査票!F161,建設改良費調査票!F177,建設改良費調査票!F193,建設改良費調査票!F209,建設改良費調査票!F225,建設改良費調査票!F241,建設改良費調査票!F257,建設改良費調査票!F273,建設改良費調査票!F289,建設改良費調査票!F305,建設改良費調査票!F321)</f>
        <v>0</v>
      </c>
      <c r="G9" s="18">
        <f>SUM(建設改良費調査票!G17,建設改良費調査票!G33,建設改良費調査票!G49,建設改良費調査票!G65,建設改良費調査票!G81,建設改良費調査票!G97,建設改良費調査票!G113,建設改良費調査票!G129,建設改良費調査票!G145,建設改良費調査票!G161,建設改良費調査票!G177,建設改良費調査票!G193,建設改良費調査票!G209,建設改良費調査票!G225,建設改良費調査票!G241,建設改良費調査票!G257,建設改良費調査票!G273,建設改良費調査票!G289,建設改良費調査票!G305,建設改良費調査票!G321)</f>
        <v>0</v>
      </c>
      <c r="H9" s="18">
        <f>SUM(建設改良費調査票!H17,建設改良費調査票!H33,建設改良費調査票!H49,建設改良費調査票!H65,建設改良費調査票!H81,建設改良費調査票!H97,建設改良費調査票!H113,建設改良費調査票!H129,建設改良費調査票!H145,建設改良費調査票!H161,建設改良費調査票!H177,建設改良費調査票!H193,建設改良費調査票!H209,建設改良費調査票!H225,建設改良費調査票!H241,建設改良費調査票!H257,建設改良費調査票!H273,建設改良費調査票!H289,建設改良費調査票!H305,建設改良費調査票!H321)</f>
        <v>0</v>
      </c>
      <c r="I9" s="18">
        <f>SUM(建設改良費調査票!I17,建設改良費調査票!I33,建設改良費調査票!I49,建設改良費調査票!I65,建設改良費調査票!I81,建設改良費調査票!I97,建設改良費調査票!I113,建設改良費調査票!I129,建設改良費調査票!I145,建設改良費調査票!I161,建設改良費調査票!I177,建設改良費調査票!I193,建設改良費調査票!I209,建設改良費調査票!I225,建設改良費調査票!I241,建設改良費調査票!I257,建設改良費調査票!I273,建設改良費調査票!I289,建設改良費調査票!I305,建設改良費調査票!I321)</f>
        <v>0</v>
      </c>
      <c r="J9" s="18">
        <f>SUM(建設改良費調査票!J17,建設改良費調査票!J33,建設改良費調査票!J49,建設改良費調査票!J65,建設改良費調査票!J81,建設改良費調査票!J97,建設改良費調査票!J113,建設改良費調査票!J129,建設改良費調査票!J145,建設改良費調査票!J161,建設改良費調査票!J177,建設改良費調査票!J193,建設改良費調査票!J209,建設改良費調査票!J225,建設改良費調査票!J241,建設改良費調査票!J257,建設改良費調査票!J273,建設改良費調査票!J289,建設改良費調査票!J305,建設改良費調査票!J321)</f>
        <v>0</v>
      </c>
      <c r="K9" s="18">
        <f>SUM(建設改良費調査票!K17,建設改良費調査票!K33,建設改良費調査票!K49,建設改良費調査票!K65,建設改良費調査票!K81,建設改良費調査票!K97,建設改良費調査票!K113,建設改良費調査票!K129,建設改良費調査票!K145,建設改良費調査票!K161,建設改良費調査票!K177,建設改良費調査票!K193,建設改良費調査票!K209,建設改良費調査票!K225,建設改良費調査票!K241,建設改良費調査票!K257,建設改良費調査票!K273,建設改良費調査票!K289,建設改良費調査票!K305,建設改良費調査票!K321)</f>
        <v>0</v>
      </c>
      <c r="L9" s="19">
        <f t="shared" si="0"/>
        <v>3942720000</v>
      </c>
    </row>
    <row r="10" spans="1:12" ht="16.2">
      <c r="A10" s="10" t="s">
        <v>49</v>
      </c>
      <c r="B10" s="18">
        <f>SUM(建設改良費調査票!B18,建設改良費調査票!B34,建設改良費調査票!B50,建設改良費調査票!B66,建設改良費調査票!B82,建設改良費調査票!B98,建設改良費調査票!B114,建設改良費調査票!B130,建設改良費調査票!B146,建設改良費調査票!B162,建設改良費調査票!B178,建設改良費調査票!B194,建設改良費調査票!B210,建設改良費調査票!B226,建設改良費調査票!B242,建設改良費調査票!B258,建設改良費調査票!B274,建設改良費調査票!B290,建設改良費調査票!B306,建設改良費調査票!B322)</f>
        <v>-1568908300</v>
      </c>
      <c r="C10" s="18">
        <f>SUM(建設改良費調査票!C18,建設改良費調査票!C34,建設改良費調査票!C50,建設改良費調査票!C66,建設改良費調査票!C82,建設改良費調査票!C98,建設改良費調査票!C114,建設改良費調査票!C130,建設改良費調査票!C146,建設改良費調査票!C162,建設改良費調査票!C178,建設改良費調査票!C194,建設改良費調査票!C210,建設改良費調査票!C226,建設改良費調査票!C242,建設改良費調査票!C258,建設改良費調査票!C274,建設改良費調査票!C290,建設改良費調査票!C306,建設改良費調査票!C322)</f>
        <v>-2373301700</v>
      </c>
      <c r="D10" s="18">
        <f>SUM(建設改良費調査票!D18,建設改良費調査票!D34,建設改良費調査票!D50,建設改良費調査票!D66,建設改良費調査票!D82,建設改良費調査票!D98,建設改良費調査票!D114,建設改良費調査票!D130,建設改良費調査票!D146,建設改良費調査票!D162,建設改良費調査票!D178,建設改良費調査票!D194,建設改良費調査票!D210,建設改良費調査票!D226,建設改良費調査票!D242,建設改良費調査票!D258,建設改良費調査票!D274,建設改良費調査票!D290,建設改良費調査票!D306,建設改良費調査票!D322)</f>
        <v>0</v>
      </c>
      <c r="E10" s="18">
        <f>SUM(建設改良費調査票!E18,建設改良費調査票!E34,建設改良費調査票!E50,建設改良費調査票!E66,建設改良費調査票!E82,建設改良費調査票!E98,建設改良費調査票!E114,建設改良費調査票!E130,建設改良費調査票!E146,建設改良費調査票!E162,建設改良費調査票!E178,建設改良費調査票!E194,建設改良費調査票!E210,建設改良費調査票!E226,建設改良費調査票!E242,建設改良費調査票!E258,建設改良費調査票!E274,建設改良費調査票!E290,建設改良費調査票!E306,建設改良費調査票!E322)</f>
        <v>0</v>
      </c>
      <c r="F10" s="18">
        <f>SUM(建設改良費調査票!F18,建設改良費調査票!F34,建設改良費調査票!F50,建設改良費調査票!F66,建設改良費調査票!F82,建設改良費調査票!F98,建設改良費調査票!F114,建設改良費調査票!F130,建設改良費調査票!F146,建設改良費調査票!F162,建設改良費調査票!F178,建設改良費調査票!F194,建設改良費調査票!F210,建設改良費調査票!F226,建設改良費調査票!F242,建設改良費調査票!F258,建設改良費調査票!F274,建設改良費調査票!F290,建設改良費調査票!F306,建設改良費調査票!F322)</f>
        <v>0</v>
      </c>
      <c r="G10" s="18">
        <f>SUM(建設改良費調査票!G18,建設改良費調査票!G34,建設改良費調査票!G50,建設改良費調査票!G66,建設改良費調査票!G82,建設改良費調査票!G98,建設改良費調査票!G114,建設改良費調査票!G130,建設改良費調査票!G146,建設改良費調査票!G162,建設改良費調査票!G178,建設改良費調査票!G194,建設改良費調査票!G210,建設改良費調査票!G226,建設改良費調査票!G242,建設改良費調査票!G258,建設改良費調査票!G274,建設改良費調査票!G290,建設改良費調査票!G306,建設改良費調査票!G322)</f>
        <v>0</v>
      </c>
      <c r="H10" s="18">
        <f>SUM(建設改良費調査票!H18,建設改良費調査票!H34,建設改良費調査票!H50,建設改良費調査票!H66,建設改良費調査票!H82,建設改良費調査票!H98,建設改良費調査票!H114,建設改良費調査票!H130,建設改良費調査票!H146,建設改良費調査票!H162,建設改良費調査票!H178,建設改良費調査票!H194,建設改良費調査票!H210,建設改良費調査票!H226,建設改良費調査票!H242,建設改良費調査票!H258,建設改良費調査票!H274,建設改良費調査票!H290,建設改良費調査票!H306,建設改良費調査票!H322)</f>
        <v>0</v>
      </c>
      <c r="I10" s="18">
        <f>SUM(建設改良費調査票!I18,建設改良費調査票!I34,建設改良費調査票!I50,建設改良費調査票!I66,建設改良費調査票!I82,建設改良費調査票!I98,建設改良費調査票!I114,建設改良費調査票!I130,建設改良費調査票!I146,建設改良費調査票!I162,建設改良費調査票!I178,建設改良費調査票!I194,建設改良費調査票!I210,建設改良費調査票!I226,建設改良費調査票!I242,建設改良費調査票!I258,建設改良費調査票!I274,建設改良費調査票!I290,建設改良費調査票!I306,建設改良費調査票!I322)</f>
        <v>0</v>
      </c>
      <c r="J10" s="18">
        <f>SUM(建設改良費調査票!J18,建設改良費調査票!J34,建設改良費調査票!J50,建設改良費調査票!J66,建設改良費調査票!J82,建設改良費調査票!J98,建設改良費調査票!J114,建設改良費調査票!J130,建設改良費調査票!J146,建設改良費調査票!J162,建設改良費調査票!J178,建設改良費調査票!J194,建設改良費調査票!J210,建設改良費調査票!J226,建設改良費調査票!J242,建設改良費調査票!J258,建設改良費調査票!J274,建設改良費調査票!J290,建設改良費調査票!J306,建設改良費調査票!J322)</f>
        <v>0</v>
      </c>
      <c r="K10" s="18">
        <f>SUM(建設改良費調査票!K18,建設改良費調査票!K34,建設改良費調査票!K50,建設改良費調査票!K66,建設改良費調査票!K82,建設改良費調査票!K98,建設改良費調査票!K114,建設改良費調査票!K130,建設改良費調査票!K146,建設改良費調査票!K162,建設改良費調査票!K178,建設改良費調査票!K194,建設改良費調査票!K210,建設改良費調査票!K226,建設改良費調査票!K242,建設改良費調査票!K258,建設改良費調査票!K274,建設改良費調査票!K290,建設改良費調査票!K306,建設改良費調査票!K322)</f>
        <v>0</v>
      </c>
      <c r="L10" s="19">
        <f t="shared" si="0"/>
        <v>-3942210000</v>
      </c>
    </row>
  </sheetData>
  <phoneticPr fontId="1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3</vt:i4>
      </vt:variant>
    </vt:vector>
  </HeadingPairs>
  <TitlesOfParts>
    <vt:vector size="3" baseType="lpstr">
      <vt:lpstr>入力方法</vt:lpstr>
      <vt:lpstr>建設改良費調査票</vt:lpstr>
      <vt:lpstr>集計表</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kensetu16</cp:lastModifiedBy>
  <dcterms:created xsi:type="dcterms:W3CDTF">2026-08-06T04:41:01Z</dcterms:created>
  <dcterms:modified xsi:type="dcterms:W3CDTF">2026-08-27T07:18:00Z</dcterms:modified>
</cp:coreProperties>
</file>