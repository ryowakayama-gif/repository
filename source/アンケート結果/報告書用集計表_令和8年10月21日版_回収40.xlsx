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1-2章_概要・要点" sheetId="2" state="visible" r:id="rId2"/>
    <sheet xmlns:r="http://schemas.openxmlformats.org/officeDocument/2006/relationships" name="3章_1属性" sheetId="3" state="visible" r:id="rId3"/>
    <sheet xmlns:r="http://schemas.openxmlformats.org/officeDocument/2006/relationships" name="3章_2生活・外出" sheetId="4" state="visible" r:id="rId4"/>
    <sheet xmlns:r="http://schemas.openxmlformats.org/officeDocument/2006/relationships" name="3章_3医療" sheetId="5" state="visible" r:id="rId5"/>
    <sheet xmlns:r="http://schemas.openxmlformats.org/officeDocument/2006/relationships" name="3章_4相談・情報" sheetId="6" state="visible" r:id="rId6"/>
    <sheet xmlns:r="http://schemas.openxmlformats.org/officeDocument/2006/relationships" name="3章_5サービス" sheetId="7" state="visible" r:id="rId7"/>
    <sheet xmlns:r="http://schemas.openxmlformats.org/officeDocument/2006/relationships" name="3章_6日中・権利" sheetId="8" state="visible" r:id="rId8"/>
    <sheet xmlns:r="http://schemas.openxmlformats.org/officeDocument/2006/relationships" name="3章_7災害・施策" sheetId="9" state="visible" r:id="rId9"/>
    <sheet xmlns:r="http://schemas.openxmlformats.org/officeDocument/2006/relationships" name="4章_クロス集計" sheetId="10" state="visible" r:id="rId10"/>
    <sheet xmlns:r="http://schemas.openxmlformats.org/officeDocument/2006/relationships" name="5章_障がい児" sheetId="11" state="visible" r:id="rId11"/>
    <sheet xmlns:r="http://schemas.openxmlformats.org/officeDocument/2006/relationships" name="6章_課題" sheetId="12" state="visible" r:id="rId12"/>
    <sheet xmlns:r="http://schemas.openxmlformats.org/officeDocument/2006/relationships" name="集計_障がい者" sheetId="13" state="visible" r:id="rId13"/>
    <sheet xmlns:r="http://schemas.openxmlformats.org/officeDocument/2006/relationships" name="集計_障がい児" sheetId="14" state="visible" r:id="rId14"/>
    <sheet xmlns:r="http://schemas.openxmlformats.org/officeDocument/2006/relationships" name="集計_障がい別" sheetId="15" state="visible" r:id="rId15"/>
  </sheets>
  <definedNames>
    <definedName name="_xlnm._FilterDatabase" localSheetId="12" hidden="1">'集計_障がい者'!$A$4:$G$449</definedName>
    <definedName name="_xlnm._FilterDatabase" localSheetId="13" hidden="1">'集計_障がい児'!$A$4:$G$424</definedName>
    <definedName name="_xlnm._FilterDatabase" localSheetId="14" hidden="1">'集計_障がい別'!$A$4:$I$450</definedName>
  </definedNames>
  <calcPr calcId="124519" fullCalcOnLoad="1"/>
</workbook>
</file>

<file path=xl/styles.xml><?xml version="1.0" encoding="utf-8"?>
<styleSheet xmlns="http://schemas.openxmlformats.org/spreadsheetml/2006/main">
  <numFmts count="5">
    <numFmt numFmtId="164" formatCode="0.0%"/>
    <numFmt numFmtId="165" formatCode="0&quot;件&quot;"/>
    <numFmt numFmtId="166" formatCode="+0.0;-0.0;&quot;－&quot;"/>
    <numFmt numFmtId="167" formatCode="0.0%;-0.0%;&quot;－&quot;"/>
    <numFmt numFmtId="168" formatCode="0&quot;件&quot;;-0&quot;件&quot;;&quot;－&quot;"/>
  </numFmts>
  <fonts count="14">
    <font>
      <name val="Calibri"/>
      <family val="2"/>
      <color theme="1"/>
      <sz val="11"/>
      <scheme val="minor"/>
    </font>
    <font>
      <name val="BIZ UDPゴシック"/>
      <b val="1"/>
      <color rgb="00343434"/>
      <sz val="12"/>
    </font>
    <font>
      <name val="BIZ UDPゴシック"/>
      <color rgb="00595959"/>
      <sz val="9"/>
    </font>
    <font>
      <name val="BIZ UDPゴシック"/>
      <b val="1"/>
      <color rgb="00FFFFFF"/>
      <sz val="9.5"/>
    </font>
    <font>
      <name val="BIZ UDPゴシック"/>
      <color rgb="00262626"/>
      <sz val="9.5"/>
    </font>
    <font>
      <name val="BIZ UDPゴシック"/>
      <i val="1"/>
      <color rgb="00262626"/>
      <sz val="9.5"/>
    </font>
    <font>
      <name val="BIZ UDPゴシック"/>
      <b val="1"/>
      <color rgb="00262626"/>
      <sz val="9.5"/>
    </font>
    <font>
      <name val="BIZ UDPゴシック"/>
      <b val="1"/>
      <color rgb="00343434"/>
      <sz val="11"/>
    </font>
    <font>
      <name val="BIZ UDPゴシック"/>
      <color rgb="00595959"/>
      <sz val="8.5"/>
    </font>
    <font>
      <name val="BIZ UDPゴシック"/>
      <b val="1"/>
      <color rgb="00595959"/>
      <sz val="9"/>
    </font>
    <font>
      <name val="BIZ UDPゴシック"/>
      <b val="1"/>
      <color rgb="00343434"/>
      <sz val="14"/>
    </font>
    <font>
      <name val="BIZ UDPゴシック"/>
      <color rgb="00262626"/>
      <sz val="10"/>
    </font>
    <font>
      <name val="BIZ UDPゴシック"/>
      <color rgb="003D3D3D"/>
      <sz val="9.5"/>
    </font>
    <font>
      <name val="BIZ UDPゴシック"/>
      <color rgb="003D3D3D"/>
      <sz val="9.5"/>
      <u val="single"/>
    </font>
  </fonts>
  <fills count="5">
    <fill>
      <patternFill/>
    </fill>
    <fill>
      <patternFill patternType="gray125"/>
    </fill>
    <fill>
      <patternFill patternType="solid">
        <fgColor rgb="00454545"/>
      </patternFill>
    </fill>
    <fill>
      <patternFill patternType="solid">
        <fgColor rgb="00F2F2F2"/>
      </patternFill>
    </fill>
    <fill>
      <patternFill patternType="solid">
        <fgColor rgb="00F6F6F6"/>
      </patternFill>
    </fill>
  </fills>
  <borders count="9">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s>
  <cellStyleXfs count="1">
    <xf numFmtId="0" fontId="0" fillId="0" borderId="0"/>
  </cellStyleXfs>
  <cellXfs count="36">
    <xf numFmtId="0" fontId="0" fillId="0" borderId="0" pivotButton="0" quotePrefix="0" xfId="0"/>
    <xf numFmtId="0" fontId="10" fillId="0" borderId="0" pivotButton="0" quotePrefix="0" xfId="0"/>
    <xf numFmtId="0" fontId="11"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7" fillId="0" borderId="0" pivotButton="0" quotePrefix="0" xfId="0"/>
    <xf numFmtId="0" fontId="0" fillId="0" borderId="4" pivotButton="0" quotePrefix="0" xfId="0"/>
    <xf numFmtId="0" fontId="0" fillId="0" borderId="5" pivotButton="0" quotePrefix="0" xfId="0"/>
    <xf numFmtId="0" fontId="6" fillId="3" borderId="1" applyAlignment="1" pivotButton="0" quotePrefix="0" xfId="0">
      <alignment horizontal="center" vertical="center" wrapText="1"/>
    </xf>
    <xf numFmtId="165" fontId="5" fillId="0" borderId="1" applyAlignment="1" pivotButton="0" quotePrefix="0" xfId="0">
      <alignment horizontal="left" vertical="center" wrapText="1"/>
    </xf>
    <xf numFmtId="165"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164" fontId="6" fillId="0" borderId="1" applyAlignment="1" pivotButton="0" quotePrefix="0" xfId="0">
      <alignment horizontal="center" vertical="center" wrapText="1"/>
    </xf>
    <xf numFmtId="0" fontId="8" fillId="0" borderId="0" applyAlignment="1" pivotButton="0" quotePrefix="0" xfId="0">
      <alignment vertical="top" wrapText="1"/>
    </xf>
    <xf numFmtId="0" fontId="2" fillId="0" borderId="0" pivotButton="0" quotePrefix="0" xfId="0"/>
    <xf numFmtId="1" fontId="4" fillId="0" borderId="1" applyAlignment="1" pivotButton="0" quotePrefix="0" xfId="0">
      <alignment horizontal="center" vertical="center" wrapText="1"/>
    </xf>
    <xf numFmtId="164" fontId="4" fillId="0" borderId="1" applyAlignment="1" pivotButton="0" quotePrefix="0" xfId="0">
      <alignment horizontal="center" vertical="center" wrapText="1"/>
    </xf>
    <xf numFmtId="0" fontId="0" fillId="0" borderId="8" pivotButton="0" quotePrefix="0" xfId="0"/>
    <xf numFmtId="0" fontId="6" fillId="3" borderId="1" applyAlignment="1" pivotButton="0" quotePrefix="0" xfId="0">
      <alignment horizontal="left" vertical="center" wrapText="1"/>
    </xf>
    <xf numFmtId="1"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166" fontId="4" fillId="0" borderId="1" applyAlignment="1" pivotButton="0" quotePrefix="0" xfId="0">
      <alignment horizontal="center" vertical="center" wrapText="1"/>
    </xf>
    <xf numFmtId="167" fontId="4" fillId="0" borderId="1" applyAlignment="1" pivotButton="0" quotePrefix="0" xfId="0">
      <alignment horizontal="center" vertical="center" wrapText="1"/>
    </xf>
    <xf numFmtId="167" fontId="4" fillId="3" borderId="1" applyAlignment="1" pivotButton="0" quotePrefix="0" xfId="0">
      <alignment horizontal="center" vertical="center" wrapText="1"/>
    </xf>
    <xf numFmtId="0" fontId="9" fillId="0" borderId="0" pivotButton="0" quotePrefix="0" xfId="0"/>
    <xf numFmtId="1" fontId="5" fillId="3" borderId="1" applyAlignment="1" pivotButton="0" quotePrefix="0" xfId="0">
      <alignment horizontal="center" vertical="center" wrapText="1"/>
    </xf>
    <xf numFmtId="1"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4" borderId="1" applyAlignment="1" pivotButton="0" quotePrefix="0" xfId="0">
      <alignment horizontal="left" vertical="center" wrapText="1"/>
    </xf>
    <xf numFmtId="168"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1" fillId="0" borderId="0" pivotButton="0" quotePrefix="0" xfId="0"/>
  </cellXfs>
  <cellStyles count="1">
    <cellStyle name="Normal" xfId="0" builtinId="0" hidden="0"/>
  </cellStyles>
  <dxfs count="2">
    <dxf>
      <font>
        <b val="1"/>
        <color rgb="002B2B2B"/>
      </font>
    </dxf>
    <dxf>
      <font>
        <b val="1"/>
      </font>
    </dxf>
  </dxfs>
  <tableStyles count="0" defaultTableStyle="TableStyleMedium9" defaultPivotStyle="PivotStyleLight16"/>
  <colors>
    <indexedColors>
      <rgbColor rgb="00000000"/>
      <rgbColor rgb="00FFFFFF"/>
      <rgbColor rgb="004C4C4C"/>
      <rgbColor rgb="00969696"/>
      <rgbColor rgb="001D1D1D"/>
      <rgbColor rgb="00E2E2E2"/>
      <rgbColor rgb="00696969"/>
      <rgbColor rgb="00B3B3B3"/>
      <rgbColor rgb="00000000"/>
      <rgbColor rgb="00FFFFFF"/>
      <rgbColor rgb="004C4C4C"/>
      <rgbColor rgb="00969696"/>
      <rgbColor rgb="001D1D1D"/>
      <rgbColor rgb="00E2E2E2"/>
      <rgbColor rgb="00696969"/>
      <rgbColor rgb="00B3B3B3"/>
      <rgbColor rgb="00262626"/>
      <rgbColor rgb="004B4B4B"/>
      <rgbColor rgb="000F0F0F"/>
      <rgbColor rgb="00717171"/>
      <rgbColor rgb="00353535"/>
      <rgbColor rgb="005A5A5A"/>
      <rgbColor rgb="00C0C0C0"/>
      <rgbColor rgb="00808080"/>
      <rgbColor rgb="00A5A5A5"/>
      <rgbColor rgb="00575757"/>
      <rgbColor rgb="00F9F9F9"/>
      <rgbColor rgb="00F0F0F0"/>
      <rgbColor rgb="002A2A2A"/>
      <rgbColor rgb="00A6A6A6"/>
      <rgbColor rgb="00535353"/>
      <rgbColor rgb="00D2D2D2"/>
      <rgbColor rgb="000F0F0F"/>
      <rgbColor rgb="00696969"/>
      <rgbColor rgb="00E2E2E2"/>
      <rgbColor rgb="00B3B3B3"/>
      <rgbColor rgb="00353535"/>
      <rgbColor rgb="00262626"/>
      <rgbColor rgb="005A5A5A"/>
      <rgbColor rgb="001D1D1D"/>
      <rgbColor rgb="00959595"/>
      <rgbColor rgb="00F0F0F0"/>
      <rgbColor rgb="00EAEAEA"/>
      <rgbColor rgb="00F3F3F3"/>
      <rgbColor rgb="00C3C3C3"/>
      <rgbColor rgb="00BDBDBD"/>
      <rgbColor rgb="00B4B4B4"/>
      <rgbColor rgb="00D5D5D5"/>
      <rgbColor rgb="00686868"/>
      <rgbColor rgb="009E9E9E"/>
      <rgbColor rgb="00A5A5A5"/>
      <rgbColor rgb="00C4C4C4"/>
      <rgbColor rgb="00A6A6A6"/>
      <rgbColor rgb="00888888"/>
      <rgbColor rgb="006C6C6C"/>
      <rgbColor rgb="00969696"/>
      <rgbColor rgb="002A2A2A"/>
      <rgbColor rgb="00757575"/>
      <rgbColor rgb="001E1E1E"/>
      <rgbColor rgb="002D2D2D"/>
      <rgbColor rgb="004C4C4C"/>
      <rgbColor rgb="00575757"/>
      <rgbColor rgb="003F3F3F"/>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plotArea>
      <barChart>
        <barDir val="bar"/>
        <grouping val="percentStacked"/>
        <varyColors val="0"/>
        <ser>
          <idx val="0"/>
          <order val="0"/>
          <tx>
            <strRef>
              <f>'3章_1属性'!$B$5</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'3章_1属性'!$D$5</f>
            </numRef>
          </val>
        </ser>
        <ser>
          <idx val="1"/>
          <order val="1"/>
          <tx>
            <strRef>
              <f>'3章_1属性'!$B$6</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'3章_1属性'!$D$6</f>
            </numRef>
          </val>
        </ser>
        <ser>
          <idx val="2"/>
          <order val="2"/>
          <tx>
            <strRef>
              <f>'3章_1属性'!$B$7</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'3章_1属性'!$D$7</f>
            </numRef>
          </val>
        </ser>
        <ser>
          <idx val="3"/>
          <order val="3"/>
          <tx>
            <strRef>
              <f>'3章_1属性'!$B$8</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'3章_1属性'!$D$8</f>
            </numRef>
          </val>
        </ser>
        <ser>
          <idx val="4"/>
          <order val="4"/>
          <tx>
            <strRef>
              <f>'3章_1属性'!$B$9</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'3章_1属性'!$D$9</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4"/>
            <spPr>
              <a:solidFill xmlns:a="http://schemas.openxmlformats.org/drawingml/2006/main">
                <a:srgbClr val="BEBEBE"/>
              </a:solidFill>
              <a:ln xmlns:a="http://schemas.openxmlformats.org/drawingml/2006/main" w="6350">
                <a:solidFill>
                  <a:srgbClr val="000000"/>
                </a:solidFill>
                <a:prstDash val="solid"/>
              </a:ln>
            </spPr>
          </dPt>
          <dPt>
            <idx val="5"/>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'3章_1属性'!$B$16:$B$21</f>
            </numRef>
          </cat>
          <val>
            <numRef>
              <f>'3章_1属性'!$D$16:$D$21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8"/>
          <min val="0"/>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plotArea>
      <barChart>
        <barDir val="bar"/>
        <grouping val="percentStacked"/>
        <varyColors val="0"/>
        <ser>
          <idx val="0"/>
          <order val="0"/>
          <tx>
            <strRef>
              <f>'3章_1属性'!$B$27</f>
            </strRef>
          </tx>
          <spPr>
            <a:pattFill xmlns:a="http://schemas.openxmlformats.org/drawingml/2006/main" prst="pct10">
              <a:fgClr>
                <a:srgbClr val="3C3C3C"/>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'3章_1属性'!$D$27</f>
            </numRef>
          </val>
        </ser>
        <ser>
          <idx val="1"/>
          <order val="1"/>
          <tx>
            <strRef>
              <f>'3章_1属性'!$B$28</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'3章_1属性'!$D$28</f>
            </numRef>
          </val>
        </ser>
        <ser>
          <idx val="2"/>
          <order val="2"/>
          <tx>
            <strRef>
              <f>'3章_1属性'!$B$29</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'3章_1属性'!$D$29</f>
            </numRef>
          </val>
        </ser>
        <ser>
          <idx val="3"/>
          <order val="3"/>
          <tx>
            <strRef>
              <f>'3章_1属性'!$B$30</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'3章_1属性'!$D$30</f>
            </numRef>
          </val>
        </ser>
        <ser>
          <idx val="4"/>
          <order val="4"/>
          <tx>
            <strRef>
              <f>'3章_1属性'!$B$31</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'3章_1属性'!$D$31</f>
            </numRef>
          </val>
        </ser>
        <ser>
          <idx val="5"/>
          <order val="5"/>
          <tx>
            <strRef>
              <f>'3章_1属性'!$B$32</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'3章_1属性'!$D$32</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xml><?xml version="1.0" encoding="utf-8"?>
<chartSpace xmlns="http://schemas.openxmlformats.org/drawingml/2006/chart">
  <chart>
    <plotArea>
      <barChart>
        <barDir val="bar"/>
        <grouping val="percentStacked"/>
        <varyColors val="0"/>
        <ser>
          <idx val="0"/>
          <order val="0"/>
          <tx>
            <strRef>
              <f>'3章_1属性'!C37</f>
            </strRef>
          </tx>
          <spPr>
            <a:pattFill xmlns:a="http://schemas.openxmlformats.org/drawingml/2006/main" prst="pct10">
              <a:fgClr>
                <a:srgbClr val="3C3C3C"/>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'3章_1属性'!$B$38:$B$41</f>
            </numRef>
          </cat>
          <val>
            <numRef>
              <f>'3章_1属性'!$C$38:$C$41</f>
            </numRef>
          </val>
        </ser>
        <ser>
          <idx val="1"/>
          <order val="1"/>
          <tx>
            <strRef>
              <f>'3章_1属性'!D37</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'3章_1属性'!$B$38:$B$41</f>
            </numRef>
          </cat>
          <val>
            <numRef>
              <f>'3章_1属性'!$D$38:$D$41</f>
            </numRef>
          </val>
        </ser>
        <ser>
          <idx val="2"/>
          <order val="2"/>
          <tx>
            <strRef>
              <f>'3章_1属性'!E37</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'3章_1属性'!$B$38:$B$41</f>
            </numRef>
          </cat>
          <val>
            <numRef>
              <f>'3章_1属性'!$E$38:$E$41</f>
            </numRef>
          </val>
        </ser>
        <ser>
          <idx val="3"/>
          <order val="3"/>
          <tx>
            <strRef>
              <f>'3章_1属性'!F37</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'3章_1属性'!$B$38:$B$41</f>
            </numRef>
          </cat>
          <val>
            <numRef>
              <f>'3章_1属性'!$F$38:$F$41</f>
            </numRef>
          </val>
        </ser>
        <ser>
          <idx val="4"/>
          <order val="4"/>
          <tx>
            <strRef>
              <f>'3章_1属性'!G37</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'3章_1属性'!$B$38:$B$41</f>
            </numRef>
          </cat>
          <val>
            <numRef>
              <f>'3章_1属性'!$G$38:$G$41</f>
            </numRef>
          </val>
        </ser>
        <ser>
          <idx val="5"/>
          <order val="5"/>
          <tx>
            <strRef>
              <f>'3章_1属性'!H37</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'3章_1属性'!$B$38:$B$41</f>
            </numRef>
          </cat>
          <val>
            <numRef>
              <f>'3章_1属性'!$H$38:$H$41</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xml><?xml version="1.0" encoding="utf-8"?>
<chartSpace xmlns="http://schemas.openxmlformats.org/drawingml/2006/chart">
  <chart>
    <plotArea>
      <barChart>
        <barDir val="bar"/>
        <grouping val="percentStacked"/>
        <varyColors val="0"/>
        <ser>
          <idx val="0"/>
          <order val="0"/>
          <tx>
            <strRef>
              <f>'3章_1属性'!$B$53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'3章_1属性'!$D$53</f>
            </numRef>
          </val>
        </ser>
        <ser>
          <idx val="1"/>
          <order val="1"/>
          <tx>
            <strRef>
              <f>'3章_1属性'!$B$54</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'3章_1属性'!$D$54</f>
            </numRef>
          </val>
        </ser>
        <ser>
          <idx val="2"/>
          <order val="2"/>
          <tx>
            <strRef>
              <f>'3章_1属性'!$B$55</f>
            </strRef>
          </tx>
          <spPr>
            <a:pattFill xmlns:a="http://schemas.openxmlformats.org/drawingml/2006/main" prst="ltVert">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'3章_1属性'!$D$55</f>
            </numRef>
          </val>
        </ser>
        <ser>
          <idx val="3"/>
          <order val="3"/>
          <tx>
            <strRef>
              <f>'3章_1属性'!$B$56</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'3章_1属性'!$D$56</f>
            </numRef>
          </val>
        </ser>
        <ser>
          <idx val="4"/>
          <order val="4"/>
          <tx>
            <strRef>
              <f>'3章_1属性'!$B$57</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'3章_1属性'!$D$57</f>
            </numRef>
          </val>
        </ser>
        <ser>
          <idx val="5"/>
          <order val="5"/>
          <tx>
            <strRef>
              <f>'3章_1属性'!$B$58</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'3章_1属性'!$D$58</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6.xml><?xml version="1.0" encoding="utf-8"?>
<chartSpace xmlns="http://schemas.openxmlformats.org/drawingml/2006/chart">
  <chart>
    <plotArea>
      <barChart>
        <barDir val="bar"/>
        <grouping val="percentStacked"/>
        <varyColors val="0"/>
        <ser>
          <idx val="0"/>
          <order val="0"/>
          <tx>
            <strRef>
              <f>'3章_1属性'!$B$64</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'3章_1属性'!$D$64</f>
            </numRef>
          </val>
        </ser>
        <ser>
          <idx val="1"/>
          <order val="1"/>
          <tx>
            <strRef>
              <f>'3章_1属性'!$B$65</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'3章_1属性'!$D$65</f>
            </numRef>
          </val>
        </ser>
        <ser>
          <idx val="2"/>
          <order val="2"/>
          <tx>
            <strRef>
              <f>'3章_1属性'!$B$66</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'3章_1属性'!$D$66</f>
            </numRef>
          </val>
        </ser>
        <ser>
          <idx val="3"/>
          <order val="3"/>
          <tx>
            <strRef>
              <f>'3章_1属性'!$B$67</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'3章_1属性'!$D$67</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7.xml><?xml version="1.0" encoding="utf-8"?>
<chartSpace xmlns="http://schemas.openxmlformats.org/drawingml/2006/chart">
  <chart>
    <plotArea>
      <barChart>
        <barDir val="bar"/>
        <grouping val="percentStacked"/>
        <varyColors val="0"/>
        <ser>
          <idx val="0"/>
          <order val="0"/>
          <tx>
            <strRef>
              <f>'3章_1属性'!C74</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'3章_1属性'!$B$75:$B$78</f>
            </numRef>
          </cat>
          <val>
            <numRef>
              <f>'3章_1属性'!$C$75:$C$78</f>
            </numRef>
          </val>
        </ser>
        <ser>
          <idx val="1"/>
          <order val="1"/>
          <tx>
            <strRef>
              <f>'3章_1属性'!D74</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'3章_1属性'!$B$75:$B$78</f>
            </numRef>
          </cat>
          <val>
            <numRef>
              <f>'3章_1属性'!$D$75:$D$78</f>
            </numRef>
          </val>
        </ser>
        <ser>
          <idx val="2"/>
          <order val="2"/>
          <tx>
            <strRef>
              <f>'3章_1属性'!E74</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'3章_1属性'!$B$75:$B$78</f>
            </numRef>
          </cat>
          <val>
            <numRef>
              <f>'3章_1属性'!$E$75:$E$78</f>
            </numRef>
          </val>
        </ser>
        <ser>
          <idx val="3"/>
          <order val="3"/>
          <tx>
            <strRef>
              <f>'3章_1属性'!F74</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'3章_1属性'!$B$75:$B$78</f>
            </numRef>
          </cat>
          <val>
            <numRef>
              <f>'3章_1属性'!$F$75:$F$78</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'3章_1属性'!$B$90:$B$97</f>
            </numRef>
          </cat>
          <val>
            <numRef>
              <f>'3章_1属性'!$D$90:$D$97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1"/>
          <min val="0"/>
        </scaling>
        <delete val="1"/>
        <axPos val="l"/>
        <majorTickMark val="none"/>
        <minorTickMark val="none"/>
        <crossAx val="10"/>
      </valAx>
    </plotArea>
    <plotVisOnly val="1"/>
    <dispBlanksAs val="gap"/>
  </chart>
</chartSpace>
</file>

<file path=xl/charts/chart9.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'3章_1属性'!$B$104:$B$112</f>
            </numRef>
          </cat>
          <val>
            <numRef>
              <f>'3章_1属性'!$D$104:$D$112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
          <min val="0"/>
        </scaling>
        <delete val="1"/>
        <axPos val="l"/>
        <majorTickMark val="none"/>
        <minorTickMark val="none"/>
        <crossAx val="10"/>
      </valAx>
    </plotArea>
    <plotVisOnly val="1"/>
    <dispBlanksAs val="gap"/>
  </chart>
</chartSpace>
</file>

<file path=xl/charts/chart10.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'3章_1属性'!$B$119:$B$126</f>
            </numRef>
          </cat>
          <val>
            <numRef>
              <f>'3章_1属性'!$D$119:$D$126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11.xml><?xml version="1.0" encoding="utf-8"?>
<chartSpace xmlns="http://schemas.openxmlformats.org/drawingml/2006/chart">
  <chart>
    <plotArea>
      <barChart>
        <barDir val="bar"/>
        <grouping val="percentStacked"/>
        <varyColors val="0"/>
        <ser>
          <idx val="0"/>
          <order val="0"/>
          <tx>
            <strRef>
              <f>'3章_1属性'!C132</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'3章_1属性'!$B$133:$B$136</f>
            </numRef>
          </cat>
          <val>
            <numRef>
              <f>'3章_1属性'!$C$133:$C$136</f>
            </numRef>
          </val>
        </ser>
        <ser>
          <idx val="1"/>
          <order val="1"/>
          <tx>
            <strRef>
              <f>'3章_1属性'!D132</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'3章_1属性'!$B$133:$B$136</f>
            </numRef>
          </cat>
          <val>
            <numRef>
              <f>'3章_1属性'!$D$133:$D$136</f>
            </numRef>
          </val>
        </ser>
        <ser>
          <idx val="2"/>
          <order val="2"/>
          <tx>
            <strRef>
              <f>'3章_1属性'!E132</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'3章_1属性'!$B$133:$B$136</f>
            </numRef>
          </cat>
          <val>
            <numRef>
              <f>'3章_1属性'!$E$133:$E$136</f>
            </numRef>
          </val>
        </ser>
        <ser>
          <idx val="3"/>
          <order val="3"/>
          <tx>
            <strRef>
              <f>'3章_1属性'!F132</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'3章_1属性'!$B$133:$B$136</f>
            </numRef>
          </cat>
          <val>
            <numRef>
              <f>'3章_1属性'!$F$133:$F$136</f>
            </numRef>
          </val>
        </ser>
        <ser>
          <idx val="4"/>
          <order val="4"/>
          <tx>
            <strRef>
              <f>'3章_1属性'!G132</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'3章_1属性'!$B$133:$B$136</f>
            </numRef>
          </cat>
          <val>
            <numRef>
              <f>'3章_1属性'!$G$133:$G$136</f>
            </numRef>
          </val>
        </ser>
        <ser>
          <idx val="5"/>
          <order val="5"/>
          <tx>
            <strRef>
              <f>'3章_1属性'!H132</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'3章_1属性'!$B$133:$B$136</f>
            </numRef>
          </cat>
          <val>
            <numRef>
              <f>'3章_1属性'!$H$133:$H$136</f>
            </numRef>
          </val>
        </ser>
        <ser>
          <idx val="6"/>
          <order val="6"/>
          <tx>
            <strRef>
              <f>'3章_1属性'!I132</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'3章_1属性'!$B$133:$B$136</f>
            </numRef>
          </cat>
          <val>
            <numRef>
              <f>'3章_1属性'!$I$133:$I$136</f>
            </numRef>
          </val>
        </ser>
        <ser>
          <idx val="7"/>
          <order val="7"/>
          <tx>
            <strRef>
              <f>'3章_1属性'!J132</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'3章_1属性'!$B$133:$B$136</f>
            </numRef>
          </cat>
          <val>
            <numRef>
              <f>'3章_1属性'!$J$133:$J$136</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1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'3章_1属性'!$B$146:$B$153</f>
            </numRef>
          </cat>
          <val>
            <numRef>
              <f>'3章_1属性'!$D$146:$D$153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13.xml><?xml version="1.0" encoding="utf-8"?>
<chartSpace xmlns="http://schemas.openxmlformats.org/drawingml/2006/chart">
  <chart>
    <plotArea>
      <barChart>
        <barDir val="bar"/>
        <grouping val="clustered"/>
        <varyColors val="0"/>
        <ser>
          <idx val="0"/>
          <order val="0"/>
          <tx>
            <strRef>
              <f>'3章_1属性'!C159</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'3章_1属性'!$B$160:$B$167</f>
            </numRef>
          </cat>
          <val>
            <numRef>
              <f>'3章_1属性'!$C$160:$C$167</f>
            </numRef>
          </val>
        </ser>
        <ser>
          <idx val="1"/>
          <order val="1"/>
          <tx>
            <strRef>
              <f>'3章_1属性'!D159</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'3章_1属性'!$B$160:$B$167</f>
            </numRef>
          </cat>
          <val>
            <numRef>
              <f>'3章_1属性'!$D$160:$D$167</f>
            </numRef>
          </val>
        </ser>
        <ser>
          <idx val="2"/>
          <order val="2"/>
          <tx>
            <strRef>
              <f>'3章_1属性'!E159</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'3章_1属性'!$B$160:$B$167</f>
            </numRef>
          </cat>
          <val>
            <numRef>
              <f>'3章_1属性'!$E$160:$E$167</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14.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0"/>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BEBEBE"/>
              </a:solidFill>
              <a:ln xmlns:a="http://schemas.openxmlformats.org/drawingml/2006/main" w="6350">
                <a:solidFill>
                  <a:srgbClr val="000000"/>
                </a:solidFill>
                <a:prstDash val="solid"/>
              </a:ln>
            </spPr>
          </dPt>
          <dPt>
            <idx val="10"/>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'3章_1属性'!$B$188:$B$198</f>
            </numRef>
          </cat>
          <val>
            <numRef>
              <f>'3章_1属性'!$D$188:$D$198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15.xml><?xml version="1.0" encoding="utf-8"?>
<chartSpace xmlns="http://schemas.openxmlformats.org/drawingml/2006/chart">
  <chart>
    <plotArea>
      <barChart>
        <barDir val="bar"/>
        <grouping val="clustered"/>
        <varyColors val="0"/>
        <ser>
          <idx val="0"/>
          <order val="0"/>
          <tx>
            <strRef>
              <f>'3章_1属性'!C204</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'3章_1属性'!$B$205:$B$213</f>
            </numRef>
          </cat>
          <val>
            <numRef>
              <f>'3章_1属性'!$C$205:$C$213</f>
            </numRef>
          </val>
        </ser>
        <ser>
          <idx val="1"/>
          <order val="1"/>
          <tx>
            <strRef>
              <f>'3章_1属性'!D204</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'3章_1属性'!$B$205:$B$213</f>
            </numRef>
          </cat>
          <val>
            <numRef>
              <f>'3章_1属性'!$D$205:$D$213</f>
            </numRef>
          </val>
        </ser>
        <ser>
          <idx val="2"/>
          <order val="2"/>
          <tx>
            <strRef>
              <f>'3章_1属性'!E204</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'3章_1属性'!$B$205:$B$213</f>
            </numRef>
          </cat>
          <val>
            <numRef>
              <f>'3章_1属性'!$E$205:$E$213</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16.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12"/>
            <spPr>
              <a:solidFill xmlns:a="http://schemas.openxmlformats.org/drawingml/2006/main">
                <a:srgbClr val="BEBEBE"/>
              </a:solidFill>
              <a:ln xmlns:a="http://schemas.openxmlformats.org/drawingml/2006/main" w="6350">
                <a:solidFill>
                  <a:srgbClr val="000000"/>
                </a:solidFill>
                <a:prstDash val="solid"/>
              </a:ln>
            </spPr>
          </dPt>
          <dPt>
            <idx val="13"/>
            <spPr>
              <a:solidFill xmlns:a="http://schemas.openxmlformats.org/drawingml/2006/main">
                <a:srgbClr val="BEBEBE"/>
              </a:solidFill>
              <a:ln xmlns:a="http://schemas.openxmlformats.org/drawingml/2006/main" w="6350">
                <a:solidFill>
                  <a:srgbClr val="000000"/>
                </a:solidFill>
                <a:prstDash val="solid"/>
              </a:ln>
            </spPr>
          </dPt>
          <dPt>
            <idx val="14"/>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'3章_2生活・外出'!$B$5:$B$19</f>
            </numRef>
          </cat>
          <val>
            <numRef>
              <f>'3章_2生活・外出'!$D$5:$D$19</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5"/>
          <min val="0"/>
        </scaling>
        <delete val="1"/>
        <axPos val="l"/>
        <majorTickMark val="none"/>
        <minorTickMark val="none"/>
        <crossAx val="10"/>
      </valAx>
    </plotArea>
    <plotVisOnly val="1"/>
    <dispBlanksAs val="gap"/>
  </chart>
</chartSpace>
</file>

<file path=xl/charts/chart17.xml><?xml version="1.0" encoding="utf-8"?>
<chartSpace xmlns="http://schemas.openxmlformats.org/drawingml/2006/chart">
  <chart>
    <plotArea>
      <barChart>
        <barDir val="bar"/>
        <grouping val="clustered"/>
        <varyColors val="0"/>
        <ser>
          <idx val="0"/>
          <order val="0"/>
          <tx>
            <strRef>
              <f>'3章_2生活・外出'!C25</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'3章_2生活・外出'!$B$26:$B$40</f>
            </numRef>
          </cat>
          <val>
            <numRef>
              <f>'3章_2生活・外出'!$C$26:$C$40</f>
            </numRef>
          </val>
        </ser>
        <ser>
          <idx val="1"/>
          <order val="1"/>
          <tx>
            <strRef>
              <f>'3章_2生活・外出'!D25</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'3章_2生活・外出'!$B$26:$B$40</f>
            </numRef>
          </cat>
          <val>
            <numRef>
              <f>'3章_2生活・外出'!$D$26:$D$40</f>
            </numRef>
          </val>
        </ser>
        <ser>
          <idx val="2"/>
          <order val="2"/>
          <tx>
            <strRef>
              <f>'3章_2生活・外出'!E25</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'3章_2生活・外出'!$B$26:$B$40</f>
            </numRef>
          </cat>
          <val>
            <numRef>
              <f>'3章_2生活・外出'!$E$26:$E$40</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1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'3章_2生活・外出'!$B$73:$B$81</f>
            </numRef>
          </cat>
          <val>
            <numRef>
              <f>'3章_2生活・外出'!$D$73:$D$81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19.xml><?xml version="1.0" encoding="utf-8"?>
<chartSpace xmlns="http://schemas.openxmlformats.org/drawingml/2006/chart">
  <chart>
    <plotArea>
      <barChart>
        <barDir val="bar"/>
        <grouping val="percentStacked"/>
        <varyColors val="0"/>
        <ser>
          <idx val="0"/>
          <order val="0"/>
          <tx>
            <strRef>
              <f>'3章_2生活・外出'!C87</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'3章_2生活・外出'!$C$88:$C$91</f>
            </numRef>
          </val>
        </ser>
        <ser>
          <idx val="1"/>
          <order val="1"/>
          <tx>
            <strRef>
              <f>'3章_2生活・外出'!D87</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'3章_2生活・外出'!$D$88:$D$91</f>
            </numRef>
          </val>
        </ser>
        <ser>
          <idx val="2"/>
          <order val="2"/>
          <tx>
            <strRef>
              <f>'3章_2生活・外出'!E87</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'3章_2生活・外出'!$E$88:$E$91</f>
            </numRef>
          </val>
        </ser>
        <ser>
          <idx val="3"/>
          <order val="3"/>
          <tx>
            <strRef>
              <f>'3章_2生活・外出'!F87</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'3章_2生活・外出'!$F$88:$F$91</f>
            </numRef>
          </val>
        </ser>
        <ser>
          <idx val="4"/>
          <order val="4"/>
          <tx>
            <strRef>
              <f>'3章_2生活・外出'!G87</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'3章_2生活・外出'!$G$88:$G$91</f>
            </numRef>
          </val>
        </ser>
        <ser>
          <idx val="5"/>
          <order val="5"/>
          <tx>
            <strRef>
              <f>'3章_2生活・外出'!H87</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'3章_2生活・外出'!$H$88:$H$91</f>
            </numRef>
          </val>
        </ser>
        <ser>
          <idx val="6"/>
          <order val="6"/>
          <tx>
            <strRef>
              <f>'3章_2生活・外出'!I87</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'3章_2生活・外出'!$I$88:$I$91</f>
            </numRef>
          </val>
        </ser>
        <ser>
          <idx val="7"/>
          <order val="7"/>
          <tx>
            <strRef>
              <f>'3章_2生活・外出'!J87</f>
            </strRef>
          </tx>
          <spPr>
            <a:pattFill xmlns:a="http://schemas.openxmlformats.org/drawingml/2006/main" prst="ltVert">
              <a:fgClr>
                <a:srgbClr val="282828"/>
              </a:fgClr>
              <a:bgClr>
                <a:srgbClr val="A5A5A5"/>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'3章_2生活・外出'!$J$88:$J$91</f>
            </numRef>
          </val>
        </ser>
        <ser>
          <idx val="8"/>
          <order val="8"/>
          <tx>
            <strRef>
              <f>'3章_2生活・外出'!K87</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'3章_2生活・外出'!$B$88:$B$91</f>
            </numRef>
          </cat>
          <val>
            <numRef>
              <f>'3章_2生活・外出'!$K$88:$K$91</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0.xml><?xml version="1.0" encoding="utf-8"?>
<chartSpace xmlns="http://schemas.openxmlformats.org/drawingml/2006/chart">
  <chart>
    <plotArea>
      <barChart>
        <barDir val="bar"/>
        <grouping val="percentStacked"/>
        <varyColors val="0"/>
        <ser>
          <idx val="0"/>
          <order val="0"/>
          <tx>
            <strRef>
              <f>'3章_2生活・外出'!$B$101</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'3章_2生活・外出'!$D$101</f>
            </numRef>
          </val>
        </ser>
        <ser>
          <idx val="1"/>
          <order val="1"/>
          <tx>
            <strRef>
              <f>'3章_2生活・外出'!$B$102</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'3章_2生活・外出'!$D$102</f>
            </numRef>
          </val>
        </ser>
        <ser>
          <idx val="2"/>
          <order val="2"/>
          <tx>
            <strRef>
              <f>'3章_2生活・外出'!$B$103</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'3章_2生活・外出'!$D$103</f>
            </numRef>
          </val>
        </ser>
        <ser>
          <idx val="3"/>
          <order val="3"/>
          <tx>
            <strRef>
              <f>'3章_2生活・外出'!$B$104</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'3章_2生活・外出'!$D$104</f>
            </numRef>
          </val>
        </ser>
        <ser>
          <idx val="4"/>
          <order val="4"/>
          <tx>
            <strRef>
              <f>'3章_2生活・外出'!$B$105</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'3章_2生活・外出'!$D$105</f>
            </numRef>
          </val>
        </ser>
        <ser>
          <idx val="5"/>
          <order val="5"/>
          <tx>
            <strRef>
              <f>'3章_2生活・外出'!$B$106</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'3章_2生活・外出'!$D$106</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1.xml><?xml version="1.0" encoding="utf-8"?>
<chartSpace xmlns="http://schemas.openxmlformats.org/drawingml/2006/chart">
  <chart>
    <plotArea>
      <barChart>
        <barDir val="bar"/>
        <grouping val="percentStacked"/>
        <varyColors val="0"/>
        <ser>
          <idx val="0"/>
          <order val="0"/>
          <tx>
            <strRef>
              <f>'3章_2生活・外出'!C111</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'3章_2生活・外出'!$B$112:$B$115</f>
            </numRef>
          </cat>
          <val>
            <numRef>
              <f>'3章_2生活・外出'!$C$112:$C$115</f>
            </numRef>
          </val>
        </ser>
        <ser>
          <idx val="1"/>
          <order val="1"/>
          <tx>
            <strRef>
              <f>'3章_2生活・外出'!D111</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'3章_2生活・外出'!$B$112:$B$115</f>
            </numRef>
          </cat>
          <val>
            <numRef>
              <f>'3章_2生活・外出'!$D$112:$D$115</f>
            </numRef>
          </val>
        </ser>
        <ser>
          <idx val="2"/>
          <order val="2"/>
          <tx>
            <strRef>
              <f>'3章_2生活・外出'!E111</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'3章_2生活・外出'!$B$112:$B$115</f>
            </numRef>
          </cat>
          <val>
            <numRef>
              <f>'3章_2生活・外出'!$E$112:$E$115</f>
            </numRef>
          </val>
        </ser>
        <ser>
          <idx val="3"/>
          <order val="3"/>
          <tx>
            <strRef>
              <f>'3章_2生活・外出'!F111</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'3章_2生活・外出'!$B$112:$B$115</f>
            </numRef>
          </cat>
          <val>
            <numRef>
              <f>'3章_2生活・外出'!$F$112:$F$115</f>
            </numRef>
          </val>
        </ser>
        <ser>
          <idx val="4"/>
          <order val="4"/>
          <tx>
            <strRef>
              <f>'3章_2生活・外出'!G111</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'3章_2生活・外出'!$B$112:$B$115</f>
            </numRef>
          </cat>
          <val>
            <numRef>
              <f>'3章_2生活・外出'!$G$112:$G$115</f>
            </numRef>
          </val>
        </ser>
        <ser>
          <idx val="5"/>
          <order val="5"/>
          <tx>
            <strRef>
              <f>'3章_2生活・外出'!H111</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'3章_2生活・外出'!$B$112:$B$115</f>
            </numRef>
          </cat>
          <val>
            <numRef>
              <f>'3章_2生活・外出'!$H$112:$H$115</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'3章_2生活・外出'!$B$126:$B$135</f>
            </numRef>
          </cat>
          <val>
            <numRef>
              <f>'3章_2生活・外出'!$D$126:$D$135</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23.xml><?xml version="1.0" encoding="utf-8"?>
<chartSpace xmlns="http://schemas.openxmlformats.org/drawingml/2006/chart">
  <chart>
    <plotArea>
      <barChart>
        <barDir val="bar"/>
        <grouping val="clustered"/>
        <varyColors val="0"/>
        <ser>
          <idx val="0"/>
          <order val="0"/>
          <tx>
            <strRef>
              <f>'3章_2生活・外出'!C141</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'3章_2生活・外出'!$B$142:$B$150</f>
            </numRef>
          </cat>
          <val>
            <numRef>
              <f>'3章_2生活・外出'!$C$142:$C$150</f>
            </numRef>
          </val>
        </ser>
        <ser>
          <idx val="1"/>
          <order val="1"/>
          <tx>
            <strRef>
              <f>'3章_2生活・外出'!D141</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'3章_2生活・外出'!$B$142:$B$150</f>
            </numRef>
          </cat>
          <val>
            <numRef>
              <f>'3章_2生活・外出'!$D$142:$D$150</f>
            </numRef>
          </val>
        </ser>
        <ser>
          <idx val="2"/>
          <order val="2"/>
          <tx>
            <strRef>
              <f>'3章_2生活・外出'!E141</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'3章_2生活・外出'!$B$142:$B$150</f>
            </numRef>
          </cat>
          <val>
            <numRef>
              <f>'3章_2生活・外出'!$E$142:$E$150</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4.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BEBEBE"/>
              </a:solidFill>
              <a:ln xmlns:a="http://schemas.openxmlformats.org/drawingml/2006/main" w="6350">
                <a:solidFill>
                  <a:srgbClr val="000000"/>
                </a:solidFill>
                <a:prstDash val="solid"/>
              </a:ln>
            </spPr>
          </dPt>
          <dPt>
            <idx val="10"/>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'3章_2生活・外出'!$B$173:$B$183</f>
            </numRef>
          </cat>
          <val>
            <numRef>
              <f>'3章_2生活・外出'!$D$173:$D$183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5"/>
          <min val="0"/>
        </scaling>
        <delete val="1"/>
        <axPos val="l"/>
        <majorTickMark val="none"/>
        <minorTickMark val="none"/>
        <crossAx val="10"/>
      </valAx>
    </plotArea>
    <plotVisOnly val="1"/>
    <dispBlanksAs val="gap"/>
  </chart>
</chartSpace>
</file>

<file path=xl/charts/chart25.xml><?xml version="1.0" encoding="utf-8"?>
<chartSpace xmlns="http://schemas.openxmlformats.org/drawingml/2006/chart">
  <chart>
    <plotArea>
      <barChart>
        <barDir val="bar"/>
        <grouping val="clustered"/>
        <varyColors val="0"/>
        <ser>
          <idx val="0"/>
          <order val="0"/>
          <tx>
            <strRef>
              <f>'3章_2生活・外出'!C189</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'3章_2生活・外出'!$B$190:$B$199</f>
            </numRef>
          </cat>
          <val>
            <numRef>
              <f>'3章_2生活・外出'!$C$190:$C$199</f>
            </numRef>
          </val>
        </ser>
        <ser>
          <idx val="1"/>
          <order val="1"/>
          <tx>
            <strRef>
              <f>'3章_2生活・外出'!D189</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'3章_2生活・外出'!$B$190:$B$199</f>
            </numRef>
          </cat>
          <val>
            <numRef>
              <f>'3章_2生活・外出'!$D$190:$D$199</f>
            </numRef>
          </val>
        </ser>
        <ser>
          <idx val="2"/>
          <order val="2"/>
          <tx>
            <strRef>
              <f>'3章_2生活・外出'!E189</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'3章_2生活・外出'!$B$190:$B$199</f>
            </numRef>
          </cat>
          <val>
            <numRef>
              <f>'3章_2生活・外出'!$E$190:$E$199</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6.xml><?xml version="1.0" encoding="utf-8"?>
<chartSpace xmlns="http://schemas.openxmlformats.org/drawingml/2006/chart">
  <chart>
    <plotArea>
      <barChart>
        <barDir val="bar"/>
        <grouping val="percentStacked"/>
        <varyColors val="0"/>
        <ser>
          <idx val="0"/>
          <order val="0"/>
          <tx>
            <strRef>
              <f>'3章_3医療'!$B$5</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'3章_3医療'!$D$5</f>
            </numRef>
          </val>
        </ser>
        <ser>
          <idx val="1"/>
          <order val="1"/>
          <tx>
            <strRef>
              <f>'3章_3医療'!$B$6</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'3章_3医療'!$D$6</f>
            </numRef>
          </val>
        </ser>
        <ser>
          <idx val="2"/>
          <order val="2"/>
          <tx>
            <strRef>
              <f>'3章_3医療'!$B$7</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'3章_3医療'!$D$7</f>
            </numRef>
          </val>
        </ser>
        <ser>
          <idx val="3"/>
          <order val="3"/>
          <tx>
            <strRef>
              <f>'3章_3医療'!$B$8</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'3章_3医療'!$D$8</f>
            </numRef>
          </val>
        </ser>
        <ser>
          <idx val="4"/>
          <order val="4"/>
          <tx>
            <strRef>
              <f>'3章_3医療'!$B$9</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'3章_3医療'!$D$9</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7.xml><?xml version="1.0" encoding="utf-8"?>
<chartSpace xmlns="http://schemas.openxmlformats.org/drawingml/2006/chart">
  <chart>
    <plotArea>
      <barChart>
        <barDir val="bar"/>
        <grouping val="percentStacked"/>
        <varyColors val="0"/>
        <ser>
          <idx val="0"/>
          <order val="0"/>
          <tx>
            <strRef>
              <f>'3章_3医療'!C15</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'3章_3医療'!$B$16:$B$19</f>
            </numRef>
          </cat>
          <val>
            <numRef>
              <f>'3章_3医療'!$C$16:$C$19</f>
            </numRef>
          </val>
        </ser>
        <ser>
          <idx val="1"/>
          <order val="1"/>
          <tx>
            <strRef>
              <f>'3章_3医療'!D15</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'3章_3医療'!$B$16:$B$19</f>
            </numRef>
          </cat>
          <val>
            <numRef>
              <f>'3章_3医療'!$D$16:$D$19</f>
            </numRef>
          </val>
        </ser>
        <ser>
          <idx val="2"/>
          <order val="2"/>
          <tx>
            <strRef>
              <f>'3章_3医療'!E15</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'3章_3医療'!$B$16:$B$19</f>
            </numRef>
          </cat>
          <val>
            <numRef>
              <f>'3章_3医療'!$E$16:$E$19</f>
            </numRef>
          </val>
        </ser>
        <ser>
          <idx val="3"/>
          <order val="3"/>
          <tx>
            <strRef>
              <f>'3章_3医療'!F15</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'3章_3医療'!$B$16:$B$19</f>
            </numRef>
          </cat>
          <val>
            <numRef>
              <f>'3章_3医療'!$F$16:$F$19</f>
            </numRef>
          </val>
        </ser>
        <ser>
          <idx val="4"/>
          <order val="4"/>
          <tx>
            <strRef>
              <f>'3章_3医療'!G15</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'3章_3医療'!$B$16:$B$19</f>
            </numRef>
          </cat>
          <val>
            <numRef>
              <f>'3章_3医療'!$G$16:$G$19</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'3章_3医療'!$B$29:$B$37</f>
            </numRef>
          </cat>
          <val>
            <numRef>
              <f>'3章_3医療'!$D$29:$D$37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29.xml><?xml version="1.0" encoding="utf-8"?>
<chartSpace xmlns="http://schemas.openxmlformats.org/drawingml/2006/chart">
  <chart>
    <plotArea>
      <barChart>
        <barDir val="bar"/>
        <grouping val="clustered"/>
        <varyColors val="0"/>
        <ser>
          <idx val="0"/>
          <order val="0"/>
          <tx>
            <strRef>
              <f>'3章_3医療'!C43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'3章_3医療'!$B$44:$B$51</f>
            </numRef>
          </cat>
          <val>
            <numRef>
              <f>'3章_3医療'!$C$44:$C$51</f>
            </numRef>
          </val>
        </ser>
        <ser>
          <idx val="1"/>
          <order val="1"/>
          <tx>
            <strRef>
              <f>'3章_3医療'!D43</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'3章_3医療'!$B$44:$B$51</f>
            </numRef>
          </cat>
          <val>
            <numRef>
              <f>'3章_3医療'!$D$44:$D$51</f>
            </numRef>
          </val>
        </ser>
        <ser>
          <idx val="2"/>
          <order val="2"/>
          <tx>
            <strRef>
              <f>'3章_3医療'!E43</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'3章_3医療'!$B$44:$B$51</f>
            </numRef>
          </cat>
          <val>
            <numRef>
              <f>'3章_3医療'!$E$44:$E$51</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30.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0"/>
            <spPr>
              <a:solidFill xmlns:a="http://schemas.openxmlformats.org/drawingml/2006/main">
                <a:srgbClr val="BEBEBE"/>
              </a:solidFill>
              <a:ln xmlns:a="http://schemas.openxmlformats.org/drawingml/2006/main" w="6350">
                <a:solidFill>
                  <a:srgbClr val="000000"/>
                </a:solidFill>
                <a:prstDash val="solid"/>
              </a:ln>
            </spPr>
          </dPt>
          <dPt>
            <idx val="13"/>
            <spPr>
              <a:solidFill xmlns:a="http://schemas.openxmlformats.org/drawingml/2006/main">
                <a:srgbClr val="BEBEBE"/>
              </a:solidFill>
              <a:ln xmlns:a="http://schemas.openxmlformats.org/drawingml/2006/main" w="6350">
                <a:solidFill>
                  <a:srgbClr val="000000"/>
                </a:solidFill>
                <a:prstDash val="solid"/>
              </a:ln>
            </spPr>
          </dPt>
          <dPt>
            <idx val="14"/>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'3章_3医療'!$B$72:$B$86</f>
            </numRef>
          </cat>
          <val>
            <numRef>
              <f>'3章_3医療'!$D$72:$D$86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1"/>
          <min val="0"/>
        </scaling>
        <delete val="1"/>
        <axPos val="l"/>
        <majorTickMark val="none"/>
        <minorTickMark val="none"/>
        <crossAx val="10"/>
      </valAx>
    </plotArea>
    <plotVisOnly val="1"/>
    <dispBlanksAs val="gap"/>
  </chart>
</chartSpace>
</file>

<file path=xl/charts/chart31.xml><?xml version="1.0" encoding="utf-8"?>
<chartSpace xmlns="http://schemas.openxmlformats.org/drawingml/2006/chart">
  <chart>
    <plotArea>
      <barChart>
        <barDir val="bar"/>
        <grouping val="clustered"/>
        <varyColors val="0"/>
        <ser>
          <idx val="0"/>
          <order val="0"/>
          <tx>
            <strRef>
              <f>'3章_3医療'!C92</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'3章_3医療'!$B$93:$B$99</f>
            </numRef>
          </cat>
          <val>
            <numRef>
              <f>'3章_3医療'!$C$93:$C$99</f>
            </numRef>
          </val>
        </ser>
        <ser>
          <idx val="1"/>
          <order val="1"/>
          <tx>
            <strRef>
              <f>'3章_3医療'!D92</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'3章_3医療'!$B$93:$B$99</f>
            </numRef>
          </cat>
          <val>
            <numRef>
              <f>'3章_3医療'!$D$93:$D$99</f>
            </numRef>
          </val>
        </ser>
        <ser>
          <idx val="2"/>
          <order val="2"/>
          <tx>
            <strRef>
              <f>'3章_3医療'!E92</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'3章_3医療'!$B$93:$B$99</f>
            </numRef>
          </cat>
          <val>
            <numRef>
              <f>'3章_3医療'!$E$93:$E$99</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3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'3章_3医療'!$B$118:$B$126</f>
            </numRef>
          </cat>
          <val>
            <numRef>
              <f>'3章_3医療'!$D$118:$D$126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8"/>
          <min val="0"/>
        </scaling>
        <delete val="1"/>
        <axPos val="l"/>
        <majorTickMark val="none"/>
        <minorTickMark val="none"/>
        <crossAx val="10"/>
      </valAx>
    </plotArea>
    <plotVisOnly val="1"/>
    <dispBlanksAs val="gap"/>
  </chart>
</chartSpace>
</file>

<file path=xl/charts/chart33.xml><?xml version="1.0" encoding="utf-8"?>
<chartSpace xmlns="http://schemas.openxmlformats.org/drawingml/2006/chart">
  <chart>
    <plotArea>
      <barChart>
        <barDir val="bar"/>
        <grouping val="clustered"/>
        <varyColors val="0"/>
        <ser>
          <idx val="0"/>
          <order val="0"/>
          <tx>
            <strRef>
              <f>'3章_3医療'!C132</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'3章_3医療'!$B$133:$B$140</f>
            </numRef>
          </cat>
          <val>
            <numRef>
              <f>'3章_3医療'!$C$133:$C$140</f>
            </numRef>
          </val>
        </ser>
        <ser>
          <idx val="1"/>
          <order val="1"/>
          <tx>
            <strRef>
              <f>'3章_3医療'!D132</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'3章_3医療'!$B$133:$B$140</f>
            </numRef>
          </cat>
          <val>
            <numRef>
              <f>'3章_3医療'!$D$133:$D$140</f>
            </numRef>
          </val>
        </ser>
        <ser>
          <idx val="2"/>
          <order val="2"/>
          <tx>
            <strRef>
              <f>'3章_3医療'!E132</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'3章_3医療'!$B$133:$B$140</f>
            </numRef>
          </cat>
          <val>
            <numRef>
              <f>'3章_3医療'!$E$133:$E$140</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34.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5"/>
            <spPr>
              <a:solidFill xmlns:a="http://schemas.openxmlformats.org/drawingml/2006/main">
                <a:srgbClr val="BEBEBE"/>
              </a:solidFill>
              <a:ln xmlns:a="http://schemas.openxmlformats.org/drawingml/2006/main" w="6350">
                <a:solidFill>
                  <a:srgbClr val="000000"/>
                </a:solidFill>
                <a:prstDash val="solid"/>
              </a:ln>
            </spPr>
          </dPt>
          <dPt>
            <idx val="6"/>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'3章_3医療'!$B$161:$B$167</f>
            </numRef>
          </cat>
          <val>
            <numRef>
              <f>'3章_3医療'!$D$161:$D$167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35.xml><?xml version="1.0" encoding="utf-8"?>
<chartSpace xmlns="http://schemas.openxmlformats.org/drawingml/2006/chart">
  <chart>
    <plotArea>
      <barChart>
        <barDir val="bar"/>
        <grouping val="clustered"/>
        <varyColors val="0"/>
        <ser>
          <idx val="0"/>
          <order val="0"/>
          <tx>
            <strRef>
              <f>'3章_3医療'!C172</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'3章_3医療'!$B$173:$B$179</f>
            </numRef>
          </cat>
          <val>
            <numRef>
              <f>'3章_3医療'!$C$173:$C$179</f>
            </numRef>
          </val>
        </ser>
        <ser>
          <idx val="1"/>
          <order val="1"/>
          <tx>
            <strRef>
              <f>'3章_3医療'!D172</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'3章_3医療'!$B$173:$B$179</f>
            </numRef>
          </cat>
          <val>
            <numRef>
              <f>'3章_3医療'!$D$173:$D$179</f>
            </numRef>
          </val>
        </ser>
        <ser>
          <idx val="2"/>
          <order val="2"/>
          <tx>
            <strRef>
              <f>'3章_3医療'!E172</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'3章_3医療'!$B$173:$B$179</f>
            </numRef>
          </cat>
          <val>
            <numRef>
              <f>'3章_3医療'!$E$173:$E$179</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36.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5"/>
            <spPr>
              <a:solidFill xmlns:a="http://schemas.openxmlformats.org/drawingml/2006/main">
                <a:srgbClr val="BEBEBE"/>
              </a:solidFill>
              <a:ln xmlns:a="http://schemas.openxmlformats.org/drawingml/2006/main" w="6350">
                <a:solidFill>
                  <a:srgbClr val="000000"/>
                </a:solidFill>
                <a:prstDash val="solid"/>
              </a:ln>
            </spPr>
          </dPt>
          <dPt>
            <idx val="6"/>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'3章_3医療'!$B$195:$B$201</f>
            </numRef>
          </cat>
          <val>
            <numRef>
              <f>'3章_3医療'!$D$195:$D$201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37.xml><?xml version="1.0" encoding="utf-8"?>
<chartSpace xmlns="http://schemas.openxmlformats.org/drawingml/2006/chart">
  <chart>
    <plotArea>
      <barChart>
        <barDir val="bar"/>
        <grouping val="clustered"/>
        <varyColors val="0"/>
        <ser>
          <idx val="0"/>
          <order val="0"/>
          <tx>
            <strRef>
              <f>'3章_3医療'!C206</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'3章_3医療'!$B$207:$B$213</f>
            </numRef>
          </cat>
          <val>
            <numRef>
              <f>'3章_3医療'!$C$207:$C$213</f>
            </numRef>
          </val>
        </ser>
        <ser>
          <idx val="1"/>
          <order val="1"/>
          <tx>
            <strRef>
              <f>'3章_3医療'!D206</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'3章_3医療'!$B$207:$B$213</f>
            </numRef>
          </cat>
          <val>
            <numRef>
              <f>'3章_3医療'!$D$207:$D$213</f>
            </numRef>
          </val>
        </ser>
        <ser>
          <idx val="2"/>
          <order val="2"/>
          <tx>
            <strRef>
              <f>'3章_3医療'!E206</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'3章_3医療'!$B$207:$B$213</f>
            </numRef>
          </cat>
          <val>
            <numRef>
              <f>'3章_3医療'!$E$207:$E$213</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3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4"/>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'3章_4相談・情報'!$B$5:$B$9</f>
            </numRef>
          </cat>
          <val>
            <numRef>
              <f>'3章_4相談・情報'!$D$5:$D$9</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5"/>
          <min val="0"/>
        </scaling>
        <delete val="1"/>
        <axPos val="l"/>
        <majorTickMark val="none"/>
        <minorTickMark val="none"/>
        <crossAx val="10"/>
      </valAx>
    </plotArea>
    <plotVisOnly val="1"/>
    <dispBlanksAs val="gap"/>
  </chart>
</chartSpace>
</file>

<file path=xl/charts/chart39.xml><?xml version="1.0" encoding="utf-8"?>
<chartSpace xmlns="http://schemas.openxmlformats.org/drawingml/2006/chart">
  <chart>
    <plotArea>
      <barChart>
        <barDir val="bar"/>
        <grouping val="percentStacked"/>
        <varyColors val="0"/>
        <ser>
          <idx val="0"/>
          <order val="0"/>
          <tx>
            <strRef>
              <f>'3章_4相談・情報'!C14</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'3章_4相談・情報'!$B$15:$B$18</f>
            </numRef>
          </cat>
          <val>
            <numRef>
              <f>'3章_4相談・情報'!$C$15:$C$18</f>
            </numRef>
          </val>
        </ser>
        <ser>
          <idx val="1"/>
          <order val="1"/>
          <tx>
            <strRef>
              <f>'3章_4相談・情報'!D14</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'3章_4相談・情報'!$B$15:$B$18</f>
            </numRef>
          </cat>
          <val>
            <numRef>
              <f>'3章_4相談・情報'!$D$15:$D$18</f>
            </numRef>
          </val>
        </ser>
        <ser>
          <idx val="2"/>
          <order val="2"/>
          <tx>
            <strRef>
              <f>'3章_4相談・情報'!E14</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'3章_4相談・情報'!$B$15:$B$18</f>
            </numRef>
          </cat>
          <val>
            <numRef>
              <f>'3章_4相談・情報'!$E$15:$E$18</f>
            </numRef>
          </val>
        </ser>
        <ser>
          <idx val="3"/>
          <order val="3"/>
          <tx>
            <strRef>
              <f>'3章_4相談・情報'!F14</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'3章_4相談・情報'!$B$15:$B$18</f>
            </numRef>
          </cat>
          <val>
            <numRef>
              <f>'3章_4相談・情報'!$F$15:$F$18</f>
            </numRef>
          </val>
        </ser>
        <ser>
          <idx val="4"/>
          <order val="4"/>
          <tx>
            <strRef>
              <f>'3章_4相談・情報'!G14</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'3章_4相談・情報'!$B$15:$B$18</f>
            </numRef>
          </cat>
          <val>
            <numRef>
              <f>'3章_4相談・情報'!$G$15:$G$18</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0.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10"/>
            <spPr>
              <a:solidFill xmlns:a="http://schemas.openxmlformats.org/drawingml/2006/main">
                <a:srgbClr val="BEBEBE"/>
              </a:solidFill>
              <a:ln xmlns:a="http://schemas.openxmlformats.org/drawingml/2006/main" w="6350">
                <a:solidFill>
                  <a:srgbClr val="000000"/>
                </a:solidFill>
                <a:prstDash val="solid"/>
              </a:ln>
            </spPr>
          </dPt>
          <dPt>
            <idx val="11"/>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'3章_4相談・情報'!$B$26:$B$37</f>
            </numRef>
          </cat>
          <val>
            <numRef>
              <f>'3章_4相談・情報'!$D$26:$D$37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1"/>
          <min val="0"/>
        </scaling>
        <delete val="1"/>
        <axPos val="l"/>
        <majorTickMark val="none"/>
        <minorTickMark val="none"/>
        <crossAx val="10"/>
      </valAx>
    </plotArea>
    <plotVisOnly val="1"/>
    <dispBlanksAs val="gap"/>
  </chart>
</chartSpace>
</file>

<file path=xl/charts/chart41.xml><?xml version="1.0" encoding="utf-8"?>
<chartSpace xmlns="http://schemas.openxmlformats.org/drawingml/2006/chart">
  <chart>
    <plotArea>
      <barChart>
        <barDir val="bar"/>
        <grouping val="clustered"/>
        <varyColors val="0"/>
        <ser>
          <idx val="0"/>
          <order val="0"/>
          <tx>
            <strRef>
              <f>'3章_4相談・情報'!C43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'3章_4相談・情報'!$B$44:$B$55</f>
            </numRef>
          </cat>
          <val>
            <numRef>
              <f>'3章_4相談・情報'!$C$44:$C$55</f>
            </numRef>
          </val>
        </ser>
        <ser>
          <idx val="1"/>
          <order val="1"/>
          <tx>
            <strRef>
              <f>'3章_4相談・情報'!D43</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'3章_4相談・情報'!$B$44:$B$55</f>
            </numRef>
          </cat>
          <val>
            <numRef>
              <f>'3章_4相談・情報'!$D$44:$D$55</f>
            </numRef>
          </val>
        </ser>
        <ser>
          <idx val="2"/>
          <order val="2"/>
          <tx>
            <strRef>
              <f>'3章_4相談・情報'!E43</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'3章_4相談・情報'!$B$44:$B$55</f>
            </numRef>
          </cat>
          <val>
            <numRef>
              <f>'3章_4相談・情報'!$E$44:$E$55</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'3章_4相談・情報'!$B$83:$B$92</f>
            </numRef>
          </cat>
          <val>
            <numRef>
              <f>'3章_4相談・情報'!$D$83:$D$92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43.xml><?xml version="1.0" encoding="utf-8"?>
<chartSpace xmlns="http://schemas.openxmlformats.org/drawingml/2006/chart">
  <chart>
    <plotArea>
      <barChart>
        <barDir val="bar"/>
        <grouping val="clustered"/>
        <varyColors val="0"/>
        <ser>
          <idx val="0"/>
          <order val="0"/>
          <tx>
            <strRef>
              <f>'3章_4相談・情報'!C98</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'3章_4相談・情報'!$B$99:$B$106</f>
            </numRef>
          </cat>
          <val>
            <numRef>
              <f>'3章_4相談・情報'!$C$99:$C$106</f>
            </numRef>
          </val>
        </ser>
        <ser>
          <idx val="1"/>
          <order val="1"/>
          <tx>
            <strRef>
              <f>'3章_4相談・情報'!D98</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'3章_4相談・情報'!$B$99:$B$106</f>
            </numRef>
          </cat>
          <val>
            <numRef>
              <f>'3章_4相談・情報'!$D$99:$D$106</f>
            </numRef>
          </val>
        </ser>
        <ser>
          <idx val="2"/>
          <order val="2"/>
          <tx>
            <strRef>
              <f>'3章_4相談・情報'!E98</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'3章_4相談・情報'!$B$99:$B$106</f>
            </numRef>
          </cat>
          <val>
            <numRef>
              <f>'3章_4相談・情報'!$E$99:$E$106</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4.xml><?xml version="1.0" encoding="utf-8"?>
<chartSpace xmlns="http://schemas.openxmlformats.org/drawingml/2006/chart">
  <chart>
    <plotArea>
      <barChart>
        <barDir val="bar"/>
        <grouping val="percentStacked"/>
        <varyColors val="0"/>
        <ser>
          <idx val="0"/>
          <order val="0"/>
          <tx>
            <strRef>
              <f>'3章_4相談・情報'!$B$127</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'3章_4相談・情報'!$D$127</f>
            </numRef>
          </val>
        </ser>
        <ser>
          <idx val="1"/>
          <order val="1"/>
          <tx>
            <strRef>
              <f>'3章_4相談・情報'!$B$128</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'3章_4相談・情報'!$D$128</f>
            </numRef>
          </val>
        </ser>
        <ser>
          <idx val="2"/>
          <order val="2"/>
          <tx>
            <strRef>
              <f>'3章_4相談・情報'!$B$129</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'3章_4相談・情報'!$D$129</f>
            </numRef>
          </val>
        </ser>
        <ser>
          <idx val="3"/>
          <order val="3"/>
          <tx>
            <strRef>
              <f>'3章_4相談・情報'!$B$130</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'3章_4相談・情報'!$D$130</f>
            </numRef>
          </val>
        </ser>
        <ser>
          <idx val="4"/>
          <order val="4"/>
          <tx>
            <strRef>
              <f>'3章_4相談・情報'!$B$131</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'3章_4相談・情報'!$D$131</f>
            </numRef>
          </val>
        </ser>
        <ser>
          <idx val="5"/>
          <order val="5"/>
          <tx>
            <strRef>
              <f>'3章_4相談・情報'!$B$132</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'3章_4相談・情報'!$D$132</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5.xml><?xml version="1.0" encoding="utf-8"?>
<chartSpace xmlns="http://schemas.openxmlformats.org/drawingml/2006/chart">
  <chart>
    <plotArea>
      <barChart>
        <barDir val="bar"/>
        <grouping val="percentStacked"/>
        <varyColors val="0"/>
        <ser>
          <idx val="0"/>
          <order val="0"/>
          <tx>
            <strRef>
              <f>'3章_4相談・情報'!C138</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'3章_4相談・情報'!$B$139:$B$142</f>
            </numRef>
          </cat>
          <val>
            <numRef>
              <f>'3章_4相談・情報'!$C$139:$C$142</f>
            </numRef>
          </val>
        </ser>
        <ser>
          <idx val="1"/>
          <order val="1"/>
          <tx>
            <strRef>
              <f>'3章_4相談・情報'!D138</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'3章_4相談・情報'!$B$139:$B$142</f>
            </numRef>
          </cat>
          <val>
            <numRef>
              <f>'3章_4相談・情報'!$D$139:$D$142</f>
            </numRef>
          </val>
        </ser>
        <ser>
          <idx val="2"/>
          <order val="2"/>
          <tx>
            <strRef>
              <f>'3章_4相談・情報'!E138</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'3章_4相談・情報'!$B$139:$B$142</f>
            </numRef>
          </cat>
          <val>
            <numRef>
              <f>'3章_4相談・情報'!$E$139:$E$142</f>
            </numRef>
          </val>
        </ser>
        <ser>
          <idx val="3"/>
          <order val="3"/>
          <tx>
            <strRef>
              <f>'3章_4相談・情報'!F138</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'3章_4相談・情報'!$B$139:$B$142</f>
            </numRef>
          </cat>
          <val>
            <numRef>
              <f>'3章_4相談・情報'!$F$139:$F$142</f>
            </numRef>
          </val>
        </ser>
        <ser>
          <idx val="4"/>
          <order val="4"/>
          <tx>
            <strRef>
              <f>'3章_4相談・情報'!G138</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'3章_4相談・情報'!$B$139:$B$142</f>
            </numRef>
          </cat>
          <val>
            <numRef>
              <f>'3章_4相談・情報'!$G$139:$G$142</f>
            </numRef>
          </val>
        </ser>
        <ser>
          <idx val="5"/>
          <order val="5"/>
          <tx>
            <strRef>
              <f>'3章_4相談・情報'!H138</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'3章_4相談・情報'!$B$139:$B$142</f>
            </numRef>
          </cat>
          <val>
            <numRef>
              <f>'3章_4相談・情報'!$H$139:$H$142</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6.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9"/>
            <spPr>
              <a:solidFill xmlns:a="http://schemas.openxmlformats.org/drawingml/2006/main">
                <a:srgbClr val="BEBEBE"/>
              </a:solidFill>
              <a:ln xmlns:a="http://schemas.openxmlformats.org/drawingml/2006/main" w="6350">
                <a:solidFill>
                  <a:srgbClr val="000000"/>
                </a:solidFill>
                <a:prstDash val="solid"/>
              </a:ln>
            </spPr>
          </dPt>
          <dPt>
            <idx val="10"/>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'3章_4相談・情報'!$B$151:$B$161</f>
            </numRef>
          </cat>
          <val>
            <numRef>
              <f>'3章_4相談・情報'!$D$151:$D$161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47.xml><?xml version="1.0" encoding="utf-8"?>
<chartSpace xmlns="http://schemas.openxmlformats.org/drawingml/2006/chart">
  <chart>
    <plotArea>
      <barChart>
        <barDir val="bar"/>
        <grouping val="clustered"/>
        <varyColors val="0"/>
        <ser>
          <idx val="0"/>
          <order val="0"/>
          <tx>
            <strRef>
              <f>'3章_4相談・情報'!C167</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'3章_4相談・情報'!$B$168:$B$176</f>
            </numRef>
          </cat>
          <val>
            <numRef>
              <f>'3章_4相談・情報'!$C$168:$C$176</f>
            </numRef>
          </val>
        </ser>
        <ser>
          <idx val="1"/>
          <order val="1"/>
          <tx>
            <strRef>
              <f>'3章_4相談・情報'!D167</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'3章_4相談・情報'!$B$168:$B$176</f>
            </numRef>
          </cat>
          <val>
            <numRef>
              <f>'3章_4相談・情報'!$D$168:$D$176</f>
            </numRef>
          </val>
        </ser>
        <ser>
          <idx val="2"/>
          <order val="2"/>
          <tx>
            <strRef>
              <f>'3章_4相談・情報'!E167</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'3章_4相談・情報'!$B$168:$B$176</f>
            </numRef>
          </cat>
          <val>
            <numRef>
              <f>'3章_4相談・情報'!$E$168:$E$176</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'3章_4相談・情報'!$B$199:$B$207</f>
            </numRef>
          </cat>
          <val>
            <numRef>
              <f>'3章_4相談・情報'!$D$199:$D$207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49.xml><?xml version="1.0" encoding="utf-8"?>
<chartSpace xmlns="http://schemas.openxmlformats.org/drawingml/2006/chart">
  <chart>
    <plotArea>
      <barChart>
        <barDir val="bar"/>
        <grouping val="clustered"/>
        <varyColors val="0"/>
        <ser>
          <idx val="0"/>
          <order val="0"/>
          <tx>
            <strRef>
              <f>'3章_4相談・情報'!C213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'3章_4相談・情報'!$B$214:$B$222</f>
            </numRef>
          </cat>
          <val>
            <numRef>
              <f>'3章_4相談・情報'!$C$214:$C$222</f>
            </numRef>
          </val>
        </ser>
        <ser>
          <idx val="1"/>
          <order val="1"/>
          <tx>
            <strRef>
              <f>'3章_4相談・情報'!D213</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'3章_4相談・情報'!$B$214:$B$222</f>
            </numRef>
          </cat>
          <val>
            <numRef>
              <f>'3章_4相談・情報'!$D$214:$D$222</f>
            </numRef>
          </val>
        </ser>
        <ser>
          <idx val="2"/>
          <order val="2"/>
          <tx>
            <strRef>
              <f>'3章_4相談・情報'!E213</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'3章_4相談・情報'!$B$214:$B$222</f>
            </numRef>
          </cat>
          <val>
            <numRef>
              <f>'3章_4相談・情報'!$E$214:$E$222</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0.xml><?xml version="1.0" encoding="utf-8"?>
<chartSpace xmlns="http://schemas.openxmlformats.org/drawingml/2006/chart">
  <chart>
    <plotArea>
      <barChart>
        <barDir val="bar"/>
        <grouping val="clustered"/>
        <varyColors val="0"/>
        <ser>
          <idx val="0"/>
          <order val="0"/>
          <tx>
            <strRef>
              <f>'3章_5サービス'!C30</f>
            </strRef>
          </tx>
          <spPr>
            <a:pattFill xmlns:a="http://schemas.openxmlformats.org/drawingml/2006/main" prst="ltUpDiag">
              <a:fgClr>
                <a:srgbClr val="323232"/>
              </a:fgClr>
              <a:bgClr>
                <a:srgbClr val="C8C8C8"/>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'3章_5サービス'!$B$31:$B$45</f>
            </numRef>
          </cat>
          <val>
            <numRef>
              <f>'3章_5サービス'!$C$31:$C$45</f>
            </numRef>
          </val>
        </ser>
        <ser>
          <idx val="1"/>
          <order val="1"/>
          <tx>
            <strRef>
              <f>'3章_5サービス'!D30</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'3章_5サービス'!$B$31:$B$45</f>
            </numRef>
          </cat>
          <val>
            <numRef>
              <f>'3章_5サービス'!$D$31:$D$45</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1.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18"/>
            <spPr>
              <a:solidFill xmlns:a="http://schemas.openxmlformats.org/drawingml/2006/main">
                <a:srgbClr val="BEBEBE"/>
              </a:solidFill>
              <a:ln xmlns:a="http://schemas.openxmlformats.org/drawingml/2006/main" w="6350">
                <a:solidFill>
                  <a:srgbClr val="000000"/>
                </a:solidFill>
                <a:prstDash val="solid"/>
              </a:ln>
            </spPr>
          </dPt>
          <dPt>
            <idx val="1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'3章_5サービス'!$B$64:$B$83</f>
            </numRef>
          </cat>
          <val>
            <numRef>
              <f>'3章_5サービス'!$D$64:$D$83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5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'3章_5サービス'!$B$138:$B$147</f>
            </numRef>
          </cat>
          <val>
            <numRef>
              <f>'3章_5サービス'!$D$138:$D$147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5"/>
          <min val="0"/>
        </scaling>
        <delete val="1"/>
        <axPos val="l"/>
        <majorTickMark val="none"/>
        <minorTickMark val="none"/>
        <crossAx val="10"/>
      </valAx>
    </plotArea>
    <plotVisOnly val="1"/>
    <dispBlanksAs val="gap"/>
  </chart>
</chartSpace>
</file>

<file path=xl/charts/chart53.xml><?xml version="1.0" encoding="utf-8"?>
<chartSpace xmlns="http://schemas.openxmlformats.org/drawingml/2006/chart">
  <chart>
    <plotArea>
      <barChart>
        <barDir val="bar"/>
        <grouping val="clustered"/>
        <varyColors val="0"/>
        <ser>
          <idx val="0"/>
          <order val="0"/>
          <tx>
            <strRef>
              <f>'3章_5サービス'!C153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'3章_5サービス'!$B$154:$B$163</f>
            </numRef>
          </cat>
          <val>
            <numRef>
              <f>'3章_5サービス'!$C$154:$C$163</f>
            </numRef>
          </val>
        </ser>
        <ser>
          <idx val="1"/>
          <order val="1"/>
          <tx>
            <strRef>
              <f>'3章_5サービス'!D153</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'3章_5サービス'!$B$154:$B$163</f>
            </numRef>
          </cat>
          <val>
            <numRef>
              <f>'3章_5サービス'!$D$154:$D$163</f>
            </numRef>
          </val>
        </ser>
        <ser>
          <idx val="2"/>
          <order val="2"/>
          <tx>
            <strRef>
              <f>'3章_5サービス'!E153</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'3章_5サービス'!$B$154:$B$163</f>
            </numRef>
          </cat>
          <val>
            <numRef>
              <f>'3章_5サービス'!$E$154:$E$163</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4.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'3章_5サービス'!$B$188:$B$197</f>
            </numRef>
          </cat>
          <val>
            <numRef>
              <f>'3章_5サービス'!$D$188:$D$197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5"/>
          <min val="0"/>
        </scaling>
        <delete val="1"/>
        <axPos val="l"/>
        <majorTickMark val="none"/>
        <minorTickMark val="none"/>
        <crossAx val="10"/>
      </valAx>
    </plotArea>
    <plotVisOnly val="1"/>
    <dispBlanksAs val="gap"/>
  </chart>
</chartSpace>
</file>

<file path=xl/charts/chart55.xml><?xml version="1.0" encoding="utf-8"?>
<chartSpace xmlns="http://schemas.openxmlformats.org/drawingml/2006/chart">
  <chart>
    <plotArea>
      <barChart>
        <barDir val="bar"/>
        <grouping val="clustered"/>
        <varyColors val="0"/>
        <ser>
          <idx val="0"/>
          <order val="0"/>
          <tx>
            <strRef>
              <f>'3章_5サービス'!C203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'3章_5サービス'!$B$204:$B$212</f>
            </numRef>
          </cat>
          <val>
            <numRef>
              <f>'3章_5サービス'!$C$204:$C$212</f>
            </numRef>
          </val>
        </ser>
        <ser>
          <idx val="1"/>
          <order val="1"/>
          <tx>
            <strRef>
              <f>'3章_5サービス'!D203</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'3章_5サービス'!$B$204:$B$212</f>
            </numRef>
          </cat>
          <val>
            <numRef>
              <f>'3章_5サービス'!$D$204:$D$212</f>
            </numRef>
          </val>
        </ser>
        <ser>
          <idx val="2"/>
          <order val="2"/>
          <tx>
            <strRef>
              <f>'3章_5サービス'!E203</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'3章_5サービス'!$B$204:$B$212</f>
            </numRef>
          </cat>
          <val>
            <numRef>
              <f>'3章_5サービス'!$E$204:$E$212</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6.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'3章_5サービス'!$B$235:$B$242</f>
            </numRef>
          </cat>
          <val>
            <numRef>
              <f>'3章_5サービス'!$D$235:$D$242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5"/>
          <min val="0"/>
        </scaling>
        <delete val="1"/>
        <axPos val="l"/>
        <majorTickMark val="none"/>
        <minorTickMark val="none"/>
        <crossAx val="10"/>
      </valAx>
    </plotArea>
    <plotVisOnly val="1"/>
    <dispBlanksAs val="gap"/>
  </chart>
</chartSpace>
</file>

<file path=xl/charts/chart57.xml><?xml version="1.0" encoding="utf-8"?>
<chartSpace xmlns="http://schemas.openxmlformats.org/drawingml/2006/chart">
  <chart>
    <plotArea>
      <barChart>
        <barDir val="bar"/>
        <grouping val="percentStacked"/>
        <varyColors val="0"/>
        <ser>
          <idx val="0"/>
          <order val="0"/>
          <tx>
            <strRef>
              <f>'3章_5サービス'!C248</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'3章_5サービス'!$B$249:$B$252</f>
            </numRef>
          </cat>
          <val>
            <numRef>
              <f>'3章_5サービス'!$C$249:$C$252</f>
            </numRef>
          </val>
        </ser>
        <ser>
          <idx val="1"/>
          <order val="1"/>
          <tx>
            <strRef>
              <f>'3章_5サービス'!D248</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'3章_5サービス'!$B$249:$B$252</f>
            </numRef>
          </cat>
          <val>
            <numRef>
              <f>'3章_5サービス'!$D$249:$D$252</f>
            </numRef>
          </val>
        </ser>
        <ser>
          <idx val="2"/>
          <order val="2"/>
          <tx>
            <strRef>
              <f>'3章_5サービス'!E248</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'3章_5サービス'!$B$249:$B$252</f>
            </numRef>
          </cat>
          <val>
            <numRef>
              <f>'3章_5サービス'!$E$249:$E$252</f>
            </numRef>
          </val>
        </ser>
        <ser>
          <idx val="3"/>
          <order val="3"/>
          <tx>
            <strRef>
              <f>'3章_5サービス'!F248</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'3章_5サービス'!$B$249:$B$252</f>
            </numRef>
          </cat>
          <val>
            <numRef>
              <f>'3章_5サービス'!$F$249:$F$252</f>
            </numRef>
          </val>
        </ser>
        <ser>
          <idx val="4"/>
          <order val="4"/>
          <tx>
            <strRef>
              <f>'3章_5サービス'!G248</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'3章_5サービス'!$B$249:$B$252</f>
            </numRef>
          </cat>
          <val>
            <numRef>
              <f>'3章_5サービス'!$G$249:$G$252</f>
            </numRef>
          </val>
        </ser>
        <ser>
          <idx val="5"/>
          <order val="5"/>
          <tx>
            <strRef>
              <f>'3章_5サービス'!H248</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'3章_5サービス'!$B$249:$B$252</f>
            </numRef>
          </cat>
          <val>
            <numRef>
              <f>'3章_5サービス'!$H$249:$H$252</f>
            </numRef>
          </val>
        </ser>
        <ser>
          <idx val="6"/>
          <order val="6"/>
          <tx>
            <strRef>
              <f>'3章_5サービス'!I248</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'3章_5サービス'!$B$249:$B$252</f>
            </numRef>
          </cat>
          <val>
            <numRef>
              <f>'3章_5サービス'!$I$249:$I$252</f>
            </numRef>
          </val>
        </ser>
        <ser>
          <idx val="7"/>
          <order val="7"/>
          <tx>
            <strRef>
              <f>'3章_5サービス'!J248</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'3章_5サービス'!$B$249:$B$252</f>
            </numRef>
          </cat>
          <val>
            <numRef>
              <f>'3章_5サービス'!$J$249:$J$252</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'3章_6日中・権利'!$B$5:$B$14</f>
            </numRef>
          </cat>
          <val>
            <numRef>
              <f>'3章_6日中・権利'!$D$5:$D$14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59.xml><?xml version="1.0" encoding="utf-8"?>
<chartSpace xmlns="http://schemas.openxmlformats.org/drawingml/2006/chart">
  <chart>
    <plotArea>
      <barChart>
        <barDir val="bar"/>
        <grouping val="percentStacked"/>
        <varyColors val="0"/>
        <ser>
          <idx val="0"/>
          <order val="0"/>
          <tx>
            <strRef>
              <f>'3章_6日中・権利'!C20</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'3章_6日中・権利'!$C$21:$C$24</f>
            </numRef>
          </val>
        </ser>
        <ser>
          <idx val="1"/>
          <order val="1"/>
          <tx>
            <strRef>
              <f>'3章_6日中・権利'!D20</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'3章_6日中・権利'!$D$21:$D$24</f>
            </numRef>
          </val>
        </ser>
        <ser>
          <idx val="2"/>
          <order val="2"/>
          <tx>
            <strRef>
              <f>'3章_6日中・権利'!E20</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'3章_6日中・権利'!$E$21:$E$24</f>
            </numRef>
          </val>
        </ser>
        <ser>
          <idx val="3"/>
          <order val="3"/>
          <tx>
            <strRef>
              <f>'3章_6日中・権利'!F20</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'3章_6日中・権利'!$F$21:$F$24</f>
            </numRef>
          </val>
        </ser>
        <ser>
          <idx val="4"/>
          <order val="4"/>
          <tx>
            <strRef>
              <f>'3章_6日中・権利'!G20</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'3章_6日中・権利'!$G$21:$G$24</f>
            </numRef>
          </val>
        </ser>
        <ser>
          <idx val="5"/>
          <order val="5"/>
          <tx>
            <strRef>
              <f>'3章_6日中・権利'!H20</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'3章_6日中・権利'!$H$21:$H$24</f>
            </numRef>
          </val>
        </ser>
        <ser>
          <idx val="6"/>
          <order val="6"/>
          <tx>
            <strRef>
              <f>'3章_6日中・権利'!I20</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'3章_6日中・権利'!$I$21:$I$24</f>
            </numRef>
          </val>
        </ser>
        <ser>
          <idx val="7"/>
          <order val="7"/>
          <tx>
            <strRef>
              <f>'3章_6日中・権利'!J20</f>
            </strRef>
          </tx>
          <spPr>
            <a:pattFill xmlns:a="http://schemas.openxmlformats.org/drawingml/2006/main" prst="ltVert">
              <a:fgClr>
                <a:srgbClr val="282828"/>
              </a:fgClr>
              <a:bgClr>
                <a:srgbClr val="A5A5A5"/>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'3章_6日中・権利'!$J$21:$J$24</f>
            </numRef>
          </val>
        </ser>
        <ser>
          <idx val="8"/>
          <order val="8"/>
          <tx>
            <strRef>
              <f>'3章_6日中・権利'!K20</f>
            </strRef>
          </tx>
          <spPr>
            <a:pattFill xmlns:a="http://schemas.openxmlformats.org/drawingml/2006/main" prst="smGrid">
              <a:fgClr>
                <a:srgbClr val="323232"/>
              </a:fgClr>
              <a:bgClr>
                <a:srgbClr val="EBEBEB"/>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'3章_6日中・権利'!$K$21:$K$24</f>
            </numRef>
          </val>
        </ser>
        <ser>
          <idx val="9"/>
          <order val="9"/>
          <tx>
            <strRef>
              <f>'3章_6日中・権利'!L20</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'3章_6日中・権利'!$B$21:$B$24</f>
            </numRef>
          </cat>
          <val>
            <numRef>
              <f>'3章_6日中・権利'!$L$21:$L$24</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60.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'3章_6日中・権利'!$B$34:$B$43</f>
            </numRef>
          </cat>
          <val>
            <numRef>
              <f>'3章_6日中・権利'!$D$34:$D$43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8"/>
          <min val="0"/>
        </scaling>
        <delete val="1"/>
        <axPos val="l"/>
        <majorTickMark val="none"/>
        <minorTickMark val="none"/>
        <crossAx val="10"/>
      </valAx>
    </plotArea>
    <plotVisOnly val="1"/>
    <dispBlanksAs val="gap"/>
  </chart>
</chartSpace>
</file>

<file path=xl/charts/chart61.xml><?xml version="1.0" encoding="utf-8"?>
<chartSpace xmlns="http://schemas.openxmlformats.org/drawingml/2006/chart">
  <chart>
    <plotArea>
      <barChart>
        <barDir val="bar"/>
        <grouping val="percentStacked"/>
        <varyColors val="0"/>
        <ser>
          <idx val="0"/>
          <order val="0"/>
          <tx>
            <strRef>
              <f>'3章_6日中・権利'!C49</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'3章_6日中・権利'!$C$50:$C$53</f>
            </numRef>
          </val>
        </ser>
        <ser>
          <idx val="1"/>
          <order val="1"/>
          <tx>
            <strRef>
              <f>'3章_6日中・権利'!D49</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'3章_6日中・権利'!$D$50:$D$53</f>
            </numRef>
          </val>
        </ser>
        <ser>
          <idx val="2"/>
          <order val="2"/>
          <tx>
            <strRef>
              <f>'3章_6日中・権利'!E49</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'3章_6日中・権利'!$E$50:$E$53</f>
            </numRef>
          </val>
        </ser>
        <ser>
          <idx val="3"/>
          <order val="3"/>
          <tx>
            <strRef>
              <f>'3章_6日中・権利'!F49</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'3章_6日中・権利'!$F$50:$F$53</f>
            </numRef>
          </val>
        </ser>
        <ser>
          <idx val="4"/>
          <order val="4"/>
          <tx>
            <strRef>
              <f>'3章_6日中・権利'!G49</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'3章_6日中・権利'!$G$50:$G$53</f>
            </numRef>
          </val>
        </ser>
        <ser>
          <idx val="5"/>
          <order val="5"/>
          <tx>
            <strRef>
              <f>'3章_6日中・権利'!H49</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'3章_6日中・権利'!$H$50:$H$53</f>
            </numRef>
          </val>
        </ser>
        <ser>
          <idx val="6"/>
          <order val="6"/>
          <tx>
            <strRef>
              <f>'3章_6日中・権利'!I49</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'3章_6日中・権利'!$I$50:$I$53</f>
            </numRef>
          </val>
        </ser>
        <ser>
          <idx val="7"/>
          <order val="7"/>
          <tx>
            <strRef>
              <f>'3章_6日中・権利'!J49</f>
            </strRef>
          </tx>
          <spPr>
            <a:pattFill xmlns:a="http://schemas.openxmlformats.org/drawingml/2006/main" prst="ltVert">
              <a:fgClr>
                <a:srgbClr val="282828"/>
              </a:fgClr>
              <a:bgClr>
                <a:srgbClr val="A5A5A5"/>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'3章_6日中・権利'!$J$50:$J$53</f>
            </numRef>
          </val>
        </ser>
        <ser>
          <idx val="8"/>
          <order val="8"/>
          <tx>
            <strRef>
              <f>'3章_6日中・権利'!K49</f>
            </strRef>
          </tx>
          <spPr>
            <a:pattFill xmlns:a="http://schemas.openxmlformats.org/drawingml/2006/main" prst="smGrid">
              <a:fgClr>
                <a:srgbClr val="323232"/>
              </a:fgClr>
              <a:bgClr>
                <a:srgbClr val="EBEBEB"/>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'3章_6日中・権利'!$K$50:$K$53</f>
            </numRef>
          </val>
        </ser>
        <ser>
          <idx val="9"/>
          <order val="9"/>
          <tx>
            <strRef>
              <f>'3章_6日中・権利'!L49</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'3章_6日中・権利'!$B$50:$B$53</f>
            </numRef>
          </cat>
          <val>
            <numRef>
              <f>'3章_6日中・権利'!$L$50:$L$53</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6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BEBEBE"/>
              </a:solidFill>
              <a:ln xmlns:a="http://schemas.openxmlformats.org/drawingml/2006/main" w="6350">
                <a:solidFill>
                  <a:srgbClr val="000000"/>
                </a:solidFill>
                <a:prstDash val="solid"/>
              </a:ln>
            </spPr>
          </dPt>
          <dPt>
            <idx val="10"/>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'3章_6日中・権利'!$B$63:$B$73</f>
            </numRef>
          </cat>
          <val>
            <numRef>
              <f>'3章_6日中・権利'!$D$63:$D$73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63.xml><?xml version="1.0" encoding="utf-8"?>
<chartSpace xmlns="http://schemas.openxmlformats.org/drawingml/2006/chart">
  <chart>
    <plotArea>
      <barChart>
        <barDir val="bar"/>
        <grouping val="clustered"/>
        <varyColors val="0"/>
        <ser>
          <idx val="0"/>
          <order val="0"/>
          <tx>
            <strRef>
              <f>'3章_6日中・権利'!C79</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'3章_6日中・権利'!$B$80:$B$88</f>
            </numRef>
          </cat>
          <val>
            <numRef>
              <f>'3章_6日中・権利'!$C$80:$C$88</f>
            </numRef>
          </val>
        </ser>
        <ser>
          <idx val="1"/>
          <order val="1"/>
          <tx>
            <strRef>
              <f>'3章_6日中・権利'!D79</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'3章_6日中・権利'!$B$80:$B$88</f>
            </numRef>
          </cat>
          <val>
            <numRef>
              <f>'3章_6日中・権利'!$D$80:$D$88</f>
            </numRef>
          </val>
        </ser>
        <ser>
          <idx val="2"/>
          <order val="2"/>
          <tx>
            <strRef>
              <f>'3章_6日中・権利'!E79</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'3章_6日中・権利'!$B$80:$B$88</f>
            </numRef>
          </cat>
          <val>
            <numRef>
              <f>'3章_6日中・権利'!$E$80:$E$88</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64.xml><?xml version="1.0" encoding="utf-8"?>
<chartSpace xmlns="http://schemas.openxmlformats.org/drawingml/2006/chart">
  <chart>
    <plotArea>
      <barChart>
        <barDir val="bar"/>
        <grouping val="percentStacked"/>
        <varyColors val="0"/>
        <ser>
          <idx val="0"/>
          <order val="0"/>
          <tx>
            <strRef>
              <f>'3章_6日中・権利'!$B$111</f>
            </strRef>
          </tx>
          <spPr>
            <a:pattFill xmlns:a="http://schemas.openxmlformats.org/drawingml/2006/main" prst="smGrid">
              <a:fgClr>
                <a:srgbClr val="323232"/>
              </a:fgClr>
              <a:bgClr>
                <a:srgbClr val="EBEBEB"/>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'3章_6日中・権利'!$D$111</f>
            </numRef>
          </val>
        </ser>
        <ser>
          <idx val="1"/>
          <order val="1"/>
          <tx>
            <strRef>
              <f>'3章_6日中・権利'!$B$112</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'3章_6日中・権利'!$D$112</f>
            </numRef>
          </val>
        </ser>
        <ser>
          <idx val="2"/>
          <order val="2"/>
          <tx>
            <strRef>
              <f>'3章_6日中・権利'!$B$113</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'3章_6日中・権利'!$D$113</f>
            </numRef>
          </val>
        </ser>
        <ser>
          <idx val="3"/>
          <order val="3"/>
          <tx>
            <strRef>
              <f>'3章_6日中・権利'!$B$114</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'3章_6日中・権利'!$D$114</f>
            </numRef>
          </val>
        </ser>
        <ser>
          <idx val="4"/>
          <order val="4"/>
          <tx>
            <strRef>
              <f>'3章_6日中・権利'!$B$115</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'3章_6日中・権利'!$D$115</f>
            </numRef>
          </val>
        </ser>
        <ser>
          <idx val="5"/>
          <order val="5"/>
          <tx>
            <strRef>
              <f>'3章_6日中・権利'!$B$116</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'3章_6日中・権利'!$D$116</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65.xml><?xml version="1.0" encoding="utf-8"?>
<chartSpace xmlns="http://schemas.openxmlformats.org/drawingml/2006/chart">
  <chart>
    <plotArea>
      <barChart>
        <barDir val="bar"/>
        <grouping val="percentStacked"/>
        <varyColors val="0"/>
        <ser>
          <idx val="0"/>
          <order val="0"/>
          <tx>
            <strRef>
              <f>'3章_6日中・権利'!C121</f>
            </strRef>
          </tx>
          <spPr>
            <a:pattFill xmlns:a="http://schemas.openxmlformats.org/drawingml/2006/main" prst="smGrid">
              <a:fgClr>
                <a:srgbClr val="323232"/>
              </a:fgClr>
              <a:bgClr>
                <a:srgbClr val="EBEBEB"/>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'3章_6日中・権利'!$B$122:$B$125</f>
            </numRef>
          </cat>
          <val>
            <numRef>
              <f>'3章_6日中・権利'!$C$122:$C$125</f>
            </numRef>
          </val>
        </ser>
        <ser>
          <idx val="1"/>
          <order val="1"/>
          <tx>
            <strRef>
              <f>'3章_6日中・権利'!D121</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'3章_6日中・権利'!$B$122:$B$125</f>
            </numRef>
          </cat>
          <val>
            <numRef>
              <f>'3章_6日中・権利'!$D$122:$D$125</f>
            </numRef>
          </val>
        </ser>
        <ser>
          <idx val="2"/>
          <order val="2"/>
          <tx>
            <strRef>
              <f>'3章_6日中・権利'!E121</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'3章_6日中・権利'!$B$122:$B$125</f>
            </numRef>
          </cat>
          <val>
            <numRef>
              <f>'3章_6日中・権利'!$E$122:$E$125</f>
            </numRef>
          </val>
        </ser>
        <ser>
          <idx val="3"/>
          <order val="3"/>
          <tx>
            <strRef>
              <f>'3章_6日中・権利'!F121</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'3章_6日中・権利'!$B$122:$B$125</f>
            </numRef>
          </cat>
          <val>
            <numRef>
              <f>'3章_6日中・権利'!$F$122:$F$125</f>
            </numRef>
          </val>
        </ser>
        <ser>
          <idx val="4"/>
          <order val="4"/>
          <tx>
            <strRef>
              <f>'3章_6日中・権利'!G121</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'3章_6日中・権利'!$B$122:$B$125</f>
            </numRef>
          </cat>
          <val>
            <numRef>
              <f>'3章_6日中・権利'!$G$122:$G$125</f>
            </numRef>
          </val>
        </ser>
        <ser>
          <idx val="5"/>
          <order val="5"/>
          <tx>
            <strRef>
              <f>'3章_6日中・権利'!H121</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'3章_6日中・権利'!$B$122:$B$125</f>
            </numRef>
          </cat>
          <val>
            <numRef>
              <f>'3章_6日中・権利'!$H$122:$H$125</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66.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9"/>
            <spPr>
              <a:solidFill xmlns:a="http://schemas.openxmlformats.org/drawingml/2006/main">
                <a:srgbClr val="BEBEBE"/>
              </a:solidFill>
              <a:ln xmlns:a="http://schemas.openxmlformats.org/drawingml/2006/main" w="6350">
                <a:solidFill>
                  <a:srgbClr val="000000"/>
                </a:solidFill>
                <a:prstDash val="solid"/>
              </a:ln>
            </spPr>
          </dPt>
          <dPt>
            <idx val="10"/>
            <spPr>
              <a:solidFill xmlns:a="http://schemas.openxmlformats.org/drawingml/2006/main">
                <a:srgbClr val="BEBEBE"/>
              </a:solidFill>
              <a:ln xmlns:a="http://schemas.openxmlformats.org/drawingml/2006/main" w="6350">
                <a:solidFill>
                  <a:srgbClr val="000000"/>
                </a:solidFill>
                <a:prstDash val="solid"/>
              </a:ln>
            </spPr>
          </dPt>
          <dPt>
            <idx val="11"/>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'3章_6日中・権利'!$B$136:$B$147</f>
            </numRef>
          </cat>
          <val>
            <numRef>
              <f>'3章_6日中・権利'!$D$136:$D$147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67.xml><?xml version="1.0" encoding="utf-8"?>
<chartSpace xmlns="http://schemas.openxmlformats.org/drawingml/2006/chart">
  <chart>
    <plotArea>
      <barChart>
        <barDir val="bar"/>
        <grouping val="clustered"/>
        <varyColors val="0"/>
        <ser>
          <idx val="0"/>
          <order val="0"/>
          <tx>
            <strRef>
              <f>'3章_6日中・権利'!C153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'3章_6日中・権利'!$B$154:$B$161</f>
            </numRef>
          </cat>
          <val>
            <numRef>
              <f>'3章_6日中・権利'!$C$154:$C$161</f>
            </numRef>
          </val>
        </ser>
        <ser>
          <idx val="1"/>
          <order val="1"/>
          <tx>
            <strRef>
              <f>'3章_6日中・権利'!D153</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'3章_6日中・権利'!$B$154:$B$161</f>
            </numRef>
          </cat>
          <val>
            <numRef>
              <f>'3章_6日中・権利'!$D$154:$D$161</f>
            </numRef>
          </val>
        </ser>
        <ser>
          <idx val="2"/>
          <order val="2"/>
          <tx>
            <strRef>
              <f>'3章_6日中・権利'!E153</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'3章_6日中・権利'!$B$154:$B$161</f>
            </numRef>
          </cat>
          <val>
            <numRef>
              <f>'3章_6日中・権利'!$E$154:$E$161</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6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'3章_6日中・権利'!$B$182:$B$191</f>
            </numRef>
          </cat>
          <val>
            <numRef>
              <f>'3章_6日中・権利'!$D$182:$D$191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69.xml><?xml version="1.0" encoding="utf-8"?>
<chartSpace xmlns="http://schemas.openxmlformats.org/drawingml/2006/chart">
  <chart>
    <plotArea>
      <barChart>
        <barDir val="bar"/>
        <grouping val="clustered"/>
        <varyColors val="0"/>
        <ser>
          <idx val="0"/>
          <order val="0"/>
          <tx>
            <strRef>
              <f>'3章_6日中・権利'!C198</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'3章_6日中・権利'!$B$199:$B$207</f>
            </numRef>
          </cat>
          <val>
            <numRef>
              <f>'3章_6日中・権利'!$C$199:$C$207</f>
            </numRef>
          </val>
        </ser>
        <ser>
          <idx val="1"/>
          <order val="1"/>
          <tx>
            <strRef>
              <f>'3章_6日中・権利'!D198</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'3章_6日中・権利'!$B$199:$B$207</f>
            </numRef>
          </cat>
          <val>
            <numRef>
              <f>'3章_6日中・権利'!$D$199:$D$207</f>
            </numRef>
          </val>
        </ser>
        <ser>
          <idx val="2"/>
          <order val="2"/>
          <tx>
            <strRef>
              <f>'3章_6日中・権利'!E198</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'3章_6日中・権利'!$B$199:$B$207</f>
            </numRef>
          </cat>
          <val>
            <numRef>
              <f>'3章_6日中・権利'!$E$199:$E$207</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70.xml><?xml version="1.0" encoding="utf-8"?>
<chartSpace xmlns="http://schemas.openxmlformats.org/drawingml/2006/chart">
  <chart>
    <plotArea>
      <barChart>
        <barDir val="bar"/>
        <grouping val="percentStacked"/>
        <varyColors val="0"/>
        <ser>
          <idx val="0"/>
          <order val="0"/>
          <tx>
            <strRef>
              <f>'3章_6日中・権利'!$B$230</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'3章_6日中・権利'!$D$230</f>
            </numRef>
          </val>
        </ser>
        <ser>
          <idx val="1"/>
          <order val="1"/>
          <tx>
            <strRef>
              <f>'3章_6日中・権利'!$B$231</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'3章_6日中・権利'!$D$231</f>
            </numRef>
          </val>
        </ser>
        <ser>
          <idx val="2"/>
          <order val="2"/>
          <tx>
            <strRef>
              <f>'3章_6日中・権利'!$B$232</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'3章_6日中・権利'!$D$232</f>
            </numRef>
          </val>
        </ser>
        <ser>
          <idx val="3"/>
          <order val="3"/>
          <tx>
            <strRef>
              <f>'3章_6日中・権利'!$B$233</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'3章_6日中・権利'!$D$233</f>
            </numRef>
          </val>
        </ser>
        <ser>
          <idx val="4"/>
          <order val="4"/>
          <tx>
            <strRef>
              <f>'3章_6日中・権利'!$B$234</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'3章_6日中・権利'!$D$234</f>
            </numRef>
          </val>
        </ser>
        <ser>
          <idx val="5"/>
          <order val="5"/>
          <tx>
            <strRef>
              <f>'3章_6日中・権利'!$B$235</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'3章_6日中・権利'!$D$235</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71.xml><?xml version="1.0" encoding="utf-8"?>
<chartSpace xmlns="http://schemas.openxmlformats.org/drawingml/2006/chart">
  <chart>
    <plotArea>
      <barChart>
        <barDir val="bar"/>
        <grouping val="percentStacked"/>
        <varyColors val="0"/>
        <ser>
          <idx val="0"/>
          <order val="0"/>
          <tx>
            <strRef>
              <f>'3章_6日中・権利'!C241</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'3章_6日中・権利'!$B$242:$B$245</f>
            </numRef>
          </cat>
          <val>
            <numRef>
              <f>'3章_6日中・権利'!$C$242:$C$245</f>
            </numRef>
          </val>
        </ser>
        <ser>
          <idx val="1"/>
          <order val="1"/>
          <tx>
            <strRef>
              <f>'3章_6日中・権利'!D241</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'3章_6日中・権利'!$B$242:$B$245</f>
            </numRef>
          </cat>
          <val>
            <numRef>
              <f>'3章_6日中・権利'!$D$242:$D$245</f>
            </numRef>
          </val>
        </ser>
        <ser>
          <idx val="2"/>
          <order val="2"/>
          <tx>
            <strRef>
              <f>'3章_6日中・権利'!E241</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'3章_6日中・権利'!$B$242:$B$245</f>
            </numRef>
          </cat>
          <val>
            <numRef>
              <f>'3章_6日中・権利'!$E$242:$E$245</f>
            </numRef>
          </val>
        </ser>
        <ser>
          <idx val="3"/>
          <order val="3"/>
          <tx>
            <strRef>
              <f>'3章_6日中・権利'!F241</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'3章_6日中・権利'!$B$242:$B$245</f>
            </numRef>
          </cat>
          <val>
            <numRef>
              <f>'3章_6日中・権利'!$F$242:$F$245</f>
            </numRef>
          </val>
        </ser>
        <ser>
          <idx val="4"/>
          <order val="4"/>
          <tx>
            <strRef>
              <f>'3章_6日中・権利'!G241</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'3章_6日中・権利'!$B$242:$B$245</f>
            </numRef>
          </cat>
          <val>
            <numRef>
              <f>'3章_6日中・権利'!$G$242:$G$245</f>
            </numRef>
          </val>
        </ser>
        <ser>
          <idx val="5"/>
          <order val="5"/>
          <tx>
            <strRef>
              <f>'3章_6日中・権利'!H241</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'3章_6日中・権利'!$B$242:$B$245</f>
            </numRef>
          </cat>
          <val>
            <numRef>
              <f>'3章_6日中・権利'!$H$242:$H$245</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7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BEBEBE"/>
              </a:solidFill>
              <a:ln xmlns:a="http://schemas.openxmlformats.org/drawingml/2006/main" w="6350">
                <a:solidFill>
                  <a:srgbClr val="000000"/>
                </a:solidFill>
                <a:prstDash val="solid"/>
              </a:ln>
            </spPr>
          </dPt>
          <dPt>
            <idx val="10"/>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'3章_7災害・施策'!$B$5:$B$15</f>
            </numRef>
          </cat>
          <val>
            <numRef>
              <f>'3章_7災害・施策'!$D$5:$D$15</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73.xml><?xml version="1.0" encoding="utf-8"?>
<chartSpace xmlns="http://schemas.openxmlformats.org/drawingml/2006/chart">
  <chart>
    <plotArea>
      <barChart>
        <barDir val="bar"/>
        <grouping val="clustered"/>
        <varyColors val="0"/>
        <ser>
          <idx val="0"/>
          <order val="0"/>
          <tx>
            <strRef>
              <f>'3章_7災害・施策'!C21</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'3章_7災害・施策'!$B$22:$B$30</f>
            </numRef>
          </cat>
          <val>
            <numRef>
              <f>'3章_7災害・施策'!$C$22:$C$30</f>
            </numRef>
          </val>
        </ser>
        <ser>
          <idx val="1"/>
          <order val="1"/>
          <tx>
            <strRef>
              <f>'3章_7災害・施策'!D21</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'3章_7災害・施策'!$B$22:$B$30</f>
            </numRef>
          </cat>
          <val>
            <numRef>
              <f>'3章_7災害・施策'!$D$22:$D$30</f>
            </numRef>
          </val>
        </ser>
        <ser>
          <idx val="2"/>
          <order val="2"/>
          <tx>
            <strRef>
              <f>'3章_7災害・施策'!E21</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'3章_7災害・施策'!$B$22:$B$30</f>
            </numRef>
          </cat>
          <val>
            <numRef>
              <f>'3章_7災害・施策'!$E$22:$E$30</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74.xml><?xml version="1.0" encoding="utf-8"?>
<chartSpace xmlns="http://schemas.openxmlformats.org/drawingml/2006/chart">
  <chart>
    <plotArea>
      <barChart>
        <barDir val="bar"/>
        <grouping val="percentStacked"/>
        <varyColors val="0"/>
        <ser>
          <idx val="0"/>
          <order val="0"/>
          <tx>
            <strRef>
              <f>'3章_7災害・施策'!$B$53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'3章_7災害・施策'!$D$53</f>
            </numRef>
          </val>
        </ser>
        <ser>
          <idx val="1"/>
          <order val="1"/>
          <tx>
            <strRef>
              <f>'3章_7災害・施策'!$B$54</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'3章_7災害・施策'!$D$54</f>
            </numRef>
          </val>
        </ser>
        <ser>
          <idx val="2"/>
          <order val="2"/>
          <tx>
            <strRef>
              <f>'3章_7災害・施策'!$B$55</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'3章_7災害・施策'!$D$55</f>
            </numRef>
          </val>
        </ser>
        <ser>
          <idx val="3"/>
          <order val="3"/>
          <tx>
            <strRef>
              <f>'3章_7災害・施策'!$B$56</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'3章_7災害・施策'!$D$56</f>
            </numRef>
          </val>
        </ser>
        <ser>
          <idx val="4"/>
          <order val="4"/>
          <tx>
            <strRef>
              <f>'3章_7災害・施策'!$B$57</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800" b="0">
                    <a:solidFill>
                      <a:srgbClr val="000000"/>
                    </a:solidFill>
                    <a:effectLst>
                      <a:glow rad="38100">
                        <a:srgbClr val="FFFFFF"/>
                      </a:glow>
                    </a:effectLst>
                    <a:latin typeface="BIZ UDPゴシック"/>
                    <a:ea typeface="BIZ UDPゴシック"/>
                  </a:defRPr>
                </a:pPr>
                <a:r>
                  <a:t/>
                </a:r>
                <a:endParaRPr sz="80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val>
            <numRef>
              <f>'3章_7災害・施策'!$D$57</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75.xml><?xml version="1.0" encoding="utf-8"?>
<chartSpace xmlns="http://schemas.openxmlformats.org/drawingml/2006/chart">
  <chart>
    <plotArea>
      <barChart>
        <barDir val="bar"/>
        <grouping val="percentStacked"/>
        <varyColors val="0"/>
        <ser>
          <idx val="0"/>
          <order val="0"/>
          <tx>
            <strRef>
              <f>'3章_7災害・施策'!C63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'3章_7災害・施策'!$B$64:$B$67</f>
            </numRef>
          </cat>
          <val>
            <numRef>
              <f>'3章_7災害・施策'!$C$64:$C$67</f>
            </numRef>
          </val>
        </ser>
        <ser>
          <idx val="1"/>
          <order val="1"/>
          <tx>
            <strRef>
              <f>'3章_7災害・施策'!D63</f>
            </strRef>
          </tx>
          <spPr>
            <a:pattFill xmlns:a="http://schemas.openxmlformats.org/drawingml/2006/main" prst="pct20">
              <a:fgClr>
                <a:srgbClr val="282828"/>
              </a:fgClr>
              <a:bgClr>
                <a:srgbClr val="DCDCDC"/>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'3章_7災害・施策'!$B$64:$B$67</f>
            </numRef>
          </cat>
          <val>
            <numRef>
              <f>'3章_7災害・施策'!$D$64:$D$67</f>
            </numRef>
          </val>
        </ser>
        <ser>
          <idx val="2"/>
          <order val="2"/>
          <tx>
            <strRef>
              <f>'3章_7災害・施策'!E63</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'3章_7災害・施策'!$B$64:$B$67</f>
            </numRef>
          </cat>
          <val>
            <numRef>
              <f>'3章_7災害・施策'!$E$64:$E$67</f>
            </numRef>
          </val>
        </ser>
        <ser>
          <idx val="3"/>
          <order val="3"/>
          <tx>
            <strRef>
              <f>'3章_7災害・施策'!F63</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'3章_7災害・施策'!$B$64:$B$67</f>
            </numRef>
          </cat>
          <val>
            <numRef>
              <f>'3章_7災害・施策'!$F$64:$F$67</f>
            </numRef>
          </val>
        </ser>
        <ser>
          <idx val="4"/>
          <order val="4"/>
          <tx>
            <strRef>
              <f>'3章_7災害・施策'!G63</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'3章_7災害・施策'!$B$64:$B$67</f>
            </numRef>
          </cat>
          <val>
            <numRef>
              <f>'3章_7災害・施策'!$G$64:$G$67</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76.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'3章_7災害・施策'!$B$77:$B$86</f>
            </numRef>
          </cat>
          <val>
            <numRef>
              <f>'3章_7災害・施策'!$D$77:$D$86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77.xml><?xml version="1.0" encoding="utf-8"?>
<chartSpace xmlns="http://schemas.openxmlformats.org/drawingml/2006/chart">
  <chart>
    <plotArea>
      <barChart>
        <barDir val="bar"/>
        <grouping val="clustered"/>
        <varyColors val="0"/>
        <ser>
          <idx val="0"/>
          <order val="0"/>
          <tx>
            <strRef>
              <f>'3章_7災害・施策'!C92</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'3章_7災害・施策'!$B$93:$B$101</f>
            </numRef>
          </cat>
          <val>
            <numRef>
              <f>'3章_7災害・施策'!$C$93:$C$101</f>
            </numRef>
          </val>
        </ser>
        <ser>
          <idx val="1"/>
          <order val="1"/>
          <tx>
            <strRef>
              <f>'3章_7災害・施策'!D92</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'3章_7災害・施策'!$B$93:$B$101</f>
            </numRef>
          </cat>
          <val>
            <numRef>
              <f>'3章_7災害・施策'!$D$93:$D$101</f>
            </numRef>
          </val>
        </ser>
        <ser>
          <idx val="2"/>
          <order val="2"/>
          <tx>
            <strRef>
              <f>'3章_7災害・施策'!E92</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'3章_7災害・施策'!$B$93:$B$101</f>
            </numRef>
          </cat>
          <val>
            <numRef>
              <f>'3章_7災害・施策'!$E$93:$E$101</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7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'3章_7災害・施策'!$B$124:$B$133</f>
            </numRef>
          </cat>
          <val>
            <numRef>
              <f>'3章_7災害・施策'!$D$124:$D$133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8"/>
          <min val="0"/>
        </scaling>
        <delete val="1"/>
        <axPos val="l"/>
        <majorTickMark val="none"/>
        <minorTickMark val="none"/>
        <crossAx val="10"/>
      </valAx>
    </plotArea>
    <plotVisOnly val="1"/>
    <dispBlanksAs val="gap"/>
  </chart>
</chartSpace>
</file>

<file path=xl/charts/chart79.xml><?xml version="1.0" encoding="utf-8"?>
<chartSpace xmlns="http://schemas.openxmlformats.org/drawingml/2006/chart">
  <chart>
    <plotArea>
      <barChart>
        <barDir val="bar"/>
        <grouping val="clustered"/>
        <varyColors val="0"/>
        <ser>
          <idx val="0"/>
          <order val="0"/>
          <tx>
            <strRef>
              <f>'3章_7災害・施策'!C140</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'3章_7災害・施策'!$B$141:$B$150</f>
            </numRef>
          </cat>
          <val>
            <numRef>
              <f>'3章_7災害・施策'!$C$141:$C$150</f>
            </numRef>
          </val>
        </ser>
        <ser>
          <idx val="1"/>
          <order val="1"/>
          <tx>
            <strRef>
              <f>'3章_7災害・施策'!D140</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'3章_7災害・施策'!$B$141:$B$150</f>
            </numRef>
          </cat>
          <val>
            <numRef>
              <f>'3章_7災害・施策'!$D$141:$D$150</f>
            </numRef>
          </val>
        </ser>
        <ser>
          <idx val="2"/>
          <order val="2"/>
          <tx>
            <strRef>
              <f>'3章_7災害・施策'!E140</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'3章_7災害・施策'!$B$141:$B$150</f>
            </numRef>
          </cat>
          <val>
            <numRef>
              <f>'3章_7災害・施策'!$E$141:$E$150</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80.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'3章_7災害・施策'!$B$175:$B$184</f>
            </numRef>
          </cat>
          <val>
            <numRef>
              <f>'3章_7災害・施策'!$D$175:$D$184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81.xml><?xml version="1.0" encoding="utf-8"?>
<chartSpace xmlns="http://schemas.openxmlformats.org/drawingml/2006/chart">
  <chart>
    <plotArea>
      <barChart>
        <barDir val="bar"/>
        <grouping val="clustered"/>
        <varyColors val="0"/>
        <ser>
          <idx val="0"/>
          <order val="0"/>
          <tx>
            <strRef>
              <f>'3章_7災害・施策'!C190</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'3章_7災害・施策'!$B$191:$B$198</f>
            </numRef>
          </cat>
          <val>
            <numRef>
              <f>'3章_7災害・施策'!$C$191:$C$198</f>
            </numRef>
          </val>
        </ser>
        <ser>
          <idx val="1"/>
          <order val="1"/>
          <tx>
            <strRef>
              <f>'3章_7災害・施策'!D190</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'3章_7災害・施策'!$B$191:$B$198</f>
            </numRef>
          </cat>
          <val>
            <numRef>
              <f>'3章_7災害・施策'!$D$191:$D$198</f>
            </numRef>
          </val>
        </ser>
        <ser>
          <idx val="2"/>
          <order val="2"/>
          <tx>
            <strRef>
              <f>'3章_7災害・施策'!E190</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'3章_7災害・施策'!$B$191:$B$198</f>
            </numRef>
          </cat>
          <val>
            <numRef>
              <f>'3章_7災害・施策'!$E$191:$E$198</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8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BEBEBE"/>
              </a:solidFill>
              <a:ln xmlns:a="http://schemas.openxmlformats.org/drawingml/2006/main" w="6350">
                <a:solidFill>
                  <a:srgbClr val="000000"/>
                </a:solidFill>
                <a:prstDash val="solid"/>
              </a:ln>
            </spPr>
          </dPt>
          <dPt>
            <idx val="8"/>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'3章_7災害・施策'!$B$219:$B$227</f>
            </numRef>
          </cat>
          <val>
            <numRef>
              <f>'3章_7災害・施策'!$D$219:$D$227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5"/>
          <min val="0"/>
        </scaling>
        <delete val="1"/>
        <axPos val="l"/>
        <majorTickMark val="none"/>
        <minorTickMark val="none"/>
        <crossAx val="10"/>
      </valAx>
    </plotArea>
    <plotVisOnly val="1"/>
    <dispBlanksAs val="gap"/>
  </chart>
</chartSpace>
</file>

<file path=xl/charts/chart83.xml><?xml version="1.0" encoding="utf-8"?>
<chartSpace xmlns="http://schemas.openxmlformats.org/drawingml/2006/chart">
  <chart>
    <plotArea>
      <barChart>
        <barDir val="bar"/>
        <grouping val="clustered"/>
        <varyColors val="0"/>
        <ser>
          <idx val="0"/>
          <order val="0"/>
          <tx>
            <strRef>
              <f>'3章_7災害・施策'!C233</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'3章_7災害・施策'!$B$234:$B$241</f>
            </numRef>
          </cat>
          <val>
            <numRef>
              <f>'3章_7災害・施策'!$C$234:$C$241</f>
            </numRef>
          </val>
        </ser>
        <ser>
          <idx val="1"/>
          <order val="1"/>
          <tx>
            <strRef>
              <f>'3章_7災害・施策'!D233</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'3章_7災害・施策'!$B$234:$B$241</f>
            </numRef>
          </cat>
          <val>
            <numRef>
              <f>'3章_7災害・施策'!$D$234:$D$241</f>
            </numRef>
          </val>
        </ser>
        <ser>
          <idx val="2"/>
          <order val="2"/>
          <tx>
            <strRef>
              <f>'3章_7災害・施策'!E233</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'3章_7災害・施策'!$B$234:$B$241</f>
            </numRef>
          </cat>
          <val>
            <numRef>
              <f>'3章_7災害・施策'!$E$234:$E$241</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84.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0"/>
            <spPr>
              <a:solidFill xmlns:a="http://schemas.openxmlformats.org/drawingml/2006/main">
                <a:srgbClr val="2D2D2D"/>
              </a:solidFill>
              <a:ln xmlns:a="http://schemas.openxmlformats.org/drawingml/2006/main" w="6350">
                <a:solidFill>
                  <a:srgbClr val="000000"/>
                </a:solidFill>
                <a:prstDash val="solid"/>
              </a:ln>
            </spPr>
          </dPt>
          <dPt>
            <idx val="8"/>
            <spPr>
              <a:solidFill xmlns:a="http://schemas.openxmlformats.org/drawingml/2006/main">
                <a:srgbClr val="BEBEBE"/>
              </a:solidFill>
              <a:ln xmlns:a="http://schemas.openxmlformats.org/drawingml/2006/main" w="6350">
                <a:solidFill>
                  <a:srgbClr val="000000"/>
                </a:solidFill>
                <a:prstDash val="solid"/>
              </a:ln>
            </spPr>
          </dPt>
          <dPt>
            <idx val="9"/>
            <spPr>
              <a:solidFill xmlns:a="http://schemas.openxmlformats.org/drawingml/2006/main">
                <a:srgbClr val="FFFFFF"/>
              </a:solidFill>
              <a:ln xmlns:a="http://schemas.openxmlformats.org/drawingml/2006/main" w="6350">
                <a:solidFill>
                  <a:srgbClr val="000000"/>
                </a:solid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'3章_7災害・施策'!$B$262:$B$271</f>
            </numRef>
          </cat>
          <val>
            <numRef>
              <f>'3章_7災害・施策'!$D$262:$D$271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5"/>
          <min val="0"/>
        </scaling>
        <delete val="1"/>
        <axPos val="l"/>
        <majorTickMark val="none"/>
        <minorTickMark val="none"/>
        <crossAx val="10"/>
      </valAx>
    </plotArea>
    <plotVisOnly val="1"/>
    <dispBlanksAs val="gap"/>
  </chart>
</chartSpace>
</file>

<file path=xl/charts/chart85.xml><?xml version="1.0" encoding="utf-8"?>
<chartSpace xmlns="http://schemas.openxmlformats.org/drawingml/2006/chart">
  <chart>
    <plotArea>
      <barChart>
        <barDir val="bar"/>
        <grouping val="clustered"/>
        <varyColors val="0"/>
        <ser>
          <idx val="0"/>
          <order val="0"/>
          <tx>
            <strRef>
              <f>'3章_7災害・施策'!C277</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'3章_7災害・施策'!$B$278:$B$286</f>
            </numRef>
          </cat>
          <val>
            <numRef>
              <f>'3章_7災害・施策'!$C$278:$C$286</f>
            </numRef>
          </val>
        </ser>
        <ser>
          <idx val="1"/>
          <order val="1"/>
          <tx>
            <strRef>
              <f>'3章_7災害・施策'!D277</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'3章_7災害・施策'!$B$278:$B$286</f>
            </numRef>
          </cat>
          <val>
            <numRef>
              <f>'3章_7災害・施策'!$D$278:$D$286</f>
            </numRef>
          </val>
        </ser>
        <ser>
          <idx val="2"/>
          <order val="2"/>
          <tx>
            <strRef>
              <f>'3章_7災害・施策'!E277</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'3章_7災害・施策'!$B$278:$B$286</f>
            </numRef>
          </cat>
          <val>
            <numRef>
              <f>'3章_7災害・施策'!$E$278:$E$286</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86.xml><?xml version="1.0" encoding="utf-8"?>
<chartSpace xmlns="http://schemas.openxmlformats.org/drawingml/2006/chart">
  <chart>
    <plotArea>
      <barChart>
        <barDir val="bar"/>
        <grouping val="clustered"/>
        <varyColors val="0"/>
        <ser>
          <idx val="0"/>
          <order val="0"/>
          <tx>
            <strRef>
              <f>'4章_クロス集計'!C85</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'4章_クロス集計'!$B$86:$B$92</f>
            </numRef>
          </cat>
          <val>
            <numRef>
              <f>'4章_クロス集計'!$C$86:$C$92</f>
            </numRef>
          </val>
        </ser>
        <ser>
          <idx val="1"/>
          <order val="1"/>
          <tx>
            <strRef>
              <f>'4章_クロス集計'!D85</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'4章_クロス集計'!$B$86:$B$92</f>
            </numRef>
          </cat>
          <val>
            <numRef>
              <f>'4章_クロス集計'!$D$86:$D$92</f>
            </numRef>
          </val>
        </ser>
        <ser>
          <idx val="2"/>
          <order val="2"/>
          <tx>
            <strRef>
              <f>'4章_クロス集計'!E85</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'4章_クロス集計'!$B$86:$B$92</f>
            </numRef>
          </cat>
          <val>
            <numRef>
              <f>'4章_クロス集計'!$E$86:$E$92</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87.xml><?xml version="1.0" encoding="utf-8"?>
<chartSpace xmlns="http://schemas.openxmlformats.org/drawingml/2006/chart">
  <chart>
    <plotArea>
      <barChart>
        <barDir val="bar"/>
        <grouping val="percentStacked"/>
        <varyColors val="0"/>
        <ser>
          <idx val="0"/>
          <order val="0"/>
          <tx>
            <strRef>
              <f>'4章_クロス集計'!C166</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'4章_クロス集計'!$C$167:$C$170</f>
            </numRef>
          </val>
        </ser>
        <ser>
          <idx val="1"/>
          <order val="1"/>
          <tx>
            <strRef>
              <f>'4章_クロス集計'!D166</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'4章_クロス集計'!$D$167:$D$170</f>
            </numRef>
          </val>
        </ser>
        <ser>
          <idx val="2"/>
          <order val="2"/>
          <tx>
            <strRef>
              <f>'4章_クロス集計'!E166</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'4章_クロス集計'!$E$167:$E$170</f>
            </numRef>
          </val>
        </ser>
        <ser>
          <idx val="3"/>
          <order val="3"/>
          <tx>
            <strRef>
              <f>'4章_クロス集計'!F166</f>
            </strRef>
          </tx>
          <spPr>
            <a:pattFill xmlns:a="http://schemas.openxmlformats.org/drawingml/2006/main" prst="pct25">
              <a:fgClr>
                <a:srgbClr val="141414"/>
              </a:fgClr>
              <a:bgClr>
                <a:srgbClr val="CDCDCD"/>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'4章_クロス集計'!$F$167:$F$170</f>
            </numRef>
          </val>
        </ser>
        <ser>
          <idx val="4"/>
          <order val="4"/>
          <tx>
            <strRef>
              <f>'4章_クロス集計'!G166</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'4章_クロス集計'!$G$167:$G$170</f>
            </numRef>
          </val>
        </ser>
        <ser>
          <idx val="5"/>
          <order val="5"/>
          <tx>
            <strRef>
              <f>'4章_クロス集計'!H166</f>
            </strRef>
          </tx>
          <spPr>
            <a:pattFill xmlns:a="http://schemas.openxmlformats.org/drawingml/2006/main" prst="ltVert">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'4章_クロス集計'!$H$167:$H$170</f>
            </numRef>
          </val>
        </ser>
        <ser>
          <idx val="6"/>
          <order val="6"/>
          <tx>
            <strRef>
              <f>'4章_クロス集計'!I166</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'4章_クロス集計'!$I$167:$I$170</f>
            </numRef>
          </val>
        </ser>
        <ser>
          <idx val="7"/>
          <order val="7"/>
          <tx>
            <strRef>
              <f>'4章_クロス集計'!J166</f>
            </strRef>
          </tx>
          <spPr>
            <a:pattFill xmlns:a="http://schemas.openxmlformats.org/drawingml/2006/main" prst="ltVert">
              <a:fgClr>
                <a:srgbClr val="282828"/>
              </a:fgClr>
              <a:bgClr>
                <a:srgbClr val="A5A5A5"/>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'4章_クロス集計'!$J$167:$J$170</f>
            </numRef>
          </val>
        </ser>
        <ser>
          <idx val="8"/>
          <order val="8"/>
          <tx>
            <strRef>
              <f>'4章_クロス集計'!K166</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'4章_クロス集計'!$B$167:$B$170</f>
            </numRef>
          </cat>
          <val>
            <numRef>
              <f>'4章_クロス集計'!$K$167:$K$170</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88.xml><?xml version="1.0" encoding="utf-8"?>
<chartSpace xmlns="http://schemas.openxmlformats.org/drawingml/2006/chart">
  <chart>
    <plotArea>
      <barChart>
        <barDir val="bar"/>
        <grouping val="clustered"/>
        <varyColors val="0"/>
        <ser>
          <idx val="0"/>
          <order val="0"/>
          <tx>
            <strRef>
              <f>'4章_クロス集計'!C218</f>
            </strRef>
          </tx>
          <spPr>
            <a:pattFill xmlns:a="http://schemas.openxmlformats.org/drawingml/2006/main" prst="wdDnDiag">
              <a:fgClr>
                <a:srgbClr val="000000"/>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'4章_クロス集計'!$B$219:$B$228</f>
            </numRef>
          </cat>
          <val>
            <numRef>
              <f>'4章_クロス集計'!$C$219:$C$228</f>
            </numRef>
          </val>
        </ser>
        <ser>
          <idx val="1"/>
          <order val="1"/>
          <tx>
            <strRef>
              <f>'4章_クロス集計'!D218</f>
            </strRef>
          </tx>
          <spPr>
            <a:solidFill xmlns:a="http://schemas.openxmlformats.org/drawingml/2006/main">
              <a:srgbClr val="6E6E6E"/>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'4章_クロス集計'!$B$219:$B$228</f>
            </numRef>
          </cat>
          <val>
            <numRef>
              <f>'4章_クロス集計'!$D$219:$D$228</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89.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12"/>
            <spPr>
              <a:solidFill xmlns:a="http://schemas.openxmlformats.org/drawingml/2006/main">
                <a:srgbClr val="BEBEBE"/>
              </a:solidFill>
              <a:ln xmlns:a="http://schemas.openxmlformats.org/drawingml/2006/main" w="6350">
                <a:solidFill>
                  <a:srgbClr val="000000"/>
                </a:solidFill>
                <a:prstDash val="solid"/>
              </a:ln>
            </spPr>
          </dPt>
          <dPt>
            <idx val="13"/>
            <spPr>
              <a:solidFill xmlns:a="http://schemas.openxmlformats.org/drawingml/2006/main">
                <a:srgbClr val="BEBEBE"/>
              </a:solidFill>
              <a:ln xmlns:a="http://schemas.openxmlformats.org/drawingml/2006/main" w="6350">
                <a:solidFill>
                  <a:srgbClr val="000000"/>
                </a:solidFill>
                <a:prstDash val="solid"/>
              </a:ln>
            </spPr>
          </dPt>
          <dPt>
            <idx val="14"/>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'5章_障がい児'!$B$18:$B$32</f>
            </numRef>
          </cat>
          <val>
            <numRef>
              <f>'5章_障がい児'!$C$18:$C$32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90.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BEBEBE"/>
              </a:solidFill>
              <a:ln xmlns:a="http://schemas.openxmlformats.org/drawingml/2006/main" w="6350">
                <a:solidFill>
                  <a:srgbClr val="000000"/>
                </a:solidFill>
                <a:prstDash val="solid"/>
              </a:ln>
            </spPr>
          </dPt>
          <dPt>
            <idx val="7"/>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'5章_障がい児'!$B$39:$B$46</f>
            </numRef>
          </cat>
          <val>
            <numRef>
              <f>'5章_障がい児'!$C$39:$C$46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91.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5"/>
            <spPr>
              <a:solidFill xmlns:a="http://schemas.openxmlformats.org/drawingml/2006/main">
                <a:srgbClr val="BEBEBE"/>
              </a:solidFill>
              <a:ln xmlns:a="http://schemas.openxmlformats.org/drawingml/2006/main" w="6350">
                <a:solidFill>
                  <a:srgbClr val="000000"/>
                </a:solidFill>
                <a:prstDash val="solid"/>
              </a:ln>
            </spPr>
          </dPt>
          <dPt>
            <idx val="6"/>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'5章_障がい児'!$B$53:$B$59</f>
            </numRef>
          </cat>
          <val>
            <numRef>
              <f>'5章_障がい児'!$C$53:$C$59</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92.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5"/>
            <spPr>
              <a:solidFill xmlns:a="http://schemas.openxmlformats.org/drawingml/2006/main">
                <a:srgbClr val="BEBEBE"/>
              </a:solidFill>
              <a:ln xmlns:a="http://schemas.openxmlformats.org/drawingml/2006/main" w="6350">
                <a:solidFill>
                  <a:srgbClr val="000000"/>
                </a:solidFill>
                <a:prstDash val="solid"/>
              </a:ln>
            </spPr>
          </dPt>
          <dPt>
            <idx val="6"/>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'5章_障がい児'!$B$66:$B$72</f>
            </numRef>
          </cat>
          <val>
            <numRef>
              <f>'5章_障がい児'!$C$66:$C$72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93.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8"/>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'5章_障がい児'!$B$79:$B$87</f>
            </numRef>
          </cat>
          <val>
            <numRef>
              <f>'5章_障がい児'!$C$79:$C$87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94.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4"/>
            <spPr>
              <a:solidFill xmlns:a="http://schemas.openxmlformats.org/drawingml/2006/main">
                <a:srgbClr val="BEBEBE"/>
              </a:solidFill>
              <a:ln xmlns:a="http://schemas.openxmlformats.org/drawingml/2006/main" w="6350">
                <a:solidFill>
                  <a:srgbClr val="000000"/>
                </a:solidFill>
                <a:prstDash val="solid"/>
              </a:ln>
            </spPr>
          </dPt>
          <dPt>
            <idx val="5"/>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'5章_障がい児'!$B$94:$B$99</f>
            </numRef>
          </cat>
          <val>
            <numRef>
              <f>'5章_障がい児'!$C$94:$C$99</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95.xml><?xml version="1.0" encoding="utf-8"?>
<chartSpace xmlns="http://schemas.openxmlformats.org/drawingml/2006/chart">
  <chart>
    <plotArea>
      <barChart>
        <barDir val="bar"/>
        <grouping val="percentStacked"/>
        <varyColors val="0"/>
        <ser>
          <idx val="0"/>
          <order val="0"/>
          <tx>
            <strRef>
              <f>'5章_障がい児'!C105</f>
            </strRef>
          </tx>
          <spPr>
            <a:solidFill xmlns:a="http://schemas.openxmlformats.org/drawingml/2006/main">
              <a:srgbClr val="2D2D2D"/>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'5章_障がい児'!$B$106:$B$110</f>
            </numRef>
          </cat>
          <val>
            <numRef>
              <f>'5章_障がい児'!$C$106:$C$110</f>
            </numRef>
          </val>
        </ser>
        <ser>
          <idx val="1"/>
          <order val="1"/>
          <tx>
            <strRef>
              <f>'5章_障がい児'!D105</f>
            </strRef>
          </tx>
          <spPr>
            <a:pattFill xmlns:a="http://schemas.openxmlformats.org/drawingml/2006/main" prst="ltUpDiag">
              <a:fgClr>
                <a:srgbClr val="1E1E1E"/>
              </a:fgClr>
              <a:bgClr>
                <a:srgbClr val="AFAFA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'5章_障がい児'!$B$106:$B$110</f>
            </numRef>
          </cat>
          <val>
            <numRef>
              <f>'5章_障がい児'!$D$106:$D$110</f>
            </numRef>
          </val>
        </ser>
        <ser>
          <idx val="2"/>
          <order val="2"/>
          <tx>
            <strRef>
              <f>'5章_障がい児'!E105</f>
            </strRef>
          </tx>
          <spPr>
            <a:pattFill xmlns:a="http://schemas.openxmlformats.org/drawingml/2006/main" prst="ltHorz">
              <a:fgClr>
                <a:srgbClr val="282828"/>
              </a:fgClr>
              <a:bgClr>
                <a:srgbClr val="FFFFFF"/>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'5章_障がい児'!$B$106:$B$110</f>
            </numRef>
          </cat>
          <val>
            <numRef>
              <f>'5章_障がい児'!$E$106:$E$110</f>
            </numRef>
          </val>
        </ser>
        <ser>
          <idx val="3"/>
          <order val="3"/>
          <tx>
            <strRef>
              <f>'5章_障がい児'!F105</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'5章_障がい児'!$B$106:$B$110</f>
            </numRef>
          </cat>
          <val>
            <numRef>
              <f>'5章_障がい児'!$F$106:$F$110</f>
            </numRef>
          </val>
        </ser>
        <ser>
          <idx val="4"/>
          <order val="4"/>
          <tx>
            <strRef>
              <f>'5章_障がい児'!G105</f>
            </strRef>
          </tx>
          <spPr>
            <a:solidFill xmlns:a="http://schemas.openxmlformats.org/drawingml/2006/main">
              <a:srgbClr val="FFFFFF"/>
            </a:solidFill>
            <a:ln xmlns:a="http://schemas.openxmlformats.org/drawingml/2006/main" w="6350">
              <a:solidFill>
                <a:srgbClr val="000000"/>
              </a:solidFill>
              <a:prstDash val="solid"/>
            </a:ln>
          </spPr>
          <dLbls>
            <numFmt formatCode="0.0%;;"/>
            <txPr>
              <a:bodyPr xmlns:a="http://schemas.openxmlformats.org/drawingml/2006/main"/>
              <a:p xmlns:a="http://schemas.openxmlformats.org/drawingml/2006/main">
                <a:pPr>
                  <a:defRPr sz="750" b="0">
                    <a:solidFill>
                      <a:srgbClr val="000000"/>
                    </a:solidFill>
                    <a:effectLst>
                      <a:glow rad="38100">
                        <a:srgbClr val="FFFFFF"/>
                      </a:glow>
                    </a:effectLst>
                    <a:latin typeface="BIZ UDPゴシック"/>
                    <a:ea typeface="BIZ UDPゴシック"/>
                  </a:defRPr>
                </a:pPr>
                <a:r>
                  <a:t/>
                </a:r>
                <a:endParaRPr sz="750" b="0">
                  <a:solidFill>
                    <a:srgbClr val="000000"/>
                  </a:solidFill>
                  <a:effectLst>
                    <a:glow rad="38100">
                      <a:srgbClr val="FFFFFF"/>
                    </a:glow>
                  </a:effectLst>
                  <a:latin typeface="BIZ UDPゴシック"/>
                  <a:ea typeface="BIZ UDPゴシック"/>
                </a:endParaRPr>
              </a:p>
            </txPr>
            <dLblPos val="ctr"/>
            <showLegendKey val="0"/>
            <showVal val="1"/>
            <showCatName val="0"/>
            <showSerName val="0"/>
            <showPercent val="0"/>
            <showBubbleSize val="0"/>
          </dLbls>
          <cat>
            <numRef>
              <f>'5章_障がい児'!$B$106:$B$110</f>
            </numRef>
          </cat>
          <val>
            <numRef>
              <f>'5章_障がい児'!$G$106:$G$110</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96.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6"/>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'5章_障がい児'!$B$121:$B$127</f>
            </numRef>
          </cat>
          <val>
            <numRef>
              <f>'5章_障がい児'!$C$121:$C$127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97.xml><?xml version="1.0" encoding="utf-8"?>
<chartSpace xmlns="http://schemas.openxmlformats.org/drawingml/2006/chart">
  <chart>
    <plotArea>
      <barChart>
        <barDir val="bar"/>
        <grouping val="clustered"/>
        <varyColors val="0"/>
        <ser>
          <idx val="0"/>
          <order val="0"/>
          <tx>
            <strRef>
              <f>'5章_障がい児'!C149</f>
            </strRef>
          </tx>
          <spPr>
            <a:pattFill xmlns:a="http://schemas.openxmlformats.org/drawingml/2006/main" prst="ltUpDiag">
              <a:fgClr>
                <a:srgbClr val="323232"/>
              </a:fgClr>
              <a:bgClr>
                <a:srgbClr val="C8C8C8"/>
              </a:bgClr>
            </a:pattFill>
            <a:ln xmlns:a="http://schemas.openxmlformats.org/drawingml/2006/main" w="6350">
              <a:solidFill>
                <a:srgbClr val="000000"/>
              </a:solidFill>
              <a:prstDash val="solid"/>
            </a:ln>
          </spPr>
          <dLbls>
            <numFmt formatCode="0&quot;件&quot;;;"/>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'5章_障がい児'!$B$150:$B$158</f>
            </numRef>
          </cat>
          <val>
            <numRef>
              <f>'5章_障がい児'!$C$150:$C$158</f>
            </numRef>
          </val>
        </ser>
        <ser>
          <idx val="1"/>
          <order val="1"/>
          <tx>
            <strRef>
              <f>'5章_障がい児'!D149</f>
            </strRef>
          </tx>
          <spPr>
            <a:pattFill xmlns:a="http://schemas.openxmlformats.org/drawingml/2006/main" prst="diagCross">
              <a:fgClr>
                <a:srgbClr val="5A5A5A"/>
              </a:fgClr>
              <a:bgClr>
                <a:srgbClr val="E6E6E6"/>
              </a:bgClr>
            </a:pattFill>
            <a:ln xmlns:a="http://schemas.openxmlformats.org/drawingml/2006/main" w="6350">
              <a:solidFill>
                <a:srgbClr val="000000"/>
              </a:solidFill>
              <a:prstDash val="solid"/>
            </a:ln>
          </spPr>
          <dLbls>
            <numFmt formatCode="0&quot;件&quot;;;"/>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'5章_障がい児'!$B$150:$B$158</f>
            </numRef>
          </cat>
          <val>
            <numRef>
              <f>'5章_障がい児'!$D$150:$D$158</f>
            </numRef>
          </val>
        </ser>
        <ser>
          <idx val="2"/>
          <order val="2"/>
          <tx>
            <strRef>
              <f>'5章_障がい児'!E149</f>
            </strRef>
          </tx>
          <spPr>
            <a:solidFill xmlns:a="http://schemas.openxmlformats.org/drawingml/2006/main">
              <a:srgbClr val="2D2D2D"/>
            </a:solidFill>
            <a:ln xmlns:a="http://schemas.openxmlformats.org/drawingml/2006/main" w="6350">
              <a:solidFill>
                <a:srgbClr val="000000"/>
              </a:solidFill>
              <a:prstDash val="solid"/>
            </a:ln>
          </spPr>
          <dLbls>
            <numFmt formatCode="0&quot;件&quot;;;"/>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'5章_障がい児'!$B$150:$B$158</f>
            </numRef>
          </cat>
          <val>
            <numRef>
              <f>'5章_障がい児'!$E$150:$E$158</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98.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10"/>
            <spPr>
              <a:solidFill xmlns:a="http://schemas.openxmlformats.org/drawingml/2006/main">
                <a:srgbClr val="BEBEBE"/>
              </a:solidFill>
              <a:ln xmlns:a="http://schemas.openxmlformats.org/drawingml/2006/main" w="6350">
                <a:solidFill>
                  <a:srgbClr val="000000"/>
                </a:solidFill>
                <a:prstDash val="solid"/>
              </a:ln>
            </spPr>
          </dPt>
          <dPt>
            <idx val="11"/>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'5章_障がい児'!$B$180:$B$191</f>
            </numRef>
          </cat>
          <val>
            <numRef>
              <f>'5章_障がい児'!$C$180:$C$191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99.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'5章_障がい児'!$B$198:$B$205</f>
            </numRef>
          </cat>
          <val>
            <numRef>
              <f>'5章_障がい児'!$C$198:$C$205</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100.xml><?xml version="1.0" encoding="utf-8"?>
<chartSpace xmlns="http://schemas.openxmlformats.org/drawingml/2006/chart">
  <chart>
    <plotArea>
      <barChart>
        <barDir val="bar"/>
        <grouping val="clustered"/>
        <varyColors val="0"/>
        <ser>
          <idx val="0"/>
          <order val="0"/>
          <spPr>
            <a:solidFill xmlns:a="http://schemas.openxmlformats.org/drawingml/2006/main">
              <a:srgbClr val="6E6E6E"/>
            </a:solidFill>
            <a:ln xmlns:a="http://schemas.openxmlformats.org/drawingml/2006/main" w="6350">
              <a:solidFill>
                <a:srgbClr val="000000"/>
              </a:solidFill>
              <a:prstDash val="solid"/>
            </a:ln>
          </spPr>
          <dPt>
            <idx val="7"/>
            <spPr>
              <a:solidFill xmlns:a="http://schemas.openxmlformats.org/drawingml/2006/main">
                <a:srgbClr val="FFFFFF"/>
              </a:solidFill>
              <a:ln xmlns:a="http://schemas.openxmlformats.org/drawingml/2006/main" w="6350">
                <a:solidFill>
                  <a:srgbClr val="000000"/>
                </a:solid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'5章_障がい児'!$B$220:$B$227</f>
            </numRef>
          </cat>
          <val>
            <numRef>
              <f>'5章_障がい児'!$C$220:$C$227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s>
</file>

<file path=xl/drawings/_rels/drawing2.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 Type="http://schemas.openxmlformats.org/officeDocument/2006/relationships/chart" Target="/xl/charts/chart18.xml" Id="rId3"/><Relationship Type="http://schemas.openxmlformats.org/officeDocument/2006/relationships/chart" Target="/xl/charts/chart19.xml" Id="rId4"/><Relationship Type="http://schemas.openxmlformats.org/officeDocument/2006/relationships/chart" Target="/xl/charts/chart20.xml" Id="rId5"/><Relationship Type="http://schemas.openxmlformats.org/officeDocument/2006/relationships/chart" Target="/xl/charts/chart21.xml" Id="rId6"/><Relationship Type="http://schemas.openxmlformats.org/officeDocument/2006/relationships/chart" Target="/xl/charts/chart22.xml" Id="rId7"/><Relationship Type="http://schemas.openxmlformats.org/officeDocument/2006/relationships/chart" Target="/xl/charts/chart23.xml" Id="rId8"/><Relationship Type="http://schemas.openxmlformats.org/officeDocument/2006/relationships/chart" Target="/xl/charts/chart24.xml" Id="rId9"/><Relationship Type="http://schemas.openxmlformats.org/officeDocument/2006/relationships/chart" Target="/xl/charts/chart25.xml" Id="rId10"/></Relationships>
</file>

<file path=xl/drawings/_rels/drawing3.xml.rels><Relationships xmlns="http://schemas.openxmlformats.org/package/2006/relationships"><Relationship Type="http://schemas.openxmlformats.org/officeDocument/2006/relationships/chart" Target="/xl/charts/chart26.xml" Id="rId1"/><Relationship Type="http://schemas.openxmlformats.org/officeDocument/2006/relationships/chart" Target="/xl/charts/chart27.xml" Id="rId2"/><Relationship Type="http://schemas.openxmlformats.org/officeDocument/2006/relationships/chart" Target="/xl/charts/chart28.xml" Id="rId3"/><Relationship Type="http://schemas.openxmlformats.org/officeDocument/2006/relationships/chart" Target="/xl/charts/chart29.xml" Id="rId4"/><Relationship Type="http://schemas.openxmlformats.org/officeDocument/2006/relationships/chart" Target="/xl/charts/chart30.xml" Id="rId5"/><Relationship Type="http://schemas.openxmlformats.org/officeDocument/2006/relationships/chart" Target="/xl/charts/chart31.xml" Id="rId6"/><Relationship Type="http://schemas.openxmlformats.org/officeDocument/2006/relationships/chart" Target="/xl/charts/chart32.xml" Id="rId7"/><Relationship Type="http://schemas.openxmlformats.org/officeDocument/2006/relationships/chart" Target="/xl/charts/chart33.xml" Id="rId8"/><Relationship Type="http://schemas.openxmlformats.org/officeDocument/2006/relationships/chart" Target="/xl/charts/chart34.xml" Id="rId9"/><Relationship Type="http://schemas.openxmlformats.org/officeDocument/2006/relationships/chart" Target="/xl/charts/chart35.xml" Id="rId10"/><Relationship Type="http://schemas.openxmlformats.org/officeDocument/2006/relationships/chart" Target="/xl/charts/chart36.xml" Id="rId11"/><Relationship Type="http://schemas.openxmlformats.org/officeDocument/2006/relationships/chart" Target="/xl/charts/chart37.xml" Id="rId12"/></Relationships>
</file>

<file path=xl/drawings/_rels/drawing4.xml.rels><Relationships xmlns="http://schemas.openxmlformats.org/package/2006/relationships"><Relationship Type="http://schemas.openxmlformats.org/officeDocument/2006/relationships/chart" Target="/xl/charts/chart38.xml" Id="rId1"/><Relationship Type="http://schemas.openxmlformats.org/officeDocument/2006/relationships/chart" Target="/xl/charts/chart39.xml" Id="rId2"/><Relationship Type="http://schemas.openxmlformats.org/officeDocument/2006/relationships/chart" Target="/xl/charts/chart40.xml" Id="rId3"/><Relationship Type="http://schemas.openxmlformats.org/officeDocument/2006/relationships/chart" Target="/xl/charts/chart41.xml" Id="rId4"/><Relationship Type="http://schemas.openxmlformats.org/officeDocument/2006/relationships/chart" Target="/xl/charts/chart42.xml" Id="rId5"/><Relationship Type="http://schemas.openxmlformats.org/officeDocument/2006/relationships/chart" Target="/xl/charts/chart43.xml" Id="rId6"/><Relationship Type="http://schemas.openxmlformats.org/officeDocument/2006/relationships/chart" Target="/xl/charts/chart44.xml" Id="rId7"/><Relationship Type="http://schemas.openxmlformats.org/officeDocument/2006/relationships/chart" Target="/xl/charts/chart45.xml" Id="rId8"/><Relationship Type="http://schemas.openxmlformats.org/officeDocument/2006/relationships/chart" Target="/xl/charts/chart46.xml" Id="rId9"/><Relationship Type="http://schemas.openxmlformats.org/officeDocument/2006/relationships/chart" Target="/xl/charts/chart47.xml" Id="rId10"/><Relationship Type="http://schemas.openxmlformats.org/officeDocument/2006/relationships/chart" Target="/xl/charts/chart48.xml" Id="rId11"/><Relationship Type="http://schemas.openxmlformats.org/officeDocument/2006/relationships/chart" Target="/xl/charts/chart49.xml" Id="rId12"/></Relationships>
</file>

<file path=xl/drawings/_rels/drawing5.xml.rels><Relationships xmlns="http://schemas.openxmlformats.org/package/2006/relationships"><Relationship Type="http://schemas.openxmlformats.org/officeDocument/2006/relationships/chart" Target="/xl/charts/chart50.xml" Id="rId1"/><Relationship Type="http://schemas.openxmlformats.org/officeDocument/2006/relationships/chart" Target="/xl/charts/chart51.xml" Id="rId2"/><Relationship Type="http://schemas.openxmlformats.org/officeDocument/2006/relationships/chart" Target="/xl/charts/chart52.xml" Id="rId3"/><Relationship Type="http://schemas.openxmlformats.org/officeDocument/2006/relationships/chart" Target="/xl/charts/chart53.xml" Id="rId4"/><Relationship Type="http://schemas.openxmlformats.org/officeDocument/2006/relationships/chart" Target="/xl/charts/chart54.xml" Id="rId5"/><Relationship Type="http://schemas.openxmlformats.org/officeDocument/2006/relationships/chart" Target="/xl/charts/chart55.xml" Id="rId6"/><Relationship Type="http://schemas.openxmlformats.org/officeDocument/2006/relationships/chart" Target="/xl/charts/chart56.xml" Id="rId7"/><Relationship Type="http://schemas.openxmlformats.org/officeDocument/2006/relationships/chart" Target="/xl/charts/chart57.xml" Id="rId8"/></Relationships>
</file>

<file path=xl/drawings/_rels/drawing6.xml.rels><Relationships xmlns="http://schemas.openxmlformats.org/package/2006/relationships"><Relationship Type="http://schemas.openxmlformats.org/officeDocument/2006/relationships/chart" Target="/xl/charts/chart58.xml" Id="rId1"/><Relationship Type="http://schemas.openxmlformats.org/officeDocument/2006/relationships/chart" Target="/xl/charts/chart59.xml" Id="rId2"/><Relationship Type="http://schemas.openxmlformats.org/officeDocument/2006/relationships/chart" Target="/xl/charts/chart60.xml" Id="rId3"/><Relationship Type="http://schemas.openxmlformats.org/officeDocument/2006/relationships/chart" Target="/xl/charts/chart61.xml" Id="rId4"/><Relationship Type="http://schemas.openxmlformats.org/officeDocument/2006/relationships/chart" Target="/xl/charts/chart62.xml" Id="rId5"/><Relationship Type="http://schemas.openxmlformats.org/officeDocument/2006/relationships/chart" Target="/xl/charts/chart63.xml" Id="rId6"/><Relationship Type="http://schemas.openxmlformats.org/officeDocument/2006/relationships/chart" Target="/xl/charts/chart64.xml" Id="rId7"/><Relationship Type="http://schemas.openxmlformats.org/officeDocument/2006/relationships/chart" Target="/xl/charts/chart65.xml" Id="rId8"/><Relationship Type="http://schemas.openxmlformats.org/officeDocument/2006/relationships/chart" Target="/xl/charts/chart66.xml" Id="rId9"/><Relationship Type="http://schemas.openxmlformats.org/officeDocument/2006/relationships/chart" Target="/xl/charts/chart67.xml" Id="rId10"/><Relationship Type="http://schemas.openxmlformats.org/officeDocument/2006/relationships/chart" Target="/xl/charts/chart68.xml" Id="rId11"/><Relationship Type="http://schemas.openxmlformats.org/officeDocument/2006/relationships/chart" Target="/xl/charts/chart69.xml" Id="rId12"/><Relationship Type="http://schemas.openxmlformats.org/officeDocument/2006/relationships/chart" Target="/xl/charts/chart70.xml" Id="rId13"/><Relationship Type="http://schemas.openxmlformats.org/officeDocument/2006/relationships/chart" Target="/xl/charts/chart71.xml" Id="rId14"/></Relationships>
</file>

<file path=xl/drawings/_rels/drawing7.xml.rels><Relationships xmlns="http://schemas.openxmlformats.org/package/2006/relationships"><Relationship Type="http://schemas.openxmlformats.org/officeDocument/2006/relationships/chart" Target="/xl/charts/chart72.xml" Id="rId1"/><Relationship Type="http://schemas.openxmlformats.org/officeDocument/2006/relationships/chart" Target="/xl/charts/chart73.xml" Id="rId2"/><Relationship Type="http://schemas.openxmlformats.org/officeDocument/2006/relationships/chart" Target="/xl/charts/chart74.xml" Id="rId3"/><Relationship Type="http://schemas.openxmlformats.org/officeDocument/2006/relationships/chart" Target="/xl/charts/chart75.xml" Id="rId4"/><Relationship Type="http://schemas.openxmlformats.org/officeDocument/2006/relationships/chart" Target="/xl/charts/chart76.xml" Id="rId5"/><Relationship Type="http://schemas.openxmlformats.org/officeDocument/2006/relationships/chart" Target="/xl/charts/chart77.xml" Id="rId6"/><Relationship Type="http://schemas.openxmlformats.org/officeDocument/2006/relationships/chart" Target="/xl/charts/chart78.xml" Id="rId7"/><Relationship Type="http://schemas.openxmlformats.org/officeDocument/2006/relationships/chart" Target="/xl/charts/chart79.xml" Id="rId8"/><Relationship Type="http://schemas.openxmlformats.org/officeDocument/2006/relationships/chart" Target="/xl/charts/chart80.xml" Id="rId9"/><Relationship Type="http://schemas.openxmlformats.org/officeDocument/2006/relationships/chart" Target="/xl/charts/chart81.xml" Id="rId10"/><Relationship Type="http://schemas.openxmlformats.org/officeDocument/2006/relationships/chart" Target="/xl/charts/chart82.xml" Id="rId11"/><Relationship Type="http://schemas.openxmlformats.org/officeDocument/2006/relationships/chart" Target="/xl/charts/chart83.xml" Id="rId12"/><Relationship Type="http://schemas.openxmlformats.org/officeDocument/2006/relationships/chart" Target="/xl/charts/chart84.xml" Id="rId13"/><Relationship Type="http://schemas.openxmlformats.org/officeDocument/2006/relationships/chart" Target="/xl/charts/chart85.xml" Id="rId14"/></Relationships>
</file>

<file path=xl/drawings/_rels/drawing8.xml.rels><Relationships xmlns="http://schemas.openxmlformats.org/package/2006/relationships"><Relationship Type="http://schemas.openxmlformats.org/officeDocument/2006/relationships/chart" Target="/xl/charts/chart86.xml" Id="rId1"/><Relationship Type="http://schemas.openxmlformats.org/officeDocument/2006/relationships/chart" Target="/xl/charts/chart87.xml" Id="rId2"/><Relationship Type="http://schemas.openxmlformats.org/officeDocument/2006/relationships/chart" Target="/xl/charts/chart88.xml" Id="rId3"/></Relationships>
</file>

<file path=xl/drawings/_rels/drawing9.xml.rels><Relationships xmlns="http://schemas.openxmlformats.org/package/2006/relationships"><Relationship Type="http://schemas.openxmlformats.org/officeDocument/2006/relationships/chart" Target="/xl/charts/chart89.xml" Id="rId1"/><Relationship Type="http://schemas.openxmlformats.org/officeDocument/2006/relationships/chart" Target="/xl/charts/chart90.xml" Id="rId2"/><Relationship Type="http://schemas.openxmlformats.org/officeDocument/2006/relationships/chart" Target="/xl/charts/chart91.xml" Id="rId3"/><Relationship Type="http://schemas.openxmlformats.org/officeDocument/2006/relationships/chart" Target="/xl/charts/chart92.xml" Id="rId4"/><Relationship Type="http://schemas.openxmlformats.org/officeDocument/2006/relationships/chart" Target="/xl/charts/chart93.xml" Id="rId5"/><Relationship Type="http://schemas.openxmlformats.org/officeDocument/2006/relationships/chart" Target="/xl/charts/chart94.xml" Id="rId6"/><Relationship Type="http://schemas.openxmlformats.org/officeDocument/2006/relationships/chart" Target="/xl/charts/chart95.xml" Id="rId7"/><Relationship Type="http://schemas.openxmlformats.org/officeDocument/2006/relationships/chart" Target="/xl/charts/chart96.xml" Id="rId8"/><Relationship Type="http://schemas.openxmlformats.org/officeDocument/2006/relationships/chart" Target="/xl/charts/chart97.xml" Id="rId9"/><Relationship Type="http://schemas.openxmlformats.org/officeDocument/2006/relationships/chart" Target="/xl/charts/chart98.xml" Id="rId10"/><Relationship Type="http://schemas.openxmlformats.org/officeDocument/2006/relationships/chart" Target="/xl/charts/chart99.xml" Id="rId11"/><Relationship Type="http://schemas.openxmlformats.org/officeDocument/2006/relationships/chart" Target="/xl/charts/chart100.xml" Id="rId12"/></Relationships>
</file>

<file path=xl/drawings/drawing1.xml><?xml version="1.0" encoding="utf-8"?>
<wsDr xmlns="http://schemas.openxmlformats.org/drawingml/2006/spreadsheetDrawing">
  <oneCellAnchor>
    <from>
      <col>5</col>
      <colOff>0</colOff>
      <row>2</row>
      <rowOff>0</rowOff>
    </from>
    <ext cx="5940000" cy="1655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13</row>
      <rowOff>0</rowOff>
    </from>
    <ext cx="5940000" cy="19871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24</row>
      <rowOff>0</rowOff>
    </from>
    <ext cx="5940000" cy="1655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35</row>
      <rowOff>0</rowOff>
    </from>
    <ext cx="6120000" cy="230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50</row>
      <rowOff>0</rowOff>
    </from>
    <ext cx="5940000" cy="1655999"/>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61</row>
      <rowOff>0</rowOff>
    </from>
    <ext cx="5940000" cy="1655999"/>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col>
      <colOff>0</colOff>
      <row>72</row>
      <rowOff>0</rowOff>
    </from>
    <ext cx="6120000" cy="230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5</col>
      <colOff>0</colOff>
      <row>87</row>
      <rowOff>0</rowOff>
    </from>
    <ext cx="5940000" cy="23256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5</col>
      <colOff>0</colOff>
      <row>101</row>
      <rowOff>0</rowOff>
    </from>
    <ext cx="5940000" cy="24408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5</col>
      <colOff>0</colOff>
      <row>116</row>
      <rowOff>0</rowOff>
    </from>
    <ext cx="5940000" cy="22176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11</col>
      <colOff>0</colOff>
      <row>130</row>
      <rowOff>0</rowOff>
    </from>
    <ext cx="6120000" cy="2304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5</col>
      <colOff>0</colOff>
      <row>143</row>
      <rowOff>0</rowOff>
    </from>
    <ext cx="5940000" cy="22176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6</col>
      <colOff>0</colOff>
      <row>157</row>
      <rowOff>0</rowOff>
    </from>
    <ext cx="6120000" cy="50976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5</col>
      <colOff>0</colOff>
      <row>185</row>
      <rowOff>0</rowOff>
    </from>
    <ext cx="5940000" cy="28872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6</col>
      <colOff>0</colOff>
      <row>202</row>
      <rowOff>0</rowOff>
    </from>
    <ext cx="6120000" cy="56448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wsDr>
</file>

<file path=xl/drawings/drawing2.xml><?xml version="1.0" encoding="utf-8"?>
<wsDr xmlns="http://schemas.openxmlformats.org/drawingml/2006/spreadsheetDrawing">
  <oneCellAnchor>
    <from>
      <col>5</col>
      <colOff>0</colOff>
      <row>2</row>
      <rowOff>0</rowOff>
    </from>
    <ext cx="594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23</row>
      <rowOff>0</rowOff>
    </from>
    <ext cx="6120000" cy="892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70</row>
      <rowOff>0</rowOff>
    </from>
    <ext cx="5940000" cy="24408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85</row>
      <rowOff>0</rowOff>
    </from>
    <ext cx="6120000" cy="230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98</row>
      <rowOff>0</rowOff>
    </from>
    <ext cx="5940000" cy="1655999"/>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109</row>
      <rowOff>0</rowOff>
    </from>
    <ext cx="6120000" cy="230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123</row>
      <rowOff>0</rowOff>
    </from>
    <ext cx="5940000" cy="266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6</col>
      <colOff>0</colOff>
      <row>139</row>
      <rowOff>0</rowOff>
    </from>
    <ext cx="6120000" cy="56448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5</col>
      <colOff>0</colOff>
      <row>170</row>
      <rowOff>0</rowOff>
    </from>
    <ext cx="5940000" cy="28872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6</col>
      <colOff>0</colOff>
      <row>187</row>
      <rowOff>0</rowOff>
    </from>
    <ext cx="6120000" cy="6192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wsDr>
</file>

<file path=xl/drawings/drawing3.xml><?xml version="1.0" encoding="utf-8"?>
<wsDr xmlns="http://schemas.openxmlformats.org/drawingml/2006/spreadsheetDrawing">
  <oneCellAnchor>
    <from>
      <col>5</col>
      <colOff>0</colOff>
      <row>2</row>
      <rowOff>0</rowOff>
    </from>
    <ext cx="5940000" cy="1655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13</row>
      <rowOff>0</rowOff>
    </from>
    <ext cx="6120000" cy="230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26</row>
      <rowOff>0</rowOff>
    </from>
    <ext cx="5940000" cy="24408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41</row>
      <rowOff>0</rowOff>
    </from>
    <ext cx="6120000" cy="50976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69</row>
      <rowOff>0</rowOff>
    </from>
    <ext cx="5940000" cy="37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6</col>
      <colOff>0</colOff>
      <row>90</row>
      <rowOff>0</rowOff>
    </from>
    <ext cx="6120000" cy="45504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115</row>
      <rowOff>0</rowOff>
    </from>
    <ext cx="5940000" cy="24408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6</col>
      <colOff>0</colOff>
      <row>130</row>
      <rowOff>0</rowOff>
    </from>
    <ext cx="6120000" cy="50976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5</col>
      <colOff>0</colOff>
      <row>158</row>
      <rowOff>0</rowOff>
    </from>
    <ext cx="5940000" cy="24264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6</col>
      <colOff>0</colOff>
      <row>170</row>
      <rowOff>0</rowOff>
    </from>
    <ext cx="6120000" cy="45504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5</col>
      <colOff>0</colOff>
      <row>192</row>
      <rowOff>0</rowOff>
    </from>
    <ext cx="5940000" cy="24264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6</col>
      <colOff>0</colOff>
      <row>204</row>
      <rowOff>0</rowOff>
    </from>
    <ext cx="6120000" cy="45504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wsDr>
</file>

<file path=xl/drawings/drawing4.xml><?xml version="1.0" encoding="utf-8"?>
<wsDr xmlns="http://schemas.openxmlformats.org/drawingml/2006/spreadsheetDrawing">
  <oneCellAnchor>
    <from>
      <col>5</col>
      <colOff>0</colOff>
      <row>2</row>
      <rowOff>0</rowOff>
    </from>
    <ext cx="5940000" cy="19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12</row>
      <rowOff>0</rowOff>
    </from>
    <ext cx="6120000" cy="230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23</row>
      <rowOff>0</rowOff>
    </from>
    <ext cx="5940000" cy="31103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41</row>
      <rowOff>0</rowOff>
    </from>
    <ext cx="6120000" cy="72864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80</row>
      <rowOff>0</rowOff>
    </from>
    <ext cx="5940000" cy="26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6</col>
      <colOff>0</colOff>
      <row>96</row>
      <rowOff>0</rowOff>
    </from>
    <ext cx="6120000" cy="50976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124</row>
      <rowOff>0</rowOff>
    </from>
    <ext cx="5940000" cy="1871999"/>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136</row>
      <rowOff>0</rowOff>
    </from>
    <ext cx="6120000" cy="230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5</col>
      <colOff>0</colOff>
      <row>148</row>
      <rowOff>0</rowOff>
    </from>
    <ext cx="5940000" cy="28872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6</col>
      <colOff>0</colOff>
      <row>165</row>
      <rowOff>0</rowOff>
    </from>
    <ext cx="6120000" cy="56448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5</col>
      <colOff>0</colOff>
      <row>196</row>
      <rowOff>0</rowOff>
    </from>
    <ext cx="5940000" cy="24408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6</col>
      <colOff>0</colOff>
      <row>211</row>
      <rowOff>0</rowOff>
    </from>
    <ext cx="6120000" cy="56448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wsDr>
</file>

<file path=xl/drawings/drawing5.xml><?xml version="1.0" encoding="utf-8"?>
<wsDr xmlns="http://schemas.openxmlformats.org/drawingml/2006/spreadsheetDrawing">
  <oneCellAnchor>
    <from>
      <col>5</col>
      <colOff>0</colOff>
      <row>28</row>
      <rowOff>0</rowOff>
    </from>
    <ext cx="6120000" cy="676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61</row>
      <rowOff>0</rowOff>
    </from>
    <ext cx="5940000" cy="489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135</row>
      <rowOff>0</rowOff>
    </from>
    <ext cx="5940000" cy="26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151</row>
      <rowOff>0</rowOff>
    </from>
    <ext cx="6120000" cy="619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185</row>
      <rowOff>0</rowOff>
    </from>
    <ext cx="5940000" cy="26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6</col>
      <colOff>0</colOff>
      <row>201</row>
      <rowOff>0</rowOff>
    </from>
    <ext cx="6120000" cy="56448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232</row>
      <rowOff>0</rowOff>
    </from>
    <ext cx="5940000" cy="22176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11</col>
      <colOff>0</colOff>
      <row>246</row>
      <rowOff>0</rowOff>
    </from>
    <ext cx="6120000" cy="230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drawings/drawing6.xml><?xml version="1.0" encoding="utf-8"?>
<wsDr xmlns="http://schemas.openxmlformats.org/drawingml/2006/spreadsheetDrawing">
  <oneCellAnchor>
    <from>
      <col>5</col>
      <colOff>0</colOff>
      <row>2</row>
      <rowOff>0</rowOff>
    </from>
    <ext cx="594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18</row>
      <rowOff>0</rowOff>
    </from>
    <ext cx="6120000" cy="230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31</row>
      <rowOff>0</rowOff>
    </from>
    <ext cx="5940000" cy="26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0</colOff>
      <row>47</row>
      <rowOff>0</rowOff>
    </from>
    <ext cx="6120000" cy="230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60</row>
      <rowOff>0</rowOff>
    </from>
    <ext cx="5940000" cy="28872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6</col>
      <colOff>0</colOff>
      <row>77</row>
      <rowOff>0</rowOff>
    </from>
    <ext cx="6120000" cy="56448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108</row>
      <rowOff>0</rowOff>
    </from>
    <ext cx="5940000" cy="1655999"/>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119</row>
      <rowOff>0</rowOff>
    </from>
    <ext cx="6120000" cy="230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5</col>
      <colOff>0</colOff>
      <row>133</row>
      <rowOff>0</rowOff>
    </from>
    <ext cx="5940000" cy="3110399"/>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6</col>
      <colOff>0</colOff>
      <row>151</row>
      <rowOff>0</rowOff>
    </from>
    <ext cx="6120000" cy="50976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5</col>
      <colOff>0</colOff>
      <row>179</row>
      <rowOff>0</rowOff>
    </from>
    <ext cx="5940000" cy="2772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6</col>
      <colOff>0</colOff>
      <row>196</row>
      <rowOff>0</rowOff>
    </from>
    <ext cx="6120000" cy="56448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5</col>
      <colOff>0</colOff>
      <row>227</row>
      <rowOff>0</rowOff>
    </from>
    <ext cx="5940000" cy="1871999"/>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9</col>
      <colOff>0</colOff>
      <row>239</row>
      <rowOff>0</rowOff>
    </from>
    <ext cx="6120000" cy="2304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drawings/drawing7.xml><?xml version="1.0" encoding="utf-8"?>
<wsDr xmlns="http://schemas.openxmlformats.org/drawingml/2006/spreadsheetDrawing">
  <oneCellAnchor>
    <from>
      <col>5</col>
      <colOff>0</colOff>
      <row>2</row>
      <rowOff>0</rowOff>
    </from>
    <ext cx="5940000" cy="28872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19</row>
      <rowOff>0</rowOff>
    </from>
    <ext cx="6120000" cy="56448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50</row>
      <rowOff>0</rowOff>
    </from>
    <ext cx="5940000" cy="1655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61</row>
      <rowOff>0</rowOff>
    </from>
    <ext cx="6120000" cy="230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74</row>
      <rowOff>0</rowOff>
    </from>
    <ext cx="5940000" cy="26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6</col>
      <colOff>0</colOff>
      <row>90</row>
      <rowOff>0</rowOff>
    </from>
    <ext cx="6120000" cy="56448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121</row>
      <rowOff>0</rowOff>
    </from>
    <ext cx="5940000" cy="2772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6</col>
      <colOff>0</colOff>
      <row>138</row>
      <rowOff>0</rowOff>
    </from>
    <ext cx="6120000" cy="6192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5</col>
      <colOff>0</colOff>
      <row>172</row>
      <rowOff>0</rowOff>
    </from>
    <ext cx="5940000" cy="2664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6</col>
      <colOff>0</colOff>
      <row>188</row>
      <rowOff>0</rowOff>
    </from>
    <ext cx="6120000" cy="50976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5</col>
      <colOff>0</colOff>
      <row>216</row>
      <rowOff>0</rowOff>
    </from>
    <ext cx="5940000" cy="24408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6</col>
      <colOff>0</colOff>
      <row>231</row>
      <rowOff>0</rowOff>
    </from>
    <ext cx="6120000" cy="50976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5</col>
      <colOff>0</colOff>
      <row>259</row>
      <rowOff>0</rowOff>
    </from>
    <ext cx="5940000" cy="2664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6</col>
      <colOff>0</colOff>
      <row>275</row>
      <rowOff>0</rowOff>
    </from>
    <ext cx="6120000" cy="56448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drawings/drawing8.xml><?xml version="1.0" encoding="utf-8"?>
<wsDr xmlns="http://schemas.openxmlformats.org/drawingml/2006/spreadsheetDrawing">
  <oneCellAnchor>
    <from>
      <col>6</col>
      <colOff>0</colOff>
      <row>83</row>
      <rowOff>0</rowOff>
    </from>
    <ext cx="6120000" cy="45504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164</row>
      <rowOff>0</rowOff>
    </from>
    <ext cx="6120000" cy="230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216</row>
      <rowOff>0</rowOff>
    </from>
    <ext cx="6120000" cy="475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9.xml><?xml version="1.0" encoding="utf-8"?>
<wsDr xmlns="http://schemas.openxmlformats.org/drawingml/2006/spreadsheetDrawing">
  <oneCellAnchor>
    <from>
      <col>5</col>
      <colOff>0</colOff>
      <row>15</row>
      <rowOff>0</rowOff>
    </from>
    <ext cx="594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36</row>
      <rowOff>0</rowOff>
    </from>
    <ext cx="5940000" cy="2217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50</row>
      <rowOff>0</rowOff>
    </from>
    <ext cx="5940000" cy="19944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63</row>
      <rowOff>0</rowOff>
    </from>
    <ext cx="5940000" cy="19944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76</row>
      <rowOff>0</rowOff>
    </from>
    <ext cx="5940000" cy="24408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91</row>
      <rowOff>0</rowOff>
    </from>
    <ext cx="5940000" cy="17712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8</col>
      <colOff>0</colOff>
      <row>103</row>
      <rowOff>0</rowOff>
    </from>
    <ext cx="6120000" cy="2646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5</col>
      <colOff>0</colOff>
      <row>118</row>
      <rowOff>0</rowOff>
    </from>
    <ext cx="5940000" cy="19944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6</col>
      <colOff>0</colOff>
      <row>147</row>
      <rowOff>0</rowOff>
    </from>
    <ext cx="6120000" cy="56448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5</col>
      <colOff>0</colOff>
      <row>177</row>
      <rowOff>0</rowOff>
    </from>
    <ext cx="5940000" cy="3110399"/>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5</col>
      <colOff>0</colOff>
      <row>195</row>
      <rowOff>0</rowOff>
    </from>
    <ext cx="5940000" cy="23256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5</col>
      <colOff>0</colOff>
      <row>217</row>
      <rowOff>0</rowOff>
    </from>
    <ext cx="5940000" cy="22176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24242"/>
      </a:dk2>
      <a:lt2>
        <a:srgbClr val="EBEBEB"/>
      </a:lt2>
      <a:accent1>
        <a:srgbClr val="797979"/>
      </a:accent1>
      <a:accent2>
        <a:srgbClr val="717171"/>
      </a:accent2>
      <a:accent3>
        <a:srgbClr val="A6A6A6"/>
      </a:accent3>
      <a:accent4>
        <a:srgbClr val="737373"/>
      </a:accent4>
      <a:accent5>
        <a:srgbClr val="929292"/>
      </a:accent5>
      <a:accent6>
        <a:srgbClr val="AAAAAA"/>
      </a:accent6>
      <a:hlink>
        <a:srgbClr val="1D1D1D"/>
      </a:hlink>
      <a:folHlink>
        <a:srgbClr val="35353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2&#31456;_&#27010;&#35201;&#12539;&#35201;&#28857;'!B2" TargetMode="External" Id="rId1"/><Relationship Type="http://schemas.openxmlformats.org/officeDocument/2006/relationships/hyperlink" Target="#'1-2&#31456;_&#27010;&#35201;&#12539;&#35201;&#28857;'!B11" TargetMode="External" Id="rId2"/><Relationship Type="http://schemas.openxmlformats.org/officeDocument/2006/relationships/hyperlink" Target="#'1-2&#31456;_&#27010;&#35201;&#12539;&#35201;&#28857;'!B27" TargetMode="External" Id="rId3"/><Relationship Type="http://schemas.openxmlformats.org/officeDocument/2006/relationships/hyperlink" Target="#'3&#31456;_1&#23646;&#24615;'!B2" TargetMode="External" Id="rId4"/><Relationship Type="http://schemas.openxmlformats.org/officeDocument/2006/relationships/hyperlink" Target="#'3&#31456;_1&#23646;&#24615;'!B13" TargetMode="External" Id="rId5"/><Relationship Type="http://schemas.openxmlformats.org/officeDocument/2006/relationships/hyperlink" Target="#'3&#31456;_1&#23646;&#24615;'!B24" TargetMode="External" Id="rId6"/><Relationship Type="http://schemas.openxmlformats.org/officeDocument/2006/relationships/hyperlink" Target="#'3&#31456;_1&#23646;&#24615;'!B35" TargetMode="External" Id="rId7"/><Relationship Type="http://schemas.openxmlformats.org/officeDocument/2006/relationships/hyperlink" Target="#'3&#31456;_1&#23646;&#24615;'!B50" TargetMode="External" Id="rId8"/><Relationship Type="http://schemas.openxmlformats.org/officeDocument/2006/relationships/hyperlink" Target="#'3&#31456;_1&#23646;&#24615;'!B61" TargetMode="External" Id="rId9"/><Relationship Type="http://schemas.openxmlformats.org/officeDocument/2006/relationships/hyperlink" Target="#'3&#31456;_1&#23646;&#24615;'!B72" TargetMode="External" Id="rId10"/><Relationship Type="http://schemas.openxmlformats.org/officeDocument/2006/relationships/hyperlink" Target="#'3&#31456;_1&#23646;&#24615;'!B87" TargetMode="External" Id="rId11"/><Relationship Type="http://schemas.openxmlformats.org/officeDocument/2006/relationships/hyperlink" Target="#'3&#31456;_1&#23646;&#24615;'!B101" TargetMode="External" Id="rId12"/><Relationship Type="http://schemas.openxmlformats.org/officeDocument/2006/relationships/hyperlink" Target="#'3&#31456;_1&#23646;&#24615;'!B116" TargetMode="External" Id="rId13"/><Relationship Type="http://schemas.openxmlformats.org/officeDocument/2006/relationships/hyperlink" Target="#'3&#31456;_1&#23646;&#24615;'!B130" TargetMode="External" Id="rId14"/><Relationship Type="http://schemas.openxmlformats.org/officeDocument/2006/relationships/hyperlink" Target="#'3&#31456;_1&#23646;&#24615;'!B143" TargetMode="External" Id="rId15"/><Relationship Type="http://schemas.openxmlformats.org/officeDocument/2006/relationships/hyperlink" Target="#'3&#31456;_1&#23646;&#24615;'!B157" TargetMode="External" Id="rId16"/><Relationship Type="http://schemas.openxmlformats.org/officeDocument/2006/relationships/hyperlink" Target="#'3&#31456;_1&#23646;&#24615;'!B185" TargetMode="External" Id="rId17"/><Relationship Type="http://schemas.openxmlformats.org/officeDocument/2006/relationships/hyperlink" Target="#'3&#31456;_1&#23646;&#24615;'!B202" TargetMode="External" Id="rId18"/><Relationship Type="http://schemas.openxmlformats.org/officeDocument/2006/relationships/hyperlink" Target="#'3&#31456;_2&#29983;&#27963;&#12539;&#22806;&#20986;'!B2" TargetMode="External" Id="rId19"/><Relationship Type="http://schemas.openxmlformats.org/officeDocument/2006/relationships/hyperlink" Target="#'3&#31456;_2&#29983;&#27963;&#12539;&#22806;&#20986;'!B23" TargetMode="External" Id="rId20"/><Relationship Type="http://schemas.openxmlformats.org/officeDocument/2006/relationships/hyperlink" Target="#'3&#31456;_2&#29983;&#27963;&#12539;&#22806;&#20986;'!B70" TargetMode="External" Id="rId21"/><Relationship Type="http://schemas.openxmlformats.org/officeDocument/2006/relationships/hyperlink" Target="#'3&#31456;_2&#29983;&#27963;&#12539;&#22806;&#20986;'!B85" TargetMode="External" Id="rId22"/><Relationship Type="http://schemas.openxmlformats.org/officeDocument/2006/relationships/hyperlink" Target="#'3&#31456;_2&#29983;&#27963;&#12539;&#22806;&#20986;'!B98" TargetMode="External" Id="rId23"/><Relationship Type="http://schemas.openxmlformats.org/officeDocument/2006/relationships/hyperlink" Target="#'3&#31456;_2&#29983;&#27963;&#12539;&#22806;&#20986;'!B109" TargetMode="External" Id="rId24"/><Relationship Type="http://schemas.openxmlformats.org/officeDocument/2006/relationships/hyperlink" Target="#'3&#31456;_2&#29983;&#27963;&#12539;&#22806;&#20986;'!B123" TargetMode="External" Id="rId25"/><Relationship Type="http://schemas.openxmlformats.org/officeDocument/2006/relationships/hyperlink" Target="#'3&#31456;_2&#29983;&#27963;&#12539;&#22806;&#20986;'!B139" TargetMode="External" Id="rId26"/><Relationship Type="http://schemas.openxmlformats.org/officeDocument/2006/relationships/hyperlink" Target="#'3&#31456;_2&#29983;&#27963;&#12539;&#22806;&#20986;'!B170" TargetMode="External" Id="rId27"/><Relationship Type="http://schemas.openxmlformats.org/officeDocument/2006/relationships/hyperlink" Target="#'3&#31456;_2&#29983;&#27963;&#12539;&#22806;&#20986;'!B187" TargetMode="External" Id="rId28"/><Relationship Type="http://schemas.openxmlformats.org/officeDocument/2006/relationships/hyperlink" Target="#'3&#31456;_3&#21307;&#30274;'!B2" TargetMode="External" Id="rId29"/><Relationship Type="http://schemas.openxmlformats.org/officeDocument/2006/relationships/hyperlink" Target="#'3&#31456;_3&#21307;&#30274;'!B13" TargetMode="External" Id="rId30"/><Relationship Type="http://schemas.openxmlformats.org/officeDocument/2006/relationships/hyperlink" Target="#'3&#31456;_3&#21307;&#30274;'!B26" TargetMode="External" Id="rId31"/><Relationship Type="http://schemas.openxmlformats.org/officeDocument/2006/relationships/hyperlink" Target="#'3&#31456;_3&#21307;&#30274;'!B41" TargetMode="External" Id="rId32"/><Relationship Type="http://schemas.openxmlformats.org/officeDocument/2006/relationships/hyperlink" Target="#'3&#31456;_3&#21307;&#30274;'!B69" TargetMode="External" Id="rId33"/><Relationship Type="http://schemas.openxmlformats.org/officeDocument/2006/relationships/hyperlink" Target="#'3&#31456;_3&#21307;&#30274;'!B90" TargetMode="External" Id="rId34"/><Relationship Type="http://schemas.openxmlformats.org/officeDocument/2006/relationships/hyperlink" Target="#'3&#31456;_3&#21307;&#30274;'!B115" TargetMode="External" Id="rId35"/><Relationship Type="http://schemas.openxmlformats.org/officeDocument/2006/relationships/hyperlink" Target="#'3&#31456;_3&#21307;&#30274;'!B130" TargetMode="External" Id="rId36"/><Relationship Type="http://schemas.openxmlformats.org/officeDocument/2006/relationships/hyperlink" Target="#'3&#31456;_3&#21307;&#30274;'!B158" TargetMode="External" Id="rId37"/><Relationship Type="http://schemas.openxmlformats.org/officeDocument/2006/relationships/hyperlink" Target="#'3&#31456;_3&#21307;&#30274;'!B170" TargetMode="External" Id="rId38"/><Relationship Type="http://schemas.openxmlformats.org/officeDocument/2006/relationships/hyperlink" Target="#'3&#31456;_3&#21307;&#30274;'!B192" TargetMode="External" Id="rId39"/><Relationship Type="http://schemas.openxmlformats.org/officeDocument/2006/relationships/hyperlink" Target="#'3&#31456;_3&#21307;&#30274;'!B204" TargetMode="External" Id="rId40"/><Relationship Type="http://schemas.openxmlformats.org/officeDocument/2006/relationships/hyperlink" Target="#'3&#31456;_4&#30456;&#35527;&#12539;&#24773;&#22577;'!B2" TargetMode="External" Id="rId41"/><Relationship Type="http://schemas.openxmlformats.org/officeDocument/2006/relationships/hyperlink" Target="#'3&#31456;_4&#30456;&#35527;&#12539;&#24773;&#22577;'!B12" TargetMode="External" Id="rId42"/><Relationship Type="http://schemas.openxmlformats.org/officeDocument/2006/relationships/hyperlink" Target="#'3&#31456;_4&#30456;&#35527;&#12539;&#24773;&#22577;'!B23" TargetMode="External" Id="rId43"/><Relationship Type="http://schemas.openxmlformats.org/officeDocument/2006/relationships/hyperlink" Target="#'3&#31456;_4&#30456;&#35527;&#12539;&#24773;&#22577;'!B41" TargetMode="External" Id="rId44"/><Relationship Type="http://schemas.openxmlformats.org/officeDocument/2006/relationships/hyperlink" Target="#'3&#31456;_4&#30456;&#35527;&#12539;&#24773;&#22577;'!B80" TargetMode="External" Id="rId45"/><Relationship Type="http://schemas.openxmlformats.org/officeDocument/2006/relationships/hyperlink" Target="#'3&#31456;_4&#30456;&#35527;&#12539;&#24773;&#22577;'!B96" TargetMode="External" Id="rId46"/><Relationship Type="http://schemas.openxmlformats.org/officeDocument/2006/relationships/hyperlink" Target="#'3&#31456;_4&#30456;&#35527;&#12539;&#24773;&#22577;'!B124" TargetMode="External" Id="rId47"/><Relationship Type="http://schemas.openxmlformats.org/officeDocument/2006/relationships/hyperlink" Target="#'3&#31456;_4&#30456;&#35527;&#12539;&#24773;&#22577;'!B136" TargetMode="External" Id="rId48"/><Relationship Type="http://schemas.openxmlformats.org/officeDocument/2006/relationships/hyperlink" Target="#'3&#31456;_4&#30456;&#35527;&#12539;&#24773;&#22577;'!B148" TargetMode="External" Id="rId49"/><Relationship Type="http://schemas.openxmlformats.org/officeDocument/2006/relationships/hyperlink" Target="#'3&#31456;_4&#30456;&#35527;&#12539;&#24773;&#22577;'!B165" TargetMode="External" Id="rId50"/><Relationship Type="http://schemas.openxmlformats.org/officeDocument/2006/relationships/hyperlink" Target="#'3&#31456;_4&#30456;&#35527;&#12539;&#24773;&#22577;'!B196" TargetMode="External" Id="rId51"/><Relationship Type="http://schemas.openxmlformats.org/officeDocument/2006/relationships/hyperlink" Target="#'3&#31456;_4&#30456;&#35527;&#12539;&#24773;&#22577;'!B211" TargetMode="External" Id="rId52"/><Relationship Type="http://schemas.openxmlformats.org/officeDocument/2006/relationships/hyperlink" Target="#'3&#31456;_5&#12469;&#12540;&#12499;&#12473;'!B2" TargetMode="External" Id="rId53"/><Relationship Type="http://schemas.openxmlformats.org/officeDocument/2006/relationships/hyperlink" Target="#'3&#31456;_5&#12469;&#12540;&#12499;&#12473;'!B28" TargetMode="External" Id="rId54"/><Relationship Type="http://schemas.openxmlformats.org/officeDocument/2006/relationships/hyperlink" Target="#'3&#31456;_5&#12469;&#12540;&#12499;&#12473;'!B61" TargetMode="External" Id="rId55"/><Relationship Type="http://schemas.openxmlformats.org/officeDocument/2006/relationships/hyperlink" Target="#'3&#31456;_5&#12469;&#12540;&#12499;&#12473;'!B87" TargetMode="External" Id="rId56"/><Relationship Type="http://schemas.openxmlformats.org/officeDocument/2006/relationships/hyperlink" Target="#'3&#31456;_5&#12469;&#12540;&#12499;&#12473;'!B111" TargetMode="External" Id="rId57"/><Relationship Type="http://schemas.openxmlformats.org/officeDocument/2006/relationships/hyperlink" Target="#'3&#31456;_5&#12469;&#12540;&#12499;&#12473;'!B135" TargetMode="External" Id="rId58"/><Relationship Type="http://schemas.openxmlformats.org/officeDocument/2006/relationships/hyperlink" Target="#'3&#31456;_5&#12469;&#12540;&#12499;&#12473;'!B151" TargetMode="External" Id="rId59"/><Relationship Type="http://schemas.openxmlformats.org/officeDocument/2006/relationships/hyperlink" Target="#'3&#31456;_5&#12469;&#12540;&#12499;&#12473;'!B185" TargetMode="External" Id="rId60"/><Relationship Type="http://schemas.openxmlformats.org/officeDocument/2006/relationships/hyperlink" Target="#'3&#31456;_5&#12469;&#12540;&#12499;&#12473;'!B201" TargetMode="External" Id="rId61"/><Relationship Type="http://schemas.openxmlformats.org/officeDocument/2006/relationships/hyperlink" Target="#'3&#31456;_5&#12469;&#12540;&#12499;&#12473;'!B232" TargetMode="External" Id="rId62"/><Relationship Type="http://schemas.openxmlformats.org/officeDocument/2006/relationships/hyperlink" Target="#'3&#31456;_5&#12469;&#12540;&#12499;&#12473;'!B246" TargetMode="External" Id="rId63"/><Relationship Type="http://schemas.openxmlformats.org/officeDocument/2006/relationships/hyperlink" Target="#'3&#31456;_6&#26085;&#20013;&#12539;&#27177;&#21033;'!B2" TargetMode="External" Id="rId64"/><Relationship Type="http://schemas.openxmlformats.org/officeDocument/2006/relationships/hyperlink" Target="#'3&#31456;_6&#26085;&#20013;&#12539;&#27177;&#21033;'!B18" TargetMode="External" Id="rId65"/><Relationship Type="http://schemas.openxmlformats.org/officeDocument/2006/relationships/hyperlink" Target="#'3&#31456;_6&#26085;&#20013;&#12539;&#27177;&#21033;'!B31" TargetMode="External" Id="rId66"/><Relationship Type="http://schemas.openxmlformats.org/officeDocument/2006/relationships/hyperlink" Target="#'3&#31456;_6&#26085;&#20013;&#12539;&#27177;&#21033;'!B47" TargetMode="External" Id="rId67"/><Relationship Type="http://schemas.openxmlformats.org/officeDocument/2006/relationships/hyperlink" Target="#'3&#31456;_6&#26085;&#20013;&#12539;&#27177;&#21033;'!B60" TargetMode="External" Id="rId68"/><Relationship Type="http://schemas.openxmlformats.org/officeDocument/2006/relationships/hyperlink" Target="#'3&#31456;_6&#26085;&#20013;&#12539;&#27177;&#21033;'!B77" TargetMode="External" Id="rId69"/><Relationship Type="http://schemas.openxmlformats.org/officeDocument/2006/relationships/hyperlink" Target="#'3&#31456;_6&#26085;&#20013;&#12539;&#27177;&#21033;'!B108" TargetMode="External" Id="rId70"/><Relationship Type="http://schemas.openxmlformats.org/officeDocument/2006/relationships/hyperlink" Target="#'3&#31456;_6&#26085;&#20013;&#12539;&#27177;&#21033;'!B119" TargetMode="External" Id="rId71"/><Relationship Type="http://schemas.openxmlformats.org/officeDocument/2006/relationships/hyperlink" Target="#'3&#31456;_6&#26085;&#20013;&#12539;&#27177;&#21033;'!B133" TargetMode="External" Id="rId72"/><Relationship Type="http://schemas.openxmlformats.org/officeDocument/2006/relationships/hyperlink" Target="#'3&#31456;_6&#26085;&#20013;&#12539;&#27177;&#21033;'!B151" TargetMode="External" Id="rId73"/><Relationship Type="http://schemas.openxmlformats.org/officeDocument/2006/relationships/hyperlink" Target="#'3&#31456;_6&#26085;&#20013;&#12539;&#27177;&#21033;'!B179" TargetMode="External" Id="rId74"/><Relationship Type="http://schemas.openxmlformats.org/officeDocument/2006/relationships/hyperlink" Target="#'3&#31456;_6&#26085;&#20013;&#12539;&#27177;&#21033;'!B196" TargetMode="External" Id="rId75"/><Relationship Type="http://schemas.openxmlformats.org/officeDocument/2006/relationships/hyperlink" Target="#'3&#31456;_6&#26085;&#20013;&#12539;&#27177;&#21033;'!B227" TargetMode="External" Id="rId76"/><Relationship Type="http://schemas.openxmlformats.org/officeDocument/2006/relationships/hyperlink" Target="#'3&#31456;_6&#26085;&#20013;&#12539;&#27177;&#21033;'!B239" TargetMode="External" Id="rId77"/><Relationship Type="http://schemas.openxmlformats.org/officeDocument/2006/relationships/hyperlink" Target="#'3&#31456;_7&#28797;&#23475;&#12539;&#26045;&#31574;'!B2" TargetMode="External" Id="rId78"/><Relationship Type="http://schemas.openxmlformats.org/officeDocument/2006/relationships/hyperlink" Target="#'3&#31456;_7&#28797;&#23475;&#12539;&#26045;&#31574;'!B19" TargetMode="External" Id="rId79"/><Relationship Type="http://schemas.openxmlformats.org/officeDocument/2006/relationships/hyperlink" Target="#'3&#31456;_7&#28797;&#23475;&#12539;&#26045;&#31574;'!B50" TargetMode="External" Id="rId80"/><Relationship Type="http://schemas.openxmlformats.org/officeDocument/2006/relationships/hyperlink" Target="#'3&#31456;_7&#28797;&#23475;&#12539;&#26045;&#31574;'!B61" TargetMode="External" Id="rId81"/><Relationship Type="http://schemas.openxmlformats.org/officeDocument/2006/relationships/hyperlink" Target="#'3&#31456;_7&#28797;&#23475;&#12539;&#26045;&#31574;'!B74" TargetMode="External" Id="rId82"/><Relationship Type="http://schemas.openxmlformats.org/officeDocument/2006/relationships/hyperlink" Target="#'3&#31456;_7&#28797;&#23475;&#12539;&#26045;&#31574;'!B90" TargetMode="External" Id="rId83"/><Relationship Type="http://schemas.openxmlformats.org/officeDocument/2006/relationships/hyperlink" Target="#'3&#31456;_7&#28797;&#23475;&#12539;&#26045;&#31574;'!B121" TargetMode="External" Id="rId84"/><Relationship Type="http://schemas.openxmlformats.org/officeDocument/2006/relationships/hyperlink" Target="#'3&#31456;_7&#28797;&#23475;&#12539;&#26045;&#31574;'!B138" TargetMode="External" Id="rId85"/><Relationship Type="http://schemas.openxmlformats.org/officeDocument/2006/relationships/hyperlink" Target="#'3&#31456;_7&#28797;&#23475;&#12539;&#26045;&#31574;'!B172" TargetMode="External" Id="rId86"/><Relationship Type="http://schemas.openxmlformats.org/officeDocument/2006/relationships/hyperlink" Target="#'3&#31456;_7&#28797;&#23475;&#12539;&#26045;&#31574;'!B188" TargetMode="External" Id="rId87"/><Relationship Type="http://schemas.openxmlformats.org/officeDocument/2006/relationships/hyperlink" Target="#'3&#31456;_7&#28797;&#23475;&#12539;&#26045;&#31574;'!B216" TargetMode="External" Id="rId88"/><Relationship Type="http://schemas.openxmlformats.org/officeDocument/2006/relationships/hyperlink" Target="#'3&#31456;_7&#28797;&#23475;&#12539;&#26045;&#31574;'!B231" TargetMode="External" Id="rId89"/><Relationship Type="http://schemas.openxmlformats.org/officeDocument/2006/relationships/hyperlink" Target="#'3&#31456;_7&#28797;&#23475;&#12539;&#26045;&#31574;'!B259" TargetMode="External" Id="rId90"/><Relationship Type="http://schemas.openxmlformats.org/officeDocument/2006/relationships/hyperlink" Target="#'3&#31456;_7&#28797;&#23475;&#12539;&#26045;&#31574;'!B275" TargetMode="External" Id="rId91"/><Relationship Type="http://schemas.openxmlformats.org/officeDocument/2006/relationships/hyperlink" Target="#'3&#31456;_7&#28797;&#23475;&#12539;&#26045;&#31574;'!B306" TargetMode="External" Id="rId92"/><Relationship Type="http://schemas.openxmlformats.org/officeDocument/2006/relationships/hyperlink" Target="#'4&#31456;_&#12463;&#12525;&#12473;&#38598;&#35336;'!B2" TargetMode="External" Id="rId93"/><Relationship Type="http://schemas.openxmlformats.org/officeDocument/2006/relationships/hyperlink" Target="#'4&#31456;_&#12463;&#12525;&#12473;&#38598;&#35336;'!B15" TargetMode="External" Id="rId94"/><Relationship Type="http://schemas.openxmlformats.org/officeDocument/2006/relationships/hyperlink" Target="#'4&#31456;_&#12463;&#12525;&#12473;&#38598;&#35336;'!B54" TargetMode="External" Id="rId95"/><Relationship Type="http://schemas.openxmlformats.org/officeDocument/2006/relationships/hyperlink" Target="#'4&#31456;_&#12463;&#12525;&#12473;&#38598;&#35336;'!B83" TargetMode="External" Id="rId96"/><Relationship Type="http://schemas.openxmlformats.org/officeDocument/2006/relationships/hyperlink" Target="#'4&#31456;_&#12463;&#12525;&#12473;&#38598;&#35336;'!B108" TargetMode="External" Id="rId97"/><Relationship Type="http://schemas.openxmlformats.org/officeDocument/2006/relationships/hyperlink" Target="#'4&#31456;_&#12463;&#12525;&#12473;&#38598;&#35336;'!B137" TargetMode="External" Id="rId98"/><Relationship Type="http://schemas.openxmlformats.org/officeDocument/2006/relationships/hyperlink" Target="#'4&#31456;_&#12463;&#12525;&#12473;&#38598;&#35336;'!B164" TargetMode="External" Id="rId99"/><Relationship Type="http://schemas.openxmlformats.org/officeDocument/2006/relationships/hyperlink" Target="#'4&#31456;_&#12463;&#12525;&#12473;&#38598;&#35336;'!B177" TargetMode="External" Id="rId100"/><Relationship Type="http://schemas.openxmlformats.org/officeDocument/2006/relationships/hyperlink" Target="#'4&#31456;_&#12463;&#12525;&#12473;&#38598;&#35336;'!B216" TargetMode="External" Id="rId101"/><Relationship Type="http://schemas.openxmlformats.org/officeDocument/2006/relationships/hyperlink" Target="#'4&#31456;_&#12463;&#12525;&#12473;&#38598;&#35336;'!B242" TargetMode="External" Id="rId102"/><Relationship Type="http://schemas.openxmlformats.org/officeDocument/2006/relationships/hyperlink" Target="#'4&#31456;_&#12463;&#12525;&#12473;&#38598;&#35336;'!B267" TargetMode="External" Id="rId103"/><Relationship Type="http://schemas.openxmlformats.org/officeDocument/2006/relationships/hyperlink" Target="#'4&#31456;_&#12463;&#12525;&#12473;&#38598;&#35336;'!B294" TargetMode="External" Id="rId104"/><Relationship Type="http://schemas.openxmlformats.org/officeDocument/2006/relationships/hyperlink" Target="#'4&#31456;_&#12463;&#12525;&#12473;&#38598;&#35336;'!B321" TargetMode="External" Id="rId105"/><Relationship Type="http://schemas.openxmlformats.org/officeDocument/2006/relationships/hyperlink" Target="#'4&#31456;_&#12463;&#12525;&#12473;&#38598;&#35336;'!B348" TargetMode="External" Id="rId106"/><Relationship Type="http://schemas.openxmlformats.org/officeDocument/2006/relationships/hyperlink" Target="#'5&#31456;_&#38556;&#12364;&#12356;&#20816;'!B2" TargetMode="External" Id="rId107"/><Relationship Type="http://schemas.openxmlformats.org/officeDocument/2006/relationships/hyperlink" Target="#'5&#31456;_&#38556;&#12364;&#12356;&#20816;'!B15" TargetMode="External" Id="rId108"/><Relationship Type="http://schemas.openxmlformats.org/officeDocument/2006/relationships/hyperlink" Target="#'5&#31456;_&#38556;&#12364;&#12356;&#20816;'!B36" TargetMode="External" Id="rId109"/><Relationship Type="http://schemas.openxmlformats.org/officeDocument/2006/relationships/hyperlink" Target="#'5&#31456;_&#38556;&#12364;&#12356;&#20816;'!B50" TargetMode="External" Id="rId110"/><Relationship Type="http://schemas.openxmlformats.org/officeDocument/2006/relationships/hyperlink" Target="#'5&#31456;_&#38556;&#12364;&#12356;&#20816;'!B63" TargetMode="External" Id="rId111"/><Relationship Type="http://schemas.openxmlformats.org/officeDocument/2006/relationships/hyperlink" Target="#'5&#31456;_&#38556;&#12364;&#12356;&#20816;'!B76" TargetMode="External" Id="rId112"/><Relationship Type="http://schemas.openxmlformats.org/officeDocument/2006/relationships/hyperlink" Target="#'5&#31456;_&#38556;&#12364;&#12356;&#20816;'!B91" TargetMode="External" Id="rId113"/><Relationship Type="http://schemas.openxmlformats.org/officeDocument/2006/relationships/hyperlink" Target="#'5&#31456;_&#38556;&#12364;&#12356;&#20816;'!B103" TargetMode="External" Id="rId114"/><Relationship Type="http://schemas.openxmlformats.org/officeDocument/2006/relationships/hyperlink" Target="#'5&#31456;_&#38556;&#12364;&#12356;&#20816;'!B118" TargetMode="External" Id="rId115"/><Relationship Type="http://schemas.openxmlformats.org/officeDocument/2006/relationships/hyperlink" Target="#'5&#31456;_&#38556;&#12364;&#12356;&#20816;'!B131" TargetMode="External" Id="rId116"/><Relationship Type="http://schemas.openxmlformats.org/officeDocument/2006/relationships/hyperlink" Target="#'5&#31456;_&#38556;&#12364;&#12356;&#20816;'!B147" TargetMode="External" Id="rId117"/><Relationship Type="http://schemas.openxmlformats.org/officeDocument/2006/relationships/hyperlink" Target="#'5&#31456;_&#38556;&#12364;&#12356;&#20816;'!B177" TargetMode="External" Id="rId118"/><Relationship Type="http://schemas.openxmlformats.org/officeDocument/2006/relationships/hyperlink" Target="#'5&#31456;_&#38556;&#12364;&#12356;&#20816;'!B195" TargetMode="External" Id="rId119"/><Relationship Type="http://schemas.openxmlformats.org/officeDocument/2006/relationships/hyperlink" Target="#'5&#31456;_&#38556;&#12364;&#12356;&#20816;'!B209" TargetMode="External" Id="rId120"/><Relationship Type="http://schemas.openxmlformats.org/officeDocument/2006/relationships/hyperlink" Target="#'5&#31456;_&#38556;&#12364;&#12356;&#20816;'!B217" TargetMode="External" Id="rId121"/><Relationship Type="http://schemas.openxmlformats.org/officeDocument/2006/relationships/hyperlink" Target="#'5&#31456;_&#38556;&#12364;&#12356;&#20816;'!B231" TargetMode="External" Id="rId122"/><Relationship Type="http://schemas.openxmlformats.org/officeDocument/2006/relationships/hyperlink" Target="#'5&#31456;_&#38556;&#12364;&#12356;&#20816;'!B244" TargetMode="External" Id="rId123"/><Relationship Type="http://schemas.openxmlformats.org/officeDocument/2006/relationships/hyperlink" Target="#'5&#31456;_&#38556;&#12364;&#12356;&#20816;'!B261" TargetMode="External" Id="rId124"/><Relationship Type="http://schemas.openxmlformats.org/officeDocument/2006/relationships/hyperlink" Target="#'6&#31456;_&#35506;&#38988;'!B2" TargetMode="External" Id="rId125"/><Relationship Type="http://schemas.openxmlformats.org/officeDocument/2006/relationships/hyperlink" Target="#'&#38598;&#35336;_&#38556;&#12364;&#12356;&#32773;'!B4" TargetMode="External" Id="rId126"/><Relationship Type="http://schemas.openxmlformats.org/officeDocument/2006/relationships/hyperlink" Target="#'&#38598;&#35336;_&#38556;&#12364;&#12356;&#20816;'!B4" TargetMode="External" Id="rId127"/></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fitToPage="1"/>
  </sheetPr>
  <dimension ref="B1:E138"/>
  <sheetViews>
    <sheetView showGridLines="0" workbookViewId="0">
      <selection activeCell="A1" sqref="A1"/>
    </sheetView>
  </sheetViews>
  <sheetFormatPr baseColWidth="8" defaultRowHeight="15"/>
  <cols>
    <col width="2" customWidth="1" min="1" max="1"/>
    <col width="12" customWidth="1" min="2" max="2"/>
    <col width="70" customWidth="1" min="3" max="3"/>
    <col width="22" customWidth="1" min="4" max="4"/>
    <col width="10" customWidth="1" min="5" max="5"/>
    <col width="2" customWidth="1" min="6" max="6"/>
  </cols>
  <sheetData>
    <row r="1" ht="26" customHeight="1">
      <c r="B1" s="1" t="inlineStr">
        <is>
          <t>北塩原村　障がい福祉に関するアンケート調査　分析報告書　図表データ集（編集用）</t>
        </is>
      </c>
    </row>
    <row r="3" ht="31" customHeight="1">
      <c r="B3" s="2" t="inlineStr">
        <is>
          <t>・このブックは、分析報告書に掲載した図表（図61点・表23点）を、Excelで編集できる形式で収録したものです。図表番号は報告書と対応しています。</t>
        </is>
      </c>
    </row>
    <row r="4" ht="31" customHeight="1">
      <c r="B4" s="2" t="inlineStr">
        <is>
          <t>・グラフはすべてExcelのグラフ機能で作成しています。色・フォント・ラベル・サイズ等を通常どおり編集でき、そのままWordに貼り付けて使用できます。</t>
        </is>
      </c>
    </row>
    <row r="5" ht="31" customHeight="1">
      <c r="B5" s="2" t="inlineStr">
        <is>
          <t>・斜体のセルが入力値（件数・回答者数）、斜体でないセルは計算式です。「集計_障がい者」「集計_障がい児」シートの件数を修正すると、各章シートの表とグラフに自動で反映されます。</t>
        </is>
      </c>
    </row>
    <row r="6" ht="17.5" customHeight="1">
      <c r="B6" s="2" t="inlineStr">
        <is>
          <t>・第4章のクロス集計は、各表の【件数】欄（斜体）が入力値で、【割合】欄は計算式です。</t>
        </is>
      </c>
    </row>
    <row r="7" ht="31" customHeight="1">
      <c r="B7" s="2" t="inlineStr">
        <is>
          <t>・第3章の【障がい別】の図表は、「集計_障がい別」シート（手帳の所持により身体・知的・精神に区分、重複所持は各区分に計上）の件数（斜体）を参照しています。</t>
        </is>
      </c>
    </row>
    <row r="8" ht="31" customHeight="1">
      <c r="B8" s="2" t="inlineStr">
        <is>
          <t>・割合は、各設問の回答者数（無回答を含む）を基数として算出し、表示上、小数点第2位を四捨五入しています。全ての設問に「無回答」を設けています。グラフの項目の並び順は、報告書作成時点の件数順で固定しています。</t>
        </is>
      </c>
    </row>
    <row r="9" ht="31" customHeight="1">
      <c r="B9" s="2" t="inlineStr">
        <is>
          <t>・出典：北塩原村_障がい福祉アンケート_単純集計_クロス分析.xlsx、北塩原村_障がい児福祉アンケート_単純集計_クロス分析.xlsx（いずれも単純集計・クロス分析シート）</t>
        </is>
      </c>
    </row>
    <row r="11">
      <c r="B11" s="3" t="inlineStr">
        <is>
          <t>図表番号</t>
        </is>
      </c>
      <c r="C11" s="3" t="inlineStr">
        <is>
          <t>タイトル</t>
        </is>
      </c>
      <c r="D11" s="3" t="inlineStr">
        <is>
          <t>収録シート</t>
        </is>
      </c>
      <c r="E11" s="3" t="inlineStr">
        <is>
          <t>移動</t>
        </is>
      </c>
    </row>
    <row r="12" ht="17" customHeight="1">
      <c r="B12" s="4" t="inlineStr">
        <is>
          <t>表1-1</t>
        </is>
      </c>
      <c r="C12" s="5" t="inlineStr">
        <is>
          <t>調査の概要</t>
        </is>
      </c>
      <c r="D12" s="4" t="inlineStr">
        <is>
          <t>1-2章_概要・要点</t>
        </is>
      </c>
      <c r="E12" s="6" t="inlineStr">
        <is>
          <t>→ 表示</t>
        </is>
      </c>
    </row>
    <row r="13" ht="17" customHeight="1">
      <c r="B13" s="4" t="inlineStr">
        <is>
          <t>表1-2</t>
        </is>
      </c>
      <c r="C13" s="5" t="inlineStr">
        <is>
          <t>調査項目の構成</t>
        </is>
      </c>
      <c r="D13" s="4" t="inlineStr">
        <is>
          <t>1-2章_概要・要点</t>
        </is>
      </c>
      <c r="E13" s="6" t="inlineStr">
        <is>
          <t>→ 表示</t>
        </is>
      </c>
    </row>
    <row r="14" ht="17" customHeight="1">
      <c r="B14" s="4" t="inlineStr">
        <is>
          <t>表2-1</t>
        </is>
      </c>
      <c r="C14" s="5" t="inlineStr">
        <is>
          <t>障がい者調査の主要指標</t>
        </is>
      </c>
      <c r="D14" s="4" t="inlineStr">
        <is>
          <t>1-2章_概要・要点</t>
        </is>
      </c>
      <c r="E14" s="6" t="inlineStr">
        <is>
          <t>→ 表示</t>
        </is>
      </c>
    </row>
    <row r="15" ht="17" customHeight="1">
      <c r="B15" s="4" t="inlineStr">
        <is>
          <t>図3-1</t>
        </is>
      </c>
      <c r="C15" s="5" t="inlineStr">
        <is>
          <t>調査票の記入者（問1）</t>
        </is>
      </c>
      <c r="D15" s="4" t="inlineStr">
        <is>
          <t>3章_1属性</t>
        </is>
      </c>
      <c r="E15" s="6" t="inlineStr">
        <is>
          <t>→ 表示</t>
        </is>
      </c>
    </row>
    <row r="16" ht="17" customHeight="1">
      <c r="B16" s="4" t="inlineStr">
        <is>
          <t>図3-2</t>
        </is>
      </c>
      <c r="C16" s="5" t="inlineStr">
        <is>
          <t>回答への本人意向の反映（問1-2）</t>
        </is>
      </c>
      <c r="D16" s="4" t="inlineStr">
        <is>
          <t>3章_1属性</t>
        </is>
      </c>
      <c r="E16" s="6" t="inlineStr">
        <is>
          <t>→ 表示</t>
        </is>
      </c>
    </row>
    <row r="17" ht="17" customHeight="1">
      <c r="B17" s="4" t="inlineStr">
        <is>
          <t>図3-3</t>
        </is>
      </c>
      <c r="C17" s="5" t="inlineStr">
        <is>
          <t>年齢（問2）</t>
        </is>
      </c>
      <c r="D17" s="4" t="inlineStr">
        <is>
          <t>3章_1属性</t>
        </is>
      </c>
      <c r="E17" s="6" t="inlineStr">
        <is>
          <t>→ 表示</t>
        </is>
      </c>
    </row>
    <row r="18" ht="17" customHeight="1">
      <c r="B18" s="4" t="inlineStr">
        <is>
          <t>図3-4</t>
        </is>
      </c>
      <c r="C18" s="5" t="inlineStr">
        <is>
          <t>年齢【障がい別】（問2）</t>
        </is>
      </c>
      <c r="D18" s="4" t="inlineStr">
        <is>
          <t>3章_1属性</t>
        </is>
      </c>
      <c r="E18" s="6" t="inlineStr">
        <is>
          <t>→ 表示</t>
        </is>
      </c>
    </row>
    <row r="19" ht="17" customHeight="1">
      <c r="B19" s="4" t="inlineStr">
        <is>
          <t>図3-5</t>
        </is>
      </c>
      <c r="C19" s="5" t="inlineStr">
        <is>
          <t>お住まいの地区（問3）</t>
        </is>
      </c>
      <c r="D19" s="4" t="inlineStr">
        <is>
          <t>3章_1属性</t>
        </is>
      </c>
      <c r="E19" s="6" t="inlineStr">
        <is>
          <t>→ 表示</t>
        </is>
      </c>
    </row>
    <row r="20" ht="17" customHeight="1">
      <c r="B20" s="4" t="inlineStr">
        <is>
          <t>図3-6</t>
        </is>
      </c>
      <c r="C20" s="5" t="inlineStr">
        <is>
          <t>性別（問4）</t>
        </is>
      </c>
      <c r="D20" s="4" t="inlineStr">
        <is>
          <t>3章_1属性</t>
        </is>
      </c>
      <c r="E20" s="6" t="inlineStr">
        <is>
          <t>→ 表示</t>
        </is>
      </c>
    </row>
    <row r="21" ht="17" customHeight="1">
      <c r="B21" s="4" t="inlineStr">
        <is>
          <t>図3-7</t>
        </is>
      </c>
      <c r="C21" s="5" t="inlineStr">
        <is>
          <t>性別【障がい別】（問4）</t>
        </is>
      </c>
      <c r="D21" s="4" t="inlineStr">
        <is>
          <t>3章_1属性</t>
        </is>
      </c>
      <c r="E21" s="6" t="inlineStr">
        <is>
          <t>→ 表示</t>
        </is>
      </c>
    </row>
    <row r="22" ht="17" customHeight="1">
      <c r="B22" s="4" t="inlineStr">
        <is>
          <t>図3-8</t>
        </is>
      </c>
      <c r="C22" s="5" t="inlineStr">
        <is>
          <t>所持している手帳等（問5）</t>
        </is>
      </c>
      <c r="D22" s="4" t="inlineStr">
        <is>
          <t>3章_1属性</t>
        </is>
      </c>
      <c r="E22" s="6" t="inlineStr">
        <is>
          <t>→ 表示</t>
        </is>
      </c>
    </row>
    <row r="23" ht="17" customHeight="1">
      <c r="B23" s="4" t="inlineStr">
        <is>
          <t>図3-9</t>
        </is>
      </c>
      <c r="C23" s="5" t="inlineStr">
        <is>
          <t>主たる障がい種別（問6）</t>
        </is>
      </c>
      <c r="D23" s="4" t="inlineStr">
        <is>
          <t>3章_1属性</t>
        </is>
      </c>
      <c r="E23" s="6" t="inlineStr">
        <is>
          <t>→ 表示</t>
        </is>
      </c>
    </row>
    <row r="24" ht="17" customHeight="1">
      <c r="B24" s="4" t="inlineStr">
        <is>
          <t>図3-10</t>
        </is>
      </c>
      <c r="C24" s="5" t="inlineStr">
        <is>
          <t>現在の暮らしの場（問7）</t>
        </is>
      </c>
      <c r="D24" s="4" t="inlineStr">
        <is>
          <t>3章_1属性</t>
        </is>
      </c>
      <c r="E24" s="6" t="inlineStr">
        <is>
          <t>→ 表示</t>
        </is>
      </c>
    </row>
    <row r="25" ht="17" customHeight="1">
      <c r="B25" s="4" t="inlineStr">
        <is>
          <t>図3-11</t>
        </is>
      </c>
      <c r="C25" s="5" t="inlineStr">
        <is>
          <t>現在の暮らしの場【障がい別】（問7）</t>
        </is>
      </c>
      <c r="D25" s="4" t="inlineStr">
        <is>
          <t>3章_1属性</t>
        </is>
      </c>
      <c r="E25" s="6" t="inlineStr">
        <is>
          <t>→ 表示</t>
        </is>
      </c>
    </row>
    <row r="26" ht="17" customHeight="1">
      <c r="B26" s="4" t="inlineStr">
        <is>
          <t>図3-12</t>
        </is>
      </c>
      <c r="C26" s="5" t="inlineStr">
        <is>
          <t>現在一緒に暮らしている方（問8）</t>
        </is>
      </c>
      <c r="D26" s="4" t="inlineStr">
        <is>
          <t>3章_1属性</t>
        </is>
      </c>
      <c r="E26" s="6" t="inlineStr">
        <is>
          <t>→ 表示</t>
        </is>
      </c>
    </row>
    <row r="27" ht="17" customHeight="1">
      <c r="B27" s="4" t="inlineStr">
        <is>
          <t>図3-13</t>
        </is>
      </c>
      <c r="C27" s="5" t="inlineStr">
        <is>
          <t>現在一緒に暮らしている方【障がい別】（問8）</t>
        </is>
      </c>
      <c r="D27" s="4" t="inlineStr">
        <is>
          <t>3章_1属性</t>
        </is>
      </c>
      <c r="E27" s="6" t="inlineStr">
        <is>
          <t>→ 表示</t>
        </is>
      </c>
    </row>
    <row r="28" ht="17" customHeight="1">
      <c r="B28" s="4" t="inlineStr">
        <is>
          <t>図3-14</t>
        </is>
      </c>
      <c r="C28" s="5" t="inlineStr">
        <is>
          <t>日常生活の主な支援者（問9）</t>
        </is>
      </c>
      <c r="D28" s="4" t="inlineStr">
        <is>
          <t>3章_1属性</t>
        </is>
      </c>
      <c r="E28" s="6" t="inlineStr">
        <is>
          <t>→ 表示</t>
        </is>
      </c>
    </row>
    <row r="29" ht="17" customHeight="1">
      <c r="B29" s="4" t="inlineStr">
        <is>
          <t>図3-15</t>
        </is>
      </c>
      <c r="C29" s="5" t="inlineStr">
        <is>
          <t>日常生活の主な支援者【障がい別】（問9）</t>
        </is>
      </c>
      <c r="D29" s="4" t="inlineStr">
        <is>
          <t>3章_1属性</t>
        </is>
      </c>
      <c r="E29" s="6" t="inlineStr">
        <is>
          <t>→ 表示</t>
        </is>
      </c>
    </row>
    <row r="30" ht="17" customHeight="1">
      <c r="B30" s="4" t="inlineStr">
        <is>
          <t>図3-16</t>
        </is>
      </c>
      <c r="C30" s="5" t="inlineStr">
        <is>
          <t>日常生活で困っていること（問10）</t>
        </is>
      </c>
      <c r="D30" s="4" t="inlineStr">
        <is>
          <t>3章_2生活・外出</t>
        </is>
      </c>
      <c r="E30" s="6" t="inlineStr">
        <is>
          <t>→ 表示</t>
        </is>
      </c>
    </row>
    <row r="31" ht="17" customHeight="1">
      <c r="B31" s="4" t="inlineStr">
        <is>
          <t>図3-17</t>
        </is>
      </c>
      <c r="C31" s="5" t="inlineStr">
        <is>
          <t>日常生活で困っていること【障がい別】（問10）</t>
        </is>
      </c>
      <c r="D31" s="4" t="inlineStr">
        <is>
          <t>3章_2生活・外出</t>
        </is>
      </c>
      <c r="E31" s="6" t="inlineStr">
        <is>
          <t>→ 表示</t>
        </is>
      </c>
    </row>
    <row r="32" ht="17" customHeight="1">
      <c r="B32" s="4" t="inlineStr">
        <is>
          <t>図3-18</t>
        </is>
      </c>
      <c r="C32" s="5" t="inlineStr">
        <is>
          <t>将来希望する暮らし方（問11）</t>
        </is>
      </c>
      <c r="D32" s="4" t="inlineStr">
        <is>
          <t>3章_2生活・外出</t>
        </is>
      </c>
      <c r="E32" s="6" t="inlineStr">
        <is>
          <t>→ 表示</t>
        </is>
      </c>
    </row>
    <row r="33" ht="17" customHeight="1">
      <c r="B33" s="4" t="inlineStr">
        <is>
          <t>図3-19</t>
        </is>
      </c>
      <c r="C33" s="5" t="inlineStr">
        <is>
          <t>将来希望する暮らし方【障がい別】（問11）</t>
        </is>
      </c>
      <c r="D33" s="4" t="inlineStr">
        <is>
          <t>3章_2生活・外出</t>
        </is>
      </c>
      <c r="E33" s="6" t="inlineStr">
        <is>
          <t>→ 表示</t>
        </is>
      </c>
    </row>
    <row r="34" ht="17" customHeight="1">
      <c r="B34" s="4" t="inlineStr">
        <is>
          <t>図3-20</t>
        </is>
      </c>
      <c r="C34" s="5" t="inlineStr">
        <is>
          <t>外出の頻度（問12）</t>
        </is>
      </c>
      <c r="D34" s="4" t="inlineStr">
        <is>
          <t>3章_2生活・外出</t>
        </is>
      </c>
      <c r="E34" s="6" t="inlineStr">
        <is>
          <t>→ 表示</t>
        </is>
      </c>
    </row>
    <row r="35" ht="17" customHeight="1">
      <c r="B35" s="4" t="inlineStr">
        <is>
          <t>図3-21</t>
        </is>
      </c>
      <c r="C35" s="5" t="inlineStr">
        <is>
          <t>外出の頻度【障がい別】（問12）</t>
        </is>
      </c>
      <c r="D35" s="4" t="inlineStr">
        <is>
          <t>3章_2生活・外出</t>
        </is>
      </c>
      <c r="E35" s="6" t="inlineStr">
        <is>
          <t>→ 表示</t>
        </is>
      </c>
    </row>
    <row r="36" ht="17" customHeight="1">
      <c r="B36" s="4" t="inlineStr">
        <is>
          <t>図3-22</t>
        </is>
      </c>
      <c r="C36" s="5" t="inlineStr">
        <is>
          <t>外出時の主な移動手段（問13）</t>
        </is>
      </c>
      <c r="D36" s="4" t="inlineStr">
        <is>
          <t>3章_2生活・外出</t>
        </is>
      </c>
      <c r="E36" s="6" t="inlineStr">
        <is>
          <t>→ 表示</t>
        </is>
      </c>
    </row>
    <row r="37" ht="17" customHeight="1">
      <c r="B37" s="4" t="inlineStr">
        <is>
          <t>図3-23</t>
        </is>
      </c>
      <c r="C37" s="5" t="inlineStr">
        <is>
          <t>外出時の主な移動手段【障がい別】（問13）</t>
        </is>
      </c>
      <c r="D37" s="4" t="inlineStr">
        <is>
          <t>3章_2生活・外出</t>
        </is>
      </c>
      <c r="E37" s="6" t="inlineStr">
        <is>
          <t>→ 表示</t>
        </is>
      </c>
    </row>
    <row r="38" ht="17" customHeight="1">
      <c r="B38" s="4" t="inlineStr">
        <is>
          <t>図3-24</t>
        </is>
      </c>
      <c r="C38" s="5" t="inlineStr">
        <is>
          <t>外出するときに困ること（問14）</t>
        </is>
      </c>
      <c r="D38" s="4" t="inlineStr">
        <is>
          <t>3章_2生活・外出</t>
        </is>
      </c>
      <c r="E38" s="6" t="inlineStr">
        <is>
          <t>→ 表示</t>
        </is>
      </c>
    </row>
    <row r="39" ht="17" customHeight="1">
      <c r="B39" s="4" t="inlineStr">
        <is>
          <t>図3-25</t>
        </is>
      </c>
      <c r="C39" s="5" t="inlineStr">
        <is>
          <t>外出するときに困ること【障がい別】（問14）</t>
        </is>
      </c>
      <c r="D39" s="4" t="inlineStr">
        <is>
          <t>3章_2生活・外出</t>
        </is>
      </c>
      <c r="E39" s="6" t="inlineStr">
        <is>
          <t>→ 表示</t>
        </is>
      </c>
    </row>
    <row r="40" ht="17" customHeight="1">
      <c r="B40" s="4" t="inlineStr">
        <is>
          <t>図3-26</t>
        </is>
      </c>
      <c r="C40" s="5" t="inlineStr">
        <is>
          <t>定期的な通院（問15）</t>
        </is>
      </c>
      <c r="D40" s="4" t="inlineStr">
        <is>
          <t>3章_3医療</t>
        </is>
      </c>
      <c r="E40" s="6" t="inlineStr">
        <is>
          <t>→ 表示</t>
        </is>
      </c>
    </row>
    <row r="41" ht="17" customHeight="1">
      <c r="B41" s="4" t="inlineStr">
        <is>
          <t>図3-27</t>
        </is>
      </c>
      <c r="C41" s="5" t="inlineStr">
        <is>
          <t>定期的な通院【障がい別】（問15）</t>
        </is>
      </c>
      <c r="D41" s="4" t="inlineStr">
        <is>
          <t>3章_3医療</t>
        </is>
      </c>
      <c r="E41" s="6" t="inlineStr">
        <is>
          <t>→ 表示</t>
        </is>
      </c>
    </row>
    <row r="42" ht="17" customHeight="1">
      <c r="B42" s="4" t="inlineStr">
        <is>
          <t>図3-28</t>
        </is>
      </c>
      <c r="C42" s="5" t="inlineStr">
        <is>
          <t>通院や医療で困っていること（問16）</t>
        </is>
      </c>
      <c r="D42" s="4" t="inlineStr">
        <is>
          <t>3章_3医療</t>
        </is>
      </c>
      <c r="E42" s="6" t="inlineStr">
        <is>
          <t>→ 表示</t>
        </is>
      </c>
    </row>
    <row r="43" ht="17" customHeight="1">
      <c r="B43" s="4" t="inlineStr">
        <is>
          <t>図3-29</t>
        </is>
      </c>
      <c r="C43" s="5" t="inlineStr">
        <is>
          <t>通院や医療で困っていること【障がい別】（問16）</t>
        </is>
      </c>
      <c r="D43" s="4" t="inlineStr">
        <is>
          <t>3章_3医療</t>
        </is>
      </c>
      <c r="E43" s="6" t="inlineStr">
        <is>
          <t>→ 表示</t>
        </is>
      </c>
    </row>
    <row r="44" ht="17" customHeight="1">
      <c r="B44" s="4" t="inlineStr">
        <is>
          <t>図3-30</t>
        </is>
      </c>
      <c r="C44" s="5" t="inlineStr">
        <is>
          <t>医療的ケアの必要性（問17）</t>
        </is>
      </c>
      <c r="D44" s="4" t="inlineStr">
        <is>
          <t>3章_3医療</t>
        </is>
      </c>
      <c r="E44" s="6" t="inlineStr">
        <is>
          <t>→ 表示</t>
        </is>
      </c>
    </row>
    <row r="45" ht="17" customHeight="1">
      <c r="B45" s="4" t="inlineStr">
        <is>
          <t>図3-31</t>
        </is>
      </c>
      <c r="C45" s="5" t="inlineStr">
        <is>
          <t>医療的ケアの必要性【障がい別】（問17）</t>
        </is>
      </c>
      <c r="D45" s="4" t="inlineStr">
        <is>
          <t>3章_3医療</t>
        </is>
      </c>
      <c r="E45" s="6" t="inlineStr">
        <is>
          <t>→ 表示</t>
        </is>
      </c>
    </row>
    <row r="46" ht="17" customHeight="1">
      <c r="B46" s="4" t="inlineStr">
        <is>
          <t>図3-32</t>
        </is>
      </c>
      <c r="C46" s="5" t="inlineStr">
        <is>
          <t>医療的ケアや重い障がいに関して必要な支援（問18）</t>
        </is>
      </c>
      <c r="D46" s="4" t="inlineStr">
        <is>
          <t>3章_3医療</t>
        </is>
      </c>
      <c r="E46" s="6" t="inlineStr">
        <is>
          <t>→ 表示</t>
        </is>
      </c>
    </row>
    <row r="47" ht="17" customHeight="1">
      <c r="B47" s="4" t="inlineStr">
        <is>
          <t>図3-33</t>
        </is>
      </c>
      <c r="C47" s="5" t="inlineStr">
        <is>
          <t>医療的ケアや重い障がいに関して必要な支援【障がい別】（問18）</t>
        </is>
      </c>
      <c r="D47" s="4" t="inlineStr">
        <is>
          <t>3章_3医療</t>
        </is>
      </c>
      <c r="E47" s="6" t="inlineStr">
        <is>
          <t>→ 表示</t>
        </is>
      </c>
    </row>
    <row r="48" ht="17" customHeight="1">
      <c r="B48" s="4" t="inlineStr">
        <is>
          <t>図3-34</t>
        </is>
      </c>
      <c r="C48" s="5" t="inlineStr">
        <is>
          <t>強度行動障がい支援に関して必要な支援（問19）</t>
        </is>
      </c>
      <c r="D48" s="4" t="inlineStr">
        <is>
          <t>3章_3医療</t>
        </is>
      </c>
      <c r="E48" s="6" t="inlineStr">
        <is>
          <t>→ 表示</t>
        </is>
      </c>
    </row>
    <row r="49" ht="17" customHeight="1">
      <c r="B49" s="4" t="inlineStr">
        <is>
          <t>図3-35</t>
        </is>
      </c>
      <c r="C49" s="5" t="inlineStr">
        <is>
          <t>強度行動障がい支援に関して必要な支援【障がい別】（問19）</t>
        </is>
      </c>
      <c r="D49" s="4" t="inlineStr">
        <is>
          <t>3章_3医療</t>
        </is>
      </c>
      <c r="E49" s="6" t="inlineStr">
        <is>
          <t>→ 表示</t>
        </is>
      </c>
    </row>
    <row r="50" ht="17" customHeight="1">
      <c r="B50" s="4" t="inlineStr">
        <is>
          <t>図3-36</t>
        </is>
      </c>
      <c r="C50" s="5" t="inlineStr">
        <is>
          <t>高次脳機能障がい支援に関して必要な支援（問20）</t>
        </is>
      </c>
      <c r="D50" s="4" t="inlineStr">
        <is>
          <t>3章_3医療</t>
        </is>
      </c>
      <c r="E50" s="6" t="inlineStr">
        <is>
          <t>→ 表示</t>
        </is>
      </c>
    </row>
    <row r="51" ht="17" customHeight="1">
      <c r="B51" s="4" t="inlineStr">
        <is>
          <t>図3-37</t>
        </is>
      </c>
      <c r="C51" s="5" t="inlineStr">
        <is>
          <t>高次脳機能障がい支援に関して必要な支援【障がい別】（問20）</t>
        </is>
      </c>
      <c r="D51" s="4" t="inlineStr">
        <is>
          <t>3章_3医療</t>
        </is>
      </c>
      <c r="E51" s="6" t="inlineStr">
        <is>
          <t>→ 表示</t>
        </is>
      </c>
    </row>
    <row r="52" ht="17" customHeight="1">
      <c r="B52" s="4" t="inlineStr">
        <is>
          <t>図3-38</t>
        </is>
      </c>
      <c r="C52" s="5" t="inlineStr">
        <is>
          <t>意思決定支援の必要性（問21）</t>
        </is>
      </c>
      <c r="D52" s="4" t="inlineStr">
        <is>
          <t>3章_4相談・情報</t>
        </is>
      </c>
      <c r="E52" s="6" t="inlineStr">
        <is>
          <t>→ 表示</t>
        </is>
      </c>
    </row>
    <row r="53" ht="17" customHeight="1">
      <c r="B53" s="4" t="inlineStr">
        <is>
          <t>図3-39</t>
        </is>
      </c>
      <c r="C53" s="5" t="inlineStr">
        <is>
          <t>意思決定支援の必要性【障がい別】（問21）</t>
        </is>
      </c>
      <c r="D53" s="4" t="inlineStr">
        <is>
          <t>3章_4相談・情報</t>
        </is>
      </c>
      <c r="E53" s="6" t="inlineStr">
        <is>
          <t>→ 表示</t>
        </is>
      </c>
    </row>
    <row r="54" ht="17" customHeight="1">
      <c r="B54" s="4" t="inlineStr">
        <is>
          <t>図3-40</t>
        </is>
      </c>
      <c r="C54" s="5" t="inlineStr">
        <is>
          <t>困ったときの相談相手・場所（問22）</t>
        </is>
      </c>
      <c r="D54" s="4" t="inlineStr">
        <is>
          <t>3章_4相談・情報</t>
        </is>
      </c>
      <c r="E54" s="6" t="inlineStr">
        <is>
          <t>→ 表示</t>
        </is>
      </c>
    </row>
    <row r="55" ht="17" customHeight="1">
      <c r="B55" s="4" t="inlineStr">
        <is>
          <t>図3-41</t>
        </is>
      </c>
      <c r="C55" s="5" t="inlineStr">
        <is>
          <t>困ったときの相談相手・場所【障がい別】（問22）</t>
        </is>
      </c>
      <c r="D55" s="4" t="inlineStr">
        <is>
          <t>3章_4相談・情報</t>
        </is>
      </c>
      <c r="E55" s="6" t="inlineStr">
        <is>
          <t>→ 表示</t>
        </is>
      </c>
    </row>
    <row r="56" ht="17" customHeight="1">
      <c r="B56" s="4" t="inlineStr">
        <is>
          <t>図3-42</t>
        </is>
      </c>
      <c r="C56" s="5" t="inlineStr">
        <is>
          <t>相談しにくい・相談できない理由（問23）</t>
        </is>
      </c>
      <c r="D56" s="4" t="inlineStr">
        <is>
          <t>3章_4相談・情報</t>
        </is>
      </c>
      <c r="E56" s="6" t="inlineStr">
        <is>
          <t>→ 表示</t>
        </is>
      </c>
    </row>
    <row r="57" ht="17" customHeight="1">
      <c r="B57" s="4" t="inlineStr">
        <is>
          <t>図3-43</t>
        </is>
      </c>
      <c r="C57" s="5" t="inlineStr">
        <is>
          <t>相談しにくい・相談できない理由【障がい別】（問23）</t>
        </is>
      </c>
      <c r="D57" s="4" t="inlineStr">
        <is>
          <t>3章_4相談・情報</t>
        </is>
      </c>
      <c r="E57" s="6" t="inlineStr">
        <is>
          <t>→ 表示</t>
        </is>
      </c>
    </row>
    <row r="58" ht="17" customHeight="1">
      <c r="B58" s="4" t="inlineStr">
        <is>
          <t>図3-44</t>
        </is>
      </c>
      <c r="C58" s="5" t="inlineStr">
        <is>
          <t>同じ障がいのある人（ピアサポーター）への相談意向（問24）</t>
        </is>
      </c>
      <c r="D58" s="4" t="inlineStr">
        <is>
          <t>3章_4相談・情報</t>
        </is>
      </c>
      <c r="E58" s="6" t="inlineStr">
        <is>
          <t>→ 表示</t>
        </is>
      </c>
    </row>
    <row r="59" ht="17" customHeight="1">
      <c r="B59" s="4" t="inlineStr">
        <is>
          <t>図3-45</t>
        </is>
      </c>
      <c r="C59" s="5" t="inlineStr">
        <is>
          <t>同じ障がいのある人（ピアサポーター）への相談意向【障がい別】（問24）</t>
        </is>
      </c>
      <c r="D59" s="4" t="inlineStr">
        <is>
          <t>3章_4相談・情報</t>
        </is>
      </c>
      <c r="E59" s="6" t="inlineStr">
        <is>
          <t>→ 表示</t>
        </is>
      </c>
    </row>
    <row r="60" ht="17" customHeight="1">
      <c r="B60" s="4" t="inlineStr">
        <is>
          <t>図3-46</t>
        </is>
      </c>
      <c r="C60" s="5" t="inlineStr">
        <is>
          <t>福祉に関する情報の入手先（問25）</t>
        </is>
      </c>
      <c r="D60" s="4" t="inlineStr">
        <is>
          <t>3章_4相談・情報</t>
        </is>
      </c>
      <c r="E60" s="6" t="inlineStr">
        <is>
          <t>→ 表示</t>
        </is>
      </c>
    </row>
    <row r="61" ht="17" customHeight="1">
      <c r="B61" s="4" t="inlineStr">
        <is>
          <t>図3-47</t>
        </is>
      </c>
      <c r="C61" s="5" t="inlineStr">
        <is>
          <t>福祉に関する情報の入手先【障がい別】（問25）</t>
        </is>
      </c>
      <c r="D61" s="4" t="inlineStr">
        <is>
          <t>3章_4相談・情報</t>
        </is>
      </c>
      <c r="E61" s="6" t="inlineStr">
        <is>
          <t>→ 表示</t>
        </is>
      </c>
    </row>
    <row r="62" ht="17" customHeight="1">
      <c r="B62" s="4" t="inlineStr">
        <is>
          <t>図3-48</t>
        </is>
      </c>
      <c r="C62" s="5" t="inlineStr">
        <is>
          <t>相談支援に期待すること（問26）</t>
        </is>
      </c>
      <c r="D62" s="4" t="inlineStr">
        <is>
          <t>3章_4相談・情報</t>
        </is>
      </c>
      <c r="E62" s="6" t="inlineStr">
        <is>
          <t>→ 表示</t>
        </is>
      </c>
    </row>
    <row r="63" ht="17" customHeight="1">
      <c r="B63" s="4" t="inlineStr">
        <is>
          <t>図3-49</t>
        </is>
      </c>
      <c r="C63" s="5" t="inlineStr">
        <is>
          <t>相談支援に期待すること【障がい別】（問26）</t>
        </is>
      </c>
      <c r="D63" s="4" t="inlineStr">
        <is>
          <t>3章_4相談・情報</t>
        </is>
      </c>
      <c r="E63" s="6" t="inlineStr">
        <is>
          <t>→ 表示</t>
        </is>
      </c>
    </row>
    <row r="64" ht="17" customHeight="1">
      <c r="B64" s="4" t="inlineStr">
        <is>
          <t>表3-1</t>
        </is>
      </c>
      <c r="C64" s="5" t="inlineStr">
        <is>
          <t>サービス別の利用状況・認知度・今後の利用意向</t>
        </is>
      </c>
      <c r="D64" s="4" t="inlineStr">
        <is>
          <t>3章_5サービス</t>
        </is>
      </c>
      <c r="E64" s="6" t="inlineStr">
        <is>
          <t>→ 表示</t>
        </is>
      </c>
    </row>
    <row r="65" ht="17" customHeight="1">
      <c r="B65" s="4" t="inlineStr">
        <is>
          <t>図3-50</t>
        </is>
      </c>
      <c r="C65" s="5" t="inlineStr">
        <is>
          <t>現在利用しているサービスと今後3年間で利用したいサービス（問27-1・問27-3）</t>
        </is>
      </c>
      <c r="D65" s="4" t="inlineStr">
        <is>
          <t>3章_5サービス</t>
        </is>
      </c>
      <c r="E65" s="6" t="inlineStr">
        <is>
          <t>→ 表示</t>
        </is>
      </c>
    </row>
    <row r="66" ht="17" customHeight="1">
      <c r="B66" s="4" t="inlineStr">
        <is>
          <t>図3-51</t>
        </is>
      </c>
      <c r="C66" s="5" t="inlineStr">
        <is>
          <t>内容をよく知らないサービス（問27-2）</t>
        </is>
      </c>
      <c r="D66" s="4" t="inlineStr">
        <is>
          <t>3章_5サービス</t>
        </is>
      </c>
      <c r="E66" s="6" t="inlineStr">
        <is>
          <t>→ 表示</t>
        </is>
      </c>
    </row>
    <row r="67" ht="30" customHeight="1">
      <c r="B67" s="4" t="inlineStr">
        <is>
          <t>表3-2</t>
        </is>
      </c>
      <c r="C67" s="5" t="inlineStr">
        <is>
          <t>サービス別の現在の利用状況と今後３年間の利用意向【障がい別】（問27-1・問27-3）</t>
        </is>
      </c>
      <c r="D67" s="4" t="inlineStr">
        <is>
          <t>3章_5サービス</t>
        </is>
      </c>
      <c r="E67" s="6" t="inlineStr">
        <is>
          <t>→ 表示</t>
        </is>
      </c>
    </row>
    <row r="68" ht="17" customHeight="1">
      <c r="B68" s="4" t="inlineStr">
        <is>
          <t>表3-3</t>
        </is>
      </c>
      <c r="C68" s="5" t="inlineStr">
        <is>
          <t>内容をよく知らないサービス【障がい別】（問27-2）</t>
        </is>
      </c>
      <c r="D68" s="4" t="inlineStr">
        <is>
          <t>3章_5サービス</t>
        </is>
      </c>
      <c r="E68" s="6" t="inlineStr">
        <is>
          <t>→ 表示</t>
        </is>
      </c>
    </row>
    <row r="69" ht="17" customHeight="1">
      <c r="B69" s="4" t="inlineStr">
        <is>
          <t>図3-52</t>
        </is>
      </c>
      <c r="C69" s="5" t="inlineStr">
        <is>
          <t>サービスを利用したいが利用できない理由（問28）</t>
        </is>
      </c>
      <c r="D69" s="4" t="inlineStr">
        <is>
          <t>3章_5サービス</t>
        </is>
      </c>
      <c r="E69" s="6" t="inlineStr">
        <is>
          <t>→ 表示</t>
        </is>
      </c>
    </row>
    <row r="70" ht="17" customHeight="1">
      <c r="B70" s="4" t="inlineStr">
        <is>
          <t>図3-53</t>
        </is>
      </c>
      <c r="C70" s="5" t="inlineStr">
        <is>
          <t>サービスを利用したいが利用できない理由【障がい別】（問28）</t>
        </is>
      </c>
      <c r="D70" s="4" t="inlineStr">
        <is>
          <t>3章_5サービス</t>
        </is>
      </c>
      <c r="E70" s="6" t="inlineStr">
        <is>
          <t>→ 表示</t>
        </is>
      </c>
    </row>
    <row r="71" ht="17" customHeight="1">
      <c r="B71" s="4" t="inlineStr">
        <is>
          <t>図3-54</t>
        </is>
      </c>
      <c r="C71" s="5" t="inlineStr">
        <is>
          <t>地域生活支援拠点等に期待する機能（問29）</t>
        </is>
      </c>
      <c r="D71" s="4" t="inlineStr">
        <is>
          <t>3章_5サービス</t>
        </is>
      </c>
      <c r="E71" s="6" t="inlineStr">
        <is>
          <t>→ 表示</t>
        </is>
      </c>
    </row>
    <row r="72" ht="17" customHeight="1">
      <c r="B72" s="4" t="inlineStr">
        <is>
          <t>図3-55</t>
        </is>
      </c>
      <c r="C72" s="5" t="inlineStr">
        <is>
          <t>地域生活支援拠点等に期待する機能【障がい別】（問29）</t>
        </is>
      </c>
      <c r="D72" s="4" t="inlineStr">
        <is>
          <t>3章_5サービス</t>
        </is>
      </c>
      <c r="E72" s="6" t="inlineStr">
        <is>
          <t>→ 表示</t>
        </is>
      </c>
    </row>
    <row r="73" ht="17" customHeight="1">
      <c r="B73" s="4" t="inlineStr">
        <is>
          <t>図3-56</t>
        </is>
      </c>
      <c r="C73" s="5" t="inlineStr">
        <is>
          <t>福祉サービスの満足度（問30）</t>
        </is>
      </c>
      <c r="D73" s="4" t="inlineStr">
        <is>
          <t>3章_5サービス</t>
        </is>
      </c>
      <c r="E73" s="6" t="inlineStr">
        <is>
          <t>→ 表示</t>
        </is>
      </c>
    </row>
    <row r="74" ht="17" customHeight="1">
      <c r="B74" s="4" t="inlineStr">
        <is>
          <t>図3-57</t>
        </is>
      </c>
      <c r="C74" s="5" t="inlineStr">
        <is>
          <t>福祉サービスの満足度【障がい別】（問30）</t>
        </is>
      </c>
      <c r="D74" s="4" t="inlineStr">
        <is>
          <t>3章_5サービス</t>
        </is>
      </c>
      <c r="E74" s="6" t="inlineStr">
        <is>
          <t>→ 表示</t>
        </is>
      </c>
    </row>
    <row r="75" ht="17" customHeight="1">
      <c r="B75" s="4" t="inlineStr">
        <is>
          <t>図3-58</t>
        </is>
      </c>
      <c r="C75" s="5" t="inlineStr">
        <is>
          <t>現在の日中の過ごし方（問31）</t>
        </is>
      </c>
      <c r="D75" s="4" t="inlineStr">
        <is>
          <t>3章_6日中・権利</t>
        </is>
      </c>
      <c r="E75" s="6" t="inlineStr">
        <is>
          <t>→ 表示</t>
        </is>
      </c>
    </row>
    <row r="76" ht="17" customHeight="1">
      <c r="B76" s="4" t="inlineStr">
        <is>
          <t>図3-59</t>
        </is>
      </c>
      <c r="C76" s="5" t="inlineStr">
        <is>
          <t>現在の日中の過ごし方【障がい別】（問31）</t>
        </is>
      </c>
      <c r="D76" s="4" t="inlineStr">
        <is>
          <t>3章_6日中・権利</t>
        </is>
      </c>
      <c r="E76" s="6" t="inlineStr">
        <is>
          <t>→ 表示</t>
        </is>
      </c>
    </row>
    <row r="77" ht="17" customHeight="1">
      <c r="B77" s="4" t="inlineStr">
        <is>
          <t>図3-60</t>
        </is>
      </c>
      <c r="C77" s="5" t="inlineStr">
        <is>
          <t>今後希望する日中活動・働き方（問32）</t>
        </is>
      </c>
      <c r="D77" s="4" t="inlineStr">
        <is>
          <t>3章_6日中・権利</t>
        </is>
      </c>
      <c r="E77" s="6" t="inlineStr">
        <is>
          <t>→ 表示</t>
        </is>
      </c>
    </row>
    <row r="78" ht="17" customHeight="1">
      <c r="B78" s="4" t="inlineStr">
        <is>
          <t>図3-61</t>
        </is>
      </c>
      <c r="C78" s="5" t="inlineStr">
        <is>
          <t>今後希望する日中活動・働き方【障がい別】（問32）</t>
        </is>
      </c>
      <c r="D78" s="4" t="inlineStr">
        <is>
          <t>3章_6日中・権利</t>
        </is>
      </c>
      <c r="E78" s="6" t="inlineStr">
        <is>
          <t>→ 表示</t>
        </is>
      </c>
    </row>
    <row r="79" ht="17" customHeight="1">
      <c r="B79" s="4" t="inlineStr">
        <is>
          <t>図3-62</t>
        </is>
      </c>
      <c r="C79" s="5" t="inlineStr">
        <is>
          <t>働くため・日中活動を続けるために必要な支援（問33）</t>
        </is>
      </c>
      <c r="D79" s="4" t="inlineStr">
        <is>
          <t>3章_6日中・権利</t>
        </is>
      </c>
      <c r="E79" s="6" t="inlineStr">
        <is>
          <t>→ 表示</t>
        </is>
      </c>
    </row>
    <row r="80" ht="17" customHeight="1">
      <c r="B80" s="4" t="inlineStr">
        <is>
          <t>図3-63</t>
        </is>
      </c>
      <c r="C80" s="5" t="inlineStr">
        <is>
          <t>働くため・日中活動を続けるために必要な支援【障がい別】（問33）</t>
        </is>
      </c>
      <c r="D80" s="4" t="inlineStr">
        <is>
          <t>3章_6日中・権利</t>
        </is>
      </c>
      <c r="E80" s="6" t="inlineStr">
        <is>
          <t>→ 表示</t>
        </is>
      </c>
    </row>
    <row r="81" ht="17" customHeight="1">
      <c r="B81" s="4" t="inlineStr">
        <is>
          <t>図3-64</t>
        </is>
      </c>
      <c r="C81" s="5" t="inlineStr">
        <is>
          <t>差別や偏見、不利益を感じた経験（問34）</t>
        </is>
      </c>
      <c r="D81" s="4" t="inlineStr">
        <is>
          <t>3章_6日中・権利</t>
        </is>
      </c>
      <c r="E81" s="6" t="inlineStr">
        <is>
          <t>→ 表示</t>
        </is>
      </c>
    </row>
    <row r="82" ht="17" customHeight="1">
      <c r="B82" s="4" t="inlineStr">
        <is>
          <t>図3-65</t>
        </is>
      </c>
      <c r="C82" s="5" t="inlineStr">
        <is>
          <t>差別や偏見、不利益を感じた経験【障がい別】（問34）</t>
        </is>
      </c>
      <c r="D82" s="4" t="inlineStr">
        <is>
          <t>3章_6日中・権利</t>
        </is>
      </c>
      <c r="E82" s="6" t="inlineStr">
        <is>
          <t>→ 表示</t>
        </is>
      </c>
    </row>
    <row r="83" ht="17" customHeight="1">
      <c r="B83" s="4" t="inlineStr">
        <is>
          <t>図3-66</t>
        </is>
      </c>
      <c r="C83" s="5" t="inlineStr">
        <is>
          <t>差別や偏見、不利益を感じた場面（問35）</t>
        </is>
      </c>
      <c r="D83" s="4" t="inlineStr">
        <is>
          <t>3章_6日中・権利</t>
        </is>
      </c>
      <c r="E83" s="6" t="inlineStr">
        <is>
          <t>→ 表示</t>
        </is>
      </c>
    </row>
    <row r="84" ht="17" customHeight="1">
      <c r="B84" s="4" t="inlineStr">
        <is>
          <t>図3-67</t>
        </is>
      </c>
      <c r="C84" s="5" t="inlineStr">
        <is>
          <t>差別や偏見、不利益を感じた場面【障がい別】（問35）</t>
        </is>
      </c>
      <c r="D84" s="4" t="inlineStr">
        <is>
          <t>3章_6日中・権利</t>
        </is>
      </c>
      <c r="E84" s="6" t="inlineStr">
        <is>
          <t>→ 表示</t>
        </is>
      </c>
    </row>
    <row r="85" ht="17" customHeight="1">
      <c r="B85" s="4" t="inlineStr">
        <is>
          <t>図3-68</t>
        </is>
      </c>
      <c r="C85" s="5" t="inlineStr">
        <is>
          <t>必要だと思う合理的配慮（問36）</t>
        </is>
      </c>
      <c r="D85" s="4" t="inlineStr">
        <is>
          <t>3章_6日中・権利</t>
        </is>
      </c>
      <c r="E85" s="6" t="inlineStr">
        <is>
          <t>→ 表示</t>
        </is>
      </c>
    </row>
    <row r="86" ht="17" customHeight="1">
      <c r="B86" s="4" t="inlineStr">
        <is>
          <t>図3-69</t>
        </is>
      </c>
      <c r="C86" s="5" t="inlineStr">
        <is>
          <t>必要だと思う合理的配慮【障がい別】（問36）</t>
        </is>
      </c>
      <c r="D86" s="4" t="inlineStr">
        <is>
          <t>3章_6日中・権利</t>
        </is>
      </c>
      <c r="E86" s="6" t="inlineStr">
        <is>
          <t>→ 表示</t>
        </is>
      </c>
    </row>
    <row r="87" ht="17" customHeight="1">
      <c r="B87" s="4" t="inlineStr">
        <is>
          <t>図3-70</t>
        </is>
      </c>
      <c r="C87" s="5" t="inlineStr">
        <is>
          <t>成年後見制度や権利擁護支援の認知（問37）</t>
        </is>
      </c>
      <c r="D87" s="4" t="inlineStr">
        <is>
          <t>3章_6日中・権利</t>
        </is>
      </c>
      <c r="E87" s="6" t="inlineStr">
        <is>
          <t>→ 表示</t>
        </is>
      </c>
    </row>
    <row r="88" ht="17" customHeight="1">
      <c r="B88" s="4" t="inlineStr">
        <is>
          <t>図3-71</t>
        </is>
      </c>
      <c r="C88" s="5" t="inlineStr">
        <is>
          <t>成年後見制度や権利擁護支援の認知【障がい別】（問37）</t>
        </is>
      </c>
      <c r="D88" s="4" t="inlineStr">
        <is>
          <t>3章_6日中・権利</t>
        </is>
      </c>
      <c r="E88" s="6" t="inlineStr">
        <is>
          <t>→ 表示</t>
        </is>
      </c>
    </row>
    <row r="89" ht="17" customHeight="1">
      <c r="B89" s="4" t="inlineStr">
        <is>
          <t>図3-72</t>
        </is>
      </c>
      <c r="C89" s="5" t="inlineStr">
        <is>
          <t>災害時に不安なこと（問38）</t>
        </is>
      </c>
      <c r="D89" s="4" t="inlineStr">
        <is>
          <t>3章_7災害・施策</t>
        </is>
      </c>
      <c r="E89" s="6" t="inlineStr">
        <is>
          <t>→ 表示</t>
        </is>
      </c>
    </row>
    <row r="90" ht="17" customHeight="1">
      <c r="B90" s="4" t="inlineStr">
        <is>
          <t>図3-73</t>
        </is>
      </c>
      <c r="C90" s="5" t="inlineStr">
        <is>
          <t>災害時に不安なこと【障がい別】（問38）</t>
        </is>
      </c>
      <c r="D90" s="4" t="inlineStr">
        <is>
          <t>3章_7災害・施策</t>
        </is>
      </c>
      <c r="E90" s="6" t="inlineStr">
        <is>
          <t>→ 表示</t>
        </is>
      </c>
    </row>
    <row r="91" ht="17" customHeight="1">
      <c r="B91" s="4" t="inlineStr">
        <is>
          <t>図3-74</t>
        </is>
      </c>
      <c r="C91" s="5" t="inlineStr">
        <is>
          <t>避難行動要支援者名簿・個別避難計画の認知（問39）</t>
        </is>
      </c>
      <c r="D91" s="4" t="inlineStr">
        <is>
          <t>3章_7災害・施策</t>
        </is>
      </c>
      <c r="E91" s="6" t="inlineStr">
        <is>
          <t>→ 表示</t>
        </is>
      </c>
    </row>
    <row r="92" ht="17" customHeight="1">
      <c r="B92" s="4" t="inlineStr">
        <is>
          <t>図3-75</t>
        </is>
      </c>
      <c r="C92" s="5" t="inlineStr">
        <is>
          <t>避難行動要支援者名簿・個別避難計画の認知【障がい別】（問39）</t>
        </is>
      </c>
      <c r="D92" s="4" t="inlineStr">
        <is>
          <t>3章_7災害・施策</t>
        </is>
      </c>
      <c r="E92" s="6" t="inlineStr">
        <is>
          <t>→ 表示</t>
        </is>
      </c>
    </row>
    <row r="93" ht="17" customHeight="1">
      <c r="B93" s="4" t="inlineStr">
        <is>
          <t>図3-76</t>
        </is>
      </c>
      <c r="C93" s="5" t="inlineStr">
        <is>
          <t>災害時に支援してくれる人や機関（問40）</t>
        </is>
      </c>
      <c r="D93" s="4" t="inlineStr">
        <is>
          <t>3章_7災害・施策</t>
        </is>
      </c>
      <c r="E93" s="6" t="inlineStr">
        <is>
          <t>→ 表示</t>
        </is>
      </c>
    </row>
    <row r="94" ht="17" customHeight="1">
      <c r="B94" s="4" t="inlineStr">
        <is>
          <t>図3-77</t>
        </is>
      </c>
      <c r="C94" s="5" t="inlineStr">
        <is>
          <t>災害時に支援してくれる人や機関【障がい別】（問40）</t>
        </is>
      </c>
      <c r="D94" s="4" t="inlineStr">
        <is>
          <t>3章_7災害・施策</t>
        </is>
      </c>
      <c r="E94" s="6" t="inlineStr">
        <is>
          <t>→ 表示</t>
        </is>
      </c>
    </row>
    <row r="95" ht="17" customHeight="1">
      <c r="B95" s="4" t="inlineStr">
        <is>
          <t>図3-78</t>
        </is>
      </c>
      <c r="C95" s="5" t="inlineStr">
        <is>
          <t>災害時に必要だと思う支援（問41）</t>
        </is>
      </c>
      <c r="D95" s="4" t="inlineStr">
        <is>
          <t>3章_7災害・施策</t>
        </is>
      </c>
      <c r="E95" s="6" t="inlineStr">
        <is>
          <t>→ 表示</t>
        </is>
      </c>
    </row>
    <row r="96" ht="17" customHeight="1">
      <c r="B96" s="4" t="inlineStr">
        <is>
          <t>図3-79</t>
        </is>
      </c>
      <c r="C96" s="5" t="inlineStr">
        <is>
          <t>災害時に必要だと思う支援【障がい別】（問41）</t>
        </is>
      </c>
      <c r="D96" s="4" t="inlineStr">
        <is>
          <t>3章_7災害・施策</t>
        </is>
      </c>
      <c r="E96" s="6" t="inlineStr">
        <is>
          <t>→ 表示</t>
        </is>
      </c>
    </row>
    <row r="97" ht="17" customHeight="1">
      <c r="B97" s="4" t="inlineStr">
        <is>
          <t>図3-80</t>
        </is>
      </c>
      <c r="C97" s="5" t="inlineStr">
        <is>
          <t>今後参加したい地域活動・社会参加（問42）</t>
        </is>
      </c>
      <c r="D97" s="4" t="inlineStr">
        <is>
          <t>3章_7災害・施策</t>
        </is>
      </c>
      <c r="E97" s="6" t="inlineStr">
        <is>
          <t>→ 表示</t>
        </is>
      </c>
    </row>
    <row r="98" ht="17" customHeight="1">
      <c r="B98" s="4" t="inlineStr">
        <is>
          <t>図3-81</t>
        </is>
      </c>
      <c r="C98" s="5" t="inlineStr">
        <is>
          <t>今後参加したい地域活動・社会参加【障がい別】（問42）</t>
        </is>
      </c>
      <c r="D98" s="4" t="inlineStr">
        <is>
          <t>3章_7災害・施策</t>
        </is>
      </c>
      <c r="E98" s="6" t="inlineStr">
        <is>
          <t>→ 表示</t>
        </is>
      </c>
    </row>
    <row r="99" ht="17" customHeight="1">
      <c r="B99" s="4" t="inlineStr">
        <is>
          <t>図3-82</t>
        </is>
      </c>
      <c r="C99" s="5" t="inlineStr">
        <is>
          <t>障がいへの理解を深めるために必要な取組（問43）</t>
        </is>
      </c>
      <c r="D99" s="4" t="inlineStr">
        <is>
          <t>3章_7災害・施策</t>
        </is>
      </c>
      <c r="E99" s="6" t="inlineStr">
        <is>
          <t>→ 表示</t>
        </is>
      </c>
    </row>
    <row r="100" ht="17" customHeight="1">
      <c r="B100" s="4" t="inlineStr">
        <is>
          <t>図3-83</t>
        </is>
      </c>
      <c r="C100" s="5" t="inlineStr">
        <is>
          <t>障がいへの理解を深めるために必要な取組【障がい別】（問43）</t>
        </is>
      </c>
      <c r="D100" s="4" t="inlineStr">
        <is>
          <t>3章_7災害・施策</t>
        </is>
      </c>
      <c r="E100" s="6" t="inlineStr">
        <is>
          <t>→ 表示</t>
        </is>
      </c>
    </row>
    <row r="101" ht="17" customHeight="1">
      <c r="B101" s="4" t="inlineStr">
        <is>
          <t>図3-84</t>
        </is>
      </c>
      <c r="C101" s="5" t="inlineStr">
        <is>
          <t>今後、村が特に力を入れるべきこと（3つまで）（問44）</t>
        </is>
      </c>
      <c r="D101" s="4" t="inlineStr">
        <is>
          <t>3章_7災害・施策</t>
        </is>
      </c>
      <c r="E101" s="6" t="inlineStr">
        <is>
          <t>→ 表示</t>
        </is>
      </c>
    </row>
    <row r="102" ht="17" customHeight="1">
      <c r="B102" s="4" t="inlineStr">
        <is>
          <t>図3-85</t>
        </is>
      </c>
      <c r="C102" s="5" t="inlineStr">
        <is>
          <t>今後、村が特に力を入れるべきこと（3つまで）【障がい別】（問44）</t>
        </is>
      </c>
      <c r="D102" s="4" t="inlineStr">
        <is>
          <t>3章_7災害・施策</t>
        </is>
      </c>
      <c r="E102" s="6" t="inlineStr">
        <is>
          <t>→ 表示</t>
        </is>
      </c>
    </row>
    <row r="103" ht="17" customHeight="1">
      <c r="B103" s="4" t="inlineStr">
        <is>
          <t>表3-4</t>
        </is>
      </c>
      <c r="C103" s="5" t="inlineStr">
        <is>
          <t>自由記述にみる主な意見（障がい者調査）</t>
        </is>
      </c>
      <c r="D103" s="4" t="inlineStr">
        <is>
          <t>3章_7災害・施策</t>
        </is>
      </c>
      <c r="E103" s="6" t="inlineStr">
        <is>
          <t>→ 表示</t>
        </is>
      </c>
    </row>
    <row r="104" ht="17" customHeight="1">
      <c r="B104" s="4" t="inlineStr">
        <is>
          <t>表4-1</t>
        </is>
      </c>
      <c r="C104" s="5" t="inlineStr">
        <is>
          <t>クロス集計の分析テーマ</t>
        </is>
      </c>
      <c r="D104" s="4" t="inlineStr">
        <is>
          <t>4章_クロス集計</t>
        </is>
      </c>
      <c r="E104" s="6" t="inlineStr">
        <is>
          <t>→ 表示</t>
        </is>
      </c>
    </row>
    <row r="105" ht="17" customHeight="1">
      <c r="B105" s="4" t="inlineStr">
        <is>
          <t>表4-2</t>
        </is>
      </c>
      <c r="C105" s="5" t="inlineStr">
        <is>
          <t>障がい種別 × 今後3年間で利用したいサービス（問6×問27-3）</t>
        </is>
      </c>
      <c r="D105" s="4" t="inlineStr">
        <is>
          <t>4章_クロス集計</t>
        </is>
      </c>
      <c r="E105" s="6" t="inlineStr">
        <is>
          <t>→ 表示</t>
        </is>
      </c>
    </row>
    <row r="106" ht="17" customHeight="1">
      <c r="B106" s="4" t="inlineStr">
        <is>
          <t>表4-3</t>
        </is>
      </c>
      <c r="C106" s="5" t="inlineStr">
        <is>
          <t>地区 × 外出するときに困ること（問3×問14）</t>
        </is>
      </c>
      <c r="D106" s="4" t="inlineStr">
        <is>
          <t>4章_クロス集計</t>
        </is>
      </c>
      <c r="E106" s="6" t="inlineStr">
        <is>
          <t>→ 表示</t>
        </is>
      </c>
    </row>
    <row r="107" ht="17" customHeight="1">
      <c r="B107" s="4" t="inlineStr">
        <is>
          <t>図4-1</t>
        </is>
      </c>
      <c r="C107" s="5" t="inlineStr">
        <is>
          <t>主な地区別の外出するときに困ること（問3×問14）</t>
        </is>
      </c>
      <c r="D107" s="4" t="inlineStr">
        <is>
          <t>4章_クロス集計</t>
        </is>
      </c>
      <c r="E107" s="6" t="inlineStr">
        <is>
          <t>→ 表示</t>
        </is>
      </c>
    </row>
    <row r="108" ht="17" customHeight="1">
      <c r="B108" s="4" t="inlineStr">
        <is>
          <t>表4-4</t>
        </is>
      </c>
      <c r="C108" s="5" t="inlineStr">
        <is>
          <t>地区 × サービスを利用したいが利用できない理由（問3×問28）</t>
        </is>
      </c>
      <c r="D108" s="4" t="inlineStr">
        <is>
          <t>4章_クロス集計</t>
        </is>
      </c>
      <c r="E108" s="6" t="inlineStr">
        <is>
          <t>→ 表示</t>
        </is>
      </c>
    </row>
    <row r="109" ht="17" customHeight="1">
      <c r="B109" s="4" t="inlineStr">
        <is>
          <t>表4-5</t>
        </is>
      </c>
      <c r="C109" s="5" t="inlineStr">
        <is>
          <t>現在の暮らしの場 × 将来希望する暮らし方（問7×問11）</t>
        </is>
      </c>
      <c r="D109" s="4" t="inlineStr">
        <is>
          <t>4章_クロス集計</t>
        </is>
      </c>
      <c r="E109" s="6" t="inlineStr">
        <is>
          <t>→ 表示</t>
        </is>
      </c>
    </row>
    <row r="110" ht="17" customHeight="1">
      <c r="B110" s="4" t="inlineStr">
        <is>
          <t>図4-2</t>
        </is>
      </c>
      <c r="C110" s="5" t="inlineStr">
        <is>
          <t>現在の暮らしの場別にみた将来希望する暮らし方（問7×問11）</t>
        </is>
      </c>
      <c r="D110" s="4" t="inlineStr">
        <is>
          <t>4章_クロス集計</t>
        </is>
      </c>
      <c r="E110" s="6" t="inlineStr">
        <is>
          <t>→ 表示</t>
        </is>
      </c>
    </row>
    <row r="111" ht="17" customHeight="1">
      <c r="B111" s="4" t="inlineStr">
        <is>
          <t>表4-6</t>
        </is>
      </c>
      <c r="C111" s="5" t="inlineStr">
        <is>
          <t>年齢 × 日常生活で困っていること（問2×問10）</t>
        </is>
      </c>
      <c r="D111" s="4" t="inlineStr">
        <is>
          <t>4章_クロス集計</t>
        </is>
      </c>
      <c r="E111" s="6" t="inlineStr">
        <is>
          <t>→ 表示</t>
        </is>
      </c>
    </row>
    <row r="112" ht="17" customHeight="1">
      <c r="B112" s="4" t="inlineStr">
        <is>
          <t>図4-3</t>
        </is>
      </c>
      <c r="C112" s="5" t="inlineStr">
        <is>
          <t>65歳未満・65歳以上別にみた日常生活で困っていること（問2×問10）</t>
        </is>
      </c>
      <c r="D112" s="4" t="inlineStr">
        <is>
          <t>4章_クロス集計</t>
        </is>
      </c>
      <c r="E112" s="6" t="inlineStr">
        <is>
          <t>→ 表示</t>
        </is>
      </c>
    </row>
    <row r="113" ht="17" customHeight="1">
      <c r="B113" s="4" t="inlineStr">
        <is>
          <t>表4-7</t>
        </is>
      </c>
      <c r="C113" s="5" t="inlineStr">
        <is>
          <t>現在の日中の過ごし方 × 今後希望する日中活動・働き方（問31×問32）</t>
        </is>
      </c>
      <c r="D113" s="4" t="inlineStr">
        <is>
          <t>4章_クロス集計</t>
        </is>
      </c>
      <c r="E113" s="6" t="inlineStr">
        <is>
          <t>→ 表示</t>
        </is>
      </c>
    </row>
    <row r="114" ht="30" customHeight="1">
      <c r="B114" s="4" t="inlineStr">
        <is>
          <t>表4-8</t>
        </is>
      </c>
      <c r="C114" s="5" t="inlineStr">
        <is>
          <t>避難行動要支援者名簿・個別避難計画の認知 × 災害時に不安なこと（問39×問38）</t>
        </is>
      </c>
      <c r="D114" s="4" t="inlineStr">
        <is>
          <t>4章_クロス集計</t>
        </is>
      </c>
      <c r="E114" s="6" t="inlineStr">
        <is>
          <t>→ 表示</t>
        </is>
      </c>
    </row>
    <row r="115" ht="17" customHeight="1">
      <c r="B115" s="4" t="inlineStr">
        <is>
          <t>表4-9</t>
        </is>
      </c>
      <c r="C115" s="5" t="inlineStr">
        <is>
          <t>障がい種別 × 必要だと思う合理的配慮（問6×問36）</t>
        </is>
      </c>
      <c r="D115" s="4" t="inlineStr">
        <is>
          <t>4章_クロス集計</t>
        </is>
      </c>
      <c r="E115" s="6" t="inlineStr">
        <is>
          <t>→ 表示</t>
        </is>
      </c>
    </row>
    <row r="116" ht="17" customHeight="1">
      <c r="B116" s="4" t="inlineStr">
        <is>
          <t>表4-10</t>
        </is>
      </c>
      <c r="C116" s="5" t="inlineStr">
        <is>
          <t>困ったときの相談先 × 相談支援に期待すること（問22×問26）</t>
        </is>
      </c>
      <c r="D116" s="4" t="inlineStr">
        <is>
          <t>4章_クロス集計</t>
        </is>
      </c>
      <c r="E116" s="6" t="inlineStr">
        <is>
          <t>→ 表示</t>
        </is>
      </c>
    </row>
    <row r="117" ht="17" customHeight="1">
      <c r="B117" s="4" t="inlineStr">
        <is>
          <t>表4-11</t>
        </is>
      </c>
      <c r="C117" s="5" t="inlineStr">
        <is>
          <t>主な介助者 × 地域生活支援拠点等に期待する機能（問9×問29）</t>
        </is>
      </c>
      <c r="D117" s="4" t="inlineStr">
        <is>
          <t>4章_クロス集計</t>
        </is>
      </c>
      <c r="E117" s="6" t="inlineStr">
        <is>
          <t>→ 表示</t>
        </is>
      </c>
    </row>
    <row r="118" ht="17" customHeight="1">
      <c r="B118" s="4" t="inlineStr">
        <is>
          <t>表5-1</t>
        </is>
      </c>
      <c r="C118" s="5" t="inlineStr">
        <is>
          <t>回答者の属性（障がい児調査）</t>
        </is>
      </c>
      <c r="D118" s="4" t="inlineStr">
        <is>
          <t>5章_障がい児</t>
        </is>
      </c>
      <c r="E118" s="6" t="inlineStr">
        <is>
          <t>→ 表示</t>
        </is>
      </c>
    </row>
    <row r="119" ht="17" customHeight="1">
      <c r="B119" s="4" t="inlineStr">
        <is>
          <t>図5-1</t>
        </is>
      </c>
      <c r="C119" s="5" t="inlineStr">
        <is>
          <t>日常生活で困っていること（問10）</t>
        </is>
      </c>
      <c r="D119" s="4" t="inlineStr">
        <is>
          <t>5章_障がい児</t>
        </is>
      </c>
      <c r="E119" s="6" t="inlineStr">
        <is>
          <t>→ 表示</t>
        </is>
      </c>
    </row>
    <row r="120" ht="17" customHeight="1">
      <c r="B120" s="4" t="inlineStr">
        <is>
          <t>図5-2</t>
        </is>
      </c>
      <c r="C120" s="5" t="inlineStr">
        <is>
          <t>外出するときに困ること（問14）</t>
        </is>
      </c>
      <c r="D120" s="4" t="inlineStr">
        <is>
          <t>5章_障がい児</t>
        </is>
      </c>
      <c r="E120" s="6" t="inlineStr">
        <is>
          <t>→ 表示</t>
        </is>
      </c>
    </row>
    <row r="121" ht="17" customHeight="1">
      <c r="B121" s="4" t="inlineStr">
        <is>
          <t>図5-3</t>
        </is>
      </c>
      <c r="C121" s="5" t="inlineStr">
        <is>
          <t>通院や医療で困っていること（問16）</t>
        </is>
      </c>
      <c r="D121" s="4" t="inlineStr">
        <is>
          <t>5章_障がい児</t>
        </is>
      </c>
      <c r="E121" s="6" t="inlineStr">
        <is>
          <t>→ 表示</t>
        </is>
      </c>
    </row>
    <row r="122" ht="17" customHeight="1">
      <c r="B122" s="4" t="inlineStr">
        <is>
          <t>図5-4</t>
        </is>
      </c>
      <c r="C122" s="5" t="inlineStr">
        <is>
          <t>医療的ケアや重い障がいに関して必要な支援（問18）</t>
        </is>
      </c>
      <c r="D122" s="4" t="inlineStr">
        <is>
          <t>5章_障がい児</t>
        </is>
      </c>
      <c r="E122" s="6" t="inlineStr">
        <is>
          <t>→ 表示</t>
        </is>
      </c>
    </row>
    <row r="123" ht="17" customHeight="1">
      <c r="B123" s="4" t="inlineStr">
        <is>
          <t>図5-5</t>
        </is>
      </c>
      <c r="C123" s="5" t="inlineStr">
        <is>
          <t>相談支援に期待すること（問22）</t>
        </is>
      </c>
      <c r="D123" s="4" t="inlineStr">
        <is>
          <t>5章_障がい児</t>
        </is>
      </c>
      <c r="E123" s="6" t="inlineStr">
        <is>
          <t>→ 表示</t>
        </is>
      </c>
    </row>
    <row r="124" ht="17" customHeight="1">
      <c r="B124" s="4" t="inlineStr">
        <is>
          <t>図5-6</t>
        </is>
      </c>
      <c r="C124" s="5" t="inlineStr">
        <is>
          <t>通園・通学や事業所利用で困っていること（問24）</t>
        </is>
      </c>
      <c r="D124" s="4" t="inlineStr">
        <is>
          <t>5章_障がい児</t>
        </is>
      </c>
      <c r="E124" s="6" t="inlineStr">
        <is>
          <t>→ 表示</t>
        </is>
      </c>
    </row>
    <row r="125" ht="17" customHeight="1">
      <c r="B125" s="4" t="inlineStr">
        <is>
          <t>図5-7</t>
        </is>
      </c>
      <c r="C125" s="5" t="inlineStr">
        <is>
          <t>日頃の暮らしに関する評価（問25）</t>
        </is>
      </c>
      <c r="D125" s="4" t="inlineStr">
        <is>
          <t>5章_障がい児</t>
        </is>
      </c>
      <c r="E125" s="6" t="inlineStr">
        <is>
          <t>→ 表示</t>
        </is>
      </c>
    </row>
    <row r="126" ht="17" customHeight="1">
      <c r="B126" s="4" t="inlineStr">
        <is>
          <t>図5-8</t>
        </is>
      </c>
      <c r="C126" s="5" t="inlineStr">
        <is>
          <t>放課後や長期休暇中の過ごし方で困っていること（問31）</t>
        </is>
      </c>
      <c r="D126" s="4" t="inlineStr">
        <is>
          <t>5章_障がい児</t>
        </is>
      </c>
      <c r="E126" s="6" t="inlineStr">
        <is>
          <t>→ 表示</t>
        </is>
      </c>
    </row>
    <row r="127" ht="17" customHeight="1">
      <c r="B127" s="4" t="inlineStr">
        <is>
          <t>表5-2</t>
        </is>
      </c>
      <c r="C127" s="5" t="inlineStr">
        <is>
          <t>サービス別の利用状況・認知度・今後の利用意向（障がい児調査）</t>
        </is>
      </c>
      <c r="D127" s="4" t="inlineStr">
        <is>
          <t>5章_障がい児</t>
        </is>
      </c>
      <c r="E127" s="6" t="inlineStr">
        <is>
          <t>→ 表示</t>
        </is>
      </c>
    </row>
    <row r="128" ht="17" customHeight="1">
      <c r="B128" s="4" t="inlineStr">
        <is>
          <t>図5-9</t>
        </is>
      </c>
      <c r="C128" s="5" t="inlineStr">
        <is>
          <t>サービス別の利用状況・認知度・今後の利用意向（問27～問29）</t>
        </is>
      </c>
      <c r="D128" s="4" t="inlineStr">
        <is>
          <t>5章_障がい児</t>
        </is>
      </c>
      <c r="E128" s="6" t="inlineStr">
        <is>
          <t>→ 表示</t>
        </is>
      </c>
    </row>
    <row r="129" ht="17" customHeight="1">
      <c r="B129" s="4" t="inlineStr">
        <is>
          <t>図5-10</t>
        </is>
      </c>
      <c r="C129" s="5" t="inlineStr">
        <is>
          <t>18歳以降のことで不安なこと（問32）</t>
        </is>
      </c>
      <c r="D129" s="4" t="inlineStr">
        <is>
          <t>5章_障がい児</t>
        </is>
      </c>
      <c r="E129" s="6" t="inlineStr">
        <is>
          <t>→ 表示</t>
        </is>
      </c>
    </row>
    <row r="130" ht="17" customHeight="1">
      <c r="B130" s="4" t="inlineStr">
        <is>
          <t>図5-11</t>
        </is>
      </c>
      <c r="C130" s="5" t="inlineStr">
        <is>
          <t>必要だと思う合理的配慮（問35）</t>
        </is>
      </c>
      <c r="D130" s="4" t="inlineStr">
        <is>
          <t>5章_障がい児</t>
        </is>
      </c>
      <c r="E130" s="6" t="inlineStr">
        <is>
          <t>→ 表示</t>
        </is>
      </c>
    </row>
    <row r="131" ht="17" customHeight="1">
      <c r="B131" s="4" t="inlineStr">
        <is>
          <t>表5-3</t>
        </is>
      </c>
      <c r="C131" s="5" t="inlineStr">
        <is>
          <t>災害時の対応に関する回答（障がい児調査）</t>
        </is>
      </c>
      <c r="D131" s="4" t="inlineStr">
        <is>
          <t>5章_障がい児</t>
        </is>
      </c>
      <c r="E131" s="6" t="inlineStr">
        <is>
          <t>→ 表示</t>
        </is>
      </c>
    </row>
    <row r="132" ht="17" customHeight="1">
      <c r="B132" s="4" t="inlineStr">
        <is>
          <t>図5-12</t>
        </is>
      </c>
      <c r="C132" s="5" t="inlineStr">
        <is>
          <t>今後、村が特に力を入れるべきこと（3つまで）（問43）</t>
        </is>
      </c>
      <c r="D132" s="4" t="inlineStr">
        <is>
          <t>5章_障がい児</t>
        </is>
      </c>
      <c r="E132" s="6" t="inlineStr">
        <is>
          <t>→ 表示</t>
        </is>
      </c>
    </row>
    <row r="133" ht="17" customHeight="1">
      <c r="B133" s="4" t="inlineStr">
        <is>
          <t>表5-4</t>
        </is>
      </c>
      <c r="C133" s="5" t="inlineStr">
        <is>
          <t>クロス集計の主な傾向（障がい児調査・参考）</t>
        </is>
      </c>
      <c r="D133" s="4" t="inlineStr">
        <is>
          <t>5章_障がい児</t>
        </is>
      </c>
      <c r="E133" s="6" t="inlineStr">
        <is>
          <t>→ 表示</t>
        </is>
      </c>
    </row>
    <row r="134" ht="17" customHeight="1">
      <c r="B134" s="4" t="inlineStr">
        <is>
          <t>表5-5</t>
        </is>
      </c>
      <c r="C134" s="5" t="inlineStr">
        <is>
          <t>共通設問の比較</t>
        </is>
      </c>
      <c r="D134" s="4" t="inlineStr">
        <is>
          <t>5章_障がい児</t>
        </is>
      </c>
      <c r="E134" s="6" t="inlineStr">
        <is>
          <t>→ 表示</t>
        </is>
      </c>
    </row>
    <row r="135" ht="17" customHeight="1">
      <c r="B135" s="4" t="inlineStr">
        <is>
          <t>表5-6</t>
        </is>
      </c>
      <c r="C135" s="5" t="inlineStr">
        <is>
          <t>自由記述にみる主な意見（障がい児調査）</t>
        </is>
      </c>
      <c r="D135" s="4" t="inlineStr">
        <is>
          <t>5章_障がい児</t>
        </is>
      </c>
      <c r="E135" s="6" t="inlineStr">
        <is>
          <t>→ 表示</t>
        </is>
      </c>
    </row>
    <row r="136" ht="17" customHeight="1">
      <c r="B136" s="4" t="inlineStr">
        <is>
          <t>表6-1</t>
        </is>
      </c>
      <c r="C136" s="5" t="inlineStr">
        <is>
          <t>課題と計画上の主な取組・指標の関係</t>
        </is>
      </c>
      <c r="D136" s="4" t="inlineStr">
        <is>
          <t>6章_課題</t>
        </is>
      </c>
      <c r="E136" s="6" t="inlineStr">
        <is>
          <t>→ 表示</t>
        </is>
      </c>
    </row>
    <row r="137" ht="17" customHeight="1">
      <c r="B137" s="4" t="inlineStr">
        <is>
          <t>入力データ</t>
        </is>
      </c>
      <c r="C137" s="5" t="inlineStr">
        <is>
          <t>障がい者調査 単純集計（入力用）</t>
        </is>
      </c>
      <c r="D137" s="4" t="inlineStr">
        <is>
          <t>集計_障がい者</t>
        </is>
      </c>
      <c r="E137" s="6" t="inlineStr">
        <is>
          <t>→ 表示</t>
        </is>
      </c>
    </row>
    <row r="138" ht="17" customHeight="1">
      <c r="B138" s="4" t="inlineStr">
        <is>
          <t>入力データ</t>
        </is>
      </c>
      <c r="C138" s="5" t="inlineStr">
        <is>
          <t>障がい児調査 単純集計（入力用）</t>
        </is>
      </c>
      <c r="D138" s="4" t="inlineStr">
        <is>
          <t>集計_障がい児</t>
        </is>
      </c>
      <c r="E138" s="6" t="inlineStr">
        <is>
          <t>→ 表示</t>
        </is>
      </c>
    </row>
  </sheetData>
  <mergeCells count="7">
    <mergeCell ref="B9:E9"/>
    <mergeCell ref="B8:E8"/>
    <mergeCell ref="B4:E4"/>
    <mergeCell ref="B6:E6"/>
    <mergeCell ref="B7:E7"/>
    <mergeCell ref="B3:E3"/>
    <mergeCell ref="B5:E5"/>
  </mergeCells>
  <hyperlinks>
    <hyperlink xmlns:r="http://schemas.openxmlformats.org/officeDocument/2006/relationships" ref="E12" r:id="rId1"/>
    <hyperlink xmlns:r="http://schemas.openxmlformats.org/officeDocument/2006/relationships" ref="E13" r:id="rId2"/>
    <hyperlink xmlns:r="http://schemas.openxmlformats.org/officeDocument/2006/relationships" ref="E14" r:id="rId3"/>
    <hyperlink xmlns:r="http://schemas.openxmlformats.org/officeDocument/2006/relationships" ref="E15" r:id="rId4"/>
    <hyperlink xmlns:r="http://schemas.openxmlformats.org/officeDocument/2006/relationships" ref="E16" r:id="rId5"/>
    <hyperlink xmlns:r="http://schemas.openxmlformats.org/officeDocument/2006/relationships" ref="E17" r:id="rId6"/>
    <hyperlink xmlns:r="http://schemas.openxmlformats.org/officeDocument/2006/relationships" ref="E18" r:id="rId7"/>
    <hyperlink xmlns:r="http://schemas.openxmlformats.org/officeDocument/2006/relationships" ref="E19" r:id="rId8"/>
    <hyperlink xmlns:r="http://schemas.openxmlformats.org/officeDocument/2006/relationships" ref="E20" r:id="rId9"/>
    <hyperlink xmlns:r="http://schemas.openxmlformats.org/officeDocument/2006/relationships" ref="E21" r:id="rId10"/>
    <hyperlink xmlns:r="http://schemas.openxmlformats.org/officeDocument/2006/relationships" ref="E22" r:id="rId11"/>
    <hyperlink xmlns:r="http://schemas.openxmlformats.org/officeDocument/2006/relationships" ref="E23" r:id="rId12"/>
    <hyperlink xmlns:r="http://schemas.openxmlformats.org/officeDocument/2006/relationships" ref="E24" r:id="rId13"/>
    <hyperlink xmlns:r="http://schemas.openxmlformats.org/officeDocument/2006/relationships" ref="E25" r:id="rId14"/>
    <hyperlink xmlns:r="http://schemas.openxmlformats.org/officeDocument/2006/relationships" ref="E26" r:id="rId15"/>
    <hyperlink xmlns:r="http://schemas.openxmlformats.org/officeDocument/2006/relationships" ref="E27" r:id="rId16"/>
    <hyperlink xmlns:r="http://schemas.openxmlformats.org/officeDocument/2006/relationships" ref="E28" r:id="rId17"/>
    <hyperlink xmlns:r="http://schemas.openxmlformats.org/officeDocument/2006/relationships" ref="E29" r:id="rId18"/>
    <hyperlink xmlns:r="http://schemas.openxmlformats.org/officeDocument/2006/relationships" ref="E30" r:id="rId19"/>
    <hyperlink xmlns:r="http://schemas.openxmlformats.org/officeDocument/2006/relationships" ref="E31" r:id="rId20"/>
    <hyperlink xmlns:r="http://schemas.openxmlformats.org/officeDocument/2006/relationships" ref="E32" r:id="rId21"/>
    <hyperlink xmlns:r="http://schemas.openxmlformats.org/officeDocument/2006/relationships" ref="E33" r:id="rId22"/>
    <hyperlink xmlns:r="http://schemas.openxmlformats.org/officeDocument/2006/relationships" ref="E34" r:id="rId23"/>
    <hyperlink xmlns:r="http://schemas.openxmlformats.org/officeDocument/2006/relationships" ref="E35" r:id="rId24"/>
    <hyperlink xmlns:r="http://schemas.openxmlformats.org/officeDocument/2006/relationships" ref="E36" r:id="rId25"/>
    <hyperlink xmlns:r="http://schemas.openxmlformats.org/officeDocument/2006/relationships" ref="E37" r:id="rId26"/>
    <hyperlink xmlns:r="http://schemas.openxmlformats.org/officeDocument/2006/relationships" ref="E38" r:id="rId27"/>
    <hyperlink xmlns:r="http://schemas.openxmlformats.org/officeDocument/2006/relationships" ref="E39" r:id="rId28"/>
    <hyperlink xmlns:r="http://schemas.openxmlformats.org/officeDocument/2006/relationships" ref="E40" r:id="rId29"/>
    <hyperlink xmlns:r="http://schemas.openxmlformats.org/officeDocument/2006/relationships" ref="E41" r:id="rId30"/>
    <hyperlink xmlns:r="http://schemas.openxmlformats.org/officeDocument/2006/relationships" ref="E42" r:id="rId31"/>
    <hyperlink xmlns:r="http://schemas.openxmlformats.org/officeDocument/2006/relationships" ref="E43" r:id="rId32"/>
    <hyperlink xmlns:r="http://schemas.openxmlformats.org/officeDocument/2006/relationships" ref="E44" r:id="rId33"/>
    <hyperlink xmlns:r="http://schemas.openxmlformats.org/officeDocument/2006/relationships" ref="E45" r:id="rId34"/>
    <hyperlink xmlns:r="http://schemas.openxmlformats.org/officeDocument/2006/relationships" ref="E46" r:id="rId35"/>
    <hyperlink xmlns:r="http://schemas.openxmlformats.org/officeDocument/2006/relationships" ref="E47" r:id="rId36"/>
    <hyperlink xmlns:r="http://schemas.openxmlformats.org/officeDocument/2006/relationships" ref="E48" r:id="rId37"/>
    <hyperlink xmlns:r="http://schemas.openxmlformats.org/officeDocument/2006/relationships" ref="E49" r:id="rId38"/>
    <hyperlink xmlns:r="http://schemas.openxmlformats.org/officeDocument/2006/relationships" ref="E50" r:id="rId39"/>
    <hyperlink xmlns:r="http://schemas.openxmlformats.org/officeDocument/2006/relationships" ref="E51" r:id="rId40"/>
    <hyperlink xmlns:r="http://schemas.openxmlformats.org/officeDocument/2006/relationships" ref="E52" r:id="rId41"/>
    <hyperlink xmlns:r="http://schemas.openxmlformats.org/officeDocument/2006/relationships" ref="E53" r:id="rId42"/>
    <hyperlink xmlns:r="http://schemas.openxmlformats.org/officeDocument/2006/relationships" ref="E54" r:id="rId43"/>
    <hyperlink xmlns:r="http://schemas.openxmlformats.org/officeDocument/2006/relationships" ref="E55" r:id="rId44"/>
    <hyperlink xmlns:r="http://schemas.openxmlformats.org/officeDocument/2006/relationships" ref="E56" r:id="rId45"/>
    <hyperlink xmlns:r="http://schemas.openxmlformats.org/officeDocument/2006/relationships" ref="E57" r:id="rId46"/>
    <hyperlink xmlns:r="http://schemas.openxmlformats.org/officeDocument/2006/relationships" ref="E58" r:id="rId47"/>
    <hyperlink xmlns:r="http://schemas.openxmlformats.org/officeDocument/2006/relationships" ref="E59" r:id="rId48"/>
    <hyperlink xmlns:r="http://schemas.openxmlformats.org/officeDocument/2006/relationships" ref="E60" r:id="rId49"/>
    <hyperlink xmlns:r="http://schemas.openxmlformats.org/officeDocument/2006/relationships" ref="E61" r:id="rId50"/>
    <hyperlink xmlns:r="http://schemas.openxmlformats.org/officeDocument/2006/relationships" ref="E62" r:id="rId51"/>
    <hyperlink xmlns:r="http://schemas.openxmlformats.org/officeDocument/2006/relationships" ref="E63" r:id="rId52"/>
    <hyperlink xmlns:r="http://schemas.openxmlformats.org/officeDocument/2006/relationships" ref="E64" r:id="rId53"/>
    <hyperlink xmlns:r="http://schemas.openxmlformats.org/officeDocument/2006/relationships" ref="E65" r:id="rId54"/>
    <hyperlink xmlns:r="http://schemas.openxmlformats.org/officeDocument/2006/relationships" ref="E66" r:id="rId55"/>
    <hyperlink xmlns:r="http://schemas.openxmlformats.org/officeDocument/2006/relationships" ref="E67" r:id="rId56"/>
    <hyperlink xmlns:r="http://schemas.openxmlformats.org/officeDocument/2006/relationships" ref="E68" r:id="rId57"/>
    <hyperlink xmlns:r="http://schemas.openxmlformats.org/officeDocument/2006/relationships" ref="E69" r:id="rId58"/>
    <hyperlink xmlns:r="http://schemas.openxmlformats.org/officeDocument/2006/relationships" ref="E70" r:id="rId59"/>
    <hyperlink xmlns:r="http://schemas.openxmlformats.org/officeDocument/2006/relationships" ref="E71" r:id="rId60"/>
    <hyperlink xmlns:r="http://schemas.openxmlformats.org/officeDocument/2006/relationships" ref="E72" r:id="rId61"/>
    <hyperlink xmlns:r="http://schemas.openxmlformats.org/officeDocument/2006/relationships" ref="E73" r:id="rId62"/>
    <hyperlink xmlns:r="http://schemas.openxmlformats.org/officeDocument/2006/relationships" ref="E74" r:id="rId63"/>
    <hyperlink xmlns:r="http://schemas.openxmlformats.org/officeDocument/2006/relationships" ref="E75" r:id="rId64"/>
    <hyperlink xmlns:r="http://schemas.openxmlformats.org/officeDocument/2006/relationships" ref="E76" r:id="rId65"/>
    <hyperlink xmlns:r="http://schemas.openxmlformats.org/officeDocument/2006/relationships" ref="E77" r:id="rId66"/>
    <hyperlink xmlns:r="http://schemas.openxmlformats.org/officeDocument/2006/relationships" ref="E78" r:id="rId67"/>
    <hyperlink xmlns:r="http://schemas.openxmlformats.org/officeDocument/2006/relationships" ref="E79" r:id="rId68"/>
    <hyperlink xmlns:r="http://schemas.openxmlformats.org/officeDocument/2006/relationships" ref="E80" r:id="rId69"/>
    <hyperlink xmlns:r="http://schemas.openxmlformats.org/officeDocument/2006/relationships" ref="E81" r:id="rId70"/>
    <hyperlink xmlns:r="http://schemas.openxmlformats.org/officeDocument/2006/relationships" ref="E82" r:id="rId71"/>
    <hyperlink xmlns:r="http://schemas.openxmlformats.org/officeDocument/2006/relationships" ref="E83" r:id="rId72"/>
    <hyperlink xmlns:r="http://schemas.openxmlformats.org/officeDocument/2006/relationships" ref="E84" r:id="rId73"/>
    <hyperlink xmlns:r="http://schemas.openxmlformats.org/officeDocument/2006/relationships" ref="E85" r:id="rId74"/>
    <hyperlink xmlns:r="http://schemas.openxmlformats.org/officeDocument/2006/relationships" ref="E86" r:id="rId75"/>
    <hyperlink xmlns:r="http://schemas.openxmlformats.org/officeDocument/2006/relationships" ref="E87" r:id="rId76"/>
    <hyperlink xmlns:r="http://schemas.openxmlformats.org/officeDocument/2006/relationships" ref="E88" r:id="rId77"/>
    <hyperlink xmlns:r="http://schemas.openxmlformats.org/officeDocument/2006/relationships" ref="E89" r:id="rId78"/>
    <hyperlink xmlns:r="http://schemas.openxmlformats.org/officeDocument/2006/relationships" ref="E90" r:id="rId79"/>
    <hyperlink xmlns:r="http://schemas.openxmlformats.org/officeDocument/2006/relationships" ref="E91" r:id="rId80"/>
    <hyperlink xmlns:r="http://schemas.openxmlformats.org/officeDocument/2006/relationships" ref="E92" r:id="rId81"/>
    <hyperlink xmlns:r="http://schemas.openxmlformats.org/officeDocument/2006/relationships" ref="E93" r:id="rId82"/>
    <hyperlink xmlns:r="http://schemas.openxmlformats.org/officeDocument/2006/relationships" ref="E94" r:id="rId83"/>
    <hyperlink xmlns:r="http://schemas.openxmlformats.org/officeDocument/2006/relationships" ref="E95" r:id="rId84"/>
    <hyperlink xmlns:r="http://schemas.openxmlformats.org/officeDocument/2006/relationships" ref="E96" r:id="rId85"/>
    <hyperlink xmlns:r="http://schemas.openxmlformats.org/officeDocument/2006/relationships" ref="E97" r:id="rId86"/>
    <hyperlink xmlns:r="http://schemas.openxmlformats.org/officeDocument/2006/relationships" ref="E98" r:id="rId87"/>
    <hyperlink xmlns:r="http://schemas.openxmlformats.org/officeDocument/2006/relationships" ref="E99" r:id="rId88"/>
    <hyperlink xmlns:r="http://schemas.openxmlformats.org/officeDocument/2006/relationships" ref="E100" r:id="rId89"/>
    <hyperlink xmlns:r="http://schemas.openxmlformats.org/officeDocument/2006/relationships" ref="E101" r:id="rId90"/>
    <hyperlink xmlns:r="http://schemas.openxmlformats.org/officeDocument/2006/relationships" ref="E102" r:id="rId91"/>
    <hyperlink xmlns:r="http://schemas.openxmlformats.org/officeDocument/2006/relationships" ref="E103" r:id="rId92"/>
    <hyperlink xmlns:r="http://schemas.openxmlformats.org/officeDocument/2006/relationships" ref="E104" r:id="rId93"/>
    <hyperlink xmlns:r="http://schemas.openxmlformats.org/officeDocument/2006/relationships" ref="E105" r:id="rId94"/>
    <hyperlink xmlns:r="http://schemas.openxmlformats.org/officeDocument/2006/relationships" ref="E106" r:id="rId95"/>
    <hyperlink xmlns:r="http://schemas.openxmlformats.org/officeDocument/2006/relationships" ref="E107" r:id="rId96"/>
    <hyperlink xmlns:r="http://schemas.openxmlformats.org/officeDocument/2006/relationships" ref="E108" r:id="rId97"/>
    <hyperlink xmlns:r="http://schemas.openxmlformats.org/officeDocument/2006/relationships" ref="E109" r:id="rId98"/>
    <hyperlink xmlns:r="http://schemas.openxmlformats.org/officeDocument/2006/relationships" ref="E110" r:id="rId99"/>
    <hyperlink xmlns:r="http://schemas.openxmlformats.org/officeDocument/2006/relationships" ref="E111" r:id="rId100"/>
    <hyperlink xmlns:r="http://schemas.openxmlformats.org/officeDocument/2006/relationships" ref="E112" r:id="rId101"/>
    <hyperlink xmlns:r="http://schemas.openxmlformats.org/officeDocument/2006/relationships" ref="E113" r:id="rId102"/>
    <hyperlink xmlns:r="http://schemas.openxmlformats.org/officeDocument/2006/relationships" ref="E114" r:id="rId103"/>
    <hyperlink xmlns:r="http://schemas.openxmlformats.org/officeDocument/2006/relationships" ref="E115" r:id="rId104"/>
    <hyperlink xmlns:r="http://schemas.openxmlformats.org/officeDocument/2006/relationships" ref="E116" r:id="rId105"/>
    <hyperlink xmlns:r="http://schemas.openxmlformats.org/officeDocument/2006/relationships" ref="E117" r:id="rId106"/>
    <hyperlink xmlns:r="http://schemas.openxmlformats.org/officeDocument/2006/relationships" ref="E118" r:id="rId107"/>
    <hyperlink xmlns:r="http://schemas.openxmlformats.org/officeDocument/2006/relationships" ref="E119" r:id="rId108"/>
    <hyperlink xmlns:r="http://schemas.openxmlformats.org/officeDocument/2006/relationships" ref="E120" r:id="rId109"/>
    <hyperlink xmlns:r="http://schemas.openxmlformats.org/officeDocument/2006/relationships" ref="E121" r:id="rId110"/>
    <hyperlink xmlns:r="http://schemas.openxmlformats.org/officeDocument/2006/relationships" ref="E122" r:id="rId111"/>
    <hyperlink xmlns:r="http://schemas.openxmlformats.org/officeDocument/2006/relationships" ref="E123" r:id="rId112"/>
    <hyperlink xmlns:r="http://schemas.openxmlformats.org/officeDocument/2006/relationships" ref="E124" r:id="rId113"/>
    <hyperlink xmlns:r="http://schemas.openxmlformats.org/officeDocument/2006/relationships" ref="E125" r:id="rId114"/>
    <hyperlink xmlns:r="http://schemas.openxmlformats.org/officeDocument/2006/relationships" ref="E126" r:id="rId115"/>
    <hyperlink xmlns:r="http://schemas.openxmlformats.org/officeDocument/2006/relationships" ref="E127" r:id="rId116"/>
    <hyperlink xmlns:r="http://schemas.openxmlformats.org/officeDocument/2006/relationships" ref="E128" r:id="rId117"/>
    <hyperlink xmlns:r="http://schemas.openxmlformats.org/officeDocument/2006/relationships" ref="E129" r:id="rId118"/>
    <hyperlink xmlns:r="http://schemas.openxmlformats.org/officeDocument/2006/relationships" ref="E130" r:id="rId119"/>
    <hyperlink xmlns:r="http://schemas.openxmlformats.org/officeDocument/2006/relationships" ref="E131" r:id="rId120"/>
    <hyperlink xmlns:r="http://schemas.openxmlformats.org/officeDocument/2006/relationships" ref="E132" r:id="rId121"/>
    <hyperlink xmlns:r="http://schemas.openxmlformats.org/officeDocument/2006/relationships" ref="E133" r:id="rId122"/>
    <hyperlink xmlns:r="http://schemas.openxmlformats.org/officeDocument/2006/relationships" ref="E134" r:id="rId123"/>
    <hyperlink xmlns:r="http://schemas.openxmlformats.org/officeDocument/2006/relationships" ref="E135" r:id="rId124"/>
    <hyperlink xmlns:r="http://schemas.openxmlformats.org/officeDocument/2006/relationships" ref="E136" r:id="rId125"/>
    <hyperlink xmlns:r="http://schemas.openxmlformats.org/officeDocument/2006/relationships" ref="E137" r:id="rId126"/>
    <hyperlink xmlns:r="http://schemas.openxmlformats.org/officeDocument/2006/relationships" ref="E138" r:id="rId127"/>
  </hyperlink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B2:J45"/>
  <sheetViews>
    <sheetView showGridLines="0" workbookViewId="0">
      <selection activeCell="A1" sqref="A1"/>
    </sheetView>
  </sheetViews>
  <sheetFormatPr baseColWidth="8" defaultRowHeight="15"/>
  <cols>
    <col width="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2" ht="21" customHeight="1">
      <c r="B2" s="7" t="inlineStr">
        <is>
          <t>表1-1　調査の概要</t>
        </is>
      </c>
    </row>
    <row r="3" ht="17" customHeight="1">
      <c r="B3" s="3" t="inlineStr">
        <is>
          <t>項目</t>
        </is>
      </c>
      <c r="C3" s="3" t="inlineStr">
        <is>
          <t>障がい者調査</t>
        </is>
      </c>
      <c r="D3" s="8" t="n"/>
      <c r="E3" s="8" t="n"/>
      <c r="F3" s="9" t="n"/>
      <c r="G3" s="3" t="inlineStr">
        <is>
          <t>障がい児調査</t>
        </is>
      </c>
      <c r="H3" s="8" t="n"/>
      <c r="I3" s="8" t="n"/>
      <c r="J3" s="9" t="n"/>
    </row>
    <row r="4" ht="56" customHeight="1">
      <c r="B4" s="10" t="inlineStr">
        <is>
          <t>調査対象</t>
        </is>
      </c>
      <c r="C4" s="5" t="inlineStr">
        <is>
          <t>村内在住の18歳以上の障がいのある方
身体（118名）・精神（34名）・療育（8名）・入所等（12名）</t>
        </is>
      </c>
      <c r="D4" s="8" t="n"/>
      <c r="E4" s="8" t="n"/>
      <c r="F4" s="9" t="n"/>
      <c r="G4" s="5" t="inlineStr">
        <is>
          <t>村内在住の18歳未満の障がいのある児童とその保護者
身体（2名）・精神（1名）・療育（1名）・入所等（2名）</t>
        </is>
      </c>
      <c r="H4" s="8" t="n"/>
      <c r="I4" s="8" t="n"/>
      <c r="J4" s="9" t="n"/>
    </row>
    <row r="5" ht="17" customHeight="1">
      <c r="B5" s="10" t="inlineStr">
        <is>
          <t>調査方法</t>
        </is>
      </c>
      <c r="C5" s="5" t="inlineStr">
        <is>
          <t>郵送配布・郵送回収及びWEB回答</t>
        </is>
      </c>
      <c r="D5" s="8" t="n"/>
      <c r="E5" s="8" t="n"/>
      <c r="F5" s="9" t="n"/>
      <c r="G5" s="5" t="inlineStr">
        <is>
          <t>郵送配布・郵送回収及びWEB回答</t>
        </is>
      </c>
      <c r="H5" s="8" t="n"/>
      <c r="I5" s="8" t="n"/>
      <c r="J5" s="9" t="n"/>
    </row>
    <row r="6" ht="17" customHeight="1">
      <c r="B6" s="10" t="inlineStr">
        <is>
          <t>調査期間</t>
        </is>
      </c>
      <c r="C6" s="5" t="inlineStr">
        <is>
          <t>令和8年8月31日～令和8年9月25日</t>
        </is>
      </c>
      <c r="D6" s="8" t="n"/>
      <c r="E6" s="8" t="n"/>
      <c r="F6" s="9" t="n"/>
      <c r="G6" s="5" t="inlineStr">
        <is>
          <t>令和8年8月31日～令和8年9月25日</t>
        </is>
      </c>
      <c r="H6" s="8" t="n"/>
      <c r="I6" s="8" t="n"/>
      <c r="J6" s="9" t="n"/>
    </row>
    <row r="7" ht="17" customHeight="1">
      <c r="B7" s="10" t="inlineStr">
        <is>
          <t>配布数</t>
        </is>
      </c>
      <c r="C7" s="11" t="n">
        <v>172</v>
      </c>
      <c r="D7" s="8" t="n"/>
      <c r="E7" s="8" t="n"/>
      <c r="F7" s="9" t="n"/>
      <c r="G7" s="11" t="n">
        <v>6</v>
      </c>
      <c r="H7" s="8" t="n"/>
      <c r="I7" s="8" t="n"/>
      <c r="J7" s="9" t="n"/>
    </row>
    <row r="8" ht="17" customHeight="1">
      <c r="B8" s="10" t="inlineStr">
        <is>
          <t>有効回答数</t>
        </is>
      </c>
      <c r="C8" s="12">
        <f>'集計_障がい者'!$F$5</f>
        <v>40</v>
      </c>
      <c r="D8" s="8" t="n"/>
      <c r="E8" s="8" t="n"/>
      <c r="F8" s="9" t="n"/>
      <c r="G8" s="12">
        <f>'集計_障がい児'!$F$5</f>
        <v>3</v>
      </c>
      <c r="H8" s="8" t="n"/>
      <c r="I8" s="8" t="n"/>
      <c r="J8" s="9" t="n"/>
    </row>
    <row r="9" ht="17" customHeight="1">
      <c r="B9" s="10" t="inlineStr">
        <is>
          <t>有効回答率</t>
        </is>
      </c>
      <c r="C9" s="13">
        <f>IF(C7=0,0,C8/C7)</f>
        <v>0.232558139534884</v>
      </c>
      <c r="D9" s="8" t="n"/>
      <c r="E9" s="8" t="n"/>
      <c r="F9" s="9" t="n"/>
      <c r="G9" s="13">
        <f>IF(G7=0,0,G8/G7)</f>
        <v>0.5</v>
      </c>
      <c r="H9" s="8" t="n"/>
      <c r="I9" s="8" t="n"/>
      <c r="J9" s="9" t="n"/>
    </row>
    <row r="11" ht="21" customHeight="1">
      <c r="B11" s="7" t="inlineStr">
        <is>
          <t>表1-2　調査項目の構成</t>
        </is>
      </c>
    </row>
    <row r="12" ht="17" customHeight="1">
      <c r="B12" s="3" t="inlineStr">
        <is>
          <t>分野</t>
        </is>
      </c>
      <c r="C12" s="3" t="inlineStr">
        <is>
          <t>障がい者調査</t>
        </is>
      </c>
      <c r="D12" s="8" t="n"/>
      <c r="E12" s="9" t="n"/>
      <c r="F12" s="3" t="inlineStr">
        <is>
          <t>障がい児調査</t>
        </is>
      </c>
      <c r="G12" s="8" t="n"/>
      <c r="H12" s="9" t="n"/>
    </row>
    <row r="13" ht="17" customHeight="1">
      <c r="B13" s="5" t="inlineStr">
        <is>
          <t>回答者の属性</t>
        </is>
      </c>
      <c r="C13" s="4" t="inlineStr">
        <is>
          <t>問1～問9</t>
        </is>
      </c>
      <c r="D13" s="8" t="n"/>
      <c r="E13" s="9" t="n"/>
      <c r="F13" s="4" t="inlineStr">
        <is>
          <t>問1～問9</t>
        </is>
      </c>
      <c r="G13" s="8" t="n"/>
      <c r="H13" s="9" t="n"/>
    </row>
    <row r="14" ht="17" customHeight="1">
      <c r="B14" s="14" t="inlineStr">
        <is>
          <t>日常生活と将来の暮らし</t>
        </is>
      </c>
      <c r="C14" s="15" t="inlineStr">
        <is>
          <t>問10～問11</t>
        </is>
      </c>
      <c r="D14" s="8" t="n"/>
      <c r="E14" s="9" t="n"/>
      <c r="F14" s="15" t="inlineStr">
        <is>
          <t>問10～問11</t>
        </is>
      </c>
      <c r="G14" s="8" t="n"/>
      <c r="H14" s="9" t="n"/>
    </row>
    <row r="15" ht="17" customHeight="1">
      <c r="B15" s="5" t="inlineStr">
        <is>
          <t>外出・移動</t>
        </is>
      </c>
      <c r="C15" s="4" t="inlineStr">
        <is>
          <t>問12～問14</t>
        </is>
      </c>
      <c r="D15" s="8" t="n"/>
      <c r="E15" s="9" t="n"/>
      <c r="F15" s="4" t="inlineStr">
        <is>
          <t>問12～問14</t>
        </is>
      </c>
      <c r="G15" s="8" t="n"/>
      <c r="H15" s="9" t="n"/>
    </row>
    <row r="16" ht="17" customHeight="1">
      <c r="B16" s="14" t="inlineStr">
        <is>
          <t>医療・医療的ケア等</t>
        </is>
      </c>
      <c r="C16" s="15" t="inlineStr">
        <is>
          <t>問15～問20</t>
        </is>
      </c>
      <c r="D16" s="8" t="n"/>
      <c r="E16" s="9" t="n"/>
      <c r="F16" s="15" t="inlineStr">
        <is>
          <t>問15～問18、問26</t>
        </is>
      </c>
      <c r="G16" s="8" t="n"/>
      <c r="H16" s="9" t="n"/>
    </row>
    <row r="17" ht="17" customHeight="1">
      <c r="B17" s="5" t="inlineStr">
        <is>
          <t>意思決定支援・相談・情報</t>
        </is>
      </c>
      <c r="C17" s="4" t="inlineStr">
        <is>
          <t>問21～問26</t>
        </is>
      </c>
      <c r="D17" s="8" t="n"/>
      <c r="E17" s="9" t="n"/>
      <c r="F17" s="4" t="inlineStr">
        <is>
          <t>問19～問22</t>
        </is>
      </c>
      <c r="G17" s="8" t="n"/>
      <c r="H17" s="9" t="n"/>
    </row>
    <row r="18" ht="17" customHeight="1">
      <c r="B18" s="14" t="inlineStr">
        <is>
          <t>通園・通学、放課後の過ごし方</t>
        </is>
      </c>
      <c r="C18" s="15" t="inlineStr">
        <is>
          <t>―</t>
        </is>
      </c>
      <c r="D18" s="8" t="n"/>
      <c r="E18" s="9" t="n"/>
      <c r="F18" s="15" t="inlineStr">
        <is>
          <t>問23～問25、問31</t>
        </is>
      </c>
      <c r="G18" s="8" t="n"/>
      <c r="H18" s="9" t="n"/>
    </row>
    <row r="19" ht="17" customHeight="1">
      <c r="B19" s="5" t="inlineStr">
        <is>
          <t>福祉サービスの利用</t>
        </is>
      </c>
      <c r="C19" s="4" t="inlineStr">
        <is>
          <t>問27～問30</t>
        </is>
      </c>
      <c r="D19" s="8" t="n"/>
      <c r="E19" s="9" t="n"/>
      <c r="F19" s="4" t="inlineStr">
        <is>
          <t>問27～問30</t>
        </is>
      </c>
      <c r="G19" s="8" t="n"/>
      <c r="H19" s="9" t="n"/>
    </row>
    <row r="20" ht="17" customHeight="1">
      <c r="B20" s="14" t="inlineStr">
        <is>
          <t>日中活動・就労</t>
        </is>
      </c>
      <c r="C20" s="15" t="inlineStr">
        <is>
          <t>問31～問33</t>
        </is>
      </c>
      <c r="D20" s="8" t="n"/>
      <c r="E20" s="9" t="n"/>
      <c r="F20" s="15" t="inlineStr">
        <is>
          <t>―</t>
        </is>
      </c>
      <c r="G20" s="8" t="n"/>
      <c r="H20" s="9" t="n"/>
    </row>
    <row r="21" ht="17" customHeight="1">
      <c r="B21" s="5" t="inlineStr">
        <is>
          <t>18歳以降の生活</t>
        </is>
      </c>
      <c r="C21" s="4" t="inlineStr">
        <is>
          <t>―</t>
        </is>
      </c>
      <c r="D21" s="8" t="n"/>
      <c r="E21" s="9" t="n"/>
      <c r="F21" s="4" t="inlineStr">
        <is>
          <t>問32</t>
        </is>
      </c>
      <c r="G21" s="8" t="n"/>
      <c r="H21" s="9" t="n"/>
    </row>
    <row r="22" ht="17" customHeight="1">
      <c r="B22" s="14" t="inlineStr">
        <is>
          <t>差別解消・権利擁護</t>
        </is>
      </c>
      <c r="C22" s="15" t="inlineStr">
        <is>
          <t>問34～問37</t>
        </is>
      </c>
      <c r="D22" s="8" t="n"/>
      <c r="E22" s="9" t="n"/>
      <c r="F22" s="15" t="inlineStr">
        <is>
          <t>問33～問36</t>
        </is>
      </c>
      <c r="G22" s="8" t="n"/>
      <c r="H22" s="9" t="n"/>
    </row>
    <row r="23" ht="17" customHeight="1">
      <c r="B23" s="5" t="inlineStr">
        <is>
          <t>災害時の対応</t>
        </is>
      </c>
      <c r="C23" s="4" t="inlineStr">
        <is>
          <t>問38～問41</t>
        </is>
      </c>
      <c r="D23" s="8" t="n"/>
      <c r="E23" s="9" t="n"/>
      <c r="F23" s="4" t="inlineStr">
        <is>
          <t>問37～問40</t>
        </is>
      </c>
      <c r="G23" s="8" t="n"/>
      <c r="H23" s="9" t="n"/>
    </row>
    <row r="24" ht="17" customHeight="1">
      <c r="B24" s="14" t="inlineStr">
        <is>
          <t>社会参加・理解促進・村の施策</t>
        </is>
      </c>
      <c r="C24" s="15" t="inlineStr">
        <is>
          <t>問42～問44</t>
        </is>
      </c>
      <c r="D24" s="8" t="n"/>
      <c r="E24" s="9" t="n"/>
      <c r="F24" s="15" t="inlineStr">
        <is>
          <t>問41～問43</t>
        </is>
      </c>
      <c r="G24" s="8" t="n"/>
      <c r="H24" s="9" t="n"/>
    </row>
    <row r="25" ht="17" customHeight="1">
      <c r="B25" s="5" t="inlineStr">
        <is>
          <t>自由意見</t>
        </is>
      </c>
      <c r="C25" s="4" t="inlineStr">
        <is>
          <t>問10-2、問45</t>
        </is>
      </c>
      <c r="D25" s="8" t="n"/>
      <c r="E25" s="9" t="n"/>
      <c r="F25" s="4" t="inlineStr">
        <is>
          <t>問10-2、問32-1、問44</t>
        </is>
      </c>
      <c r="G25" s="8" t="n"/>
      <c r="H25" s="9" t="n"/>
    </row>
    <row r="27" ht="21" customHeight="1">
      <c r="B27" s="7" t="inlineStr">
        <is>
          <t>表2-1　障がい者調査の主要指標</t>
        </is>
      </c>
    </row>
    <row r="28" ht="18" customHeight="1">
      <c r="B28" s="3" t="inlineStr">
        <is>
          <t>分野</t>
        </is>
      </c>
      <c r="C28" s="3" t="inlineStr">
        <is>
          <t>指標</t>
        </is>
      </c>
      <c r="D28" s="8" t="n"/>
      <c r="E28" s="8" t="n"/>
      <c r="F28" s="8" t="n"/>
      <c r="G28" s="9" t="n"/>
      <c r="H28" s="3" t="inlineStr">
        <is>
          <t>結果</t>
        </is>
      </c>
      <c r="I28" s="3" t="inlineStr">
        <is>
          <t>設問</t>
        </is>
      </c>
    </row>
    <row r="29" ht="17" customHeight="1">
      <c r="B29" s="4" t="inlineStr">
        <is>
          <t>回答者</t>
        </is>
      </c>
      <c r="C29" s="5" t="inlineStr">
        <is>
          <t>65歳以上の割合</t>
        </is>
      </c>
      <c r="D29" s="8" t="n"/>
      <c r="E29" s="8" t="n"/>
      <c r="F29" s="8" t="n"/>
      <c r="G29" s="9" t="n"/>
      <c r="H29" s="16">
        <f>IF('集計_障がい者'!$F$20=0,0,SUM('集計_障がい者'!$D$20)/'集計_障がい者'!$F$20)</f>
        <v>0.65</v>
      </c>
      <c r="I29" s="4" t="inlineStr">
        <is>
          <t>問2</t>
        </is>
      </c>
    </row>
    <row r="30" ht="17" customHeight="1">
      <c r="B30" s="4" t="inlineStr">
        <is>
          <t>回答者</t>
        </is>
      </c>
      <c r="C30" s="5" t="inlineStr">
        <is>
          <t>主たる障がいが「身体障がい」</t>
        </is>
      </c>
      <c r="D30" s="8" t="n"/>
      <c r="E30" s="8" t="n"/>
      <c r="F30" s="8" t="n"/>
      <c r="G30" s="9" t="n"/>
      <c r="H30" s="16">
        <f>IF('集計_障がい者'!$F$40=0,0,SUM('集計_障がい者'!$D$40)/'集計_障がい者'!$F$40)</f>
        <v>0.675</v>
      </c>
      <c r="I30" s="4" t="inlineStr">
        <is>
          <t>問6</t>
        </is>
      </c>
    </row>
    <row r="31" ht="17" customHeight="1">
      <c r="B31" s="4" t="inlineStr">
        <is>
          <t>日常生活</t>
        </is>
      </c>
      <c r="C31" s="5" t="inlineStr">
        <is>
          <t>困っていること「将来の生活」（「特にない」を除き第1位）</t>
        </is>
      </c>
      <c r="D31" s="8" t="n"/>
      <c r="E31" s="8" t="n"/>
      <c r="F31" s="8" t="n"/>
      <c r="G31" s="9" t="n"/>
      <c r="H31" s="16">
        <f>IF('集計_障がい者'!$F$87=0,0,SUM('集計_障がい者'!$D$87)/'集計_障がい者'!$F$87)</f>
        <v>0.3</v>
      </c>
      <c r="I31" s="4" t="inlineStr">
        <is>
          <t>問10</t>
        </is>
      </c>
    </row>
    <row r="32" ht="17" customHeight="1">
      <c r="B32" s="4" t="inlineStr">
        <is>
          <t>将来の暮らし</t>
        </is>
      </c>
      <c r="C32" s="5" t="inlineStr">
        <is>
          <t>「今の自宅で暮らしたい」</t>
        </is>
      </c>
      <c r="D32" s="8" t="n"/>
      <c r="E32" s="8" t="n"/>
      <c r="F32" s="8" t="n"/>
      <c r="G32" s="9" t="n"/>
      <c r="H32" s="16">
        <f>IF('集計_障がい者'!$F$91=0,0,SUM('集計_障がい者'!$D$91)/'集計_障がい者'!$F$91)</f>
        <v>0.4</v>
      </c>
      <c r="I32" s="4" t="inlineStr">
        <is>
          <t>問11</t>
        </is>
      </c>
    </row>
    <row r="33" ht="17" customHeight="1">
      <c r="B33" s="4" t="inlineStr">
        <is>
          <t>外出・移動</t>
        </is>
      </c>
      <c r="C33" s="5" t="inlineStr">
        <is>
          <t>外出時に困ること「冬季・積雪時に外出しにくい」</t>
        </is>
      </c>
      <c r="D33" s="8" t="n"/>
      <c r="E33" s="8" t="n"/>
      <c r="F33" s="8" t="n"/>
      <c r="G33" s="9" t="n"/>
      <c r="H33" s="16">
        <f>IF('集計_障がい者'!$F$119=0,0,SUM('集計_障がい者'!$D$119)/'集計_障がい者'!$F$119)</f>
        <v>0.35</v>
      </c>
      <c r="I33" s="4" t="inlineStr">
        <is>
          <t>問14</t>
        </is>
      </c>
    </row>
    <row r="34" ht="17" customHeight="1">
      <c r="B34" s="4" t="inlineStr">
        <is>
          <t>相談</t>
        </is>
      </c>
      <c r="C34" s="5" t="inlineStr">
        <is>
          <t>困ったときの相談相手「家族・親族」</t>
        </is>
      </c>
      <c r="D34" s="8" t="n"/>
      <c r="E34" s="8" t="n"/>
      <c r="F34" s="8" t="n"/>
      <c r="G34" s="9" t="n"/>
      <c r="H34" s="16">
        <f>IF('集計_障がい者'!$F$184=0,0,SUM('集計_障がい者'!$D$184)/'集計_障がい者'!$F$184)</f>
        <v>0.775</v>
      </c>
      <c r="I34" s="4" t="inlineStr">
        <is>
          <t>問22</t>
        </is>
      </c>
    </row>
    <row r="35" ht="17" customHeight="1">
      <c r="B35" s="4" t="inlineStr">
        <is>
          <t>相談</t>
        </is>
      </c>
      <c r="C35" s="5" t="inlineStr">
        <is>
          <t>相談支援への期待「わかりやすい情報提供」</t>
        </is>
      </c>
      <c r="D35" s="8" t="n"/>
      <c r="E35" s="8" t="n"/>
      <c r="F35" s="8" t="n"/>
      <c r="G35" s="9" t="n"/>
      <c r="H35" s="16">
        <f>IF('集計_障がい者'!$F$229=0,0,SUM('集計_障がい者'!$D$229)/'集計_障がい者'!$F$229)</f>
        <v>0.35</v>
      </c>
      <c r="I35" s="4" t="inlineStr">
        <is>
          <t>問26</t>
        </is>
      </c>
    </row>
    <row r="36" ht="17" customHeight="1">
      <c r="B36" s="4" t="inlineStr">
        <is>
          <t>意思決定支援</t>
        </is>
      </c>
      <c r="C36" s="5" t="inlineStr">
        <is>
          <t>「必要である」＋「将来的には必要になると思う」</t>
        </is>
      </c>
      <c r="D36" s="8" t="n"/>
      <c r="E36" s="8" t="n"/>
      <c r="F36" s="8" t="n"/>
      <c r="G36" s="9" t="n"/>
      <c r="H36" s="16">
        <f>IF('集計_障がい者'!$F$179=0,0,SUM('集計_障がい者'!$D$179,'集計_障がい者'!$D$180)/'集計_障がい者'!$F$179)</f>
        <v>0.5</v>
      </c>
      <c r="I36" s="4" t="inlineStr">
        <is>
          <t>問21</t>
        </is>
      </c>
    </row>
    <row r="37" ht="17" customHeight="1">
      <c r="B37" s="4" t="inlineStr">
        <is>
          <t>サービス</t>
        </is>
      </c>
      <c r="C37" s="5" t="inlineStr">
        <is>
          <t>現在利用しているサービスは「特にない」</t>
        </is>
      </c>
      <c r="D37" s="8" t="n"/>
      <c r="E37" s="8" t="n"/>
      <c r="F37" s="8" t="n"/>
      <c r="G37" s="9" t="n"/>
      <c r="H37" s="16">
        <f>IF('集計_障がい者'!$F$250=0,0,SUM('集計_障がい者'!$D$250)/'集計_障がい者'!$F$250)</f>
        <v>0.45</v>
      </c>
      <c r="I37" s="4" t="inlineStr">
        <is>
          <t>問27-1</t>
        </is>
      </c>
    </row>
    <row r="38" ht="17" customHeight="1">
      <c r="B38" s="4" t="inlineStr">
        <is>
          <t>サービス</t>
        </is>
      </c>
      <c r="C38" s="5" t="inlineStr">
        <is>
          <t>今後3年間で「施設入所支援」を利用したい</t>
        </is>
      </c>
      <c r="D38" s="8" t="n"/>
      <c r="E38" s="8" t="n"/>
      <c r="F38" s="8" t="n"/>
      <c r="G38" s="9" t="n"/>
      <c r="H38" s="16">
        <f>IF('集計_障がい者'!$F$284=0,0,SUM('集計_障がい者'!$D$284)/'集計_障がい者'!$F$284)</f>
        <v>0.225</v>
      </c>
      <c r="I38" s="4" t="inlineStr">
        <is>
          <t>問27-3</t>
        </is>
      </c>
    </row>
    <row r="39" ht="17" customHeight="1">
      <c r="B39" s="4" t="inlineStr">
        <is>
          <t>地域生活支援拠点</t>
        </is>
      </c>
      <c r="C39" s="5" t="inlineStr">
        <is>
          <t>期待する機能「緊急時の受入れ」</t>
        </is>
      </c>
      <c r="D39" s="8" t="n"/>
      <c r="E39" s="8" t="n"/>
      <c r="F39" s="8" t="n"/>
      <c r="G39" s="9" t="n"/>
      <c r="H39" s="16">
        <f>IF('集計_障がい者'!$F$303=0,0,SUM('集計_障がい者'!$D$303)/'集計_障がい者'!$F$303)</f>
        <v>0.35</v>
      </c>
      <c r="I39" s="4" t="inlineStr">
        <is>
          <t>問29</t>
        </is>
      </c>
    </row>
    <row r="40" ht="17" customHeight="1">
      <c r="B40" s="4" t="inlineStr">
        <is>
          <t>権利擁護</t>
        </is>
      </c>
      <c r="C40" s="5" t="inlineStr">
        <is>
          <t>差別・偏見・不利益を感じたことがある</t>
        </is>
      </c>
      <c r="D40" s="8" t="n"/>
      <c r="E40" s="8" t="n"/>
      <c r="F40" s="8" t="n"/>
      <c r="G40" s="9" t="n"/>
      <c r="H40" s="16">
        <f>IF('集計_障がい者'!$F$351=0,0,SUM('集計_障がい者'!$D$351,'集計_障がい者'!$D$352,'集計_障がい者'!$D$353)/'集計_障がい者'!$F$351)</f>
        <v>0.225</v>
      </c>
      <c r="I40" s="4" t="inlineStr">
        <is>
          <t>問34</t>
        </is>
      </c>
    </row>
    <row r="41" ht="17" customHeight="1">
      <c r="B41" s="4" t="inlineStr">
        <is>
          <t>権利擁護</t>
        </is>
      </c>
      <c r="C41" s="5" t="inlineStr">
        <is>
          <t>成年後見制度等を「知らない」</t>
        </is>
      </c>
      <c r="D41" s="8" t="n"/>
      <c r="E41" s="8" t="n"/>
      <c r="F41" s="8" t="n"/>
      <c r="G41" s="9" t="n"/>
      <c r="H41" s="16">
        <f>IF('集計_障がい者'!$F$383=0,0,SUM('集計_障がい者'!$D$383)/'集計_障がい者'!$F$383)</f>
        <v>0.375</v>
      </c>
      <c r="I41" s="4" t="inlineStr">
        <is>
          <t>問37</t>
        </is>
      </c>
    </row>
    <row r="42" ht="17" customHeight="1">
      <c r="B42" s="4" t="inlineStr">
        <is>
          <t>災害</t>
        </is>
      </c>
      <c r="C42" s="5" t="inlineStr">
        <is>
          <t>避難行動要支援者名簿・個別避難計画を「知らない」</t>
        </is>
      </c>
      <c r="D42" s="8" t="n"/>
      <c r="E42" s="8" t="n"/>
      <c r="F42" s="8" t="n"/>
      <c r="G42" s="9" t="n"/>
      <c r="H42" s="16">
        <f>IF('集計_障がい者'!$F$398=0,0,SUM('集計_障がい者'!$D$398)/'集計_障がい者'!$F$398)</f>
        <v>0.7</v>
      </c>
      <c r="I42" s="4" t="inlineStr">
        <is>
          <t>問39</t>
        </is>
      </c>
    </row>
    <row r="43" ht="17" customHeight="1">
      <c r="B43" s="4" t="inlineStr">
        <is>
          <t>災害</t>
        </is>
      </c>
      <c r="C43" s="5" t="inlineStr">
        <is>
          <t>災害時の不安「避難先での生活」</t>
        </is>
      </c>
      <c r="D43" s="8" t="n"/>
      <c r="E43" s="8" t="n"/>
      <c r="F43" s="8" t="n"/>
      <c r="G43" s="9" t="n"/>
      <c r="H43" s="16">
        <f>IF('集計_障がい者'!$F$386=0,0,SUM('集計_障がい者'!$D$386)/'集計_障がい者'!$F$386)</f>
        <v>0.625</v>
      </c>
      <c r="I43" s="4" t="inlineStr">
        <is>
          <t>問38</t>
        </is>
      </c>
    </row>
    <row r="44" ht="17" customHeight="1">
      <c r="B44" s="4" t="inlineStr">
        <is>
          <t>村の施策</t>
        </is>
      </c>
      <c r="C44" s="5" t="inlineStr">
        <is>
          <t>力を入れるべきこと「相談支援体制」</t>
        </is>
      </c>
      <c r="D44" s="8" t="n"/>
      <c r="E44" s="8" t="n"/>
      <c r="F44" s="8" t="n"/>
      <c r="G44" s="9" t="n"/>
      <c r="H44" s="16">
        <f>IF('集計_障がい者'!$F$440=0,0,SUM('集計_障がい者'!$D$440)/'集計_障がい者'!$F$440)</f>
        <v>0.375</v>
      </c>
      <c r="I44" s="4" t="inlineStr">
        <is>
          <t>問44</t>
        </is>
      </c>
    </row>
    <row r="45" ht="27" customHeight="1">
      <c r="B45" s="17" t="inlineStr">
        <is>
          <t>※意思決定支援は問21の「必要である」と「今は必要ないが、将来的には必要になると思う」の合計、差別・偏見は問34の「週に１回程度」「月に１回程度」「年に１回程度」の合計です。</t>
        </is>
      </c>
    </row>
  </sheetData>
  <mergeCells count="60">
    <mergeCell ref="C16:E16"/>
    <mergeCell ref="F20:H20"/>
    <mergeCell ref="C30:G30"/>
    <mergeCell ref="C34:G34"/>
    <mergeCell ref="C20:E20"/>
    <mergeCell ref="F21:H21"/>
    <mergeCell ref="C8:F8"/>
    <mergeCell ref="F18:H18"/>
    <mergeCell ref="C42:G42"/>
    <mergeCell ref="G4:J4"/>
    <mergeCell ref="C22:E22"/>
    <mergeCell ref="C33:G33"/>
    <mergeCell ref="C7:F7"/>
    <mergeCell ref="F17:H17"/>
    <mergeCell ref="C21:E21"/>
    <mergeCell ref="C12:E12"/>
    <mergeCell ref="F23:H23"/>
    <mergeCell ref="C29:G29"/>
    <mergeCell ref="C35:G35"/>
    <mergeCell ref="G9:J9"/>
    <mergeCell ref="C3:F3"/>
    <mergeCell ref="F22:H22"/>
    <mergeCell ref="F13:H13"/>
    <mergeCell ref="C23:E23"/>
    <mergeCell ref="C6:F6"/>
    <mergeCell ref="C41:G41"/>
    <mergeCell ref="C44:G44"/>
    <mergeCell ref="C17:E17"/>
    <mergeCell ref="C31:G31"/>
    <mergeCell ref="C5:F5"/>
    <mergeCell ref="C40:G40"/>
    <mergeCell ref="C43:G43"/>
    <mergeCell ref="C13:E13"/>
    <mergeCell ref="F14:H14"/>
    <mergeCell ref="C19:E19"/>
    <mergeCell ref="C4:F4"/>
    <mergeCell ref="G8:J8"/>
    <mergeCell ref="C18:E18"/>
    <mergeCell ref="G7:J7"/>
    <mergeCell ref="C36:G36"/>
    <mergeCell ref="C39:G39"/>
    <mergeCell ref="C15:E15"/>
    <mergeCell ref="C24:E24"/>
    <mergeCell ref="F25:H25"/>
    <mergeCell ref="G6:J6"/>
    <mergeCell ref="C9:F9"/>
    <mergeCell ref="F16:H16"/>
    <mergeCell ref="C14:E14"/>
    <mergeCell ref="F19:H19"/>
    <mergeCell ref="G3:J3"/>
    <mergeCell ref="C32:G32"/>
    <mergeCell ref="C38:G38"/>
    <mergeCell ref="C28:G28"/>
    <mergeCell ref="C37:G37"/>
    <mergeCell ref="F12:H12"/>
    <mergeCell ref="B45:I45"/>
    <mergeCell ref="F15:H15"/>
    <mergeCell ref="G5:J5"/>
    <mergeCell ref="C25:E25"/>
    <mergeCell ref="F24:H24"/>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B2:J214"/>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図3-1　調査票の記入者（問1）</t>
        </is>
      </c>
    </row>
    <row r="3">
      <c r="B3" s="18" t="str">
        <f>"n="&amp;'集計_障がい者'!$F$5&amp;"（単一回答）"</f>
        <v>n=40（単一回答）</v>
      </c>
    </row>
    <row r="4" ht="18" customHeight="1">
      <c r="B4" s="3" t="inlineStr">
        <is>
          <t>選択肢</t>
        </is>
      </c>
      <c r="C4" s="3" t="inlineStr">
        <is>
          <t>件数</t>
        </is>
      </c>
      <c r="D4" s="3" t="inlineStr">
        <is>
          <t>割合</t>
        </is>
      </c>
    </row>
    <row r="5" ht="17" customHeight="1">
      <c r="B5" s="5" t="inlineStr">
        <is>
          <t>宛名のご本人</t>
        </is>
      </c>
      <c r="C5" s="19">
        <f>'集計_障がい者'!$D$5</f>
        <v>25</v>
      </c>
      <c r="D5" s="20">
        <f>'集計_障がい者'!$E$5</f>
        <v>0.625</v>
      </c>
    </row>
    <row r="6" ht="17" customHeight="1">
      <c r="B6" s="5" t="inlineStr">
        <is>
          <t>ご家族</t>
        </is>
      </c>
      <c r="C6" s="19">
        <f>'集計_障がい者'!$D$6</f>
        <v>9</v>
      </c>
      <c r="D6" s="20">
        <f>'集計_障がい者'!$E$6</f>
        <v>0.225</v>
      </c>
    </row>
    <row r="7" ht="17" customHeight="1">
      <c r="B7" s="5" t="inlineStr">
        <is>
          <t>支援者・事業所職員</t>
        </is>
      </c>
      <c r="C7" s="19">
        <f>'集計_障がい者'!$D$7</f>
        <v>4</v>
      </c>
      <c r="D7" s="20">
        <f>'集計_障がい者'!$E$7</f>
        <v>0.1</v>
      </c>
    </row>
    <row r="8" ht="17" customHeight="1">
      <c r="B8" s="5" t="inlineStr">
        <is>
          <t>その他</t>
        </is>
      </c>
      <c r="C8" s="19">
        <f>'集計_障がい者'!$D$8</f>
        <v>1</v>
      </c>
      <c r="D8" s="20">
        <f>'集計_障がい者'!$E$8</f>
        <v>0.025</v>
      </c>
    </row>
    <row r="9" ht="17" customHeight="1">
      <c r="B9" s="5" t="inlineStr">
        <is>
          <t>無回答</t>
        </is>
      </c>
      <c r="C9" s="19">
        <f>'集計_障がい者'!$D$9</f>
        <v>1</v>
      </c>
      <c r="D9" s="20">
        <f>'集計_障がい者'!$E$9</f>
        <v>0.025</v>
      </c>
    </row>
    <row r="10"/>
    <row r="13" ht="21" customHeight="1">
      <c r="B13" s="7" t="inlineStr">
        <is>
          <t>図3-2　回答への本人意向の反映（問1-2）</t>
        </is>
      </c>
    </row>
    <row r="14">
      <c r="B14" s="18" t="str">
        <f>"n="&amp;'集計_障がい者'!$F$10&amp;"（単一回答）"</f>
        <v>n=40（単一回答）</v>
      </c>
    </row>
    <row r="15" ht="18" customHeight="1">
      <c r="B15" s="3" t="inlineStr">
        <is>
          <t>選択肢</t>
        </is>
      </c>
      <c r="C15" s="3" t="inlineStr">
        <is>
          <t>件数</t>
        </is>
      </c>
      <c r="D15" s="3" t="inlineStr">
        <is>
          <t>割合</t>
        </is>
      </c>
    </row>
    <row r="16" ht="17" customHeight="1">
      <c r="B16" s="5" t="inlineStr">
        <is>
          <t>本人が回答した</t>
        </is>
      </c>
      <c r="C16" s="19">
        <f>'集計_障がい者'!$D$10</f>
        <v>23</v>
      </c>
      <c r="D16" s="20">
        <f>'集計_障がい者'!$E$10</f>
        <v>0.575</v>
      </c>
    </row>
    <row r="17" ht="17" customHeight="1">
      <c r="B17" s="5" t="inlineStr">
        <is>
          <t>本人に確認して代理記入した</t>
        </is>
      </c>
      <c r="C17" s="19">
        <f>'集計_障がい者'!$D$11</f>
        <v>8</v>
      </c>
      <c r="D17" s="20">
        <f>'集計_障がい者'!$E$11</f>
        <v>0.2</v>
      </c>
    </row>
    <row r="18" ht="30" customHeight="1">
      <c r="B18" s="5" t="inlineStr">
        <is>
          <t>本人の様子や日頃の意向を踏まえて代理記入した</t>
        </is>
      </c>
      <c r="C18" s="19">
        <f>'集計_障がい者'!$D$12</f>
        <v>2</v>
      </c>
      <c r="D18" s="20">
        <f>'集計_障がい者'!$E$12</f>
        <v>0.05</v>
      </c>
    </row>
    <row r="19" ht="30" customHeight="1">
      <c r="B19" s="5" t="inlineStr">
        <is>
          <t>本人に確認することが難しく、家族・支援者の判断で記入した</t>
        </is>
      </c>
      <c r="C19" s="19">
        <f>'集計_障がい者'!$D$13</f>
        <v>6</v>
      </c>
      <c r="D19" s="20">
        <f>'集計_障がい者'!$E$13</f>
        <v>0.15</v>
      </c>
    </row>
    <row r="20" ht="17" customHeight="1">
      <c r="B20" s="5" t="inlineStr">
        <is>
          <t>その他</t>
        </is>
      </c>
      <c r="C20" s="19">
        <f>'集計_障がい者'!$D$14</f>
        <v>0</v>
      </c>
      <c r="D20" s="20">
        <f>'集計_障がい者'!$E$14</f>
        <v>0</v>
      </c>
    </row>
    <row r="21" ht="17" customHeight="1">
      <c r="B21" s="5" t="inlineStr">
        <is>
          <t>無回答</t>
        </is>
      </c>
      <c r="C21" s="19">
        <f>'集計_障がい者'!$D$15</f>
        <v>1</v>
      </c>
      <c r="D21" s="20">
        <f>'集計_障がい者'!$E$15</f>
        <v>0.025</v>
      </c>
    </row>
    <row r="24" ht="21" customHeight="1">
      <c r="B24" s="7" t="inlineStr">
        <is>
          <t>図3-3　年齢（問2）</t>
        </is>
      </c>
    </row>
    <row r="25">
      <c r="B25" s="18" t="str">
        <f>"n="&amp;'集計_障がい者'!$F$16&amp;"（単一回答）"</f>
        <v>n=40（単一回答）</v>
      </c>
    </row>
    <row r="26" ht="18" customHeight="1">
      <c r="B26" s="3" t="inlineStr">
        <is>
          <t>選択肢</t>
        </is>
      </c>
      <c r="C26" s="3" t="inlineStr">
        <is>
          <t>件数</t>
        </is>
      </c>
      <c r="D26" s="3" t="inlineStr">
        <is>
          <t>割合</t>
        </is>
      </c>
    </row>
    <row r="27" ht="17" customHeight="1">
      <c r="B27" s="5" t="inlineStr">
        <is>
          <t>18～29歳</t>
        </is>
      </c>
      <c r="C27" s="19">
        <f>'集計_障がい者'!$D$16</f>
        <v>0</v>
      </c>
      <c r="D27" s="20">
        <f>'集計_障がい者'!$E$16</f>
        <v>0</v>
      </c>
    </row>
    <row r="28" ht="17" customHeight="1">
      <c r="B28" s="5" t="inlineStr">
        <is>
          <t>30～39歳</t>
        </is>
      </c>
      <c r="C28" s="19">
        <f>'集計_障がい者'!$D$17</f>
        <v>3</v>
      </c>
      <c r="D28" s="20">
        <f>'集計_障がい者'!$E$17</f>
        <v>0.075</v>
      </c>
    </row>
    <row r="29" ht="17" customHeight="1">
      <c r="B29" s="5" t="inlineStr">
        <is>
          <t>40～49歳</t>
        </is>
      </c>
      <c r="C29" s="19">
        <f>'集計_障がい者'!$D$18</f>
        <v>2</v>
      </c>
      <c r="D29" s="20">
        <f>'集計_障がい者'!$E$18</f>
        <v>0.05</v>
      </c>
    </row>
    <row r="30" ht="17" customHeight="1">
      <c r="B30" s="5" t="inlineStr">
        <is>
          <t>50～64歳</t>
        </is>
      </c>
      <c r="C30" s="19">
        <f>'集計_障がい者'!$D$19</f>
        <v>8</v>
      </c>
      <c r="D30" s="20">
        <f>'集計_障がい者'!$E$19</f>
        <v>0.2</v>
      </c>
    </row>
    <row r="31" ht="17" customHeight="1">
      <c r="B31" s="5" t="inlineStr">
        <is>
          <t>65歳以上</t>
        </is>
      </c>
      <c r="C31" s="19">
        <f>'集計_障がい者'!$D$20</f>
        <v>26</v>
      </c>
      <c r="D31" s="20">
        <f>'集計_障がい者'!$E$20</f>
        <v>0.65</v>
      </c>
    </row>
    <row r="32" ht="17" customHeight="1">
      <c r="B32" s="5" t="inlineStr">
        <is>
          <t>無回答</t>
        </is>
      </c>
      <c r="C32" s="19">
        <f>'集計_障がい者'!$D$21</f>
        <v>1</v>
      </c>
      <c r="D32" s="20">
        <f>'集計_障がい者'!$E$21</f>
        <v>0.025</v>
      </c>
    </row>
    <row r="35" ht="21" customHeight="1">
      <c r="B35" s="7" t="inlineStr">
        <is>
          <t>図3-4　年齢【障がい別】（問2）</t>
        </is>
      </c>
    </row>
    <row r="36"/>
    <row r="37" ht="18" customHeight="1">
      <c r="B37" s="3" t="inlineStr">
        <is>
          <t>区分</t>
        </is>
      </c>
      <c r="C37" s="3" t="inlineStr">
        <is>
          <t>18～29歳</t>
        </is>
      </c>
      <c r="D37" s="3" t="inlineStr">
        <is>
          <t>30～39歳</t>
        </is>
      </c>
      <c r="E37" s="3" t="inlineStr">
        <is>
          <t>40～49歳</t>
        </is>
      </c>
      <c r="F37" s="3" t="inlineStr">
        <is>
          <t>50～64歳</t>
        </is>
      </c>
      <c r="G37" s="3" t="inlineStr">
        <is>
          <t>65歳以上</t>
        </is>
      </c>
      <c r="H37" s="3" t="inlineStr">
        <is>
          <t>無回答</t>
        </is>
      </c>
    </row>
    <row r="38" ht="17" customHeight="1">
      <c r="B38" s="5" t="inlineStr">
        <is>
          <t>全体</t>
        </is>
      </c>
      <c r="C38" s="20">
        <f>'集計_障がい者'!$E$16</f>
        <v>0</v>
      </c>
      <c r="D38" s="20">
        <f>'集計_障がい者'!$E$17</f>
        <v>0.075</v>
      </c>
      <c r="E38" s="20">
        <f>'集計_障がい者'!$E$18</f>
        <v>0.05</v>
      </c>
      <c r="F38" s="20">
        <f>'集計_障がい者'!$E$19</f>
        <v>0.2</v>
      </c>
      <c r="G38" s="20">
        <f>'集計_障がい者'!$E$20</f>
        <v>0.65</v>
      </c>
      <c r="H38" s="20">
        <f>'集計_障がい者'!$E$21</f>
        <v>0.025</v>
      </c>
    </row>
    <row r="39" ht="17" customHeight="1">
      <c r="B39" s="5" t="inlineStr">
        <is>
          <t>身体障がい（n=29）</t>
        </is>
      </c>
      <c r="C39" s="20">
        <f>'集計_障がい別'!$G$17</f>
        <v>0</v>
      </c>
      <c r="D39" s="20">
        <f>'集計_障がい別'!$G$18</f>
        <v>0.0344827586206897</v>
      </c>
      <c r="E39" s="20">
        <f>'集計_障がい別'!$G$19</f>
        <v>0.0344827586206897</v>
      </c>
      <c r="F39" s="20">
        <f>'集計_障がい別'!$G$20</f>
        <v>0.172413793103448</v>
      </c>
      <c r="G39" s="20">
        <f>'集計_障がい別'!$G$21</f>
        <v>0.724137931034483</v>
      </c>
      <c r="H39" s="20">
        <f>'集計_障がい別'!$G$22</f>
        <v>0.0344827586206897</v>
      </c>
    </row>
    <row r="40" ht="17" customHeight="1">
      <c r="B40" s="5" t="inlineStr">
        <is>
          <t>知的障がい（n=2）</t>
        </is>
      </c>
      <c r="C40" s="20">
        <f>'集計_障がい別'!$H$17</f>
        <v>0</v>
      </c>
      <c r="D40" s="20">
        <f>'集計_障がい別'!$H$18</f>
        <v>0</v>
      </c>
      <c r="E40" s="20">
        <f>'集計_障がい別'!$H$19</f>
        <v>0</v>
      </c>
      <c r="F40" s="20">
        <f>'集計_障がい別'!$H$20</f>
        <v>0.5</v>
      </c>
      <c r="G40" s="20">
        <f>'集計_障がい別'!$H$21</f>
        <v>0.5</v>
      </c>
      <c r="H40" s="20">
        <f>'集計_障がい別'!$H$22</f>
        <v>0</v>
      </c>
    </row>
    <row r="41" ht="17" customHeight="1">
      <c r="B41" s="5" t="inlineStr">
        <is>
          <t>精神障がい（n=6）</t>
        </is>
      </c>
      <c r="C41" s="20">
        <f>'集計_障がい別'!$I$17</f>
        <v>0</v>
      </c>
      <c r="D41" s="20">
        <f>'集計_障がい別'!$I$18</f>
        <v>0.333333333333333</v>
      </c>
      <c r="E41" s="20">
        <f>'集計_障がい別'!$I$19</f>
        <v>0.166666666666667</v>
      </c>
      <c r="F41" s="20">
        <f>'集計_障がい別'!$I$20</f>
        <v>0.333333333333333</v>
      </c>
      <c r="G41" s="20">
        <f>'集計_障がい別'!$I$21</f>
        <v>0.166666666666667</v>
      </c>
      <c r="H41" s="20">
        <f>'集計_障がい別'!$I$22</f>
        <v>0</v>
      </c>
    </row>
    <row r="42"/>
    <row r="43"/>
    <row r="44"/>
    <row r="45"/>
    <row r="46"/>
    <row r="47"/>
    <row r="50" ht="21" customHeight="1">
      <c r="B50" s="7" t="inlineStr">
        <is>
          <t>図3-5　お住まいの地区（問3）</t>
        </is>
      </c>
    </row>
    <row r="51">
      <c r="B51" s="18" t="str">
        <f>"n="&amp;'集計_障がい者'!$F$22&amp;"（単一回答）"</f>
        <v>n=40（単一回答）</v>
      </c>
    </row>
    <row r="52" ht="18" customHeight="1">
      <c r="B52" s="3" t="inlineStr">
        <is>
          <t>選択肢</t>
        </is>
      </c>
      <c r="C52" s="3" t="inlineStr">
        <is>
          <t>件数</t>
        </is>
      </c>
      <c r="D52" s="3" t="inlineStr">
        <is>
          <t>割合</t>
        </is>
      </c>
    </row>
    <row r="53" ht="17" customHeight="1">
      <c r="B53" s="5" t="inlineStr">
        <is>
          <t>北山地区</t>
        </is>
      </c>
      <c r="C53" s="19">
        <f>'集計_障がい者'!$D$22</f>
        <v>17</v>
      </c>
      <c r="D53" s="20">
        <f>'集計_障がい者'!$E$22</f>
        <v>0.425</v>
      </c>
    </row>
    <row r="54" ht="17" customHeight="1">
      <c r="B54" s="5" t="inlineStr">
        <is>
          <t>大塩地区</t>
        </is>
      </c>
      <c r="C54" s="19">
        <f>'集計_障がい者'!$D$23</f>
        <v>8</v>
      </c>
      <c r="D54" s="20">
        <f>'集計_障がい者'!$E$23</f>
        <v>0.2</v>
      </c>
    </row>
    <row r="55" ht="17" customHeight="1">
      <c r="B55" s="5" t="inlineStr">
        <is>
          <t>桧原地区</t>
        </is>
      </c>
      <c r="C55" s="19">
        <f>'集計_障がい者'!$D$24</f>
        <v>3</v>
      </c>
      <c r="D55" s="20">
        <f>'集計_障がい者'!$E$24</f>
        <v>0.075</v>
      </c>
    </row>
    <row r="56" ht="17" customHeight="1">
      <c r="B56" s="5" t="inlineStr">
        <is>
          <t>裏磐梯地区</t>
        </is>
      </c>
      <c r="C56" s="19">
        <f>'集計_障がい者'!$D$25</f>
        <v>11</v>
      </c>
      <c r="D56" s="20">
        <f>'集計_障がい者'!$E$25</f>
        <v>0.275</v>
      </c>
    </row>
    <row r="57" ht="17" customHeight="1">
      <c r="B57" s="5" t="inlineStr">
        <is>
          <t>その他</t>
        </is>
      </c>
      <c r="C57" s="19">
        <f>'集計_障がい者'!$D$26</f>
        <v>1</v>
      </c>
      <c r="D57" s="20">
        <f>'集計_障がい者'!$E$26</f>
        <v>0.025</v>
      </c>
    </row>
    <row r="58" ht="17" customHeight="1">
      <c r="B58" s="5" t="inlineStr">
        <is>
          <t>無回答</t>
        </is>
      </c>
      <c r="C58" s="19">
        <f>'集計_障がい者'!$D$27</f>
        <v>0</v>
      </c>
      <c r="D58" s="20">
        <f>'集計_障がい者'!$E$27</f>
        <v>0</v>
      </c>
    </row>
    <row r="61" ht="21" customHeight="1">
      <c r="B61" s="7" t="inlineStr">
        <is>
          <t>図3-6　性別（問4）</t>
        </is>
      </c>
    </row>
    <row r="62">
      <c r="B62" s="18" t="str">
        <f>"n="&amp;'集計_障がい者'!$F$28&amp;"（単一回答）"</f>
        <v>n=40（単一回答）</v>
      </c>
    </row>
    <row r="63" ht="18" customHeight="1">
      <c r="B63" s="3" t="inlineStr">
        <is>
          <t>選択肢</t>
        </is>
      </c>
      <c r="C63" s="3" t="inlineStr">
        <is>
          <t>件数</t>
        </is>
      </c>
      <c r="D63" s="3" t="inlineStr">
        <is>
          <t>割合</t>
        </is>
      </c>
    </row>
    <row r="64" ht="17" customHeight="1">
      <c r="B64" s="5" t="inlineStr">
        <is>
          <t>男性</t>
        </is>
      </c>
      <c r="C64" s="19">
        <f>'集計_障がい者'!$D$28</f>
        <v>17</v>
      </c>
      <c r="D64" s="20">
        <f>'集計_障がい者'!$E$28</f>
        <v>0.425</v>
      </c>
    </row>
    <row r="65" ht="17" customHeight="1">
      <c r="B65" s="5" t="inlineStr">
        <is>
          <t>女性</t>
        </is>
      </c>
      <c r="C65" s="19">
        <f>'集計_障がい者'!$D$29</f>
        <v>23</v>
      </c>
      <c r="D65" s="20">
        <f>'集計_障がい者'!$E$29</f>
        <v>0.575</v>
      </c>
    </row>
    <row r="66" ht="17" customHeight="1">
      <c r="B66" s="5" t="inlineStr">
        <is>
          <t>回答しない</t>
        </is>
      </c>
      <c r="C66" s="19">
        <f>'集計_障がい者'!$D$30</f>
        <v>0</v>
      </c>
      <c r="D66" s="20">
        <f>'集計_障がい者'!$E$30</f>
        <v>0</v>
      </c>
    </row>
    <row r="67" ht="17" customHeight="1">
      <c r="B67" s="5" t="inlineStr">
        <is>
          <t>無回答</t>
        </is>
      </c>
      <c r="C67" s="19">
        <f>'集計_障がい者'!$D$31</f>
        <v>0</v>
      </c>
      <c r="D67" s="20">
        <f>'集計_障がい者'!$E$31</f>
        <v>0</v>
      </c>
    </row>
    <row r="68"/>
    <row r="69"/>
    <row r="72" ht="21" customHeight="1">
      <c r="B72" s="7" t="inlineStr">
        <is>
          <t>図3-7　性別【障がい別】（問4）</t>
        </is>
      </c>
    </row>
    <row r="73"/>
    <row r="74" ht="18" customHeight="1">
      <c r="B74" s="3" t="inlineStr">
        <is>
          <t>区分</t>
        </is>
      </c>
      <c r="C74" s="3" t="inlineStr">
        <is>
          <t>男性</t>
        </is>
      </c>
      <c r="D74" s="3" t="inlineStr">
        <is>
          <t>女性</t>
        </is>
      </c>
      <c r="E74" s="3" t="inlineStr">
        <is>
          <t>回答しない</t>
        </is>
      </c>
      <c r="F74" s="3" t="inlineStr">
        <is>
          <t>無回答</t>
        </is>
      </c>
    </row>
    <row r="75" ht="17" customHeight="1">
      <c r="B75" s="5" t="inlineStr">
        <is>
          <t>全体</t>
        </is>
      </c>
      <c r="C75" s="20">
        <f>'集計_障がい者'!$E$28</f>
        <v>0.425</v>
      </c>
      <c r="D75" s="20">
        <f>'集計_障がい者'!$E$29</f>
        <v>0.575</v>
      </c>
      <c r="E75" s="20">
        <f>'集計_障がい者'!$E$30</f>
        <v>0</v>
      </c>
      <c r="F75" s="20">
        <f>'集計_障がい者'!$E$31</f>
        <v>0</v>
      </c>
    </row>
    <row r="76" ht="17" customHeight="1">
      <c r="B76" s="5" t="inlineStr">
        <is>
          <t>身体障がい（n=29）</t>
        </is>
      </c>
      <c r="C76" s="20">
        <f>'集計_障がい別'!$G$29</f>
        <v>0.344827586206897</v>
      </c>
      <c r="D76" s="20">
        <f>'集計_障がい別'!$G$30</f>
        <v>0.655172413793103</v>
      </c>
      <c r="E76" s="20">
        <f>'集計_障がい別'!$G$31</f>
        <v>0</v>
      </c>
      <c r="F76" s="20">
        <f>'集計_障がい別'!$G$32</f>
        <v>0</v>
      </c>
    </row>
    <row r="77" ht="17" customHeight="1">
      <c r="B77" s="5" t="inlineStr">
        <is>
          <t>知的障がい（n=2）</t>
        </is>
      </c>
      <c r="C77" s="20">
        <f>'集計_障がい別'!$H$29</f>
        <v>0.5</v>
      </c>
      <c r="D77" s="20">
        <f>'集計_障がい別'!$H$30</f>
        <v>0.5</v>
      </c>
      <c r="E77" s="20">
        <f>'集計_障がい別'!$H$31</f>
        <v>0</v>
      </c>
      <c r="F77" s="20">
        <f>'集計_障がい別'!$H$32</f>
        <v>0</v>
      </c>
    </row>
    <row r="78" ht="17" customHeight="1">
      <c r="B78" s="5" t="inlineStr">
        <is>
          <t>精神障がい（n=6）</t>
        </is>
      </c>
      <c r="C78" s="20">
        <f>'集計_障がい別'!$I$29</f>
        <v>0.833333333333333</v>
      </c>
      <c r="D78" s="20">
        <f>'集計_障がい別'!$I$30</f>
        <v>0.166666666666667</v>
      </c>
      <c r="E78" s="20">
        <f>'集計_障がい別'!$I$31</f>
        <v>0</v>
      </c>
      <c r="F78" s="20">
        <f>'集計_障がい別'!$I$32</f>
        <v>0</v>
      </c>
    </row>
    <row r="79"/>
    <row r="80"/>
    <row r="81"/>
    <row r="82"/>
    <row r="83"/>
    <row r="84"/>
    <row r="87" ht="21" customHeight="1">
      <c r="B87" s="7" t="inlineStr">
        <is>
          <t>図3-8　所持している手帳等（問5）</t>
        </is>
      </c>
    </row>
    <row r="88">
      <c r="B88" s="18" t="str">
        <f>"n="&amp;'集計_障がい者'!$F$32&amp;"（複数回答）"</f>
        <v>n=40（複数回答）</v>
      </c>
    </row>
    <row r="89" ht="18" customHeight="1">
      <c r="B89" s="3" t="inlineStr">
        <is>
          <t>選択肢</t>
        </is>
      </c>
      <c r="C89" s="3" t="inlineStr">
        <is>
          <t>件数</t>
        </is>
      </c>
      <c r="D89" s="3" t="inlineStr">
        <is>
          <t>割合</t>
        </is>
      </c>
    </row>
    <row r="90" ht="17" customHeight="1">
      <c r="B90" s="5" t="inlineStr">
        <is>
          <t>身体障がい者手帳</t>
        </is>
      </c>
      <c r="C90" s="19">
        <f>'集計_障がい者'!$D$32</f>
        <v>29</v>
      </c>
      <c r="D90" s="20">
        <f>'集計_障がい者'!$E$32</f>
        <v>0.725</v>
      </c>
    </row>
    <row r="91" ht="17" customHeight="1">
      <c r="B91" s="5" t="inlineStr">
        <is>
          <t>療育手帳</t>
        </is>
      </c>
      <c r="C91" s="19">
        <f>'集計_障がい者'!$D$33</f>
        <v>2</v>
      </c>
      <c r="D91" s="20">
        <f>'集計_障がい者'!$E$33</f>
        <v>0.05</v>
      </c>
    </row>
    <row r="92" ht="17" customHeight="1">
      <c r="B92" s="5" t="inlineStr">
        <is>
          <t>精神障がい者保健福祉手帳</t>
        </is>
      </c>
      <c r="C92" s="19">
        <f>'集計_障がい者'!$D$34</f>
        <v>6</v>
      </c>
      <c r="D92" s="20">
        <f>'集計_障がい者'!$E$34</f>
        <v>0.15</v>
      </c>
    </row>
    <row r="93" ht="17" customHeight="1">
      <c r="B93" s="5" t="inlineStr">
        <is>
          <t>自立支援医療受給者証</t>
        </is>
      </c>
      <c r="C93" s="19">
        <f>'集計_障がい者'!$D$35</f>
        <v>5</v>
      </c>
      <c r="D93" s="20">
        <f>'集計_障がい者'!$E$35</f>
        <v>0.125</v>
      </c>
    </row>
    <row r="94" ht="17" customHeight="1">
      <c r="B94" s="5" t="inlineStr">
        <is>
          <t>難病に関する医療受給者証等</t>
        </is>
      </c>
      <c r="C94" s="19">
        <f>'集計_障がい者'!$D$36</f>
        <v>0</v>
      </c>
      <c r="D94" s="20">
        <f>'集計_障がい者'!$E$36</f>
        <v>0</v>
      </c>
    </row>
    <row r="95" ht="30" customHeight="1">
      <c r="B95" s="5" t="inlineStr">
        <is>
          <t>手帳等は持っていないが障がい福祉サービスを利用している</t>
        </is>
      </c>
      <c r="C95" s="19">
        <f>'集計_障がい者'!$D$37</f>
        <v>1</v>
      </c>
      <c r="D95" s="20">
        <f>'集計_障がい者'!$E$37</f>
        <v>0.025</v>
      </c>
    </row>
    <row r="96" ht="17" customHeight="1">
      <c r="B96" s="5" t="inlineStr">
        <is>
          <t>その他</t>
        </is>
      </c>
      <c r="C96" s="19">
        <f>'集計_障がい者'!$D$38</f>
        <v>2</v>
      </c>
      <c r="D96" s="20">
        <f>'集計_障がい者'!$E$38</f>
        <v>0.05</v>
      </c>
    </row>
    <row r="97" ht="17" customHeight="1">
      <c r="B97" s="5" t="inlineStr">
        <is>
          <t>無回答</t>
        </is>
      </c>
      <c r="C97" s="19">
        <f>'集計_障がい者'!$D$39</f>
        <v>1</v>
      </c>
      <c r="D97" s="20">
        <f>'集計_障がい者'!$E$39</f>
        <v>0.025</v>
      </c>
    </row>
    <row r="98"/>
    <row r="101" ht="21" customHeight="1">
      <c r="B101" s="7" t="inlineStr">
        <is>
          <t>図3-9　主たる障がい種別（問6）</t>
        </is>
      </c>
    </row>
    <row r="102">
      <c r="B102" s="18" t="str">
        <f>"n="&amp;'集計_障がい者'!$F$40&amp;"（単一回答）"</f>
        <v>n=40（単一回答）</v>
      </c>
    </row>
    <row r="103" ht="18" customHeight="1">
      <c r="B103" s="3" t="inlineStr">
        <is>
          <t>選択肢</t>
        </is>
      </c>
      <c r="C103" s="3" t="inlineStr">
        <is>
          <t>件数</t>
        </is>
      </c>
      <c r="D103" s="3" t="inlineStr">
        <is>
          <t>割合</t>
        </is>
      </c>
    </row>
    <row r="104" ht="17" customHeight="1">
      <c r="B104" s="5" t="inlineStr">
        <is>
          <t>身体障がい</t>
        </is>
      </c>
      <c r="C104" s="19">
        <f>'集計_障がい者'!$D$40</f>
        <v>27</v>
      </c>
      <c r="D104" s="20">
        <f>'集計_障がい者'!$E$40</f>
        <v>0.675</v>
      </c>
    </row>
    <row r="105" ht="17" customHeight="1">
      <c r="B105" s="5" t="inlineStr">
        <is>
          <t>知的障がい</t>
        </is>
      </c>
      <c r="C105" s="19">
        <f>'集計_障がい者'!$D$41</f>
        <v>2</v>
      </c>
      <c r="D105" s="20">
        <f>'集計_障がい者'!$E$41</f>
        <v>0.05</v>
      </c>
    </row>
    <row r="106" ht="17" customHeight="1">
      <c r="B106" s="5" t="inlineStr">
        <is>
          <t>精神障がい</t>
        </is>
      </c>
      <c r="C106" s="19">
        <f>'集計_障がい者'!$D$42</f>
        <v>5</v>
      </c>
      <c r="D106" s="20">
        <f>'集計_障がい者'!$E$42</f>
        <v>0.125</v>
      </c>
    </row>
    <row r="107" ht="17" customHeight="1">
      <c r="B107" s="5" t="inlineStr">
        <is>
          <t>発達障がい</t>
        </is>
      </c>
      <c r="C107" s="19">
        <f>'集計_障がい者'!$D$43</f>
        <v>3</v>
      </c>
      <c r="D107" s="20">
        <f>'集計_障がい者'!$E$43</f>
        <v>0.075</v>
      </c>
    </row>
    <row r="108" ht="17" customHeight="1">
      <c r="B108" s="5" t="inlineStr">
        <is>
          <t>難病</t>
        </is>
      </c>
      <c r="C108" s="19">
        <f>'集計_障がい者'!$D$44</f>
        <v>0</v>
      </c>
      <c r="D108" s="20">
        <f>'集計_障がい者'!$E$44</f>
        <v>0</v>
      </c>
    </row>
    <row r="109" ht="17" customHeight="1">
      <c r="B109" s="5" t="inlineStr">
        <is>
          <t>高次脳機能障がい</t>
        </is>
      </c>
      <c r="C109" s="19">
        <f>'集計_障がい者'!$D$45</f>
        <v>0</v>
      </c>
      <c r="D109" s="20">
        <f>'集計_障がい者'!$E$45</f>
        <v>0</v>
      </c>
    </row>
    <row r="110" ht="17" customHeight="1">
      <c r="B110" s="5" t="inlineStr">
        <is>
          <t>重症心身障がい</t>
        </is>
      </c>
      <c r="C110" s="19">
        <f>'集計_障がい者'!$D$46</f>
        <v>0</v>
      </c>
      <c r="D110" s="20">
        <f>'集計_障がい者'!$E$46</f>
        <v>0</v>
      </c>
    </row>
    <row r="111" ht="17" customHeight="1">
      <c r="B111" s="5" t="inlineStr">
        <is>
          <t>わからない・その他</t>
        </is>
      </c>
      <c r="C111" s="19">
        <f>'集計_障がい者'!$D$47</f>
        <v>2</v>
      </c>
      <c r="D111" s="20">
        <f>'集計_障がい者'!$E$47</f>
        <v>0.05</v>
      </c>
    </row>
    <row r="112" ht="17" customHeight="1">
      <c r="B112" s="5" t="inlineStr">
        <is>
          <t>無回答</t>
        </is>
      </c>
      <c r="C112" s="19">
        <f>'集計_障がい者'!$D$48</f>
        <v>1</v>
      </c>
      <c r="D112" s="20">
        <f>'集計_障がい者'!$E$48</f>
        <v>0.025</v>
      </c>
    </row>
    <row r="113"/>
    <row r="116" ht="21" customHeight="1">
      <c r="B116" s="7" t="inlineStr">
        <is>
          <t>図3-10　現在の暮らしの場（問7）</t>
        </is>
      </c>
    </row>
    <row r="117">
      <c r="B117" s="18" t="str">
        <f>"n="&amp;'集計_障がい者'!$F$49&amp;"（単一回答）"</f>
        <v>n=40（単一回答）</v>
      </c>
    </row>
    <row r="118" ht="18" customHeight="1">
      <c r="B118" s="3" t="inlineStr">
        <is>
          <t>選択肢</t>
        </is>
      </c>
      <c r="C118" s="3" t="inlineStr">
        <is>
          <t>件数</t>
        </is>
      </c>
      <c r="D118" s="3" t="inlineStr">
        <is>
          <t>割合</t>
        </is>
      </c>
    </row>
    <row r="119" ht="17" customHeight="1">
      <c r="B119" s="5" t="inlineStr">
        <is>
          <t>自宅で家族と暮らしている</t>
        </is>
      </c>
      <c r="C119" s="19">
        <f>'集計_障がい者'!$D$49</f>
        <v>26</v>
      </c>
      <c r="D119" s="20">
        <f>'集計_障がい者'!$E$49</f>
        <v>0.65</v>
      </c>
    </row>
    <row r="120" ht="17" customHeight="1">
      <c r="B120" s="5" t="inlineStr">
        <is>
          <t>自宅で一人暮らし</t>
        </is>
      </c>
      <c r="C120" s="19">
        <f>'集計_障がい者'!$D$50</f>
        <v>6</v>
      </c>
      <c r="D120" s="20">
        <f>'集計_障がい者'!$E$50</f>
        <v>0.15</v>
      </c>
    </row>
    <row r="121" ht="17" customHeight="1">
      <c r="B121" s="5" t="inlineStr">
        <is>
          <t>グループホーム</t>
        </is>
      </c>
      <c r="C121" s="19">
        <f>'集計_障がい者'!$D$51</f>
        <v>3</v>
      </c>
      <c r="D121" s="20">
        <f>'集計_障がい者'!$E$51</f>
        <v>0.075</v>
      </c>
    </row>
    <row r="122" ht="17" customHeight="1">
      <c r="B122" s="5" t="inlineStr">
        <is>
          <t>障がい者支援施設</t>
        </is>
      </c>
      <c r="C122" s="19">
        <f>'集計_障がい者'!$D$52</f>
        <v>2</v>
      </c>
      <c r="D122" s="20">
        <f>'集計_障がい者'!$E$52</f>
        <v>0.05</v>
      </c>
    </row>
    <row r="123" ht="17" customHeight="1">
      <c r="B123" s="5" t="inlineStr">
        <is>
          <t>病院に入院中</t>
        </is>
      </c>
      <c r="C123" s="19">
        <f>'集計_障がい者'!$D$53</f>
        <v>1</v>
      </c>
      <c r="D123" s="20">
        <f>'集計_障がい者'!$E$53</f>
        <v>0.025</v>
      </c>
    </row>
    <row r="124" ht="17" customHeight="1">
      <c r="B124" s="5" t="inlineStr">
        <is>
          <t>高齢者施設等</t>
        </is>
      </c>
      <c r="C124" s="19">
        <f>'集計_障がい者'!$D$54</f>
        <v>1</v>
      </c>
      <c r="D124" s="20">
        <f>'集計_障がい者'!$E$54</f>
        <v>0.025</v>
      </c>
    </row>
    <row r="125" ht="17" customHeight="1">
      <c r="B125" s="5" t="inlineStr">
        <is>
          <t>その他</t>
        </is>
      </c>
      <c r="C125" s="19">
        <f>'集計_障がい者'!$D$55</f>
        <v>0</v>
      </c>
      <c r="D125" s="20">
        <f>'集計_障がい者'!$E$55</f>
        <v>0</v>
      </c>
    </row>
    <row r="126" ht="17" customHeight="1">
      <c r="B126" s="5" t="inlineStr">
        <is>
          <t>無回答</t>
        </is>
      </c>
      <c r="C126" s="19">
        <f>'集計_障がい者'!$D$56</f>
        <v>1</v>
      </c>
      <c r="D126" s="20">
        <f>'集計_障がい者'!$E$56</f>
        <v>0.025</v>
      </c>
    </row>
    <row r="127"/>
    <row r="130" ht="21" customHeight="1">
      <c r="B130" s="7" t="inlineStr">
        <is>
          <t>図3-11　現在の暮らしの場【障がい別】（問7）</t>
        </is>
      </c>
    </row>
    <row r="131"/>
    <row r="132" ht="44" customHeight="1">
      <c r="B132" s="3" t="inlineStr">
        <is>
          <t>区分</t>
        </is>
      </c>
      <c r="C132" s="3" t="inlineStr">
        <is>
          <t>自宅で家族と暮らしている</t>
        </is>
      </c>
      <c r="D132" s="3" t="inlineStr">
        <is>
          <t>自宅で一人暮らし</t>
        </is>
      </c>
      <c r="E132" s="3" t="inlineStr">
        <is>
          <t>グループホーム</t>
        </is>
      </c>
      <c r="F132" s="3" t="inlineStr">
        <is>
          <t>障がい者支援施設</t>
        </is>
      </c>
      <c r="G132" s="3" t="inlineStr">
        <is>
          <t>病院に入院中</t>
        </is>
      </c>
      <c r="H132" s="3" t="inlineStr">
        <is>
          <t>高齢者施設等</t>
        </is>
      </c>
      <c r="I132" s="3" t="inlineStr">
        <is>
          <t>その他</t>
        </is>
      </c>
      <c r="J132" s="3" t="inlineStr">
        <is>
          <t>無回答</t>
        </is>
      </c>
    </row>
    <row r="133" ht="17" customHeight="1">
      <c r="B133" s="5" t="inlineStr">
        <is>
          <t>全体</t>
        </is>
      </c>
      <c r="C133" s="20">
        <f>'集計_障がい者'!$E$49</f>
        <v>0.65</v>
      </c>
      <c r="D133" s="20">
        <f>'集計_障がい者'!$E$50</f>
        <v>0.15</v>
      </c>
      <c r="E133" s="20">
        <f>'集計_障がい者'!$E$51</f>
        <v>0.075</v>
      </c>
      <c r="F133" s="20">
        <f>'集計_障がい者'!$E$52</f>
        <v>0.05</v>
      </c>
      <c r="G133" s="20">
        <f>'集計_障がい者'!$E$53</f>
        <v>0.025</v>
      </c>
      <c r="H133" s="20">
        <f>'集計_障がい者'!$E$54</f>
        <v>0.025</v>
      </c>
      <c r="I133" s="20">
        <f>'集計_障がい者'!$E$55</f>
        <v>0</v>
      </c>
      <c r="J133" s="20">
        <f>'集計_障がい者'!$E$56</f>
        <v>0.025</v>
      </c>
    </row>
    <row r="134" ht="17" customHeight="1">
      <c r="B134" s="5" t="inlineStr">
        <is>
          <t>身体障がい（n=29）</t>
        </is>
      </c>
      <c r="C134" s="20">
        <f>'集計_障がい別'!$G$50</f>
        <v>0.655172413793103</v>
      </c>
      <c r="D134" s="20">
        <f>'集計_障がい別'!$G$51</f>
        <v>0.172413793103448</v>
      </c>
      <c r="E134" s="20">
        <f>'集計_障がい別'!$G$52</f>
        <v>0.0344827586206897</v>
      </c>
      <c r="F134" s="20">
        <f>'集計_障がい別'!$G$53</f>
        <v>0.0344827586206897</v>
      </c>
      <c r="G134" s="20">
        <f>'集計_障がい別'!$G$54</f>
        <v>0.0344827586206897</v>
      </c>
      <c r="H134" s="20">
        <f>'集計_障がい別'!$G$55</f>
        <v>0.0344827586206897</v>
      </c>
      <c r="I134" s="20">
        <f>'集計_障がい別'!$G$56</f>
        <v>0</v>
      </c>
      <c r="J134" s="20">
        <f>'集計_障がい別'!$G$57</f>
        <v>0.0344827586206897</v>
      </c>
    </row>
    <row r="135" ht="17" customHeight="1">
      <c r="B135" s="5" t="inlineStr">
        <is>
          <t>知的障がい（n=2）</t>
        </is>
      </c>
      <c r="C135" s="20">
        <f>'集計_障がい別'!$H$50</f>
        <v>0</v>
      </c>
      <c r="D135" s="20">
        <f>'集計_障がい別'!$H$51</f>
        <v>0</v>
      </c>
      <c r="E135" s="20">
        <f>'集計_障がい別'!$H$52</f>
        <v>0</v>
      </c>
      <c r="F135" s="20">
        <f>'集計_障がい別'!$H$53</f>
        <v>1</v>
      </c>
      <c r="G135" s="20">
        <f>'集計_障がい別'!$H$54</f>
        <v>0</v>
      </c>
      <c r="H135" s="20">
        <f>'集計_障がい別'!$H$55</f>
        <v>0</v>
      </c>
      <c r="I135" s="20">
        <f>'集計_障がい別'!$H$56</f>
        <v>0</v>
      </c>
      <c r="J135" s="20">
        <f>'集計_障がい別'!$H$57</f>
        <v>0</v>
      </c>
    </row>
    <row r="136" ht="17" customHeight="1">
      <c r="B136" s="5" t="inlineStr">
        <is>
          <t>精神障がい（n=6）</t>
        </is>
      </c>
      <c r="C136" s="20">
        <f>'集計_障がい別'!$I$50</f>
        <v>0.666666666666667</v>
      </c>
      <c r="D136" s="20">
        <f>'集計_障がい別'!$I$51</f>
        <v>0</v>
      </c>
      <c r="E136" s="20">
        <f>'集計_障がい別'!$I$52</f>
        <v>0.333333333333333</v>
      </c>
      <c r="F136" s="20">
        <f>'集計_障がい別'!$I$53</f>
        <v>0</v>
      </c>
      <c r="G136" s="20">
        <f>'集計_障がい別'!$I$54</f>
        <v>0</v>
      </c>
      <c r="H136" s="20">
        <f>'集計_障がい別'!$I$55</f>
        <v>0</v>
      </c>
      <c r="I136" s="20">
        <f>'集計_障がい別'!$I$56</f>
        <v>0</v>
      </c>
      <c r="J136" s="20">
        <f>'集計_障がい別'!$I$57</f>
        <v>0</v>
      </c>
    </row>
    <row r="137"/>
    <row r="138"/>
    <row r="139"/>
    <row r="140"/>
    <row r="143" ht="21" customHeight="1">
      <c r="B143" s="7" t="inlineStr">
        <is>
          <t>図3-12　現在一緒に暮らしている方（問8）</t>
        </is>
      </c>
    </row>
    <row r="144">
      <c r="B144" s="18" t="str">
        <f>"n="&amp;'集計_障がい者'!$F$57&amp;"（複数回答）"</f>
        <v>n=40（複数回答）</v>
      </c>
    </row>
    <row r="145" ht="18" customHeight="1">
      <c r="B145" s="3" t="inlineStr">
        <is>
          <t>選択肢</t>
        </is>
      </c>
      <c r="C145" s="3" t="inlineStr">
        <is>
          <t>件数</t>
        </is>
      </c>
      <c r="D145" s="3" t="inlineStr">
        <is>
          <t>割合</t>
        </is>
      </c>
    </row>
    <row r="146" ht="17" customHeight="1">
      <c r="B146" s="5" t="inlineStr">
        <is>
          <t>一人暮らし</t>
        </is>
      </c>
      <c r="C146" s="19">
        <f>'集計_障がい者'!$D$57</f>
        <v>5</v>
      </c>
      <c r="D146" s="20">
        <f>'集計_障がい者'!$E$57</f>
        <v>0.125</v>
      </c>
    </row>
    <row r="147" ht="17" customHeight="1">
      <c r="B147" s="5" t="inlineStr">
        <is>
          <t>配偶者</t>
        </is>
      </c>
      <c r="C147" s="19">
        <f>'集計_障がい者'!$D$58</f>
        <v>15</v>
      </c>
      <c r="D147" s="20">
        <f>'集計_障がい者'!$E$58</f>
        <v>0.375</v>
      </c>
    </row>
    <row r="148" ht="17" customHeight="1">
      <c r="B148" s="5" t="inlineStr">
        <is>
          <t>親</t>
        </is>
      </c>
      <c r="C148" s="19">
        <f>'集計_障がい者'!$D$59</f>
        <v>7</v>
      </c>
      <c r="D148" s="20">
        <f>'集計_障がい者'!$E$59</f>
        <v>0.175</v>
      </c>
    </row>
    <row r="149" ht="17" customHeight="1">
      <c r="B149" s="5" t="inlineStr">
        <is>
          <t>子ども</t>
        </is>
      </c>
      <c r="C149" s="19">
        <f>'集計_障がい者'!$D$60</f>
        <v>12</v>
      </c>
      <c r="D149" s="20">
        <f>'集計_障がい者'!$E$60</f>
        <v>0.3</v>
      </c>
    </row>
    <row r="150" ht="17" customHeight="1">
      <c r="B150" s="5" t="inlineStr">
        <is>
          <t>兄弟姉妹</t>
        </is>
      </c>
      <c r="C150" s="19">
        <f>'集計_障がい者'!$D$61</f>
        <v>2</v>
      </c>
      <c r="D150" s="20">
        <f>'集計_障がい者'!$E$61</f>
        <v>0.05</v>
      </c>
    </row>
    <row r="151" ht="17" customHeight="1">
      <c r="B151" s="5" t="inlineStr">
        <is>
          <t>祖父母</t>
        </is>
      </c>
      <c r="C151" s="19">
        <f>'集計_障がい者'!$D$62</f>
        <v>1</v>
      </c>
      <c r="D151" s="20">
        <f>'集計_障がい者'!$E$62</f>
        <v>0.025</v>
      </c>
    </row>
    <row r="152" ht="17" customHeight="1">
      <c r="B152" s="5" t="inlineStr">
        <is>
          <t>その他</t>
        </is>
      </c>
      <c r="C152" s="19">
        <f>'集計_障がい者'!$D$63</f>
        <v>3</v>
      </c>
      <c r="D152" s="20">
        <f>'集計_障がい者'!$E$63</f>
        <v>0.075</v>
      </c>
    </row>
    <row r="153" ht="17" customHeight="1">
      <c r="B153" s="5" t="inlineStr">
        <is>
          <t>無回答</t>
        </is>
      </c>
      <c r="C153" s="19">
        <f>'集計_障がい者'!$D$64</f>
        <v>4</v>
      </c>
      <c r="D153" s="20">
        <f>'集計_障がい者'!$E$64</f>
        <v>0.1</v>
      </c>
    </row>
    <row r="154"/>
    <row r="157" ht="21" customHeight="1">
      <c r="B157" s="7" t="inlineStr">
        <is>
          <t>図3-13　現在一緒に暮らしている方【障がい別】（問8）</t>
        </is>
      </c>
    </row>
    <row r="158"/>
    <row r="159" ht="31" customHeight="1">
      <c r="B159" s="3" t="inlineStr">
        <is>
          <t>選択肢</t>
        </is>
      </c>
      <c r="C159" s="3" t="inlineStr">
        <is>
          <t>身体障がい（n=29）</t>
        </is>
      </c>
      <c r="D159" s="3" t="inlineStr">
        <is>
          <t>知的障がい（n=2）</t>
        </is>
      </c>
      <c r="E159" s="3" t="inlineStr">
        <is>
          <t>精神障がい（n=6）</t>
        </is>
      </c>
    </row>
    <row r="160" ht="17" customHeight="1">
      <c r="B160" s="5" t="inlineStr">
        <is>
          <t>一人暮らし</t>
        </is>
      </c>
      <c r="C160" s="20">
        <f>'集計_障がい別'!$G$58</f>
        <v>0.172413793103448</v>
      </c>
      <c r="D160" s="20">
        <f>'集計_障がい別'!$H$58</f>
        <v>0.5</v>
      </c>
      <c r="E160" s="20">
        <f>'集計_障がい別'!$I$58</f>
        <v>0</v>
      </c>
    </row>
    <row r="161" ht="17" customHeight="1">
      <c r="B161" s="5" t="inlineStr">
        <is>
          <t>配偶者</t>
        </is>
      </c>
      <c r="C161" s="20">
        <f>'集計_障がい別'!$G$59</f>
        <v>0.448275862068966</v>
      </c>
      <c r="D161" s="20">
        <f>'集計_障がい別'!$H$59</f>
        <v>0</v>
      </c>
      <c r="E161" s="20">
        <f>'集計_障がい別'!$I$59</f>
        <v>0</v>
      </c>
    </row>
    <row r="162" ht="17" customHeight="1">
      <c r="B162" s="5" t="inlineStr">
        <is>
          <t>親</t>
        </is>
      </c>
      <c r="C162" s="20">
        <f>'集計_障がい別'!$G$60</f>
        <v>0.103448275862069</v>
      </c>
      <c r="D162" s="20">
        <f>'集計_障がい別'!$H$60</f>
        <v>0</v>
      </c>
      <c r="E162" s="20">
        <f>'集計_障がい別'!$I$60</f>
        <v>0.666666666666667</v>
      </c>
    </row>
    <row r="163" ht="17" customHeight="1">
      <c r="B163" s="5" t="inlineStr">
        <is>
          <t>子ども</t>
        </is>
      </c>
      <c r="C163" s="20">
        <f>'集計_障がい別'!$G$61</f>
        <v>0.379310344827586</v>
      </c>
      <c r="D163" s="20">
        <f>'集計_障がい別'!$H$61</f>
        <v>0</v>
      </c>
      <c r="E163" s="20">
        <f>'集計_障がい別'!$I$61</f>
        <v>0</v>
      </c>
    </row>
    <row r="164" ht="17" customHeight="1">
      <c r="B164" s="5" t="inlineStr">
        <is>
          <t>兄弟姉妹</t>
        </is>
      </c>
      <c r="C164" s="20">
        <f>'集計_障がい別'!$G$62</f>
        <v>0.0344827586206897</v>
      </c>
      <c r="D164" s="20">
        <f>'集計_障がい別'!$H$62</f>
        <v>0</v>
      </c>
      <c r="E164" s="20">
        <f>'集計_障がい別'!$I$62</f>
        <v>0.166666666666667</v>
      </c>
    </row>
    <row r="165" ht="17" customHeight="1">
      <c r="B165" s="5" t="inlineStr">
        <is>
          <t>祖父母</t>
        </is>
      </c>
      <c r="C165" s="20">
        <f>'集計_障がい別'!$G$63</f>
        <v>0.0344827586206897</v>
      </c>
      <c r="D165" s="20">
        <f>'集計_障がい別'!$H$63</f>
        <v>0</v>
      </c>
      <c r="E165" s="20">
        <f>'集計_障がい別'!$I$63</f>
        <v>0</v>
      </c>
    </row>
    <row r="166" ht="17" customHeight="1">
      <c r="B166" s="5" t="inlineStr">
        <is>
          <t>その他</t>
        </is>
      </c>
      <c r="C166" s="20">
        <f>'集計_障がい別'!$G$64</f>
        <v>0</v>
      </c>
      <c r="D166" s="20">
        <f>'集計_障がい別'!$H$64</f>
        <v>0.5</v>
      </c>
      <c r="E166" s="20">
        <f>'集計_障がい別'!$I$64</f>
        <v>0.333333333333333</v>
      </c>
    </row>
    <row r="167" ht="17" customHeight="1">
      <c r="B167" s="5" t="inlineStr">
        <is>
          <t>無回答</t>
        </is>
      </c>
      <c r="C167" s="20">
        <f>'集計_障がい別'!$G$65</f>
        <v>0.103448275862069</v>
      </c>
      <c r="D167" s="20">
        <f>'集計_障がい別'!$H$65</f>
        <v>0</v>
      </c>
      <c r="E167" s="20">
        <f>'集計_障がい別'!$I$65</f>
        <v>0</v>
      </c>
    </row>
    <row r="168"/>
    <row r="169"/>
    <row r="170"/>
    <row r="171"/>
    <row r="172"/>
    <row r="173"/>
    <row r="174"/>
    <row r="175"/>
    <row r="176"/>
    <row r="177"/>
    <row r="178"/>
    <row r="179"/>
    <row r="180"/>
    <row r="181"/>
    <row r="182"/>
    <row r="185" ht="21" customHeight="1">
      <c r="B185" s="7" t="inlineStr">
        <is>
          <t>図3-14　日常生活の主な支援者（問9）</t>
        </is>
      </c>
    </row>
    <row r="186">
      <c r="B186" s="18" t="str">
        <f>"n="&amp;'集計_障がい者'!$F$65&amp;"（複数回答）"</f>
        <v>n=40（複数回答）</v>
      </c>
    </row>
    <row r="187" ht="18" customHeight="1">
      <c r="B187" s="3" t="inlineStr">
        <is>
          <t>選択肢</t>
        </is>
      </c>
      <c r="C187" s="3" t="inlineStr">
        <is>
          <t>件数</t>
        </is>
      </c>
      <c r="D187" s="3" t="inlineStr">
        <is>
          <t>割合</t>
        </is>
      </c>
    </row>
    <row r="188" ht="17" customHeight="1">
      <c r="B188" s="5" t="inlineStr">
        <is>
          <t>介助は必要ない</t>
        </is>
      </c>
      <c r="C188" s="19">
        <f>'集計_障がい者'!$D$65</f>
        <v>18</v>
      </c>
      <c r="D188" s="20">
        <f>'集計_障がい者'!$E$65</f>
        <v>0.45</v>
      </c>
    </row>
    <row r="189" ht="17" customHeight="1">
      <c r="B189" s="5" t="inlineStr">
        <is>
          <t>親</t>
        </is>
      </c>
      <c r="C189" s="19">
        <f>'集計_障がい者'!$D$66</f>
        <v>5</v>
      </c>
      <c r="D189" s="20">
        <f>'集計_障がい者'!$E$66</f>
        <v>0.125</v>
      </c>
    </row>
    <row r="190" ht="17" customHeight="1">
      <c r="B190" s="5" t="inlineStr">
        <is>
          <t>配偶者</t>
        </is>
      </c>
      <c r="C190" s="19">
        <f>'集計_障がい者'!$D$67</f>
        <v>7</v>
      </c>
      <c r="D190" s="20">
        <f>'集計_障がい者'!$E$67</f>
        <v>0.175</v>
      </c>
    </row>
    <row r="191" ht="17" customHeight="1">
      <c r="B191" s="5" t="inlineStr">
        <is>
          <t>子ども</t>
        </is>
      </c>
      <c r="C191" s="19">
        <f>'集計_障がい者'!$D$68</f>
        <v>9</v>
      </c>
      <c r="D191" s="20">
        <f>'集計_障がい者'!$E$68</f>
        <v>0.225</v>
      </c>
    </row>
    <row r="192" ht="17" customHeight="1">
      <c r="B192" s="5" t="inlineStr">
        <is>
          <t>兄弟姉妹</t>
        </is>
      </c>
      <c r="C192" s="19">
        <f>'集計_障がい者'!$D$69</f>
        <v>0</v>
      </c>
      <c r="D192" s="20">
        <f>'集計_障がい者'!$E$69</f>
        <v>0</v>
      </c>
    </row>
    <row r="193" ht="17" customHeight="1">
      <c r="B193" s="5" t="inlineStr">
        <is>
          <t>その他の親族</t>
        </is>
      </c>
      <c r="C193" s="19">
        <f>'集計_障がい者'!$D$70</f>
        <v>1</v>
      </c>
      <c r="D193" s="20">
        <f>'集計_障がい者'!$E$70</f>
        <v>0.025</v>
      </c>
    </row>
    <row r="194" ht="17" customHeight="1">
      <c r="B194" s="5" t="inlineStr">
        <is>
          <t>ホームヘルパー等</t>
        </is>
      </c>
      <c r="C194" s="19">
        <f>'集計_障がい者'!$D$71</f>
        <v>2</v>
      </c>
      <c r="D194" s="20">
        <f>'集計_障がい者'!$E$71</f>
        <v>0.05</v>
      </c>
    </row>
    <row r="195" ht="17" customHeight="1">
      <c r="B195" s="5" t="inlineStr">
        <is>
          <t>施設・事業所職員</t>
        </is>
      </c>
      <c r="C195" s="19">
        <f>'集計_障がい者'!$D$72</f>
        <v>8</v>
      </c>
      <c r="D195" s="20">
        <f>'集計_障がい者'!$E$72</f>
        <v>0.2</v>
      </c>
    </row>
    <row r="196" ht="17" customHeight="1">
      <c r="B196" s="5" t="inlineStr">
        <is>
          <t>主な支援者はいない</t>
        </is>
      </c>
      <c r="C196" s="19">
        <f>'集計_障がい者'!$D$73</f>
        <v>1</v>
      </c>
      <c r="D196" s="20">
        <f>'集計_障がい者'!$E$73</f>
        <v>0.025</v>
      </c>
    </row>
    <row r="197" ht="17" customHeight="1">
      <c r="B197" s="5" t="inlineStr">
        <is>
          <t>その他</t>
        </is>
      </c>
      <c r="C197" s="19">
        <f>'集計_障がい者'!$D$74</f>
        <v>0</v>
      </c>
      <c r="D197" s="20">
        <f>'集計_障がい者'!$E$74</f>
        <v>0</v>
      </c>
    </row>
    <row r="198" ht="17" customHeight="1">
      <c r="B198" s="5" t="inlineStr">
        <is>
          <t>無回答</t>
        </is>
      </c>
      <c r="C198" s="19">
        <f>'集計_障がい者'!$D$75</f>
        <v>1</v>
      </c>
      <c r="D198" s="20">
        <f>'集計_障がい者'!$E$75</f>
        <v>0.025</v>
      </c>
    </row>
    <row r="199"/>
    <row r="202" ht="21" customHeight="1">
      <c r="B202" s="7" t="inlineStr">
        <is>
          <t>図3-15　日常生活の主な支援者【障がい別】（問9）</t>
        </is>
      </c>
    </row>
    <row r="203"/>
    <row r="204" ht="31" customHeight="1">
      <c r="B204" s="3" t="inlineStr">
        <is>
          <t>選択肢</t>
        </is>
      </c>
      <c r="C204" s="3" t="inlineStr">
        <is>
          <t>身体障がい（n=29）</t>
        </is>
      </c>
      <c r="D204" s="3" t="inlineStr">
        <is>
          <t>知的障がい（n=2）</t>
        </is>
      </c>
      <c r="E204" s="3" t="inlineStr">
        <is>
          <t>精神障がい（n=6）</t>
        </is>
      </c>
    </row>
    <row r="205" ht="17" customHeight="1">
      <c r="B205" s="5" t="inlineStr">
        <is>
          <t>介助は必要ない</t>
        </is>
      </c>
      <c r="C205" s="20">
        <f>'集計_障がい別'!$G$66</f>
        <v>0.482758620689655</v>
      </c>
      <c r="D205" s="20">
        <f>'集計_障がい別'!$H$66</f>
        <v>0</v>
      </c>
      <c r="E205" s="20">
        <f>'集計_障がい別'!$I$66</f>
        <v>0.166666666666667</v>
      </c>
    </row>
    <row r="206" ht="17" customHeight="1">
      <c r="B206" s="5" t="inlineStr">
        <is>
          <t>親</t>
        </is>
      </c>
      <c r="C206" s="20">
        <f>'集計_障がい別'!$G$67</f>
        <v>0.0689655172413793</v>
      </c>
      <c r="D206" s="20">
        <f>'集計_障がい別'!$H$67</f>
        <v>0</v>
      </c>
      <c r="E206" s="20">
        <f>'集計_障がい別'!$I$67</f>
        <v>0.5</v>
      </c>
    </row>
    <row r="207" ht="17" customHeight="1">
      <c r="B207" s="5" t="inlineStr">
        <is>
          <t>配偶者</t>
        </is>
      </c>
      <c r="C207" s="20">
        <f>'集計_障がい別'!$G$68</f>
        <v>0.206896551724138</v>
      </c>
      <c r="D207" s="20">
        <f>'集計_障がい別'!$H$68</f>
        <v>0</v>
      </c>
      <c r="E207" s="20">
        <f>'集計_障がい別'!$I$68</f>
        <v>0</v>
      </c>
    </row>
    <row r="208" ht="17" customHeight="1">
      <c r="B208" s="5" t="inlineStr">
        <is>
          <t>子ども</t>
        </is>
      </c>
      <c r="C208" s="20">
        <f>'集計_障がい別'!$G$69</f>
        <v>0.310344827586207</v>
      </c>
      <c r="D208" s="20">
        <f>'集計_障がい別'!$H$69</f>
        <v>0</v>
      </c>
      <c r="E208" s="20">
        <f>'集計_障がい別'!$I$69</f>
        <v>0</v>
      </c>
    </row>
    <row r="209" ht="17" customHeight="1">
      <c r="B209" s="5" t="inlineStr">
        <is>
          <t>その他の親族</t>
        </is>
      </c>
      <c r="C209" s="20">
        <f>'集計_障がい別'!$G$71</f>
        <v>0.0344827586206897</v>
      </c>
      <c r="D209" s="20">
        <f>'集計_障がい別'!$H$71</f>
        <v>0</v>
      </c>
      <c r="E209" s="20">
        <f>'集計_障がい別'!$I$71</f>
        <v>0</v>
      </c>
    </row>
    <row r="210" ht="17" customHeight="1">
      <c r="B210" s="5" t="inlineStr">
        <is>
          <t>ホームヘルパー等</t>
        </is>
      </c>
      <c r="C210" s="20">
        <f>'集計_障がい別'!$G$72</f>
        <v>0.0689655172413793</v>
      </c>
      <c r="D210" s="20">
        <f>'集計_障がい別'!$H$72</f>
        <v>0</v>
      </c>
      <c r="E210" s="20">
        <f>'集計_障がい別'!$I$72</f>
        <v>0</v>
      </c>
    </row>
    <row r="211" ht="17" customHeight="1">
      <c r="B211" s="5" t="inlineStr">
        <is>
          <t>施設・事業所職員</t>
        </is>
      </c>
      <c r="C211" s="20">
        <f>'集計_障がい別'!$G$73</f>
        <v>0.137931034482759</v>
      </c>
      <c r="D211" s="20">
        <f>'集計_障がい別'!$H$73</f>
        <v>1</v>
      </c>
      <c r="E211" s="20">
        <f>'集計_障がい別'!$I$73</f>
        <v>0.333333333333333</v>
      </c>
    </row>
    <row r="212" ht="17" customHeight="1">
      <c r="B212" s="5" t="inlineStr">
        <is>
          <t>主な支援者はいない</t>
        </is>
      </c>
      <c r="C212" s="20">
        <f>'集計_障がい別'!$G$74</f>
        <v>0.0344827586206897</v>
      </c>
      <c r="D212" s="20">
        <f>'集計_障がい別'!$H$74</f>
        <v>0</v>
      </c>
      <c r="E212" s="20">
        <f>'集計_障がい別'!$I$74</f>
        <v>0</v>
      </c>
    </row>
    <row r="213" ht="17" customHeight="1">
      <c r="B213" s="5" t="inlineStr">
        <is>
          <t>無回答</t>
        </is>
      </c>
      <c r="C213" s="20">
        <f>'集計_障がい別'!$G$76</f>
        <v>0.0344827586206897</v>
      </c>
      <c r="D213" s="20">
        <f>'集計_障がい別'!$H$76</f>
        <v>0</v>
      </c>
      <c r="E213" s="20">
        <f>'集計_障がい別'!$I$76</f>
        <v>0</v>
      </c>
    </row>
    <row r="214" ht="15" customHeight="1">
      <c r="B214" s="17" t="inlineStr">
        <is>
          <t>※いずれの区分にも回答のなかった選択肢は省略しています。</t>
        </is>
      </c>
    </row>
    <row r="215"/>
    <row r="216"/>
    <row r="217"/>
    <row r="218"/>
    <row r="219"/>
    <row r="220"/>
    <row r="221"/>
    <row r="222"/>
    <row r="223"/>
    <row r="224"/>
    <row r="225"/>
    <row r="226"/>
    <row r="227"/>
    <row r="228"/>
    <row r="229"/>
    <row r="230"/>
  </sheetData>
  <mergeCells count="1">
    <mergeCell ref="B214:E214"/>
  </mergeCells>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2:K200"/>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図3-16　日常生活で困っていること（問10）</t>
        </is>
      </c>
    </row>
    <row r="3">
      <c r="B3" s="18" t="str">
        <f>"n="&amp;'集計_障がい者'!$F$87&amp;"（複数回答）"</f>
        <v>n=40（複数回答）</v>
      </c>
    </row>
    <row r="4" ht="18" customHeight="1">
      <c r="B4" s="3" t="inlineStr">
        <is>
          <t>選択肢</t>
        </is>
      </c>
      <c r="C4" s="3" t="inlineStr">
        <is>
          <t>件数</t>
        </is>
      </c>
      <c r="D4" s="3" t="inlineStr">
        <is>
          <t>割合</t>
        </is>
      </c>
    </row>
    <row r="5" ht="17" customHeight="1">
      <c r="B5" s="5" t="inlineStr">
        <is>
          <t>将来の生活</t>
        </is>
      </c>
      <c r="C5" s="19">
        <f>'集計_障がい者'!$D$87</f>
        <v>12</v>
      </c>
      <c r="D5" s="20">
        <f>'集計_障がい者'!$E$87</f>
        <v>0.3</v>
      </c>
    </row>
    <row r="6" ht="17" customHeight="1">
      <c r="B6" s="5" t="inlineStr">
        <is>
          <t>外出・移動</t>
        </is>
      </c>
      <c r="C6" s="19">
        <f>'集計_障がい者'!$D$83</f>
        <v>10</v>
      </c>
      <c r="D6" s="20">
        <f>'集計_障がい者'!$E$83</f>
        <v>0.25</v>
      </c>
    </row>
    <row r="7" ht="17" customHeight="1">
      <c r="B7" s="5" t="inlineStr">
        <is>
          <t>災害時の避難</t>
        </is>
      </c>
      <c r="C7" s="19">
        <f>'集計_障がい者'!$D$85</f>
        <v>10</v>
      </c>
      <c r="D7" s="20">
        <f>'集計_障がい者'!$E$85</f>
        <v>0.25</v>
      </c>
    </row>
    <row r="8" ht="17" customHeight="1">
      <c r="B8" s="5" t="inlineStr">
        <is>
          <t>通院</t>
        </is>
      </c>
      <c r="C8" s="19">
        <f>'集計_障がい者'!$D$82</f>
        <v>8</v>
      </c>
      <c r="D8" s="20">
        <f>'集計_障がい者'!$E$82</f>
        <v>0.2</v>
      </c>
    </row>
    <row r="9" ht="17" customHeight="1">
      <c r="B9" s="5" t="inlineStr">
        <is>
          <t>食事</t>
        </is>
      </c>
      <c r="C9" s="19">
        <f>'集計_障がい者'!$D$77</f>
        <v>5</v>
      </c>
      <c r="D9" s="20">
        <f>'集計_障がい者'!$E$77</f>
        <v>0.125</v>
      </c>
    </row>
    <row r="10" ht="17" customHeight="1">
      <c r="B10" s="5" t="inlineStr">
        <is>
          <t>服薬管理</t>
        </is>
      </c>
      <c r="C10" s="19">
        <f>'集計_障がい者'!$D$80</f>
        <v>5</v>
      </c>
      <c r="D10" s="20">
        <f>'集計_障がい者'!$E$80</f>
        <v>0.125</v>
      </c>
    </row>
    <row r="11" ht="17" customHeight="1">
      <c r="B11" s="5" t="inlineStr">
        <is>
          <t>買い物</t>
        </is>
      </c>
      <c r="C11" s="19">
        <f>'集計_障がい者'!$D$84</f>
        <v>5</v>
      </c>
      <c r="D11" s="20">
        <f>'集計_障がい者'!$E$84</f>
        <v>0.125</v>
      </c>
    </row>
    <row r="12" ht="17" customHeight="1">
      <c r="B12" s="5" t="inlineStr">
        <is>
          <t>入浴</t>
        </is>
      </c>
      <c r="C12" s="19">
        <f>'集計_障がい者'!$D$78</f>
        <v>4</v>
      </c>
      <c r="D12" s="20">
        <f>'集計_障がい者'!$E$78</f>
        <v>0.1</v>
      </c>
    </row>
    <row r="13" ht="17" customHeight="1">
      <c r="B13" s="5" t="inlineStr">
        <is>
          <t>金銭管理</t>
        </is>
      </c>
      <c r="C13" s="19">
        <f>'集計_障がい者'!$D$81</f>
        <v>4</v>
      </c>
      <c r="D13" s="20">
        <f>'集計_障がい者'!$E$81</f>
        <v>0.1</v>
      </c>
    </row>
    <row r="14" ht="17" customHeight="1">
      <c r="B14" s="5" t="inlineStr">
        <is>
          <t>家事</t>
        </is>
      </c>
      <c r="C14" s="19">
        <f>'集計_障がい者'!$D$76</f>
        <v>2</v>
      </c>
      <c r="D14" s="20">
        <f>'集計_障がい者'!$E$76</f>
        <v>0.05</v>
      </c>
    </row>
    <row r="15" ht="17" customHeight="1">
      <c r="B15" s="5" t="inlineStr">
        <is>
          <t>排せつ</t>
        </is>
      </c>
      <c r="C15" s="19">
        <f>'集計_障がい者'!$D$79</f>
        <v>2</v>
      </c>
      <c r="D15" s="20">
        <f>'集計_障がい者'!$E$79</f>
        <v>0.05</v>
      </c>
    </row>
    <row r="16" ht="17" customHeight="1">
      <c r="B16" s="5" t="inlineStr">
        <is>
          <t>相談先がない</t>
        </is>
      </c>
      <c r="C16" s="19">
        <f>'集計_障がい者'!$D$86</f>
        <v>1</v>
      </c>
      <c r="D16" s="20">
        <f>'集計_障がい者'!$E$86</f>
        <v>0.025</v>
      </c>
    </row>
    <row r="17" ht="17" customHeight="1">
      <c r="B17" s="5" t="inlineStr">
        <is>
          <t>特にない</t>
        </is>
      </c>
      <c r="C17" s="19">
        <f>'集計_障がい者'!$D$88</f>
        <v>14</v>
      </c>
      <c r="D17" s="20">
        <f>'集計_障がい者'!$E$88</f>
        <v>0.35</v>
      </c>
    </row>
    <row r="18" ht="17" customHeight="1">
      <c r="B18" s="5" t="inlineStr">
        <is>
          <t>その他</t>
        </is>
      </c>
      <c r="C18" s="19">
        <f>'集計_障がい者'!$D$89</f>
        <v>1</v>
      </c>
      <c r="D18" s="20">
        <f>'集計_障がい者'!$E$89</f>
        <v>0.025</v>
      </c>
    </row>
    <row r="19" ht="17" customHeight="1">
      <c r="B19" s="5" t="inlineStr">
        <is>
          <t>無回答</t>
        </is>
      </c>
      <c r="C19" s="19">
        <f>'集計_障がい者'!$D$90</f>
        <v>2</v>
      </c>
      <c r="D19" s="20">
        <f>'集計_障がい者'!$E$90</f>
        <v>0.05</v>
      </c>
    </row>
    <row r="20"/>
    <row r="23" ht="21" customHeight="1">
      <c r="B23" s="7" t="inlineStr">
        <is>
          <t>図3-17　日常生活で困っていること【障がい別】（問10）</t>
        </is>
      </c>
    </row>
    <row r="24"/>
    <row r="25" ht="31" customHeight="1">
      <c r="B25" s="3" t="inlineStr">
        <is>
          <t>選択肢</t>
        </is>
      </c>
      <c r="C25" s="3" t="inlineStr">
        <is>
          <t>身体障がい（n=29）</t>
        </is>
      </c>
      <c r="D25" s="3" t="inlineStr">
        <is>
          <t>知的障がい（n=2）</t>
        </is>
      </c>
      <c r="E25" s="3" t="inlineStr">
        <is>
          <t>精神障がい（n=6）</t>
        </is>
      </c>
    </row>
    <row r="26" ht="17" customHeight="1">
      <c r="B26" s="5" t="inlineStr">
        <is>
          <t>将来の生活</t>
        </is>
      </c>
      <c r="C26" s="20">
        <f>'集計_障がい別'!$G$88</f>
        <v>0.241379310344828</v>
      </c>
      <c r="D26" s="20">
        <f>'集計_障がい別'!$H$88</f>
        <v>1</v>
      </c>
      <c r="E26" s="20">
        <f>'集計_障がい別'!$I$88</f>
        <v>0.5</v>
      </c>
    </row>
    <row r="27" ht="17" customHeight="1">
      <c r="B27" s="5" t="inlineStr">
        <is>
          <t>外出・移動</t>
        </is>
      </c>
      <c r="C27" s="20">
        <f>'集計_障がい別'!$G$84</f>
        <v>0.275862068965517</v>
      </c>
      <c r="D27" s="20">
        <f>'集計_障がい別'!$H$84</f>
        <v>1</v>
      </c>
      <c r="E27" s="20">
        <f>'集計_障がい別'!$I$84</f>
        <v>0.166666666666667</v>
      </c>
    </row>
    <row r="28" ht="17" customHeight="1">
      <c r="B28" s="5" t="inlineStr">
        <is>
          <t>災害時の避難</t>
        </is>
      </c>
      <c r="C28" s="20">
        <f>'集計_障がい別'!$G$86</f>
        <v>0.275862068965517</v>
      </c>
      <c r="D28" s="20">
        <f>'集計_障がい別'!$H$86</f>
        <v>1</v>
      </c>
      <c r="E28" s="20">
        <f>'集計_障がい別'!$I$86</f>
        <v>0.166666666666667</v>
      </c>
    </row>
    <row r="29" ht="17" customHeight="1">
      <c r="B29" s="5" t="inlineStr">
        <is>
          <t>通院</t>
        </is>
      </c>
      <c r="C29" s="20">
        <f>'集計_障がい別'!$G$83</f>
        <v>0.172413793103448</v>
      </c>
      <c r="D29" s="20">
        <f>'集計_障がい別'!$H$83</f>
        <v>0.5</v>
      </c>
      <c r="E29" s="20">
        <f>'集計_障がい別'!$I$83</f>
        <v>0.166666666666667</v>
      </c>
    </row>
    <row r="30" ht="17" customHeight="1">
      <c r="B30" s="5" t="inlineStr">
        <is>
          <t>食事</t>
        </is>
      </c>
      <c r="C30" s="20">
        <f>'集計_障がい別'!$G$78</f>
        <v>0.103448275862069</v>
      </c>
      <c r="D30" s="20">
        <f>'集計_障がい別'!$H$78</f>
        <v>0.5</v>
      </c>
      <c r="E30" s="20">
        <f>'集計_障がい別'!$I$78</f>
        <v>0</v>
      </c>
    </row>
    <row r="31" ht="17" customHeight="1">
      <c r="B31" s="5" t="inlineStr">
        <is>
          <t>服薬管理</t>
        </is>
      </c>
      <c r="C31" s="20">
        <f>'集計_障がい別'!$G$81</f>
        <v>0.137931034482759</v>
      </c>
      <c r="D31" s="20">
        <f>'集計_障がい別'!$H$81</f>
        <v>0.5</v>
      </c>
      <c r="E31" s="20">
        <f>'集計_障がい別'!$I$81</f>
        <v>0</v>
      </c>
    </row>
    <row r="32" ht="17" customHeight="1">
      <c r="B32" s="5" t="inlineStr">
        <is>
          <t>買い物</t>
        </is>
      </c>
      <c r="C32" s="20">
        <f>'集計_障がい別'!$G$85</f>
        <v>0.103448275862069</v>
      </c>
      <c r="D32" s="20">
        <f>'集計_障がい別'!$H$85</f>
        <v>0.5</v>
      </c>
      <c r="E32" s="20">
        <f>'集計_障がい別'!$I$85</f>
        <v>0.166666666666667</v>
      </c>
    </row>
    <row r="33" ht="17" customHeight="1">
      <c r="B33" s="5" t="inlineStr">
        <is>
          <t>入浴</t>
        </is>
      </c>
      <c r="C33" s="20">
        <f>'集計_障がい別'!$G$79</f>
        <v>0.103448275862069</v>
      </c>
      <c r="D33" s="20">
        <f>'集計_障がい別'!$H$79</f>
        <v>0.5</v>
      </c>
      <c r="E33" s="20">
        <f>'集計_障がい別'!$I$79</f>
        <v>0</v>
      </c>
    </row>
    <row r="34" ht="17" customHeight="1">
      <c r="B34" s="5" t="inlineStr">
        <is>
          <t>金銭管理</t>
        </is>
      </c>
      <c r="C34" s="20">
        <f>'集計_障がい別'!$G$82</f>
        <v>0.0344827586206897</v>
      </c>
      <c r="D34" s="20">
        <f>'集計_障がい別'!$H$82</f>
        <v>0.5</v>
      </c>
      <c r="E34" s="20">
        <f>'集計_障がい別'!$I$82</f>
        <v>0.333333333333333</v>
      </c>
    </row>
    <row r="35" ht="17" customHeight="1">
      <c r="B35" s="5" t="inlineStr">
        <is>
          <t>家事</t>
        </is>
      </c>
      <c r="C35" s="20">
        <f>'集計_障がい別'!$G$77</f>
        <v>0</v>
      </c>
      <c r="D35" s="20">
        <f>'集計_障がい別'!$H$77</f>
        <v>0.5</v>
      </c>
      <c r="E35" s="20">
        <f>'集計_障がい別'!$I$77</f>
        <v>0</v>
      </c>
    </row>
    <row r="36" ht="17" customHeight="1">
      <c r="B36" s="5" t="inlineStr">
        <is>
          <t>排せつ</t>
        </is>
      </c>
      <c r="C36" s="20">
        <f>'集計_障がい別'!$G$80</f>
        <v>0.0689655172413793</v>
      </c>
      <c r="D36" s="20">
        <f>'集計_障がい別'!$H$80</f>
        <v>0</v>
      </c>
      <c r="E36" s="20">
        <f>'集計_障がい別'!$I$80</f>
        <v>0</v>
      </c>
    </row>
    <row r="37" ht="17" customHeight="1">
      <c r="B37" s="5" t="inlineStr">
        <is>
          <t>相談先がない</t>
        </is>
      </c>
      <c r="C37" s="20">
        <f>'集計_障がい別'!$G$87</f>
        <v>0</v>
      </c>
      <c r="D37" s="20">
        <f>'集計_障がい別'!$H$87</f>
        <v>0</v>
      </c>
      <c r="E37" s="20">
        <f>'集計_障がい別'!$I$87</f>
        <v>0.166666666666667</v>
      </c>
    </row>
    <row r="38" ht="17" customHeight="1">
      <c r="B38" s="5" t="inlineStr">
        <is>
          <t>特にない</t>
        </is>
      </c>
      <c r="C38" s="20">
        <f>'集計_障がい別'!$G$89</f>
        <v>0.310344827586207</v>
      </c>
      <c r="D38" s="20">
        <f>'集計_障がい別'!$H$89</f>
        <v>0</v>
      </c>
      <c r="E38" s="20">
        <f>'集計_障がい別'!$I$89</f>
        <v>0.5</v>
      </c>
    </row>
    <row r="39" ht="17" customHeight="1">
      <c r="B39" s="5" t="inlineStr">
        <is>
          <t>その他</t>
        </is>
      </c>
      <c r="C39" s="20">
        <f>'集計_障がい別'!$G$90</f>
        <v>0.0344827586206897</v>
      </c>
      <c r="D39" s="20">
        <f>'集計_障がい別'!$H$90</f>
        <v>0</v>
      </c>
      <c r="E39" s="20">
        <f>'集計_障がい別'!$I$90</f>
        <v>0</v>
      </c>
    </row>
    <row r="40" ht="17" customHeight="1">
      <c r="B40" s="5" t="inlineStr">
        <is>
          <t>無回答</t>
        </is>
      </c>
      <c r="C40" s="20">
        <f>'集計_障がい別'!$G$91</f>
        <v>0.0344827586206897</v>
      </c>
      <c r="D40" s="20">
        <f>'集計_障がい別'!$H$91</f>
        <v>0</v>
      </c>
      <c r="E40" s="20">
        <f>'集計_障がい別'!$I$91</f>
        <v>0</v>
      </c>
    </row>
    <row r="41"/>
    <row r="42"/>
    <row r="43"/>
    <row r="44"/>
    <row r="45"/>
    <row r="46"/>
    <row r="47"/>
    <row r="48"/>
    <row r="49"/>
    <row r="50"/>
    <row r="51"/>
    <row r="52"/>
    <row r="53"/>
    <row r="54"/>
    <row r="55"/>
    <row r="56"/>
    <row r="57"/>
    <row r="58"/>
    <row r="59"/>
    <row r="60"/>
    <row r="61"/>
    <row r="62"/>
    <row r="63"/>
    <row r="64"/>
    <row r="65"/>
    <row r="66"/>
    <row r="67"/>
    <row r="70" ht="21" customHeight="1">
      <c r="B70" s="7" t="inlineStr">
        <is>
          <t>図3-18　将来希望する暮らし方（問11）</t>
        </is>
      </c>
    </row>
    <row r="71">
      <c r="B71" s="18" t="str">
        <f>"n="&amp;'集計_障がい者'!$F$91&amp;"（単一回答）"</f>
        <v>n=40（単一回答）</v>
      </c>
    </row>
    <row r="72" ht="18" customHeight="1">
      <c r="B72" s="3" t="inlineStr">
        <is>
          <t>選択肢</t>
        </is>
      </c>
      <c r="C72" s="3" t="inlineStr">
        <is>
          <t>件数</t>
        </is>
      </c>
      <c r="D72" s="3" t="inlineStr">
        <is>
          <t>割合</t>
        </is>
      </c>
    </row>
    <row r="73" ht="17" customHeight="1">
      <c r="B73" s="5" t="inlineStr">
        <is>
          <t>今の自宅で暮らしたい</t>
        </is>
      </c>
      <c r="C73" s="19">
        <f>'集計_障がい者'!$D$91</f>
        <v>16</v>
      </c>
      <c r="D73" s="20">
        <f>'集計_障がい者'!$E$91</f>
        <v>0.4</v>
      </c>
    </row>
    <row r="74" ht="17" customHeight="1">
      <c r="B74" s="5" t="inlineStr">
        <is>
          <t>家族と一緒に暮らしたい</t>
        </is>
      </c>
      <c r="C74" s="19">
        <f>'集計_障がい者'!$D$92</f>
        <v>6</v>
      </c>
      <c r="D74" s="20">
        <f>'集計_障がい者'!$E$92</f>
        <v>0.15</v>
      </c>
    </row>
    <row r="75" ht="17" customHeight="1">
      <c r="B75" s="5" t="inlineStr">
        <is>
          <t>一人暮らしをしたい</t>
        </is>
      </c>
      <c r="C75" s="19">
        <f>'集計_障がい者'!$D$93</f>
        <v>2</v>
      </c>
      <c r="D75" s="20">
        <f>'集計_障がい者'!$E$93</f>
        <v>0.05</v>
      </c>
    </row>
    <row r="76" ht="17" customHeight="1">
      <c r="B76" s="5" t="inlineStr">
        <is>
          <t>グループホームで暮らしたい</t>
        </is>
      </c>
      <c r="C76" s="19">
        <f>'集計_障がい者'!$D$94</f>
        <v>2</v>
      </c>
      <c r="D76" s="20">
        <f>'集計_障がい者'!$E$94</f>
        <v>0.05</v>
      </c>
    </row>
    <row r="77" ht="17" customHeight="1">
      <c r="B77" s="5" t="inlineStr">
        <is>
          <t>施設で暮らしたい</t>
        </is>
      </c>
      <c r="C77" s="19">
        <f>'集計_障がい者'!$D$95</f>
        <v>4</v>
      </c>
      <c r="D77" s="20">
        <f>'集計_障がい者'!$E$95</f>
        <v>0.1</v>
      </c>
    </row>
    <row r="78" ht="17" customHeight="1">
      <c r="B78" s="5" t="inlineStr">
        <is>
          <t>病院・施設から地域で暮らしたい</t>
        </is>
      </c>
      <c r="C78" s="19">
        <f>'集計_障がい者'!$D$96</f>
        <v>0</v>
      </c>
      <c r="D78" s="20">
        <f>'集計_障がい者'!$E$96</f>
        <v>0</v>
      </c>
    </row>
    <row r="79" ht="17" customHeight="1">
      <c r="B79" s="5" t="inlineStr">
        <is>
          <t>まだわからない</t>
        </is>
      </c>
      <c r="C79" s="19">
        <f>'集計_障がい者'!$D$97</f>
        <v>7</v>
      </c>
      <c r="D79" s="20">
        <f>'集計_障がい者'!$E$97</f>
        <v>0.175</v>
      </c>
    </row>
    <row r="80" ht="17" customHeight="1">
      <c r="B80" s="5" t="inlineStr">
        <is>
          <t>その他</t>
        </is>
      </c>
      <c r="C80" s="19">
        <f>'集計_障がい者'!$D$98</f>
        <v>1</v>
      </c>
      <c r="D80" s="20">
        <f>'集計_障がい者'!$E$98</f>
        <v>0.025</v>
      </c>
    </row>
    <row r="81" ht="17" customHeight="1">
      <c r="B81" s="5" t="inlineStr">
        <is>
          <t>無回答</t>
        </is>
      </c>
      <c r="C81" s="19">
        <f>'集計_障がい者'!$D$99</f>
        <v>2</v>
      </c>
      <c r="D81" s="20">
        <f>'集計_障がい者'!$E$99</f>
        <v>0.05</v>
      </c>
    </row>
    <row r="82"/>
    <row r="85" ht="21" customHeight="1">
      <c r="B85" s="7" t="inlineStr">
        <is>
          <t>図3-19　将来希望する暮らし方【障がい別】（問11）</t>
        </is>
      </c>
    </row>
    <row r="86"/>
    <row r="87" ht="44" customHeight="1">
      <c r="B87" s="3" t="inlineStr">
        <is>
          <t>区分</t>
        </is>
      </c>
      <c r="C87" s="3" t="inlineStr">
        <is>
          <t>今の自宅で暮らしたい</t>
        </is>
      </c>
      <c r="D87" s="3" t="inlineStr">
        <is>
          <t>家族と一緒に暮らしたい</t>
        </is>
      </c>
      <c r="E87" s="3" t="inlineStr">
        <is>
          <t>一人暮らしをしたい</t>
        </is>
      </c>
      <c r="F87" s="3" t="inlineStr">
        <is>
          <t>グループホームで暮らしたい</t>
        </is>
      </c>
      <c r="G87" s="3" t="inlineStr">
        <is>
          <t>施設で暮らしたい</t>
        </is>
      </c>
      <c r="H87" s="3" t="inlineStr">
        <is>
          <t>病院・施設から地域で暮らしたい</t>
        </is>
      </c>
      <c r="I87" s="3" t="inlineStr">
        <is>
          <t>まだわからない</t>
        </is>
      </c>
      <c r="J87" s="3" t="inlineStr">
        <is>
          <t>その他</t>
        </is>
      </c>
      <c r="K87" s="3" t="inlineStr">
        <is>
          <t>無回答</t>
        </is>
      </c>
    </row>
    <row r="88" ht="17" customHeight="1">
      <c r="B88" s="5" t="inlineStr">
        <is>
          <t>全体</t>
        </is>
      </c>
      <c r="C88" s="20">
        <f>'集計_障がい者'!$E$91</f>
        <v>0.4</v>
      </c>
      <c r="D88" s="20">
        <f>'集計_障がい者'!$E$92</f>
        <v>0.15</v>
      </c>
      <c r="E88" s="20">
        <f>'集計_障がい者'!$E$93</f>
        <v>0.05</v>
      </c>
      <c r="F88" s="20">
        <f>'集計_障がい者'!$E$94</f>
        <v>0.05</v>
      </c>
      <c r="G88" s="20">
        <f>'集計_障がい者'!$E$95</f>
        <v>0.1</v>
      </c>
      <c r="H88" s="20">
        <f>'集計_障がい者'!$E$96</f>
        <v>0</v>
      </c>
      <c r="I88" s="20">
        <f>'集計_障がい者'!$E$97</f>
        <v>0.175</v>
      </c>
      <c r="J88" s="20">
        <f>'集計_障がい者'!$E$98</f>
        <v>0.025</v>
      </c>
      <c r="K88" s="20">
        <f>'集計_障がい者'!$E$99</f>
        <v>0.05</v>
      </c>
    </row>
    <row r="89" ht="17" customHeight="1">
      <c r="B89" s="5" t="inlineStr">
        <is>
          <t>身体障がい（n=29）</t>
        </is>
      </c>
      <c r="C89" s="20">
        <f>'集計_障がい別'!$G$92</f>
        <v>0.379310344827586</v>
      </c>
      <c r="D89" s="20">
        <f>'集計_障がい別'!$G$93</f>
        <v>0.206896551724138</v>
      </c>
      <c r="E89" s="20">
        <f>'集計_障がい別'!$G$94</f>
        <v>0.0689655172413793</v>
      </c>
      <c r="F89" s="20">
        <f>'集計_障がい別'!$G$95</f>
        <v>0</v>
      </c>
      <c r="G89" s="20">
        <f>'集計_障がい別'!$G$96</f>
        <v>0.103448275862069</v>
      </c>
      <c r="H89" s="20">
        <f>'集計_障がい別'!$G$97</f>
        <v>0</v>
      </c>
      <c r="I89" s="20">
        <f>'集計_障がい別'!$G$98</f>
        <v>0.206896551724138</v>
      </c>
      <c r="J89" s="20">
        <f>'集計_障がい別'!$G$99</f>
        <v>0</v>
      </c>
      <c r="K89" s="20">
        <f>'集計_障がい別'!$G$100</f>
        <v>0.0344827586206897</v>
      </c>
    </row>
    <row r="90" ht="17" customHeight="1">
      <c r="B90" s="5" t="inlineStr">
        <is>
          <t>知的障がい（n=2）</t>
        </is>
      </c>
      <c r="C90" s="20">
        <f>'集計_障がい別'!$H$92</f>
        <v>0</v>
      </c>
      <c r="D90" s="20">
        <f>'集計_障がい別'!$H$93</f>
        <v>0</v>
      </c>
      <c r="E90" s="20">
        <f>'集計_障がい別'!$H$94</f>
        <v>0</v>
      </c>
      <c r="F90" s="20">
        <f>'集計_障がい別'!$H$95</f>
        <v>0</v>
      </c>
      <c r="G90" s="20">
        <f>'集計_障がい別'!$H$96</f>
        <v>0.5</v>
      </c>
      <c r="H90" s="20">
        <f>'集計_障がい別'!$H$97</f>
        <v>0</v>
      </c>
      <c r="I90" s="20">
        <f>'集計_障がい別'!$H$98</f>
        <v>0.5</v>
      </c>
      <c r="J90" s="20">
        <f>'集計_障がい別'!$H$99</f>
        <v>0</v>
      </c>
      <c r="K90" s="20">
        <f>'集計_障がい別'!$H$100</f>
        <v>0</v>
      </c>
    </row>
    <row r="91" ht="17" customHeight="1">
      <c r="B91" s="5" t="inlineStr">
        <is>
          <t>精神障がい（n=6）</t>
        </is>
      </c>
      <c r="C91" s="20">
        <f>'集計_障がい別'!$I$92</f>
        <v>0.5</v>
      </c>
      <c r="D91" s="20">
        <f>'集計_障がい別'!$I$93</f>
        <v>0</v>
      </c>
      <c r="E91" s="20">
        <f>'集計_障がい別'!$I$94</f>
        <v>0</v>
      </c>
      <c r="F91" s="20">
        <f>'集計_障がい別'!$I$95</f>
        <v>0.333333333333333</v>
      </c>
      <c r="G91" s="20">
        <f>'集計_障がい別'!$I$96</f>
        <v>0</v>
      </c>
      <c r="H91" s="20">
        <f>'集計_障がい別'!$I$97</f>
        <v>0</v>
      </c>
      <c r="I91" s="20">
        <f>'集計_障がい別'!$I$98</f>
        <v>0</v>
      </c>
      <c r="J91" s="20">
        <f>'集計_障がい別'!$I$99</f>
        <v>0.166666666666667</v>
      </c>
      <c r="K91" s="20">
        <f>'集計_障がい別'!$I$100</f>
        <v>0</v>
      </c>
    </row>
    <row r="92"/>
    <row r="93"/>
    <row r="94"/>
    <row r="95"/>
    <row r="98" ht="21" customHeight="1">
      <c r="B98" s="7" t="inlineStr">
        <is>
          <t>図3-20　外出の頻度（問12）</t>
        </is>
      </c>
    </row>
    <row r="99">
      <c r="B99" s="18" t="str">
        <f>"n="&amp;'集計_障がい者'!$F$100&amp;"（単一回答）"</f>
        <v>n=40（単一回答）</v>
      </c>
    </row>
    <row r="100" ht="18" customHeight="1">
      <c r="B100" s="3" t="inlineStr">
        <is>
          <t>選択肢</t>
        </is>
      </c>
      <c r="C100" s="3" t="inlineStr">
        <is>
          <t>件数</t>
        </is>
      </c>
      <c r="D100" s="3" t="inlineStr">
        <is>
          <t>割合</t>
        </is>
      </c>
    </row>
    <row r="101" ht="17" customHeight="1">
      <c r="B101" s="5" t="inlineStr">
        <is>
          <t>ほぼ毎日</t>
        </is>
      </c>
      <c r="C101" s="19">
        <f>'集計_障がい者'!$D$100</f>
        <v>11</v>
      </c>
      <c r="D101" s="20">
        <f>'集計_障がい者'!$E$100</f>
        <v>0.275</v>
      </c>
    </row>
    <row r="102" ht="17" customHeight="1">
      <c r="B102" s="5" t="inlineStr">
        <is>
          <t>週に2～4回</t>
        </is>
      </c>
      <c r="C102" s="19">
        <f>'集計_障がい者'!$D$101</f>
        <v>6</v>
      </c>
      <c r="D102" s="20">
        <f>'集計_障がい者'!$E$101</f>
        <v>0.15</v>
      </c>
    </row>
    <row r="103" ht="17" customHeight="1">
      <c r="B103" s="5" t="inlineStr">
        <is>
          <t>週に1回程度</t>
        </is>
      </c>
      <c r="C103" s="19">
        <f>'集計_障がい者'!$D$102</f>
        <v>7</v>
      </c>
      <c r="D103" s="20">
        <f>'集計_障がい者'!$E$102</f>
        <v>0.175</v>
      </c>
    </row>
    <row r="104" ht="17" customHeight="1">
      <c r="B104" s="5" t="inlineStr">
        <is>
          <t>月に数回</t>
        </is>
      </c>
      <c r="C104" s="19">
        <f>'集計_障がい者'!$D$103</f>
        <v>6</v>
      </c>
      <c r="D104" s="20">
        <f>'集計_障がい者'!$E$103</f>
        <v>0.15</v>
      </c>
    </row>
    <row r="105" ht="17" customHeight="1">
      <c r="B105" s="5" t="inlineStr">
        <is>
          <t>ほとんど外出しない</t>
        </is>
      </c>
      <c r="C105" s="19">
        <f>'集計_障がい者'!$D$104</f>
        <v>9</v>
      </c>
      <c r="D105" s="20">
        <f>'集計_障がい者'!$E$104</f>
        <v>0.225</v>
      </c>
    </row>
    <row r="106" ht="17" customHeight="1">
      <c r="B106" s="5" t="inlineStr">
        <is>
          <t>無回答</t>
        </is>
      </c>
      <c r="C106" s="19">
        <f>'集計_障がい者'!$D$105</f>
        <v>1</v>
      </c>
      <c r="D106" s="20">
        <f>'集計_障がい者'!$E$105</f>
        <v>0.025</v>
      </c>
    </row>
    <row r="109" ht="21" customHeight="1">
      <c r="B109" s="7" t="inlineStr">
        <is>
          <t>図3-21　外出の頻度【障がい別】（問12）</t>
        </is>
      </c>
    </row>
    <row r="110"/>
    <row r="111" ht="31" customHeight="1">
      <c r="B111" s="3" t="inlineStr">
        <is>
          <t>区分</t>
        </is>
      </c>
      <c r="C111" s="3" t="inlineStr">
        <is>
          <t>ほぼ毎日</t>
        </is>
      </c>
      <c r="D111" s="3" t="inlineStr">
        <is>
          <t>週に2～4回</t>
        </is>
      </c>
      <c r="E111" s="3" t="inlineStr">
        <is>
          <t>週に1回程度</t>
        </is>
      </c>
      <c r="F111" s="3" t="inlineStr">
        <is>
          <t>月に数回</t>
        </is>
      </c>
      <c r="G111" s="3" t="inlineStr">
        <is>
          <t>ほとんど外出しない</t>
        </is>
      </c>
      <c r="H111" s="3" t="inlineStr">
        <is>
          <t>無回答</t>
        </is>
      </c>
    </row>
    <row r="112" ht="17" customHeight="1">
      <c r="B112" s="5" t="inlineStr">
        <is>
          <t>全体</t>
        </is>
      </c>
      <c r="C112" s="20">
        <f>'集計_障がい者'!$E$100</f>
        <v>0.275</v>
      </c>
      <c r="D112" s="20">
        <f>'集計_障がい者'!$E$101</f>
        <v>0.15</v>
      </c>
      <c r="E112" s="20">
        <f>'集計_障がい者'!$E$102</f>
        <v>0.175</v>
      </c>
      <c r="F112" s="20">
        <f>'集計_障がい者'!$E$103</f>
        <v>0.15</v>
      </c>
      <c r="G112" s="20">
        <f>'集計_障がい者'!$E$104</f>
        <v>0.225</v>
      </c>
      <c r="H112" s="20">
        <f>'集計_障がい者'!$E$105</f>
        <v>0.025</v>
      </c>
    </row>
    <row r="113" ht="17" customHeight="1">
      <c r="B113" s="5" t="inlineStr">
        <is>
          <t>身体障がい（n=29）</t>
        </is>
      </c>
      <c r="C113" s="20">
        <f>'集計_障がい別'!$G$101</f>
        <v>0.275862068965517</v>
      </c>
      <c r="D113" s="20">
        <f>'集計_障がい別'!$G$102</f>
        <v>0.137931034482759</v>
      </c>
      <c r="E113" s="20">
        <f>'集計_障がい別'!$G$103</f>
        <v>0.206896551724138</v>
      </c>
      <c r="F113" s="20">
        <f>'集計_障がい別'!$G$104</f>
        <v>0.206896551724138</v>
      </c>
      <c r="G113" s="20">
        <f>'集計_障がい別'!$G$105</f>
        <v>0.172413793103448</v>
      </c>
      <c r="H113" s="20">
        <f>'集計_障がい別'!$G$106</f>
        <v>0</v>
      </c>
    </row>
    <row r="114" ht="17" customHeight="1">
      <c r="B114" s="5" t="inlineStr">
        <is>
          <t>知的障がい（n=2）</t>
        </is>
      </c>
      <c r="C114" s="20">
        <f>'集計_障がい別'!$H$101</f>
        <v>0</v>
      </c>
      <c r="D114" s="20">
        <f>'集計_障がい別'!$H$102</f>
        <v>0</v>
      </c>
      <c r="E114" s="20">
        <f>'集計_障がい別'!$H$103</f>
        <v>0</v>
      </c>
      <c r="F114" s="20">
        <f>'集計_障がい別'!$H$104</f>
        <v>0</v>
      </c>
      <c r="G114" s="20">
        <f>'集計_障がい別'!$H$105</f>
        <v>1</v>
      </c>
      <c r="H114" s="20">
        <f>'集計_障がい別'!$H$106</f>
        <v>0</v>
      </c>
    </row>
    <row r="115" ht="17" customHeight="1">
      <c r="B115" s="5" t="inlineStr">
        <is>
          <t>精神障がい（n=6）</t>
        </is>
      </c>
      <c r="C115" s="20">
        <f>'集計_障がい別'!$I$101</f>
        <v>0.333333333333333</v>
      </c>
      <c r="D115" s="20">
        <f>'集計_障がい別'!$I$102</f>
        <v>0.333333333333333</v>
      </c>
      <c r="E115" s="20">
        <f>'集計_障がい別'!$I$103</f>
        <v>0</v>
      </c>
      <c r="F115" s="20">
        <f>'集計_障がい別'!$I$104</f>
        <v>0</v>
      </c>
      <c r="G115" s="20">
        <f>'集計_障がい別'!$I$105</f>
        <v>0.333333333333333</v>
      </c>
      <c r="H115" s="20">
        <f>'集計_障がい別'!$I$106</f>
        <v>0</v>
      </c>
    </row>
    <row r="116"/>
    <row r="117"/>
    <row r="118"/>
    <row r="119"/>
    <row r="120"/>
    <row r="123" ht="21" customHeight="1">
      <c r="B123" s="7" t="inlineStr">
        <is>
          <t>図3-22　外出時の主な移動手段（問13）</t>
        </is>
      </c>
    </row>
    <row r="124">
      <c r="B124" s="18" t="str">
        <f>"n="&amp;'集計_障がい者'!$F$106&amp;"（複数回答）"</f>
        <v>n=40（複数回答）</v>
      </c>
    </row>
    <row r="125" ht="18" customHeight="1">
      <c r="B125" s="3" t="inlineStr">
        <is>
          <t>選択肢</t>
        </is>
      </c>
      <c r="C125" s="3" t="inlineStr">
        <is>
          <t>件数</t>
        </is>
      </c>
      <c r="D125" s="3" t="inlineStr">
        <is>
          <t>割合</t>
        </is>
      </c>
    </row>
    <row r="126" ht="17" customHeight="1">
      <c r="B126" s="5" t="inlineStr">
        <is>
          <t>自分で運転</t>
        </is>
      </c>
      <c r="C126" s="19">
        <f>'集計_障がい者'!$D$106</f>
        <v>17</v>
      </c>
      <c r="D126" s="20">
        <f>'集計_障がい者'!$E$106</f>
        <v>0.425</v>
      </c>
    </row>
    <row r="127" ht="17" customHeight="1">
      <c r="B127" s="5" t="inlineStr">
        <is>
          <t>家族・知人の送迎</t>
        </is>
      </c>
      <c r="C127" s="19">
        <f>'集計_障がい者'!$D$107</f>
        <v>16</v>
      </c>
      <c r="D127" s="20">
        <f>'集計_障がい者'!$E$107</f>
        <v>0.4</v>
      </c>
    </row>
    <row r="128" ht="17" customHeight="1">
      <c r="B128" s="5" t="inlineStr">
        <is>
          <t>事業所・施設の送迎</t>
        </is>
      </c>
      <c r="C128" s="19">
        <f>'集計_障がい者'!$D$113</f>
        <v>8</v>
      </c>
      <c r="D128" s="20">
        <f>'集計_障がい者'!$E$113</f>
        <v>0.2</v>
      </c>
    </row>
    <row r="129" ht="17" customHeight="1">
      <c r="B129" s="5" t="inlineStr">
        <is>
          <t>路線バス</t>
        </is>
      </c>
      <c r="C129" s="19">
        <f>'集計_障がい者'!$D$110</f>
        <v>4</v>
      </c>
      <c r="D129" s="20">
        <f>'集計_障がい者'!$E$110</f>
        <v>0.1</v>
      </c>
    </row>
    <row r="130" ht="17" customHeight="1">
      <c r="B130" s="5" t="inlineStr">
        <is>
          <t>徒歩</t>
        </is>
      </c>
      <c r="C130" s="19">
        <f>'集計_障がい者'!$D$108</f>
        <v>3</v>
      </c>
      <c r="D130" s="20">
        <f>'集計_障がい者'!$E$108</f>
        <v>0.075</v>
      </c>
    </row>
    <row r="131" ht="17" customHeight="1">
      <c r="B131" s="5" t="inlineStr">
        <is>
          <t>タクシー</t>
        </is>
      </c>
      <c r="C131" s="19">
        <f>'集計_障がい者'!$D$111</f>
        <v>2</v>
      </c>
      <c r="D131" s="20">
        <f>'集計_障がい者'!$E$111</f>
        <v>0.05</v>
      </c>
    </row>
    <row r="132" ht="17" customHeight="1">
      <c r="B132" s="5" t="inlineStr">
        <is>
          <t>自転車</t>
        </is>
      </c>
      <c r="C132" s="19">
        <f>'集計_障がい者'!$D$109</f>
        <v>1</v>
      </c>
      <c r="D132" s="20">
        <f>'集計_障がい者'!$E$109</f>
        <v>0.025</v>
      </c>
    </row>
    <row r="133" ht="17" customHeight="1">
      <c r="B133" s="5" t="inlineStr">
        <is>
          <t>福祉タクシー等</t>
        </is>
      </c>
      <c r="C133" s="19">
        <f>'集計_障がい者'!$D$112</f>
        <v>1</v>
      </c>
      <c r="D133" s="20">
        <f>'集計_障がい者'!$E$112</f>
        <v>0.025</v>
      </c>
    </row>
    <row r="134" ht="17" customHeight="1">
      <c r="B134" s="5" t="inlineStr">
        <is>
          <t>その他</t>
        </is>
      </c>
      <c r="C134" s="19">
        <f>'集計_障がい者'!$D$114</f>
        <v>2</v>
      </c>
      <c r="D134" s="20">
        <f>'集計_障がい者'!$E$114</f>
        <v>0.05</v>
      </c>
    </row>
    <row r="135" ht="17" customHeight="1">
      <c r="B135" s="5" t="inlineStr">
        <is>
          <t>無回答</t>
        </is>
      </c>
      <c r="C135" s="19">
        <f>'集計_障がい者'!$D$115</f>
        <v>4</v>
      </c>
      <c r="D135" s="20">
        <f>'集計_障がい者'!$E$115</f>
        <v>0.1</v>
      </c>
    </row>
    <row r="136"/>
    <row r="139" ht="21" customHeight="1">
      <c r="B139" s="7" t="inlineStr">
        <is>
          <t>図3-23　外出時の主な移動手段【障がい別】（問13）</t>
        </is>
      </c>
    </row>
    <row r="140"/>
    <row r="141" ht="31" customHeight="1">
      <c r="B141" s="3" t="inlineStr">
        <is>
          <t>選択肢</t>
        </is>
      </c>
      <c r="C141" s="3" t="inlineStr">
        <is>
          <t>身体障がい（n=29）</t>
        </is>
      </c>
      <c r="D141" s="3" t="inlineStr">
        <is>
          <t>知的障がい（n=2）</t>
        </is>
      </c>
      <c r="E141" s="3" t="inlineStr">
        <is>
          <t>精神障がい（n=6）</t>
        </is>
      </c>
    </row>
    <row r="142" ht="17" customHeight="1">
      <c r="B142" s="5" t="inlineStr">
        <is>
          <t>自分で運転</t>
        </is>
      </c>
      <c r="C142" s="20">
        <f>'集計_障がい別'!$G$107</f>
        <v>0.482758620689655</v>
      </c>
      <c r="D142" s="20">
        <f>'集計_障がい別'!$H$107</f>
        <v>0</v>
      </c>
      <c r="E142" s="20">
        <f>'集計_障がい別'!$I$107</f>
        <v>0.166666666666667</v>
      </c>
    </row>
    <row r="143" ht="17" customHeight="1">
      <c r="B143" s="5" t="inlineStr">
        <is>
          <t>家族・知人の送迎</t>
        </is>
      </c>
      <c r="C143" s="20">
        <f>'集計_障がい別'!$G$108</f>
        <v>0.379310344827586</v>
      </c>
      <c r="D143" s="20">
        <f>'集計_障がい別'!$H$108</f>
        <v>0</v>
      </c>
      <c r="E143" s="20">
        <f>'集計_障がい別'!$I$108</f>
        <v>0.5</v>
      </c>
    </row>
    <row r="144" ht="17" customHeight="1">
      <c r="B144" s="5" t="inlineStr">
        <is>
          <t>事業所・施設の送迎</t>
        </is>
      </c>
      <c r="C144" s="20">
        <f>'集計_障がい別'!$G$114</f>
        <v>0.137931034482759</v>
      </c>
      <c r="D144" s="20">
        <f>'集計_障がい別'!$H$114</f>
        <v>1</v>
      </c>
      <c r="E144" s="20">
        <f>'集計_障がい別'!$I$114</f>
        <v>0.5</v>
      </c>
    </row>
    <row r="145" ht="17" customHeight="1">
      <c r="B145" s="5" t="inlineStr">
        <is>
          <t>路線バス</t>
        </is>
      </c>
      <c r="C145" s="20">
        <f>'集計_障がい別'!$G$111</f>
        <v>0.0344827586206897</v>
      </c>
      <c r="D145" s="20">
        <f>'集計_障がい別'!$H$111</f>
        <v>0</v>
      </c>
      <c r="E145" s="20">
        <f>'集計_障がい別'!$I$111</f>
        <v>0.333333333333333</v>
      </c>
    </row>
    <row r="146" ht="17" customHeight="1">
      <c r="B146" s="5" t="inlineStr">
        <is>
          <t>徒歩</t>
        </is>
      </c>
      <c r="C146" s="20">
        <f>'集計_障がい別'!$G$109</f>
        <v>0.0344827586206897</v>
      </c>
      <c r="D146" s="20">
        <f>'集計_障がい別'!$H$109</f>
        <v>0</v>
      </c>
      <c r="E146" s="20">
        <f>'集計_障がい別'!$I$109</f>
        <v>0.333333333333333</v>
      </c>
    </row>
    <row r="147" ht="17" customHeight="1">
      <c r="B147" s="5" t="inlineStr">
        <is>
          <t>タクシー</t>
        </is>
      </c>
      <c r="C147" s="20">
        <f>'集計_障がい別'!$G$112</f>
        <v>0.0344827586206897</v>
      </c>
      <c r="D147" s="20">
        <f>'集計_障がい別'!$H$112</f>
        <v>0</v>
      </c>
      <c r="E147" s="20">
        <f>'集計_障がい別'!$I$112</f>
        <v>0.166666666666667</v>
      </c>
    </row>
    <row r="148" ht="17" customHeight="1">
      <c r="B148" s="5" t="inlineStr">
        <is>
          <t>自転車</t>
        </is>
      </c>
      <c r="C148" s="20">
        <f>'集計_障がい別'!$G$110</f>
        <v>0</v>
      </c>
      <c r="D148" s="20">
        <f>'集計_障がい別'!$H$110</f>
        <v>0</v>
      </c>
      <c r="E148" s="20">
        <f>'集計_障がい別'!$I$110</f>
        <v>0.166666666666667</v>
      </c>
    </row>
    <row r="149" ht="17" customHeight="1">
      <c r="B149" s="5" t="inlineStr">
        <is>
          <t>その他</t>
        </is>
      </c>
      <c r="C149" s="20">
        <f>'集計_障がい別'!$G$115</f>
        <v>0.0689655172413793</v>
      </c>
      <c r="D149" s="20">
        <f>'集計_障がい別'!$H$115</f>
        <v>0</v>
      </c>
      <c r="E149" s="20">
        <f>'集計_障がい別'!$I$115</f>
        <v>0</v>
      </c>
    </row>
    <row r="150" ht="17" customHeight="1">
      <c r="B150" s="5" t="inlineStr">
        <is>
          <t>無回答</t>
        </is>
      </c>
      <c r="C150" s="20">
        <f>'集計_障がい別'!$G$116</f>
        <v>0.103448275862069</v>
      </c>
      <c r="D150" s="20">
        <f>'集計_障がい別'!$H$116</f>
        <v>0</v>
      </c>
      <c r="E150" s="20">
        <f>'集計_障がい別'!$I$116</f>
        <v>0.166666666666667</v>
      </c>
    </row>
    <row r="151" ht="15" customHeight="1">
      <c r="B151" s="17" t="inlineStr">
        <is>
          <t>※いずれの区分にも回答のなかった選択肢は省略しています。</t>
        </is>
      </c>
    </row>
    <row r="152"/>
    <row r="153"/>
    <row r="154"/>
    <row r="155"/>
    <row r="156"/>
    <row r="157"/>
    <row r="158"/>
    <row r="159"/>
    <row r="160"/>
    <row r="161"/>
    <row r="162"/>
    <row r="163"/>
    <row r="164"/>
    <row r="165"/>
    <row r="166"/>
    <row r="167"/>
    <row r="170" ht="21" customHeight="1">
      <c r="B170" s="7" t="inlineStr">
        <is>
          <t>図3-24　外出するときに困ること（問14）</t>
        </is>
      </c>
    </row>
    <row r="171">
      <c r="B171" s="18" t="str">
        <f>"n="&amp;'集計_障がい者'!$F$119&amp;"（複数回答）"</f>
        <v>n=40（複数回答）</v>
      </c>
    </row>
    <row r="172" ht="18" customHeight="1">
      <c r="B172" s="3" t="inlineStr">
        <is>
          <t>選択肢</t>
        </is>
      </c>
      <c r="C172" s="3" t="inlineStr">
        <is>
          <t>件数</t>
        </is>
      </c>
      <c r="D172" s="3" t="inlineStr">
        <is>
          <t>割合</t>
        </is>
      </c>
    </row>
    <row r="173" ht="17" customHeight="1">
      <c r="B173" s="5" t="inlineStr">
        <is>
          <t>冬季・積雪時に外出しにくい</t>
        </is>
      </c>
      <c r="C173" s="19">
        <f>'集計_障がい者'!$D$119</f>
        <v>14</v>
      </c>
      <c r="D173" s="20">
        <f>'集計_障がい者'!$E$119</f>
        <v>0.35</v>
      </c>
    </row>
    <row r="174" ht="17" customHeight="1">
      <c r="B174" s="5" t="inlineStr">
        <is>
          <t>家族等の付き添いが必要</t>
        </is>
      </c>
      <c r="C174" s="19">
        <f>'集計_障がい者'!$D$117</f>
        <v>8</v>
      </c>
      <c r="D174" s="20">
        <f>'集計_障がい者'!$E$117</f>
        <v>0.2</v>
      </c>
    </row>
    <row r="175" ht="17" customHeight="1">
      <c r="B175" s="5" t="inlineStr">
        <is>
          <t>体調面が不安</t>
        </is>
      </c>
      <c r="C175" s="19">
        <f>'集計_障がい者'!$D$122</f>
        <v>8</v>
      </c>
      <c r="D175" s="20">
        <f>'集計_障がい者'!$E$122</f>
        <v>0.2</v>
      </c>
    </row>
    <row r="176" ht="17" customHeight="1">
      <c r="B176" s="5" t="inlineStr">
        <is>
          <t>交通手段が少ない</t>
        </is>
      </c>
      <c r="C176" s="19">
        <f>'集計_障がい者'!$D$116</f>
        <v>6</v>
      </c>
      <c r="D176" s="20">
        <f>'集計_障がい者'!$E$116</f>
        <v>0.15</v>
      </c>
    </row>
    <row r="177" ht="17" customHeight="1">
      <c r="B177" s="5" t="inlineStr">
        <is>
          <t>費用がかかる</t>
        </is>
      </c>
      <c r="C177" s="19">
        <f>'集計_障がい者'!$D$123</f>
        <v>6</v>
      </c>
      <c r="D177" s="20">
        <f>'集計_障がい者'!$E$123</f>
        <v>0.15</v>
      </c>
    </row>
    <row r="178" ht="17" customHeight="1">
      <c r="B178" s="5" t="inlineStr">
        <is>
          <t>送迎がない</t>
        </is>
      </c>
      <c r="C178" s="19">
        <f>'集計_障がい者'!$D$118</f>
        <v>5</v>
      </c>
      <c r="D178" s="20">
        <f>'集計_障がい者'!$E$118</f>
        <v>0.125</v>
      </c>
    </row>
    <row r="179" ht="17" customHeight="1">
      <c r="B179" s="5" t="inlineStr">
        <is>
          <t>周囲の理解が不安</t>
        </is>
      </c>
      <c r="C179" s="19">
        <f>'集計_障がい者'!$D$121</f>
        <v>2</v>
      </c>
      <c r="D179" s="20">
        <f>'集計_障がい者'!$E$121</f>
        <v>0.05</v>
      </c>
    </row>
    <row r="180" ht="17" customHeight="1">
      <c r="B180" s="5" t="inlineStr">
        <is>
          <t>道路・建物が利用しにくい</t>
        </is>
      </c>
      <c r="C180" s="19">
        <f>'集計_障がい者'!$D$120</f>
        <v>0</v>
      </c>
      <c r="D180" s="20">
        <f>'集計_障がい者'!$E$120</f>
        <v>0</v>
      </c>
    </row>
    <row r="181" ht="17" customHeight="1">
      <c r="B181" s="5" t="inlineStr">
        <is>
          <t>特に困らない</t>
        </is>
      </c>
      <c r="C181" s="19">
        <f>'集計_障がい者'!$D$124</f>
        <v>12</v>
      </c>
      <c r="D181" s="20">
        <f>'集計_障がい者'!$E$124</f>
        <v>0.3</v>
      </c>
    </row>
    <row r="182" ht="17" customHeight="1">
      <c r="B182" s="5" t="inlineStr">
        <is>
          <t>その他</t>
        </is>
      </c>
      <c r="C182" s="19">
        <f>'集計_障がい者'!$D$125</f>
        <v>1</v>
      </c>
      <c r="D182" s="20">
        <f>'集計_障がい者'!$E$125</f>
        <v>0.025</v>
      </c>
    </row>
    <row r="183" ht="17" customHeight="1">
      <c r="B183" s="5" t="inlineStr">
        <is>
          <t>無回答</t>
        </is>
      </c>
      <c r="C183" s="19">
        <f>'集計_障がい者'!$D$126</f>
        <v>4</v>
      </c>
      <c r="D183" s="20">
        <f>'集計_障がい者'!$E$126</f>
        <v>0.1</v>
      </c>
    </row>
    <row r="184"/>
    <row r="187" ht="21" customHeight="1">
      <c r="B187" s="7" t="inlineStr">
        <is>
          <t>図3-25　外出するときに困ること【障がい別】（問14）</t>
        </is>
      </c>
    </row>
    <row r="188"/>
    <row r="189" ht="31" customHeight="1">
      <c r="B189" s="3" t="inlineStr">
        <is>
          <t>選択肢</t>
        </is>
      </c>
      <c r="C189" s="3" t="inlineStr">
        <is>
          <t>身体障がい（n=29）</t>
        </is>
      </c>
      <c r="D189" s="3" t="inlineStr">
        <is>
          <t>知的障がい（n=2）</t>
        </is>
      </c>
      <c r="E189" s="3" t="inlineStr">
        <is>
          <t>精神障がい（n=6）</t>
        </is>
      </c>
    </row>
    <row r="190" ht="17" customHeight="1">
      <c r="B190" s="5" t="inlineStr">
        <is>
          <t>冬季・積雪時に外出しにくい</t>
        </is>
      </c>
      <c r="C190" s="20">
        <f>'集計_障がい別'!$G$120</f>
        <v>0.275862068965517</v>
      </c>
      <c r="D190" s="20">
        <f>'集計_障がい別'!$H$120</f>
        <v>0</v>
      </c>
      <c r="E190" s="20">
        <f>'集計_障がい別'!$I$120</f>
        <v>0.833333333333333</v>
      </c>
    </row>
    <row r="191" ht="17" customHeight="1">
      <c r="B191" s="5" t="inlineStr">
        <is>
          <t>家族等の付き添いが必要</t>
        </is>
      </c>
      <c r="C191" s="20">
        <f>'集計_障がい別'!$G$118</f>
        <v>0.137931034482759</v>
      </c>
      <c r="D191" s="20">
        <f>'集計_障がい別'!$H$118</f>
        <v>0.5</v>
      </c>
      <c r="E191" s="20">
        <f>'集計_障がい別'!$I$118</f>
        <v>0.333333333333333</v>
      </c>
    </row>
    <row r="192" ht="17" customHeight="1">
      <c r="B192" s="5" t="inlineStr">
        <is>
          <t>体調面が不安</t>
        </is>
      </c>
      <c r="C192" s="20">
        <f>'集計_障がい別'!$G$123</f>
        <v>0.206896551724138</v>
      </c>
      <c r="D192" s="20">
        <f>'集計_障がい別'!$H$123</f>
        <v>0.5</v>
      </c>
      <c r="E192" s="20">
        <f>'集計_障がい別'!$I$123</f>
        <v>0.333333333333333</v>
      </c>
    </row>
    <row r="193" ht="17" customHeight="1">
      <c r="B193" s="5" t="inlineStr">
        <is>
          <t>交通手段が少ない</t>
        </is>
      </c>
      <c r="C193" s="20">
        <f>'集計_障がい別'!$G$117</f>
        <v>0.103448275862069</v>
      </c>
      <c r="D193" s="20">
        <f>'集計_障がい別'!$H$117</f>
        <v>0</v>
      </c>
      <c r="E193" s="20">
        <f>'集計_障がい別'!$I$117</f>
        <v>0.5</v>
      </c>
    </row>
    <row r="194" ht="17" customHeight="1">
      <c r="B194" s="5" t="inlineStr">
        <is>
          <t>費用がかかる</t>
        </is>
      </c>
      <c r="C194" s="20">
        <f>'集計_障がい別'!$G$124</f>
        <v>0.137931034482759</v>
      </c>
      <c r="D194" s="20">
        <f>'集計_障がい別'!$H$124</f>
        <v>0</v>
      </c>
      <c r="E194" s="20">
        <f>'集計_障がい別'!$I$124</f>
        <v>0.166666666666667</v>
      </c>
    </row>
    <row r="195" ht="17" customHeight="1">
      <c r="B195" s="5" t="inlineStr">
        <is>
          <t>送迎がない</t>
        </is>
      </c>
      <c r="C195" s="20">
        <f>'集計_障がい別'!$G$119</f>
        <v>0.137931034482759</v>
      </c>
      <c r="D195" s="20">
        <f>'集計_障がい別'!$H$119</f>
        <v>0</v>
      </c>
      <c r="E195" s="20">
        <f>'集計_障がい別'!$I$119</f>
        <v>0.166666666666667</v>
      </c>
    </row>
    <row r="196" ht="17" customHeight="1">
      <c r="B196" s="5" t="inlineStr">
        <is>
          <t>周囲の理解が不安</t>
        </is>
      </c>
      <c r="C196" s="20">
        <f>'集計_障がい別'!$G$122</f>
        <v>0.0344827586206897</v>
      </c>
      <c r="D196" s="20">
        <f>'集計_障がい別'!$H$122</f>
        <v>0</v>
      </c>
      <c r="E196" s="20">
        <f>'集計_障がい別'!$I$122</f>
        <v>0.166666666666667</v>
      </c>
    </row>
    <row r="197" ht="17" customHeight="1">
      <c r="B197" s="5" t="inlineStr">
        <is>
          <t>特に困らない</t>
        </is>
      </c>
      <c r="C197" s="20">
        <f>'集計_障がい別'!$G$125</f>
        <v>0.344827586206897</v>
      </c>
      <c r="D197" s="20">
        <f>'集計_障がい別'!$H$125</f>
        <v>0</v>
      </c>
      <c r="E197" s="20">
        <f>'集計_障がい別'!$I$125</f>
        <v>0</v>
      </c>
    </row>
    <row r="198" ht="17" customHeight="1">
      <c r="B198" s="5" t="inlineStr">
        <is>
          <t>その他</t>
        </is>
      </c>
      <c r="C198" s="20">
        <f>'集計_障がい別'!$G$126</f>
        <v>0.0344827586206897</v>
      </c>
      <c r="D198" s="20">
        <f>'集計_障がい別'!$H$126</f>
        <v>0</v>
      </c>
      <c r="E198" s="20">
        <f>'集計_障がい別'!$I$126</f>
        <v>0</v>
      </c>
    </row>
    <row r="199" ht="17" customHeight="1">
      <c r="B199" s="5" t="inlineStr">
        <is>
          <t>無回答</t>
        </is>
      </c>
      <c r="C199" s="20">
        <f>'集計_障がい別'!$G$127</f>
        <v>0.103448275862069</v>
      </c>
      <c r="D199" s="20">
        <f>'集計_障がい別'!$H$127</f>
        <v>0</v>
      </c>
      <c r="E199" s="20">
        <f>'集計_障がい別'!$I$127</f>
        <v>0</v>
      </c>
    </row>
    <row r="200" ht="15" customHeight="1">
      <c r="B200" s="17" t="inlineStr">
        <is>
          <t>※いずれの区分にも回答のなかった選択肢は省略しています。</t>
        </is>
      </c>
    </row>
    <row r="201"/>
    <row r="202"/>
    <row r="203"/>
    <row r="204"/>
    <row r="205"/>
    <row r="206"/>
    <row r="207"/>
    <row r="208"/>
    <row r="209"/>
    <row r="210"/>
    <row r="211"/>
    <row r="212"/>
    <row r="213"/>
    <row r="214"/>
    <row r="215"/>
    <row r="216"/>
    <row r="217"/>
    <row r="218"/>
  </sheetData>
  <mergeCells count="2">
    <mergeCell ref="B151:E151"/>
    <mergeCell ref="B200:E200"/>
  </mergeCells>
  <pageMargins left="0.75" right="0.75" top="1" bottom="1" header="0.5" footer="0.5"/>
  <pageSetup orientation="landscape" paperSize="9"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B2:G213"/>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図3-26　定期的な通院（問15）</t>
        </is>
      </c>
    </row>
    <row r="3">
      <c r="B3" s="18" t="str">
        <f>"n="&amp;'集計_障がい者'!$F$127&amp;"（単一回答）"</f>
        <v>n=40（単一回答）</v>
      </c>
    </row>
    <row r="4" ht="18" customHeight="1">
      <c r="B4" s="3" t="inlineStr">
        <is>
          <t>選択肢</t>
        </is>
      </c>
      <c r="C4" s="3" t="inlineStr">
        <is>
          <t>件数</t>
        </is>
      </c>
      <c r="D4" s="3" t="inlineStr">
        <is>
          <t>割合</t>
        </is>
      </c>
    </row>
    <row r="5" ht="17" customHeight="1">
      <c r="B5" s="5" t="inlineStr">
        <is>
          <t>通院している</t>
        </is>
      </c>
      <c r="C5" s="19">
        <f>'集計_障がい者'!$D$127</f>
        <v>28</v>
      </c>
      <c r="D5" s="20">
        <f>'集計_障がい者'!$E$127</f>
        <v>0.7</v>
      </c>
    </row>
    <row r="6" ht="17" customHeight="1">
      <c r="B6" s="5" t="inlineStr">
        <is>
          <t>通院していない</t>
        </is>
      </c>
      <c r="C6" s="19">
        <f>'集計_障がい者'!$D$128</f>
        <v>5</v>
      </c>
      <c r="D6" s="20">
        <f>'集計_障がい者'!$E$128</f>
        <v>0.125</v>
      </c>
    </row>
    <row r="7" ht="17" customHeight="1">
      <c r="B7" s="5" t="inlineStr">
        <is>
          <t>訪問診療・往診を受けている</t>
        </is>
      </c>
      <c r="C7" s="19">
        <f>'集計_障がい者'!$D$129</f>
        <v>3</v>
      </c>
      <c r="D7" s="20">
        <f>'集計_障がい者'!$E$129</f>
        <v>0.075</v>
      </c>
    </row>
    <row r="8" ht="17" customHeight="1">
      <c r="B8" s="5" t="inlineStr">
        <is>
          <t>わからない</t>
        </is>
      </c>
      <c r="C8" s="19">
        <f>'集計_障がい者'!$D$130</f>
        <v>2</v>
      </c>
      <c r="D8" s="20">
        <f>'集計_障がい者'!$E$130</f>
        <v>0.05</v>
      </c>
    </row>
    <row r="9" ht="17" customHeight="1">
      <c r="B9" s="5" t="inlineStr">
        <is>
          <t>無回答</t>
        </is>
      </c>
      <c r="C9" s="19">
        <f>'集計_障がい者'!$D$131</f>
        <v>2</v>
      </c>
      <c r="D9" s="20">
        <f>'集計_障がい者'!$E$131</f>
        <v>0.05</v>
      </c>
    </row>
    <row r="10"/>
    <row r="13" ht="21" customHeight="1">
      <c r="B13" s="7" t="inlineStr">
        <is>
          <t>図3-27　定期的な通院【障がい別】（問15）</t>
        </is>
      </c>
    </row>
    <row r="14"/>
    <row r="15" ht="44" customHeight="1">
      <c r="B15" s="3" t="inlineStr">
        <is>
          <t>区分</t>
        </is>
      </c>
      <c r="C15" s="3" t="inlineStr">
        <is>
          <t>通院している</t>
        </is>
      </c>
      <c r="D15" s="3" t="inlineStr">
        <is>
          <t>通院していない</t>
        </is>
      </c>
      <c r="E15" s="3" t="inlineStr">
        <is>
          <t>訪問診療・往診を受けている</t>
        </is>
      </c>
      <c r="F15" s="3" t="inlineStr">
        <is>
          <t>わからない</t>
        </is>
      </c>
      <c r="G15" s="3" t="inlineStr">
        <is>
          <t>無回答</t>
        </is>
      </c>
    </row>
    <row r="16" ht="17" customHeight="1">
      <c r="B16" s="5" t="inlineStr">
        <is>
          <t>全体</t>
        </is>
      </c>
      <c r="C16" s="20">
        <f>'集計_障がい者'!$E$127</f>
        <v>0.7</v>
      </c>
      <c r="D16" s="20">
        <f>'集計_障がい者'!$E$128</f>
        <v>0.125</v>
      </c>
      <c r="E16" s="20">
        <f>'集計_障がい者'!$E$129</f>
        <v>0.075</v>
      </c>
      <c r="F16" s="20">
        <f>'集計_障がい者'!$E$130</f>
        <v>0.05</v>
      </c>
      <c r="G16" s="20">
        <f>'集計_障がい者'!$E$131</f>
        <v>0.05</v>
      </c>
    </row>
    <row r="17" ht="17" customHeight="1">
      <c r="B17" s="5" t="inlineStr">
        <is>
          <t>身体障がい（n=29）</t>
        </is>
      </c>
      <c r="C17" s="20">
        <f>'集計_障がい別'!$G$128</f>
        <v>0.758620689655172</v>
      </c>
      <c r="D17" s="20">
        <f>'集計_障がい別'!$G$129</f>
        <v>0.0689655172413793</v>
      </c>
      <c r="E17" s="20">
        <f>'集計_障がい別'!$G$130</f>
        <v>0.0344827586206897</v>
      </c>
      <c r="F17" s="20">
        <f>'集計_障がい別'!$G$131</f>
        <v>0.0689655172413793</v>
      </c>
      <c r="G17" s="20">
        <f>'集計_障がい別'!$G$132</f>
        <v>0.0689655172413793</v>
      </c>
    </row>
    <row r="18" ht="17" customHeight="1">
      <c r="B18" s="5" t="inlineStr">
        <is>
          <t>知的障がい（n=2）</t>
        </is>
      </c>
      <c r="C18" s="20">
        <f>'集計_障がい別'!$H$128</f>
        <v>0.5</v>
      </c>
      <c r="D18" s="20">
        <f>'集計_障がい別'!$H$129</f>
        <v>0</v>
      </c>
      <c r="E18" s="20">
        <f>'集計_障がい別'!$H$130</f>
        <v>0.5</v>
      </c>
      <c r="F18" s="20">
        <f>'集計_障がい別'!$H$131</f>
        <v>0</v>
      </c>
      <c r="G18" s="20">
        <f>'集計_障がい別'!$H$132</f>
        <v>0</v>
      </c>
    </row>
    <row r="19" ht="17" customHeight="1">
      <c r="B19" s="5" t="inlineStr">
        <is>
          <t>精神障がい（n=6）</t>
        </is>
      </c>
      <c r="C19" s="20">
        <f>'集計_障がい別'!$I$128</f>
        <v>0.666666666666667</v>
      </c>
      <c r="D19" s="20">
        <f>'集計_障がい別'!$I$129</f>
        <v>0.166666666666667</v>
      </c>
      <c r="E19" s="20">
        <f>'集計_障がい別'!$I$130</f>
        <v>0.166666666666667</v>
      </c>
      <c r="F19" s="20">
        <f>'集計_障がい別'!$I$131</f>
        <v>0</v>
      </c>
      <c r="G19" s="20">
        <f>'集計_障がい別'!$I$132</f>
        <v>0</v>
      </c>
    </row>
    <row r="20"/>
    <row r="21"/>
    <row r="22"/>
    <row r="23"/>
    <row r="26" ht="21" customHeight="1">
      <c r="B26" s="7" t="inlineStr">
        <is>
          <t>図3-28　通院や医療で困っていること（問16）</t>
        </is>
      </c>
    </row>
    <row r="27">
      <c r="B27" s="18" t="str">
        <f>"n="&amp;'集計_障がい者'!$F$132&amp;"（複数回答）"</f>
        <v>n=40（複数回答）</v>
      </c>
    </row>
    <row r="28" ht="18" customHeight="1">
      <c r="B28" s="3" t="inlineStr">
        <is>
          <t>選択肢</t>
        </is>
      </c>
      <c r="C28" s="3" t="inlineStr">
        <is>
          <t>件数</t>
        </is>
      </c>
      <c r="D28" s="3" t="inlineStr">
        <is>
          <t>割合</t>
        </is>
      </c>
    </row>
    <row r="29" ht="17" customHeight="1">
      <c r="B29" s="5" t="inlineStr">
        <is>
          <t>専門医療機関が遠い</t>
        </is>
      </c>
      <c r="C29" s="19">
        <f>'集計_障がい者'!$D$132</f>
        <v>9</v>
      </c>
      <c r="D29" s="20">
        <f>'集計_障がい者'!$E$132</f>
        <v>0.225</v>
      </c>
    </row>
    <row r="30" ht="17" customHeight="1">
      <c r="B30" s="5" t="inlineStr">
        <is>
          <t>付き添いが必要</t>
        </is>
      </c>
      <c r="C30" s="19">
        <f>'集計_障がい者'!$D$134</f>
        <v>8</v>
      </c>
      <c r="D30" s="20">
        <f>'集計_障がい者'!$E$134</f>
        <v>0.2</v>
      </c>
    </row>
    <row r="31" ht="17" customHeight="1">
      <c r="B31" s="5" t="inlineStr">
        <is>
          <t>医療費や交通費の負担が大きい</t>
        </is>
      </c>
      <c r="C31" s="19">
        <f>'集計_障がい者'!$D$135</f>
        <v>6</v>
      </c>
      <c r="D31" s="20">
        <f>'集計_障がい者'!$E$135</f>
        <v>0.15</v>
      </c>
    </row>
    <row r="32" ht="17" customHeight="1">
      <c r="B32" s="5" t="inlineStr">
        <is>
          <t>緊急時の対応が不安</t>
        </is>
      </c>
      <c r="C32" s="19">
        <f>'集計_障がい者'!$D$137</f>
        <v>6</v>
      </c>
      <c r="D32" s="20">
        <f>'集計_障がい者'!$E$137</f>
        <v>0.15</v>
      </c>
    </row>
    <row r="33" ht="17" customHeight="1">
      <c r="B33" s="5" t="inlineStr">
        <is>
          <t>通院の交通手段がない</t>
        </is>
      </c>
      <c r="C33" s="19">
        <f>'集計_障がい者'!$D$133</f>
        <v>3</v>
      </c>
      <c r="D33" s="20">
        <f>'集計_障がい者'!$E$133</f>
        <v>0.075</v>
      </c>
    </row>
    <row r="34" ht="17" customHeight="1">
      <c r="B34" s="5" t="inlineStr">
        <is>
          <t>予約・受診手続きが難しい</t>
        </is>
      </c>
      <c r="C34" s="19">
        <f>'集計_障がい者'!$D$136</f>
        <v>2</v>
      </c>
      <c r="D34" s="20">
        <f>'集計_障がい者'!$E$136</f>
        <v>0.05</v>
      </c>
    </row>
    <row r="35" ht="17" customHeight="1">
      <c r="B35" s="5" t="inlineStr">
        <is>
          <t>特に困っていない</t>
        </is>
      </c>
      <c r="C35" s="19">
        <f>'集計_障がい者'!$D$138</f>
        <v>17</v>
      </c>
      <c r="D35" s="20">
        <f>'集計_障がい者'!$E$138</f>
        <v>0.425</v>
      </c>
    </row>
    <row r="36" ht="17" customHeight="1">
      <c r="B36" s="5" t="inlineStr">
        <is>
          <t>その他</t>
        </is>
      </c>
      <c r="C36" s="19">
        <f>'集計_障がい者'!$D$139</f>
        <v>0</v>
      </c>
      <c r="D36" s="20">
        <f>'集計_障がい者'!$E$139</f>
        <v>0</v>
      </c>
    </row>
    <row r="37" ht="17" customHeight="1">
      <c r="B37" s="5" t="inlineStr">
        <is>
          <t>無回答</t>
        </is>
      </c>
      <c r="C37" s="19">
        <f>'集計_障がい者'!$D$140</f>
        <v>2</v>
      </c>
      <c r="D37" s="20">
        <f>'集計_障がい者'!$E$140</f>
        <v>0.05</v>
      </c>
    </row>
    <row r="38"/>
    <row r="41" ht="21" customHeight="1">
      <c r="B41" s="7" t="inlineStr">
        <is>
          <t>図3-29　通院や医療で困っていること【障がい別】（問16）</t>
        </is>
      </c>
    </row>
    <row r="42"/>
    <row r="43" ht="31" customHeight="1">
      <c r="B43" s="3" t="inlineStr">
        <is>
          <t>選択肢</t>
        </is>
      </c>
      <c r="C43" s="3" t="inlineStr">
        <is>
          <t>身体障がい（n=29）</t>
        </is>
      </c>
      <c r="D43" s="3" t="inlineStr">
        <is>
          <t>知的障がい（n=2）</t>
        </is>
      </c>
      <c r="E43" s="3" t="inlineStr">
        <is>
          <t>精神障がい（n=6）</t>
        </is>
      </c>
    </row>
    <row r="44" ht="17" customHeight="1">
      <c r="B44" s="5" t="inlineStr">
        <is>
          <t>専門医療機関が遠い</t>
        </is>
      </c>
      <c r="C44" s="20">
        <f>'集計_障がい別'!$G$133</f>
        <v>0.206896551724138</v>
      </c>
      <c r="D44" s="20">
        <f>'集計_障がい別'!$H$133</f>
        <v>0</v>
      </c>
      <c r="E44" s="20">
        <f>'集計_障がい別'!$I$133</f>
        <v>0.333333333333333</v>
      </c>
    </row>
    <row r="45" ht="17" customHeight="1">
      <c r="B45" s="5" t="inlineStr">
        <is>
          <t>付き添いが必要</t>
        </is>
      </c>
      <c r="C45" s="20">
        <f>'集計_障がい別'!$G$135</f>
        <v>0.241379310344828</v>
      </c>
      <c r="D45" s="20">
        <f>'集計_障がい別'!$H$135</f>
        <v>1</v>
      </c>
      <c r="E45" s="20">
        <f>'集計_障がい別'!$I$135</f>
        <v>0</v>
      </c>
    </row>
    <row r="46" ht="17" customHeight="1">
      <c r="B46" s="5" t="inlineStr">
        <is>
          <t>医療費や交通費の負担が大きい</t>
        </is>
      </c>
      <c r="C46" s="20">
        <f>'集計_障がい別'!$G$136</f>
        <v>0.137931034482759</v>
      </c>
      <c r="D46" s="20">
        <f>'集計_障がい別'!$H$136</f>
        <v>0</v>
      </c>
      <c r="E46" s="20">
        <f>'集計_障がい別'!$I$136</f>
        <v>0.333333333333333</v>
      </c>
    </row>
    <row r="47" ht="17" customHeight="1">
      <c r="B47" s="5" t="inlineStr">
        <is>
          <t>緊急時の対応が不安</t>
        </is>
      </c>
      <c r="C47" s="20">
        <f>'集計_障がい別'!$G$138</f>
        <v>0.172413793103448</v>
      </c>
      <c r="D47" s="20">
        <f>'集計_障がい別'!$H$138</f>
        <v>0</v>
      </c>
      <c r="E47" s="20">
        <f>'集計_障がい別'!$I$138</f>
        <v>0.166666666666667</v>
      </c>
    </row>
    <row r="48" ht="17" customHeight="1">
      <c r="B48" s="5" t="inlineStr">
        <is>
          <t>通院の交通手段がない</t>
        </is>
      </c>
      <c r="C48" s="20">
        <f>'集計_障がい別'!$G$134</f>
        <v>0.0689655172413793</v>
      </c>
      <c r="D48" s="20">
        <f>'集計_障がい別'!$H$134</f>
        <v>0</v>
      </c>
      <c r="E48" s="20">
        <f>'集計_障がい別'!$I$134</f>
        <v>0.166666666666667</v>
      </c>
    </row>
    <row r="49" ht="17" customHeight="1">
      <c r="B49" s="5" t="inlineStr">
        <is>
          <t>予約・受診手続きが難しい</t>
        </is>
      </c>
      <c r="C49" s="20">
        <f>'集計_障がい別'!$G$137</f>
        <v>0.0344827586206897</v>
      </c>
      <c r="D49" s="20">
        <f>'集計_障がい別'!$H$137</f>
        <v>0.5</v>
      </c>
      <c r="E49" s="20">
        <f>'集計_障がい別'!$I$137</f>
        <v>0</v>
      </c>
    </row>
    <row r="50" ht="17" customHeight="1">
      <c r="B50" s="5" t="inlineStr">
        <is>
          <t>特に困っていない</t>
        </is>
      </c>
      <c r="C50" s="20">
        <f>'集計_障がい別'!$G$139</f>
        <v>0.413793103448276</v>
      </c>
      <c r="D50" s="20">
        <f>'集計_障がい別'!$H$139</f>
        <v>0</v>
      </c>
      <c r="E50" s="20">
        <f>'集計_障がい別'!$I$139</f>
        <v>0.333333333333333</v>
      </c>
    </row>
    <row r="51" ht="17" customHeight="1">
      <c r="B51" s="5" t="inlineStr">
        <is>
          <t>無回答</t>
        </is>
      </c>
      <c r="C51" s="20">
        <f>'集計_障がい別'!$G$141</f>
        <v>0.0689655172413793</v>
      </c>
      <c r="D51" s="20">
        <f>'集計_障がい別'!$H$141</f>
        <v>0</v>
      </c>
      <c r="E51" s="20">
        <f>'集計_障がい別'!$I$141</f>
        <v>0</v>
      </c>
    </row>
    <row r="52" ht="15" customHeight="1">
      <c r="B52" s="17" t="inlineStr">
        <is>
          <t>※いずれの区分にも回答のなかった選択肢は省略しています。</t>
        </is>
      </c>
    </row>
    <row r="53"/>
    <row r="54"/>
    <row r="55"/>
    <row r="56"/>
    <row r="57"/>
    <row r="58"/>
    <row r="59"/>
    <row r="60"/>
    <row r="61"/>
    <row r="62"/>
    <row r="63"/>
    <row r="64"/>
    <row r="65"/>
    <row r="66"/>
    <row r="69" ht="21" customHeight="1">
      <c r="B69" s="7" t="inlineStr">
        <is>
          <t>図3-30　医療的ケアの必要性（問17）</t>
        </is>
      </c>
    </row>
    <row r="70">
      <c r="B70" s="18" t="str">
        <f>"n="&amp;'集計_障がい者'!$F$141&amp;"（複数回答）"</f>
        <v>n=40（複数回答）</v>
      </c>
    </row>
    <row r="71" ht="18" customHeight="1">
      <c r="B71" s="3" t="inlineStr">
        <is>
          <t>選択肢</t>
        </is>
      </c>
      <c r="C71" s="3" t="inlineStr">
        <is>
          <t>件数</t>
        </is>
      </c>
      <c r="D71" s="3" t="inlineStr">
        <is>
          <t>割合</t>
        </is>
      </c>
    </row>
    <row r="72" ht="17" customHeight="1">
      <c r="B72" s="5" t="inlineStr">
        <is>
          <t>必要としていない</t>
        </is>
      </c>
      <c r="C72" s="19">
        <f>'集計_障がい者'!$D$141</f>
        <v>30</v>
      </c>
      <c r="D72" s="20">
        <f>'集計_障がい者'!$E$141</f>
        <v>0.75</v>
      </c>
    </row>
    <row r="73" ht="17" customHeight="1">
      <c r="B73" s="5" t="inlineStr">
        <is>
          <t>吸引</t>
        </is>
      </c>
      <c r="C73" s="19">
        <f>'集計_障がい者'!$D$142</f>
        <v>1</v>
      </c>
      <c r="D73" s="20">
        <f>'集計_障がい者'!$E$142</f>
        <v>0.025</v>
      </c>
    </row>
    <row r="74" ht="17" customHeight="1">
      <c r="B74" s="5" t="inlineStr">
        <is>
          <t>酸素療法</t>
        </is>
      </c>
      <c r="C74" s="19">
        <f>'集計_障がい者'!$D$143</f>
        <v>1</v>
      </c>
      <c r="D74" s="20">
        <f>'集計_障がい者'!$E$143</f>
        <v>0.025</v>
      </c>
    </row>
    <row r="75" ht="17" customHeight="1">
      <c r="B75" s="5" t="inlineStr">
        <is>
          <t>人工呼吸器（レスピレーター）</t>
        </is>
      </c>
      <c r="C75" s="19">
        <f>'集計_障がい者'!$D$144</f>
        <v>0</v>
      </c>
      <c r="D75" s="20">
        <f>'集計_障がい者'!$E$144</f>
        <v>0</v>
      </c>
    </row>
    <row r="76" ht="17" customHeight="1">
      <c r="B76" s="5" t="inlineStr">
        <is>
          <t>導尿</t>
        </is>
      </c>
      <c r="C76" s="19">
        <f>'集計_障がい者'!$D$145</f>
        <v>1</v>
      </c>
      <c r="D76" s="20">
        <f>'集計_障がい者'!$E$145</f>
        <v>0.025</v>
      </c>
    </row>
    <row r="77" ht="17" customHeight="1">
      <c r="B77" s="5" t="inlineStr">
        <is>
          <t>ストマ（人工肛門・人工膀胱）</t>
        </is>
      </c>
      <c r="C77" s="19">
        <f>'集計_障がい者'!$D$146</f>
        <v>0</v>
      </c>
      <c r="D77" s="20">
        <f>'集計_障がい者'!$E$146</f>
        <v>0</v>
      </c>
    </row>
    <row r="78" ht="17" customHeight="1">
      <c r="B78" s="5" t="inlineStr">
        <is>
          <t>服薬管理等の継続支援</t>
        </is>
      </c>
      <c r="C78" s="19">
        <f>'集計_障がい者'!$D$147</f>
        <v>3</v>
      </c>
      <c r="D78" s="20">
        <f>'集計_障がい者'!$E$147</f>
        <v>0.075</v>
      </c>
    </row>
    <row r="79" ht="17" customHeight="1">
      <c r="B79" s="5" t="inlineStr">
        <is>
          <t>気管切開</t>
        </is>
      </c>
      <c r="C79" s="19">
        <f>'集計_障がい者'!$D$148</f>
        <v>0</v>
      </c>
      <c r="D79" s="20">
        <f>'集計_障がい者'!$E$148</f>
        <v>0</v>
      </c>
    </row>
    <row r="80" ht="17" customHeight="1">
      <c r="B80" s="5" t="inlineStr">
        <is>
          <t>胃ろう・腸ろう</t>
        </is>
      </c>
      <c r="C80" s="19">
        <f>'集計_障がい者'!$D$149</f>
        <v>2</v>
      </c>
      <c r="D80" s="20">
        <f>'集計_障がい者'!$E$149</f>
        <v>0.05</v>
      </c>
    </row>
    <row r="81" ht="17" customHeight="1">
      <c r="B81" s="5" t="inlineStr">
        <is>
          <t>鼻腔管栄養</t>
        </is>
      </c>
      <c r="C81" s="19">
        <f>'集計_障がい者'!$D$150</f>
        <v>0</v>
      </c>
      <c r="D81" s="20">
        <f>'集計_障がい者'!$E$150</f>
        <v>0</v>
      </c>
    </row>
    <row r="82" ht="17" customHeight="1">
      <c r="B82" s="5" t="inlineStr">
        <is>
          <t>中心静脈栄養（IVH）</t>
        </is>
      </c>
      <c r="C82" s="19">
        <f>'集計_障がい者'!$D$151</f>
        <v>0</v>
      </c>
      <c r="D82" s="20">
        <f>'集計_障がい者'!$E$151</f>
        <v>0</v>
      </c>
    </row>
    <row r="83" ht="17" customHeight="1">
      <c r="B83" s="5" t="inlineStr">
        <is>
          <t>透析</t>
        </is>
      </c>
      <c r="C83" s="19">
        <f>'集計_障がい者'!$D$152</f>
        <v>0</v>
      </c>
      <c r="D83" s="20">
        <f>'集計_障がい者'!$E$152</f>
        <v>0</v>
      </c>
    </row>
    <row r="84" ht="17" customHeight="1">
      <c r="B84" s="5" t="inlineStr">
        <is>
          <t>カテーテル留置</t>
        </is>
      </c>
      <c r="C84" s="19">
        <f>'集計_障がい者'!$D$153</f>
        <v>0</v>
      </c>
      <c r="D84" s="20">
        <f>'集計_障がい者'!$E$153</f>
        <v>0</v>
      </c>
    </row>
    <row r="85" ht="17" customHeight="1">
      <c r="B85" s="5" t="inlineStr">
        <is>
          <t>その他</t>
        </is>
      </c>
      <c r="C85" s="19">
        <f>'集計_障がい者'!$D$154</f>
        <v>0</v>
      </c>
      <c r="D85" s="20">
        <f>'集計_障がい者'!$E$154</f>
        <v>0</v>
      </c>
    </row>
    <row r="86" ht="17" customHeight="1">
      <c r="B86" s="5" t="inlineStr">
        <is>
          <t>無回答</t>
        </is>
      </c>
      <c r="C86" s="19">
        <f>'集計_障がい者'!$D$155</f>
        <v>3</v>
      </c>
      <c r="D86" s="20">
        <f>'集計_障がい者'!$E$155</f>
        <v>0.075</v>
      </c>
    </row>
    <row r="87"/>
    <row r="90" ht="21" customHeight="1">
      <c r="B90" s="7" t="inlineStr">
        <is>
          <t>図3-31　医療的ケアの必要性【障がい別】（問17）</t>
        </is>
      </c>
    </row>
    <row r="91"/>
    <row r="92" ht="31" customHeight="1">
      <c r="B92" s="3" t="inlineStr">
        <is>
          <t>選択肢</t>
        </is>
      </c>
      <c r="C92" s="3" t="inlineStr">
        <is>
          <t>身体障がい（n=29）</t>
        </is>
      </c>
      <c r="D92" s="3" t="inlineStr">
        <is>
          <t>知的障がい（n=2）</t>
        </is>
      </c>
      <c r="E92" s="3" t="inlineStr">
        <is>
          <t>精神障がい（n=6）</t>
        </is>
      </c>
    </row>
    <row r="93" ht="17" customHeight="1">
      <c r="B93" s="5" t="inlineStr">
        <is>
          <t>必要としていない</t>
        </is>
      </c>
      <c r="C93" s="20">
        <f>'集計_障がい別'!$G$142</f>
        <v>0.758620689655172</v>
      </c>
      <c r="D93" s="20">
        <f>'集計_障がい別'!$H$142</f>
        <v>0.5</v>
      </c>
      <c r="E93" s="20">
        <f>'集計_障がい別'!$I$142</f>
        <v>0.833333333333333</v>
      </c>
    </row>
    <row r="94" ht="17" customHeight="1">
      <c r="B94" s="5" t="inlineStr">
        <is>
          <t>吸引</t>
        </is>
      </c>
      <c r="C94" s="20">
        <f>'集計_障がい別'!$G$143</f>
        <v>0.0344827586206897</v>
      </c>
      <c r="D94" s="20">
        <f>'集計_障がい別'!$H$143</f>
        <v>0</v>
      </c>
      <c r="E94" s="20">
        <f>'集計_障がい別'!$I$143</f>
        <v>0</v>
      </c>
    </row>
    <row r="95" ht="17" customHeight="1">
      <c r="B95" s="5" t="inlineStr">
        <is>
          <t>酸素療法</t>
        </is>
      </c>
      <c r="C95" s="20">
        <f>'集計_障がい別'!$G$144</f>
        <v>0.0344827586206897</v>
      </c>
      <c r="D95" s="20">
        <f>'集計_障がい別'!$H$144</f>
        <v>0</v>
      </c>
      <c r="E95" s="20">
        <f>'集計_障がい別'!$I$144</f>
        <v>0</v>
      </c>
    </row>
    <row r="96" ht="17" customHeight="1">
      <c r="B96" s="5" t="inlineStr">
        <is>
          <t>導尿</t>
        </is>
      </c>
      <c r="C96" s="20">
        <f>'集計_障がい別'!$G$146</f>
        <v>0.0344827586206897</v>
      </c>
      <c r="D96" s="20">
        <f>'集計_障がい別'!$H$146</f>
        <v>0</v>
      </c>
      <c r="E96" s="20">
        <f>'集計_障がい別'!$I$146</f>
        <v>0</v>
      </c>
    </row>
    <row r="97" ht="17" customHeight="1">
      <c r="B97" s="5" t="inlineStr">
        <is>
          <t>服薬管理等の継続支援</t>
        </is>
      </c>
      <c r="C97" s="20">
        <f>'集計_障がい別'!$G$148</f>
        <v>0.0344827586206897</v>
      </c>
      <c r="D97" s="20">
        <f>'集計_障がい別'!$H$148</f>
        <v>0.5</v>
      </c>
      <c r="E97" s="20">
        <f>'集計_障がい別'!$I$148</f>
        <v>0.166666666666667</v>
      </c>
    </row>
    <row r="98" ht="17" customHeight="1">
      <c r="B98" s="5" t="inlineStr">
        <is>
          <t>胃ろう・腸ろう</t>
        </is>
      </c>
      <c r="C98" s="20">
        <f>'集計_障がい別'!$G$150</f>
        <v>0.0344827586206897</v>
      </c>
      <c r="D98" s="20">
        <f>'集計_障がい別'!$H$150</f>
        <v>0</v>
      </c>
      <c r="E98" s="20">
        <f>'集計_障がい別'!$I$150</f>
        <v>0</v>
      </c>
    </row>
    <row r="99" ht="17" customHeight="1">
      <c r="B99" s="5" t="inlineStr">
        <is>
          <t>無回答</t>
        </is>
      </c>
      <c r="C99" s="20">
        <f>'集計_障がい別'!$G$156</f>
        <v>0.103448275862069</v>
      </c>
      <c r="D99" s="20">
        <f>'集計_障がい別'!$H$156</f>
        <v>0</v>
      </c>
      <c r="E99" s="20">
        <f>'集計_障がい別'!$I$156</f>
        <v>0</v>
      </c>
    </row>
    <row r="100" ht="15" customHeight="1">
      <c r="B100" s="17" t="inlineStr">
        <is>
          <t>※いずれの区分にも回答のなかった選択肢は省略しています。</t>
        </is>
      </c>
    </row>
    <row r="101"/>
    <row r="102"/>
    <row r="103"/>
    <row r="104"/>
    <row r="105"/>
    <row r="106"/>
    <row r="107"/>
    <row r="108"/>
    <row r="109"/>
    <row r="110"/>
    <row r="111"/>
    <row r="112"/>
    <row r="115" ht="21" customHeight="1">
      <c r="B115" s="7" t="inlineStr">
        <is>
          <t>図3-32　医療的ケアや重い障がいに関して必要な支援（問18）</t>
        </is>
      </c>
    </row>
    <row r="116">
      <c r="B116" s="18" t="str">
        <f>"n="&amp;'集計_障がい者'!$F$161&amp;"（複数回答）"</f>
        <v>n=40（複数回答）</v>
      </c>
    </row>
    <row r="117" ht="18" customHeight="1">
      <c r="B117" s="3" t="inlineStr">
        <is>
          <t>選択肢</t>
        </is>
      </c>
      <c r="C117" s="3" t="inlineStr">
        <is>
          <t>件数</t>
        </is>
      </c>
      <c r="D117" s="3" t="inlineStr">
        <is>
          <t>割合</t>
        </is>
      </c>
    </row>
    <row r="118" ht="17" customHeight="1">
      <c r="B118" s="5" t="inlineStr">
        <is>
          <t>家族の負担軽減</t>
        </is>
      </c>
      <c r="C118" s="19">
        <f>'集計_障がい者'!$D$161</f>
        <v>8</v>
      </c>
      <c r="D118" s="20">
        <f>'集計_障がい者'!$E$161</f>
        <v>0.2</v>
      </c>
    </row>
    <row r="119" ht="17" customHeight="1">
      <c r="B119" s="5" t="inlineStr">
        <is>
          <t>身近な相談先</t>
        </is>
      </c>
      <c r="C119" s="19">
        <f>'集計_障がい者'!$D$156</f>
        <v>5</v>
      </c>
      <c r="D119" s="20">
        <f>'集計_障がい者'!$E$156</f>
        <v>0.125</v>
      </c>
    </row>
    <row r="120" ht="17" customHeight="1">
      <c r="B120" s="5" t="inlineStr">
        <is>
          <t>訪問看護等との連携</t>
        </is>
      </c>
      <c r="C120" s="19">
        <f>'集計_障がい者'!$D$159</f>
        <v>3</v>
      </c>
      <c r="D120" s="20">
        <f>'集計_障がい者'!$E$159</f>
        <v>0.075</v>
      </c>
    </row>
    <row r="121" ht="17" customHeight="1">
      <c r="B121" s="5" t="inlineStr">
        <is>
          <t>通所先での医療的ケア対応</t>
        </is>
      </c>
      <c r="C121" s="19">
        <f>'集計_障がい者'!$D$157</f>
        <v>2</v>
      </c>
      <c r="D121" s="20">
        <f>'集計_障がい者'!$E$157</f>
        <v>0.05</v>
      </c>
    </row>
    <row r="122" ht="17" customHeight="1">
      <c r="B122" s="5" t="inlineStr">
        <is>
          <t>短期入所・レスパイトケア</t>
        </is>
      </c>
      <c r="C122" s="19">
        <f>'集計_障がい者'!$D$158</f>
        <v>1</v>
      </c>
      <c r="D122" s="20">
        <f>'集計_障がい者'!$E$158</f>
        <v>0.025</v>
      </c>
    </row>
    <row r="123" ht="17" customHeight="1">
      <c r="B123" s="5" t="inlineStr">
        <is>
          <t>災害時の電源・医療機器対応</t>
        </is>
      </c>
      <c r="C123" s="19">
        <f>'集計_障がい者'!$D$160</f>
        <v>1</v>
      </c>
      <c r="D123" s="20">
        <f>'集計_障がい者'!$E$160</f>
        <v>0.025</v>
      </c>
    </row>
    <row r="124" ht="17" customHeight="1">
      <c r="B124" s="5" t="inlineStr">
        <is>
          <t>特にない</t>
        </is>
      </c>
      <c r="C124" s="19">
        <f>'集計_障がい者'!$D$162</f>
        <v>23</v>
      </c>
      <c r="D124" s="20">
        <f>'集計_障がい者'!$E$162</f>
        <v>0.575</v>
      </c>
    </row>
    <row r="125" ht="17" customHeight="1">
      <c r="B125" s="5" t="inlineStr">
        <is>
          <t>その他</t>
        </is>
      </c>
      <c r="C125" s="19">
        <f>'集計_障がい者'!$D$163</f>
        <v>0</v>
      </c>
      <c r="D125" s="20">
        <f>'集計_障がい者'!$E$163</f>
        <v>0</v>
      </c>
    </row>
    <row r="126" ht="17" customHeight="1">
      <c r="B126" s="5" t="inlineStr">
        <is>
          <t>無回答</t>
        </is>
      </c>
      <c r="C126" s="19">
        <f>'集計_障がい者'!$D$164</f>
        <v>5</v>
      </c>
      <c r="D126" s="20">
        <f>'集計_障がい者'!$E$164</f>
        <v>0.125</v>
      </c>
    </row>
    <row r="127"/>
    <row r="130" ht="21" customHeight="1">
      <c r="B130" s="7" t="inlineStr">
        <is>
          <t>図3-33　医療的ケアや重い障がいに関して必要な支援【障がい別】（問18）</t>
        </is>
      </c>
    </row>
    <row r="131"/>
    <row r="132" ht="31" customHeight="1">
      <c r="B132" s="3" t="inlineStr">
        <is>
          <t>選択肢</t>
        </is>
      </c>
      <c r="C132" s="3" t="inlineStr">
        <is>
          <t>身体障がい（n=29）</t>
        </is>
      </c>
      <c r="D132" s="3" t="inlineStr">
        <is>
          <t>知的障がい（n=2）</t>
        </is>
      </c>
      <c r="E132" s="3" t="inlineStr">
        <is>
          <t>精神障がい（n=6）</t>
        </is>
      </c>
    </row>
    <row r="133" ht="17" customHeight="1">
      <c r="B133" s="5" t="inlineStr">
        <is>
          <t>家族の負担軽減</t>
        </is>
      </c>
      <c r="C133" s="20">
        <f>'集計_障がい別'!$G$162</f>
        <v>0.137931034482759</v>
      </c>
      <c r="D133" s="20">
        <f>'集計_障がい別'!$H$162</f>
        <v>1</v>
      </c>
      <c r="E133" s="20">
        <f>'集計_障がい別'!$I$162</f>
        <v>0.5</v>
      </c>
    </row>
    <row r="134" ht="17" customHeight="1">
      <c r="B134" s="5" t="inlineStr">
        <is>
          <t>身近な相談先</t>
        </is>
      </c>
      <c r="C134" s="20">
        <f>'集計_障がい別'!$G$157</f>
        <v>0.103448275862069</v>
      </c>
      <c r="D134" s="20">
        <f>'集計_障がい別'!$H$157</f>
        <v>0.5</v>
      </c>
      <c r="E134" s="20">
        <f>'集計_障がい別'!$I$157</f>
        <v>0.333333333333333</v>
      </c>
    </row>
    <row r="135" ht="17" customHeight="1">
      <c r="B135" s="5" t="inlineStr">
        <is>
          <t>訪問看護等との連携</t>
        </is>
      </c>
      <c r="C135" s="20">
        <f>'集計_障がい別'!$G$160</f>
        <v>0.0689655172413793</v>
      </c>
      <c r="D135" s="20">
        <f>'集計_障がい別'!$H$160</f>
        <v>0</v>
      </c>
      <c r="E135" s="20">
        <f>'集計_障がい別'!$I$160</f>
        <v>0.166666666666667</v>
      </c>
    </row>
    <row r="136" ht="17" customHeight="1">
      <c r="B136" s="5" t="inlineStr">
        <is>
          <t>通所先での医療的ケア対応</t>
        </is>
      </c>
      <c r="C136" s="20">
        <f>'集計_障がい別'!$G$158</f>
        <v>0.0344827586206897</v>
      </c>
      <c r="D136" s="20">
        <f>'集計_障がい別'!$H$158</f>
        <v>0.5</v>
      </c>
      <c r="E136" s="20">
        <f>'集計_障がい別'!$I$158</f>
        <v>0.166666666666667</v>
      </c>
    </row>
    <row r="137" ht="17" customHeight="1">
      <c r="B137" s="5" t="inlineStr">
        <is>
          <t>短期入所・レスパイトケア</t>
        </is>
      </c>
      <c r="C137" s="20">
        <f>'集計_障がい別'!$G$159</f>
        <v>0.0344827586206897</v>
      </c>
      <c r="D137" s="20">
        <f>'集計_障がい別'!$H$159</f>
        <v>0</v>
      </c>
      <c r="E137" s="20">
        <f>'集計_障がい別'!$I$159</f>
        <v>0</v>
      </c>
    </row>
    <row r="138" ht="17" customHeight="1">
      <c r="B138" s="5" t="inlineStr">
        <is>
          <t>災害時の電源・医療機器対応</t>
        </is>
      </c>
      <c r="C138" s="20">
        <f>'集計_障がい別'!$G$161</f>
        <v>0.0344827586206897</v>
      </c>
      <c r="D138" s="20">
        <f>'集計_障がい別'!$H$161</f>
        <v>0</v>
      </c>
      <c r="E138" s="20">
        <f>'集計_障がい別'!$I$161</f>
        <v>0</v>
      </c>
    </row>
    <row r="139" ht="17" customHeight="1">
      <c r="B139" s="5" t="inlineStr">
        <is>
          <t>特にない</t>
        </is>
      </c>
      <c r="C139" s="20">
        <f>'集計_障がい別'!$G$163</f>
        <v>0.586206896551724</v>
      </c>
      <c r="D139" s="20">
        <f>'集計_障がい別'!$H$163</f>
        <v>0</v>
      </c>
      <c r="E139" s="20">
        <f>'集計_障がい別'!$I$163</f>
        <v>0.333333333333333</v>
      </c>
    </row>
    <row r="140" ht="17" customHeight="1">
      <c r="B140" s="5" t="inlineStr">
        <is>
          <t>無回答</t>
        </is>
      </c>
      <c r="C140" s="20">
        <f>'集計_障がい別'!$G$165</f>
        <v>0.137931034482759</v>
      </c>
      <c r="D140" s="20">
        <f>'集計_障がい別'!$H$165</f>
        <v>0</v>
      </c>
      <c r="E140" s="20">
        <f>'集計_障がい別'!$I$165</f>
        <v>0.166666666666667</v>
      </c>
    </row>
    <row r="141" ht="15" customHeight="1">
      <c r="B141" s="17" t="inlineStr">
        <is>
          <t>※いずれの区分にも回答のなかった選択肢は省略しています。</t>
        </is>
      </c>
    </row>
    <row r="142"/>
    <row r="143"/>
    <row r="144"/>
    <row r="145"/>
    <row r="146"/>
    <row r="147"/>
    <row r="148"/>
    <row r="149"/>
    <row r="150"/>
    <row r="151"/>
    <row r="152"/>
    <row r="153"/>
    <row r="154"/>
    <row r="155"/>
    <row r="158" ht="21" customHeight="1">
      <c r="B158" s="7" t="inlineStr">
        <is>
          <t>図3-34　強度行動障がい支援に関して必要な支援（問19）</t>
        </is>
      </c>
    </row>
    <row r="159">
      <c r="B159" s="18" t="str">
        <f>"n="&amp;'集計_障がい者'!$F$166&amp;"（複数回答）"</f>
        <v>n=40（複数回答）</v>
      </c>
    </row>
    <row r="160" ht="18" customHeight="1">
      <c r="B160" s="3" t="inlineStr">
        <is>
          <t>選択肢</t>
        </is>
      </c>
      <c r="C160" s="3" t="inlineStr">
        <is>
          <t>件数</t>
        </is>
      </c>
      <c r="D160" s="3" t="inlineStr">
        <is>
          <t>割合</t>
        </is>
      </c>
    </row>
    <row r="161" ht="30" customHeight="1">
      <c r="B161" s="5" t="inlineStr">
        <is>
          <t>パニック時や緊急時に一時的に受け入れてくれる施設の整備</t>
        </is>
      </c>
      <c r="C161" s="19">
        <f>'集計_障がい者'!$D$166</f>
        <v>7</v>
      </c>
      <c r="D161" s="20">
        <f>'集計_障がい者'!$E$166</f>
        <v>0.175</v>
      </c>
    </row>
    <row r="162" ht="30" customHeight="1">
      <c r="B162" s="5" t="inlineStr">
        <is>
          <t>自宅以外で落ち着いて過ごせる居場所や日中活動の場の確保</t>
        </is>
      </c>
      <c r="C162" s="19">
        <f>'集計_障がい者'!$D$167</f>
        <v>6</v>
      </c>
      <c r="D162" s="20">
        <f>'集計_障がい者'!$E$167</f>
        <v>0.15</v>
      </c>
    </row>
    <row r="163" ht="17" customHeight="1">
      <c r="B163" s="5" t="inlineStr">
        <is>
          <t>ヘルパーやスタッフの派遣・増員</t>
        </is>
      </c>
      <c r="C163" s="19">
        <f>'集計_障がい者'!$D$165</f>
        <v>4</v>
      </c>
      <c r="D163" s="20">
        <f>'集計_障がい者'!$E$165</f>
        <v>0.1</v>
      </c>
    </row>
    <row r="164" ht="30" customHeight="1">
      <c r="B164" s="5" t="inlineStr">
        <is>
          <t>医療機関や発達障害支援センターなどの専門機関との連携強化</t>
        </is>
      </c>
      <c r="C164" s="19">
        <f>'集計_障がい者'!$D$168</f>
        <v>4</v>
      </c>
      <c r="D164" s="20">
        <f>'集計_障がい者'!$E$168</f>
        <v>0.1</v>
      </c>
    </row>
    <row r="165" ht="30" customHeight="1">
      <c r="B165" s="5" t="inlineStr">
        <is>
          <t>家族（介護者）が対応方法を学ぶための研修や、悩みを相談できる機会の提供</t>
        </is>
      </c>
      <c r="C165" s="19">
        <f>'集計_障がい者'!$D$169</f>
        <v>1</v>
      </c>
      <c r="D165" s="20">
        <f>'集計_障がい者'!$E$169</f>
        <v>0.025</v>
      </c>
    </row>
    <row r="166" ht="17" customHeight="1">
      <c r="B166" s="5" t="inlineStr">
        <is>
          <t>特にない</t>
        </is>
      </c>
      <c r="C166" s="19">
        <f>'集計_障がい者'!$D$170</f>
        <v>20</v>
      </c>
      <c r="D166" s="20">
        <f>'集計_障がい者'!$E$170</f>
        <v>0.5</v>
      </c>
    </row>
    <row r="167" ht="17" customHeight="1">
      <c r="B167" s="5" t="inlineStr">
        <is>
          <t>無回答</t>
        </is>
      </c>
      <c r="C167" s="19">
        <f>'集計_障がい者'!$D$171</f>
        <v>8</v>
      </c>
      <c r="D167" s="20">
        <f>'集計_障がい者'!$E$171</f>
        <v>0.2</v>
      </c>
    </row>
    <row r="170" ht="21" customHeight="1">
      <c r="B170" s="7" t="inlineStr">
        <is>
          <t>図3-35　強度行動障がい支援に関して必要な支援【障がい別】（問19）</t>
        </is>
      </c>
    </row>
    <row r="171"/>
    <row r="172" ht="31" customHeight="1">
      <c r="B172" s="3" t="inlineStr">
        <is>
          <t>選択肢</t>
        </is>
      </c>
      <c r="C172" s="3" t="inlineStr">
        <is>
          <t>身体障がい（n=29）</t>
        </is>
      </c>
      <c r="D172" s="3" t="inlineStr">
        <is>
          <t>知的障がい（n=2）</t>
        </is>
      </c>
      <c r="E172" s="3" t="inlineStr">
        <is>
          <t>精神障がい（n=6）</t>
        </is>
      </c>
    </row>
    <row r="173" ht="30" customHeight="1">
      <c r="B173" s="5" t="inlineStr">
        <is>
          <t>パニック時や緊急時に一時的に受け入れてくれる施設の整備</t>
        </is>
      </c>
      <c r="C173" s="20">
        <f>'集計_障がい別'!$G$167</f>
        <v>0.206896551724138</v>
      </c>
      <c r="D173" s="20">
        <f>'集計_障がい別'!$H$167</f>
        <v>0.5</v>
      </c>
      <c r="E173" s="20">
        <f>'集計_障がい別'!$I$167</f>
        <v>0.166666666666667</v>
      </c>
    </row>
    <row r="174" ht="30" customHeight="1">
      <c r="B174" s="5" t="inlineStr">
        <is>
          <t>自宅以外で落ち着いて過ごせる居場所や日中活動の場の確保</t>
        </is>
      </c>
      <c r="C174" s="20">
        <f>'集計_障がい別'!$G$168</f>
        <v>0.137931034482759</v>
      </c>
      <c r="D174" s="20">
        <f>'集計_障がい別'!$H$168</f>
        <v>0.5</v>
      </c>
      <c r="E174" s="20">
        <f>'集計_障がい別'!$I$168</f>
        <v>0.166666666666667</v>
      </c>
    </row>
    <row r="175" ht="17" customHeight="1">
      <c r="B175" s="5" t="inlineStr">
        <is>
          <t>ヘルパーやスタッフの派遣・増員</t>
        </is>
      </c>
      <c r="C175" s="20">
        <f>'集計_障がい別'!$G$166</f>
        <v>0.103448275862069</v>
      </c>
      <c r="D175" s="20">
        <f>'集計_障がい別'!$H$166</f>
        <v>0</v>
      </c>
      <c r="E175" s="20">
        <f>'集計_障がい別'!$I$166</f>
        <v>0.166666666666667</v>
      </c>
    </row>
    <row r="176" ht="30" customHeight="1">
      <c r="B176" s="5" t="inlineStr">
        <is>
          <t>医療機関や発達障害支援センターなどの専門機関との連携強化</t>
        </is>
      </c>
      <c r="C176" s="20">
        <f>'集計_障がい別'!$G$169</f>
        <v>0.103448275862069</v>
      </c>
      <c r="D176" s="20">
        <f>'集計_障がい別'!$H$169</f>
        <v>0.5</v>
      </c>
      <c r="E176" s="20">
        <f>'集計_障がい別'!$I$169</f>
        <v>0.166666666666667</v>
      </c>
    </row>
    <row r="177" ht="30" customHeight="1">
      <c r="B177" s="5" t="inlineStr">
        <is>
          <t>家族（介護者）が対応方法を学ぶための研修や、悩みを相談できる機会の提供</t>
        </is>
      </c>
      <c r="C177" s="20">
        <f>'集計_障がい別'!$G$170</f>
        <v>0.0344827586206897</v>
      </c>
      <c r="D177" s="20">
        <f>'集計_障がい別'!$H$170</f>
        <v>0</v>
      </c>
      <c r="E177" s="20">
        <f>'集計_障がい別'!$I$170</f>
        <v>0</v>
      </c>
    </row>
    <row r="178" ht="17" customHeight="1">
      <c r="B178" s="5" t="inlineStr">
        <is>
          <t>特にない</t>
        </is>
      </c>
      <c r="C178" s="20">
        <f>'集計_障がい別'!$G$171</f>
        <v>0.517241379310345</v>
      </c>
      <c r="D178" s="20">
        <f>'集計_障がい別'!$H$171</f>
        <v>0</v>
      </c>
      <c r="E178" s="20">
        <f>'集計_障がい別'!$I$171</f>
        <v>0.333333333333333</v>
      </c>
    </row>
    <row r="179" ht="17" customHeight="1">
      <c r="B179" s="5" t="inlineStr">
        <is>
          <t>無回答</t>
        </is>
      </c>
      <c r="C179" s="20">
        <f>'集計_障がい別'!$G$172</f>
        <v>0.206896551724138</v>
      </c>
      <c r="D179" s="20">
        <f>'集計_障がい別'!$H$172</f>
        <v>0</v>
      </c>
      <c r="E179" s="20">
        <f>'集計_障がい別'!$I$172</f>
        <v>0.166666666666667</v>
      </c>
    </row>
    <row r="180"/>
    <row r="181"/>
    <row r="182"/>
    <row r="183"/>
    <row r="184"/>
    <row r="185"/>
    <row r="186"/>
    <row r="187"/>
    <row r="188"/>
    <row r="189"/>
    <row r="192" ht="21" customHeight="1">
      <c r="B192" s="7" t="inlineStr">
        <is>
          <t>図3-36　高次脳機能障がい支援に関して必要な支援（問20）</t>
        </is>
      </c>
    </row>
    <row r="193">
      <c r="B193" s="18" t="str">
        <f>"n="&amp;'集計_障がい者'!$F$175&amp;"（複数回答）"</f>
        <v>n=40（複数回答）</v>
      </c>
    </row>
    <row r="194" ht="18" customHeight="1">
      <c r="B194" s="3" t="inlineStr">
        <is>
          <t>選択肢</t>
        </is>
      </c>
      <c r="C194" s="3" t="inlineStr">
        <is>
          <t>件数</t>
        </is>
      </c>
      <c r="D194" s="3" t="inlineStr">
        <is>
          <t>割合</t>
        </is>
      </c>
    </row>
    <row r="195" ht="30" customHeight="1">
      <c r="B195" s="5" t="inlineStr">
        <is>
          <t>医療機関や発達障害支援センターなどの専門機関との連携強化</t>
        </is>
      </c>
      <c r="C195" s="19">
        <f>'集計_障がい者'!$D$175</f>
        <v>6</v>
      </c>
      <c r="D195" s="20">
        <f>'集計_障がい者'!$E$175</f>
        <v>0.15</v>
      </c>
    </row>
    <row r="196" ht="30" customHeight="1">
      <c r="B196" s="5" t="inlineStr">
        <is>
          <t>パニック時や緊急時に一時的に受け入れてくれる施設の整備</t>
        </is>
      </c>
      <c r="C196" s="19">
        <f>'集計_障がい者'!$D$173</f>
        <v>5</v>
      </c>
      <c r="D196" s="20">
        <f>'集計_障がい者'!$E$173</f>
        <v>0.125</v>
      </c>
    </row>
    <row r="197" ht="30" customHeight="1">
      <c r="B197" s="5" t="inlineStr">
        <is>
          <t>自宅以外で落ち着いて過ごせる居場所や日中活動の場の確保</t>
        </is>
      </c>
      <c r="C197" s="19">
        <f>'集計_障がい者'!$D$174</f>
        <v>5</v>
      </c>
      <c r="D197" s="20">
        <f>'集計_障がい者'!$E$174</f>
        <v>0.125</v>
      </c>
    </row>
    <row r="198" ht="17" customHeight="1">
      <c r="B198" s="5" t="inlineStr">
        <is>
          <t>ヘルパーやスタッフの派遣・増員</t>
        </is>
      </c>
      <c r="C198" s="19">
        <f>'集計_障がい者'!$D$172</f>
        <v>3</v>
      </c>
      <c r="D198" s="20">
        <f>'集計_障がい者'!$E$172</f>
        <v>0.075</v>
      </c>
    </row>
    <row r="199" ht="30" customHeight="1">
      <c r="B199" s="5" t="inlineStr">
        <is>
          <t>家族（介護者）が対応方法を学ぶための研修や、悩みを相談できる機会の提供</t>
        </is>
      </c>
      <c r="C199" s="19">
        <f>'集計_障がい者'!$D$176</f>
        <v>3</v>
      </c>
      <c r="D199" s="20">
        <f>'集計_障がい者'!$E$176</f>
        <v>0.075</v>
      </c>
    </row>
    <row r="200" ht="17" customHeight="1">
      <c r="B200" s="5" t="inlineStr">
        <is>
          <t>特にない</t>
        </is>
      </c>
      <c r="C200" s="19">
        <f>'集計_障がい者'!$D$177</f>
        <v>19</v>
      </c>
      <c r="D200" s="20">
        <f>'集計_障がい者'!$E$177</f>
        <v>0.475</v>
      </c>
    </row>
    <row r="201" ht="17" customHeight="1">
      <c r="B201" s="5" t="inlineStr">
        <is>
          <t>無回答</t>
        </is>
      </c>
      <c r="C201" s="19">
        <f>'集計_障がい者'!$D$178</f>
        <v>11</v>
      </c>
      <c r="D201" s="20">
        <f>'集計_障がい者'!$E$178</f>
        <v>0.275</v>
      </c>
    </row>
    <row r="204" ht="21" customHeight="1">
      <c r="B204" s="7" t="inlineStr">
        <is>
          <t>図3-37　高次脳機能障がい支援に関して必要な支援【障がい別】（問20）</t>
        </is>
      </c>
    </row>
    <row r="205"/>
    <row r="206" ht="31" customHeight="1">
      <c r="B206" s="3" t="inlineStr">
        <is>
          <t>選択肢</t>
        </is>
      </c>
      <c r="C206" s="3" t="inlineStr">
        <is>
          <t>身体障がい（n=29）</t>
        </is>
      </c>
      <c r="D206" s="3" t="inlineStr">
        <is>
          <t>知的障がい（n=2）</t>
        </is>
      </c>
      <c r="E206" s="3" t="inlineStr">
        <is>
          <t>精神障がい（n=6）</t>
        </is>
      </c>
    </row>
    <row r="207" ht="30" customHeight="1">
      <c r="B207" s="5" t="inlineStr">
        <is>
          <t>医療機関や発達障害支援センターなどの専門機関との連携強化</t>
        </is>
      </c>
      <c r="C207" s="20">
        <f>'集計_障がい別'!$G$176</f>
        <v>0.172413793103448</v>
      </c>
      <c r="D207" s="20">
        <f>'集計_障がい別'!$H$176</f>
        <v>0.5</v>
      </c>
      <c r="E207" s="20">
        <f>'集計_障がい別'!$I$176</f>
        <v>0.166666666666667</v>
      </c>
    </row>
    <row r="208" ht="30" customHeight="1">
      <c r="B208" s="5" t="inlineStr">
        <is>
          <t>パニック時や緊急時に一時的に受け入れてくれる施設の整備</t>
        </is>
      </c>
      <c r="C208" s="20">
        <f>'集計_障がい別'!$G$174</f>
        <v>0.137931034482759</v>
      </c>
      <c r="D208" s="20">
        <f>'集計_障がい別'!$H$174</f>
        <v>0.5</v>
      </c>
      <c r="E208" s="20">
        <f>'集計_障がい別'!$I$174</f>
        <v>0.166666666666667</v>
      </c>
    </row>
    <row r="209" ht="30" customHeight="1">
      <c r="B209" s="5" t="inlineStr">
        <is>
          <t>自宅以外で落ち着いて過ごせる居場所や日中活動の場の確保</t>
        </is>
      </c>
      <c r="C209" s="20">
        <f>'集計_障がい別'!$G$175</f>
        <v>0.103448275862069</v>
      </c>
      <c r="D209" s="20">
        <f>'集計_障がい別'!$H$175</f>
        <v>0.5</v>
      </c>
      <c r="E209" s="20">
        <f>'集計_障がい別'!$I$175</f>
        <v>0.166666666666667</v>
      </c>
    </row>
    <row r="210" ht="17" customHeight="1">
      <c r="B210" s="5" t="inlineStr">
        <is>
          <t>ヘルパーやスタッフの派遣・増員</t>
        </is>
      </c>
      <c r="C210" s="20">
        <f>'集計_障がい別'!$G$173</f>
        <v>0.103448275862069</v>
      </c>
      <c r="D210" s="20">
        <f>'集計_障がい別'!$H$173</f>
        <v>0</v>
      </c>
      <c r="E210" s="20">
        <f>'集計_障がい別'!$I$173</f>
        <v>0</v>
      </c>
    </row>
    <row r="211" ht="30" customHeight="1">
      <c r="B211" s="5" t="inlineStr">
        <is>
          <t>家族（介護者）が対応方法を学ぶための研修や、悩みを相談できる機会の提供</t>
        </is>
      </c>
      <c r="C211" s="20">
        <f>'集計_障がい別'!$G$177</f>
        <v>0.0689655172413793</v>
      </c>
      <c r="D211" s="20">
        <f>'集計_障がい別'!$H$177</f>
        <v>0</v>
      </c>
      <c r="E211" s="20">
        <f>'集計_障がい別'!$I$177</f>
        <v>0.166666666666667</v>
      </c>
    </row>
    <row r="212" ht="17" customHeight="1">
      <c r="B212" s="5" t="inlineStr">
        <is>
          <t>特にない</t>
        </is>
      </c>
      <c r="C212" s="20">
        <f>'集計_障がい別'!$G$178</f>
        <v>0.482758620689655</v>
      </c>
      <c r="D212" s="20">
        <f>'集計_障がい別'!$H$178</f>
        <v>0</v>
      </c>
      <c r="E212" s="20">
        <f>'集計_障がい別'!$I$178</f>
        <v>0.333333333333333</v>
      </c>
    </row>
    <row r="213" ht="17" customHeight="1">
      <c r="B213" s="5" t="inlineStr">
        <is>
          <t>無回答</t>
        </is>
      </c>
      <c r="C213" s="20">
        <f>'集計_障がい別'!$G$179</f>
        <v>0.275862068965517</v>
      </c>
      <c r="D213" s="20">
        <f>'集計_障がい別'!$H$179</f>
        <v>0</v>
      </c>
      <c r="E213" s="20">
        <f>'集計_障がい別'!$I$179</f>
        <v>0.333333333333333</v>
      </c>
    </row>
    <row r="214"/>
    <row r="215"/>
    <row r="216"/>
    <row r="217"/>
    <row r="218"/>
    <row r="219"/>
    <row r="220"/>
    <row r="221"/>
    <row r="222"/>
    <row r="223"/>
  </sheetData>
  <mergeCells count="3">
    <mergeCell ref="B141:E141"/>
    <mergeCell ref="B52:E52"/>
    <mergeCell ref="B100:E100"/>
  </mergeCells>
  <pageMargins left="0.75" right="0.75" top="1" bottom="1" header="0.5" footer="0.5"/>
  <pageSetup orientation="landscape" paperSize="9"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B2:H222"/>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図3-38　意思決定支援の必要性（問21）</t>
        </is>
      </c>
    </row>
    <row r="3">
      <c r="B3" s="18" t="str">
        <f>"n="&amp;'集計_障がい者'!$F$179&amp;"（単一回答）"</f>
        <v>n=40（単一回答）</v>
      </c>
    </row>
    <row r="4" ht="18" customHeight="1">
      <c r="B4" s="3" t="inlineStr">
        <is>
          <t>選択肢</t>
        </is>
      </c>
      <c r="C4" s="3" t="inlineStr">
        <is>
          <t>件数</t>
        </is>
      </c>
      <c r="D4" s="3" t="inlineStr">
        <is>
          <t>割合</t>
        </is>
      </c>
    </row>
    <row r="5" ht="30" customHeight="1">
      <c r="B5" s="5" t="inlineStr">
        <is>
          <t>必要である（現在すでに支援を受けている、または今後受けたい）</t>
        </is>
      </c>
      <c r="C5" s="19">
        <f>'集計_障がい者'!$D$179</f>
        <v>8</v>
      </c>
      <c r="D5" s="20">
        <f>'集計_障がい者'!$E$179</f>
        <v>0.2</v>
      </c>
    </row>
    <row r="6" ht="17" customHeight="1">
      <c r="B6" s="5" t="inlineStr">
        <is>
          <t>今は必要ないが、将来的には必要になると思う</t>
        </is>
      </c>
      <c r="C6" s="19">
        <f>'集計_障がい者'!$D$180</f>
        <v>12</v>
      </c>
      <c r="D6" s="20">
        <f>'集計_障がい者'!$E$180</f>
        <v>0.3</v>
      </c>
    </row>
    <row r="7" ht="30" customHeight="1">
      <c r="B7" s="5" t="inlineStr">
        <is>
          <t>必要ない（自分や家族等と相談して意思決定ができる）</t>
        </is>
      </c>
      <c r="C7" s="19">
        <f>'集計_障がい者'!$D$181</f>
        <v>9</v>
      </c>
      <c r="D7" s="20">
        <f>'集計_障がい者'!$E$181</f>
        <v>0.225</v>
      </c>
    </row>
    <row r="8" ht="30" customHeight="1">
      <c r="B8" s="5" t="inlineStr">
        <is>
          <t>わからない（意思決定支援がどのようなものか知らない）</t>
        </is>
      </c>
      <c r="C8" s="19">
        <f>'集計_障がい者'!$D$182</f>
        <v>6</v>
      </c>
      <c r="D8" s="20">
        <f>'集計_障がい者'!$E$182</f>
        <v>0.15</v>
      </c>
    </row>
    <row r="9" ht="17" customHeight="1">
      <c r="B9" s="5" t="inlineStr">
        <is>
          <t>無回答</t>
        </is>
      </c>
      <c r="C9" s="19">
        <f>'集計_障がい者'!$D$183</f>
        <v>5</v>
      </c>
      <c r="D9" s="20">
        <f>'集計_障がい者'!$E$183</f>
        <v>0.125</v>
      </c>
    </row>
    <row r="12" ht="21" customHeight="1">
      <c r="B12" s="7" t="inlineStr">
        <is>
          <t>図3-39　意思決定支援の必要性【障がい別】（問21）</t>
        </is>
      </c>
    </row>
    <row r="13"/>
    <row r="14" ht="83" customHeight="1">
      <c r="B14" s="3" t="inlineStr">
        <is>
          <t>区分</t>
        </is>
      </c>
      <c r="C14" s="3" t="inlineStr">
        <is>
          <t>必要である（現在すでに支援を受けている、または今後受けたい）</t>
        </is>
      </c>
      <c r="D14" s="3" t="inlineStr">
        <is>
          <t>今は必要ないが、将来的には必要になると思う</t>
        </is>
      </c>
      <c r="E14" s="3" t="inlineStr">
        <is>
          <t>必要ない（自分や家族等と相談して意思決定ができる）</t>
        </is>
      </c>
      <c r="F14" s="3" t="inlineStr">
        <is>
          <t>わからない（意思決定支援がどのようなものか知らない）</t>
        </is>
      </c>
      <c r="G14" s="3" t="inlineStr">
        <is>
          <t>無回答</t>
        </is>
      </c>
    </row>
    <row r="15" ht="17" customHeight="1">
      <c r="B15" s="5" t="inlineStr">
        <is>
          <t>全体</t>
        </is>
      </c>
      <c r="C15" s="20">
        <f>'集計_障がい者'!$E$179</f>
        <v>0.2</v>
      </c>
      <c r="D15" s="20">
        <f>'集計_障がい者'!$E$180</f>
        <v>0.3</v>
      </c>
      <c r="E15" s="20">
        <f>'集計_障がい者'!$E$181</f>
        <v>0.225</v>
      </c>
      <c r="F15" s="20">
        <f>'集計_障がい者'!$E$182</f>
        <v>0.15</v>
      </c>
      <c r="G15" s="20">
        <f>'集計_障がい者'!$E$183</f>
        <v>0.125</v>
      </c>
    </row>
    <row r="16" ht="17" customHeight="1">
      <c r="B16" s="5" t="inlineStr">
        <is>
          <t>身体障がい（n=29）</t>
        </is>
      </c>
      <c r="C16" s="20">
        <f>'集計_障がい別'!$G$180</f>
        <v>0.172413793103448</v>
      </c>
      <c r="D16" s="20">
        <f>'集計_障がい別'!$G$181</f>
        <v>0.310344827586207</v>
      </c>
      <c r="E16" s="20">
        <f>'集計_障がい別'!$G$182</f>
        <v>0.206896551724138</v>
      </c>
      <c r="F16" s="20">
        <f>'集計_障がい別'!$G$183</f>
        <v>0.137931034482759</v>
      </c>
      <c r="G16" s="20">
        <f>'集計_障がい別'!$G$184</f>
        <v>0.172413793103448</v>
      </c>
    </row>
    <row r="17" ht="17" customHeight="1">
      <c r="B17" s="5" t="inlineStr">
        <is>
          <t>知的障がい（n=2）</t>
        </is>
      </c>
      <c r="C17" s="20">
        <f>'集計_障がい別'!$H$180</f>
        <v>0.5</v>
      </c>
      <c r="D17" s="20">
        <f>'集計_障がい別'!$H$181</f>
        <v>0.5</v>
      </c>
      <c r="E17" s="20">
        <f>'集計_障がい別'!$H$182</f>
        <v>0</v>
      </c>
      <c r="F17" s="20">
        <f>'集計_障がい別'!$H$183</f>
        <v>0</v>
      </c>
      <c r="G17" s="20">
        <f>'集計_障がい別'!$H$184</f>
        <v>0</v>
      </c>
    </row>
    <row r="18" ht="17" customHeight="1">
      <c r="B18" s="5" t="inlineStr">
        <is>
          <t>精神障がい（n=6）</t>
        </is>
      </c>
      <c r="C18" s="20">
        <f>'集計_障がい別'!$I$180</f>
        <v>0.333333333333333</v>
      </c>
      <c r="D18" s="20">
        <f>'集計_障がい別'!$I$181</f>
        <v>0.166666666666667</v>
      </c>
      <c r="E18" s="20">
        <f>'集計_障がい別'!$I$182</f>
        <v>0.333333333333333</v>
      </c>
      <c r="F18" s="20">
        <f>'集計_障がい別'!$I$183</f>
        <v>0.166666666666667</v>
      </c>
      <c r="G18" s="20">
        <f>'集計_障がい別'!$I$184</f>
        <v>0</v>
      </c>
    </row>
    <row r="19"/>
    <row r="20"/>
    <row r="23" ht="21" customHeight="1">
      <c r="B23" s="7" t="inlineStr">
        <is>
          <t>図3-40　困ったときの相談相手・場所（問22）</t>
        </is>
      </c>
    </row>
    <row r="24">
      <c r="B24" s="18" t="str">
        <f>"n="&amp;'集計_障がい者'!$F$184&amp;"（複数回答）"</f>
        <v>n=40（複数回答）</v>
      </c>
    </row>
    <row r="25" ht="18" customHeight="1">
      <c r="B25" s="3" t="inlineStr">
        <is>
          <t>選択肢</t>
        </is>
      </c>
      <c r="C25" s="3" t="inlineStr">
        <is>
          <t>件数</t>
        </is>
      </c>
      <c r="D25" s="3" t="inlineStr">
        <is>
          <t>割合</t>
        </is>
      </c>
    </row>
    <row r="26" ht="17" customHeight="1">
      <c r="B26" s="5" t="inlineStr">
        <is>
          <t>家族・親族</t>
        </is>
      </c>
      <c r="C26" s="19">
        <f>'集計_障がい者'!$D$184</f>
        <v>31</v>
      </c>
      <c r="D26" s="20">
        <f>'集計_障がい者'!$E$184</f>
        <v>0.775</v>
      </c>
    </row>
    <row r="27" ht="17" customHeight="1">
      <c r="B27" s="5" t="inlineStr">
        <is>
          <t>医療機関</t>
        </is>
      </c>
      <c r="C27" s="19">
        <f>'集計_障がい者'!$D$189</f>
        <v>12</v>
      </c>
      <c r="D27" s="20">
        <f>'集計_障がい者'!$E$189</f>
        <v>0.3</v>
      </c>
    </row>
    <row r="28" ht="17" customHeight="1">
      <c r="B28" s="5" t="inlineStr">
        <is>
          <t>相談支援専門員</t>
        </is>
      </c>
      <c r="C28" s="19">
        <f>'集計_障がい者'!$D$187</f>
        <v>10</v>
      </c>
      <c r="D28" s="20">
        <f>'集計_障がい者'!$E$187</f>
        <v>0.25</v>
      </c>
    </row>
    <row r="29" ht="17" customHeight="1">
      <c r="B29" s="5" t="inlineStr">
        <is>
          <t>友人・知人</t>
        </is>
      </c>
      <c r="C29" s="19">
        <f>'集計_障がい者'!$D$185</f>
        <v>6</v>
      </c>
      <c r="D29" s="20">
        <f>'集計_障がい者'!$E$185</f>
        <v>0.15</v>
      </c>
    </row>
    <row r="30" ht="17" customHeight="1">
      <c r="B30" s="5" t="inlineStr">
        <is>
          <t>村役場</t>
        </is>
      </c>
      <c r="C30" s="19">
        <f>'集計_障がい者'!$D$186</f>
        <v>5</v>
      </c>
      <c r="D30" s="20">
        <f>'集計_障がい者'!$E$186</f>
        <v>0.125</v>
      </c>
    </row>
    <row r="31" ht="17" customHeight="1">
      <c r="B31" s="5" t="inlineStr">
        <is>
          <t>福祉サービス事業所</t>
        </is>
      </c>
      <c r="C31" s="19">
        <f>'集計_障がい者'!$D$188</f>
        <v>5</v>
      </c>
      <c r="D31" s="20">
        <f>'集計_障がい者'!$E$188</f>
        <v>0.125</v>
      </c>
    </row>
    <row r="32" ht="17" customHeight="1">
      <c r="B32" s="5" t="inlineStr">
        <is>
          <t>社会福祉協議会</t>
        </is>
      </c>
      <c r="C32" s="19">
        <f>'集計_障がい者'!$D$191</f>
        <v>4</v>
      </c>
      <c r="D32" s="20">
        <f>'集計_障がい者'!$E$191</f>
        <v>0.1</v>
      </c>
    </row>
    <row r="33" ht="17" customHeight="1">
      <c r="B33" s="5" t="inlineStr">
        <is>
          <t>SNS・インターネット・AI</t>
        </is>
      </c>
      <c r="C33" s="19">
        <f>'集計_障がい者'!$D$190</f>
        <v>1</v>
      </c>
      <c r="D33" s="20">
        <f>'集計_障がい者'!$E$190</f>
        <v>0.025</v>
      </c>
    </row>
    <row r="34" ht="17" customHeight="1">
      <c r="B34" s="5" t="inlineStr">
        <is>
          <t>民生委員・児童委員</t>
        </is>
      </c>
      <c r="C34" s="19">
        <f>'集計_障がい者'!$D$192</f>
        <v>1</v>
      </c>
      <c r="D34" s="20">
        <f>'集計_障がい者'!$E$192</f>
        <v>0.025</v>
      </c>
    </row>
    <row r="35" ht="17" customHeight="1">
      <c r="B35" s="5" t="inlineStr">
        <is>
          <t>相談する相手がいない</t>
        </is>
      </c>
      <c r="C35" s="19">
        <f>'集計_障がい者'!$D$193</f>
        <v>1</v>
      </c>
      <c r="D35" s="20">
        <f>'集計_障がい者'!$E$193</f>
        <v>0.025</v>
      </c>
    </row>
    <row r="36" ht="17" customHeight="1">
      <c r="B36" s="5" t="inlineStr">
        <is>
          <t>その他</t>
        </is>
      </c>
      <c r="C36" s="19">
        <f>'集計_障がい者'!$D$194</f>
        <v>1</v>
      </c>
      <c r="D36" s="20">
        <f>'集計_障がい者'!$E$194</f>
        <v>0.025</v>
      </c>
    </row>
    <row r="37" ht="17" customHeight="1">
      <c r="B37" s="5" t="inlineStr">
        <is>
          <t>無回答</t>
        </is>
      </c>
      <c r="C37" s="19">
        <f>'集計_障がい者'!$D$195</f>
        <v>1</v>
      </c>
      <c r="D37" s="20">
        <f>'集計_障がい者'!$E$195</f>
        <v>0.025</v>
      </c>
    </row>
    <row r="38"/>
    <row r="41" ht="21" customHeight="1">
      <c r="B41" s="7" t="inlineStr">
        <is>
          <t>図3-41　困ったときの相談相手・場所【障がい別】（問22）</t>
        </is>
      </c>
    </row>
    <row r="42"/>
    <row r="43" ht="31" customHeight="1">
      <c r="B43" s="3" t="inlineStr">
        <is>
          <t>選択肢</t>
        </is>
      </c>
      <c r="C43" s="3" t="inlineStr">
        <is>
          <t>身体障がい（n=29）</t>
        </is>
      </c>
      <c r="D43" s="3" t="inlineStr">
        <is>
          <t>知的障がい（n=2）</t>
        </is>
      </c>
      <c r="E43" s="3" t="inlineStr">
        <is>
          <t>精神障がい（n=6）</t>
        </is>
      </c>
    </row>
    <row r="44" ht="17" customHeight="1">
      <c r="B44" s="5" t="inlineStr">
        <is>
          <t>家族・親族</t>
        </is>
      </c>
      <c r="C44" s="20">
        <f>'集計_障がい別'!$G$185</f>
        <v>0.758620689655172</v>
      </c>
      <c r="D44" s="20">
        <f>'集計_障がい別'!$H$185</f>
        <v>0.5</v>
      </c>
      <c r="E44" s="20">
        <f>'集計_障がい別'!$I$185</f>
        <v>0.666666666666667</v>
      </c>
    </row>
    <row r="45" ht="17" customHeight="1">
      <c r="B45" s="5" t="inlineStr">
        <is>
          <t>医療機関</t>
        </is>
      </c>
      <c r="C45" s="20">
        <f>'集計_障がい別'!$G$190</f>
        <v>0.310344827586207</v>
      </c>
      <c r="D45" s="20">
        <f>'集計_障がい別'!$H$190</f>
        <v>0.5</v>
      </c>
      <c r="E45" s="20">
        <f>'集計_障がい別'!$I$190</f>
        <v>0.333333333333333</v>
      </c>
    </row>
    <row r="46" ht="17" customHeight="1">
      <c r="B46" s="5" t="inlineStr">
        <is>
          <t>相談支援専門員</t>
        </is>
      </c>
      <c r="C46" s="20">
        <f>'集計_障がい別'!$G$188</f>
        <v>0.172413793103448</v>
      </c>
      <c r="D46" s="20">
        <f>'集計_障がい別'!$H$188</f>
        <v>1</v>
      </c>
      <c r="E46" s="20">
        <f>'集計_障がい別'!$I$188</f>
        <v>0.333333333333333</v>
      </c>
    </row>
    <row r="47" ht="17" customHeight="1">
      <c r="B47" s="5" t="inlineStr">
        <is>
          <t>友人・知人</t>
        </is>
      </c>
      <c r="C47" s="20">
        <f>'集計_障がい別'!$G$186</f>
        <v>0.172413793103448</v>
      </c>
      <c r="D47" s="20">
        <f>'集計_障がい別'!$H$186</f>
        <v>0</v>
      </c>
      <c r="E47" s="20">
        <f>'集計_障がい別'!$I$186</f>
        <v>0</v>
      </c>
    </row>
    <row r="48" ht="17" customHeight="1">
      <c r="B48" s="5" t="inlineStr">
        <is>
          <t>村役場</t>
        </is>
      </c>
      <c r="C48" s="20">
        <f>'集計_障がい別'!$G$187</f>
        <v>0.137931034482759</v>
      </c>
      <c r="D48" s="20">
        <f>'集計_障がい別'!$H$187</f>
        <v>0</v>
      </c>
      <c r="E48" s="20">
        <f>'集計_障がい別'!$I$187</f>
        <v>0.166666666666667</v>
      </c>
    </row>
    <row r="49" ht="17" customHeight="1">
      <c r="B49" s="5" t="inlineStr">
        <is>
          <t>福祉サービス事業所</t>
        </is>
      </c>
      <c r="C49" s="20">
        <f>'集計_障がい別'!$G$189</f>
        <v>0.103448275862069</v>
      </c>
      <c r="D49" s="20">
        <f>'集計_障がい別'!$H$189</f>
        <v>1</v>
      </c>
      <c r="E49" s="20">
        <f>'集計_障がい別'!$I$189</f>
        <v>0.166666666666667</v>
      </c>
    </row>
    <row r="50" ht="17" customHeight="1">
      <c r="B50" s="5" t="inlineStr">
        <is>
          <t>社会福祉協議会</t>
        </is>
      </c>
      <c r="C50" s="20">
        <f>'集計_障がい別'!$G$192</f>
        <v>0.137931034482759</v>
      </c>
      <c r="D50" s="20">
        <f>'集計_障がい別'!$H$192</f>
        <v>0</v>
      </c>
      <c r="E50" s="20">
        <f>'集計_障がい別'!$I$192</f>
        <v>0</v>
      </c>
    </row>
    <row r="51" ht="17" customHeight="1">
      <c r="B51" s="5" t="inlineStr">
        <is>
          <t>SNS・インターネット・AI</t>
        </is>
      </c>
      <c r="C51" s="20">
        <f>'集計_障がい別'!$G$191</f>
        <v>0.0344827586206897</v>
      </c>
      <c r="D51" s="20">
        <f>'集計_障がい別'!$H$191</f>
        <v>0</v>
      </c>
      <c r="E51" s="20">
        <f>'集計_障がい別'!$I$191</f>
        <v>0</v>
      </c>
    </row>
    <row r="52" ht="17" customHeight="1">
      <c r="B52" s="5" t="inlineStr">
        <is>
          <t>民生委員・児童委員</t>
        </is>
      </c>
      <c r="C52" s="20">
        <f>'集計_障がい別'!$G$193</f>
        <v>0.0344827586206897</v>
      </c>
      <c r="D52" s="20">
        <f>'集計_障がい別'!$H$193</f>
        <v>0</v>
      </c>
      <c r="E52" s="20">
        <f>'集計_障がい別'!$I$193</f>
        <v>0</v>
      </c>
    </row>
    <row r="53" ht="17" customHeight="1">
      <c r="B53" s="5" t="inlineStr">
        <is>
          <t>相談する相手がいない</t>
        </is>
      </c>
      <c r="C53" s="20">
        <f>'集計_障がい別'!$G$194</f>
        <v>0.0344827586206897</v>
      </c>
      <c r="D53" s="20">
        <f>'集計_障がい別'!$H$194</f>
        <v>0</v>
      </c>
      <c r="E53" s="20">
        <f>'集計_障がい別'!$I$194</f>
        <v>0</v>
      </c>
    </row>
    <row r="54" ht="17" customHeight="1">
      <c r="B54" s="5" t="inlineStr">
        <is>
          <t>その他</t>
        </is>
      </c>
      <c r="C54" s="20">
        <f>'集計_障がい別'!$G$195</f>
        <v>0.0344827586206897</v>
      </c>
      <c r="D54" s="20">
        <f>'集計_障がい別'!$H$195</f>
        <v>0</v>
      </c>
      <c r="E54" s="20">
        <f>'集計_障がい別'!$I$195</f>
        <v>0</v>
      </c>
    </row>
    <row r="55" ht="17" customHeight="1">
      <c r="B55" s="5" t="inlineStr">
        <is>
          <t>無回答</t>
        </is>
      </c>
      <c r="C55" s="20">
        <f>'集計_障がい別'!$G$196</f>
        <v>0.0344827586206897</v>
      </c>
      <c r="D55" s="20">
        <f>'集計_障がい別'!$H$196</f>
        <v>0</v>
      </c>
      <c r="E55" s="20">
        <f>'集計_障がい別'!$I$196</f>
        <v>0</v>
      </c>
    </row>
    <row r="56"/>
    <row r="57"/>
    <row r="58"/>
    <row r="59"/>
    <row r="60"/>
    <row r="61"/>
    <row r="62"/>
    <row r="63"/>
    <row r="64"/>
    <row r="65"/>
    <row r="66"/>
    <row r="67"/>
    <row r="68"/>
    <row r="69"/>
    <row r="70"/>
    <row r="71"/>
    <row r="72"/>
    <row r="73"/>
    <row r="74"/>
    <row r="75"/>
    <row r="76"/>
    <row r="77"/>
    <row r="80" ht="21" customHeight="1">
      <c r="B80" s="7" t="inlineStr">
        <is>
          <t>図3-42　相談しにくい・相談できない理由（問23）</t>
        </is>
      </c>
    </row>
    <row r="81">
      <c r="B81" s="18" t="str">
        <f>"n="&amp;'集計_障がい者'!$F$201&amp;"（複数回答）"</f>
        <v>n=40（複数回答）</v>
      </c>
    </row>
    <row r="82" ht="18" customHeight="1">
      <c r="B82" s="3" t="inlineStr">
        <is>
          <t>選択肢</t>
        </is>
      </c>
      <c r="C82" s="3" t="inlineStr">
        <is>
          <t>件数</t>
        </is>
      </c>
      <c r="D82" s="3" t="inlineStr">
        <is>
          <t>割合</t>
        </is>
      </c>
    </row>
    <row r="83" ht="17" customHeight="1">
      <c r="B83" s="5" t="inlineStr">
        <is>
          <t>家族が対応している</t>
        </is>
      </c>
      <c r="C83" s="19">
        <f>'集計_障がい者'!$D$201</f>
        <v>10</v>
      </c>
      <c r="D83" s="20">
        <f>'集計_障がい者'!$E$201</f>
        <v>0.25</v>
      </c>
    </row>
    <row r="84" ht="17" customHeight="1">
      <c r="B84" s="5" t="inlineStr">
        <is>
          <t>相談しても解決しないと思う</t>
        </is>
      </c>
      <c r="C84" s="19">
        <f>'集計_障がい者'!$D$199</f>
        <v>6</v>
      </c>
      <c r="D84" s="20">
        <f>'集計_障がい者'!$E$199</f>
        <v>0.15</v>
      </c>
    </row>
    <row r="85" ht="17" customHeight="1">
      <c r="B85" s="5" t="inlineStr">
        <is>
          <t>何を相談してよいかわからない</t>
        </is>
      </c>
      <c r="C85" s="19">
        <f>'集計_障がい者'!$D$198</f>
        <v>4</v>
      </c>
      <c r="D85" s="20">
        <f>'集計_障がい者'!$E$198</f>
        <v>0.1</v>
      </c>
    </row>
    <row r="86" ht="17" customHeight="1">
      <c r="B86" s="5" t="inlineStr">
        <is>
          <t>プライバシーが不安</t>
        </is>
      </c>
      <c r="C86" s="19">
        <f>'集計_障がい者'!$D$202</f>
        <v>4</v>
      </c>
      <c r="D86" s="20">
        <f>'集計_障がい者'!$E$202</f>
        <v>0.1</v>
      </c>
    </row>
    <row r="87" ht="17" customHeight="1">
      <c r="B87" s="5" t="inlineStr">
        <is>
          <t>身近に相談先がない</t>
        </is>
      </c>
      <c r="C87" s="19">
        <f>'集計_障がい者'!$D$197</f>
        <v>1</v>
      </c>
      <c r="D87" s="20">
        <f>'集計_障がい者'!$E$197</f>
        <v>0.025</v>
      </c>
    </row>
    <row r="88" ht="17" customHeight="1">
      <c r="B88" s="5" t="inlineStr">
        <is>
          <t>交通手段がない</t>
        </is>
      </c>
      <c r="C88" s="19">
        <f>'集計_障がい者'!$D$200</f>
        <v>1</v>
      </c>
      <c r="D88" s="20">
        <f>'集計_障がい者'!$E$200</f>
        <v>0.025</v>
      </c>
    </row>
    <row r="89" ht="17" customHeight="1">
      <c r="B89" s="5" t="inlineStr">
        <is>
          <t>相談先がわからない</t>
        </is>
      </c>
      <c r="C89" s="19">
        <f>'集計_障がい者'!$D$196</f>
        <v>0</v>
      </c>
      <c r="D89" s="20">
        <f>'集計_障がい者'!$E$196</f>
        <v>0</v>
      </c>
    </row>
    <row r="90" ht="17" customHeight="1">
      <c r="B90" s="5" t="inlineStr">
        <is>
          <t>特に困っていない</t>
        </is>
      </c>
      <c r="C90" s="19">
        <f>'集計_障がい者'!$D$203</f>
        <v>15</v>
      </c>
      <c r="D90" s="20">
        <f>'集計_障がい者'!$E$203</f>
        <v>0.375</v>
      </c>
    </row>
    <row r="91" ht="17" customHeight="1">
      <c r="B91" s="5" t="inlineStr">
        <is>
          <t>その他</t>
        </is>
      </c>
      <c r="C91" s="19">
        <f>'集計_障がい者'!$D$204</f>
        <v>0</v>
      </c>
      <c r="D91" s="20">
        <f>'集計_障がい者'!$E$204</f>
        <v>0</v>
      </c>
    </row>
    <row r="92" ht="17" customHeight="1">
      <c r="B92" s="5" t="inlineStr">
        <is>
          <t>無回答</t>
        </is>
      </c>
      <c r="C92" s="19">
        <f>'集計_障がい者'!$D$205</f>
        <v>7</v>
      </c>
      <c r="D92" s="20">
        <f>'集計_障がい者'!$E$205</f>
        <v>0.175</v>
      </c>
    </row>
    <row r="93"/>
    <row r="96" ht="21" customHeight="1">
      <c r="B96" s="7" t="inlineStr">
        <is>
          <t>図3-43　相談しにくい・相談できない理由【障がい別】（問23）</t>
        </is>
      </c>
    </row>
    <row r="97"/>
    <row r="98" ht="31" customHeight="1">
      <c r="B98" s="3" t="inlineStr">
        <is>
          <t>選択肢</t>
        </is>
      </c>
      <c r="C98" s="3" t="inlineStr">
        <is>
          <t>身体障がい（n=29）</t>
        </is>
      </c>
      <c r="D98" s="3" t="inlineStr">
        <is>
          <t>知的障がい（n=2）</t>
        </is>
      </c>
      <c r="E98" s="3" t="inlineStr">
        <is>
          <t>精神障がい（n=6）</t>
        </is>
      </c>
    </row>
    <row r="99" ht="17" customHeight="1">
      <c r="B99" s="5" t="inlineStr">
        <is>
          <t>家族が対応している</t>
        </is>
      </c>
      <c r="C99" s="20">
        <f>'集計_障がい別'!$G$202</f>
        <v>0.241379310344828</v>
      </c>
      <c r="D99" s="20">
        <f>'集計_障がい別'!$H$202</f>
        <v>0</v>
      </c>
      <c r="E99" s="20">
        <f>'集計_障がい別'!$I$202</f>
        <v>0.166666666666667</v>
      </c>
    </row>
    <row r="100" ht="17" customHeight="1">
      <c r="B100" s="5" t="inlineStr">
        <is>
          <t>相談しても解決しないと思う</t>
        </is>
      </c>
      <c r="C100" s="20">
        <f>'集計_障がい別'!$G$200</f>
        <v>0.137931034482759</v>
      </c>
      <c r="D100" s="20">
        <f>'集計_障がい別'!$H$200</f>
        <v>0</v>
      </c>
      <c r="E100" s="20">
        <f>'集計_障がい別'!$I$200</f>
        <v>0.333333333333333</v>
      </c>
    </row>
    <row r="101" ht="17" customHeight="1">
      <c r="B101" s="5" t="inlineStr">
        <is>
          <t>何を相談してよいかわからない</t>
        </is>
      </c>
      <c r="C101" s="20">
        <f>'集計_障がい別'!$G$199</f>
        <v>0.103448275862069</v>
      </c>
      <c r="D101" s="20">
        <f>'集計_障がい別'!$H$199</f>
        <v>0.5</v>
      </c>
      <c r="E101" s="20">
        <f>'集計_障がい別'!$I$199</f>
        <v>0</v>
      </c>
    </row>
    <row r="102" ht="17" customHeight="1">
      <c r="B102" s="5" t="inlineStr">
        <is>
          <t>プライバシーが不安</t>
        </is>
      </c>
      <c r="C102" s="20">
        <f>'集計_障がい別'!$G$203</f>
        <v>0.103448275862069</v>
      </c>
      <c r="D102" s="20">
        <f>'集計_障がい別'!$H$203</f>
        <v>0</v>
      </c>
      <c r="E102" s="20">
        <f>'集計_障がい別'!$I$203</f>
        <v>0.166666666666667</v>
      </c>
    </row>
    <row r="103" ht="17" customHeight="1">
      <c r="B103" s="5" t="inlineStr">
        <is>
          <t>身近に相談先がない</t>
        </is>
      </c>
      <c r="C103" s="20">
        <f>'集計_障がい別'!$G$198</f>
        <v>0.0344827586206897</v>
      </c>
      <c r="D103" s="20">
        <f>'集計_障がい別'!$H$198</f>
        <v>0</v>
      </c>
      <c r="E103" s="20">
        <f>'集計_障がい別'!$I$198</f>
        <v>0</v>
      </c>
    </row>
    <row r="104" ht="17" customHeight="1">
      <c r="B104" s="5" t="inlineStr">
        <is>
          <t>交通手段がない</t>
        </is>
      </c>
      <c r="C104" s="20">
        <f>'集計_障がい別'!$G$201</f>
        <v>0.0344827586206897</v>
      </c>
      <c r="D104" s="20">
        <f>'集計_障がい別'!$H$201</f>
        <v>0</v>
      </c>
      <c r="E104" s="20">
        <f>'集計_障がい別'!$I$201</f>
        <v>0</v>
      </c>
    </row>
    <row r="105" ht="17" customHeight="1">
      <c r="B105" s="5" t="inlineStr">
        <is>
          <t>特に困っていない</t>
        </is>
      </c>
      <c r="C105" s="20">
        <f>'集計_障がい別'!$G$204</f>
        <v>0.413793103448276</v>
      </c>
      <c r="D105" s="20">
        <f>'集計_障がい別'!$H$204</f>
        <v>0.5</v>
      </c>
      <c r="E105" s="20">
        <f>'集計_障がい別'!$I$204</f>
        <v>0.333333333333333</v>
      </c>
    </row>
    <row r="106" ht="17" customHeight="1">
      <c r="B106" s="5" t="inlineStr">
        <is>
          <t>無回答</t>
        </is>
      </c>
      <c r="C106" s="20">
        <f>'集計_障がい別'!$G$206</f>
        <v>0.172413793103448</v>
      </c>
      <c r="D106" s="20">
        <f>'集計_障がい別'!$H$206</f>
        <v>0</v>
      </c>
      <c r="E106" s="20">
        <f>'集計_障がい別'!$I$206</f>
        <v>0.166666666666667</v>
      </c>
    </row>
    <row r="107" ht="15" customHeight="1">
      <c r="B107" s="17" t="inlineStr">
        <is>
          <t>※いずれの区分にも回答のなかった選択肢は省略しています。</t>
        </is>
      </c>
    </row>
    <row r="108"/>
    <row r="109"/>
    <row r="110"/>
    <row r="111"/>
    <row r="112"/>
    <row r="113"/>
    <row r="114"/>
    <row r="115"/>
    <row r="116"/>
    <row r="117"/>
    <row r="118"/>
    <row r="119"/>
    <row r="120"/>
    <row r="121"/>
    <row r="124" ht="21" customHeight="1">
      <c r="B124" s="7" t="inlineStr">
        <is>
          <t>図3-44　同じ障がいのある人（ピアサポーター）への相談意向（問24）</t>
        </is>
      </c>
    </row>
    <row r="125">
      <c r="B125" s="18" t="str">
        <f>"n="&amp;'集計_障がい者'!$F$206&amp;"（単一回答）"</f>
        <v>n=40（単一回答）</v>
      </c>
    </row>
    <row r="126" ht="18" customHeight="1">
      <c r="B126" s="3" t="inlineStr">
        <is>
          <t>選択肢</t>
        </is>
      </c>
      <c r="C126" s="3" t="inlineStr">
        <is>
          <t>件数</t>
        </is>
      </c>
      <c r="D126" s="3" t="inlineStr">
        <is>
          <t>割合</t>
        </is>
      </c>
    </row>
    <row r="127" ht="17" customHeight="1">
      <c r="B127" s="5" t="inlineStr">
        <is>
          <t>相談したい（現在も相談している）</t>
        </is>
      </c>
      <c r="C127" s="19">
        <f>'集計_障がい者'!$D$206</f>
        <v>1</v>
      </c>
      <c r="D127" s="20">
        <f>'集計_障がい者'!$E$206</f>
        <v>0.025</v>
      </c>
    </row>
    <row r="128" ht="17" customHeight="1">
      <c r="B128" s="5" t="inlineStr">
        <is>
          <t>機会があれば相談してみたい</t>
        </is>
      </c>
      <c r="C128" s="19">
        <f>'集計_障がい者'!$D$207</f>
        <v>12</v>
      </c>
      <c r="D128" s="20">
        <f>'集計_障がい者'!$E$207</f>
        <v>0.3</v>
      </c>
    </row>
    <row r="129" ht="17" customHeight="1">
      <c r="B129" s="5" t="inlineStr">
        <is>
          <t>あまり相談したいとは思わない</t>
        </is>
      </c>
      <c r="C129" s="19">
        <f>'集計_障がい者'!$D$208</f>
        <v>9</v>
      </c>
      <c r="D129" s="20">
        <f>'集計_障がい者'!$E$208</f>
        <v>0.225</v>
      </c>
    </row>
    <row r="130" ht="17" customHeight="1">
      <c r="B130" s="5" t="inlineStr">
        <is>
          <t>まったく相談したいとは思わない</t>
        </is>
      </c>
      <c r="C130" s="19">
        <f>'集計_障がい者'!$D$209</f>
        <v>6</v>
      </c>
      <c r="D130" s="20">
        <f>'集計_障がい者'!$E$209</f>
        <v>0.15</v>
      </c>
    </row>
    <row r="131" ht="17" customHeight="1">
      <c r="B131" s="5" t="inlineStr">
        <is>
          <t>わからない</t>
        </is>
      </c>
      <c r="C131" s="19">
        <f>'集計_障がい者'!$D$210</f>
        <v>8</v>
      </c>
      <c r="D131" s="20">
        <f>'集計_障がい者'!$E$210</f>
        <v>0.2</v>
      </c>
    </row>
    <row r="132" ht="17" customHeight="1">
      <c r="B132" s="5" t="inlineStr">
        <is>
          <t>無回答</t>
        </is>
      </c>
      <c r="C132" s="19">
        <f>'集計_障がい者'!$D$211</f>
        <v>4</v>
      </c>
      <c r="D132" s="20">
        <f>'集計_障がい者'!$E$211</f>
        <v>0.1</v>
      </c>
    </row>
    <row r="133"/>
    <row r="136" ht="21" customHeight="1">
      <c r="B136" s="7" t="inlineStr">
        <is>
          <t>図3-45　同じ障がいのある人（ピアサポーター）への相談意向【障がい別】（問24）</t>
        </is>
      </c>
    </row>
    <row r="137"/>
    <row r="138" ht="57" customHeight="1">
      <c r="B138" s="3" t="inlineStr">
        <is>
          <t>区分</t>
        </is>
      </c>
      <c r="C138" s="3" t="inlineStr">
        <is>
          <t>相談したい（現在も相談している）</t>
        </is>
      </c>
      <c r="D138" s="3" t="inlineStr">
        <is>
          <t>機会があれば相談してみたい</t>
        </is>
      </c>
      <c r="E138" s="3" t="inlineStr">
        <is>
          <t>あまり相談したいとは思わない</t>
        </is>
      </c>
      <c r="F138" s="3" t="inlineStr">
        <is>
          <t>まったく相談したいとは思わない</t>
        </is>
      </c>
      <c r="G138" s="3" t="inlineStr">
        <is>
          <t>わからない</t>
        </is>
      </c>
      <c r="H138" s="3" t="inlineStr">
        <is>
          <t>無回答</t>
        </is>
      </c>
    </row>
    <row r="139" ht="17" customHeight="1">
      <c r="B139" s="5" t="inlineStr">
        <is>
          <t>全体</t>
        </is>
      </c>
      <c r="C139" s="20">
        <f>'集計_障がい者'!$E$206</f>
        <v>0.025</v>
      </c>
      <c r="D139" s="20">
        <f>'集計_障がい者'!$E$207</f>
        <v>0.3</v>
      </c>
      <c r="E139" s="20">
        <f>'集計_障がい者'!$E$208</f>
        <v>0.225</v>
      </c>
      <c r="F139" s="20">
        <f>'集計_障がい者'!$E$209</f>
        <v>0.15</v>
      </c>
      <c r="G139" s="20">
        <f>'集計_障がい者'!$E$210</f>
        <v>0.2</v>
      </c>
      <c r="H139" s="20">
        <f>'集計_障がい者'!$E$211</f>
        <v>0.1</v>
      </c>
    </row>
    <row r="140" ht="17" customHeight="1">
      <c r="B140" s="5" t="inlineStr">
        <is>
          <t>身体障がい（n=29）</t>
        </is>
      </c>
      <c r="C140" s="20">
        <f>'集計_障がい別'!$G$207</f>
        <v>0</v>
      </c>
      <c r="D140" s="20">
        <f>'集計_障がい別'!$G$208</f>
        <v>0.344827586206897</v>
      </c>
      <c r="E140" s="20">
        <f>'集計_障がい別'!$G$209</f>
        <v>0.206896551724138</v>
      </c>
      <c r="F140" s="20">
        <f>'集計_障がい別'!$G$210</f>
        <v>0.137931034482759</v>
      </c>
      <c r="G140" s="20">
        <f>'集計_障がい別'!$G$211</f>
        <v>0.206896551724138</v>
      </c>
      <c r="H140" s="20">
        <f>'集計_障がい別'!$G$212</f>
        <v>0.103448275862069</v>
      </c>
    </row>
    <row r="141" ht="17" customHeight="1">
      <c r="B141" s="5" t="inlineStr">
        <is>
          <t>知的障がい（n=2）</t>
        </is>
      </c>
      <c r="C141" s="20">
        <f>'集計_障がい別'!$H$207</f>
        <v>0</v>
      </c>
      <c r="D141" s="20">
        <f>'集計_障がい別'!$H$208</f>
        <v>0.5</v>
      </c>
      <c r="E141" s="20">
        <f>'集計_障がい別'!$H$209</f>
        <v>0</v>
      </c>
      <c r="F141" s="20">
        <f>'集計_障がい別'!$H$210</f>
        <v>0</v>
      </c>
      <c r="G141" s="20">
        <f>'集計_障がい別'!$H$211</f>
        <v>0.5</v>
      </c>
      <c r="H141" s="20">
        <f>'集計_障がい別'!$H$212</f>
        <v>0</v>
      </c>
    </row>
    <row r="142" ht="17" customHeight="1">
      <c r="B142" s="5" t="inlineStr">
        <is>
          <t>精神障がい（n=6）</t>
        </is>
      </c>
      <c r="C142" s="20">
        <f>'集計_障がい別'!$I$207</f>
        <v>0</v>
      </c>
      <c r="D142" s="20">
        <f>'集計_障がい別'!$I$208</f>
        <v>0.166666666666667</v>
      </c>
      <c r="E142" s="20">
        <f>'集計_障がい別'!$I$209</f>
        <v>0.333333333333333</v>
      </c>
      <c r="F142" s="20">
        <f>'集計_障がい別'!$I$210</f>
        <v>0.333333333333333</v>
      </c>
      <c r="G142" s="20">
        <f>'集計_障がい別'!$I$211</f>
        <v>0</v>
      </c>
      <c r="H142" s="20">
        <f>'集計_障がい別'!$I$212</f>
        <v>0.166666666666667</v>
      </c>
    </row>
    <row r="143"/>
    <row r="144"/>
    <row r="145"/>
    <row r="148" ht="21" customHeight="1">
      <c r="B148" s="7" t="inlineStr">
        <is>
          <t>図3-46　福祉に関する情報の入手先（問25）</t>
        </is>
      </c>
    </row>
    <row r="149">
      <c r="B149" s="18" t="str">
        <f>"n="&amp;'集計_障がい者'!$F$212&amp;"（複数回答）"</f>
        <v>n=40（複数回答）</v>
      </c>
    </row>
    <row r="150" ht="18" customHeight="1">
      <c r="B150" s="3" t="inlineStr">
        <is>
          <t>選択肢</t>
        </is>
      </c>
      <c r="C150" s="3" t="inlineStr">
        <is>
          <t>件数</t>
        </is>
      </c>
      <c r="D150" s="3" t="inlineStr">
        <is>
          <t>割合</t>
        </is>
      </c>
    </row>
    <row r="151" ht="17" customHeight="1">
      <c r="B151" s="5" t="inlineStr">
        <is>
          <t>村広報・ホームページ</t>
        </is>
      </c>
      <c r="C151" s="19">
        <f>'集計_障がい者'!$D$212</f>
        <v>16</v>
      </c>
      <c r="D151" s="20">
        <f>'集計_障がい者'!$E$212</f>
        <v>0.4</v>
      </c>
    </row>
    <row r="152" ht="17" customHeight="1">
      <c r="B152" s="5" t="inlineStr">
        <is>
          <t>相談支援専門員</t>
        </is>
      </c>
      <c r="C152" s="19">
        <f>'集計_障がい者'!$D$214</f>
        <v>14</v>
      </c>
      <c r="D152" s="20">
        <f>'集計_障がい者'!$E$214</f>
        <v>0.35</v>
      </c>
    </row>
    <row r="153" ht="17" customHeight="1">
      <c r="B153" s="5" t="inlineStr">
        <is>
          <t>新聞・テレビ</t>
        </is>
      </c>
      <c r="C153" s="19">
        <f>'集計_障がい者'!$D$219</f>
        <v>13</v>
      </c>
      <c r="D153" s="20">
        <f>'集計_障がい者'!$E$219</f>
        <v>0.325</v>
      </c>
    </row>
    <row r="154" ht="17" customHeight="1">
      <c r="B154" s="5" t="inlineStr">
        <is>
          <t>家族・知人</t>
        </is>
      </c>
      <c r="C154" s="19">
        <f>'集計_障がい者'!$D$213</f>
        <v>9</v>
      </c>
      <c r="D154" s="20">
        <f>'集計_障がい者'!$E$213</f>
        <v>0.225</v>
      </c>
    </row>
    <row r="155" ht="17" customHeight="1">
      <c r="B155" s="5" t="inlineStr">
        <is>
          <t>福祉サービス事業所</t>
        </is>
      </c>
      <c r="C155" s="19">
        <f>'集計_障がい者'!$D$215</f>
        <v>9</v>
      </c>
      <c r="D155" s="20">
        <f>'集計_障がい者'!$E$215</f>
        <v>0.225</v>
      </c>
    </row>
    <row r="156" ht="17" customHeight="1">
      <c r="B156" s="5" t="inlineStr">
        <is>
          <t>医療機関</t>
        </is>
      </c>
      <c r="C156" s="19">
        <f>'集計_障がい者'!$D$216</f>
        <v>8</v>
      </c>
      <c r="D156" s="20">
        <f>'集計_障がい者'!$E$216</f>
        <v>0.2</v>
      </c>
    </row>
    <row r="157" ht="17" customHeight="1">
      <c r="B157" s="5" t="inlineStr">
        <is>
          <t>SNS・インターネット・AI</t>
        </is>
      </c>
      <c r="C157" s="19">
        <f>'集計_障がい者'!$D$218</f>
        <v>4</v>
      </c>
      <c r="D157" s="20">
        <f>'集計_障がい者'!$E$218</f>
        <v>0.1</v>
      </c>
    </row>
    <row r="158" ht="17" customHeight="1">
      <c r="B158" s="5" t="inlineStr">
        <is>
          <t>情報を得られていない</t>
        </is>
      </c>
      <c r="C158" s="19">
        <f>'集計_障がい者'!$D$220</f>
        <v>1</v>
      </c>
      <c r="D158" s="20">
        <f>'集計_障がい者'!$E$220</f>
        <v>0.025</v>
      </c>
    </row>
    <row r="159" ht="17" customHeight="1">
      <c r="B159" s="5" t="inlineStr">
        <is>
          <t>学校</t>
        </is>
      </c>
      <c r="C159" s="19">
        <f>'集計_障がい者'!$D$217</f>
        <v>0</v>
      </c>
      <c r="D159" s="20">
        <f>'集計_障がい者'!$E$217</f>
        <v>0</v>
      </c>
    </row>
    <row r="160" ht="17" customHeight="1">
      <c r="B160" s="5" t="inlineStr">
        <is>
          <t>その他</t>
        </is>
      </c>
      <c r="C160" s="19">
        <f>'集計_障がい者'!$D$221</f>
        <v>0</v>
      </c>
      <c r="D160" s="20">
        <f>'集計_障がい者'!$E$221</f>
        <v>0</v>
      </c>
    </row>
    <row r="161" ht="17" customHeight="1">
      <c r="B161" s="5" t="inlineStr">
        <is>
          <t>無回答</t>
        </is>
      </c>
      <c r="C161" s="19">
        <f>'集計_障がい者'!$D$222</f>
        <v>2</v>
      </c>
      <c r="D161" s="20">
        <f>'集計_障がい者'!$E$222</f>
        <v>0.05</v>
      </c>
    </row>
    <row r="162"/>
    <row r="165" ht="21" customHeight="1">
      <c r="B165" s="7" t="inlineStr">
        <is>
          <t>図3-47　福祉に関する情報の入手先【障がい別】（問25）</t>
        </is>
      </c>
    </row>
    <row r="166"/>
    <row r="167" ht="31" customHeight="1">
      <c r="B167" s="3" t="inlineStr">
        <is>
          <t>選択肢</t>
        </is>
      </c>
      <c r="C167" s="3" t="inlineStr">
        <is>
          <t>身体障がい（n=29）</t>
        </is>
      </c>
      <c r="D167" s="3" t="inlineStr">
        <is>
          <t>知的障がい（n=2）</t>
        </is>
      </c>
      <c r="E167" s="3" t="inlineStr">
        <is>
          <t>精神障がい（n=6）</t>
        </is>
      </c>
    </row>
    <row r="168" ht="17" customHeight="1">
      <c r="B168" s="5" t="inlineStr">
        <is>
          <t>村広報・ホームページ</t>
        </is>
      </c>
      <c r="C168" s="20">
        <f>'集計_障がい別'!$G$213</f>
        <v>0.482758620689655</v>
      </c>
      <c r="D168" s="20">
        <f>'集計_障がい別'!$H$213</f>
        <v>0.5</v>
      </c>
      <c r="E168" s="20">
        <f>'集計_障がい別'!$I$213</f>
        <v>0.166666666666667</v>
      </c>
    </row>
    <row r="169" ht="17" customHeight="1">
      <c r="B169" s="5" t="inlineStr">
        <is>
          <t>相談支援専門員</t>
        </is>
      </c>
      <c r="C169" s="20">
        <f>'集計_障がい別'!$G$215</f>
        <v>0.310344827586207</v>
      </c>
      <c r="D169" s="20">
        <f>'集計_障がい別'!$H$215</f>
        <v>1</v>
      </c>
      <c r="E169" s="20">
        <f>'集計_障がい別'!$I$215</f>
        <v>0.5</v>
      </c>
    </row>
    <row r="170" ht="17" customHeight="1">
      <c r="B170" s="5" t="inlineStr">
        <is>
          <t>新聞・テレビ</t>
        </is>
      </c>
      <c r="C170" s="20">
        <f>'集計_障がい別'!$G$220</f>
        <v>0.344827586206897</v>
      </c>
      <c r="D170" s="20">
        <f>'集計_障がい別'!$H$220</f>
        <v>0.5</v>
      </c>
      <c r="E170" s="20">
        <f>'集計_障がい別'!$I$220</f>
        <v>0.166666666666667</v>
      </c>
    </row>
    <row r="171" ht="17" customHeight="1">
      <c r="B171" s="5" t="inlineStr">
        <is>
          <t>家族・知人</t>
        </is>
      </c>
      <c r="C171" s="20">
        <f>'集計_障がい別'!$G$214</f>
        <v>0.206896551724138</v>
      </c>
      <c r="D171" s="20">
        <f>'集計_障がい別'!$H$214</f>
        <v>0</v>
      </c>
      <c r="E171" s="20">
        <f>'集計_障がい別'!$I$214</f>
        <v>0.166666666666667</v>
      </c>
    </row>
    <row r="172" ht="17" customHeight="1">
      <c r="B172" s="5" t="inlineStr">
        <is>
          <t>福祉サービス事業所</t>
        </is>
      </c>
      <c r="C172" s="20">
        <f>'集計_障がい別'!$G$216</f>
        <v>0.241379310344828</v>
      </c>
      <c r="D172" s="20">
        <f>'集計_障がい別'!$H$216</f>
        <v>1</v>
      </c>
      <c r="E172" s="20">
        <f>'集計_障がい別'!$I$216</f>
        <v>0.166666666666667</v>
      </c>
    </row>
    <row r="173" ht="17" customHeight="1">
      <c r="B173" s="5" t="inlineStr">
        <is>
          <t>医療機関</t>
        </is>
      </c>
      <c r="C173" s="20">
        <f>'集計_障がい別'!$G$217</f>
        <v>0.172413793103448</v>
      </c>
      <c r="D173" s="20">
        <f>'集計_障がい別'!$H$217</f>
        <v>0</v>
      </c>
      <c r="E173" s="20">
        <f>'集計_障がい別'!$I$217</f>
        <v>0.333333333333333</v>
      </c>
    </row>
    <row r="174" ht="17" customHeight="1">
      <c r="B174" s="5" t="inlineStr">
        <is>
          <t>SNS・インターネット・AI</t>
        </is>
      </c>
      <c r="C174" s="20">
        <f>'集計_障がい別'!$G$219</f>
        <v>0.103448275862069</v>
      </c>
      <c r="D174" s="20">
        <f>'集計_障がい別'!$H$219</f>
        <v>0</v>
      </c>
      <c r="E174" s="20">
        <f>'集計_障がい別'!$I$219</f>
        <v>0.166666666666667</v>
      </c>
    </row>
    <row r="175" ht="17" customHeight="1">
      <c r="B175" s="5" t="inlineStr">
        <is>
          <t>情報を得られていない</t>
        </is>
      </c>
      <c r="C175" s="20">
        <f>'集計_障がい別'!$G$221</f>
        <v>0.0344827586206897</v>
      </c>
      <c r="D175" s="20">
        <f>'集計_障がい別'!$H$221</f>
        <v>0</v>
      </c>
      <c r="E175" s="20">
        <f>'集計_障がい別'!$I$221</f>
        <v>0</v>
      </c>
    </row>
    <row r="176" ht="17" customHeight="1">
      <c r="B176" s="5" t="inlineStr">
        <is>
          <t>無回答</t>
        </is>
      </c>
      <c r="C176" s="20">
        <f>'集計_障がい別'!$G$223</f>
        <v>0.0344827586206897</v>
      </c>
      <c r="D176" s="20">
        <f>'集計_障がい別'!$H$223</f>
        <v>0</v>
      </c>
      <c r="E176" s="20">
        <f>'集計_障がい別'!$I$223</f>
        <v>0</v>
      </c>
    </row>
    <row r="177" ht="15" customHeight="1">
      <c r="B177" s="17" t="inlineStr">
        <is>
          <t>※いずれの区分にも回答のなかった選択肢は省略しています。</t>
        </is>
      </c>
    </row>
    <row r="178"/>
    <row r="179"/>
    <row r="180"/>
    <row r="181"/>
    <row r="182"/>
    <row r="183"/>
    <row r="184"/>
    <row r="185"/>
    <row r="186"/>
    <row r="187"/>
    <row r="188"/>
    <row r="189"/>
    <row r="190"/>
    <row r="191"/>
    <row r="192"/>
    <row r="193"/>
    <row r="196" ht="21" customHeight="1">
      <c r="B196" s="7" t="inlineStr">
        <is>
          <t>図3-48　相談支援に期待すること（問26）</t>
        </is>
      </c>
    </row>
    <row r="197">
      <c r="B197" s="18" t="str">
        <f>"n="&amp;'集計_障がい者'!$F$229&amp;"（複数回答）"</f>
        <v>n=40（複数回答）</v>
      </c>
    </row>
    <row r="198" ht="18" customHeight="1">
      <c r="B198" s="3" t="inlineStr">
        <is>
          <t>選択肢</t>
        </is>
      </c>
      <c r="C198" s="3" t="inlineStr">
        <is>
          <t>件数</t>
        </is>
      </c>
      <c r="D198" s="3" t="inlineStr">
        <is>
          <t>割合</t>
        </is>
      </c>
    </row>
    <row r="199" ht="17" customHeight="1">
      <c r="B199" s="5" t="inlineStr">
        <is>
          <t>わかりやすい情報提供</t>
        </is>
      </c>
      <c r="C199" s="19">
        <f>'集計_障がい者'!$D$229</f>
        <v>14</v>
      </c>
      <c r="D199" s="20">
        <f>'集計_障がい者'!$E$229</f>
        <v>0.35</v>
      </c>
    </row>
    <row r="200" ht="17" customHeight="1">
      <c r="B200" s="5" t="inlineStr">
        <is>
          <t>サービス利用の相談</t>
        </is>
      </c>
      <c r="C200" s="19">
        <f>'集計_障がい者'!$D$223</f>
        <v>13</v>
      </c>
      <c r="D200" s="20">
        <f>'集計_障がい者'!$E$223</f>
        <v>0.325</v>
      </c>
    </row>
    <row r="201" ht="17" customHeight="1">
      <c r="B201" s="5" t="inlineStr">
        <is>
          <t>将来の暮らしの相談</t>
        </is>
      </c>
      <c r="C201" s="19">
        <f>'集計_障がい者'!$D$224</f>
        <v>12</v>
      </c>
      <c r="D201" s="20">
        <f>'集計_障がい者'!$E$224</f>
        <v>0.3</v>
      </c>
    </row>
    <row r="202" ht="17" customHeight="1">
      <c r="B202" s="5" t="inlineStr">
        <is>
          <t>緊急時の相談</t>
        </is>
      </c>
      <c r="C202" s="19">
        <f>'集計_障がい者'!$D$228</f>
        <v>9</v>
      </c>
      <c r="D202" s="20">
        <f>'集計_障がい者'!$E$228</f>
        <v>0.225</v>
      </c>
    </row>
    <row r="203" ht="17" customHeight="1">
      <c r="B203" s="5" t="inlineStr">
        <is>
          <t>医療・通院の相談</t>
        </is>
      </c>
      <c r="C203" s="19">
        <f>'集計_障がい者'!$D$226</f>
        <v>7</v>
      </c>
      <c r="D203" s="20">
        <f>'集計_障がい者'!$E$226</f>
        <v>0.175</v>
      </c>
    </row>
    <row r="204" ht="17" customHeight="1">
      <c r="B204" s="5" t="inlineStr">
        <is>
          <t>家族の負担軽減</t>
        </is>
      </c>
      <c r="C204" s="19">
        <f>'集計_障がい者'!$D$227</f>
        <v>4</v>
      </c>
      <c r="D204" s="20">
        <f>'集計_障がい者'!$E$227</f>
        <v>0.1</v>
      </c>
    </row>
    <row r="205" ht="17" customHeight="1">
      <c r="B205" s="5" t="inlineStr">
        <is>
          <t>就労・日中活動の相談</t>
        </is>
      </c>
      <c r="C205" s="19">
        <f>'集計_障がい者'!$D$225</f>
        <v>1</v>
      </c>
      <c r="D205" s="20">
        <f>'集計_障がい者'!$E$225</f>
        <v>0.025</v>
      </c>
    </row>
    <row r="206" ht="17" customHeight="1">
      <c r="B206" s="5" t="inlineStr">
        <is>
          <t>その他</t>
        </is>
      </c>
      <c r="C206" s="19">
        <f>'集計_障がい者'!$D$230</f>
        <v>1</v>
      </c>
      <c r="D206" s="20">
        <f>'集計_障がい者'!$E$230</f>
        <v>0.025</v>
      </c>
    </row>
    <row r="207" ht="17" customHeight="1">
      <c r="B207" s="5" t="inlineStr">
        <is>
          <t>無回答</t>
        </is>
      </c>
      <c r="C207" s="19">
        <f>'集計_障がい者'!$D$231</f>
        <v>10</v>
      </c>
      <c r="D207" s="20">
        <f>'集計_障がい者'!$E$231</f>
        <v>0.25</v>
      </c>
    </row>
    <row r="208"/>
    <row r="211" ht="21" customHeight="1">
      <c r="B211" s="7" t="inlineStr">
        <is>
          <t>図3-49　相談支援に期待すること【障がい別】（問26）</t>
        </is>
      </c>
    </row>
    <row r="212"/>
    <row r="213" ht="31" customHeight="1">
      <c r="B213" s="3" t="inlineStr">
        <is>
          <t>選択肢</t>
        </is>
      </c>
      <c r="C213" s="3" t="inlineStr">
        <is>
          <t>身体障がい（n=29）</t>
        </is>
      </c>
      <c r="D213" s="3" t="inlineStr">
        <is>
          <t>知的障がい（n=2）</t>
        </is>
      </c>
      <c r="E213" s="3" t="inlineStr">
        <is>
          <t>精神障がい（n=6）</t>
        </is>
      </c>
    </row>
    <row r="214" ht="17" customHeight="1">
      <c r="B214" s="5" t="inlineStr">
        <is>
          <t>わかりやすい情報提供</t>
        </is>
      </c>
      <c r="C214" s="20">
        <f>'集計_障がい別'!$G$230</f>
        <v>0.344827586206897</v>
      </c>
      <c r="D214" s="20">
        <f>'集計_障がい別'!$H$230</f>
        <v>0.5</v>
      </c>
      <c r="E214" s="20">
        <f>'集計_障がい別'!$I$230</f>
        <v>0.5</v>
      </c>
    </row>
    <row r="215" ht="17" customHeight="1">
      <c r="B215" s="5" t="inlineStr">
        <is>
          <t>サービス利用の相談</t>
        </is>
      </c>
      <c r="C215" s="20">
        <f>'集計_障がい別'!$G$224</f>
        <v>0.379310344827586</v>
      </c>
      <c r="D215" s="20">
        <f>'集計_障がい別'!$H$224</f>
        <v>0.5</v>
      </c>
      <c r="E215" s="20">
        <f>'集計_障がい別'!$I$224</f>
        <v>0.333333333333333</v>
      </c>
    </row>
    <row r="216" ht="17" customHeight="1">
      <c r="B216" s="5" t="inlineStr">
        <is>
          <t>将来の暮らしの相談</t>
        </is>
      </c>
      <c r="C216" s="20">
        <f>'集計_障がい別'!$G$225</f>
        <v>0.241379310344828</v>
      </c>
      <c r="D216" s="20">
        <f>'集計_障がい別'!$H$225</f>
        <v>0.5</v>
      </c>
      <c r="E216" s="20">
        <f>'集計_障がい別'!$I$225</f>
        <v>0.666666666666667</v>
      </c>
    </row>
    <row r="217" ht="17" customHeight="1">
      <c r="B217" s="5" t="inlineStr">
        <is>
          <t>緊急時の相談</t>
        </is>
      </c>
      <c r="C217" s="20">
        <f>'集計_障がい別'!$G$229</f>
        <v>0.241379310344828</v>
      </c>
      <c r="D217" s="20">
        <f>'集計_障がい別'!$H$229</f>
        <v>0.5</v>
      </c>
      <c r="E217" s="20">
        <f>'集計_障がい別'!$I$229</f>
        <v>0.333333333333333</v>
      </c>
    </row>
    <row r="218" ht="17" customHeight="1">
      <c r="B218" s="5" t="inlineStr">
        <is>
          <t>医療・通院の相談</t>
        </is>
      </c>
      <c r="C218" s="20">
        <f>'集計_障がい別'!$G$227</f>
        <v>0.172413793103448</v>
      </c>
      <c r="D218" s="20">
        <f>'集計_障がい別'!$H$227</f>
        <v>0.5</v>
      </c>
      <c r="E218" s="20">
        <f>'集計_障がい別'!$I$227</f>
        <v>0.333333333333333</v>
      </c>
    </row>
    <row r="219" ht="17" customHeight="1">
      <c r="B219" s="5" t="inlineStr">
        <is>
          <t>家族の負担軽減</t>
        </is>
      </c>
      <c r="C219" s="20">
        <f>'集計_障がい別'!$G$228</f>
        <v>0.103448275862069</v>
      </c>
      <c r="D219" s="20">
        <f>'集計_障がい別'!$H$228</f>
        <v>0</v>
      </c>
      <c r="E219" s="20">
        <f>'集計_障がい別'!$I$228</f>
        <v>0</v>
      </c>
    </row>
    <row r="220" ht="17" customHeight="1">
      <c r="B220" s="5" t="inlineStr">
        <is>
          <t>就労・日中活動の相談</t>
        </is>
      </c>
      <c r="C220" s="20">
        <f>'集計_障がい別'!$G$226</f>
        <v>0</v>
      </c>
      <c r="D220" s="20">
        <f>'集計_障がい別'!$H$226</f>
        <v>0</v>
      </c>
      <c r="E220" s="20">
        <f>'集計_障がい別'!$I$226</f>
        <v>0.166666666666667</v>
      </c>
    </row>
    <row r="221" ht="17" customHeight="1">
      <c r="B221" s="5" t="inlineStr">
        <is>
          <t>その他</t>
        </is>
      </c>
      <c r="C221" s="20">
        <f>'集計_障がい別'!$G$231</f>
        <v>0.0344827586206897</v>
      </c>
      <c r="D221" s="20">
        <f>'集計_障がい別'!$H$231</f>
        <v>0</v>
      </c>
      <c r="E221" s="20">
        <f>'集計_障がい別'!$I$231</f>
        <v>0</v>
      </c>
    </row>
    <row r="222" ht="17" customHeight="1">
      <c r="B222" s="5" t="inlineStr">
        <is>
          <t>無回答</t>
        </is>
      </c>
      <c r="C222" s="20">
        <f>'集計_障がい別'!$G$232</f>
        <v>0.275862068965517</v>
      </c>
      <c r="D222" s="20">
        <f>'集計_障がい別'!$H$232</f>
        <v>0</v>
      </c>
      <c r="E222" s="20">
        <f>'集計_障がい別'!$I$232</f>
        <v>0</v>
      </c>
    </row>
    <row r="223"/>
    <row r="224"/>
    <row r="225"/>
    <row r="226"/>
    <row r="227"/>
    <row r="228"/>
    <row r="229"/>
    <row r="230"/>
    <row r="231"/>
    <row r="232"/>
    <row r="233"/>
    <row r="234"/>
    <row r="235"/>
    <row r="236"/>
    <row r="237"/>
    <row r="238"/>
    <row r="239"/>
  </sheetData>
  <mergeCells count="2">
    <mergeCell ref="B177:E177"/>
    <mergeCell ref="B107:E107"/>
  </mergeCells>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B2:J252"/>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表3-1　サービス別の利用状況・認知度・今後の利用意向</t>
        </is>
      </c>
    </row>
    <row r="3" ht="30" customHeight="1">
      <c r="B3" s="3" t="inlineStr">
        <is>
          <t>サービス</t>
        </is>
      </c>
      <c r="C3" s="3" t="inlineStr">
        <is>
          <t>現在利用している（問27-1）</t>
        </is>
      </c>
      <c r="D3" s="9" t="n"/>
      <c r="E3" s="3" t="inlineStr">
        <is>
          <t>内容をよく知らない（問27-2）</t>
        </is>
      </c>
      <c r="F3" s="9" t="n"/>
      <c r="G3" s="3" t="inlineStr">
        <is>
          <t>今後3年間で利用したい（問27-3）</t>
        </is>
      </c>
      <c r="H3" s="9" t="n"/>
      <c r="I3" s="3" t="inlineStr">
        <is>
          <t>差（今後－現在）
ポイント</t>
        </is>
      </c>
    </row>
    <row r="4">
      <c r="B4" s="21" t="n"/>
      <c r="C4" s="3" t="inlineStr">
        <is>
          <t>件数</t>
        </is>
      </c>
      <c r="D4" s="3" t="inlineStr">
        <is>
          <t>割合</t>
        </is>
      </c>
      <c r="E4" s="3" t="inlineStr">
        <is>
          <t>件数</t>
        </is>
      </c>
      <c r="F4" s="3" t="inlineStr">
        <is>
          <t>割合</t>
        </is>
      </c>
      <c r="G4" s="3" t="inlineStr">
        <is>
          <t>件数</t>
        </is>
      </c>
      <c r="H4" s="3" t="inlineStr">
        <is>
          <t>割合</t>
        </is>
      </c>
      <c r="I4" s="21" t="n"/>
    </row>
    <row r="5">
      <c r="B5" s="22" t="inlineStr">
        <is>
          <t>回答者数（n）</t>
        </is>
      </c>
      <c r="C5" s="23">
        <f>'集計_障がい者'!$F$232</f>
        <v>40</v>
      </c>
      <c r="D5" s="24" t="inlineStr"/>
      <c r="E5" s="23">
        <f>'集計_障がい者'!$F$252</f>
        <v>40</v>
      </c>
      <c r="F5" s="24" t="inlineStr"/>
      <c r="G5" s="23">
        <f>'集計_障がい者'!$F$272</f>
        <v>40</v>
      </c>
      <c r="H5" s="24" t="inlineStr"/>
      <c r="I5" s="24" t="inlineStr"/>
    </row>
    <row r="6" ht="17" customHeight="1">
      <c r="B6" s="5" t="inlineStr">
        <is>
          <t>居宅介護（ホームヘルプ）</t>
        </is>
      </c>
      <c r="C6" s="19">
        <f>'集計_障がい者'!$D$232</f>
        <v>1</v>
      </c>
      <c r="D6" s="20">
        <f>'集計_障がい者'!$E$232</f>
        <v>0.025</v>
      </c>
      <c r="E6" s="19">
        <f>'集計_障がい者'!$D$252</f>
        <v>6</v>
      </c>
      <c r="F6" s="20">
        <f>'集計_障がい者'!$E$252</f>
        <v>0.15</v>
      </c>
      <c r="G6" s="19">
        <f>'集計_障がい者'!$D$272</f>
        <v>3</v>
      </c>
      <c r="H6" s="20">
        <f>'集計_障がい者'!$E$272</f>
        <v>0.075</v>
      </c>
      <c r="I6" s="25">
        <f>ROUND(H6*100,1)-ROUND(D6*100,1)</f>
        <v>5</v>
      </c>
    </row>
    <row r="7" ht="17" customHeight="1">
      <c r="B7" s="5" t="inlineStr">
        <is>
          <t>重度訪問介護</t>
        </is>
      </c>
      <c r="C7" s="19">
        <f>'集計_障がい者'!$D$233</f>
        <v>0</v>
      </c>
      <c r="D7" s="20">
        <f>'集計_障がい者'!$E$233</f>
        <v>0</v>
      </c>
      <c r="E7" s="19">
        <f>'集計_障がい者'!$D$253</f>
        <v>9</v>
      </c>
      <c r="F7" s="20">
        <f>'集計_障がい者'!$E$253</f>
        <v>0.225</v>
      </c>
      <c r="G7" s="19">
        <f>'集計_障がい者'!$D$273</f>
        <v>0</v>
      </c>
      <c r="H7" s="20">
        <f>'集計_障がい者'!$E$273</f>
        <v>0</v>
      </c>
      <c r="I7" s="25">
        <f>ROUND(H7*100,1)-ROUND(D7*100,1)</f>
        <v>0</v>
      </c>
    </row>
    <row r="8" ht="17" customHeight="1">
      <c r="B8" s="5" t="inlineStr">
        <is>
          <t>同行援護・行動援護</t>
        </is>
      </c>
      <c r="C8" s="19">
        <f>'集計_障がい者'!$D$234</f>
        <v>1</v>
      </c>
      <c r="D8" s="20">
        <f>'集計_障がい者'!$E$234</f>
        <v>0.025</v>
      </c>
      <c r="E8" s="19">
        <f>'集計_障がい者'!$D$254</f>
        <v>9</v>
      </c>
      <c r="F8" s="20">
        <f>'集計_障がい者'!$E$254</f>
        <v>0.225</v>
      </c>
      <c r="G8" s="19">
        <f>'集計_障がい者'!$D$274</f>
        <v>1</v>
      </c>
      <c r="H8" s="20">
        <f>'集計_障がい者'!$E$274</f>
        <v>0.025</v>
      </c>
      <c r="I8" s="25">
        <f>ROUND(H8*100,1)-ROUND(D8*100,1)</f>
        <v>0</v>
      </c>
    </row>
    <row r="9" ht="17" customHeight="1">
      <c r="B9" s="5" t="inlineStr">
        <is>
          <t>生活介護</t>
        </is>
      </c>
      <c r="C9" s="19">
        <f>'集計_障がい者'!$D$235</f>
        <v>4</v>
      </c>
      <c r="D9" s="20">
        <f>'集計_障がい者'!$E$235</f>
        <v>0.1</v>
      </c>
      <c r="E9" s="19">
        <f>'集計_障がい者'!$D$255</f>
        <v>6</v>
      </c>
      <c r="F9" s="20">
        <f>'集計_障がい者'!$E$255</f>
        <v>0.15</v>
      </c>
      <c r="G9" s="19">
        <f>'集計_障がい者'!$D$275</f>
        <v>3</v>
      </c>
      <c r="H9" s="20">
        <f>'集計_障がい者'!$E$275</f>
        <v>0.075</v>
      </c>
      <c r="I9" s="25">
        <f>ROUND(H9*100,1)-ROUND(D9*100,1)</f>
        <v>-2.5</v>
      </c>
    </row>
    <row r="10" ht="17" customHeight="1">
      <c r="B10" s="5" t="inlineStr">
        <is>
          <t>自立訓練</t>
        </is>
      </c>
      <c r="C10" s="19">
        <f>'集計_障がい者'!$D$236</f>
        <v>2</v>
      </c>
      <c r="D10" s="20">
        <f>'集計_障がい者'!$E$236</f>
        <v>0.05</v>
      </c>
      <c r="E10" s="19">
        <f>'集計_障がい者'!$D$256</f>
        <v>8</v>
      </c>
      <c r="F10" s="20">
        <f>'集計_障がい者'!$E$256</f>
        <v>0.2</v>
      </c>
      <c r="G10" s="19">
        <f>'集計_障がい者'!$D$276</f>
        <v>2</v>
      </c>
      <c r="H10" s="20">
        <f>'集計_障がい者'!$E$276</f>
        <v>0.05</v>
      </c>
      <c r="I10" s="25">
        <f>ROUND(H10*100,1)-ROUND(D10*100,1)</f>
        <v>0</v>
      </c>
    </row>
    <row r="11" ht="17" customHeight="1">
      <c r="B11" s="5" t="inlineStr">
        <is>
          <t>就労移行支援</t>
        </is>
      </c>
      <c r="C11" s="19">
        <f>'集計_障がい者'!$D$237</f>
        <v>0</v>
      </c>
      <c r="D11" s="20">
        <f>'集計_障がい者'!$E$237</f>
        <v>0</v>
      </c>
      <c r="E11" s="19">
        <f>'集計_障がい者'!$D$257</f>
        <v>8</v>
      </c>
      <c r="F11" s="20">
        <f>'集計_障がい者'!$E$257</f>
        <v>0.2</v>
      </c>
      <c r="G11" s="19">
        <f>'集計_障がい者'!$D$277</f>
        <v>1</v>
      </c>
      <c r="H11" s="20">
        <f>'集計_障がい者'!$E$277</f>
        <v>0.025</v>
      </c>
      <c r="I11" s="25">
        <f>ROUND(H11*100,1)-ROUND(D11*100,1)</f>
        <v>2.5</v>
      </c>
    </row>
    <row r="12" ht="17" customHeight="1">
      <c r="B12" s="5" t="inlineStr">
        <is>
          <t>就労継続支援A型</t>
        </is>
      </c>
      <c r="C12" s="19">
        <f>'集計_障がい者'!$D$238</f>
        <v>1</v>
      </c>
      <c r="D12" s="20">
        <f>'集計_障がい者'!$E$238</f>
        <v>0.025</v>
      </c>
      <c r="E12" s="19">
        <f>'集計_障がい者'!$D$258</f>
        <v>8</v>
      </c>
      <c r="F12" s="20">
        <f>'集計_障がい者'!$E$258</f>
        <v>0.2</v>
      </c>
      <c r="G12" s="19">
        <f>'集計_障がい者'!$D$278</f>
        <v>0</v>
      </c>
      <c r="H12" s="20">
        <f>'集計_障がい者'!$E$278</f>
        <v>0</v>
      </c>
      <c r="I12" s="25">
        <f>ROUND(H12*100,1)-ROUND(D12*100,1)</f>
        <v>-2.5</v>
      </c>
    </row>
    <row r="13" ht="17" customHeight="1">
      <c r="B13" s="5" t="inlineStr">
        <is>
          <t>就労継続支援B型</t>
        </is>
      </c>
      <c r="C13" s="19">
        <f>'集計_障がい者'!$D$239</f>
        <v>2</v>
      </c>
      <c r="D13" s="20">
        <f>'集計_障がい者'!$E$239</f>
        <v>0.05</v>
      </c>
      <c r="E13" s="19">
        <f>'集計_障がい者'!$D$259</f>
        <v>8</v>
      </c>
      <c r="F13" s="20">
        <f>'集計_障がい者'!$E$259</f>
        <v>0.2</v>
      </c>
      <c r="G13" s="19">
        <f>'集計_障がい者'!$D$279</f>
        <v>1</v>
      </c>
      <c r="H13" s="20">
        <f>'集計_障がい者'!$E$279</f>
        <v>0.025</v>
      </c>
      <c r="I13" s="25">
        <f>ROUND(H13*100,1)-ROUND(D13*100,1)</f>
        <v>-2.5</v>
      </c>
    </row>
    <row r="14" ht="17" customHeight="1">
      <c r="B14" s="5" t="inlineStr">
        <is>
          <t>就労選択支援</t>
        </is>
      </c>
      <c r="C14" s="19">
        <f>'集計_障がい者'!$D$240</f>
        <v>1</v>
      </c>
      <c r="D14" s="20">
        <f>'集計_障がい者'!$E$240</f>
        <v>0.025</v>
      </c>
      <c r="E14" s="19">
        <f>'集計_障がい者'!$D$260</f>
        <v>9</v>
      </c>
      <c r="F14" s="20">
        <f>'集計_障がい者'!$E$260</f>
        <v>0.225</v>
      </c>
      <c r="G14" s="19">
        <f>'集計_障がい者'!$D$280</f>
        <v>0</v>
      </c>
      <c r="H14" s="20">
        <f>'集計_障がい者'!$E$280</f>
        <v>0</v>
      </c>
      <c r="I14" s="25">
        <f>ROUND(H14*100,1)-ROUND(D14*100,1)</f>
        <v>-2.5</v>
      </c>
    </row>
    <row r="15" ht="17" customHeight="1">
      <c r="B15" s="5" t="inlineStr">
        <is>
          <t>就労定着支援</t>
        </is>
      </c>
      <c r="C15" s="19">
        <f>'集計_障がい者'!$D$241</f>
        <v>0</v>
      </c>
      <c r="D15" s="20">
        <f>'集計_障がい者'!$E$241</f>
        <v>0</v>
      </c>
      <c r="E15" s="19">
        <f>'集計_障がい者'!$D$261</f>
        <v>8</v>
      </c>
      <c r="F15" s="20">
        <f>'集計_障がい者'!$E$261</f>
        <v>0.2</v>
      </c>
      <c r="G15" s="19">
        <f>'集計_障がい者'!$D$281</f>
        <v>0</v>
      </c>
      <c r="H15" s="20">
        <f>'集計_障がい者'!$E$281</f>
        <v>0</v>
      </c>
      <c r="I15" s="25">
        <f>ROUND(H15*100,1)-ROUND(D15*100,1)</f>
        <v>0</v>
      </c>
    </row>
    <row r="16" ht="17" customHeight="1">
      <c r="B16" s="5" t="inlineStr">
        <is>
          <t>短期入所（ショートステイ）</t>
        </is>
      </c>
      <c r="C16" s="19">
        <f>'集計_障がい者'!$D$242</f>
        <v>2</v>
      </c>
      <c r="D16" s="20">
        <f>'集計_障がい者'!$E$242</f>
        <v>0.05</v>
      </c>
      <c r="E16" s="19">
        <f>'集計_障がい者'!$D$262</f>
        <v>4</v>
      </c>
      <c r="F16" s="20">
        <f>'集計_障がい者'!$E$262</f>
        <v>0.1</v>
      </c>
      <c r="G16" s="19">
        <f>'集計_障がい者'!$D$282</f>
        <v>4</v>
      </c>
      <c r="H16" s="20">
        <f>'集計_障がい者'!$E$282</f>
        <v>0.1</v>
      </c>
      <c r="I16" s="25">
        <f>ROUND(H16*100,1)-ROUND(D16*100,1)</f>
        <v>5</v>
      </c>
    </row>
    <row r="17" ht="17" customHeight="1">
      <c r="B17" s="5" t="inlineStr">
        <is>
          <t>グループホーム</t>
        </is>
      </c>
      <c r="C17" s="19">
        <f>'集計_障がい者'!$D$243</f>
        <v>3</v>
      </c>
      <c r="D17" s="20">
        <f>'集計_障がい者'!$E$243</f>
        <v>0.075</v>
      </c>
      <c r="E17" s="19">
        <f>'集計_障がい者'!$D$263</f>
        <v>5</v>
      </c>
      <c r="F17" s="20">
        <f>'集計_障がい者'!$E$263</f>
        <v>0.125</v>
      </c>
      <c r="G17" s="19">
        <f>'集計_障がい者'!$D$283</f>
        <v>5</v>
      </c>
      <c r="H17" s="20">
        <f>'集計_障がい者'!$E$283</f>
        <v>0.125</v>
      </c>
      <c r="I17" s="25">
        <f>ROUND(H17*100,1)-ROUND(D17*100,1)</f>
        <v>5</v>
      </c>
    </row>
    <row r="18" ht="17" customHeight="1">
      <c r="B18" s="5" t="inlineStr">
        <is>
          <t>施設入所支援</t>
        </is>
      </c>
      <c r="C18" s="19">
        <f>'集計_障がい者'!$D$244</f>
        <v>5</v>
      </c>
      <c r="D18" s="20">
        <f>'集計_障がい者'!$E$244</f>
        <v>0.125</v>
      </c>
      <c r="E18" s="19">
        <f>'集計_障がい者'!$D$264</f>
        <v>6</v>
      </c>
      <c r="F18" s="20">
        <f>'集計_障がい者'!$E$264</f>
        <v>0.15</v>
      </c>
      <c r="G18" s="19">
        <f>'集計_障がい者'!$D$284</f>
        <v>9</v>
      </c>
      <c r="H18" s="20">
        <f>'集計_障がい者'!$E$284</f>
        <v>0.225</v>
      </c>
      <c r="I18" s="25">
        <f>ROUND(H18*100,1)-ROUND(D18*100,1)</f>
        <v>10</v>
      </c>
    </row>
    <row r="19" ht="17" customHeight="1">
      <c r="B19" s="5" t="inlineStr">
        <is>
          <t>計画相談支援</t>
        </is>
      </c>
      <c r="C19" s="19">
        <f>'集計_障がい者'!$D$245</f>
        <v>2</v>
      </c>
      <c r="D19" s="20">
        <f>'集計_障がい者'!$E$245</f>
        <v>0.05</v>
      </c>
      <c r="E19" s="19">
        <f>'集計_障がい者'!$D$265</f>
        <v>7</v>
      </c>
      <c r="F19" s="20">
        <f>'集計_障がい者'!$E$265</f>
        <v>0.175</v>
      </c>
      <c r="G19" s="19">
        <f>'集計_障がい者'!$D$285</f>
        <v>4</v>
      </c>
      <c r="H19" s="20">
        <f>'集計_障がい者'!$E$285</f>
        <v>0.1</v>
      </c>
      <c r="I19" s="25">
        <f>ROUND(H19*100,1)-ROUND(D19*100,1)</f>
        <v>5</v>
      </c>
    </row>
    <row r="20" ht="17" customHeight="1">
      <c r="B20" s="5" t="inlineStr">
        <is>
          <t>移動支援</t>
        </is>
      </c>
      <c r="C20" s="19">
        <f>'集計_障がい者'!$D$246</f>
        <v>1</v>
      </c>
      <c r="D20" s="20">
        <f>'集計_障がい者'!$E$246</f>
        <v>0.025</v>
      </c>
      <c r="E20" s="19">
        <f>'集計_障がい者'!$D$266</f>
        <v>9</v>
      </c>
      <c r="F20" s="20">
        <f>'集計_障がい者'!$E$266</f>
        <v>0.225</v>
      </c>
      <c r="G20" s="19">
        <f>'集計_障がい者'!$D$286</f>
        <v>2</v>
      </c>
      <c r="H20" s="20">
        <f>'集計_障がい者'!$E$286</f>
        <v>0.05</v>
      </c>
      <c r="I20" s="25">
        <f>ROUND(H20*100,1)-ROUND(D20*100,1)</f>
        <v>2.5</v>
      </c>
    </row>
    <row r="21" ht="17" customHeight="1">
      <c r="B21" s="5" t="inlineStr">
        <is>
          <t>日中一時支援</t>
        </is>
      </c>
      <c r="C21" s="19">
        <f>'集計_障がい者'!$D$247</f>
        <v>1</v>
      </c>
      <c r="D21" s="20">
        <f>'集計_障がい者'!$E$247</f>
        <v>0.025</v>
      </c>
      <c r="E21" s="19">
        <f>'集計_障がい者'!$D$267</f>
        <v>8</v>
      </c>
      <c r="F21" s="20">
        <f>'集計_障がい者'!$E$267</f>
        <v>0.2</v>
      </c>
      <c r="G21" s="19">
        <f>'集計_障がい者'!$D$287</f>
        <v>1</v>
      </c>
      <c r="H21" s="20">
        <f>'集計_障がい者'!$E$287</f>
        <v>0.025</v>
      </c>
      <c r="I21" s="25">
        <f>ROUND(H21*100,1)-ROUND(D21*100,1)</f>
        <v>0</v>
      </c>
    </row>
    <row r="22" ht="17" customHeight="1">
      <c r="B22" s="5" t="inlineStr">
        <is>
          <t>日常生活用具</t>
        </is>
      </c>
      <c r="C22" s="19">
        <f>'集計_障がい者'!$D$248</f>
        <v>1</v>
      </c>
      <c r="D22" s="20">
        <f>'集計_障がい者'!$E$248</f>
        <v>0.025</v>
      </c>
      <c r="E22" s="19">
        <f>'集計_障がい者'!$D$268</f>
        <v>6</v>
      </c>
      <c r="F22" s="20">
        <f>'集計_障がい者'!$E$268</f>
        <v>0.15</v>
      </c>
      <c r="G22" s="19">
        <f>'集計_障がい者'!$D$288</f>
        <v>2</v>
      </c>
      <c r="H22" s="20">
        <f>'集計_障がい者'!$E$288</f>
        <v>0.05</v>
      </c>
      <c r="I22" s="25">
        <f>ROUND(H22*100,1)-ROUND(D22*100,1)</f>
        <v>2.5</v>
      </c>
    </row>
    <row r="23" ht="17" customHeight="1">
      <c r="B23" s="5" t="inlineStr">
        <is>
          <t>訪問入浴</t>
        </is>
      </c>
      <c r="C23" s="19">
        <f>'集計_障がい者'!$D$249</f>
        <v>0</v>
      </c>
      <c r="D23" s="20">
        <f>'集計_障がい者'!$E$249</f>
        <v>0</v>
      </c>
      <c r="E23" s="19">
        <f>'集計_障がい者'!$D$269</f>
        <v>5</v>
      </c>
      <c r="F23" s="20">
        <f>'集計_障がい者'!$E$269</f>
        <v>0.125</v>
      </c>
      <c r="G23" s="19">
        <f>'集計_障がい者'!$D$289</f>
        <v>0</v>
      </c>
      <c r="H23" s="20">
        <f>'集計_障がい者'!$E$289</f>
        <v>0</v>
      </c>
      <c r="I23" s="25">
        <f>ROUND(H23*100,1)-ROUND(D23*100,1)</f>
        <v>0</v>
      </c>
    </row>
    <row r="24" ht="17" customHeight="1">
      <c r="B24" s="5" t="inlineStr">
        <is>
          <t>特にない（各設問）</t>
        </is>
      </c>
      <c r="C24" s="19">
        <f>'集計_障がい者'!$D$250</f>
        <v>18</v>
      </c>
      <c r="D24" s="20">
        <f>'集計_障がい者'!$E$250</f>
        <v>0.45</v>
      </c>
      <c r="E24" s="19">
        <f>'集計_障がい者'!$D$270</f>
        <v>7</v>
      </c>
      <c r="F24" s="20">
        <f>'集計_障がい者'!$E$270</f>
        <v>0.175</v>
      </c>
      <c r="G24" s="19">
        <f>'集計_障がい者'!$D$290</f>
        <v>12</v>
      </c>
      <c r="H24" s="20">
        <f>'集計_障がい者'!$E$290</f>
        <v>0.3</v>
      </c>
      <c r="I24" s="4" t="inlineStr"/>
    </row>
    <row r="25" ht="17" customHeight="1">
      <c r="B25" s="5" t="inlineStr">
        <is>
          <t>無回答（各設問）</t>
        </is>
      </c>
      <c r="C25" s="19">
        <f>'集計_障がい者'!$D$251</f>
        <v>9</v>
      </c>
      <c r="D25" s="20">
        <f>'集計_障がい者'!$E$251</f>
        <v>0.225</v>
      </c>
      <c r="E25" s="19">
        <f>'集計_障がい者'!$D$271</f>
        <v>16</v>
      </c>
      <c r="F25" s="20">
        <f>'集計_障がい者'!$E$271</f>
        <v>0.4</v>
      </c>
      <c r="G25" s="19">
        <f>'集計_障がい者'!$D$291</f>
        <v>10</v>
      </c>
      <c r="H25" s="20">
        <f>'集計_障がい者'!$E$291</f>
        <v>0.25</v>
      </c>
      <c r="I25" s="4" t="inlineStr"/>
    </row>
    <row r="26" ht="27" customHeight="1">
      <c r="B26" s="17" t="inlineStr">
        <is>
          <t>※割合はいずれも複数回答。「差」は今後の利用意向（問27-3）と現在の利用（問27-1）の割合の差（ポイント）で、5ポイント以上の増加を太字で示しています。（ ）内は件数です。 差は割合を小数点第1位に四捨五入したうえでの差です。</t>
        </is>
      </c>
    </row>
    <row r="28" ht="21" customHeight="1">
      <c r="B28" s="7" t="inlineStr">
        <is>
          <t>図3-50　現在利用しているサービスと今後3年間で利用したいサービス（問27-1・問27-3）</t>
        </is>
      </c>
    </row>
    <row r="29"/>
    <row r="30" ht="57" customHeight="1">
      <c r="B30" s="3" t="inlineStr">
        <is>
          <t>サービス</t>
        </is>
      </c>
      <c r="C30" s="3" t="inlineStr">
        <is>
          <t>現在利用している（問27-1）</t>
        </is>
      </c>
      <c r="D30" s="3" t="inlineStr">
        <is>
          <t>今後3年間で利用したい（問27-3）</t>
        </is>
      </c>
    </row>
    <row r="31" ht="17" customHeight="1">
      <c r="B31" s="5" t="inlineStr">
        <is>
          <t>居宅介護（ホームヘルプ）</t>
        </is>
      </c>
      <c r="C31" s="20">
        <f>'集計_障がい者'!$E$232</f>
        <v>0.025</v>
      </c>
      <c r="D31" s="20">
        <f>'集計_障がい者'!$E$272</f>
        <v>0.075</v>
      </c>
    </row>
    <row r="32" ht="17" customHeight="1">
      <c r="B32" s="5" t="inlineStr">
        <is>
          <t>同行援護・行動援護</t>
        </is>
      </c>
      <c r="C32" s="20">
        <f>'集計_障がい者'!$E$234</f>
        <v>0.025</v>
      </c>
      <c r="D32" s="20">
        <f>'集計_障がい者'!$E$274</f>
        <v>0.025</v>
      </c>
    </row>
    <row r="33" ht="17" customHeight="1">
      <c r="B33" s="5" t="inlineStr">
        <is>
          <t>生活介護</t>
        </is>
      </c>
      <c r="C33" s="20">
        <f>'集計_障がい者'!$E$235</f>
        <v>0.1</v>
      </c>
      <c r="D33" s="20">
        <f>'集計_障がい者'!$E$275</f>
        <v>0.075</v>
      </c>
    </row>
    <row r="34" ht="17" customHeight="1">
      <c r="B34" s="5" t="inlineStr">
        <is>
          <t>自立訓練</t>
        </is>
      </c>
      <c r="C34" s="20">
        <f>'集計_障がい者'!$E$236</f>
        <v>0.05</v>
      </c>
      <c r="D34" s="20">
        <f>'集計_障がい者'!$E$276</f>
        <v>0.05</v>
      </c>
    </row>
    <row r="35" ht="17" customHeight="1">
      <c r="B35" s="5" t="inlineStr">
        <is>
          <t>就労移行支援</t>
        </is>
      </c>
      <c r="C35" s="20">
        <f>'集計_障がい者'!$E$237</f>
        <v>0</v>
      </c>
      <c r="D35" s="20">
        <f>'集計_障がい者'!$E$277</f>
        <v>0.025</v>
      </c>
    </row>
    <row r="36" ht="17" customHeight="1">
      <c r="B36" s="5" t="inlineStr">
        <is>
          <t>就労継続支援A型</t>
        </is>
      </c>
      <c r="C36" s="20">
        <f>'集計_障がい者'!$E$238</f>
        <v>0.025</v>
      </c>
      <c r="D36" s="20">
        <f>'集計_障がい者'!$E$278</f>
        <v>0</v>
      </c>
    </row>
    <row r="37" ht="17" customHeight="1">
      <c r="B37" s="5" t="inlineStr">
        <is>
          <t>就労継続支援B型</t>
        </is>
      </c>
      <c r="C37" s="20">
        <f>'集計_障がい者'!$E$239</f>
        <v>0.05</v>
      </c>
      <c r="D37" s="20">
        <f>'集計_障がい者'!$E$279</f>
        <v>0.025</v>
      </c>
    </row>
    <row r="38" ht="17" customHeight="1">
      <c r="B38" s="5" t="inlineStr">
        <is>
          <t>就労選択支援</t>
        </is>
      </c>
      <c r="C38" s="20">
        <f>'集計_障がい者'!$E$240</f>
        <v>0.025</v>
      </c>
      <c r="D38" s="20">
        <f>'集計_障がい者'!$E$280</f>
        <v>0</v>
      </c>
    </row>
    <row r="39" ht="17" customHeight="1">
      <c r="B39" s="5" t="inlineStr">
        <is>
          <t>短期入所（ショートステイ）</t>
        </is>
      </c>
      <c r="C39" s="20">
        <f>'集計_障がい者'!$E$242</f>
        <v>0.05</v>
      </c>
      <c r="D39" s="20">
        <f>'集計_障がい者'!$E$282</f>
        <v>0.1</v>
      </c>
    </row>
    <row r="40" ht="17" customHeight="1">
      <c r="B40" s="5" t="inlineStr">
        <is>
          <t>グループホーム</t>
        </is>
      </c>
      <c r="C40" s="20">
        <f>'集計_障がい者'!$E$243</f>
        <v>0.075</v>
      </c>
      <c r="D40" s="20">
        <f>'集計_障がい者'!$E$283</f>
        <v>0.125</v>
      </c>
    </row>
    <row r="41" ht="17" customHeight="1">
      <c r="B41" s="5" t="inlineStr">
        <is>
          <t>施設入所支援</t>
        </is>
      </c>
      <c r="C41" s="20">
        <f>'集計_障がい者'!$E$244</f>
        <v>0.125</v>
      </c>
      <c r="D41" s="20">
        <f>'集計_障がい者'!$E$284</f>
        <v>0.225</v>
      </c>
    </row>
    <row r="42" ht="17" customHeight="1">
      <c r="B42" s="5" t="inlineStr">
        <is>
          <t>計画相談支援</t>
        </is>
      </c>
      <c r="C42" s="20">
        <f>'集計_障がい者'!$E$245</f>
        <v>0.05</v>
      </c>
      <c r="D42" s="20">
        <f>'集計_障がい者'!$E$285</f>
        <v>0.1</v>
      </c>
    </row>
    <row r="43" ht="17" customHeight="1">
      <c r="B43" s="5" t="inlineStr">
        <is>
          <t>移動支援</t>
        </is>
      </c>
      <c r="C43" s="20">
        <f>'集計_障がい者'!$E$246</f>
        <v>0.025</v>
      </c>
      <c r="D43" s="20">
        <f>'集計_障がい者'!$E$286</f>
        <v>0.05</v>
      </c>
    </row>
    <row r="44" ht="17" customHeight="1">
      <c r="B44" s="5" t="inlineStr">
        <is>
          <t>日中一時支援</t>
        </is>
      </c>
      <c r="C44" s="20">
        <f>'集計_障がい者'!$E$247</f>
        <v>0.025</v>
      </c>
      <c r="D44" s="20">
        <f>'集計_障がい者'!$E$287</f>
        <v>0.025</v>
      </c>
    </row>
    <row r="45" ht="17" customHeight="1">
      <c r="B45" s="5" t="inlineStr">
        <is>
          <t>日常生活用具</t>
        </is>
      </c>
      <c r="C45" s="20">
        <f>'集計_障がい者'!$E$248</f>
        <v>0.025</v>
      </c>
      <c r="D45" s="20">
        <f>'集計_障がい者'!$E$288</f>
        <v>0.05</v>
      </c>
    </row>
    <row r="46" ht="27" customHeight="1">
      <c r="B46" s="17" t="inlineStr">
        <is>
          <t>※いずれの設問でも回答がなかった「重度訪問介護」「就労定着支援」「訪問入浴」は省略しています。</t>
        </is>
      </c>
    </row>
    <row r="47"/>
    <row r="48"/>
    <row r="49"/>
    <row r="50"/>
    <row r="51"/>
    <row r="52"/>
    <row r="53"/>
    <row r="54"/>
    <row r="55"/>
    <row r="56"/>
    <row r="57"/>
    <row r="58"/>
    <row r="61" ht="21" customHeight="1">
      <c r="B61" s="7" t="inlineStr">
        <is>
          <t>図3-51　内容をよく知らないサービス（問27-2）</t>
        </is>
      </c>
    </row>
    <row r="62">
      <c r="B62" s="18" t="str">
        <f>"n="&amp;'集計_障がい者'!$F$253&amp;"（複数回答）"</f>
        <v>n=40（複数回答）</v>
      </c>
    </row>
    <row r="63" ht="18" customHeight="1">
      <c r="B63" s="3" t="inlineStr">
        <is>
          <t>選択肢</t>
        </is>
      </c>
      <c r="C63" s="3" t="inlineStr">
        <is>
          <t>件数</t>
        </is>
      </c>
      <c r="D63" s="3" t="inlineStr">
        <is>
          <t>割合</t>
        </is>
      </c>
    </row>
    <row r="64" ht="17" customHeight="1">
      <c r="B64" s="5" t="inlineStr">
        <is>
          <t>重度訪問介護</t>
        </is>
      </c>
      <c r="C64" s="19">
        <f>'集計_障がい者'!$D$253</f>
        <v>9</v>
      </c>
      <c r="D64" s="20">
        <f>'集計_障がい者'!$E$253</f>
        <v>0.225</v>
      </c>
    </row>
    <row r="65" ht="17" customHeight="1">
      <c r="B65" s="5" t="inlineStr">
        <is>
          <t>同行援護・行動援護</t>
        </is>
      </c>
      <c r="C65" s="19">
        <f>'集計_障がい者'!$D$254</f>
        <v>9</v>
      </c>
      <c r="D65" s="20">
        <f>'集計_障がい者'!$E$254</f>
        <v>0.225</v>
      </c>
    </row>
    <row r="66" ht="17" customHeight="1">
      <c r="B66" s="5" t="inlineStr">
        <is>
          <t>就労選択支援</t>
        </is>
      </c>
      <c r="C66" s="19">
        <f>'集計_障がい者'!$D$260</f>
        <v>9</v>
      </c>
      <c r="D66" s="20">
        <f>'集計_障がい者'!$E$260</f>
        <v>0.225</v>
      </c>
    </row>
    <row r="67" ht="17" customHeight="1">
      <c r="B67" s="5" t="inlineStr">
        <is>
          <t>移動支援</t>
        </is>
      </c>
      <c r="C67" s="19">
        <f>'集計_障がい者'!$D$266</f>
        <v>9</v>
      </c>
      <c r="D67" s="20">
        <f>'集計_障がい者'!$E$266</f>
        <v>0.225</v>
      </c>
    </row>
    <row r="68" ht="17" customHeight="1">
      <c r="B68" s="5" t="inlineStr">
        <is>
          <t>自立訓練</t>
        </is>
      </c>
      <c r="C68" s="19">
        <f>'集計_障がい者'!$D$256</f>
        <v>8</v>
      </c>
      <c r="D68" s="20">
        <f>'集計_障がい者'!$E$256</f>
        <v>0.2</v>
      </c>
    </row>
    <row r="69" ht="17" customHeight="1">
      <c r="B69" s="5" t="inlineStr">
        <is>
          <t>就労移行支援</t>
        </is>
      </c>
      <c r="C69" s="19">
        <f>'集計_障がい者'!$D$257</f>
        <v>8</v>
      </c>
      <c r="D69" s="20">
        <f>'集計_障がい者'!$E$257</f>
        <v>0.2</v>
      </c>
    </row>
    <row r="70" ht="17" customHeight="1">
      <c r="B70" s="5" t="inlineStr">
        <is>
          <t>就労継続支援A型</t>
        </is>
      </c>
      <c r="C70" s="19">
        <f>'集計_障がい者'!$D$258</f>
        <v>8</v>
      </c>
      <c r="D70" s="20">
        <f>'集計_障がい者'!$E$258</f>
        <v>0.2</v>
      </c>
    </row>
    <row r="71" ht="17" customHeight="1">
      <c r="B71" s="5" t="inlineStr">
        <is>
          <t>就労継続支援B型</t>
        </is>
      </c>
      <c r="C71" s="19">
        <f>'集計_障がい者'!$D$259</f>
        <v>8</v>
      </c>
      <c r="D71" s="20">
        <f>'集計_障がい者'!$E$259</f>
        <v>0.2</v>
      </c>
    </row>
    <row r="72" ht="17" customHeight="1">
      <c r="B72" s="5" t="inlineStr">
        <is>
          <t>就労定着支援</t>
        </is>
      </c>
      <c r="C72" s="19">
        <f>'集計_障がい者'!$D$261</f>
        <v>8</v>
      </c>
      <c r="D72" s="20">
        <f>'集計_障がい者'!$E$261</f>
        <v>0.2</v>
      </c>
    </row>
    <row r="73" ht="17" customHeight="1">
      <c r="B73" s="5" t="inlineStr">
        <is>
          <t>日中一時支援</t>
        </is>
      </c>
      <c r="C73" s="19">
        <f>'集計_障がい者'!$D$267</f>
        <v>8</v>
      </c>
      <c r="D73" s="20">
        <f>'集計_障がい者'!$E$267</f>
        <v>0.2</v>
      </c>
    </row>
    <row r="74" ht="17" customHeight="1">
      <c r="B74" s="5" t="inlineStr">
        <is>
          <t>計画相談支援</t>
        </is>
      </c>
      <c r="C74" s="19">
        <f>'集計_障がい者'!$D$265</f>
        <v>7</v>
      </c>
      <c r="D74" s="20">
        <f>'集計_障がい者'!$E$265</f>
        <v>0.175</v>
      </c>
    </row>
    <row r="75" ht="17" customHeight="1">
      <c r="B75" s="5" t="inlineStr">
        <is>
          <t>居宅介護（ホームヘルプ）</t>
        </is>
      </c>
      <c r="C75" s="19">
        <f>'集計_障がい者'!$D$252</f>
        <v>6</v>
      </c>
      <c r="D75" s="20">
        <f>'集計_障がい者'!$E$252</f>
        <v>0.15</v>
      </c>
    </row>
    <row r="76" ht="17" customHeight="1">
      <c r="B76" s="5" t="inlineStr">
        <is>
          <t>生活介護</t>
        </is>
      </c>
      <c r="C76" s="19">
        <f>'集計_障がい者'!$D$255</f>
        <v>6</v>
      </c>
      <c r="D76" s="20">
        <f>'集計_障がい者'!$E$255</f>
        <v>0.15</v>
      </c>
    </row>
    <row r="77" ht="17" customHeight="1">
      <c r="B77" s="5" t="inlineStr">
        <is>
          <t>施設入所支援</t>
        </is>
      </c>
      <c r="C77" s="19">
        <f>'集計_障がい者'!$D$264</f>
        <v>6</v>
      </c>
      <c r="D77" s="20">
        <f>'集計_障がい者'!$E$264</f>
        <v>0.15</v>
      </c>
    </row>
    <row r="78" ht="17" customHeight="1">
      <c r="B78" s="5" t="inlineStr">
        <is>
          <t>日常生活用具</t>
        </is>
      </c>
      <c r="C78" s="19">
        <f>'集計_障がい者'!$D$268</f>
        <v>6</v>
      </c>
      <c r="D78" s="20">
        <f>'集計_障がい者'!$E$268</f>
        <v>0.15</v>
      </c>
    </row>
    <row r="79" ht="17" customHeight="1">
      <c r="B79" s="5" t="inlineStr">
        <is>
          <t>グループホーム</t>
        </is>
      </c>
      <c r="C79" s="19">
        <f>'集計_障がい者'!$D$263</f>
        <v>5</v>
      </c>
      <c r="D79" s="20">
        <f>'集計_障がい者'!$E$263</f>
        <v>0.125</v>
      </c>
    </row>
    <row r="80" ht="17" customHeight="1">
      <c r="B80" s="5" t="inlineStr">
        <is>
          <t>訪問入浴</t>
        </is>
      </c>
      <c r="C80" s="19">
        <f>'集計_障がい者'!$D$269</f>
        <v>5</v>
      </c>
      <c r="D80" s="20">
        <f>'集計_障がい者'!$E$269</f>
        <v>0.125</v>
      </c>
    </row>
    <row r="81" ht="17" customHeight="1">
      <c r="B81" s="5" t="inlineStr">
        <is>
          <t>短期入所（ショートステイ）</t>
        </is>
      </c>
      <c r="C81" s="19">
        <f>'集計_障がい者'!$D$262</f>
        <v>4</v>
      </c>
      <c r="D81" s="20">
        <f>'集計_障がい者'!$E$262</f>
        <v>0.1</v>
      </c>
    </row>
    <row r="82" ht="17" customHeight="1">
      <c r="B82" s="5" t="inlineStr">
        <is>
          <t>知らないサービスは特にない</t>
        </is>
      </c>
      <c r="C82" s="19">
        <f>'集計_障がい者'!$D$270</f>
        <v>7</v>
      </c>
      <c r="D82" s="20">
        <f>'集計_障がい者'!$E$270</f>
        <v>0.175</v>
      </c>
    </row>
    <row r="83" ht="17" customHeight="1">
      <c r="B83" s="5" t="inlineStr">
        <is>
          <t>無回答</t>
        </is>
      </c>
      <c r="C83" s="19">
        <f>'集計_障がい者'!$D$271</f>
        <v>16</v>
      </c>
      <c r="D83" s="20">
        <f>'集計_障がい者'!$E$271</f>
        <v>0.4</v>
      </c>
    </row>
    <row r="84"/>
    <row r="87" ht="21" customHeight="1">
      <c r="B87" s="7" t="inlineStr">
        <is>
          <t>表3-2　サービス別の現在の利用状況と今後３年間の利用意向【障がい別】（問27-1・問27-3）</t>
        </is>
      </c>
    </row>
    <row r="88" ht="44" customHeight="1">
      <c r="B88" s="3" t="inlineStr">
        <is>
          <t>サービス</t>
        </is>
      </c>
      <c r="C88" s="3" t="inlineStr">
        <is>
          <t>現在利用
身体障がい
（n=29）</t>
        </is>
      </c>
      <c r="D88" s="3" t="inlineStr">
        <is>
          <t>現在利用
知的障がい
（n=2）</t>
        </is>
      </c>
      <c r="E88" s="3" t="inlineStr">
        <is>
          <t>現在利用
精神障がい
（n=6）</t>
        </is>
      </c>
      <c r="F88" s="3" t="inlineStr">
        <is>
          <t>今後利用
身体障がい
（n=29）</t>
        </is>
      </c>
      <c r="G88" s="3" t="inlineStr">
        <is>
          <t>今後利用
知的障がい
（n=2）</t>
        </is>
      </c>
      <c r="H88" s="3" t="inlineStr">
        <is>
          <t>今後利用
精神障がい
（n=6）</t>
        </is>
      </c>
    </row>
    <row r="89" ht="17" customHeight="1">
      <c r="B89" s="5" t="inlineStr">
        <is>
          <t>居宅介護（ホームヘルプ）</t>
        </is>
      </c>
      <c r="C89" s="26">
        <f>'集計_障がい別'!$G$233</f>
        <v>0.0344827586206897</v>
      </c>
      <c r="D89" s="26">
        <f>'集計_障がい別'!$H$233</f>
        <v>0</v>
      </c>
      <c r="E89" s="26">
        <f>'集計_障がい別'!$I$233</f>
        <v>0</v>
      </c>
      <c r="F89" s="26">
        <f>'集計_障がい別'!$G$273</f>
        <v>0.103448275862069</v>
      </c>
      <c r="G89" s="26">
        <f>'集計_障がい別'!$H$273</f>
        <v>0</v>
      </c>
      <c r="H89" s="26">
        <f>'集計_障がい別'!$I$273</f>
        <v>0</v>
      </c>
    </row>
    <row r="90" ht="17" customHeight="1">
      <c r="B90" s="5" t="inlineStr">
        <is>
          <t>重度訪問介護</t>
        </is>
      </c>
      <c r="C90" s="26">
        <f>'集計_障がい別'!$G$234</f>
        <v>0</v>
      </c>
      <c r="D90" s="26">
        <f>'集計_障がい別'!$H$234</f>
        <v>0</v>
      </c>
      <c r="E90" s="26">
        <f>'集計_障がい別'!$I$234</f>
        <v>0</v>
      </c>
      <c r="F90" s="26">
        <f>'集計_障がい別'!$G$274</f>
        <v>0</v>
      </c>
      <c r="G90" s="26">
        <f>'集計_障がい別'!$H$274</f>
        <v>0</v>
      </c>
      <c r="H90" s="26">
        <f>'集計_障がい別'!$I$274</f>
        <v>0</v>
      </c>
    </row>
    <row r="91" ht="17" customHeight="1">
      <c r="B91" s="5" t="inlineStr">
        <is>
          <t>同行援護・行動援護</t>
        </is>
      </c>
      <c r="C91" s="26">
        <f>'集計_障がい別'!$G$235</f>
        <v>0.0344827586206897</v>
      </c>
      <c r="D91" s="26">
        <f>'集計_障がい別'!$H$235</f>
        <v>0</v>
      </c>
      <c r="E91" s="26">
        <f>'集計_障がい別'!$I$235</f>
        <v>0</v>
      </c>
      <c r="F91" s="26">
        <f>'集計_障がい別'!$G$275</f>
        <v>0.0344827586206897</v>
      </c>
      <c r="G91" s="26">
        <f>'集計_障がい別'!$H$275</f>
        <v>0</v>
      </c>
      <c r="H91" s="26">
        <f>'集計_障がい別'!$I$275</f>
        <v>0</v>
      </c>
    </row>
    <row r="92" ht="17" customHeight="1">
      <c r="B92" s="5" t="inlineStr">
        <is>
          <t>生活介護</t>
        </is>
      </c>
      <c r="C92" s="26">
        <f>'集計_障がい別'!$G$236</f>
        <v>0.0689655172413793</v>
      </c>
      <c r="D92" s="26">
        <f>'集計_障がい別'!$H$236</f>
        <v>1</v>
      </c>
      <c r="E92" s="26">
        <f>'集計_障がい別'!$I$236</f>
        <v>0.166666666666667</v>
      </c>
      <c r="F92" s="26">
        <f>'集計_障がい別'!$G$276</f>
        <v>0.0344827586206897</v>
      </c>
      <c r="G92" s="26">
        <f>'集計_障がい別'!$H$276</f>
        <v>1</v>
      </c>
      <c r="H92" s="26">
        <f>'集計_障がい別'!$I$276</f>
        <v>0.166666666666667</v>
      </c>
    </row>
    <row r="93" ht="17" customHeight="1">
      <c r="B93" s="5" t="inlineStr">
        <is>
          <t>自立訓練</t>
        </is>
      </c>
      <c r="C93" s="26">
        <f>'集計_障がい別'!$G$237</f>
        <v>0.0344827586206897</v>
      </c>
      <c r="D93" s="26">
        <f>'集計_障がい別'!$H$237</f>
        <v>0</v>
      </c>
      <c r="E93" s="26">
        <f>'集計_障がい別'!$I$237</f>
        <v>0.166666666666667</v>
      </c>
      <c r="F93" s="26">
        <f>'集計_障がい別'!$G$277</f>
        <v>0.0344827586206897</v>
      </c>
      <c r="G93" s="26">
        <f>'集計_障がい別'!$H$277</f>
        <v>0</v>
      </c>
      <c r="H93" s="26">
        <f>'集計_障がい別'!$I$277</f>
        <v>0</v>
      </c>
    </row>
    <row r="94" ht="17" customHeight="1">
      <c r="B94" s="5" t="inlineStr">
        <is>
          <t>就労移行支援</t>
        </is>
      </c>
      <c r="C94" s="26">
        <f>'集計_障がい別'!$G$238</f>
        <v>0</v>
      </c>
      <c r="D94" s="26">
        <f>'集計_障がい別'!$H$238</f>
        <v>0</v>
      </c>
      <c r="E94" s="26">
        <f>'集計_障がい別'!$I$238</f>
        <v>0</v>
      </c>
      <c r="F94" s="26">
        <f>'集計_障がい別'!$G$278</f>
        <v>0</v>
      </c>
      <c r="G94" s="26">
        <f>'集計_障がい別'!$H$278</f>
        <v>0</v>
      </c>
      <c r="H94" s="26">
        <f>'集計_障がい別'!$I$278</f>
        <v>0.166666666666667</v>
      </c>
    </row>
    <row r="95" ht="17" customHeight="1">
      <c r="B95" s="5" t="inlineStr">
        <is>
          <t>就労継続支援A型</t>
        </is>
      </c>
      <c r="C95" s="26">
        <f>'集計_障がい別'!$G$239</f>
        <v>0.0344827586206897</v>
      </c>
      <c r="D95" s="26">
        <f>'集計_障がい別'!$H$239</f>
        <v>0</v>
      </c>
      <c r="E95" s="26">
        <f>'集計_障がい別'!$I$239</f>
        <v>0</v>
      </c>
      <c r="F95" s="26">
        <f>'集計_障がい別'!$G$279</f>
        <v>0</v>
      </c>
      <c r="G95" s="26">
        <f>'集計_障がい別'!$H$279</f>
        <v>0</v>
      </c>
      <c r="H95" s="26">
        <f>'集計_障がい別'!$I$279</f>
        <v>0</v>
      </c>
    </row>
    <row r="96" ht="17" customHeight="1">
      <c r="B96" s="5" t="inlineStr">
        <is>
          <t>就労継続支援B型</t>
        </is>
      </c>
      <c r="C96" s="26">
        <f>'集計_障がい別'!$G$240</f>
        <v>0.0344827586206897</v>
      </c>
      <c r="D96" s="26">
        <f>'集計_障がい別'!$H$240</f>
        <v>0</v>
      </c>
      <c r="E96" s="26">
        <f>'集計_障がい別'!$I$240</f>
        <v>0.166666666666667</v>
      </c>
      <c r="F96" s="26">
        <f>'集計_障がい別'!$G$280</f>
        <v>0.0344827586206897</v>
      </c>
      <c r="G96" s="26">
        <f>'集計_障がい別'!$H$280</f>
        <v>0</v>
      </c>
      <c r="H96" s="26">
        <f>'集計_障がい別'!$I$280</f>
        <v>0</v>
      </c>
    </row>
    <row r="97" ht="17" customHeight="1">
      <c r="B97" s="5" t="inlineStr">
        <is>
          <t>就労選択支援</t>
        </is>
      </c>
      <c r="C97" s="26">
        <f>'集計_障がい別'!$G$241</f>
        <v>0.0344827586206897</v>
      </c>
      <c r="D97" s="26">
        <f>'集計_障がい別'!$H$241</f>
        <v>0</v>
      </c>
      <c r="E97" s="26">
        <f>'集計_障がい別'!$I$241</f>
        <v>0</v>
      </c>
      <c r="F97" s="26">
        <f>'集計_障がい別'!$G$281</f>
        <v>0</v>
      </c>
      <c r="G97" s="26">
        <f>'集計_障がい別'!$H$281</f>
        <v>0</v>
      </c>
      <c r="H97" s="26">
        <f>'集計_障がい別'!$I$281</f>
        <v>0</v>
      </c>
    </row>
    <row r="98" ht="17" customHeight="1">
      <c r="B98" s="5" t="inlineStr">
        <is>
          <t>就労定着支援</t>
        </is>
      </c>
      <c r="C98" s="26">
        <f>'集計_障がい別'!$G$242</f>
        <v>0</v>
      </c>
      <c r="D98" s="26">
        <f>'集計_障がい別'!$H$242</f>
        <v>0</v>
      </c>
      <c r="E98" s="26">
        <f>'集計_障がい別'!$I$242</f>
        <v>0</v>
      </c>
      <c r="F98" s="26">
        <f>'集計_障がい別'!$G$282</f>
        <v>0</v>
      </c>
      <c r="G98" s="26">
        <f>'集計_障がい別'!$H$282</f>
        <v>0</v>
      </c>
      <c r="H98" s="26">
        <f>'集計_障がい別'!$I$282</f>
        <v>0</v>
      </c>
    </row>
    <row r="99" ht="17" customHeight="1">
      <c r="B99" s="5" t="inlineStr">
        <is>
          <t>短期入所（ショートステイ）</t>
        </is>
      </c>
      <c r="C99" s="26">
        <f>'集計_障がい別'!$G$243</f>
        <v>0.0689655172413793</v>
      </c>
      <c r="D99" s="26">
        <f>'集計_障がい別'!$H$243</f>
        <v>0</v>
      </c>
      <c r="E99" s="26">
        <f>'集計_障がい別'!$I$243</f>
        <v>0</v>
      </c>
      <c r="F99" s="26">
        <f>'集計_障がい別'!$G$283</f>
        <v>0.137931034482759</v>
      </c>
      <c r="G99" s="26">
        <f>'集計_障がい別'!$H$283</f>
        <v>0</v>
      </c>
      <c r="H99" s="26">
        <f>'集計_障がい別'!$I$283</f>
        <v>0</v>
      </c>
    </row>
    <row r="100" ht="17" customHeight="1">
      <c r="B100" s="5" t="inlineStr">
        <is>
          <t>グループホーム</t>
        </is>
      </c>
      <c r="C100" s="26">
        <f>'集計_障がい別'!$G$244</f>
        <v>0.0689655172413793</v>
      </c>
      <c r="D100" s="26">
        <f>'集計_障がい別'!$H$244</f>
        <v>0</v>
      </c>
      <c r="E100" s="26">
        <f>'集計_障がい別'!$I$244</f>
        <v>0.166666666666667</v>
      </c>
      <c r="F100" s="26">
        <f>'集計_障がい別'!$G$284</f>
        <v>0.137931034482759</v>
      </c>
      <c r="G100" s="26">
        <f>'集計_障がい別'!$H$284</f>
        <v>0</v>
      </c>
      <c r="H100" s="26">
        <f>'集計_障がい別'!$I$284</f>
        <v>0.166666666666667</v>
      </c>
    </row>
    <row r="101" ht="17" customHeight="1">
      <c r="B101" s="5" t="inlineStr">
        <is>
          <t>施設入所支援</t>
        </is>
      </c>
      <c r="C101" s="26">
        <f>'集計_障がい別'!$G$245</f>
        <v>0.103448275862069</v>
      </c>
      <c r="D101" s="26">
        <f>'集計_障がい別'!$H$245</f>
        <v>1</v>
      </c>
      <c r="E101" s="26">
        <f>'集計_障がい別'!$I$245</f>
        <v>0.166666666666667</v>
      </c>
      <c r="F101" s="26">
        <f>'集計_障がい別'!$G$285</f>
        <v>0.241379310344828</v>
      </c>
      <c r="G101" s="26">
        <f>'集計_障がい別'!$H$285</f>
        <v>1</v>
      </c>
      <c r="H101" s="26">
        <f>'集計_障がい別'!$I$285</f>
        <v>0.166666666666667</v>
      </c>
    </row>
    <row r="102" ht="17" customHeight="1">
      <c r="B102" s="5" t="inlineStr">
        <is>
          <t>計画相談支援</t>
        </is>
      </c>
      <c r="C102" s="26">
        <f>'集計_障がい別'!$G$246</f>
        <v>0.0344827586206897</v>
      </c>
      <c r="D102" s="26">
        <f>'集計_障がい別'!$H$246</f>
        <v>0</v>
      </c>
      <c r="E102" s="26">
        <f>'集計_障がい別'!$I$246</f>
        <v>0.166666666666667</v>
      </c>
      <c r="F102" s="26">
        <f>'集計_障がい別'!$G$286</f>
        <v>0.103448275862069</v>
      </c>
      <c r="G102" s="26">
        <f>'集計_障がい別'!$H$286</f>
        <v>0.5</v>
      </c>
      <c r="H102" s="26">
        <f>'集計_障がい別'!$I$286</f>
        <v>0</v>
      </c>
    </row>
    <row r="103" ht="17" customHeight="1">
      <c r="B103" s="5" t="inlineStr">
        <is>
          <t>移動支援</t>
        </is>
      </c>
      <c r="C103" s="26">
        <f>'集計_障がい別'!$G$247</f>
        <v>0</v>
      </c>
      <c r="D103" s="26">
        <f>'集計_障がい別'!$H$247</f>
        <v>0</v>
      </c>
      <c r="E103" s="26">
        <f>'集計_障がい別'!$I$247</f>
        <v>0.166666666666667</v>
      </c>
      <c r="F103" s="26">
        <f>'集計_障がい別'!$G$287</f>
        <v>0</v>
      </c>
      <c r="G103" s="26">
        <f>'集計_障がい別'!$H$287</f>
        <v>0</v>
      </c>
      <c r="H103" s="26">
        <f>'集計_障がい別'!$I$287</f>
        <v>0.333333333333333</v>
      </c>
    </row>
    <row r="104" ht="17" customHeight="1">
      <c r="B104" s="5" t="inlineStr">
        <is>
          <t>日中一時支援</t>
        </is>
      </c>
      <c r="C104" s="26">
        <f>'集計_障がい別'!$G$248</f>
        <v>0.0344827586206897</v>
      </c>
      <c r="D104" s="26">
        <f>'集計_障がい別'!$H$248</f>
        <v>0</v>
      </c>
      <c r="E104" s="26">
        <f>'集計_障がい別'!$I$248</f>
        <v>0</v>
      </c>
      <c r="F104" s="26">
        <f>'集計_障がい別'!$G$288</f>
        <v>0.0344827586206897</v>
      </c>
      <c r="G104" s="26">
        <f>'集計_障がい別'!$H$288</f>
        <v>0</v>
      </c>
      <c r="H104" s="26">
        <f>'集計_障がい別'!$I$288</f>
        <v>0</v>
      </c>
    </row>
    <row r="105" ht="17" customHeight="1">
      <c r="B105" s="5" t="inlineStr">
        <is>
          <t>日常生活用具</t>
        </is>
      </c>
      <c r="C105" s="26">
        <f>'集計_障がい別'!$G$249</f>
        <v>0.0344827586206897</v>
      </c>
      <c r="D105" s="26">
        <f>'集計_障がい別'!$H$249</f>
        <v>0</v>
      </c>
      <c r="E105" s="26">
        <f>'集計_障がい別'!$I$249</f>
        <v>0</v>
      </c>
      <c r="F105" s="26">
        <f>'集計_障がい別'!$G$289</f>
        <v>0.0344827586206897</v>
      </c>
      <c r="G105" s="26">
        <f>'集計_障がい別'!$H$289</f>
        <v>0</v>
      </c>
      <c r="H105" s="26">
        <f>'集計_障がい別'!$I$289</f>
        <v>0</v>
      </c>
    </row>
    <row r="106" ht="17" customHeight="1">
      <c r="B106" s="5" t="inlineStr">
        <is>
          <t>訪問入浴</t>
        </is>
      </c>
      <c r="C106" s="26">
        <f>'集計_障がい別'!$G$250</f>
        <v>0</v>
      </c>
      <c r="D106" s="26">
        <f>'集計_障がい別'!$H$250</f>
        <v>0</v>
      </c>
      <c r="E106" s="26">
        <f>'集計_障がい別'!$I$250</f>
        <v>0</v>
      </c>
      <c r="F106" s="26">
        <f>'集計_障がい別'!$G$290</f>
        <v>0</v>
      </c>
      <c r="G106" s="26">
        <f>'集計_障がい別'!$H$290</f>
        <v>0</v>
      </c>
      <c r="H106" s="26">
        <f>'集計_障がい別'!$I$290</f>
        <v>0</v>
      </c>
    </row>
    <row r="107" ht="17" customHeight="1">
      <c r="B107" s="5" t="inlineStr">
        <is>
          <t>特にない（各設問）</t>
        </is>
      </c>
      <c r="C107" s="26">
        <f>'集計_障がい別'!$G$251</f>
        <v>0.413793103448276</v>
      </c>
      <c r="D107" s="26">
        <f>'集計_障がい別'!$H$251</f>
        <v>0</v>
      </c>
      <c r="E107" s="26">
        <f>'集計_障がい別'!$I$251</f>
        <v>0.5</v>
      </c>
      <c r="F107" s="26">
        <f>'集計_障がい別'!$G$291</f>
        <v>0.344827586206897</v>
      </c>
      <c r="G107" s="26">
        <f>'集計_障がい別'!$H$291</f>
        <v>0</v>
      </c>
      <c r="H107" s="26">
        <f>'集計_障がい別'!$I$291</f>
        <v>0.333333333333333</v>
      </c>
    </row>
    <row r="108" ht="17" customHeight="1">
      <c r="B108" s="24" t="inlineStr">
        <is>
          <t>無回答（各設問）</t>
        </is>
      </c>
      <c r="C108" s="27">
        <f>'集計_障がい別'!$G$252</f>
        <v>0.241379310344828</v>
      </c>
      <c r="D108" s="27">
        <f>'集計_障がい別'!$H$252</f>
        <v>0</v>
      </c>
      <c r="E108" s="27">
        <f>'集計_障がい別'!$I$252</f>
        <v>0.166666666666667</v>
      </c>
      <c r="F108" s="27">
        <f>'集計_障がい別'!$G$292</f>
        <v>0.275862068965517</v>
      </c>
      <c r="G108" s="27">
        <f>'集計_障がい別'!$H$292</f>
        <v>0</v>
      </c>
      <c r="H108" s="27">
        <f>'集計_障がい別'!$I$292</f>
        <v>0.166666666666667</v>
      </c>
    </row>
    <row r="109" ht="27" customHeight="1">
      <c r="B109" s="17" t="inlineStr">
        <is>
          <t>※セルの数値は各区分の回答者数（n）に占める割合と件数です。色が濃いほど割合が高いことを示します。「－」は回答がなかったことを示します。</t>
        </is>
      </c>
    </row>
    <row r="111" ht="21" customHeight="1">
      <c r="B111" s="7" t="inlineStr">
        <is>
          <t>表3-3　内容をよく知らないサービス【障がい別】（問27-2）</t>
        </is>
      </c>
    </row>
    <row r="112" ht="31" customHeight="1">
      <c r="B112" s="3" t="inlineStr">
        <is>
          <t>サービス</t>
        </is>
      </c>
      <c r="C112" s="3" t="inlineStr">
        <is>
          <t>身体障がい
（n=29）</t>
        </is>
      </c>
      <c r="D112" s="3" t="inlineStr">
        <is>
          <t>知的障がい
（n=2）</t>
        </is>
      </c>
      <c r="E112" s="3" t="inlineStr">
        <is>
          <t>精神障がい
（n=6）</t>
        </is>
      </c>
    </row>
    <row r="113" ht="17" customHeight="1">
      <c r="B113" s="5" t="inlineStr">
        <is>
          <t>居宅介護（ホームヘルプ）</t>
        </is>
      </c>
      <c r="C113" s="26">
        <f>'集計_障がい別'!$G$253</f>
        <v>0.103448275862069</v>
      </c>
      <c r="D113" s="26">
        <f>'集計_障がい別'!$H$253</f>
        <v>0.5</v>
      </c>
      <c r="E113" s="26">
        <f>'集計_障がい別'!$I$253</f>
        <v>0.333333333333333</v>
      </c>
    </row>
    <row r="114" ht="17" customHeight="1">
      <c r="B114" s="5" t="inlineStr">
        <is>
          <t>重度訪問介護</t>
        </is>
      </c>
      <c r="C114" s="26">
        <f>'集計_障がい別'!$G$254</f>
        <v>0.206896551724138</v>
      </c>
      <c r="D114" s="26">
        <f>'集計_障がい別'!$H$254</f>
        <v>0.5</v>
      </c>
      <c r="E114" s="26">
        <f>'集計_障がい別'!$I$254</f>
        <v>0.333333333333333</v>
      </c>
    </row>
    <row r="115" ht="17" customHeight="1">
      <c r="B115" s="5" t="inlineStr">
        <is>
          <t>同行援護・行動援護</t>
        </is>
      </c>
      <c r="C115" s="26">
        <f>'集計_障がい別'!$G$255</f>
        <v>0.206896551724138</v>
      </c>
      <c r="D115" s="26">
        <f>'集計_障がい別'!$H$255</f>
        <v>0.5</v>
      </c>
      <c r="E115" s="26">
        <f>'集計_障がい別'!$I$255</f>
        <v>0.333333333333333</v>
      </c>
    </row>
    <row r="116" ht="17" customHeight="1">
      <c r="B116" s="5" t="inlineStr">
        <is>
          <t>生活介護</t>
        </is>
      </c>
      <c r="C116" s="26">
        <f>'集計_障がい別'!$G$256</f>
        <v>0.137931034482759</v>
      </c>
      <c r="D116" s="26">
        <f>'集計_障がい別'!$H$256</f>
        <v>0</v>
      </c>
      <c r="E116" s="26">
        <f>'集計_障がい別'!$I$256</f>
        <v>0.333333333333333</v>
      </c>
    </row>
    <row r="117" ht="17" customHeight="1">
      <c r="B117" s="5" t="inlineStr">
        <is>
          <t>自立訓練</t>
        </is>
      </c>
      <c r="C117" s="26">
        <f>'集計_障がい別'!$G$257</f>
        <v>0.137931034482759</v>
      </c>
      <c r="D117" s="26">
        <f>'集計_障がい別'!$H$257</f>
        <v>0.5</v>
      </c>
      <c r="E117" s="26">
        <f>'集計_障がい別'!$I$257</f>
        <v>0.333333333333333</v>
      </c>
    </row>
    <row r="118" ht="17" customHeight="1">
      <c r="B118" s="5" t="inlineStr">
        <is>
          <t>就労移行支援</t>
        </is>
      </c>
      <c r="C118" s="26">
        <f>'集計_障がい別'!$G$258</f>
        <v>0.137931034482759</v>
      </c>
      <c r="D118" s="26">
        <f>'集計_障がい別'!$H$258</f>
        <v>0.5</v>
      </c>
      <c r="E118" s="26">
        <f>'集計_障がい別'!$I$258</f>
        <v>0.5</v>
      </c>
    </row>
    <row r="119" ht="17" customHeight="1">
      <c r="B119" s="5" t="inlineStr">
        <is>
          <t>就労継続支援A型</t>
        </is>
      </c>
      <c r="C119" s="26">
        <f>'集計_障がい別'!$G$259</f>
        <v>0.172413793103448</v>
      </c>
      <c r="D119" s="26">
        <f>'集計_障がい別'!$H$259</f>
        <v>0.5</v>
      </c>
      <c r="E119" s="26">
        <f>'集計_障がい別'!$I$259</f>
        <v>0.333333333333333</v>
      </c>
    </row>
    <row r="120" ht="17" customHeight="1">
      <c r="B120" s="5" t="inlineStr">
        <is>
          <t>就労継続支援B型</t>
        </is>
      </c>
      <c r="C120" s="26">
        <f>'集計_障がい別'!$G$260</f>
        <v>0.172413793103448</v>
      </c>
      <c r="D120" s="26">
        <f>'集計_障がい別'!$H$260</f>
        <v>0.5</v>
      </c>
      <c r="E120" s="26">
        <f>'集計_障がい別'!$I$260</f>
        <v>0.333333333333333</v>
      </c>
    </row>
    <row r="121" ht="17" customHeight="1">
      <c r="B121" s="5" t="inlineStr">
        <is>
          <t>就労選択支援</t>
        </is>
      </c>
      <c r="C121" s="26">
        <f>'集計_障がい別'!$G$261</f>
        <v>0.172413793103448</v>
      </c>
      <c r="D121" s="26">
        <f>'集計_障がい別'!$H$261</f>
        <v>0.5</v>
      </c>
      <c r="E121" s="26">
        <f>'集計_障がい別'!$I$261</f>
        <v>0.5</v>
      </c>
    </row>
    <row r="122" ht="17" customHeight="1">
      <c r="B122" s="5" t="inlineStr">
        <is>
          <t>就労定着支援</t>
        </is>
      </c>
      <c r="C122" s="26">
        <f>'集計_障がい別'!$G$262</f>
        <v>0.172413793103448</v>
      </c>
      <c r="D122" s="26">
        <f>'集計_障がい別'!$H$262</f>
        <v>0.5</v>
      </c>
      <c r="E122" s="26">
        <f>'集計_障がい別'!$I$262</f>
        <v>0.333333333333333</v>
      </c>
    </row>
    <row r="123" ht="17" customHeight="1">
      <c r="B123" s="5" t="inlineStr">
        <is>
          <t>短期入所（ショートステイ）</t>
        </is>
      </c>
      <c r="C123" s="26">
        <f>'集計_障がい別'!$G$263</f>
        <v>0.0689655172413793</v>
      </c>
      <c r="D123" s="26">
        <f>'集計_障がい別'!$H$263</f>
        <v>0.5</v>
      </c>
      <c r="E123" s="26">
        <f>'集計_障がい別'!$I$263</f>
        <v>0.166666666666667</v>
      </c>
    </row>
    <row r="124" ht="17" customHeight="1">
      <c r="B124" s="5" t="inlineStr">
        <is>
          <t>グループホーム</t>
        </is>
      </c>
      <c r="C124" s="26">
        <f>'集計_障がい別'!$G$264</f>
        <v>0.103448275862069</v>
      </c>
      <c r="D124" s="26">
        <f>'集計_障がい別'!$H$264</f>
        <v>0.5</v>
      </c>
      <c r="E124" s="26">
        <f>'集計_障がい別'!$I$264</f>
        <v>0.166666666666667</v>
      </c>
    </row>
    <row r="125" ht="17" customHeight="1">
      <c r="B125" s="5" t="inlineStr">
        <is>
          <t>施設入所支援</t>
        </is>
      </c>
      <c r="C125" s="26">
        <f>'集計_障がい別'!$G$265</f>
        <v>0.172413793103448</v>
      </c>
      <c r="D125" s="26">
        <f>'集計_障がい別'!$H$265</f>
        <v>0</v>
      </c>
      <c r="E125" s="26">
        <f>'集計_障がい別'!$I$265</f>
        <v>0.166666666666667</v>
      </c>
    </row>
    <row r="126" ht="17" customHeight="1">
      <c r="B126" s="5" t="inlineStr">
        <is>
          <t>計画相談支援</t>
        </is>
      </c>
      <c r="C126" s="26">
        <f>'集計_障がい別'!$G$266</f>
        <v>0.137931034482759</v>
      </c>
      <c r="D126" s="26">
        <f>'集計_障がい別'!$H$266</f>
        <v>0.5</v>
      </c>
      <c r="E126" s="26">
        <f>'集計_障がい別'!$I$266</f>
        <v>0.333333333333333</v>
      </c>
    </row>
    <row r="127" ht="17" customHeight="1">
      <c r="B127" s="5" t="inlineStr">
        <is>
          <t>移動支援</t>
        </is>
      </c>
      <c r="C127" s="26">
        <f>'集計_障がい別'!$G$267</f>
        <v>0.206896551724138</v>
      </c>
      <c r="D127" s="26">
        <f>'集計_障がい別'!$H$267</f>
        <v>0.5</v>
      </c>
      <c r="E127" s="26">
        <f>'集計_障がい別'!$I$267</f>
        <v>0.333333333333333</v>
      </c>
    </row>
    <row r="128" ht="17" customHeight="1">
      <c r="B128" s="5" t="inlineStr">
        <is>
          <t>日中一時支援</t>
        </is>
      </c>
      <c r="C128" s="26">
        <f>'集計_障がい別'!$G$268</f>
        <v>0.137931034482759</v>
      </c>
      <c r="D128" s="26">
        <f>'集計_障がい別'!$H$268</f>
        <v>0.5</v>
      </c>
      <c r="E128" s="26">
        <f>'集計_障がい別'!$I$268</f>
        <v>0.5</v>
      </c>
    </row>
    <row r="129" ht="17" customHeight="1">
      <c r="B129" s="5" t="inlineStr">
        <is>
          <t>日常生活用具</t>
        </is>
      </c>
      <c r="C129" s="26">
        <f>'集計_障がい別'!$G$269</f>
        <v>0.103448275862069</v>
      </c>
      <c r="D129" s="26">
        <f>'集計_障がい別'!$H$269</f>
        <v>0.5</v>
      </c>
      <c r="E129" s="26">
        <f>'集計_障がい別'!$I$269</f>
        <v>0.333333333333333</v>
      </c>
    </row>
    <row r="130" ht="17" customHeight="1">
      <c r="B130" s="5" t="inlineStr">
        <is>
          <t>訪問入浴</t>
        </is>
      </c>
      <c r="C130" s="26">
        <f>'集計_障がい別'!$G$270</f>
        <v>0.103448275862069</v>
      </c>
      <c r="D130" s="26">
        <f>'集計_障がい別'!$H$270</f>
        <v>0.5</v>
      </c>
      <c r="E130" s="26">
        <f>'集計_障がい別'!$I$270</f>
        <v>0.166666666666667</v>
      </c>
    </row>
    <row r="131" ht="17" customHeight="1">
      <c r="B131" s="5" t="inlineStr">
        <is>
          <t>特にない（各設問）</t>
        </is>
      </c>
      <c r="C131" s="26">
        <f>'集計_障がい別'!$G$271</f>
        <v>0.241379310344828</v>
      </c>
      <c r="D131" s="26">
        <f>'集計_障がい別'!$H$271</f>
        <v>0.5</v>
      </c>
      <c r="E131" s="26">
        <f>'集計_障がい別'!$I$271</f>
        <v>0</v>
      </c>
    </row>
    <row r="132" ht="17" customHeight="1">
      <c r="B132" s="24" t="inlineStr">
        <is>
          <t>無回答（各設問）</t>
        </is>
      </c>
      <c r="C132" s="27">
        <f>'集計_障がい別'!$G$272</f>
        <v>0.413793103448276</v>
      </c>
      <c r="D132" s="27">
        <f>'集計_障がい別'!$H$272</f>
        <v>0</v>
      </c>
      <c r="E132" s="27">
        <f>'集計_障がい別'!$I$272</f>
        <v>0.166666666666667</v>
      </c>
    </row>
    <row r="133" ht="15" customHeight="1">
      <c r="B133" s="17" t="inlineStr">
        <is>
          <t>※セルの数値は各区分の回答者数（n）に占める割合と件数です。</t>
        </is>
      </c>
    </row>
    <row r="135" ht="21" customHeight="1">
      <c r="B135" s="7" t="inlineStr">
        <is>
          <t>図3-52　サービスを利用したいが利用できない理由（問28）</t>
        </is>
      </c>
    </row>
    <row r="136">
      <c r="B136" s="18" t="str">
        <f>"n="&amp;'集計_障がい者'!$F$299&amp;"（複数回答）"</f>
        <v>n=40（複数回答）</v>
      </c>
    </row>
    <row r="137" ht="18" customHeight="1">
      <c r="B137" s="3" t="inlineStr">
        <is>
          <t>選択肢</t>
        </is>
      </c>
      <c r="C137" s="3" t="inlineStr">
        <is>
          <t>件数</t>
        </is>
      </c>
      <c r="D137" s="3" t="inlineStr">
        <is>
          <t>割合</t>
        </is>
      </c>
    </row>
    <row r="138" ht="17" customHeight="1">
      <c r="B138" s="5" t="inlineStr">
        <is>
          <t>必要性を感じない</t>
        </is>
      </c>
      <c r="C138" s="19">
        <f>'集計_障がい者'!$D$299</f>
        <v>11</v>
      </c>
      <c r="D138" s="20">
        <f>'集計_障がい者'!$E$299</f>
        <v>0.275</v>
      </c>
    </row>
    <row r="139" ht="17" customHeight="1">
      <c r="B139" s="5" t="inlineStr">
        <is>
          <t>家族が対応している</t>
        </is>
      </c>
      <c r="C139" s="19">
        <f>'集計_障がい者'!$D$298</f>
        <v>7</v>
      </c>
      <c r="D139" s="20">
        <f>'集計_障がい者'!$E$298</f>
        <v>0.175</v>
      </c>
    </row>
    <row r="140" ht="17" customHeight="1">
      <c r="B140" s="5" t="inlineStr">
        <is>
          <t>費用が心配</t>
        </is>
      </c>
      <c r="C140" s="19">
        <f>'集計_障がい者'!$D$296</f>
        <v>5</v>
      </c>
      <c r="D140" s="20">
        <f>'集計_障がい者'!$E$296</f>
        <v>0.125</v>
      </c>
    </row>
    <row r="141" ht="17" customHeight="1">
      <c r="B141" s="5" t="inlineStr">
        <is>
          <t>近くに事業所がない</t>
        </is>
      </c>
      <c r="C141" s="19">
        <f>'集計_障がい者'!$D$292</f>
        <v>4</v>
      </c>
      <c r="D141" s="20">
        <f>'集計_障がい者'!$E$292</f>
        <v>0.1</v>
      </c>
    </row>
    <row r="142" ht="17" customHeight="1">
      <c r="B142" s="5" t="inlineStr">
        <is>
          <t>利用方法がわからない</t>
        </is>
      </c>
      <c r="C142" s="19">
        <f>'集計_障がい者'!$D$295</f>
        <v>4</v>
      </c>
      <c r="D142" s="20">
        <f>'集計_障がい者'!$E$295</f>
        <v>0.1</v>
      </c>
    </row>
    <row r="143" ht="17" customHeight="1">
      <c r="B143" s="5" t="inlineStr">
        <is>
          <t>空きがない</t>
        </is>
      </c>
      <c r="C143" s="19">
        <f>'集計_障がい者'!$D$293</f>
        <v>1</v>
      </c>
      <c r="D143" s="20">
        <f>'集計_障がい者'!$E$293</f>
        <v>0.025</v>
      </c>
    </row>
    <row r="144" ht="17" customHeight="1">
      <c r="B144" s="5" t="inlineStr">
        <is>
          <t>送迎がない</t>
        </is>
      </c>
      <c r="C144" s="19">
        <f>'集計_障がい者'!$D$294</f>
        <v>1</v>
      </c>
      <c r="D144" s="20">
        <f>'集計_障がい者'!$E$294</f>
        <v>0.025</v>
      </c>
    </row>
    <row r="145" ht="17" customHeight="1">
      <c r="B145" s="5" t="inlineStr">
        <is>
          <t>本人に合うサービスがない</t>
        </is>
      </c>
      <c r="C145" s="19">
        <f>'集計_障がい者'!$D$297</f>
        <v>1</v>
      </c>
      <c r="D145" s="20">
        <f>'集計_障がい者'!$E$297</f>
        <v>0.025</v>
      </c>
    </row>
    <row r="146" ht="17" customHeight="1">
      <c r="B146" s="5" t="inlineStr">
        <is>
          <t>その他</t>
        </is>
      </c>
      <c r="C146" s="19">
        <f>'集計_障がい者'!$D$300</f>
        <v>1</v>
      </c>
      <c r="D146" s="20">
        <f>'集計_障がい者'!$E$300</f>
        <v>0.025</v>
      </c>
    </row>
    <row r="147" ht="17" customHeight="1">
      <c r="B147" s="5" t="inlineStr">
        <is>
          <t>無回答</t>
        </is>
      </c>
      <c r="C147" s="19">
        <f>'集計_障がい者'!$D$301</f>
        <v>14</v>
      </c>
      <c r="D147" s="20">
        <f>'集計_障がい者'!$E$301</f>
        <v>0.35</v>
      </c>
    </row>
    <row r="148"/>
    <row r="151" ht="21" customHeight="1">
      <c r="B151" s="7" t="inlineStr">
        <is>
          <t>図3-53　サービスを利用したいが利用できない理由【障がい別】（問28）</t>
        </is>
      </c>
    </row>
    <row r="152"/>
    <row r="153" ht="31" customHeight="1">
      <c r="B153" s="3" t="inlineStr">
        <is>
          <t>選択肢</t>
        </is>
      </c>
      <c r="C153" s="3" t="inlineStr">
        <is>
          <t>身体障がい（n=29）</t>
        </is>
      </c>
      <c r="D153" s="3" t="inlineStr">
        <is>
          <t>知的障がい（n=2）</t>
        </is>
      </c>
      <c r="E153" s="3" t="inlineStr">
        <is>
          <t>精神障がい（n=6）</t>
        </is>
      </c>
    </row>
    <row r="154" ht="17" customHeight="1">
      <c r="B154" s="5" t="inlineStr">
        <is>
          <t>必要性を感じない</t>
        </is>
      </c>
      <c r="C154" s="20">
        <f>'集計_障がい別'!$G$300</f>
        <v>0.310344827586207</v>
      </c>
      <c r="D154" s="20">
        <f>'集計_障がい別'!$H$300</f>
        <v>0.5</v>
      </c>
      <c r="E154" s="20">
        <f>'集計_障がい別'!$I$300</f>
        <v>0.333333333333333</v>
      </c>
    </row>
    <row r="155" ht="17" customHeight="1">
      <c r="B155" s="5" t="inlineStr">
        <is>
          <t>家族が対応している</t>
        </is>
      </c>
      <c r="C155" s="20">
        <f>'集計_障がい別'!$G$299</f>
        <v>0.137931034482759</v>
      </c>
      <c r="D155" s="20">
        <f>'集計_障がい別'!$H$299</f>
        <v>0.5</v>
      </c>
      <c r="E155" s="20">
        <f>'集計_障がい別'!$I$299</f>
        <v>0</v>
      </c>
    </row>
    <row r="156" ht="17" customHeight="1">
      <c r="B156" s="5" t="inlineStr">
        <is>
          <t>費用が心配</t>
        </is>
      </c>
      <c r="C156" s="20">
        <f>'集計_障がい別'!$G$297</f>
        <v>0.0689655172413793</v>
      </c>
      <c r="D156" s="20">
        <f>'集計_障がい別'!$H$297</f>
        <v>0</v>
      </c>
      <c r="E156" s="20">
        <f>'集計_障がい別'!$I$297</f>
        <v>0.333333333333333</v>
      </c>
    </row>
    <row r="157" ht="17" customHeight="1">
      <c r="B157" s="5" t="inlineStr">
        <is>
          <t>近くに事業所がない</t>
        </is>
      </c>
      <c r="C157" s="20">
        <f>'集計_障がい別'!$G$293</f>
        <v>0.0344827586206897</v>
      </c>
      <c r="D157" s="20">
        <f>'集計_障がい別'!$H$293</f>
        <v>0</v>
      </c>
      <c r="E157" s="20">
        <f>'集計_障がい別'!$I$293</f>
        <v>0.333333333333333</v>
      </c>
    </row>
    <row r="158" ht="17" customHeight="1">
      <c r="B158" s="5" t="inlineStr">
        <is>
          <t>利用方法がわからない</t>
        </is>
      </c>
      <c r="C158" s="20">
        <f>'集計_障がい別'!$G$296</f>
        <v>0.0344827586206897</v>
      </c>
      <c r="D158" s="20">
        <f>'集計_障がい別'!$H$296</f>
        <v>0.5</v>
      </c>
      <c r="E158" s="20">
        <f>'集計_障がい別'!$I$296</f>
        <v>0.166666666666667</v>
      </c>
    </row>
    <row r="159" ht="17" customHeight="1">
      <c r="B159" s="5" t="inlineStr">
        <is>
          <t>空きがない</t>
        </is>
      </c>
      <c r="C159" s="20">
        <f>'集計_障がい別'!$G$294</f>
        <v>0.0344827586206897</v>
      </c>
      <c r="D159" s="20">
        <f>'集計_障がい別'!$H$294</f>
        <v>0</v>
      </c>
      <c r="E159" s="20">
        <f>'集計_障がい別'!$I$294</f>
        <v>0</v>
      </c>
    </row>
    <row r="160" ht="17" customHeight="1">
      <c r="B160" s="5" t="inlineStr">
        <is>
          <t>送迎がない</t>
        </is>
      </c>
      <c r="C160" s="20">
        <f>'集計_障がい別'!$G$295</f>
        <v>0</v>
      </c>
      <c r="D160" s="20">
        <f>'集計_障がい別'!$H$295</f>
        <v>0</v>
      </c>
      <c r="E160" s="20">
        <f>'集計_障がい別'!$I$295</f>
        <v>0.166666666666667</v>
      </c>
    </row>
    <row r="161" ht="17" customHeight="1">
      <c r="B161" s="5" t="inlineStr">
        <is>
          <t>本人に合うサービスがない</t>
        </is>
      </c>
      <c r="C161" s="20">
        <f>'集計_障がい別'!$G$298</f>
        <v>0.0344827586206897</v>
      </c>
      <c r="D161" s="20">
        <f>'集計_障がい別'!$H$298</f>
        <v>0</v>
      </c>
      <c r="E161" s="20">
        <f>'集計_障がい別'!$I$298</f>
        <v>0</v>
      </c>
    </row>
    <row r="162" ht="17" customHeight="1">
      <c r="B162" s="5" t="inlineStr">
        <is>
          <t>その他</t>
        </is>
      </c>
      <c r="C162" s="20">
        <f>'集計_障がい別'!$G$301</f>
        <v>0.0344827586206897</v>
      </c>
      <c r="D162" s="20">
        <f>'集計_障がい別'!$H$301</f>
        <v>0</v>
      </c>
      <c r="E162" s="20">
        <f>'集計_障がい別'!$I$301</f>
        <v>0</v>
      </c>
    </row>
    <row r="163" ht="17" customHeight="1">
      <c r="B163" s="5" t="inlineStr">
        <is>
          <t>無回答</t>
        </is>
      </c>
      <c r="C163" s="20">
        <f>'集計_障がい別'!$G$302</f>
        <v>0.413793103448276</v>
      </c>
      <c r="D163" s="20">
        <f>'集計_障がい別'!$H$302</f>
        <v>0</v>
      </c>
      <c r="E163" s="20">
        <f>'集計_障がい別'!$I$302</f>
        <v>0</v>
      </c>
    </row>
    <row r="164"/>
    <row r="165"/>
    <row r="166"/>
    <row r="167"/>
    <row r="168"/>
    <row r="169"/>
    <row r="170"/>
    <row r="171"/>
    <row r="172"/>
    <row r="173"/>
    <row r="174"/>
    <row r="175"/>
    <row r="176"/>
    <row r="177"/>
    <row r="178"/>
    <row r="179"/>
    <row r="180"/>
    <row r="181"/>
    <row r="182"/>
    <row r="185" ht="21" customHeight="1">
      <c r="B185" s="7" t="inlineStr">
        <is>
          <t>図3-54　地域生活支援拠点等に期待する機能（問29）</t>
        </is>
      </c>
    </row>
    <row r="186">
      <c r="B186" s="18" t="str">
        <f>"n="&amp;'集計_障がい者'!$F$303&amp;"（複数回答）"</f>
        <v>n=40（複数回答）</v>
      </c>
    </row>
    <row r="187" ht="18" customHeight="1">
      <c r="B187" s="3" t="inlineStr">
        <is>
          <t>選択肢</t>
        </is>
      </c>
      <c r="C187" s="3" t="inlineStr">
        <is>
          <t>件数</t>
        </is>
      </c>
      <c r="D187" s="3" t="inlineStr">
        <is>
          <t>割合</t>
        </is>
      </c>
    </row>
    <row r="188" ht="17" customHeight="1">
      <c r="B188" s="5" t="inlineStr">
        <is>
          <t>緊急時の受入れ</t>
        </is>
      </c>
      <c r="C188" s="19">
        <f>'集計_障がい者'!$D$303</f>
        <v>14</v>
      </c>
      <c r="D188" s="20">
        <f>'集計_障がい者'!$E$303</f>
        <v>0.35</v>
      </c>
    </row>
    <row r="189" ht="17" customHeight="1">
      <c r="B189" s="5" t="inlineStr">
        <is>
          <t>緊急時の相談</t>
        </is>
      </c>
      <c r="C189" s="19">
        <f>'集計_障がい者'!$D$302</f>
        <v>13</v>
      </c>
      <c r="D189" s="20">
        <f>'集計_障がい者'!$E$302</f>
        <v>0.325</v>
      </c>
    </row>
    <row r="190" ht="17" customHeight="1">
      <c r="B190" s="5" t="inlineStr">
        <is>
          <t>地域の事業所との連携</t>
        </is>
      </c>
      <c r="C190" s="19">
        <f>'集計_障がい者'!$D$307</f>
        <v>7</v>
      </c>
      <c r="D190" s="20">
        <f>'集計_障がい者'!$E$307</f>
        <v>0.175</v>
      </c>
    </row>
    <row r="191" ht="17" customHeight="1">
      <c r="B191" s="5" t="inlineStr">
        <is>
          <t>専門的人材の確保</t>
        </is>
      </c>
      <c r="C191" s="19">
        <f>'集計_障がい者'!$D$306</f>
        <v>4</v>
      </c>
      <c r="D191" s="20">
        <f>'集計_障がい者'!$E$306</f>
        <v>0.1</v>
      </c>
    </row>
    <row r="192" ht="17" customHeight="1">
      <c r="B192" s="5" t="inlineStr">
        <is>
          <t>短期入所の確保</t>
        </is>
      </c>
      <c r="C192" s="19">
        <f>'集計_障がい者'!$D$304</f>
        <v>3</v>
      </c>
      <c r="D192" s="20">
        <f>'集計_障がい者'!$E$304</f>
        <v>0.075</v>
      </c>
    </row>
    <row r="193" ht="17" customHeight="1">
      <c r="B193" s="5" t="inlineStr">
        <is>
          <t>一人暮らし・グループホーム体験</t>
        </is>
      </c>
      <c r="C193" s="19">
        <f>'集計_障がい者'!$D$305</f>
        <v>1</v>
      </c>
      <c r="D193" s="20">
        <f>'集計_障がい者'!$E$305</f>
        <v>0.025</v>
      </c>
    </row>
    <row r="194" ht="17" customHeight="1">
      <c r="B194" s="5" t="inlineStr">
        <is>
          <t>制度を知らない</t>
        </is>
      </c>
      <c r="C194" s="19">
        <f>'集計_障がい者'!$D$308</f>
        <v>7</v>
      </c>
      <c r="D194" s="20">
        <f>'集計_障がい者'!$E$308</f>
        <v>0.175</v>
      </c>
    </row>
    <row r="195" ht="17" customHeight="1">
      <c r="B195" s="5" t="inlineStr">
        <is>
          <t>特にない</t>
        </is>
      </c>
      <c r="C195" s="19">
        <f>'集計_障がい者'!$D$309</f>
        <v>5</v>
      </c>
      <c r="D195" s="20">
        <f>'集計_障がい者'!$E$309</f>
        <v>0.125</v>
      </c>
    </row>
    <row r="196" ht="17" customHeight="1">
      <c r="B196" s="5" t="inlineStr">
        <is>
          <t>その他</t>
        </is>
      </c>
      <c r="C196" s="19">
        <f>'集計_障がい者'!$D$310</f>
        <v>0</v>
      </c>
      <c r="D196" s="20">
        <f>'集計_障がい者'!$E$310</f>
        <v>0</v>
      </c>
    </row>
    <row r="197" ht="17" customHeight="1">
      <c r="B197" s="5" t="inlineStr">
        <is>
          <t>無回答</t>
        </is>
      </c>
      <c r="C197" s="19">
        <f>'集計_障がい者'!$D$311</f>
        <v>8</v>
      </c>
      <c r="D197" s="20">
        <f>'集計_障がい者'!$E$311</f>
        <v>0.2</v>
      </c>
    </row>
    <row r="198"/>
    <row r="201" ht="21" customHeight="1">
      <c r="B201" s="7" t="inlineStr">
        <is>
          <t>図3-55　地域生活支援拠点等に期待する機能【障がい別】（問29）</t>
        </is>
      </c>
    </row>
    <row r="202"/>
    <row r="203" ht="31" customHeight="1">
      <c r="B203" s="3" t="inlineStr">
        <is>
          <t>選択肢</t>
        </is>
      </c>
      <c r="C203" s="3" t="inlineStr">
        <is>
          <t>身体障がい（n=29）</t>
        </is>
      </c>
      <c r="D203" s="3" t="inlineStr">
        <is>
          <t>知的障がい（n=2）</t>
        </is>
      </c>
      <c r="E203" s="3" t="inlineStr">
        <is>
          <t>精神障がい（n=6）</t>
        </is>
      </c>
    </row>
    <row r="204" ht="17" customHeight="1">
      <c r="B204" s="5" t="inlineStr">
        <is>
          <t>緊急時の受入れ</t>
        </is>
      </c>
      <c r="C204" s="20">
        <f>'集計_障がい別'!$G$304</f>
        <v>0.344827586206897</v>
      </c>
      <c r="D204" s="20">
        <f>'集計_障がい別'!$H$304</f>
        <v>0.5</v>
      </c>
      <c r="E204" s="20">
        <f>'集計_障がい別'!$I$304</f>
        <v>0.333333333333333</v>
      </c>
    </row>
    <row r="205" ht="17" customHeight="1">
      <c r="B205" s="5" t="inlineStr">
        <is>
          <t>緊急時の相談</t>
        </is>
      </c>
      <c r="C205" s="20">
        <f>'集計_障がい別'!$G$303</f>
        <v>0.344827586206897</v>
      </c>
      <c r="D205" s="20">
        <f>'集計_障がい別'!$H$303</f>
        <v>0</v>
      </c>
      <c r="E205" s="20">
        <f>'集計_障がい別'!$I$303</f>
        <v>0.333333333333333</v>
      </c>
    </row>
    <row r="206" ht="17" customHeight="1">
      <c r="B206" s="5" t="inlineStr">
        <is>
          <t>地域の事業所との連携</t>
        </is>
      </c>
      <c r="C206" s="20">
        <f>'集計_障がい別'!$G$308</f>
        <v>0.172413793103448</v>
      </c>
      <c r="D206" s="20">
        <f>'集計_障がい別'!$H$308</f>
        <v>0</v>
      </c>
      <c r="E206" s="20">
        <f>'集計_障がい別'!$I$308</f>
        <v>0.333333333333333</v>
      </c>
    </row>
    <row r="207" ht="17" customHeight="1">
      <c r="B207" s="5" t="inlineStr">
        <is>
          <t>専門的人材の確保</t>
        </is>
      </c>
      <c r="C207" s="20">
        <f>'集計_障がい別'!$G$307</f>
        <v>0.103448275862069</v>
      </c>
      <c r="D207" s="20">
        <f>'集計_障がい別'!$H$307</f>
        <v>0</v>
      </c>
      <c r="E207" s="20">
        <f>'集計_障がい別'!$I$307</f>
        <v>0.166666666666667</v>
      </c>
    </row>
    <row r="208" ht="17" customHeight="1">
      <c r="B208" s="5" t="inlineStr">
        <is>
          <t>短期入所の確保</t>
        </is>
      </c>
      <c r="C208" s="20">
        <f>'集計_障がい別'!$G$305</f>
        <v>0.103448275862069</v>
      </c>
      <c r="D208" s="20">
        <f>'集計_障がい別'!$H$305</f>
        <v>0</v>
      </c>
      <c r="E208" s="20">
        <f>'集計_障がい別'!$I$305</f>
        <v>0</v>
      </c>
    </row>
    <row r="209" ht="17" customHeight="1">
      <c r="B209" s="5" t="inlineStr">
        <is>
          <t>一人暮らし・グループホーム体験</t>
        </is>
      </c>
      <c r="C209" s="20">
        <f>'集計_障がい別'!$G$306</f>
        <v>0.0344827586206897</v>
      </c>
      <c r="D209" s="20">
        <f>'集計_障がい別'!$H$306</f>
        <v>0</v>
      </c>
      <c r="E209" s="20">
        <f>'集計_障がい別'!$I$306</f>
        <v>0</v>
      </c>
    </row>
    <row r="210" ht="17" customHeight="1">
      <c r="B210" s="5" t="inlineStr">
        <is>
          <t>制度を知らない</t>
        </is>
      </c>
      <c r="C210" s="20">
        <f>'集計_障がい別'!$G$309</f>
        <v>0.137931034482759</v>
      </c>
      <c r="D210" s="20">
        <f>'集計_障がい別'!$H$309</f>
        <v>0.5</v>
      </c>
      <c r="E210" s="20">
        <f>'集計_障がい別'!$I$309</f>
        <v>0.333333333333333</v>
      </c>
    </row>
    <row r="211" ht="17" customHeight="1">
      <c r="B211" s="5" t="inlineStr">
        <is>
          <t>特にない</t>
        </is>
      </c>
      <c r="C211" s="20">
        <f>'集計_障がい別'!$G$310</f>
        <v>0.172413793103448</v>
      </c>
      <c r="D211" s="20">
        <f>'集計_障がい別'!$H$310</f>
        <v>0</v>
      </c>
      <c r="E211" s="20">
        <f>'集計_障がい別'!$I$310</f>
        <v>0</v>
      </c>
    </row>
    <row r="212" ht="17" customHeight="1">
      <c r="B212" s="5" t="inlineStr">
        <is>
          <t>無回答</t>
        </is>
      </c>
      <c r="C212" s="20">
        <f>'集計_障がい別'!$G$312</f>
        <v>0.172413793103448</v>
      </c>
      <c r="D212" s="20">
        <f>'集計_障がい別'!$H$312</f>
        <v>0</v>
      </c>
      <c r="E212" s="20">
        <f>'集計_障がい別'!$I$312</f>
        <v>0.166666666666667</v>
      </c>
    </row>
    <row r="213" ht="15" customHeight="1">
      <c r="B213" s="17" t="inlineStr">
        <is>
          <t>※いずれの区分にも回答のなかった選択肢は省略しています。</t>
        </is>
      </c>
    </row>
    <row r="214"/>
    <row r="215"/>
    <row r="216"/>
    <row r="217"/>
    <row r="218"/>
    <row r="219"/>
    <row r="220"/>
    <row r="221"/>
    <row r="222"/>
    <row r="223"/>
    <row r="224"/>
    <row r="225"/>
    <row r="226"/>
    <row r="227"/>
    <row r="228"/>
    <row r="229"/>
    <row r="232" ht="21" customHeight="1">
      <c r="B232" s="7" t="inlineStr">
        <is>
          <t>図3-56　福祉サービスの満足度（問30）</t>
        </is>
      </c>
    </row>
    <row r="233">
      <c r="B233" s="18" t="str">
        <f>"n="&amp;'集計_障がい者'!$F$312&amp;"（単一回答）"</f>
        <v>n=40（単一回答）</v>
      </c>
    </row>
    <row r="234" ht="18" customHeight="1">
      <c r="B234" s="3" t="inlineStr">
        <is>
          <t>選択肢</t>
        </is>
      </c>
      <c r="C234" s="3" t="inlineStr">
        <is>
          <t>件数</t>
        </is>
      </c>
      <c r="D234" s="3" t="inlineStr">
        <is>
          <t>割合</t>
        </is>
      </c>
    </row>
    <row r="235" ht="17" customHeight="1">
      <c r="B235" s="5" t="inlineStr">
        <is>
          <t>満足している</t>
        </is>
      </c>
      <c r="C235" s="19">
        <f>'集計_障がい者'!$D$312</f>
        <v>14</v>
      </c>
      <c r="D235" s="20">
        <f>'集計_障がい者'!$E$312</f>
        <v>0.35</v>
      </c>
    </row>
    <row r="236" ht="17" customHeight="1">
      <c r="B236" s="5" t="inlineStr">
        <is>
          <t>適切なサービスがわからない</t>
        </is>
      </c>
      <c r="C236" s="19">
        <f>'集計_障がい者'!$D$313</f>
        <v>3</v>
      </c>
      <c r="D236" s="20">
        <f>'集計_障がい者'!$E$313</f>
        <v>0.075</v>
      </c>
    </row>
    <row r="237" ht="17" customHeight="1">
      <c r="B237" s="5" t="inlineStr">
        <is>
          <t>サービスの量が足りない</t>
        </is>
      </c>
      <c r="C237" s="19">
        <f>'集計_障がい者'!$D$314</f>
        <v>1</v>
      </c>
      <c r="D237" s="20">
        <f>'集計_障がい者'!$E$314</f>
        <v>0.025</v>
      </c>
    </row>
    <row r="238" ht="17" customHeight="1">
      <c r="B238" s="5" t="inlineStr">
        <is>
          <t>サービスの質がよくない</t>
        </is>
      </c>
      <c r="C238" s="19">
        <f>'集計_障がい者'!$D$315</f>
        <v>0</v>
      </c>
      <c r="D238" s="20">
        <f>'集計_障がい者'!$E$315</f>
        <v>0</v>
      </c>
    </row>
    <row r="239" ht="17" customHeight="1">
      <c r="B239" s="5" t="inlineStr">
        <is>
          <t>利用できる事業所が少ない</t>
        </is>
      </c>
      <c r="C239" s="19">
        <f>'集計_障がい者'!$D$316</f>
        <v>1</v>
      </c>
      <c r="D239" s="20">
        <f>'集計_障がい者'!$E$316</f>
        <v>0.025</v>
      </c>
    </row>
    <row r="240" ht="17" customHeight="1">
      <c r="B240" s="5" t="inlineStr">
        <is>
          <t>サービスの使い方がわからない</t>
        </is>
      </c>
      <c r="C240" s="19">
        <f>'集計_障がい者'!$D$317</f>
        <v>3</v>
      </c>
      <c r="D240" s="20">
        <f>'集計_障がい者'!$E$317</f>
        <v>0.075</v>
      </c>
    </row>
    <row r="241" ht="17" customHeight="1">
      <c r="B241" s="5" t="inlineStr">
        <is>
          <t>利用していない</t>
        </is>
      </c>
      <c r="C241" s="19">
        <f>'集計_障がい者'!$D$318</f>
        <v>12</v>
      </c>
      <c r="D241" s="20">
        <f>'集計_障がい者'!$E$318</f>
        <v>0.3</v>
      </c>
    </row>
    <row r="242" ht="17" customHeight="1">
      <c r="B242" s="5" t="inlineStr">
        <is>
          <t>無回答</t>
        </is>
      </c>
      <c r="C242" s="19">
        <f>'集計_障がい者'!$D$319</f>
        <v>6</v>
      </c>
      <c r="D242" s="20">
        <f>'集計_障がい者'!$E$319</f>
        <v>0.15</v>
      </c>
    </row>
    <row r="243"/>
    <row r="246" ht="21" customHeight="1">
      <c r="B246" s="7" t="inlineStr">
        <is>
          <t>図3-57　福祉サービスの満足度【障がい別】（問30）</t>
        </is>
      </c>
    </row>
    <row r="247"/>
    <row r="248" ht="44" customHeight="1">
      <c r="B248" s="3" t="inlineStr">
        <is>
          <t>区分</t>
        </is>
      </c>
      <c r="C248" s="3" t="inlineStr">
        <is>
          <t>満足している</t>
        </is>
      </c>
      <c r="D248" s="3" t="inlineStr">
        <is>
          <t>適切なサービスがわからない</t>
        </is>
      </c>
      <c r="E248" s="3" t="inlineStr">
        <is>
          <t>サービスの量が足りない</t>
        </is>
      </c>
      <c r="F248" s="3" t="inlineStr">
        <is>
          <t>サービスの質がよくない</t>
        </is>
      </c>
      <c r="G248" s="3" t="inlineStr">
        <is>
          <t>利用できる事業所が少ない</t>
        </is>
      </c>
      <c r="H248" s="3" t="inlineStr">
        <is>
          <t>サービスの使い方がわからない</t>
        </is>
      </c>
      <c r="I248" s="3" t="inlineStr">
        <is>
          <t>利用していない</t>
        </is>
      </c>
      <c r="J248" s="3" t="inlineStr">
        <is>
          <t>無回答</t>
        </is>
      </c>
    </row>
    <row r="249" ht="17" customHeight="1">
      <c r="B249" s="5" t="inlineStr">
        <is>
          <t>全体</t>
        </is>
      </c>
      <c r="C249" s="20">
        <f>'集計_障がい者'!$E$312</f>
        <v>0.35</v>
      </c>
      <c r="D249" s="20">
        <f>'集計_障がい者'!$E$313</f>
        <v>0.075</v>
      </c>
      <c r="E249" s="20">
        <f>'集計_障がい者'!$E$314</f>
        <v>0.025</v>
      </c>
      <c r="F249" s="20">
        <f>'集計_障がい者'!$E$315</f>
        <v>0</v>
      </c>
      <c r="G249" s="20">
        <f>'集計_障がい者'!$E$316</f>
        <v>0.025</v>
      </c>
      <c r="H249" s="20">
        <f>'集計_障がい者'!$E$317</f>
        <v>0.075</v>
      </c>
      <c r="I249" s="20">
        <f>'集計_障がい者'!$E$318</f>
        <v>0.3</v>
      </c>
      <c r="J249" s="20">
        <f>'集計_障がい者'!$E$319</f>
        <v>0.15</v>
      </c>
    </row>
    <row r="250" ht="17" customHeight="1">
      <c r="B250" s="5" t="inlineStr">
        <is>
          <t>身体障がい（n=29）</t>
        </is>
      </c>
      <c r="C250" s="20">
        <f>'集計_障がい別'!$G$313</f>
        <v>0.344827586206897</v>
      </c>
      <c r="D250" s="20">
        <f>'集計_障がい別'!$G$314</f>
        <v>0.0689655172413793</v>
      </c>
      <c r="E250" s="20">
        <f>'集計_障がい別'!$G$315</f>
        <v>0.0344827586206897</v>
      </c>
      <c r="F250" s="20">
        <f>'集計_障がい別'!$G$316</f>
        <v>0</v>
      </c>
      <c r="G250" s="20">
        <f>'集計_障がい別'!$G$317</f>
        <v>0.0344827586206897</v>
      </c>
      <c r="H250" s="20">
        <f>'集計_障がい別'!$G$318</f>
        <v>0.0689655172413793</v>
      </c>
      <c r="I250" s="20">
        <f>'集計_障がい別'!$G$319</f>
        <v>0.310344827586207</v>
      </c>
      <c r="J250" s="20">
        <f>'集計_障がい別'!$G$320</f>
        <v>0.137931034482759</v>
      </c>
    </row>
    <row r="251" ht="17" customHeight="1">
      <c r="B251" s="5" t="inlineStr">
        <is>
          <t>知的障がい（n=2）</t>
        </is>
      </c>
      <c r="C251" s="20">
        <f>'集計_障がい別'!$H$313</f>
        <v>1</v>
      </c>
      <c r="D251" s="20">
        <f>'集計_障がい別'!$H$314</f>
        <v>0</v>
      </c>
      <c r="E251" s="20">
        <f>'集計_障がい別'!$H$315</f>
        <v>0</v>
      </c>
      <c r="F251" s="20">
        <f>'集計_障がい別'!$H$316</f>
        <v>0</v>
      </c>
      <c r="G251" s="20">
        <f>'集計_障がい別'!$H$317</f>
        <v>0</v>
      </c>
      <c r="H251" s="20">
        <f>'集計_障がい別'!$H$318</f>
        <v>0</v>
      </c>
      <c r="I251" s="20">
        <f>'集計_障がい別'!$H$319</f>
        <v>0</v>
      </c>
      <c r="J251" s="20">
        <f>'集計_障がい別'!$H$320</f>
        <v>0</v>
      </c>
    </row>
    <row r="252" ht="17" customHeight="1">
      <c r="B252" s="5" t="inlineStr">
        <is>
          <t>精神障がい（n=6）</t>
        </is>
      </c>
      <c r="C252" s="20">
        <f>'集計_障がい別'!$I$313</f>
        <v>0.333333333333333</v>
      </c>
      <c r="D252" s="20">
        <f>'集計_障がい別'!$I$314</f>
        <v>0.166666666666667</v>
      </c>
      <c r="E252" s="20">
        <f>'集計_障がい別'!$I$315</f>
        <v>0</v>
      </c>
      <c r="F252" s="20">
        <f>'集計_障がい別'!$I$316</f>
        <v>0</v>
      </c>
      <c r="G252" s="20">
        <f>'集計_障がい別'!$I$317</f>
        <v>0</v>
      </c>
      <c r="H252" s="20">
        <f>'集計_障がい別'!$I$318</f>
        <v>0.166666666666667</v>
      </c>
      <c r="I252" s="20">
        <f>'集計_障がい別'!$I$319</f>
        <v>0.166666666666667</v>
      </c>
      <c r="J252" s="20">
        <f>'集計_障がい別'!$I$320</f>
        <v>0.166666666666667</v>
      </c>
    </row>
    <row r="253"/>
    <row r="254"/>
    <row r="255"/>
    <row r="256"/>
  </sheetData>
  <mergeCells count="10">
    <mergeCell ref="B46:D46"/>
    <mergeCell ref="B3:B4"/>
    <mergeCell ref="B213:E213"/>
    <mergeCell ref="I3:I4"/>
    <mergeCell ref="B109:H109"/>
    <mergeCell ref="B133:E133"/>
    <mergeCell ref="C3:D3"/>
    <mergeCell ref="G3:H3"/>
    <mergeCell ref="E3:F3"/>
    <mergeCell ref="B26:I26"/>
  </mergeCells>
  <conditionalFormatting sqref="I6:I23">
    <cfRule type="cellIs" priority="1" operator="greaterThanOrEqual" dxfId="0">
      <formula>5</formula>
    </cfRule>
  </conditionalFormatting>
  <conditionalFormatting sqref="C89:H107">
    <cfRule type="colorScale" priority="2">
      <colorScale>
        <cfvo type="num" val="0"/>
        <cfvo type="num" val="1"/>
        <color rgb="00FFFFFF"/>
        <color rgb="009A9A9A"/>
      </colorScale>
    </cfRule>
  </conditionalFormatting>
  <conditionalFormatting sqref="C113:E131">
    <cfRule type="colorScale" priority="3">
      <colorScale>
        <cfvo type="num" val="0"/>
        <cfvo type="num" val="1"/>
        <color rgb="00FFFFFF"/>
        <color rgb="009A9A9A"/>
      </colorScale>
    </cfRule>
  </conditionalFormatting>
  <pageMargins left="0.75" right="0.75" top="1" bottom="1"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B2:L245"/>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図3-58　現在の日中の過ごし方（問31）</t>
        </is>
      </c>
    </row>
    <row r="3">
      <c r="B3" s="18" t="str">
        <f>"n="&amp;'集計_障がい者'!$F$320&amp;"（単一回答）"</f>
        <v>n=40（単一回答）</v>
      </c>
    </row>
    <row r="4" ht="18" customHeight="1">
      <c r="B4" s="3" t="inlineStr">
        <is>
          <t>選択肢</t>
        </is>
      </c>
      <c r="C4" s="3" t="inlineStr">
        <is>
          <t>件数</t>
        </is>
      </c>
      <c r="D4" s="3" t="inlineStr">
        <is>
          <t>割合</t>
        </is>
      </c>
    </row>
    <row r="5" ht="17" customHeight="1">
      <c r="B5" s="5" t="inlineStr">
        <is>
          <t>一般企業等で働いている</t>
        </is>
      </c>
      <c r="C5" s="19">
        <f>'集計_障がい者'!$D$320</f>
        <v>3</v>
      </c>
      <c r="D5" s="20">
        <f>'集計_障がい者'!$E$320</f>
        <v>0.075</v>
      </c>
    </row>
    <row r="6" ht="17" customHeight="1">
      <c r="B6" s="5" t="inlineStr">
        <is>
          <t>自営業・農業等をしている</t>
        </is>
      </c>
      <c r="C6" s="19">
        <f>'集計_障がい者'!$D$321</f>
        <v>4</v>
      </c>
      <c r="D6" s="20">
        <f>'集計_障がい者'!$E$321</f>
        <v>0.1</v>
      </c>
    </row>
    <row r="7" ht="17" customHeight="1">
      <c r="B7" s="5" t="inlineStr">
        <is>
          <t>就労継続支援A型を利用</t>
        </is>
      </c>
      <c r="C7" s="19">
        <f>'集計_障がい者'!$D$322</f>
        <v>0</v>
      </c>
      <c r="D7" s="20">
        <f>'集計_障がい者'!$E$322</f>
        <v>0</v>
      </c>
    </row>
    <row r="8" ht="17" customHeight="1">
      <c r="B8" s="5" t="inlineStr">
        <is>
          <t>就労継続支援B型を利用</t>
        </is>
      </c>
      <c r="C8" s="19">
        <f>'集計_障がい者'!$D$323</f>
        <v>2</v>
      </c>
      <c r="D8" s="20">
        <f>'集計_障がい者'!$E$323</f>
        <v>0.05</v>
      </c>
    </row>
    <row r="9" ht="17" customHeight="1">
      <c r="B9" s="5" t="inlineStr">
        <is>
          <t>生活介護を利用</t>
        </is>
      </c>
      <c r="C9" s="19">
        <f>'集計_障がい者'!$D$324</f>
        <v>2</v>
      </c>
      <c r="D9" s="20">
        <f>'集計_障がい者'!$E$324</f>
        <v>0.05</v>
      </c>
    </row>
    <row r="10" ht="17" customHeight="1">
      <c r="B10" s="5" t="inlineStr">
        <is>
          <t>学校に通っている</t>
        </is>
      </c>
      <c r="C10" s="19">
        <f>'集計_障がい者'!$D$325</f>
        <v>0</v>
      </c>
      <c r="D10" s="20">
        <f>'集計_障がい者'!$E$325</f>
        <v>0</v>
      </c>
    </row>
    <row r="11" ht="17" customHeight="1">
      <c r="B11" s="5" t="inlineStr">
        <is>
          <t>自宅で過ごすことが多い</t>
        </is>
      </c>
      <c r="C11" s="19">
        <f>'集計_障がい者'!$D$326</f>
        <v>15</v>
      </c>
      <c r="D11" s="20">
        <f>'集計_障がい者'!$E$326</f>
        <v>0.375</v>
      </c>
    </row>
    <row r="12" ht="17" customHeight="1">
      <c r="B12" s="5" t="inlineStr">
        <is>
          <t>入院・入所中</t>
        </is>
      </c>
      <c r="C12" s="19">
        <f>'集計_障がい者'!$D$327</f>
        <v>5</v>
      </c>
      <c r="D12" s="20">
        <f>'集計_障がい者'!$E$327</f>
        <v>0.125</v>
      </c>
    </row>
    <row r="13" ht="17" customHeight="1">
      <c r="B13" s="5" t="inlineStr">
        <is>
          <t>その他</t>
        </is>
      </c>
      <c r="C13" s="19">
        <f>'集計_障がい者'!$D$328</f>
        <v>5</v>
      </c>
      <c r="D13" s="20">
        <f>'集計_障がい者'!$E$328</f>
        <v>0.125</v>
      </c>
    </row>
    <row r="14" ht="17" customHeight="1">
      <c r="B14" s="5" t="inlineStr">
        <is>
          <t>無回答</t>
        </is>
      </c>
      <c r="C14" s="19">
        <f>'集計_障がい者'!$D$329</f>
        <v>4</v>
      </c>
      <c r="D14" s="20">
        <f>'集計_障がい者'!$E$329</f>
        <v>0.1</v>
      </c>
    </row>
    <row r="15"/>
    <row r="18" ht="21" customHeight="1">
      <c r="B18" s="7" t="inlineStr">
        <is>
          <t>図3-59　現在の日中の過ごし方【障がい別】（問31）</t>
        </is>
      </c>
    </row>
    <row r="19"/>
    <row r="20" ht="44" customHeight="1">
      <c r="B20" s="3" t="inlineStr">
        <is>
          <t>区分</t>
        </is>
      </c>
      <c r="C20" s="3" t="inlineStr">
        <is>
          <t>一般企業等で働いている</t>
        </is>
      </c>
      <c r="D20" s="3" t="inlineStr">
        <is>
          <t>自営業・農業等をしている</t>
        </is>
      </c>
      <c r="E20" s="3" t="inlineStr">
        <is>
          <t>就労継続支援A型を利用</t>
        </is>
      </c>
      <c r="F20" s="3" t="inlineStr">
        <is>
          <t>就労継続支援B型を利用</t>
        </is>
      </c>
      <c r="G20" s="3" t="inlineStr">
        <is>
          <t>生活介護を利用</t>
        </is>
      </c>
      <c r="H20" s="3" t="inlineStr">
        <is>
          <t>学校に通っている</t>
        </is>
      </c>
      <c r="I20" s="3" t="inlineStr">
        <is>
          <t>自宅で過ごすことが多い</t>
        </is>
      </c>
      <c r="J20" s="3" t="inlineStr">
        <is>
          <t>入院・入所中</t>
        </is>
      </c>
      <c r="K20" s="3" t="inlineStr">
        <is>
          <t>その他</t>
        </is>
      </c>
      <c r="L20" s="3" t="inlineStr">
        <is>
          <t>無回答</t>
        </is>
      </c>
    </row>
    <row r="21" ht="17" customHeight="1">
      <c r="B21" s="5" t="inlineStr">
        <is>
          <t>全体</t>
        </is>
      </c>
      <c r="C21" s="20">
        <f>'集計_障がい者'!$E$320</f>
        <v>0.075</v>
      </c>
      <c r="D21" s="20">
        <f>'集計_障がい者'!$E$321</f>
        <v>0.1</v>
      </c>
      <c r="E21" s="20">
        <f>'集計_障がい者'!$E$322</f>
        <v>0</v>
      </c>
      <c r="F21" s="20">
        <f>'集計_障がい者'!$E$323</f>
        <v>0.05</v>
      </c>
      <c r="G21" s="20">
        <f>'集計_障がい者'!$E$324</f>
        <v>0.05</v>
      </c>
      <c r="H21" s="20">
        <f>'集計_障がい者'!$E$325</f>
        <v>0</v>
      </c>
      <c r="I21" s="20">
        <f>'集計_障がい者'!$E$326</f>
        <v>0.375</v>
      </c>
      <c r="J21" s="20">
        <f>'集計_障がい者'!$E$327</f>
        <v>0.125</v>
      </c>
      <c r="K21" s="20">
        <f>'集計_障がい者'!$E$328</f>
        <v>0.125</v>
      </c>
      <c r="L21" s="20">
        <f>'集計_障がい者'!$E$329</f>
        <v>0.1</v>
      </c>
    </row>
    <row r="22" ht="17" customHeight="1">
      <c r="B22" s="5" t="inlineStr">
        <is>
          <t>身体障がい（n=29）</t>
        </is>
      </c>
      <c r="C22" s="20">
        <f>'集計_障がい別'!$G$321</f>
        <v>0.0689655172413793</v>
      </c>
      <c r="D22" s="20">
        <f>'集計_障がい別'!$G$322</f>
        <v>0.103448275862069</v>
      </c>
      <c r="E22" s="20">
        <f>'集計_障がい別'!$G$323</f>
        <v>0</v>
      </c>
      <c r="F22" s="20">
        <f>'集計_障がい別'!$G$324</f>
        <v>0.0344827586206897</v>
      </c>
      <c r="G22" s="20">
        <f>'集計_障がい別'!$G$325</f>
        <v>0.0344827586206897</v>
      </c>
      <c r="H22" s="20">
        <f>'集計_障がい別'!$G$326</f>
        <v>0</v>
      </c>
      <c r="I22" s="20">
        <f>'集計_障がい別'!$G$327</f>
        <v>0.344827586206897</v>
      </c>
      <c r="J22" s="20">
        <f>'集計_障がい別'!$G$328</f>
        <v>0.137931034482759</v>
      </c>
      <c r="K22" s="20">
        <f>'集計_障がい別'!$G$329</f>
        <v>0.137931034482759</v>
      </c>
      <c r="L22" s="20">
        <f>'集計_障がい別'!$G$330</f>
        <v>0.137931034482759</v>
      </c>
    </row>
    <row r="23" ht="17" customHeight="1">
      <c r="B23" s="5" t="inlineStr">
        <is>
          <t>知的障がい（n=2）</t>
        </is>
      </c>
      <c r="C23" s="20">
        <f>'集計_障がい別'!$H$321</f>
        <v>0</v>
      </c>
      <c r="D23" s="20">
        <f>'集計_障がい別'!$H$322</f>
        <v>0</v>
      </c>
      <c r="E23" s="20">
        <f>'集計_障がい別'!$H$323</f>
        <v>0</v>
      </c>
      <c r="F23" s="20">
        <f>'集計_障がい別'!$H$324</f>
        <v>0</v>
      </c>
      <c r="G23" s="20">
        <f>'集計_障がい別'!$H$325</f>
        <v>0.5</v>
      </c>
      <c r="H23" s="20">
        <f>'集計_障がい別'!$H$326</f>
        <v>0</v>
      </c>
      <c r="I23" s="20">
        <f>'集計_障がい別'!$H$327</f>
        <v>0</v>
      </c>
      <c r="J23" s="20">
        <f>'集計_障がい別'!$H$328</f>
        <v>0.5</v>
      </c>
      <c r="K23" s="20">
        <f>'集計_障がい別'!$H$329</f>
        <v>0</v>
      </c>
      <c r="L23" s="20">
        <f>'集計_障がい別'!$H$330</f>
        <v>0</v>
      </c>
    </row>
    <row r="24" ht="17" customHeight="1">
      <c r="B24" s="5" t="inlineStr">
        <is>
          <t>精神障がい（n=6）</t>
        </is>
      </c>
      <c r="C24" s="20">
        <f>'集計_障がい別'!$I$321</f>
        <v>0</v>
      </c>
      <c r="D24" s="20">
        <f>'集計_障がい別'!$I$322</f>
        <v>0</v>
      </c>
      <c r="E24" s="20">
        <f>'集計_障がい別'!$I$323</f>
        <v>0</v>
      </c>
      <c r="F24" s="20">
        <f>'集計_障がい別'!$I$324</f>
        <v>0.166666666666667</v>
      </c>
      <c r="G24" s="20">
        <f>'集計_障がい別'!$I$325</f>
        <v>0</v>
      </c>
      <c r="H24" s="20">
        <f>'集計_障がい別'!$I$326</f>
        <v>0</v>
      </c>
      <c r="I24" s="20">
        <f>'集計_障がい別'!$I$327</f>
        <v>0.5</v>
      </c>
      <c r="J24" s="20">
        <f>'集計_障がい別'!$I$328</f>
        <v>0.166666666666667</v>
      </c>
      <c r="K24" s="20">
        <f>'集計_障がい別'!$I$329</f>
        <v>0.166666666666667</v>
      </c>
      <c r="L24" s="20">
        <f>'集計_障がい別'!$I$330</f>
        <v>0</v>
      </c>
    </row>
    <row r="25"/>
    <row r="26"/>
    <row r="27"/>
    <row r="28"/>
    <row r="31" ht="21" customHeight="1">
      <c r="B31" s="7" t="inlineStr">
        <is>
          <t>図3-60　今後希望する日中活動・働き方（問32）</t>
        </is>
      </c>
    </row>
    <row r="32">
      <c r="B32" s="18" t="str">
        <f>"n="&amp;'集計_障がい者'!$F$330&amp;"（単一回答）"</f>
        <v>n=40（単一回答）</v>
      </c>
    </row>
    <row r="33" ht="18" customHeight="1">
      <c r="B33" s="3" t="inlineStr">
        <is>
          <t>選択肢</t>
        </is>
      </c>
      <c r="C33" s="3" t="inlineStr">
        <is>
          <t>件数</t>
        </is>
      </c>
      <c r="D33" s="3" t="inlineStr">
        <is>
          <t>割合</t>
        </is>
      </c>
    </row>
    <row r="34" ht="17" customHeight="1">
      <c r="B34" s="5" t="inlineStr">
        <is>
          <t>一般企業等で働きたい</t>
        </is>
      </c>
      <c r="C34" s="19">
        <f>'集計_障がい者'!$D$330</f>
        <v>1</v>
      </c>
      <c r="D34" s="20">
        <f>'集計_障がい者'!$E$330</f>
        <v>0.025</v>
      </c>
    </row>
    <row r="35" ht="17" customHeight="1">
      <c r="B35" s="5" t="inlineStr">
        <is>
          <t>短時間・体調に合わせて働きたい</t>
        </is>
      </c>
      <c r="C35" s="19">
        <f>'集計_障がい者'!$D$331</f>
        <v>3</v>
      </c>
      <c r="D35" s="20">
        <f>'集計_障がい者'!$E$331</f>
        <v>0.075</v>
      </c>
    </row>
    <row r="36" ht="17" customHeight="1">
      <c r="B36" s="5" t="inlineStr">
        <is>
          <t>就労継続支援A型を利用したい</t>
        </is>
      </c>
      <c r="C36" s="19">
        <f>'集計_障がい者'!$D$332</f>
        <v>0</v>
      </c>
      <c r="D36" s="20">
        <f>'集計_障がい者'!$E$332</f>
        <v>0</v>
      </c>
    </row>
    <row r="37" ht="17" customHeight="1">
      <c r="B37" s="5" t="inlineStr">
        <is>
          <t>就労継続支援B型を利用したい</t>
        </is>
      </c>
      <c r="C37" s="19">
        <f>'集計_障がい者'!$D$333</f>
        <v>1</v>
      </c>
      <c r="D37" s="20">
        <f>'集計_障がい者'!$E$333</f>
        <v>0.025</v>
      </c>
    </row>
    <row r="38" ht="17" customHeight="1">
      <c r="B38" s="5" t="inlineStr">
        <is>
          <t>生活介護を利用したい</t>
        </is>
      </c>
      <c r="C38" s="19">
        <f>'集計_障がい者'!$D$334</f>
        <v>2</v>
      </c>
      <c r="D38" s="20">
        <f>'集計_障がい者'!$E$334</f>
        <v>0.05</v>
      </c>
    </row>
    <row r="39" ht="17" customHeight="1">
      <c r="B39" s="5" t="inlineStr">
        <is>
          <t>訓練を受けたい</t>
        </is>
      </c>
      <c r="C39" s="19">
        <f>'集計_障がい者'!$D$335</f>
        <v>0</v>
      </c>
      <c r="D39" s="20">
        <f>'集計_障がい者'!$E$335</f>
        <v>0</v>
      </c>
    </row>
    <row r="40" ht="17" customHeight="1">
      <c r="B40" s="5" t="inlineStr">
        <is>
          <t>今のままでよい</t>
        </is>
      </c>
      <c r="C40" s="19">
        <f>'集計_障がい者'!$D$336</f>
        <v>22</v>
      </c>
      <c r="D40" s="20">
        <f>'集計_障がい者'!$E$336</f>
        <v>0.55</v>
      </c>
    </row>
    <row r="41" ht="17" customHeight="1">
      <c r="B41" s="5" t="inlineStr">
        <is>
          <t>まだわからない</t>
        </is>
      </c>
      <c r="C41" s="19">
        <f>'集計_障がい者'!$D$337</f>
        <v>3</v>
      </c>
      <c r="D41" s="20">
        <f>'集計_障がい者'!$E$337</f>
        <v>0.075</v>
      </c>
    </row>
    <row r="42" ht="17" customHeight="1">
      <c r="B42" s="5" t="inlineStr">
        <is>
          <t>その他</t>
        </is>
      </c>
      <c r="C42" s="19">
        <f>'集計_障がい者'!$D$338</f>
        <v>2</v>
      </c>
      <c r="D42" s="20">
        <f>'集計_障がい者'!$E$338</f>
        <v>0.05</v>
      </c>
    </row>
    <row r="43" ht="17" customHeight="1">
      <c r="B43" s="5" t="inlineStr">
        <is>
          <t>無回答</t>
        </is>
      </c>
      <c r="C43" s="19">
        <f>'集計_障がい者'!$D$339</f>
        <v>6</v>
      </c>
      <c r="D43" s="20">
        <f>'集計_障がい者'!$E$339</f>
        <v>0.15</v>
      </c>
    </row>
    <row r="44"/>
    <row r="47" ht="21" customHeight="1">
      <c r="B47" s="7" t="inlineStr">
        <is>
          <t>図3-61　今後希望する日中活動・働き方【障がい別】（問32）</t>
        </is>
      </c>
    </row>
    <row r="48"/>
    <row r="49" ht="44" customHeight="1">
      <c r="B49" s="3" t="inlineStr">
        <is>
          <t>区分</t>
        </is>
      </c>
      <c r="C49" s="3" t="inlineStr">
        <is>
          <t>一般企業等で働きたい</t>
        </is>
      </c>
      <c r="D49" s="3" t="inlineStr">
        <is>
          <t>短時間・体調に合わせて働きたい</t>
        </is>
      </c>
      <c r="E49" s="3" t="inlineStr">
        <is>
          <t>就労継続支援A型を利用したい</t>
        </is>
      </c>
      <c r="F49" s="3" t="inlineStr">
        <is>
          <t>就労継続支援B型を利用したい</t>
        </is>
      </c>
      <c r="G49" s="3" t="inlineStr">
        <is>
          <t>生活介護を利用したい</t>
        </is>
      </c>
      <c r="H49" s="3" t="inlineStr">
        <is>
          <t>訓練を受けたい</t>
        </is>
      </c>
      <c r="I49" s="3" t="inlineStr">
        <is>
          <t>今のままでよい</t>
        </is>
      </c>
      <c r="J49" s="3" t="inlineStr">
        <is>
          <t>まだわからない</t>
        </is>
      </c>
      <c r="K49" s="3" t="inlineStr">
        <is>
          <t>その他</t>
        </is>
      </c>
      <c r="L49" s="3" t="inlineStr">
        <is>
          <t>無回答</t>
        </is>
      </c>
    </row>
    <row r="50" ht="17" customHeight="1">
      <c r="B50" s="5" t="inlineStr">
        <is>
          <t>全体</t>
        </is>
      </c>
      <c r="C50" s="20">
        <f>'集計_障がい者'!$E$330</f>
        <v>0.025</v>
      </c>
      <c r="D50" s="20">
        <f>'集計_障がい者'!$E$331</f>
        <v>0.075</v>
      </c>
      <c r="E50" s="20">
        <f>'集計_障がい者'!$E$332</f>
        <v>0</v>
      </c>
      <c r="F50" s="20">
        <f>'集計_障がい者'!$E$333</f>
        <v>0.025</v>
      </c>
      <c r="G50" s="20">
        <f>'集計_障がい者'!$E$334</f>
        <v>0.05</v>
      </c>
      <c r="H50" s="20">
        <f>'集計_障がい者'!$E$335</f>
        <v>0</v>
      </c>
      <c r="I50" s="20">
        <f>'集計_障がい者'!$E$336</f>
        <v>0.55</v>
      </c>
      <c r="J50" s="20">
        <f>'集計_障がい者'!$E$337</f>
        <v>0.075</v>
      </c>
      <c r="K50" s="20">
        <f>'集計_障がい者'!$E$338</f>
        <v>0.05</v>
      </c>
      <c r="L50" s="20">
        <f>'集計_障がい者'!$E$339</f>
        <v>0.15</v>
      </c>
    </row>
    <row r="51" ht="17" customHeight="1">
      <c r="B51" s="5" t="inlineStr">
        <is>
          <t>身体障がい（n=29）</t>
        </is>
      </c>
      <c r="C51" s="20">
        <f>'集計_障がい別'!$G$331</f>
        <v>0.0344827586206897</v>
      </c>
      <c r="D51" s="20">
        <f>'集計_障がい別'!$G$332</f>
        <v>0.0344827586206897</v>
      </c>
      <c r="E51" s="20">
        <f>'集計_障がい別'!$G$333</f>
        <v>0</v>
      </c>
      <c r="F51" s="20">
        <f>'集計_障がい別'!$G$334</f>
        <v>0.0344827586206897</v>
      </c>
      <c r="G51" s="20">
        <f>'集計_障がい別'!$G$335</f>
        <v>0.0344827586206897</v>
      </c>
      <c r="H51" s="20">
        <f>'集計_障がい別'!$G$336</f>
        <v>0</v>
      </c>
      <c r="I51" s="20">
        <f>'集計_障がい別'!$G$337</f>
        <v>0.551724137931035</v>
      </c>
      <c r="J51" s="20">
        <f>'集計_障がい別'!$G$338</f>
        <v>0.0689655172413793</v>
      </c>
      <c r="K51" s="20">
        <f>'集計_障がい別'!$G$339</f>
        <v>0.0344827586206897</v>
      </c>
      <c r="L51" s="20">
        <f>'集計_障がい別'!$G$340</f>
        <v>0.206896551724138</v>
      </c>
    </row>
    <row r="52" ht="17" customHeight="1">
      <c r="B52" s="5" t="inlineStr">
        <is>
          <t>知的障がい（n=2）</t>
        </is>
      </c>
      <c r="C52" s="20">
        <f>'集計_障がい別'!$H$331</f>
        <v>0</v>
      </c>
      <c r="D52" s="20">
        <f>'集計_障がい別'!$H$332</f>
        <v>0</v>
      </c>
      <c r="E52" s="20">
        <f>'集計_障がい別'!$H$333</f>
        <v>0</v>
      </c>
      <c r="F52" s="20">
        <f>'集計_障がい別'!$H$334</f>
        <v>0</v>
      </c>
      <c r="G52" s="20">
        <f>'集計_障がい別'!$H$335</f>
        <v>0</v>
      </c>
      <c r="H52" s="20">
        <f>'集計_障がい別'!$H$336</f>
        <v>0</v>
      </c>
      <c r="I52" s="20">
        <f>'集計_障がい別'!$H$337</f>
        <v>1</v>
      </c>
      <c r="J52" s="20">
        <f>'集計_障がい別'!$H$338</f>
        <v>0</v>
      </c>
      <c r="K52" s="20">
        <f>'集計_障がい別'!$H$339</f>
        <v>0</v>
      </c>
      <c r="L52" s="20">
        <f>'集計_障がい別'!$H$340</f>
        <v>0</v>
      </c>
    </row>
    <row r="53" ht="17" customHeight="1">
      <c r="B53" s="5" t="inlineStr">
        <is>
          <t>精神障がい（n=6）</t>
        </is>
      </c>
      <c r="C53" s="20">
        <f>'集計_障がい別'!$I$331</f>
        <v>0</v>
      </c>
      <c r="D53" s="20">
        <f>'集計_障がい別'!$I$332</f>
        <v>0.333333333333333</v>
      </c>
      <c r="E53" s="20">
        <f>'集計_障がい別'!$I$333</f>
        <v>0</v>
      </c>
      <c r="F53" s="20">
        <f>'集計_障がい別'!$I$334</f>
        <v>0</v>
      </c>
      <c r="G53" s="20">
        <f>'集計_障がい別'!$I$335</f>
        <v>0</v>
      </c>
      <c r="H53" s="20">
        <f>'集計_障がい別'!$I$336</f>
        <v>0</v>
      </c>
      <c r="I53" s="20">
        <f>'集計_障がい別'!$I$337</f>
        <v>0.5</v>
      </c>
      <c r="J53" s="20">
        <f>'集計_障がい別'!$I$338</f>
        <v>0</v>
      </c>
      <c r="K53" s="20">
        <f>'集計_障がい別'!$I$339</f>
        <v>0.166666666666667</v>
      </c>
      <c r="L53" s="20">
        <f>'集計_障がい別'!$I$340</f>
        <v>0</v>
      </c>
    </row>
    <row r="54"/>
    <row r="55"/>
    <row r="56"/>
    <row r="57"/>
    <row r="60" ht="21" customHeight="1">
      <c r="B60" s="7" t="inlineStr">
        <is>
          <t>図3-62　働くため・日中活動を続けるために必要な支援（問33）</t>
        </is>
      </c>
    </row>
    <row r="61">
      <c r="B61" s="18" t="str">
        <f>"n="&amp;'集計_障がい者'!$F$344&amp;"（複数回答）"</f>
        <v>n=40（複数回答）</v>
      </c>
    </row>
    <row r="62" ht="18" customHeight="1">
      <c r="B62" s="3" t="inlineStr">
        <is>
          <t>選択肢</t>
        </is>
      </c>
      <c r="C62" s="3" t="inlineStr">
        <is>
          <t>件数</t>
        </is>
      </c>
      <c r="D62" s="3" t="inlineStr">
        <is>
          <t>割合</t>
        </is>
      </c>
    </row>
    <row r="63" ht="17" customHeight="1">
      <c r="B63" s="5" t="inlineStr">
        <is>
          <t>職場の障がい理解</t>
        </is>
      </c>
      <c r="C63" s="19">
        <f>'集計_障がい者'!$D$344</f>
        <v>8</v>
      </c>
      <c r="D63" s="20">
        <f>'集計_障がい者'!$E$344</f>
        <v>0.2</v>
      </c>
    </row>
    <row r="64" ht="17" customHeight="1">
      <c r="B64" s="5" t="inlineStr">
        <is>
          <t>通勤・通所の支援</t>
        </is>
      </c>
      <c r="C64" s="19">
        <f>'集計_障がい者'!$D$342</f>
        <v>6</v>
      </c>
      <c r="D64" s="20">
        <f>'集計_障がい者'!$E$342</f>
        <v>0.15</v>
      </c>
    </row>
    <row r="65" ht="17" customHeight="1">
      <c r="B65" s="5" t="inlineStr">
        <is>
          <t>体調に合わせた勤務</t>
        </is>
      </c>
      <c r="C65" s="19">
        <f>'集計_障がい者'!$D$343</f>
        <v>6</v>
      </c>
      <c r="D65" s="20">
        <f>'集計_障がい者'!$E$343</f>
        <v>0.15</v>
      </c>
    </row>
    <row r="66" ht="17" customHeight="1">
      <c r="B66" s="5" t="inlineStr">
        <is>
          <t>職場・作業内容の体験</t>
        </is>
      </c>
      <c r="C66" s="19">
        <f>'集計_障がい者'!$D$340</f>
        <v>4</v>
      </c>
      <c r="D66" s="20">
        <f>'集計_障がい者'!$E$340</f>
        <v>0.1</v>
      </c>
    </row>
    <row r="67" ht="17" customHeight="1">
      <c r="B67" s="5" t="inlineStr">
        <is>
          <t>就労に向けた相談</t>
        </is>
      </c>
      <c r="C67" s="19">
        <f>'集計_障がい者'!$D$341</f>
        <v>4</v>
      </c>
      <c r="D67" s="20">
        <f>'集計_障がい者'!$E$341</f>
        <v>0.1</v>
      </c>
    </row>
    <row r="68" ht="17" customHeight="1">
      <c r="B68" s="5" t="inlineStr">
        <is>
          <t>生活リズムの支援</t>
        </is>
      </c>
      <c r="C68" s="19">
        <f>'集計_障がい者'!$D$346</f>
        <v>4</v>
      </c>
      <c r="D68" s="20">
        <f>'集計_障がい者'!$E$346</f>
        <v>0.1</v>
      </c>
    </row>
    <row r="69" ht="17" customHeight="1">
      <c r="B69" s="5" t="inlineStr">
        <is>
          <t>仕事後の相談・定着支援</t>
        </is>
      </c>
      <c r="C69" s="19">
        <f>'集計_障がい者'!$D$345</f>
        <v>3</v>
      </c>
      <c r="D69" s="20">
        <f>'集計_障がい者'!$E$345</f>
        <v>0.075</v>
      </c>
    </row>
    <row r="70" ht="17" customHeight="1">
      <c r="B70" s="5" t="inlineStr">
        <is>
          <t>家族への説明</t>
        </is>
      </c>
      <c r="C70" s="19">
        <f>'集計_障がい者'!$D$347</f>
        <v>0</v>
      </c>
      <c r="D70" s="20">
        <f>'集計_障がい者'!$E$347</f>
        <v>0</v>
      </c>
    </row>
    <row r="71" ht="17" customHeight="1">
      <c r="B71" s="5" t="inlineStr">
        <is>
          <t>特にない</t>
        </is>
      </c>
      <c r="C71" s="19">
        <f>'集計_障がい者'!$D$348</f>
        <v>19</v>
      </c>
      <c r="D71" s="20">
        <f>'集計_障がい者'!$E$348</f>
        <v>0.475</v>
      </c>
    </row>
    <row r="72" ht="17" customHeight="1">
      <c r="B72" s="5" t="inlineStr">
        <is>
          <t>その他</t>
        </is>
      </c>
      <c r="C72" s="19">
        <f>'集計_障がい者'!$D$349</f>
        <v>0</v>
      </c>
      <c r="D72" s="20">
        <f>'集計_障がい者'!$E$349</f>
        <v>0</v>
      </c>
    </row>
    <row r="73" ht="17" customHeight="1">
      <c r="B73" s="5" t="inlineStr">
        <is>
          <t>無回答</t>
        </is>
      </c>
      <c r="C73" s="19">
        <f>'集計_障がい者'!$D$350</f>
        <v>8</v>
      </c>
      <c r="D73" s="20">
        <f>'集計_障がい者'!$E$350</f>
        <v>0.2</v>
      </c>
    </row>
    <row r="74"/>
    <row r="77" ht="21" customHeight="1">
      <c r="B77" s="7" t="inlineStr">
        <is>
          <t>図3-63　働くため・日中活動を続けるために必要な支援【障がい別】（問33）</t>
        </is>
      </c>
    </row>
    <row r="78"/>
    <row r="79" ht="31" customHeight="1">
      <c r="B79" s="3" t="inlineStr">
        <is>
          <t>選択肢</t>
        </is>
      </c>
      <c r="C79" s="3" t="inlineStr">
        <is>
          <t>身体障がい（n=29）</t>
        </is>
      </c>
      <c r="D79" s="3" t="inlineStr">
        <is>
          <t>知的障がい（n=2）</t>
        </is>
      </c>
      <c r="E79" s="3" t="inlineStr">
        <is>
          <t>精神障がい（n=6）</t>
        </is>
      </c>
    </row>
    <row r="80" ht="17" customHeight="1">
      <c r="B80" s="5" t="inlineStr">
        <is>
          <t>職場の障がい理解</t>
        </is>
      </c>
      <c r="C80" s="20">
        <f>'集計_障がい別'!$G$345</f>
        <v>0.137931034482759</v>
      </c>
      <c r="D80" s="20">
        <f>'集計_障がい別'!$H$345</f>
        <v>0.5</v>
      </c>
      <c r="E80" s="20">
        <f>'集計_障がい別'!$I$345</f>
        <v>0.5</v>
      </c>
    </row>
    <row r="81" ht="17" customHeight="1">
      <c r="B81" s="5" t="inlineStr">
        <is>
          <t>通勤・通所の支援</t>
        </is>
      </c>
      <c r="C81" s="20">
        <f>'集計_障がい別'!$G$343</f>
        <v>0.0689655172413793</v>
      </c>
      <c r="D81" s="20">
        <f>'集計_障がい別'!$H$343</f>
        <v>0.5</v>
      </c>
      <c r="E81" s="20">
        <f>'集計_障がい別'!$I$343</f>
        <v>0.333333333333333</v>
      </c>
    </row>
    <row r="82" ht="17" customHeight="1">
      <c r="B82" s="5" t="inlineStr">
        <is>
          <t>体調に合わせた勤務</t>
        </is>
      </c>
      <c r="C82" s="20">
        <f>'集計_障がい別'!$G$344</f>
        <v>0.0689655172413793</v>
      </c>
      <c r="D82" s="20">
        <f>'集計_障がい別'!$H$344</f>
        <v>0.5</v>
      </c>
      <c r="E82" s="20">
        <f>'集計_障がい別'!$I$344</f>
        <v>0.666666666666667</v>
      </c>
    </row>
    <row r="83" ht="17" customHeight="1">
      <c r="B83" s="5" t="inlineStr">
        <is>
          <t>職場・作業内容の体験</t>
        </is>
      </c>
      <c r="C83" s="20">
        <f>'集計_障がい別'!$G$341</f>
        <v>0.0344827586206897</v>
      </c>
      <c r="D83" s="20">
        <f>'集計_障がい別'!$H$341</f>
        <v>0.5</v>
      </c>
      <c r="E83" s="20">
        <f>'集計_障がい別'!$I$341</f>
        <v>0.333333333333333</v>
      </c>
    </row>
    <row r="84" ht="17" customHeight="1">
      <c r="B84" s="5" t="inlineStr">
        <is>
          <t>就労に向けた相談</t>
        </is>
      </c>
      <c r="C84" s="20">
        <f>'集計_障がい別'!$G$342</f>
        <v>0.0689655172413793</v>
      </c>
      <c r="D84" s="20">
        <f>'集計_障がい別'!$H$342</f>
        <v>0.5</v>
      </c>
      <c r="E84" s="20">
        <f>'集計_障がい別'!$I$342</f>
        <v>0.333333333333333</v>
      </c>
    </row>
    <row r="85" ht="17" customHeight="1">
      <c r="B85" s="5" t="inlineStr">
        <is>
          <t>生活リズムの支援</t>
        </is>
      </c>
      <c r="C85" s="20">
        <f>'集計_障がい別'!$G$347</f>
        <v>0.0344827586206897</v>
      </c>
      <c r="D85" s="20">
        <f>'集計_障がい別'!$H$347</f>
        <v>0.5</v>
      </c>
      <c r="E85" s="20">
        <f>'集計_障がい別'!$I$347</f>
        <v>0.333333333333333</v>
      </c>
    </row>
    <row r="86" ht="17" customHeight="1">
      <c r="B86" s="5" t="inlineStr">
        <is>
          <t>仕事後の相談・定着支援</t>
        </is>
      </c>
      <c r="C86" s="20">
        <f>'集計_障がい別'!$G$346</f>
        <v>0.0344827586206897</v>
      </c>
      <c r="D86" s="20">
        <f>'集計_障がい別'!$H$346</f>
        <v>0.5</v>
      </c>
      <c r="E86" s="20">
        <f>'集計_障がい別'!$I$346</f>
        <v>0.166666666666667</v>
      </c>
    </row>
    <row r="87" ht="17" customHeight="1">
      <c r="B87" s="5" t="inlineStr">
        <is>
          <t>特にない</t>
        </is>
      </c>
      <c r="C87" s="20">
        <f>'集計_障がい別'!$G$349</f>
        <v>0.551724137931035</v>
      </c>
      <c r="D87" s="20">
        <f>'集計_障がい別'!$H$349</f>
        <v>0</v>
      </c>
      <c r="E87" s="20">
        <f>'集計_障がい別'!$I$349</f>
        <v>0.166666666666667</v>
      </c>
    </row>
    <row r="88" ht="17" customHeight="1">
      <c r="B88" s="5" t="inlineStr">
        <is>
          <t>無回答</t>
        </is>
      </c>
      <c r="C88" s="20">
        <f>'集計_障がい別'!$G$351</f>
        <v>0.241379310344828</v>
      </c>
      <c r="D88" s="20">
        <f>'集計_障がい別'!$H$351</f>
        <v>0</v>
      </c>
      <c r="E88" s="20">
        <f>'集計_障がい別'!$I$351</f>
        <v>0</v>
      </c>
    </row>
    <row r="89" ht="15" customHeight="1">
      <c r="B89" s="17" t="inlineStr">
        <is>
          <t>※いずれの区分にも回答のなかった選択肢は省略しています。</t>
        </is>
      </c>
    </row>
    <row r="90"/>
    <row r="91"/>
    <row r="92"/>
    <row r="93"/>
    <row r="94"/>
    <row r="95"/>
    <row r="96"/>
    <row r="97"/>
    <row r="98"/>
    <row r="99"/>
    <row r="100"/>
    <row r="101"/>
    <row r="102"/>
    <row r="103"/>
    <row r="104"/>
    <row r="105"/>
    <row r="108" ht="21" customHeight="1">
      <c r="B108" s="7" t="inlineStr">
        <is>
          <t>図3-64　差別や偏見、不利益を感じた経験（問34）</t>
        </is>
      </c>
    </row>
    <row r="109">
      <c r="B109" s="18" t="str">
        <f>"n="&amp;'集計_障がい者'!$F$351&amp;"（単一回答）"</f>
        <v>n=40（単一回答）</v>
      </c>
    </row>
    <row r="110" ht="18" customHeight="1">
      <c r="B110" s="3" t="inlineStr">
        <is>
          <t>選択肢</t>
        </is>
      </c>
      <c r="C110" s="3" t="inlineStr">
        <is>
          <t>件数</t>
        </is>
      </c>
      <c r="D110" s="3" t="inlineStr">
        <is>
          <t>割合</t>
        </is>
      </c>
    </row>
    <row r="111" ht="17" customHeight="1">
      <c r="B111" s="5" t="inlineStr">
        <is>
          <t>週に１回程度</t>
        </is>
      </c>
      <c r="C111" s="19">
        <f>'集計_障がい者'!$D$351</f>
        <v>3</v>
      </c>
      <c r="D111" s="20">
        <f>'集計_障がい者'!$E$351</f>
        <v>0.075</v>
      </c>
    </row>
    <row r="112" ht="17" customHeight="1">
      <c r="B112" s="5" t="inlineStr">
        <is>
          <t>月に１回程度</t>
        </is>
      </c>
      <c r="C112" s="19">
        <f>'集計_障がい者'!$D$352</f>
        <v>3</v>
      </c>
      <c r="D112" s="20">
        <f>'集計_障がい者'!$E$352</f>
        <v>0.075</v>
      </c>
    </row>
    <row r="113" ht="17" customHeight="1">
      <c r="B113" s="5" t="inlineStr">
        <is>
          <t>年に１回程度</t>
        </is>
      </c>
      <c r="C113" s="19">
        <f>'集計_障がい者'!$D$353</f>
        <v>3</v>
      </c>
      <c r="D113" s="20">
        <f>'集計_障がい者'!$E$353</f>
        <v>0.075</v>
      </c>
    </row>
    <row r="114" ht="17" customHeight="1">
      <c r="B114" s="5" t="inlineStr">
        <is>
          <t>ない</t>
        </is>
      </c>
      <c r="C114" s="19">
        <f>'集計_障がい者'!$D$354</f>
        <v>13</v>
      </c>
      <c r="D114" s="20">
        <f>'集計_障がい者'!$E$354</f>
        <v>0.325</v>
      </c>
    </row>
    <row r="115" ht="17" customHeight="1">
      <c r="B115" s="5" t="inlineStr">
        <is>
          <t>わからない</t>
        </is>
      </c>
      <c r="C115" s="19">
        <f>'集計_障がい者'!$D$355</f>
        <v>11</v>
      </c>
      <c r="D115" s="20">
        <f>'集計_障がい者'!$E$355</f>
        <v>0.275</v>
      </c>
    </row>
    <row r="116" ht="17" customHeight="1">
      <c r="B116" s="5" t="inlineStr">
        <is>
          <t>無回答</t>
        </is>
      </c>
      <c r="C116" s="19">
        <f>'集計_障がい者'!$D$356</f>
        <v>7</v>
      </c>
      <c r="D116" s="20">
        <f>'集計_障がい者'!$E$356</f>
        <v>0.175</v>
      </c>
    </row>
    <row r="119" ht="21" customHeight="1">
      <c r="B119" s="7" t="inlineStr">
        <is>
          <t>図3-65　差別や偏見、不利益を感じた経験【障がい別】（問34）</t>
        </is>
      </c>
    </row>
    <row r="120"/>
    <row r="121" ht="31" customHeight="1">
      <c r="B121" s="3" t="inlineStr">
        <is>
          <t>区分</t>
        </is>
      </c>
      <c r="C121" s="3" t="inlineStr">
        <is>
          <t>週に１回程度</t>
        </is>
      </c>
      <c r="D121" s="3" t="inlineStr">
        <is>
          <t>月に１回程度</t>
        </is>
      </c>
      <c r="E121" s="3" t="inlineStr">
        <is>
          <t>年に１回程度</t>
        </is>
      </c>
      <c r="F121" s="3" t="inlineStr">
        <is>
          <t>ない</t>
        </is>
      </c>
      <c r="G121" s="3" t="inlineStr">
        <is>
          <t>わからない</t>
        </is>
      </c>
      <c r="H121" s="3" t="inlineStr">
        <is>
          <t>無回答</t>
        </is>
      </c>
    </row>
    <row r="122" ht="17" customHeight="1">
      <c r="B122" s="5" t="inlineStr">
        <is>
          <t>全体</t>
        </is>
      </c>
      <c r="C122" s="20">
        <f>'集計_障がい者'!$E$351</f>
        <v>0.075</v>
      </c>
      <c r="D122" s="20">
        <f>'集計_障がい者'!$E$352</f>
        <v>0.075</v>
      </c>
      <c r="E122" s="20">
        <f>'集計_障がい者'!$E$353</f>
        <v>0.075</v>
      </c>
      <c r="F122" s="20">
        <f>'集計_障がい者'!$E$354</f>
        <v>0.325</v>
      </c>
      <c r="G122" s="20">
        <f>'集計_障がい者'!$E$355</f>
        <v>0.275</v>
      </c>
      <c r="H122" s="20">
        <f>'集計_障がい者'!$E$356</f>
        <v>0.175</v>
      </c>
    </row>
    <row r="123" ht="17" customHeight="1">
      <c r="B123" s="5" t="inlineStr">
        <is>
          <t>身体障がい（n=29）</t>
        </is>
      </c>
      <c r="C123" s="20">
        <f>'集計_障がい別'!$G$352</f>
        <v>0.0689655172413793</v>
      </c>
      <c r="D123" s="20">
        <f>'集計_障がい別'!$G$353</f>
        <v>0.0344827586206897</v>
      </c>
      <c r="E123" s="20">
        <f>'集計_障がい別'!$G$354</f>
        <v>0.0689655172413793</v>
      </c>
      <c r="F123" s="20">
        <f>'集計_障がい別'!$G$355</f>
        <v>0.344827586206897</v>
      </c>
      <c r="G123" s="20">
        <f>'集計_障がい別'!$G$356</f>
        <v>0.241379310344828</v>
      </c>
      <c r="H123" s="20">
        <f>'集計_障がい別'!$G$357</f>
        <v>0.241379310344828</v>
      </c>
    </row>
    <row r="124" ht="17" customHeight="1">
      <c r="B124" s="5" t="inlineStr">
        <is>
          <t>知的障がい（n=2）</t>
        </is>
      </c>
      <c r="C124" s="20">
        <f>'集計_障がい別'!$H$352</f>
        <v>0</v>
      </c>
      <c r="D124" s="20">
        <f>'集計_障がい別'!$H$353</f>
        <v>0</v>
      </c>
      <c r="E124" s="20">
        <f>'集計_障がい別'!$H$354</f>
        <v>0</v>
      </c>
      <c r="F124" s="20">
        <f>'集計_障がい別'!$H$355</f>
        <v>0</v>
      </c>
      <c r="G124" s="20">
        <f>'集計_障がい別'!$H$356</f>
        <v>1</v>
      </c>
      <c r="H124" s="20">
        <f>'集計_障がい別'!$H$357</f>
        <v>0</v>
      </c>
    </row>
    <row r="125" ht="17" customHeight="1">
      <c r="B125" s="5" t="inlineStr">
        <is>
          <t>精神障がい（n=6）</t>
        </is>
      </c>
      <c r="C125" s="20">
        <f>'集計_障がい別'!$I$352</f>
        <v>0.166666666666667</v>
      </c>
      <c r="D125" s="20">
        <f>'集計_障がい別'!$I$353</f>
        <v>0.333333333333333</v>
      </c>
      <c r="E125" s="20">
        <f>'集計_障がい別'!$I$354</f>
        <v>0</v>
      </c>
      <c r="F125" s="20">
        <f>'集計_障がい別'!$I$355</f>
        <v>0.166666666666667</v>
      </c>
      <c r="G125" s="20">
        <f>'集計_障がい別'!$I$356</f>
        <v>0.333333333333333</v>
      </c>
      <c r="H125" s="20">
        <f>'集計_障がい別'!$I$357</f>
        <v>0</v>
      </c>
    </row>
    <row r="126"/>
    <row r="127"/>
    <row r="128"/>
    <row r="129"/>
    <row r="130"/>
    <row r="133" ht="21" customHeight="1">
      <c r="B133" s="7" t="inlineStr">
        <is>
          <t>図3-66　差別や偏見、不利益を感じた場面（問35）</t>
        </is>
      </c>
    </row>
    <row r="134">
      <c r="B134" s="18" t="str">
        <f>"n="&amp;'集計_障がい者'!$F$358&amp;"（複数回答）"</f>
        <v>n=40（複数回答）</v>
      </c>
    </row>
    <row r="135" ht="18" customHeight="1">
      <c r="B135" s="3" t="inlineStr">
        <is>
          <t>選択肢</t>
        </is>
      </c>
      <c r="C135" s="3" t="inlineStr">
        <is>
          <t>件数</t>
        </is>
      </c>
      <c r="D135" s="3" t="inlineStr">
        <is>
          <t>割合</t>
        </is>
      </c>
    </row>
    <row r="136" ht="17" customHeight="1">
      <c r="B136" s="5" t="inlineStr">
        <is>
          <t>アルバイト先・職場</t>
        </is>
      </c>
      <c r="C136" s="19">
        <f>'集計_障がい者'!$D$358</f>
        <v>4</v>
      </c>
      <c r="D136" s="20">
        <f>'集計_障がい者'!$E$358</f>
        <v>0.1</v>
      </c>
    </row>
    <row r="137" ht="17" customHeight="1">
      <c r="B137" s="5" t="inlineStr">
        <is>
          <t>地域活動・行事</t>
        </is>
      </c>
      <c r="C137" s="19">
        <f>'集計_障がい者'!$D$362</f>
        <v>3</v>
      </c>
      <c r="D137" s="20">
        <f>'集計_障がい者'!$E$362</f>
        <v>0.075</v>
      </c>
    </row>
    <row r="138" ht="17" customHeight="1">
      <c r="B138" s="5" t="inlineStr">
        <is>
          <t>公共交通機関・飲食店・買い物等</t>
        </is>
      </c>
      <c r="C138" s="19">
        <f>'集計_障がい者'!$D$363</f>
        <v>3</v>
      </c>
      <c r="D138" s="20">
        <f>'集計_障がい者'!$E$363</f>
        <v>0.075</v>
      </c>
    </row>
    <row r="139" ht="17" customHeight="1">
      <c r="B139" s="5" t="inlineStr">
        <is>
          <t>医療機関</t>
        </is>
      </c>
      <c r="C139" s="19">
        <f>'集計_障がい者'!$D$359</f>
        <v>2</v>
      </c>
      <c r="D139" s="20">
        <f>'集計_障がい者'!$E$359</f>
        <v>0.05</v>
      </c>
    </row>
    <row r="140" ht="17" customHeight="1">
      <c r="B140" s="5" t="inlineStr">
        <is>
          <t>趣味・余暇活動</t>
        </is>
      </c>
      <c r="C140" s="19">
        <f>'集計_障がい者'!$D$364</f>
        <v>2</v>
      </c>
      <c r="D140" s="20">
        <f>'集計_障がい者'!$E$364</f>
        <v>0.05</v>
      </c>
    </row>
    <row r="141" ht="17" customHeight="1">
      <c r="B141" s="5" t="inlineStr">
        <is>
          <t>学校等</t>
        </is>
      </c>
      <c r="C141" s="19">
        <f>'集計_障がい者'!$D$357</f>
        <v>0</v>
      </c>
      <c r="D141" s="20">
        <f>'集計_障がい者'!$E$357</f>
        <v>0</v>
      </c>
    </row>
    <row r="142" ht="17" customHeight="1">
      <c r="B142" s="5" t="inlineStr">
        <is>
          <t>福祉サービス事業所</t>
        </is>
      </c>
      <c r="C142" s="19">
        <f>'集計_障がい者'!$D$360</f>
        <v>0</v>
      </c>
      <c r="D142" s="20">
        <f>'集計_障がい者'!$E$360</f>
        <v>0</v>
      </c>
    </row>
    <row r="143" ht="17" customHeight="1">
      <c r="B143" s="5" t="inlineStr">
        <is>
          <t>役場・公共施設</t>
        </is>
      </c>
      <c r="C143" s="19">
        <f>'集計_障がい者'!$D$361</f>
        <v>0</v>
      </c>
      <c r="D143" s="20">
        <f>'集計_障がい者'!$E$361</f>
        <v>0</v>
      </c>
    </row>
    <row r="144" ht="17" customHeight="1">
      <c r="B144" s="5" t="inlineStr">
        <is>
          <t>インターネット・SNS・AI</t>
        </is>
      </c>
      <c r="C144" s="19">
        <f>'集計_障がい者'!$D$365</f>
        <v>0</v>
      </c>
      <c r="D144" s="20">
        <f>'集計_障がい者'!$E$365</f>
        <v>0</v>
      </c>
    </row>
    <row r="145" ht="17" customHeight="1">
      <c r="B145" s="5" t="inlineStr">
        <is>
          <t>特にない</t>
        </is>
      </c>
      <c r="C145" s="19">
        <f>'集計_障がい者'!$D$366</f>
        <v>20</v>
      </c>
      <c r="D145" s="20">
        <f>'集計_障がい者'!$E$366</f>
        <v>0.5</v>
      </c>
    </row>
    <row r="146" ht="17" customHeight="1">
      <c r="B146" s="5" t="inlineStr">
        <is>
          <t>その他</t>
        </is>
      </c>
      <c r="C146" s="19">
        <f>'集計_障がい者'!$D$367</f>
        <v>3</v>
      </c>
      <c r="D146" s="20">
        <f>'集計_障がい者'!$E$367</f>
        <v>0.075</v>
      </c>
    </row>
    <row r="147" ht="17" customHeight="1">
      <c r="B147" s="5" t="inlineStr">
        <is>
          <t>無回答</t>
        </is>
      </c>
      <c r="C147" s="19">
        <f>'集計_障がい者'!$D$368</f>
        <v>8</v>
      </c>
      <c r="D147" s="20">
        <f>'集計_障がい者'!$E$368</f>
        <v>0.2</v>
      </c>
    </row>
    <row r="148"/>
    <row r="151" ht="21" customHeight="1">
      <c r="B151" s="7" t="inlineStr">
        <is>
          <t>図3-67　差別や偏見、不利益を感じた場面【障がい別】（問35）</t>
        </is>
      </c>
    </row>
    <row r="152"/>
    <row r="153" ht="31" customHeight="1">
      <c r="B153" s="3" t="inlineStr">
        <is>
          <t>選択肢</t>
        </is>
      </c>
      <c r="C153" s="3" t="inlineStr">
        <is>
          <t>身体障がい（n=29）</t>
        </is>
      </c>
      <c r="D153" s="3" t="inlineStr">
        <is>
          <t>知的障がい（n=2）</t>
        </is>
      </c>
      <c r="E153" s="3" t="inlineStr">
        <is>
          <t>精神障がい（n=6）</t>
        </is>
      </c>
    </row>
    <row r="154" ht="17" customHeight="1">
      <c r="B154" s="5" t="inlineStr">
        <is>
          <t>アルバイト先・職場</t>
        </is>
      </c>
      <c r="C154" s="20">
        <f>'集計_障がい別'!$G$359</f>
        <v>0.0344827586206897</v>
      </c>
      <c r="D154" s="20">
        <f>'集計_障がい別'!$H$359</f>
        <v>0</v>
      </c>
      <c r="E154" s="20">
        <f>'集計_障がい別'!$I$359</f>
        <v>0.333333333333333</v>
      </c>
    </row>
    <row r="155" ht="17" customHeight="1">
      <c r="B155" s="5" t="inlineStr">
        <is>
          <t>地域活動・行事</t>
        </is>
      </c>
      <c r="C155" s="20">
        <f>'集計_障がい別'!$G$363</f>
        <v>0.0689655172413793</v>
      </c>
      <c r="D155" s="20">
        <f>'集計_障がい別'!$H$363</f>
        <v>0</v>
      </c>
      <c r="E155" s="20">
        <f>'集計_障がい別'!$I$363</f>
        <v>0.166666666666667</v>
      </c>
    </row>
    <row r="156" ht="17" customHeight="1">
      <c r="B156" s="5" t="inlineStr">
        <is>
          <t>公共交通機関・飲食店・買い物等</t>
        </is>
      </c>
      <c r="C156" s="20">
        <f>'集計_障がい別'!$G$364</f>
        <v>0.0689655172413793</v>
      </c>
      <c r="D156" s="20">
        <f>'集計_障がい別'!$H$364</f>
        <v>0</v>
      </c>
      <c r="E156" s="20">
        <f>'集計_障がい別'!$I$364</f>
        <v>0</v>
      </c>
    </row>
    <row r="157" ht="17" customHeight="1">
      <c r="B157" s="5" t="inlineStr">
        <is>
          <t>医療機関</t>
        </is>
      </c>
      <c r="C157" s="20">
        <f>'集計_障がい別'!$G$360</f>
        <v>0.0689655172413793</v>
      </c>
      <c r="D157" s="20">
        <f>'集計_障がい別'!$H$360</f>
        <v>0</v>
      </c>
      <c r="E157" s="20">
        <f>'集計_障がい別'!$I$360</f>
        <v>0</v>
      </c>
    </row>
    <row r="158" ht="17" customHeight="1">
      <c r="B158" s="5" t="inlineStr">
        <is>
          <t>趣味・余暇活動</t>
        </is>
      </c>
      <c r="C158" s="20">
        <f>'集計_障がい別'!$G$365</f>
        <v>0.0689655172413793</v>
      </c>
      <c r="D158" s="20">
        <f>'集計_障がい別'!$H$365</f>
        <v>0</v>
      </c>
      <c r="E158" s="20">
        <f>'集計_障がい別'!$I$365</f>
        <v>0</v>
      </c>
    </row>
    <row r="159" ht="17" customHeight="1">
      <c r="B159" s="5" t="inlineStr">
        <is>
          <t>特にない</t>
        </is>
      </c>
      <c r="C159" s="20">
        <f>'集計_障がい別'!$G$367</f>
        <v>0.551724137931035</v>
      </c>
      <c r="D159" s="20">
        <f>'集計_障がい別'!$H$367</f>
        <v>0.5</v>
      </c>
      <c r="E159" s="20">
        <f>'集計_障がい別'!$I$367</f>
        <v>0.333333333333333</v>
      </c>
    </row>
    <row r="160" ht="17" customHeight="1">
      <c r="B160" s="5" t="inlineStr">
        <is>
          <t>その他</t>
        </is>
      </c>
      <c r="C160" s="20">
        <f>'集計_障がい別'!$G$368</f>
        <v>0.0344827586206897</v>
      </c>
      <c r="D160" s="20">
        <f>'集計_障がい別'!$H$368</f>
        <v>0.5</v>
      </c>
      <c r="E160" s="20">
        <f>'集計_障がい別'!$I$368</f>
        <v>0.166666666666667</v>
      </c>
    </row>
    <row r="161" ht="17" customHeight="1">
      <c r="B161" s="5" t="inlineStr">
        <is>
          <t>無回答</t>
        </is>
      </c>
      <c r="C161" s="20">
        <f>'集計_障がい別'!$G$369</f>
        <v>0.241379310344828</v>
      </c>
      <c r="D161" s="20">
        <f>'集計_障がい別'!$H$369</f>
        <v>0</v>
      </c>
      <c r="E161" s="20">
        <f>'集計_障がい別'!$I$369</f>
        <v>0</v>
      </c>
    </row>
    <row r="162" ht="15" customHeight="1">
      <c r="B162" s="17" t="inlineStr">
        <is>
          <t>※いずれの区分にも回答のなかった選択肢は省略しています。</t>
        </is>
      </c>
    </row>
    <row r="163"/>
    <row r="164"/>
    <row r="165"/>
    <row r="166"/>
    <row r="167"/>
    <row r="168"/>
    <row r="169"/>
    <row r="170"/>
    <row r="171"/>
    <row r="172"/>
    <row r="173"/>
    <row r="174"/>
    <row r="175"/>
    <row r="176"/>
    <row r="179" ht="21" customHeight="1">
      <c r="B179" s="7" t="inlineStr">
        <is>
          <t>図3-68　必要だと思う合理的配慮（問36）</t>
        </is>
      </c>
    </row>
    <row r="180">
      <c r="B180" s="18" t="str">
        <f>"n="&amp;'集計_障がい者'!$F$369&amp;"（複数回答）"</f>
        <v>n=40（複数回答）</v>
      </c>
    </row>
    <row r="181" ht="18" customHeight="1">
      <c r="B181" s="3" t="inlineStr">
        <is>
          <t>選択肢</t>
        </is>
      </c>
      <c r="C181" s="3" t="inlineStr">
        <is>
          <t>件数</t>
        </is>
      </c>
      <c r="D181" s="3" t="inlineStr">
        <is>
          <t>割合</t>
        </is>
      </c>
    </row>
    <row r="182" ht="17" customHeight="1">
      <c r="B182" s="5" t="inlineStr">
        <is>
          <t>わかりやすい説明</t>
        </is>
      </c>
      <c r="C182" s="19">
        <f>'集計_障がい者'!$D$369</f>
        <v>16</v>
      </c>
      <c r="D182" s="20">
        <f>'集計_障がい者'!$E$369</f>
        <v>0.4</v>
      </c>
    </row>
    <row r="183" ht="17" customHeight="1">
      <c r="B183" s="5" t="inlineStr">
        <is>
          <t>手続きの支援</t>
        </is>
      </c>
      <c r="C183" s="19">
        <f>'集計_障がい者'!$D$373</f>
        <v>15</v>
      </c>
      <c r="D183" s="20">
        <f>'集計_障がい者'!$E$373</f>
        <v>0.375</v>
      </c>
    </row>
    <row r="184" ht="17" customHeight="1">
      <c r="B184" s="5" t="inlineStr">
        <is>
          <t>本人の意思確認を丁寧に行うこと</t>
        </is>
      </c>
      <c r="C184" s="19">
        <f>'集計_障がい者'!$D$374</f>
        <v>13</v>
      </c>
      <c r="D184" s="20">
        <f>'集計_障がい者'!$E$374</f>
        <v>0.325</v>
      </c>
    </row>
    <row r="185" ht="17" customHeight="1">
      <c r="B185" s="5" t="inlineStr">
        <is>
          <t>筆談・手話・要約筆記・字幕等の意思疎通支援</t>
        </is>
      </c>
      <c r="C185" s="19">
        <f>'集計_障がい者'!$D$370</f>
        <v>9</v>
      </c>
      <c r="D185" s="20">
        <f>'集計_障がい者'!$E$370</f>
        <v>0.225</v>
      </c>
    </row>
    <row r="186" ht="17" customHeight="1">
      <c r="B186" s="5" t="inlineStr">
        <is>
          <t>移動しやすい環境</t>
        </is>
      </c>
      <c r="C186" s="19">
        <f>'集計_障がい者'!$D$372</f>
        <v>9</v>
      </c>
      <c r="D186" s="20">
        <f>'集計_障がい者'!$E$372</f>
        <v>0.225</v>
      </c>
    </row>
    <row r="187" ht="17" customHeight="1">
      <c r="B187" s="5" t="inlineStr">
        <is>
          <t>静かな場所での相談</t>
        </is>
      </c>
      <c r="C187" s="19">
        <f>'集計_障がい者'!$D$371</f>
        <v>3</v>
      </c>
      <c r="D187" s="20">
        <f>'集計_障がい者'!$E$371</f>
        <v>0.075</v>
      </c>
    </row>
    <row r="188" ht="17" customHeight="1">
      <c r="B188" s="5" t="inlineStr">
        <is>
          <t>職場・学校での配慮</t>
        </is>
      </c>
      <c r="C188" s="19">
        <f>'集計_障がい者'!$D$375</f>
        <v>3</v>
      </c>
      <c r="D188" s="20">
        <f>'集計_障がい者'!$E$375</f>
        <v>0.075</v>
      </c>
    </row>
    <row r="189" ht="17" customHeight="1">
      <c r="B189" s="5" t="inlineStr">
        <is>
          <t>特にない</t>
        </is>
      </c>
      <c r="C189" s="19">
        <f>'集計_障がい者'!$D$376</f>
        <v>7</v>
      </c>
      <c r="D189" s="20">
        <f>'集計_障がい者'!$E$376</f>
        <v>0.175</v>
      </c>
    </row>
    <row r="190" ht="17" customHeight="1">
      <c r="B190" s="5" t="inlineStr">
        <is>
          <t>その他</t>
        </is>
      </c>
      <c r="C190" s="19">
        <f>'集計_障がい者'!$D$377</f>
        <v>0</v>
      </c>
      <c r="D190" s="20">
        <f>'集計_障がい者'!$E$377</f>
        <v>0</v>
      </c>
    </row>
    <row r="191" ht="17" customHeight="1">
      <c r="B191" s="5" t="inlineStr">
        <is>
          <t>無回答</t>
        </is>
      </c>
      <c r="C191" s="19">
        <f>'集計_障がい者'!$D$378</f>
        <v>6</v>
      </c>
      <c r="D191" s="20">
        <f>'集計_障がい者'!$E$378</f>
        <v>0.15</v>
      </c>
    </row>
    <row r="192"/>
    <row r="193"/>
    <row r="196" ht="21" customHeight="1">
      <c r="B196" s="7" t="inlineStr">
        <is>
          <t>図3-69　必要だと思う合理的配慮【障がい別】（問36）</t>
        </is>
      </c>
    </row>
    <row r="197"/>
    <row r="198" ht="31" customHeight="1">
      <c r="B198" s="3" t="inlineStr">
        <is>
          <t>選択肢</t>
        </is>
      </c>
      <c r="C198" s="3" t="inlineStr">
        <is>
          <t>身体障がい（n=29）</t>
        </is>
      </c>
      <c r="D198" s="3" t="inlineStr">
        <is>
          <t>知的障がい（n=2）</t>
        </is>
      </c>
      <c r="E198" s="3" t="inlineStr">
        <is>
          <t>精神障がい（n=6）</t>
        </is>
      </c>
    </row>
    <row r="199" ht="17" customHeight="1">
      <c r="B199" s="5" t="inlineStr">
        <is>
          <t>わかりやすい説明</t>
        </is>
      </c>
      <c r="C199" s="20">
        <f>'集計_障がい別'!$G$370</f>
        <v>0.344827586206897</v>
      </c>
      <c r="D199" s="20">
        <f>'集計_障がい別'!$H$370</f>
        <v>0.5</v>
      </c>
      <c r="E199" s="20">
        <f>'集計_障がい別'!$I$370</f>
        <v>0.666666666666667</v>
      </c>
    </row>
    <row r="200" ht="17" customHeight="1">
      <c r="B200" s="5" t="inlineStr">
        <is>
          <t>手続きの支援</t>
        </is>
      </c>
      <c r="C200" s="20">
        <f>'集計_障がい別'!$G$374</f>
        <v>0.344827586206897</v>
      </c>
      <c r="D200" s="20">
        <f>'集計_障がい別'!$H$374</f>
        <v>1</v>
      </c>
      <c r="E200" s="20">
        <f>'集計_障がい別'!$I$374</f>
        <v>0.666666666666667</v>
      </c>
    </row>
    <row r="201" ht="17" customHeight="1">
      <c r="B201" s="5" t="inlineStr">
        <is>
          <t>本人の意思確認を丁寧に行うこと</t>
        </is>
      </c>
      <c r="C201" s="20">
        <f>'集計_障がい別'!$G$375</f>
        <v>0.275862068965517</v>
      </c>
      <c r="D201" s="20">
        <f>'集計_障がい別'!$H$375</f>
        <v>1</v>
      </c>
      <c r="E201" s="20">
        <f>'集計_障がい別'!$I$375</f>
        <v>0.5</v>
      </c>
    </row>
    <row r="202" ht="17" customHeight="1">
      <c r="B202" s="5" t="inlineStr">
        <is>
          <t>筆談・手話・要約筆記・字幕等の意思疎通支援</t>
        </is>
      </c>
      <c r="C202" s="20">
        <f>'集計_障がい別'!$G$371</f>
        <v>0.275862068965517</v>
      </c>
      <c r="D202" s="20">
        <f>'集計_障がい別'!$H$371</f>
        <v>0</v>
      </c>
      <c r="E202" s="20">
        <f>'集計_障がい別'!$I$371</f>
        <v>0.166666666666667</v>
      </c>
    </row>
    <row r="203" ht="17" customHeight="1">
      <c r="B203" s="5" t="inlineStr">
        <is>
          <t>移動しやすい環境</t>
        </is>
      </c>
      <c r="C203" s="20">
        <f>'集計_障がい別'!$G$373</f>
        <v>0.172413793103448</v>
      </c>
      <c r="D203" s="20">
        <f>'集計_障がい別'!$H$373</f>
        <v>0.5</v>
      </c>
      <c r="E203" s="20">
        <f>'集計_障がい別'!$I$373</f>
        <v>0.5</v>
      </c>
    </row>
    <row r="204" ht="17" customHeight="1">
      <c r="B204" s="5" t="inlineStr">
        <is>
          <t>静かな場所での相談</t>
        </is>
      </c>
      <c r="C204" s="20">
        <f>'集計_障がい別'!$G$372</f>
        <v>0.0344827586206897</v>
      </c>
      <c r="D204" s="20">
        <f>'集計_障がい別'!$H$372</f>
        <v>0</v>
      </c>
      <c r="E204" s="20">
        <f>'集計_障がい別'!$I$372</f>
        <v>0.166666666666667</v>
      </c>
    </row>
    <row r="205" ht="17" customHeight="1">
      <c r="B205" s="5" t="inlineStr">
        <is>
          <t>職場・学校での配慮</t>
        </is>
      </c>
      <c r="C205" s="20">
        <f>'集計_障がい別'!$G$376</f>
        <v>0.103448275862069</v>
      </c>
      <c r="D205" s="20">
        <f>'集計_障がい別'!$H$376</f>
        <v>0</v>
      </c>
      <c r="E205" s="20">
        <f>'集計_障がい別'!$I$376</f>
        <v>0</v>
      </c>
    </row>
    <row r="206" ht="17" customHeight="1">
      <c r="B206" s="5" t="inlineStr">
        <is>
          <t>特にない</t>
        </is>
      </c>
      <c r="C206" s="20">
        <f>'集計_障がい別'!$G$377</f>
        <v>0.172413793103448</v>
      </c>
      <c r="D206" s="20">
        <f>'集計_障がい別'!$H$377</f>
        <v>0</v>
      </c>
      <c r="E206" s="20">
        <f>'集計_障がい別'!$I$377</f>
        <v>0</v>
      </c>
    </row>
    <row r="207" ht="17" customHeight="1">
      <c r="B207" s="5" t="inlineStr">
        <is>
          <t>無回答</t>
        </is>
      </c>
      <c r="C207" s="20">
        <f>'集計_障がい別'!$G$379</f>
        <v>0.206896551724138</v>
      </c>
      <c r="D207" s="20">
        <f>'集計_障がい別'!$H$379</f>
        <v>0</v>
      </c>
      <c r="E207" s="20">
        <f>'集計_障がい別'!$I$379</f>
        <v>0</v>
      </c>
    </row>
    <row r="208" ht="15" customHeight="1">
      <c r="B208" s="17" t="inlineStr">
        <is>
          <t>※いずれの区分にも回答のなかった選択肢は省略しています。</t>
        </is>
      </c>
    </row>
    <row r="209"/>
    <row r="210"/>
    <row r="211"/>
    <row r="212"/>
    <row r="213"/>
    <row r="214"/>
    <row r="215"/>
    <row r="216"/>
    <row r="217"/>
    <row r="218"/>
    <row r="219"/>
    <row r="220"/>
    <row r="221"/>
    <row r="222"/>
    <row r="223"/>
    <row r="224"/>
    <row r="227" ht="21" customHeight="1">
      <c r="B227" s="7" t="inlineStr">
        <is>
          <t>図3-70　成年後見制度や権利擁護支援の認知（問37）</t>
        </is>
      </c>
    </row>
    <row r="228">
      <c r="B228" s="18" t="str">
        <f>"n="&amp;'集計_障がい者'!$F$379&amp;"（単一回答）"</f>
        <v>n=40（単一回答）</v>
      </c>
    </row>
    <row r="229" ht="18" customHeight="1">
      <c r="B229" s="3" t="inlineStr">
        <is>
          <t>選択肢</t>
        </is>
      </c>
      <c r="C229" s="3" t="inlineStr">
        <is>
          <t>件数</t>
        </is>
      </c>
      <c r="D229" s="3" t="inlineStr">
        <is>
          <t>割合</t>
        </is>
      </c>
    </row>
    <row r="230" ht="17" customHeight="1">
      <c r="B230" s="5" t="inlineStr">
        <is>
          <t>利用している</t>
        </is>
      </c>
      <c r="C230" s="19">
        <f>'集計_障がい者'!$D$379</f>
        <v>2</v>
      </c>
      <c r="D230" s="20">
        <f>'集計_障がい者'!$E$379</f>
        <v>0.05</v>
      </c>
    </row>
    <row r="231" ht="17" customHeight="1">
      <c r="B231" s="5" t="inlineStr">
        <is>
          <t>知っている</t>
        </is>
      </c>
      <c r="C231" s="19">
        <f>'集計_障がい者'!$D$380</f>
        <v>10</v>
      </c>
      <c r="D231" s="20">
        <f>'集計_障がい者'!$E$380</f>
        <v>0.25</v>
      </c>
    </row>
    <row r="232" ht="17" customHeight="1">
      <c r="B232" s="5" t="inlineStr">
        <is>
          <t>名前だけ聞いたことがある</t>
        </is>
      </c>
      <c r="C232" s="19">
        <f>'集計_障がい者'!$D$381</f>
        <v>8</v>
      </c>
      <c r="D232" s="20">
        <f>'集計_障がい者'!$E$381</f>
        <v>0.2</v>
      </c>
    </row>
    <row r="233" ht="17" customHeight="1">
      <c r="B233" s="5" t="inlineStr">
        <is>
          <t>利用したいが手続きがわからない</t>
        </is>
      </c>
      <c r="C233" s="19">
        <f>'集計_障がい者'!$D$382</f>
        <v>0</v>
      </c>
      <c r="D233" s="20">
        <f>'集計_障がい者'!$E$382</f>
        <v>0</v>
      </c>
    </row>
    <row r="234" ht="17" customHeight="1">
      <c r="B234" s="5" t="inlineStr">
        <is>
          <t>知らない</t>
        </is>
      </c>
      <c r="C234" s="19">
        <f>'集計_障がい者'!$D$383</f>
        <v>15</v>
      </c>
      <c r="D234" s="20">
        <f>'集計_障がい者'!$E$383</f>
        <v>0.375</v>
      </c>
    </row>
    <row r="235" ht="17" customHeight="1">
      <c r="B235" s="5" t="inlineStr">
        <is>
          <t>無回答</t>
        </is>
      </c>
      <c r="C235" s="19">
        <f>'集計_障がい者'!$D$384</f>
        <v>5</v>
      </c>
      <c r="D235" s="20">
        <f>'集計_障がい者'!$E$384</f>
        <v>0.125</v>
      </c>
    </row>
    <row r="236"/>
    <row r="239" ht="21" customHeight="1">
      <c r="B239" s="7" t="inlineStr">
        <is>
          <t>図3-71　成年後見制度や権利擁護支援の認知【障がい別】（問37）</t>
        </is>
      </c>
    </row>
    <row r="240"/>
    <row r="241" ht="44" customHeight="1">
      <c r="B241" s="3" t="inlineStr">
        <is>
          <t>区分</t>
        </is>
      </c>
      <c r="C241" s="3" t="inlineStr">
        <is>
          <t>利用している</t>
        </is>
      </c>
      <c r="D241" s="3" t="inlineStr">
        <is>
          <t>知っている</t>
        </is>
      </c>
      <c r="E241" s="3" t="inlineStr">
        <is>
          <t>名前だけ聞いたことがある</t>
        </is>
      </c>
      <c r="F241" s="3" t="inlineStr">
        <is>
          <t>利用したいが手続きがわからない</t>
        </is>
      </c>
      <c r="G241" s="3" t="inlineStr">
        <is>
          <t>知らない</t>
        </is>
      </c>
      <c r="H241" s="3" t="inlineStr">
        <is>
          <t>無回答</t>
        </is>
      </c>
    </row>
    <row r="242" ht="17" customHeight="1">
      <c r="B242" s="5" t="inlineStr">
        <is>
          <t>全体</t>
        </is>
      </c>
      <c r="C242" s="20">
        <f>'集計_障がい者'!$E$379</f>
        <v>0.05</v>
      </c>
      <c r="D242" s="20">
        <f>'集計_障がい者'!$E$380</f>
        <v>0.25</v>
      </c>
      <c r="E242" s="20">
        <f>'集計_障がい者'!$E$381</f>
        <v>0.2</v>
      </c>
      <c r="F242" s="20">
        <f>'集計_障がい者'!$E$382</f>
        <v>0</v>
      </c>
      <c r="G242" s="20">
        <f>'集計_障がい者'!$E$383</f>
        <v>0.375</v>
      </c>
      <c r="H242" s="20">
        <f>'集計_障がい者'!$E$384</f>
        <v>0.125</v>
      </c>
    </row>
    <row r="243" ht="17" customHeight="1">
      <c r="B243" s="5" t="inlineStr">
        <is>
          <t>身体障がい（n=29）</t>
        </is>
      </c>
      <c r="C243" s="20">
        <f>'集計_障がい別'!$G$380</f>
        <v>0</v>
      </c>
      <c r="D243" s="20">
        <f>'集計_障がい別'!$G$381</f>
        <v>0.310344827586207</v>
      </c>
      <c r="E243" s="20">
        <f>'集計_障がい別'!$G$382</f>
        <v>0.172413793103448</v>
      </c>
      <c r="F243" s="20">
        <f>'集計_障がい別'!$G$383</f>
        <v>0</v>
      </c>
      <c r="G243" s="20">
        <f>'集計_障がい別'!$G$384</f>
        <v>0.379310344827586</v>
      </c>
      <c r="H243" s="20">
        <f>'集計_障がい別'!$G$385</f>
        <v>0.137931034482759</v>
      </c>
    </row>
    <row r="244" ht="17" customHeight="1">
      <c r="B244" s="5" t="inlineStr">
        <is>
          <t>知的障がい（n=2）</t>
        </is>
      </c>
      <c r="C244" s="20">
        <f>'集計_障がい別'!$H$380</f>
        <v>0.5</v>
      </c>
      <c r="D244" s="20">
        <f>'集計_障がい別'!$H$381</f>
        <v>0</v>
      </c>
      <c r="E244" s="20">
        <f>'集計_障がい別'!$H$382</f>
        <v>0</v>
      </c>
      <c r="F244" s="20">
        <f>'集計_障がい別'!$H$383</f>
        <v>0</v>
      </c>
      <c r="G244" s="20">
        <f>'集計_障がい別'!$H$384</f>
        <v>0.5</v>
      </c>
      <c r="H244" s="20">
        <f>'集計_障がい別'!$H$385</f>
        <v>0</v>
      </c>
    </row>
    <row r="245" ht="17" customHeight="1">
      <c r="B245" s="5" t="inlineStr">
        <is>
          <t>精神障がい（n=6）</t>
        </is>
      </c>
      <c r="C245" s="20">
        <f>'集計_障がい別'!$I$380</f>
        <v>0.166666666666667</v>
      </c>
      <c r="D245" s="20">
        <f>'集計_障がい別'!$I$381</f>
        <v>0</v>
      </c>
      <c r="E245" s="20">
        <f>'集計_障がい別'!$I$382</f>
        <v>0.5</v>
      </c>
      <c r="F245" s="20">
        <f>'集計_障がい別'!$I$383</f>
        <v>0</v>
      </c>
      <c r="G245" s="20">
        <f>'集計_障がい別'!$I$384</f>
        <v>0.333333333333333</v>
      </c>
      <c r="H245" s="20">
        <f>'集計_障がい別'!$I$385</f>
        <v>0</v>
      </c>
    </row>
    <row r="246"/>
    <row r="247"/>
    <row r="248"/>
    <row r="249"/>
  </sheetData>
  <mergeCells count="3">
    <mergeCell ref="B162:E162"/>
    <mergeCell ref="B89:E89"/>
    <mergeCell ref="B208:E208"/>
  </mergeCells>
  <pageMargins left="0.75" right="0.75" top="1" bottom="1"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B2:I322"/>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図3-72　災害時に不安なこと（問38）</t>
        </is>
      </c>
    </row>
    <row r="3">
      <c r="B3" s="18" t="str">
        <f>"n="&amp;'集計_障がい者'!$F$386&amp;"（複数回答）"</f>
        <v>n=40（複数回答）</v>
      </c>
    </row>
    <row r="4" ht="18" customHeight="1">
      <c r="B4" s="3" t="inlineStr">
        <is>
          <t>選択肢</t>
        </is>
      </c>
      <c r="C4" s="3" t="inlineStr">
        <is>
          <t>件数</t>
        </is>
      </c>
      <c r="D4" s="3" t="inlineStr">
        <is>
          <t>割合</t>
        </is>
      </c>
    </row>
    <row r="5" ht="17" customHeight="1">
      <c r="B5" s="5" t="inlineStr">
        <is>
          <t>避難先での生活</t>
        </is>
      </c>
      <c r="C5" s="19">
        <f>'集計_障がい者'!$D$386</f>
        <v>25</v>
      </c>
      <c r="D5" s="20">
        <f>'集計_障がい者'!$E$386</f>
        <v>0.625</v>
      </c>
    </row>
    <row r="6" ht="17" customHeight="1">
      <c r="B6" s="5" t="inlineStr">
        <is>
          <t>薬・医療機器</t>
        </is>
      </c>
      <c r="C6" s="19">
        <f>'集計_障がい者'!$D$387</f>
        <v>18</v>
      </c>
      <c r="D6" s="20">
        <f>'集計_障がい者'!$E$387</f>
        <v>0.45</v>
      </c>
    </row>
    <row r="7" ht="17" customHeight="1">
      <c r="B7" s="5" t="inlineStr">
        <is>
          <t>冬季・積雪時の避難</t>
        </is>
      </c>
      <c r="C7" s="19">
        <f>'集計_障がい者'!$D$391</f>
        <v>17</v>
      </c>
      <c r="D7" s="20">
        <f>'集計_障がい者'!$E$391</f>
        <v>0.425</v>
      </c>
    </row>
    <row r="8" ht="17" customHeight="1">
      <c r="B8" s="5" t="inlineStr">
        <is>
          <t>避難する方法</t>
        </is>
      </c>
      <c r="C8" s="19">
        <f>'集計_障がい者'!$D$385</f>
        <v>15</v>
      </c>
      <c r="D8" s="20">
        <f>'集計_障がい者'!$E$385</f>
        <v>0.375</v>
      </c>
    </row>
    <row r="9" ht="17" customHeight="1">
      <c r="B9" s="5" t="inlineStr">
        <is>
          <t>電源の確保</t>
        </is>
      </c>
      <c r="C9" s="19">
        <f>'集計_障がい者'!$D$388</f>
        <v>6</v>
      </c>
      <c r="D9" s="20">
        <f>'集計_障がい者'!$E$388</f>
        <v>0.15</v>
      </c>
    </row>
    <row r="10" ht="17" customHeight="1">
      <c r="B10" s="5" t="inlineStr">
        <is>
          <t>情報が届かないこと</t>
        </is>
      </c>
      <c r="C10" s="19">
        <f>'集計_障がい者'!$D$390</f>
        <v>5</v>
      </c>
      <c r="D10" s="20">
        <f>'集計_障がい者'!$E$390</f>
        <v>0.125</v>
      </c>
    </row>
    <row r="11" ht="17" customHeight="1">
      <c r="B11" s="5" t="inlineStr">
        <is>
          <t>介助者がいないこと</t>
        </is>
      </c>
      <c r="C11" s="19">
        <f>'集計_障がい者'!$D$389</f>
        <v>3</v>
      </c>
      <c r="D11" s="20">
        <f>'集計_障がい者'!$E$389</f>
        <v>0.075</v>
      </c>
    </row>
    <row r="12" ht="17" customHeight="1">
      <c r="B12" s="5" t="inlineStr">
        <is>
          <t>ペット・補助犬等</t>
        </is>
      </c>
      <c r="C12" s="19">
        <f>'集計_障がい者'!$D$392</f>
        <v>0</v>
      </c>
      <c r="D12" s="20">
        <f>'集計_障がい者'!$E$392</f>
        <v>0</v>
      </c>
    </row>
    <row r="13" ht="17" customHeight="1">
      <c r="B13" s="5" t="inlineStr">
        <is>
          <t>特に不安はない</t>
        </is>
      </c>
      <c r="C13" s="19">
        <f>'集計_障がい者'!$D$393</f>
        <v>3</v>
      </c>
      <c r="D13" s="20">
        <f>'集計_障がい者'!$E$393</f>
        <v>0.075</v>
      </c>
    </row>
    <row r="14" ht="17" customHeight="1">
      <c r="B14" s="5" t="inlineStr">
        <is>
          <t>その他</t>
        </is>
      </c>
      <c r="C14" s="19">
        <f>'集計_障がい者'!$D$394</f>
        <v>0</v>
      </c>
      <c r="D14" s="20">
        <f>'集計_障がい者'!$E$394</f>
        <v>0</v>
      </c>
    </row>
    <row r="15" ht="17" customHeight="1">
      <c r="B15" s="5" t="inlineStr">
        <is>
          <t>無回答</t>
        </is>
      </c>
      <c r="C15" s="19">
        <f>'集計_障がい者'!$D$395</f>
        <v>4</v>
      </c>
      <c r="D15" s="20">
        <f>'集計_障がい者'!$E$395</f>
        <v>0.1</v>
      </c>
    </row>
    <row r="16"/>
    <row r="19" ht="21" customHeight="1">
      <c r="B19" s="7" t="inlineStr">
        <is>
          <t>図3-73　災害時に不安なこと【障がい別】（問38）</t>
        </is>
      </c>
    </row>
    <row r="20"/>
    <row r="21" ht="31" customHeight="1">
      <c r="B21" s="3" t="inlineStr">
        <is>
          <t>選択肢</t>
        </is>
      </c>
      <c r="C21" s="3" t="inlineStr">
        <is>
          <t>身体障がい（n=29）</t>
        </is>
      </c>
      <c r="D21" s="3" t="inlineStr">
        <is>
          <t>知的障がい（n=2）</t>
        </is>
      </c>
      <c r="E21" s="3" t="inlineStr">
        <is>
          <t>精神障がい（n=6）</t>
        </is>
      </c>
    </row>
    <row r="22" ht="17" customHeight="1">
      <c r="B22" s="5" t="inlineStr">
        <is>
          <t>避難先での生活</t>
        </is>
      </c>
      <c r="C22" s="20">
        <f>'集計_障がい別'!$G$387</f>
        <v>0.551724137931035</v>
      </c>
      <c r="D22" s="20">
        <f>'集計_障がい別'!$H$387</f>
        <v>1</v>
      </c>
      <c r="E22" s="20">
        <f>'集計_障がい別'!$I$387</f>
        <v>1</v>
      </c>
    </row>
    <row r="23" ht="17" customHeight="1">
      <c r="B23" s="5" t="inlineStr">
        <is>
          <t>薬・医療機器</t>
        </is>
      </c>
      <c r="C23" s="20">
        <f>'集計_障がい別'!$G$388</f>
        <v>0.379310344827586</v>
      </c>
      <c r="D23" s="20">
        <f>'集計_障がい別'!$H$388</f>
        <v>1</v>
      </c>
      <c r="E23" s="20">
        <f>'集計_障がい別'!$I$388</f>
        <v>0.5</v>
      </c>
    </row>
    <row r="24" ht="17" customHeight="1">
      <c r="B24" s="5" t="inlineStr">
        <is>
          <t>冬季・積雪時の避難</t>
        </is>
      </c>
      <c r="C24" s="20">
        <f>'集計_障がい別'!$G$392</f>
        <v>0.344827586206897</v>
      </c>
      <c r="D24" s="20">
        <f>'集計_障がい別'!$H$392</f>
        <v>0.5</v>
      </c>
      <c r="E24" s="20">
        <f>'集計_障がい別'!$I$392</f>
        <v>0.666666666666667</v>
      </c>
    </row>
    <row r="25" ht="17" customHeight="1">
      <c r="B25" s="5" t="inlineStr">
        <is>
          <t>避難する方法</t>
        </is>
      </c>
      <c r="C25" s="20">
        <f>'集計_障がい別'!$G$386</f>
        <v>0.310344827586207</v>
      </c>
      <c r="D25" s="20">
        <f>'集計_障がい別'!$H$386</f>
        <v>0.5</v>
      </c>
      <c r="E25" s="20">
        <f>'集計_障がい別'!$I$386</f>
        <v>0.333333333333333</v>
      </c>
    </row>
    <row r="26" ht="17" customHeight="1">
      <c r="B26" s="5" t="inlineStr">
        <is>
          <t>電源の確保</t>
        </is>
      </c>
      <c r="C26" s="20">
        <f>'集計_障がい別'!$G$389</f>
        <v>0.172413793103448</v>
      </c>
      <c r="D26" s="20">
        <f>'集計_障がい別'!$H$389</f>
        <v>0.5</v>
      </c>
      <c r="E26" s="20">
        <f>'集計_障がい別'!$I$389</f>
        <v>0</v>
      </c>
    </row>
    <row r="27" ht="17" customHeight="1">
      <c r="B27" s="5" t="inlineStr">
        <is>
          <t>情報が届かないこと</t>
        </is>
      </c>
      <c r="C27" s="20">
        <f>'集計_障がい別'!$G$391</f>
        <v>0.172413793103448</v>
      </c>
      <c r="D27" s="20">
        <f>'集計_障がい別'!$H$391</f>
        <v>0</v>
      </c>
      <c r="E27" s="20">
        <f>'集計_障がい別'!$I$391</f>
        <v>0</v>
      </c>
    </row>
    <row r="28" ht="17" customHeight="1">
      <c r="B28" s="5" t="inlineStr">
        <is>
          <t>介助者がいないこと</t>
        </is>
      </c>
      <c r="C28" s="20">
        <f>'集計_障がい別'!$G$390</f>
        <v>0.0689655172413793</v>
      </c>
      <c r="D28" s="20">
        <f>'集計_障がい別'!$H$390</f>
        <v>0.5</v>
      </c>
      <c r="E28" s="20">
        <f>'集計_障がい別'!$I$390</f>
        <v>0</v>
      </c>
    </row>
    <row r="29" ht="17" customHeight="1">
      <c r="B29" s="5" t="inlineStr">
        <is>
          <t>特に不安はない</t>
        </is>
      </c>
      <c r="C29" s="20">
        <f>'集計_障がい別'!$G$394</f>
        <v>0.103448275862069</v>
      </c>
      <c r="D29" s="20">
        <f>'集計_障がい別'!$H$394</f>
        <v>0</v>
      </c>
      <c r="E29" s="20">
        <f>'集計_障がい別'!$I$394</f>
        <v>0</v>
      </c>
    </row>
    <row r="30" ht="17" customHeight="1">
      <c r="B30" s="5" t="inlineStr">
        <is>
          <t>無回答</t>
        </is>
      </c>
      <c r="C30" s="20">
        <f>'集計_障がい別'!$G$396</f>
        <v>0.137931034482759</v>
      </c>
      <c r="D30" s="20">
        <f>'集計_障がい別'!$H$396</f>
        <v>0</v>
      </c>
      <c r="E30" s="20">
        <f>'集計_障がい別'!$I$396</f>
        <v>0</v>
      </c>
    </row>
    <row r="31" ht="15" customHeight="1">
      <c r="B31" s="17" t="inlineStr">
        <is>
          <t>※いずれの区分にも回答のなかった選択肢は省略しています。</t>
        </is>
      </c>
    </row>
    <row r="32"/>
    <row r="33"/>
    <row r="34"/>
    <row r="35"/>
    <row r="36"/>
    <row r="37"/>
    <row r="38"/>
    <row r="39"/>
    <row r="40"/>
    <row r="41"/>
    <row r="42"/>
    <row r="43"/>
    <row r="44"/>
    <row r="45"/>
    <row r="46"/>
    <row r="47"/>
    <row r="50" ht="21" customHeight="1">
      <c r="B50" s="7" t="inlineStr">
        <is>
          <t>図3-74　避難行動要支援者名簿・個別避難計画の認知（問39）</t>
        </is>
      </c>
    </row>
    <row r="51">
      <c r="B51" s="18" t="str">
        <f>"n="&amp;'集計_障がい者'!$F$396&amp;"（単一回答）"</f>
        <v>n=40（単一回答）</v>
      </c>
    </row>
    <row r="52" ht="18" customHeight="1">
      <c r="B52" s="3" t="inlineStr">
        <is>
          <t>選択肢</t>
        </is>
      </c>
      <c r="C52" s="3" t="inlineStr">
        <is>
          <t>件数</t>
        </is>
      </c>
      <c r="D52" s="3" t="inlineStr">
        <is>
          <t>割合</t>
        </is>
      </c>
    </row>
    <row r="53" ht="17" customHeight="1">
      <c r="B53" s="5" t="inlineStr">
        <is>
          <t>制度を知っており作成したい</t>
        </is>
      </c>
      <c r="C53" s="19">
        <f>'集計_障がい者'!$D$396</f>
        <v>2</v>
      </c>
      <c r="D53" s="20">
        <f>'集計_障がい者'!$E$396</f>
        <v>0.05</v>
      </c>
    </row>
    <row r="54" ht="17" customHeight="1">
      <c r="B54" s="5" t="inlineStr">
        <is>
          <t>名前だけ聞いたことがある</t>
        </is>
      </c>
      <c r="C54" s="19">
        <f>'集計_障がい者'!$D$397</f>
        <v>5</v>
      </c>
      <c r="D54" s="20">
        <f>'集計_障がい者'!$E$397</f>
        <v>0.125</v>
      </c>
    </row>
    <row r="55" ht="17" customHeight="1">
      <c r="B55" s="5" t="inlineStr">
        <is>
          <t>知らない</t>
        </is>
      </c>
      <c r="C55" s="19">
        <f>'集計_障がい者'!$D$398</f>
        <v>28</v>
      </c>
      <c r="D55" s="20">
        <f>'集計_障がい者'!$E$398</f>
        <v>0.7</v>
      </c>
    </row>
    <row r="56" ht="17" customHeight="1">
      <c r="B56" s="5" t="inlineStr">
        <is>
          <t>必要ない</t>
        </is>
      </c>
      <c r="C56" s="19">
        <f>'集計_障がい者'!$D$399</f>
        <v>1</v>
      </c>
      <c r="D56" s="20">
        <f>'集計_障がい者'!$E$399</f>
        <v>0.025</v>
      </c>
    </row>
    <row r="57" ht="17" customHeight="1">
      <c r="B57" s="5" t="inlineStr">
        <is>
          <t>無回答</t>
        </is>
      </c>
      <c r="C57" s="19">
        <f>'集計_障がい者'!$D$400</f>
        <v>4</v>
      </c>
      <c r="D57" s="20">
        <f>'集計_障がい者'!$E$400</f>
        <v>0.1</v>
      </c>
    </row>
    <row r="58"/>
    <row r="61" ht="21" customHeight="1">
      <c r="B61" s="7" t="inlineStr">
        <is>
          <t>図3-75　避難行動要支援者名簿・個別避難計画の認知【障がい別】（問39）</t>
        </is>
      </c>
    </row>
    <row r="62"/>
    <row r="63" ht="44" customHeight="1">
      <c r="B63" s="3" t="inlineStr">
        <is>
          <t>区分</t>
        </is>
      </c>
      <c r="C63" s="3" t="inlineStr">
        <is>
          <t>制度を知っており作成したい</t>
        </is>
      </c>
      <c r="D63" s="3" t="inlineStr">
        <is>
          <t>名前だけ聞いたことがある</t>
        </is>
      </c>
      <c r="E63" s="3" t="inlineStr">
        <is>
          <t>知らない</t>
        </is>
      </c>
      <c r="F63" s="3" t="inlineStr">
        <is>
          <t>必要ない</t>
        </is>
      </c>
      <c r="G63" s="3" t="inlineStr">
        <is>
          <t>無回答</t>
        </is>
      </c>
    </row>
    <row r="64" ht="17" customHeight="1">
      <c r="B64" s="5" t="inlineStr">
        <is>
          <t>全体</t>
        </is>
      </c>
      <c r="C64" s="20">
        <f>'集計_障がい者'!$E$396</f>
        <v>0.05</v>
      </c>
      <c r="D64" s="20">
        <f>'集計_障がい者'!$E$397</f>
        <v>0.125</v>
      </c>
      <c r="E64" s="20">
        <f>'集計_障がい者'!$E$398</f>
        <v>0.7</v>
      </c>
      <c r="F64" s="20">
        <f>'集計_障がい者'!$E$399</f>
        <v>0.025</v>
      </c>
      <c r="G64" s="20">
        <f>'集計_障がい者'!$E$400</f>
        <v>0.1</v>
      </c>
    </row>
    <row r="65" ht="17" customHeight="1">
      <c r="B65" s="5" t="inlineStr">
        <is>
          <t>身体障がい（n=29）</t>
        </is>
      </c>
      <c r="C65" s="20">
        <f>'集計_障がい別'!$G$397</f>
        <v>0.0689655172413793</v>
      </c>
      <c r="D65" s="20">
        <f>'集計_障がい別'!$G$398</f>
        <v>0.172413793103448</v>
      </c>
      <c r="E65" s="20">
        <f>'集計_障がい別'!$G$399</f>
        <v>0.620689655172414</v>
      </c>
      <c r="F65" s="20">
        <f>'集計_障がい別'!$G$400</f>
        <v>0.0344827586206897</v>
      </c>
      <c r="G65" s="20">
        <f>'集計_障がい別'!$G$401</f>
        <v>0.103448275862069</v>
      </c>
    </row>
    <row r="66" ht="17" customHeight="1">
      <c r="B66" s="5" t="inlineStr">
        <is>
          <t>知的障がい（n=2）</t>
        </is>
      </c>
      <c r="C66" s="20">
        <f>'集計_障がい別'!$H$397</f>
        <v>0</v>
      </c>
      <c r="D66" s="20">
        <f>'集計_障がい別'!$H$398</f>
        <v>0</v>
      </c>
      <c r="E66" s="20">
        <f>'集計_障がい別'!$H$399</f>
        <v>1</v>
      </c>
      <c r="F66" s="20">
        <f>'集計_障がい別'!$H$400</f>
        <v>0</v>
      </c>
      <c r="G66" s="20">
        <f>'集計_障がい別'!$H$401</f>
        <v>0</v>
      </c>
    </row>
    <row r="67" ht="17" customHeight="1">
      <c r="B67" s="5" t="inlineStr">
        <is>
          <t>精神障がい（n=6）</t>
        </is>
      </c>
      <c r="C67" s="20">
        <f>'集計_障がい別'!$I$397</f>
        <v>0</v>
      </c>
      <c r="D67" s="20">
        <f>'集計_障がい別'!$I$398</f>
        <v>0</v>
      </c>
      <c r="E67" s="20">
        <f>'集計_障がい別'!$I$399</f>
        <v>1</v>
      </c>
      <c r="F67" s="20">
        <f>'集計_障がい別'!$I$400</f>
        <v>0</v>
      </c>
      <c r="G67" s="20">
        <f>'集計_障がい別'!$I$401</f>
        <v>0</v>
      </c>
    </row>
    <row r="68"/>
    <row r="69"/>
    <row r="70"/>
    <row r="71"/>
    <row r="74" ht="21" customHeight="1">
      <c r="B74" s="7" t="inlineStr">
        <is>
          <t>図3-76　災害時に支援してくれる人や機関（問40）</t>
        </is>
      </c>
    </row>
    <row r="75">
      <c r="B75" s="18" t="str">
        <f>"n="&amp;'集計_障がい者'!$F$401&amp;"（複数回答）"</f>
        <v>n=40（複数回答）</v>
      </c>
    </row>
    <row r="76" ht="18" customHeight="1">
      <c r="B76" s="3" t="inlineStr">
        <is>
          <t>選択肢</t>
        </is>
      </c>
      <c r="C76" s="3" t="inlineStr">
        <is>
          <t>件数</t>
        </is>
      </c>
      <c r="D76" s="3" t="inlineStr">
        <is>
          <t>割合</t>
        </is>
      </c>
    </row>
    <row r="77" ht="17" customHeight="1">
      <c r="B77" s="5" t="inlineStr">
        <is>
          <t>同居家族</t>
        </is>
      </c>
      <c r="C77" s="19">
        <f>'集計_障がい者'!$D$401</f>
        <v>25</v>
      </c>
      <c r="D77" s="20">
        <f>'集計_障がい者'!$E$401</f>
        <v>0.625</v>
      </c>
    </row>
    <row r="78" ht="17" customHeight="1">
      <c r="B78" s="5" t="inlineStr">
        <is>
          <t>別居家族・親族</t>
        </is>
      </c>
      <c r="C78" s="19">
        <f>'集計_障がい者'!$D$402</f>
        <v>10</v>
      </c>
      <c r="D78" s="20">
        <f>'集計_障がい者'!$E$402</f>
        <v>0.25</v>
      </c>
    </row>
    <row r="79" ht="17" customHeight="1">
      <c r="B79" s="5" t="inlineStr">
        <is>
          <t>近所の人</t>
        </is>
      </c>
      <c r="C79" s="19">
        <f>'集計_障がい者'!$D$403</f>
        <v>7</v>
      </c>
      <c r="D79" s="20">
        <f>'集計_障がい者'!$E$403</f>
        <v>0.175</v>
      </c>
    </row>
    <row r="80" ht="17" customHeight="1">
      <c r="B80" s="5" t="inlineStr">
        <is>
          <t>福祉サービス事業所</t>
        </is>
      </c>
      <c r="C80" s="19">
        <f>'集計_障がい者'!$D$405</f>
        <v>6</v>
      </c>
      <c r="D80" s="20">
        <f>'集計_障がい者'!$E$405</f>
        <v>0.15</v>
      </c>
    </row>
    <row r="81" ht="17" customHeight="1">
      <c r="B81" s="5" t="inlineStr">
        <is>
          <t>民生委員・児童委員</t>
        </is>
      </c>
      <c r="C81" s="19">
        <f>'集計_障がい者'!$D$404</f>
        <v>4</v>
      </c>
      <c r="D81" s="20">
        <f>'集計_障がい者'!$E$404</f>
        <v>0.1</v>
      </c>
    </row>
    <row r="82" ht="17" customHeight="1">
      <c r="B82" s="5" t="inlineStr">
        <is>
          <t>医療機関</t>
        </is>
      </c>
      <c r="C82" s="19">
        <f>'集計_障がい者'!$D$406</f>
        <v>4</v>
      </c>
      <c r="D82" s="20">
        <f>'集計_障がい者'!$E$406</f>
        <v>0.1</v>
      </c>
    </row>
    <row r="83" ht="17" customHeight="1">
      <c r="B83" s="5" t="inlineStr">
        <is>
          <t>消防・警察</t>
        </is>
      </c>
      <c r="C83" s="19">
        <f>'集計_障がい者'!$D$407</f>
        <v>4</v>
      </c>
      <c r="D83" s="20">
        <f>'集計_障がい者'!$E$407</f>
        <v>0.1</v>
      </c>
    </row>
    <row r="84" ht="17" customHeight="1">
      <c r="B84" s="5" t="inlineStr">
        <is>
          <t>いない・わからない</t>
        </is>
      </c>
      <c r="C84" s="19">
        <f>'集計_障がい者'!$D$408</f>
        <v>1</v>
      </c>
      <c r="D84" s="20">
        <f>'集計_障がい者'!$E$408</f>
        <v>0.025</v>
      </c>
    </row>
    <row r="85" ht="17" customHeight="1">
      <c r="B85" s="5" t="inlineStr">
        <is>
          <t>その他</t>
        </is>
      </c>
      <c r="C85" s="19">
        <f>'集計_障がい者'!$D$409</f>
        <v>1</v>
      </c>
      <c r="D85" s="20">
        <f>'集計_障がい者'!$E$409</f>
        <v>0.025</v>
      </c>
    </row>
    <row r="86" ht="17" customHeight="1">
      <c r="B86" s="5" t="inlineStr">
        <is>
          <t>無回答</t>
        </is>
      </c>
      <c r="C86" s="19">
        <f>'集計_障がい者'!$D$410</f>
        <v>3</v>
      </c>
      <c r="D86" s="20">
        <f>'集計_障がい者'!$E$410</f>
        <v>0.075</v>
      </c>
    </row>
    <row r="87"/>
    <row r="90" ht="21" customHeight="1">
      <c r="B90" s="7" t="inlineStr">
        <is>
          <t>図3-77　災害時に支援してくれる人や機関【障がい別】（問40）</t>
        </is>
      </c>
    </row>
    <row r="91"/>
    <row r="92" ht="31" customHeight="1">
      <c r="B92" s="3" t="inlineStr">
        <is>
          <t>選択肢</t>
        </is>
      </c>
      <c r="C92" s="3" t="inlineStr">
        <is>
          <t>身体障がい（n=29）</t>
        </is>
      </c>
      <c r="D92" s="3" t="inlineStr">
        <is>
          <t>知的障がい（n=2）</t>
        </is>
      </c>
      <c r="E92" s="3" t="inlineStr">
        <is>
          <t>精神障がい（n=6）</t>
        </is>
      </c>
    </row>
    <row r="93" ht="17" customHeight="1">
      <c r="B93" s="5" t="inlineStr">
        <is>
          <t>同居家族</t>
        </is>
      </c>
      <c r="C93" s="20">
        <f>'集計_障がい別'!$G$402</f>
        <v>0.655172413793103</v>
      </c>
      <c r="D93" s="20">
        <f>'集計_障がい別'!$H$402</f>
        <v>0</v>
      </c>
      <c r="E93" s="20">
        <f>'集計_障がい別'!$I$402</f>
        <v>0.666666666666667</v>
      </c>
    </row>
    <row r="94" ht="17" customHeight="1">
      <c r="B94" s="5" t="inlineStr">
        <is>
          <t>別居家族・親族</t>
        </is>
      </c>
      <c r="C94" s="20">
        <f>'集計_障がい別'!$G$403</f>
        <v>0.310344827586207</v>
      </c>
      <c r="D94" s="20">
        <f>'集計_障がい別'!$H$403</f>
        <v>0</v>
      </c>
      <c r="E94" s="20">
        <f>'集計_障がい別'!$I$403</f>
        <v>0</v>
      </c>
    </row>
    <row r="95" ht="17" customHeight="1">
      <c r="B95" s="5" t="inlineStr">
        <is>
          <t>近所の人</t>
        </is>
      </c>
      <c r="C95" s="20">
        <f>'集計_障がい別'!$G$404</f>
        <v>0.137931034482759</v>
      </c>
      <c r="D95" s="20">
        <f>'集計_障がい別'!$H$404</f>
        <v>0</v>
      </c>
      <c r="E95" s="20">
        <f>'集計_障がい別'!$I$404</f>
        <v>0.333333333333333</v>
      </c>
    </row>
    <row r="96" ht="17" customHeight="1">
      <c r="B96" s="5" t="inlineStr">
        <is>
          <t>福祉サービス事業所</t>
        </is>
      </c>
      <c r="C96" s="20">
        <f>'集計_障がい別'!$G$406</f>
        <v>0.103448275862069</v>
      </c>
      <c r="D96" s="20">
        <f>'集計_障がい別'!$H$406</f>
        <v>1</v>
      </c>
      <c r="E96" s="20">
        <f>'集計_障がい別'!$I$406</f>
        <v>0.333333333333333</v>
      </c>
    </row>
    <row r="97" ht="17" customHeight="1">
      <c r="B97" s="5" t="inlineStr">
        <is>
          <t>民生委員・児童委員</t>
        </is>
      </c>
      <c r="C97" s="20">
        <f>'集計_障がい別'!$G$405</f>
        <v>0.0344827586206897</v>
      </c>
      <c r="D97" s="20">
        <f>'集計_障がい別'!$H$405</f>
        <v>0</v>
      </c>
      <c r="E97" s="20">
        <f>'集計_障がい別'!$I$405</f>
        <v>0</v>
      </c>
    </row>
    <row r="98" ht="17" customHeight="1">
      <c r="B98" s="5" t="inlineStr">
        <is>
          <t>医療機関</t>
        </is>
      </c>
      <c r="C98" s="20">
        <f>'集計_障がい別'!$G$407</f>
        <v>0.0689655172413793</v>
      </c>
      <c r="D98" s="20">
        <f>'集計_障がい別'!$H$407</f>
        <v>0</v>
      </c>
      <c r="E98" s="20">
        <f>'集計_障がい別'!$I$407</f>
        <v>0.166666666666667</v>
      </c>
    </row>
    <row r="99" ht="17" customHeight="1">
      <c r="B99" s="5" t="inlineStr">
        <is>
          <t>消防・警察</t>
        </is>
      </c>
      <c r="C99" s="20">
        <f>'集計_障がい別'!$G$408</f>
        <v>0.0344827586206897</v>
      </c>
      <c r="D99" s="20">
        <f>'集計_障がい別'!$H$408</f>
        <v>0</v>
      </c>
      <c r="E99" s="20">
        <f>'集計_障がい別'!$I$408</f>
        <v>0.333333333333333</v>
      </c>
    </row>
    <row r="100" ht="17" customHeight="1">
      <c r="B100" s="5" t="inlineStr">
        <is>
          <t>その他</t>
        </is>
      </c>
      <c r="C100" s="20">
        <f>'集計_障がい別'!$G$410</f>
        <v>0.0344827586206897</v>
      </c>
      <c r="D100" s="20">
        <f>'集計_障がい別'!$H$410</f>
        <v>0</v>
      </c>
      <c r="E100" s="20">
        <f>'集計_障がい別'!$I$410</f>
        <v>0</v>
      </c>
    </row>
    <row r="101" ht="17" customHeight="1">
      <c r="B101" s="5" t="inlineStr">
        <is>
          <t>無回答</t>
        </is>
      </c>
      <c r="C101" s="20">
        <f>'集計_障がい別'!$G$411</f>
        <v>0.103448275862069</v>
      </c>
      <c r="D101" s="20">
        <f>'集計_障がい別'!$H$411</f>
        <v>0</v>
      </c>
      <c r="E101" s="20">
        <f>'集計_障がい別'!$I$411</f>
        <v>0</v>
      </c>
    </row>
    <row r="102" ht="15" customHeight="1">
      <c r="B102" s="17" t="inlineStr">
        <is>
          <t>※いずれの区分にも回答のなかった選択肢は省略しています。</t>
        </is>
      </c>
    </row>
    <row r="103"/>
    <row r="104"/>
    <row r="105"/>
    <row r="106"/>
    <row r="107"/>
    <row r="108"/>
    <row r="109"/>
    <row r="110"/>
    <row r="111"/>
    <row r="112"/>
    <row r="113"/>
    <row r="114"/>
    <row r="115"/>
    <row r="116"/>
    <row r="117"/>
    <row r="118"/>
    <row r="121" ht="21" customHeight="1">
      <c r="B121" s="7" t="inlineStr">
        <is>
          <t>図3-78　災害時に必要だと思う支援（問41）</t>
        </is>
      </c>
    </row>
    <row r="122">
      <c r="B122" s="18" t="str">
        <f>"n="&amp;'集計_障がい者'!$F$414&amp;"（複数回答）"</f>
        <v>n=40（複数回答）</v>
      </c>
    </row>
    <row r="123" ht="18" customHeight="1">
      <c r="B123" s="3" t="inlineStr">
        <is>
          <t>選択肢</t>
        </is>
      </c>
      <c r="C123" s="3" t="inlineStr">
        <is>
          <t>件数</t>
        </is>
      </c>
      <c r="D123" s="3" t="inlineStr">
        <is>
          <t>割合</t>
        </is>
      </c>
    </row>
    <row r="124" ht="17" customHeight="1">
      <c r="B124" s="5" t="inlineStr">
        <is>
          <t>薬・医療機器・電源の確保</t>
        </is>
      </c>
      <c r="C124" s="19">
        <f>'集計_障がい者'!$D$414</f>
        <v>21</v>
      </c>
      <c r="D124" s="20">
        <f>'集計_障がい者'!$E$414</f>
        <v>0.525</v>
      </c>
    </row>
    <row r="125" ht="17" customHeight="1">
      <c r="B125" s="5" t="inlineStr">
        <is>
          <t>福祉避難所の情報提供</t>
        </is>
      </c>
      <c r="C125" s="19">
        <f>'集計_障がい者'!$D$413</f>
        <v>13</v>
      </c>
      <c r="D125" s="20">
        <f>'集計_障がい者'!$E$413</f>
        <v>0.325</v>
      </c>
    </row>
    <row r="126" ht="17" customHeight="1">
      <c r="B126" s="5" t="inlineStr">
        <is>
          <t>安否確認</t>
        </is>
      </c>
      <c r="C126" s="19">
        <f>'集計_障がい者'!$D$416</f>
        <v>13</v>
      </c>
      <c r="D126" s="20">
        <f>'集計_障がい者'!$E$416</f>
        <v>0.325</v>
      </c>
    </row>
    <row r="127" ht="17" customHeight="1">
      <c r="B127" s="5" t="inlineStr">
        <is>
          <t>冬季避難の支援</t>
        </is>
      </c>
      <c r="C127" s="19">
        <f>'集計_障がい者'!$D$415</f>
        <v>12</v>
      </c>
      <c r="D127" s="20">
        <f>'集計_障がい者'!$E$415</f>
        <v>0.3</v>
      </c>
    </row>
    <row r="128" ht="17" customHeight="1">
      <c r="B128" s="5" t="inlineStr">
        <is>
          <t>避難所での合理的配慮</t>
        </is>
      </c>
      <c r="C128" s="19">
        <f>'集計_障がい者'!$D$417</f>
        <v>12</v>
      </c>
      <c r="D128" s="20">
        <f>'集計_障がい者'!$E$417</f>
        <v>0.3</v>
      </c>
    </row>
    <row r="129" ht="17" customHeight="1">
      <c r="B129" s="5" t="inlineStr">
        <is>
          <t>文字・掲示・字幕等の目で見てわかる災害情報</t>
        </is>
      </c>
      <c r="C129" s="19">
        <f>'集計_障がい者'!$D$418</f>
        <v>12</v>
      </c>
      <c r="D129" s="20">
        <f>'集計_障がい者'!$E$418</f>
        <v>0.3</v>
      </c>
    </row>
    <row r="130" ht="17" customHeight="1">
      <c r="B130" s="5" t="inlineStr">
        <is>
          <t>個別避難計画の作成支援</t>
        </is>
      </c>
      <c r="C130" s="19">
        <f>'集計_障がい者'!$D$411</f>
        <v>6</v>
      </c>
      <c r="D130" s="20">
        <f>'集計_障がい者'!$E$411</f>
        <v>0.15</v>
      </c>
    </row>
    <row r="131" ht="17" customHeight="1">
      <c r="B131" s="5" t="inlineStr">
        <is>
          <t>避難訓練への参加支援</t>
        </is>
      </c>
      <c r="C131" s="19">
        <f>'集計_障がい者'!$D$412</f>
        <v>5</v>
      </c>
      <c r="D131" s="20">
        <f>'集計_障がい者'!$E$412</f>
        <v>0.125</v>
      </c>
    </row>
    <row r="132" ht="17" customHeight="1">
      <c r="B132" s="5" t="inlineStr">
        <is>
          <t>その他</t>
        </is>
      </c>
      <c r="C132" s="19">
        <f>'集計_障がい者'!$D$419</f>
        <v>1</v>
      </c>
      <c r="D132" s="20">
        <f>'集計_障がい者'!$E$419</f>
        <v>0.025</v>
      </c>
    </row>
    <row r="133" ht="17" customHeight="1">
      <c r="B133" s="5" t="inlineStr">
        <is>
          <t>無回答</t>
        </is>
      </c>
      <c r="C133" s="19">
        <f>'集計_障がい者'!$D$420</f>
        <v>6</v>
      </c>
      <c r="D133" s="20">
        <f>'集計_障がい者'!$E$420</f>
        <v>0.15</v>
      </c>
    </row>
    <row r="134"/>
    <row r="135"/>
    <row r="138" ht="21" customHeight="1">
      <c r="B138" s="7" t="inlineStr">
        <is>
          <t>図3-79　災害時に必要だと思う支援【障がい別】（問41）</t>
        </is>
      </c>
    </row>
    <row r="139"/>
    <row r="140" ht="31" customHeight="1">
      <c r="B140" s="3" t="inlineStr">
        <is>
          <t>選択肢</t>
        </is>
      </c>
      <c r="C140" s="3" t="inlineStr">
        <is>
          <t>身体障がい（n=29）</t>
        </is>
      </c>
      <c r="D140" s="3" t="inlineStr">
        <is>
          <t>知的障がい（n=2）</t>
        </is>
      </c>
      <c r="E140" s="3" t="inlineStr">
        <is>
          <t>精神障がい（n=6）</t>
        </is>
      </c>
    </row>
    <row r="141" ht="17" customHeight="1">
      <c r="B141" s="5" t="inlineStr">
        <is>
          <t>薬・医療機器・電源の確保</t>
        </is>
      </c>
      <c r="C141" s="20">
        <f>'集計_障がい別'!$G$415</f>
        <v>0.551724137931035</v>
      </c>
      <c r="D141" s="20">
        <f>'集計_障がい別'!$H$415</f>
        <v>0.5</v>
      </c>
      <c r="E141" s="20">
        <f>'集計_障がい別'!$I$415</f>
        <v>0.5</v>
      </c>
    </row>
    <row r="142" ht="17" customHeight="1">
      <c r="B142" s="5" t="inlineStr">
        <is>
          <t>福祉避難所の情報提供</t>
        </is>
      </c>
      <c r="C142" s="20">
        <f>'集計_障がい別'!$G$414</f>
        <v>0.344827586206897</v>
      </c>
      <c r="D142" s="20">
        <f>'集計_障がい別'!$H$414</f>
        <v>0.5</v>
      </c>
      <c r="E142" s="20">
        <f>'集計_障がい別'!$I$414</f>
        <v>0.333333333333333</v>
      </c>
    </row>
    <row r="143" ht="17" customHeight="1">
      <c r="B143" s="5" t="inlineStr">
        <is>
          <t>安否確認</t>
        </is>
      </c>
      <c r="C143" s="20">
        <f>'集計_障がい別'!$G$417</f>
        <v>0.310344827586207</v>
      </c>
      <c r="D143" s="20">
        <f>'集計_障がい別'!$H$417</f>
        <v>0</v>
      </c>
      <c r="E143" s="20">
        <f>'集計_障がい別'!$I$417</f>
        <v>0.5</v>
      </c>
    </row>
    <row r="144" ht="17" customHeight="1">
      <c r="B144" s="5" t="inlineStr">
        <is>
          <t>冬季避難の支援</t>
        </is>
      </c>
      <c r="C144" s="20">
        <f>'集計_障がい別'!$G$416</f>
        <v>0.275862068965517</v>
      </c>
      <c r="D144" s="20">
        <f>'集計_障がい別'!$H$416</f>
        <v>0</v>
      </c>
      <c r="E144" s="20">
        <f>'集計_障がい別'!$I$416</f>
        <v>0.666666666666667</v>
      </c>
    </row>
    <row r="145" ht="17" customHeight="1">
      <c r="B145" s="5" t="inlineStr">
        <is>
          <t>避難所での合理的配慮</t>
        </is>
      </c>
      <c r="C145" s="20">
        <f>'集計_障がい別'!$G$418</f>
        <v>0.206896551724138</v>
      </c>
      <c r="D145" s="20">
        <f>'集計_障がい別'!$H$418</f>
        <v>0</v>
      </c>
      <c r="E145" s="20">
        <f>'集計_障がい別'!$I$418</f>
        <v>0.833333333333333</v>
      </c>
    </row>
    <row r="146" ht="17" customHeight="1">
      <c r="B146" s="5" t="inlineStr">
        <is>
          <t>文字・掲示・字幕等の目で見てわかる災害情報</t>
        </is>
      </c>
      <c r="C146" s="20">
        <f>'集計_障がい別'!$G$419</f>
        <v>0.310344827586207</v>
      </c>
      <c r="D146" s="20">
        <f>'集計_障がい別'!$H$419</f>
        <v>0</v>
      </c>
      <c r="E146" s="20">
        <f>'集計_障がい別'!$I$419</f>
        <v>0.5</v>
      </c>
    </row>
    <row r="147" ht="17" customHeight="1">
      <c r="B147" s="5" t="inlineStr">
        <is>
          <t>個別避難計画の作成支援</t>
        </is>
      </c>
      <c r="C147" s="20">
        <f>'集計_障がい別'!$G$412</f>
        <v>0.103448275862069</v>
      </c>
      <c r="D147" s="20">
        <f>'集計_障がい別'!$H$412</f>
        <v>0</v>
      </c>
      <c r="E147" s="20">
        <f>'集計_障がい別'!$I$412</f>
        <v>0.5</v>
      </c>
    </row>
    <row r="148" ht="17" customHeight="1">
      <c r="B148" s="5" t="inlineStr">
        <is>
          <t>避難訓練への参加支援</t>
        </is>
      </c>
      <c r="C148" s="20">
        <f>'集計_障がい別'!$G$413</f>
        <v>0.103448275862069</v>
      </c>
      <c r="D148" s="20">
        <f>'集計_障がい別'!$H$413</f>
        <v>0</v>
      </c>
      <c r="E148" s="20">
        <f>'集計_障がい別'!$I$413</f>
        <v>0.166666666666667</v>
      </c>
    </row>
    <row r="149" ht="17" customHeight="1">
      <c r="B149" s="5" t="inlineStr">
        <is>
          <t>その他</t>
        </is>
      </c>
      <c r="C149" s="20">
        <f>'集計_障がい別'!$G$420</f>
        <v>0.0344827586206897</v>
      </c>
      <c r="D149" s="20">
        <f>'集計_障がい別'!$H$420</f>
        <v>0</v>
      </c>
      <c r="E149" s="20">
        <f>'集計_障がい別'!$I$420</f>
        <v>0</v>
      </c>
    </row>
    <row r="150" ht="17" customHeight="1">
      <c r="B150" s="5" t="inlineStr">
        <is>
          <t>無回答</t>
        </is>
      </c>
      <c r="C150" s="20">
        <f>'集計_障がい別'!$G$421</f>
        <v>0.137931034482759</v>
      </c>
      <c r="D150" s="20">
        <f>'集計_障がい別'!$H$421</f>
        <v>0</v>
      </c>
      <c r="E150" s="20">
        <f>'集計_障がい別'!$I$421</f>
        <v>0</v>
      </c>
    </row>
    <row r="151"/>
    <row r="152"/>
    <row r="153"/>
    <row r="154"/>
    <row r="155"/>
    <row r="156"/>
    <row r="157"/>
    <row r="158"/>
    <row r="159"/>
    <row r="160"/>
    <row r="161"/>
    <row r="162"/>
    <row r="163"/>
    <row r="164"/>
    <row r="165"/>
    <row r="166"/>
    <row r="167"/>
    <row r="168"/>
    <row r="169"/>
    <row r="172" ht="21" customHeight="1">
      <c r="B172" s="7" t="inlineStr">
        <is>
          <t>図3-80　今後参加したい地域活動・社会参加（問42）</t>
        </is>
      </c>
    </row>
    <row r="173">
      <c r="B173" s="18" t="str">
        <f>"n="&amp;'集計_障がい者'!$F$421&amp;"（複数回答）"</f>
        <v>n=40（複数回答）</v>
      </c>
    </row>
    <row r="174" ht="18" customHeight="1">
      <c r="B174" s="3" t="inlineStr">
        <is>
          <t>選択肢</t>
        </is>
      </c>
      <c r="C174" s="3" t="inlineStr">
        <is>
          <t>件数</t>
        </is>
      </c>
      <c r="D174" s="3" t="inlineStr">
        <is>
          <t>割合</t>
        </is>
      </c>
    </row>
    <row r="175" ht="17" customHeight="1">
      <c r="B175" s="5" t="inlineStr">
        <is>
          <t>趣味・スポーツ</t>
        </is>
      </c>
      <c r="C175" s="19">
        <f>'集計_障がい者'!$D$421</f>
        <v>7</v>
      </c>
      <c r="D175" s="20">
        <f>'集計_障がい者'!$E$421</f>
        <v>0.175</v>
      </c>
    </row>
    <row r="176" ht="17" customHeight="1">
      <c r="B176" s="5" t="inlineStr">
        <is>
          <t>地域行事</t>
        </is>
      </c>
      <c r="C176" s="19">
        <f>'集計_障がい者'!$D$423</f>
        <v>7</v>
      </c>
      <c r="D176" s="20">
        <f>'集計_障がい者'!$E$423</f>
        <v>0.175</v>
      </c>
    </row>
    <row r="177" ht="17" customHeight="1">
      <c r="B177" s="5" t="inlineStr">
        <is>
          <t>ボランティア</t>
        </is>
      </c>
      <c r="C177" s="19">
        <f>'集計_障がい者'!$D$422</f>
        <v>3</v>
      </c>
      <c r="D177" s="20">
        <f>'集計_障がい者'!$E$422</f>
        <v>0.075</v>
      </c>
    </row>
    <row r="178" ht="17" customHeight="1">
      <c r="B178" s="5" t="inlineStr">
        <is>
          <t>障がい者団体・家族会</t>
        </is>
      </c>
      <c r="C178" s="19">
        <f>'集計_障がい者'!$D$424</f>
        <v>3</v>
      </c>
      <c r="D178" s="20">
        <f>'集計_障がい者'!$E$424</f>
        <v>0.075</v>
      </c>
    </row>
    <row r="179" ht="17" customHeight="1">
      <c r="B179" s="5" t="inlineStr">
        <is>
          <t>就労・地域貢献</t>
        </is>
      </c>
      <c r="C179" s="19">
        <f>'集計_障がい者'!$D$425</f>
        <v>3</v>
      </c>
      <c r="D179" s="20">
        <f>'集計_障がい者'!$E$425</f>
        <v>0.075</v>
      </c>
    </row>
    <row r="180" ht="17" customHeight="1">
      <c r="B180" s="5" t="inlineStr">
        <is>
          <t>学習・講座</t>
        </is>
      </c>
      <c r="C180" s="19">
        <f>'集計_障がい者'!$D$426</f>
        <v>3</v>
      </c>
      <c r="D180" s="20">
        <f>'集計_障がい者'!$E$426</f>
        <v>0.075</v>
      </c>
    </row>
    <row r="181" ht="17" customHeight="1">
      <c r="B181" s="5" t="inlineStr">
        <is>
          <t>オンラインでの交流</t>
        </is>
      </c>
      <c r="C181" s="19">
        <f>'集計_障がい者'!$D$427</f>
        <v>0</v>
      </c>
      <c r="D181" s="20">
        <f>'集計_障がい者'!$E$427</f>
        <v>0</v>
      </c>
    </row>
    <row r="182" ht="17" customHeight="1">
      <c r="B182" s="5" t="inlineStr">
        <is>
          <t>特にない</t>
        </is>
      </c>
      <c r="C182" s="19">
        <f>'集計_障がい者'!$D$428</f>
        <v>20</v>
      </c>
      <c r="D182" s="20">
        <f>'集計_障がい者'!$E$428</f>
        <v>0.5</v>
      </c>
    </row>
    <row r="183" ht="17" customHeight="1">
      <c r="B183" s="5" t="inlineStr">
        <is>
          <t>その他</t>
        </is>
      </c>
      <c r="C183" s="19">
        <f>'集計_障がい者'!$D$429</f>
        <v>0</v>
      </c>
      <c r="D183" s="20">
        <f>'集計_障がい者'!$E$429</f>
        <v>0</v>
      </c>
    </row>
    <row r="184" ht="17" customHeight="1">
      <c r="B184" s="5" t="inlineStr">
        <is>
          <t>無回答</t>
        </is>
      </c>
      <c r="C184" s="19">
        <f>'集計_障がい者'!$D$430</f>
        <v>8</v>
      </c>
      <c r="D184" s="20">
        <f>'集計_障がい者'!$E$430</f>
        <v>0.2</v>
      </c>
    </row>
    <row r="185"/>
    <row r="188" ht="21" customHeight="1">
      <c r="B188" s="7" t="inlineStr">
        <is>
          <t>図3-81　今後参加したい地域活動・社会参加【障がい別】（問42）</t>
        </is>
      </c>
    </row>
    <row r="189"/>
    <row r="190" ht="31" customHeight="1">
      <c r="B190" s="3" t="inlineStr">
        <is>
          <t>選択肢</t>
        </is>
      </c>
      <c r="C190" s="3" t="inlineStr">
        <is>
          <t>身体障がい（n=29）</t>
        </is>
      </c>
      <c r="D190" s="3" t="inlineStr">
        <is>
          <t>知的障がい（n=2）</t>
        </is>
      </c>
      <c r="E190" s="3" t="inlineStr">
        <is>
          <t>精神障がい（n=6）</t>
        </is>
      </c>
    </row>
    <row r="191" ht="17" customHeight="1">
      <c r="B191" s="5" t="inlineStr">
        <is>
          <t>趣味・スポーツ</t>
        </is>
      </c>
      <c r="C191" s="20">
        <f>'集計_障がい別'!$G$422</f>
        <v>0.172413793103448</v>
      </c>
      <c r="D191" s="20">
        <f>'集計_障がい別'!$H$422</f>
        <v>0</v>
      </c>
      <c r="E191" s="20">
        <f>'集計_障がい別'!$I$422</f>
        <v>0.166666666666667</v>
      </c>
    </row>
    <row r="192" ht="17" customHeight="1">
      <c r="B192" s="5" t="inlineStr">
        <is>
          <t>地域行事</t>
        </is>
      </c>
      <c r="C192" s="20">
        <f>'集計_障がい別'!$G$424</f>
        <v>0.137931034482759</v>
      </c>
      <c r="D192" s="20">
        <f>'集計_障がい別'!$H$424</f>
        <v>0</v>
      </c>
      <c r="E192" s="20">
        <f>'集計_障がい別'!$I$424</f>
        <v>0.166666666666667</v>
      </c>
    </row>
    <row r="193" ht="17" customHeight="1">
      <c r="B193" s="5" t="inlineStr">
        <is>
          <t>ボランティア</t>
        </is>
      </c>
      <c r="C193" s="20">
        <f>'集計_障がい別'!$G$423</f>
        <v>0.0344827586206897</v>
      </c>
      <c r="D193" s="20">
        <f>'集計_障がい別'!$H$423</f>
        <v>0</v>
      </c>
      <c r="E193" s="20">
        <f>'集計_障がい別'!$I$423</f>
        <v>0.166666666666667</v>
      </c>
    </row>
    <row r="194" ht="17" customHeight="1">
      <c r="B194" s="5" t="inlineStr">
        <is>
          <t>障がい者団体・家族会</t>
        </is>
      </c>
      <c r="C194" s="20">
        <f>'集計_障がい別'!$G$425</f>
        <v>0.0689655172413793</v>
      </c>
      <c r="D194" s="20">
        <f>'集計_障がい別'!$H$425</f>
        <v>0.5</v>
      </c>
      <c r="E194" s="20">
        <f>'集計_障がい別'!$I$425</f>
        <v>0.166666666666667</v>
      </c>
    </row>
    <row r="195" ht="17" customHeight="1">
      <c r="B195" s="5" t="inlineStr">
        <is>
          <t>就労・地域貢献</t>
        </is>
      </c>
      <c r="C195" s="20">
        <f>'集計_障がい別'!$G$426</f>
        <v>0.0689655172413793</v>
      </c>
      <c r="D195" s="20">
        <f>'集計_障がい別'!$H$426</f>
        <v>0</v>
      </c>
      <c r="E195" s="20">
        <f>'集計_障がい別'!$I$426</f>
        <v>0.166666666666667</v>
      </c>
    </row>
    <row r="196" ht="17" customHeight="1">
      <c r="B196" s="5" t="inlineStr">
        <is>
          <t>学習・講座</t>
        </is>
      </c>
      <c r="C196" s="20">
        <f>'集計_障がい別'!$G$427</f>
        <v>0.0689655172413793</v>
      </c>
      <c r="D196" s="20">
        <f>'集計_障がい別'!$H$427</f>
        <v>0</v>
      </c>
      <c r="E196" s="20">
        <f>'集計_障がい別'!$I$427</f>
        <v>0.166666666666667</v>
      </c>
    </row>
    <row r="197" ht="17" customHeight="1">
      <c r="B197" s="5" t="inlineStr">
        <is>
          <t>特にない</t>
        </is>
      </c>
      <c r="C197" s="20">
        <f>'集計_障がい別'!$G$429</f>
        <v>0.482758620689655</v>
      </c>
      <c r="D197" s="20">
        <f>'集計_障がい別'!$H$429</f>
        <v>0.5</v>
      </c>
      <c r="E197" s="20">
        <f>'集計_障がい別'!$I$429</f>
        <v>0.5</v>
      </c>
    </row>
    <row r="198" ht="17" customHeight="1">
      <c r="B198" s="5" t="inlineStr">
        <is>
          <t>無回答</t>
        </is>
      </c>
      <c r="C198" s="20">
        <f>'集計_障がい別'!$G$431</f>
        <v>0.241379310344828</v>
      </c>
      <c r="D198" s="20">
        <f>'集計_障がい別'!$H$431</f>
        <v>0</v>
      </c>
      <c r="E198" s="20">
        <f>'集計_障がい別'!$I$431</f>
        <v>0.166666666666667</v>
      </c>
    </row>
    <row r="199" ht="15" customHeight="1">
      <c r="B199" s="17" t="inlineStr">
        <is>
          <t>※いずれの区分にも回答のなかった選択肢は省略しています。</t>
        </is>
      </c>
    </row>
    <row r="200"/>
    <row r="201"/>
    <row r="202"/>
    <row r="203"/>
    <row r="204"/>
    <row r="205"/>
    <row r="206"/>
    <row r="207"/>
    <row r="208"/>
    <row r="209"/>
    <row r="210"/>
    <row r="211"/>
    <row r="212"/>
    <row r="213"/>
    <row r="216" ht="21" customHeight="1">
      <c r="B216" s="7" t="inlineStr">
        <is>
          <t>図3-82　障がいへの理解を深めるために必要な取組（問43）</t>
        </is>
      </c>
    </row>
    <row r="217">
      <c r="B217" s="18" t="str">
        <f>"n="&amp;'集計_障がい者'!$F$434&amp;"（複数回答）"</f>
        <v>n=40（複数回答）</v>
      </c>
    </row>
    <row r="218" ht="18" customHeight="1">
      <c r="B218" s="3" t="inlineStr">
        <is>
          <t>選択肢</t>
        </is>
      </c>
      <c r="C218" s="3" t="inlineStr">
        <is>
          <t>件数</t>
        </is>
      </c>
      <c r="D218" s="3" t="inlineStr">
        <is>
          <t>割合</t>
        </is>
      </c>
    </row>
    <row r="219" ht="17" customHeight="1">
      <c r="B219" s="5" t="inlineStr">
        <is>
          <t>広報・ホームページでの情報発信</t>
        </is>
      </c>
      <c r="C219" s="19">
        <f>'集計_障がい者'!$D$434</f>
        <v>13</v>
      </c>
      <c r="D219" s="20">
        <f>'集計_障がい者'!$E$434</f>
        <v>0.325</v>
      </c>
    </row>
    <row r="220" ht="17" customHeight="1">
      <c r="B220" s="5" t="inlineStr">
        <is>
          <t>交流の場づくり</t>
        </is>
      </c>
      <c r="C220" s="19">
        <f>'集計_障がい者'!$D$435</f>
        <v>11</v>
      </c>
      <c r="D220" s="20">
        <f>'集計_障がい者'!$E$435</f>
        <v>0.275</v>
      </c>
    </row>
    <row r="221" ht="17" customHeight="1">
      <c r="B221" s="5" t="inlineStr">
        <is>
          <t>学校での福祉教育</t>
        </is>
      </c>
      <c r="C221" s="19">
        <f>'集計_障がい者'!$D$431</f>
        <v>9</v>
      </c>
      <c r="D221" s="20">
        <f>'集計_障がい者'!$E$431</f>
        <v>0.225</v>
      </c>
    </row>
    <row r="222" ht="17" customHeight="1">
      <c r="B222" s="5" t="inlineStr">
        <is>
          <t>地域住民向けの講座</t>
        </is>
      </c>
      <c r="C222" s="19">
        <f>'集計_障がい者'!$D$432</f>
        <v>7</v>
      </c>
      <c r="D222" s="20">
        <f>'集計_障がい者'!$E$432</f>
        <v>0.175</v>
      </c>
    </row>
    <row r="223" ht="17" customHeight="1">
      <c r="B223" s="5" t="inlineStr">
        <is>
          <t>障がい当事者の意見発信</t>
        </is>
      </c>
      <c r="C223" s="19">
        <f>'集計_障がい者'!$D$436</f>
        <v>6</v>
      </c>
      <c r="D223" s="20">
        <f>'集計_障がい者'!$E$436</f>
        <v>0.15</v>
      </c>
    </row>
    <row r="224" ht="17" customHeight="1">
      <c r="B224" s="5" t="inlineStr">
        <is>
          <t>事業所・企業への啓発</t>
        </is>
      </c>
      <c r="C224" s="19">
        <f>'集計_障がい者'!$D$433</f>
        <v>5</v>
      </c>
      <c r="D224" s="20">
        <f>'集計_障がい者'!$E$433</f>
        <v>0.125</v>
      </c>
    </row>
    <row r="225" ht="17" customHeight="1">
      <c r="B225" s="5" t="inlineStr">
        <is>
          <t>特にない</t>
        </is>
      </c>
      <c r="C225" s="19">
        <f>'集計_障がい者'!$D$437</f>
        <v>7</v>
      </c>
      <c r="D225" s="20">
        <f>'集計_障がい者'!$E$437</f>
        <v>0.175</v>
      </c>
    </row>
    <row r="226" ht="17" customHeight="1">
      <c r="B226" s="5" t="inlineStr">
        <is>
          <t>その他</t>
        </is>
      </c>
      <c r="C226" s="19">
        <f>'集計_障がい者'!$D$438</f>
        <v>0</v>
      </c>
      <c r="D226" s="20">
        <f>'集計_障がい者'!$E$438</f>
        <v>0</v>
      </c>
    </row>
    <row r="227" ht="17" customHeight="1">
      <c r="B227" s="5" t="inlineStr">
        <is>
          <t>無回答</t>
        </is>
      </c>
      <c r="C227" s="19">
        <f>'集計_障がい者'!$D$439</f>
        <v>7</v>
      </c>
      <c r="D227" s="20">
        <f>'集計_障がい者'!$E$439</f>
        <v>0.175</v>
      </c>
    </row>
    <row r="228"/>
    <row r="231" ht="21" customHeight="1">
      <c r="B231" s="7" t="inlineStr">
        <is>
          <t>図3-83　障がいへの理解を深めるために必要な取組【障がい別】（問43）</t>
        </is>
      </c>
    </row>
    <row r="232"/>
    <row r="233" ht="31" customHeight="1">
      <c r="B233" s="3" t="inlineStr">
        <is>
          <t>選択肢</t>
        </is>
      </c>
      <c r="C233" s="3" t="inlineStr">
        <is>
          <t>身体障がい（n=29）</t>
        </is>
      </c>
      <c r="D233" s="3" t="inlineStr">
        <is>
          <t>知的障がい（n=2）</t>
        </is>
      </c>
      <c r="E233" s="3" t="inlineStr">
        <is>
          <t>精神障がい（n=6）</t>
        </is>
      </c>
    </row>
    <row r="234" ht="17" customHeight="1">
      <c r="B234" s="5" t="inlineStr">
        <is>
          <t>広報・ホームページでの情報発信</t>
        </is>
      </c>
      <c r="C234" s="20">
        <f>'集計_障がい別'!$G$435</f>
        <v>0.344827586206897</v>
      </c>
      <c r="D234" s="20">
        <f>'集計_障がい別'!$H$435</f>
        <v>0</v>
      </c>
      <c r="E234" s="20">
        <f>'集計_障がい別'!$I$435</f>
        <v>0.333333333333333</v>
      </c>
    </row>
    <row r="235" ht="17" customHeight="1">
      <c r="B235" s="5" t="inlineStr">
        <is>
          <t>交流の場づくり</t>
        </is>
      </c>
      <c r="C235" s="20">
        <f>'集計_障がい別'!$G$436</f>
        <v>0.241379310344828</v>
      </c>
      <c r="D235" s="20">
        <f>'集計_障がい別'!$H$436</f>
        <v>1</v>
      </c>
      <c r="E235" s="20">
        <f>'集計_障がい別'!$I$436</f>
        <v>0.166666666666667</v>
      </c>
    </row>
    <row r="236" ht="17" customHeight="1">
      <c r="B236" s="5" t="inlineStr">
        <is>
          <t>学校での福祉教育</t>
        </is>
      </c>
      <c r="C236" s="20">
        <f>'集計_障がい別'!$G$432</f>
        <v>0.275862068965517</v>
      </c>
      <c r="D236" s="20">
        <f>'集計_障がい別'!$H$432</f>
        <v>0.5</v>
      </c>
      <c r="E236" s="20">
        <f>'集計_障がい別'!$I$432</f>
        <v>0.166666666666667</v>
      </c>
    </row>
    <row r="237" ht="17" customHeight="1">
      <c r="B237" s="5" t="inlineStr">
        <is>
          <t>地域住民向けの講座</t>
        </is>
      </c>
      <c r="C237" s="20">
        <f>'集計_障がい別'!$G$433</f>
        <v>0.172413793103448</v>
      </c>
      <c r="D237" s="20">
        <f>'集計_障がい別'!$H$433</f>
        <v>0</v>
      </c>
      <c r="E237" s="20">
        <f>'集計_障がい別'!$I$433</f>
        <v>0</v>
      </c>
    </row>
    <row r="238" ht="17" customHeight="1">
      <c r="B238" s="5" t="inlineStr">
        <is>
          <t>障がい当事者の意見発信</t>
        </is>
      </c>
      <c r="C238" s="20">
        <f>'集計_障がい別'!$G$437</f>
        <v>0.137931034482759</v>
      </c>
      <c r="D238" s="20">
        <f>'集計_障がい別'!$H$437</f>
        <v>0</v>
      </c>
      <c r="E238" s="20">
        <f>'集計_障がい別'!$I$437</f>
        <v>0.166666666666667</v>
      </c>
    </row>
    <row r="239" ht="17" customHeight="1">
      <c r="B239" s="5" t="inlineStr">
        <is>
          <t>事業所・企業への啓発</t>
        </is>
      </c>
      <c r="C239" s="20">
        <f>'集計_障がい別'!$G$434</f>
        <v>0.137931034482759</v>
      </c>
      <c r="D239" s="20">
        <f>'集計_障がい別'!$H$434</f>
        <v>0</v>
      </c>
      <c r="E239" s="20">
        <f>'集計_障がい別'!$I$434</f>
        <v>0.166666666666667</v>
      </c>
    </row>
    <row r="240" ht="17" customHeight="1">
      <c r="B240" s="5" t="inlineStr">
        <is>
          <t>特にない</t>
        </is>
      </c>
      <c r="C240" s="20">
        <f>'集計_障がい別'!$G$438</f>
        <v>0.172413793103448</v>
      </c>
      <c r="D240" s="20">
        <f>'集計_障がい別'!$H$438</f>
        <v>0</v>
      </c>
      <c r="E240" s="20">
        <f>'集計_障がい別'!$I$438</f>
        <v>0.166666666666667</v>
      </c>
    </row>
    <row r="241" ht="17" customHeight="1">
      <c r="B241" s="5" t="inlineStr">
        <is>
          <t>無回答</t>
        </is>
      </c>
      <c r="C241" s="20">
        <f>'集計_障がい別'!$G$440</f>
        <v>0.206896551724138</v>
      </c>
      <c r="D241" s="20">
        <f>'集計_障がい別'!$H$440</f>
        <v>0</v>
      </c>
      <c r="E241" s="20">
        <f>'集計_障がい別'!$I$440</f>
        <v>0.166666666666667</v>
      </c>
    </row>
    <row r="242" ht="15" customHeight="1">
      <c r="B242" s="17" t="inlineStr">
        <is>
          <t>※いずれの区分にも回答のなかった選択肢は省略しています。</t>
        </is>
      </c>
    </row>
    <row r="243"/>
    <row r="244"/>
    <row r="245"/>
    <row r="246"/>
    <row r="247"/>
    <row r="248"/>
    <row r="249"/>
    <row r="250"/>
    <row r="251"/>
    <row r="252"/>
    <row r="253"/>
    <row r="254"/>
    <row r="255"/>
    <row r="256"/>
    <row r="259" ht="21" customHeight="1">
      <c r="B259" s="7" t="inlineStr">
        <is>
          <t>図3-84　今後、村が特に力を入れるべきこと（3つまで）（問44）</t>
        </is>
      </c>
    </row>
    <row r="260">
      <c r="B260" s="18" t="str">
        <f>"n="&amp;'集計_障がい者'!$F$440&amp;"（複数回答）"</f>
        <v>n=40（複数回答）</v>
      </c>
    </row>
    <row r="261" ht="18" customHeight="1">
      <c r="B261" s="3" t="inlineStr">
        <is>
          <t>選択肢</t>
        </is>
      </c>
      <c r="C261" s="3" t="inlineStr">
        <is>
          <t>件数</t>
        </is>
      </c>
      <c r="D261" s="3" t="inlineStr">
        <is>
          <t>割合</t>
        </is>
      </c>
    </row>
    <row r="262" ht="17" customHeight="1">
      <c r="B262" s="5" t="inlineStr">
        <is>
          <t>相談支援体制</t>
        </is>
      </c>
      <c r="C262" s="19">
        <f>'集計_障がい者'!$D$440</f>
        <v>15</v>
      </c>
      <c r="D262" s="20">
        <f>'集計_障がい者'!$E$440</f>
        <v>0.375</v>
      </c>
    </row>
    <row r="263" ht="17" customHeight="1">
      <c r="B263" s="5" t="inlineStr">
        <is>
          <t>災害時支援</t>
        </is>
      </c>
      <c r="C263" s="19">
        <f>'集計_障がい者'!$D$444</f>
        <v>14</v>
      </c>
      <c r="D263" s="20">
        <f>'集計_障がい者'!$E$444</f>
        <v>0.35</v>
      </c>
    </row>
    <row r="264" ht="17" customHeight="1">
      <c r="B264" s="5" t="inlineStr">
        <is>
          <t>在宅生活支援</t>
        </is>
      </c>
      <c r="C264" s="19">
        <f>'集計_障がい者'!$D$441</f>
        <v>10</v>
      </c>
      <c r="D264" s="20">
        <f>'集計_障がい者'!$E$441</f>
        <v>0.25</v>
      </c>
    </row>
    <row r="265" ht="17" customHeight="1">
      <c r="B265" s="5" t="inlineStr">
        <is>
          <t>移動支援</t>
        </is>
      </c>
      <c r="C265" s="19">
        <f>'集計_障がい者'!$D$442</f>
        <v>10</v>
      </c>
      <c r="D265" s="20">
        <f>'集計_障がい者'!$E$442</f>
        <v>0.25</v>
      </c>
    </row>
    <row r="266" ht="17" customHeight="1">
      <c r="B266" s="5" t="inlineStr">
        <is>
          <t>サービス事業所の確保</t>
        </is>
      </c>
      <c r="C266" s="19">
        <f>'集計_障がい者'!$D$447</f>
        <v>10</v>
      </c>
      <c r="D266" s="20">
        <f>'集計_障がい者'!$E$447</f>
        <v>0.25</v>
      </c>
    </row>
    <row r="267" ht="17" customHeight="1">
      <c r="B267" s="5" t="inlineStr">
        <is>
          <t>家族支援</t>
        </is>
      </c>
      <c r="C267" s="19">
        <f>'集計_障がい者'!$D$446</f>
        <v>9</v>
      </c>
      <c r="D267" s="20">
        <f>'集計_障がい者'!$E$446</f>
        <v>0.225</v>
      </c>
    </row>
    <row r="268" ht="17" customHeight="1">
      <c r="B268" s="5" t="inlineStr">
        <is>
          <t>差別解消・権利擁護</t>
        </is>
      </c>
      <c r="C268" s="19">
        <f>'集計_障がい者'!$D$445</f>
        <v>5</v>
      </c>
      <c r="D268" s="20">
        <f>'集計_障がい者'!$E$445</f>
        <v>0.125</v>
      </c>
    </row>
    <row r="269" ht="17" customHeight="1">
      <c r="B269" s="5" t="inlineStr">
        <is>
          <t>就労支援</t>
        </is>
      </c>
      <c r="C269" s="19">
        <f>'集計_障がい者'!$D$443</f>
        <v>4</v>
      </c>
      <c r="D269" s="20">
        <f>'集計_障がい者'!$E$443</f>
        <v>0.1</v>
      </c>
    </row>
    <row r="270" ht="17" customHeight="1">
      <c r="B270" s="5" t="inlineStr">
        <is>
          <t>その他</t>
        </is>
      </c>
      <c r="C270" s="19">
        <f>'集計_障がい者'!$D$448</f>
        <v>0</v>
      </c>
      <c r="D270" s="20">
        <f>'集計_障がい者'!$E$448</f>
        <v>0</v>
      </c>
    </row>
    <row r="271" ht="17" customHeight="1">
      <c r="B271" s="5" t="inlineStr">
        <is>
          <t>無回答</t>
        </is>
      </c>
      <c r="C271" s="19">
        <f>'集計_障がい者'!$D$449</f>
        <v>7</v>
      </c>
      <c r="D271" s="20">
        <f>'集計_障がい者'!$E$449</f>
        <v>0.175</v>
      </c>
    </row>
    <row r="272"/>
    <row r="275" ht="21" customHeight="1">
      <c r="B275" s="7" t="inlineStr">
        <is>
          <t>図3-85　今後、村が特に力を入れるべきこと（3つまで）【障がい別】（問44）</t>
        </is>
      </c>
    </row>
    <row r="276"/>
    <row r="277" ht="31" customHeight="1">
      <c r="B277" s="3" t="inlineStr">
        <is>
          <t>選択肢</t>
        </is>
      </c>
      <c r="C277" s="3" t="inlineStr">
        <is>
          <t>身体障がい（n=29）</t>
        </is>
      </c>
      <c r="D277" s="3" t="inlineStr">
        <is>
          <t>知的障がい（n=2）</t>
        </is>
      </c>
      <c r="E277" s="3" t="inlineStr">
        <is>
          <t>精神障がい（n=6）</t>
        </is>
      </c>
    </row>
    <row r="278" ht="17" customHeight="1">
      <c r="B278" s="5" t="inlineStr">
        <is>
          <t>相談支援体制</t>
        </is>
      </c>
      <c r="C278" s="20">
        <f>'集計_障がい別'!$G$441</f>
        <v>0.344827586206897</v>
      </c>
      <c r="D278" s="20">
        <f>'集計_障がい別'!$H$441</f>
        <v>0.5</v>
      </c>
      <c r="E278" s="20">
        <f>'集計_障がい別'!$I$441</f>
        <v>0.333333333333333</v>
      </c>
    </row>
    <row r="279" ht="17" customHeight="1">
      <c r="B279" s="5" t="inlineStr">
        <is>
          <t>災害時支援</t>
        </is>
      </c>
      <c r="C279" s="20">
        <f>'集計_障がい別'!$G$445</f>
        <v>0.413793103448276</v>
      </c>
      <c r="D279" s="20">
        <f>'集計_障がい別'!$H$445</f>
        <v>0</v>
      </c>
      <c r="E279" s="20">
        <f>'集計_障がい別'!$I$445</f>
        <v>0.166666666666667</v>
      </c>
    </row>
    <row r="280" ht="17" customHeight="1">
      <c r="B280" s="5" t="inlineStr">
        <is>
          <t>在宅生活支援</t>
        </is>
      </c>
      <c r="C280" s="20">
        <f>'集計_障がい別'!$G$442</f>
        <v>0.275862068965517</v>
      </c>
      <c r="D280" s="20">
        <f>'集計_障がい別'!$H$442</f>
        <v>0</v>
      </c>
      <c r="E280" s="20">
        <f>'集計_障がい別'!$I$442</f>
        <v>0.333333333333333</v>
      </c>
    </row>
    <row r="281" ht="17" customHeight="1">
      <c r="B281" s="5" t="inlineStr">
        <is>
          <t>移動支援</t>
        </is>
      </c>
      <c r="C281" s="20">
        <f>'集計_障がい別'!$G$443</f>
        <v>0.206896551724138</v>
      </c>
      <c r="D281" s="20">
        <f>'集計_障がい別'!$H$443</f>
        <v>0.5</v>
      </c>
      <c r="E281" s="20">
        <f>'集計_障がい別'!$I$443</f>
        <v>0.5</v>
      </c>
    </row>
    <row r="282" ht="17" customHeight="1">
      <c r="B282" s="5" t="inlineStr">
        <is>
          <t>サービス事業所の確保</t>
        </is>
      </c>
      <c r="C282" s="20">
        <f>'集計_障がい別'!$G$448</f>
        <v>0.275862068965517</v>
      </c>
      <c r="D282" s="20">
        <f>'集計_障がい別'!$H$448</f>
        <v>1</v>
      </c>
      <c r="E282" s="20">
        <f>'集計_障がい別'!$I$448</f>
        <v>0.166666666666667</v>
      </c>
    </row>
    <row r="283" ht="17" customHeight="1">
      <c r="B283" s="5" t="inlineStr">
        <is>
          <t>家族支援</t>
        </is>
      </c>
      <c r="C283" s="20">
        <f>'集計_障がい別'!$G$447</f>
        <v>0.241379310344828</v>
      </c>
      <c r="D283" s="20">
        <f>'集計_障がい別'!$H$447</f>
        <v>0</v>
      </c>
      <c r="E283" s="20">
        <f>'集計_障がい別'!$I$447</f>
        <v>0.166666666666667</v>
      </c>
    </row>
    <row r="284" ht="17" customHeight="1">
      <c r="B284" s="5" t="inlineStr">
        <is>
          <t>差別解消・権利擁護</t>
        </is>
      </c>
      <c r="C284" s="20">
        <f>'集計_障がい別'!$G$446</f>
        <v>0.137931034482759</v>
      </c>
      <c r="D284" s="20">
        <f>'集計_障がい別'!$H$446</f>
        <v>0</v>
      </c>
      <c r="E284" s="20">
        <f>'集計_障がい別'!$I$446</f>
        <v>0.166666666666667</v>
      </c>
    </row>
    <row r="285" ht="17" customHeight="1">
      <c r="B285" s="5" t="inlineStr">
        <is>
          <t>就労支援</t>
        </is>
      </c>
      <c r="C285" s="20">
        <f>'集計_障がい別'!$G$444</f>
        <v>0.0344827586206897</v>
      </c>
      <c r="D285" s="20">
        <f>'集計_障がい別'!$H$444</f>
        <v>0</v>
      </c>
      <c r="E285" s="20">
        <f>'集計_障がい別'!$I$444</f>
        <v>0.333333333333333</v>
      </c>
    </row>
    <row r="286" ht="17" customHeight="1">
      <c r="B286" s="5" t="inlineStr">
        <is>
          <t>無回答</t>
        </is>
      </c>
      <c r="C286" s="20">
        <f>'集計_障がい別'!$G$450</f>
        <v>0.137931034482759</v>
      </c>
      <c r="D286" s="20">
        <f>'集計_障がい別'!$H$450</f>
        <v>0</v>
      </c>
      <c r="E286" s="20">
        <f>'集計_障がい別'!$I$450</f>
        <v>0.166666666666667</v>
      </c>
    </row>
    <row r="287" ht="15" customHeight="1">
      <c r="B287" s="17" t="inlineStr">
        <is>
          <t>※いずれの区分にも回答のなかった選択肢は省略しています。</t>
        </is>
      </c>
    </row>
    <row r="288"/>
    <row r="289"/>
    <row r="290"/>
    <row r="291"/>
    <row r="292"/>
    <row r="293"/>
    <row r="294"/>
    <row r="295"/>
    <row r="296"/>
    <row r="297"/>
    <row r="298"/>
    <row r="299"/>
    <row r="300"/>
    <row r="301"/>
    <row r="302"/>
    <row r="303"/>
    <row r="306" ht="21" customHeight="1">
      <c r="B306" s="7" t="inlineStr">
        <is>
          <t>表3-4　自由記述にみる主な意見（障がい者調査）</t>
        </is>
      </c>
    </row>
    <row r="307" ht="17" customHeight="1">
      <c r="B307" s="3" t="inlineStr">
        <is>
          <t>分野</t>
        </is>
      </c>
      <c r="C307" s="3" t="inlineStr">
        <is>
          <t>主な意見（要旨）</t>
        </is>
      </c>
      <c r="D307" s="8" t="n"/>
      <c r="E307" s="8" t="n"/>
      <c r="F307" s="8" t="n"/>
      <c r="G307" s="8" t="n"/>
      <c r="H307" s="9" t="n"/>
      <c r="I307" s="3" t="inlineStr">
        <is>
          <t>設問</t>
        </is>
      </c>
    </row>
    <row r="308" ht="30" customHeight="1">
      <c r="B308" s="22" t="inlineStr">
        <is>
          <t>意思疎通・情報保障</t>
        </is>
      </c>
      <c r="C308" s="5" t="inlineStr">
        <is>
          <t>意思疎通できる相手が少なく、理解してもらえないため筆談でやり取りしている。</t>
        </is>
      </c>
      <c r="D308" s="8" t="n"/>
      <c r="E308" s="8" t="n"/>
      <c r="F308" s="8" t="n"/>
      <c r="G308" s="8" t="n"/>
      <c r="H308" s="9" t="n"/>
      <c r="I308" s="4" t="inlineStr">
        <is>
          <t>問10-2</t>
        </is>
      </c>
    </row>
    <row r="309" ht="30" customHeight="1">
      <c r="B309" s="22" t="inlineStr"/>
      <c r="C309" s="5" t="inlineStr">
        <is>
          <t>村役場に手話通訳者を継続して配置してほしい。聴覚障がいのある人への理解を深めてほしい。</t>
        </is>
      </c>
      <c r="D309" s="8" t="n"/>
      <c r="E309" s="8" t="n"/>
      <c r="F309" s="8" t="n"/>
      <c r="G309" s="8" t="n"/>
      <c r="H309" s="9" t="n"/>
      <c r="I309" s="4" t="inlineStr">
        <is>
          <t>問45</t>
        </is>
      </c>
    </row>
    <row r="310" ht="30" customHeight="1">
      <c r="B310" s="22" t="inlineStr"/>
      <c r="C310" s="5" t="inlineStr">
        <is>
          <t>村外への通院時の手話通訳者・付き添いは事前の予約が必要であり、緊急時にも対応できるようにしてほしい。</t>
        </is>
      </c>
      <c r="D310" s="8" t="n"/>
      <c r="E310" s="8" t="n"/>
      <c r="F310" s="8" t="n"/>
      <c r="G310" s="8" t="n"/>
      <c r="H310" s="9" t="n"/>
      <c r="I310" s="4" t="inlineStr">
        <is>
          <t>問45</t>
        </is>
      </c>
    </row>
    <row r="311" ht="30" customHeight="1">
      <c r="B311" s="22" t="inlineStr">
        <is>
          <t>日常生活・介助</t>
        </is>
      </c>
      <c r="C311" s="5" t="inlineStr">
        <is>
          <t>視力の低下により細かな作業ができない。一人では服薬管理や通院ができない。</t>
        </is>
      </c>
      <c r="D311" s="8" t="n"/>
      <c r="E311" s="8" t="n"/>
      <c r="F311" s="8" t="n"/>
      <c r="G311" s="8" t="n"/>
      <c r="H311" s="9" t="n"/>
      <c r="I311" s="4" t="inlineStr">
        <is>
          <t>問10-2</t>
        </is>
      </c>
    </row>
    <row r="312" ht="30" customHeight="1">
      <c r="B312" s="22" t="inlineStr"/>
      <c r="C312" s="5" t="inlineStr">
        <is>
          <t>日常生活全般において、家族や介助者の支援がないと難しい場面がある。（同趣旨2件）</t>
        </is>
      </c>
      <c r="D312" s="8" t="n"/>
      <c r="E312" s="8" t="n"/>
      <c r="F312" s="8" t="n"/>
      <c r="G312" s="8" t="n"/>
      <c r="H312" s="9" t="n"/>
      <c r="I312" s="4" t="inlineStr">
        <is>
          <t>問10-2</t>
        </is>
      </c>
    </row>
    <row r="313" ht="17" customHeight="1">
      <c r="B313" s="22" t="inlineStr"/>
      <c r="C313" s="5" t="inlineStr">
        <is>
          <t>経管栄養を行っているが、口から食べたいという思いがある。</t>
        </is>
      </c>
      <c r="D313" s="8" t="n"/>
      <c r="E313" s="8" t="n"/>
      <c r="F313" s="8" t="n"/>
      <c r="G313" s="8" t="n"/>
      <c r="H313" s="9" t="n"/>
      <c r="I313" s="4" t="inlineStr">
        <is>
          <t>問10-2</t>
        </is>
      </c>
    </row>
    <row r="314" ht="30" customHeight="1">
      <c r="B314" s="22" t="inlineStr">
        <is>
          <t>外出・移動</t>
        </is>
      </c>
      <c r="C314" s="5" t="inlineStr">
        <is>
          <t>足腰の痛み等により、誰かの手を借りないと外出できない。外出時のトイレも心配である。</t>
        </is>
      </c>
      <c r="D314" s="8" t="n"/>
      <c r="E314" s="8" t="n"/>
      <c r="F314" s="8" t="n"/>
      <c r="G314" s="8" t="n"/>
      <c r="H314" s="9" t="n"/>
      <c r="I314" s="4" t="inlineStr">
        <is>
          <t>問10-2・問14</t>
        </is>
      </c>
    </row>
    <row r="315" ht="30" customHeight="1">
      <c r="B315" s="22" t="inlineStr"/>
      <c r="C315" s="5" t="inlineStr">
        <is>
          <t>膝が不自由なため、車の運転ができなくなったときの移動や災害時、生活全般が不安である。</t>
        </is>
      </c>
      <c r="D315" s="8" t="n"/>
      <c r="E315" s="8" t="n"/>
      <c r="F315" s="8" t="n"/>
      <c r="G315" s="8" t="n"/>
      <c r="H315" s="9" t="n"/>
      <c r="I315" s="4" t="inlineStr">
        <is>
          <t>問45</t>
        </is>
      </c>
    </row>
    <row r="316" ht="30" customHeight="1">
      <c r="B316" s="22" t="inlineStr"/>
      <c r="C316" s="5" t="inlineStr">
        <is>
          <t>町へ出かける際の福祉サービス施設の車両の利用回数が限られており、もう少し利用しやすくしてほしい。</t>
        </is>
      </c>
      <c r="D316" s="8" t="n"/>
      <c r="E316" s="8" t="n"/>
      <c r="F316" s="8" t="n"/>
      <c r="G316" s="8" t="n"/>
      <c r="H316" s="9" t="n"/>
      <c r="I316" s="4" t="inlineStr">
        <is>
          <t>問45</t>
        </is>
      </c>
    </row>
    <row r="317" ht="17" customHeight="1">
      <c r="B317" s="22" t="inlineStr"/>
      <c r="C317" s="5" t="inlineStr">
        <is>
          <t>災害時に、かかりつけ医までの移動手段を確保してほしい。</t>
        </is>
      </c>
      <c r="D317" s="8" t="n"/>
      <c r="E317" s="8" t="n"/>
      <c r="F317" s="8" t="n"/>
      <c r="G317" s="8" t="n"/>
      <c r="H317" s="9" t="n"/>
      <c r="I317" s="4" t="inlineStr">
        <is>
          <t>問41</t>
        </is>
      </c>
    </row>
    <row r="318" ht="30" customHeight="1">
      <c r="B318" s="22" t="inlineStr">
        <is>
          <t>相談・情報</t>
        </is>
      </c>
      <c r="C318" s="5" t="inlineStr">
        <is>
          <t>家族が突然障がいを負った際、相談後の対応に時間がかかり、十分な支援を受けられないまま終わってしまった。</t>
        </is>
      </c>
      <c r="D318" s="8" t="n"/>
      <c r="E318" s="8" t="n"/>
      <c r="F318" s="8" t="n"/>
      <c r="G318" s="8" t="n"/>
      <c r="H318" s="9" t="n"/>
      <c r="I318" s="4" t="inlineStr">
        <is>
          <t>問45</t>
        </is>
      </c>
    </row>
    <row r="319" ht="30" customHeight="1">
      <c r="B319" s="22" t="inlineStr"/>
      <c r="C319" s="5" t="inlineStr">
        <is>
          <t>相談や支援を受ける方法がわからない。民生委員・児童委員の役割がわからない。</t>
        </is>
      </c>
      <c r="D319" s="8" t="n"/>
      <c r="E319" s="8" t="n"/>
      <c r="F319" s="8" t="n"/>
      <c r="G319" s="8" t="n"/>
      <c r="H319" s="9" t="n"/>
      <c r="I319" s="4" t="inlineStr">
        <is>
          <t>問45・問40</t>
        </is>
      </c>
    </row>
    <row r="320" ht="17" customHeight="1">
      <c r="B320" s="22" t="inlineStr"/>
      <c r="C320" s="5" t="inlineStr">
        <is>
          <t>身体障がい者手帳の更新が必要かどうかわからない。</t>
        </is>
      </c>
      <c r="D320" s="8" t="n"/>
      <c r="E320" s="8" t="n"/>
      <c r="F320" s="8" t="n"/>
      <c r="G320" s="8" t="n"/>
      <c r="H320" s="9" t="n"/>
      <c r="I320" s="4" t="inlineStr">
        <is>
          <t>問5</t>
        </is>
      </c>
    </row>
    <row r="321" ht="17" customHeight="1">
      <c r="B321" s="22" t="inlineStr">
        <is>
          <t>暮らし全般</t>
        </is>
      </c>
      <c r="C321" s="5" t="inlineStr">
        <is>
          <t>本人及び家族が穏やかに生活できる環境を確保してほしい。</t>
        </is>
      </c>
      <c r="D321" s="8" t="n"/>
      <c r="E321" s="8" t="n"/>
      <c r="F321" s="8" t="n"/>
      <c r="G321" s="8" t="n"/>
      <c r="H321" s="9" t="n"/>
      <c r="I321" s="4" t="inlineStr">
        <is>
          <t>問45</t>
        </is>
      </c>
    </row>
    <row r="322" ht="15" customHeight="1">
      <c r="B322" s="17" t="inlineStr">
        <is>
          <t>※個人が特定されることのないよう、趣旨を損なわない範囲で要約・一部修正しています。</t>
        </is>
      </c>
    </row>
  </sheetData>
  <mergeCells count="21">
    <mergeCell ref="C321:H321"/>
    <mergeCell ref="C320:H320"/>
    <mergeCell ref="C311:H311"/>
    <mergeCell ref="C316:H316"/>
    <mergeCell ref="B242:E242"/>
    <mergeCell ref="C312:H312"/>
    <mergeCell ref="B322:I322"/>
    <mergeCell ref="B199:E199"/>
    <mergeCell ref="B31:E31"/>
    <mergeCell ref="B102:E102"/>
    <mergeCell ref="C308:H308"/>
    <mergeCell ref="C317:H317"/>
    <mergeCell ref="C307:H307"/>
    <mergeCell ref="C314:H314"/>
    <mergeCell ref="B287:E287"/>
    <mergeCell ref="C319:H319"/>
    <mergeCell ref="C310:H310"/>
    <mergeCell ref="C313:H313"/>
    <mergeCell ref="C315:H315"/>
    <mergeCell ref="C318:H318"/>
    <mergeCell ref="C309:H309"/>
  </mergeCells>
  <pageMargins left="0.75" right="0.75" top="1" bottom="1" header="0.5" footer="0.5"/>
  <pageSetup orientation="landscape" paperSize="9" fitToHeight="0" fitToWidth="1"/>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B2:K373"/>
  <sheetViews>
    <sheetView showGridLines="0" workbookViewId="0">
      <selection activeCell="A1" sqref="A1"/>
    </sheetView>
  </sheetViews>
  <sheetFormatPr baseColWidth="8" defaultRowHeight="15"/>
  <cols>
    <col width="2" customWidth="1" min="1" max="1"/>
    <col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2" ht="21" customHeight="1">
      <c r="B2" s="7" t="inlineStr">
        <is>
          <t>表4-1　クロス集計の分析テーマ</t>
        </is>
      </c>
    </row>
    <row r="3" ht="17" customHeight="1">
      <c r="B3" s="3" t="inlineStr">
        <is>
          <t>No.</t>
        </is>
      </c>
      <c r="C3" s="3" t="inlineStr">
        <is>
          <t>分析テーマ</t>
        </is>
      </c>
      <c r="D3" s="8" t="n"/>
      <c r="E3" s="8" t="n"/>
      <c r="F3" s="8" t="n"/>
      <c r="G3" s="9" t="n"/>
      <c r="H3" s="3" t="inlineStr">
        <is>
          <t>クロス軸（区分 × 集計項目）</t>
        </is>
      </c>
      <c r="I3" s="8" t="n"/>
      <c r="J3" s="9" t="n"/>
    </row>
    <row r="4" ht="17" customHeight="1">
      <c r="B4" s="4" t="inlineStr">
        <is>
          <t>C01</t>
        </is>
      </c>
      <c r="C4" s="5" t="inlineStr">
        <is>
          <t>障がい種別ごとの今後のサービス利用ニーズ</t>
        </is>
      </c>
      <c r="D4" s="8" t="n"/>
      <c r="E4" s="8" t="n"/>
      <c r="F4" s="8" t="n"/>
      <c r="G4" s="9" t="n"/>
      <c r="H4" s="4" t="inlineStr">
        <is>
          <t>問6 × 問27-3</t>
        </is>
      </c>
      <c r="I4" s="8" t="n"/>
      <c r="J4" s="9" t="n"/>
    </row>
    <row r="5" ht="17" customHeight="1">
      <c r="B5" s="15" t="inlineStr">
        <is>
          <t>C02</t>
        </is>
      </c>
      <c r="C5" s="14" t="inlineStr">
        <is>
          <t>地区別の外出・交通上の課題</t>
        </is>
      </c>
      <c r="D5" s="8" t="n"/>
      <c r="E5" s="8" t="n"/>
      <c r="F5" s="8" t="n"/>
      <c r="G5" s="9" t="n"/>
      <c r="H5" s="15" t="inlineStr">
        <is>
          <t>問3 × 問14</t>
        </is>
      </c>
      <c r="I5" s="8" t="n"/>
      <c r="J5" s="9" t="n"/>
    </row>
    <row r="6" ht="17" customHeight="1">
      <c r="B6" s="4" t="inlineStr">
        <is>
          <t>C03</t>
        </is>
      </c>
      <c r="C6" s="5" t="inlineStr">
        <is>
          <t>地区別のサービス利用阻害要因</t>
        </is>
      </c>
      <c r="D6" s="8" t="n"/>
      <c r="E6" s="8" t="n"/>
      <c r="F6" s="8" t="n"/>
      <c r="G6" s="9" t="n"/>
      <c r="H6" s="4" t="inlineStr">
        <is>
          <t>問3 × 問28</t>
        </is>
      </c>
      <c r="I6" s="8" t="n"/>
      <c r="J6" s="9" t="n"/>
    </row>
    <row r="7" ht="17" customHeight="1">
      <c r="B7" s="15" t="inlineStr">
        <is>
          <t>C04</t>
        </is>
      </c>
      <c r="C7" s="14" t="inlineStr">
        <is>
          <t>現在の暮らしと将来希望のギャップ</t>
        </is>
      </c>
      <c r="D7" s="8" t="n"/>
      <c r="E7" s="8" t="n"/>
      <c r="F7" s="8" t="n"/>
      <c r="G7" s="9" t="n"/>
      <c r="H7" s="15" t="inlineStr">
        <is>
          <t>問7 × 問11</t>
        </is>
      </c>
      <c r="I7" s="8" t="n"/>
      <c r="J7" s="9" t="n"/>
    </row>
    <row r="8" ht="17" customHeight="1">
      <c r="B8" s="4" t="inlineStr">
        <is>
          <t>C05</t>
        </is>
      </c>
      <c r="C8" s="5" t="inlineStr">
        <is>
          <t>年齢別の日常生活上の困りごと</t>
        </is>
      </c>
      <c r="D8" s="8" t="n"/>
      <c r="E8" s="8" t="n"/>
      <c r="F8" s="8" t="n"/>
      <c r="G8" s="9" t="n"/>
      <c r="H8" s="4" t="inlineStr">
        <is>
          <t>問2 × 問10</t>
        </is>
      </c>
      <c r="I8" s="8" t="n"/>
      <c r="J8" s="9" t="n"/>
    </row>
    <row r="9" ht="17" customHeight="1">
      <c r="B9" s="15" t="inlineStr">
        <is>
          <t>C06</t>
        </is>
      </c>
      <c r="C9" s="14" t="inlineStr">
        <is>
          <t>現在の日中活動と希望する働き方・活動</t>
        </is>
      </c>
      <c r="D9" s="8" t="n"/>
      <c r="E9" s="8" t="n"/>
      <c r="F9" s="8" t="n"/>
      <c r="G9" s="9" t="n"/>
      <c r="H9" s="15" t="inlineStr">
        <is>
          <t>問31 × 問32</t>
        </is>
      </c>
      <c r="I9" s="8" t="n"/>
      <c r="J9" s="9" t="n"/>
    </row>
    <row r="10" ht="17" customHeight="1">
      <c r="B10" s="4" t="inlineStr">
        <is>
          <t>C07</t>
        </is>
      </c>
      <c r="C10" s="5" t="inlineStr">
        <is>
          <t>個別避難計画の認知と災害時不安</t>
        </is>
      </c>
      <c r="D10" s="8" t="n"/>
      <c r="E10" s="8" t="n"/>
      <c r="F10" s="8" t="n"/>
      <c r="G10" s="9" t="n"/>
      <c r="H10" s="4" t="inlineStr">
        <is>
          <t>問39 × 問38</t>
        </is>
      </c>
      <c r="I10" s="8" t="n"/>
      <c r="J10" s="9" t="n"/>
    </row>
    <row r="11" ht="17" customHeight="1">
      <c r="B11" s="15" t="inlineStr">
        <is>
          <t>C08</t>
        </is>
      </c>
      <c r="C11" s="14" t="inlineStr">
        <is>
          <t>障がい種別ごとに必要な合理的配慮</t>
        </is>
      </c>
      <c r="D11" s="8" t="n"/>
      <c r="E11" s="8" t="n"/>
      <c r="F11" s="8" t="n"/>
      <c r="G11" s="9" t="n"/>
      <c r="H11" s="15" t="inlineStr">
        <is>
          <t>問6 × 問36</t>
        </is>
      </c>
      <c r="I11" s="8" t="n"/>
      <c r="J11" s="9" t="n"/>
    </row>
    <row r="12" ht="17" customHeight="1">
      <c r="B12" s="4" t="inlineStr">
        <is>
          <t>C09</t>
        </is>
      </c>
      <c r="C12" s="5" t="inlineStr">
        <is>
          <t>相談先別の相談支援への期待</t>
        </is>
      </c>
      <c r="D12" s="8" t="n"/>
      <c r="E12" s="8" t="n"/>
      <c r="F12" s="8" t="n"/>
      <c r="G12" s="9" t="n"/>
      <c r="H12" s="4" t="inlineStr">
        <is>
          <t>問22 × 問26</t>
        </is>
      </c>
      <c r="I12" s="8" t="n"/>
      <c r="J12" s="9" t="n"/>
    </row>
    <row r="13" ht="17" customHeight="1">
      <c r="B13" s="15" t="inlineStr">
        <is>
          <t>C10</t>
        </is>
      </c>
      <c r="C13" s="14" t="inlineStr">
        <is>
          <t>主な介助者別の地域生活支援拠点への期待</t>
        </is>
      </c>
      <c r="D13" s="8" t="n"/>
      <c r="E13" s="8" t="n"/>
      <c r="F13" s="8" t="n"/>
      <c r="G13" s="9" t="n"/>
      <c r="H13" s="15" t="inlineStr">
        <is>
          <t>問9 × 問29</t>
        </is>
      </c>
      <c r="I13" s="8" t="n"/>
      <c r="J13" s="9" t="n"/>
    </row>
    <row r="15" ht="21" customHeight="1">
      <c r="B15" s="7" t="inlineStr">
        <is>
          <t>表4-2　障がい種別 × 今後3年間で利用したいサービス（問6×問27-3）</t>
        </is>
      </c>
    </row>
    <row r="16">
      <c r="B16" s="28" t="inlineStr">
        <is>
          <t>【件数】斜体のセルが入力値です</t>
        </is>
      </c>
    </row>
    <row r="17" ht="31" customHeight="1">
      <c r="B17" s="3" t="inlineStr">
        <is>
          <t>区分</t>
        </is>
      </c>
      <c r="C17" s="3" t="inlineStr">
        <is>
          <t>身体障がい</t>
        </is>
      </c>
      <c r="D17" s="3" t="inlineStr">
        <is>
          <t>知的障がい</t>
        </is>
      </c>
      <c r="E17" s="3" t="inlineStr">
        <is>
          <t>精神障がい</t>
        </is>
      </c>
      <c r="F17" s="3" t="inlineStr">
        <is>
          <t>発達障がい</t>
        </is>
      </c>
      <c r="G17" s="3" t="inlineStr">
        <is>
          <t>わからない・その他</t>
        </is>
      </c>
    </row>
    <row r="18">
      <c r="B18" s="22" t="inlineStr">
        <is>
          <t>回答者数（n）</t>
        </is>
      </c>
      <c r="C18" s="29" t="n">
        <v>27</v>
      </c>
      <c r="D18" s="29" t="n">
        <v>2</v>
      </c>
      <c r="E18" s="29" t="n">
        <v>5</v>
      </c>
      <c r="F18" s="29" t="n">
        <v>3</v>
      </c>
      <c r="G18" s="29" t="n">
        <v>2</v>
      </c>
    </row>
    <row r="19" ht="17" customHeight="1">
      <c r="B19" s="5" t="inlineStr">
        <is>
          <t>居宅介護（ホームヘルプ）</t>
        </is>
      </c>
      <c r="C19" s="30" t="n">
        <v>3</v>
      </c>
      <c r="D19" s="30" t="n">
        <v>0</v>
      </c>
      <c r="E19" s="30" t="n">
        <v>0</v>
      </c>
      <c r="F19" s="30" t="n">
        <v>0</v>
      </c>
      <c r="G19" s="30" t="n">
        <v>0</v>
      </c>
    </row>
    <row r="20" ht="17" customHeight="1">
      <c r="B20" s="5" t="inlineStr">
        <is>
          <t>同行援護・行動援護</t>
        </is>
      </c>
      <c r="C20" s="30" t="n">
        <v>1</v>
      </c>
      <c r="D20" s="30" t="n">
        <v>0</v>
      </c>
      <c r="E20" s="30" t="n">
        <v>0</v>
      </c>
      <c r="F20" s="30" t="n">
        <v>0</v>
      </c>
      <c r="G20" s="30" t="n">
        <v>0</v>
      </c>
    </row>
    <row r="21" ht="17" customHeight="1">
      <c r="B21" s="5" t="inlineStr">
        <is>
          <t>生活介護</t>
        </is>
      </c>
      <c r="C21" s="30" t="n">
        <v>0</v>
      </c>
      <c r="D21" s="30" t="n">
        <v>2</v>
      </c>
      <c r="E21" s="30" t="n">
        <v>1</v>
      </c>
      <c r="F21" s="30" t="n">
        <v>0</v>
      </c>
      <c r="G21" s="30" t="n">
        <v>0</v>
      </c>
    </row>
    <row r="22" ht="17" customHeight="1">
      <c r="B22" s="5" t="inlineStr">
        <is>
          <t>自立訓練</t>
        </is>
      </c>
      <c r="C22" s="30" t="n">
        <v>1</v>
      </c>
      <c r="D22" s="30" t="n">
        <v>0</v>
      </c>
      <c r="E22" s="30" t="n">
        <v>0</v>
      </c>
      <c r="F22" s="30" t="n">
        <v>0</v>
      </c>
      <c r="G22" s="30" t="n">
        <v>1</v>
      </c>
    </row>
    <row r="23" ht="17" customHeight="1">
      <c r="B23" s="5" t="inlineStr">
        <is>
          <t>就労移行支援</t>
        </is>
      </c>
      <c r="C23" s="30" t="n">
        <v>0</v>
      </c>
      <c r="D23" s="30" t="n">
        <v>0</v>
      </c>
      <c r="E23" s="30" t="n">
        <v>0</v>
      </c>
      <c r="F23" s="30" t="n">
        <v>1</v>
      </c>
      <c r="G23" s="30" t="n">
        <v>0</v>
      </c>
    </row>
    <row r="24" ht="17" customHeight="1">
      <c r="B24" s="5" t="inlineStr">
        <is>
          <t>就労継続支援B型</t>
        </is>
      </c>
      <c r="C24" s="30" t="n">
        <v>0</v>
      </c>
      <c r="D24" s="30" t="n">
        <v>0</v>
      </c>
      <c r="E24" s="30" t="n">
        <v>0</v>
      </c>
      <c r="F24" s="30" t="n">
        <v>0</v>
      </c>
      <c r="G24" s="30" t="n">
        <v>1</v>
      </c>
    </row>
    <row r="25" ht="17" customHeight="1">
      <c r="B25" s="5" t="inlineStr">
        <is>
          <t>短期入所（ショートステイ）</t>
        </is>
      </c>
      <c r="C25" s="30" t="n">
        <v>3</v>
      </c>
      <c r="D25" s="30" t="n">
        <v>0</v>
      </c>
      <c r="E25" s="30" t="n">
        <v>0</v>
      </c>
      <c r="F25" s="30" t="n">
        <v>0</v>
      </c>
      <c r="G25" s="30" t="n">
        <v>1</v>
      </c>
    </row>
    <row r="26" ht="17" customHeight="1">
      <c r="B26" s="5" t="inlineStr">
        <is>
          <t>グループホーム</t>
        </is>
      </c>
      <c r="C26" s="30" t="n">
        <v>3</v>
      </c>
      <c r="D26" s="30" t="n">
        <v>0</v>
      </c>
      <c r="E26" s="30" t="n">
        <v>1</v>
      </c>
      <c r="F26" s="30" t="n">
        <v>0</v>
      </c>
      <c r="G26" s="30" t="n">
        <v>1</v>
      </c>
    </row>
    <row r="27" ht="17" customHeight="1">
      <c r="B27" s="5" t="inlineStr">
        <is>
          <t>施設入所支援</t>
        </is>
      </c>
      <c r="C27" s="30" t="n">
        <v>5</v>
      </c>
      <c r="D27" s="30" t="n">
        <v>2</v>
      </c>
      <c r="E27" s="30" t="n">
        <v>1</v>
      </c>
      <c r="F27" s="30" t="n">
        <v>0</v>
      </c>
      <c r="G27" s="30" t="n">
        <v>1</v>
      </c>
    </row>
    <row r="28" ht="17" customHeight="1">
      <c r="B28" s="5" t="inlineStr">
        <is>
          <t>計画相談支援</t>
        </is>
      </c>
      <c r="C28" s="30" t="n">
        <v>1</v>
      </c>
      <c r="D28" s="30" t="n">
        <v>1</v>
      </c>
      <c r="E28" s="30" t="n">
        <v>1</v>
      </c>
      <c r="F28" s="30" t="n">
        <v>0</v>
      </c>
      <c r="G28" s="30" t="n">
        <v>1</v>
      </c>
    </row>
    <row r="29" ht="17" customHeight="1">
      <c r="B29" s="5" t="inlineStr">
        <is>
          <t>移動支援</t>
        </is>
      </c>
      <c r="C29" s="30" t="n">
        <v>0</v>
      </c>
      <c r="D29" s="30" t="n">
        <v>0</v>
      </c>
      <c r="E29" s="30" t="n">
        <v>2</v>
      </c>
      <c r="F29" s="30" t="n">
        <v>0</v>
      </c>
      <c r="G29" s="30" t="n">
        <v>0</v>
      </c>
    </row>
    <row r="30" ht="17" customHeight="1">
      <c r="B30" s="5" t="inlineStr">
        <is>
          <t>日中一時支援</t>
        </is>
      </c>
      <c r="C30" s="30" t="n">
        <v>1</v>
      </c>
      <c r="D30" s="30" t="n">
        <v>0</v>
      </c>
      <c r="E30" s="30" t="n">
        <v>0</v>
      </c>
      <c r="F30" s="30" t="n">
        <v>0</v>
      </c>
      <c r="G30" s="30" t="n">
        <v>0</v>
      </c>
    </row>
    <row r="31" ht="17" customHeight="1">
      <c r="B31" s="5" t="inlineStr">
        <is>
          <t>日常生活用具</t>
        </is>
      </c>
      <c r="C31" s="30" t="n">
        <v>2</v>
      </c>
      <c r="D31" s="30" t="n">
        <v>0</v>
      </c>
      <c r="E31" s="30" t="n">
        <v>0</v>
      </c>
      <c r="F31" s="30" t="n">
        <v>0</v>
      </c>
      <c r="G31" s="30" t="n">
        <v>0</v>
      </c>
    </row>
    <row r="32" ht="17" customHeight="1">
      <c r="B32" s="5" t="inlineStr">
        <is>
          <t>利用したいサービスは特にない</t>
        </is>
      </c>
      <c r="C32" s="30" t="n">
        <v>9</v>
      </c>
      <c r="D32" s="30" t="n">
        <v>0</v>
      </c>
      <c r="E32" s="30" t="n">
        <v>2</v>
      </c>
      <c r="F32" s="30" t="n">
        <v>1</v>
      </c>
      <c r="G32" s="30" t="n">
        <v>0</v>
      </c>
    </row>
    <row r="33" ht="17" customHeight="1">
      <c r="B33" s="5" t="inlineStr">
        <is>
          <t>無回答</t>
        </is>
      </c>
      <c r="C33" s="30" t="n">
        <v>8</v>
      </c>
      <c r="D33" s="30" t="n">
        <v>0</v>
      </c>
      <c r="E33" s="30" t="n">
        <v>0</v>
      </c>
      <c r="F33" s="30" t="n">
        <v>1</v>
      </c>
      <c r="G33" s="30" t="n">
        <v>0</v>
      </c>
    </row>
    <row r="35">
      <c r="B35" s="28" t="inlineStr">
        <is>
          <t>【割合】各区分の回答者数（n）に占める割合（計算式）</t>
        </is>
      </c>
    </row>
    <row r="36" ht="31" customHeight="1">
      <c r="B36" s="3" t="inlineStr">
        <is>
          <t>区分</t>
        </is>
      </c>
      <c r="C36" s="3" t="inlineStr">
        <is>
          <t>身体障がい</t>
        </is>
      </c>
      <c r="D36" s="3" t="inlineStr">
        <is>
          <t>知的障がい</t>
        </is>
      </c>
      <c r="E36" s="3" t="inlineStr">
        <is>
          <t>精神障がい</t>
        </is>
      </c>
      <c r="F36" s="3" t="inlineStr">
        <is>
          <t>発達障がい</t>
        </is>
      </c>
      <c r="G36" s="3" t="inlineStr">
        <is>
          <t>わからない・その他</t>
        </is>
      </c>
    </row>
    <row r="37" ht="17" customHeight="1">
      <c r="B37" s="5" t="inlineStr">
        <is>
          <t>居宅介護（ホームヘルプ）</t>
        </is>
      </c>
      <c r="C37" s="26">
        <f>IF($C$18=0,0,$C$19/$C$18)</f>
        <v>0.111111111111111</v>
      </c>
      <c r="D37" s="26">
        <f>IF($D$18=0,0,$D$19/$D$18)</f>
        <v>0</v>
      </c>
      <c r="E37" s="26">
        <f>IF($E$18=0,0,$E$19/$E$18)</f>
        <v>0</v>
      </c>
      <c r="F37" s="26">
        <f>IF($F$18=0,0,$F$19/$F$18)</f>
        <v>0</v>
      </c>
      <c r="G37" s="26">
        <f>IF($G$18=0,0,$G$19/$G$18)</f>
        <v>0</v>
      </c>
    </row>
    <row r="38" ht="17" customHeight="1">
      <c r="B38" s="5" t="inlineStr">
        <is>
          <t>同行援護・行動援護</t>
        </is>
      </c>
      <c r="C38" s="26">
        <f>IF($C$18=0,0,$C$20/$C$18)</f>
        <v>0.037037037037037</v>
      </c>
      <c r="D38" s="26">
        <f>IF($D$18=0,0,$D$20/$D$18)</f>
        <v>0</v>
      </c>
      <c r="E38" s="26">
        <f>IF($E$18=0,0,$E$20/$E$18)</f>
        <v>0</v>
      </c>
      <c r="F38" s="26">
        <f>IF($F$18=0,0,$F$20/$F$18)</f>
        <v>0</v>
      </c>
      <c r="G38" s="26">
        <f>IF($G$18=0,0,$G$20/$G$18)</f>
        <v>0</v>
      </c>
    </row>
    <row r="39" ht="17" customHeight="1">
      <c r="B39" s="5" t="inlineStr">
        <is>
          <t>生活介護</t>
        </is>
      </c>
      <c r="C39" s="26">
        <f>IF($C$18=0,0,$C$21/$C$18)</f>
        <v>0</v>
      </c>
      <c r="D39" s="26">
        <f>IF($D$18=0,0,$D$21/$D$18)</f>
        <v>1</v>
      </c>
      <c r="E39" s="26">
        <f>IF($E$18=0,0,$E$21/$E$18)</f>
        <v>0.2</v>
      </c>
      <c r="F39" s="26">
        <f>IF($F$18=0,0,$F$21/$F$18)</f>
        <v>0</v>
      </c>
      <c r="G39" s="26">
        <f>IF($G$18=0,0,$G$21/$G$18)</f>
        <v>0</v>
      </c>
    </row>
    <row r="40" ht="17" customHeight="1">
      <c r="B40" s="5" t="inlineStr">
        <is>
          <t>自立訓練</t>
        </is>
      </c>
      <c r="C40" s="26">
        <f>IF($C$18=0,0,$C$22/$C$18)</f>
        <v>0.037037037037037</v>
      </c>
      <c r="D40" s="26">
        <f>IF($D$18=0,0,$D$22/$D$18)</f>
        <v>0</v>
      </c>
      <c r="E40" s="26">
        <f>IF($E$18=0,0,$E$22/$E$18)</f>
        <v>0</v>
      </c>
      <c r="F40" s="26">
        <f>IF($F$18=0,0,$F$22/$F$18)</f>
        <v>0</v>
      </c>
      <c r="G40" s="26">
        <f>IF($G$18=0,0,$G$22/$G$18)</f>
        <v>0.5</v>
      </c>
    </row>
    <row r="41" ht="17" customHeight="1">
      <c r="B41" s="5" t="inlineStr">
        <is>
          <t>就労移行支援</t>
        </is>
      </c>
      <c r="C41" s="26">
        <f>IF($C$18=0,0,$C$23/$C$18)</f>
        <v>0</v>
      </c>
      <c r="D41" s="26">
        <f>IF($D$18=0,0,$D$23/$D$18)</f>
        <v>0</v>
      </c>
      <c r="E41" s="26">
        <f>IF($E$18=0,0,$E$23/$E$18)</f>
        <v>0</v>
      </c>
      <c r="F41" s="26">
        <f>IF($F$18=0,0,$F$23/$F$18)</f>
        <v>0.333333333333333</v>
      </c>
      <c r="G41" s="26">
        <f>IF($G$18=0,0,$G$23/$G$18)</f>
        <v>0</v>
      </c>
    </row>
    <row r="42" ht="17" customHeight="1">
      <c r="B42" s="5" t="inlineStr">
        <is>
          <t>就労継続支援B型</t>
        </is>
      </c>
      <c r="C42" s="26">
        <f>IF($C$18=0,0,$C$24/$C$18)</f>
        <v>0</v>
      </c>
      <c r="D42" s="26">
        <f>IF($D$18=0,0,$D$24/$D$18)</f>
        <v>0</v>
      </c>
      <c r="E42" s="26">
        <f>IF($E$18=0,0,$E$24/$E$18)</f>
        <v>0</v>
      </c>
      <c r="F42" s="26">
        <f>IF($F$18=0,0,$F$24/$F$18)</f>
        <v>0</v>
      </c>
      <c r="G42" s="26">
        <f>IF($G$18=0,0,$G$24/$G$18)</f>
        <v>0.5</v>
      </c>
    </row>
    <row r="43" ht="17" customHeight="1">
      <c r="B43" s="5" t="inlineStr">
        <is>
          <t>短期入所（ショートステイ）</t>
        </is>
      </c>
      <c r="C43" s="26">
        <f>IF($C$18=0,0,$C$25/$C$18)</f>
        <v>0.111111111111111</v>
      </c>
      <c r="D43" s="26">
        <f>IF($D$18=0,0,$D$25/$D$18)</f>
        <v>0</v>
      </c>
      <c r="E43" s="26">
        <f>IF($E$18=0,0,$E$25/$E$18)</f>
        <v>0</v>
      </c>
      <c r="F43" s="26">
        <f>IF($F$18=0,0,$F$25/$F$18)</f>
        <v>0</v>
      </c>
      <c r="G43" s="26">
        <f>IF($G$18=0,0,$G$25/$G$18)</f>
        <v>0.5</v>
      </c>
    </row>
    <row r="44" ht="17" customHeight="1">
      <c r="B44" s="5" t="inlineStr">
        <is>
          <t>グループホーム</t>
        </is>
      </c>
      <c r="C44" s="26">
        <f>IF($C$18=0,0,$C$26/$C$18)</f>
        <v>0.111111111111111</v>
      </c>
      <c r="D44" s="26">
        <f>IF($D$18=0,0,$D$26/$D$18)</f>
        <v>0</v>
      </c>
      <c r="E44" s="26">
        <f>IF($E$18=0,0,$E$26/$E$18)</f>
        <v>0.2</v>
      </c>
      <c r="F44" s="26">
        <f>IF($F$18=0,0,$F$26/$F$18)</f>
        <v>0</v>
      </c>
      <c r="G44" s="26">
        <f>IF($G$18=0,0,$G$26/$G$18)</f>
        <v>0.5</v>
      </c>
    </row>
    <row r="45" ht="17" customHeight="1">
      <c r="B45" s="5" t="inlineStr">
        <is>
          <t>施設入所支援</t>
        </is>
      </c>
      <c r="C45" s="26">
        <f>IF($C$18=0,0,$C$27/$C$18)</f>
        <v>0.185185185185185</v>
      </c>
      <c r="D45" s="26">
        <f>IF($D$18=0,0,$D$27/$D$18)</f>
        <v>1</v>
      </c>
      <c r="E45" s="26">
        <f>IF($E$18=0,0,$E$27/$E$18)</f>
        <v>0.2</v>
      </c>
      <c r="F45" s="26">
        <f>IF($F$18=0,0,$F$27/$F$18)</f>
        <v>0</v>
      </c>
      <c r="G45" s="26">
        <f>IF($G$18=0,0,$G$27/$G$18)</f>
        <v>0.5</v>
      </c>
    </row>
    <row r="46" ht="17" customHeight="1">
      <c r="B46" s="5" t="inlineStr">
        <is>
          <t>計画相談支援</t>
        </is>
      </c>
      <c r="C46" s="26">
        <f>IF($C$18=0,0,$C$28/$C$18)</f>
        <v>0.037037037037037</v>
      </c>
      <c r="D46" s="26">
        <f>IF($D$18=0,0,$D$28/$D$18)</f>
        <v>0.5</v>
      </c>
      <c r="E46" s="26">
        <f>IF($E$18=0,0,$E$28/$E$18)</f>
        <v>0.2</v>
      </c>
      <c r="F46" s="26">
        <f>IF($F$18=0,0,$F$28/$F$18)</f>
        <v>0</v>
      </c>
      <c r="G46" s="26">
        <f>IF($G$18=0,0,$G$28/$G$18)</f>
        <v>0.5</v>
      </c>
    </row>
    <row r="47" ht="17" customHeight="1">
      <c r="B47" s="5" t="inlineStr">
        <is>
          <t>移動支援</t>
        </is>
      </c>
      <c r="C47" s="26">
        <f>IF($C$18=0,0,$C$29/$C$18)</f>
        <v>0</v>
      </c>
      <c r="D47" s="26">
        <f>IF($D$18=0,0,$D$29/$D$18)</f>
        <v>0</v>
      </c>
      <c r="E47" s="26">
        <f>IF($E$18=0,0,$E$29/$E$18)</f>
        <v>0.4</v>
      </c>
      <c r="F47" s="26">
        <f>IF($F$18=0,0,$F$29/$F$18)</f>
        <v>0</v>
      </c>
      <c r="G47" s="26">
        <f>IF($G$18=0,0,$G$29/$G$18)</f>
        <v>0</v>
      </c>
    </row>
    <row r="48" ht="17" customHeight="1">
      <c r="B48" s="5" t="inlineStr">
        <is>
          <t>日中一時支援</t>
        </is>
      </c>
      <c r="C48" s="26">
        <f>IF($C$18=0,0,$C$30/$C$18)</f>
        <v>0.037037037037037</v>
      </c>
      <c r="D48" s="26">
        <f>IF($D$18=0,0,$D$30/$D$18)</f>
        <v>0</v>
      </c>
      <c r="E48" s="26">
        <f>IF($E$18=0,0,$E$30/$E$18)</f>
        <v>0</v>
      </c>
      <c r="F48" s="26">
        <f>IF($F$18=0,0,$F$30/$F$18)</f>
        <v>0</v>
      </c>
      <c r="G48" s="26">
        <f>IF($G$18=0,0,$G$30/$G$18)</f>
        <v>0</v>
      </c>
    </row>
    <row r="49" ht="17" customHeight="1">
      <c r="B49" s="5" t="inlineStr">
        <is>
          <t>日常生活用具</t>
        </is>
      </c>
      <c r="C49" s="26">
        <f>IF($C$18=0,0,$C$31/$C$18)</f>
        <v>0.0740740740740741</v>
      </c>
      <c r="D49" s="26">
        <f>IF($D$18=0,0,$D$31/$D$18)</f>
        <v>0</v>
      </c>
      <c r="E49" s="26">
        <f>IF($E$18=0,0,$E$31/$E$18)</f>
        <v>0</v>
      </c>
      <c r="F49" s="26">
        <f>IF($F$18=0,0,$F$31/$F$18)</f>
        <v>0</v>
      </c>
      <c r="G49" s="26">
        <f>IF($G$18=0,0,$G$31/$G$18)</f>
        <v>0</v>
      </c>
    </row>
    <row r="50" ht="17" customHeight="1">
      <c r="B50" s="5" t="inlineStr">
        <is>
          <t>利用したいサービスは特にない</t>
        </is>
      </c>
      <c r="C50" s="26">
        <f>IF($C$18=0,0,$C$32/$C$18)</f>
        <v>0.333333333333333</v>
      </c>
      <c r="D50" s="26">
        <f>IF($D$18=0,0,$D$32/$D$18)</f>
        <v>0</v>
      </c>
      <c r="E50" s="26">
        <f>IF($E$18=0,0,$E$32/$E$18)</f>
        <v>0.4</v>
      </c>
      <c r="F50" s="26">
        <f>IF($F$18=0,0,$F$32/$F$18)</f>
        <v>0.333333333333333</v>
      </c>
      <c r="G50" s="26">
        <f>IF($G$18=0,0,$G$32/$G$18)</f>
        <v>0</v>
      </c>
    </row>
    <row r="51" ht="17" customHeight="1">
      <c r="B51" s="5" t="inlineStr">
        <is>
          <t>無回答</t>
        </is>
      </c>
      <c r="C51" s="27">
        <f>IF($C$18=0,0,$C$33/$C$18)</f>
        <v>0.296296296296296</v>
      </c>
      <c r="D51" s="27">
        <f>IF($D$18=0,0,$D$33/$D$18)</f>
        <v>0</v>
      </c>
      <c r="E51" s="27">
        <f>IF($E$18=0,0,$E$33/$E$18)</f>
        <v>0</v>
      </c>
      <c r="F51" s="27">
        <f>IF($F$18=0,0,$F$33/$F$18)</f>
        <v>0.333333333333333</v>
      </c>
      <c r="G51" s="27">
        <f>IF($G$18=0,0,$G$33/$G$18)</f>
        <v>0</v>
      </c>
    </row>
    <row r="52" ht="27" customHeight="1">
      <c r="B52" s="17" t="inlineStr">
        <is>
          <t>※色が濃いほど割合が高く、太字は各区分で最も割合が高い項目です（条件付き書式）。回答者のいない障がい種別（難病、高次脳機能障がい、重症心身障がい）及び回答のなかったサービスは省略しています。</t>
        </is>
      </c>
    </row>
    <row r="54" ht="21" customHeight="1">
      <c r="B54" s="7" t="inlineStr">
        <is>
          <t>表4-3　地区 × 外出するときに困ること（問3×問14）</t>
        </is>
      </c>
    </row>
    <row r="55">
      <c r="B55" s="28" t="inlineStr">
        <is>
          <t>【件数】斜体のセルが入力値です</t>
        </is>
      </c>
    </row>
    <row r="56" ht="18" customHeight="1">
      <c r="B56" s="3" t="inlineStr">
        <is>
          <t>区分</t>
        </is>
      </c>
      <c r="C56" s="3" t="inlineStr">
        <is>
          <t>北山地区</t>
        </is>
      </c>
      <c r="D56" s="3" t="inlineStr">
        <is>
          <t>大塩地区</t>
        </is>
      </c>
      <c r="E56" s="3" t="inlineStr">
        <is>
          <t>桧原地区</t>
        </is>
      </c>
      <c r="F56" s="3" t="inlineStr">
        <is>
          <t>裏磐梯地区</t>
        </is>
      </c>
      <c r="G56" s="3" t="inlineStr">
        <is>
          <t>その他</t>
        </is>
      </c>
    </row>
    <row r="57">
      <c r="B57" s="22" t="inlineStr">
        <is>
          <t>回答者数（n）</t>
        </is>
      </c>
      <c r="C57" s="29" t="n">
        <v>17</v>
      </c>
      <c r="D57" s="29" t="n">
        <v>8</v>
      </c>
      <c r="E57" s="29" t="n">
        <v>3</v>
      </c>
      <c r="F57" s="29" t="n">
        <v>11</v>
      </c>
      <c r="G57" s="29" t="n">
        <v>1</v>
      </c>
    </row>
    <row r="58" ht="17" customHeight="1">
      <c r="B58" s="5" t="inlineStr">
        <is>
          <t>交通手段が少ない</t>
        </is>
      </c>
      <c r="C58" s="30" t="n">
        <v>2</v>
      </c>
      <c r="D58" s="30" t="n">
        <v>0</v>
      </c>
      <c r="E58" s="30" t="n">
        <v>1</v>
      </c>
      <c r="F58" s="30" t="n">
        <v>2</v>
      </c>
      <c r="G58" s="30" t="n">
        <v>1</v>
      </c>
    </row>
    <row r="59" ht="17" customHeight="1">
      <c r="B59" s="5" t="inlineStr">
        <is>
          <t>家族等の付き添いが必要</t>
        </is>
      </c>
      <c r="C59" s="30" t="n">
        <v>3</v>
      </c>
      <c r="D59" s="30" t="n">
        <v>1</v>
      </c>
      <c r="E59" s="30" t="n">
        <v>0</v>
      </c>
      <c r="F59" s="30" t="n">
        <v>4</v>
      </c>
      <c r="G59" s="30" t="n">
        <v>0</v>
      </c>
    </row>
    <row r="60" ht="17" customHeight="1">
      <c r="B60" s="5" t="inlineStr">
        <is>
          <t>送迎がない</t>
        </is>
      </c>
      <c r="C60" s="30" t="n">
        <v>3</v>
      </c>
      <c r="D60" s="30" t="n">
        <v>1</v>
      </c>
      <c r="E60" s="30" t="n">
        <v>0</v>
      </c>
      <c r="F60" s="30" t="n">
        <v>1</v>
      </c>
      <c r="G60" s="30" t="n">
        <v>0</v>
      </c>
    </row>
    <row r="61" ht="17" customHeight="1">
      <c r="B61" s="5" t="inlineStr">
        <is>
          <t>冬季・積雪時に外出しにくい</t>
        </is>
      </c>
      <c r="C61" s="30" t="n">
        <v>4</v>
      </c>
      <c r="D61" s="30" t="n">
        <v>2</v>
      </c>
      <c r="E61" s="30" t="n">
        <v>1</v>
      </c>
      <c r="F61" s="30" t="n">
        <v>6</v>
      </c>
      <c r="G61" s="30" t="n">
        <v>1</v>
      </c>
    </row>
    <row r="62" ht="17" customHeight="1">
      <c r="B62" s="5" t="inlineStr">
        <is>
          <t>周囲の理解が不安</t>
        </is>
      </c>
      <c r="C62" s="30" t="n">
        <v>1</v>
      </c>
      <c r="D62" s="30" t="n">
        <v>0</v>
      </c>
      <c r="E62" s="30" t="n">
        <v>0</v>
      </c>
      <c r="F62" s="30" t="n">
        <v>1</v>
      </c>
      <c r="G62" s="30" t="n">
        <v>0</v>
      </c>
    </row>
    <row r="63" ht="17" customHeight="1">
      <c r="B63" s="5" t="inlineStr">
        <is>
          <t>体調面が不安</t>
        </is>
      </c>
      <c r="C63" s="30" t="n">
        <v>5</v>
      </c>
      <c r="D63" s="30" t="n">
        <v>2</v>
      </c>
      <c r="E63" s="30" t="n">
        <v>0</v>
      </c>
      <c r="F63" s="30" t="n">
        <v>1</v>
      </c>
      <c r="G63" s="30" t="n">
        <v>0</v>
      </c>
    </row>
    <row r="64" ht="17" customHeight="1">
      <c r="B64" s="5" t="inlineStr">
        <is>
          <t>費用がかかる</t>
        </is>
      </c>
      <c r="C64" s="30" t="n">
        <v>4</v>
      </c>
      <c r="D64" s="30" t="n">
        <v>0</v>
      </c>
      <c r="E64" s="30" t="n">
        <v>0</v>
      </c>
      <c r="F64" s="30" t="n">
        <v>2</v>
      </c>
      <c r="G64" s="30" t="n">
        <v>0</v>
      </c>
    </row>
    <row r="65" ht="17" customHeight="1">
      <c r="B65" s="5" t="inlineStr">
        <is>
          <t>特に困らない</t>
        </is>
      </c>
      <c r="C65" s="30" t="n">
        <v>6</v>
      </c>
      <c r="D65" s="30" t="n">
        <v>4</v>
      </c>
      <c r="E65" s="30" t="n">
        <v>1</v>
      </c>
      <c r="F65" s="30" t="n">
        <v>1</v>
      </c>
      <c r="G65" s="30" t="n">
        <v>0</v>
      </c>
    </row>
    <row r="66" ht="17" customHeight="1">
      <c r="B66" s="5" t="inlineStr">
        <is>
          <t>その他</t>
        </is>
      </c>
      <c r="C66" s="30" t="n">
        <v>0</v>
      </c>
      <c r="D66" s="30" t="n">
        <v>0</v>
      </c>
      <c r="E66" s="30" t="n">
        <v>0</v>
      </c>
      <c r="F66" s="30" t="n">
        <v>1</v>
      </c>
      <c r="G66" s="30" t="n">
        <v>0</v>
      </c>
    </row>
    <row r="67" ht="17" customHeight="1">
      <c r="B67" s="5" t="inlineStr">
        <is>
          <t>無回答</t>
        </is>
      </c>
      <c r="C67" s="30" t="n">
        <v>2</v>
      </c>
      <c r="D67" s="30" t="n">
        <v>0</v>
      </c>
      <c r="E67" s="30" t="n">
        <v>0</v>
      </c>
      <c r="F67" s="30" t="n">
        <v>2</v>
      </c>
      <c r="G67" s="30" t="n">
        <v>0</v>
      </c>
    </row>
    <row r="69">
      <c r="B69" s="28" t="inlineStr">
        <is>
          <t>【割合】各区分の回答者数（n）に占める割合（計算式）</t>
        </is>
      </c>
    </row>
    <row r="70" ht="18" customHeight="1">
      <c r="B70" s="3" t="inlineStr">
        <is>
          <t>区分</t>
        </is>
      </c>
      <c r="C70" s="3" t="inlineStr">
        <is>
          <t>北山地区</t>
        </is>
      </c>
      <c r="D70" s="3" t="inlineStr">
        <is>
          <t>大塩地区</t>
        </is>
      </c>
      <c r="E70" s="3" t="inlineStr">
        <is>
          <t>桧原地区</t>
        </is>
      </c>
      <c r="F70" s="3" t="inlineStr">
        <is>
          <t>裏磐梯地区</t>
        </is>
      </c>
      <c r="G70" s="3" t="inlineStr">
        <is>
          <t>その他</t>
        </is>
      </c>
    </row>
    <row r="71" ht="17" customHeight="1">
      <c r="B71" s="5" t="inlineStr">
        <is>
          <t>交通手段が少ない</t>
        </is>
      </c>
      <c r="C71" s="26">
        <f>IF($C$57=0,0,$C$58/$C$57)</f>
        <v>0.117647058823529</v>
      </c>
      <c r="D71" s="26">
        <f>IF($D$57=0,0,$D$58/$D$57)</f>
        <v>0</v>
      </c>
      <c r="E71" s="26">
        <f>IF($E$57=0,0,$E$58/$E$57)</f>
        <v>0.333333333333333</v>
      </c>
      <c r="F71" s="26">
        <f>IF($F$57=0,0,$F$58/$F$57)</f>
        <v>0.181818181818182</v>
      </c>
      <c r="G71" s="26">
        <f>IF($G$57=0,0,$G$58/$G$57)</f>
        <v>1</v>
      </c>
    </row>
    <row r="72" ht="17" customHeight="1">
      <c r="B72" s="5" t="inlineStr">
        <is>
          <t>家族等の付き添いが必要</t>
        </is>
      </c>
      <c r="C72" s="26">
        <f>IF($C$57=0,0,$C$59/$C$57)</f>
        <v>0.176470588235294</v>
      </c>
      <c r="D72" s="26">
        <f>IF($D$57=0,0,$D$59/$D$57)</f>
        <v>0.125</v>
      </c>
      <c r="E72" s="26">
        <f>IF($E$57=0,0,$E$59/$E$57)</f>
        <v>0</v>
      </c>
      <c r="F72" s="26">
        <f>IF($F$57=0,0,$F$59/$F$57)</f>
        <v>0.363636363636364</v>
      </c>
      <c r="G72" s="26">
        <f>IF($G$57=0,0,$G$59/$G$57)</f>
        <v>0</v>
      </c>
    </row>
    <row r="73" ht="17" customHeight="1">
      <c r="B73" s="5" t="inlineStr">
        <is>
          <t>送迎がない</t>
        </is>
      </c>
      <c r="C73" s="26">
        <f>IF($C$57=0,0,$C$60/$C$57)</f>
        <v>0.176470588235294</v>
      </c>
      <c r="D73" s="26">
        <f>IF($D$57=0,0,$D$60/$D$57)</f>
        <v>0.125</v>
      </c>
      <c r="E73" s="26">
        <f>IF($E$57=0,0,$E$60/$E$57)</f>
        <v>0</v>
      </c>
      <c r="F73" s="26">
        <f>IF($F$57=0,0,$F$60/$F$57)</f>
        <v>0.0909090909090909</v>
      </c>
      <c r="G73" s="26">
        <f>IF($G$57=0,0,$G$60/$G$57)</f>
        <v>0</v>
      </c>
    </row>
    <row r="74" ht="17" customHeight="1">
      <c r="B74" s="5" t="inlineStr">
        <is>
          <t>冬季・積雪時に外出しにくい</t>
        </is>
      </c>
      <c r="C74" s="26">
        <f>IF($C$57=0,0,$C$61/$C$57)</f>
        <v>0.235294117647059</v>
      </c>
      <c r="D74" s="26">
        <f>IF($D$57=0,0,$D$61/$D$57)</f>
        <v>0.25</v>
      </c>
      <c r="E74" s="26">
        <f>IF($E$57=0,0,$E$61/$E$57)</f>
        <v>0.333333333333333</v>
      </c>
      <c r="F74" s="26">
        <f>IF($F$57=0,0,$F$61/$F$57)</f>
        <v>0.545454545454545</v>
      </c>
      <c r="G74" s="26">
        <f>IF($G$57=0,0,$G$61/$G$57)</f>
        <v>1</v>
      </c>
    </row>
    <row r="75" ht="17" customHeight="1">
      <c r="B75" s="5" t="inlineStr">
        <is>
          <t>周囲の理解が不安</t>
        </is>
      </c>
      <c r="C75" s="26">
        <f>IF($C$57=0,0,$C$62/$C$57)</f>
        <v>0.0588235294117647</v>
      </c>
      <c r="D75" s="26">
        <f>IF($D$57=0,0,$D$62/$D$57)</f>
        <v>0</v>
      </c>
      <c r="E75" s="26">
        <f>IF($E$57=0,0,$E$62/$E$57)</f>
        <v>0</v>
      </c>
      <c r="F75" s="26">
        <f>IF($F$57=0,0,$F$62/$F$57)</f>
        <v>0.0909090909090909</v>
      </c>
      <c r="G75" s="26">
        <f>IF($G$57=0,0,$G$62/$G$57)</f>
        <v>0</v>
      </c>
    </row>
    <row r="76" ht="17" customHeight="1">
      <c r="B76" s="5" t="inlineStr">
        <is>
          <t>体調面が不安</t>
        </is>
      </c>
      <c r="C76" s="26">
        <f>IF($C$57=0,0,$C$63/$C$57)</f>
        <v>0.294117647058824</v>
      </c>
      <c r="D76" s="26">
        <f>IF($D$57=0,0,$D$63/$D$57)</f>
        <v>0.25</v>
      </c>
      <c r="E76" s="26">
        <f>IF($E$57=0,0,$E$63/$E$57)</f>
        <v>0</v>
      </c>
      <c r="F76" s="26">
        <f>IF($F$57=0,0,$F$63/$F$57)</f>
        <v>0.0909090909090909</v>
      </c>
      <c r="G76" s="26">
        <f>IF($G$57=0,0,$G$63/$G$57)</f>
        <v>0</v>
      </c>
    </row>
    <row r="77" ht="17" customHeight="1">
      <c r="B77" s="5" t="inlineStr">
        <is>
          <t>費用がかかる</t>
        </is>
      </c>
      <c r="C77" s="26">
        <f>IF($C$57=0,0,$C$64/$C$57)</f>
        <v>0.235294117647059</v>
      </c>
      <c r="D77" s="26">
        <f>IF($D$57=0,0,$D$64/$D$57)</f>
        <v>0</v>
      </c>
      <c r="E77" s="26">
        <f>IF($E$57=0,0,$E$64/$E$57)</f>
        <v>0</v>
      </c>
      <c r="F77" s="26">
        <f>IF($F$57=0,0,$F$64/$F$57)</f>
        <v>0.181818181818182</v>
      </c>
      <c r="G77" s="26">
        <f>IF($G$57=0,0,$G$64/$G$57)</f>
        <v>0</v>
      </c>
    </row>
    <row r="78" ht="17" customHeight="1">
      <c r="B78" s="5" t="inlineStr">
        <is>
          <t>特に困らない</t>
        </is>
      </c>
      <c r="C78" s="26">
        <f>IF($C$57=0,0,$C$65/$C$57)</f>
        <v>0.352941176470588</v>
      </c>
      <c r="D78" s="26">
        <f>IF($D$57=0,0,$D$65/$D$57)</f>
        <v>0.5</v>
      </c>
      <c r="E78" s="26">
        <f>IF($E$57=0,0,$E$65/$E$57)</f>
        <v>0.333333333333333</v>
      </c>
      <c r="F78" s="26">
        <f>IF($F$57=0,0,$F$65/$F$57)</f>
        <v>0.0909090909090909</v>
      </c>
      <c r="G78" s="26">
        <f>IF($G$57=0,0,$G$65/$G$57)</f>
        <v>0</v>
      </c>
    </row>
    <row r="79" ht="17" customHeight="1">
      <c r="B79" s="5" t="inlineStr">
        <is>
          <t>その他</t>
        </is>
      </c>
      <c r="C79" s="26">
        <f>IF($C$57=0,0,$C$66/$C$57)</f>
        <v>0</v>
      </c>
      <c r="D79" s="26">
        <f>IF($D$57=0,0,$D$66/$D$57)</f>
        <v>0</v>
      </c>
      <c r="E79" s="26">
        <f>IF($E$57=0,0,$E$66/$E$57)</f>
        <v>0</v>
      </c>
      <c r="F79" s="26">
        <f>IF($F$57=0,0,$F$66/$F$57)</f>
        <v>0.0909090909090909</v>
      </c>
      <c r="G79" s="26">
        <f>IF($G$57=0,0,$G$66/$G$57)</f>
        <v>0</v>
      </c>
    </row>
    <row r="80" ht="17" customHeight="1">
      <c r="B80" s="5" t="inlineStr">
        <is>
          <t>無回答</t>
        </is>
      </c>
      <c r="C80" s="27">
        <f>IF($C$57=0,0,$C$67/$C$57)</f>
        <v>0.117647058823529</v>
      </c>
      <c r="D80" s="27">
        <f>IF($D$57=0,0,$D$67/$D$57)</f>
        <v>0</v>
      </c>
      <c r="E80" s="27">
        <f>IF($E$57=0,0,$E$67/$E$57)</f>
        <v>0</v>
      </c>
      <c r="F80" s="27">
        <f>IF($F$57=0,0,$F$67/$F$57)</f>
        <v>0.181818181818182</v>
      </c>
      <c r="G80" s="27">
        <f>IF($G$57=0,0,$G$67/$G$57)</f>
        <v>0</v>
      </c>
    </row>
    <row r="81" ht="27" customHeight="1">
      <c r="B81" s="17" t="inlineStr">
        <is>
          <t>※色が濃いほど割合が高く、太字は各区分で最も割合が高い項目です（条件付き書式）。全ての地区で回答のなかった「道路・建物が利用しにくい」は省略しています。</t>
        </is>
      </c>
    </row>
    <row r="83" ht="21" customHeight="1">
      <c r="B83" s="7" t="inlineStr">
        <is>
          <t>図4-1　主な地区別の外出するときに困ること（問3×問14）</t>
        </is>
      </c>
    </row>
    <row r="84"/>
    <row r="85" ht="18" customHeight="1">
      <c r="B85" s="3" t="inlineStr">
        <is>
          <t>区分</t>
        </is>
      </c>
      <c r="C85" s="3" t="str">
        <f>"北山地区（n="&amp;$C$57&amp;"）"</f>
        <v>北山地区（n=17）</v>
      </c>
      <c r="D85" s="3" t="str">
        <f>"大塩地区（n="&amp;$D$57&amp;"）"</f>
        <v>大塩地区（n=8）</v>
      </c>
      <c r="E85" s="3" t="str">
        <f>"裏磐梯地区（n="&amp;$F$57&amp;"）"</f>
        <v>裏磐梯地区（n=11）</v>
      </c>
    </row>
    <row r="86" ht="17" customHeight="1">
      <c r="B86" s="5" t="inlineStr">
        <is>
          <t>冬季・積雪時に外出しにくい</t>
        </is>
      </c>
      <c r="C86" s="20">
        <f>$C$74</f>
        <v>0.235294117647059</v>
      </c>
      <c r="D86" s="20">
        <f>$D$74</f>
        <v>0.25</v>
      </c>
      <c r="E86" s="20">
        <f>$F$74</f>
        <v>0.545454545454545</v>
      </c>
    </row>
    <row r="87" ht="17" customHeight="1">
      <c r="B87" s="5" t="inlineStr">
        <is>
          <t>家族等の付き添いが必要</t>
        </is>
      </c>
      <c r="C87" s="20">
        <f>$C$72</f>
        <v>0.176470588235294</v>
      </c>
      <c r="D87" s="20">
        <f>$D$72</f>
        <v>0.125</v>
      </c>
      <c r="E87" s="20">
        <f>$F$72</f>
        <v>0.363636363636364</v>
      </c>
    </row>
    <row r="88" ht="17" customHeight="1">
      <c r="B88" s="5" t="inlineStr">
        <is>
          <t>体調面が不安</t>
        </is>
      </c>
      <c r="C88" s="20">
        <f>$C$76</f>
        <v>0.294117647058824</v>
      </c>
      <c r="D88" s="20">
        <f>$D$76</f>
        <v>0.25</v>
      </c>
      <c r="E88" s="20">
        <f>$F$76</f>
        <v>0.0909090909090909</v>
      </c>
    </row>
    <row r="89" ht="17" customHeight="1">
      <c r="B89" s="5" t="inlineStr">
        <is>
          <t>交通手段が少ない</t>
        </is>
      </c>
      <c r="C89" s="20">
        <f>$C$71</f>
        <v>0.117647058823529</v>
      </c>
      <c r="D89" s="20">
        <f>$D$71</f>
        <v>0</v>
      </c>
      <c r="E89" s="20">
        <f>$F$71</f>
        <v>0.181818181818182</v>
      </c>
    </row>
    <row r="90" ht="17" customHeight="1">
      <c r="B90" s="5" t="inlineStr">
        <is>
          <t>費用がかかる</t>
        </is>
      </c>
      <c r="C90" s="20">
        <f>$C$77</f>
        <v>0.235294117647059</v>
      </c>
      <c r="D90" s="20">
        <f>$D$77</f>
        <v>0</v>
      </c>
      <c r="E90" s="20">
        <f>$F$77</f>
        <v>0.181818181818182</v>
      </c>
    </row>
    <row r="91" ht="17" customHeight="1">
      <c r="B91" s="5" t="inlineStr">
        <is>
          <t>送迎がない</t>
        </is>
      </c>
      <c r="C91" s="20">
        <f>$C$73</f>
        <v>0.176470588235294</v>
      </c>
      <c r="D91" s="20">
        <f>$D$73</f>
        <v>0.125</v>
      </c>
      <c r="E91" s="20">
        <f>$F$73</f>
        <v>0.0909090909090909</v>
      </c>
    </row>
    <row r="92" ht="17" customHeight="1">
      <c r="B92" s="5" t="inlineStr">
        <is>
          <t>特に困らない</t>
        </is>
      </c>
      <c r="C92" s="20">
        <f>$C$78</f>
        <v>0.352941176470588</v>
      </c>
      <c r="D92" s="20">
        <f>$D$78</f>
        <v>0.5</v>
      </c>
      <c r="E92" s="20">
        <f>$F$78</f>
        <v>0.0909090909090909</v>
      </c>
    </row>
    <row r="93" ht="27" customHeight="1">
      <c r="B93" s="17" t="inlineStr">
        <is>
          <t>※回答者数の少ない桧原地区（n=3）、その他（n=1）はグラフから省略しています。</t>
        </is>
      </c>
    </row>
    <row r="94"/>
    <row r="95"/>
    <row r="96"/>
    <row r="97"/>
    <row r="98"/>
    <row r="99"/>
    <row r="100"/>
    <row r="101"/>
    <row r="102"/>
    <row r="103"/>
    <row r="104"/>
    <row r="105"/>
    <row r="108" ht="21" customHeight="1">
      <c r="B108" s="7" t="inlineStr">
        <is>
          <t>表4-4　地区 × サービスを利用したいが利用できない理由（問3×問28）</t>
        </is>
      </c>
    </row>
    <row r="109">
      <c r="B109" s="28" t="inlineStr">
        <is>
          <t>【件数】斜体のセルが入力値です</t>
        </is>
      </c>
    </row>
    <row r="110" ht="18" customHeight="1">
      <c r="B110" s="3" t="inlineStr">
        <is>
          <t>区分</t>
        </is>
      </c>
      <c r="C110" s="3" t="inlineStr">
        <is>
          <t>北山地区</t>
        </is>
      </c>
      <c r="D110" s="3" t="inlineStr">
        <is>
          <t>大塩地区</t>
        </is>
      </c>
      <c r="E110" s="3" t="inlineStr">
        <is>
          <t>桧原地区</t>
        </is>
      </c>
      <c r="F110" s="3" t="inlineStr">
        <is>
          <t>裏磐梯地区</t>
        </is>
      </c>
      <c r="G110" s="3" t="inlineStr">
        <is>
          <t>その他</t>
        </is>
      </c>
    </row>
    <row r="111">
      <c r="B111" s="22" t="inlineStr">
        <is>
          <t>回答者数（n）</t>
        </is>
      </c>
      <c r="C111" s="29" t="n">
        <v>17</v>
      </c>
      <c r="D111" s="29" t="n">
        <v>8</v>
      </c>
      <c r="E111" s="29" t="n">
        <v>3</v>
      </c>
      <c r="F111" s="29" t="n">
        <v>11</v>
      </c>
      <c r="G111" s="29" t="n">
        <v>1</v>
      </c>
    </row>
    <row r="112" ht="17" customHeight="1">
      <c r="B112" s="5" t="inlineStr">
        <is>
          <t>近くに事業所がない</t>
        </is>
      </c>
      <c r="C112" s="30" t="n">
        <v>2</v>
      </c>
      <c r="D112" s="30" t="n">
        <v>0</v>
      </c>
      <c r="E112" s="30" t="n">
        <v>0</v>
      </c>
      <c r="F112" s="30" t="n">
        <v>2</v>
      </c>
      <c r="G112" s="30" t="n">
        <v>0</v>
      </c>
    </row>
    <row r="113" ht="17" customHeight="1">
      <c r="B113" s="5" t="inlineStr">
        <is>
          <t>空きがない</t>
        </is>
      </c>
      <c r="C113" s="30" t="n">
        <v>1</v>
      </c>
      <c r="D113" s="30" t="n">
        <v>0</v>
      </c>
      <c r="E113" s="30" t="n">
        <v>0</v>
      </c>
      <c r="F113" s="30" t="n">
        <v>0</v>
      </c>
      <c r="G113" s="30" t="n">
        <v>0</v>
      </c>
    </row>
    <row r="114" ht="17" customHeight="1">
      <c r="B114" s="5" t="inlineStr">
        <is>
          <t>送迎がない</t>
        </is>
      </c>
      <c r="C114" s="30" t="n">
        <v>0</v>
      </c>
      <c r="D114" s="30" t="n">
        <v>0</v>
      </c>
      <c r="E114" s="30" t="n">
        <v>0</v>
      </c>
      <c r="F114" s="30" t="n">
        <v>1</v>
      </c>
      <c r="G114" s="30" t="n">
        <v>0</v>
      </c>
    </row>
    <row r="115" ht="17" customHeight="1">
      <c r="B115" s="5" t="inlineStr">
        <is>
          <t>利用方法がわからない</t>
        </is>
      </c>
      <c r="C115" s="30" t="n">
        <v>2</v>
      </c>
      <c r="D115" s="30" t="n">
        <v>1</v>
      </c>
      <c r="E115" s="30" t="n">
        <v>0</v>
      </c>
      <c r="F115" s="30" t="n">
        <v>1</v>
      </c>
      <c r="G115" s="30" t="n">
        <v>0</v>
      </c>
    </row>
    <row r="116" ht="17" customHeight="1">
      <c r="B116" s="5" t="inlineStr">
        <is>
          <t>費用が心配</t>
        </is>
      </c>
      <c r="C116" s="30" t="n">
        <v>2</v>
      </c>
      <c r="D116" s="30" t="n">
        <v>1</v>
      </c>
      <c r="E116" s="30" t="n">
        <v>1</v>
      </c>
      <c r="F116" s="30" t="n">
        <v>1</v>
      </c>
      <c r="G116" s="30" t="n">
        <v>0</v>
      </c>
    </row>
    <row r="117" ht="17" customHeight="1">
      <c r="B117" s="5" t="inlineStr">
        <is>
          <t>本人に合うサービスがない</t>
        </is>
      </c>
      <c r="C117" s="30" t="n">
        <v>0</v>
      </c>
      <c r="D117" s="30" t="n">
        <v>0</v>
      </c>
      <c r="E117" s="30" t="n">
        <v>0</v>
      </c>
      <c r="F117" s="30" t="n">
        <v>1</v>
      </c>
      <c r="G117" s="30" t="n">
        <v>0</v>
      </c>
    </row>
    <row r="118" ht="17" customHeight="1">
      <c r="B118" s="5" t="inlineStr">
        <is>
          <t>家族が対応している</t>
        </is>
      </c>
      <c r="C118" s="30" t="n">
        <v>3</v>
      </c>
      <c r="D118" s="30" t="n">
        <v>2</v>
      </c>
      <c r="E118" s="30" t="n">
        <v>0</v>
      </c>
      <c r="F118" s="30" t="n">
        <v>2</v>
      </c>
      <c r="G118" s="30" t="n">
        <v>0</v>
      </c>
    </row>
    <row r="119" ht="17" customHeight="1">
      <c r="B119" s="5" t="inlineStr">
        <is>
          <t>必要性を感じない</t>
        </is>
      </c>
      <c r="C119" s="30" t="n">
        <v>7</v>
      </c>
      <c r="D119" s="30" t="n">
        <v>2</v>
      </c>
      <c r="E119" s="30" t="n">
        <v>0</v>
      </c>
      <c r="F119" s="30" t="n">
        <v>1</v>
      </c>
      <c r="G119" s="30" t="n">
        <v>1</v>
      </c>
    </row>
    <row r="120" ht="17" customHeight="1">
      <c r="B120" s="5" t="inlineStr">
        <is>
          <t>その他</t>
        </is>
      </c>
      <c r="C120" s="30" t="n">
        <v>0</v>
      </c>
      <c r="D120" s="30" t="n">
        <v>0</v>
      </c>
      <c r="E120" s="30" t="n">
        <v>0</v>
      </c>
      <c r="F120" s="30" t="n">
        <v>1</v>
      </c>
      <c r="G120" s="30" t="n">
        <v>0</v>
      </c>
    </row>
    <row r="121" ht="17" customHeight="1">
      <c r="B121" s="5" t="inlineStr">
        <is>
          <t>無回答</t>
        </is>
      </c>
      <c r="C121" s="30" t="n">
        <v>4</v>
      </c>
      <c r="D121" s="30" t="n">
        <v>3</v>
      </c>
      <c r="E121" s="30" t="n">
        <v>2</v>
      </c>
      <c r="F121" s="30" t="n">
        <v>5</v>
      </c>
      <c r="G121" s="30" t="n">
        <v>0</v>
      </c>
    </row>
    <row r="123">
      <c r="B123" s="28" t="inlineStr">
        <is>
          <t>【割合】各区分の回答者数（n）に占める割合（計算式）</t>
        </is>
      </c>
    </row>
    <row r="124" ht="18" customHeight="1">
      <c r="B124" s="3" t="inlineStr">
        <is>
          <t>区分</t>
        </is>
      </c>
      <c r="C124" s="3" t="inlineStr">
        <is>
          <t>北山地区</t>
        </is>
      </c>
      <c r="D124" s="3" t="inlineStr">
        <is>
          <t>大塩地区</t>
        </is>
      </c>
      <c r="E124" s="3" t="inlineStr">
        <is>
          <t>桧原地区</t>
        </is>
      </c>
      <c r="F124" s="3" t="inlineStr">
        <is>
          <t>裏磐梯地区</t>
        </is>
      </c>
      <c r="G124" s="3" t="inlineStr">
        <is>
          <t>その他</t>
        </is>
      </c>
    </row>
    <row r="125" ht="17" customHeight="1">
      <c r="B125" s="5" t="inlineStr">
        <is>
          <t>近くに事業所がない</t>
        </is>
      </c>
      <c r="C125" s="26">
        <f>IF($C$111=0,0,$C$112/$C$111)</f>
        <v>0.117647058823529</v>
      </c>
      <c r="D125" s="26">
        <f>IF($D$111=0,0,$D$112/$D$111)</f>
        <v>0</v>
      </c>
      <c r="E125" s="26">
        <f>IF($E$111=0,0,$E$112/$E$111)</f>
        <v>0</v>
      </c>
      <c r="F125" s="26">
        <f>IF($F$111=0,0,$F$112/$F$111)</f>
        <v>0.181818181818182</v>
      </c>
      <c r="G125" s="26">
        <f>IF($G$111=0,0,$G$112/$G$111)</f>
        <v>0</v>
      </c>
    </row>
    <row r="126" ht="17" customHeight="1">
      <c r="B126" s="5" t="inlineStr">
        <is>
          <t>空きがない</t>
        </is>
      </c>
      <c r="C126" s="26">
        <f>IF($C$111=0,0,$C$113/$C$111)</f>
        <v>0.0588235294117647</v>
      </c>
      <c r="D126" s="26">
        <f>IF($D$111=0,0,$D$113/$D$111)</f>
        <v>0</v>
      </c>
      <c r="E126" s="26">
        <f>IF($E$111=0,0,$E$113/$E$111)</f>
        <v>0</v>
      </c>
      <c r="F126" s="26">
        <f>IF($F$111=0,0,$F$113/$F$111)</f>
        <v>0</v>
      </c>
      <c r="G126" s="26">
        <f>IF($G$111=0,0,$G$113/$G$111)</f>
        <v>0</v>
      </c>
    </row>
    <row r="127" ht="17" customHeight="1">
      <c r="B127" s="5" t="inlineStr">
        <is>
          <t>送迎がない</t>
        </is>
      </c>
      <c r="C127" s="26">
        <f>IF($C$111=0,0,$C$114/$C$111)</f>
        <v>0</v>
      </c>
      <c r="D127" s="26">
        <f>IF($D$111=0,0,$D$114/$D$111)</f>
        <v>0</v>
      </c>
      <c r="E127" s="26">
        <f>IF($E$111=0,0,$E$114/$E$111)</f>
        <v>0</v>
      </c>
      <c r="F127" s="26">
        <f>IF($F$111=0,0,$F$114/$F$111)</f>
        <v>0.0909090909090909</v>
      </c>
      <c r="G127" s="26">
        <f>IF($G$111=0,0,$G$114/$G$111)</f>
        <v>0</v>
      </c>
    </row>
    <row r="128" ht="17" customHeight="1">
      <c r="B128" s="5" t="inlineStr">
        <is>
          <t>利用方法がわからない</t>
        </is>
      </c>
      <c r="C128" s="26">
        <f>IF($C$111=0,0,$C$115/$C$111)</f>
        <v>0.117647058823529</v>
      </c>
      <c r="D128" s="26">
        <f>IF($D$111=0,0,$D$115/$D$111)</f>
        <v>0.125</v>
      </c>
      <c r="E128" s="26">
        <f>IF($E$111=0,0,$E$115/$E$111)</f>
        <v>0</v>
      </c>
      <c r="F128" s="26">
        <f>IF($F$111=0,0,$F$115/$F$111)</f>
        <v>0.0909090909090909</v>
      </c>
      <c r="G128" s="26">
        <f>IF($G$111=0,0,$G$115/$G$111)</f>
        <v>0</v>
      </c>
    </row>
    <row r="129" ht="17" customHeight="1">
      <c r="B129" s="5" t="inlineStr">
        <is>
          <t>費用が心配</t>
        </is>
      </c>
      <c r="C129" s="26">
        <f>IF($C$111=0,0,$C$116/$C$111)</f>
        <v>0.117647058823529</v>
      </c>
      <c r="D129" s="26">
        <f>IF($D$111=0,0,$D$116/$D$111)</f>
        <v>0.125</v>
      </c>
      <c r="E129" s="26">
        <f>IF($E$111=0,0,$E$116/$E$111)</f>
        <v>0.333333333333333</v>
      </c>
      <c r="F129" s="26">
        <f>IF($F$111=0,0,$F$116/$F$111)</f>
        <v>0.0909090909090909</v>
      </c>
      <c r="G129" s="26">
        <f>IF($G$111=0,0,$G$116/$G$111)</f>
        <v>0</v>
      </c>
    </row>
    <row r="130" ht="17" customHeight="1">
      <c r="B130" s="5" t="inlineStr">
        <is>
          <t>本人に合うサービスがない</t>
        </is>
      </c>
      <c r="C130" s="26">
        <f>IF($C$111=0,0,$C$117/$C$111)</f>
        <v>0</v>
      </c>
      <c r="D130" s="26">
        <f>IF($D$111=0,0,$D$117/$D$111)</f>
        <v>0</v>
      </c>
      <c r="E130" s="26">
        <f>IF($E$111=0,0,$E$117/$E$111)</f>
        <v>0</v>
      </c>
      <c r="F130" s="26">
        <f>IF($F$111=0,0,$F$117/$F$111)</f>
        <v>0.0909090909090909</v>
      </c>
      <c r="G130" s="26">
        <f>IF($G$111=0,0,$G$117/$G$111)</f>
        <v>0</v>
      </c>
    </row>
    <row r="131" ht="17" customHeight="1">
      <c r="B131" s="5" t="inlineStr">
        <is>
          <t>家族が対応している</t>
        </is>
      </c>
      <c r="C131" s="26">
        <f>IF($C$111=0,0,$C$118/$C$111)</f>
        <v>0.176470588235294</v>
      </c>
      <c r="D131" s="26">
        <f>IF($D$111=0,0,$D$118/$D$111)</f>
        <v>0.25</v>
      </c>
      <c r="E131" s="26">
        <f>IF($E$111=0,0,$E$118/$E$111)</f>
        <v>0</v>
      </c>
      <c r="F131" s="26">
        <f>IF($F$111=0,0,$F$118/$F$111)</f>
        <v>0.181818181818182</v>
      </c>
      <c r="G131" s="26">
        <f>IF($G$111=0,0,$G$118/$G$111)</f>
        <v>0</v>
      </c>
    </row>
    <row r="132" ht="17" customHeight="1">
      <c r="B132" s="5" t="inlineStr">
        <is>
          <t>必要性を感じない</t>
        </is>
      </c>
      <c r="C132" s="26">
        <f>IF($C$111=0,0,$C$119/$C$111)</f>
        <v>0.411764705882353</v>
      </c>
      <c r="D132" s="26">
        <f>IF($D$111=0,0,$D$119/$D$111)</f>
        <v>0.25</v>
      </c>
      <c r="E132" s="26">
        <f>IF($E$111=0,0,$E$119/$E$111)</f>
        <v>0</v>
      </c>
      <c r="F132" s="26">
        <f>IF($F$111=0,0,$F$119/$F$111)</f>
        <v>0.0909090909090909</v>
      </c>
      <c r="G132" s="26">
        <f>IF($G$111=0,0,$G$119/$G$111)</f>
        <v>1</v>
      </c>
    </row>
    <row r="133" ht="17" customHeight="1">
      <c r="B133" s="5" t="inlineStr">
        <is>
          <t>その他</t>
        </is>
      </c>
      <c r="C133" s="26">
        <f>IF($C$111=0,0,$C$120/$C$111)</f>
        <v>0</v>
      </c>
      <c r="D133" s="26">
        <f>IF($D$111=0,0,$D$120/$D$111)</f>
        <v>0</v>
      </c>
      <c r="E133" s="26">
        <f>IF($E$111=0,0,$E$120/$E$111)</f>
        <v>0</v>
      </c>
      <c r="F133" s="26">
        <f>IF($F$111=0,0,$F$120/$F$111)</f>
        <v>0.0909090909090909</v>
      </c>
      <c r="G133" s="26">
        <f>IF($G$111=0,0,$G$120/$G$111)</f>
        <v>0</v>
      </c>
    </row>
    <row r="134" ht="17" customHeight="1">
      <c r="B134" s="5" t="inlineStr">
        <is>
          <t>無回答</t>
        </is>
      </c>
      <c r="C134" s="27">
        <f>IF($C$111=0,0,$C$121/$C$111)</f>
        <v>0.235294117647059</v>
      </c>
      <c r="D134" s="27">
        <f>IF($D$111=0,0,$D$121/$D$111)</f>
        <v>0.375</v>
      </c>
      <c r="E134" s="27">
        <f>IF($E$111=0,0,$E$121/$E$111)</f>
        <v>0.666666666666667</v>
      </c>
      <c r="F134" s="27">
        <f>IF($F$111=0,0,$F$121/$F$111)</f>
        <v>0.454545454545455</v>
      </c>
      <c r="G134" s="27">
        <f>IF($G$111=0,0,$G$121/$G$111)</f>
        <v>0</v>
      </c>
    </row>
    <row r="135" ht="15" customHeight="1">
      <c r="B135" s="17" t="inlineStr">
        <is>
          <t>※色が濃いほど割合が高く、太字は各区分で最も割合が高い項目です（条件付き書式）。</t>
        </is>
      </c>
    </row>
    <row r="137" ht="21" customHeight="1">
      <c r="B137" s="7" t="inlineStr">
        <is>
          <t>表4-5　現在の暮らしの場 × 将来希望する暮らし方（問7×問11）</t>
        </is>
      </c>
    </row>
    <row r="138">
      <c r="B138" s="28" t="inlineStr">
        <is>
          <t>【件数】斜体のセルが入力値です</t>
        </is>
      </c>
    </row>
    <row r="139" ht="44" customHeight="1">
      <c r="B139" s="3" t="inlineStr">
        <is>
          <t>区分</t>
        </is>
      </c>
      <c r="C139" s="3" t="inlineStr">
        <is>
          <t>自宅
（家族と同居）</t>
        </is>
      </c>
      <c r="D139" s="3" t="inlineStr">
        <is>
          <t>自宅
（一人暮らし）</t>
        </is>
      </c>
      <c r="E139" s="3" t="inlineStr">
        <is>
          <t>グループ
ホーム</t>
        </is>
      </c>
      <c r="F139" s="3" t="inlineStr">
        <is>
          <t>障がい者
支援施設</t>
        </is>
      </c>
      <c r="G139" s="3" t="inlineStr">
        <is>
          <t>病院に
入院中</t>
        </is>
      </c>
      <c r="H139" s="3" t="inlineStr">
        <is>
          <t>高齢者
施設等</t>
        </is>
      </c>
    </row>
    <row r="140">
      <c r="B140" s="22" t="inlineStr">
        <is>
          <t>回答者数（n）</t>
        </is>
      </c>
      <c r="C140" s="29" t="n">
        <v>26</v>
      </c>
      <c r="D140" s="29" t="n">
        <v>6</v>
      </c>
      <c r="E140" s="29" t="n">
        <v>3</v>
      </c>
      <c r="F140" s="29" t="n">
        <v>2</v>
      </c>
      <c r="G140" s="29" t="n">
        <v>1</v>
      </c>
      <c r="H140" s="29" t="n">
        <v>1</v>
      </c>
    </row>
    <row r="141" ht="17" customHeight="1">
      <c r="B141" s="5" t="inlineStr">
        <is>
          <t>今の自宅で暮らしたい</t>
        </is>
      </c>
      <c r="C141" s="30" t="n">
        <v>14</v>
      </c>
      <c r="D141" s="30" t="n">
        <v>2</v>
      </c>
      <c r="E141" s="30" t="n">
        <v>0</v>
      </c>
      <c r="F141" s="30" t="n">
        <v>0</v>
      </c>
      <c r="G141" s="30" t="n">
        <v>0</v>
      </c>
      <c r="H141" s="30" t="n">
        <v>0</v>
      </c>
    </row>
    <row r="142" ht="17" customHeight="1">
      <c r="B142" s="5" t="inlineStr">
        <is>
          <t>家族と一緒に暮らしたい</t>
        </is>
      </c>
      <c r="C142" s="30" t="n">
        <v>4</v>
      </c>
      <c r="D142" s="30" t="n">
        <v>0</v>
      </c>
      <c r="E142" s="30" t="n">
        <v>1</v>
      </c>
      <c r="F142" s="30" t="n">
        <v>0</v>
      </c>
      <c r="G142" s="30" t="n">
        <v>0</v>
      </c>
      <c r="H142" s="30" t="n">
        <v>0</v>
      </c>
    </row>
    <row r="143" ht="17" customHeight="1">
      <c r="B143" s="5" t="inlineStr">
        <is>
          <t>一人暮らしをしたい</t>
        </is>
      </c>
      <c r="C143" s="30" t="n">
        <v>1</v>
      </c>
      <c r="D143" s="30" t="n">
        <v>1</v>
      </c>
      <c r="E143" s="30" t="n">
        <v>0</v>
      </c>
      <c r="F143" s="30" t="n">
        <v>0</v>
      </c>
      <c r="G143" s="30" t="n">
        <v>0</v>
      </c>
      <c r="H143" s="30" t="n">
        <v>0</v>
      </c>
    </row>
    <row r="144" ht="17" customHeight="1">
      <c r="B144" s="5" t="inlineStr">
        <is>
          <t>グループホームで暮らしたい</t>
        </is>
      </c>
      <c r="C144" s="30" t="n">
        <v>0</v>
      </c>
      <c r="D144" s="30" t="n">
        <v>0</v>
      </c>
      <c r="E144" s="30" t="n">
        <v>2</v>
      </c>
      <c r="F144" s="30" t="n">
        <v>0</v>
      </c>
      <c r="G144" s="30" t="n">
        <v>0</v>
      </c>
      <c r="H144" s="30" t="n">
        <v>0</v>
      </c>
    </row>
    <row r="145" ht="17" customHeight="1">
      <c r="B145" s="5" t="inlineStr">
        <is>
          <t>施設で暮らしたい</t>
        </is>
      </c>
      <c r="C145" s="30" t="n">
        <v>0</v>
      </c>
      <c r="D145" s="30" t="n">
        <v>1</v>
      </c>
      <c r="E145" s="30" t="n">
        <v>0</v>
      </c>
      <c r="F145" s="30" t="n">
        <v>1</v>
      </c>
      <c r="G145" s="30" t="n">
        <v>1</v>
      </c>
      <c r="H145" s="30" t="n">
        <v>1</v>
      </c>
    </row>
    <row r="146" ht="17" customHeight="1">
      <c r="B146" s="5" t="inlineStr">
        <is>
          <t>病院・施設から地域で暮らしたい</t>
        </is>
      </c>
      <c r="C146" s="30" t="n">
        <v>0</v>
      </c>
      <c r="D146" s="30" t="n">
        <v>0</v>
      </c>
      <c r="E146" s="30" t="n">
        <v>0</v>
      </c>
      <c r="F146" s="30" t="n">
        <v>0</v>
      </c>
      <c r="G146" s="30" t="n">
        <v>0</v>
      </c>
      <c r="H146" s="30" t="n">
        <v>0</v>
      </c>
    </row>
    <row r="147" ht="17" customHeight="1">
      <c r="B147" s="5" t="inlineStr">
        <is>
          <t>まだわからない</t>
        </is>
      </c>
      <c r="C147" s="30" t="n">
        <v>5</v>
      </c>
      <c r="D147" s="30" t="n">
        <v>1</v>
      </c>
      <c r="E147" s="30" t="n">
        <v>0</v>
      </c>
      <c r="F147" s="30" t="n">
        <v>1</v>
      </c>
      <c r="G147" s="30" t="n">
        <v>0</v>
      </c>
      <c r="H147" s="30" t="n">
        <v>0</v>
      </c>
    </row>
    <row r="148" ht="17" customHeight="1">
      <c r="B148" s="5" t="inlineStr">
        <is>
          <t>その他</t>
        </is>
      </c>
      <c r="C148" s="30" t="n">
        <v>1</v>
      </c>
      <c r="D148" s="30" t="n">
        <v>0</v>
      </c>
      <c r="E148" s="30" t="n">
        <v>0</v>
      </c>
      <c r="F148" s="30" t="n">
        <v>0</v>
      </c>
      <c r="G148" s="30" t="n">
        <v>0</v>
      </c>
      <c r="H148" s="30" t="n">
        <v>0</v>
      </c>
    </row>
    <row r="149" ht="17" customHeight="1">
      <c r="B149" s="5" t="inlineStr">
        <is>
          <t>無回答</t>
        </is>
      </c>
      <c r="C149" s="30" t="n">
        <v>1</v>
      </c>
      <c r="D149" s="30" t="n">
        <v>1</v>
      </c>
      <c r="E149" s="30" t="n">
        <v>0</v>
      </c>
      <c r="F149" s="30" t="n">
        <v>0</v>
      </c>
      <c r="G149" s="30" t="n">
        <v>0</v>
      </c>
      <c r="H149" s="30" t="n">
        <v>0</v>
      </c>
    </row>
    <row r="151">
      <c r="B151" s="28" t="inlineStr">
        <is>
          <t>【割合】各区分の回答者数（n）に占める割合（計算式）</t>
        </is>
      </c>
    </row>
    <row r="152" ht="44" customHeight="1">
      <c r="B152" s="3" t="inlineStr">
        <is>
          <t>区分</t>
        </is>
      </c>
      <c r="C152" s="3" t="inlineStr">
        <is>
          <t>自宅
（家族と同居）</t>
        </is>
      </c>
      <c r="D152" s="3" t="inlineStr">
        <is>
          <t>自宅
（一人暮らし）</t>
        </is>
      </c>
      <c r="E152" s="3" t="inlineStr">
        <is>
          <t>グループ
ホーム</t>
        </is>
      </c>
      <c r="F152" s="3" t="inlineStr">
        <is>
          <t>障がい者
支援施設</t>
        </is>
      </c>
      <c r="G152" s="3" t="inlineStr">
        <is>
          <t>病院に
入院中</t>
        </is>
      </c>
      <c r="H152" s="3" t="inlineStr">
        <is>
          <t>高齢者
施設等</t>
        </is>
      </c>
    </row>
    <row r="153" ht="17" customHeight="1">
      <c r="B153" s="5" t="inlineStr">
        <is>
          <t>今の自宅で暮らしたい</t>
        </is>
      </c>
      <c r="C153" s="26">
        <f>IF($C$140=0,0,$C$141/$C$140)</f>
        <v>0.538461538461538</v>
      </c>
      <c r="D153" s="26">
        <f>IF($D$140=0,0,$D$141/$D$140)</f>
        <v>0.333333333333333</v>
      </c>
      <c r="E153" s="26">
        <f>IF($E$140=0,0,$E$141/$E$140)</f>
        <v>0</v>
      </c>
      <c r="F153" s="26">
        <f>IF($F$140=0,0,$F$141/$F$140)</f>
        <v>0</v>
      </c>
      <c r="G153" s="26">
        <f>IF($G$140=0,0,$G$141/$G$140)</f>
        <v>0</v>
      </c>
      <c r="H153" s="26">
        <f>IF($H$140=0,0,$H$141/$H$140)</f>
        <v>0</v>
      </c>
    </row>
    <row r="154" ht="17" customHeight="1">
      <c r="B154" s="5" t="inlineStr">
        <is>
          <t>家族と一緒に暮らしたい</t>
        </is>
      </c>
      <c r="C154" s="26">
        <f>IF($C$140=0,0,$C$142/$C$140)</f>
        <v>0.153846153846154</v>
      </c>
      <c r="D154" s="26">
        <f>IF($D$140=0,0,$D$142/$D$140)</f>
        <v>0</v>
      </c>
      <c r="E154" s="26">
        <f>IF($E$140=0,0,$E$142/$E$140)</f>
        <v>0.333333333333333</v>
      </c>
      <c r="F154" s="26">
        <f>IF($F$140=0,0,$F$142/$F$140)</f>
        <v>0</v>
      </c>
      <c r="G154" s="26">
        <f>IF($G$140=0,0,$G$142/$G$140)</f>
        <v>0</v>
      </c>
      <c r="H154" s="26">
        <f>IF($H$140=0,0,$H$142/$H$140)</f>
        <v>0</v>
      </c>
    </row>
    <row r="155" ht="17" customHeight="1">
      <c r="B155" s="5" t="inlineStr">
        <is>
          <t>一人暮らしをしたい</t>
        </is>
      </c>
      <c r="C155" s="26">
        <f>IF($C$140=0,0,$C$143/$C$140)</f>
        <v>0.0384615384615385</v>
      </c>
      <c r="D155" s="26">
        <f>IF($D$140=0,0,$D$143/$D$140)</f>
        <v>0.166666666666667</v>
      </c>
      <c r="E155" s="26">
        <f>IF($E$140=0,0,$E$143/$E$140)</f>
        <v>0</v>
      </c>
      <c r="F155" s="26">
        <f>IF($F$140=0,0,$F$143/$F$140)</f>
        <v>0</v>
      </c>
      <c r="G155" s="26">
        <f>IF($G$140=0,0,$G$143/$G$140)</f>
        <v>0</v>
      </c>
      <c r="H155" s="26">
        <f>IF($H$140=0,0,$H$143/$H$140)</f>
        <v>0</v>
      </c>
    </row>
    <row r="156" ht="17" customHeight="1">
      <c r="B156" s="5" t="inlineStr">
        <is>
          <t>グループホームで暮らしたい</t>
        </is>
      </c>
      <c r="C156" s="26">
        <f>IF($C$140=0,0,$C$144/$C$140)</f>
        <v>0</v>
      </c>
      <c r="D156" s="26">
        <f>IF($D$140=0,0,$D$144/$D$140)</f>
        <v>0</v>
      </c>
      <c r="E156" s="26">
        <f>IF($E$140=0,0,$E$144/$E$140)</f>
        <v>0.666666666666667</v>
      </c>
      <c r="F156" s="26">
        <f>IF($F$140=0,0,$F$144/$F$140)</f>
        <v>0</v>
      </c>
      <c r="G156" s="26">
        <f>IF($G$140=0,0,$G$144/$G$140)</f>
        <v>0</v>
      </c>
      <c r="H156" s="26">
        <f>IF($H$140=0,0,$H$144/$H$140)</f>
        <v>0</v>
      </c>
    </row>
    <row r="157" ht="17" customHeight="1">
      <c r="B157" s="5" t="inlineStr">
        <is>
          <t>施設で暮らしたい</t>
        </is>
      </c>
      <c r="C157" s="26">
        <f>IF($C$140=0,0,$C$145/$C$140)</f>
        <v>0</v>
      </c>
      <c r="D157" s="26">
        <f>IF($D$140=0,0,$D$145/$D$140)</f>
        <v>0.166666666666667</v>
      </c>
      <c r="E157" s="26">
        <f>IF($E$140=0,0,$E$145/$E$140)</f>
        <v>0</v>
      </c>
      <c r="F157" s="26">
        <f>IF($F$140=0,0,$F$145/$F$140)</f>
        <v>0.5</v>
      </c>
      <c r="G157" s="26">
        <f>IF($G$140=0,0,$G$145/$G$140)</f>
        <v>1</v>
      </c>
      <c r="H157" s="26">
        <f>IF($H$140=0,0,$H$145/$H$140)</f>
        <v>1</v>
      </c>
    </row>
    <row r="158" ht="17" customHeight="1">
      <c r="B158" s="5" t="inlineStr">
        <is>
          <t>病院・施設から地域で暮らしたい</t>
        </is>
      </c>
      <c r="C158" s="26">
        <f>IF($C$140=0,0,$C$146/$C$140)</f>
        <v>0</v>
      </c>
      <c r="D158" s="26">
        <f>IF($D$140=0,0,$D$146/$D$140)</f>
        <v>0</v>
      </c>
      <c r="E158" s="26">
        <f>IF($E$140=0,0,$E$146/$E$140)</f>
        <v>0</v>
      </c>
      <c r="F158" s="26">
        <f>IF($F$140=0,0,$F$146/$F$140)</f>
        <v>0</v>
      </c>
      <c r="G158" s="26">
        <f>IF($G$140=0,0,$G$146/$G$140)</f>
        <v>0</v>
      </c>
      <c r="H158" s="26">
        <f>IF($H$140=0,0,$H$146/$H$140)</f>
        <v>0</v>
      </c>
    </row>
    <row r="159" ht="17" customHeight="1">
      <c r="B159" s="5" t="inlineStr">
        <is>
          <t>まだわからない</t>
        </is>
      </c>
      <c r="C159" s="26">
        <f>IF($C$140=0,0,$C$147/$C$140)</f>
        <v>0.192307692307692</v>
      </c>
      <c r="D159" s="26">
        <f>IF($D$140=0,0,$D$147/$D$140)</f>
        <v>0.166666666666667</v>
      </c>
      <c r="E159" s="26">
        <f>IF($E$140=0,0,$E$147/$E$140)</f>
        <v>0</v>
      </c>
      <c r="F159" s="26">
        <f>IF($F$140=0,0,$F$147/$F$140)</f>
        <v>0.5</v>
      </c>
      <c r="G159" s="26">
        <f>IF($G$140=0,0,$G$147/$G$140)</f>
        <v>0</v>
      </c>
      <c r="H159" s="26">
        <f>IF($H$140=0,0,$H$147/$H$140)</f>
        <v>0</v>
      </c>
    </row>
    <row r="160" ht="17" customHeight="1">
      <c r="B160" s="5" t="inlineStr">
        <is>
          <t>その他</t>
        </is>
      </c>
      <c r="C160" s="26">
        <f>IF($C$140=0,0,$C$148/$C$140)</f>
        <v>0.0384615384615385</v>
      </c>
      <c r="D160" s="26">
        <f>IF($D$140=0,0,$D$148/$D$140)</f>
        <v>0</v>
      </c>
      <c r="E160" s="26">
        <f>IF($E$140=0,0,$E$148/$E$140)</f>
        <v>0</v>
      </c>
      <c r="F160" s="26">
        <f>IF($F$140=0,0,$F$148/$F$140)</f>
        <v>0</v>
      </c>
      <c r="G160" s="26">
        <f>IF($G$140=0,0,$G$148/$G$140)</f>
        <v>0</v>
      </c>
      <c r="H160" s="26">
        <f>IF($H$140=0,0,$H$148/$H$140)</f>
        <v>0</v>
      </c>
    </row>
    <row r="161" ht="17" customHeight="1">
      <c r="B161" s="5" t="inlineStr">
        <is>
          <t>無回答</t>
        </is>
      </c>
      <c r="C161" s="27">
        <f>IF($C$140=0,0,$C$149/$C$140)</f>
        <v>0.0384615384615385</v>
      </c>
      <c r="D161" s="27">
        <f>IF($D$140=0,0,$D$149/$D$140)</f>
        <v>0.166666666666667</v>
      </c>
      <c r="E161" s="27">
        <f>IF($E$140=0,0,$E$149/$E$140)</f>
        <v>0</v>
      </c>
      <c r="F161" s="27">
        <f>IF($F$140=0,0,$F$149/$F$140)</f>
        <v>0</v>
      </c>
      <c r="G161" s="27">
        <f>IF($G$140=0,0,$G$149/$G$140)</f>
        <v>0</v>
      </c>
      <c r="H161" s="27">
        <f>IF($H$140=0,0,$H$149/$H$140)</f>
        <v>0</v>
      </c>
    </row>
    <row r="162" ht="15" customHeight="1">
      <c r="B162" s="17" t="inlineStr">
        <is>
          <t>※色が濃いほど割合が高く、太字は各区分で最も割合が高い項目です（条件付き書式）。</t>
        </is>
      </c>
    </row>
    <row r="164" ht="21" customHeight="1">
      <c r="B164" s="7" t="inlineStr">
        <is>
          <t>図4-2　現在の暮らしの場別にみた将来希望する暮らし方（問7×問11）</t>
        </is>
      </c>
    </row>
    <row r="165"/>
    <row r="166" ht="44" customHeight="1">
      <c r="B166" s="3" t="inlineStr">
        <is>
          <t>区分</t>
        </is>
      </c>
      <c r="C166" s="3" t="inlineStr">
        <is>
          <t>今の自宅で暮らしたい</t>
        </is>
      </c>
      <c r="D166" s="3" t="inlineStr">
        <is>
          <t>家族と一緒に暮らしたい</t>
        </is>
      </c>
      <c r="E166" s="3" t="inlineStr">
        <is>
          <t>一人暮らしをしたい</t>
        </is>
      </c>
      <c r="F166" s="3" t="inlineStr">
        <is>
          <t>グループホームで暮らしたい</t>
        </is>
      </c>
      <c r="G166" s="3" t="inlineStr">
        <is>
          <t>施設で暮らしたい</t>
        </is>
      </c>
      <c r="H166" s="3" t="inlineStr">
        <is>
          <t>病院・施設から地域で暮らしたい</t>
        </is>
      </c>
      <c r="I166" s="3" t="inlineStr">
        <is>
          <t>まだわからない</t>
        </is>
      </c>
      <c r="J166" s="3" t="inlineStr">
        <is>
          <t>その他</t>
        </is>
      </c>
      <c r="K166" s="3" t="inlineStr">
        <is>
          <t>無回答</t>
        </is>
      </c>
    </row>
    <row r="167" ht="17" customHeight="1">
      <c r="B167" s="5" t="inlineStr">
        <is>
          <t>自宅で家族と暮らしている</t>
        </is>
      </c>
      <c r="C167" s="20">
        <f>IF(($C$140)=0,0,($C$141)/($C$140))</f>
        <v>0.538461538461538</v>
      </c>
      <c r="D167" s="20">
        <f>IF(($C$140)=0,0,($C$142)/($C$140))</f>
        <v>0.153846153846154</v>
      </c>
      <c r="E167" s="20">
        <f>IF(($C$140)=0,0,($C$143)/($C$140))</f>
        <v>0.0384615384615385</v>
      </c>
      <c r="F167" s="20">
        <f>IF(($C$140)=0,0,($C$144)/($C$140))</f>
        <v>0</v>
      </c>
      <c r="G167" s="20">
        <f>IF(($C$140)=0,0,($C$145)/($C$140))</f>
        <v>0</v>
      </c>
      <c r="H167" s="20">
        <f>IF(($C$140)=0,0,($C$146)/($C$140))</f>
        <v>0</v>
      </c>
      <c r="I167" s="20">
        <f>IF(($C$140)=0,0,($C$147)/($C$140))</f>
        <v>0.192307692307692</v>
      </c>
      <c r="J167" s="20">
        <f>IF(($C$140)=0,0,($C$148)/($C$140))</f>
        <v>0.0384615384615385</v>
      </c>
      <c r="K167" s="20">
        <f>IF(($C$140)=0,0,($C$149)/($C$140))</f>
        <v>0.0384615384615385</v>
      </c>
    </row>
    <row r="168" ht="17" customHeight="1">
      <c r="B168" s="5" t="inlineStr">
        <is>
          <t>自宅で一人暮らし</t>
        </is>
      </c>
      <c r="C168" s="20">
        <f>IF(($D$140)=0,0,($D$141)/($D$140))</f>
        <v>0.333333333333333</v>
      </c>
      <c r="D168" s="20">
        <f>IF(($D$140)=0,0,($D$142)/($D$140))</f>
        <v>0</v>
      </c>
      <c r="E168" s="20">
        <f>IF(($D$140)=0,0,($D$143)/($D$140))</f>
        <v>0.166666666666667</v>
      </c>
      <c r="F168" s="20">
        <f>IF(($D$140)=0,0,($D$144)/($D$140))</f>
        <v>0</v>
      </c>
      <c r="G168" s="20">
        <f>IF(($D$140)=0,0,($D$145)/($D$140))</f>
        <v>0.166666666666667</v>
      </c>
      <c r="H168" s="20">
        <f>IF(($D$140)=0,0,($D$146)/($D$140))</f>
        <v>0</v>
      </c>
      <c r="I168" s="20">
        <f>IF(($D$140)=0,0,($D$147)/($D$140))</f>
        <v>0.166666666666667</v>
      </c>
      <c r="J168" s="20">
        <f>IF(($D$140)=0,0,($D$148)/($D$140))</f>
        <v>0</v>
      </c>
      <c r="K168" s="20">
        <f>IF(($D$140)=0,0,($D$149)/($D$140))</f>
        <v>0.166666666666667</v>
      </c>
    </row>
    <row r="169" ht="17" customHeight="1">
      <c r="B169" s="5" t="inlineStr">
        <is>
          <t>グループホーム</t>
        </is>
      </c>
      <c r="C169" s="20">
        <f>IF(($E$140)=0,0,($E$141)/($E$140))</f>
        <v>0</v>
      </c>
      <c r="D169" s="20">
        <f>IF(($E$140)=0,0,($E$142)/($E$140))</f>
        <v>0.333333333333333</v>
      </c>
      <c r="E169" s="20">
        <f>IF(($E$140)=0,0,($E$143)/($E$140))</f>
        <v>0</v>
      </c>
      <c r="F169" s="20">
        <f>IF(($E$140)=0,0,($E$144)/($E$140))</f>
        <v>0.666666666666667</v>
      </c>
      <c r="G169" s="20">
        <f>IF(($E$140)=0,0,($E$145)/($E$140))</f>
        <v>0</v>
      </c>
      <c r="H169" s="20">
        <f>IF(($E$140)=0,0,($E$146)/($E$140))</f>
        <v>0</v>
      </c>
      <c r="I169" s="20">
        <f>IF(($E$140)=0,0,($E$147)/($E$140))</f>
        <v>0</v>
      </c>
      <c r="J169" s="20">
        <f>IF(($E$140)=0,0,($E$148)/($E$140))</f>
        <v>0</v>
      </c>
      <c r="K169" s="20">
        <f>IF(($E$140)=0,0,($E$149)/($E$140))</f>
        <v>0</v>
      </c>
    </row>
    <row r="170" ht="17" customHeight="1">
      <c r="B170" s="5" t="inlineStr">
        <is>
          <t>施設・病院等</t>
        </is>
      </c>
      <c r="C170" s="20">
        <f>IF(($F$140+$G$140+$H$140)=0,0,($F$141+$G$141+$H$141)/($F$140+$G$140+$H$140))</f>
        <v>0</v>
      </c>
      <c r="D170" s="20">
        <f>IF(($F$140+$G$140+$H$140)=0,0,($F$142+$G$142+$H$142)/($F$140+$G$140+$H$140))</f>
        <v>0</v>
      </c>
      <c r="E170" s="20">
        <f>IF(($F$140+$G$140+$H$140)=0,0,($F$143+$G$143+$H$143)/($F$140+$G$140+$H$140))</f>
        <v>0</v>
      </c>
      <c r="F170" s="20">
        <f>IF(($F$140+$G$140+$H$140)=0,0,($F$144+$G$144+$H$144)/($F$140+$G$140+$H$140))</f>
        <v>0</v>
      </c>
      <c r="G170" s="20">
        <f>IF(($F$140+$G$140+$H$140)=0,0,($F$145+$G$145+$H$145)/($F$140+$G$140+$H$140))</f>
        <v>0.75</v>
      </c>
      <c r="H170" s="20">
        <f>IF(($F$140+$G$140+$H$140)=0,0,($F$146+$G$146+$H$146)/($F$140+$G$140+$H$140))</f>
        <v>0</v>
      </c>
      <c r="I170" s="20">
        <f>IF(($F$140+$G$140+$H$140)=0,0,($F$147+$G$147+$H$147)/($F$140+$G$140+$H$140))</f>
        <v>0.25</v>
      </c>
      <c r="J170" s="20">
        <f>IF(($F$140+$G$140+$H$140)=0,0,($F$148+$G$148+$H$148)/($F$140+$G$140+$H$140))</f>
        <v>0</v>
      </c>
      <c r="K170" s="20">
        <f>IF(($F$140+$G$140+$H$140)=0,0,($F$149+$G$149+$H$149)/($F$140+$G$140+$H$140))</f>
        <v>0</v>
      </c>
    </row>
    <row r="171" ht="15" customHeight="1">
      <c r="B171" s="17" t="inlineStr">
        <is>
          <t>※「施設・病院等」は、障がい者支援施設（2件）、病院に入院中（1件）、高齢者施設等（1件）を合算しています。</t>
        </is>
      </c>
    </row>
    <row r="172"/>
    <row r="173"/>
    <row r="174"/>
    <row r="177" ht="21" customHeight="1">
      <c r="B177" s="7" t="inlineStr">
        <is>
          <t>表4-6　年齢 × 日常生活で困っていること（問2×問10）</t>
        </is>
      </c>
    </row>
    <row r="178">
      <c r="B178" s="28" t="inlineStr">
        <is>
          <t>【件数】斜体のセルが入力値です</t>
        </is>
      </c>
    </row>
    <row r="179" ht="18" customHeight="1">
      <c r="B179" s="3" t="inlineStr">
        <is>
          <t>区分</t>
        </is>
      </c>
      <c r="C179" s="3" t="inlineStr">
        <is>
          <t>30～39歳</t>
        </is>
      </c>
      <c r="D179" s="3" t="inlineStr">
        <is>
          <t>40～49歳</t>
        </is>
      </c>
      <c r="E179" s="3" t="inlineStr">
        <is>
          <t>50～64歳</t>
        </is>
      </c>
      <c r="F179" s="3" t="inlineStr">
        <is>
          <t>65歳以上</t>
        </is>
      </c>
    </row>
    <row r="180">
      <c r="B180" s="22" t="inlineStr">
        <is>
          <t>回答者数（n）</t>
        </is>
      </c>
      <c r="C180" s="29" t="n">
        <v>3</v>
      </c>
      <c r="D180" s="29" t="n">
        <v>2</v>
      </c>
      <c r="E180" s="29" t="n">
        <v>8</v>
      </c>
      <c r="F180" s="29" t="n">
        <v>26</v>
      </c>
    </row>
    <row r="181" ht="17" customHeight="1">
      <c r="B181" s="5" t="inlineStr">
        <is>
          <t>家事</t>
        </is>
      </c>
      <c r="C181" s="30" t="n">
        <v>0</v>
      </c>
      <c r="D181" s="30" t="n">
        <v>0</v>
      </c>
      <c r="E181" s="30" t="n">
        <v>1</v>
      </c>
      <c r="F181" s="30" t="n">
        <v>1</v>
      </c>
    </row>
    <row r="182" ht="17" customHeight="1">
      <c r="B182" s="5" t="inlineStr">
        <is>
          <t>食事</t>
        </is>
      </c>
      <c r="C182" s="30" t="n">
        <v>0</v>
      </c>
      <c r="D182" s="30" t="n">
        <v>0</v>
      </c>
      <c r="E182" s="30" t="n">
        <v>1</v>
      </c>
      <c r="F182" s="30" t="n">
        <v>4</v>
      </c>
    </row>
    <row r="183" ht="17" customHeight="1">
      <c r="B183" s="5" t="inlineStr">
        <is>
          <t>入浴</t>
        </is>
      </c>
      <c r="C183" s="30" t="n">
        <v>0</v>
      </c>
      <c r="D183" s="30" t="n">
        <v>0</v>
      </c>
      <c r="E183" s="30" t="n">
        <v>0</v>
      </c>
      <c r="F183" s="30" t="n">
        <v>4</v>
      </c>
    </row>
    <row r="184" ht="17" customHeight="1">
      <c r="B184" s="5" t="inlineStr">
        <is>
          <t>排せつ</t>
        </is>
      </c>
      <c r="C184" s="30" t="n">
        <v>0</v>
      </c>
      <c r="D184" s="30" t="n">
        <v>0</v>
      </c>
      <c r="E184" s="30" t="n">
        <v>0</v>
      </c>
      <c r="F184" s="30" t="n">
        <v>2</v>
      </c>
    </row>
    <row r="185" ht="17" customHeight="1">
      <c r="B185" s="5" t="inlineStr">
        <is>
          <t>服薬管理</t>
        </is>
      </c>
      <c r="C185" s="30" t="n">
        <v>0</v>
      </c>
      <c r="D185" s="30" t="n">
        <v>0</v>
      </c>
      <c r="E185" s="30" t="n">
        <v>0</v>
      </c>
      <c r="F185" s="30" t="n">
        <v>5</v>
      </c>
    </row>
    <row r="186" ht="17" customHeight="1">
      <c r="B186" s="5" t="inlineStr">
        <is>
          <t>金銭管理</t>
        </is>
      </c>
      <c r="C186" s="30" t="n">
        <v>1</v>
      </c>
      <c r="D186" s="30" t="n">
        <v>1</v>
      </c>
      <c r="E186" s="30" t="n">
        <v>1</v>
      </c>
      <c r="F186" s="30" t="n">
        <v>1</v>
      </c>
    </row>
    <row r="187" ht="17" customHeight="1">
      <c r="B187" s="5" t="inlineStr">
        <is>
          <t>通院</t>
        </is>
      </c>
      <c r="C187" s="30" t="n">
        <v>0</v>
      </c>
      <c r="D187" s="30" t="n">
        <v>1</v>
      </c>
      <c r="E187" s="30" t="n">
        <v>1</v>
      </c>
      <c r="F187" s="30" t="n">
        <v>5</v>
      </c>
    </row>
    <row r="188" ht="17" customHeight="1">
      <c r="B188" s="5" t="inlineStr">
        <is>
          <t>外出・移動</t>
        </is>
      </c>
      <c r="C188" s="30" t="n">
        <v>0</v>
      </c>
      <c r="D188" s="30" t="n">
        <v>2</v>
      </c>
      <c r="E188" s="30" t="n">
        <v>1</v>
      </c>
      <c r="F188" s="30" t="n">
        <v>7</v>
      </c>
    </row>
    <row r="189" ht="17" customHeight="1">
      <c r="B189" s="5" t="inlineStr">
        <is>
          <t>買い物</t>
        </is>
      </c>
      <c r="C189" s="30" t="n">
        <v>0</v>
      </c>
      <c r="D189" s="30" t="n">
        <v>1</v>
      </c>
      <c r="E189" s="30" t="n">
        <v>0</v>
      </c>
      <c r="F189" s="30" t="n">
        <v>4</v>
      </c>
    </row>
    <row r="190" ht="17" customHeight="1">
      <c r="B190" s="5" t="inlineStr">
        <is>
          <t>災害時の避難</t>
        </is>
      </c>
      <c r="C190" s="30" t="n">
        <v>0</v>
      </c>
      <c r="D190" s="30" t="n">
        <v>1</v>
      </c>
      <c r="E190" s="30" t="n">
        <v>2</v>
      </c>
      <c r="F190" s="30" t="n">
        <v>6</v>
      </c>
    </row>
    <row r="191" ht="17" customHeight="1">
      <c r="B191" s="5" t="inlineStr">
        <is>
          <t>相談先がない</t>
        </is>
      </c>
      <c r="C191" s="30" t="n">
        <v>0</v>
      </c>
      <c r="D191" s="30" t="n">
        <v>1</v>
      </c>
      <c r="E191" s="30" t="n">
        <v>0</v>
      </c>
      <c r="F191" s="30" t="n">
        <v>0</v>
      </c>
    </row>
    <row r="192" ht="17" customHeight="1">
      <c r="B192" s="5" t="inlineStr">
        <is>
          <t>将来の生活</t>
        </is>
      </c>
      <c r="C192" s="30" t="n">
        <v>1</v>
      </c>
      <c r="D192" s="30" t="n">
        <v>2</v>
      </c>
      <c r="E192" s="30" t="n">
        <v>5</v>
      </c>
      <c r="F192" s="30" t="n">
        <v>4</v>
      </c>
    </row>
    <row r="193" ht="17" customHeight="1">
      <c r="B193" s="5" t="inlineStr">
        <is>
          <t>特にない</t>
        </is>
      </c>
      <c r="C193" s="30" t="n">
        <v>1</v>
      </c>
      <c r="D193" s="30" t="n">
        <v>0</v>
      </c>
      <c r="E193" s="30" t="n">
        <v>3</v>
      </c>
      <c r="F193" s="30" t="n">
        <v>10</v>
      </c>
    </row>
    <row r="194" ht="17" customHeight="1">
      <c r="B194" s="5" t="inlineStr">
        <is>
          <t>その他</t>
        </is>
      </c>
      <c r="C194" s="30" t="n">
        <v>1</v>
      </c>
      <c r="D194" s="30" t="n">
        <v>0</v>
      </c>
      <c r="E194" s="30" t="n">
        <v>0</v>
      </c>
      <c r="F194" s="30" t="n">
        <v>0</v>
      </c>
    </row>
    <row r="195" ht="17" customHeight="1">
      <c r="B195" s="5" t="inlineStr">
        <is>
          <t>無回答</t>
        </is>
      </c>
      <c r="C195" s="30" t="n">
        <v>0</v>
      </c>
      <c r="D195" s="30" t="n">
        <v>0</v>
      </c>
      <c r="E195" s="30" t="n">
        <v>0</v>
      </c>
      <c r="F195" s="30" t="n">
        <v>2</v>
      </c>
    </row>
    <row r="197">
      <c r="B197" s="28" t="inlineStr">
        <is>
          <t>【割合】各区分の回答者数（n）に占める割合（計算式）</t>
        </is>
      </c>
    </row>
    <row r="198" ht="18" customHeight="1">
      <c r="B198" s="3" t="inlineStr">
        <is>
          <t>区分</t>
        </is>
      </c>
      <c r="C198" s="3" t="inlineStr">
        <is>
          <t>30～39歳</t>
        </is>
      </c>
      <c r="D198" s="3" t="inlineStr">
        <is>
          <t>40～49歳</t>
        </is>
      </c>
      <c r="E198" s="3" t="inlineStr">
        <is>
          <t>50～64歳</t>
        </is>
      </c>
      <c r="F198" s="3" t="inlineStr">
        <is>
          <t>65歳以上</t>
        </is>
      </c>
    </row>
    <row r="199" ht="17" customHeight="1">
      <c r="B199" s="5" t="inlineStr">
        <is>
          <t>家事</t>
        </is>
      </c>
      <c r="C199" s="26">
        <f>IF($C$180=0,0,$C$181/$C$180)</f>
        <v>0</v>
      </c>
      <c r="D199" s="26">
        <f>IF($D$180=0,0,$D$181/$D$180)</f>
        <v>0</v>
      </c>
      <c r="E199" s="26">
        <f>IF($E$180=0,0,$E$181/$E$180)</f>
        <v>0.125</v>
      </c>
      <c r="F199" s="26">
        <f>IF($F$180=0,0,$F$181/$F$180)</f>
        <v>0.0384615384615385</v>
      </c>
    </row>
    <row r="200" ht="17" customHeight="1">
      <c r="B200" s="5" t="inlineStr">
        <is>
          <t>食事</t>
        </is>
      </c>
      <c r="C200" s="26">
        <f>IF($C$180=0,0,$C$182/$C$180)</f>
        <v>0</v>
      </c>
      <c r="D200" s="26">
        <f>IF($D$180=0,0,$D$182/$D$180)</f>
        <v>0</v>
      </c>
      <c r="E200" s="26">
        <f>IF($E$180=0,0,$E$182/$E$180)</f>
        <v>0.125</v>
      </c>
      <c r="F200" s="26">
        <f>IF($F$180=0,0,$F$182/$F$180)</f>
        <v>0.153846153846154</v>
      </c>
    </row>
    <row r="201" ht="17" customHeight="1">
      <c r="B201" s="5" t="inlineStr">
        <is>
          <t>入浴</t>
        </is>
      </c>
      <c r="C201" s="26">
        <f>IF($C$180=0,0,$C$183/$C$180)</f>
        <v>0</v>
      </c>
      <c r="D201" s="26">
        <f>IF($D$180=0,0,$D$183/$D$180)</f>
        <v>0</v>
      </c>
      <c r="E201" s="26">
        <f>IF($E$180=0,0,$E$183/$E$180)</f>
        <v>0</v>
      </c>
      <c r="F201" s="26">
        <f>IF($F$180=0,0,$F$183/$F$180)</f>
        <v>0.153846153846154</v>
      </c>
    </row>
    <row r="202" ht="17" customHeight="1">
      <c r="B202" s="5" t="inlineStr">
        <is>
          <t>排せつ</t>
        </is>
      </c>
      <c r="C202" s="26">
        <f>IF($C$180=0,0,$C$184/$C$180)</f>
        <v>0</v>
      </c>
      <c r="D202" s="26">
        <f>IF($D$180=0,0,$D$184/$D$180)</f>
        <v>0</v>
      </c>
      <c r="E202" s="26">
        <f>IF($E$180=0,0,$E$184/$E$180)</f>
        <v>0</v>
      </c>
      <c r="F202" s="26">
        <f>IF($F$180=0,0,$F$184/$F$180)</f>
        <v>0.0769230769230769</v>
      </c>
    </row>
    <row r="203" ht="17" customHeight="1">
      <c r="B203" s="5" t="inlineStr">
        <is>
          <t>服薬管理</t>
        </is>
      </c>
      <c r="C203" s="26">
        <f>IF($C$180=0,0,$C$185/$C$180)</f>
        <v>0</v>
      </c>
      <c r="D203" s="26">
        <f>IF($D$180=0,0,$D$185/$D$180)</f>
        <v>0</v>
      </c>
      <c r="E203" s="26">
        <f>IF($E$180=0,0,$E$185/$E$180)</f>
        <v>0</v>
      </c>
      <c r="F203" s="26">
        <f>IF($F$180=0,0,$F$185/$F$180)</f>
        <v>0.192307692307692</v>
      </c>
    </row>
    <row r="204" ht="17" customHeight="1">
      <c r="B204" s="5" t="inlineStr">
        <is>
          <t>金銭管理</t>
        </is>
      </c>
      <c r="C204" s="26">
        <f>IF($C$180=0,0,$C$186/$C$180)</f>
        <v>0.333333333333333</v>
      </c>
      <c r="D204" s="26">
        <f>IF($D$180=0,0,$D$186/$D$180)</f>
        <v>0.5</v>
      </c>
      <c r="E204" s="26">
        <f>IF($E$180=0,0,$E$186/$E$180)</f>
        <v>0.125</v>
      </c>
      <c r="F204" s="26">
        <f>IF($F$180=0,0,$F$186/$F$180)</f>
        <v>0.0384615384615385</v>
      </c>
    </row>
    <row r="205" ht="17" customHeight="1">
      <c r="B205" s="5" t="inlineStr">
        <is>
          <t>通院</t>
        </is>
      </c>
      <c r="C205" s="26">
        <f>IF($C$180=0,0,$C$187/$C$180)</f>
        <v>0</v>
      </c>
      <c r="D205" s="26">
        <f>IF($D$180=0,0,$D$187/$D$180)</f>
        <v>0.5</v>
      </c>
      <c r="E205" s="26">
        <f>IF($E$180=0,0,$E$187/$E$180)</f>
        <v>0.125</v>
      </c>
      <c r="F205" s="26">
        <f>IF($F$180=0,0,$F$187/$F$180)</f>
        <v>0.192307692307692</v>
      </c>
    </row>
    <row r="206" ht="17" customHeight="1">
      <c r="B206" s="5" t="inlineStr">
        <is>
          <t>外出・移動</t>
        </is>
      </c>
      <c r="C206" s="26">
        <f>IF($C$180=0,0,$C$188/$C$180)</f>
        <v>0</v>
      </c>
      <c r="D206" s="26">
        <f>IF($D$180=0,0,$D$188/$D$180)</f>
        <v>1</v>
      </c>
      <c r="E206" s="26">
        <f>IF($E$180=0,0,$E$188/$E$180)</f>
        <v>0.125</v>
      </c>
      <c r="F206" s="26">
        <f>IF($F$180=0,0,$F$188/$F$180)</f>
        <v>0.269230769230769</v>
      </c>
    </row>
    <row r="207" ht="17" customHeight="1">
      <c r="B207" s="5" t="inlineStr">
        <is>
          <t>買い物</t>
        </is>
      </c>
      <c r="C207" s="26">
        <f>IF($C$180=0,0,$C$189/$C$180)</f>
        <v>0</v>
      </c>
      <c r="D207" s="26">
        <f>IF($D$180=0,0,$D$189/$D$180)</f>
        <v>0.5</v>
      </c>
      <c r="E207" s="26">
        <f>IF($E$180=0,0,$E$189/$E$180)</f>
        <v>0</v>
      </c>
      <c r="F207" s="26">
        <f>IF($F$180=0,0,$F$189/$F$180)</f>
        <v>0.153846153846154</v>
      </c>
    </row>
    <row r="208" ht="17" customHeight="1">
      <c r="B208" s="5" t="inlineStr">
        <is>
          <t>災害時の避難</t>
        </is>
      </c>
      <c r="C208" s="26">
        <f>IF($C$180=0,0,$C$190/$C$180)</f>
        <v>0</v>
      </c>
      <c r="D208" s="26">
        <f>IF($D$180=0,0,$D$190/$D$180)</f>
        <v>0.5</v>
      </c>
      <c r="E208" s="26">
        <f>IF($E$180=0,0,$E$190/$E$180)</f>
        <v>0.25</v>
      </c>
      <c r="F208" s="26">
        <f>IF($F$180=0,0,$F$190/$F$180)</f>
        <v>0.230769230769231</v>
      </c>
    </row>
    <row r="209" ht="17" customHeight="1">
      <c r="B209" s="5" t="inlineStr">
        <is>
          <t>相談先がない</t>
        </is>
      </c>
      <c r="C209" s="26">
        <f>IF($C$180=0,0,$C$191/$C$180)</f>
        <v>0</v>
      </c>
      <c r="D209" s="26">
        <f>IF($D$180=0,0,$D$191/$D$180)</f>
        <v>0.5</v>
      </c>
      <c r="E209" s="26">
        <f>IF($E$180=0,0,$E$191/$E$180)</f>
        <v>0</v>
      </c>
      <c r="F209" s="26">
        <f>IF($F$180=0,0,$F$191/$F$180)</f>
        <v>0</v>
      </c>
    </row>
    <row r="210" ht="17" customHeight="1">
      <c r="B210" s="5" t="inlineStr">
        <is>
          <t>将来の生活</t>
        </is>
      </c>
      <c r="C210" s="26">
        <f>IF($C$180=0,0,$C$192/$C$180)</f>
        <v>0.333333333333333</v>
      </c>
      <c r="D210" s="26">
        <f>IF($D$180=0,0,$D$192/$D$180)</f>
        <v>1</v>
      </c>
      <c r="E210" s="26">
        <f>IF($E$180=0,0,$E$192/$E$180)</f>
        <v>0.625</v>
      </c>
      <c r="F210" s="26">
        <f>IF($F$180=0,0,$F$192/$F$180)</f>
        <v>0.153846153846154</v>
      </c>
    </row>
    <row r="211" ht="17" customHeight="1">
      <c r="B211" s="5" t="inlineStr">
        <is>
          <t>特にない</t>
        </is>
      </c>
      <c r="C211" s="26">
        <f>IF($C$180=0,0,$C$193/$C$180)</f>
        <v>0.333333333333333</v>
      </c>
      <c r="D211" s="26">
        <f>IF($D$180=0,0,$D$193/$D$180)</f>
        <v>0</v>
      </c>
      <c r="E211" s="26">
        <f>IF($E$180=0,0,$E$193/$E$180)</f>
        <v>0.375</v>
      </c>
      <c r="F211" s="26">
        <f>IF($F$180=0,0,$F$193/$F$180)</f>
        <v>0.384615384615385</v>
      </c>
    </row>
    <row r="212" ht="17" customHeight="1">
      <c r="B212" s="5" t="inlineStr">
        <is>
          <t>その他</t>
        </is>
      </c>
      <c r="C212" s="26">
        <f>IF($C$180=0,0,$C$194/$C$180)</f>
        <v>0.333333333333333</v>
      </c>
      <c r="D212" s="26">
        <f>IF($D$180=0,0,$D$194/$D$180)</f>
        <v>0</v>
      </c>
      <c r="E212" s="26">
        <f>IF($E$180=0,0,$E$194/$E$180)</f>
        <v>0</v>
      </c>
      <c r="F212" s="26">
        <f>IF($F$180=0,0,$F$194/$F$180)</f>
        <v>0</v>
      </c>
    </row>
    <row r="213" ht="17" customHeight="1">
      <c r="B213" s="5" t="inlineStr">
        <is>
          <t>無回答</t>
        </is>
      </c>
      <c r="C213" s="27">
        <f>IF($C$180=0,0,$C$195/$C$180)</f>
        <v>0</v>
      </c>
      <c r="D213" s="27">
        <f>IF($D$180=0,0,$D$195/$D$180)</f>
        <v>0</v>
      </c>
      <c r="E213" s="27">
        <f>IF($E$180=0,0,$E$195/$E$180)</f>
        <v>0</v>
      </c>
      <c r="F213" s="27">
        <f>IF($F$180=0,0,$F$195/$F$180)</f>
        <v>0.0769230769230769</v>
      </c>
    </row>
    <row r="214" ht="27" customHeight="1">
      <c r="B214" s="17" t="inlineStr">
        <is>
          <t>※色が濃いほど割合が高く、太字は各区分で最も割合が高い項目です（条件付き書式）。回答者のいない18～29歳は省略しています。</t>
        </is>
      </c>
    </row>
    <row r="216" ht="21" customHeight="1">
      <c r="B216" s="7" t="inlineStr">
        <is>
          <t>図4-3　65歳未満・65歳以上別にみた日常生活で困っていること（問2×問10）</t>
        </is>
      </c>
    </row>
    <row r="217"/>
    <row r="218" ht="18" customHeight="1">
      <c r="B218" s="3" t="inlineStr">
        <is>
          <t>区分</t>
        </is>
      </c>
      <c r="C218" s="3" t="str">
        <f>"65歳未満（n="&amp;($C$180+$D$180+$E$180)&amp;"）"</f>
        <v>65歳未満（n=13）</v>
      </c>
      <c r="D218" s="3" t="str">
        <f>"65歳以上（n="&amp;$F$180&amp;"）"</f>
        <v>65歳以上（n=26）</v>
      </c>
    </row>
    <row r="219" ht="17" customHeight="1">
      <c r="B219" s="5" t="inlineStr">
        <is>
          <t>将来の生活</t>
        </is>
      </c>
      <c r="C219" s="20">
        <f>IF(($C$180+$D$180+$E$180)=0,0,($C$192+$D$192+$E$192)/($C$180+$D$180+$E$180))</f>
        <v>0.615384615384615</v>
      </c>
      <c r="D219" s="20">
        <f>$F$210</f>
        <v>0.153846153846154</v>
      </c>
    </row>
    <row r="220" ht="17" customHeight="1">
      <c r="B220" s="5" t="inlineStr">
        <is>
          <t>外出・移動</t>
        </is>
      </c>
      <c r="C220" s="20">
        <f>IF(($C$180+$D$180+$E$180)=0,0,($C$188+$D$188+$E$188)/($C$180+$D$180+$E$180))</f>
        <v>0.230769230769231</v>
      </c>
      <c r="D220" s="20">
        <f>$F$206</f>
        <v>0.269230769230769</v>
      </c>
    </row>
    <row r="221" ht="17" customHeight="1">
      <c r="B221" s="5" t="inlineStr">
        <is>
          <t>災害時の避難</t>
        </is>
      </c>
      <c r="C221" s="20">
        <f>IF(($C$180+$D$180+$E$180)=0,0,($C$190+$D$190+$E$190)/($C$180+$D$180+$E$180))</f>
        <v>0.230769230769231</v>
      </c>
      <c r="D221" s="20">
        <f>$F$208</f>
        <v>0.230769230769231</v>
      </c>
    </row>
    <row r="222" ht="17" customHeight="1">
      <c r="B222" s="5" t="inlineStr">
        <is>
          <t>通院</t>
        </is>
      </c>
      <c r="C222" s="20">
        <f>IF(($C$180+$D$180+$E$180)=0,0,($C$187+$D$187+$E$187)/($C$180+$D$180+$E$180))</f>
        <v>0.153846153846154</v>
      </c>
      <c r="D222" s="20">
        <f>$F$205</f>
        <v>0.192307692307692</v>
      </c>
    </row>
    <row r="223" ht="17" customHeight="1">
      <c r="B223" s="5" t="inlineStr">
        <is>
          <t>服薬管理</t>
        </is>
      </c>
      <c r="C223" s="20">
        <f>IF(($C$180+$D$180+$E$180)=0,0,($C$185+$D$185+$E$185)/($C$180+$D$180+$E$180))</f>
        <v>0</v>
      </c>
      <c r="D223" s="20">
        <f>$F$203</f>
        <v>0.192307692307692</v>
      </c>
    </row>
    <row r="224" ht="17" customHeight="1">
      <c r="B224" s="5" t="inlineStr">
        <is>
          <t>金銭管理</t>
        </is>
      </c>
      <c r="C224" s="20">
        <f>IF(($C$180+$D$180+$E$180)=0,0,($C$186+$D$186+$E$186)/($C$180+$D$180+$E$180))</f>
        <v>0.230769230769231</v>
      </c>
      <c r="D224" s="20">
        <f>$F$204</f>
        <v>0.0384615384615385</v>
      </c>
    </row>
    <row r="225" ht="17" customHeight="1">
      <c r="B225" s="5" t="inlineStr">
        <is>
          <t>買い物</t>
        </is>
      </c>
      <c r="C225" s="20">
        <f>IF(($C$180+$D$180+$E$180)=0,0,($C$189+$D$189+$E$189)/($C$180+$D$180+$E$180))</f>
        <v>0.0769230769230769</v>
      </c>
      <c r="D225" s="20">
        <f>$F$207</f>
        <v>0.153846153846154</v>
      </c>
    </row>
    <row r="226" ht="17" customHeight="1">
      <c r="B226" s="5" t="inlineStr">
        <is>
          <t>食事</t>
        </is>
      </c>
      <c r="C226" s="20">
        <f>IF(($C$180+$D$180+$E$180)=0,0,($C$182+$D$182+$E$182)/($C$180+$D$180+$E$180))</f>
        <v>0.0769230769230769</v>
      </c>
      <c r="D226" s="20">
        <f>$F$200</f>
        <v>0.153846153846154</v>
      </c>
    </row>
    <row r="227" ht="17" customHeight="1">
      <c r="B227" s="5" t="inlineStr">
        <is>
          <t>入浴</t>
        </is>
      </c>
      <c r="C227" s="20">
        <f>IF(($C$180+$D$180+$E$180)=0,0,($C$183+$D$183+$E$183)/($C$180+$D$180+$E$180))</f>
        <v>0</v>
      </c>
      <c r="D227" s="20">
        <f>$F$201</f>
        <v>0.153846153846154</v>
      </c>
    </row>
    <row r="228" ht="17" customHeight="1">
      <c r="B228" s="5" t="inlineStr">
        <is>
          <t>特にない</t>
        </is>
      </c>
      <c r="C228" s="20">
        <f>IF(($C$180+$D$180+$E$180)=0,0,($C$193+$D$193+$E$193)/($C$180+$D$180+$E$180))</f>
        <v>0.307692307692308</v>
      </c>
      <c r="D228" s="20">
        <f>$F$211</f>
        <v>0.384615384615385</v>
      </c>
    </row>
    <row r="229" ht="27" customHeight="1">
      <c r="B229" s="17" t="inlineStr">
        <is>
          <t>※「65歳未満」は30～39歳、40～49歳、50～64歳の回答を合算しています。</t>
        </is>
      </c>
    </row>
    <row r="230"/>
    <row r="231"/>
    <row r="232"/>
    <row r="233"/>
    <row r="234"/>
    <row r="235"/>
    <row r="236"/>
    <row r="237"/>
    <row r="238"/>
    <row r="239"/>
    <row r="242" ht="21" customHeight="1">
      <c r="B242" s="7" t="inlineStr">
        <is>
          <t>表4-7　現在の日中の過ごし方 × 今後希望する日中活動・働き方（問31×問32）</t>
        </is>
      </c>
    </row>
    <row r="243">
      <c r="B243" s="28" t="inlineStr">
        <is>
          <t>【件数】斜体のセルが入力値です</t>
        </is>
      </c>
    </row>
    <row r="244" ht="31" customHeight="1">
      <c r="B244" s="3" t="inlineStr">
        <is>
          <t>区分</t>
        </is>
      </c>
      <c r="C244" s="3" t="inlineStr">
        <is>
          <t>一般企業等</t>
        </is>
      </c>
      <c r="D244" s="3" t="inlineStr">
        <is>
          <t>自営業・
農業等</t>
        </is>
      </c>
      <c r="E244" s="3" t="inlineStr">
        <is>
          <t>就労継続
B型</t>
        </is>
      </c>
      <c r="F244" s="3" t="inlineStr">
        <is>
          <t>生活介護</t>
        </is>
      </c>
      <c r="G244" s="3" t="inlineStr">
        <is>
          <t>自宅で
過ごす</t>
        </is>
      </c>
      <c r="H244" s="3" t="inlineStr">
        <is>
          <t>入院・
入所中</t>
        </is>
      </c>
      <c r="I244" s="3" t="inlineStr">
        <is>
          <t>その他</t>
        </is>
      </c>
    </row>
    <row r="245">
      <c r="B245" s="22" t="inlineStr">
        <is>
          <t>回答者数（n）</t>
        </is>
      </c>
      <c r="C245" s="29" t="n">
        <v>3</v>
      </c>
      <c r="D245" s="29" t="n">
        <v>4</v>
      </c>
      <c r="E245" s="29" t="n">
        <v>2</v>
      </c>
      <c r="F245" s="29" t="n">
        <v>2</v>
      </c>
      <c r="G245" s="29" t="n">
        <v>15</v>
      </c>
      <c r="H245" s="29" t="n">
        <v>5</v>
      </c>
      <c r="I245" s="29" t="n">
        <v>5</v>
      </c>
    </row>
    <row r="246" ht="17" customHeight="1">
      <c r="B246" s="5" t="inlineStr">
        <is>
          <t>一般企業等で働きたい</t>
        </is>
      </c>
      <c r="C246" s="30" t="n">
        <v>0</v>
      </c>
      <c r="D246" s="30" t="n">
        <v>0</v>
      </c>
      <c r="E246" s="30" t="n">
        <v>0</v>
      </c>
      <c r="F246" s="30" t="n">
        <v>0</v>
      </c>
      <c r="G246" s="30" t="n">
        <v>1</v>
      </c>
      <c r="H246" s="30" t="n">
        <v>0</v>
      </c>
      <c r="I246" s="30" t="n">
        <v>0</v>
      </c>
    </row>
    <row r="247" ht="17" customHeight="1">
      <c r="B247" s="5" t="inlineStr">
        <is>
          <t>短時間・体調に合わせて働きたい</t>
        </is>
      </c>
      <c r="C247" s="30" t="n">
        <v>0</v>
      </c>
      <c r="D247" s="30" t="n">
        <v>0</v>
      </c>
      <c r="E247" s="30" t="n">
        <v>1</v>
      </c>
      <c r="F247" s="30" t="n">
        <v>0</v>
      </c>
      <c r="G247" s="30" t="n">
        <v>1</v>
      </c>
      <c r="H247" s="30" t="n">
        <v>0</v>
      </c>
      <c r="I247" s="30" t="n">
        <v>1</v>
      </c>
    </row>
    <row r="248" ht="17" customHeight="1">
      <c r="B248" s="5" t="inlineStr">
        <is>
          <t>就労継続支援B型を利用したい</t>
        </is>
      </c>
      <c r="C248" s="30" t="n">
        <v>0</v>
      </c>
      <c r="D248" s="30" t="n">
        <v>0</v>
      </c>
      <c r="E248" s="30" t="n">
        <v>0</v>
      </c>
      <c r="F248" s="30" t="n">
        <v>1</v>
      </c>
      <c r="G248" s="30" t="n">
        <v>0</v>
      </c>
      <c r="H248" s="30" t="n">
        <v>0</v>
      </c>
      <c r="I248" s="30" t="n">
        <v>0</v>
      </c>
    </row>
    <row r="249" ht="17" customHeight="1">
      <c r="B249" s="5" t="inlineStr">
        <is>
          <t>生活介護を利用したい</t>
        </is>
      </c>
      <c r="C249" s="30" t="n">
        <v>0</v>
      </c>
      <c r="D249" s="30" t="n">
        <v>0</v>
      </c>
      <c r="E249" s="30" t="n">
        <v>0</v>
      </c>
      <c r="F249" s="30" t="n">
        <v>0</v>
      </c>
      <c r="G249" s="30" t="n">
        <v>2</v>
      </c>
      <c r="H249" s="30" t="n">
        <v>0</v>
      </c>
      <c r="I249" s="30" t="n">
        <v>0</v>
      </c>
    </row>
    <row r="250" ht="17" customHeight="1">
      <c r="B250" s="5" t="inlineStr">
        <is>
          <t>今のままでよい</t>
        </is>
      </c>
      <c r="C250" s="30" t="n">
        <v>3</v>
      </c>
      <c r="D250" s="30" t="n">
        <v>2</v>
      </c>
      <c r="E250" s="30" t="n">
        <v>1</v>
      </c>
      <c r="F250" s="30" t="n">
        <v>1</v>
      </c>
      <c r="G250" s="30" t="n">
        <v>8</v>
      </c>
      <c r="H250" s="30" t="n">
        <v>4</v>
      </c>
      <c r="I250" s="30" t="n">
        <v>3</v>
      </c>
    </row>
    <row r="251" ht="17" customHeight="1">
      <c r="B251" s="5" t="inlineStr">
        <is>
          <t>まだわからない</t>
        </is>
      </c>
      <c r="C251" s="30" t="n">
        <v>0</v>
      </c>
      <c r="D251" s="30" t="n">
        <v>1</v>
      </c>
      <c r="E251" s="30" t="n">
        <v>0</v>
      </c>
      <c r="F251" s="30" t="n">
        <v>0</v>
      </c>
      <c r="G251" s="30" t="n">
        <v>2</v>
      </c>
      <c r="H251" s="30" t="n">
        <v>0</v>
      </c>
      <c r="I251" s="30" t="n">
        <v>0</v>
      </c>
    </row>
    <row r="252" ht="17" customHeight="1">
      <c r="B252" s="5" t="inlineStr">
        <is>
          <t>その他</t>
        </is>
      </c>
      <c r="C252" s="30" t="n">
        <v>0</v>
      </c>
      <c r="D252" s="30" t="n">
        <v>0</v>
      </c>
      <c r="E252" s="30" t="n">
        <v>0</v>
      </c>
      <c r="F252" s="30" t="n">
        <v>0</v>
      </c>
      <c r="G252" s="30" t="n">
        <v>1</v>
      </c>
      <c r="H252" s="30" t="n">
        <v>0</v>
      </c>
      <c r="I252" s="30" t="n">
        <v>1</v>
      </c>
    </row>
    <row r="253" ht="17" customHeight="1">
      <c r="B253" s="5" t="inlineStr">
        <is>
          <t>無回答</t>
        </is>
      </c>
      <c r="C253" s="30" t="n">
        <v>0</v>
      </c>
      <c r="D253" s="30" t="n">
        <v>1</v>
      </c>
      <c r="E253" s="30" t="n">
        <v>0</v>
      </c>
      <c r="F253" s="30" t="n">
        <v>0</v>
      </c>
      <c r="G253" s="30" t="n">
        <v>0</v>
      </c>
      <c r="H253" s="30" t="n">
        <v>1</v>
      </c>
      <c r="I253" s="30" t="n">
        <v>0</v>
      </c>
    </row>
    <row r="255">
      <c r="B255" s="28" t="inlineStr">
        <is>
          <t>【割合】各区分の回答者数（n）に占める割合（計算式）</t>
        </is>
      </c>
    </row>
    <row r="256" ht="31" customHeight="1">
      <c r="B256" s="3" t="inlineStr">
        <is>
          <t>区分</t>
        </is>
      </c>
      <c r="C256" s="3" t="inlineStr">
        <is>
          <t>一般企業等</t>
        </is>
      </c>
      <c r="D256" s="3" t="inlineStr">
        <is>
          <t>自営業・
農業等</t>
        </is>
      </c>
      <c r="E256" s="3" t="inlineStr">
        <is>
          <t>就労継続
B型</t>
        </is>
      </c>
      <c r="F256" s="3" t="inlineStr">
        <is>
          <t>生活介護</t>
        </is>
      </c>
      <c r="G256" s="3" t="inlineStr">
        <is>
          <t>自宅で
過ごす</t>
        </is>
      </c>
      <c r="H256" s="3" t="inlineStr">
        <is>
          <t>入院・
入所中</t>
        </is>
      </c>
      <c r="I256" s="3" t="inlineStr">
        <is>
          <t>その他</t>
        </is>
      </c>
    </row>
    <row r="257" ht="17" customHeight="1">
      <c r="B257" s="5" t="inlineStr">
        <is>
          <t>一般企業等で働きたい</t>
        </is>
      </c>
      <c r="C257" s="26">
        <f>IF($C$245=0,0,$C$246/$C$245)</f>
        <v>0</v>
      </c>
      <c r="D257" s="26">
        <f>IF($D$245=0,0,$D$246/$D$245)</f>
        <v>0</v>
      </c>
      <c r="E257" s="26">
        <f>IF($E$245=0,0,$E$246/$E$245)</f>
        <v>0</v>
      </c>
      <c r="F257" s="26">
        <f>IF($F$245=0,0,$F$246/$F$245)</f>
        <v>0</v>
      </c>
      <c r="G257" s="26">
        <f>IF($G$245=0,0,$G$246/$G$245)</f>
        <v>0.0666666666666667</v>
      </c>
      <c r="H257" s="26">
        <f>IF($H$245=0,0,$H$246/$H$245)</f>
        <v>0</v>
      </c>
      <c r="I257" s="26">
        <f>IF($I$245=0,0,$I$246/$I$245)</f>
        <v>0</v>
      </c>
    </row>
    <row r="258" ht="17" customHeight="1">
      <c r="B258" s="5" t="inlineStr">
        <is>
          <t>短時間・体調に合わせて働きたい</t>
        </is>
      </c>
      <c r="C258" s="26">
        <f>IF($C$245=0,0,$C$247/$C$245)</f>
        <v>0</v>
      </c>
      <c r="D258" s="26">
        <f>IF($D$245=0,0,$D$247/$D$245)</f>
        <v>0</v>
      </c>
      <c r="E258" s="26">
        <f>IF($E$245=0,0,$E$247/$E$245)</f>
        <v>0.5</v>
      </c>
      <c r="F258" s="26">
        <f>IF($F$245=0,0,$F$247/$F$245)</f>
        <v>0</v>
      </c>
      <c r="G258" s="26">
        <f>IF($G$245=0,0,$G$247/$G$245)</f>
        <v>0.0666666666666667</v>
      </c>
      <c r="H258" s="26">
        <f>IF($H$245=0,0,$H$247/$H$245)</f>
        <v>0</v>
      </c>
      <c r="I258" s="26">
        <f>IF($I$245=0,0,$I$247/$I$245)</f>
        <v>0.2</v>
      </c>
    </row>
    <row r="259" ht="17" customHeight="1">
      <c r="B259" s="5" t="inlineStr">
        <is>
          <t>就労継続支援B型を利用したい</t>
        </is>
      </c>
      <c r="C259" s="26">
        <f>IF($C$245=0,0,$C$248/$C$245)</f>
        <v>0</v>
      </c>
      <c r="D259" s="26">
        <f>IF($D$245=0,0,$D$248/$D$245)</f>
        <v>0</v>
      </c>
      <c r="E259" s="26">
        <f>IF($E$245=0,0,$E$248/$E$245)</f>
        <v>0</v>
      </c>
      <c r="F259" s="26">
        <f>IF($F$245=0,0,$F$248/$F$245)</f>
        <v>0.5</v>
      </c>
      <c r="G259" s="26">
        <f>IF($G$245=0,0,$G$248/$G$245)</f>
        <v>0</v>
      </c>
      <c r="H259" s="26">
        <f>IF($H$245=0,0,$H$248/$H$245)</f>
        <v>0</v>
      </c>
      <c r="I259" s="26">
        <f>IF($I$245=0,0,$I$248/$I$245)</f>
        <v>0</v>
      </c>
    </row>
    <row r="260" ht="17" customHeight="1">
      <c r="B260" s="5" t="inlineStr">
        <is>
          <t>生活介護を利用したい</t>
        </is>
      </c>
      <c r="C260" s="26">
        <f>IF($C$245=0,0,$C$249/$C$245)</f>
        <v>0</v>
      </c>
      <c r="D260" s="26">
        <f>IF($D$245=0,0,$D$249/$D$245)</f>
        <v>0</v>
      </c>
      <c r="E260" s="26">
        <f>IF($E$245=0,0,$E$249/$E$245)</f>
        <v>0</v>
      </c>
      <c r="F260" s="26">
        <f>IF($F$245=0,0,$F$249/$F$245)</f>
        <v>0</v>
      </c>
      <c r="G260" s="26">
        <f>IF($G$245=0,0,$G$249/$G$245)</f>
        <v>0.133333333333333</v>
      </c>
      <c r="H260" s="26">
        <f>IF($H$245=0,0,$H$249/$H$245)</f>
        <v>0</v>
      </c>
      <c r="I260" s="26">
        <f>IF($I$245=0,0,$I$249/$I$245)</f>
        <v>0</v>
      </c>
    </row>
    <row r="261" ht="17" customHeight="1">
      <c r="B261" s="5" t="inlineStr">
        <is>
          <t>今のままでよい</t>
        </is>
      </c>
      <c r="C261" s="26">
        <f>IF($C$245=0,0,$C$250/$C$245)</f>
        <v>1</v>
      </c>
      <c r="D261" s="26">
        <f>IF($D$245=0,0,$D$250/$D$245)</f>
        <v>0.5</v>
      </c>
      <c r="E261" s="26">
        <f>IF($E$245=0,0,$E$250/$E$245)</f>
        <v>0.5</v>
      </c>
      <c r="F261" s="26">
        <f>IF($F$245=0,0,$F$250/$F$245)</f>
        <v>0.5</v>
      </c>
      <c r="G261" s="26">
        <f>IF($G$245=0,0,$G$250/$G$245)</f>
        <v>0.533333333333333</v>
      </c>
      <c r="H261" s="26">
        <f>IF($H$245=0,0,$H$250/$H$245)</f>
        <v>0.8</v>
      </c>
      <c r="I261" s="26">
        <f>IF($I$245=0,0,$I$250/$I$245)</f>
        <v>0.6</v>
      </c>
    </row>
    <row r="262" ht="17" customHeight="1">
      <c r="B262" s="5" t="inlineStr">
        <is>
          <t>まだわからない</t>
        </is>
      </c>
      <c r="C262" s="26">
        <f>IF($C$245=0,0,$C$251/$C$245)</f>
        <v>0</v>
      </c>
      <c r="D262" s="26">
        <f>IF($D$245=0,0,$D$251/$D$245)</f>
        <v>0.25</v>
      </c>
      <c r="E262" s="26">
        <f>IF($E$245=0,0,$E$251/$E$245)</f>
        <v>0</v>
      </c>
      <c r="F262" s="26">
        <f>IF($F$245=0,0,$F$251/$F$245)</f>
        <v>0</v>
      </c>
      <c r="G262" s="26">
        <f>IF($G$245=0,0,$G$251/$G$245)</f>
        <v>0.133333333333333</v>
      </c>
      <c r="H262" s="26">
        <f>IF($H$245=0,0,$H$251/$H$245)</f>
        <v>0</v>
      </c>
      <c r="I262" s="26">
        <f>IF($I$245=0,0,$I$251/$I$245)</f>
        <v>0</v>
      </c>
    </row>
    <row r="263" ht="17" customHeight="1">
      <c r="B263" s="5" t="inlineStr">
        <is>
          <t>その他</t>
        </is>
      </c>
      <c r="C263" s="26">
        <f>IF($C$245=0,0,$C$252/$C$245)</f>
        <v>0</v>
      </c>
      <c r="D263" s="26">
        <f>IF($D$245=0,0,$D$252/$D$245)</f>
        <v>0</v>
      </c>
      <c r="E263" s="26">
        <f>IF($E$245=0,0,$E$252/$E$245)</f>
        <v>0</v>
      </c>
      <c r="F263" s="26">
        <f>IF($F$245=0,0,$F$252/$F$245)</f>
        <v>0</v>
      </c>
      <c r="G263" s="26">
        <f>IF($G$245=0,0,$G$252/$G$245)</f>
        <v>0.0666666666666667</v>
      </c>
      <c r="H263" s="26">
        <f>IF($H$245=0,0,$H$252/$H$245)</f>
        <v>0</v>
      </c>
      <c r="I263" s="26">
        <f>IF($I$245=0,0,$I$252/$I$245)</f>
        <v>0.2</v>
      </c>
    </row>
    <row r="264" ht="17" customHeight="1">
      <c r="B264" s="5" t="inlineStr">
        <is>
          <t>無回答</t>
        </is>
      </c>
      <c r="C264" s="27">
        <f>IF($C$245=0,0,$C$253/$C$245)</f>
        <v>0</v>
      </c>
      <c r="D264" s="27">
        <f>IF($D$245=0,0,$D$253/$D$245)</f>
        <v>0.25</v>
      </c>
      <c r="E264" s="27">
        <f>IF($E$245=0,0,$E$253/$E$245)</f>
        <v>0</v>
      </c>
      <c r="F264" s="27">
        <f>IF($F$245=0,0,$F$253/$F$245)</f>
        <v>0</v>
      </c>
      <c r="G264" s="27">
        <f>IF($G$245=0,0,$G$253/$G$245)</f>
        <v>0</v>
      </c>
      <c r="H264" s="27">
        <f>IF($H$245=0,0,$H$253/$H$245)</f>
        <v>0.2</v>
      </c>
      <c r="I264" s="27">
        <f>IF($I$245=0,0,$I$253/$I$245)</f>
        <v>0</v>
      </c>
    </row>
    <row r="265" ht="27" customHeight="1">
      <c r="B265" s="17" t="inlineStr">
        <is>
          <t>※色が濃いほど割合が高く、太字は各区分で最も割合が高い項目です（条件付き書式）。回答者のいない区分及び回答のなかった項目は省略しています。</t>
        </is>
      </c>
    </row>
    <row r="267" ht="21" customHeight="1">
      <c r="B267" s="7" t="inlineStr">
        <is>
          <t>表4-8　避難行動要支援者名簿・個別避難計画の認知 × 災害時に不安なこと（問39×問38）</t>
        </is>
      </c>
    </row>
    <row r="268">
      <c r="B268" s="28" t="inlineStr">
        <is>
          <t>【件数】斜体のセルが入力値です</t>
        </is>
      </c>
    </row>
    <row r="269" ht="44" customHeight="1">
      <c r="B269" s="3" t="inlineStr">
        <is>
          <t>区分</t>
        </is>
      </c>
      <c r="C269" s="3" t="inlineStr">
        <is>
          <t>知っており作成したい</t>
        </is>
      </c>
      <c r="D269" s="3" t="inlineStr">
        <is>
          <t>名前だけ聞いたことがある</t>
        </is>
      </c>
      <c r="E269" s="3" t="inlineStr">
        <is>
          <t>知らない</t>
        </is>
      </c>
      <c r="F269" s="3" t="inlineStr">
        <is>
          <t>必要ない</t>
        </is>
      </c>
    </row>
    <row r="270">
      <c r="B270" s="22" t="inlineStr">
        <is>
          <t>回答者数（n）</t>
        </is>
      </c>
      <c r="C270" s="29" t="n">
        <v>2</v>
      </c>
      <c r="D270" s="29" t="n">
        <v>5</v>
      </c>
      <c r="E270" s="29" t="n">
        <v>28</v>
      </c>
      <c r="F270" s="29" t="n">
        <v>1</v>
      </c>
    </row>
    <row r="271" ht="17" customHeight="1">
      <c r="B271" s="5" t="inlineStr">
        <is>
          <t>避難する方法</t>
        </is>
      </c>
      <c r="C271" s="30" t="n">
        <v>1</v>
      </c>
      <c r="D271" s="30" t="n">
        <v>3</v>
      </c>
      <c r="E271" s="30" t="n">
        <v>11</v>
      </c>
      <c r="F271" s="30" t="n">
        <v>0</v>
      </c>
    </row>
    <row r="272" ht="17" customHeight="1">
      <c r="B272" s="5" t="inlineStr">
        <is>
          <t>避難先での生活</t>
        </is>
      </c>
      <c r="C272" s="30" t="n">
        <v>1</v>
      </c>
      <c r="D272" s="30" t="n">
        <v>4</v>
      </c>
      <c r="E272" s="30" t="n">
        <v>19</v>
      </c>
      <c r="F272" s="30" t="n">
        <v>0</v>
      </c>
    </row>
    <row r="273" ht="17" customHeight="1">
      <c r="B273" s="5" t="inlineStr">
        <is>
          <t>薬・医療機器</t>
        </is>
      </c>
      <c r="C273" s="30" t="n">
        <v>1</v>
      </c>
      <c r="D273" s="30" t="n">
        <v>3</v>
      </c>
      <c r="E273" s="30" t="n">
        <v>13</v>
      </c>
      <c r="F273" s="30" t="n">
        <v>0</v>
      </c>
    </row>
    <row r="274" ht="17" customHeight="1">
      <c r="B274" s="5" t="inlineStr">
        <is>
          <t>電源の確保</t>
        </is>
      </c>
      <c r="C274" s="30" t="n">
        <v>1</v>
      </c>
      <c r="D274" s="30" t="n">
        <v>1</v>
      </c>
      <c r="E274" s="30" t="n">
        <v>4</v>
      </c>
      <c r="F274" s="30" t="n">
        <v>0</v>
      </c>
    </row>
    <row r="275" ht="17" customHeight="1">
      <c r="B275" s="5" t="inlineStr">
        <is>
          <t>介助者がいないこと</t>
        </is>
      </c>
      <c r="C275" s="30" t="n">
        <v>0</v>
      </c>
      <c r="D275" s="30" t="n">
        <v>1</v>
      </c>
      <c r="E275" s="30" t="n">
        <v>2</v>
      </c>
      <c r="F275" s="30" t="n">
        <v>0</v>
      </c>
    </row>
    <row r="276" ht="17" customHeight="1">
      <c r="B276" s="5" t="inlineStr">
        <is>
          <t>情報が届かないこと</t>
        </is>
      </c>
      <c r="C276" s="30" t="n">
        <v>2</v>
      </c>
      <c r="D276" s="30" t="n">
        <v>1</v>
      </c>
      <c r="E276" s="30" t="n">
        <v>2</v>
      </c>
      <c r="F276" s="30" t="n">
        <v>0</v>
      </c>
    </row>
    <row r="277" ht="17" customHeight="1">
      <c r="B277" s="5" t="inlineStr">
        <is>
          <t>冬季・積雪時の避難</t>
        </is>
      </c>
      <c r="C277" s="30" t="n">
        <v>0</v>
      </c>
      <c r="D277" s="30" t="n">
        <v>3</v>
      </c>
      <c r="E277" s="30" t="n">
        <v>13</v>
      </c>
      <c r="F277" s="30" t="n">
        <v>0</v>
      </c>
    </row>
    <row r="278" ht="17" customHeight="1">
      <c r="B278" s="5" t="inlineStr">
        <is>
          <t>特に不安はない</t>
        </is>
      </c>
      <c r="C278" s="30" t="n">
        <v>0</v>
      </c>
      <c r="D278" s="30" t="n">
        <v>0</v>
      </c>
      <c r="E278" s="30" t="n">
        <v>2</v>
      </c>
      <c r="F278" s="30" t="n">
        <v>1</v>
      </c>
    </row>
    <row r="279" ht="17" customHeight="1">
      <c r="B279" s="5" t="inlineStr">
        <is>
          <t>無回答</t>
        </is>
      </c>
      <c r="C279" s="30" t="n">
        <v>0</v>
      </c>
      <c r="D279" s="30" t="n">
        <v>0</v>
      </c>
      <c r="E279" s="30" t="n">
        <v>1</v>
      </c>
      <c r="F279" s="30" t="n">
        <v>0</v>
      </c>
    </row>
    <row r="281">
      <c r="B281" s="28" t="inlineStr">
        <is>
          <t>【割合】各区分の回答者数（n）に占める割合（計算式）</t>
        </is>
      </c>
    </row>
    <row r="282" ht="44" customHeight="1">
      <c r="B282" s="3" t="inlineStr">
        <is>
          <t>区分</t>
        </is>
      </c>
      <c r="C282" s="3" t="inlineStr">
        <is>
          <t>知っており作成したい</t>
        </is>
      </c>
      <c r="D282" s="3" t="inlineStr">
        <is>
          <t>名前だけ聞いたことがある</t>
        </is>
      </c>
      <c r="E282" s="3" t="inlineStr">
        <is>
          <t>知らない</t>
        </is>
      </c>
      <c r="F282" s="3" t="inlineStr">
        <is>
          <t>必要ない</t>
        </is>
      </c>
    </row>
    <row r="283" ht="17" customHeight="1">
      <c r="B283" s="5" t="inlineStr">
        <is>
          <t>避難する方法</t>
        </is>
      </c>
      <c r="C283" s="26">
        <f>IF($C$270=0,0,$C$271/$C$270)</f>
        <v>0.5</v>
      </c>
      <c r="D283" s="26">
        <f>IF($D$270=0,0,$D$271/$D$270)</f>
        <v>0.6</v>
      </c>
      <c r="E283" s="26">
        <f>IF($E$270=0,0,$E$271/$E$270)</f>
        <v>0.392857142857143</v>
      </c>
      <c r="F283" s="26">
        <f>IF($F$270=0,0,$F$271/$F$270)</f>
        <v>0</v>
      </c>
    </row>
    <row r="284" ht="17" customHeight="1">
      <c r="B284" s="5" t="inlineStr">
        <is>
          <t>避難先での生活</t>
        </is>
      </c>
      <c r="C284" s="26">
        <f>IF($C$270=0,0,$C$272/$C$270)</f>
        <v>0.5</v>
      </c>
      <c r="D284" s="26">
        <f>IF($D$270=0,0,$D$272/$D$270)</f>
        <v>0.8</v>
      </c>
      <c r="E284" s="26">
        <f>IF($E$270=0,0,$E$272/$E$270)</f>
        <v>0.678571428571429</v>
      </c>
      <c r="F284" s="26">
        <f>IF($F$270=0,0,$F$272/$F$270)</f>
        <v>0</v>
      </c>
    </row>
    <row r="285" ht="17" customHeight="1">
      <c r="B285" s="5" t="inlineStr">
        <is>
          <t>薬・医療機器</t>
        </is>
      </c>
      <c r="C285" s="26">
        <f>IF($C$270=0,0,$C$273/$C$270)</f>
        <v>0.5</v>
      </c>
      <c r="D285" s="26">
        <f>IF($D$270=0,0,$D$273/$D$270)</f>
        <v>0.6</v>
      </c>
      <c r="E285" s="26">
        <f>IF($E$270=0,0,$E$273/$E$270)</f>
        <v>0.464285714285714</v>
      </c>
      <c r="F285" s="26">
        <f>IF($F$270=0,0,$F$273/$F$270)</f>
        <v>0</v>
      </c>
    </row>
    <row r="286" ht="17" customHeight="1">
      <c r="B286" s="5" t="inlineStr">
        <is>
          <t>電源の確保</t>
        </is>
      </c>
      <c r="C286" s="26">
        <f>IF($C$270=0,0,$C$274/$C$270)</f>
        <v>0.5</v>
      </c>
      <c r="D286" s="26">
        <f>IF($D$270=0,0,$D$274/$D$270)</f>
        <v>0.2</v>
      </c>
      <c r="E286" s="26">
        <f>IF($E$270=0,0,$E$274/$E$270)</f>
        <v>0.142857142857143</v>
      </c>
      <c r="F286" s="26">
        <f>IF($F$270=0,0,$F$274/$F$270)</f>
        <v>0</v>
      </c>
    </row>
    <row r="287" ht="17" customHeight="1">
      <c r="B287" s="5" t="inlineStr">
        <is>
          <t>介助者がいないこと</t>
        </is>
      </c>
      <c r="C287" s="26">
        <f>IF($C$270=0,0,$C$275/$C$270)</f>
        <v>0</v>
      </c>
      <c r="D287" s="26">
        <f>IF($D$270=0,0,$D$275/$D$270)</f>
        <v>0.2</v>
      </c>
      <c r="E287" s="26">
        <f>IF($E$270=0,0,$E$275/$E$270)</f>
        <v>0.0714285714285714</v>
      </c>
      <c r="F287" s="26">
        <f>IF($F$270=0,0,$F$275/$F$270)</f>
        <v>0</v>
      </c>
    </row>
    <row r="288" ht="17" customHeight="1">
      <c r="B288" s="5" t="inlineStr">
        <is>
          <t>情報が届かないこと</t>
        </is>
      </c>
      <c r="C288" s="26">
        <f>IF($C$270=0,0,$C$276/$C$270)</f>
        <v>1</v>
      </c>
      <c r="D288" s="26">
        <f>IF($D$270=0,0,$D$276/$D$270)</f>
        <v>0.2</v>
      </c>
      <c r="E288" s="26">
        <f>IF($E$270=0,0,$E$276/$E$270)</f>
        <v>0.0714285714285714</v>
      </c>
      <c r="F288" s="26">
        <f>IF($F$270=0,0,$F$276/$F$270)</f>
        <v>0</v>
      </c>
    </row>
    <row r="289" ht="17" customHeight="1">
      <c r="B289" s="5" t="inlineStr">
        <is>
          <t>冬季・積雪時の避難</t>
        </is>
      </c>
      <c r="C289" s="26">
        <f>IF($C$270=0,0,$C$277/$C$270)</f>
        <v>0</v>
      </c>
      <c r="D289" s="26">
        <f>IF($D$270=0,0,$D$277/$D$270)</f>
        <v>0.6</v>
      </c>
      <c r="E289" s="26">
        <f>IF($E$270=0,0,$E$277/$E$270)</f>
        <v>0.464285714285714</v>
      </c>
      <c r="F289" s="26">
        <f>IF($F$270=0,0,$F$277/$F$270)</f>
        <v>0</v>
      </c>
    </row>
    <row r="290" ht="17" customHeight="1">
      <c r="B290" s="5" t="inlineStr">
        <is>
          <t>特に不安はない</t>
        </is>
      </c>
      <c r="C290" s="26">
        <f>IF($C$270=0,0,$C$278/$C$270)</f>
        <v>0</v>
      </c>
      <c r="D290" s="26">
        <f>IF($D$270=0,0,$D$278/$D$270)</f>
        <v>0</v>
      </c>
      <c r="E290" s="26">
        <f>IF($E$270=0,0,$E$278/$E$270)</f>
        <v>0.0714285714285714</v>
      </c>
      <c r="F290" s="26">
        <f>IF($F$270=0,0,$F$278/$F$270)</f>
        <v>1</v>
      </c>
    </row>
    <row r="291" ht="17" customHeight="1">
      <c r="B291" s="5" t="inlineStr">
        <is>
          <t>無回答</t>
        </is>
      </c>
      <c r="C291" s="27">
        <f>IF($C$270=0,0,$C$279/$C$270)</f>
        <v>0</v>
      </c>
      <c r="D291" s="27">
        <f>IF($D$270=0,0,$D$279/$D$270)</f>
        <v>0</v>
      </c>
      <c r="E291" s="27">
        <f>IF($E$270=0,0,$E$279/$E$270)</f>
        <v>0.0357142857142857</v>
      </c>
      <c r="F291" s="27">
        <f>IF($F$270=0,0,$F$279/$F$270)</f>
        <v>0</v>
      </c>
    </row>
    <row r="292" ht="27" customHeight="1">
      <c r="B292" s="17" t="inlineStr">
        <is>
          <t>※色が濃いほど割合が高く、太字は各区分で最も割合が高い項目です（条件付き書式）。全ての区分で回答のなかった「ペット・補助犬等」「その他」は省略しています。</t>
        </is>
      </c>
    </row>
    <row r="294" ht="21" customHeight="1">
      <c r="B294" s="7" t="inlineStr">
        <is>
          <t>表4-9　障がい種別 × 必要だと思う合理的配慮（問6×問36）</t>
        </is>
      </c>
    </row>
    <row r="295">
      <c r="B295" s="28" t="inlineStr">
        <is>
          <t>【件数】斜体のセルが入力値です</t>
        </is>
      </c>
    </row>
    <row r="296" ht="31" customHeight="1">
      <c r="B296" s="3" t="inlineStr">
        <is>
          <t>区分</t>
        </is>
      </c>
      <c r="C296" s="3" t="inlineStr">
        <is>
          <t>身体障がい</t>
        </is>
      </c>
      <c r="D296" s="3" t="inlineStr">
        <is>
          <t>知的障がい</t>
        </is>
      </c>
      <c r="E296" s="3" t="inlineStr">
        <is>
          <t>精神障がい</t>
        </is>
      </c>
      <c r="F296" s="3" t="inlineStr">
        <is>
          <t>発達障がい</t>
        </is>
      </c>
      <c r="G296" s="3" t="inlineStr">
        <is>
          <t>わからない・その他</t>
        </is>
      </c>
    </row>
    <row r="297">
      <c r="B297" s="22" t="inlineStr">
        <is>
          <t>回答者数（n）</t>
        </is>
      </c>
      <c r="C297" s="29" t="n">
        <v>27</v>
      </c>
      <c r="D297" s="29" t="n">
        <v>2</v>
      </c>
      <c r="E297" s="29" t="n">
        <v>5</v>
      </c>
      <c r="F297" s="29" t="n">
        <v>3</v>
      </c>
      <c r="G297" s="29" t="n">
        <v>2</v>
      </c>
    </row>
    <row r="298" ht="17" customHeight="1">
      <c r="B298" s="5" t="inlineStr">
        <is>
          <t>わかりやすい説明</t>
        </is>
      </c>
      <c r="C298" s="30" t="n">
        <v>10</v>
      </c>
      <c r="D298" s="30" t="n">
        <v>1</v>
      </c>
      <c r="E298" s="30" t="n">
        <v>2</v>
      </c>
      <c r="F298" s="30" t="n">
        <v>2</v>
      </c>
      <c r="G298" s="30" t="n">
        <v>0</v>
      </c>
    </row>
    <row r="299" ht="30" customHeight="1">
      <c r="B299" s="5" t="inlineStr">
        <is>
          <t>筆談・手話・要約筆記・字幕等の意思疎通支援</t>
        </is>
      </c>
      <c r="C299" s="30" t="n">
        <v>8</v>
      </c>
      <c r="D299" s="30" t="n">
        <v>0</v>
      </c>
      <c r="E299" s="30" t="n">
        <v>1</v>
      </c>
      <c r="F299" s="30" t="n">
        <v>0</v>
      </c>
      <c r="G299" s="30" t="n">
        <v>0</v>
      </c>
    </row>
    <row r="300" ht="17" customHeight="1">
      <c r="B300" s="5" t="inlineStr">
        <is>
          <t>静かな場所での相談</t>
        </is>
      </c>
      <c r="C300" s="30" t="n">
        <v>1</v>
      </c>
      <c r="D300" s="30" t="n">
        <v>0</v>
      </c>
      <c r="E300" s="30" t="n">
        <v>2</v>
      </c>
      <c r="F300" s="30" t="n">
        <v>0</v>
      </c>
      <c r="G300" s="30" t="n">
        <v>0</v>
      </c>
    </row>
    <row r="301" ht="17" customHeight="1">
      <c r="B301" s="5" t="inlineStr">
        <is>
          <t>移動しやすい環境</t>
        </is>
      </c>
      <c r="C301" s="30" t="n">
        <v>5</v>
      </c>
      <c r="D301" s="30" t="n">
        <v>1</v>
      </c>
      <c r="E301" s="30" t="n">
        <v>2</v>
      </c>
      <c r="F301" s="30" t="n">
        <v>1</v>
      </c>
      <c r="G301" s="30" t="n">
        <v>0</v>
      </c>
    </row>
    <row r="302" ht="17" customHeight="1">
      <c r="B302" s="5" t="inlineStr">
        <is>
          <t>手続きの支援</t>
        </is>
      </c>
      <c r="C302" s="30" t="n">
        <v>8</v>
      </c>
      <c r="D302" s="30" t="n">
        <v>2</v>
      </c>
      <c r="E302" s="30" t="n">
        <v>2</v>
      </c>
      <c r="F302" s="30" t="n">
        <v>2</v>
      </c>
      <c r="G302" s="30" t="n">
        <v>1</v>
      </c>
    </row>
    <row r="303" ht="17" customHeight="1">
      <c r="B303" s="5" t="inlineStr">
        <is>
          <t>本人の意思確認を丁寧に行うこと</t>
        </is>
      </c>
      <c r="C303" s="30" t="n">
        <v>7</v>
      </c>
      <c r="D303" s="30" t="n">
        <v>2</v>
      </c>
      <c r="E303" s="30" t="n">
        <v>4</v>
      </c>
      <c r="F303" s="30" t="n">
        <v>0</v>
      </c>
      <c r="G303" s="30" t="n">
        <v>0</v>
      </c>
    </row>
    <row r="304" ht="17" customHeight="1">
      <c r="B304" s="5" t="inlineStr">
        <is>
          <t>職場・学校での配慮</t>
        </is>
      </c>
      <c r="C304" s="30" t="n">
        <v>3</v>
      </c>
      <c r="D304" s="30" t="n">
        <v>0</v>
      </c>
      <c r="E304" s="30" t="n">
        <v>0</v>
      </c>
      <c r="F304" s="30" t="n">
        <v>0</v>
      </c>
      <c r="G304" s="30" t="n">
        <v>0</v>
      </c>
    </row>
    <row r="305" ht="17" customHeight="1">
      <c r="B305" s="5" t="inlineStr">
        <is>
          <t>特にない</t>
        </is>
      </c>
      <c r="C305" s="30" t="n">
        <v>5</v>
      </c>
      <c r="D305" s="30" t="n">
        <v>0</v>
      </c>
      <c r="E305" s="30" t="n">
        <v>1</v>
      </c>
      <c r="F305" s="30" t="n">
        <v>0</v>
      </c>
      <c r="G305" s="30" t="n">
        <v>1</v>
      </c>
    </row>
    <row r="306" ht="17" customHeight="1">
      <c r="B306" s="5" t="inlineStr">
        <is>
          <t>無回答</t>
        </is>
      </c>
      <c r="C306" s="30" t="n">
        <v>6</v>
      </c>
      <c r="D306" s="30" t="n">
        <v>0</v>
      </c>
      <c r="E306" s="30" t="n">
        <v>0</v>
      </c>
      <c r="F306" s="30" t="n">
        <v>0</v>
      </c>
      <c r="G306" s="30" t="n">
        <v>0</v>
      </c>
    </row>
    <row r="308">
      <c r="B308" s="28" t="inlineStr">
        <is>
          <t>【割合】各区分の回答者数（n）に占める割合（計算式）</t>
        </is>
      </c>
    </row>
    <row r="309" ht="31" customHeight="1">
      <c r="B309" s="3" t="inlineStr">
        <is>
          <t>区分</t>
        </is>
      </c>
      <c r="C309" s="3" t="inlineStr">
        <is>
          <t>身体障がい</t>
        </is>
      </c>
      <c r="D309" s="3" t="inlineStr">
        <is>
          <t>知的障がい</t>
        </is>
      </c>
      <c r="E309" s="3" t="inlineStr">
        <is>
          <t>精神障がい</t>
        </is>
      </c>
      <c r="F309" s="3" t="inlineStr">
        <is>
          <t>発達障がい</t>
        </is>
      </c>
      <c r="G309" s="3" t="inlineStr">
        <is>
          <t>わからない・その他</t>
        </is>
      </c>
    </row>
    <row r="310" ht="17" customHeight="1">
      <c r="B310" s="5" t="inlineStr">
        <is>
          <t>わかりやすい説明</t>
        </is>
      </c>
      <c r="C310" s="26">
        <f>IF($C$297=0,0,$C$298/$C$297)</f>
        <v>0.37037037037037</v>
      </c>
      <c r="D310" s="26">
        <f>IF($D$297=0,0,$D$298/$D$297)</f>
        <v>0.5</v>
      </c>
      <c r="E310" s="26">
        <f>IF($E$297=0,0,$E$298/$E$297)</f>
        <v>0.4</v>
      </c>
      <c r="F310" s="26">
        <f>IF($F$297=0,0,$F$298/$F$297)</f>
        <v>0.666666666666667</v>
      </c>
      <c r="G310" s="26">
        <f>IF($G$297=0,0,$G$298/$G$297)</f>
        <v>0</v>
      </c>
    </row>
    <row r="311" ht="30" customHeight="1">
      <c r="B311" s="5" t="inlineStr">
        <is>
          <t>筆談・手話・要約筆記・字幕等の意思疎通支援</t>
        </is>
      </c>
      <c r="C311" s="26">
        <f>IF($C$297=0,0,$C$299/$C$297)</f>
        <v>0.296296296296296</v>
      </c>
      <c r="D311" s="26">
        <f>IF($D$297=0,0,$D$299/$D$297)</f>
        <v>0</v>
      </c>
      <c r="E311" s="26">
        <f>IF($E$297=0,0,$E$299/$E$297)</f>
        <v>0.2</v>
      </c>
      <c r="F311" s="26">
        <f>IF($F$297=0,0,$F$299/$F$297)</f>
        <v>0</v>
      </c>
      <c r="G311" s="26">
        <f>IF($G$297=0,0,$G$299/$G$297)</f>
        <v>0</v>
      </c>
    </row>
    <row r="312" ht="17" customHeight="1">
      <c r="B312" s="5" t="inlineStr">
        <is>
          <t>静かな場所での相談</t>
        </is>
      </c>
      <c r="C312" s="26">
        <f>IF($C$297=0,0,$C$300/$C$297)</f>
        <v>0.037037037037037</v>
      </c>
      <c r="D312" s="26">
        <f>IF($D$297=0,0,$D$300/$D$297)</f>
        <v>0</v>
      </c>
      <c r="E312" s="26">
        <f>IF($E$297=0,0,$E$300/$E$297)</f>
        <v>0.4</v>
      </c>
      <c r="F312" s="26">
        <f>IF($F$297=0,0,$F$300/$F$297)</f>
        <v>0</v>
      </c>
      <c r="G312" s="26">
        <f>IF($G$297=0,0,$G$300/$G$297)</f>
        <v>0</v>
      </c>
    </row>
    <row r="313" ht="17" customHeight="1">
      <c r="B313" s="5" t="inlineStr">
        <is>
          <t>移動しやすい環境</t>
        </is>
      </c>
      <c r="C313" s="26">
        <f>IF($C$297=0,0,$C$301/$C$297)</f>
        <v>0.185185185185185</v>
      </c>
      <c r="D313" s="26">
        <f>IF($D$297=0,0,$D$301/$D$297)</f>
        <v>0.5</v>
      </c>
      <c r="E313" s="26">
        <f>IF($E$297=0,0,$E$301/$E$297)</f>
        <v>0.4</v>
      </c>
      <c r="F313" s="26">
        <f>IF($F$297=0,0,$F$301/$F$297)</f>
        <v>0.333333333333333</v>
      </c>
      <c r="G313" s="26">
        <f>IF($G$297=0,0,$G$301/$G$297)</f>
        <v>0</v>
      </c>
    </row>
    <row r="314" ht="17" customHeight="1">
      <c r="B314" s="5" t="inlineStr">
        <is>
          <t>手続きの支援</t>
        </is>
      </c>
      <c r="C314" s="26">
        <f>IF($C$297=0,0,$C$302/$C$297)</f>
        <v>0.296296296296296</v>
      </c>
      <c r="D314" s="26">
        <f>IF($D$297=0,0,$D$302/$D$297)</f>
        <v>1</v>
      </c>
      <c r="E314" s="26">
        <f>IF($E$297=0,0,$E$302/$E$297)</f>
        <v>0.4</v>
      </c>
      <c r="F314" s="26">
        <f>IF($F$297=0,0,$F$302/$F$297)</f>
        <v>0.666666666666667</v>
      </c>
      <c r="G314" s="26">
        <f>IF($G$297=0,0,$G$302/$G$297)</f>
        <v>0.5</v>
      </c>
    </row>
    <row r="315" ht="17" customHeight="1">
      <c r="B315" s="5" t="inlineStr">
        <is>
          <t>本人の意思確認を丁寧に行うこと</t>
        </is>
      </c>
      <c r="C315" s="26">
        <f>IF($C$297=0,0,$C$303/$C$297)</f>
        <v>0.259259259259259</v>
      </c>
      <c r="D315" s="26">
        <f>IF($D$297=0,0,$D$303/$D$297)</f>
        <v>1</v>
      </c>
      <c r="E315" s="26">
        <f>IF($E$297=0,0,$E$303/$E$297)</f>
        <v>0.8</v>
      </c>
      <c r="F315" s="26">
        <f>IF($F$297=0,0,$F$303/$F$297)</f>
        <v>0</v>
      </c>
      <c r="G315" s="26">
        <f>IF($G$297=0,0,$G$303/$G$297)</f>
        <v>0</v>
      </c>
    </row>
    <row r="316" ht="17" customHeight="1">
      <c r="B316" s="5" t="inlineStr">
        <is>
          <t>職場・学校での配慮</t>
        </is>
      </c>
      <c r="C316" s="26">
        <f>IF($C$297=0,0,$C$304/$C$297)</f>
        <v>0.111111111111111</v>
      </c>
      <c r="D316" s="26">
        <f>IF($D$297=0,0,$D$304/$D$297)</f>
        <v>0</v>
      </c>
      <c r="E316" s="26">
        <f>IF($E$297=0,0,$E$304/$E$297)</f>
        <v>0</v>
      </c>
      <c r="F316" s="26">
        <f>IF($F$297=0,0,$F$304/$F$297)</f>
        <v>0</v>
      </c>
      <c r="G316" s="26">
        <f>IF($G$297=0,0,$G$304/$G$297)</f>
        <v>0</v>
      </c>
    </row>
    <row r="317" ht="17" customHeight="1">
      <c r="B317" s="5" t="inlineStr">
        <is>
          <t>特にない</t>
        </is>
      </c>
      <c r="C317" s="26">
        <f>IF($C$297=0,0,$C$305/$C$297)</f>
        <v>0.185185185185185</v>
      </c>
      <c r="D317" s="26">
        <f>IF($D$297=0,0,$D$305/$D$297)</f>
        <v>0</v>
      </c>
      <c r="E317" s="26">
        <f>IF($E$297=0,0,$E$305/$E$297)</f>
        <v>0.2</v>
      </c>
      <c r="F317" s="26">
        <f>IF($F$297=0,0,$F$305/$F$297)</f>
        <v>0</v>
      </c>
      <c r="G317" s="26">
        <f>IF($G$297=0,0,$G$305/$G$297)</f>
        <v>0.5</v>
      </c>
    </row>
    <row r="318" ht="17" customHeight="1">
      <c r="B318" s="5" t="inlineStr">
        <is>
          <t>無回答</t>
        </is>
      </c>
      <c r="C318" s="27">
        <f>IF($C$297=0,0,$C$306/$C$297)</f>
        <v>0.222222222222222</v>
      </c>
      <c r="D318" s="27">
        <f>IF($D$297=0,0,$D$306/$D$297)</f>
        <v>0</v>
      </c>
      <c r="E318" s="27">
        <f>IF($E$297=0,0,$E$306/$E$297)</f>
        <v>0</v>
      </c>
      <c r="F318" s="27">
        <f>IF($F$297=0,0,$F$306/$F$297)</f>
        <v>0</v>
      </c>
      <c r="G318" s="27">
        <f>IF($G$297=0,0,$G$306/$G$297)</f>
        <v>0</v>
      </c>
    </row>
    <row r="319" ht="27" customHeight="1">
      <c r="B319" s="17" t="inlineStr">
        <is>
          <t>※色が濃いほど割合が高く、太字は各区分で最も割合が高い項目です（条件付き書式）。回答者のいない障がい種別及び回答のなかった「その他」は省略しています。</t>
        </is>
      </c>
    </row>
    <row r="321" ht="21" customHeight="1">
      <c r="B321" s="7" t="inlineStr">
        <is>
          <t>表4-10　困ったときの相談先 × 相談支援に期待すること（問22×問26）</t>
        </is>
      </c>
    </row>
    <row r="322">
      <c r="B322" s="28" t="inlineStr">
        <is>
          <t>【件数】斜体のセルが入力値です</t>
        </is>
      </c>
    </row>
    <row r="323" ht="44" customHeight="1">
      <c r="B323" s="3" t="inlineStr">
        <is>
          <t>区分</t>
        </is>
      </c>
      <c r="C323" s="3" t="inlineStr">
        <is>
          <t>家族・親族</t>
        </is>
      </c>
      <c r="D323" s="3" t="inlineStr">
        <is>
          <t>友人・知人</t>
        </is>
      </c>
      <c r="E323" s="3" t="inlineStr">
        <is>
          <t>村役場</t>
        </is>
      </c>
      <c r="F323" s="3" t="inlineStr">
        <is>
          <t>相談支援
専門員</t>
        </is>
      </c>
      <c r="G323" s="3" t="inlineStr">
        <is>
          <t>福祉
サービス
事業所</t>
        </is>
      </c>
      <c r="H323" s="3" t="inlineStr">
        <is>
          <t>医療機関</t>
        </is>
      </c>
      <c r="I323" s="3" t="inlineStr">
        <is>
          <t>社会福祉
協議会</t>
        </is>
      </c>
    </row>
    <row r="324">
      <c r="B324" s="22" t="inlineStr">
        <is>
          <t>回答者数（n）</t>
        </is>
      </c>
      <c r="C324" s="29" t="n">
        <v>31</v>
      </c>
      <c r="D324" s="29" t="n">
        <v>6</v>
      </c>
      <c r="E324" s="29" t="n">
        <v>5</v>
      </c>
      <c r="F324" s="29" t="n">
        <v>10</v>
      </c>
      <c r="G324" s="29" t="n">
        <v>5</v>
      </c>
      <c r="H324" s="29" t="n">
        <v>12</v>
      </c>
      <c r="I324" s="29" t="n">
        <v>4</v>
      </c>
    </row>
    <row r="325" ht="17" customHeight="1">
      <c r="B325" s="5" t="inlineStr">
        <is>
          <t>サービス利用の相談</t>
        </is>
      </c>
      <c r="C325" s="30" t="n">
        <v>8</v>
      </c>
      <c r="D325" s="30" t="n">
        <v>3</v>
      </c>
      <c r="E325" s="30" t="n">
        <v>2</v>
      </c>
      <c r="F325" s="30" t="n">
        <v>5</v>
      </c>
      <c r="G325" s="30" t="n">
        <v>3</v>
      </c>
      <c r="H325" s="30" t="n">
        <v>6</v>
      </c>
      <c r="I325" s="30" t="n">
        <v>3</v>
      </c>
    </row>
    <row r="326" ht="17" customHeight="1">
      <c r="B326" s="5" t="inlineStr">
        <is>
          <t>将来の暮らしの相談</t>
        </is>
      </c>
      <c r="C326" s="30" t="n">
        <v>8</v>
      </c>
      <c r="D326" s="30" t="n">
        <v>3</v>
      </c>
      <c r="E326" s="30" t="n">
        <v>1</v>
      </c>
      <c r="F326" s="30" t="n">
        <v>6</v>
      </c>
      <c r="G326" s="30" t="n">
        <v>2</v>
      </c>
      <c r="H326" s="30" t="n">
        <v>7</v>
      </c>
      <c r="I326" s="30" t="n">
        <v>3</v>
      </c>
    </row>
    <row r="327" ht="17" customHeight="1">
      <c r="B327" s="5" t="inlineStr">
        <is>
          <t>就労・日中活動の相談</t>
        </is>
      </c>
      <c r="C327" s="30" t="n">
        <v>1</v>
      </c>
      <c r="D327" s="30" t="n">
        <v>0</v>
      </c>
      <c r="E327" s="30" t="n">
        <v>0</v>
      </c>
      <c r="F327" s="30" t="n">
        <v>1</v>
      </c>
      <c r="G327" s="30" t="n">
        <v>0</v>
      </c>
      <c r="H327" s="30" t="n">
        <v>0</v>
      </c>
      <c r="I327" s="30" t="n">
        <v>0</v>
      </c>
    </row>
    <row r="328" ht="17" customHeight="1">
      <c r="B328" s="5" t="inlineStr">
        <is>
          <t>医療・通院の相談</t>
        </is>
      </c>
      <c r="C328" s="30" t="n">
        <v>6</v>
      </c>
      <c r="D328" s="30" t="n">
        <v>3</v>
      </c>
      <c r="E328" s="30" t="n">
        <v>3</v>
      </c>
      <c r="F328" s="30" t="n">
        <v>1</v>
      </c>
      <c r="G328" s="30" t="n">
        <v>1</v>
      </c>
      <c r="H328" s="30" t="n">
        <v>5</v>
      </c>
      <c r="I328" s="30" t="n">
        <v>1</v>
      </c>
    </row>
    <row r="329" ht="17" customHeight="1">
      <c r="B329" s="5" t="inlineStr">
        <is>
          <t>家族の負担軽減</t>
        </is>
      </c>
      <c r="C329" s="30" t="n">
        <v>4</v>
      </c>
      <c r="D329" s="30" t="n">
        <v>1</v>
      </c>
      <c r="E329" s="30" t="n">
        <v>1</v>
      </c>
      <c r="F329" s="30" t="n">
        <v>1</v>
      </c>
      <c r="G329" s="30" t="n">
        <v>0</v>
      </c>
      <c r="H329" s="30" t="n">
        <v>2</v>
      </c>
      <c r="I329" s="30" t="n">
        <v>0</v>
      </c>
    </row>
    <row r="330" ht="17" customHeight="1">
      <c r="B330" s="5" t="inlineStr">
        <is>
          <t>緊急時の相談</t>
        </is>
      </c>
      <c r="C330" s="30" t="n">
        <v>6</v>
      </c>
      <c r="D330" s="30" t="n">
        <v>1</v>
      </c>
      <c r="E330" s="30" t="n">
        <v>2</v>
      </c>
      <c r="F330" s="30" t="n">
        <v>3</v>
      </c>
      <c r="G330" s="30" t="n">
        <v>1</v>
      </c>
      <c r="H330" s="30" t="n">
        <v>4</v>
      </c>
      <c r="I330" s="30" t="n">
        <v>0</v>
      </c>
    </row>
    <row r="331" ht="17" customHeight="1">
      <c r="B331" s="5" t="inlineStr">
        <is>
          <t>わかりやすい情報提供</t>
        </is>
      </c>
      <c r="C331" s="30" t="n">
        <v>10</v>
      </c>
      <c r="D331" s="30" t="n">
        <v>2</v>
      </c>
      <c r="E331" s="30" t="n">
        <v>3</v>
      </c>
      <c r="F331" s="30" t="n">
        <v>3</v>
      </c>
      <c r="G331" s="30" t="n">
        <v>2</v>
      </c>
      <c r="H331" s="30" t="n">
        <v>4</v>
      </c>
      <c r="I331" s="30" t="n">
        <v>0</v>
      </c>
    </row>
    <row r="332" ht="17" customHeight="1">
      <c r="B332" s="5" t="inlineStr">
        <is>
          <t>その他</t>
        </is>
      </c>
      <c r="C332" s="30" t="n">
        <v>1</v>
      </c>
      <c r="D332" s="30" t="n">
        <v>1</v>
      </c>
      <c r="E332" s="30" t="n">
        <v>0</v>
      </c>
      <c r="F332" s="30" t="n">
        <v>0</v>
      </c>
      <c r="G332" s="30" t="n">
        <v>0</v>
      </c>
      <c r="H332" s="30" t="n">
        <v>1</v>
      </c>
      <c r="I332" s="30" t="n">
        <v>1</v>
      </c>
    </row>
    <row r="333" ht="17" customHeight="1">
      <c r="B333" s="5" t="inlineStr">
        <is>
          <t>無回答</t>
        </is>
      </c>
      <c r="C333" s="30" t="n">
        <v>9</v>
      </c>
      <c r="D333" s="30" t="n">
        <v>1</v>
      </c>
      <c r="E333" s="30" t="n">
        <v>1</v>
      </c>
      <c r="F333" s="30" t="n">
        <v>0</v>
      </c>
      <c r="G333" s="30" t="n">
        <v>0</v>
      </c>
      <c r="H333" s="30" t="n">
        <v>1</v>
      </c>
      <c r="I333" s="30" t="n">
        <v>0</v>
      </c>
    </row>
    <row r="335">
      <c r="B335" s="28" t="inlineStr">
        <is>
          <t>【割合】各区分の回答者数（n）に占める割合（計算式）</t>
        </is>
      </c>
    </row>
    <row r="336" ht="44" customHeight="1">
      <c r="B336" s="3" t="inlineStr">
        <is>
          <t>区分</t>
        </is>
      </c>
      <c r="C336" s="3" t="inlineStr">
        <is>
          <t>家族・親族</t>
        </is>
      </c>
      <c r="D336" s="3" t="inlineStr">
        <is>
          <t>友人・知人</t>
        </is>
      </c>
      <c r="E336" s="3" t="inlineStr">
        <is>
          <t>村役場</t>
        </is>
      </c>
      <c r="F336" s="3" t="inlineStr">
        <is>
          <t>相談支援
専門員</t>
        </is>
      </c>
      <c r="G336" s="3" t="inlineStr">
        <is>
          <t>福祉
サービス
事業所</t>
        </is>
      </c>
      <c r="H336" s="3" t="inlineStr">
        <is>
          <t>医療機関</t>
        </is>
      </c>
      <c r="I336" s="3" t="inlineStr">
        <is>
          <t>社会福祉
協議会</t>
        </is>
      </c>
    </row>
    <row r="337" ht="17" customHeight="1">
      <c r="B337" s="5" t="inlineStr">
        <is>
          <t>サービス利用の相談</t>
        </is>
      </c>
      <c r="C337" s="26">
        <f>IF($C$324=0,0,$C$325/$C$324)</f>
        <v>0.258064516129032</v>
      </c>
      <c r="D337" s="26">
        <f>IF($D$324=0,0,$D$325/$D$324)</f>
        <v>0.5</v>
      </c>
      <c r="E337" s="26">
        <f>IF($E$324=0,0,$E$325/$E$324)</f>
        <v>0.4</v>
      </c>
      <c r="F337" s="26">
        <f>IF($F$324=0,0,$F$325/$F$324)</f>
        <v>0.5</v>
      </c>
      <c r="G337" s="26">
        <f>IF($G$324=0,0,$G$325/$G$324)</f>
        <v>0.6</v>
      </c>
      <c r="H337" s="26">
        <f>IF($H$324=0,0,$H$325/$H$324)</f>
        <v>0.5</v>
      </c>
      <c r="I337" s="26">
        <f>IF($I$324=0,0,$I$325/$I$324)</f>
        <v>0.75</v>
      </c>
    </row>
    <row r="338" ht="17" customHeight="1">
      <c r="B338" s="5" t="inlineStr">
        <is>
          <t>将来の暮らしの相談</t>
        </is>
      </c>
      <c r="C338" s="26">
        <f>IF($C$324=0,0,$C$326/$C$324)</f>
        <v>0.258064516129032</v>
      </c>
      <c r="D338" s="26">
        <f>IF($D$324=0,0,$D$326/$D$324)</f>
        <v>0.5</v>
      </c>
      <c r="E338" s="26">
        <f>IF($E$324=0,0,$E$326/$E$324)</f>
        <v>0.2</v>
      </c>
      <c r="F338" s="26">
        <f>IF($F$324=0,0,$F$326/$F$324)</f>
        <v>0.6</v>
      </c>
      <c r="G338" s="26">
        <f>IF($G$324=0,0,$G$326/$G$324)</f>
        <v>0.4</v>
      </c>
      <c r="H338" s="26">
        <f>IF($H$324=0,0,$H$326/$H$324)</f>
        <v>0.583333333333333</v>
      </c>
      <c r="I338" s="26">
        <f>IF($I$324=0,0,$I$326/$I$324)</f>
        <v>0.75</v>
      </c>
    </row>
    <row r="339" ht="17" customHeight="1">
      <c r="B339" s="5" t="inlineStr">
        <is>
          <t>就労・日中活動の相談</t>
        </is>
      </c>
      <c r="C339" s="26">
        <f>IF($C$324=0,0,$C$327/$C$324)</f>
        <v>0.032258064516129</v>
      </c>
      <c r="D339" s="26">
        <f>IF($D$324=0,0,$D$327/$D$324)</f>
        <v>0</v>
      </c>
      <c r="E339" s="26">
        <f>IF($E$324=0,0,$E$327/$E$324)</f>
        <v>0</v>
      </c>
      <c r="F339" s="26">
        <f>IF($F$324=0,0,$F$327/$F$324)</f>
        <v>0.1</v>
      </c>
      <c r="G339" s="26">
        <f>IF($G$324=0,0,$G$327/$G$324)</f>
        <v>0</v>
      </c>
      <c r="H339" s="26">
        <f>IF($H$324=0,0,$H$327/$H$324)</f>
        <v>0</v>
      </c>
      <c r="I339" s="26">
        <f>IF($I$324=0,0,$I$327/$I$324)</f>
        <v>0</v>
      </c>
    </row>
    <row r="340" ht="17" customHeight="1">
      <c r="B340" s="5" t="inlineStr">
        <is>
          <t>医療・通院の相談</t>
        </is>
      </c>
      <c r="C340" s="26">
        <f>IF($C$324=0,0,$C$328/$C$324)</f>
        <v>0.193548387096774</v>
      </c>
      <c r="D340" s="26">
        <f>IF($D$324=0,0,$D$328/$D$324)</f>
        <v>0.5</v>
      </c>
      <c r="E340" s="26">
        <f>IF($E$324=0,0,$E$328/$E$324)</f>
        <v>0.6</v>
      </c>
      <c r="F340" s="26">
        <f>IF($F$324=0,0,$F$328/$F$324)</f>
        <v>0.1</v>
      </c>
      <c r="G340" s="26">
        <f>IF($G$324=0,0,$G$328/$G$324)</f>
        <v>0.2</v>
      </c>
      <c r="H340" s="26">
        <f>IF($H$324=0,0,$H$328/$H$324)</f>
        <v>0.416666666666667</v>
      </c>
      <c r="I340" s="26">
        <f>IF($I$324=0,0,$I$328/$I$324)</f>
        <v>0.25</v>
      </c>
    </row>
    <row r="341" ht="17" customHeight="1">
      <c r="B341" s="5" t="inlineStr">
        <is>
          <t>家族の負担軽減</t>
        </is>
      </c>
      <c r="C341" s="26">
        <f>IF($C$324=0,0,$C$329/$C$324)</f>
        <v>0.129032258064516</v>
      </c>
      <c r="D341" s="26">
        <f>IF($D$324=0,0,$D$329/$D$324)</f>
        <v>0.166666666666667</v>
      </c>
      <c r="E341" s="26">
        <f>IF($E$324=0,0,$E$329/$E$324)</f>
        <v>0.2</v>
      </c>
      <c r="F341" s="26">
        <f>IF($F$324=0,0,$F$329/$F$324)</f>
        <v>0.1</v>
      </c>
      <c r="G341" s="26">
        <f>IF($G$324=0,0,$G$329/$G$324)</f>
        <v>0</v>
      </c>
      <c r="H341" s="26">
        <f>IF($H$324=0,0,$H$329/$H$324)</f>
        <v>0.166666666666667</v>
      </c>
      <c r="I341" s="26">
        <f>IF($I$324=0,0,$I$329/$I$324)</f>
        <v>0</v>
      </c>
    </row>
    <row r="342" ht="17" customHeight="1">
      <c r="B342" s="5" t="inlineStr">
        <is>
          <t>緊急時の相談</t>
        </is>
      </c>
      <c r="C342" s="26">
        <f>IF($C$324=0,0,$C$330/$C$324)</f>
        <v>0.193548387096774</v>
      </c>
      <c r="D342" s="26">
        <f>IF($D$324=0,0,$D$330/$D$324)</f>
        <v>0.166666666666667</v>
      </c>
      <c r="E342" s="26">
        <f>IF($E$324=0,0,$E$330/$E$324)</f>
        <v>0.4</v>
      </c>
      <c r="F342" s="26">
        <f>IF($F$324=0,0,$F$330/$F$324)</f>
        <v>0.3</v>
      </c>
      <c r="G342" s="26">
        <f>IF($G$324=0,0,$G$330/$G$324)</f>
        <v>0.2</v>
      </c>
      <c r="H342" s="26">
        <f>IF($H$324=0,0,$H$330/$H$324)</f>
        <v>0.333333333333333</v>
      </c>
      <c r="I342" s="26">
        <f>IF($I$324=0,0,$I$330/$I$324)</f>
        <v>0</v>
      </c>
    </row>
    <row r="343" ht="17" customHeight="1">
      <c r="B343" s="5" t="inlineStr">
        <is>
          <t>わかりやすい情報提供</t>
        </is>
      </c>
      <c r="C343" s="26">
        <f>IF($C$324=0,0,$C$331/$C$324)</f>
        <v>0.32258064516129</v>
      </c>
      <c r="D343" s="26">
        <f>IF($D$324=0,0,$D$331/$D$324)</f>
        <v>0.333333333333333</v>
      </c>
      <c r="E343" s="26">
        <f>IF($E$324=0,0,$E$331/$E$324)</f>
        <v>0.6</v>
      </c>
      <c r="F343" s="26">
        <f>IF($F$324=0,0,$F$331/$F$324)</f>
        <v>0.3</v>
      </c>
      <c r="G343" s="26">
        <f>IF($G$324=0,0,$G$331/$G$324)</f>
        <v>0.4</v>
      </c>
      <c r="H343" s="26">
        <f>IF($H$324=0,0,$H$331/$H$324)</f>
        <v>0.333333333333333</v>
      </c>
      <c r="I343" s="26">
        <f>IF($I$324=0,0,$I$331/$I$324)</f>
        <v>0</v>
      </c>
    </row>
    <row r="344" ht="17" customHeight="1">
      <c r="B344" s="5" t="inlineStr">
        <is>
          <t>その他</t>
        </is>
      </c>
      <c r="C344" s="26">
        <f>IF($C$324=0,0,$C$332/$C$324)</f>
        <v>0.032258064516129</v>
      </c>
      <c r="D344" s="26">
        <f>IF($D$324=0,0,$D$332/$D$324)</f>
        <v>0.166666666666667</v>
      </c>
      <c r="E344" s="26">
        <f>IF($E$324=0,0,$E$332/$E$324)</f>
        <v>0</v>
      </c>
      <c r="F344" s="26">
        <f>IF($F$324=0,0,$F$332/$F$324)</f>
        <v>0</v>
      </c>
      <c r="G344" s="26">
        <f>IF($G$324=0,0,$G$332/$G$324)</f>
        <v>0</v>
      </c>
      <c r="H344" s="26">
        <f>IF($H$324=0,0,$H$332/$H$324)</f>
        <v>0.0833333333333333</v>
      </c>
      <c r="I344" s="26">
        <f>IF($I$324=0,0,$I$332/$I$324)</f>
        <v>0.25</v>
      </c>
    </row>
    <row r="345" ht="17" customHeight="1">
      <c r="B345" s="5" t="inlineStr">
        <is>
          <t>無回答</t>
        </is>
      </c>
      <c r="C345" s="27">
        <f>IF($C$324=0,0,$C$333/$C$324)</f>
        <v>0.290322580645161</v>
      </c>
      <c r="D345" s="27">
        <f>IF($D$324=0,0,$D$333/$D$324)</f>
        <v>0.166666666666667</v>
      </c>
      <c r="E345" s="27">
        <f>IF($E$324=0,0,$E$333/$E$324)</f>
        <v>0.2</v>
      </c>
      <c r="F345" s="27">
        <f>IF($F$324=0,0,$F$333/$F$324)</f>
        <v>0</v>
      </c>
      <c r="G345" s="27">
        <f>IF($G$324=0,0,$G$333/$G$324)</f>
        <v>0</v>
      </c>
      <c r="H345" s="27">
        <f>IF($H$324=0,0,$H$333/$H$324)</f>
        <v>0.0833333333333333</v>
      </c>
      <c r="I345" s="27">
        <f>IF($I$324=0,0,$I$333/$I$324)</f>
        <v>0</v>
      </c>
    </row>
    <row r="346" ht="27" customHeight="1">
      <c r="B346" s="17" t="inlineStr">
        <is>
          <t>※色が濃いほど割合が高く、太字は各区分で最も割合が高い項目です（条件付き書式）。回答者数が1件の区分（SNS・インターネット・AI、民生委員・児童委員、相談する相手がいない、その他）は省略しています。</t>
        </is>
      </c>
    </row>
    <row r="348" ht="21" customHeight="1">
      <c r="B348" s="7" t="inlineStr">
        <is>
          <t>表4-11　主な介助者 × 地域生活支援拠点等に期待する機能（問9×問29）</t>
        </is>
      </c>
    </row>
    <row r="349">
      <c r="B349" s="28" t="inlineStr">
        <is>
          <t>【件数】斜体のセルが入力値です</t>
        </is>
      </c>
    </row>
    <row r="350" ht="44" customHeight="1">
      <c r="B350" s="3" t="inlineStr">
        <is>
          <t>区分</t>
        </is>
      </c>
      <c r="C350" s="3" t="inlineStr">
        <is>
          <t>介助は必要ない</t>
        </is>
      </c>
      <c r="D350" s="3" t="inlineStr">
        <is>
          <t>親</t>
        </is>
      </c>
      <c r="E350" s="3" t="inlineStr">
        <is>
          <t>配偶者</t>
        </is>
      </c>
      <c r="F350" s="3" t="inlineStr">
        <is>
          <t>子ども</t>
        </is>
      </c>
      <c r="G350" s="3" t="inlineStr">
        <is>
          <t>施設・事業所
職員</t>
        </is>
      </c>
    </row>
    <row r="351">
      <c r="B351" s="22" t="inlineStr">
        <is>
          <t>回答者数（n）</t>
        </is>
      </c>
      <c r="C351" s="29" t="n">
        <v>18</v>
      </c>
      <c r="D351" s="29" t="n">
        <v>5</v>
      </c>
      <c r="E351" s="29" t="n">
        <v>7</v>
      </c>
      <c r="F351" s="29" t="n">
        <v>9</v>
      </c>
      <c r="G351" s="29" t="n">
        <v>8</v>
      </c>
    </row>
    <row r="352" ht="17" customHeight="1">
      <c r="B352" s="5" t="inlineStr">
        <is>
          <t>緊急時の相談</t>
        </is>
      </c>
      <c r="C352" s="30" t="n">
        <v>6</v>
      </c>
      <c r="D352" s="30" t="n">
        <v>1</v>
      </c>
      <c r="E352" s="30" t="n">
        <v>3</v>
      </c>
      <c r="F352" s="30" t="n">
        <v>2</v>
      </c>
      <c r="G352" s="30" t="n">
        <v>3</v>
      </c>
    </row>
    <row r="353" ht="17" customHeight="1">
      <c r="B353" s="5" t="inlineStr">
        <is>
          <t>緊急時の受入れ</t>
        </is>
      </c>
      <c r="C353" s="30" t="n">
        <v>5</v>
      </c>
      <c r="D353" s="30" t="n">
        <v>2</v>
      </c>
      <c r="E353" s="30" t="n">
        <v>3</v>
      </c>
      <c r="F353" s="30" t="n">
        <v>1</v>
      </c>
      <c r="G353" s="30" t="n">
        <v>4</v>
      </c>
    </row>
    <row r="354" ht="17" customHeight="1">
      <c r="B354" s="5" t="inlineStr">
        <is>
          <t>短期入所の確保</t>
        </is>
      </c>
      <c r="C354" s="30" t="n">
        <v>0</v>
      </c>
      <c r="D354" s="30" t="n">
        <v>1</v>
      </c>
      <c r="E354" s="30" t="n">
        <v>1</v>
      </c>
      <c r="F354" s="30" t="n">
        <v>0</v>
      </c>
      <c r="G354" s="30" t="n">
        <v>1</v>
      </c>
    </row>
    <row r="355" ht="17" customHeight="1">
      <c r="B355" s="5" t="inlineStr">
        <is>
          <t>一人暮らし・グループホーム体験</t>
        </is>
      </c>
      <c r="C355" s="30" t="n">
        <v>0</v>
      </c>
      <c r="D355" s="30" t="n">
        <v>0</v>
      </c>
      <c r="E355" s="30" t="n">
        <v>0</v>
      </c>
      <c r="F355" s="30" t="n">
        <v>0</v>
      </c>
      <c r="G355" s="30" t="n">
        <v>0</v>
      </c>
    </row>
    <row r="356" ht="17" customHeight="1">
      <c r="B356" s="5" t="inlineStr">
        <is>
          <t>専門的人材の確保</t>
        </is>
      </c>
      <c r="C356" s="30" t="n">
        <v>4</v>
      </c>
      <c r="D356" s="30" t="n">
        <v>0</v>
      </c>
      <c r="E356" s="30" t="n">
        <v>1</v>
      </c>
      <c r="F356" s="30" t="n">
        <v>0</v>
      </c>
      <c r="G356" s="30" t="n">
        <v>0</v>
      </c>
    </row>
    <row r="357" ht="17" customHeight="1">
      <c r="B357" s="5" t="inlineStr">
        <is>
          <t>地域の事業所との連携</t>
        </is>
      </c>
      <c r="C357" s="30" t="n">
        <v>3</v>
      </c>
      <c r="D357" s="30" t="n">
        <v>0</v>
      </c>
      <c r="E357" s="30" t="n">
        <v>1</v>
      </c>
      <c r="F357" s="30" t="n">
        <v>1</v>
      </c>
      <c r="G357" s="30" t="n">
        <v>1</v>
      </c>
    </row>
    <row r="358" ht="17" customHeight="1">
      <c r="B358" s="5" t="inlineStr">
        <is>
          <t>制度を知らない</t>
        </is>
      </c>
      <c r="C358" s="30" t="n">
        <v>3</v>
      </c>
      <c r="D358" s="30" t="n">
        <v>2</v>
      </c>
      <c r="E358" s="30" t="n">
        <v>2</v>
      </c>
      <c r="F358" s="30" t="n">
        <v>2</v>
      </c>
      <c r="G358" s="30" t="n">
        <v>1</v>
      </c>
    </row>
    <row r="359" ht="17" customHeight="1">
      <c r="B359" s="5" t="inlineStr">
        <is>
          <t>特にない</t>
        </is>
      </c>
      <c r="C359" s="30" t="n">
        <v>4</v>
      </c>
      <c r="D359" s="30" t="n">
        <v>0</v>
      </c>
      <c r="E359" s="30" t="n">
        <v>0</v>
      </c>
      <c r="F359" s="30" t="n">
        <v>1</v>
      </c>
      <c r="G359" s="30" t="n">
        <v>0</v>
      </c>
    </row>
    <row r="360" ht="17" customHeight="1">
      <c r="B360" s="5" t="inlineStr">
        <is>
          <t>無回答</t>
        </is>
      </c>
      <c r="C360" s="30" t="n">
        <v>4</v>
      </c>
      <c r="D360" s="30" t="n">
        <v>1</v>
      </c>
      <c r="E360" s="30" t="n">
        <v>2</v>
      </c>
      <c r="F360" s="30" t="n">
        <v>3</v>
      </c>
      <c r="G360" s="30" t="n">
        <v>1</v>
      </c>
    </row>
    <row r="362">
      <c r="B362" s="28" t="inlineStr">
        <is>
          <t>【割合】各区分の回答者数（n）に占める割合（計算式）</t>
        </is>
      </c>
    </row>
    <row r="363" ht="44" customHeight="1">
      <c r="B363" s="3" t="inlineStr">
        <is>
          <t>区分</t>
        </is>
      </c>
      <c r="C363" s="3" t="inlineStr">
        <is>
          <t>介助は必要ない</t>
        </is>
      </c>
      <c r="D363" s="3" t="inlineStr">
        <is>
          <t>親</t>
        </is>
      </c>
      <c r="E363" s="3" t="inlineStr">
        <is>
          <t>配偶者</t>
        </is>
      </c>
      <c r="F363" s="3" t="inlineStr">
        <is>
          <t>子ども</t>
        </is>
      </c>
      <c r="G363" s="3" t="inlineStr">
        <is>
          <t>施設・事業所
職員</t>
        </is>
      </c>
    </row>
    <row r="364" ht="17" customHeight="1">
      <c r="B364" s="5" t="inlineStr">
        <is>
          <t>緊急時の相談</t>
        </is>
      </c>
      <c r="C364" s="26">
        <f>IF($C$351=0,0,$C$352/$C$351)</f>
        <v>0.333333333333333</v>
      </c>
      <c r="D364" s="26">
        <f>IF($D$351=0,0,$D$352/$D$351)</f>
        <v>0.2</v>
      </c>
      <c r="E364" s="26">
        <f>IF($E$351=0,0,$E$352/$E$351)</f>
        <v>0.428571428571429</v>
      </c>
      <c r="F364" s="26">
        <f>IF($F$351=0,0,$F$352/$F$351)</f>
        <v>0.222222222222222</v>
      </c>
      <c r="G364" s="26">
        <f>IF($G$351=0,0,$G$352/$G$351)</f>
        <v>0.375</v>
      </c>
    </row>
    <row r="365" ht="17" customHeight="1">
      <c r="B365" s="5" t="inlineStr">
        <is>
          <t>緊急時の受入れ</t>
        </is>
      </c>
      <c r="C365" s="26">
        <f>IF($C$351=0,0,$C$353/$C$351)</f>
        <v>0.277777777777778</v>
      </c>
      <c r="D365" s="26">
        <f>IF($D$351=0,0,$D$353/$D$351)</f>
        <v>0.4</v>
      </c>
      <c r="E365" s="26">
        <f>IF($E$351=0,0,$E$353/$E$351)</f>
        <v>0.428571428571429</v>
      </c>
      <c r="F365" s="26">
        <f>IF($F$351=0,0,$F$353/$F$351)</f>
        <v>0.111111111111111</v>
      </c>
      <c r="G365" s="26">
        <f>IF($G$351=0,0,$G$353/$G$351)</f>
        <v>0.5</v>
      </c>
    </row>
    <row r="366" ht="17" customHeight="1">
      <c r="B366" s="5" t="inlineStr">
        <is>
          <t>短期入所の確保</t>
        </is>
      </c>
      <c r="C366" s="26">
        <f>IF($C$351=0,0,$C$354/$C$351)</f>
        <v>0</v>
      </c>
      <c r="D366" s="26">
        <f>IF($D$351=0,0,$D$354/$D$351)</f>
        <v>0.2</v>
      </c>
      <c r="E366" s="26">
        <f>IF($E$351=0,0,$E$354/$E$351)</f>
        <v>0.142857142857143</v>
      </c>
      <c r="F366" s="26">
        <f>IF($F$351=0,0,$F$354/$F$351)</f>
        <v>0</v>
      </c>
      <c r="G366" s="26">
        <f>IF($G$351=0,0,$G$354/$G$351)</f>
        <v>0.125</v>
      </c>
    </row>
    <row r="367" ht="17" customHeight="1">
      <c r="B367" s="5" t="inlineStr">
        <is>
          <t>一人暮らし・グループホーム体験</t>
        </is>
      </c>
      <c r="C367" s="26">
        <f>IF($C$351=0,0,$C$355/$C$351)</f>
        <v>0</v>
      </c>
      <c r="D367" s="26">
        <f>IF($D$351=0,0,$D$355/$D$351)</f>
        <v>0</v>
      </c>
      <c r="E367" s="26">
        <f>IF($E$351=0,0,$E$355/$E$351)</f>
        <v>0</v>
      </c>
      <c r="F367" s="26">
        <f>IF($F$351=0,0,$F$355/$F$351)</f>
        <v>0</v>
      </c>
      <c r="G367" s="26">
        <f>IF($G$351=0,0,$G$355/$G$351)</f>
        <v>0</v>
      </c>
    </row>
    <row r="368" ht="17" customHeight="1">
      <c r="B368" s="5" t="inlineStr">
        <is>
          <t>専門的人材の確保</t>
        </is>
      </c>
      <c r="C368" s="26">
        <f>IF($C$351=0,0,$C$356/$C$351)</f>
        <v>0.222222222222222</v>
      </c>
      <c r="D368" s="26">
        <f>IF($D$351=0,0,$D$356/$D$351)</f>
        <v>0</v>
      </c>
      <c r="E368" s="26">
        <f>IF($E$351=0,0,$E$356/$E$351)</f>
        <v>0.142857142857143</v>
      </c>
      <c r="F368" s="26">
        <f>IF($F$351=0,0,$F$356/$F$351)</f>
        <v>0</v>
      </c>
      <c r="G368" s="26">
        <f>IF($G$351=0,0,$G$356/$G$351)</f>
        <v>0</v>
      </c>
    </row>
    <row r="369" ht="17" customHeight="1">
      <c r="B369" s="5" t="inlineStr">
        <is>
          <t>地域の事業所との連携</t>
        </is>
      </c>
      <c r="C369" s="26">
        <f>IF($C$351=0,0,$C$357/$C$351)</f>
        <v>0.166666666666667</v>
      </c>
      <c r="D369" s="26">
        <f>IF($D$351=0,0,$D$357/$D$351)</f>
        <v>0</v>
      </c>
      <c r="E369" s="26">
        <f>IF($E$351=0,0,$E$357/$E$351)</f>
        <v>0.142857142857143</v>
      </c>
      <c r="F369" s="26">
        <f>IF($F$351=0,0,$F$357/$F$351)</f>
        <v>0.111111111111111</v>
      </c>
      <c r="G369" s="26">
        <f>IF($G$351=0,0,$G$357/$G$351)</f>
        <v>0.125</v>
      </c>
    </row>
    <row r="370" ht="17" customHeight="1">
      <c r="B370" s="5" t="inlineStr">
        <is>
          <t>制度を知らない</t>
        </is>
      </c>
      <c r="C370" s="26">
        <f>IF($C$351=0,0,$C$358/$C$351)</f>
        <v>0.166666666666667</v>
      </c>
      <c r="D370" s="26">
        <f>IF($D$351=0,0,$D$358/$D$351)</f>
        <v>0.4</v>
      </c>
      <c r="E370" s="26">
        <f>IF($E$351=0,0,$E$358/$E$351)</f>
        <v>0.285714285714286</v>
      </c>
      <c r="F370" s="26">
        <f>IF($F$351=0,0,$F$358/$F$351)</f>
        <v>0.222222222222222</v>
      </c>
      <c r="G370" s="26">
        <f>IF($G$351=0,0,$G$358/$G$351)</f>
        <v>0.125</v>
      </c>
    </row>
    <row r="371" ht="17" customHeight="1">
      <c r="B371" s="5" t="inlineStr">
        <is>
          <t>特にない</t>
        </is>
      </c>
      <c r="C371" s="26">
        <f>IF($C$351=0,0,$C$359/$C$351)</f>
        <v>0.222222222222222</v>
      </c>
      <c r="D371" s="26">
        <f>IF($D$351=0,0,$D$359/$D$351)</f>
        <v>0</v>
      </c>
      <c r="E371" s="26">
        <f>IF($E$351=0,0,$E$359/$E$351)</f>
        <v>0</v>
      </c>
      <c r="F371" s="26">
        <f>IF($F$351=0,0,$F$359/$F$351)</f>
        <v>0.111111111111111</v>
      </c>
      <c r="G371" s="26">
        <f>IF($G$351=0,0,$G$359/$G$351)</f>
        <v>0</v>
      </c>
    </row>
    <row r="372" ht="17" customHeight="1">
      <c r="B372" s="5" t="inlineStr">
        <is>
          <t>無回答</t>
        </is>
      </c>
      <c r="C372" s="27">
        <f>IF($C$351=0,0,$C$360/$C$351)</f>
        <v>0.222222222222222</v>
      </c>
      <c r="D372" s="27">
        <f>IF($D$351=0,0,$D$360/$D$351)</f>
        <v>0.2</v>
      </c>
      <c r="E372" s="27">
        <f>IF($E$351=0,0,$E$360/$E$351)</f>
        <v>0.285714285714286</v>
      </c>
      <c r="F372" s="27">
        <f>IF($F$351=0,0,$F$360/$F$351)</f>
        <v>0.333333333333333</v>
      </c>
      <c r="G372" s="27">
        <f>IF($G$351=0,0,$G$360/$G$351)</f>
        <v>0.125</v>
      </c>
    </row>
    <row r="373" ht="39" customHeight="1">
      <c r="B373" s="17" t="inlineStr">
        <is>
          <t>※色が濃いほど割合が高く、太字は各区分で最も割合が高い項目です（条件付き書式）。回答者数が2件以下の区分（その他の親族、ホームヘルパー等、主な支援者はいない）及び回答のなかった「その他」は省略しています。</t>
        </is>
      </c>
    </row>
  </sheetData>
  <mergeCells count="35">
    <mergeCell ref="B229:D229"/>
    <mergeCell ref="C6:G6"/>
    <mergeCell ref="B292:F292"/>
    <mergeCell ref="C5:G5"/>
    <mergeCell ref="H11:J11"/>
    <mergeCell ref="B214:F214"/>
    <mergeCell ref="H7:J7"/>
    <mergeCell ref="C4:G4"/>
    <mergeCell ref="B346:I346"/>
    <mergeCell ref="B373:G373"/>
    <mergeCell ref="C10:G10"/>
    <mergeCell ref="H13:J13"/>
    <mergeCell ref="H12:J12"/>
    <mergeCell ref="H3:J3"/>
    <mergeCell ref="B319:G319"/>
    <mergeCell ref="C9:G9"/>
    <mergeCell ref="B93:E93"/>
    <mergeCell ref="C12:G12"/>
    <mergeCell ref="H5:J5"/>
    <mergeCell ref="C11:G11"/>
    <mergeCell ref="H8:J8"/>
    <mergeCell ref="B135:G135"/>
    <mergeCell ref="C8:G8"/>
    <mergeCell ref="B81:G81"/>
    <mergeCell ref="C7:G7"/>
    <mergeCell ref="H10:J10"/>
    <mergeCell ref="B162:H162"/>
    <mergeCell ref="H4:J4"/>
    <mergeCell ref="H9:J9"/>
    <mergeCell ref="B171:K171"/>
    <mergeCell ref="B265:I265"/>
    <mergeCell ref="B52:G52"/>
    <mergeCell ref="C13:G13"/>
    <mergeCell ref="C3:G3"/>
    <mergeCell ref="H6:J6"/>
  </mergeCells>
  <conditionalFormatting sqref="C37:G50">
    <cfRule type="colorScale" priority="1">
      <colorScale>
        <cfvo type="num" val="0"/>
        <cfvo type="num" val="1"/>
        <color rgb="00FFFFFF"/>
        <color rgb="009A9A9A"/>
      </colorScale>
    </cfRule>
  </conditionalFormatting>
  <conditionalFormatting sqref="C37:C50">
    <cfRule type="top10" rank="1" priority="2" dxfId="1"/>
  </conditionalFormatting>
  <conditionalFormatting sqref="D37:D50">
    <cfRule type="top10" rank="1" priority="3" dxfId="1"/>
  </conditionalFormatting>
  <conditionalFormatting sqref="E37:E50">
    <cfRule type="top10" rank="1" priority="4" dxfId="1"/>
  </conditionalFormatting>
  <conditionalFormatting sqref="F37:F50">
    <cfRule type="top10" rank="1" priority="5" dxfId="1"/>
  </conditionalFormatting>
  <conditionalFormatting sqref="G37:G50">
    <cfRule type="top10" rank="1" priority="6" dxfId="1"/>
  </conditionalFormatting>
  <conditionalFormatting sqref="C71:G79">
    <cfRule type="colorScale" priority="7">
      <colorScale>
        <cfvo type="num" val="0"/>
        <cfvo type="num" val="1"/>
        <color rgb="00FFFFFF"/>
        <color rgb="009A9A9A"/>
      </colorScale>
    </cfRule>
  </conditionalFormatting>
  <conditionalFormatting sqref="C71:C79">
    <cfRule type="top10" rank="1" priority="8" dxfId="1"/>
  </conditionalFormatting>
  <conditionalFormatting sqref="D71:D79">
    <cfRule type="top10" rank="1" priority="9" dxfId="1"/>
  </conditionalFormatting>
  <conditionalFormatting sqref="E71:E79">
    <cfRule type="top10" rank="1" priority="10" dxfId="1"/>
  </conditionalFormatting>
  <conditionalFormatting sqref="F71:F79">
    <cfRule type="top10" rank="1" priority="11" dxfId="1"/>
  </conditionalFormatting>
  <conditionalFormatting sqref="G71:G79">
    <cfRule type="top10" rank="1" priority="12" dxfId="1"/>
  </conditionalFormatting>
  <conditionalFormatting sqref="C125:G133">
    <cfRule type="colorScale" priority="13">
      <colorScale>
        <cfvo type="num" val="0"/>
        <cfvo type="num" val="1"/>
        <color rgb="00FFFFFF"/>
        <color rgb="009A9A9A"/>
      </colorScale>
    </cfRule>
  </conditionalFormatting>
  <conditionalFormatting sqref="C125:C133">
    <cfRule type="top10" rank="1" priority="14" dxfId="1"/>
  </conditionalFormatting>
  <conditionalFormatting sqref="D125:D133">
    <cfRule type="top10" rank="1" priority="15" dxfId="1"/>
  </conditionalFormatting>
  <conditionalFormatting sqref="E125:E133">
    <cfRule type="top10" rank="1" priority="16" dxfId="1"/>
  </conditionalFormatting>
  <conditionalFormatting sqref="F125:F133">
    <cfRule type="top10" rank="1" priority="17" dxfId="1"/>
  </conditionalFormatting>
  <conditionalFormatting sqref="G125:G133">
    <cfRule type="top10" rank="1" priority="18" dxfId="1"/>
  </conditionalFormatting>
  <conditionalFormatting sqref="C153:H160">
    <cfRule type="colorScale" priority="19">
      <colorScale>
        <cfvo type="num" val="0"/>
        <cfvo type="num" val="1"/>
        <color rgb="00FFFFFF"/>
        <color rgb="009A9A9A"/>
      </colorScale>
    </cfRule>
  </conditionalFormatting>
  <conditionalFormatting sqref="C153:C160">
    <cfRule type="top10" rank="1" priority="20" dxfId="1"/>
  </conditionalFormatting>
  <conditionalFormatting sqref="D153:D160">
    <cfRule type="top10" rank="1" priority="21" dxfId="1"/>
  </conditionalFormatting>
  <conditionalFormatting sqref="E153:E160">
    <cfRule type="top10" rank="1" priority="22" dxfId="1"/>
  </conditionalFormatting>
  <conditionalFormatting sqref="F153:F160">
    <cfRule type="top10" rank="1" priority="23" dxfId="1"/>
  </conditionalFormatting>
  <conditionalFormatting sqref="G153:G160">
    <cfRule type="top10" rank="1" priority="24" dxfId="1"/>
  </conditionalFormatting>
  <conditionalFormatting sqref="H153:H160">
    <cfRule type="top10" rank="1" priority="25" dxfId="1"/>
  </conditionalFormatting>
  <conditionalFormatting sqref="C199:F212">
    <cfRule type="colorScale" priority="26">
      <colorScale>
        <cfvo type="num" val="0"/>
        <cfvo type="num" val="1"/>
        <color rgb="00FFFFFF"/>
        <color rgb="009A9A9A"/>
      </colorScale>
    </cfRule>
  </conditionalFormatting>
  <conditionalFormatting sqref="C199:C212">
    <cfRule type="top10" rank="1" priority="27" dxfId="1"/>
  </conditionalFormatting>
  <conditionalFormatting sqref="D199:D212">
    <cfRule type="top10" rank="1" priority="28" dxfId="1"/>
  </conditionalFormatting>
  <conditionalFormatting sqref="E199:E212">
    <cfRule type="top10" rank="1" priority="29" dxfId="1"/>
  </conditionalFormatting>
  <conditionalFormatting sqref="F199:F212">
    <cfRule type="top10" rank="1" priority="30" dxfId="1"/>
  </conditionalFormatting>
  <conditionalFormatting sqref="C257:I263">
    <cfRule type="colorScale" priority="31">
      <colorScale>
        <cfvo type="num" val="0"/>
        <cfvo type="num" val="1"/>
        <color rgb="00FFFFFF"/>
        <color rgb="009A9A9A"/>
      </colorScale>
    </cfRule>
  </conditionalFormatting>
  <conditionalFormatting sqref="C257:C263">
    <cfRule type="top10" rank="1" priority="32" dxfId="1"/>
  </conditionalFormatting>
  <conditionalFormatting sqref="D257:D263">
    <cfRule type="top10" rank="1" priority="33" dxfId="1"/>
  </conditionalFormatting>
  <conditionalFormatting sqref="E257:E263">
    <cfRule type="top10" rank="1" priority="34" dxfId="1"/>
  </conditionalFormatting>
  <conditionalFormatting sqref="F257:F263">
    <cfRule type="top10" rank="1" priority="35" dxfId="1"/>
  </conditionalFormatting>
  <conditionalFormatting sqref="G257:G263">
    <cfRule type="top10" rank="1" priority="36" dxfId="1"/>
  </conditionalFormatting>
  <conditionalFormatting sqref="H257:H263">
    <cfRule type="top10" rank="1" priority="37" dxfId="1"/>
  </conditionalFormatting>
  <conditionalFormatting sqref="I257:I263">
    <cfRule type="top10" rank="1" priority="38" dxfId="1"/>
  </conditionalFormatting>
  <conditionalFormatting sqref="C283:F290">
    <cfRule type="colorScale" priority="39">
      <colorScale>
        <cfvo type="num" val="0"/>
        <cfvo type="num" val="1"/>
        <color rgb="00FFFFFF"/>
        <color rgb="009A9A9A"/>
      </colorScale>
    </cfRule>
  </conditionalFormatting>
  <conditionalFormatting sqref="C283:C290">
    <cfRule type="top10" rank="1" priority="40" dxfId="1"/>
  </conditionalFormatting>
  <conditionalFormatting sqref="D283:D290">
    <cfRule type="top10" rank="1" priority="41" dxfId="1"/>
  </conditionalFormatting>
  <conditionalFormatting sqref="E283:E290">
    <cfRule type="top10" rank="1" priority="42" dxfId="1"/>
  </conditionalFormatting>
  <conditionalFormatting sqref="F283:F290">
    <cfRule type="top10" rank="1" priority="43" dxfId="1"/>
  </conditionalFormatting>
  <conditionalFormatting sqref="C310:G317">
    <cfRule type="colorScale" priority="44">
      <colorScale>
        <cfvo type="num" val="0"/>
        <cfvo type="num" val="1"/>
        <color rgb="00FFFFFF"/>
        <color rgb="009A9A9A"/>
      </colorScale>
    </cfRule>
  </conditionalFormatting>
  <conditionalFormatting sqref="C310:C317">
    <cfRule type="top10" rank="1" priority="45" dxfId="1"/>
  </conditionalFormatting>
  <conditionalFormatting sqref="D310:D317">
    <cfRule type="top10" rank="1" priority="46" dxfId="1"/>
  </conditionalFormatting>
  <conditionalFormatting sqref="E310:E317">
    <cfRule type="top10" rank="1" priority="47" dxfId="1"/>
  </conditionalFormatting>
  <conditionalFormatting sqref="F310:F317">
    <cfRule type="top10" rank="1" priority="48" dxfId="1"/>
  </conditionalFormatting>
  <conditionalFormatting sqref="G310:G317">
    <cfRule type="top10" rank="1" priority="49" dxfId="1"/>
  </conditionalFormatting>
  <conditionalFormatting sqref="C337:I344">
    <cfRule type="colorScale" priority="50">
      <colorScale>
        <cfvo type="num" val="0"/>
        <cfvo type="num" val="1"/>
        <color rgb="00FFFFFF"/>
        <color rgb="009A9A9A"/>
      </colorScale>
    </cfRule>
  </conditionalFormatting>
  <conditionalFormatting sqref="C337:C344">
    <cfRule type="top10" rank="1" priority="51" dxfId="1"/>
  </conditionalFormatting>
  <conditionalFormatting sqref="D337:D344">
    <cfRule type="top10" rank="1" priority="52" dxfId="1"/>
  </conditionalFormatting>
  <conditionalFormatting sqref="E337:E344">
    <cfRule type="top10" rank="1" priority="53" dxfId="1"/>
  </conditionalFormatting>
  <conditionalFormatting sqref="F337:F344">
    <cfRule type="top10" rank="1" priority="54" dxfId="1"/>
  </conditionalFormatting>
  <conditionalFormatting sqref="G337:G344">
    <cfRule type="top10" rank="1" priority="55" dxfId="1"/>
  </conditionalFormatting>
  <conditionalFormatting sqref="H337:H344">
    <cfRule type="top10" rank="1" priority="56" dxfId="1"/>
  </conditionalFormatting>
  <conditionalFormatting sqref="I337:I344">
    <cfRule type="top10" rank="1" priority="57" dxfId="1"/>
  </conditionalFormatting>
  <conditionalFormatting sqref="C364:G371">
    <cfRule type="colorScale" priority="58">
      <colorScale>
        <cfvo type="num" val="0"/>
        <cfvo type="num" val="1"/>
        <color rgb="00FFFFFF"/>
        <color rgb="009A9A9A"/>
      </colorScale>
    </cfRule>
  </conditionalFormatting>
  <conditionalFormatting sqref="C364:C371">
    <cfRule type="top10" rank="1" priority="59" dxfId="1"/>
  </conditionalFormatting>
  <conditionalFormatting sqref="D364:D371">
    <cfRule type="top10" rank="1" priority="60" dxfId="1"/>
  </conditionalFormatting>
  <conditionalFormatting sqref="E364:E371">
    <cfRule type="top10" rank="1" priority="61" dxfId="1"/>
  </conditionalFormatting>
  <conditionalFormatting sqref="F364:F371">
    <cfRule type="top10" rank="1" priority="62" dxfId="1"/>
  </conditionalFormatting>
  <conditionalFormatting sqref="G364:G371">
    <cfRule type="top10" rank="1" priority="63" dxfId="1"/>
  </conditionalFormatting>
  <pageMargins left="0.75" right="0.75" top="1" bottom="1" header="0.5" footer="0.5"/>
  <pageSetup orientation="landscape" paperSize="9" fitToHeight="0" fitToWidth="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B2:J271"/>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表5-1　回答者の属性（障がい児調査）</t>
        </is>
      </c>
    </row>
    <row r="3" ht="17" customHeight="1">
      <c r="B3" s="3" t="inlineStr">
        <is>
          <t>項目</t>
        </is>
      </c>
      <c r="C3" s="3" t="inlineStr">
        <is>
          <t>回答（件数）</t>
        </is>
      </c>
      <c r="D3" s="8" t="n"/>
      <c r="E3" s="8" t="n"/>
      <c r="F3" s="8" t="n"/>
      <c r="G3" s="8" t="n"/>
      <c r="H3" s="9" t="n"/>
    </row>
    <row r="4" ht="17" customHeight="1">
      <c r="B4" s="31" t="inlineStr">
        <is>
          <t>記入者（問1）</t>
        </is>
      </c>
      <c r="C4" s="5" t="inlineStr">
        <is>
          <t>「ご家族」2件、「宛名のご本人」1件</t>
        </is>
      </c>
      <c r="D4" s="8" t="n"/>
      <c r="E4" s="8" t="n"/>
      <c r="F4" s="8" t="n"/>
      <c r="G4" s="8" t="n"/>
      <c r="H4" s="9" t="n"/>
    </row>
    <row r="5" ht="30" customHeight="1">
      <c r="B5" s="32" t="inlineStr">
        <is>
          <t>本人意向の反映（問1-2）</t>
        </is>
      </c>
      <c r="C5" s="14" t="inlineStr">
        <is>
          <t>「本人が回答した」1件、「本人の様子や日頃の意向を踏まえて代理記入した」1件、「本人に確認することが難しく、家族・支援者の判断で記入した」1件</t>
        </is>
      </c>
      <c r="D5" s="8" t="n"/>
      <c r="E5" s="8" t="n"/>
      <c r="F5" s="8" t="n"/>
      <c r="G5" s="8" t="n"/>
      <c r="H5" s="9" t="n"/>
    </row>
    <row r="6" ht="17" customHeight="1">
      <c r="B6" s="31" t="inlineStr">
        <is>
          <t>年齢（問2）</t>
        </is>
      </c>
      <c r="C6" s="5" t="inlineStr">
        <is>
          <t>「6～11歳」1件、「12～14歳」1件、「15～17歳」1件</t>
        </is>
      </c>
      <c r="D6" s="8" t="n"/>
      <c r="E6" s="8" t="n"/>
      <c r="F6" s="8" t="n"/>
      <c r="G6" s="8" t="n"/>
      <c r="H6" s="9" t="n"/>
    </row>
    <row r="7" ht="17" customHeight="1">
      <c r="B7" s="32" t="inlineStr">
        <is>
          <t>お住まいの地区（問3）</t>
        </is>
      </c>
      <c r="C7" s="14" t="inlineStr">
        <is>
          <t>「北山地区」2件、「裏磐梯地区」1件</t>
        </is>
      </c>
      <c r="D7" s="8" t="n"/>
      <c r="E7" s="8" t="n"/>
      <c r="F7" s="8" t="n"/>
      <c r="G7" s="8" t="n"/>
      <c r="H7" s="9" t="n"/>
    </row>
    <row r="8" ht="17" customHeight="1">
      <c r="B8" s="31" t="inlineStr">
        <is>
          <t>性別（問4）</t>
        </is>
      </c>
      <c r="C8" s="5" t="inlineStr">
        <is>
          <t>「男性」2件、「女性」1件</t>
        </is>
      </c>
      <c r="D8" s="8" t="n"/>
      <c r="E8" s="8" t="n"/>
      <c r="F8" s="8" t="n"/>
      <c r="G8" s="8" t="n"/>
      <c r="H8" s="9" t="n"/>
    </row>
    <row r="9" ht="30" customHeight="1">
      <c r="B9" s="32" t="inlineStr">
        <is>
          <t>所持している手帳等（問5・複数回答、n=3）</t>
        </is>
      </c>
      <c r="C9" s="14" t="inlineStr">
        <is>
          <t>「身体障がい者手帳」2件、「療育手帳」1件、「精神障がい者保健福祉手帳」1件、「無回答」1件</t>
        </is>
      </c>
      <c r="D9" s="8" t="n"/>
      <c r="E9" s="8" t="n"/>
      <c r="F9" s="8" t="n"/>
      <c r="G9" s="8" t="n"/>
      <c r="H9" s="9" t="n"/>
    </row>
    <row r="10" ht="17" customHeight="1">
      <c r="B10" s="31" t="inlineStr">
        <is>
          <t>主たる障がい種別（問6）</t>
        </is>
      </c>
      <c r="C10" s="5" t="inlineStr">
        <is>
          <t>「身体障がい」1件、「知的障がい」1件、「発達障がい」1件</t>
        </is>
      </c>
      <c r="D10" s="8" t="n"/>
      <c r="E10" s="8" t="n"/>
      <c r="F10" s="8" t="n"/>
      <c r="G10" s="8" t="n"/>
      <c r="H10" s="9" t="n"/>
    </row>
    <row r="11" ht="17" customHeight="1">
      <c r="B11" s="32" t="inlineStr">
        <is>
          <t>障害児通所支援等の支給決定（問7）</t>
        </is>
      </c>
      <c r="C11" s="14" t="inlineStr">
        <is>
          <t>「受けている」2件、「受けていない」1件</t>
        </is>
      </c>
      <c r="D11" s="8" t="n"/>
      <c r="E11" s="8" t="n"/>
      <c r="F11" s="8" t="n"/>
      <c r="G11" s="8" t="n"/>
      <c r="H11" s="9" t="n"/>
    </row>
    <row r="12" ht="17" customHeight="1">
      <c r="B12" s="31" t="inlineStr">
        <is>
          <t>主な支援・介助・見守りをしている方（問8）</t>
        </is>
      </c>
      <c r="C12" s="5" t="inlineStr">
        <is>
          <t>「親」3件</t>
        </is>
      </c>
      <c r="D12" s="8" t="n"/>
      <c r="E12" s="8" t="n"/>
      <c r="F12" s="8" t="n"/>
      <c r="G12" s="8" t="n"/>
      <c r="H12" s="9" t="n"/>
    </row>
    <row r="13" ht="17" customHeight="1">
      <c r="B13" s="32" t="inlineStr">
        <is>
          <t>現在の暮らし（問9）</t>
        </is>
      </c>
      <c r="C13" s="14" t="inlineStr">
        <is>
          <t>「自宅で家族と暮らしている」3件</t>
        </is>
      </c>
      <c r="D13" s="8" t="n"/>
      <c r="E13" s="8" t="n"/>
      <c r="F13" s="8" t="n"/>
      <c r="G13" s="8" t="n"/>
      <c r="H13" s="9" t="n"/>
    </row>
    <row r="15" ht="21" customHeight="1">
      <c r="B15" s="7" t="inlineStr">
        <is>
          <t>図5-1　日常生活で困っていること（問10）</t>
        </is>
      </c>
    </row>
    <row r="16">
      <c r="B16" s="18" t="str">
        <f>"n="&amp;'集計_障がい児'!$F$76&amp;"（複数回答）"</f>
        <v>n=3（複数回答）</v>
      </c>
    </row>
    <row r="17" ht="18" customHeight="1">
      <c r="B17" s="3" t="inlineStr">
        <is>
          <t>選択肢</t>
        </is>
      </c>
      <c r="C17" s="3" t="inlineStr">
        <is>
          <t>件数</t>
        </is>
      </c>
    </row>
    <row r="18" ht="17" customHeight="1">
      <c r="B18" s="5" t="inlineStr">
        <is>
          <t>将来の生活</t>
        </is>
      </c>
      <c r="C18" s="19">
        <f>'集計_障がい児'!$D$76</f>
        <v>3</v>
      </c>
    </row>
    <row r="19" ht="17" customHeight="1">
      <c r="B19" s="5" t="inlineStr">
        <is>
          <t>家事</t>
        </is>
      </c>
      <c r="C19" s="19">
        <f>'集計_障がい児'!$D$65</f>
        <v>1</v>
      </c>
    </row>
    <row r="20" ht="17" customHeight="1">
      <c r="B20" s="5" t="inlineStr">
        <is>
          <t>食事</t>
        </is>
      </c>
      <c r="C20" s="19">
        <f>'集計_障がい児'!$D$66</f>
        <v>1</v>
      </c>
    </row>
    <row r="21" ht="17" customHeight="1">
      <c r="B21" s="5" t="inlineStr">
        <is>
          <t>入浴</t>
        </is>
      </c>
      <c r="C21" s="19">
        <f>'集計_障がい児'!$D$67</f>
        <v>1</v>
      </c>
    </row>
    <row r="22" ht="17" customHeight="1">
      <c r="B22" s="5" t="inlineStr">
        <is>
          <t>排せつ</t>
        </is>
      </c>
      <c r="C22" s="19">
        <f>'集計_障がい児'!$D$68</f>
        <v>1</v>
      </c>
    </row>
    <row r="23" ht="17" customHeight="1">
      <c r="B23" s="5" t="inlineStr">
        <is>
          <t>服薬管理</t>
        </is>
      </c>
      <c r="C23" s="19">
        <f>'集計_障がい児'!$D$69</f>
        <v>1</v>
      </c>
    </row>
    <row r="24" ht="17" customHeight="1">
      <c r="B24" s="5" t="inlineStr">
        <is>
          <t>金銭管理</t>
        </is>
      </c>
      <c r="C24" s="19">
        <f>'集計_障がい児'!$D$70</f>
        <v>1</v>
      </c>
    </row>
    <row r="25" ht="17" customHeight="1">
      <c r="B25" s="5" t="inlineStr">
        <is>
          <t>通院</t>
        </is>
      </c>
      <c r="C25" s="19">
        <f>'集計_障がい児'!$D$71</f>
        <v>1</v>
      </c>
    </row>
    <row r="26" ht="17" customHeight="1">
      <c r="B26" s="5" t="inlineStr">
        <is>
          <t>外出・移動</t>
        </is>
      </c>
      <c r="C26" s="19">
        <f>'集計_障がい児'!$D$72</f>
        <v>1</v>
      </c>
    </row>
    <row r="27" ht="17" customHeight="1">
      <c r="B27" s="5" t="inlineStr">
        <is>
          <t>買い物</t>
        </is>
      </c>
      <c r="C27" s="19">
        <f>'集計_障がい児'!$D$73</f>
        <v>1</v>
      </c>
    </row>
    <row r="28" ht="17" customHeight="1">
      <c r="B28" s="5" t="inlineStr">
        <is>
          <t>災害時の避難</t>
        </is>
      </c>
      <c r="C28" s="19">
        <f>'集計_障がい児'!$D$74</f>
        <v>1</v>
      </c>
    </row>
    <row r="29" ht="17" customHeight="1">
      <c r="B29" s="5" t="inlineStr">
        <is>
          <t>相談先がない</t>
        </is>
      </c>
      <c r="C29" s="19">
        <f>'集計_障がい児'!$D$75</f>
        <v>0</v>
      </c>
    </row>
    <row r="30" ht="17" customHeight="1">
      <c r="B30" s="5" t="inlineStr">
        <is>
          <t>特にない</t>
        </is>
      </c>
      <c r="C30" s="19">
        <f>'集計_障がい児'!$D$77</f>
        <v>0</v>
      </c>
    </row>
    <row r="31" ht="17" customHeight="1">
      <c r="B31" s="5" t="inlineStr">
        <is>
          <t>その他</t>
        </is>
      </c>
      <c r="C31" s="19">
        <f>'集計_障がい児'!$D$78</f>
        <v>1</v>
      </c>
    </row>
    <row r="32" ht="17" customHeight="1">
      <c r="B32" s="5" t="inlineStr">
        <is>
          <t>無回答</t>
        </is>
      </c>
      <c r="C32" s="19">
        <f>'集計_障がい児'!$D$79</f>
        <v>0</v>
      </c>
    </row>
    <row r="33"/>
    <row r="36" ht="21" customHeight="1">
      <c r="B36" s="7" t="inlineStr">
        <is>
          <t>図5-2　外出するときに困ること（問14）</t>
        </is>
      </c>
    </row>
    <row r="37">
      <c r="B37" s="18" t="str">
        <f>"n="&amp;'集計_障がい児'!$F$103&amp;"（複数回答）"</f>
        <v>n=3（複数回答）</v>
      </c>
    </row>
    <row r="38" ht="18" customHeight="1">
      <c r="B38" s="3" t="inlineStr">
        <is>
          <t>選択肢</t>
        </is>
      </c>
      <c r="C38" s="3" t="inlineStr">
        <is>
          <t>件数</t>
        </is>
      </c>
    </row>
    <row r="39" ht="17" customHeight="1">
      <c r="B39" s="5" t="inlineStr">
        <is>
          <t>交通手段が少ない</t>
        </is>
      </c>
      <c r="C39" s="19">
        <f>'集計_障がい児'!$D$103</f>
        <v>2</v>
      </c>
    </row>
    <row r="40" ht="17" customHeight="1">
      <c r="B40" s="5" t="inlineStr">
        <is>
          <t>家族等の付き添いが必要</t>
        </is>
      </c>
      <c r="C40" s="19">
        <f>'集計_障がい児'!$D$104</f>
        <v>2</v>
      </c>
    </row>
    <row r="41" ht="17" customHeight="1">
      <c r="B41" s="5" t="inlineStr">
        <is>
          <t>送迎がない</t>
        </is>
      </c>
      <c r="C41" s="19">
        <f>'集計_障がい児'!$D$105</f>
        <v>1</v>
      </c>
    </row>
    <row r="42" ht="17" customHeight="1">
      <c r="B42" s="5" t="inlineStr">
        <is>
          <t>冬季・積雪時に外出しにくい</t>
        </is>
      </c>
      <c r="C42" s="19">
        <f>'集計_障がい児'!$D$106</f>
        <v>1</v>
      </c>
    </row>
    <row r="43" ht="17" customHeight="1">
      <c r="B43" s="5" t="inlineStr">
        <is>
          <t>体調面が不安</t>
        </is>
      </c>
      <c r="C43" s="19">
        <f>'集計_障がい児'!$D$109</f>
        <v>1</v>
      </c>
    </row>
    <row r="44" ht="17" customHeight="1">
      <c r="B44" s="5" t="inlineStr">
        <is>
          <t>費用がかかる</t>
        </is>
      </c>
      <c r="C44" s="19">
        <f>'集計_障がい児'!$D$110</f>
        <v>1</v>
      </c>
    </row>
    <row r="45" ht="17" customHeight="1">
      <c r="B45" s="5" t="inlineStr">
        <is>
          <t>その他</t>
        </is>
      </c>
      <c r="C45" s="19">
        <f>'集計_障がい児'!$D$112</f>
        <v>1</v>
      </c>
    </row>
    <row r="46" ht="17" customHeight="1">
      <c r="B46" s="5" t="inlineStr">
        <is>
          <t>無回答</t>
        </is>
      </c>
      <c r="C46" s="19">
        <f>'集計_障がい児'!$D$113</f>
        <v>0</v>
      </c>
    </row>
    <row r="47" ht="15" customHeight="1">
      <c r="B47" s="17" t="inlineStr">
        <is>
          <t>※回答のなかった選択肢は省略しています。</t>
        </is>
      </c>
    </row>
    <row r="50" ht="21" customHeight="1">
      <c r="B50" s="7" t="inlineStr">
        <is>
          <t>図5-3　通院や医療で困っていること（問16）</t>
        </is>
      </c>
    </row>
    <row r="51">
      <c r="B51" s="18" t="str">
        <f>"n="&amp;'集計_障がい児'!$F$119&amp;"（複数回答）"</f>
        <v>n=3（複数回答）</v>
      </c>
    </row>
    <row r="52" ht="18" customHeight="1">
      <c r="B52" s="3" t="inlineStr">
        <is>
          <t>選択肢</t>
        </is>
      </c>
      <c r="C52" s="3" t="inlineStr">
        <is>
          <t>件数</t>
        </is>
      </c>
    </row>
    <row r="53" ht="17" customHeight="1">
      <c r="B53" s="5" t="inlineStr">
        <is>
          <t>専門医療機関が遠い</t>
        </is>
      </c>
      <c r="C53" s="19">
        <f>'集計_障がい児'!$D$119</f>
        <v>3</v>
      </c>
    </row>
    <row r="54" ht="17" customHeight="1">
      <c r="B54" s="5" t="inlineStr">
        <is>
          <t>付き添いが必要</t>
        </is>
      </c>
      <c r="C54" s="19">
        <f>'集計_障がい児'!$D$121</f>
        <v>3</v>
      </c>
    </row>
    <row r="55" ht="17" customHeight="1">
      <c r="B55" s="5" t="inlineStr">
        <is>
          <t>緊急時の対応が不安</t>
        </is>
      </c>
      <c r="C55" s="19">
        <f>'集計_障がい児'!$D$124</f>
        <v>2</v>
      </c>
    </row>
    <row r="56" ht="17" customHeight="1">
      <c r="B56" s="5" t="inlineStr">
        <is>
          <t>通院の交通手段がない</t>
        </is>
      </c>
      <c r="C56" s="19">
        <f>'集計_障がい児'!$D$120</f>
        <v>1</v>
      </c>
    </row>
    <row r="57" ht="17" customHeight="1">
      <c r="B57" s="5" t="inlineStr">
        <is>
          <t>医療費や交通費の負担が大きい</t>
        </is>
      </c>
      <c r="C57" s="19">
        <f>'集計_障がい児'!$D$122</f>
        <v>1</v>
      </c>
    </row>
    <row r="58" ht="17" customHeight="1">
      <c r="B58" s="5" t="inlineStr">
        <is>
          <t>その他</t>
        </is>
      </c>
      <c r="C58" s="19">
        <f>'集計_障がい児'!$D$126</f>
        <v>1</v>
      </c>
    </row>
    <row r="59" ht="17" customHeight="1">
      <c r="B59" s="5" t="inlineStr">
        <is>
          <t>無回答</t>
        </is>
      </c>
      <c r="C59" s="19">
        <f>'集計_障がい児'!$D$127</f>
        <v>0</v>
      </c>
    </row>
    <row r="60" ht="15" customHeight="1">
      <c r="B60" s="17" t="inlineStr">
        <is>
          <t>※回答のなかった選択肢は省略しています。</t>
        </is>
      </c>
    </row>
    <row r="63" ht="21" customHeight="1">
      <c r="B63" s="7" t="inlineStr">
        <is>
          <t>図5-4　医療的ケアや重い障がいに関して必要な支援（問18）</t>
        </is>
      </c>
    </row>
    <row r="64">
      <c r="B64" s="18" t="str">
        <f>"n="&amp;'集計_障がい児'!$F$148&amp;"（複数回答）"</f>
        <v>n=3（複数回答）</v>
      </c>
    </row>
    <row r="65" ht="18" customHeight="1">
      <c r="B65" s="3" t="inlineStr">
        <is>
          <t>選択肢</t>
        </is>
      </c>
      <c r="C65" s="3" t="inlineStr">
        <is>
          <t>件数</t>
        </is>
      </c>
    </row>
    <row r="66" ht="17" customHeight="1">
      <c r="B66" s="5" t="inlineStr">
        <is>
          <t>家族の負担軽減</t>
        </is>
      </c>
      <c r="C66" s="19">
        <f>'集計_障がい児'!$D$148</f>
        <v>3</v>
      </c>
    </row>
    <row r="67" ht="17" customHeight="1">
      <c r="B67" s="5" t="inlineStr">
        <is>
          <t>身近な相談先</t>
        </is>
      </c>
      <c r="C67" s="19">
        <f>'集計_障がい児'!$D$143</f>
        <v>1</v>
      </c>
    </row>
    <row r="68" ht="17" customHeight="1">
      <c r="B68" s="5" t="inlineStr">
        <is>
          <t>通所先での医療的ケア対応</t>
        </is>
      </c>
      <c r="C68" s="19">
        <f>'集計_障がい児'!$D$144</f>
        <v>1</v>
      </c>
    </row>
    <row r="69" ht="17" customHeight="1">
      <c r="B69" s="5" t="inlineStr">
        <is>
          <t>短期入所・レスパイトケア</t>
        </is>
      </c>
      <c r="C69" s="19">
        <f>'集計_障がい児'!$D$145</f>
        <v>1</v>
      </c>
    </row>
    <row r="70" ht="17" customHeight="1">
      <c r="B70" s="5" t="inlineStr">
        <is>
          <t>訪問看護等との連携</t>
        </is>
      </c>
      <c r="C70" s="19">
        <f>'集計_障がい児'!$D$146</f>
        <v>1</v>
      </c>
    </row>
    <row r="71" ht="17" customHeight="1">
      <c r="B71" s="5" t="inlineStr">
        <is>
          <t>その他</t>
        </is>
      </c>
      <c r="C71" s="19">
        <f>'集計_障がい児'!$D$150</f>
        <v>1</v>
      </c>
    </row>
    <row r="72" ht="17" customHeight="1">
      <c r="B72" s="5" t="inlineStr">
        <is>
          <t>無回答</t>
        </is>
      </c>
      <c r="C72" s="19">
        <f>'集計_障がい児'!$D$151</f>
        <v>0</v>
      </c>
    </row>
    <row r="73" ht="15" customHeight="1">
      <c r="B73" s="17" t="inlineStr">
        <is>
          <t>※回答のなかった選択肢は省略しています。</t>
        </is>
      </c>
    </row>
    <row r="76" ht="21" customHeight="1">
      <c r="B76" s="7" t="inlineStr">
        <is>
          <t>図5-5　相談支援に期待すること（問22）</t>
        </is>
      </c>
    </row>
    <row r="77">
      <c r="B77" s="18" t="str">
        <f>"n="&amp;'集計_障がい児'!$F$187&amp;"（複数回答）"</f>
        <v>n=3（複数回答）</v>
      </c>
    </row>
    <row r="78" ht="18" customHeight="1">
      <c r="B78" s="3" t="inlineStr">
        <is>
          <t>選択肢</t>
        </is>
      </c>
      <c r="C78" s="3" t="inlineStr">
        <is>
          <t>件数</t>
        </is>
      </c>
    </row>
    <row r="79" ht="17" customHeight="1">
      <c r="B79" s="5" t="inlineStr">
        <is>
          <t>将来の暮らしの相談</t>
        </is>
      </c>
      <c r="C79" s="19">
        <f>'集計_障がい児'!$D$187</f>
        <v>3</v>
      </c>
    </row>
    <row r="80" ht="17" customHeight="1">
      <c r="B80" s="5" t="inlineStr">
        <is>
          <t>医療・通院の相談</t>
        </is>
      </c>
      <c r="C80" s="19">
        <f>'集計_障がい児'!$D$190</f>
        <v>3</v>
      </c>
    </row>
    <row r="81" ht="17" customHeight="1">
      <c r="B81" s="5" t="inlineStr">
        <is>
          <t>サービス利用の相談</t>
        </is>
      </c>
      <c r="C81" s="19">
        <f>'集計_障がい児'!$D$186</f>
        <v>2</v>
      </c>
    </row>
    <row r="82" ht="17" customHeight="1">
      <c r="B82" s="5" t="inlineStr">
        <is>
          <t>家族の負担軽減</t>
        </is>
      </c>
      <c r="C82" s="19">
        <f>'集計_障がい児'!$D$191</f>
        <v>2</v>
      </c>
    </row>
    <row r="83" ht="17" customHeight="1">
      <c r="B83" s="5" t="inlineStr">
        <is>
          <t>日中活動の相談</t>
        </is>
      </c>
      <c r="C83" s="19">
        <f>'集計_障がい児'!$D$188</f>
        <v>1</v>
      </c>
    </row>
    <row r="84" ht="17" customHeight="1">
      <c r="B84" s="5" t="inlineStr">
        <is>
          <t>障がい児・発達の相談</t>
        </is>
      </c>
      <c r="C84" s="19">
        <f>'集計_障がい児'!$D$189</f>
        <v>1</v>
      </c>
    </row>
    <row r="85" ht="17" customHeight="1">
      <c r="B85" s="5" t="inlineStr">
        <is>
          <t>緊急時の相談</t>
        </is>
      </c>
      <c r="C85" s="19">
        <f>'集計_障がい児'!$D$192</f>
        <v>1</v>
      </c>
    </row>
    <row r="86" ht="17" customHeight="1">
      <c r="B86" s="5" t="inlineStr">
        <is>
          <t>わかりやすい情報提供</t>
        </is>
      </c>
      <c r="C86" s="19">
        <f>'集計_障がい児'!$D$193</f>
        <v>1</v>
      </c>
    </row>
    <row r="87" ht="17" customHeight="1">
      <c r="B87" s="5" t="inlineStr">
        <is>
          <t>無回答</t>
        </is>
      </c>
      <c r="C87" s="19">
        <f>'集計_障がい児'!$D$195</f>
        <v>0</v>
      </c>
    </row>
    <row r="88" ht="15" customHeight="1">
      <c r="B88" s="17" t="inlineStr">
        <is>
          <t>※回答のなかった選択肢は省略しています。</t>
        </is>
      </c>
    </row>
    <row r="91" ht="21" customHeight="1">
      <c r="B91" s="7" t="inlineStr">
        <is>
          <t>図5-6　通園・通学や事業所利用で困っていること（問24）</t>
        </is>
      </c>
    </row>
    <row r="92">
      <c r="B92" s="18" t="str">
        <f>"n="&amp;'集計_障がい児'!$F$206&amp;"（複数回答）"</f>
        <v>n=3（複数回答）</v>
      </c>
    </row>
    <row r="93" ht="18" customHeight="1">
      <c r="B93" s="3" t="inlineStr">
        <is>
          <t>選択肢</t>
        </is>
      </c>
      <c r="C93" s="3" t="inlineStr">
        <is>
          <t>件数</t>
        </is>
      </c>
    </row>
    <row r="94" ht="17" customHeight="1">
      <c r="B94" s="5" t="inlineStr">
        <is>
          <t>送迎・移動手段の確保が難しい</t>
        </is>
      </c>
      <c r="C94" s="19">
        <f>'集計_障がい児'!$D$206</f>
        <v>3</v>
      </c>
    </row>
    <row r="95" ht="17" customHeight="1">
      <c r="B95" s="5" t="inlineStr">
        <is>
          <t>付き添いなど家族の負担が大きい</t>
        </is>
      </c>
      <c r="C95" s="19">
        <f>'集計_障がい児'!$D$208</f>
        <v>3</v>
      </c>
    </row>
    <row r="96" ht="17" customHeight="1">
      <c r="B96" s="5" t="inlineStr">
        <is>
          <t>冬季の通園・通学・通所が不安</t>
        </is>
      </c>
      <c r="C96" s="19">
        <f>'集計_障がい児'!$D$207</f>
        <v>1</v>
      </c>
    </row>
    <row r="97" ht="17" customHeight="1">
      <c r="B97" s="5" t="inlineStr">
        <is>
          <t>学校・園・事業所との情報共有が難しい</t>
        </is>
      </c>
      <c r="C97" s="19">
        <f>'集計_障がい児'!$D$211</f>
        <v>1</v>
      </c>
    </row>
    <row r="98" ht="17" customHeight="1">
      <c r="B98" s="5" t="inlineStr">
        <is>
          <t>その他</t>
        </is>
      </c>
      <c r="C98" s="19">
        <f>'集計_障がい児'!$D$215</f>
        <v>1</v>
      </c>
    </row>
    <row r="99" ht="17" customHeight="1">
      <c r="B99" s="5" t="inlineStr">
        <is>
          <t>無回答</t>
        </is>
      </c>
      <c r="C99" s="19">
        <f>'集計_障がい児'!$D$216</f>
        <v>0</v>
      </c>
    </row>
    <row r="100" ht="15" customHeight="1">
      <c r="B100" s="17" t="inlineStr">
        <is>
          <t>※回答のなかった選択肢は省略しています。</t>
        </is>
      </c>
    </row>
    <row r="103" ht="21" customHeight="1">
      <c r="B103" s="7" t="inlineStr">
        <is>
          <t>図5-7　日頃の暮らしに関する評価（問25）</t>
        </is>
      </c>
    </row>
    <row r="104"/>
    <row r="105" ht="44" customHeight="1">
      <c r="B105" s="3" t="inlineStr">
        <is>
          <t>項目</t>
        </is>
      </c>
      <c r="C105" s="3" t="inlineStr">
        <is>
          <t>そう思う</t>
        </is>
      </c>
      <c r="D105" s="3" t="inlineStr">
        <is>
          <t>どちらかといえばそう思う</t>
        </is>
      </c>
      <c r="E105" s="3" t="inlineStr">
        <is>
          <t>どちらかといえばそう思わない</t>
        </is>
      </c>
      <c r="F105" s="3" t="inlineStr">
        <is>
          <t>そう思わない・わからない</t>
        </is>
      </c>
      <c r="G105" s="3" t="inlineStr">
        <is>
          <t>無回答</t>
        </is>
      </c>
    </row>
    <row r="106" ht="17" customHeight="1">
      <c r="B106" s="5" t="inlineStr">
        <is>
          <t>安心できる居場所</t>
        </is>
      </c>
      <c r="C106" s="20">
        <f>'集計_障がい児'!$E$217</f>
        <v>0.666666666666667</v>
      </c>
      <c r="D106" s="20">
        <f>'集計_障がい児'!$E$218</f>
        <v>0.333333333333333</v>
      </c>
      <c r="E106" s="20">
        <f>'集計_障がい児'!$E$219</f>
        <v>0</v>
      </c>
      <c r="F106" s="20">
        <f>'集計_障がい児'!$E$220</f>
        <v>0</v>
      </c>
      <c r="G106" s="20">
        <f>'集計_障がい児'!$E$221</f>
        <v>0</v>
      </c>
    </row>
    <row r="107" ht="17" customHeight="1">
      <c r="B107" s="5" t="inlineStr">
        <is>
          <t>相談できる人</t>
        </is>
      </c>
      <c r="C107" s="20">
        <f>'集計_障がい児'!$E$222</f>
        <v>0.333333333333333</v>
      </c>
      <c r="D107" s="20">
        <f>'集計_障がい児'!$E$223</f>
        <v>0.666666666666667</v>
      </c>
      <c r="E107" s="20">
        <f>'集計_障がい児'!$E$224</f>
        <v>0</v>
      </c>
      <c r="F107" s="20">
        <f>'集計_障がい児'!$E$225</f>
        <v>0</v>
      </c>
      <c r="G107" s="20">
        <f>'集計_障がい児'!$E$226</f>
        <v>0</v>
      </c>
    </row>
    <row r="108" ht="17" customHeight="1">
      <c r="B108" s="5" t="inlineStr">
        <is>
          <t>友人・地域との関わり</t>
        </is>
      </c>
      <c r="C108" s="20">
        <f>'集計_障がい児'!$E$227</f>
        <v>0.333333333333333</v>
      </c>
      <c r="D108" s="20">
        <f>'集計_障がい児'!$E$228</f>
        <v>0.666666666666667</v>
      </c>
      <c r="E108" s="20">
        <f>'集計_障がい児'!$E$229</f>
        <v>0</v>
      </c>
      <c r="F108" s="20">
        <f>'集計_障がい児'!$E$230</f>
        <v>0</v>
      </c>
      <c r="G108" s="20">
        <f>'集計_障がい児'!$E$231</f>
        <v>0</v>
      </c>
    </row>
    <row r="109" ht="17" customHeight="1">
      <c r="B109" s="5" t="inlineStr">
        <is>
          <t>意思の尊重</t>
        </is>
      </c>
      <c r="C109" s="20">
        <f>'集計_障がい児'!$E$232</f>
        <v>0</v>
      </c>
      <c r="D109" s="20">
        <f>'集計_障がい児'!$E$233</f>
        <v>0.666666666666667</v>
      </c>
      <c r="E109" s="20">
        <f>'集計_障がい児'!$E$234</f>
        <v>0.333333333333333</v>
      </c>
      <c r="F109" s="20">
        <f>'集計_障がい児'!$E$235</f>
        <v>0</v>
      </c>
      <c r="G109" s="20">
        <f>'集計_障がい児'!$E$236</f>
        <v>0</v>
      </c>
    </row>
    <row r="110" ht="17" customHeight="1">
      <c r="B110" s="5" t="inlineStr">
        <is>
          <t>家族の負担感</t>
        </is>
      </c>
      <c r="C110" s="20">
        <f>'集計_障がい児'!$E$237</f>
        <v>1</v>
      </c>
      <c r="D110" s="20">
        <f>'集計_障がい児'!$E$238</f>
        <v>0</v>
      </c>
      <c r="E110" s="20">
        <f>'集計_障がい児'!$E$239</f>
        <v>0</v>
      </c>
      <c r="F110" s="20">
        <f>'集計_障がい児'!$E$240</f>
        <v>0</v>
      </c>
      <c r="G110" s="20">
        <f>'集計_障がい児'!$E$241</f>
        <v>0</v>
      </c>
    </row>
    <row r="111"/>
    <row r="112"/>
    <row r="113"/>
    <row r="114"/>
    <row r="115"/>
    <row r="118" ht="21" customHeight="1">
      <c r="B118" s="7" t="inlineStr">
        <is>
          <t>図5-8　放課後や長期休暇中の過ごし方で困っていること（問31）</t>
        </is>
      </c>
    </row>
    <row r="119">
      <c r="B119" s="18" t="str">
        <f>"n="&amp;'集計_障がい児'!$F$297&amp;"（複数回答）"</f>
        <v>n=3（複数回答）</v>
      </c>
    </row>
    <row r="120" ht="18" customHeight="1">
      <c r="B120" s="3" t="inlineStr">
        <is>
          <t>選択肢</t>
        </is>
      </c>
      <c r="C120" s="3" t="inlineStr">
        <is>
          <t>件数</t>
        </is>
      </c>
    </row>
    <row r="121" ht="17" customHeight="1">
      <c r="B121" s="5" t="inlineStr">
        <is>
          <t>利用できる場所が少ない</t>
        </is>
      </c>
      <c r="C121" s="19">
        <f>'集計_障がい児'!$D$297</f>
        <v>2</v>
      </c>
    </row>
    <row r="122" ht="17" customHeight="1">
      <c r="B122" s="5" t="inlineStr">
        <is>
          <t>送迎がない</t>
        </is>
      </c>
      <c r="C122" s="19">
        <f>'集計_障がい児'!$D$298</f>
        <v>2</v>
      </c>
    </row>
    <row r="123" ht="17" customHeight="1">
      <c r="B123" s="5" t="inlineStr">
        <is>
          <t>医療的ケアに対応できる場所が少ない</t>
        </is>
      </c>
      <c r="C123" s="19">
        <f>'集計_障がい児'!$D$299</f>
        <v>1</v>
      </c>
    </row>
    <row r="124" ht="17" customHeight="1">
      <c r="B124" s="5" t="inlineStr">
        <is>
          <t>長期休暇の過ごし方に困る</t>
        </is>
      </c>
      <c r="C124" s="19">
        <f>'集計_障がい児'!$D$300</f>
        <v>1</v>
      </c>
    </row>
    <row r="125" ht="17" customHeight="1">
      <c r="B125" s="5" t="inlineStr">
        <is>
          <t>家族への負担が大きい</t>
        </is>
      </c>
      <c r="C125" s="19">
        <f>'集計_障がい児'!$D$301</f>
        <v>1</v>
      </c>
    </row>
    <row r="126" ht="17" customHeight="1">
      <c r="B126" s="5" t="inlineStr">
        <is>
          <t>費用負担が心配</t>
        </is>
      </c>
      <c r="C126" s="19">
        <f>'集計_障がい児'!$D$303</f>
        <v>1</v>
      </c>
    </row>
    <row r="127" ht="17" customHeight="1">
      <c r="B127" s="5" t="inlineStr">
        <is>
          <t>無回答</t>
        </is>
      </c>
      <c r="C127" s="19">
        <f>'集計_障がい児'!$D$306</f>
        <v>0</v>
      </c>
    </row>
    <row r="128" ht="15" customHeight="1">
      <c r="B128" s="17" t="inlineStr">
        <is>
          <t>※回答のなかった選択肢は省略しています。</t>
        </is>
      </c>
    </row>
    <row r="131" ht="21" customHeight="1">
      <c r="B131" s="7" t="inlineStr">
        <is>
          <t>表5-2　サービス別の利用状況・認知度・今後の利用意向（障がい児調査）</t>
        </is>
      </c>
    </row>
    <row r="132" ht="57" customHeight="1">
      <c r="B132" s="3" t="inlineStr">
        <is>
          <t>サービス</t>
        </is>
      </c>
      <c r="C132" s="3" t="inlineStr">
        <is>
          <t>現在利用している
（問27）</t>
        </is>
      </c>
      <c r="D132" s="3" t="inlineStr">
        <is>
          <t>内容をよく知らない
（問28）</t>
        </is>
      </c>
      <c r="E132" s="3" t="inlineStr">
        <is>
          <t>今後3年間で利用したい
（問29）</t>
        </is>
      </c>
    </row>
    <row r="133">
      <c r="B133" s="22" t="inlineStr">
        <is>
          <t>回答者数（n）</t>
        </is>
      </c>
      <c r="C133" s="23">
        <f>'集計_障がい児'!$F$254</f>
        <v>3</v>
      </c>
      <c r="D133" s="23">
        <f>'集計_障がい児'!$F$266</f>
        <v>3</v>
      </c>
      <c r="E133" s="23">
        <f>'集計_障がい児'!$F$277</f>
        <v>3</v>
      </c>
    </row>
    <row r="134" ht="17" customHeight="1">
      <c r="B134" s="5" t="inlineStr">
        <is>
          <t>児童発達支援</t>
        </is>
      </c>
      <c r="C134" s="33">
        <f>'集計_障がい児'!$D$254</f>
        <v>0</v>
      </c>
      <c r="D134" s="33">
        <f>'集計_障がい児'!$D$266</f>
        <v>1</v>
      </c>
      <c r="E134" s="33">
        <f>'集計_障がい児'!$D$277</f>
        <v>0</v>
      </c>
    </row>
    <row r="135" ht="17" customHeight="1">
      <c r="B135" s="5" t="inlineStr">
        <is>
          <t>放課後等デイサービス</t>
        </is>
      </c>
      <c r="C135" s="33">
        <f>'集計_障がい児'!$D$255</f>
        <v>2</v>
      </c>
      <c r="D135" s="33">
        <f>'集計_障がい児'!$D$267</f>
        <v>1</v>
      </c>
      <c r="E135" s="33">
        <f>'集計_障がい児'!$D$278</f>
        <v>1</v>
      </c>
    </row>
    <row r="136" ht="17" customHeight="1">
      <c r="B136" s="5" t="inlineStr">
        <is>
          <t>保育所等訪問支援</t>
        </is>
      </c>
      <c r="C136" s="33">
        <f>'集計_障がい児'!$D$256</f>
        <v>0</v>
      </c>
      <c r="D136" s="33">
        <f>'集計_障がい児'!$D$268</f>
        <v>1</v>
      </c>
      <c r="E136" s="33">
        <f>'集計_障がい児'!$D$279</f>
        <v>0</v>
      </c>
    </row>
    <row r="137" ht="17" customHeight="1">
      <c r="B137" s="5" t="inlineStr">
        <is>
          <t>居宅訪問型児童発達支援</t>
        </is>
      </c>
      <c r="C137" s="33">
        <f>'集計_障がい児'!$D$257</f>
        <v>0</v>
      </c>
      <c r="D137" s="33">
        <f>'集計_障がい児'!$D$269</f>
        <v>2</v>
      </c>
      <c r="E137" s="33">
        <f>'集計_障がい児'!$D$280</f>
        <v>0</v>
      </c>
    </row>
    <row r="138" ht="17" customHeight="1">
      <c r="B138" s="5" t="inlineStr">
        <is>
          <t>障がい児相談支援</t>
        </is>
      </c>
      <c r="C138" s="33">
        <f>'集計_障がい児'!$D$258</f>
        <v>1</v>
      </c>
      <c r="D138" s="33">
        <f>'集計_障がい児'!$D$270</f>
        <v>1</v>
      </c>
      <c r="E138" s="33">
        <f>'集計_障がい児'!$D$281</f>
        <v>2</v>
      </c>
    </row>
    <row r="139" ht="17" customHeight="1">
      <c r="B139" s="5" t="inlineStr">
        <is>
          <t>短期入所（ショートステイ）</t>
        </is>
      </c>
      <c r="C139" s="33">
        <f>'集計_障がい児'!$D$259</f>
        <v>1</v>
      </c>
      <c r="D139" s="33">
        <f>'集計_障がい児'!$D$271</f>
        <v>1</v>
      </c>
      <c r="E139" s="33">
        <f>'集計_障がい児'!$D$282</f>
        <v>1</v>
      </c>
    </row>
    <row r="140" ht="17" customHeight="1">
      <c r="B140" s="5" t="inlineStr">
        <is>
          <t>日中一時支援</t>
        </is>
      </c>
      <c r="C140" s="33">
        <f>'集計_障がい児'!$D$260</f>
        <v>0</v>
      </c>
      <c r="D140" s="33">
        <f>'集計_障がい児'!$D$272</f>
        <v>1</v>
      </c>
      <c r="E140" s="33">
        <f>'集計_障がい児'!$D$283</f>
        <v>0</v>
      </c>
    </row>
    <row r="141" ht="17" customHeight="1">
      <c r="B141" s="5" t="inlineStr">
        <is>
          <t>移動支援</t>
        </is>
      </c>
      <c r="C141" s="33">
        <f>'集計_障がい児'!$D$261</f>
        <v>0</v>
      </c>
      <c r="D141" s="33">
        <f>'集計_障がい児'!$D$273</f>
        <v>3</v>
      </c>
      <c r="E141" s="33">
        <f>'集計_障がい児'!$D$284</f>
        <v>3</v>
      </c>
    </row>
    <row r="142" ht="17" customHeight="1">
      <c r="B142" s="5" t="inlineStr">
        <is>
          <t>日常生活用具の給付</t>
        </is>
      </c>
      <c r="C142" s="33">
        <f>'集計_障がい児'!$D$262</f>
        <v>0</v>
      </c>
      <c r="D142" s="33">
        <f>'集計_障がい児'!$D$274</f>
        <v>3</v>
      </c>
      <c r="E142" s="33">
        <f>'集計_障がい児'!$D$285</f>
        <v>1</v>
      </c>
    </row>
    <row r="143" ht="17" customHeight="1">
      <c r="B143" s="5" t="inlineStr">
        <is>
          <t>特にない（各設問）</t>
        </is>
      </c>
      <c r="C143" s="33">
        <f>'集計_障がい児'!$D$263</f>
        <v>1</v>
      </c>
      <c r="D143" s="33" t="inlineStr">
        <is>
          <t>－</t>
        </is>
      </c>
      <c r="E143" s="33">
        <f>'集計_障がい児'!$D$286</f>
        <v>0</v>
      </c>
    </row>
    <row r="144" ht="17" customHeight="1">
      <c r="B144" s="5" t="inlineStr">
        <is>
          <t>無回答（各設問）</t>
        </is>
      </c>
      <c r="C144" s="33">
        <f>'集計_障がい児'!$D$265</f>
        <v>0</v>
      </c>
      <c r="D144" s="33">
        <f>'集計_障がい児'!$D$276</f>
        <v>0</v>
      </c>
      <c r="E144" s="33">
        <f>'集計_障がい児'!$D$288</f>
        <v>0</v>
      </c>
    </row>
    <row r="145" ht="15" customHeight="1">
      <c r="B145" s="17" t="inlineStr">
        <is>
          <t>※いずれも複数回答（n=3）。太字は3件全てが回答した項目です。</t>
        </is>
      </c>
    </row>
    <row r="147" ht="21" customHeight="1">
      <c r="B147" s="7" t="inlineStr">
        <is>
          <t>図5-9　サービス別の利用状況・認知度・今後の利用意向（問27～問29）</t>
        </is>
      </c>
    </row>
    <row r="148"/>
    <row r="149" ht="44" customHeight="1">
      <c r="B149" s="3" t="inlineStr">
        <is>
          <t>サービス</t>
        </is>
      </c>
      <c r="C149" s="3" t="inlineStr">
        <is>
          <t>現在利用している</t>
        </is>
      </c>
      <c r="D149" s="3" t="inlineStr">
        <is>
          <t>内容をよく知らない</t>
        </is>
      </c>
      <c r="E149" s="3" t="inlineStr">
        <is>
          <t>今後3年間で利用したい</t>
        </is>
      </c>
    </row>
    <row r="150" ht="17" customHeight="1">
      <c r="B150" s="5" t="inlineStr">
        <is>
          <t>児童発達支援</t>
        </is>
      </c>
      <c r="C150" s="33">
        <f>'集計_障がい児'!$D$254</f>
        <v>0</v>
      </c>
      <c r="D150" s="33">
        <f>'集計_障がい児'!$D$266</f>
        <v>1</v>
      </c>
      <c r="E150" s="33">
        <f>'集計_障がい児'!$D$277</f>
        <v>0</v>
      </c>
    </row>
    <row r="151" ht="17" customHeight="1">
      <c r="B151" s="5" t="inlineStr">
        <is>
          <t>放課後等デイサービス</t>
        </is>
      </c>
      <c r="C151" s="33">
        <f>'集計_障がい児'!$D$255</f>
        <v>2</v>
      </c>
      <c r="D151" s="33">
        <f>'集計_障がい児'!$D$267</f>
        <v>1</v>
      </c>
      <c r="E151" s="33">
        <f>'集計_障がい児'!$D$278</f>
        <v>1</v>
      </c>
    </row>
    <row r="152" ht="17" customHeight="1">
      <c r="B152" s="5" t="inlineStr">
        <is>
          <t>保育所等訪問支援</t>
        </is>
      </c>
      <c r="C152" s="33">
        <f>'集計_障がい児'!$D$256</f>
        <v>0</v>
      </c>
      <c r="D152" s="33">
        <f>'集計_障がい児'!$D$268</f>
        <v>1</v>
      </c>
      <c r="E152" s="33">
        <f>'集計_障がい児'!$D$279</f>
        <v>0</v>
      </c>
    </row>
    <row r="153" ht="17" customHeight="1">
      <c r="B153" s="5" t="inlineStr">
        <is>
          <t>居宅訪問型児童発達支援</t>
        </is>
      </c>
      <c r="C153" s="33">
        <f>'集計_障がい児'!$D$257</f>
        <v>0</v>
      </c>
      <c r="D153" s="33">
        <f>'集計_障がい児'!$D$269</f>
        <v>2</v>
      </c>
      <c r="E153" s="33">
        <f>'集計_障がい児'!$D$280</f>
        <v>0</v>
      </c>
    </row>
    <row r="154" ht="17" customHeight="1">
      <c r="B154" s="5" t="inlineStr">
        <is>
          <t>障がい児相談支援</t>
        </is>
      </c>
      <c r="C154" s="33">
        <f>'集計_障がい児'!$D$258</f>
        <v>1</v>
      </c>
      <c r="D154" s="33">
        <f>'集計_障がい児'!$D$270</f>
        <v>1</v>
      </c>
      <c r="E154" s="33">
        <f>'集計_障がい児'!$D$281</f>
        <v>2</v>
      </c>
    </row>
    <row r="155" ht="17" customHeight="1">
      <c r="B155" s="5" t="inlineStr">
        <is>
          <t>短期入所（ショートステイ）</t>
        </is>
      </c>
      <c r="C155" s="33">
        <f>'集計_障がい児'!$D$259</f>
        <v>1</v>
      </c>
      <c r="D155" s="33">
        <f>'集計_障がい児'!$D$271</f>
        <v>1</v>
      </c>
      <c r="E155" s="33">
        <f>'集計_障がい児'!$D$282</f>
        <v>1</v>
      </c>
    </row>
    <row r="156" ht="17" customHeight="1">
      <c r="B156" s="5" t="inlineStr">
        <is>
          <t>日中一時支援</t>
        </is>
      </c>
      <c r="C156" s="33">
        <f>'集計_障がい児'!$D$260</f>
        <v>0</v>
      </c>
      <c r="D156" s="33">
        <f>'集計_障がい児'!$D$272</f>
        <v>1</v>
      </c>
      <c r="E156" s="33">
        <f>'集計_障がい児'!$D$283</f>
        <v>0</v>
      </c>
    </row>
    <row r="157" ht="17" customHeight="1">
      <c r="B157" s="5" t="inlineStr">
        <is>
          <t>移動支援</t>
        </is>
      </c>
      <c r="C157" s="33">
        <f>'集計_障がい児'!$D$261</f>
        <v>0</v>
      </c>
      <c r="D157" s="33">
        <f>'集計_障がい児'!$D$273</f>
        <v>3</v>
      </c>
      <c r="E157" s="33">
        <f>'集計_障がい児'!$D$284</f>
        <v>3</v>
      </c>
    </row>
    <row r="158" ht="17" customHeight="1">
      <c r="B158" s="5" t="inlineStr">
        <is>
          <t>日常生活用具の給付</t>
        </is>
      </c>
      <c r="C158" s="33">
        <f>'集計_障がい児'!$D$262</f>
        <v>0</v>
      </c>
      <c r="D158" s="33">
        <f>'集計_障がい児'!$D$274</f>
        <v>3</v>
      </c>
      <c r="E158" s="33">
        <f>'集計_障がい児'!$D$285</f>
        <v>1</v>
      </c>
    </row>
    <row r="159"/>
    <row r="160"/>
    <row r="161"/>
    <row r="162"/>
    <row r="163"/>
    <row r="164"/>
    <row r="165"/>
    <row r="166"/>
    <row r="167"/>
    <row r="168"/>
    <row r="169"/>
    <row r="170"/>
    <row r="171"/>
    <row r="172"/>
    <row r="173"/>
    <row r="174"/>
    <row r="177" ht="21" customHeight="1">
      <c r="B177" s="7" t="inlineStr">
        <is>
          <t>図5-10　18歳以降のことで不安なこと（問32）</t>
        </is>
      </c>
    </row>
    <row r="178">
      <c r="B178" s="18" t="str">
        <f>"n="&amp;'集計_障がい児'!$F$307&amp;"（複数回答）"</f>
        <v>n=3（複数回答）</v>
      </c>
    </row>
    <row r="179" ht="18" customHeight="1">
      <c r="B179" s="3" t="inlineStr">
        <is>
          <t>選択肢</t>
        </is>
      </c>
      <c r="C179" s="3" t="inlineStr">
        <is>
          <t>件数</t>
        </is>
      </c>
    </row>
    <row r="180" ht="17" customHeight="1">
      <c r="B180" s="5" t="inlineStr">
        <is>
          <t>進学先・就労先</t>
        </is>
      </c>
      <c r="C180" s="19">
        <f>'集計_障がい児'!$D$307</f>
        <v>3</v>
      </c>
    </row>
    <row r="181" ht="17" customHeight="1">
      <c r="B181" s="5" t="inlineStr">
        <is>
          <t>就労選択支援の利用</t>
        </is>
      </c>
      <c r="C181" s="19">
        <f>'集計_障がい児'!$D$309</f>
        <v>3</v>
      </c>
    </row>
    <row r="182" ht="17" customHeight="1">
      <c r="B182" s="5" t="inlineStr">
        <is>
          <t>医療・通院の継続</t>
        </is>
      </c>
      <c r="C182" s="19">
        <f>'集計_障がい児'!$D$311</f>
        <v>3</v>
      </c>
    </row>
    <row r="183" ht="17" customHeight="1">
      <c r="B183" s="5" t="inlineStr">
        <is>
          <t>送迎・移動手段</t>
        </is>
      </c>
      <c r="C183" s="19">
        <f>'集計_障がい児'!$D$312</f>
        <v>3</v>
      </c>
    </row>
    <row r="184" ht="17" customHeight="1">
      <c r="B184" s="5" t="inlineStr">
        <is>
          <t>本人の意思決定や将来の暮らし</t>
        </is>
      </c>
      <c r="C184" s="19">
        <f>'集計_障がい児'!$D$313</f>
        <v>3</v>
      </c>
    </row>
    <row r="185" ht="17" customHeight="1">
      <c r="B185" s="5" t="inlineStr">
        <is>
          <t>家族の負担</t>
        </is>
      </c>
      <c r="C185" s="19">
        <f>'集計_障がい児'!$D$314</f>
        <v>3</v>
      </c>
    </row>
    <row r="186" ht="17" customHeight="1">
      <c r="B186" s="5" t="inlineStr">
        <is>
          <t>親など家族が高齢になった後の生活</t>
        </is>
      </c>
      <c r="C186" s="19">
        <f>'集計_障がい児'!$D$315</f>
        <v>3</v>
      </c>
    </row>
    <row r="187" ht="17" customHeight="1">
      <c r="B187" s="5" t="inlineStr">
        <is>
          <t>経済的な負担</t>
        </is>
      </c>
      <c r="C187" s="19">
        <f>'集計_障がい児'!$D$316</f>
        <v>3</v>
      </c>
    </row>
    <row r="188" ht="17" customHeight="1">
      <c r="B188" s="5" t="inlineStr">
        <is>
          <t>生活介護や就労継続支援A型等の通所先</t>
        </is>
      </c>
      <c r="C188" s="19">
        <f>'集計_障がい児'!$D$308</f>
        <v>1</v>
      </c>
    </row>
    <row r="189" ht="17" customHeight="1">
      <c r="B189" s="5" t="inlineStr">
        <is>
          <t>相談支援の継続</t>
        </is>
      </c>
      <c r="C189" s="19">
        <f>'集計_障がい児'!$D$310</f>
        <v>1</v>
      </c>
    </row>
    <row r="190" ht="17" customHeight="1">
      <c r="B190" s="5" t="inlineStr">
        <is>
          <t>その他</t>
        </is>
      </c>
      <c r="C190" s="19">
        <f>'集計_障がい児'!$D$318</f>
        <v>1</v>
      </c>
    </row>
    <row r="191" ht="17" customHeight="1">
      <c r="B191" s="5" t="inlineStr">
        <is>
          <t>無回答</t>
        </is>
      </c>
      <c r="C191" s="19">
        <f>'集計_障がい児'!$D$319</f>
        <v>0</v>
      </c>
    </row>
    <row r="192" ht="15" customHeight="1">
      <c r="B192" s="17" t="inlineStr">
        <is>
          <t>※回答のなかった選択肢は省略しています。</t>
        </is>
      </c>
    </row>
    <row r="195" ht="21" customHeight="1">
      <c r="B195" s="7" t="inlineStr">
        <is>
          <t>図5-11　必要だと思う合理的配慮（問35）</t>
        </is>
      </c>
    </row>
    <row r="196">
      <c r="B196" s="18" t="str">
        <f>"n="&amp;'集計_障がい児'!$F$338&amp;"（複数回答）"</f>
        <v>n=3（複数回答）</v>
      </c>
    </row>
    <row r="197" ht="18" customHeight="1">
      <c r="B197" s="3" t="inlineStr">
        <is>
          <t>選択肢</t>
        </is>
      </c>
      <c r="C197" s="3" t="inlineStr">
        <is>
          <t>件数</t>
        </is>
      </c>
    </row>
    <row r="198" ht="17" customHeight="1">
      <c r="B198" s="5" t="inlineStr">
        <is>
          <t>わかりやすい説明</t>
        </is>
      </c>
      <c r="C198" s="19">
        <f>'集計_障がい児'!$D$338</f>
        <v>3</v>
      </c>
    </row>
    <row r="199" ht="17" customHeight="1">
      <c r="B199" s="5" t="inlineStr">
        <is>
          <t>職場・学校での配慮</t>
        </is>
      </c>
      <c r="C199" s="19">
        <f>'集計_障がい児'!$D$344</f>
        <v>3</v>
      </c>
    </row>
    <row r="200" ht="17" customHeight="1">
      <c r="B200" s="5" t="inlineStr">
        <is>
          <t>手続きの支援</t>
        </is>
      </c>
      <c r="C200" s="19">
        <f>'集計_障がい児'!$D$342</f>
        <v>2</v>
      </c>
    </row>
    <row r="201" ht="17" customHeight="1">
      <c r="B201" s="5" t="inlineStr">
        <is>
          <t>本人の意思確認を丁寧に行うこと</t>
        </is>
      </c>
      <c r="C201" s="19">
        <f>'集計_障がい児'!$D$343</f>
        <v>2</v>
      </c>
    </row>
    <row r="202" ht="17" customHeight="1">
      <c r="B202" s="5" t="inlineStr">
        <is>
          <t>筆談・手話・要約筆記・字幕等の意思疎通支援</t>
        </is>
      </c>
      <c r="C202" s="19">
        <f>'集計_障がい児'!$D$339</f>
        <v>1</v>
      </c>
    </row>
    <row r="203" ht="17" customHeight="1">
      <c r="B203" s="5" t="inlineStr">
        <is>
          <t>静かな場所での相談</t>
        </is>
      </c>
      <c r="C203" s="19">
        <f>'集計_障がい児'!$D$340</f>
        <v>1</v>
      </c>
    </row>
    <row r="204" ht="17" customHeight="1">
      <c r="B204" s="5" t="inlineStr">
        <is>
          <t>移動しやすい環境</t>
        </is>
      </c>
      <c r="C204" s="19">
        <f>'集計_障がい児'!$D$341</f>
        <v>1</v>
      </c>
    </row>
    <row r="205" ht="17" customHeight="1">
      <c r="B205" s="5" t="inlineStr">
        <is>
          <t>無回答</t>
        </is>
      </c>
      <c r="C205" s="19">
        <f>'集計_障がい児'!$D$347</f>
        <v>0</v>
      </c>
    </row>
    <row r="206" ht="15" customHeight="1">
      <c r="B206" s="17" t="inlineStr">
        <is>
          <t>※回答のなかった選択肢は省略しています。</t>
        </is>
      </c>
    </row>
    <row r="209" ht="21" customHeight="1">
      <c r="B209" s="7" t="inlineStr">
        <is>
          <t>表5-3　災害時の対応に関する回答（障がい児調査）</t>
        </is>
      </c>
    </row>
    <row r="210" ht="17" customHeight="1">
      <c r="B210" s="3" t="inlineStr">
        <is>
          <t>設問</t>
        </is>
      </c>
      <c r="C210" s="3" t="inlineStr">
        <is>
          <t>回答（件数）</t>
        </is>
      </c>
      <c r="D210" s="8" t="n"/>
      <c r="E210" s="8" t="n"/>
      <c r="F210" s="8" t="n"/>
      <c r="G210" s="8" t="n"/>
      <c r="H210" s="9" t="n"/>
    </row>
    <row r="211" ht="30" customHeight="1">
      <c r="B211" s="31" t="inlineStr">
        <is>
          <t>災害時に不安なこと（問37）</t>
        </is>
      </c>
      <c r="C211" s="5" t="inlineStr">
        <is>
          <t>「避難先での生活」2件、「薬・医療機器」2件、「冬季・積雪時の避難」2件、「避難する方法」1件、「情報が届かないこと」1件</t>
        </is>
      </c>
      <c r="D211" s="8" t="n"/>
      <c r="E211" s="8" t="n"/>
      <c r="F211" s="8" t="n"/>
      <c r="G211" s="8" t="n"/>
      <c r="H211" s="9" t="n"/>
    </row>
    <row r="212" ht="30" customHeight="1">
      <c r="B212" s="32" t="inlineStr">
        <is>
          <t>避難行動要支援者名簿・個別避難計画の認知（問38）</t>
        </is>
      </c>
      <c r="C212" s="14" t="inlineStr">
        <is>
          <t>「知らない」3件</t>
        </is>
      </c>
      <c r="D212" s="8" t="n"/>
      <c r="E212" s="8" t="n"/>
      <c r="F212" s="8" t="n"/>
      <c r="G212" s="8" t="n"/>
      <c r="H212" s="9" t="n"/>
    </row>
    <row r="213" ht="17" customHeight="1">
      <c r="B213" s="31" t="inlineStr">
        <is>
          <t>災害時に支援してくれる人や機関（問39）</t>
        </is>
      </c>
      <c r="C213" s="5" t="inlineStr">
        <is>
          <t>「家族・親族」3件</t>
        </is>
      </c>
      <c r="D213" s="8" t="n"/>
      <c r="E213" s="8" t="n"/>
      <c r="F213" s="8" t="n"/>
      <c r="G213" s="8" t="n"/>
      <c r="H213" s="9" t="n"/>
    </row>
    <row r="214" ht="30" customHeight="1">
      <c r="B214" s="32" t="inlineStr">
        <is>
          <t>災害時に必要だと思う支援（問40）</t>
        </is>
      </c>
      <c r="C214" s="14" t="inlineStr">
        <is>
          <t>「薬・医療機器・電源の確保」2件、「冬季避難の支援」2件、「避難所での合理的配慮」2件、「避難訓練への参加支援」1件、「安否確認」1件</t>
        </is>
      </c>
      <c r="D214" s="8" t="n"/>
      <c r="E214" s="8" t="n"/>
      <c r="F214" s="8" t="n"/>
      <c r="G214" s="8" t="n"/>
      <c r="H214" s="9" t="n"/>
    </row>
    <row r="215" ht="15" customHeight="1">
      <c r="B215" s="17" t="inlineStr">
        <is>
          <t>※問37、問39、問40は複数回答です。回答のなかった選択肢は省略しています。</t>
        </is>
      </c>
    </row>
    <row r="217" ht="21" customHeight="1">
      <c r="B217" s="7" t="inlineStr">
        <is>
          <t>図5-12　今後、村が特に力を入れるべきこと（3つまで）（問43）</t>
        </is>
      </c>
    </row>
    <row r="218">
      <c r="B218" s="18" t="str">
        <f>"n="&amp;'集計_障がい児'!$F$414&amp;"（複数回答）"</f>
        <v>n=3（複数回答）</v>
      </c>
    </row>
    <row r="219" ht="18" customHeight="1">
      <c r="B219" s="3" t="inlineStr">
        <is>
          <t>選択肢</t>
        </is>
      </c>
      <c r="C219" s="3" t="inlineStr">
        <is>
          <t>件数</t>
        </is>
      </c>
    </row>
    <row r="220" ht="17" customHeight="1">
      <c r="B220" s="5" t="inlineStr">
        <is>
          <t>移動支援</t>
        </is>
      </c>
      <c r="C220" s="19">
        <f>'集計_障がい児'!$D$414</f>
        <v>2</v>
      </c>
    </row>
    <row r="221" ht="17" customHeight="1">
      <c r="B221" s="5" t="inlineStr">
        <is>
          <t>就労支援</t>
        </is>
      </c>
      <c r="C221" s="19">
        <f>'集計_障がい児'!$D$415</f>
        <v>2</v>
      </c>
    </row>
    <row r="222" ht="17" customHeight="1">
      <c r="B222" s="5" t="inlineStr">
        <is>
          <t>相談支援体制</t>
        </is>
      </c>
      <c r="C222" s="19">
        <f>'集計_障がい児'!$D$412</f>
        <v>1</v>
      </c>
    </row>
    <row r="223" ht="17" customHeight="1">
      <c r="B223" s="5" t="inlineStr">
        <is>
          <t>医療的ケア児等支援</t>
        </is>
      </c>
      <c r="C223" s="19">
        <f>'集計_障がい児'!$D$417</f>
        <v>1</v>
      </c>
    </row>
    <row r="224" ht="17" customHeight="1">
      <c r="B224" s="5" t="inlineStr">
        <is>
          <t>災害時支援</t>
        </is>
      </c>
      <c r="C224" s="19">
        <f>'集計_障がい児'!$D$418</f>
        <v>1</v>
      </c>
    </row>
    <row r="225" ht="17" customHeight="1">
      <c r="B225" s="5" t="inlineStr">
        <is>
          <t>差別解消・権利擁護</t>
        </is>
      </c>
      <c r="C225" s="19">
        <f>'集計_障がい児'!$D$419</f>
        <v>1</v>
      </c>
    </row>
    <row r="226" ht="17" customHeight="1">
      <c r="B226" s="5" t="inlineStr">
        <is>
          <t>サービス事業所の確保</t>
        </is>
      </c>
      <c r="C226" s="19">
        <f>'集計_障がい児'!$D$421</f>
        <v>1</v>
      </c>
    </row>
    <row r="227" ht="17" customHeight="1">
      <c r="B227" s="5" t="inlineStr">
        <is>
          <t>無回答</t>
        </is>
      </c>
      <c r="C227" s="19">
        <f>'集計_障がい児'!$D$424</f>
        <v>0</v>
      </c>
    </row>
    <row r="228" ht="15" customHeight="1">
      <c r="B228" s="17" t="inlineStr">
        <is>
          <t>※回答のなかった選択肢は省略しています。</t>
        </is>
      </c>
    </row>
    <row r="231" ht="21" customHeight="1">
      <c r="B231" s="7" t="inlineStr">
        <is>
          <t>表5-4　クロス集計の主な傾向（障がい児調査・参考）</t>
        </is>
      </c>
    </row>
    <row r="232" ht="17" customHeight="1">
      <c r="B232" s="3" t="inlineStr">
        <is>
          <t>No.</t>
        </is>
      </c>
      <c r="C232" s="3" t="inlineStr">
        <is>
          <t>分析テーマ</t>
        </is>
      </c>
      <c r="D232" s="8" t="n"/>
      <c r="E232" s="9" t="n"/>
      <c r="F232" s="3" t="inlineStr">
        <is>
          <t>主な傾向</t>
        </is>
      </c>
      <c r="G232" s="8" t="n"/>
      <c r="H232" s="8" t="n"/>
      <c r="I232" s="8" t="n"/>
      <c r="J232" s="9" t="n"/>
    </row>
    <row r="233" ht="30" customHeight="1">
      <c r="B233" s="4" t="inlineStr">
        <is>
          <t>C01</t>
        </is>
      </c>
      <c r="C233" s="5" t="inlineStr">
        <is>
          <t>障がい種別 × 今後利用したいサービス（問6×問29）</t>
        </is>
      </c>
      <c r="D233" s="8" t="n"/>
      <c r="E233" s="9" t="n"/>
      <c r="F233" s="5" t="inlineStr">
        <is>
          <t>障がい種別にかかわらず、3件全てが「移動支援」の利用を希望しています。</t>
        </is>
      </c>
      <c r="G233" s="8" t="n"/>
      <c r="H233" s="8" t="n"/>
      <c r="I233" s="8" t="n"/>
      <c r="J233" s="9" t="n"/>
    </row>
    <row r="234" ht="30" customHeight="1">
      <c r="B234" s="15" t="inlineStr">
        <is>
          <t>C02</t>
        </is>
      </c>
      <c r="C234" s="14" t="inlineStr">
        <is>
          <t>地区 × 外出時に困ること（問3×問14）</t>
        </is>
      </c>
      <c r="D234" s="8" t="n"/>
      <c r="E234" s="9" t="n"/>
      <c r="F234" s="14" t="inlineStr">
        <is>
          <t>北山地区の2件はいずれも「交通手段が少ない」を挙げています。</t>
        </is>
      </c>
      <c r="G234" s="8" t="n"/>
      <c r="H234" s="8" t="n"/>
      <c r="I234" s="8" t="n"/>
      <c r="J234" s="9" t="n"/>
    </row>
    <row r="235" ht="30" customHeight="1">
      <c r="B235" s="4" t="inlineStr">
        <is>
          <t>C03</t>
        </is>
      </c>
      <c r="C235" s="5" t="inlineStr">
        <is>
          <t>地区 × 通園・通学等の困りごと（問3×問24）</t>
        </is>
      </c>
      <c r="D235" s="8" t="n"/>
      <c r="E235" s="9" t="n"/>
      <c r="F235" s="5" t="inlineStr">
        <is>
          <t>地区にかかわらず、3件全てが「送迎・移動手段の確保が難しい」「付き添いなど家族の負担が大きい」を挙げています。</t>
        </is>
      </c>
      <c r="G235" s="8" t="n"/>
      <c r="H235" s="8" t="n"/>
      <c r="I235" s="8" t="n"/>
      <c r="J235" s="9" t="n"/>
    </row>
    <row r="236" ht="30" customHeight="1">
      <c r="B236" s="15" t="inlineStr">
        <is>
          <t>C04</t>
        </is>
      </c>
      <c r="C236" s="14" t="inlineStr">
        <is>
          <t>年齢 × 18歳以降に希望する暮らし（問2×問11）</t>
        </is>
      </c>
      <c r="D236" s="8" t="n"/>
      <c r="E236" s="9" t="n"/>
      <c r="F236" s="14" t="inlineStr">
        <is>
          <t>年齢区分ごとに回答が分かれており、一定の傾向はみられません。</t>
        </is>
      </c>
      <c r="G236" s="8" t="n"/>
      <c r="H236" s="8" t="n"/>
      <c r="I236" s="8" t="n"/>
      <c r="J236" s="9" t="n"/>
    </row>
    <row r="237" ht="30" customHeight="1">
      <c r="B237" s="4" t="inlineStr">
        <is>
          <t>C05</t>
        </is>
      </c>
      <c r="C237" s="5" t="inlineStr">
        <is>
          <t>年齢 × 日常生活で困っていること（問2×問10）</t>
        </is>
      </c>
      <c r="D237" s="8" t="n"/>
      <c r="E237" s="9" t="n"/>
      <c r="F237" s="5" t="inlineStr">
        <is>
          <t>年齢区分にかかわらず、3件全てが「将来の生活」を挙げています。</t>
        </is>
      </c>
      <c r="G237" s="8" t="n"/>
      <c r="H237" s="8" t="n"/>
      <c r="I237" s="8" t="n"/>
      <c r="J237" s="9" t="n"/>
    </row>
    <row r="238" ht="30" customHeight="1">
      <c r="B238" s="15" t="inlineStr">
        <is>
          <t>C06</t>
        </is>
      </c>
      <c r="C238" s="14" t="inlineStr">
        <is>
          <t>現在のサービス × 今後利用したいサービス（問27×問29）</t>
        </is>
      </c>
      <c r="D238" s="8" t="n"/>
      <c r="E238" s="9" t="n"/>
      <c r="F238" s="14" t="inlineStr">
        <is>
          <t>放課後等デイサービスの利用者（2件）は、いずれも今後「障がい児相談支援」「移動支援」の利用を希望しています。</t>
        </is>
      </c>
      <c r="G238" s="8" t="n"/>
      <c r="H238" s="8" t="n"/>
      <c r="I238" s="8" t="n"/>
      <c r="J238" s="9" t="n"/>
    </row>
    <row r="239" ht="43" customHeight="1">
      <c r="B239" s="4" t="inlineStr">
        <is>
          <t>C07</t>
        </is>
      </c>
      <c r="C239" s="5" t="inlineStr">
        <is>
          <t>個別避難計画等の認知 × 災害時の不安（問38×問37）</t>
        </is>
      </c>
      <c r="D239" s="8" t="n"/>
      <c r="E239" s="9" t="n"/>
      <c r="F239" s="5" t="inlineStr">
        <is>
          <t>3件全てが制度を「知らない」と回答しており、そのうち2件が「避難先での生活」「薬・医療機器」「冬季・積雪時の避難」に不安を感じています。</t>
        </is>
      </c>
      <c r="G239" s="8" t="n"/>
      <c r="H239" s="8" t="n"/>
      <c r="I239" s="8" t="n"/>
      <c r="J239" s="9" t="n"/>
    </row>
    <row r="240" ht="30" customHeight="1">
      <c r="B240" s="15" t="inlineStr">
        <is>
          <t>C08</t>
        </is>
      </c>
      <c r="C240" s="14" t="inlineStr">
        <is>
          <t>障がい種別 × 必要な合理的配慮（問6×問35）</t>
        </is>
      </c>
      <c r="D240" s="8" t="n"/>
      <c r="E240" s="9" t="n"/>
      <c r="F240" s="14" t="inlineStr">
        <is>
          <t>障がい種別にかかわらず、3件全てが「わかりやすい説明」「職場・学校での配慮」を挙げています。</t>
        </is>
      </c>
      <c r="G240" s="8" t="n"/>
      <c r="H240" s="8" t="n"/>
      <c r="I240" s="8" t="n"/>
      <c r="J240" s="9" t="n"/>
    </row>
    <row r="241" ht="30" customHeight="1">
      <c r="B241" s="4" t="inlineStr">
        <is>
          <t>C09</t>
        </is>
      </c>
      <c r="C241" s="5" t="inlineStr">
        <is>
          <t>相談先 × 相談支援に期待すること（問19×問22）</t>
        </is>
      </c>
      <c r="D241" s="8" t="n"/>
      <c r="E241" s="9" t="n"/>
      <c r="F241" s="5" t="inlineStr">
        <is>
          <t>家族・親族に相談している3件全てが「将来の暮らしの相談」「医療・通院の相談」を期待しています。</t>
        </is>
      </c>
      <c r="G241" s="8" t="n"/>
      <c r="H241" s="8" t="n"/>
      <c r="I241" s="8" t="n"/>
      <c r="J241" s="9" t="n"/>
    </row>
    <row r="242" ht="30" customHeight="1">
      <c r="B242" s="15" t="inlineStr">
        <is>
          <t>C10</t>
        </is>
      </c>
      <c r="C242" s="14" t="inlineStr">
        <is>
          <t>主な介助者 × 18歳以降の不安（問8×問32）</t>
        </is>
      </c>
      <c r="D242" s="8" t="n"/>
      <c r="E242" s="9" t="n"/>
      <c r="F242" s="14" t="inlineStr">
        <is>
          <t>主な介助者は3件とも親で、8項目で3件全てが不安を挙げています。</t>
        </is>
      </c>
      <c r="G242" s="8" t="n"/>
      <c r="H242" s="8" t="n"/>
      <c r="I242" s="8" t="n"/>
      <c r="J242" s="9" t="n"/>
    </row>
    <row r="244" ht="21" customHeight="1">
      <c r="B244" s="7" t="inlineStr">
        <is>
          <t>表5-5　共通設問の比較</t>
        </is>
      </c>
    </row>
    <row r="245" ht="44" customHeight="1">
      <c r="B245" s="3" t="inlineStr">
        <is>
          <t>項目</t>
        </is>
      </c>
      <c r="C245" s="3" t="inlineStr">
        <is>
          <t>障がい者調査
（割合）</t>
        </is>
      </c>
      <c r="D245" s="3" t="inlineStr">
        <is>
          <t>障がい児調査
（件数）</t>
        </is>
      </c>
      <c r="E245" s="3" t="inlineStr">
        <is>
          <t>障がい児調査
（n）</t>
        </is>
      </c>
    </row>
    <row r="246" ht="17" customHeight="1">
      <c r="B246" s="5" t="inlineStr">
        <is>
          <t>日常生活で困っていること「将来の生活」</t>
        </is>
      </c>
      <c r="C246" s="20">
        <f>IF('集計_障がい者'!$F$87=0,0,SUM('集計_障がい者'!$D$87)/'集計_障がい者'!$F$87)</f>
        <v>0.3</v>
      </c>
      <c r="D246" s="34">
        <f>SUM('集計_障がい児'!$D$76)</f>
        <v>3</v>
      </c>
      <c r="E246" s="34">
        <f>'集計_障がい児'!$F$76</f>
        <v>3</v>
      </c>
    </row>
    <row r="247" ht="17" customHeight="1">
      <c r="B247" s="5" t="inlineStr">
        <is>
          <t>外出時に困ること「交通手段が少ない」</t>
        </is>
      </c>
      <c r="C247" s="20">
        <f>IF('集計_障がい者'!$F$116=0,0,SUM('集計_障がい者'!$D$116)/'集計_障がい者'!$F$116)</f>
        <v>0.15</v>
      </c>
      <c r="D247" s="34">
        <f>SUM('集計_障がい児'!$D$103)</f>
        <v>2</v>
      </c>
      <c r="E247" s="34">
        <f>'集計_障がい児'!$F$103</f>
        <v>3</v>
      </c>
    </row>
    <row r="248" ht="17" customHeight="1">
      <c r="B248" s="5" t="inlineStr">
        <is>
          <t>外出時に困ること「家族等の付き添いが必要」</t>
        </is>
      </c>
      <c r="C248" s="20">
        <f>IF('集計_障がい者'!$F$117=0,0,SUM('集計_障がい者'!$D$117)/'集計_障がい者'!$F$117)</f>
        <v>0.2</v>
      </c>
      <c r="D248" s="34">
        <f>SUM('集計_障がい児'!$D$104)</f>
        <v>2</v>
      </c>
      <c r="E248" s="34">
        <f>'集計_障がい児'!$F$104</f>
        <v>3</v>
      </c>
    </row>
    <row r="249" ht="17" customHeight="1">
      <c r="B249" s="5" t="inlineStr">
        <is>
          <t>通院で困ること「専門医療機関が遠い」</t>
        </is>
      </c>
      <c r="C249" s="20">
        <f>IF('集計_障がい者'!$F$132=0,0,SUM('集計_障がい者'!$D$132)/'集計_障がい者'!$F$132)</f>
        <v>0.225</v>
      </c>
      <c r="D249" s="34">
        <f>SUM('集計_障がい児'!$D$119)</f>
        <v>3</v>
      </c>
      <c r="E249" s="34">
        <f>'集計_障がい児'!$F$119</f>
        <v>3</v>
      </c>
    </row>
    <row r="250" ht="17" customHeight="1">
      <c r="B250" s="5" t="inlineStr">
        <is>
          <t>通院で困ること「付き添いが必要」</t>
        </is>
      </c>
      <c r="C250" s="20">
        <f>IF('集計_障がい者'!$F$134=0,0,SUM('集計_障がい者'!$D$134)/'集計_障がい者'!$F$134)</f>
        <v>0.2</v>
      </c>
      <c r="D250" s="34">
        <f>SUM('集計_障がい児'!$D$121)</f>
        <v>3</v>
      </c>
      <c r="E250" s="34">
        <f>'集計_障がい児'!$F$121</f>
        <v>3</v>
      </c>
    </row>
    <row r="251" ht="17" customHeight="1">
      <c r="B251" s="5" t="inlineStr">
        <is>
          <t>困ったときの相談相手「家族・親族」</t>
        </is>
      </c>
      <c r="C251" s="20">
        <f>IF('集計_障がい者'!$F$184=0,0,SUM('集計_障がい者'!$D$184)/'集計_障がい者'!$F$184)</f>
        <v>0.775</v>
      </c>
      <c r="D251" s="34">
        <f>SUM('集計_障がい児'!$D$152)</f>
        <v>3</v>
      </c>
      <c r="E251" s="34">
        <f>'集計_障がい児'!$F$152</f>
        <v>3</v>
      </c>
    </row>
    <row r="252" ht="17" customHeight="1">
      <c r="B252" s="5" t="inlineStr">
        <is>
          <t>相談支援への期待「将来の暮らしの相談」</t>
        </is>
      </c>
      <c r="C252" s="20">
        <f>IF('集計_障がい者'!$F$224=0,0,SUM('集計_障がい者'!$D$224)/'集計_障がい者'!$F$224)</f>
        <v>0.3</v>
      </c>
      <c r="D252" s="34">
        <f>SUM('集計_障がい児'!$D$187)</f>
        <v>3</v>
      </c>
      <c r="E252" s="34">
        <f>'集計_障がい児'!$F$187</f>
        <v>3</v>
      </c>
    </row>
    <row r="253" ht="17" customHeight="1">
      <c r="B253" s="5" t="inlineStr">
        <is>
          <t>差別・偏見・不利益を感じたことがある</t>
        </is>
      </c>
      <c r="C253" s="20">
        <f>IF('集計_障がい者'!$F$351=0,0,SUM('集計_障がい者'!$D$351,'集計_障がい者'!$D$352,'集計_障がい者'!$D$353)/'集計_障がい者'!$F$351)</f>
        <v>0.225</v>
      </c>
      <c r="D253" s="34">
        <f>SUM('集計_障がい児'!$D$320,'集計_障がい児'!$D$321,'集計_障がい児'!$D$322)</f>
        <v>2</v>
      </c>
      <c r="E253" s="34">
        <f>'集計_障がい児'!$F$320</f>
        <v>3</v>
      </c>
    </row>
    <row r="254" ht="17" customHeight="1">
      <c r="B254" s="5" t="inlineStr">
        <is>
          <t>成年後見制度等を「知らない」</t>
        </is>
      </c>
      <c r="C254" s="20">
        <f>IF('集計_障がい者'!$F$383=0,0,SUM('集計_障がい者'!$D$383)/'集計_障がい者'!$F$383)</f>
        <v>0.375</v>
      </c>
      <c r="D254" s="34">
        <f>SUM('集計_障がい児'!$D$352)</f>
        <v>3</v>
      </c>
      <c r="E254" s="34">
        <f>'集計_障がい児'!$F$352</f>
        <v>3</v>
      </c>
    </row>
    <row r="255" ht="17" customHeight="1">
      <c r="B255" s="5" t="inlineStr">
        <is>
          <t>個別避難計画等を「知らない」</t>
        </is>
      </c>
      <c r="C255" s="20">
        <f>IF('集計_障がい者'!$F$398=0,0,SUM('集計_障がい者'!$D$398)/'集計_障がい者'!$F$398)</f>
        <v>0.7</v>
      </c>
      <c r="D255" s="34">
        <f>SUM('集計_障がい児'!$D$367)</f>
        <v>3</v>
      </c>
      <c r="E255" s="34">
        <f>'集計_障がい児'!$F$367</f>
        <v>3</v>
      </c>
    </row>
    <row r="256" ht="17" customHeight="1">
      <c r="B256" s="5" t="inlineStr">
        <is>
          <t>災害時の不安「冬季・積雪時の避難」</t>
        </is>
      </c>
      <c r="C256" s="20">
        <f>IF('集計_障がい者'!$F$391=0,0,SUM('集計_障がい者'!$D$391)/'集計_障がい者'!$F$391)</f>
        <v>0.425</v>
      </c>
      <c r="D256" s="34">
        <f>SUM('集計_障がい児'!$D$360)</f>
        <v>2</v>
      </c>
      <c r="E256" s="34">
        <f>'集計_障がい児'!$F$360</f>
        <v>3</v>
      </c>
    </row>
    <row r="257" ht="17" customHeight="1">
      <c r="B257" s="5" t="inlineStr">
        <is>
          <t>村が力を入れるべきこと「移動支援」</t>
        </is>
      </c>
      <c r="C257" s="20">
        <f>IF('集計_障がい者'!$F$442=0,0,SUM('集計_障がい者'!$D$442)/'集計_障がい者'!$F$442)</f>
        <v>0.25</v>
      </c>
      <c r="D257" s="34">
        <f>SUM('集計_障がい児'!$D$414)</f>
        <v>2</v>
      </c>
      <c r="E257" s="34">
        <f>'集計_障がい児'!$F$414</f>
        <v>3</v>
      </c>
    </row>
    <row r="258" ht="17" customHeight="1">
      <c r="B258" s="5" t="inlineStr">
        <is>
          <t>村が力を入れるべきこと「相談支援体制」</t>
        </is>
      </c>
      <c r="C258" s="20">
        <f>IF('集計_障がい者'!$F$440=0,0,SUM('集計_障がい者'!$D$440)/'集計_障がい者'!$F$440)</f>
        <v>0.375</v>
      </c>
      <c r="D258" s="34">
        <f>SUM('集計_障がい児'!$D$412)</f>
        <v>1</v>
      </c>
      <c r="E258" s="34">
        <f>'集計_障がい児'!$F$412</f>
        <v>3</v>
      </c>
    </row>
    <row r="259" ht="39" customHeight="1">
      <c r="B259" s="17" t="inlineStr">
        <is>
          <t>※設問番号は調査により異なります（例：相談相手は障がい者調査の問22、障がい児調査の問19）。差別・偏見は「週に１回程度」「月に１回程度」「年に１回程度」の合計です。</t>
        </is>
      </c>
    </row>
    <row r="261" ht="21" customHeight="1">
      <c r="B261" s="7" t="inlineStr">
        <is>
          <t>表5-6　自由記述にみる主な意見（障がい児調査）</t>
        </is>
      </c>
    </row>
    <row r="262" ht="17" customHeight="1">
      <c r="B262" s="3" t="inlineStr">
        <is>
          <t>分野</t>
        </is>
      </c>
      <c r="C262" s="3" t="inlineStr">
        <is>
          <t>主な意見（要旨）</t>
        </is>
      </c>
      <c r="D262" s="8" t="n"/>
      <c r="E262" s="8" t="n"/>
      <c r="F262" s="8" t="n"/>
      <c r="G262" s="8" t="n"/>
      <c r="H262" s="9" t="n"/>
      <c r="I262" s="3" t="inlineStr">
        <is>
          <t>設問</t>
        </is>
      </c>
    </row>
    <row r="263" ht="30" customHeight="1">
      <c r="B263" s="22" t="inlineStr">
        <is>
          <t>送迎・移動</t>
        </is>
      </c>
      <c r="C263" s="5" t="inlineStr">
        <is>
          <t>学校や放課後等デイサービスなどが遠方にあり、送迎の負担が非常に大きい。</t>
        </is>
      </c>
      <c r="D263" s="8" t="n"/>
      <c r="E263" s="8" t="n"/>
      <c r="F263" s="8" t="n"/>
      <c r="G263" s="8" t="n"/>
      <c r="H263" s="9" t="n"/>
      <c r="I263" s="4" t="inlineStr">
        <is>
          <t>問10</t>
        </is>
      </c>
    </row>
    <row r="264" ht="30" customHeight="1">
      <c r="B264" s="22" t="inlineStr"/>
      <c r="C264" s="5" t="inlineStr">
        <is>
          <t>特別支援学校から村内の児童クラブへの送迎を保護者が担っており、仕事との両立が困難である。</t>
        </is>
      </c>
      <c r="D264" s="8" t="n"/>
      <c r="E264" s="8" t="n"/>
      <c r="F264" s="8" t="n"/>
      <c r="G264" s="8" t="n"/>
      <c r="H264" s="9" t="n"/>
      <c r="I264" s="4" t="inlineStr">
        <is>
          <t>問10-2</t>
        </is>
      </c>
    </row>
    <row r="265" ht="30" customHeight="1">
      <c r="B265" s="22" t="inlineStr"/>
      <c r="C265" s="5" t="inlineStr">
        <is>
          <t>送迎について何年も前から相談しているが、話が進まない。通所への送迎支援がほしい。</t>
        </is>
      </c>
      <c r="D265" s="8" t="n"/>
      <c r="E265" s="8" t="n"/>
      <c r="F265" s="8" t="n"/>
      <c r="G265" s="8" t="n"/>
      <c r="H265" s="9" t="n"/>
      <c r="I265" s="4" t="inlineStr">
        <is>
          <t>問24・問18</t>
        </is>
      </c>
    </row>
    <row r="266" ht="30" customHeight="1">
      <c r="B266" s="22" t="inlineStr">
        <is>
          <t>預け先・家族の就労</t>
        </is>
      </c>
      <c r="C266" s="5" t="inlineStr">
        <is>
          <t>全介助が必要であり、休日に預かってもらえる場所がないため、保護者が働くことが難しい。</t>
        </is>
      </c>
      <c r="D266" s="8" t="n"/>
      <c r="E266" s="8" t="n"/>
      <c r="F266" s="8" t="n"/>
      <c r="G266" s="8" t="n"/>
      <c r="H266" s="9" t="n"/>
      <c r="I266" s="4" t="inlineStr">
        <is>
          <t>問10-2</t>
        </is>
      </c>
    </row>
    <row r="267" ht="30" customHeight="1">
      <c r="B267" s="22" t="inlineStr">
        <is>
          <t>障がい特性への対応</t>
        </is>
      </c>
      <c r="C267" s="5" t="inlineStr">
        <is>
          <t>障がい特性により外出が難しく、受診時の待ち時間に対応することも大変である。</t>
        </is>
      </c>
      <c r="D267" s="8" t="n"/>
      <c r="E267" s="8" t="n"/>
      <c r="F267" s="8" t="n"/>
      <c r="G267" s="8" t="n"/>
      <c r="H267" s="9" t="n"/>
      <c r="I267" s="4" t="inlineStr">
        <is>
          <t>問14・問16</t>
        </is>
      </c>
    </row>
    <row r="268" ht="17" customHeight="1">
      <c r="B268" s="22" t="inlineStr">
        <is>
          <t>将来の生活</t>
        </is>
      </c>
      <c r="C268" s="5" t="inlineStr">
        <is>
          <t>学業への不安が強く、将来が不安である。</t>
        </is>
      </c>
      <c r="D268" s="8" t="n"/>
      <c r="E268" s="8" t="n"/>
      <c r="F268" s="8" t="n"/>
      <c r="G268" s="8" t="n"/>
      <c r="H268" s="9" t="n"/>
      <c r="I268" s="4" t="inlineStr">
        <is>
          <t>問10-2</t>
        </is>
      </c>
    </row>
    <row r="269" ht="30" customHeight="1">
      <c r="B269" s="22" t="inlineStr"/>
      <c r="C269" s="5" t="inlineStr">
        <is>
          <t>一人で生活していくことが難しく、意思疎通や生活全般に介助が必要なため、保護者が高齢になった後の生活が不安である。</t>
        </is>
      </c>
      <c r="D269" s="8" t="n"/>
      <c r="E269" s="8" t="n"/>
      <c r="F269" s="8" t="n"/>
      <c r="G269" s="8" t="n"/>
      <c r="H269" s="9" t="n"/>
      <c r="I269" s="4" t="inlineStr">
        <is>
          <t>問32・問32-1</t>
        </is>
      </c>
    </row>
    <row r="270" ht="30" customHeight="1">
      <c r="B270" s="22" t="inlineStr">
        <is>
          <t>村への要望</t>
        </is>
      </c>
      <c r="C270" s="5" t="inlineStr">
        <is>
          <t>送迎の支援、紙おむつ等の給付（オムツ券の発行）、村内へのサービス事業所の整備・拡大をお願いしたい。</t>
        </is>
      </c>
      <c r="D270" s="8" t="n"/>
      <c r="E270" s="8" t="n"/>
      <c r="F270" s="8" t="n"/>
      <c r="G270" s="8" t="n"/>
      <c r="H270" s="9" t="n"/>
      <c r="I270" s="4" t="inlineStr">
        <is>
          <t>問44</t>
        </is>
      </c>
    </row>
    <row r="271" ht="15" customHeight="1">
      <c r="B271" s="17" t="inlineStr">
        <is>
          <t>※個人が特定されることのないよう、趣旨を損なわない範囲で要約・一部修正しています。</t>
        </is>
      </c>
    </row>
  </sheetData>
  <mergeCells count="60">
    <mergeCell ref="C265:H265"/>
    <mergeCell ref="C10:H10"/>
    <mergeCell ref="C212:H212"/>
    <mergeCell ref="B60:D60"/>
    <mergeCell ref="F237:J237"/>
    <mergeCell ref="C270:H270"/>
    <mergeCell ref="B271:I271"/>
    <mergeCell ref="F234:J234"/>
    <mergeCell ref="C211:H211"/>
    <mergeCell ref="C9:H9"/>
    <mergeCell ref="C242:E242"/>
    <mergeCell ref="B73:D73"/>
    <mergeCell ref="B88:D88"/>
    <mergeCell ref="C236:E236"/>
    <mergeCell ref="C232:E232"/>
    <mergeCell ref="C238:E238"/>
    <mergeCell ref="C214:H214"/>
    <mergeCell ref="C12:H12"/>
    <mergeCell ref="F236:J236"/>
    <mergeCell ref="F233:J233"/>
    <mergeCell ref="F241:J241"/>
    <mergeCell ref="C11:H11"/>
    <mergeCell ref="B128:D128"/>
    <mergeCell ref="C213:H213"/>
    <mergeCell ref="C241:E241"/>
    <mergeCell ref="F235:J235"/>
    <mergeCell ref="F242:J242"/>
    <mergeCell ref="C8:H8"/>
    <mergeCell ref="C233:E233"/>
    <mergeCell ref="C268:H268"/>
    <mergeCell ref="F238:J238"/>
    <mergeCell ref="B192:D192"/>
    <mergeCell ref="F232:J232"/>
    <mergeCell ref="C262:H262"/>
    <mergeCell ref="C7:H7"/>
    <mergeCell ref="C240:E240"/>
    <mergeCell ref="B215:H215"/>
    <mergeCell ref="C237:E237"/>
    <mergeCell ref="C264:H264"/>
    <mergeCell ref="C13:H13"/>
    <mergeCell ref="F240:J240"/>
    <mergeCell ref="B206:D206"/>
    <mergeCell ref="C267:H267"/>
    <mergeCell ref="B259:E259"/>
    <mergeCell ref="B100:D100"/>
    <mergeCell ref="C3:H3"/>
    <mergeCell ref="C239:E239"/>
    <mergeCell ref="C210:H210"/>
    <mergeCell ref="C263:H263"/>
    <mergeCell ref="B145:E145"/>
    <mergeCell ref="B47:D47"/>
    <mergeCell ref="C235:E235"/>
    <mergeCell ref="C6:H6"/>
    <mergeCell ref="F239:J239"/>
    <mergeCell ref="C266:H266"/>
    <mergeCell ref="C269:H269"/>
    <mergeCell ref="C5:H5"/>
    <mergeCell ref="C234:E234"/>
    <mergeCell ref="C4:H4"/>
    <mergeCell ref="B228:D228"/>
  </mergeCells>
  <pageMargins left="0.75" right="0.75" top="1" bottom="1" header="0.5" footer="0.5"/>
  <pageSetup orientation="landscape" paperSize="9" fitToHeight="0" fitToWidth="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B2:H12"/>
  <sheetViews>
    <sheetView showGridLines="0" workbookViewId="0">
      <selection activeCell="A1" sqref="A1"/>
    </sheetView>
  </sheetViews>
  <sheetFormatPr baseColWidth="8" defaultRowHeight="15"/>
  <cols>
    <col width="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2" ht="21" customHeight="1">
      <c r="B2" s="7" t="inlineStr">
        <is>
          <t>表6-1　課題と計画上の主な取組・指標の関係</t>
        </is>
      </c>
    </row>
    <row r="3" ht="17" customHeight="1">
      <c r="B3" s="3" t="inlineStr">
        <is>
          <t>課題</t>
        </is>
      </c>
      <c r="C3" s="3" t="inlineStr">
        <is>
          <t>関連する主な取組・指標の領域（例）</t>
        </is>
      </c>
      <c r="D3" s="8" t="n"/>
      <c r="E3" s="8" t="n"/>
      <c r="F3" s="9" t="n"/>
      <c r="G3" s="3" t="inlineStr">
        <is>
          <t>主な根拠設問</t>
        </is>
      </c>
      <c r="H3" s="9" t="n"/>
    </row>
    <row r="4" ht="30" customHeight="1">
      <c r="B4" s="31" t="inlineStr">
        <is>
          <t>1 相談支援体制・情報提供</t>
        </is>
      </c>
      <c r="C4" s="5" t="inlineStr">
        <is>
          <t>相談支援体制の充実・強化、計画相談支援、意思決定支援の推進</t>
        </is>
      </c>
      <c r="D4" s="8" t="n"/>
      <c r="E4" s="8" t="n"/>
      <c r="F4" s="9" t="n"/>
      <c r="G4" s="5" t="inlineStr">
        <is>
          <t>問22・問23・問26・問27-2・問44</t>
        </is>
      </c>
      <c r="H4" s="9" t="n"/>
    </row>
    <row r="5" ht="30" customHeight="1">
      <c r="B5" s="32" t="inlineStr">
        <is>
          <t>2 移動・外出支援</t>
        </is>
      </c>
      <c r="C5" s="14" t="inlineStr">
        <is>
          <t>移動支援事業（地域生活支援事業）、同行援護・行動援護、関係部署との連携</t>
        </is>
      </c>
      <c r="D5" s="8" t="n"/>
      <c r="E5" s="8" t="n"/>
      <c r="F5" s="9" t="n"/>
      <c r="G5" s="14" t="inlineStr">
        <is>
          <t>問13・問14・問16・児問24・児問29</t>
        </is>
      </c>
      <c r="H5" s="9" t="n"/>
    </row>
    <row r="6" ht="30" customHeight="1">
      <c r="B6" s="31" t="inlineStr">
        <is>
          <t>3 災害時の支援体制</t>
        </is>
      </c>
      <c r="C6" s="5" t="inlineStr">
        <is>
          <t>個別避難計画の作成推進、福祉避難所の確保、防災分野との連携</t>
        </is>
      </c>
      <c r="D6" s="8" t="n"/>
      <c r="E6" s="8" t="n"/>
      <c r="F6" s="9" t="n"/>
      <c r="G6" s="5" t="inlineStr">
        <is>
          <t>問38～問41・児問37～児問40</t>
        </is>
      </c>
      <c r="H6" s="9" t="n"/>
    </row>
    <row r="7" ht="43" customHeight="1">
      <c r="B7" s="32" t="inlineStr">
        <is>
          <t>4 地域生活支援拠点・将来の暮らし</t>
        </is>
      </c>
      <c r="C7" s="14" t="inlineStr">
        <is>
          <t>地域生活支援の充実（地域生活支援拠点等）、施設入所者の地域生活への移行、共同生活援助・短期入所の見込量</t>
        </is>
      </c>
      <c r="D7" s="8" t="n"/>
      <c r="E7" s="8" t="n"/>
      <c r="F7" s="9" t="n"/>
      <c r="G7" s="14" t="inlineStr">
        <is>
          <t>問10・問11・問27-3・問29</t>
        </is>
      </c>
      <c r="H7" s="9" t="n"/>
    </row>
    <row r="8" ht="43" customHeight="1">
      <c r="B8" s="31" t="inlineStr">
        <is>
          <t>5 障がい児・家族支援</t>
        </is>
      </c>
      <c r="C8" s="5" t="inlineStr">
        <is>
          <t>障がい児支援の提供体制の整備、放課後等デイサービス・障がい児相談支援の見込量、医療的ケア児支援</t>
        </is>
      </c>
      <c r="D8" s="8" t="n"/>
      <c r="E8" s="8" t="n"/>
      <c r="F8" s="9" t="n"/>
      <c r="G8" s="5" t="inlineStr">
        <is>
          <t>児問18・児問24・児問25・児問29・児問31</t>
        </is>
      </c>
      <c r="H8" s="9" t="n"/>
    </row>
    <row r="9" ht="30" customHeight="1">
      <c r="B9" s="32" t="inlineStr">
        <is>
          <t>6 権利擁護・合理的配慮</t>
        </is>
      </c>
      <c r="C9" s="14" t="inlineStr">
        <is>
          <t>成年後見制度利用支援事業、意思疎通支援事業、理解促進研修・啓発事業</t>
        </is>
      </c>
      <c r="D9" s="8" t="n"/>
      <c r="E9" s="8" t="n"/>
      <c r="F9" s="9" t="n"/>
      <c r="G9" s="14" t="inlineStr">
        <is>
          <t>問34～問37・問43</t>
        </is>
      </c>
      <c r="H9" s="9" t="n"/>
    </row>
    <row r="10" ht="30" customHeight="1">
      <c r="B10" s="31" t="inlineStr">
        <is>
          <t>7 日中活動・就労・社会参加</t>
        </is>
      </c>
      <c r="C10" s="5" t="inlineStr">
        <is>
          <t>福祉施設から一般就労への移行等、就労選択支援・就労系サービスの見込量</t>
        </is>
      </c>
      <c r="D10" s="8" t="n"/>
      <c r="E10" s="8" t="n"/>
      <c r="F10" s="9" t="n"/>
      <c r="G10" s="5" t="inlineStr">
        <is>
          <t>問31～問33・問42・児問32</t>
        </is>
      </c>
      <c r="H10" s="9" t="n"/>
    </row>
    <row r="11" ht="30" customHeight="1">
      <c r="B11" s="32" t="inlineStr">
        <is>
          <t>8 専門的支援</t>
        </is>
      </c>
      <c r="C11" s="14" t="inlineStr">
        <is>
          <t>精神障がいにも対応した地域包括ケアシステムの構築、強度行動障がい・医療的ケアへの対応</t>
        </is>
      </c>
      <c r="D11" s="8" t="n"/>
      <c r="E11" s="8" t="n"/>
      <c r="F11" s="9" t="n"/>
      <c r="G11" s="14" t="inlineStr">
        <is>
          <t>問17～問20</t>
        </is>
      </c>
      <c r="H11" s="9" t="n"/>
    </row>
    <row r="12" ht="27" customHeight="1">
      <c r="B12" s="17" t="inlineStr">
        <is>
          <t>※「児問」は障がい児調査の設問を示します。関連する取組・指標の領域は例示であり、国の基本指針の内容に応じて整理してください。</t>
        </is>
      </c>
    </row>
  </sheetData>
  <mergeCells count="19">
    <mergeCell ref="C8:F8"/>
    <mergeCell ref="G11:H11"/>
    <mergeCell ref="C7:F7"/>
    <mergeCell ref="G8:H8"/>
    <mergeCell ref="C3:F3"/>
    <mergeCell ref="G7:H7"/>
    <mergeCell ref="G10:H10"/>
    <mergeCell ref="C6:F6"/>
    <mergeCell ref="G6:H6"/>
    <mergeCell ref="C5:F5"/>
    <mergeCell ref="G3:H3"/>
    <mergeCell ref="C4:F4"/>
    <mergeCell ref="B12:H12"/>
    <mergeCell ref="G5:H5"/>
    <mergeCell ref="C10:F10"/>
    <mergeCell ref="G4:H4"/>
    <mergeCell ref="C9:F9"/>
    <mergeCell ref="C11:F11"/>
    <mergeCell ref="G9:H9"/>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sheetPr>
  <dimension ref="A1:G449"/>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46" customWidth="1" min="3" max="3"/>
    <col width="8" customWidth="1" min="4" max="4"/>
    <col width="9" customWidth="1" min="5" max="5"/>
    <col width="13" customWidth="1" min="6" max="6"/>
    <col width="14" customWidth="1" min="7" max="7"/>
  </cols>
  <sheetData>
    <row r="1">
      <c r="A1" s="35" t="inlineStr">
        <is>
          <t>障がい者調査（18歳以上）　単純集計（入力データ）</t>
        </is>
      </c>
    </row>
    <row r="2">
      <c r="A2" s="18" t="inlineStr">
        <is>
          <t>斜体のセル（件数・回答者数）が入力値です。割合は計算式で、各章シートの表・グラフに自動で反映されます。回答者数（n）は無回答を含む人数で、各設問の先頭行に入力し、2行目以降は先頭行を参照しています。「無回答」は各設問の最終行です。</t>
        </is>
      </c>
    </row>
    <row r="4">
      <c r="A4" s="3" t="inlineStr">
        <is>
          <t>設問番号</t>
        </is>
      </c>
      <c r="B4" s="3" t="inlineStr">
        <is>
          <t>設問</t>
        </is>
      </c>
      <c r="C4" s="3" t="inlineStr">
        <is>
          <t>選択肢</t>
        </is>
      </c>
      <c r="D4" s="3" t="inlineStr">
        <is>
          <t>件数</t>
        </is>
      </c>
      <c r="E4" s="3" t="inlineStr">
        <is>
          <t>割合</t>
        </is>
      </c>
      <c r="F4" s="3" t="inlineStr">
        <is>
          <t>回答者数（n）</t>
        </is>
      </c>
      <c r="G4" s="3" t="inlineStr">
        <is>
          <t>回答形式</t>
        </is>
      </c>
    </row>
    <row r="5" ht="16" customHeight="1">
      <c r="A5" s="4" t="inlineStr">
        <is>
          <t>問1</t>
        </is>
      </c>
      <c r="B5" s="5" t="inlineStr">
        <is>
          <t>この調査票を記入された方はどなたですか</t>
        </is>
      </c>
      <c r="C5" s="5" t="inlineStr">
        <is>
          <t>宛名のご本人</t>
        </is>
      </c>
      <c r="D5" s="30" t="n">
        <v>25</v>
      </c>
      <c r="E5" s="20">
        <f>IF($F5=0,0,D5/$F5)</f>
        <v>0.625</v>
      </c>
      <c r="F5" s="30" t="n">
        <v>40</v>
      </c>
      <c r="G5" s="4" t="inlineStr">
        <is>
          <t>単一回答</t>
        </is>
      </c>
    </row>
    <row r="6" ht="16" customHeight="1">
      <c r="A6" s="4" t="inlineStr">
        <is>
          <t>問1</t>
        </is>
      </c>
      <c r="B6" s="5" t="inlineStr">
        <is>
          <t>この調査票を記入された方はどなたですか</t>
        </is>
      </c>
      <c r="C6" s="5" t="inlineStr">
        <is>
          <t>ご家族</t>
        </is>
      </c>
      <c r="D6" s="30" t="n">
        <v>9</v>
      </c>
      <c r="E6" s="20">
        <f>IF($F6=0,0,D6/$F6)</f>
        <v>0.225</v>
      </c>
      <c r="F6" s="19">
        <f>$F$5</f>
        <v>40</v>
      </c>
      <c r="G6" s="4" t="inlineStr">
        <is>
          <t>単一回答</t>
        </is>
      </c>
    </row>
    <row r="7" ht="16" customHeight="1">
      <c r="A7" s="4" t="inlineStr">
        <is>
          <t>問1</t>
        </is>
      </c>
      <c r="B7" s="5" t="inlineStr">
        <is>
          <t>この調査票を記入された方はどなたですか</t>
        </is>
      </c>
      <c r="C7" s="5" t="inlineStr">
        <is>
          <t>支援者・事業所職員</t>
        </is>
      </c>
      <c r="D7" s="30" t="n">
        <v>4</v>
      </c>
      <c r="E7" s="20">
        <f>IF($F7=0,0,D7/$F7)</f>
        <v>0.1</v>
      </c>
      <c r="F7" s="19">
        <f>$F$5</f>
        <v>40</v>
      </c>
      <c r="G7" s="4" t="inlineStr">
        <is>
          <t>単一回答</t>
        </is>
      </c>
    </row>
    <row r="8" ht="16" customHeight="1">
      <c r="A8" s="4" t="inlineStr">
        <is>
          <t>問1</t>
        </is>
      </c>
      <c r="B8" s="5" t="inlineStr">
        <is>
          <t>この調査票を記入された方はどなたですか</t>
        </is>
      </c>
      <c r="C8" s="5" t="inlineStr">
        <is>
          <t>その他</t>
        </is>
      </c>
      <c r="D8" s="30" t="n">
        <v>1</v>
      </c>
      <c r="E8" s="20">
        <f>IF($F8=0,0,D8/$F8)</f>
        <v>0.025</v>
      </c>
      <c r="F8" s="19">
        <f>$F$5</f>
        <v>40</v>
      </c>
      <c r="G8" s="4" t="inlineStr">
        <is>
          <t>単一回答</t>
        </is>
      </c>
    </row>
    <row r="9" ht="16" customHeight="1">
      <c r="A9" s="4" t="inlineStr">
        <is>
          <t>問1</t>
        </is>
      </c>
      <c r="B9" s="5" t="inlineStr">
        <is>
          <t>この調査票を記入された方はどなたですか</t>
        </is>
      </c>
      <c r="C9" s="5" t="inlineStr">
        <is>
          <t>無回答</t>
        </is>
      </c>
      <c r="D9" s="30" t="n">
        <v>1</v>
      </c>
      <c r="E9" s="20">
        <f>IF($F9=0,0,D9/$F9)</f>
        <v>0.025</v>
      </c>
      <c r="F9" s="19">
        <f>$F$5</f>
        <v>40</v>
      </c>
      <c r="G9" s="4" t="inlineStr">
        <is>
          <t>単一回答</t>
        </is>
      </c>
    </row>
    <row r="10" ht="28" customHeight="1">
      <c r="A10" s="4" t="inlineStr">
        <is>
          <t>問1-2</t>
        </is>
      </c>
      <c r="B10" s="5" t="inlineStr">
        <is>
          <t>この回答は、宛名のご本人の意向をどのように反映していますか</t>
        </is>
      </c>
      <c r="C10" s="5" t="inlineStr">
        <is>
          <t>本人が回答した</t>
        </is>
      </c>
      <c r="D10" s="30" t="n">
        <v>23</v>
      </c>
      <c r="E10" s="20">
        <f>IF($F10=0,0,D10/$F10)</f>
        <v>0.575</v>
      </c>
      <c r="F10" s="30" t="n">
        <v>40</v>
      </c>
      <c r="G10" s="4" t="inlineStr">
        <is>
          <t>単一回答</t>
        </is>
      </c>
    </row>
    <row r="11" ht="28" customHeight="1">
      <c r="A11" s="4" t="inlineStr">
        <is>
          <t>問1-2</t>
        </is>
      </c>
      <c r="B11" s="5" t="inlineStr">
        <is>
          <t>この回答は、宛名のご本人の意向をどのように反映していますか</t>
        </is>
      </c>
      <c r="C11" s="5" t="inlineStr">
        <is>
          <t>本人に確認して代理記入した</t>
        </is>
      </c>
      <c r="D11" s="30" t="n">
        <v>8</v>
      </c>
      <c r="E11" s="20">
        <f>IF($F11=0,0,D11/$F11)</f>
        <v>0.2</v>
      </c>
      <c r="F11" s="19">
        <f>$F$10</f>
        <v>40</v>
      </c>
      <c r="G11" s="4" t="inlineStr">
        <is>
          <t>単一回答</t>
        </is>
      </c>
    </row>
    <row r="12" ht="28" customHeight="1">
      <c r="A12" s="4" t="inlineStr">
        <is>
          <t>問1-2</t>
        </is>
      </c>
      <c r="B12" s="5" t="inlineStr">
        <is>
          <t>この回答は、宛名のご本人の意向をどのように反映していますか</t>
        </is>
      </c>
      <c r="C12" s="5" t="inlineStr">
        <is>
          <t>本人の様子や日頃の意向を踏まえて代理記入した</t>
        </is>
      </c>
      <c r="D12" s="30" t="n">
        <v>2</v>
      </c>
      <c r="E12" s="20">
        <f>IF($F12=0,0,D12/$F12)</f>
        <v>0.05</v>
      </c>
      <c r="F12" s="19">
        <f>$F$10</f>
        <v>40</v>
      </c>
      <c r="G12" s="4" t="inlineStr">
        <is>
          <t>単一回答</t>
        </is>
      </c>
    </row>
    <row r="13" ht="28" customHeight="1">
      <c r="A13" s="4" t="inlineStr">
        <is>
          <t>問1-2</t>
        </is>
      </c>
      <c r="B13" s="5" t="inlineStr">
        <is>
          <t>この回答は、宛名のご本人の意向をどのように反映していますか</t>
        </is>
      </c>
      <c r="C13" s="5" t="inlineStr">
        <is>
          <t>本人に確認することが難しく、家族・支援者の判断で記入した</t>
        </is>
      </c>
      <c r="D13" s="30" t="n">
        <v>6</v>
      </c>
      <c r="E13" s="20">
        <f>IF($F13=0,0,D13/$F13)</f>
        <v>0.15</v>
      </c>
      <c r="F13" s="19">
        <f>$F$10</f>
        <v>40</v>
      </c>
      <c r="G13" s="4" t="inlineStr">
        <is>
          <t>単一回答</t>
        </is>
      </c>
    </row>
    <row r="14" ht="28" customHeight="1">
      <c r="A14" s="4" t="inlineStr">
        <is>
          <t>問1-2</t>
        </is>
      </c>
      <c r="B14" s="5" t="inlineStr">
        <is>
          <t>この回答は、宛名のご本人の意向をどのように反映していますか</t>
        </is>
      </c>
      <c r="C14" s="5" t="inlineStr">
        <is>
          <t>その他</t>
        </is>
      </c>
      <c r="D14" s="30" t="n">
        <v>0</v>
      </c>
      <c r="E14" s="20">
        <f>IF($F14=0,0,D14/$F14)</f>
        <v>0</v>
      </c>
      <c r="F14" s="19">
        <f>$F$10</f>
        <v>40</v>
      </c>
      <c r="G14" s="4" t="inlineStr">
        <is>
          <t>単一回答</t>
        </is>
      </c>
    </row>
    <row r="15" ht="28" customHeight="1">
      <c r="A15" s="4" t="inlineStr">
        <is>
          <t>問1-2</t>
        </is>
      </c>
      <c r="B15" s="5" t="inlineStr">
        <is>
          <t>この回答は、宛名のご本人の意向をどのように反映していますか</t>
        </is>
      </c>
      <c r="C15" s="5" t="inlineStr">
        <is>
          <t>無回答</t>
        </is>
      </c>
      <c r="D15" s="30" t="n">
        <v>1</v>
      </c>
      <c r="E15" s="20">
        <f>IF($F15=0,0,D15/$F15)</f>
        <v>0.025</v>
      </c>
      <c r="F15" s="19">
        <f>$F$10</f>
        <v>40</v>
      </c>
      <c r="G15" s="4" t="inlineStr">
        <is>
          <t>単一回答</t>
        </is>
      </c>
    </row>
    <row r="16" ht="16" customHeight="1">
      <c r="A16" s="4" t="inlineStr">
        <is>
          <t>問2</t>
        </is>
      </c>
      <c r="B16" s="5" t="inlineStr">
        <is>
          <t>あなた（宛名の方）の年齢を教えてください</t>
        </is>
      </c>
      <c r="C16" s="5" t="inlineStr">
        <is>
          <t>18～29歳</t>
        </is>
      </c>
      <c r="D16" s="30" t="n">
        <v>0</v>
      </c>
      <c r="E16" s="20">
        <f>IF($F16=0,0,D16/$F16)</f>
        <v>0</v>
      </c>
      <c r="F16" s="30" t="n">
        <v>40</v>
      </c>
      <c r="G16" s="4" t="inlineStr">
        <is>
          <t>単一回答</t>
        </is>
      </c>
    </row>
    <row r="17" ht="16" customHeight="1">
      <c r="A17" s="4" t="inlineStr">
        <is>
          <t>問2</t>
        </is>
      </c>
      <c r="B17" s="5" t="inlineStr">
        <is>
          <t>あなた（宛名の方）の年齢を教えてください</t>
        </is>
      </c>
      <c r="C17" s="5" t="inlineStr">
        <is>
          <t>30～39歳</t>
        </is>
      </c>
      <c r="D17" s="30" t="n">
        <v>3</v>
      </c>
      <c r="E17" s="20">
        <f>IF($F17=0,0,D17/$F17)</f>
        <v>0.075</v>
      </c>
      <c r="F17" s="19">
        <f>$F$16</f>
        <v>40</v>
      </c>
      <c r="G17" s="4" t="inlineStr">
        <is>
          <t>単一回答</t>
        </is>
      </c>
    </row>
    <row r="18" ht="16" customHeight="1">
      <c r="A18" s="4" t="inlineStr">
        <is>
          <t>問2</t>
        </is>
      </c>
      <c r="B18" s="5" t="inlineStr">
        <is>
          <t>あなた（宛名の方）の年齢を教えてください</t>
        </is>
      </c>
      <c r="C18" s="5" t="inlineStr">
        <is>
          <t>40～49歳</t>
        </is>
      </c>
      <c r="D18" s="30" t="n">
        <v>2</v>
      </c>
      <c r="E18" s="20">
        <f>IF($F18=0,0,D18/$F18)</f>
        <v>0.05</v>
      </c>
      <c r="F18" s="19">
        <f>$F$16</f>
        <v>40</v>
      </c>
      <c r="G18" s="4" t="inlineStr">
        <is>
          <t>単一回答</t>
        </is>
      </c>
    </row>
    <row r="19" ht="16" customHeight="1">
      <c r="A19" s="4" t="inlineStr">
        <is>
          <t>問2</t>
        </is>
      </c>
      <c r="B19" s="5" t="inlineStr">
        <is>
          <t>あなた（宛名の方）の年齢を教えてください</t>
        </is>
      </c>
      <c r="C19" s="5" t="inlineStr">
        <is>
          <t>50～64歳</t>
        </is>
      </c>
      <c r="D19" s="30" t="n">
        <v>8</v>
      </c>
      <c r="E19" s="20">
        <f>IF($F19=0,0,D19/$F19)</f>
        <v>0.2</v>
      </c>
      <c r="F19" s="19">
        <f>$F$16</f>
        <v>40</v>
      </c>
      <c r="G19" s="4" t="inlineStr">
        <is>
          <t>単一回答</t>
        </is>
      </c>
    </row>
    <row r="20" ht="16" customHeight="1">
      <c r="A20" s="4" t="inlineStr">
        <is>
          <t>問2</t>
        </is>
      </c>
      <c r="B20" s="5" t="inlineStr">
        <is>
          <t>あなた（宛名の方）の年齢を教えてください</t>
        </is>
      </c>
      <c r="C20" s="5" t="inlineStr">
        <is>
          <t>65歳以上</t>
        </is>
      </c>
      <c r="D20" s="30" t="n">
        <v>26</v>
      </c>
      <c r="E20" s="20">
        <f>IF($F20=0,0,D20/$F20)</f>
        <v>0.65</v>
      </c>
      <c r="F20" s="19">
        <f>$F$16</f>
        <v>40</v>
      </c>
      <c r="G20" s="4" t="inlineStr">
        <is>
          <t>単一回答</t>
        </is>
      </c>
    </row>
    <row r="21" ht="16" customHeight="1">
      <c r="A21" s="4" t="inlineStr">
        <is>
          <t>問2</t>
        </is>
      </c>
      <c r="B21" s="5" t="inlineStr">
        <is>
          <t>あなた（宛名の方）の年齢を教えてください</t>
        </is>
      </c>
      <c r="C21" s="5" t="inlineStr">
        <is>
          <t>無回答</t>
        </is>
      </c>
      <c r="D21" s="30" t="n">
        <v>1</v>
      </c>
      <c r="E21" s="20">
        <f>IF($F21=0,0,D21/$F21)</f>
        <v>0.025</v>
      </c>
      <c r="F21" s="19">
        <f>$F$16</f>
        <v>40</v>
      </c>
      <c r="G21" s="4" t="inlineStr">
        <is>
          <t>単一回答</t>
        </is>
      </c>
    </row>
    <row r="22" ht="16" customHeight="1">
      <c r="A22" s="4" t="inlineStr">
        <is>
          <t>問3</t>
        </is>
      </c>
      <c r="B22" s="5" t="inlineStr">
        <is>
          <t>あなたのお住まいの地区を教えてください</t>
        </is>
      </c>
      <c r="C22" s="5" t="inlineStr">
        <is>
          <t>北山地区</t>
        </is>
      </c>
      <c r="D22" s="30" t="n">
        <v>17</v>
      </c>
      <c r="E22" s="20">
        <f>IF($F22=0,0,D22/$F22)</f>
        <v>0.425</v>
      </c>
      <c r="F22" s="30" t="n">
        <v>40</v>
      </c>
      <c r="G22" s="4" t="inlineStr">
        <is>
          <t>単一回答</t>
        </is>
      </c>
    </row>
    <row r="23" ht="16" customHeight="1">
      <c r="A23" s="4" t="inlineStr">
        <is>
          <t>問3</t>
        </is>
      </c>
      <c r="B23" s="5" t="inlineStr">
        <is>
          <t>あなたのお住まいの地区を教えてください</t>
        </is>
      </c>
      <c r="C23" s="5" t="inlineStr">
        <is>
          <t>大塩地区</t>
        </is>
      </c>
      <c r="D23" s="30" t="n">
        <v>8</v>
      </c>
      <c r="E23" s="20">
        <f>IF($F23=0,0,D23/$F23)</f>
        <v>0.2</v>
      </c>
      <c r="F23" s="19">
        <f>$F$22</f>
        <v>40</v>
      </c>
      <c r="G23" s="4" t="inlineStr">
        <is>
          <t>単一回答</t>
        </is>
      </c>
    </row>
    <row r="24" ht="16" customHeight="1">
      <c r="A24" s="4" t="inlineStr">
        <is>
          <t>問3</t>
        </is>
      </c>
      <c r="B24" s="5" t="inlineStr">
        <is>
          <t>あなたのお住まいの地区を教えてください</t>
        </is>
      </c>
      <c r="C24" s="5" t="inlineStr">
        <is>
          <t>桧原地区</t>
        </is>
      </c>
      <c r="D24" s="30" t="n">
        <v>3</v>
      </c>
      <c r="E24" s="20">
        <f>IF($F24=0,0,D24/$F24)</f>
        <v>0.075</v>
      </c>
      <c r="F24" s="19">
        <f>$F$22</f>
        <v>40</v>
      </c>
      <c r="G24" s="4" t="inlineStr">
        <is>
          <t>単一回答</t>
        </is>
      </c>
    </row>
    <row r="25" ht="16" customHeight="1">
      <c r="A25" s="4" t="inlineStr">
        <is>
          <t>問3</t>
        </is>
      </c>
      <c r="B25" s="5" t="inlineStr">
        <is>
          <t>あなたのお住まいの地区を教えてください</t>
        </is>
      </c>
      <c r="C25" s="5" t="inlineStr">
        <is>
          <t>裏磐梯地区</t>
        </is>
      </c>
      <c r="D25" s="30" t="n">
        <v>11</v>
      </c>
      <c r="E25" s="20">
        <f>IF($F25=0,0,D25/$F25)</f>
        <v>0.275</v>
      </c>
      <c r="F25" s="19">
        <f>$F$22</f>
        <v>40</v>
      </c>
      <c r="G25" s="4" t="inlineStr">
        <is>
          <t>単一回答</t>
        </is>
      </c>
    </row>
    <row r="26" ht="16" customHeight="1">
      <c r="A26" s="4" t="inlineStr">
        <is>
          <t>問3</t>
        </is>
      </c>
      <c r="B26" s="5" t="inlineStr">
        <is>
          <t>あなたのお住まいの地区を教えてください</t>
        </is>
      </c>
      <c r="C26" s="5" t="inlineStr">
        <is>
          <t>その他</t>
        </is>
      </c>
      <c r="D26" s="30" t="n">
        <v>1</v>
      </c>
      <c r="E26" s="20">
        <f>IF($F26=0,0,D26/$F26)</f>
        <v>0.025</v>
      </c>
      <c r="F26" s="19">
        <f>$F$22</f>
        <v>40</v>
      </c>
      <c r="G26" s="4" t="inlineStr">
        <is>
          <t>単一回答</t>
        </is>
      </c>
    </row>
    <row r="27" ht="16" customHeight="1">
      <c r="A27" s="4" t="inlineStr">
        <is>
          <t>問3</t>
        </is>
      </c>
      <c r="B27" s="5" t="inlineStr">
        <is>
          <t>あなたのお住まいの地区を教えてください</t>
        </is>
      </c>
      <c r="C27" s="5" t="inlineStr">
        <is>
          <t>無回答</t>
        </is>
      </c>
      <c r="D27" s="30" t="n">
        <v>0</v>
      </c>
      <c r="E27" s="20">
        <f>IF($F27=0,0,D27/$F27)</f>
        <v>0</v>
      </c>
      <c r="F27" s="19">
        <f>$F$22</f>
        <v>40</v>
      </c>
      <c r="G27" s="4" t="inlineStr">
        <is>
          <t>単一回答</t>
        </is>
      </c>
    </row>
    <row r="28" ht="16" customHeight="1">
      <c r="A28" s="4" t="inlineStr">
        <is>
          <t>問4</t>
        </is>
      </c>
      <c r="B28" s="5" t="inlineStr">
        <is>
          <t>あなたの性別を教えてください</t>
        </is>
      </c>
      <c r="C28" s="5" t="inlineStr">
        <is>
          <t>男性</t>
        </is>
      </c>
      <c r="D28" s="30" t="n">
        <v>17</v>
      </c>
      <c r="E28" s="20">
        <f>IF($F28=0,0,D28/$F28)</f>
        <v>0.425</v>
      </c>
      <c r="F28" s="30" t="n">
        <v>40</v>
      </c>
      <c r="G28" s="4" t="inlineStr">
        <is>
          <t>単一回答</t>
        </is>
      </c>
    </row>
    <row r="29" ht="16" customHeight="1">
      <c r="A29" s="4" t="inlineStr">
        <is>
          <t>問4</t>
        </is>
      </c>
      <c r="B29" s="5" t="inlineStr">
        <is>
          <t>あなたの性別を教えてください</t>
        </is>
      </c>
      <c r="C29" s="5" t="inlineStr">
        <is>
          <t>女性</t>
        </is>
      </c>
      <c r="D29" s="30" t="n">
        <v>23</v>
      </c>
      <c r="E29" s="20">
        <f>IF($F29=0,0,D29/$F29)</f>
        <v>0.575</v>
      </c>
      <c r="F29" s="19">
        <f>$F$28</f>
        <v>40</v>
      </c>
      <c r="G29" s="4" t="inlineStr">
        <is>
          <t>単一回答</t>
        </is>
      </c>
    </row>
    <row r="30" ht="16" customHeight="1">
      <c r="A30" s="4" t="inlineStr">
        <is>
          <t>問4</t>
        </is>
      </c>
      <c r="B30" s="5" t="inlineStr">
        <is>
          <t>あなたの性別を教えてください</t>
        </is>
      </c>
      <c r="C30" s="5" t="inlineStr">
        <is>
          <t>回答しない</t>
        </is>
      </c>
      <c r="D30" s="30" t="n">
        <v>0</v>
      </c>
      <c r="E30" s="20">
        <f>IF($F30=0,0,D30/$F30)</f>
        <v>0</v>
      </c>
      <c r="F30" s="19">
        <f>$F$28</f>
        <v>40</v>
      </c>
      <c r="G30" s="4" t="inlineStr">
        <is>
          <t>単一回答</t>
        </is>
      </c>
    </row>
    <row r="31" ht="16" customHeight="1">
      <c r="A31" s="4" t="inlineStr">
        <is>
          <t>問4</t>
        </is>
      </c>
      <c r="B31" s="5" t="inlineStr">
        <is>
          <t>あなたの性別を教えてください</t>
        </is>
      </c>
      <c r="C31" s="5" t="inlineStr">
        <is>
          <t>無回答</t>
        </is>
      </c>
      <c r="D31" s="30" t="n">
        <v>0</v>
      </c>
      <c r="E31" s="20">
        <f>IF($F31=0,0,D31/$F31)</f>
        <v>0</v>
      </c>
      <c r="F31" s="19">
        <f>$F$28</f>
        <v>40</v>
      </c>
      <c r="G31" s="4" t="inlineStr">
        <is>
          <t>単一回答</t>
        </is>
      </c>
    </row>
    <row r="32" ht="28" customHeight="1">
      <c r="A32" s="4" t="inlineStr">
        <is>
          <t>問5</t>
        </is>
      </c>
      <c r="B32" s="5" t="inlineStr">
        <is>
          <t>お持ちの手帳等を教えてください（あてはまるものすべて）</t>
        </is>
      </c>
      <c r="C32" s="5" t="inlineStr">
        <is>
          <t>身体障がい者手帳</t>
        </is>
      </c>
      <c r="D32" s="30" t="n">
        <v>29</v>
      </c>
      <c r="E32" s="20">
        <f>IF($F32=0,0,D32/$F32)</f>
        <v>0.725</v>
      </c>
      <c r="F32" s="30" t="n">
        <v>40</v>
      </c>
      <c r="G32" s="4" t="inlineStr">
        <is>
          <t>複数回答</t>
        </is>
      </c>
    </row>
    <row r="33" ht="28" customHeight="1">
      <c r="A33" s="4" t="inlineStr">
        <is>
          <t>問5</t>
        </is>
      </c>
      <c r="B33" s="5" t="inlineStr">
        <is>
          <t>お持ちの手帳等を教えてください（あてはまるものすべて）</t>
        </is>
      </c>
      <c r="C33" s="5" t="inlineStr">
        <is>
          <t>療育手帳</t>
        </is>
      </c>
      <c r="D33" s="30" t="n">
        <v>2</v>
      </c>
      <c r="E33" s="20">
        <f>IF($F33=0,0,D33/$F33)</f>
        <v>0.05</v>
      </c>
      <c r="F33" s="19">
        <f>$F$32</f>
        <v>40</v>
      </c>
      <c r="G33" s="4" t="inlineStr">
        <is>
          <t>複数回答</t>
        </is>
      </c>
    </row>
    <row r="34" ht="28" customHeight="1">
      <c r="A34" s="4" t="inlineStr">
        <is>
          <t>問5</t>
        </is>
      </c>
      <c r="B34" s="5" t="inlineStr">
        <is>
          <t>お持ちの手帳等を教えてください（あてはまるものすべて）</t>
        </is>
      </c>
      <c r="C34" s="5" t="inlineStr">
        <is>
          <t>精神障がい者保健福祉手帳</t>
        </is>
      </c>
      <c r="D34" s="30" t="n">
        <v>6</v>
      </c>
      <c r="E34" s="20">
        <f>IF($F34=0,0,D34/$F34)</f>
        <v>0.15</v>
      </c>
      <c r="F34" s="19">
        <f>$F$32</f>
        <v>40</v>
      </c>
      <c r="G34" s="4" t="inlineStr">
        <is>
          <t>複数回答</t>
        </is>
      </c>
    </row>
    <row r="35" ht="28" customHeight="1">
      <c r="A35" s="4" t="inlineStr">
        <is>
          <t>問5</t>
        </is>
      </c>
      <c r="B35" s="5" t="inlineStr">
        <is>
          <t>お持ちの手帳等を教えてください（あてはまるものすべて）</t>
        </is>
      </c>
      <c r="C35" s="5" t="inlineStr">
        <is>
          <t>自立支援医療受給者証</t>
        </is>
      </c>
      <c r="D35" s="30" t="n">
        <v>5</v>
      </c>
      <c r="E35" s="20">
        <f>IF($F35=0,0,D35/$F35)</f>
        <v>0.125</v>
      </c>
      <c r="F35" s="19">
        <f>$F$32</f>
        <v>40</v>
      </c>
      <c r="G35" s="4" t="inlineStr">
        <is>
          <t>複数回答</t>
        </is>
      </c>
    </row>
    <row r="36" ht="28" customHeight="1">
      <c r="A36" s="4" t="inlineStr">
        <is>
          <t>問5</t>
        </is>
      </c>
      <c r="B36" s="5" t="inlineStr">
        <is>
          <t>お持ちの手帳等を教えてください（あてはまるものすべて）</t>
        </is>
      </c>
      <c r="C36" s="5" t="inlineStr">
        <is>
          <t>難病に関する医療受給者証等</t>
        </is>
      </c>
      <c r="D36" s="30" t="n">
        <v>0</v>
      </c>
      <c r="E36" s="20">
        <f>IF($F36=0,0,D36/$F36)</f>
        <v>0</v>
      </c>
      <c r="F36" s="19">
        <f>$F$32</f>
        <v>40</v>
      </c>
      <c r="G36" s="4" t="inlineStr">
        <is>
          <t>複数回答</t>
        </is>
      </c>
    </row>
    <row r="37" ht="28" customHeight="1">
      <c r="A37" s="4" t="inlineStr">
        <is>
          <t>問5</t>
        </is>
      </c>
      <c r="B37" s="5" t="inlineStr">
        <is>
          <t>お持ちの手帳等を教えてください（あてはまるものすべて）</t>
        </is>
      </c>
      <c r="C37" s="5" t="inlineStr">
        <is>
          <t>手帳等は持っていないが障がい福祉サービスを利用している</t>
        </is>
      </c>
      <c r="D37" s="30" t="n">
        <v>1</v>
      </c>
      <c r="E37" s="20">
        <f>IF($F37=0,0,D37/$F37)</f>
        <v>0.025</v>
      </c>
      <c r="F37" s="19">
        <f>$F$32</f>
        <v>40</v>
      </c>
      <c r="G37" s="4" t="inlineStr">
        <is>
          <t>複数回答</t>
        </is>
      </c>
    </row>
    <row r="38" ht="28" customHeight="1">
      <c r="A38" s="4" t="inlineStr">
        <is>
          <t>問5</t>
        </is>
      </c>
      <c r="B38" s="5" t="inlineStr">
        <is>
          <t>お持ちの手帳等を教えてください（あてはまるものすべて）</t>
        </is>
      </c>
      <c r="C38" s="5" t="inlineStr">
        <is>
          <t>その他</t>
        </is>
      </c>
      <c r="D38" s="30" t="n">
        <v>2</v>
      </c>
      <c r="E38" s="20">
        <f>IF($F38=0,0,D38/$F38)</f>
        <v>0.05</v>
      </c>
      <c r="F38" s="19">
        <f>$F$32</f>
        <v>40</v>
      </c>
      <c r="G38" s="4" t="inlineStr">
        <is>
          <t>複数回答</t>
        </is>
      </c>
    </row>
    <row r="39" ht="28" customHeight="1">
      <c r="A39" s="4" t="inlineStr">
        <is>
          <t>問5</t>
        </is>
      </c>
      <c r="B39" s="5" t="inlineStr">
        <is>
          <t>お持ちの手帳等を教えてください（あてはまるものすべて）</t>
        </is>
      </c>
      <c r="C39" s="5" t="inlineStr">
        <is>
          <t>無回答</t>
        </is>
      </c>
      <c r="D39" s="30" t="n">
        <v>1</v>
      </c>
      <c r="E39" s="20">
        <f>IF($F39=0,0,D39/$F39)</f>
        <v>0.025</v>
      </c>
      <c r="F39" s="19">
        <f>$F$32</f>
        <v>40</v>
      </c>
      <c r="G39" s="4" t="inlineStr">
        <is>
          <t>複数回答</t>
        </is>
      </c>
    </row>
    <row r="40" ht="28" customHeight="1">
      <c r="A40" s="4" t="inlineStr">
        <is>
          <t>問6</t>
        </is>
      </c>
      <c r="B40" s="5" t="inlineStr">
        <is>
          <t>主たる障がい種別を1つ選ぶとすれば、どれにあたりますか</t>
        </is>
      </c>
      <c r="C40" s="5" t="inlineStr">
        <is>
          <t>身体障がい</t>
        </is>
      </c>
      <c r="D40" s="30" t="n">
        <v>27</v>
      </c>
      <c r="E40" s="20">
        <f>IF($F40=0,0,D40/$F40)</f>
        <v>0.675</v>
      </c>
      <c r="F40" s="30" t="n">
        <v>40</v>
      </c>
      <c r="G40" s="4" t="inlineStr">
        <is>
          <t>単一回答</t>
        </is>
      </c>
    </row>
    <row r="41" ht="28" customHeight="1">
      <c r="A41" s="4" t="inlineStr">
        <is>
          <t>問6</t>
        </is>
      </c>
      <c r="B41" s="5" t="inlineStr">
        <is>
          <t>主たる障がい種別を1つ選ぶとすれば、どれにあたりますか</t>
        </is>
      </c>
      <c r="C41" s="5" t="inlineStr">
        <is>
          <t>知的障がい</t>
        </is>
      </c>
      <c r="D41" s="30" t="n">
        <v>2</v>
      </c>
      <c r="E41" s="20">
        <f>IF($F41=0,0,D41/$F41)</f>
        <v>0.05</v>
      </c>
      <c r="F41" s="19">
        <f>$F$40</f>
        <v>40</v>
      </c>
      <c r="G41" s="4" t="inlineStr">
        <is>
          <t>単一回答</t>
        </is>
      </c>
    </row>
    <row r="42" ht="28" customHeight="1">
      <c r="A42" s="4" t="inlineStr">
        <is>
          <t>問6</t>
        </is>
      </c>
      <c r="B42" s="5" t="inlineStr">
        <is>
          <t>主たる障がい種別を1つ選ぶとすれば、どれにあたりますか</t>
        </is>
      </c>
      <c r="C42" s="5" t="inlineStr">
        <is>
          <t>精神障がい</t>
        </is>
      </c>
      <c r="D42" s="30" t="n">
        <v>5</v>
      </c>
      <c r="E42" s="20">
        <f>IF($F42=0,0,D42/$F42)</f>
        <v>0.125</v>
      </c>
      <c r="F42" s="19">
        <f>$F$40</f>
        <v>40</v>
      </c>
      <c r="G42" s="4" t="inlineStr">
        <is>
          <t>単一回答</t>
        </is>
      </c>
    </row>
    <row r="43" ht="28" customHeight="1">
      <c r="A43" s="4" t="inlineStr">
        <is>
          <t>問6</t>
        </is>
      </c>
      <c r="B43" s="5" t="inlineStr">
        <is>
          <t>主たる障がい種別を1つ選ぶとすれば、どれにあたりますか</t>
        </is>
      </c>
      <c r="C43" s="5" t="inlineStr">
        <is>
          <t>発達障がい</t>
        </is>
      </c>
      <c r="D43" s="30" t="n">
        <v>3</v>
      </c>
      <c r="E43" s="20">
        <f>IF($F43=0,0,D43/$F43)</f>
        <v>0.075</v>
      </c>
      <c r="F43" s="19">
        <f>$F$40</f>
        <v>40</v>
      </c>
      <c r="G43" s="4" t="inlineStr">
        <is>
          <t>単一回答</t>
        </is>
      </c>
    </row>
    <row r="44" ht="28" customHeight="1">
      <c r="A44" s="4" t="inlineStr">
        <is>
          <t>問6</t>
        </is>
      </c>
      <c r="B44" s="5" t="inlineStr">
        <is>
          <t>主たる障がい種別を1つ選ぶとすれば、どれにあたりますか</t>
        </is>
      </c>
      <c r="C44" s="5" t="inlineStr">
        <is>
          <t>難病</t>
        </is>
      </c>
      <c r="D44" s="30" t="n">
        <v>0</v>
      </c>
      <c r="E44" s="20">
        <f>IF($F44=0,0,D44/$F44)</f>
        <v>0</v>
      </c>
      <c r="F44" s="19">
        <f>$F$40</f>
        <v>40</v>
      </c>
      <c r="G44" s="4" t="inlineStr">
        <is>
          <t>単一回答</t>
        </is>
      </c>
    </row>
    <row r="45" ht="28" customHeight="1">
      <c r="A45" s="4" t="inlineStr">
        <is>
          <t>問6</t>
        </is>
      </c>
      <c r="B45" s="5" t="inlineStr">
        <is>
          <t>主たる障がい種別を1つ選ぶとすれば、どれにあたりますか</t>
        </is>
      </c>
      <c r="C45" s="5" t="inlineStr">
        <is>
          <t>高次脳機能障がい</t>
        </is>
      </c>
      <c r="D45" s="30" t="n">
        <v>0</v>
      </c>
      <c r="E45" s="20">
        <f>IF($F45=0,0,D45/$F45)</f>
        <v>0</v>
      </c>
      <c r="F45" s="19">
        <f>$F$40</f>
        <v>40</v>
      </c>
      <c r="G45" s="4" t="inlineStr">
        <is>
          <t>単一回答</t>
        </is>
      </c>
    </row>
    <row r="46" ht="28" customHeight="1">
      <c r="A46" s="4" t="inlineStr">
        <is>
          <t>問6</t>
        </is>
      </c>
      <c r="B46" s="5" t="inlineStr">
        <is>
          <t>主たる障がい種別を1つ選ぶとすれば、どれにあたりますか</t>
        </is>
      </c>
      <c r="C46" s="5" t="inlineStr">
        <is>
          <t>重症心身障がい</t>
        </is>
      </c>
      <c r="D46" s="30" t="n">
        <v>0</v>
      </c>
      <c r="E46" s="20">
        <f>IF($F46=0,0,D46/$F46)</f>
        <v>0</v>
      </c>
      <c r="F46" s="19">
        <f>$F$40</f>
        <v>40</v>
      </c>
      <c r="G46" s="4" t="inlineStr">
        <is>
          <t>単一回答</t>
        </is>
      </c>
    </row>
    <row r="47" ht="28" customHeight="1">
      <c r="A47" s="4" t="inlineStr">
        <is>
          <t>問6</t>
        </is>
      </c>
      <c r="B47" s="5" t="inlineStr">
        <is>
          <t>主たる障がい種別を1つ選ぶとすれば、どれにあたりますか</t>
        </is>
      </c>
      <c r="C47" s="5" t="inlineStr">
        <is>
          <t>わからない・その他</t>
        </is>
      </c>
      <c r="D47" s="30" t="n">
        <v>2</v>
      </c>
      <c r="E47" s="20">
        <f>IF($F47=0,0,D47/$F47)</f>
        <v>0.05</v>
      </c>
      <c r="F47" s="19">
        <f>$F$40</f>
        <v>40</v>
      </c>
      <c r="G47" s="4" t="inlineStr">
        <is>
          <t>単一回答</t>
        </is>
      </c>
    </row>
    <row r="48" ht="28" customHeight="1">
      <c r="A48" s="4" t="inlineStr">
        <is>
          <t>問6</t>
        </is>
      </c>
      <c r="B48" s="5" t="inlineStr">
        <is>
          <t>主たる障がい種別を1つ選ぶとすれば、どれにあたりますか</t>
        </is>
      </c>
      <c r="C48" s="5" t="inlineStr">
        <is>
          <t>無回答</t>
        </is>
      </c>
      <c r="D48" s="30" t="n">
        <v>1</v>
      </c>
      <c r="E48" s="20">
        <f>IF($F48=0,0,D48/$F48)</f>
        <v>0.025</v>
      </c>
      <c r="F48" s="19">
        <f>$F$40</f>
        <v>40</v>
      </c>
      <c r="G48" s="4" t="inlineStr">
        <is>
          <t>単一回答</t>
        </is>
      </c>
    </row>
    <row r="49" ht="16" customHeight="1">
      <c r="A49" s="4" t="inlineStr">
        <is>
          <t>問7</t>
        </is>
      </c>
      <c r="B49" s="5" t="inlineStr">
        <is>
          <t>現在、どこで暮らしていますか</t>
        </is>
      </c>
      <c r="C49" s="5" t="inlineStr">
        <is>
          <t>自宅で家族と暮らしている</t>
        </is>
      </c>
      <c r="D49" s="30" t="n">
        <v>26</v>
      </c>
      <c r="E49" s="20">
        <f>IF($F49=0,0,D49/$F49)</f>
        <v>0.65</v>
      </c>
      <c r="F49" s="30" t="n">
        <v>40</v>
      </c>
      <c r="G49" s="4" t="inlineStr">
        <is>
          <t>単一回答</t>
        </is>
      </c>
    </row>
    <row r="50" ht="16" customHeight="1">
      <c r="A50" s="4" t="inlineStr">
        <is>
          <t>問7</t>
        </is>
      </c>
      <c r="B50" s="5" t="inlineStr">
        <is>
          <t>現在、どこで暮らしていますか</t>
        </is>
      </c>
      <c r="C50" s="5" t="inlineStr">
        <is>
          <t>自宅で一人暮らし</t>
        </is>
      </c>
      <c r="D50" s="30" t="n">
        <v>6</v>
      </c>
      <c r="E50" s="20">
        <f>IF($F50=0,0,D50/$F50)</f>
        <v>0.15</v>
      </c>
      <c r="F50" s="19">
        <f>$F$49</f>
        <v>40</v>
      </c>
      <c r="G50" s="4" t="inlineStr">
        <is>
          <t>単一回答</t>
        </is>
      </c>
    </row>
    <row r="51" ht="16" customHeight="1">
      <c r="A51" s="4" t="inlineStr">
        <is>
          <t>問7</t>
        </is>
      </c>
      <c r="B51" s="5" t="inlineStr">
        <is>
          <t>現在、どこで暮らしていますか</t>
        </is>
      </c>
      <c r="C51" s="5" t="inlineStr">
        <is>
          <t>グループホーム</t>
        </is>
      </c>
      <c r="D51" s="30" t="n">
        <v>3</v>
      </c>
      <c r="E51" s="20">
        <f>IF($F51=0,0,D51/$F51)</f>
        <v>0.075</v>
      </c>
      <c r="F51" s="19">
        <f>$F$49</f>
        <v>40</v>
      </c>
      <c r="G51" s="4" t="inlineStr">
        <is>
          <t>単一回答</t>
        </is>
      </c>
    </row>
    <row r="52" ht="16" customHeight="1">
      <c r="A52" s="4" t="inlineStr">
        <is>
          <t>問7</t>
        </is>
      </c>
      <c r="B52" s="5" t="inlineStr">
        <is>
          <t>現在、どこで暮らしていますか</t>
        </is>
      </c>
      <c r="C52" s="5" t="inlineStr">
        <is>
          <t>障がい者支援施設</t>
        </is>
      </c>
      <c r="D52" s="30" t="n">
        <v>2</v>
      </c>
      <c r="E52" s="20">
        <f>IF($F52=0,0,D52/$F52)</f>
        <v>0.05</v>
      </c>
      <c r="F52" s="19">
        <f>$F$49</f>
        <v>40</v>
      </c>
      <c r="G52" s="4" t="inlineStr">
        <is>
          <t>単一回答</t>
        </is>
      </c>
    </row>
    <row r="53" ht="16" customHeight="1">
      <c r="A53" s="4" t="inlineStr">
        <is>
          <t>問7</t>
        </is>
      </c>
      <c r="B53" s="5" t="inlineStr">
        <is>
          <t>現在、どこで暮らしていますか</t>
        </is>
      </c>
      <c r="C53" s="5" t="inlineStr">
        <is>
          <t>病院に入院中</t>
        </is>
      </c>
      <c r="D53" s="30" t="n">
        <v>1</v>
      </c>
      <c r="E53" s="20">
        <f>IF($F53=0,0,D53/$F53)</f>
        <v>0.025</v>
      </c>
      <c r="F53" s="19">
        <f>$F$49</f>
        <v>40</v>
      </c>
      <c r="G53" s="4" t="inlineStr">
        <is>
          <t>単一回答</t>
        </is>
      </c>
    </row>
    <row r="54" ht="16" customHeight="1">
      <c r="A54" s="4" t="inlineStr">
        <is>
          <t>問7</t>
        </is>
      </c>
      <c r="B54" s="5" t="inlineStr">
        <is>
          <t>現在、どこで暮らしていますか</t>
        </is>
      </c>
      <c r="C54" s="5" t="inlineStr">
        <is>
          <t>高齢者施設等</t>
        </is>
      </c>
      <c r="D54" s="30" t="n">
        <v>1</v>
      </c>
      <c r="E54" s="20">
        <f>IF($F54=0,0,D54/$F54)</f>
        <v>0.025</v>
      </c>
      <c r="F54" s="19">
        <f>$F$49</f>
        <v>40</v>
      </c>
      <c r="G54" s="4" t="inlineStr">
        <is>
          <t>単一回答</t>
        </is>
      </c>
    </row>
    <row r="55" ht="16" customHeight="1">
      <c r="A55" s="4" t="inlineStr">
        <is>
          <t>問7</t>
        </is>
      </c>
      <c r="B55" s="5" t="inlineStr">
        <is>
          <t>現在、どこで暮らしていますか</t>
        </is>
      </c>
      <c r="C55" s="5" t="inlineStr">
        <is>
          <t>その他</t>
        </is>
      </c>
      <c r="D55" s="30" t="n">
        <v>0</v>
      </c>
      <c r="E55" s="20">
        <f>IF($F55=0,0,D55/$F55)</f>
        <v>0</v>
      </c>
      <c r="F55" s="19">
        <f>$F$49</f>
        <v>40</v>
      </c>
      <c r="G55" s="4" t="inlineStr">
        <is>
          <t>単一回答</t>
        </is>
      </c>
    </row>
    <row r="56" ht="16" customHeight="1">
      <c r="A56" s="4" t="inlineStr">
        <is>
          <t>問7</t>
        </is>
      </c>
      <c r="B56" s="5" t="inlineStr">
        <is>
          <t>現在、どこで暮らしていますか</t>
        </is>
      </c>
      <c r="C56" s="5" t="inlineStr">
        <is>
          <t>無回答</t>
        </is>
      </c>
      <c r="D56" s="30" t="n">
        <v>1</v>
      </c>
      <c r="E56" s="20">
        <f>IF($F56=0,0,D56/$F56)</f>
        <v>0.025</v>
      </c>
      <c r="F56" s="19">
        <f>$F$49</f>
        <v>40</v>
      </c>
      <c r="G56" s="4" t="inlineStr">
        <is>
          <t>単一回答</t>
        </is>
      </c>
    </row>
    <row r="57" ht="28" customHeight="1">
      <c r="A57" s="4" t="inlineStr">
        <is>
          <t>問8</t>
        </is>
      </c>
      <c r="B57" s="5" t="inlineStr">
        <is>
          <t>現在一緒に暮らしている方を教えてください（あてはまるものすべて）</t>
        </is>
      </c>
      <c r="C57" s="5" t="inlineStr">
        <is>
          <t>一人暮らし</t>
        </is>
      </c>
      <c r="D57" s="30" t="n">
        <v>5</v>
      </c>
      <c r="E57" s="20">
        <f>IF($F57=0,0,D57/$F57)</f>
        <v>0.125</v>
      </c>
      <c r="F57" s="30" t="n">
        <v>40</v>
      </c>
      <c r="G57" s="4" t="inlineStr">
        <is>
          <t>複数回答</t>
        </is>
      </c>
    </row>
    <row r="58" ht="28" customHeight="1">
      <c r="A58" s="4" t="inlineStr">
        <is>
          <t>問8</t>
        </is>
      </c>
      <c r="B58" s="5" t="inlineStr">
        <is>
          <t>現在一緒に暮らしている方を教えてください（あてはまるものすべて）</t>
        </is>
      </c>
      <c r="C58" s="5" t="inlineStr">
        <is>
          <t>配偶者</t>
        </is>
      </c>
      <c r="D58" s="30" t="n">
        <v>15</v>
      </c>
      <c r="E58" s="20">
        <f>IF($F58=0,0,D58/$F58)</f>
        <v>0.375</v>
      </c>
      <c r="F58" s="19">
        <f>$F$57</f>
        <v>40</v>
      </c>
      <c r="G58" s="4" t="inlineStr">
        <is>
          <t>複数回答</t>
        </is>
      </c>
    </row>
    <row r="59" ht="28" customHeight="1">
      <c r="A59" s="4" t="inlineStr">
        <is>
          <t>問8</t>
        </is>
      </c>
      <c r="B59" s="5" t="inlineStr">
        <is>
          <t>現在一緒に暮らしている方を教えてください（あてはまるものすべて）</t>
        </is>
      </c>
      <c r="C59" s="5" t="inlineStr">
        <is>
          <t>親</t>
        </is>
      </c>
      <c r="D59" s="30" t="n">
        <v>7</v>
      </c>
      <c r="E59" s="20">
        <f>IF($F59=0,0,D59/$F59)</f>
        <v>0.175</v>
      </c>
      <c r="F59" s="19">
        <f>$F$57</f>
        <v>40</v>
      </c>
      <c r="G59" s="4" t="inlineStr">
        <is>
          <t>複数回答</t>
        </is>
      </c>
    </row>
    <row r="60" ht="28" customHeight="1">
      <c r="A60" s="4" t="inlineStr">
        <is>
          <t>問8</t>
        </is>
      </c>
      <c r="B60" s="5" t="inlineStr">
        <is>
          <t>現在一緒に暮らしている方を教えてください（あてはまるものすべて）</t>
        </is>
      </c>
      <c r="C60" s="5" t="inlineStr">
        <is>
          <t>子ども</t>
        </is>
      </c>
      <c r="D60" s="30" t="n">
        <v>12</v>
      </c>
      <c r="E60" s="20">
        <f>IF($F60=0,0,D60/$F60)</f>
        <v>0.3</v>
      </c>
      <c r="F60" s="19">
        <f>$F$57</f>
        <v>40</v>
      </c>
      <c r="G60" s="4" t="inlineStr">
        <is>
          <t>複数回答</t>
        </is>
      </c>
    </row>
    <row r="61" ht="28" customHeight="1">
      <c r="A61" s="4" t="inlineStr">
        <is>
          <t>問8</t>
        </is>
      </c>
      <c r="B61" s="5" t="inlineStr">
        <is>
          <t>現在一緒に暮らしている方を教えてください（あてはまるものすべて）</t>
        </is>
      </c>
      <c r="C61" s="5" t="inlineStr">
        <is>
          <t>兄弟姉妹</t>
        </is>
      </c>
      <c r="D61" s="30" t="n">
        <v>2</v>
      </c>
      <c r="E61" s="20">
        <f>IF($F61=0,0,D61/$F61)</f>
        <v>0.05</v>
      </c>
      <c r="F61" s="19">
        <f>$F$57</f>
        <v>40</v>
      </c>
      <c r="G61" s="4" t="inlineStr">
        <is>
          <t>複数回答</t>
        </is>
      </c>
    </row>
    <row r="62" ht="28" customHeight="1">
      <c r="A62" s="4" t="inlineStr">
        <is>
          <t>問8</t>
        </is>
      </c>
      <c r="B62" s="5" t="inlineStr">
        <is>
          <t>現在一緒に暮らしている方を教えてください（あてはまるものすべて）</t>
        </is>
      </c>
      <c r="C62" s="5" t="inlineStr">
        <is>
          <t>祖父母</t>
        </is>
      </c>
      <c r="D62" s="30" t="n">
        <v>1</v>
      </c>
      <c r="E62" s="20">
        <f>IF($F62=0,0,D62/$F62)</f>
        <v>0.025</v>
      </c>
      <c r="F62" s="19">
        <f>$F$57</f>
        <v>40</v>
      </c>
      <c r="G62" s="4" t="inlineStr">
        <is>
          <t>複数回答</t>
        </is>
      </c>
    </row>
    <row r="63" ht="28" customHeight="1">
      <c r="A63" s="4" t="inlineStr">
        <is>
          <t>問8</t>
        </is>
      </c>
      <c r="B63" s="5" t="inlineStr">
        <is>
          <t>現在一緒に暮らしている方を教えてください（あてはまるものすべて）</t>
        </is>
      </c>
      <c r="C63" s="5" t="inlineStr">
        <is>
          <t>その他</t>
        </is>
      </c>
      <c r="D63" s="30" t="n">
        <v>3</v>
      </c>
      <c r="E63" s="20">
        <f>IF($F63=0,0,D63/$F63)</f>
        <v>0.075</v>
      </c>
      <c r="F63" s="19">
        <f>$F$57</f>
        <v>40</v>
      </c>
      <c r="G63" s="4" t="inlineStr">
        <is>
          <t>複数回答</t>
        </is>
      </c>
    </row>
    <row r="64" ht="28" customHeight="1">
      <c r="A64" s="4" t="inlineStr">
        <is>
          <t>問8</t>
        </is>
      </c>
      <c r="B64" s="5" t="inlineStr">
        <is>
          <t>現在一緒に暮らしている方を教えてください（あてはまるものすべて）</t>
        </is>
      </c>
      <c r="C64" s="5" t="inlineStr">
        <is>
          <t>無回答</t>
        </is>
      </c>
      <c r="D64" s="30" t="n">
        <v>4</v>
      </c>
      <c r="E64" s="20">
        <f>IF($F64=0,0,D64/$F64)</f>
        <v>0.1</v>
      </c>
      <c r="F64" s="19">
        <f>$F$57</f>
        <v>40</v>
      </c>
      <c r="G64" s="4" t="inlineStr">
        <is>
          <t>複数回答</t>
        </is>
      </c>
    </row>
    <row r="65" ht="28" customHeight="1">
      <c r="A65" s="4" t="inlineStr">
        <is>
          <t>問9</t>
        </is>
      </c>
      <c r="B65" s="5" t="inlineStr">
        <is>
          <t>日常生活で主に支援・介助してくれる方はどなたですか（あてはまるものすべて）</t>
        </is>
      </c>
      <c r="C65" s="5" t="inlineStr">
        <is>
          <t>介助は必要ない</t>
        </is>
      </c>
      <c r="D65" s="30" t="n">
        <v>18</v>
      </c>
      <c r="E65" s="20">
        <f>IF($F65=0,0,D65/$F65)</f>
        <v>0.45</v>
      </c>
      <c r="F65" s="30" t="n">
        <v>40</v>
      </c>
      <c r="G65" s="4" t="inlineStr">
        <is>
          <t>複数回答</t>
        </is>
      </c>
    </row>
    <row r="66" ht="28" customHeight="1">
      <c r="A66" s="4" t="inlineStr">
        <is>
          <t>問9</t>
        </is>
      </c>
      <c r="B66" s="5" t="inlineStr">
        <is>
          <t>日常生活で主に支援・介助してくれる方はどなたですか（あてはまるものすべて）</t>
        </is>
      </c>
      <c r="C66" s="5" t="inlineStr">
        <is>
          <t>親</t>
        </is>
      </c>
      <c r="D66" s="30" t="n">
        <v>5</v>
      </c>
      <c r="E66" s="20">
        <f>IF($F66=0,0,D66/$F66)</f>
        <v>0.125</v>
      </c>
      <c r="F66" s="19">
        <f>$F$65</f>
        <v>40</v>
      </c>
      <c r="G66" s="4" t="inlineStr">
        <is>
          <t>複数回答</t>
        </is>
      </c>
    </row>
    <row r="67" ht="28" customHeight="1">
      <c r="A67" s="4" t="inlineStr">
        <is>
          <t>問9</t>
        </is>
      </c>
      <c r="B67" s="5" t="inlineStr">
        <is>
          <t>日常生活で主に支援・介助してくれる方はどなたですか（あてはまるものすべて）</t>
        </is>
      </c>
      <c r="C67" s="5" t="inlineStr">
        <is>
          <t>配偶者</t>
        </is>
      </c>
      <c r="D67" s="30" t="n">
        <v>7</v>
      </c>
      <c r="E67" s="20">
        <f>IF($F67=0,0,D67/$F67)</f>
        <v>0.175</v>
      </c>
      <c r="F67" s="19">
        <f>$F$65</f>
        <v>40</v>
      </c>
      <c r="G67" s="4" t="inlineStr">
        <is>
          <t>複数回答</t>
        </is>
      </c>
    </row>
    <row r="68" ht="28" customHeight="1">
      <c r="A68" s="4" t="inlineStr">
        <is>
          <t>問9</t>
        </is>
      </c>
      <c r="B68" s="5" t="inlineStr">
        <is>
          <t>日常生活で主に支援・介助してくれる方はどなたですか（あてはまるものすべて）</t>
        </is>
      </c>
      <c r="C68" s="5" t="inlineStr">
        <is>
          <t>子ども</t>
        </is>
      </c>
      <c r="D68" s="30" t="n">
        <v>9</v>
      </c>
      <c r="E68" s="20">
        <f>IF($F68=0,0,D68/$F68)</f>
        <v>0.225</v>
      </c>
      <c r="F68" s="19">
        <f>$F$65</f>
        <v>40</v>
      </c>
      <c r="G68" s="4" t="inlineStr">
        <is>
          <t>複数回答</t>
        </is>
      </c>
    </row>
    <row r="69" ht="28" customHeight="1">
      <c r="A69" s="4" t="inlineStr">
        <is>
          <t>問9</t>
        </is>
      </c>
      <c r="B69" s="5" t="inlineStr">
        <is>
          <t>日常生活で主に支援・介助してくれる方はどなたですか（あてはまるものすべて）</t>
        </is>
      </c>
      <c r="C69" s="5" t="inlineStr">
        <is>
          <t>兄弟姉妹</t>
        </is>
      </c>
      <c r="D69" s="30" t="n">
        <v>0</v>
      </c>
      <c r="E69" s="20">
        <f>IF($F69=0,0,D69/$F69)</f>
        <v>0</v>
      </c>
      <c r="F69" s="19">
        <f>$F$65</f>
        <v>40</v>
      </c>
      <c r="G69" s="4" t="inlineStr">
        <is>
          <t>複数回答</t>
        </is>
      </c>
    </row>
    <row r="70" ht="28" customHeight="1">
      <c r="A70" s="4" t="inlineStr">
        <is>
          <t>問9</t>
        </is>
      </c>
      <c r="B70" s="5" t="inlineStr">
        <is>
          <t>日常生活で主に支援・介助してくれる方はどなたですか（あてはまるものすべて）</t>
        </is>
      </c>
      <c r="C70" s="5" t="inlineStr">
        <is>
          <t>その他の親族</t>
        </is>
      </c>
      <c r="D70" s="30" t="n">
        <v>1</v>
      </c>
      <c r="E70" s="20">
        <f>IF($F70=0,0,D70/$F70)</f>
        <v>0.025</v>
      </c>
      <c r="F70" s="19">
        <f>$F$65</f>
        <v>40</v>
      </c>
      <c r="G70" s="4" t="inlineStr">
        <is>
          <t>複数回答</t>
        </is>
      </c>
    </row>
    <row r="71" ht="28" customHeight="1">
      <c r="A71" s="4" t="inlineStr">
        <is>
          <t>問9</t>
        </is>
      </c>
      <c r="B71" s="5" t="inlineStr">
        <is>
          <t>日常生活で主に支援・介助してくれる方はどなたですか（あてはまるものすべて）</t>
        </is>
      </c>
      <c r="C71" s="5" t="inlineStr">
        <is>
          <t>ホームヘルパー等</t>
        </is>
      </c>
      <c r="D71" s="30" t="n">
        <v>2</v>
      </c>
      <c r="E71" s="20">
        <f>IF($F71=0,0,D71/$F71)</f>
        <v>0.05</v>
      </c>
      <c r="F71" s="19">
        <f>$F$65</f>
        <v>40</v>
      </c>
      <c r="G71" s="4" t="inlineStr">
        <is>
          <t>複数回答</t>
        </is>
      </c>
    </row>
    <row r="72" ht="28" customHeight="1">
      <c r="A72" s="4" t="inlineStr">
        <is>
          <t>問9</t>
        </is>
      </c>
      <c r="B72" s="5" t="inlineStr">
        <is>
          <t>日常生活で主に支援・介助してくれる方はどなたですか（あてはまるものすべて）</t>
        </is>
      </c>
      <c r="C72" s="5" t="inlineStr">
        <is>
          <t>施設・事業所職員</t>
        </is>
      </c>
      <c r="D72" s="30" t="n">
        <v>8</v>
      </c>
      <c r="E72" s="20">
        <f>IF($F72=0,0,D72/$F72)</f>
        <v>0.2</v>
      </c>
      <c r="F72" s="19">
        <f>$F$65</f>
        <v>40</v>
      </c>
      <c r="G72" s="4" t="inlineStr">
        <is>
          <t>複数回答</t>
        </is>
      </c>
    </row>
    <row r="73" ht="28" customHeight="1">
      <c r="A73" s="4" t="inlineStr">
        <is>
          <t>問9</t>
        </is>
      </c>
      <c r="B73" s="5" t="inlineStr">
        <is>
          <t>日常生活で主に支援・介助してくれる方はどなたですか（あてはまるものすべて）</t>
        </is>
      </c>
      <c r="C73" s="5" t="inlineStr">
        <is>
          <t>主な支援者はいない</t>
        </is>
      </c>
      <c r="D73" s="30" t="n">
        <v>1</v>
      </c>
      <c r="E73" s="20">
        <f>IF($F73=0,0,D73/$F73)</f>
        <v>0.025</v>
      </c>
      <c r="F73" s="19">
        <f>$F$65</f>
        <v>40</v>
      </c>
      <c r="G73" s="4" t="inlineStr">
        <is>
          <t>複数回答</t>
        </is>
      </c>
    </row>
    <row r="74" ht="28" customHeight="1">
      <c r="A74" s="4" t="inlineStr">
        <is>
          <t>問9</t>
        </is>
      </c>
      <c r="B74" s="5" t="inlineStr">
        <is>
          <t>日常生活で主に支援・介助してくれる方はどなたですか（あてはまるものすべて）</t>
        </is>
      </c>
      <c r="C74" s="5" t="inlineStr">
        <is>
          <t>その他</t>
        </is>
      </c>
      <c r="D74" s="30" t="n">
        <v>0</v>
      </c>
      <c r="E74" s="20">
        <f>IF($F74=0,0,D74/$F74)</f>
        <v>0</v>
      </c>
      <c r="F74" s="19">
        <f>$F$65</f>
        <v>40</v>
      </c>
      <c r="G74" s="4" t="inlineStr">
        <is>
          <t>複数回答</t>
        </is>
      </c>
    </row>
    <row r="75" ht="28" customHeight="1">
      <c r="A75" s="4" t="inlineStr">
        <is>
          <t>問9</t>
        </is>
      </c>
      <c r="B75" s="5" t="inlineStr">
        <is>
          <t>日常生活で主に支援・介助してくれる方はどなたですか（あてはまるものすべて）</t>
        </is>
      </c>
      <c r="C75" s="5" t="inlineStr">
        <is>
          <t>無回答</t>
        </is>
      </c>
      <c r="D75" s="30" t="n">
        <v>1</v>
      </c>
      <c r="E75" s="20">
        <f>IF($F75=0,0,D75/$F75)</f>
        <v>0.025</v>
      </c>
      <c r="F75" s="19">
        <f>$F$65</f>
        <v>40</v>
      </c>
      <c r="G75" s="4" t="inlineStr">
        <is>
          <t>複数回答</t>
        </is>
      </c>
    </row>
    <row r="76" ht="28" customHeight="1">
      <c r="A76" s="4" t="inlineStr">
        <is>
          <t>問10</t>
        </is>
      </c>
      <c r="B76" s="5" t="inlineStr">
        <is>
          <t>日常生活で困っていることは何ですか（あてはまるものすべて）</t>
        </is>
      </c>
      <c r="C76" s="5" t="inlineStr">
        <is>
          <t>家事</t>
        </is>
      </c>
      <c r="D76" s="30" t="n">
        <v>2</v>
      </c>
      <c r="E76" s="20">
        <f>IF($F76=0,0,D76/$F76)</f>
        <v>0.05</v>
      </c>
      <c r="F76" s="30" t="n">
        <v>40</v>
      </c>
      <c r="G76" s="4" t="inlineStr">
        <is>
          <t>複数回答</t>
        </is>
      </c>
    </row>
    <row r="77" ht="28" customHeight="1">
      <c r="A77" s="4" t="inlineStr">
        <is>
          <t>問10</t>
        </is>
      </c>
      <c r="B77" s="5" t="inlineStr">
        <is>
          <t>日常生活で困っていることは何ですか（あてはまるものすべて）</t>
        </is>
      </c>
      <c r="C77" s="5" t="inlineStr">
        <is>
          <t>食事</t>
        </is>
      </c>
      <c r="D77" s="30" t="n">
        <v>5</v>
      </c>
      <c r="E77" s="20">
        <f>IF($F77=0,0,D77/$F77)</f>
        <v>0.125</v>
      </c>
      <c r="F77" s="19">
        <f>$F$76</f>
        <v>40</v>
      </c>
      <c r="G77" s="4" t="inlineStr">
        <is>
          <t>複数回答</t>
        </is>
      </c>
    </row>
    <row r="78" ht="28" customHeight="1">
      <c r="A78" s="4" t="inlineStr">
        <is>
          <t>問10</t>
        </is>
      </c>
      <c r="B78" s="5" t="inlineStr">
        <is>
          <t>日常生活で困っていることは何ですか（あてはまるものすべて）</t>
        </is>
      </c>
      <c r="C78" s="5" t="inlineStr">
        <is>
          <t>入浴</t>
        </is>
      </c>
      <c r="D78" s="30" t="n">
        <v>4</v>
      </c>
      <c r="E78" s="20">
        <f>IF($F78=0,0,D78/$F78)</f>
        <v>0.1</v>
      </c>
      <c r="F78" s="19">
        <f>$F$76</f>
        <v>40</v>
      </c>
      <c r="G78" s="4" t="inlineStr">
        <is>
          <t>複数回答</t>
        </is>
      </c>
    </row>
    <row r="79" ht="28" customHeight="1">
      <c r="A79" s="4" t="inlineStr">
        <is>
          <t>問10</t>
        </is>
      </c>
      <c r="B79" s="5" t="inlineStr">
        <is>
          <t>日常生活で困っていることは何ですか（あてはまるものすべて）</t>
        </is>
      </c>
      <c r="C79" s="5" t="inlineStr">
        <is>
          <t>排せつ</t>
        </is>
      </c>
      <c r="D79" s="30" t="n">
        <v>2</v>
      </c>
      <c r="E79" s="20">
        <f>IF($F79=0,0,D79/$F79)</f>
        <v>0.05</v>
      </c>
      <c r="F79" s="19">
        <f>$F$76</f>
        <v>40</v>
      </c>
      <c r="G79" s="4" t="inlineStr">
        <is>
          <t>複数回答</t>
        </is>
      </c>
    </row>
    <row r="80" ht="28" customHeight="1">
      <c r="A80" s="4" t="inlineStr">
        <is>
          <t>問10</t>
        </is>
      </c>
      <c r="B80" s="5" t="inlineStr">
        <is>
          <t>日常生活で困っていることは何ですか（あてはまるものすべて）</t>
        </is>
      </c>
      <c r="C80" s="5" t="inlineStr">
        <is>
          <t>服薬管理</t>
        </is>
      </c>
      <c r="D80" s="30" t="n">
        <v>5</v>
      </c>
      <c r="E80" s="20">
        <f>IF($F80=0,0,D80/$F80)</f>
        <v>0.125</v>
      </c>
      <c r="F80" s="19">
        <f>$F$76</f>
        <v>40</v>
      </c>
      <c r="G80" s="4" t="inlineStr">
        <is>
          <t>複数回答</t>
        </is>
      </c>
    </row>
    <row r="81" ht="28" customHeight="1">
      <c r="A81" s="4" t="inlineStr">
        <is>
          <t>問10</t>
        </is>
      </c>
      <c r="B81" s="5" t="inlineStr">
        <is>
          <t>日常生活で困っていることは何ですか（あてはまるものすべて）</t>
        </is>
      </c>
      <c r="C81" s="5" t="inlineStr">
        <is>
          <t>金銭管理</t>
        </is>
      </c>
      <c r="D81" s="30" t="n">
        <v>4</v>
      </c>
      <c r="E81" s="20">
        <f>IF($F81=0,0,D81/$F81)</f>
        <v>0.1</v>
      </c>
      <c r="F81" s="19">
        <f>$F$76</f>
        <v>40</v>
      </c>
      <c r="G81" s="4" t="inlineStr">
        <is>
          <t>複数回答</t>
        </is>
      </c>
    </row>
    <row r="82" ht="28" customHeight="1">
      <c r="A82" s="4" t="inlineStr">
        <is>
          <t>問10</t>
        </is>
      </c>
      <c r="B82" s="5" t="inlineStr">
        <is>
          <t>日常生活で困っていることは何ですか（あてはまるものすべて）</t>
        </is>
      </c>
      <c r="C82" s="5" t="inlineStr">
        <is>
          <t>通院</t>
        </is>
      </c>
      <c r="D82" s="30" t="n">
        <v>8</v>
      </c>
      <c r="E82" s="20">
        <f>IF($F82=0,0,D82/$F82)</f>
        <v>0.2</v>
      </c>
      <c r="F82" s="19">
        <f>$F$76</f>
        <v>40</v>
      </c>
      <c r="G82" s="4" t="inlineStr">
        <is>
          <t>複数回答</t>
        </is>
      </c>
    </row>
    <row r="83" ht="28" customHeight="1">
      <c r="A83" s="4" t="inlineStr">
        <is>
          <t>問10</t>
        </is>
      </c>
      <c r="B83" s="5" t="inlineStr">
        <is>
          <t>日常生活で困っていることは何ですか（あてはまるものすべて）</t>
        </is>
      </c>
      <c r="C83" s="5" t="inlineStr">
        <is>
          <t>外出・移動</t>
        </is>
      </c>
      <c r="D83" s="30" t="n">
        <v>10</v>
      </c>
      <c r="E83" s="20">
        <f>IF($F83=0,0,D83/$F83)</f>
        <v>0.25</v>
      </c>
      <c r="F83" s="19">
        <f>$F$76</f>
        <v>40</v>
      </c>
      <c r="G83" s="4" t="inlineStr">
        <is>
          <t>複数回答</t>
        </is>
      </c>
    </row>
    <row r="84" ht="28" customHeight="1">
      <c r="A84" s="4" t="inlineStr">
        <is>
          <t>問10</t>
        </is>
      </c>
      <c r="B84" s="5" t="inlineStr">
        <is>
          <t>日常生活で困っていることは何ですか（あてはまるものすべて）</t>
        </is>
      </c>
      <c r="C84" s="5" t="inlineStr">
        <is>
          <t>買い物</t>
        </is>
      </c>
      <c r="D84" s="30" t="n">
        <v>5</v>
      </c>
      <c r="E84" s="20">
        <f>IF($F84=0,0,D84/$F84)</f>
        <v>0.125</v>
      </c>
      <c r="F84" s="19">
        <f>$F$76</f>
        <v>40</v>
      </c>
      <c r="G84" s="4" t="inlineStr">
        <is>
          <t>複数回答</t>
        </is>
      </c>
    </row>
    <row r="85" ht="28" customHeight="1">
      <c r="A85" s="4" t="inlineStr">
        <is>
          <t>問10</t>
        </is>
      </c>
      <c r="B85" s="5" t="inlineStr">
        <is>
          <t>日常生活で困っていることは何ですか（あてはまるものすべて）</t>
        </is>
      </c>
      <c r="C85" s="5" t="inlineStr">
        <is>
          <t>災害時の避難</t>
        </is>
      </c>
      <c r="D85" s="30" t="n">
        <v>10</v>
      </c>
      <c r="E85" s="20">
        <f>IF($F85=0,0,D85/$F85)</f>
        <v>0.25</v>
      </c>
      <c r="F85" s="19">
        <f>$F$76</f>
        <v>40</v>
      </c>
      <c r="G85" s="4" t="inlineStr">
        <is>
          <t>複数回答</t>
        </is>
      </c>
    </row>
    <row r="86" ht="28" customHeight="1">
      <c r="A86" s="4" t="inlineStr">
        <is>
          <t>問10</t>
        </is>
      </c>
      <c r="B86" s="5" t="inlineStr">
        <is>
          <t>日常生活で困っていることは何ですか（あてはまるものすべて）</t>
        </is>
      </c>
      <c r="C86" s="5" t="inlineStr">
        <is>
          <t>相談先がない</t>
        </is>
      </c>
      <c r="D86" s="30" t="n">
        <v>1</v>
      </c>
      <c r="E86" s="20">
        <f>IF($F86=0,0,D86/$F86)</f>
        <v>0.025</v>
      </c>
      <c r="F86" s="19">
        <f>$F$76</f>
        <v>40</v>
      </c>
      <c r="G86" s="4" t="inlineStr">
        <is>
          <t>複数回答</t>
        </is>
      </c>
    </row>
    <row r="87" ht="28" customHeight="1">
      <c r="A87" s="4" t="inlineStr">
        <is>
          <t>問10</t>
        </is>
      </c>
      <c r="B87" s="5" t="inlineStr">
        <is>
          <t>日常生活で困っていることは何ですか（あてはまるものすべて）</t>
        </is>
      </c>
      <c r="C87" s="5" t="inlineStr">
        <is>
          <t>将来の生活</t>
        </is>
      </c>
      <c r="D87" s="30" t="n">
        <v>12</v>
      </c>
      <c r="E87" s="20">
        <f>IF($F87=0,0,D87/$F87)</f>
        <v>0.3</v>
      </c>
      <c r="F87" s="19">
        <f>$F$76</f>
        <v>40</v>
      </c>
      <c r="G87" s="4" t="inlineStr">
        <is>
          <t>複数回答</t>
        </is>
      </c>
    </row>
    <row r="88" ht="28" customHeight="1">
      <c r="A88" s="4" t="inlineStr">
        <is>
          <t>問10</t>
        </is>
      </c>
      <c r="B88" s="5" t="inlineStr">
        <is>
          <t>日常生活で困っていることは何ですか（あてはまるものすべて）</t>
        </is>
      </c>
      <c r="C88" s="5" t="inlineStr">
        <is>
          <t>特にない</t>
        </is>
      </c>
      <c r="D88" s="30" t="n">
        <v>14</v>
      </c>
      <c r="E88" s="20">
        <f>IF($F88=0,0,D88/$F88)</f>
        <v>0.35</v>
      </c>
      <c r="F88" s="19">
        <f>$F$76</f>
        <v>40</v>
      </c>
      <c r="G88" s="4" t="inlineStr">
        <is>
          <t>複数回答</t>
        </is>
      </c>
    </row>
    <row r="89" ht="28" customHeight="1">
      <c r="A89" s="4" t="inlineStr">
        <is>
          <t>問10</t>
        </is>
      </c>
      <c r="B89" s="5" t="inlineStr">
        <is>
          <t>日常生活で困っていることは何ですか（あてはまるものすべて）</t>
        </is>
      </c>
      <c r="C89" s="5" t="inlineStr">
        <is>
          <t>その他</t>
        </is>
      </c>
      <c r="D89" s="30" t="n">
        <v>1</v>
      </c>
      <c r="E89" s="20">
        <f>IF($F89=0,0,D89/$F89)</f>
        <v>0.025</v>
      </c>
      <c r="F89" s="19">
        <f>$F$76</f>
        <v>40</v>
      </c>
      <c r="G89" s="4" t="inlineStr">
        <is>
          <t>複数回答</t>
        </is>
      </c>
    </row>
    <row r="90" ht="28" customHeight="1">
      <c r="A90" s="4" t="inlineStr">
        <is>
          <t>問10</t>
        </is>
      </c>
      <c r="B90" s="5" t="inlineStr">
        <is>
          <t>日常生活で困っていることは何ですか（あてはまるものすべて）</t>
        </is>
      </c>
      <c r="C90" s="5" t="inlineStr">
        <is>
          <t>無回答</t>
        </is>
      </c>
      <c r="D90" s="30" t="n">
        <v>2</v>
      </c>
      <c r="E90" s="20">
        <f>IF($F90=0,0,D90/$F90)</f>
        <v>0.05</v>
      </c>
      <c r="F90" s="19">
        <f>$F$76</f>
        <v>40</v>
      </c>
      <c r="G90" s="4" t="inlineStr">
        <is>
          <t>複数回答</t>
        </is>
      </c>
    </row>
    <row r="91" ht="16" customHeight="1">
      <c r="A91" s="4" t="inlineStr">
        <is>
          <t>問11</t>
        </is>
      </c>
      <c r="B91" s="5" t="inlineStr">
        <is>
          <t>将来、どのような暮らし方を希望しますか</t>
        </is>
      </c>
      <c r="C91" s="5" t="inlineStr">
        <is>
          <t>今の自宅で暮らしたい</t>
        </is>
      </c>
      <c r="D91" s="30" t="n">
        <v>16</v>
      </c>
      <c r="E91" s="20">
        <f>IF($F91=0,0,D91/$F91)</f>
        <v>0.4</v>
      </c>
      <c r="F91" s="30" t="n">
        <v>40</v>
      </c>
      <c r="G91" s="4" t="inlineStr">
        <is>
          <t>単一回答</t>
        </is>
      </c>
    </row>
    <row r="92" ht="16" customHeight="1">
      <c r="A92" s="4" t="inlineStr">
        <is>
          <t>問11</t>
        </is>
      </c>
      <c r="B92" s="5" t="inlineStr">
        <is>
          <t>将来、どのような暮らし方を希望しますか</t>
        </is>
      </c>
      <c r="C92" s="5" t="inlineStr">
        <is>
          <t>家族と一緒に暮らしたい</t>
        </is>
      </c>
      <c r="D92" s="30" t="n">
        <v>6</v>
      </c>
      <c r="E92" s="20">
        <f>IF($F92=0,0,D92/$F92)</f>
        <v>0.15</v>
      </c>
      <c r="F92" s="19">
        <f>$F$91</f>
        <v>40</v>
      </c>
      <c r="G92" s="4" t="inlineStr">
        <is>
          <t>単一回答</t>
        </is>
      </c>
    </row>
    <row r="93" ht="16" customHeight="1">
      <c r="A93" s="4" t="inlineStr">
        <is>
          <t>問11</t>
        </is>
      </c>
      <c r="B93" s="5" t="inlineStr">
        <is>
          <t>将来、どのような暮らし方を希望しますか</t>
        </is>
      </c>
      <c r="C93" s="5" t="inlineStr">
        <is>
          <t>一人暮らしをしたい</t>
        </is>
      </c>
      <c r="D93" s="30" t="n">
        <v>2</v>
      </c>
      <c r="E93" s="20">
        <f>IF($F93=0,0,D93/$F93)</f>
        <v>0.05</v>
      </c>
      <c r="F93" s="19">
        <f>$F$91</f>
        <v>40</v>
      </c>
      <c r="G93" s="4" t="inlineStr">
        <is>
          <t>単一回答</t>
        </is>
      </c>
    </row>
    <row r="94" ht="16" customHeight="1">
      <c r="A94" s="4" t="inlineStr">
        <is>
          <t>問11</t>
        </is>
      </c>
      <c r="B94" s="5" t="inlineStr">
        <is>
          <t>将来、どのような暮らし方を希望しますか</t>
        </is>
      </c>
      <c r="C94" s="5" t="inlineStr">
        <is>
          <t>グループホームで暮らしたい</t>
        </is>
      </c>
      <c r="D94" s="30" t="n">
        <v>2</v>
      </c>
      <c r="E94" s="20">
        <f>IF($F94=0,0,D94/$F94)</f>
        <v>0.05</v>
      </c>
      <c r="F94" s="19">
        <f>$F$91</f>
        <v>40</v>
      </c>
      <c r="G94" s="4" t="inlineStr">
        <is>
          <t>単一回答</t>
        </is>
      </c>
    </row>
    <row r="95" ht="16" customHeight="1">
      <c r="A95" s="4" t="inlineStr">
        <is>
          <t>問11</t>
        </is>
      </c>
      <c r="B95" s="5" t="inlineStr">
        <is>
          <t>将来、どのような暮らし方を希望しますか</t>
        </is>
      </c>
      <c r="C95" s="5" t="inlineStr">
        <is>
          <t>施設で暮らしたい</t>
        </is>
      </c>
      <c r="D95" s="30" t="n">
        <v>4</v>
      </c>
      <c r="E95" s="20">
        <f>IF($F95=0,0,D95/$F95)</f>
        <v>0.1</v>
      </c>
      <c r="F95" s="19">
        <f>$F$91</f>
        <v>40</v>
      </c>
      <c r="G95" s="4" t="inlineStr">
        <is>
          <t>単一回答</t>
        </is>
      </c>
    </row>
    <row r="96" ht="16" customHeight="1">
      <c r="A96" s="4" t="inlineStr">
        <is>
          <t>問11</t>
        </is>
      </c>
      <c r="B96" s="5" t="inlineStr">
        <is>
          <t>将来、どのような暮らし方を希望しますか</t>
        </is>
      </c>
      <c r="C96" s="5" t="inlineStr">
        <is>
          <t>病院・施設から地域で暮らしたい</t>
        </is>
      </c>
      <c r="D96" s="30" t="n">
        <v>0</v>
      </c>
      <c r="E96" s="20">
        <f>IF($F96=0,0,D96/$F96)</f>
        <v>0</v>
      </c>
      <c r="F96" s="19">
        <f>$F$91</f>
        <v>40</v>
      </c>
      <c r="G96" s="4" t="inlineStr">
        <is>
          <t>単一回答</t>
        </is>
      </c>
    </row>
    <row r="97" ht="16" customHeight="1">
      <c r="A97" s="4" t="inlineStr">
        <is>
          <t>問11</t>
        </is>
      </c>
      <c r="B97" s="5" t="inlineStr">
        <is>
          <t>将来、どのような暮らし方を希望しますか</t>
        </is>
      </c>
      <c r="C97" s="5" t="inlineStr">
        <is>
          <t>まだわからない</t>
        </is>
      </c>
      <c r="D97" s="30" t="n">
        <v>7</v>
      </c>
      <c r="E97" s="20">
        <f>IF($F97=0,0,D97/$F97)</f>
        <v>0.175</v>
      </c>
      <c r="F97" s="19">
        <f>$F$91</f>
        <v>40</v>
      </c>
      <c r="G97" s="4" t="inlineStr">
        <is>
          <t>単一回答</t>
        </is>
      </c>
    </row>
    <row r="98" ht="16" customHeight="1">
      <c r="A98" s="4" t="inlineStr">
        <is>
          <t>問11</t>
        </is>
      </c>
      <c r="B98" s="5" t="inlineStr">
        <is>
          <t>将来、どのような暮らし方を希望しますか</t>
        </is>
      </c>
      <c r="C98" s="5" t="inlineStr">
        <is>
          <t>その他</t>
        </is>
      </c>
      <c r="D98" s="30" t="n">
        <v>1</v>
      </c>
      <c r="E98" s="20">
        <f>IF($F98=0,0,D98/$F98)</f>
        <v>0.025</v>
      </c>
      <c r="F98" s="19">
        <f>$F$91</f>
        <v>40</v>
      </c>
      <c r="G98" s="4" t="inlineStr">
        <is>
          <t>単一回答</t>
        </is>
      </c>
    </row>
    <row r="99" ht="16" customHeight="1">
      <c r="A99" s="4" t="inlineStr">
        <is>
          <t>問11</t>
        </is>
      </c>
      <c r="B99" s="5" t="inlineStr">
        <is>
          <t>将来、どのような暮らし方を希望しますか</t>
        </is>
      </c>
      <c r="C99" s="5" t="inlineStr">
        <is>
          <t>無回答</t>
        </is>
      </c>
      <c r="D99" s="30" t="n">
        <v>2</v>
      </c>
      <c r="E99" s="20">
        <f>IF($F99=0,0,D99/$F99)</f>
        <v>0.05</v>
      </c>
      <c r="F99" s="19">
        <f>$F$91</f>
        <v>40</v>
      </c>
      <c r="G99" s="4" t="inlineStr">
        <is>
          <t>単一回答</t>
        </is>
      </c>
    </row>
    <row r="100" ht="16" customHeight="1">
      <c r="A100" s="4" t="inlineStr">
        <is>
          <t>問12</t>
        </is>
      </c>
      <c r="B100" s="5" t="inlineStr">
        <is>
          <t>外出の頻度を教えてください</t>
        </is>
      </c>
      <c r="C100" s="5" t="inlineStr">
        <is>
          <t>ほぼ毎日</t>
        </is>
      </c>
      <c r="D100" s="30" t="n">
        <v>11</v>
      </c>
      <c r="E100" s="20">
        <f>IF($F100=0,0,D100/$F100)</f>
        <v>0.275</v>
      </c>
      <c r="F100" s="30" t="n">
        <v>40</v>
      </c>
      <c r="G100" s="4" t="inlineStr">
        <is>
          <t>単一回答</t>
        </is>
      </c>
    </row>
    <row r="101" ht="16" customHeight="1">
      <c r="A101" s="4" t="inlineStr">
        <is>
          <t>問12</t>
        </is>
      </c>
      <c r="B101" s="5" t="inlineStr">
        <is>
          <t>外出の頻度を教えてください</t>
        </is>
      </c>
      <c r="C101" s="5" t="inlineStr">
        <is>
          <t>週に2～4回</t>
        </is>
      </c>
      <c r="D101" s="30" t="n">
        <v>6</v>
      </c>
      <c r="E101" s="20">
        <f>IF($F101=0,0,D101/$F101)</f>
        <v>0.15</v>
      </c>
      <c r="F101" s="19">
        <f>$F$100</f>
        <v>40</v>
      </c>
      <c r="G101" s="4" t="inlineStr">
        <is>
          <t>単一回答</t>
        </is>
      </c>
    </row>
    <row r="102" ht="16" customHeight="1">
      <c r="A102" s="4" t="inlineStr">
        <is>
          <t>問12</t>
        </is>
      </c>
      <c r="B102" s="5" t="inlineStr">
        <is>
          <t>外出の頻度を教えてください</t>
        </is>
      </c>
      <c r="C102" s="5" t="inlineStr">
        <is>
          <t>週に1回程度</t>
        </is>
      </c>
      <c r="D102" s="30" t="n">
        <v>7</v>
      </c>
      <c r="E102" s="20">
        <f>IF($F102=0,0,D102/$F102)</f>
        <v>0.175</v>
      </c>
      <c r="F102" s="19">
        <f>$F$100</f>
        <v>40</v>
      </c>
      <c r="G102" s="4" t="inlineStr">
        <is>
          <t>単一回答</t>
        </is>
      </c>
    </row>
    <row r="103" ht="16" customHeight="1">
      <c r="A103" s="4" t="inlineStr">
        <is>
          <t>問12</t>
        </is>
      </c>
      <c r="B103" s="5" t="inlineStr">
        <is>
          <t>外出の頻度を教えてください</t>
        </is>
      </c>
      <c r="C103" s="5" t="inlineStr">
        <is>
          <t>月に数回</t>
        </is>
      </c>
      <c r="D103" s="30" t="n">
        <v>6</v>
      </c>
      <c r="E103" s="20">
        <f>IF($F103=0,0,D103/$F103)</f>
        <v>0.15</v>
      </c>
      <c r="F103" s="19">
        <f>$F$100</f>
        <v>40</v>
      </c>
      <c r="G103" s="4" t="inlineStr">
        <is>
          <t>単一回答</t>
        </is>
      </c>
    </row>
    <row r="104" ht="16" customHeight="1">
      <c r="A104" s="4" t="inlineStr">
        <is>
          <t>問12</t>
        </is>
      </c>
      <c r="B104" s="5" t="inlineStr">
        <is>
          <t>外出の頻度を教えてください</t>
        </is>
      </c>
      <c r="C104" s="5" t="inlineStr">
        <is>
          <t>ほとんど外出しない</t>
        </is>
      </c>
      <c r="D104" s="30" t="n">
        <v>9</v>
      </c>
      <c r="E104" s="20">
        <f>IF($F104=0,0,D104/$F104)</f>
        <v>0.225</v>
      </c>
      <c r="F104" s="19">
        <f>$F$100</f>
        <v>40</v>
      </c>
      <c r="G104" s="4" t="inlineStr">
        <is>
          <t>単一回答</t>
        </is>
      </c>
    </row>
    <row r="105" ht="16" customHeight="1">
      <c r="A105" s="4" t="inlineStr">
        <is>
          <t>問12</t>
        </is>
      </c>
      <c r="B105" s="5" t="inlineStr">
        <is>
          <t>外出の頻度を教えてください</t>
        </is>
      </c>
      <c r="C105" s="5" t="inlineStr">
        <is>
          <t>無回答</t>
        </is>
      </c>
      <c r="D105" s="30" t="n">
        <v>1</v>
      </c>
      <c r="E105" s="20">
        <f>IF($F105=0,0,D105/$F105)</f>
        <v>0.025</v>
      </c>
      <c r="F105" s="19">
        <f>$F$100</f>
        <v>40</v>
      </c>
      <c r="G105" s="4" t="inlineStr">
        <is>
          <t>単一回答</t>
        </is>
      </c>
    </row>
    <row r="106" ht="28" customHeight="1">
      <c r="A106" s="4" t="inlineStr">
        <is>
          <t>問13</t>
        </is>
      </c>
      <c r="B106" s="5" t="inlineStr">
        <is>
          <t>外出時の主な移動手段を教えてください（あてはまるものすべて）</t>
        </is>
      </c>
      <c r="C106" s="5" t="inlineStr">
        <is>
          <t>自分で運転</t>
        </is>
      </c>
      <c r="D106" s="30" t="n">
        <v>17</v>
      </c>
      <c r="E106" s="20">
        <f>IF($F106=0,0,D106/$F106)</f>
        <v>0.425</v>
      </c>
      <c r="F106" s="30" t="n">
        <v>40</v>
      </c>
      <c r="G106" s="4" t="inlineStr">
        <is>
          <t>複数回答</t>
        </is>
      </c>
    </row>
    <row r="107" ht="28" customHeight="1">
      <c r="A107" s="4" t="inlineStr">
        <is>
          <t>問13</t>
        </is>
      </c>
      <c r="B107" s="5" t="inlineStr">
        <is>
          <t>外出時の主な移動手段を教えてください（あてはまるものすべて）</t>
        </is>
      </c>
      <c r="C107" s="5" t="inlineStr">
        <is>
          <t>家族・知人の送迎</t>
        </is>
      </c>
      <c r="D107" s="30" t="n">
        <v>16</v>
      </c>
      <c r="E107" s="20">
        <f>IF($F107=0,0,D107/$F107)</f>
        <v>0.4</v>
      </c>
      <c r="F107" s="19">
        <f>$F$106</f>
        <v>40</v>
      </c>
      <c r="G107" s="4" t="inlineStr">
        <is>
          <t>複数回答</t>
        </is>
      </c>
    </row>
    <row r="108" ht="28" customHeight="1">
      <c r="A108" s="4" t="inlineStr">
        <is>
          <t>問13</t>
        </is>
      </c>
      <c r="B108" s="5" t="inlineStr">
        <is>
          <t>外出時の主な移動手段を教えてください（あてはまるものすべて）</t>
        </is>
      </c>
      <c r="C108" s="5" t="inlineStr">
        <is>
          <t>徒歩</t>
        </is>
      </c>
      <c r="D108" s="30" t="n">
        <v>3</v>
      </c>
      <c r="E108" s="20">
        <f>IF($F108=0,0,D108/$F108)</f>
        <v>0.075</v>
      </c>
      <c r="F108" s="19">
        <f>$F$106</f>
        <v>40</v>
      </c>
      <c r="G108" s="4" t="inlineStr">
        <is>
          <t>複数回答</t>
        </is>
      </c>
    </row>
    <row r="109" ht="28" customHeight="1">
      <c r="A109" s="4" t="inlineStr">
        <is>
          <t>問13</t>
        </is>
      </c>
      <c r="B109" s="5" t="inlineStr">
        <is>
          <t>外出時の主な移動手段を教えてください（あてはまるものすべて）</t>
        </is>
      </c>
      <c r="C109" s="5" t="inlineStr">
        <is>
          <t>自転車</t>
        </is>
      </c>
      <c r="D109" s="30" t="n">
        <v>1</v>
      </c>
      <c r="E109" s="20">
        <f>IF($F109=0,0,D109/$F109)</f>
        <v>0.025</v>
      </c>
      <c r="F109" s="19">
        <f>$F$106</f>
        <v>40</v>
      </c>
      <c r="G109" s="4" t="inlineStr">
        <is>
          <t>複数回答</t>
        </is>
      </c>
    </row>
    <row r="110" ht="28" customHeight="1">
      <c r="A110" s="4" t="inlineStr">
        <is>
          <t>問13</t>
        </is>
      </c>
      <c r="B110" s="5" t="inlineStr">
        <is>
          <t>外出時の主な移動手段を教えてください（あてはまるものすべて）</t>
        </is>
      </c>
      <c r="C110" s="5" t="inlineStr">
        <is>
          <t>路線バス</t>
        </is>
      </c>
      <c r="D110" s="30" t="n">
        <v>4</v>
      </c>
      <c r="E110" s="20">
        <f>IF($F110=0,0,D110/$F110)</f>
        <v>0.1</v>
      </c>
      <c r="F110" s="19">
        <f>$F$106</f>
        <v>40</v>
      </c>
      <c r="G110" s="4" t="inlineStr">
        <is>
          <t>複数回答</t>
        </is>
      </c>
    </row>
    <row r="111" ht="28" customHeight="1">
      <c r="A111" s="4" t="inlineStr">
        <is>
          <t>問13</t>
        </is>
      </c>
      <c r="B111" s="5" t="inlineStr">
        <is>
          <t>外出時の主な移動手段を教えてください（あてはまるものすべて）</t>
        </is>
      </c>
      <c r="C111" s="5" t="inlineStr">
        <is>
          <t>タクシー</t>
        </is>
      </c>
      <c r="D111" s="30" t="n">
        <v>2</v>
      </c>
      <c r="E111" s="20">
        <f>IF($F111=0,0,D111/$F111)</f>
        <v>0.05</v>
      </c>
      <c r="F111" s="19">
        <f>$F$106</f>
        <v>40</v>
      </c>
      <c r="G111" s="4" t="inlineStr">
        <is>
          <t>複数回答</t>
        </is>
      </c>
    </row>
    <row r="112" ht="28" customHeight="1">
      <c r="A112" s="4" t="inlineStr">
        <is>
          <t>問13</t>
        </is>
      </c>
      <c r="B112" s="5" t="inlineStr">
        <is>
          <t>外出時の主な移動手段を教えてください（あてはまるものすべて）</t>
        </is>
      </c>
      <c r="C112" s="5" t="inlineStr">
        <is>
          <t>福祉タクシー等</t>
        </is>
      </c>
      <c r="D112" s="30" t="n">
        <v>1</v>
      </c>
      <c r="E112" s="20">
        <f>IF($F112=0,0,D112/$F112)</f>
        <v>0.025</v>
      </c>
      <c r="F112" s="19">
        <f>$F$106</f>
        <v>40</v>
      </c>
      <c r="G112" s="4" t="inlineStr">
        <is>
          <t>複数回答</t>
        </is>
      </c>
    </row>
    <row r="113" ht="28" customHeight="1">
      <c r="A113" s="4" t="inlineStr">
        <is>
          <t>問13</t>
        </is>
      </c>
      <c r="B113" s="5" t="inlineStr">
        <is>
          <t>外出時の主な移動手段を教えてください（あてはまるものすべて）</t>
        </is>
      </c>
      <c r="C113" s="5" t="inlineStr">
        <is>
          <t>事業所・施設の送迎</t>
        </is>
      </c>
      <c r="D113" s="30" t="n">
        <v>8</v>
      </c>
      <c r="E113" s="20">
        <f>IF($F113=0,0,D113/$F113)</f>
        <v>0.2</v>
      </c>
      <c r="F113" s="19">
        <f>$F$106</f>
        <v>40</v>
      </c>
      <c r="G113" s="4" t="inlineStr">
        <is>
          <t>複数回答</t>
        </is>
      </c>
    </row>
    <row r="114" ht="28" customHeight="1">
      <c r="A114" s="4" t="inlineStr">
        <is>
          <t>問13</t>
        </is>
      </c>
      <c r="B114" s="5" t="inlineStr">
        <is>
          <t>外出時の主な移動手段を教えてください（あてはまるものすべて）</t>
        </is>
      </c>
      <c r="C114" s="5" t="inlineStr">
        <is>
          <t>その他</t>
        </is>
      </c>
      <c r="D114" s="30" t="n">
        <v>2</v>
      </c>
      <c r="E114" s="20">
        <f>IF($F114=0,0,D114/$F114)</f>
        <v>0.05</v>
      </c>
      <c r="F114" s="19">
        <f>$F$106</f>
        <v>40</v>
      </c>
      <c r="G114" s="4" t="inlineStr">
        <is>
          <t>複数回答</t>
        </is>
      </c>
    </row>
    <row r="115" ht="28" customHeight="1">
      <c r="A115" s="4" t="inlineStr">
        <is>
          <t>問13</t>
        </is>
      </c>
      <c r="B115" s="5" t="inlineStr">
        <is>
          <t>外出時の主な移動手段を教えてください（あてはまるものすべて）</t>
        </is>
      </c>
      <c r="C115" s="5" t="inlineStr">
        <is>
          <t>無回答</t>
        </is>
      </c>
      <c r="D115" s="30" t="n">
        <v>4</v>
      </c>
      <c r="E115" s="20">
        <f>IF($F115=0,0,D115/$F115)</f>
        <v>0.1</v>
      </c>
      <c r="F115" s="19">
        <f>$F$106</f>
        <v>40</v>
      </c>
      <c r="G115" s="4" t="inlineStr">
        <is>
          <t>複数回答</t>
        </is>
      </c>
    </row>
    <row r="116" ht="28" customHeight="1">
      <c r="A116" s="4" t="inlineStr">
        <is>
          <t>問14</t>
        </is>
      </c>
      <c r="B116" s="5" t="inlineStr">
        <is>
          <t>外出するときに困ることは何ですか（あてはまるものすべて）</t>
        </is>
      </c>
      <c r="C116" s="5" t="inlineStr">
        <is>
          <t>交通手段が少ない</t>
        </is>
      </c>
      <c r="D116" s="30" t="n">
        <v>6</v>
      </c>
      <c r="E116" s="20">
        <f>IF($F116=0,0,D116/$F116)</f>
        <v>0.15</v>
      </c>
      <c r="F116" s="30" t="n">
        <v>40</v>
      </c>
      <c r="G116" s="4" t="inlineStr">
        <is>
          <t>複数回答</t>
        </is>
      </c>
    </row>
    <row r="117" ht="28" customHeight="1">
      <c r="A117" s="4" t="inlineStr">
        <is>
          <t>問14</t>
        </is>
      </c>
      <c r="B117" s="5" t="inlineStr">
        <is>
          <t>外出するときに困ることは何ですか（あてはまるものすべて）</t>
        </is>
      </c>
      <c r="C117" s="5" t="inlineStr">
        <is>
          <t>家族等の付き添いが必要</t>
        </is>
      </c>
      <c r="D117" s="30" t="n">
        <v>8</v>
      </c>
      <c r="E117" s="20">
        <f>IF($F117=0,0,D117/$F117)</f>
        <v>0.2</v>
      </c>
      <c r="F117" s="19">
        <f>$F$116</f>
        <v>40</v>
      </c>
      <c r="G117" s="4" t="inlineStr">
        <is>
          <t>複数回答</t>
        </is>
      </c>
    </row>
    <row r="118" ht="28" customHeight="1">
      <c r="A118" s="4" t="inlineStr">
        <is>
          <t>問14</t>
        </is>
      </c>
      <c r="B118" s="5" t="inlineStr">
        <is>
          <t>外出するときに困ることは何ですか（あてはまるものすべて）</t>
        </is>
      </c>
      <c r="C118" s="5" t="inlineStr">
        <is>
          <t>送迎がない</t>
        </is>
      </c>
      <c r="D118" s="30" t="n">
        <v>5</v>
      </c>
      <c r="E118" s="20">
        <f>IF($F118=0,0,D118/$F118)</f>
        <v>0.125</v>
      </c>
      <c r="F118" s="19">
        <f>$F$116</f>
        <v>40</v>
      </c>
      <c r="G118" s="4" t="inlineStr">
        <is>
          <t>複数回答</t>
        </is>
      </c>
    </row>
    <row r="119" ht="28" customHeight="1">
      <c r="A119" s="4" t="inlineStr">
        <is>
          <t>問14</t>
        </is>
      </c>
      <c r="B119" s="5" t="inlineStr">
        <is>
          <t>外出するときに困ることは何ですか（あてはまるものすべて）</t>
        </is>
      </c>
      <c r="C119" s="5" t="inlineStr">
        <is>
          <t>冬季・積雪時に外出しにくい</t>
        </is>
      </c>
      <c r="D119" s="30" t="n">
        <v>14</v>
      </c>
      <c r="E119" s="20">
        <f>IF($F119=0,0,D119/$F119)</f>
        <v>0.35</v>
      </c>
      <c r="F119" s="19">
        <f>$F$116</f>
        <v>40</v>
      </c>
      <c r="G119" s="4" t="inlineStr">
        <is>
          <t>複数回答</t>
        </is>
      </c>
    </row>
    <row r="120" ht="28" customHeight="1">
      <c r="A120" s="4" t="inlineStr">
        <is>
          <t>問14</t>
        </is>
      </c>
      <c r="B120" s="5" t="inlineStr">
        <is>
          <t>外出するときに困ることは何ですか（あてはまるものすべて）</t>
        </is>
      </c>
      <c r="C120" s="5" t="inlineStr">
        <is>
          <t>道路・建物が利用しにくい</t>
        </is>
      </c>
      <c r="D120" s="30" t="n">
        <v>0</v>
      </c>
      <c r="E120" s="20">
        <f>IF($F120=0,0,D120/$F120)</f>
        <v>0</v>
      </c>
      <c r="F120" s="19">
        <f>$F$116</f>
        <v>40</v>
      </c>
      <c r="G120" s="4" t="inlineStr">
        <is>
          <t>複数回答</t>
        </is>
      </c>
    </row>
    <row r="121" ht="28" customHeight="1">
      <c r="A121" s="4" t="inlineStr">
        <is>
          <t>問14</t>
        </is>
      </c>
      <c r="B121" s="5" t="inlineStr">
        <is>
          <t>外出するときに困ることは何ですか（あてはまるものすべて）</t>
        </is>
      </c>
      <c r="C121" s="5" t="inlineStr">
        <is>
          <t>周囲の理解が不安</t>
        </is>
      </c>
      <c r="D121" s="30" t="n">
        <v>2</v>
      </c>
      <c r="E121" s="20">
        <f>IF($F121=0,0,D121/$F121)</f>
        <v>0.05</v>
      </c>
      <c r="F121" s="19">
        <f>$F$116</f>
        <v>40</v>
      </c>
      <c r="G121" s="4" t="inlineStr">
        <is>
          <t>複数回答</t>
        </is>
      </c>
    </row>
    <row r="122" ht="28" customHeight="1">
      <c r="A122" s="4" t="inlineStr">
        <is>
          <t>問14</t>
        </is>
      </c>
      <c r="B122" s="5" t="inlineStr">
        <is>
          <t>外出するときに困ることは何ですか（あてはまるものすべて）</t>
        </is>
      </c>
      <c r="C122" s="5" t="inlineStr">
        <is>
          <t>体調面が不安</t>
        </is>
      </c>
      <c r="D122" s="30" t="n">
        <v>8</v>
      </c>
      <c r="E122" s="20">
        <f>IF($F122=0,0,D122/$F122)</f>
        <v>0.2</v>
      </c>
      <c r="F122" s="19">
        <f>$F$116</f>
        <v>40</v>
      </c>
      <c r="G122" s="4" t="inlineStr">
        <is>
          <t>複数回答</t>
        </is>
      </c>
    </row>
    <row r="123" ht="28" customHeight="1">
      <c r="A123" s="4" t="inlineStr">
        <is>
          <t>問14</t>
        </is>
      </c>
      <c r="B123" s="5" t="inlineStr">
        <is>
          <t>外出するときに困ることは何ですか（あてはまるものすべて）</t>
        </is>
      </c>
      <c r="C123" s="5" t="inlineStr">
        <is>
          <t>費用がかかる</t>
        </is>
      </c>
      <c r="D123" s="30" t="n">
        <v>6</v>
      </c>
      <c r="E123" s="20">
        <f>IF($F123=0,0,D123/$F123)</f>
        <v>0.15</v>
      </c>
      <c r="F123" s="19">
        <f>$F$116</f>
        <v>40</v>
      </c>
      <c r="G123" s="4" t="inlineStr">
        <is>
          <t>複数回答</t>
        </is>
      </c>
    </row>
    <row r="124" ht="28" customHeight="1">
      <c r="A124" s="4" t="inlineStr">
        <is>
          <t>問14</t>
        </is>
      </c>
      <c r="B124" s="5" t="inlineStr">
        <is>
          <t>外出するときに困ることは何ですか（あてはまるものすべて）</t>
        </is>
      </c>
      <c r="C124" s="5" t="inlineStr">
        <is>
          <t>特に困らない</t>
        </is>
      </c>
      <c r="D124" s="30" t="n">
        <v>12</v>
      </c>
      <c r="E124" s="20">
        <f>IF($F124=0,0,D124/$F124)</f>
        <v>0.3</v>
      </c>
      <c r="F124" s="19">
        <f>$F$116</f>
        <v>40</v>
      </c>
      <c r="G124" s="4" t="inlineStr">
        <is>
          <t>複数回答</t>
        </is>
      </c>
    </row>
    <row r="125" ht="28" customHeight="1">
      <c r="A125" s="4" t="inlineStr">
        <is>
          <t>問14</t>
        </is>
      </c>
      <c r="B125" s="5" t="inlineStr">
        <is>
          <t>外出するときに困ることは何ですか（あてはまるものすべて）</t>
        </is>
      </c>
      <c r="C125" s="5" t="inlineStr">
        <is>
          <t>その他</t>
        </is>
      </c>
      <c r="D125" s="30" t="n">
        <v>1</v>
      </c>
      <c r="E125" s="20">
        <f>IF($F125=0,0,D125/$F125)</f>
        <v>0.025</v>
      </c>
      <c r="F125" s="19">
        <f>$F$116</f>
        <v>40</v>
      </c>
      <c r="G125" s="4" t="inlineStr">
        <is>
          <t>複数回答</t>
        </is>
      </c>
    </row>
    <row r="126" ht="28" customHeight="1">
      <c r="A126" s="4" t="inlineStr">
        <is>
          <t>問14</t>
        </is>
      </c>
      <c r="B126" s="5" t="inlineStr">
        <is>
          <t>外出するときに困ることは何ですか（あてはまるものすべて）</t>
        </is>
      </c>
      <c r="C126" s="5" t="inlineStr">
        <is>
          <t>無回答</t>
        </is>
      </c>
      <c r="D126" s="30" t="n">
        <v>4</v>
      </c>
      <c r="E126" s="20">
        <f>IF($F126=0,0,D126/$F126)</f>
        <v>0.1</v>
      </c>
      <c r="F126" s="19">
        <f>$F$116</f>
        <v>40</v>
      </c>
      <c r="G126" s="4" t="inlineStr">
        <is>
          <t>複数回答</t>
        </is>
      </c>
    </row>
    <row r="127" ht="16" customHeight="1">
      <c r="A127" s="4" t="inlineStr">
        <is>
          <t>問15</t>
        </is>
      </c>
      <c r="B127" s="5" t="inlineStr">
        <is>
          <t>現在、定期的に通院していますか</t>
        </is>
      </c>
      <c r="C127" s="5" t="inlineStr">
        <is>
          <t>通院している</t>
        </is>
      </c>
      <c r="D127" s="30" t="n">
        <v>28</v>
      </c>
      <c r="E127" s="20">
        <f>IF($F127=0,0,D127/$F127)</f>
        <v>0.7</v>
      </c>
      <c r="F127" s="30" t="n">
        <v>40</v>
      </c>
      <c r="G127" s="4" t="inlineStr">
        <is>
          <t>単一回答</t>
        </is>
      </c>
    </row>
    <row r="128" ht="16" customHeight="1">
      <c r="A128" s="4" t="inlineStr">
        <is>
          <t>問15</t>
        </is>
      </c>
      <c r="B128" s="5" t="inlineStr">
        <is>
          <t>現在、定期的に通院していますか</t>
        </is>
      </c>
      <c r="C128" s="5" t="inlineStr">
        <is>
          <t>通院していない</t>
        </is>
      </c>
      <c r="D128" s="30" t="n">
        <v>5</v>
      </c>
      <c r="E128" s="20">
        <f>IF($F128=0,0,D128/$F128)</f>
        <v>0.125</v>
      </c>
      <c r="F128" s="19">
        <f>$F$127</f>
        <v>40</v>
      </c>
      <c r="G128" s="4" t="inlineStr">
        <is>
          <t>単一回答</t>
        </is>
      </c>
    </row>
    <row r="129" ht="16" customHeight="1">
      <c r="A129" s="4" t="inlineStr">
        <is>
          <t>問15</t>
        </is>
      </c>
      <c r="B129" s="5" t="inlineStr">
        <is>
          <t>現在、定期的に通院していますか</t>
        </is>
      </c>
      <c r="C129" s="5" t="inlineStr">
        <is>
          <t>訪問診療・往診を受けている</t>
        </is>
      </c>
      <c r="D129" s="30" t="n">
        <v>3</v>
      </c>
      <c r="E129" s="20">
        <f>IF($F129=0,0,D129/$F129)</f>
        <v>0.075</v>
      </c>
      <c r="F129" s="19">
        <f>$F$127</f>
        <v>40</v>
      </c>
      <c r="G129" s="4" t="inlineStr">
        <is>
          <t>単一回答</t>
        </is>
      </c>
    </row>
    <row r="130" ht="16" customHeight="1">
      <c r="A130" s="4" t="inlineStr">
        <is>
          <t>問15</t>
        </is>
      </c>
      <c r="B130" s="5" t="inlineStr">
        <is>
          <t>現在、定期的に通院していますか</t>
        </is>
      </c>
      <c r="C130" s="5" t="inlineStr">
        <is>
          <t>わからない</t>
        </is>
      </c>
      <c r="D130" s="30" t="n">
        <v>2</v>
      </c>
      <c r="E130" s="20">
        <f>IF($F130=0,0,D130/$F130)</f>
        <v>0.05</v>
      </c>
      <c r="F130" s="19">
        <f>$F$127</f>
        <v>40</v>
      </c>
      <c r="G130" s="4" t="inlineStr">
        <is>
          <t>単一回答</t>
        </is>
      </c>
    </row>
    <row r="131" ht="16" customHeight="1">
      <c r="A131" s="4" t="inlineStr">
        <is>
          <t>問15</t>
        </is>
      </c>
      <c r="B131" s="5" t="inlineStr">
        <is>
          <t>現在、定期的に通院していますか</t>
        </is>
      </c>
      <c r="C131" s="5" t="inlineStr">
        <is>
          <t>無回答</t>
        </is>
      </c>
      <c r="D131" s="30" t="n">
        <v>2</v>
      </c>
      <c r="E131" s="20">
        <f>IF($F131=0,0,D131/$F131)</f>
        <v>0.05</v>
      </c>
      <c r="F131" s="19">
        <f>$F$127</f>
        <v>40</v>
      </c>
      <c r="G131" s="4" t="inlineStr">
        <is>
          <t>単一回答</t>
        </is>
      </c>
    </row>
    <row r="132" ht="28" customHeight="1">
      <c r="A132" s="4" t="inlineStr">
        <is>
          <t>問16</t>
        </is>
      </c>
      <c r="B132" s="5" t="inlineStr">
        <is>
          <t>通院や医療で困っていることはありますか（あてはまるものすべて）</t>
        </is>
      </c>
      <c r="C132" s="5" t="inlineStr">
        <is>
          <t>専門医療機関が遠い</t>
        </is>
      </c>
      <c r="D132" s="30" t="n">
        <v>9</v>
      </c>
      <c r="E132" s="20">
        <f>IF($F132=0,0,D132/$F132)</f>
        <v>0.225</v>
      </c>
      <c r="F132" s="30" t="n">
        <v>40</v>
      </c>
      <c r="G132" s="4" t="inlineStr">
        <is>
          <t>複数回答</t>
        </is>
      </c>
    </row>
    <row r="133" ht="28" customHeight="1">
      <c r="A133" s="4" t="inlineStr">
        <is>
          <t>問16</t>
        </is>
      </c>
      <c r="B133" s="5" t="inlineStr">
        <is>
          <t>通院や医療で困っていることはありますか（あてはまるものすべて）</t>
        </is>
      </c>
      <c r="C133" s="5" t="inlineStr">
        <is>
          <t>通院の交通手段がない</t>
        </is>
      </c>
      <c r="D133" s="30" t="n">
        <v>3</v>
      </c>
      <c r="E133" s="20">
        <f>IF($F133=0,0,D133/$F133)</f>
        <v>0.075</v>
      </c>
      <c r="F133" s="19">
        <f>$F$132</f>
        <v>40</v>
      </c>
      <c r="G133" s="4" t="inlineStr">
        <is>
          <t>複数回答</t>
        </is>
      </c>
    </row>
    <row r="134" ht="28" customHeight="1">
      <c r="A134" s="4" t="inlineStr">
        <is>
          <t>問16</t>
        </is>
      </c>
      <c r="B134" s="5" t="inlineStr">
        <is>
          <t>通院や医療で困っていることはありますか（あてはまるものすべて）</t>
        </is>
      </c>
      <c r="C134" s="5" t="inlineStr">
        <is>
          <t>付き添いが必要</t>
        </is>
      </c>
      <c r="D134" s="30" t="n">
        <v>8</v>
      </c>
      <c r="E134" s="20">
        <f>IF($F134=0,0,D134/$F134)</f>
        <v>0.2</v>
      </c>
      <c r="F134" s="19">
        <f>$F$132</f>
        <v>40</v>
      </c>
      <c r="G134" s="4" t="inlineStr">
        <is>
          <t>複数回答</t>
        </is>
      </c>
    </row>
    <row r="135" ht="28" customHeight="1">
      <c r="A135" s="4" t="inlineStr">
        <is>
          <t>問16</t>
        </is>
      </c>
      <c r="B135" s="5" t="inlineStr">
        <is>
          <t>通院や医療で困っていることはありますか（あてはまるものすべて）</t>
        </is>
      </c>
      <c r="C135" s="5" t="inlineStr">
        <is>
          <t>医療費や交通費の負担が大きい</t>
        </is>
      </c>
      <c r="D135" s="30" t="n">
        <v>6</v>
      </c>
      <c r="E135" s="20">
        <f>IF($F135=0,0,D135/$F135)</f>
        <v>0.15</v>
      </c>
      <c r="F135" s="19">
        <f>$F$132</f>
        <v>40</v>
      </c>
      <c r="G135" s="4" t="inlineStr">
        <is>
          <t>複数回答</t>
        </is>
      </c>
    </row>
    <row r="136" ht="28" customHeight="1">
      <c r="A136" s="4" t="inlineStr">
        <is>
          <t>問16</t>
        </is>
      </c>
      <c r="B136" s="5" t="inlineStr">
        <is>
          <t>通院や医療で困っていることはありますか（あてはまるものすべて）</t>
        </is>
      </c>
      <c r="C136" s="5" t="inlineStr">
        <is>
          <t>予約・受診手続きが難しい</t>
        </is>
      </c>
      <c r="D136" s="30" t="n">
        <v>2</v>
      </c>
      <c r="E136" s="20">
        <f>IF($F136=0,0,D136/$F136)</f>
        <v>0.05</v>
      </c>
      <c r="F136" s="19">
        <f>$F$132</f>
        <v>40</v>
      </c>
      <c r="G136" s="4" t="inlineStr">
        <is>
          <t>複数回答</t>
        </is>
      </c>
    </row>
    <row r="137" ht="28" customHeight="1">
      <c r="A137" s="4" t="inlineStr">
        <is>
          <t>問16</t>
        </is>
      </c>
      <c r="B137" s="5" t="inlineStr">
        <is>
          <t>通院や医療で困っていることはありますか（あてはまるものすべて）</t>
        </is>
      </c>
      <c r="C137" s="5" t="inlineStr">
        <is>
          <t>緊急時の対応が不安</t>
        </is>
      </c>
      <c r="D137" s="30" t="n">
        <v>6</v>
      </c>
      <c r="E137" s="20">
        <f>IF($F137=0,0,D137/$F137)</f>
        <v>0.15</v>
      </c>
      <c r="F137" s="19">
        <f>$F$132</f>
        <v>40</v>
      </c>
      <c r="G137" s="4" t="inlineStr">
        <is>
          <t>複数回答</t>
        </is>
      </c>
    </row>
    <row r="138" ht="28" customHeight="1">
      <c r="A138" s="4" t="inlineStr">
        <is>
          <t>問16</t>
        </is>
      </c>
      <c r="B138" s="5" t="inlineStr">
        <is>
          <t>通院や医療で困っていることはありますか（あてはまるものすべて）</t>
        </is>
      </c>
      <c r="C138" s="5" t="inlineStr">
        <is>
          <t>特に困っていない</t>
        </is>
      </c>
      <c r="D138" s="30" t="n">
        <v>17</v>
      </c>
      <c r="E138" s="20">
        <f>IF($F138=0,0,D138/$F138)</f>
        <v>0.425</v>
      </c>
      <c r="F138" s="19">
        <f>$F$132</f>
        <v>40</v>
      </c>
      <c r="G138" s="4" t="inlineStr">
        <is>
          <t>複数回答</t>
        </is>
      </c>
    </row>
    <row r="139" ht="28" customHeight="1">
      <c r="A139" s="4" t="inlineStr">
        <is>
          <t>問16</t>
        </is>
      </c>
      <c r="B139" s="5" t="inlineStr">
        <is>
          <t>通院や医療で困っていることはありますか（あてはまるものすべて）</t>
        </is>
      </c>
      <c r="C139" s="5" t="inlineStr">
        <is>
          <t>その他</t>
        </is>
      </c>
      <c r="D139" s="30" t="n">
        <v>0</v>
      </c>
      <c r="E139" s="20">
        <f>IF($F139=0,0,D139/$F139)</f>
        <v>0</v>
      </c>
      <c r="F139" s="19">
        <f>$F$132</f>
        <v>40</v>
      </c>
      <c r="G139" s="4" t="inlineStr">
        <is>
          <t>複数回答</t>
        </is>
      </c>
    </row>
    <row r="140" ht="28" customHeight="1">
      <c r="A140" s="4" t="inlineStr">
        <is>
          <t>問16</t>
        </is>
      </c>
      <c r="B140" s="5" t="inlineStr">
        <is>
          <t>通院や医療で困っていることはありますか（あてはまるものすべて）</t>
        </is>
      </c>
      <c r="C140" s="5" t="inlineStr">
        <is>
          <t>無回答</t>
        </is>
      </c>
      <c r="D140" s="30" t="n">
        <v>2</v>
      </c>
      <c r="E140" s="20">
        <f>IF($F140=0,0,D140/$F140)</f>
        <v>0.05</v>
      </c>
      <c r="F140" s="19">
        <f>$F$132</f>
        <v>40</v>
      </c>
      <c r="G140" s="4" t="inlineStr">
        <is>
          <t>複数回答</t>
        </is>
      </c>
    </row>
    <row r="141" ht="28" customHeight="1">
      <c r="A141" s="4" t="inlineStr">
        <is>
          <t>問17</t>
        </is>
      </c>
      <c r="B141" s="5" t="inlineStr">
        <is>
          <t>医療的ケアを必要としていますか（あてはまるものすべて）</t>
        </is>
      </c>
      <c r="C141" s="5" t="inlineStr">
        <is>
          <t>必要としていない</t>
        </is>
      </c>
      <c r="D141" s="30" t="n">
        <v>30</v>
      </c>
      <c r="E141" s="20">
        <f>IF($F141=0,0,D141/$F141)</f>
        <v>0.75</v>
      </c>
      <c r="F141" s="30" t="n">
        <v>40</v>
      </c>
      <c r="G141" s="4" t="inlineStr">
        <is>
          <t>複数回答</t>
        </is>
      </c>
    </row>
    <row r="142" ht="28" customHeight="1">
      <c r="A142" s="4" t="inlineStr">
        <is>
          <t>問17</t>
        </is>
      </c>
      <c r="B142" s="5" t="inlineStr">
        <is>
          <t>医療的ケアを必要としていますか（あてはまるものすべて）</t>
        </is>
      </c>
      <c r="C142" s="5" t="inlineStr">
        <is>
          <t>吸引</t>
        </is>
      </c>
      <c r="D142" s="30" t="n">
        <v>1</v>
      </c>
      <c r="E142" s="20">
        <f>IF($F142=0,0,D142/$F142)</f>
        <v>0.025</v>
      </c>
      <c r="F142" s="19">
        <f>$F$141</f>
        <v>40</v>
      </c>
      <c r="G142" s="4" t="inlineStr">
        <is>
          <t>複数回答</t>
        </is>
      </c>
    </row>
    <row r="143" ht="28" customHeight="1">
      <c r="A143" s="4" t="inlineStr">
        <is>
          <t>問17</t>
        </is>
      </c>
      <c r="B143" s="5" t="inlineStr">
        <is>
          <t>医療的ケアを必要としていますか（あてはまるものすべて）</t>
        </is>
      </c>
      <c r="C143" s="5" t="inlineStr">
        <is>
          <t>酸素療法</t>
        </is>
      </c>
      <c r="D143" s="30" t="n">
        <v>1</v>
      </c>
      <c r="E143" s="20">
        <f>IF($F143=0,0,D143/$F143)</f>
        <v>0.025</v>
      </c>
      <c r="F143" s="19">
        <f>$F$141</f>
        <v>40</v>
      </c>
      <c r="G143" s="4" t="inlineStr">
        <is>
          <t>複数回答</t>
        </is>
      </c>
    </row>
    <row r="144" ht="28" customHeight="1">
      <c r="A144" s="4" t="inlineStr">
        <is>
          <t>問17</t>
        </is>
      </c>
      <c r="B144" s="5" t="inlineStr">
        <is>
          <t>医療的ケアを必要としていますか（あてはまるものすべて）</t>
        </is>
      </c>
      <c r="C144" s="5" t="inlineStr">
        <is>
          <t>人工呼吸器（レスピレーター）</t>
        </is>
      </c>
      <c r="D144" s="30" t="n">
        <v>0</v>
      </c>
      <c r="E144" s="20">
        <f>IF($F144=0,0,D144/$F144)</f>
        <v>0</v>
      </c>
      <c r="F144" s="19">
        <f>$F$141</f>
        <v>40</v>
      </c>
      <c r="G144" s="4" t="inlineStr">
        <is>
          <t>複数回答</t>
        </is>
      </c>
    </row>
    <row r="145" ht="28" customHeight="1">
      <c r="A145" s="4" t="inlineStr">
        <is>
          <t>問17</t>
        </is>
      </c>
      <c r="B145" s="5" t="inlineStr">
        <is>
          <t>医療的ケアを必要としていますか（あてはまるものすべて）</t>
        </is>
      </c>
      <c r="C145" s="5" t="inlineStr">
        <is>
          <t>導尿</t>
        </is>
      </c>
      <c r="D145" s="30" t="n">
        <v>1</v>
      </c>
      <c r="E145" s="20">
        <f>IF($F145=0,0,D145/$F145)</f>
        <v>0.025</v>
      </c>
      <c r="F145" s="19">
        <f>$F$141</f>
        <v>40</v>
      </c>
      <c r="G145" s="4" t="inlineStr">
        <is>
          <t>複数回答</t>
        </is>
      </c>
    </row>
    <row r="146" ht="28" customHeight="1">
      <c r="A146" s="4" t="inlineStr">
        <is>
          <t>問17</t>
        </is>
      </c>
      <c r="B146" s="5" t="inlineStr">
        <is>
          <t>医療的ケアを必要としていますか（あてはまるものすべて）</t>
        </is>
      </c>
      <c r="C146" s="5" t="inlineStr">
        <is>
          <t>ストマ（人工肛門・人工膀胱）</t>
        </is>
      </c>
      <c r="D146" s="30" t="n">
        <v>0</v>
      </c>
      <c r="E146" s="20">
        <f>IF($F146=0,0,D146/$F146)</f>
        <v>0</v>
      </c>
      <c r="F146" s="19">
        <f>$F$141</f>
        <v>40</v>
      </c>
      <c r="G146" s="4" t="inlineStr">
        <is>
          <t>複数回答</t>
        </is>
      </c>
    </row>
    <row r="147" ht="28" customHeight="1">
      <c r="A147" s="4" t="inlineStr">
        <is>
          <t>問17</t>
        </is>
      </c>
      <c r="B147" s="5" t="inlineStr">
        <is>
          <t>医療的ケアを必要としていますか（あてはまるものすべて）</t>
        </is>
      </c>
      <c r="C147" s="5" t="inlineStr">
        <is>
          <t>服薬管理等の継続支援</t>
        </is>
      </c>
      <c r="D147" s="30" t="n">
        <v>3</v>
      </c>
      <c r="E147" s="20">
        <f>IF($F147=0,0,D147/$F147)</f>
        <v>0.075</v>
      </c>
      <c r="F147" s="19">
        <f>$F$141</f>
        <v>40</v>
      </c>
      <c r="G147" s="4" t="inlineStr">
        <is>
          <t>複数回答</t>
        </is>
      </c>
    </row>
    <row r="148" ht="28" customHeight="1">
      <c r="A148" s="4" t="inlineStr">
        <is>
          <t>問17</t>
        </is>
      </c>
      <c r="B148" s="5" t="inlineStr">
        <is>
          <t>医療的ケアを必要としていますか（あてはまるものすべて）</t>
        </is>
      </c>
      <c r="C148" s="5" t="inlineStr">
        <is>
          <t>気管切開</t>
        </is>
      </c>
      <c r="D148" s="30" t="n">
        <v>0</v>
      </c>
      <c r="E148" s="20">
        <f>IF($F148=0,0,D148/$F148)</f>
        <v>0</v>
      </c>
      <c r="F148" s="19">
        <f>$F$141</f>
        <v>40</v>
      </c>
      <c r="G148" s="4" t="inlineStr">
        <is>
          <t>複数回答</t>
        </is>
      </c>
    </row>
    <row r="149" ht="28" customHeight="1">
      <c r="A149" s="4" t="inlineStr">
        <is>
          <t>問17</t>
        </is>
      </c>
      <c r="B149" s="5" t="inlineStr">
        <is>
          <t>医療的ケアを必要としていますか（あてはまるものすべて）</t>
        </is>
      </c>
      <c r="C149" s="5" t="inlineStr">
        <is>
          <t>胃ろう・腸ろう</t>
        </is>
      </c>
      <c r="D149" s="30" t="n">
        <v>2</v>
      </c>
      <c r="E149" s="20">
        <f>IF($F149=0,0,D149/$F149)</f>
        <v>0.05</v>
      </c>
      <c r="F149" s="19">
        <f>$F$141</f>
        <v>40</v>
      </c>
      <c r="G149" s="4" t="inlineStr">
        <is>
          <t>複数回答</t>
        </is>
      </c>
    </row>
    <row r="150" ht="28" customHeight="1">
      <c r="A150" s="4" t="inlineStr">
        <is>
          <t>問17</t>
        </is>
      </c>
      <c r="B150" s="5" t="inlineStr">
        <is>
          <t>医療的ケアを必要としていますか（あてはまるものすべて）</t>
        </is>
      </c>
      <c r="C150" s="5" t="inlineStr">
        <is>
          <t>鼻腔管栄養</t>
        </is>
      </c>
      <c r="D150" s="30" t="n">
        <v>0</v>
      </c>
      <c r="E150" s="20">
        <f>IF($F150=0,0,D150/$F150)</f>
        <v>0</v>
      </c>
      <c r="F150" s="19">
        <f>$F$141</f>
        <v>40</v>
      </c>
      <c r="G150" s="4" t="inlineStr">
        <is>
          <t>複数回答</t>
        </is>
      </c>
    </row>
    <row r="151" ht="28" customHeight="1">
      <c r="A151" s="4" t="inlineStr">
        <is>
          <t>問17</t>
        </is>
      </c>
      <c r="B151" s="5" t="inlineStr">
        <is>
          <t>医療的ケアを必要としていますか（あてはまるものすべて）</t>
        </is>
      </c>
      <c r="C151" s="5" t="inlineStr">
        <is>
          <t>中心静脈栄養（IVH）</t>
        </is>
      </c>
      <c r="D151" s="30" t="n">
        <v>0</v>
      </c>
      <c r="E151" s="20">
        <f>IF($F151=0,0,D151/$F151)</f>
        <v>0</v>
      </c>
      <c r="F151" s="19">
        <f>$F$141</f>
        <v>40</v>
      </c>
      <c r="G151" s="4" t="inlineStr">
        <is>
          <t>複数回答</t>
        </is>
      </c>
    </row>
    <row r="152" ht="28" customHeight="1">
      <c r="A152" s="4" t="inlineStr">
        <is>
          <t>問17</t>
        </is>
      </c>
      <c r="B152" s="5" t="inlineStr">
        <is>
          <t>医療的ケアを必要としていますか（あてはまるものすべて）</t>
        </is>
      </c>
      <c r="C152" s="5" t="inlineStr">
        <is>
          <t>透析</t>
        </is>
      </c>
      <c r="D152" s="30" t="n">
        <v>0</v>
      </c>
      <c r="E152" s="20">
        <f>IF($F152=0,0,D152/$F152)</f>
        <v>0</v>
      </c>
      <c r="F152" s="19">
        <f>$F$141</f>
        <v>40</v>
      </c>
      <c r="G152" s="4" t="inlineStr">
        <is>
          <t>複数回答</t>
        </is>
      </c>
    </row>
    <row r="153" ht="28" customHeight="1">
      <c r="A153" s="4" t="inlineStr">
        <is>
          <t>問17</t>
        </is>
      </c>
      <c r="B153" s="5" t="inlineStr">
        <is>
          <t>医療的ケアを必要としていますか（あてはまるものすべて）</t>
        </is>
      </c>
      <c r="C153" s="5" t="inlineStr">
        <is>
          <t>カテーテル留置</t>
        </is>
      </c>
      <c r="D153" s="30" t="n">
        <v>0</v>
      </c>
      <c r="E153" s="20">
        <f>IF($F153=0,0,D153/$F153)</f>
        <v>0</v>
      </c>
      <c r="F153" s="19">
        <f>$F$141</f>
        <v>40</v>
      </c>
      <c r="G153" s="4" t="inlineStr">
        <is>
          <t>複数回答</t>
        </is>
      </c>
    </row>
    <row r="154" ht="28" customHeight="1">
      <c r="A154" s="4" t="inlineStr">
        <is>
          <t>問17</t>
        </is>
      </c>
      <c r="B154" s="5" t="inlineStr">
        <is>
          <t>医療的ケアを必要としていますか（あてはまるものすべて）</t>
        </is>
      </c>
      <c r="C154" s="5" t="inlineStr">
        <is>
          <t>その他</t>
        </is>
      </c>
      <c r="D154" s="30" t="n">
        <v>0</v>
      </c>
      <c r="E154" s="20">
        <f>IF($F154=0,0,D154/$F154)</f>
        <v>0</v>
      </c>
      <c r="F154" s="19">
        <f>$F$141</f>
        <v>40</v>
      </c>
      <c r="G154" s="4" t="inlineStr">
        <is>
          <t>複数回答</t>
        </is>
      </c>
    </row>
    <row r="155" ht="28" customHeight="1">
      <c r="A155" s="4" t="inlineStr">
        <is>
          <t>問17</t>
        </is>
      </c>
      <c r="B155" s="5" t="inlineStr">
        <is>
          <t>医療的ケアを必要としていますか（あてはまるものすべて）</t>
        </is>
      </c>
      <c r="C155" s="5" t="inlineStr">
        <is>
          <t>無回答</t>
        </is>
      </c>
      <c r="D155" s="30" t="n">
        <v>3</v>
      </c>
      <c r="E155" s="20">
        <f>IF($F155=0,0,D155/$F155)</f>
        <v>0.075</v>
      </c>
      <c r="F155" s="19">
        <f>$F$141</f>
        <v>40</v>
      </c>
      <c r="G155" s="4" t="inlineStr">
        <is>
          <t>複数回答</t>
        </is>
      </c>
    </row>
    <row r="156" ht="28" customHeight="1">
      <c r="A156" s="4" t="inlineStr">
        <is>
          <t>問18</t>
        </is>
      </c>
      <c r="B156" s="5" t="inlineStr">
        <is>
          <t>医療的ケアや重い障がいに関して、必要だと思う支援は何ですか（あてはまるものすべて）</t>
        </is>
      </c>
      <c r="C156" s="5" t="inlineStr">
        <is>
          <t>身近な相談先</t>
        </is>
      </c>
      <c r="D156" s="30" t="n">
        <v>5</v>
      </c>
      <c r="E156" s="20">
        <f>IF($F156=0,0,D156/$F156)</f>
        <v>0.125</v>
      </c>
      <c r="F156" s="30" t="n">
        <v>40</v>
      </c>
      <c r="G156" s="4" t="inlineStr">
        <is>
          <t>複数回答</t>
        </is>
      </c>
    </row>
    <row r="157" ht="28" customHeight="1">
      <c r="A157" s="4" t="inlineStr">
        <is>
          <t>問18</t>
        </is>
      </c>
      <c r="B157" s="5" t="inlineStr">
        <is>
          <t>医療的ケアや重い障がいに関して、必要だと思う支援は何ですか（あてはまるものすべて）</t>
        </is>
      </c>
      <c r="C157" s="5" t="inlineStr">
        <is>
          <t>通所先での医療的ケア対応</t>
        </is>
      </c>
      <c r="D157" s="30" t="n">
        <v>2</v>
      </c>
      <c r="E157" s="20">
        <f>IF($F157=0,0,D157/$F157)</f>
        <v>0.05</v>
      </c>
      <c r="F157" s="19">
        <f>$F$156</f>
        <v>40</v>
      </c>
      <c r="G157" s="4" t="inlineStr">
        <is>
          <t>複数回答</t>
        </is>
      </c>
    </row>
    <row r="158" ht="28" customHeight="1">
      <c r="A158" s="4" t="inlineStr">
        <is>
          <t>問18</t>
        </is>
      </c>
      <c r="B158" s="5" t="inlineStr">
        <is>
          <t>医療的ケアや重い障がいに関して、必要だと思う支援は何ですか（あてはまるものすべて）</t>
        </is>
      </c>
      <c r="C158" s="5" t="inlineStr">
        <is>
          <t>短期入所・レスパイトケア</t>
        </is>
      </c>
      <c r="D158" s="30" t="n">
        <v>1</v>
      </c>
      <c r="E158" s="20">
        <f>IF($F158=0,0,D158/$F158)</f>
        <v>0.025</v>
      </c>
      <c r="F158" s="19">
        <f>$F$156</f>
        <v>40</v>
      </c>
      <c r="G158" s="4" t="inlineStr">
        <is>
          <t>複数回答</t>
        </is>
      </c>
    </row>
    <row r="159" ht="28" customHeight="1">
      <c r="A159" s="4" t="inlineStr">
        <is>
          <t>問18</t>
        </is>
      </c>
      <c r="B159" s="5" t="inlineStr">
        <is>
          <t>医療的ケアや重い障がいに関して、必要だと思う支援は何ですか（あてはまるものすべて）</t>
        </is>
      </c>
      <c r="C159" s="5" t="inlineStr">
        <is>
          <t>訪問看護等との連携</t>
        </is>
      </c>
      <c r="D159" s="30" t="n">
        <v>3</v>
      </c>
      <c r="E159" s="20">
        <f>IF($F159=0,0,D159/$F159)</f>
        <v>0.075</v>
      </c>
      <c r="F159" s="19">
        <f>$F$156</f>
        <v>40</v>
      </c>
      <c r="G159" s="4" t="inlineStr">
        <is>
          <t>複数回答</t>
        </is>
      </c>
    </row>
    <row r="160" ht="28" customHeight="1">
      <c r="A160" s="4" t="inlineStr">
        <is>
          <t>問18</t>
        </is>
      </c>
      <c r="B160" s="5" t="inlineStr">
        <is>
          <t>医療的ケアや重い障がいに関して、必要だと思う支援は何ですか（あてはまるものすべて）</t>
        </is>
      </c>
      <c r="C160" s="5" t="inlineStr">
        <is>
          <t>災害時の電源・医療機器対応</t>
        </is>
      </c>
      <c r="D160" s="30" t="n">
        <v>1</v>
      </c>
      <c r="E160" s="20">
        <f>IF($F160=0,0,D160/$F160)</f>
        <v>0.025</v>
      </c>
      <c r="F160" s="19">
        <f>$F$156</f>
        <v>40</v>
      </c>
      <c r="G160" s="4" t="inlineStr">
        <is>
          <t>複数回答</t>
        </is>
      </c>
    </row>
    <row r="161" ht="28" customHeight="1">
      <c r="A161" s="4" t="inlineStr">
        <is>
          <t>問18</t>
        </is>
      </c>
      <c r="B161" s="5" t="inlineStr">
        <is>
          <t>医療的ケアや重い障がいに関して、必要だと思う支援は何ですか（あてはまるものすべて）</t>
        </is>
      </c>
      <c r="C161" s="5" t="inlineStr">
        <is>
          <t>家族の負担軽減</t>
        </is>
      </c>
      <c r="D161" s="30" t="n">
        <v>8</v>
      </c>
      <c r="E161" s="20">
        <f>IF($F161=0,0,D161/$F161)</f>
        <v>0.2</v>
      </c>
      <c r="F161" s="19">
        <f>$F$156</f>
        <v>40</v>
      </c>
      <c r="G161" s="4" t="inlineStr">
        <is>
          <t>複数回答</t>
        </is>
      </c>
    </row>
    <row r="162" ht="28" customHeight="1">
      <c r="A162" s="4" t="inlineStr">
        <is>
          <t>問18</t>
        </is>
      </c>
      <c r="B162" s="5" t="inlineStr">
        <is>
          <t>医療的ケアや重い障がいに関して、必要だと思う支援は何ですか（あてはまるものすべて）</t>
        </is>
      </c>
      <c r="C162" s="5" t="inlineStr">
        <is>
          <t>特にない</t>
        </is>
      </c>
      <c r="D162" s="30" t="n">
        <v>23</v>
      </c>
      <c r="E162" s="20">
        <f>IF($F162=0,0,D162/$F162)</f>
        <v>0.575</v>
      </c>
      <c r="F162" s="19">
        <f>$F$156</f>
        <v>40</v>
      </c>
      <c r="G162" s="4" t="inlineStr">
        <is>
          <t>複数回答</t>
        </is>
      </c>
    </row>
    <row r="163" ht="28" customHeight="1">
      <c r="A163" s="4" t="inlineStr">
        <is>
          <t>問18</t>
        </is>
      </c>
      <c r="B163" s="5" t="inlineStr">
        <is>
          <t>医療的ケアや重い障がいに関して、必要だと思う支援は何ですか（あてはまるものすべて）</t>
        </is>
      </c>
      <c r="C163" s="5" t="inlineStr">
        <is>
          <t>その他</t>
        </is>
      </c>
      <c r="D163" s="30" t="n">
        <v>0</v>
      </c>
      <c r="E163" s="20">
        <f>IF($F163=0,0,D163/$F163)</f>
        <v>0</v>
      </c>
      <c r="F163" s="19">
        <f>$F$156</f>
        <v>40</v>
      </c>
      <c r="G163" s="4" t="inlineStr">
        <is>
          <t>複数回答</t>
        </is>
      </c>
    </row>
    <row r="164" ht="28" customHeight="1">
      <c r="A164" s="4" t="inlineStr">
        <is>
          <t>問18</t>
        </is>
      </c>
      <c r="B164" s="5" t="inlineStr">
        <is>
          <t>医療的ケアや重い障がいに関して、必要だと思う支援は何ですか（あてはまるものすべて）</t>
        </is>
      </c>
      <c r="C164" s="5" t="inlineStr">
        <is>
          <t>無回答</t>
        </is>
      </c>
      <c r="D164" s="30" t="n">
        <v>5</v>
      </c>
      <c r="E164" s="20">
        <f>IF($F164=0,0,D164/$F164)</f>
        <v>0.125</v>
      </c>
      <c r="F164" s="19">
        <f>$F$156</f>
        <v>40</v>
      </c>
      <c r="G164" s="4" t="inlineStr">
        <is>
          <t>複数回答</t>
        </is>
      </c>
    </row>
    <row r="165" ht="40.5" customHeight="1">
      <c r="A165" s="4" t="inlineStr">
        <is>
          <t>問19</t>
        </is>
      </c>
      <c r="B165" s="5" t="inlineStr">
        <is>
          <t>強度行動障がい支援（自傷や強いこだわり、パニックがある方）に関して、必要だと思う支援は何ですか（あてはまるものすべて）</t>
        </is>
      </c>
      <c r="C165" s="5" t="inlineStr">
        <is>
          <t>ヘルパーやスタッフの派遣・増員</t>
        </is>
      </c>
      <c r="D165" s="30" t="n">
        <v>4</v>
      </c>
      <c r="E165" s="20">
        <f>IF($F165=0,0,D165/$F165)</f>
        <v>0.1</v>
      </c>
      <c r="F165" s="30" t="n">
        <v>40</v>
      </c>
      <c r="G165" s="4" t="inlineStr">
        <is>
          <t>複数回答</t>
        </is>
      </c>
    </row>
    <row r="166" ht="40.5" customHeight="1">
      <c r="A166" s="4" t="inlineStr">
        <is>
          <t>問19</t>
        </is>
      </c>
      <c r="B166" s="5" t="inlineStr">
        <is>
          <t>強度行動障がい支援（自傷や強いこだわり、パニックがある方）に関して、必要だと思う支援は何ですか（あてはまるものすべて）</t>
        </is>
      </c>
      <c r="C166" s="5" t="inlineStr">
        <is>
          <t>パニック時や緊急時に一時的に受け入れてくれる施設の整備</t>
        </is>
      </c>
      <c r="D166" s="30" t="n">
        <v>7</v>
      </c>
      <c r="E166" s="20">
        <f>IF($F166=0,0,D166/$F166)</f>
        <v>0.175</v>
      </c>
      <c r="F166" s="19">
        <f>$F$165</f>
        <v>40</v>
      </c>
      <c r="G166" s="4" t="inlineStr">
        <is>
          <t>複数回答</t>
        </is>
      </c>
    </row>
    <row r="167" ht="40.5" customHeight="1">
      <c r="A167" s="4" t="inlineStr">
        <is>
          <t>問19</t>
        </is>
      </c>
      <c r="B167" s="5" t="inlineStr">
        <is>
          <t>強度行動障がい支援（自傷や強いこだわり、パニックがある方）に関して、必要だと思う支援は何ですか（あてはまるものすべて）</t>
        </is>
      </c>
      <c r="C167" s="5" t="inlineStr">
        <is>
          <t>自宅以外で落ち着いて過ごせる居場所や日中活動の場の確保</t>
        </is>
      </c>
      <c r="D167" s="30" t="n">
        <v>6</v>
      </c>
      <c r="E167" s="20">
        <f>IF($F167=0,0,D167/$F167)</f>
        <v>0.15</v>
      </c>
      <c r="F167" s="19">
        <f>$F$165</f>
        <v>40</v>
      </c>
      <c r="G167" s="4" t="inlineStr">
        <is>
          <t>複数回答</t>
        </is>
      </c>
    </row>
    <row r="168" ht="40.5" customHeight="1">
      <c r="A168" s="4" t="inlineStr">
        <is>
          <t>問19</t>
        </is>
      </c>
      <c r="B168" s="5" t="inlineStr">
        <is>
          <t>強度行動障がい支援（自傷や強いこだわり、パニックがある方）に関して、必要だと思う支援は何ですか（あてはまるものすべて）</t>
        </is>
      </c>
      <c r="C168" s="5" t="inlineStr">
        <is>
          <t>医療機関や発達障害支援センターなどの専門機関との連携強化</t>
        </is>
      </c>
      <c r="D168" s="30" t="n">
        <v>4</v>
      </c>
      <c r="E168" s="20">
        <f>IF($F168=0,0,D168/$F168)</f>
        <v>0.1</v>
      </c>
      <c r="F168" s="19">
        <f>$F$165</f>
        <v>40</v>
      </c>
      <c r="G168" s="4" t="inlineStr">
        <is>
          <t>複数回答</t>
        </is>
      </c>
    </row>
    <row r="169" ht="40.5" customHeight="1">
      <c r="A169" s="4" t="inlineStr">
        <is>
          <t>問19</t>
        </is>
      </c>
      <c r="B169" s="5" t="inlineStr">
        <is>
          <t>強度行動障がい支援（自傷や強いこだわり、パニックがある方）に関して、必要だと思う支援は何ですか（あてはまるものすべて）</t>
        </is>
      </c>
      <c r="C169" s="5" t="inlineStr">
        <is>
          <t>家族（介護者）が対応方法を学ぶための研修や、悩みを相談できる機会の提供</t>
        </is>
      </c>
      <c r="D169" s="30" t="n">
        <v>1</v>
      </c>
      <c r="E169" s="20">
        <f>IF($F169=0,0,D169/$F169)</f>
        <v>0.025</v>
      </c>
      <c r="F169" s="19">
        <f>$F$165</f>
        <v>40</v>
      </c>
      <c r="G169" s="4" t="inlineStr">
        <is>
          <t>複数回答</t>
        </is>
      </c>
    </row>
    <row r="170" ht="40.5" customHeight="1">
      <c r="A170" s="4" t="inlineStr">
        <is>
          <t>問19</t>
        </is>
      </c>
      <c r="B170" s="5" t="inlineStr">
        <is>
          <t>強度行動障がい支援（自傷や強いこだわり、パニックがある方）に関して、必要だと思う支援は何ですか（あてはまるものすべて）</t>
        </is>
      </c>
      <c r="C170" s="5" t="inlineStr">
        <is>
          <t>特にない</t>
        </is>
      </c>
      <c r="D170" s="30" t="n">
        <v>20</v>
      </c>
      <c r="E170" s="20">
        <f>IF($F170=0,0,D170/$F170)</f>
        <v>0.5</v>
      </c>
      <c r="F170" s="19">
        <f>$F$165</f>
        <v>40</v>
      </c>
      <c r="G170" s="4" t="inlineStr">
        <is>
          <t>複数回答</t>
        </is>
      </c>
    </row>
    <row r="171" ht="40.5" customHeight="1">
      <c r="A171" s="4" t="inlineStr">
        <is>
          <t>問19</t>
        </is>
      </c>
      <c r="B171" s="5" t="inlineStr">
        <is>
          <t>強度行動障がい支援（自傷や強いこだわり、パニックがある方）に関して、必要だと思う支援は何ですか（あてはまるものすべて）</t>
        </is>
      </c>
      <c r="C171" s="5" t="inlineStr">
        <is>
          <t>無回答</t>
        </is>
      </c>
      <c r="D171" s="30" t="n">
        <v>8</v>
      </c>
      <c r="E171" s="20">
        <f>IF($F171=0,0,D171/$F171)</f>
        <v>0.2</v>
      </c>
      <c r="F171" s="19">
        <f>$F$165</f>
        <v>40</v>
      </c>
      <c r="G171" s="4" t="inlineStr">
        <is>
          <t>複数回答</t>
        </is>
      </c>
    </row>
    <row r="172" ht="28" customHeight="1">
      <c r="A172" s="4" t="inlineStr">
        <is>
          <t>問20</t>
        </is>
      </c>
      <c r="B172" s="5" t="inlineStr">
        <is>
          <t>高次脳機能障がい支援に関して、必要だと思う支援は何ですか（あてはまるものすべて）</t>
        </is>
      </c>
      <c r="C172" s="5" t="inlineStr">
        <is>
          <t>ヘルパーやスタッフの派遣・増員</t>
        </is>
      </c>
      <c r="D172" s="30" t="n">
        <v>3</v>
      </c>
      <c r="E172" s="20">
        <f>IF($F172=0,0,D172/$F172)</f>
        <v>0.075</v>
      </c>
      <c r="F172" s="30" t="n">
        <v>40</v>
      </c>
      <c r="G172" s="4" t="inlineStr">
        <is>
          <t>複数回答</t>
        </is>
      </c>
    </row>
    <row r="173" ht="28" customHeight="1">
      <c r="A173" s="4" t="inlineStr">
        <is>
          <t>問20</t>
        </is>
      </c>
      <c r="B173" s="5" t="inlineStr">
        <is>
          <t>高次脳機能障がい支援に関して、必要だと思う支援は何ですか（あてはまるものすべて）</t>
        </is>
      </c>
      <c r="C173" s="5" t="inlineStr">
        <is>
          <t>パニック時や緊急時に一時的に受け入れてくれる施設の整備</t>
        </is>
      </c>
      <c r="D173" s="30" t="n">
        <v>5</v>
      </c>
      <c r="E173" s="20">
        <f>IF($F173=0,0,D173/$F173)</f>
        <v>0.125</v>
      </c>
      <c r="F173" s="19">
        <f>$F$172</f>
        <v>40</v>
      </c>
      <c r="G173" s="4" t="inlineStr">
        <is>
          <t>複数回答</t>
        </is>
      </c>
    </row>
    <row r="174" ht="28" customHeight="1">
      <c r="A174" s="4" t="inlineStr">
        <is>
          <t>問20</t>
        </is>
      </c>
      <c r="B174" s="5" t="inlineStr">
        <is>
          <t>高次脳機能障がい支援に関して、必要だと思う支援は何ですか（あてはまるものすべて）</t>
        </is>
      </c>
      <c r="C174" s="5" t="inlineStr">
        <is>
          <t>自宅以外で落ち着いて過ごせる居場所や日中活動の場の確保</t>
        </is>
      </c>
      <c r="D174" s="30" t="n">
        <v>5</v>
      </c>
      <c r="E174" s="20">
        <f>IF($F174=0,0,D174/$F174)</f>
        <v>0.125</v>
      </c>
      <c r="F174" s="19">
        <f>$F$172</f>
        <v>40</v>
      </c>
      <c r="G174" s="4" t="inlineStr">
        <is>
          <t>複数回答</t>
        </is>
      </c>
    </row>
    <row r="175" ht="28" customHeight="1">
      <c r="A175" s="4" t="inlineStr">
        <is>
          <t>問20</t>
        </is>
      </c>
      <c r="B175" s="5" t="inlineStr">
        <is>
          <t>高次脳機能障がい支援に関して、必要だと思う支援は何ですか（あてはまるものすべて）</t>
        </is>
      </c>
      <c r="C175" s="5" t="inlineStr">
        <is>
          <t>医療機関や発達障害支援センターなどの専門機関との連携強化</t>
        </is>
      </c>
      <c r="D175" s="30" t="n">
        <v>6</v>
      </c>
      <c r="E175" s="20">
        <f>IF($F175=0,0,D175/$F175)</f>
        <v>0.15</v>
      </c>
      <c r="F175" s="19">
        <f>$F$172</f>
        <v>40</v>
      </c>
      <c r="G175" s="4" t="inlineStr">
        <is>
          <t>複数回答</t>
        </is>
      </c>
    </row>
    <row r="176" ht="28" customHeight="1">
      <c r="A176" s="4" t="inlineStr">
        <is>
          <t>問20</t>
        </is>
      </c>
      <c r="B176" s="5" t="inlineStr">
        <is>
          <t>高次脳機能障がい支援に関して、必要だと思う支援は何ですか（あてはまるものすべて）</t>
        </is>
      </c>
      <c r="C176" s="5" t="inlineStr">
        <is>
          <t>家族（介護者）が対応方法を学ぶための研修や、悩みを相談できる機会の提供</t>
        </is>
      </c>
      <c r="D176" s="30" t="n">
        <v>3</v>
      </c>
      <c r="E176" s="20">
        <f>IF($F176=0,0,D176/$F176)</f>
        <v>0.075</v>
      </c>
      <c r="F176" s="19">
        <f>$F$172</f>
        <v>40</v>
      </c>
      <c r="G176" s="4" t="inlineStr">
        <is>
          <t>複数回答</t>
        </is>
      </c>
    </row>
    <row r="177" ht="28" customHeight="1">
      <c r="A177" s="4" t="inlineStr">
        <is>
          <t>問20</t>
        </is>
      </c>
      <c r="B177" s="5" t="inlineStr">
        <is>
          <t>高次脳機能障がい支援に関して、必要だと思う支援は何ですか（あてはまるものすべて）</t>
        </is>
      </c>
      <c r="C177" s="5" t="inlineStr">
        <is>
          <t>特にない</t>
        </is>
      </c>
      <c r="D177" s="30" t="n">
        <v>19</v>
      </c>
      <c r="E177" s="20">
        <f>IF($F177=0,0,D177/$F177)</f>
        <v>0.475</v>
      </c>
      <c r="F177" s="19">
        <f>$F$172</f>
        <v>40</v>
      </c>
      <c r="G177" s="4" t="inlineStr">
        <is>
          <t>複数回答</t>
        </is>
      </c>
    </row>
    <row r="178" ht="28" customHeight="1">
      <c r="A178" s="4" t="inlineStr">
        <is>
          <t>問20</t>
        </is>
      </c>
      <c r="B178" s="5" t="inlineStr">
        <is>
          <t>高次脳機能障がい支援に関して、必要だと思う支援は何ですか（あてはまるものすべて）</t>
        </is>
      </c>
      <c r="C178" s="5" t="inlineStr">
        <is>
          <t>無回答</t>
        </is>
      </c>
      <c r="D178" s="30" t="n">
        <v>11</v>
      </c>
      <c r="E178" s="20">
        <f>IF($F178=0,0,D178/$F178)</f>
        <v>0.275</v>
      </c>
      <c r="F178" s="19">
        <f>$F$172</f>
        <v>40</v>
      </c>
      <c r="G178" s="4" t="inlineStr">
        <is>
          <t>複数回答</t>
        </is>
      </c>
    </row>
    <row r="179" ht="40.5" customHeight="1">
      <c r="A179" s="4" t="inlineStr">
        <is>
          <t>問21</t>
        </is>
      </c>
      <c r="B179" s="5" t="inlineStr">
        <is>
          <t>意思決定支援（本人が自分の希望を伝え、選択していくための支援）に関して、必要だと思う支援は何ですか</t>
        </is>
      </c>
      <c r="C179" s="5" t="inlineStr">
        <is>
          <t>必要である（現在すでに支援を受けている、または今後受けたい）</t>
        </is>
      </c>
      <c r="D179" s="30" t="n">
        <v>8</v>
      </c>
      <c r="E179" s="20">
        <f>IF($F179=0,0,D179/$F179)</f>
        <v>0.2</v>
      </c>
      <c r="F179" s="30" t="n">
        <v>40</v>
      </c>
      <c r="G179" s="4" t="inlineStr">
        <is>
          <t>単一回答</t>
        </is>
      </c>
    </row>
    <row r="180" ht="40.5" customHeight="1">
      <c r="A180" s="4" t="inlineStr">
        <is>
          <t>問21</t>
        </is>
      </c>
      <c r="B180" s="5" t="inlineStr">
        <is>
          <t>意思決定支援（本人が自分の希望を伝え、選択していくための支援）に関して、必要だと思う支援は何ですか</t>
        </is>
      </c>
      <c r="C180" s="5" t="inlineStr">
        <is>
          <t>今は必要ないが、将来的には必要になると思う</t>
        </is>
      </c>
      <c r="D180" s="30" t="n">
        <v>12</v>
      </c>
      <c r="E180" s="20">
        <f>IF($F180=0,0,D180/$F180)</f>
        <v>0.3</v>
      </c>
      <c r="F180" s="19">
        <f>$F$179</f>
        <v>40</v>
      </c>
      <c r="G180" s="4" t="inlineStr">
        <is>
          <t>単一回答</t>
        </is>
      </c>
    </row>
    <row r="181" ht="40.5" customHeight="1">
      <c r="A181" s="4" t="inlineStr">
        <is>
          <t>問21</t>
        </is>
      </c>
      <c r="B181" s="5" t="inlineStr">
        <is>
          <t>意思決定支援（本人が自分の希望を伝え、選択していくための支援）に関して、必要だと思う支援は何ですか</t>
        </is>
      </c>
      <c r="C181" s="5" t="inlineStr">
        <is>
          <t>必要ない（自分や家族等と相談して意思決定ができる）</t>
        </is>
      </c>
      <c r="D181" s="30" t="n">
        <v>9</v>
      </c>
      <c r="E181" s="20">
        <f>IF($F181=0,0,D181/$F181)</f>
        <v>0.225</v>
      </c>
      <c r="F181" s="19">
        <f>$F$179</f>
        <v>40</v>
      </c>
      <c r="G181" s="4" t="inlineStr">
        <is>
          <t>単一回答</t>
        </is>
      </c>
    </row>
    <row r="182" ht="40.5" customHeight="1">
      <c r="A182" s="4" t="inlineStr">
        <is>
          <t>問21</t>
        </is>
      </c>
      <c r="B182" s="5" t="inlineStr">
        <is>
          <t>意思決定支援（本人が自分の希望を伝え、選択していくための支援）に関して、必要だと思う支援は何ですか</t>
        </is>
      </c>
      <c r="C182" s="5" t="inlineStr">
        <is>
          <t>わからない（意思決定支援がどのようなものか知らない）</t>
        </is>
      </c>
      <c r="D182" s="30" t="n">
        <v>6</v>
      </c>
      <c r="E182" s="20">
        <f>IF($F182=0,0,D182/$F182)</f>
        <v>0.15</v>
      </c>
      <c r="F182" s="19">
        <f>$F$179</f>
        <v>40</v>
      </c>
      <c r="G182" s="4" t="inlineStr">
        <is>
          <t>単一回答</t>
        </is>
      </c>
    </row>
    <row r="183" ht="40.5" customHeight="1">
      <c r="A183" s="4" t="inlineStr">
        <is>
          <t>問21</t>
        </is>
      </c>
      <c r="B183" s="5" t="inlineStr">
        <is>
          <t>意思決定支援（本人が自分の希望を伝え、選択していくための支援）に関して、必要だと思う支援は何ですか</t>
        </is>
      </c>
      <c r="C183" s="5" t="inlineStr">
        <is>
          <t>無回答</t>
        </is>
      </c>
      <c r="D183" s="30" t="n">
        <v>5</v>
      </c>
      <c r="E183" s="20">
        <f>IF($F183=0,0,D183/$F183)</f>
        <v>0.125</v>
      </c>
      <c r="F183" s="19">
        <f>$F$179</f>
        <v>40</v>
      </c>
      <c r="G183" s="4" t="inlineStr">
        <is>
          <t>単一回答</t>
        </is>
      </c>
    </row>
    <row r="184" ht="28" customHeight="1">
      <c r="A184" s="4" t="inlineStr">
        <is>
          <t>問22</t>
        </is>
      </c>
      <c r="B184" s="5" t="inlineStr">
        <is>
          <t>困ったときに相談する相手・場所はどこですか（あてはまるものすべて）</t>
        </is>
      </c>
      <c r="C184" s="5" t="inlineStr">
        <is>
          <t>家族・親族</t>
        </is>
      </c>
      <c r="D184" s="30" t="n">
        <v>31</v>
      </c>
      <c r="E184" s="20">
        <f>IF($F184=0,0,D184/$F184)</f>
        <v>0.775</v>
      </c>
      <c r="F184" s="30" t="n">
        <v>40</v>
      </c>
      <c r="G184" s="4" t="inlineStr">
        <is>
          <t>複数回答</t>
        </is>
      </c>
    </row>
    <row r="185" ht="28" customHeight="1">
      <c r="A185" s="4" t="inlineStr">
        <is>
          <t>問22</t>
        </is>
      </c>
      <c r="B185" s="5" t="inlineStr">
        <is>
          <t>困ったときに相談する相手・場所はどこですか（あてはまるものすべて）</t>
        </is>
      </c>
      <c r="C185" s="5" t="inlineStr">
        <is>
          <t>友人・知人</t>
        </is>
      </c>
      <c r="D185" s="30" t="n">
        <v>6</v>
      </c>
      <c r="E185" s="20">
        <f>IF($F185=0,0,D185/$F185)</f>
        <v>0.15</v>
      </c>
      <c r="F185" s="19">
        <f>$F$184</f>
        <v>40</v>
      </c>
      <c r="G185" s="4" t="inlineStr">
        <is>
          <t>複数回答</t>
        </is>
      </c>
    </row>
    <row r="186" ht="28" customHeight="1">
      <c r="A186" s="4" t="inlineStr">
        <is>
          <t>問22</t>
        </is>
      </c>
      <c r="B186" s="5" t="inlineStr">
        <is>
          <t>困ったときに相談する相手・場所はどこですか（あてはまるものすべて）</t>
        </is>
      </c>
      <c r="C186" s="5" t="inlineStr">
        <is>
          <t>村役場</t>
        </is>
      </c>
      <c r="D186" s="30" t="n">
        <v>5</v>
      </c>
      <c r="E186" s="20">
        <f>IF($F186=0,0,D186/$F186)</f>
        <v>0.125</v>
      </c>
      <c r="F186" s="19">
        <f>$F$184</f>
        <v>40</v>
      </c>
      <c r="G186" s="4" t="inlineStr">
        <is>
          <t>複数回答</t>
        </is>
      </c>
    </row>
    <row r="187" ht="28" customHeight="1">
      <c r="A187" s="4" t="inlineStr">
        <is>
          <t>問22</t>
        </is>
      </c>
      <c r="B187" s="5" t="inlineStr">
        <is>
          <t>困ったときに相談する相手・場所はどこですか（あてはまるものすべて）</t>
        </is>
      </c>
      <c r="C187" s="5" t="inlineStr">
        <is>
          <t>相談支援専門員</t>
        </is>
      </c>
      <c r="D187" s="30" t="n">
        <v>10</v>
      </c>
      <c r="E187" s="20">
        <f>IF($F187=0,0,D187/$F187)</f>
        <v>0.25</v>
      </c>
      <c r="F187" s="19">
        <f>$F$184</f>
        <v>40</v>
      </c>
      <c r="G187" s="4" t="inlineStr">
        <is>
          <t>複数回答</t>
        </is>
      </c>
    </row>
    <row r="188" ht="28" customHeight="1">
      <c r="A188" s="4" t="inlineStr">
        <is>
          <t>問22</t>
        </is>
      </c>
      <c r="B188" s="5" t="inlineStr">
        <is>
          <t>困ったときに相談する相手・場所はどこですか（あてはまるものすべて）</t>
        </is>
      </c>
      <c r="C188" s="5" t="inlineStr">
        <is>
          <t>福祉サービス事業所</t>
        </is>
      </c>
      <c r="D188" s="30" t="n">
        <v>5</v>
      </c>
      <c r="E188" s="20">
        <f>IF($F188=0,0,D188/$F188)</f>
        <v>0.125</v>
      </c>
      <c r="F188" s="19">
        <f>$F$184</f>
        <v>40</v>
      </c>
      <c r="G188" s="4" t="inlineStr">
        <is>
          <t>複数回答</t>
        </is>
      </c>
    </row>
    <row r="189" ht="28" customHeight="1">
      <c r="A189" s="4" t="inlineStr">
        <is>
          <t>問22</t>
        </is>
      </c>
      <c r="B189" s="5" t="inlineStr">
        <is>
          <t>困ったときに相談する相手・場所はどこですか（あてはまるものすべて）</t>
        </is>
      </c>
      <c r="C189" s="5" t="inlineStr">
        <is>
          <t>医療機関</t>
        </is>
      </c>
      <c r="D189" s="30" t="n">
        <v>12</v>
      </c>
      <c r="E189" s="20">
        <f>IF($F189=0,0,D189/$F189)</f>
        <v>0.3</v>
      </c>
      <c r="F189" s="19">
        <f>$F$184</f>
        <v>40</v>
      </c>
      <c r="G189" s="4" t="inlineStr">
        <is>
          <t>複数回答</t>
        </is>
      </c>
    </row>
    <row r="190" ht="28" customHeight="1">
      <c r="A190" s="4" t="inlineStr">
        <is>
          <t>問22</t>
        </is>
      </c>
      <c r="B190" s="5" t="inlineStr">
        <is>
          <t>困ったときに相談する相手・場所はどこですか（あてはまるものすべて）</t>
        </is>
      </c>
      <c r="C190" s="5" t="inlineStr">
        <is>
          <t>SNS・インターネット・AI</t>
        </is>
      </c>
      <c r="D190" s="30" t="n">
        <v>1</v>
      </c>
      <c r="E190" s="20">
        <f>IF($F190=0,0,D190/$F190)</f>
        <v>0.025</v>
      </c>
      <c r="F190" s="19">
        <f>$F$184</f>
        <v>40</v>
      </c>
      <c r="G190" s="4" t="inlineStr">
        <is>
          <t>複数回答</t>
        </is>
      </c>
    </row>
    <row r="191" ht="28" customHeight="1">
      <c r="A191" s="4" t="inlineStr">
        <is>
          <t>問22</t>
        </is>
      </c>
      <c r="B191" s="5" t="inlineStr">
        <is>
          <t>困ったときに相談する相手・場所はどこですか（あてはまるものすべて）</t>
        </is>
      </c>
      <c r="C191" s="5" t="inlineStr">
        <is>
          <t>社会福祉協議会</t>
        </is>
      </c>
      <c r="D191" s="30" t="n">
        <v>4</v>
      </c>
      <c r="E191" s="20">
        <f>IF($F191=0,0,D191/$F191)</f>
        <v>0.1</v>
      </c>
      <c r="F191" s="19">
        <f>$F$184</f>
        <v>40</v>
      </c>
      <c r="G191" s="4" t="inlineStr">
        <is>
          <t>複数回答</t>
        </is>
      </c>
    </row>
    <row r="192" ht="28" customHeight="1">
      <c r="A192" s="4" t="inlineStr">
        <is>
          <t>問22</t>
        </is>
      </c>
      <c r="B192" s="5" t="inlineStr">
        <is>
          <t>困ったときに相談する相手・場所はどこですか（あてはまるものすべて）</t>
        </is>
      </c>
      <c r="C192" s="5" t="inlineStr">
        <is>
          <t>民生委員・児童委員</t>
        </is>
      </c>
      <c r="D192" s="30" t="n">
        <v>1</v>
      </c>
      <c r="E192" s="20">
        <f>IF($F192=0,0,D192/$F192)</f>
        <v>0.025</v>
      </c>
      <c r="F192" s="19">
        <f>$F$184</f>
        <v>40</v>
      </c>
      <c r="G192" s="4" t="inlineStr">
        <is>
          <t>複数回答</t>
        </is>
      </c>
    </row>
    <row r="193" ht="28" customHeight="1">
      <c r="A193" s="4" t="inlineStr">
        <is>
          <t>問22</t>
        </is>
      </c>
      <c r="B193" s="5" t="inlineStr">
        <is>
          <t>困ったときに相談する相手・場所はどこですか（あてはまるものすべて）</t>
        </is>
      </c>
      <c r="C193" s="5" t="inlineStr">
        <is>
          <t>相談する相手がいない</t>
        </is>
      </c>
      <c r="D193" s="30" t="n">
        <v>1</v>
      </c>
      <c r="E193" s="20">
        <f>IF($F193=0,0,D193/$F193)</f>
        <v>0.025</v>
      </c>
      <c r="F193" s="19">
        <f>$F$184</f>
        <v>40</v>
      </c>
      <c r="G193" s="4" t="inlineStr">
        <is>
          <t>複数回答</t>
        </is>
      </c>
    </row>
    <row r="194" ht="28" customHeight="1">
      <c r="A194" s="4" t="inlineStr">
        <is>
          <t>問22</t>
        </is>
      </c>
      <c r="B194" s="5" t="inlineStr">
        <is>
          <t>困ったときに相談する相手・場所はどこですか（あてはまるものすべて）</t>
        </is>
      </c>
      <c r="C194" s="5" t="inlineStr">
        <is>
          <t>その他</t>
        </is>
      </c>
      <c r="D194" s="30" t="n">
        <v>1</v>
      </c>
      <c r="E194" s="20">
        <f>IF($F194=0,0,D194/$F194)</f>
        <v>0.025</v>
      </c>
      <c r="F194" s="19">
        <f>$F$184</f>
        <v>40</v>
      </c>
      <c r="G194" s="4" t="inlineStr">
        <is>
          <t>複数回答</t>
        </is>
      </c>
    </row>
    <row r="195" ht="28" customHeight="1">
      <c r="A195" s="4" t="inlineStr">
        <is>
          <t>問22</t>
        </is>
      </c>
      <c r="B195" s="5" t="inlineStr">
        <is>
          <t>困ったときに相談する相手・場所はどこですか（あてはまるものすべて）</t>
        </is>
      </c>
      <c r="C195" s="5" t="inlineStr">
        <is>
          <t>無回答</t>
        </is>
      </c>
      <c r="D195" s="30" t="n">
        <v>1</v>
      </c>
      <c r="E195" s="20">
        <f>IF($F195=0,0,D195/$F195)</f>
        <v>0.025</v>
      </c>
      <c r="F195" s="19">
        <f>$F$184</f>
        <v>40</v>
      </c>
      <c r="G195" s="4" t="inlineStr">
        <is>
          <t>複数回答</t>
        </is>
      </c>
    </row>
    <row r="196" ht="28" customHeight="1">
      <c r="A196" s="4" t="inlineStr">
        <is>
          <t>問23</t>
        </is>
      </c>
      <c r="B196" s="5" t="inlineStr">
        <is>
          <t>相談しにくい、又は相談できない理由は何ですか（あてはまるものすべて）</t>
        </is>
      </c>
      <c r="C196" s="5" t="inlineStr">
        <is>
          <t>相談先がわからない</t>
        </is>
      </c>
      <c r="D196" s="30" t="n">
        <v>0</v>
      </c>
      <c r="E196" s="20">
        <f>IF($F196=0,0,D196/$F196)</f>
        <v>0</v>
      </c>
      <c r="F196" s="30" t="n">
        <v>40</v>
      </c>
      <c r="G196" s="4" t="inlineStr">
        <is>
          <t>複数回答</t>
        </is>
      </c>
    </row>
    <row r="197" ht="28" customHeight="1">
      <c r="A197" s="4" t="inlineStr">
        <is>
          <t>問23</t>
        </is>
      </c>
      <c r="B197" s="5" t="inlineStr">
        <is>
          <t>相談しにくい、又は相談できない理由は何ですか（あてはまるものすべて）</t>
        </is>
      </c>
      <c r="C197" s="5" t="inlineStr">
        <is>
          <t>身近に相談先がない</t>
        </is>
      </c>
      <c r="D197" s="30" t="n">
        <v>1</v>
      </c>
      <c r="E197" s="20">
        <f>IF($F197=0,0,D197/$F197)</f>
        <v>0.025</v>
      </c>
      <c r="F197" s="19">
        <f>$F$196</f>
        <v>40</v>
      </c>
      <c r="G197" s="4" t="inlineStr">
        <is>
          <t>複数回答</t>
        </is>
      </c>
    </row>
    <row r="198" ht="28" customHeight="1">
      <c r="A198" s="4" t="inlineStr">
        <is>
          <t>問23</t>
        </is>
      </c>
      <c r="B198" s="5" t="inlineStr">
        <is>
          <t>相談しにくい、又は相談できない理由は何ですか（あてはまるものすべて）</t>
        </is>
      </c>
      <c r="C198" s="5" t="inlineStr">
        <is>
          <t>何を相談してよいかわからない</t>
        </is>
      </c>
      <c r="D198" s="30" t="n">
        <v>4</v>
      </c>
      <c r="E198" s="20">
        <f>IF($F198=0,0,D198/$F198)</f>
        <v>0.1</v>
      </c>
      <c r="F198" s="19">
        <f>$F$196</f>
        <v>40</v>
      </c>
      <c r="G198" s="4" t="inlineStr">
        <is>
          <t>複数回答</t>
        </is>
      </c>
    </row>
    <row r="199" ht="28" customHeight="1">
      <c r="A199" s="4" t="inlineStr">
        <is>
          <t>問23</t>
        </is>
      </c>
      <c r="B199" s="5" t="inlineStr">
        <is>
          <t>相談しにくい、又は相談できない理由は何ですか（あてはまるものすべて）</t>
        </is>
      </c>
      <c r="C199" s="5" t="inlineStr">
        <is>
          <t>相談しても解決しないと思う</t>
        </is>
      </c>
      <c r="D199" s="30" t="n">
        <v>6</v>
      </c>
      <c r="E199" s="20">
        <f>IF($F199=0,0,D199/$F199)</f>
        <v>0.15</v>
      </c>
      <c r="F199" s="19">
        <f>$F$196</f>
        <v>40</v>
      </c>
      <c r="G199" s="4" t="inlineStr">
        <is>
          <t>複数回答</t>
        </is>
      </c>
    </row>
    <row r="200" ht="28" customHeight="1">
      <c r="A200" s="4" t="inlineStr">
        <is>
          <t>問23</t>
        </is>
      </c>
      <c r="B200" s="5" t="inlineStr">
        <is>
          <t>相談しにくい、又は相談できない理由は何ですか（あてはまるものすべて）</t>
        </is>
      </c>
      <c r="C200" s="5" t="inlineStr">
        <is>
          <t>交通手段がない</t>
        </is>
      </c>
      <c r="D200" s="30" t="n">
        <v>1</v>
      </c>
      <c r="E200" s="20">
        <f>IF($F200=0,0,D200/$F200)</f>
        <v>0.025</v>
      </c>
      <c r="F200" s="19">
        <f>$F$196</f>
        <v>40</v>
      </c>
      <c r="G200" s="4" t="inlineStr">
        <is>
          <t>複数回答</t>
        </is>
      </c>
    </row>
    <row r="201" ht="28" customHeight="1">
      <c r="A201" s="4" t="inlineStr">
        <is>
          <t>問23</t>
        </is>
      </c>
      <c r="B201" s="5" t="inlineStr">
        <is>
          <t>相談しにくい、又は相談できない理由は何ですか（あてはまるものすべて）</t>
        </is>
      </c>
      <c r="C201" s="5" t="inlineStr">
        <is>
          <t>家族が対応している</t>
        </is>
      </c>
      <c r="D201" s="30" t="n">
        <v>10</v>
      </c>
      <c r="E201" s="20">
        <f>IF($F201=0,0,D201/$F201)</f>
        <v>0.25</v>
      </c>
      <c r="F201" s="19">
        <f>$F$196</f>
        <v>40</v>
      </c>
      <c r="G201" s="4" t="inlineStr">
        <is>
          <t>複数回答</t>
        </is>
      </c>
    </row>
    <row r="202" ht="28" customHeight="1">
      <c r="A202" s="4" t="inlineStr">
        <is>
          <t>問23</t>
        </is>
      </c>
      <c r="B202" s="5" t="inlineStr">
        <is>
          <t>相談しにくい、又は相談できない理由は何ですか（あてはまるものすべて）</t>
        </is>
      </c>
      <c r="C202" s="5" t="inlineStr">
        <is>
          <t>プライバシーが不安</t>
        </is>
      </c>
      <c r="D202" s="30" t="n">
        <v>4</v>
      </c>
      <c r="E202" s="20">
        <f>IF($F202=0,0,D202/$F202)</f>
        <v>0.1</v>
      </c>
      <c r="F202" s="19">
        <f>$F$196</f>
        <v>40</v>
      </c>
      <c r="G202" s="4" t="inlineStr">
        <is>
          <t>複数回答</t>
        </is>
      </c>
    </row>
    <row r="203" ht="28" customHeight="1">
      <c r="A203" s="4" t="inlineStr">
        <is>
          <t>問23</t>
        </is>
      </c>
      <c r="B203" s="5" t="inlineStr">
        <is>
          <t>相談しにくい、又は相談できない理由は何ですか（あてはまるものすべて）</t>
        </is>
      </c>
      <c r="C203" s="5" t="inlineStr">
        <is>
          <t>特に困っていない</t>
        </is>
      </c>
      <c r="D203" s="30" t="n">
        <v>15</v>
      </c>
      <c r="E203" s="20">
        <f>IF($F203=0,0,D203/$F203)</f>
        <v>0.375</v>
      </c>
      <c r="F203" s="19">
        <f>$F$196</f>
        <v>40</v>
      </c>
      <c r="G203" s="4" t="inlineStr">
        <is>
          <t>複数回答</t>
        </is>
      </c>
    </row>
    <row r="204" ht="28" customHeight="1">
      <c r="A204" s="4" t="inlineStr">
        <is>
          <t>問23</t>
        </is>
      </c>
      <c r="B204" s="5" t="inlineStr">
        <is>
          <t>相談しにくい、又は相談できない理由は何ですか（あてはまるものすべて）</t>
        </is>
      </c>
      <c r="C204" s="5" t="inlineStr">
        <is>
          <t>その他</t>
        </is>
      </c>
      <c r="D204" s="30" t="n">
        <v>0</v>
      </c>
      <c r="E204" s="20">
        <f>IF($F204=0,0,D204/$F204)</f>
        <v>0</v>
      </c>
      <c r="F204" s="19">
        <f>$F$196</f>
        <v>40</v>
      </c>
      <c r="G204" s="4" t="inlineStr">
        <is>
          <t>複数回答</t>
        </is>
      </c>
    </row>
    <row r="205" ht="28" customHeight="1">
      <c r="A205" s="4" t="inlineStr">
        <is>
          <t>問23</t>
        </is>
      </c>
      <c r="B205" s="5" t="inlineStr">
        <is>
          <t>相談しにくい、又は相談できない理由は何ですか（あてはまるものすべて）</t>
        </is>
      </c>
      <c r="C205" s="5" t="inlineStr">
        <is>
          <t>無回答</t>
        </is>
      </c>
      <c r="D205" s="30" t="n">
        <v>7</v>
      </c>
      <c r="E205" s="20">
        <f>IF($F205=0,0,D205/$F205)</f>
        <v>0.175</v>
      </c>
      <c r="F205" s="19">
        <f>$F$196</f>
        <v>40</v>
      </c>
      <c r="G205" s="4" t="inlineStr">
        <is>
          <t>複数回答</t>
        </is>
      </c>
    </row>
    <row r="206" ht="28" customHeight="1">
      <c r="A206" s="4" t="inlineStr">
        <is>
          <t>問24</t>
        </is>
      </c>
      <c r="B206" s="5" t="inlineStr">
        <is>
          <t>同じ障がいのある人（ピアサポーター）に相談をしたいと感じますか</t>
        </is>
      </c>
      <c r="C206" s="5" t="inlineStr">
        <is>
          <t>相談したい（現在も相談している）</t>
        </is>
      </c>
      <c r="D206" s="30" t="n">
        <v>1</v>
      </c>
      <c r="E206" s="20">
        <f>IF($F206=0,0,D206/$F206)</f>
        <v>0.025</v>
      </c>
      <c r="F206" s="30" t="n">
        <v>40</v>
      </c>
      <c r="G206" s="4" t="inlineStr">
        <is>
          <t>単一回答</t>
        </is>
      </c>
    </row>
    <row r="207" ht="28" customHeight="1">
      <c r="A207" s="4" t="inlineStr">
        <is>
          <t>問24</t>
        </is>
      </c>
      <c r="B207" s="5" t="inlineStr">
        <is>
          <t>同じ障がいのある人（ピアサポーター）に相談をしたいと感じますか</t>
        </is>
      </c>
      <c r="C207" s="5" t="inlineStr">
        <is>
          <t>機会があれば相談してみたい</t>
        </is>
      </c>
      <c r="D207" s="30" t="n">
        <v>12</v>
      </c>
      <c r="E207" s="20">
        <f>IF($F207=0,0,D207/$F207)</f>
        <v>0.3</v>
      </c>
      <c r="F207" s="19">
        <f>$F$206</f>
        <v>40</v>
      </c>
      <c r="G207" s="4" t="inlineStr">
        <is>
          <t>単一回答</t>
        </is>
      </c>
    </row>
    <row r="208" ht="28" customHeight="1">
      <c r="A208" s="4" t="inlineStr">
        <is>
          <t>問24</t>
        </is>
      </c>
      <c r="B208" s="5" t="inlineStr">
        <is>
          <t>同じ障がいのある人（ピアサポーター）に相談をしたいと感じますか</t>
        </is>
      </c>
      <c r="C208" s="5" t="inlineStr">
        <is>
          <t>あまり相談したいとは思わない</t>
        </is>
      </c>
      <c r="D208" s="30" t="n">
        <v>9</v>
      </c>
      <c r="E208" s="20">
        <f>IF($F208=0,0,D208/$F208)</f>
        <v>0.225</v>
      </c>
      <c r="F208" s="19">
        <f>$F$206</f>
        <v>40</v>
      </c>
      <c r="G208" s="4" t="inlineStr">
        <is>
          <t>単一回答</t>
        </is>
      </c>
    </row>
    <row r="209" ht="28" customHeight="1">
      <c r="A209" s="4" t="inlineStr">
        <is>
          <t>問24</t>
        </is>
      </c>
      <c r="B209" s="5" t="inlineStr">
        <is>
          <t>同じ障がいのある人（ピアサポーター）に相談をしたいと感じますか</t>
        </is>
      </c>
      <c r="C209" s="5" t="inlineStr">
        <is>
          <t>まったく相談したいとは思わない</t>
        </is>
      </c>
      <c r="D209" s="30" t="n">
        <v>6</v>
      </c>
      <c r="E209" s="20">
        <f>IF($F209=0,0,D209/$F209)</f>
        <v>0.15</v>
      </c>
      <c r="F209" s="19">
        <f>$F$206</f>
        <v>40</v>
      </c>
      <c r="G209" s="4" t="inlineStr">
        <is>
          <t>単一回答</t>
        </is>
      </c>
    </row>
    <row r="210" ht="28" customHeight="1">
      <c r="A210" s="4" t="inlineStr">
        <is>
          <t>問24</t>
        </is>
      </c>
      <c r="B210" s="5" t="inlineStr">
        <is>
          <t>同じ障がいのある人（ピアサポーター）に相談をしたいと感じますか</t>
        </is>
      </c>
      <c r="C210" s="5" t="inlineStr">
        <is>
          <t>わからない</t>
        </is>
      </c>
      <c r="D210" s="30" t="n">
        <v>8</v>
      </c>
      <c r="E210" s="20">
        <f>IF($F210=0,0,D210/$F210)</f>
        <v>0.2</v>
      </c>
      <c r="F210" s="19">
        <f>$F$206</f>
        <v>40</v>
      </c>
      <c r="G210" s="4" t="inlineStr">
        <is>
          <t>単一回答</t>
        </is>
      </c>
    </row>
    <row r="211" ht="28" customHeight="1">
      <c r="A211" s="4" t="inlineStr">
        <is>
          <t>問24</t>
        </is>
      </c>
      <c r="B211" s="5" t="inlineStr">
        <is>
          <t>同じ障がいのある人（ピアサポーター）に相談をしたいと感じますか</t>
        </is>
      </c>
      <c r="C211" s="5" t="inlineStr">
        <is>
          <t>無回答</t>
        </is>
      </c>
      <c r="D211" s="30" t="n">
        <v>4</v>
      </c>
      <c r="E211" s="20">
        <f>IF($F211=0,0,D211/$F211)</f>
        <v>0.1</v>
      </c>
      <c r="F211" s="19">
        <f>$F$206</f>
        <v>40</v>
      </c>
      <c r="G211" s="4" t="inlineStr">
        <is>
          <t>単一回答</t>
        </is>
      </c>
    </row>
    <row r="212" ht="28" customHeight="1">
      <c r="A212" s="4" t="inlineStr">
        <is>
          <t>問25</t>
        </is>
      </c>
      <c r="B212" s="5" t="inlineStr">
        <is>
          <t>福祉に関する情報はどこから得ていますか（あてはまるものすべて）</t>
        </is>
      </c>
      <c r="C212" s="5" t="inlineStr">
        <is>
          <t>村広報・ホームページ</t>
        </is>
      </c>
      <c r="D212" s="30" t="n">
        <v>16</v>
      </c>
      <c r="E212" s="20">
        <f>IF($F212=0,0,D212/$F212)</f>
        <v>0.4</v>
      </c>
      <c r="F212" s="30" t="n">
        <v>40</v>
      </c>
      <c r="G212" s="4" t="inlineStr">
        <is>
          <t>複数回答</t>
        </is>
      </c>
    </row>
    <row r="213" ht="28" customHeight="1">
      <c r="A213" s="4" t="inlineStr">
        <is>
          <t>問25</t>
        </is>
      </c>
      <c r="B213" s="5" t="inlineStr">
        <is>
          <t>福祉に関する情報はどこから得ていますか（あてはまるものすべて）</t>
        </is>
      </c>
      <c r="C213" s="5" t="inlineStr">
        <is>
          <t>家族・知人</t>
        </is>
      </c>
      <c r="D213" s="30" t="n">
        <v>9</v>
      </c>
      <c r="E213" s="20">
        <f>IF($F213=0,0,D213/$F213)</f>
        <v>0.225</v>
      </c>
      <c r="F213" s="19">
        <f>$F$212</f>
        <v>40</v>
      </c>
      <c r="G213" s="4" t="inlineStr">
        <is>
          <t>複数回答</t>
        </is>
      </c>
    </row>
    <row r="214" ht="28" customHeight="1">
      <c r="A214" s="4" t="inlineStr">
        <is>
          <t>問25</t>
        </is>
      </c>
      <c r="B214" s="5" t="inlineStr">
        <is>
          <t>福祉に関する情報はどこから得ていますか（あてはまるものすべて）</t>
        </is>
      </c>
      <c r="C214" s="5" t="inlineStr">
        <is>
          <t>相談支援専門員</t>
        </is>
      </c>
      <c r="D214" s="30" t="n">
        <v>14</v>
      </c>
      <c r="E214" s="20">
        <f>IF($F214=0,0,D214/$F214)</f>
        <v>0.35</v>
      </c>
      <c r="F214" s="19">
        <f>$F$212</f>
        <v>40</v>
      </c>
      <c r="G214" s="4" t="inlineStr">
        <is>
          <t>複数回答</t>
        </is>
      </c>
    </row>
    <row r="215" ht="28" customHeight="1">
      <c r="A215" s="4" t="inlineStr">
        <is>
          <t>問25</t>
        </is>
      </c>
      <c r="B215" s="5" t="inlineStr">
        <is>
          <t>福祉に関する情報はどこから得ていますか（あてはまるものすべて）</t>
        </is>
      </c>
      <c r="C215" s="5" t="inlineStr">
        <is>
          <t>福祉サービス事業所</t>
        </is>
      </c>
      <c r="D215" s="30" t="n">
        <v>9</v>
      </c>
      <c r="E215" s="20">
        <f>IF($F215=0,0,D215/$F215)</f>
        <v>0.225</v>
      </c>
      <c r="F215" s="19">
        <f>$F$212</f>
        <v>40</v>
      </c>
      <c r="G215" s="4" t="inlineStr">
        <is>
          <t>複数回答</t>
        </is>
      </c>
    </row>
    <row r="216" ht="28" customHeight="1">
      <c r="A216" s="4" t="inlineStr">
        <is>
          <t>問25</t>
        </is>
      </c>
      <c r="B216" s="5" t="inlineStr">
        <is>
          <t>福祉に関する情報はどこから得ていますか（あてはまるものすべて）</t>
        </is>
      </c>
      <c r="C216" s="5" t="inlineStr">
        <is>
          <t>医療機関</t>
        </is>
      </c>
      <c r="D216" s="30" t="n">
        <v>8</v>
      </c>
      <c r="E216" s="20">
        <f>IF($F216=0,0,D216/$F216)</f>
        <v>0.2</v>
      </c>
      <c r="F216" s="19">
        <f>$F$212</f>
        <v>40</v>
      </c>
      <c r="G216" s="4" t="inlineStr">
        <is>
          <t>複数回答</t>
        </is>
      </c>
    </row>
    <row r="217" ht="28" customHeight="1">
      <c r="A217" s="4" t="inlineStr">
        <is>
          <t>問25</t>
        </is>
      </c>
      <c r="B217" s="5" t="inlineStr">
        <is>
          <t>福祉に関する情報はどこから得ていますか（あてはまるものすべて）</t>
        </is>
      </c>
      <c r="C217" s="5" t="inlineStr">
        <is>
          <t>学校</t>
        </is>
      </c>
      <c r="D217" s="30" t="n">
        <v>0</v>
      </c>
      <c r="E217" s="20">
        <f>IF($F217=0,0,D217/$F217)</f>
        <v>0</v>
      </c>
      <c r="F217" s="19">
        <f>$F$212</f>
        <v>40</v>
      </c>
      <c r="G217" s="4" t="inlineStr">
        <is>
          <t>複数回答</t>
        </is>
      </c>
    </row>
    <row r="218" ht="28" customHeight="1">
      <c r="A218" s="4" t="inlineStr">
        <is>
          <t>問25</t>
        </is>
      </c>
      <c r="B218" s="5" t="inlineStr">
        <is>
          <t>福祉に関する情報はどこから得ていますか（あてはまるものすべて）</t>
        </is>
      </c>
      <c r="C218" s="5" t="inlineStr">
        <is>
          <t>SNS・インターネット・AI</t>
        </is>
      </c>
      <c r="D218" s="30" t="n">
        <v>4</v>
      </c>
      <c r="E218" s="20">
        <f>IF($F218=0,0,D218/$F218)</f>
        <v>0.1</v>
      </c>
      <c r="F218" s="19">
        <f>$F$212</f>
        <v>40</v>
      </c>
      <c r="G218" s="4" t="inlineStr">
        <is>
          <t>複数回答</t>
        </is>
      </c>
    </row>
    <row r="219" ht="28" customHeight="1">
      <c r="A219" s="4" t="inlineStr">
        <is>
          <t>問25</t>
        </is>
      </c>
      <c r="B219" s="5" t="inlineStr">
        <is>
          <t>福祉に関する情報はどこから得ていますか（あてはまるものすべて）</t>
        </is>
      </c>
      <c r="C219" s="5" t="inlineStr">
        <is>
          <t>新聞・テレビ</t>
        </is>
      </c>
      <c r="D219" s="30" t="n">
        <v>13</v>
      </c>
      <c r="E219" s="20">
        <f>IF($F219=0,0,D219/$F219)</f>
        <v>0.325</v>
      </c>
      <c r="F219" s="19">
        <f>$F$212</f>
        <v>40</v>
      </c>
      <c r="G219" s="4" t="inlineStr">
        <is>
          <t>複数回答</t>
        </is>
      </c>
    </row>
    <row r="220" ht="28" customHeight="1">
      <c r="A220" s="4" t="inlineStr">
        <is>
          <t>問25</t>
        </is>
      </c>
      <c r="B220" s="5" t="inlineStr">
        <is>
          <t>福祉に関する情報はどこから得ていますか（あてはまるものすべて）</t>
        </is>
      </c>
      <c r="C220" s="5" t="inlineStr">
        <is>
          <t>情報を得られていない</t>
        </is>
      </c>
      <c r="D220" s="30" t="n">
        <v>1</v>
      </c>
      <c r="E220" s="20">
        <f>IF($F220=0,0,D220/$F220)</f>
        <v>0.025</v>
      </c>
      <c r="F220" s="19">
        <f>$F$212</f>
        <v>40</v>
      </c>
      <c r="G220" s="4" t="inlineStr">
        <is>
          <t>複数回答</t>
        </is>
      </c>
    </row>
    <row r="221" ht="28" customHeight="1">
      <c r="A221" s="4" t="inlineStr">
        <is>
          <t>問25</t>
        </is>
      </c>
      <c r="B221" s="5" t="inlineStr">
        <is>
          <t>福祉に関する情報はどこから得ていますか（あてはまるものすべて）</t>
        </is>
      </c>
      <c r="C221" s="5" t="inlineStr">
        <is>
          <t>その他</t>
        </is>
      </c>
      <c r="D221" s="30" t="n">
        <v>0</v>
      </c>
      <c r="E221" s="20">
        <f>IF($F221=0,0,D221/$F221)</f>
        <v>0</v>
      </c>
      <c r="F221" s="19">
        <f>$F$212</f>
        <v>40</v>
      </c>
      <c r="G221" s="4" t="inlineStr">
        <is>
          <t>複数回答</t>
        </is>
      </c>
    </row>
    <row r="222" ht="28" customHeight="1">
      <c r="A222" s="4" t="inlineStr">
        <is>
          <t>問25</t>
        </is>
      </c>
      <c r="B222" s="5" t="inlineStr">
        <is>
          <t>福祉に関する情報はどこから得ていますか（あてはまるものすべて）</t>
        </is>
      </c>
      <c r="C222" s="5" t="inlineStr">
        <is>
          <t>無回答</t>
        </is>
      </c>
      <c r="D222" s="30" t="n">
        <v>2</v>
      </c>
      <c r="E222" s="20">
        <f>IF($F222=0,0,D222/$F222)</f>
        <v>0.05</v>
      </c>
      <c r="F222" s="19">
        <f>$F$212</f>
        <v>40</v>
      </c>
      <c r="G222" s="4" t="inlineStr">
        <is>
          <t>複数回答</t>
        </is>
      </c>
    </row>
    <row r="223" ht="28" customHeight="1">
      <c r="A223" s="4" t="inlineStr">
        <is>
          <t>問26</t>
        </is>
      </c>
      <c r="B223" s="5" t="inlineStr">
        <is>
          <t>相談支援に期待することは何ですか（あてはまるものすべて）</t>
        </is>
      </c>
      <c r="C223" s="5" t="inlineStr">
        <is>
          <t>サービス利用の相談</t>
        </is>
      </c>
      <c r="D223" s="30" t="n">
        <v>13</v>
      </c>
      <c r="E223" s="20">
        <f>IF($F223=0,0,D223/$F223)</f>
        <v>0.325</v>
      </c>
      <c r="F223" s="30" t="n">
        <v>40</v>
      </c>
      <c r="G223" s="4" t="inlineStr">
        <is>
          <t>複数回答</t>
        </is>
      </c>
    </row>
    <row r="224" ht="28" customHeight="1">
      <c r="A224" s="4" t="inlineStr">
        <is>
          <t>問26</t>
        </is>
      </c>
      <c r="B224" s="5" t="inlineStr">
        <is>
          <t>相談支援に期待することは何ですか（あてはまるものすべて）</t>
        </is>
      </c>
      <c r="C224" s="5" t="inlineStr">
        <is>
          <t>将来の暮らしの相談</t>
        </is>
      </c>
      <c r="D224" s="30" t="n">
        <v>12</v>
      </c>
      <c r="E224" s="20">
        <f>IF($F224=0,0,D224/$F224)</f>
        <v>0.3</v>
      </c>
      <c r="F224" s="19">
        <f>$F$223</f>
        <v>40</v>
      </c>
      <c r="G224" s="4" t="inlineStr">
        <is>
          <t>複数回答</t>
        </is>
      </c>
    </row>
    <row r="225" ht="28" customHeight="1">
      <c r="A225" s="4" t="inlineStr">
        <is>
          <t>問26</t>
        </is>
      </c>
      <c r="B225" s="5" t="inlineStr">
        <is>
          <t>相談支援に期待することは何ですか（あてはまるものすべて）</t>
        </is>
      </c>
      <c r="C225" s="5" t="inlineStr">
        <is>
          <t>就労・日中活動の相談</t>
        </is>
      </c>
      <c r="D225" s="30" t="n">
        <v>1</v>
      </c>
      <c r="E225" s="20">
        <f>IF($F225=0,0,D225/$F225)</f>
        <v>0.025</v>
      </c>
      <c r="F225" s="19">
        <f>$F$223</f>
        <v>40</v>
      </c>
      <c r="G225" s="4" t="inlineStr">
        <is>
          <t>複数回答</t>
        </is>
      </c>
    </row>
    <row r="226" ht="28" customHeight="1">
      <c r="A226" s="4" t="inlineStr">
        <is>
          <t>問26</t>
        </is>
      </c>
      <c r="B226" s="5" t="inlineStr">
        <is>
          <t>相談支援に期待することは何ですか（あてはまるものすべて）</t>
        </is>
      </c>
      <c r="C226" s="5" t="inlineStr">
        <is>
          <t>医療・通院の相談</t>
        </is>
      </c>
      <c r="D226" s="30" t="n">
        <v>7</v>
      </c>
      <c r="E226" s="20">
        <f>IF($F226=0,0,D226/$F226)</f>
        <v>0.175</v>
      </c>
      <c r="F226" s="19">
        <f>$F$223</f>
        <v>40</v>
      </c>
      <c r="G226" s="4" t="inlineStr">
        <is>
          <t>複数回答</t>
        </is>
      </c>
    </row>
    <row r="227" ht="28" customHeight="1">
      <c r="A227" s="4" t="inlineStr">
        <is>
          <t>問26</t>
        </is>
      </c>
      <c r="B227" s="5" t="inlineStr">
        <is>
          <t>相談支援に期待することは何ですか（あてはまるものすべて）</t>
        </is>
      </c>
      <c r="C227" s="5" t="inlineStr">
        <is>
          <t>家族の負担軽減</t>
        </is>
      </c>
      <c r="D227" s="30" t="n">
        <v>4</v>
      </c>
      <c r="E227" s="20">
        <f>IF($F227=0,0,D227/$F227)</f>
        <v>0.1</v>
      </c>
      <c r="F227" s="19">
        <f>$F$223</f>
        <v>40</v>
      </c>
      <c r="G227" s="4" t="inlineStr">
        <is>
          <t>複数回答</t>
        </is>
      </c>
    </row>
    <row r="228" ht="28" customHeight="1">
      <c r="A228" s="4" t="inlineStr">
        <is>
          <t>問26</t>
        </is>
      </c>
      <c r="B228" s="5" t="inlineStr">
        <is>
          <t>相談支援に期待することは何ですか（あてはまるものすべて）</t>
        </is>
      </c>
      <c r="C228" s="5" t="inlineStr">
        <is>
          <t>緊急時の相談</t>
        </is>
      </c>
      <c r="D228" s="30" t="n">
        <v>9</v>
      </c>
      <c r="E228" s="20">
        <f>IF($F228=0,0,D228/$F228)</f>
        <v>0.225</v>
      </c>
      <c r="F228" s="19">
        <f>$F$223</f>
        <v>40</v>
      </c>
      <c r="G228" s="4" t="inlineStr">
        <is>
          <t>複数回答</t>
        </is>
      </c>
    </row>
    <row r="229" ht="28" customHeight="1">
      <c r="A229" s="4" t="inlineStr">
        <is>
          <t>問26</t>
        </is>
      </c>
      <c r="B229" s="5" t="inlineStr">
        <is>
          <t>相談支援に期待することは何ですか（あてはまるものすべて）</t>
        </is>
      </c>
      <c r="C229" s="5" t="inlineStr">
        <is>
          <t>わかりやすい情報提供</t>
        </is>
      </c>
      <c r="D229" s="30" t="n">
        <v>14</v>
      </c>
      <c r="E229" s="20">
        <f>IF($F229=0,0,D229/$F229)</f>
        <v>0.35</v>
      </c>
      <c r="F229" s="19">
        <f>$F$223</f>
        <v>40</v>
      </c>
      <c r="G229" s="4" t="inlineStr">
        <is>
          <t>複数回答</t>
        </is>
      </c>
    </row>
    <row r="230" ht="28" customHeight="1">
      <c r="A230" s="4" t="inlineStr">
        <is>
          <t>問26</t>
        </is>
      </c>
      <c r="B230" s="5" t="inlineStr">
        <is>
          <t>相談支援に期待することは何ですか（あてはまるものすべて）</t>
        </is>
      </c>
      <c r="C230" s="5" t="inlineStr">
        <is>
          <t>その他</t>
        </is>
      </c>
      <c r="D230" s="30" t="n">
        <v>1</v>
      </c>
      <c r="E230" s="20">
        <f>IF($F230=0,0,D230/$F230)</f>
        <v>0.025</v>
      </c>
      <c r="F230" s="19">
        <f>$F$223</f>
        <v>40</v>
      </c>
      <c r="G230" s="4" t="inlineStr">
        <is>
          <t>複数回答</t>
        </is>
      </c>
    </row>
    <row r="231" ht="28" customHeight="1">
      <c r="A231" s="4" t="inlineStr">
        <is>
          <t>問26</t>
        </is>
      </c>
      <c r="B231" s="5" t="inlineStr">
        <is>
          <t>相談支援に期待することは何ですか（あてはまるものすべて）</t>
        </is>
      </c>
      <c r="C231" s="5" t="inlineStr">
        <is>
          <t>無回答</t>
        </is>
      </c>
      <c r="D231" s="30" t="n">
        <v>10</v>
      </c>
      <c r="E231" s="20">
        <f>IF($F231=0,0,D231/$F231)</f>
        <v>0.25</v>
      </c>
      <c r="F231" s="19">
        <f>$F$223</f>
        <v>40</v>
      </c>
      <c r="G231" s="4" t="inlineStr">
        <is>
          <t>複数回答</t>
        </is>
      </c>
    </row>
    <row r="232" ht="28" customHeight="1">
      <c r="A232" s="4" t="inlineStr">
        <is>
          <t>問27-1</t>
        </is>
      </c>
      <c r="B232" s="5" t="inlineStr">
        <is>
          <t>現在利用しているサービスを選んでください（あてはまるものすべて）</t>
        </is>
      </c>
      <c r="C232" s="5" t="inlineStr">
        <is>
          <t>居宅介護（ホームヘルプ）</t>
        </is>
      </c>
      <c r="D232" s="30" t="n">
        <v>1</v>
      </c>
      <c r="E232" s="20">
        <f>IF($F232=0,0,D232/$F232)</f>
        <v>0.025</v>
      </c>
      <c r="F232" s="30" t="n">
        <v>40</v>
      </c>
      <c r="G232" s="4" t="inlineStr">
        <is>
          <t>複数回答</t>
        </is>
      </c>
    </row>
    <row r="233" ht="28" customHeight="1">
      <c r="A233" s="4" t="inlineStr">
        <is>
          <t>問27-1</t>
        </is>
      </c>
      <c r="B233" s="5" t="inlineStr">
        <is>
          <t>現在利用しているサービスを選んでください（あてはまるものすべて）</t>
        </is>
      </c>
      <c r="C233" s="5" t="inlineStr">
        <is>
          <t>重度訪問介護</t>
        </is>
      </c>
      <c r="D233" s="30" t="n">
        <v>0</v>
      </c>
      <c r="E233" s="20">
        <f>IF($F233=0,0,D233/$F233)</f>
        <v>0</v>
      </c>
      <c r="F233" s="19">
        <f>$F$232</f>
        <v>40</v>
      </c>
      <c r="G233" s="4" t="inlineStr">
        <is>
          <t>複数回答</t>
        </is>
      </c>
    </row>
    <row r="234" ht="28" customHeight="1">
      <c r="A234" s="4" t="inlineStr">
        <is>
          <t>問27-1</t>
        </is>
      </c>
      <c r="B234" s="5" t="inlineStr">
        <is>
          <t>現在利用しているサービスを選んでください（あてはまるものすべて）</t>
        </is>
      </c>
      <c r="C234" s="5" t="inlineStr">
        <is>
          <t>同行援護・行動援護</t>
        </is>
      </c>
      <c r="D234" s="30" t="n">
        <v>1</v>
      </c>
      <c r="E234" s="20">
        <f>IF($F234=0,0,D234/$F234)</f>
        <v>0.025</v>
      </c>
      <c r="F234" s="19">
        <f>$F$232</f>
        <v>40</v>
      </c>
      <c r="G234" s="4" t="inlineStr">
        <is>
          <t>複数回答</t>
        </is>
      </c>
    </row>
    <row r="235" ht="28" customHeight="1">
      <c r="A235" s="4" t="inlineStr">
        <is>
          <t>問27-1</t>
        </is>
      </c>
      <c r="B235" s="5" t="inlineStr">
        <is>
          <t>現在利用しているサービスを選んでください（あてはまるものすべて）</t>
        </is>
      </c>
      <c r="C235" s="5" t="inlineStr">
        <is>
          <t>生活介護</t>
        </is>
      </c>
      <c r="D235" s="30" t="n">
        <v>4</v>
      </c>
      <c r="E235" s="20">
        <f>IF($F235=0,0,D235/$F235)</f>
        <v>0.1</v>
      </c>
      <c r="F235" s="19">
        <f>$F$232</f>
        <v>40</v>
      </c>
      <c r="G235" s="4" t="inlineStr">
        <is>
          <t>複数回答</t>
        </is>
      </c>
    </row>
    <row r="236" ht="28" customHeight="1">
      <c r="A236" s="4" t="inlineStr">
        <is>
          <t>問27-1</t>
        </is>
      </c>
      <c r="B236" s="5" t="inlineStr">
        <is>
          <t>現在利用しているサービスを選んでください（あてはまるものすべて）</t>
        </is>
      </c>
      <c r="C236" s="5" t="inlineStr">
        <is>
          <t>自立訓練</t>
        </is>
      </c>
      <c r="D236" s="30" t="n">
        <v>2</v>
      </c>
      <c r="E236" s="20">
        <f>IF($F236=0,0,D236/$F236)</f>
        <v>0.05</v>
      </c>
      <c r="F236" s="19">
        <f>$F$232</f>
        <v>40</v>
      </c>
      <c r="G236" s="4" t="inlineStr">
        <is>
          <t>複数回答</t>
        </is>
      </c>
    </row>
    <row r="237" ht="28" customHeight="1">
      <c r="A237" s="4" t="inlineStr">
        <is>
          <t>問27-1</t>
        </is>
      </c>
      <c r="B237" s="5" t="inlineStr">
        <is>
          <t>現在利用しているサービスを選んでください（あてはまるものすべて）</t>
        </is>
      </c>
      <c r="C237" s="5" t="inlineStr">
        <is>
          <t>就労移行支援</t>
        </is>
      </c>
      <c r="D237" s="30" t="n">
        <v>0</v>
      </c>
      <c r="E237" s="20">
        <f>IF($F237=0,0,D237/$F237)</f>
        <v>0</v>
      </c>
      <c r="F237" s="19">
        <f>$F$232</f>
        <v>40</v>
      </c>
      <c r="G237" s="4" t="inlineStr">
        <is>
          <t>複数回答</t>
        </is>
      </c>
    </row>
    <row r="238" ht="28" customHeight="1">
      <c r="A238" s="4" t="inlineStr">
        <is>
          <t>問27-1</t>
        </is>
      </c>
      <c r="B238" s="5" t="inlineStr">
        <is>
          <t>現在利用しているサービスを選んでください（あてはまるものすべて）</t>
        </is>
      </c>
      <c r="C238" s="5" t="inlineStr">
        <is>
          <t>就労継続支援A型</t>
        </is>
      </c>
      <c r="D238" s="30" t="n">
        <v>1</v>
      </c>
      <c r="E238" s="20">
        <f>IF($F238=0,0,D238/$F238)</f>
        <v>0.025</v>
      </c>
      <c r="F238" s="19">
        <f>$F$232</f>
        <v>40</v>
      </c>
      <c r="G238" s="4" t="inlineStr">
        <is>
          <t>複数回答</t>
        </is>
      </c>
    </row>
    <row r="239" ht="28" customHeight="1">
      <c r="A239" s="4" t="inlineStr">
        <is>
          <t>問27-1</t>
        </is>
      </c>
      <c r="B239" s="5" t="inlineStr">
        <is>
          <t>現在利用しているサービスを選んでください（あてはまるものすべて）</t>
        </is>
      </c>
      <c r="C239" s="5" t="inlineStr">
        <is>
          <t>就労継続支援B型</t>
        </is>
      </c>
      <c r="D239" s="30" t="n">
        <v>2</v>
      </c>
      <c r="E239" s="20">
        <f>IF($F239=0,0,D239/$F239)</f>
        <v>0.05</v>
      </c>
      <c r="F239" s="19">
        <f>$F$232</f>
        <v>40</v>
      </c>
      <c r="G239" s="4" t="inlineStr">
        <is>
          <t>複数回答</t>
        </is>
      </c>
    </row>
    <row r="240" ht="28" customHeight="1">
      <c r="A240" s="4" t="inlineStr">
        <is>
          <t>問27-1</t>
        </is>
      </c>
      <c r="B240" s="5" t="inlineStr">
        <is>
          <t>現在利用しているサービスを選んでください（あてはまるものすべて）</t>
        </is>
      </c>
      <c r="C240" s="5" t="inlineStr">
        <is>
          <t>就労選択支援</t>
        </is>
      </c>
      <c r="D240" s="30" t="n">
        <v>1</v>
      </c>
      <c r="E240" s="20">
        <f>IF($F240=0,0,D240/$F240)</f>
        <v>0.025</v>
      </c>
      <c r="F240" s="19">
        <f>$F$232</f>
        <v>40</v>
      </c>
      <c r="G240" s="4" t="inlineStr">
        <is>
          <t>複数回答</t>
        </is>
      </c>
    </row>
    <row r="241" ht="28" customHeight="1">
      <c r="A241" s="4" t="inlineStr">
        <is>
          <t>問27-1</t>
        </is>
      </c>
      <c r="B241" s="5" t="inlineStr">
        <is>
          <t>現在利用しているサービスを選んでください（あてはまるものすべて）</t>
        </is>
      </c>
      <c r="C241" s="5" t="inlineStr">
        <is>
          <t>就労定着支援</t>
        </is>
      </c>
      <c r="D241" s="30" t="n">
        <v>0</v>
      </c>
      <c r="E241" s="20">
        <f>IF($F241=0,0,D241/$F241)</f>
        <v>0</v>
      </c>
      <c r="F241" s="19">
        <f>$F$232</f>
        <v>40</v>
      </c>
      <c r="G241" s="4" t="inlineStr">
        <is>
          <t>複数回答</t>
        </is>
      </c>
    </row>
    <row r="242" ht="28" customHeight="1">
      <c r="A242" s="4" t="inlineStr">
        <is>
          <t>問27-1</t>
        </is>
      </c>
      <c r="B242" s="5" t="inlineStr">
        <is>
          <t>現在利用しているサービスを選んでください（あてはまるものすべて）</t>
        </is>
      </c>
      <c r="C242" s="5" t="inlineStr">
        <is>
          <t>短期入所（ショートステイ）</t>
        </is>
      </c>
      <c r="D242" s="30" t="n">
        <v>2</v>
      </c>
      <c r="E242" s="20">
        <f>IF($F242=0,0,D242/$F242)</f>
        <v>0.05</v>
      </c>
      <c r="F242" s="19">
        <f>$F$232</f>
        <v>40</v>
      </c>
      <c r="G242" s="4" t="inlineStr">
        <is>
          <t>複数回答</t>
        </is>
      </c>
    </row>
    <row r="243" ht="28" customHeight="1">
      <c r="A243" s="4" t="inlineStr">
        <is>
          <t>問27-1</t>
        </is>
      </c>
      <c r="B243" s="5" t="inlineStr">
        <is>
          <t>現在利用しているサービスを選んでください（あてはまるものすべて）</t>
        </is>
      </c>
      <c r="C243" s="5" t="inlineStr">
        <is>
          <t>グループホーム</t>
        </is>
      </c>
      <c r="D243" s="30" t="n">
        <v>3</v>
      </c>
      <c r="E243" s="20">
        <f>IF($F243=0,0,D243/$F243)</f>
        <v>0.075</v>
      </c>
      <c r="F243" s="19">
        <f>$F$232</f>
        <v>40</v>
      </c>
      <c r="G243" s="4" t="inlineStr">
        <is>
          <t>複数回答</t>
        </is>
      </c>
    </row>
    <row r="244" ht="28" customHeight="1">
      <c r="A244" s="4" t="inlineStr">
        <is>
          <t>問27-1</t>
        </is>
      </c>
      <c r="B244" s="5" t="inlineStr">
        <is>
          <t>現在利用しているサービスを選んでください（あてはまるものすべて）</t>
        </is>
      </c>
      <c r="C244" s="5" t="inlineStr">
        <is>
          <t>施設入所支援</t>
        </is>
      </c>
      <c r="D244" s="30" t="n">
        <v>5</v>
      </c>
      <c r="E244" s="20">
        <f>IF($F244=0,0,D244/$F244)</f>
        <v>0.125</v>
      </c>
      <c r="F244" s="19">
        <f>$F$232</f>
        <v>40</v>
      </c>
      <c r="G244" s="4" t="inlineStr">
        <is>
          <t>複数回答</t>
        </is>
      </c>
    </row>
    <row r="245" ht="28" customHeight="1">
      <c r="A245" s="4" t="inlineStr">
        <is>
          <t>問27-1</t>
        </is>
      </c>
      <c r="B245" s="5" t="inlineStr">
        <is>
          <t>現在利用しているサービスを選んでください（あてはまるものすべて）</t>
        </is>
      </c>
      <c r="C245" s="5" t="inlineStr">
        <is>
          <t>計画相談支援</t>
        </is>
      </c>
      <c r="D245" s="30" t="n">
        <v>2</v>
      </c>
      <c r="E245" s="20">
        <f>IF($F245=0,0,D245/$F245)</f>
        <v>0.05</v>
      </c>
      <c r="F245" s="19">
        <f>$F$232</f>
        <v>40</v>
      </c>
      <c r="G245" s="4" t="inlineStr">
        <is>
          <t>複数回答</t>
        </is>
      </c>
    </row>
    <row r="246" ht="28" customHeight="1">
      <c r="A246" s="4" t="inlineStr">
        <is>
          <t>問27-1</t>
        </is>
      </c>
      <c r="B246" s="5" t="inlineStr">
        <is>
          <t>現在利用しているサービスを選んでください（あてはまるものすべて）</t>
        </is>
      </c>
      <c r="C246" s="5" t="inlineStr">
        <is>
          <t>移動支援</t>
        </is>
      </c>
      <c r="D246" s="30" t="n">
        <v>1</v>
      </c>
      <c r="E246" s="20">
        <f>IF($F246=0,0,D246/$F246)</f>
        <v>0.025</v>
      </c>
      <c r="F246" s="19">
        <f>$F$232</f>
        <v>40</v>
      </c>
      <c r="G246" s="4" t="inlineStr">
        <is>
          <t>複数回答</t>
        </is>
      </c>
    </row>
    <row r="247" ht="28" customHeight="1">
      <c r="A247" s="4" t="inlineStr">
        <is>
          <t>問27-1</t>
        </is>
      </c>
      <c r="B247" s="5" t="inlineStr">
        <is>
          <t>現在利用しているサービスを選んでください（あてはまるものすべて）</t>
        </is>
      </c>
      <c r="C247" s="5" t="inlineStr">
        <is>
          <t>日中一時支援</t>
        </is>
      </c>
      <c r="D247" s="30" t="n">
        <v>1</v>
      </c>
      <c r="E247" s="20">
        <f>IF($F247=0,0,D247/$F247)</f>
        <v>0.025</v>
      </c>
      <c r="F247" s="19">
        <f>$F$232</f>
        <v>40</v>
      </c>
      <c r="G247" s="4" t="inlineStr">
        <is>
          <t>複数回答</t>
        </is>
      </c>
    </row>
    <row r="248" ht="28" customHeight="1">
      <c r="A248" s="4" t="inlineStr">
        <is>
          <t>問27-1</t>
        </is>
      </c>
      <c r="B248" s="5" t="inlineStr">
        <is>
          <t>現在利用しているサービスを選んでください（あてはまるものすべて）</t>
        </is>
      </c>
      <c r="C248" s="5" t="inlineStr">
        <is>
          <t>日常生活用具</t>
        </is>
      </c>
      <c r="D248" s="30" t="n">
        <v>1</v>
      </c>
      <c r="E248" s="20">
        <f>IF($F248=0,0,D248/$F248)</f>
        <v>0.025</v>
      </c>
      <c r="F248" s="19">
        <f>$F$232</f>
        <v>40</v>
      </c>
      <c r="G248" s="4" t="inlineStr">
        <is>
          <t>複数回答</t>
        </is>
      </c>
    </row>
    <row r="249" ht="28" customHeight="1">
      <c r="A249" s="4" t="inlineStr">
        <is>
          <t>問27-1</t>
        </is>
      </c>
      <c r="B249" s="5" t="inlineStr">
        <is>
          <t>現在利用しているサービスを選んでください（あてはまるものすべて）</t>
        </is>
      </c>
      <c r="C249" s="5" t="inlineStr">
        <is>
          <t>訪問入浴</t>
        </is>
      </c>
      <c r="D249" s="30" t="n">
        <v>0</v>
      </c>
      <c r="E249" s="20">
        <f>IF($F249=0,0,D249/$F249)</f>
        <v>0</v>
      </c>
      <c r="F249" s="19">
        <f>$F$232</f>
        <v>40</v>
      </c>
      <c r="G249" s="4" t="inlineStr">
        <is>
          <t>複数回答</t>
        </is>
      </c>
    </row>
    <row r="250" ht="28" customHeight="1">
      <c r="A250" s="4" t="inlineStr">
        <is>
          <t>問27-1</t>
        </is>
      </c>
      <c r="B250" s="5" t="inlineStr">
        <is>
          <t>現在利用しているサービスを選んでください（あてはまるものすべて）</t>
        </is>
      </c>
      <c r="C250" s="5" t="inlineStr">
        <is>
          <t>現在利用しているサービスは特にない</t>
        </is>
      </c>
      <c r="D250" s="30" t="n">
        <v>18</v>
      </c>
      <c r="E250" s="20">
        <f>IF($F250=0,0,D250/$F250)</f>
        <v>0.45</v>
      </c>
      <c r="F250" s="19">
        <f>$F$232</f>
        <v>40</v>
      </c>
      <c r="G250" s="4" t="inlineStr">
        <is>
          <t>複数回答</t>
        </is>
      </c>
    </row>
    <row r="251" ht="28" customHeight="1">
      <c r="A251" s="4" t="inlineStr">
        <is>
          <t>問27-1</t>
        </is>
      </c>
      <c r="B251" s="5" t="inlineStr">
        <is>
          <t>現在利用しているサービスを選んでください（あてはまるものすべて）</t>
        </is>
      </c>
      <c r="C251" s="5" t="inlineStr">
        <is>
          <t>無回答</t>
        </is>
      </c>
      <c r="D251" s="30" t="n">
        <v>9</v>
      </c>
      <c r="E251" s="20">
        <f>IF($F251=0,0,D251/$F251)</f>
        <v>0.225</v>
      </c>
      <c r="F251" s="19">
        <f>$F$232</f>
        <v>40</v>
      </c>
      <c r="G251" s="4" t="inlineStr">
        <is>
          <t>複数回答</t>
        </is>
      </c>
    </row>
    <row r="252" ht="28" customHeight="1">
      <c r="A252" s="4" t="inlineStr">
        <is>
          <t>問27-2</t>
        </is>
      </c>
      <c r="B252" s="5" t="inlineStr">
        <is>
          <t>内容をよく知らないサービスがあれば選んでください（あてはまるものすべて）</t>
        </is>
      </c>
      <c r="C252" s="5" t="inlineStr">
        <is>
          <t>居宅介護（ホームヘルプ）</t>
        </is>
      </c>
      <c r="D252" s="30" t="n">
        <v>6</v>
      </c>
      <c r="E252" s="20">
        <f>IF($F252=0,0,D252/$F252)</f>
        <v>0.15</v>
      </c>
      <c r="F252" s="30" t="n">
        <v>40</v>
      </c>
      <c r="G252" s="4" t="inlineStr">
        <is>
          <t>複数回答</t>
        </is>
      </c>
    </row>
    <row r="253" ht="28" customHeight="1">
      <c r="A253" s="4" t="inlineStr">
        <is>
          <t>問27-2</t>
        </is>
      </c>
      <c r="B253" s="5" t="inlineStr">
        <is>
          <t>内容をよく知らないサービスがあれば選んでください（あてはまるものすべて）</t>
        </is>
      </c>
      <c r="C253" s="5" t="inlineStr">
        <is>
          <t>重度訪問介護</t>
        </is>
      </c>
      <c r="D253" s="30" t="n">
        <v>9</v>
      </c>
      <c r="E253" s="20">
        <f>IF($F253=0,0,D253/$F253)</f>
        <v>0.225</v>
      </c>
      <c r="F253" s="19">
        <f>$F$252</f>
        <v>40</v>
      </c>
      <c r="G253" s="4" t="inlineStr">
        <is>
          <t>複数回答</t>
        </is>
      </c>
    </row>
    <row r="254" ht="28" customHeight="1">
      <c r="A254" s="4" t="inlineStr">
        <is>
          <t>問27-2</t>
        </is>
      </c>
      <c r="B254" s="5" t="inlineStr">
        <is>
          <t>内容をよく知らないサービスがあれば選んでください（あてはまるものすべて）</t>
        </is>
      </c>
      <c r="C254" s="5" t="inlineStr">
        <is>
          <t>同行援護・行動援護</t>
        </is>
      </c>
      <c r="D254" s="30" t="n">
        <v>9</v>
      </c>
      <c r="E254" s="20">
        <f>IF($F254=0,0,D254/$F254)</f>
        <v>0.225</v>
      </c>
      <c r="F254" s="19">
        <f>$F$252</f>
        <v>40</v>
      </c>
      <c r="G254" s="4" t="inlineStr">
        <is>
          <t>複数回答</t>
        </is>
      </c>
    </row>
    <row r="255" ht="28" customHeight="1">
      <c r="A255" s="4" t="inlineStr">
        <is>
          <t>問27-2</t>
        </is>
      </c>
      <c r="B255" s="5" t="inlineStr">
        <is>
          <t>内容をよく知らないサービスがあれば選んでください（あてはまるものすべて）</t>
        </is>
      </c>
      <c r="C255" s="5" t="inlineStr">
        <is>
          <t>生活介護</t>
        </is>
      </c>
      <c r="D255" s="30" t="n">
        <v>6</v>
      </c>
      <c r="E255" s="20">
        <f>IF($F255=0,0,D255/$F255)</f>
        <v>0.15</v>
      </c>
      <c r="F255" s="19">
        <f>$F$252</f>
        <v>40</v>
      </c>
      <c r="G255" s="4" t="inlineStr">
        <is>
          <t>複数回答</t>
        </is>
      </c>
    </row>
    <row r="256" ht="28" customHeight="1">
      <c r="A256" s="4" t="inlineStr">
        <is>
          <t>問27-2</t>
        </is>
      </c>
      <c r="B256" s="5" t="inlineStr">
        <is>
          <t>内容をよく知らないサービスがあれば選んでください（あてはまるものすべて）</t>
        </is>
      </c>
      <c r="C256" s="5" t="inlineStr">
        <is>
          <t>自立訓練</t>
        </is>
      </c>
      <c r="D256" s="30" t="n">
        <v>8</v>
      </c>
      <c r="E256" s="20">
        <f>IF($F256=0,0,D256/$F256)</f>
        <v>0.2</v>
      </c>
      <c r="F256" s="19">
        <f>$F$252</f>
        <v>40</v>
      </c>
      <c r="G256" s="4" t="inlineStr">
        <is>
          <t>複数回答</t>
        </is>
      </c>
    </row>
    <row r="257" ht="28" customHeight="1">
      <c r="A257" s="4" t="inlineStr">
        <is>
          <t>問27-2</t>
        </is>
      </c>
      <c r="B257" s="5" t="inlineStr">
        <is>
          <t>内容をよく知らないサービスがあれば選んでください（あてはまるものすべて）</t>
        </is>
      </c>
      <c r="C257" s="5" t="inlineStr">
        <is>
          <t>就労移行支援</t>
        </is>
      </c>
      <c r="D257" s="30" t="n">
        <v>8</v>
      </c>
      <c r="E257" s="20">
        <f>IF($F257=0,0,D257/$F257)</f>
        <v>0.2</v>
      </c>
      <c r="F257" s="19">
        <f>$F$252</f>
        <v>40</v>
      </c>
      <c r="G257" s="4" t="inlineStr">
        <is>
          <t>複数回答</t>
        </is>
      </c>
    </row>
    <row r="258" ht="28" customHeight="1">
      <c r="A258" s="4" t="inlineStr">
        <is>
          <t>問27-2</t>
        </is>
      </c>
      <c r="B258" s="5" t="inlineStr">
        <is>
          <t>内容をよく知らないサービスがあれば選んでください（あてはまるものすべて）</t>
        </is>
      </c>
      <c r="C258" s="5" t="inlineStr">
        <is>
          <t>就労継続支援A型</t>
        </is>
      </c>
      <c r="D258" s="30" t="n">
        <v>8</v>
      </c>
      <c r="E258" s="20">
        <f>IF($F258=0,0,D258/$F258)</f>
        <v>0.2</v>
      </c>
      <c r="F258" s="19">
        <f>$F$252</f>
        <v>40</v>
      </c>
      <c r="G258" s="4" t="inlineStr">
        <is>
          <t>複数回答</t>
        </is>
      </c>
    </row>
    <row r="259" ht="28" customHeight="1">
      <c r="A259" s="4" t="inlineStr">
        <is>
          <t>問27-2</t>
        </is>
      </c>
      <c r="B259" s="5" t="inlineStr">
        <is>
          <t>内容をよく知らないサービスがあれば選んでください（あてはまるものすべて）</t>
        </is>
      </c>
      <c r="C259" s="5" t="inlineStr">
        <is>
          <t>就労継続支援B型</t>
        </is>
      </c>
      <c r="D259" s="30" t="n">
        <v>8</v>
      </c>
      <c r="E259" s="20">
        <f>IF($F259=0,0,D259/$F259)</f>
        <v>0.2</v>
      </c>
      <c r="F259" s="19">
        <f>$F$252</f>
        <v>40</v>
      </c>
      <c r="G259" s="4" t="inlineStr">
        <is>
          <t>複数回答</t>
        </is>
      </c>
    </row>
    <row r="260" ht="28" customHeight="1">
      <c r="A260" s="4" t="inlineStr">
        <is>
          <t>問27-2</t>
        </is>
      </c>
      <c r="B260" s="5" t="inlineStr">
        <is>
          <t>内容をよく知らないサービスがあれば選んでください（あてはまるものすべて）</t>
        </is>
      </c>
      <c r="C260" s="5" t="inlineStr">
        <is>
          <t>就労選択支援</t>
        </is>
      </c>
      <c r="D260" s="30" t="n">
        <v>9</v>
      </c>
      <c r="E260" s="20">
        <f>IF($F260=0,0,D260/$F260)</f>
        <v>0.225</v>
      </c>
      <c r="F260" s="19">
        <f>$F$252</f>
        <v>40</v>
      </c>
      <c r="G260" s="4" t="inlineStr">
        <is>
          <t>複数回答</t>
        </is>
      </c>
    </row>
    <row r="261" ht="28" customHeight="1">
      <c r="A261" s="4" t="inlineStr">
        <is>
          <t>問27-2</t>
        </is>
      </c>
      <c r="B261" s="5" t="inlineStr">
        <is>
          <t>内容をよく知らないサービスがあれば選んでください（あてはまるものすべて）</t>
        </is>
      </c>
      <c r="C261" s="5" t="inlineStr">
        <is>
          <t>就労定着支援</t>
        </is>
      </c>
      <c r="D261" s="30" t="n">
        <v>8</v>
      </c>
      <c r="E261" s="20">
        <f>IF($F261=0,0,D261/$F261)</f>
        <v>0.2</v>
      </c>
      <c r="F261" s="19">
        <f>$F$252</f>
        <v>40</v>
      </c>
      <c r="G261" s="4" t="inlineStr">
        <is>
          <t>複数回答</t>
        </is>
      </c>
    </row>
    <row r="262" ht="28" customHeight="1">
      <c r="A262" s="4" t="inlineStr">
        <is>
          <t>問27-2</t>
        </is>
      </c>
      <c r="B262" s="5" t="inlineStr">
        <is>
          <t>内容をよく知らないサービスがあれば選んでください（あてはまるものすべて）</t>
        </is>
      </c>
      <c r="C262" s="5" t="inlineStr">
        <is>
          <t>短期入所（ショートステイ）</t>
        </is>
      </c>
      <c r="D262" s="30" t="n">
        <v>4</v>
      </c>
      <c r="E262" s="20">
        <f>IF($F262=0,0,D262/$F262)</f>
        <v>0.1</v>
      </c>
      <c r="F262" s="19">
        <f>$F$252</f>
        <v>40</v>
      </c>
      <c r="G262" s="4" t="inlineStr">
        <is>
          <t>複数回答</t>
        </is>
      </c>
    </row>
    <row r="263" ht="28" customHeight="1">
      <c r="A263" s="4" t="inlineStr">
        <is>
          <t>問27-2</t>
        </is>
      </c>
      <c r="B263" s="5" t="inlineStr">
        <is>
          <t>内容をよく知らないサービスがあれば選んでください（あてはまるものすべて）</t>
        </is>
      </c>
      <c r="C263" s="5" t="inlineStr">
        <is>
          <t>グループホーム</t>
        </is>
      </c>
      <c r="D263" s="30" t="n">
        <v>5</v>
      </c>
      <c r="E263" s="20">
        <f>IF($F263=0,0,D263/$F263)</f>
        <v>0.125</v>
      </c>
      <c r="F263" s="19">
        <f>$F$252</f>
        <v>40</v>
      </c>
      <c r="G263" s="4" t="inlineStr">
        <is>
          <t>複数回答</t>
        </is>
      </c>
    </row>
    <row r="264" ht="28" customHeight="1">
      <c r="A264" s="4" t="inlineStr">
        <is>
          <t>問27-2</t>
        </is>
      </c>
      <c r="B264" s="5" t="inlineStr">
        <is>
          <t>内容をよく知らないサービスがあれば選んでください（あてはまるものすべて）</t>
        </is>
      </c>
      <c r="C264" s="5" t="inlineStr">
        <is>
          <t>施設入所支援</t>
        </is>
      </c>
      <c r="D264" s="30" t="n">
        <v>6</v>
      </c>
      <c r="E264" s="20">
        <f>IF($F264=0,0,D264/$F264)</f>
        <v>0.15</v>
      </c>
      <c r="F264" s="19">
        <f>$F$252</f>
        <v>40</v>
      </c>
      <c r="G264" s="4" t="inlineStr">
        <is>
          <t>複数回答</t>
        </is>
      </c>
    </row>
    <row r="265" ht="28" customHeight="1">
      <c r="A265" s="4" t="inlineStr">
        <is>
          <t>問27-2</t>
        </is>
      </c>
      <c r="B265" s="5" t="inlineStr">
        <is>
          <t>内容をよく知らないサービスがあれば選んでください（あてはまるものすべて）</t>
        </is>
      </c>
      <c r="C265" s="5" t="inlineStr">
        <is>
          <t>計画相談支援</t>
        </is>
      </c>
      <c r="D265" s="30" t="n">
        <v>7</v>
      </c>
      <c r="E265" s="20">
        <f>IF($F265=0,0,D265/$F265)</f>
        <v>0.175</v>
      </c>
      <c r="F265" s="19">
        <f>$F$252</f>
        <v>40</v>
      </c>
      <c r="G265" s="4" t="inlineStr">
        <is>
          <t>複数回答</t>
        </is>
      </c>
    </row>
    <row r="266" ht="28" customHeight="1">
      <c r="A266" s="4" t="inlineStr">
        <is>
          <t>問27-2</t>
        </is>
      </c>
      <c r="B266" s="5" t="inlineStr">
        <is>
          <t>内容をよく知らないサービスがあれば選んでください（あてはまるものすべて）</t>
        </is>
      </c>
      <c r="C266" s="5" t="inlineStr">
        <is>
          <t>移動支援</t>
        </is>
      </c>
      <c r="D266" s="30" t="n">
        <v>9</v>
      </c>
      <c r="E266" s="20">
        <f>IF($F266=0,0,D266/$F266)</f>
        <v>0.225</v>
      </c>
      <c r="F266" s="19">
        <f>$F$252</f>
        <v>40</v>
      </c>
      <c r="G266" s="4" t="inlineStr">
        <is>
          <t>複数回答</t>
        </is>
      </c>
    </row>
    <row r="267" ht="28" customHeight="1">
      <c r="A267" s="4" t="inlineStr">
        <is>
          <t>問27-2</t>
        </is>
      </c>
      <c r="B267" s="5" t="inlineStr">
        <is>
          <t>内容をよく知らないサービスがあれば選んでください（あてはまるものすべて）</t>
        </is>
      </c>
      <c r="C267" s="5" t="inlineStr">
        <is>
          <t>日中一時支援</t>
        </is>
      </c>
      <c r="D267" s="30" t="n">
        <v>8</v>
      </c>
      <c r="E267" s="20">
        <f>IF($F267=0,0,D267/$F267)</f>
        <v>0.2</v>
      </c>
      <c r="F267" s="19">
        <f>$F$252</f>
        <v>40</v>
      </c>
      <c r="G267" s="4" t="inlineStr">
        <is>
          <t>複数回答</t>
        </is>
      </c>
    </row>
    <row r="268" ht="28" customHeight="1">
      <c r="A268" s="4" t="inlineStr">
        <is>
          <t>問27-2</t>
        </is>
      </c>
      <c r="B268" s="5" t="inlineStr">
        <is>
          <t>内容をよく知らないサービスがあれば選んでください（あてはまるものすべて）</t>
        </is>
      </c>
      <c r="C268" s="5" t="inlineStr">
        <is>
          <t>日常生活用具</t>
        </is>
      </c>
      <c r="D268" s="30" t="n">
        <v>6</v>
      </c>
      <c r="E268" s="20">
        <f>IF($F268=0,0,D268/$F268)</f>
        <v>0.15</v>
      </c>
      <c r="F268" s="19">
        <f>$F$252</f>
        <v>40</v>
      </c>
      <c r="G268" s="4" t="inlineStr">
        <is>
          <t>複数回答</t>
        </is>
      </c>
    </row>
    <row r="269" ht="28" customHeight="1">
      <c r="A269" s="4" t="inlineStr">
        <is>
          <t>問27-2</t>
        </is>
      </c>
      <c r="B269" s="5" t="inlineStr">
        <is>
          <t>内容をよく知らないサービスがあれば選んでください（あてはまるものすべて）</t>
        </is>
      </c>
      <c r="C269" s="5" t="inlineStr">
        <is>
          <t>訪問入浴</t>
        </is>
      </c>
      <c r="D269" s="30" t="n">
        <v>5</v>
      </c>
      <c r="E269" s="20">
        <f>IF($F269=0,0,D269/$F269)</f>
        <v>0.125</v>
      </c>
      <c r="F269" s="19">
        <f>$F$252</f>
        <v>40</v>
      </c>
      <c r="G269" s="4" t="inlineStr">
        <is>
          <t>複数回答</t>
        </is>
      </c>
    </row>
    <row r="270" ht="28" customHeight="1">
      <c r="A270" s="4" t="inlineStr">
        <is>
          <t>問27-2</t>
        </is>
      </c>
      <c r="B270" s="5" t="inlineStr">
        <is>
          <t>内容をよく知らないサービスがあれば選んでください（あてはまるものすべて）</t>
        </is>
      </c>
      <c r="C270" s="5" t="inlineStr">
        <is>
          <t>知らないサービスは特にない</t>
        </is>
      </c>
      <c r="D270" s="30" t="n">
        <v>7</v>
      </c>
      <c r="E270" s="20">
        <f>IF($F270=0,0,D270/$F270)</f>
        <v>0.175</v>
      </c>
      <c r="F270" s="19">
        <f>$F$252</f>
        <v>40</v>
      </c>
      <c r="G270" s="4" t="inlineStr">
        <is>
          <t>複数回答</t>
        </is>
      </c>
    </row>
    <row r="271" ht="28" customHeight="1">
      <c r="A271" s="4" t="inlineStr">
        <is>
          <t>問27-2</t>
        </is>
      </c>
      <c r="B271" s="5" t="inlineStr">
        <is>
          <t>内容をよく知らないサービスがあれば選んでください（あてはまるものすべて）</t>
        </is>
      </c>
      <c r="C271" s="5" t="inlineStr">
        <is>
          <t>無回答</t>
        </is>
      </c>
      <c r="D271" s="30" t="n">
        <v>16</v>
      </c>
      <c r="E271" s="20">
        <f>IF($F271=0,0,D271/$F271)</f>
        <v>0.4</v>
      </c>
      <c r="F271" s="19">
        <f>$F$252</f>
        <v>40</v>
      </c>
      <c r="G271" s="4" t="inlineStr">
        <is>
          <t>複数回答</t>
        </is>
      </c>
    </row>
    <row r="272" ht="28" customHeight="1">
      <c r="A272" s="4" t="inlineStr">
        <is>
          <t>問27-3</t>
        </is>
      </c>
      <c r="B272" s="5" t="inlineStr">
        <is>
          <t>今後3年間で利用したい、または利用を続けたいサービスを選んでください（あてはまるものすべて）</t>
        </is>
      </c>
      <c r="C272" s="5" t="inlineStr">
        <is>
          <t>居宅介護（ホームヘルプ）</t>
        </is>
      </c>
      <c r="D272" s="30" t="n">
        <v>3</v>
      </c>
      <c r="E272" s="20">
        <f>IF($F272=0,0,D272/$F272)</f>
        <v>0.075</v>
      </c>
      <c r="F272" s="30" t="n">
        <v>40</v>
      </c>
      <c r="G272" s="4" t="inlineStr">
        <is>
          <t>複数回答</t>
        </is>
      </c>
    </row>
    <row r="273" ht="28" customHeight="1">
      <c r="A273" s="4" t="inlineStr">
        <is>
          <t>問27-3</t>
        </is>
      </c>
      <c r="B273" s="5" t="inlineStr">
        <is>
          <t>今後3年間で利用したい、または利用を続けたいサービスを選んでください（あてはまるものすべて）</t>
        </is>
      </c>
      <c r="C273" s="5" t="inlineStr">
        <is>
          <t>重度訪問介護</t>
        </is>
      </c>
      <c r="D273" s="30" t="n">
        <v>0</v>
      </c>
      <c r="E273" s="20">
        <f>IF($F273=0,0,D273/$F273)</f>
        <v>0</v>
      </c>
      <c r="F273" s="19">
        <f>$F$272</f>
        <v>40</v>
      </c>
      <c r="G273" s="4" t="inlineStr">
        <is>
          <t>複数回答</t>
        </is>
      </c>
    </row>
    <row r="274" ht="28" customHeight="1">
      <c r="A274" s="4" t="inlineStr">
        <is>
          <t>問27-3</t>
        </is>
      </c>
      <c r="B274" s="5" t="inlineStr">
        <is>
          <t>今後3年間で利用したい、または利用を続けたいサービスを選んでください（あてはまるものすべて）</t>
        </is>
      </c>
      <c r="C274" s="5" t="inlineStr">
        <is>
          <t>同行援護・行動援護</t>
        </is>
      </c>
      <c r="D274" s="30" t="n">
        <v>1</v>
      </c>
      <c r="E274" s="20">
        <f>IF($F274=0,0,D274/$F274)</f>
        <v>0.025</v>
      </c>
      <c r="F274" s="19">
        <f>$F$272</f>
        <v>40</v>
      </c>
      <c r="G274" s="4" t="inlineStr">
        <is>
          <t>複数回答</t>
        </is>
      </c>
    </row>
    <row r="275" ht="28" customHeight="1">
      <c r="A275" s="4" t="inlineStr">
        <is>
          <t>問27-3</t>
        </is>
      </c>
      <c r="B275" s="5" t="inlineStr">
        <is>
          <t>今後3年間で利用したい、または利用を続けたいサービスを選んでください（あてはまるものすべて）</t>
        </is>
      </c>
      <c r="C275" s="5" t="inlineStr">
        <is>
          <t>生活介護</t>
        </is>
      </c>
      <c r="D275" s="30" t="n">
        <v>3</v>
      </c>
      <c r="E275" s="20">
        <f>IF($F275=0,0,D275/$F275)</f>
        <v>0.075</v>
      </c>
      <c r="F275" s="19">
        <f>$F$272</f>
        <v>40</v>
      </c>
      <c r="G275" s="4" t="inlineStr">
        <is>
          <t>複数回答</t>
        </is>
      </c>
    </row>
    <row r="276" ht="28" customHeight="1">
      <c r="A276" s="4" t="inlineStr">
        <is>
          <t>問27-3</t>
        </is>
      </c>
      <c r="B276" s="5" t="inlineStr">
        <is>
          <t>今後3年間で利用したい、または利用を続けたいサービスを選んでください（あてはまるものすべて）</t>
        </is>
      </c>
      <c r="C276" s="5" t="inlineStr">
        <is>
          <t>自立訓練</t>
        </is>
      </c>
      <c r="D276" s="30" t="n">
        <v>2</v>
      </c>
      <c r="E276" s="20">
        <f>IF($F276=0,0,D276/$F276)</f>
        <v>0.05</v>
      </c>
      <c r="F276" s="19">
        <f>$F$272</f>
        <v>40</v>
      </c>
      <c r="G276" s="4" t="inlineStr">
        <is>
          <t>複数回答</t>
        </is>
      </c>
    </row>
    <row r="277" ht="28" customHeight="1">
      <c r="A277" s="4" t="inlineStr">
        <is>
          <t>問27-3</t>
        </is>
      </c>
      <c r="B277" s="5" t="inlineStr">
        <is>
          <t>今後3年間で利用したい、または利用を続けたいサービスを選んでください（あてはまるものすべて）</t>
        </is>
      </c>
      <c r="C277" s="5" t="inlineStr">
        <is>
          <t>就労移行支援</t>
        </is>
      </c>
      <c r="D277" s="30" t="n">
        <v>1</v>
      </c>
      <c r="E277" s="20">
        <f>IF($F277=0,0,D277/$F277)</f>
        <v>0.025</v>
      </c>
      <c r="F277" s="19">
        <f>$F$272</f>
        <v>40</v>
      </c>
      <c r="G277" s="4" t="inlineStr">
        <is>
          <t>複数回答</t>
        </is>
      </c>
    </row>
    <row r="278" ht="28" customHeight="1">
      <c r="A278" s="4" t="inlineStr">
        <is>
          <t>問27-3</t>
        </is>
      </c>
      <c r="B278" s="5" t="inlineStr">
        <is>
          <t>今後3年間で利用したい、または利用を続けたいサービスを選んでください（あてはまるものすべて）</t>
        </is>
      </c>
      <c r="C278" s="5" t="inlineStr">
        <is>
          <t>就労継続支援A型</t>
        </is>
      </c>
      <c r="D278" s="30" t="n">
        <v>0</v>
      </c>
      <c r="E278" s="20">
        <f>IF($F278=0,0,D278/$F278)</f>
        <v>0</v>
      </c>
      <c r="F278" s="19">
        <f>$F$272</f>
        <v>40</v>
      </c>
      <c r="G278" s="4" t="inlineStr">
        <is>
          <t>複数回答</t>
        </is>
      </c>
    </row>
    <row r="279" ht="28" customHeight="1">
      <c r="A279" s="4" t="inlineStr">
        <is>
          <t>問27-3</t>
        </is>
      </c>
      <c r="B279" s="5" t="inlineStr">
        <is>
          <t>今後3年間で利用したい、または利用を続けたいサービスを選んでください（あてはまるものすべて）</t>
        </is>
      </c>
      <c r="C279" s="5" t="inlineStr">
        <is>
          <t>就労継続支援B型</t>
        </is>
      </c>
      <c r="D279" s="30" t="n">
        <v>1</v>
      </c>
      <c r="E279" s="20">
        <f>IF($F279=0,0,D279/$F279)</f>
        <v>0.025</v>
      </c>
      <c r="F279" s="19">
        <f>$F$272</f>
        <v>40</v>
      </c>
      <c r="G279" s="4" t="inlineStr">
        <is>
          <t>複数回答</t>
        </is>
      </c>
    </row>
    <row r="280" ht="28" customHeight="1">
      <c r="A280" s="4" t="inlineStr">
        <is>
          <t>問27-3</t>
        </is>
      </c>
      <c r="B280" s="5" t="inlineStr">
        <is>
          <t>今後3年間で利用したい、または利用を続けたいサービスを選んでください（あてはまるものすべて）</t>
        </is>
      </c>
      <c r="C280" s="5" t="inlineStr">
        <is>
          <t>就労選択支援</t>
        </is>
      </c>
      <c r="D280" s="30" t="n">
        <v>0</v>
      </c>
      <c r="E280" s="20">
        <f>IF($F280=0,0,D280/$F280)</f>
        <v>0</v>
      </c>
      <c r="F280" s="19">
        <f>$F$272</f>
        <v>40</v>
      </c>
      <c r="G280" s="4" t="inlineStr">
        <is>
          <t>複数回答</t>
        </is>
      </c>
    </row>
    <row r="281" ht="28" customHeight="1">
      <c r="A281" s="4" t="inlineStr">
        <is>
          <t>問27-3</t>
        </is>
      </c>
      <c r="B281" s="5" t="inlineStr">
        <is>
          <t>今後3年間で利用したい、または利用を続けたいサービスを選んでください（あてはまるものすべて）</t>
        </is>
      </c>
      <c r="C281" s="5" t="inlineStr">
        <is>
          <t>就労定着支援</t>
        </is>
      </c>
      <c r="D281" s="30" t="n">
        <v>0</v>
      </c>
      <c r="E281" s="20">
        <f>IF($F281=0,0,D281/$F281)</f>
        <v>0</v>
      </c>
      <c r="F281" s="19">
        <f>$F$272</f>
        <v>40</v>
      </c>
      <c r="G281" s="4" t="inlineStr">
        <is>
          <t>複数回答</t>
        </is>
      </c>
    </row>
    <row r="282" ht="28" customHeight="1">
      <c r="A282" s="4" t="inlineStr">
        <is>
          <t>問27-3</t>
        </is>
      </c>
      <c r="B282" s="5" t="inlineStr">
        <is>
          <t>今後3年間で利用したい、または利用を続けたいサービスを選んでください（あてはまるものすべて）</t>
        </is>
      </c>
      <c r="C282" s="5" t="inlineStr">
        <is>
          <t>短期入所（ショートステイ）</t>
        </is>
      </c>
      <c r="D282" s="30" t="n">
        <v>4</v>
      </c>
      <c r="E282" s="20">
        <f>IF($F282=0,0,D282/$F282)</f>
        <v>0.1</v>
      </c>
      <c r="F282" s="19">
        <f>$F$272</f>
        <v>40</v>
      </c>
      <c r="G282" s="4" t="inlineStr">
        <is>
          <t>複数回答</t>
        </is>
      </c>
    </row>
    <row r="283" ht="28" customHeight="1">
      <c r="A283" s="4" t="inlineStr">
        <is>
          <t>問27-3</t>
        </is>
      </c>
      <c r="B283" s="5" t="inlineStr">
        <is>
          <t>今後3年間で利用したい、または利用を続けたいサービスを選んでください（あてはまるものすべて）</t>
        </is>
      </c>
      <c r="C283" s="5" t="inlineStr">
        <is>
          <t>グループホーム</t>
        </is>
      </c>
      <c r="D283" s="30" t="n">
        <v>5</v>
      </c>
      <c r="E283" s="20">
        <f>IF($F283=0,0,D283/$F283)</f>
        <v>0.125</v>
      </c>
      <c r="F283" s="19">
        <f>$F$272</f>
        <v>40</v>
      </c>
      <c r="G283" s="4" t="inlineStr">
        <is>
          <t>複数回答</t>
        </is>
      </c>
    </row>
    <row r="284" ht="28" customHeight="1">
      <c r="A284" s="4" t="inlineStr">
        <is>
          <t>問27-3</t>
        </is>
      </c>
      <c r="B284" s="5" t="inlineStr">
        <is>
          <t>今後3年間で利用したい、または利用を続けたいサービスを選んでください（あてはまるものすべて）</t>
        </is>
      </c>
      <c r="C284" s="5" t="inlineStr">
        <is>
          <t>施設入所支援</t>
        </is>
      </c>
      <c r="D284" s="30" t="n">
        <v>9</v>
      </c>
      <c r="E284" s="20">
        <f>IF($F284=0,0,D284/$F284)</f>
        <v>0.225</v>
      </c>
      <c r="F284" s="19">
        <f>$F$272</f>
        <v>40</v>
      </c>
      <c r="G284" s="4" t="inlineStr">
        <is>
          <t>複数回答</t>
        </is>
      </c>
    </row>
    <row r="285" ht="28" customHeight="1">
      <c r="A285" s="4" t="inlineStr">
        <is>
          <t>問27-3</t>
        </is>
      </c>
      <c r="B285" s="5" t="inlineStr">
        <is>
          <t>今後3年間で利用したい、または利用を続けたいサービスを選んでください（あてはまるものすべて）</t>
        </is>
      </c>
      <c r="C285" s="5" t="inlineStr">
        <is>
          <t>計画相談支援</t>
        </is>
      </c>
      <c r="D285" s="30" t="n">
        <v>4</v>
      </c>
      <c r="E285" s="20">
        <f>IF($F285=0,0,D285/$F285)</f>
        <v>0.1</v>
      </c>
      <c r="F285" s="19">
        <f>$F$272</f>
        <v>40</v>
      </c>
      <c r="G285" s="4" t="inlineStr">
        <is>
          <t>複数回答</t>
        </is>
      </c>
    </row>
    <row r="286" ht="28" customHeight="1">
      <c r="A286" s="4" t="inlineStr">
        <is>
          <t>問27-3</t>
        </is>
      </c>
      <c r="B286" s="5" t="inlineStr">
        <is>
          <t>今後3年間で利用したい、または利用を続けたいサービスを選んでください（あてはまるものすべて）</t>
        </is>
      </c>
      <c r="C286" s="5" t="inlineStr">
        <is>
          <t>移動支援</t>
        </is>
      </c>
      <c r="D286" s="30" t="n">
        <v>2</v>
      </c>
      <c r="E286" s="20">
        <f>IF($F286=0,0,D286/$F286)</f>
        <v>0.05</v>
      </c>
      <c r="F286" s="19">
        <f>$F$272</f>
        <v>40</v>
      </c>
      <c r="G286" s="4" t="inlineStr">
        <is>
          <t>複数回答</t>
        </is>
      </c>
    </row>
    <row r="287" ht="28" customHeight="1">
      <c r="A287" s="4" t="inlineStr">
        <is>
          <t>問27-3</t>
        </is>
      </c>
      <c r="B287" s="5" t="inlineStr">
        <is>
          <t>今後3年間で利用したい、または利用を続けたいサービスを選んでください（あてはまるものすべて）</t>
        </is>
      </c>
      <c r="C287" s="5" t="inlineStr">
        <is>
          <t>日中一時支援</t>
        </is>
      </c>
      <c r="D287" s="30" t="n">
        <v>1</v>
      </c>
      <c r="E287" s="20">
        <f>IF($F287=0,0,D287/$F287)</f>
        <v>0.025</v>
      </c>
      <c r="F287" s="19">
        <f>$F$272</f>
        <v>40</v>
      </c>
      <c r="G287" s="4" t="inlineStr">
        <is>
          <t>複数回答</t>
        </is>
      </c>
    </row>
    <row r="288" ht="28" customHeight="1">
      <c r="A288" s="4" t="inlineStr">
        <is>
          <t>問27-3</t>
        </is>
      </c>
      <c r="B288" s="5" t="inlineStr">
        <is>
          <t>今後3年間で利用したい、または利用を続けたいサービスを選んでください（あてはまるものすべて）</t>
        </is>
      </c>
      <c r="C288" s="5" t="inlineStr">
        <is>
          <t>日常生活用具</t>
        </is>
      </c>
      <c r="D288" s="30" t="n">
        <v>2</v>
      </c>
      <c r="E288" s="20">
        <f>IF($F288=0,0,D288/$F288)</f>
        <v>0.05</v>
      </c>
      <c r="F288" s="19">
        <f>$F$272</f>
        <v>40</v>
      </c>
      <c r="G288" s="4" t="inlineStr">
        <is>
          <t>複数回答</t>
        </is>
      </c>
    </row>
    <row r="289" ht="28" customHeight="1">
      <c r="A289" s="4" t="inlineStr">
        <is>
          <t>問27-3</t>
        </is>
      </c>
      <c r="B289" s="5" t="inlineStr">
        <is>
          <t>今後3年間で利用したい、または利用を続けたいサービスを選んでください（あてはまるものすべて）</t>
        </is>
      </c>
      <c r="C289" s="5" t="inlineStr">
        <is>
          <t>訪問入浴</t>
        </is>
      </c>
      <c r="D289" s="30" t="n">
        <v>0</v>
      </c>
      <c r="E289" s="20">
        <f>IF($F289=0,0,D289/$F289)</f>
        <v>0</v>
      </c>
      <c r="F289" s="19">
        <f>$F$272</f>
        <v>40</v>
      </c>
      <c r="G289" s="4" t="inlineStr">
        <is>
          <t>複数回答</t>
        </is>
      </c>
    </row>
    <row r="290" ht="28" customHeight="1">
      <c r="A290" s="4" t="inlineStr">
        <is>
          <t>問27-3</t>
        </is>
      </c>
      <c r="B290" s="5" t="inlineStr">
        <is>
          <t>今後3年間で利用したい、または利用を続けたいサービスを選んでください（あてはまるものすべて）</t>
        </is>
      </c>
      <c r="C290" s="5" t="inlineStr">
        <is>
          <t>利用したいサービスは特にない</t>
        </is>
      </c>
      <c r="D290" s="30" t="n">
        <v>12</v>
      </c>
      <c r="E290" s="20">
        <f>IF($F290=0,0,D290/$F290)</f>
        <v>0.3</v>
      </c>
      <c r="F290" s="19">
        <f>$F$272</f>
        <v>40</v>
      </c>
      <c r="G290" s="4" t="inlineStr">
        <is>
          <t>複数回答</t>
        </is>
      </c>
    </row>
    <row r="291" ht="28" customHeight="1">
      <c r="A291" s="4" t="inlineStr">
        <is>
          <t>問27-3</t>
        </is>
      </c>
      <c r="B291" s="5" t="inlineStr">
        <is>
          <t>今後3年間で利用したい、または利用を続けたいサービスを選んでください（あてはまるものすべて）</t>
        </is>
      </c>
      <c r="C291" s="5" t="inlineStr">
        <is>
          <t>無回答</t>
        </is>
      </c>
      <c r="D291" s="30" t="n">
        <v>10</v>
      </c>
      <c r="E291" s="20">
        <f>IF($F291=0,0,D291/$F291)</f>
        <v>0.25</v>
      </c>
      <c r="F291" s="19">
        <f>$F$272</f>
        <v>40</v>
      </c>
      <c r="G291" s="4" t="inlineStr">
        <is>
          <t>複数回答</t>
        </is>
      </c>
    </row>
    <row r="292" ht="28" customHeight="1">
      <c r="A292" s="4" t="inlineStr">
        <is>
          <t>問28</t>
        </is>
      </c>
      <c r="B292" s="5" t="inlineStr">
        <is>
          <t>サービスを利用したいが利用できない理由は何ですか（あてはまるものすべて）</t>
        </is>
      </c>
      <c r="C292" s="5" t="inlineStr">
        <is>
          <t>近くに事業所がない</t>
        </is>
      </c>
      <c r="D292" s="30" t="n">
        <v>4</v>
      </c>
      <c r="E292" s="20">
        <f>IF($F292=0,0,D292/$F292)</f>
        <v>0.1</v>
      </c>
      <c r="F292" s="30" t="n">
        <v>40</v>
      </c>
      <c r="G292" s="4" t="inlineStr">
        <is>
          <t>複数回答</t>
        </is>
      </c>
    </row>
    <row r="293" ht="28" customHeight="1">
      <c r="A293" s="4" t="inlineStr">
        <is>
          <t>問28</t>
        </is>
      </c>
      <c r="B293" s="5" t="inlineStr">
        <is>
          <t>サービスを利用したいが利用できない理由は何ですか（あてはまるものすべて）</t>
        </is>
      </c>
      <c r="C293" s="5" t="inlineStr">
        <is>
          <t>空きがない</t>
        </is>
      </c>
      <c r="D293" s="30" t="n">
        <v>1</v>
      </c>
      <c r="E293" s="20">
        <f>IF($F293=0,0,D293/$F293)</f>
        <v>0.025</v>
      </c>
      <c r="F293" s="19">
        <f>$F$292</f>
        <v>40</v>
      </c>
      <c r="G293" s="4" t="inlineStr">
        <is>
          <t>複数回答</t>
        </is>
      </c>
    </row>
    <row r="294" ht="28" customHeight="1">
      <c r="A294" s="4" t="inlineStr">
        <is>
          <t>問28</t>
        </is>
      </c>
      <c r="B294" s="5" t="inlineStr">
        <is>
          <t>サービスを利用したいが利用できない理由は何ですか（あてはまるものすべて）</t>
        </is>
      </c>
      <c r="C294" s="5" t="inlineStr">
        <is>
          <t>送迎がない</t>
        </is>
      </c>
      <c r="D294" s="30" t="n">
        <v>1</v>
      </c>
      <c r="E294" s="20">
        <f>IF($F294=0,0,D294/$F294)</f>
        <v>0.025</v>
      </c>
      <c r="F294" s="19">
        <f>$F$292</f>
        <v>40</v>
      </c>
      <c r="G294" s="4" t="inlineStr">
        <is>
          <t>複数回答</t>
        </is>
      </c>
    </row>
    <row r="295" ht="28" customHeight="1">
      <c r="A295" s="4" t="inlineStr">
        <is>
          <t>問28</t>
        </is>
      </c>
      <c r="B295" s="5" t="inlineStr">
        <is>
          <t>サービスを利用したいが利用できない理由は何ですか（あてはまるものすべて）</t>
        </is>
      </c>
      <c r="C295" s="5" t="inlineStr">
        <is>
          <t>利用方法がわからない</t>
        </is>
      </c>
      <c r="D295" s="30" t="n">
        <v>4</v>
      </c>
      <c r="E295" s="20">
        <f>IF($F295=0,0,D295/$F295)</f>
        <v>0.1</v>
      </c>
      <c r="F295" s="19">
        <f>$F$292</f>
        <v>40</v>
      </c>
      <c r="G295" s="4" t="inlineStr">
        <is>
          <t>複数回答</t>
        </is>
      </c>
    </row>
    <row r="296" ht="28" customHeight="1">
      <c r="A296" s="4" t="inlineStr">
        <is>
          <t>問28</t>
        </is>
      </c>
      <c r="B296" s="5" t="inlineStr">
        <is>
          <t>サービスを利用したいが利用できない理由は何ですか（あてはまるものすべて）</t>
        </is>
      </c>
      <c r="C296" s="5" t="inlineStr">
        <is>
          <t>費用が心配</t>
        </is>
      </c>
      <c r="D296" s="30" t="n">
        <v>5</v>
      </c>
      <c r="E296" s="20">
        <f>IF($F296=0,0,D296/$F296)</f>
        <v>0.125</v>
      </c>
      <c r="F296" s="19">
        <f>$F$292</f>
        <v>40</v>
      </c>
      <c r="G296" s="4" t="inlineStr">
        <is>
          <t>複数回答</t>
        </is>
      </c>
    </row>
    <row r="297" ht="28" customHeight="1">
      <c r="A297" s="4" t="inlineStr">
        <is>
          <t>問28</t>
        </is>
      </c>
      <c r="B297" s="5" t="inlineStr">
        <is>
          <t>サービスを利用したいが利用できない理由は何ですか（あてはまるものすべて）</t>
        </is>
      </c>
      <c r="C297" s="5" t="inlineStr">
        <is>
          <t>本人に合うサービスがない</t>
        </is>
      </c>
      <c r="D297" s="30" t="n">
        <v>1</v>
      </c>
      <c r="E297" s="20">
        <f>IF($F297=0,0,D297/$F297)</f>
        <v>0.025</v>
      </c>
      <c r="F297" s="19">
        <f>$F$292</f>
        <v>40</v>
      </c>
      <c r="G297" s="4" t="inlineStr">
        <is>
          <t>複数回答</t>
        </is>
      </c>
    </row>
    <row r="298" ht="28" customHeight="1">
      <c r="A298" s="4" t="inlineStr">
        <is>
          <t>問28</t>
        </is>
      </c>
      <c r="B298" s="5" t="inlineStr">
        <is>
          <t>サービスを利用したいが利用できない理由は何ですか（あてはまるものすべて）</t>
        </is>
      </c>
      <c r="C298" s="5" t="inlineStr">
        <is>
          <t>家族が対応している</t>
        </is>
      </c>
      <c r="D298" s="30" t="n">
        <v>7</v>
      </c>
      <c r="E298" s="20">
        <f>IF($F298=0,0,D298/$F298)</f>
        <v>0.175</v>
      </c>
      <c r="F298" s="19">
        <f>$F$292</f>
        <v>40</v>
      </c>
      <c r="G298" s="4" t="inlineStr">
        <is>
          <t>複数回答</t>
        </is>
      </c>
    </row>
    <row r="299" ht="28" customHeight="1">
      <c r="A299" s="4" t="inlineStr">
        <is>
          <t>問28</t>
        </is>
      </c>
      <c r="B299" s="5" t="inlineStr">
        <is>
          <t>サービスを利用したいが利用できない理由は何ですか（あてはまるものすべて）</t>
        </is>
      </c>
      <c r="C299" s="5" t="inlineStr">
        <is>
          <t>必要性を感じない</t>
        </is>
      </c>
      <c r="D299" s="30" t="n">
        <v>11</v>
      </c>
      <c r="E299" s="20">
        <f>IF($F299=0,0,D299/$F299)</f>
        <v>0.275</v>
      </c>
      <c r="F299" s="19">
        <f>$F$292</f>
        <v>40</v>
      </c>
      <c r="G299" s="4" t="inlineStr">
        <is>
          <t>複数回答</t>
        </is>
      </c>
    </row>
    <row r="300" ht="28" customHeight="1">
      <c r="A300" s="4" t="inlineStr">
        <is>
          <t>問28</t>
        </is>
      </c>
      <c r="B300" s="5" t="inlineStr">
        <is>
          <t>サービスを利用したいが利用できない理由は何ですか（あてはまるものすべて）</t>
        </is>
      </c>
      <c r="C300" s="5" t="inlineStr">
        <is>
          <t>その他</t>
        </is>
      </c>
      <c r="D300" s="30" t="n">
        <v>1</v>
      </c>
      <c r="E300" s="20">
        <f>IF($F300=0,0,D300/$F300)</f>
        <v>0.025</v>
      </c>
      <c r="F300" s="19">
        <f>$F$292</f>
        <v>40</v>
      </c>
      <c r="G300" s="4" t="inlineStr">
        <is>
          <t>複数回答</t>
        </is>
      </c>
    </row>
    <row r="301" ht="28" customHeight="1">
      <c r="A301" s="4" t="inlineStr">
        <is>
          <t>問28</t>
        </is>
      </c>
      <c r="B301" s="5" t="inlineStr">
        <is>
          <t>サービスを利用したいが利用できない理由は何ですか（あてはまるものすべて）</t>
        </is>
      </c>
      <c r="C301" s="5" t="inlineStr">
        <is>
          <t>無回答</t>
        </is>
      </c>
      <c r="D301" s="30" t="n">
        <v>14</v>
      </c>
      <c r="E301" s="20">
        <f>IF($F301=0,0,D301/$F301)</f>
        <v>0.35</v>
      </c>
      <c r="F301" s="19">
        <f>$F$292</f>
        <v>40</v>
      </c>
      <c r="G301" s="4" t="inlineStr">
        <is>
          <t>複数回答</t>
        </is>
      </c>
    </row>
    <row r="302" ht="40.5" customHeight="1">
      <c r="A302" s="4" t="inlineStr">
        <is>
          <t>問29</t>
        </is>
      </c>
      <c r="B302" s="5" t="inlineStr">
        <is>
          <t>緊急時の相談や短期入所など支援を行う地域生活支援拠点について期待する機能は何ですか（あてはまるものすべて）</t>
        </is>
      </c>
      <c r="C302" s="5" t="inlineStr">
        <is>
          <t>緊急時の相談</t>
        </is>
      </c>
      <c r="D302" s="30" t="n">
        <v>13</v>
      </c>
      <c r="E302" s="20">
        <f>IF($F302=0,0,D302/$F302)</f>
        <v>0.325</v>
      </c>
      <c r="F302" s="30" t="n">
        <v>40</v>
      </c>
      <c r="G302" s="4" t="inlineStr">
        <is>
          <t>複数回答</t>
        </is>
      </c>
    </row>
    <row r="303" ht="40.5" customHeight="1">
      <c r="A303" s="4" t="inlineStr">
        <is>
          <t>問29</t>
        </is>
      </c>
      <c r="B303" s="5" t="inlineStr">
        <is>
          <t>緊急時の相談や短期入所など支援を行う地域生活支援拠点について期待する機能は何ですか（あてはまるものすべて）</t>
        </is>
      </c>
      <c r="C303" s="5" t="inlineStr">
        <is>
          <t>緊急時の受入れ</t>
        </is>
      </c>
      <c r="D303" s="30" t="n">
        <v>14</v>
      </c>
      <c r="E303" s="20">
        <f>IF($F303=0,0,D303/$F303)</f>
        <v>0.35</v>
      </c>
      <c r="F303" s="19">
        <f>$F$302</f>
        <v>40</v>
      </c>
      <c r="G303" s="4" t="inlineStr">
        <is>
          <t>複数回答</t>
        </is>
      </c>
    </row>
    <row r="304" ht="40.5" customHeight="1">
      <c r="A304" s="4" t="inlineStr">
        <is>
          <t>問29</t>
        </is>
      </c>
      <c r="B304" s="5" t="inlineStr">
        <is>
          <t>緊急時の相談や短期入所など支援を行う地域生活支援拠点について期待する機能は何ですか（あてはまるものすべて）</t>
        </is>
      </c>
      <c r="C304" s="5" t="inlineStr">
        <is>
          <t>短期入所の確保</t>
        </is>
      </c>
      <c r="D304" s="30" t="n">
        <v>3</v>
      </c>
      <c r="E304" s="20">
        <f>IF($F304=0,0,D304/$F304)</f>
        <v>0.075</v>
      </c>
      <c r="F304" s="19">
        <f>$F$302</f>
        <v>40</v>
      </c>
      <c r="G304" s="4" t="inlineStr">
        <is>
          <t>複数回答</t>
        </is>
      </c>
    </row>
    <row r="305" ht="40.5" customHeight="1">
      <c r="A305" s="4" t="inlineStr">
        <is>
          <t>問29</t>
        </is>
      </c>
      <c r="B305" s="5" t="inlineStr">
        <is>
          <t>緊急時の相談や短期入所など支援を行う地域生活支援拠点について期待する機能は何ですか（あてはまるものすべて）</t>
        </is>
      </c>
      <c r="C305" s="5" t="inlineStr">
        <is>
          <t>一人暮らし・グループホーム体験</t>
        </is>
      </c>
      <c r="D305" s="30" t="n">
        <v>1</v>
      </c>
      <c r="E305" s="20">
        <f>IF($F305=0,0,D305/$F305)</f>
        <v>0.025</v>
      </c>
      <c r="F305" s="19">
        <f>$F$302</f>
        <v>40</v>
      </c>
      <c r="G305" s="4" t="inlineStr">
        <is>
          <t>複数回答</t>
        </is>
      </c>
    </row>
    <row r="306" ht="40.5" customHeight="1">
      <c r="A306" s="4" t="inlineStr">
        <is>
          <t>問29</t>
        </is>
      </c>
      <c r="B306" s="5" t="inlineStr">
        <is>
          <t>緊急時の相談や短期入所など支援を行う地域生活支援拠点について期待する機能は何ですか（あてはまるものすべて）</t>
        </is>
      </c>
      <c r="C306" s="5" t="inlineStr">
        <is>
          <t>専門的人材の確保</t>
        </is>
      </c>
      <c r="D306" s="30" t="n">
        <v>4</v>
      </c>
      <c r="E306" s="20">
        <f>IF($F306=0,0,D306/$F306)</f>
        <v>0.1</v>
      </c>
      <c r="F306" s="19">
        <f>$F$302</f>
        <v>40</v>
      </c>
      <c r="G306" s="4" t="inlineStr">
        <is>
          <t>複数回答</t>
        </is>
      </c>
    </row>
    <row r="307" ht="40.5" customHeight="1">
      <c r="A307" s="4" t="inlineStr">
        <is>
          <t>問29</t>
        </is>
      </c>
      <c r="B307" s="5" t="inlineStr">
        <is>
          <t>緊急時の相談や短期入所など支援を行う地域生活支援拠点について期待する機能は何ですか（あてはまるものすべて）</t>
        </is>
      </c>
      <c r="C307" s="5" t="inlineStr">
        <is>
          <t>地域の事業所との連携</t>
        </is>
      </c>
      <c r="D307" s="30" t="n">
        <v>7</v>
      </c>
      <c r="E307" s="20">
        <f>IF($F307=0,0,D307/$F307)</f>
        <v>0.175</v>
      </c>
      <c r="F307" s="19">
        <f>$F$302</f>
        <v>40</v>
      </c>
      <c r="G307" s="4" t="inlineStr">
        <is>
          <t>複数回答</t>
        </is>
      </c>
    </row>
    <row r="308" ht="40.5" customHeight="1">
      <c r="A308" s="4" t="inlineStr">
        <is>
          <t>問29</t>
        </is>
      </c>
      <c r="B308" s="5" t="inlineStr">
        <is>
          <t>緊急時の相談や短期入所など支援を行う地域生活支援拠点について期待する機能は何ですか（あてはまるものすべて）</t>
        </is>
      </c>
      <c r="C308" s="5" t="inlineStr">
        <is>
          <t>制度を知らない</t>
        </is>
      </c>
      <c r="D308" s="30" t="n">
        <v>7</v>
      </c>
      <c r="E308" s="20">
        <f>IF($F308=0,0,D308/$F308)</f>
        <v>0.175</v>
      </c>
      <c r="F308" s="19">
        <f>$F$302</f>
        <v>40</v>
      </c>
      <c r="G308" s="4" t="inlineStr">
        <is>
          <t>複数回答</t>
        </is>
      </c>
    </row>
    <row r="309" ht="40.5" customHeight="1">
      <c r="A309" s="4" t="inlineStr">
        <is>
          <t>問29</t>
        </is>
      </c>
      <c r="B309" s="5" t="inlineStr">
        <is>
          <t>緊急時の相談や短期入所など支援を行う地域生活支援拠点について期待する機能は何ですか（あてはまるものすべて）</t>
        </is>
      </c>
      <c r="C309" s="5" t="inlineStr">
        <is>
          <t>特にない</t>
        </is>
      </c>
      <c r="D309" s="30" t="n">
        <v>5</v>
      </c>
      <c r="E309" s="20">
        <f>IF($F309=0,0,D309/$F309)</f>
        <v>0.125</v>
      </c>
      <c r="F309" s="19">
        <f>$F$302</f>
        <v>40</v>
      </c>
      <c r="G309" s="4" t="inlineStr">
        <is>
          <t>複数回答</t>
        </is>
      </c>
    </row>
    <row r="310" ht="40.5" customHeight="1">
      <c r="A310" s="4" t="inlineStr">
        <is>
          <t>問29</t>
        </is>
      </c>
      <c r="B310" s="5" t="inlineStr">
        <is>
          <t>緊急時の相談や短期入所など支援を行う地域生活支援拠点について期待する機能は何ですか（あてはまるものすべて）</t>
        </is>
      </c>
      <c r="C310" s="5" t="inlineStr">
        <is>
          <t>その他</t>
        </is>
      </c>
      <c r="D310" s="30" t="n">
        <v>0</v>
      </c>
      <c r="E310" s="20">
        <f>IF($F310=0,0,D310/$F310)</f>
        <v>0</v>
      </c>
      <c r="F310" s="19">
        <f>$F$302</f>
        <v>40</v>
      </c>
      <c r="G310" s="4" t="inlineStr">
        <is>
          <t>複数回答</t>
        </is>
      </c>
    </row>
    <row r="311" ht="40.5" customHeight="1">
      <c r="A311" s="4" t="inlineStr">
        <is>
          <t>問29</t>
        </is>
      </c>
      <c r="B311" s="5" t="inlineStr">
        <is>
          <t>緊急時の相談や短期入所など支援を行う地域生活支援拠点について期待する機能は何ですか（あてはまるものすべて）</t>
        </is>
      </c>
      <c r="C311" s="5" t="inlineStr">
        <is>
          <t>無回答</t>
        </is>
      </c>
      <c r="D311" s="30" t="n">
        <v>8</v>
      </c>
      <c r="E311" s="20">
        <f>IF($F311=0,0,D311/$F311)</f>
        <v>0.2</v>
      </c>
      <c r="F311" s="19">
        <f>$F$302</f>
        <v>40</v>
      </c>
      <c r="G311" s="4" t="inlineStr">
        <is>
          <t>複数回答</t>
        </is>
      </c>
    </row>
    <row r="312" ht="16" customHeight="1">
      <c r="A312" s="4" t="inlineStr">
        <is>
          <t>問30</t>
        </is>
      </c>
      <c r="B312" s="5" t="inlineStr">
        <is>
          <t>今利用している福祉サービスに満足していますか</t>
        </is>
      </c>
      <c r="C312" s="5" t="inlineStr">
        <is>
          <t>満足している</t>
        </is>
      </c>
      <c r="D312" s="30" t="n">
        <v>14</v>
      </c>
      <c r="E312" s="20">
        <f>IF($F312=0,0,D312/$F312)</f>
        <v>0.35</v>
      </c>
      <c r="F312" s="30" t="n">
        <v>40</v>
      </c>
      <c r="G312" s="4" t="inlineStr">
        <is>
          <t>単一回答</t>
        </is>
      </c>
    </row>
    <row r="313" ht="16" customHeight="1">
      <c r="A313" s="4" t="inlineStr">
        <is>
          <t>問30</t>
        </is>
      </c>
      <c r="B313" s="5" t="inlineStr">
        <is>
          <t>今利用している福祉サービスに満足していますか</t>
        </is>
      </c>
      <c r="C313" s="5" t="inlineStr">
        <is>
          <t>適切なサービスがわからない</t>
        </is>
      </c>
      <c r="D313" s="30" t="n">
        <v>3</v>
      </c>
      <c r="E313" s="20">
        <f>IF($F313=0,0,D313/$F313)</f>
        <v>0.075</v>
      </c>
      <c r="F313" s="19">
        <f>$F$312</f>
        <v>40</v>
      </c>
      <c r="G313" s="4" t="inlineStr">
        <is>
          <t>単一回答</t>
        </is>
      </c>
    </row>
    <row r="314" ht="16" customHeight="1">
      <c r="A314" s="4" t="inlineStr">
        <is>
          <t>問30</t>
        </is>
      </c>
      <c r="B314" s="5" t="inlineStr">
        <is>
          <t>今利用している福祉サービスに満足していますか</t>
        </is>
      </c>
      <c r="C314" s="5" t="inlineStr">
        <is>
          <t>サービスの量が足りない</t>
        </is>
      </c>
      <c r="D314" s="30" t="n">
        <v>1</v>
      </c>
      <c r="E314" s="20">
        <f>IF($F314=0,0,D314/$F314)</f>
        <v>0.025</v>
      </c>
      <c r="F314" s="19">
        <f>$F$312</f>
        <v>40</v>
      </c>
      <c r="G314" s="4" t="inlineStr">
        <is>
          <t>単一回答</t>
        </is>
      </c>
    </row>
    <row r="315" ht="16" customHeight="1">
      <c r="A315" s="4" t="inlineStr">
        <is>
          <t>問30</t>
        </is>
      </c>
      <c r="B315" s="5" t="inlineStr">
        <is>
          <t>今利用している福祉サービスに満足していますか</t>
        </is>
      </c>
      <c r="C315" s="5" t="inlineStr">
        <is>
          <t>サービスの質がよくない</t>
        </is>
      </c>
      <c r="D315" s="30" t="n">
        <v>0</v>
      </c>
      <c r="E315" s="20">
        <f>IF($F315=0,0,D315/$F315)</f>
        <v>0</v>
      </c>
      <c r="F315" s="19">
        <f>$F$312</f>
        <v>40</v>
      </c>
      <c r="G315" s="4" t="inlineStr">
        <is>
          <t>単一回答</t>
        </is>
      </c>
    </row>
    <row r="316" ht="16" customHeight="1">
      <c r="A316" s="4" t="inlineStr">
        <is>
          <t>問30</t>
        </is>
      </c>
      <c r="B316" s="5" t="inlineStr">
        <is>
          <t>今利用している福祉サービスに満足していますか</t>
        </is>
      </c>
      <c r="C316" s="5" t="inlineStr">
        <is>
          <t>利用できる事業所が少ない</t>
        </is>
      </c>
      <c r="D316" s="30" t="n">
        <v>1</v>
      </c>
      <c r="E316" s="20">
        <f>IF($F316=0,0,D316/$F316)</f>
        <v>0.025</v>
      </c>
      <c r="F316" s="19">
        <f>$F$312</f>
        <v>40</v>
      </c>
      <c r="G316" s="4" t="inlineStr">
        <is>
          <t>単一回答</t>
        </is>
      </c>
    </row>
    <row r="317" ht="16" customHeight="1">
      <c r="A317" s="4" t="inlineStr">
        <is>
          <t>問30</t>
        </is>
      </c>
      <c r="B317" s="5" t="inlineStr">
        <is>
          <t>今利用している福祉サービスに満足していますか</t>
        </is>
      </c>
      <c r="C317" s="5" t="inlineStr">
        <is>
          <t>サービスの使い方がわからない</t>
        </is>
      </c>
      <c r="D317" s="30" t="n">
        <v>3</v>
      </c>
      <c r="E317" s="20">
        <f>IF($F317=0,0,D317/$F317)</f>
        <v>0.075</v>
      </c>
      <c r="F317" s="19">
        <f>$F$312</f>
        <v>40</v>
      </c>
      <c r="G317" s="4" t="inlineStr">
        <is>
          <t>単一回答</t>
        </is>
      </c>
    </row>
    <row r="318" ht="16" customHeight="1">
      <c r="A318" s="4" t="inlineStr">
        <is>
          <t>問30</t>
        </is>
      </c>
      <c r="B318" s="5" t="inlineStr">
        <is>
          <t>今利用している福祉サービスに満足していますか</t>
        </is>
      </c>
      <c r="C318" s="5" t="inlineStr">
        <is>
          <t>利用していない</t>
        </is>
      </c>
      <c r="D318" s="30" t="n">
        <v>12</v>
      </c>
      <c r="E318" s="20">
        <f>IF($F318=0,0,D318/$F318)</f>
        <v>0.3</v>
      </c>
      <c r="F318" s="19">
        <f>$F$312</f>
        <v>40</v>
      </c>
      <c r="G318" s="4" t="inlineStr">
        <is>
          <t>単一回答</t>
        </is>
      </c>
    </row>
    <row r="319" ht="16" customHeight="1">
      <c r="A319" s="4" t="inlineStr">
        <is>
          <t>問30</t>
        </is>
      </c>
      <c r="B319" s="5" t="inlineStr">
        <is>
          <t>今利用している福祉サービスに満足していますか</t>
        </is>
      </c>
      <c r="C319" s="5" t="inlineStr">
        <is>
          <t>無回答</t>
        </is>
      </c>
      <c r="D319" s="30" t="n">
        <v>6</v>
      </c>
      <c r="E319" s="20">
        <f>IF($F319=0,0,D319/$F319)</f>
        <v>0.15</v>
      </c>
      <c r="F319" s="19">
        <f>$F$312</f>
        <v>40</v>
      </c>
      <c r="G319" s="4" t="inlineStr">
        <is>
          <t>単一回答</t>
        </is>
      </c>
    </row>
    <row r="320" ht="16" customHeight="1">
      <c r="A320" s="4" t="inlineStr">
        <is>
          <t>問31</t>
        </is>
      </c>
      <c r="B320" s="5" t="inlineStr">
        <is>
          <t>現在の日中の過ごし方を教えてください</t>
        </is>
      </c>
      <c r="C320" s="5" t="inlineStr">
        <is>
          <t>一般企業等で働いている</t>
        </is>
      </c>
      <c r="D320" s="30" t="n">
        <v>3</v>
      </c>
      <c r="E320" s="20">
        <f>IF($F320=0,0,D320/$F320)</f>
        <v>0.075</v>
      </c>
      <c r="F320" s="30" t="n">
        <v>40</v>
      </c>
      <c r="G320" s="4" t="inlineStr">
        <is>
          <t>単一回答</t>
        </is>
      </c>
    </row>
    <row r="321" ht="16" customHeight="1">
      <c r="A321" s="4" t="inlineStr">
        <is>
          <t>問31</t>
        </is>
      </c>
      <c r="B321" s="5" t="inlineStr">
        <is>
          <t>現在の日中の過ごし方を教えてください</t>
        </is>
      </c>
      <c r="C321" s="5" t="inlineStr">
        <is>
          <t>自営業・農業等をしている</t>
        </is>
      </c>
      <c r="D321" s="30" t="n">
        <v>4</v>
      </c>
      <c r="E321" s="20">
        <f>IF($F321=0,0,D321/$F321)</f>
        <v>0.1</v>
      </c>
      <c r="F321" s="19">
        <f>$F$320</f>
        <v>40</v>
      </c>
      <c r="G321" s="4" t="inlineStr">
        <is>
          <t>単一回答</t>
        </is>
      </c>
    </row>
    <row r="322" ht="16" customHeight="1">
      <c r="A322" s="4" t="inlineStr">
        <is>
          <t>問31</t>
        </is>
      </c>
      <c r="B322" s="5" t="inlineStr">
        <is>
          <t>現在の日中の過ごし方を教えてください</t>
        </is>
      </c>
      <c r="C322" s="5" t="inlineStr">
        <is>
          <t>就労継続支援A型を利用</t>
        </is>
      </c>
      <c r="D322" s="30" t="n">
        <v>0</v>
      </c>
      <c r="E322" s="20">
        <f>IF($F322=0,0,D322/$F322)</f>
        <v>0</v>
      </c>
      <c r="F322" s="19">
        <f>$F$320</f>
        <v>40</v>
      </c>
      <c r="G322" s="4" t="inlineStr">
        <is>
          <t>単一回答</t>
        </is>
      </c>
    </row>
    <row r="323" ht="16" customHeight="1">
      <c r="A323" s="4" t="inlineStr">
        <is>
          <t>問31</t>
        </is>
      </c>
      <c r="B323" s="5" t="inlineStr">
        <is>
          <t>現在の日中の過ごし方を教えてください</t>
        </is>
      </c>
      <c r="C323" s="5" t="inlineStr">
        <is>
          <t>就労継続支援B型を利用</t>
        </is>
      </c>
      <c r="D323" s="30" t="n">
        <v>2</v>
      </c>
      <c r="E323" s="20">
        <f>IF($F323=0,0,D323/$F323)</f>
        <v>0.05</v>
      </c>
      <c r="F323" s="19">
        <f>$F$320</f>
        <v>40</v>
      </c>
      <c r="G323" s="4" t="inlineStr">
        <is>
          <t>単一回答</t>
        </is>
      </c>
    </row>
    <row r="324" ht="16" customHeight="1">
      <c r="A324" s="4" t="inlineStr">
        <is>
          <t>問31</t>
        </is>
      </c>
      <c r="B324" s="5" t="inlineStr">
        <is>
          <t>現在の日中の過ごし方を教えてください</t>
        </is>
      </c>
      <c r="C324" s="5" t="inlineStr">
        <is>
          <t>生活介護を利用</t>
        </is>
      </c>
      <c r="D324" s="30" t="n">
        <v>2</v>
      </c>
      <c r="E324" s="20">
        <f>IF($F324=0,0,D324/$F324)</f>
        <v>0.05</v>
      </c>
      <c r="F324" s="19">
        <f>$F$320</f>
        <v>40</v>
      </c>
      <c r="G324" s="4" t="inlineStr">
        <is>
          <t>単一回答</t>
        </is>
      </c>
    </row>
    <row r="325" ht="16" customHeight="1">
      <c r="A325" s="4" t="inlineStr">
        <is>
          <t>問31</t>
        </is>
      </c>
      <c r="B325" s="5" t="inlineStr">
        <is>
          <t>現在の日中の過ごし方を教えてください</t>
        </is>
      </c>
      <c r="C325" s="5" t="inlineStr">
        <is>
          <t>学校に通っている</t>
        </is>
      </c>
      <c r="D325" s="30" t="n">
        <v>0</v>
      </c>
      <c r="E325" s="20">
        <f>IF($F325=0,0,D325/$F325)</f>
        <v>0</v>
      </c>
      <c r="F325" s="19">
        <f>$F$320</f>
        <v>40</v>
      </c>
      <c r="G325" s="4" t="inlineStr">
        <is>
          <t>単一回答</t>
        </is>
      </c>
    </row>
    <row r="326" ht="16" customHeight="1">
      <c r="A326" s="4" t="inlineStr">
        <is>
          <t>問31</t>
        </is>
      </c>
      <c r="B326" s="5" t="inlineStr">
        <is>
          <t>現在の日中の過ごし方を教えてください</t>
        </is>
      </c>
      <c r="C326" s="5" t="inlineStr">
        <is>
          <t>自宅で過ごすことが多い</t>
        </is>
      </c>
      <c r="D326" s="30" t="n">
        <v>15</v>
      </c>
      <c r="E326" s="20">
        <f>IF($F326=0,0,D326/$F326)</f>
        <v>0.375</v>
      </c>
      <c r="F326" s="19">
        <f>$F$320</f>
        <v>40</v>
      </c>
      <c r="G326" s="4" t="inlineStr">
        <is>
          <t>単一回答</t>
        </is>
      </c>
    </row>
    <row r="327" ht="16" customHeight="1">
      <c r="A327" s="4" t="inlineStr">
        <is>
          <t>問31</t>
        </is>
      </c>
      <c r="B327" s="5" t="inlineStr">
        <is>
          <t>現在の日中の過ごし方を教えてください</t>
        </is>
      </c>
      <c r="C327" s="5" t="inlineStr">
        <is>
          <t>入院・入所中</t>
        </is>
      </c>
      <c r="D327" s="30" t="n">
        <v>5</v>
      </c>
      <c r="E327" s="20">
        <f>IF($F327=0,0,D327/$F327)</f>
        <v>0.125</v>
      </c>
      <c r="F327" s="19">
        <f>$F$320</f>
        <v>40</v>
      </c>
      <c r="G327" s="4" t="inlineStr">
        <is>
          <t>単一回答</t>
        </is>
      </c>
    </row>
    <row r="328" ht="16" customHeight="1">
      <c r="A328" s="4" t="inlineStr">
        <is>
          <t>問31</t>
        </is>
      </c>
      <c r="B328" s="5" t="inlineStr">
        <is>
          <t>現在の日中の過ごし方を教えてください</t>
        </is>
      </c>
      <c r="C328" s="5" t="inlineStr">
        <is>
          <t>その他</t>
        </is>
      </c>
      <c r="D328" s="30" t="n">
        <v>5</v>
      </c>
      <c r="E328" s="20">
        <f>IF($F328=0,0,D328/$F328)</f>
        <v>0.125</v>
      </c>
      <c r="F328" s="19">
        <f>$F$320</f>
        <v>40</v>
      </c>
      <c r="G328" s="4" t="inlineStr">
        <is>
          <t>単一回答</t>
        </is>
      </c>
    </row>
    <row r="329" ht="16" customHeight="1">
      <c r="A329" s="4" t="inlineStr">
        <is>
          <t>問31</t>
        </is>
      </c>
      <c r="B329" s="5" t="inlineStr">
        <is>
          <t>現在の日中の過ごし方を教えてください</t>
        </is>
      </c>
      <c r="C329" s="5" t="inlineStr">
        <is>
          <t>無回答</t>
        </is>
      </c>
      <c r="D329" s="30" t="n">
        <v>4</v>
      </c>
      <c r="E329" s="20">
        <f>IF($F329=0,0,D329/$F329)</f>
        <v>0.1</v>
      </c>
      <c r="F329" s="19">
        <f>$F$320</f>
        <v>40</v>
      </c>
      <c r="G329" s="4" t="inlineStr">
        <is>
          <t>単一回答</t>
        </is>
      </c>
    </row>
    <row r="330" ht="16" customHeight="1">
      <c r="A330" s="4" t="inlineStr">
        <is>
          <t>問32</t>
        </is>
      </c>
      <c r="B330" s="5" t="inlineStr">
        <is>
          <t>今後希望する日中活動・働き方を教えてください</t>
        </is>
      </c>
      <c r="C330" s="5" t="inlineStr">
        <is>
          <t>一般企業等で働きたい</t>
        </is>
      </c>
      <c r="D330" s="30" t="n">
        <v>1</v>
      </c>
      <c r="E330" s="20">
        <f>IF($F330=0,0,D330/$F330)</f>
        <v>0.025</v>
      </c>
      <c r="F330" s="30" t="n">
        <v>40</v>
      </c>
      <c r="G330" s="4" t="inlineStr">
        <is>
          <t>単一回答</t>
        </is>
      </c>
    </row>
    <row r="331" ht="16" customHeight="1">
      <c r="A331" s="4" t="inlineStr">
        <is>
          <t>問32</t>
        </is>
      </c>
      <c r="B331" s="5" t="inlineStr">
        <is>
          <t>今後希望する日中活動・働き方を教えてください</t>
        </is>
      </c>
      <c r="C331" s="5" t="inlineStr">
        <is>
          <t>短時間・体調に合わせて働きたい</t>
        </is>
      </c>
      <c r="D331" s="30" t="n">
        <v>3</v>
      </c>
      <c r="E331" s="20">
        <f>IF($F331=0,0,D331/$F331)</f>
        <v>0.075</v>
      </c>
      <c r="F331" s="19">
        <f>$F$330</f>
        <v>40</v>
      </c>
      <c r="G331" s="4" t="inlineStr">
        <is>
          <t>単一回答</t>
        </is>
      </c>
    </row>
    <row r="332" ht="16" customHeight="1">
      <c r="A332" s="4" t="inlineStr">
        <is>
          <t>問32</t>
        </is>
      </c>
      <c r="B332" s="5" t="inlineStr">
        <is>
          <t>今後希望する日中活動・働き方を教えてください</t>
        </is>
      </c>
      <c r="C332" s="5" t="inlineStr">
        <is>
          <t>就労継続支援A型を利用したい</t>
        </is>
      </c>
      <c r="D332" s="30" t="n">
        <v>0</v>
      </c>
      <c r="E332" s="20">
        <f>IF($F332=0,0,D332/$F332)</f>
        <v>0</v>
      </c>
      <c r="F332" s="19">
        <f>$F$330</f>
        <v>40</v>
      </c>
      <c r="G332" s="4" t="inlineStr">
        <is>
          <t>単一回答</t>
        </is>
      </c>
    </row>
    <row r="333" ht="16" customHeight="1">
      <c r="A333" s="4" t="inlineStr">
        <is>
          <t>問32</t>
        </is>
      </c>
      <c r="B333" s="5" t="inlineStr">
        <is>
          <t>今後希望する日中活動・働き方を教えてください</t>
        </is>
      </c>
      <c r="C333" s="5" t="inlineStr">
        <is>
          <t>就労継続支援B型を利用したい</t>
        </is>
      </c>
      <c r="D333" s="30" t="n">
        <v>1</v>
      </c>
      <c r="E333" s="20">
        <f>IF($F333=0,0,D333/$F333)</f>
        <v>0.025</v>
      </c>
      <c r="F333" s="19">
        <f>$F$330</f>
        <v>40</v>
      </c>
      <c r="G333" s="4" t="inlineStr">
        <is>
          <t>単一回答</t>
        </is>
      </c>
    </row>
    <row r="334" ht="16" customHeight="1">
      <c r="A334" s="4" t="inlineStr">
        <is>
          <t>問32</t>
        </is>
      </c>
      <c r="B334" s="5" t="inlineStr">
        <is>
          <t>今後希望する日中活動・働き方を教えてください</t>
        </is>
      </c>
      <c r="C334" s="5" t="inlineStr">
        <is>
          <t>生活介護を利用したい</t>
        </is>
      </c>
      <c r="D334" s="30" t="n">
        <v>2</v>
      </c>
      <c r="E334" s="20">
        <f>IF($F334=0,0,D334/$F334)</f>
        <v>0.05</v>
      </c>
      <c r="F334" s="19">
        <f>$F$330</f>
        <v>40</v>
      </c>
      <c r="G334" s="4" t="inlineStr">
        <is>
          <t>単一回答</t>
        </is>
      </c>
    </row>
    <row r="335" ht="16" customHeight="1">
      <c r="A335" s="4" t="inlineStr">
        <is>
          <t>問32</t>
        </is>
      </c>
      <c r="B335" s="5" t="inlineStr">
        <is>
          <t>今後希望する日中活動・働き方を教えてください</t>
        </is>
      </c>
      <c r="C335" s="5" t="inlineStr">
        <is>
          <t>訓練を受けたい</t>
        </is>
      </c>
      <c r="D335" s="30" t="n">
        <v>0</v>
      </c>
      <c r="E335" s="20">
        <f>IF($F335=0,0,D335/$F335)</f>
        <v>0</v>
      </c>
      <c r="F335" s="19">
        <f>$F$330</f>
        <v>40</v>
      </c>
      <c r="G335" s="4" t="inlineStr">
        <is>
          <t>単一回答</t>
        </is>
      </c>
    </row>
    <row r="336" ht="16" customHeight="1">
      <c r="A336" s="4" t="inlineStr">
        <is>
          <t>問32</t>
        </is>
      </c>
      <c r="B336" s="5" t="inlineStr">
        <is>
          <t>今後希望する日中活動・働き方を教えてください</t>
        </is>
      </c>
      <c r="C336" s="5" t="inlineStr">
        <is>
          <t>今のままでよい</t>
        </is>
      </c>
      <c r="D336" s="30" t="n">
        <v>22</v>
      </c>
      <c r="E336" s="20">
        <f>IF($F336=0,0,D336/$F336)</f>
        <v>0.55</v>
      </c>
      <c r="F336" s="19">
        <f>$F$330</f>
        <v>40</v>
      </c>
      <c r="G336" s="4" t="inlineStr">
        <is>
          <t>単一回答</t>
        </is>
      </c>
    </row>
    <row r="337" ht="16" customHeight="1">
      <c r="A337" s="4" t="inlineStr">
        <is>
          <t>問32</t>
        </is>
      </c>
      <c r="B337" s="5" t="inlineStr">
        <is>
          <t>今後希望する日中活動・働き方を教えてください</t>
        </is>
      </c>
      <c r="C337" s="5" t="inlineStr">
        <is>
          <t>まだわからない</t>
        </is>
      </c>
      <c r="D337" s="30" t="n">
        <v>3</v>
      </c>
      <c r="E337" s="20">
        <f>IF($F337=0,0,D337/$F337)</f>
        <v>0.075</v>
      </c>
      <c r="F337" s="19">
        <f>$F$330</f>
        <v>40</v>
      </c>
      <c r="G337" s="4" t="inlineStr">
        <is>
          <t>単一回答</t>
        </is>
      </c>
    </row>
    <row r="338" ht="16" customHeight="1">
      <c r="A338" s="4" t="inlineStr">
        <is>
          <t>問32</t>
        </is>
      </c>
      <c r="B338" s="5" t="inlineStr">
        <is>
          <t>今後希望する日中活動・働き方を教えてください</t>
        </is>
      </c>
      <c r="C338" s="5" t="inlineStr">
        <is>
          <t>その他</t>
        </is>
      </c>
      <c r="D338" s="30" t="n">
        <v>2</v>
      </c>
      <c r="E338" s="20">
        <f>IF($F338=0,0,D338/$F338)</f>
        <v>0.05</v>
      </c>
      <c r="F338" s="19">
        <f>$F$330</f>
        <v>40</v>
      </c>
      <c r="G338" s="4" t="inlineStr">
        <is>
          <t>単一回答</t>
        </is>
      </c>
    </row>
    <row r="339" ht="16" customHeight="1">
      <c r="A339" s="4" t="inlineStr">
        <is>
          <t>問32</t>
        </is>
      </c>
      <c r="B339" s="5" t="inlineStr">
        <is>
          <t>今後希望する日中活動・働き方を教えてください</t>
        </is>
      </c>
      <c r="C339" s="5" t="inlineStr">
        <is>
          <t>無回答</t>
        </is>
      </c>
      <c r="D339" s="30" t="n">
        <v>6</v>
      </c>
      <c r="E339" s="20">
        <f>IF($F339=0,0,D339/$F339)</f>
        <v>0.15</v>
      </c>
      <c r="F339" s="19">
        <f>$F$330</f>
        <v>40</v>
      </c>
      <c r="G339" s="4" t="inlineStr">
        <is>
          <t>単一回答</t>
        </is>
      </c>
    </row>
    <row r="340" ht="28" customHeight="1">
      <c r="A340" s="4" t="inlineStr">
        <is>
          <t>問33</t>
        </is>
      </c>
      <c r="B340" s="5" t="inlineStr">
        <is>
          <t>働くため、又は日中活動を続けるために必要な支援は何ですか（あてはまるものすべて）</t>
        </is>
      </c>
      <c r="C340" s="5" t="inlineStr">
        <is>
          <t>職場・作業内容の体験</t>
        </is>
      </c>
      <c r="D340" s="30" t="n">
        <v>4</v>
      </c>
      <c r="E340" s="20">
        <f>IF($F340=0,0,D340/$F340)</f>
        <v>0.1</v>
      </c>
      <c r="F340" s="30" t="n">
        <v>40</v>
      </c>
      <c r="G340" s="4" t="inlineStr">
        <is>
          <t>複数回答</t>
        </is>
      </c>
    </row>
    <row r="341" ht="28" customHeight="1">
      <c r="A341" s="4" t="inlineStr">
        <is>
          <t>問33</t>
        </is>
      </c>
      <c r="B341" s="5" t="inlineStr">
        <is>
          <t>働くため、又は日中活動を続けるために必要な支援は何ですか（あてはまるものすべて）</t>
        </is>
      </c>
      <c r="C341" s="5" t="inlineStr">
        <is>
          <t>就労に向けた相談</t>
        </is>
      </c>
      <c r="D341" s="30" t="n">
        <v>4</v>
      </c>
      <c r="E341" s="20">
        <f>IF($F341=0,0,D341/$F341)</f>
        <v>0.1</v>
      </c>
      <c r="F341" s="19">
        <f>$F$340</f>
        <v>40</v>
      </c>
      <c r="G341" s="4" t="inlineStr">
        <is>
          <t>複数回答</t>
        </is>
      </c>
    </row>
    <row r="342" ht="28" customHeight="1">
      <c r="A342" s="4" t="inlineStr">
        <is>
          <t>問33</t>
        </is>
      </c>
      <c r="B342" s="5" t="inlineStr">
        <is>
          <t>働くため、又は日中活動を続けるために必要な支援は何ですか（あてはまるものすべて）</t>
        </is>
      </c>
      <c r="C342" s="5" t="inlineStr">
        <is>
          <t>通勤・通所の支援</t>
        </is>
      </c>
      <c r="D342" s="30" t="n">
        <v>6</v>
      </c>
      <c r="E342" s="20">
        <f>IF($F342=0,0,D342/$F342)</f>
        <v>0.15</v>
      </c>
      <c r="F342" s="19">
        <f>$F$340</f>
        <v>40</v>
      </c>
      <c r="G342" s="4" t="inlineStr">
        <is>
          <t>複数回答</t>
        </is>
      </c>
    </row>
    <row r="343" ht="28" customHeight="1">
      <c r="A343" s="4" t="inlineStr">
        <is>
          <t>問33</t>
        </is>
      </c>
      <c r="B343" s="5" t="inlineStr">
        <is>
          <t>働くため、又は日中活動を続けるために必要な支援は何ですか（あてはまるものすべて）</t>
        </is>
      </c>
      <c r="C343" s="5" t="inlineStr">
        <is>
          <t>体調に合わせた勤務</t>
        </is>
      </c>
      <c r="D343" s="30" t="n">
        <v>6</v>
      </c>
      <c r="E343" s="20">
        <f>IF($F343=0,0,D343/$F343)</f>
        <v>0.15</v>
      </c>
      <c r="F343" s="19">
        <f>$F$340</f>
        <v>40</v>
      </c>
      <c r="G343" s="4" t="inlineStr">
        <is>
          <t>複数回答</t>
        </is>
      </c>
    </row>
    <row r="344" ht="28" customHeight="1">
      <c r="A344" s="4" t="inlineStr">
        <is>
          <t>問33</t>
        </is>
      </c>
      <c r="B344" s="5" t="inlineStr">
        <is>
          <t>働くため、又は日中活動を続けるために必要な支援は何ですか（あてはまるものすべて）</t>
        </is>
      </c>
      <c r="C344" s="5" t="inlineStr">
        <is>
          <t>職場の障がい理解</t>
        </is>
      </c>
      <c r="D344" s="30" t="n">
        <v>8</v>
      </c>
      <c r="E344" s="20">
        <f>IF($F344=0,0,D344/$F344)</f>
        <v>0.2</v>
      </c>
      <c r="F344" s="19">
        <f>$F$340</f>
        <v>40</v>
      </c>
      <c r="G344" s="4" t="inlineStr">
        <is>
          <t>複数回答</t>
        </is>
      </c>
    </row>
    <row r="345" ht="28" customHeight="1">
      <c r="A345" s="4" t="inlineStr">
        <is>
          <t>問33</t>
        </is>
      </c>
      <c r="B345" s="5" t="inlineStr">
        <is>
          <t>働くため、又は日中活動を続けるために必要な支援は何ですか（あてはまるものすべて）</t>
        </is>
      </c>
      <c r="C345" s="5" t="inlineStr">
        <is>
          <t>仕事後の相談・定着支援</t>
        </is>
      </c>
      <c r="D345" s="30" t="n">
        <v>3</v>
      </c>
      <c r="E345" s="20">
        <f>IF($F345=0,0,D345/$F345)</f>
        <v>0.075</v>
      </c>
      <c r="F345" s="19">
        <f>$F$340</f>
        <v>40</v>
      </c>
      <c r="G345" s="4" t="inlineStr">
        <is>
          <t>複数回答</t>
        </is>
      </c>
    </row>
    <row r="346" ht="28" customHeight="1">
      <c r="A346" s="4" t="inlineStr">
        <is>
          <t>問33</t>
        </is>
      </c>
      <c r="B346" s="5" t="inlineStr">
        <is>
          <t>働くため、又は日中活動を続けるために必要な支援は何ですか（あてはまるものすべて）</t>
        </is>
      </c>
      <c r="C346" s="5" t="inlineStr">
        <is>
          <t>生活リズムの支援</t>
        </is>
      </c>
      <c r="D346" s="30" t="n">
        <v>4</v>
      </c>
      <c r="E346" s="20">
        <f>IF($F346=0,0,D346/$F346)</f>
        <v>0.1</v>
      </c>
      <c r="F346" s="19">
        <f>$F$340</f>
        <v>40</v>
      </c>
      <c r="G346" s="4" t="inlineStr">
        <is>
          <t>複数回答</t>
        </is>
      </c>
    </row>
    <row r="347" ht="28" customHeight="1">
      <c r="A347" s="4" t="inlineStr">
        <is>
          <t>問33</t>
        </is>
      </c>
      <c r="B347" s="5" t="inlineStr">
        <is>
          <t>働くため、又は日中活動を続けるために必要な支援は何ですか（あてはまるものすべて）</t>
        </is>
      </c>
      <c r="C347" s="5" t="inlineStr">
        <is>
          <t>家族への説明</t>
        </is>
      </c>
      <c r="D347" s="30" t="n">
        <v>0</v>
      </c>
      <c r="E347" s="20">
        <f>IF($F347=0,0,D347/$F347)</f>
        <v>0</v>
      </c>
      <c r="F347" s="19">
        <f>$F$340</f>
        <v>40</v>
      </c>
      <c r="G347" s="4" t="inlineStr">
        <is>
          <t>複数回答</t>
        </is>
      </c>
    </row>
    <row r="348" ht="28" customHeight="1">
      <c r="A348" s="4" t="inlineStr">
        <is>
          <t>問33</t>
        </is>
      </c>
      <c r="B348" s="5" t="inlineStr">
        <is>
          <t>働くため、又は日中活動を続けるために必要な支援は何ですか（あてはまるものすべて）</t>
        </is>
      </c>
      <c r="C348" s="5" t="inlineStr">
        <is>
          <t>特にない</t>
        </is>
      </c>
      <c r="D348" s="30" t="n">
        <v>19</v>
      </c>
      <c r="E348" s="20">
        <f>IF($F348=0,0,D348/$F348)</f>
        <v>0.475</v>
      </c>
      <c r="F348" s="19">
        <f>$F$340</f>
        <v>40</v>
      </c>
      <c r="G348" s="4" t="inlineStr">
        <is>
          <t>複数回答</t>
        </is>
      </c>
    </row>
    <row r="349" ht="28" customHeight="1">
      <c r="A349" s="4" t="inlineStr">
        <is>
          <t>問33</t>
        </is>
      </c>
      <c r="B349" s="5" t="inlineStr">
        <is>
          <t>働くため、又は日中活動を続けるために必要な支援は何ですか（あてはまるものすべて）</t>
        </is>
      </c>
      <c r="C349" s="5" t="inlineStr">
        <is>
          <t>その他</t>
        </is>
      </c>
      <c r="D349" s="30" t="n">
        <v>0</v>
      </c>
      <c r="E349" s="20">
        <f>IF($F349=0,0,D349/$F349)</f>
        <v>0</v>
      </c>
      <c r="F349" s="19">
        <f>$F$340</f>
        <v>40</v>
      </c>
      <c r="G349" s="4" t="inlineStr">
        <is>
          <t>複数回答</t>
        </is>
      </c>
    </row>
    <row r="350" ht="28" customHeight="1">
      <c r="A350" s="4" t="inlineStr">
        <is>
          <t>問33</t>
        </is>
      </c>
      <c r="B350" s="5" t="inlineStr">
        <is>
          <t>働くため、又は日中活動を続けるために必要な支援は何ですか（あてはまるものすべて）</t>
        </is>
      </c>
      <c r="C350" s="5" t="inlineStr">
        <is>
          <t>無回答</t>
        </is>
      </c>
      <c r="D350" s="30" t="n">
        <v>8</v>
      </c>
      <c r="E350" s="20">
        <f>IF($F350=0,0,D350/$F350)</f>
        <v>0.2</v>
      </c>
      <c r="F350" s="19">
        <f>$F$340</f>
        <v>40</v>
      </c>
      <c r="G350" s="4" t="inlineStr">
        <is>
          <t>複数回答</t>
        </is>
      </c>
    </row>
    <row r="351" ht="28" customHeight="1">
      <c r="A351" s="4" t="inlineStr">
        <is>
          <t>問34</t>
        </is>
      </c>
      <c r="B351" s="5" t="inlineStr">
        <is>
          <t>障がいがあることで差別や偏見、不利益を感じたことはありますか</t>
        </is>
      </c>
      <c r="C351" s="5" t="inlineStr">
        <is>
          <t>週に１回程度</t>
        </is>
      </c>
      <c r="D351" s="30" t="n">
        <v>3</v>
      </c>
      <c r="E351" s="20">
        <f>IF($F351=0,0,D351/$F351)</f>
        <v>0.075</v>
      </c>
      <c r="F351" s="30" t="n">
        <v>40</v>
      </c>
      <c r="G351" s="4" t="inlineStr">
        <is>
          <t>単一回答</t>
        </is>
      </c>
    </row>
    <row r="352" ht="28" customHeight="1">
      <c r="A352" s="4" t="inlineStr">
        <is>
          <t>問34</t>
        </is>
      </c>
      <c r="B352" s="5" t="inlineStr">
        <is>
          <t>障がいがあることで差別や偏見、不利益を感じたことはありますか</t>
        </is>
      </c>
      <c r="C352" s="5" t="inlineStr">
        <is>
          <t>月に１回程度</t>
        </is>
      </c>
      <c r="D352" s="30" t="n">
        <v>3</v>
      </c>
      <c r="E352" s="20">
        <f>IF($F352=0,0,D352/$F352)</f>
        <v>0.075</v>
      </c>
      <c r="F352" s="19">
        <f>$F$351</f>
        <v>40</v>
      </c>
      <c r="G352" s="4" t="inlineStr">
        <is>
          <t>単一回答</t>
        </is>
      </c>
    </row>
    <row r="353" ht="28" customHeight="1">
      <c r="A353" s="4" t="inlineStr">
        <is>
          <t>問34</t>
        </is>
      </c>
      <c r="B353" s="5" t="inlineStr">
        <is>
          <t>障がいがあることで差別や偏見、不利益を感じたことはありますか</t>
        </is>
      </c>
      <c r="C353" s="5" t="inlineStr">
        <is>
          <t>年に１回程度</t>
        </is>
      </c>
      <c r="D353" s="30" t="n">
        <v>3</v>
      </c>
      <c r="E353" s="20">
        <f>IF($F353=0,0,D353/$F353)</f>
        <v>0.075</v>
      </c>
      <c r="F353" s="19">
        <f>$F$351</f>
        <v>40</v>
      </c>
      <c r="G353" s="4" t="inlineStr">
        <is>
          <t>単一回答</t>
        </is>
      </c>
    </row>
    <row r="354" ht="28" customHeight="1">
      <c r="A354" s="4" t="inlineStr">
        <is>
          <t>問34</t>
        </is>
      </c>
      <c r="B354" s="5" t="inlineStr">
        <is>
          <t>障がいがあることで差別や偏見、不利益を感じたことはありますか</t>
        </is>
      </c>
      <c r="C354" s="5" t="inlineStr">
        <is>
          <t>ない</t>
        </is>
      </c>
      <c r="D354" s="30" t="n">
        <v>13</v>
      </c>
      <c r="E354" s="20">
        <f>IF($F354=0,0,D354/$F354)</f>
        <v>0.325</v>
      </c>
      <c r="F354" s="19">
        <f>$F$351</f>
        <v>40</v>
      </c>
      <c r="G354" s="4" t="inlineStr">
        <is>
          <t>単一回答</t>
        </is>
      </c>
    </row>
    <row r="355" ht="28" customHeight="1">
      <c r="A355" s="4" t="inlineStr">
        <is>
          <t>問34</t>
        </is>
      </c>
      <c r="B355" s="5" t="inlineStr">
        <is>
          <t>障がいがあることで差別や偏見、不利益を感じたことはありますか</t>
        </is>
      </c>
      <c r="C355" s="5" t="inlineStr">
        <is>
          <t>わからない</t>
        </is>
      </c>
      <c r="D355" s="30" t="n">
        <v>11</v>
      </c>
      <c r="E355" s="20">
        <f>IF($F355=0,0,D355/$F355)</f>
        <v>0.275</v>
      </c>
      <c r="F355" s="19">
        <f>$F$351</f>
        <v>40</v>
      </c>
      <c r="G355" s="4" t="inlineStr">
        <is>
          <t>単一回答</t>
        </is>
      </c>
    </row>
    <row r="356" ht="28" customHeight="1">
      <c r="A356" s="4" t="inlineStr">
        <is>
          <t>問34</t>
        </is>
      </c>
      <c r="B356" s="5" t="inlineStr">
        <is>
          <t>障がいがあることで差別や偏見、不利益を感じたことはありますか</t>
        </is>
      </c>
      <c r="C356" s="5" t="inlineStr">
        <is>
          <t>無回答</t>
        </is>
      </c>
      <c r="D356" s="30" t="n">
        <v>7</v>
      </c>
      <c r="E356" s="20">
        <f>IF($F356=0,0,D356/$F356)</f>
        <v>0.175</v>
      </c>
      <c r="F356" s="19">
        <f>$F$351</f>
        <v>40</v>
      </c>
      <c r="G356" s="4" t="inlineStr">
        <is>
          <t>単一回答</t>
        </is>
      </c>
    </row>
    <row r="357" ht="28" customHeight="1">
      <c r="A357" s="4" t="inlineStr">
        <is>
          <t>問35</t>
        </is>
      </c>
      <c r="B357" s="5" t="inlineStr">
        <is>
          <t>差別や偏見、不利益を感じた場面はありますか（あてはまるものすべて）</t>
        </is>
      </c>
      <c r="C357" s="5" t="inlineStr">
        <is>
          <t>学校等</t>
        </is>
      </c>
      <c r="D357" s="30" t="n">
        <v>0</v>
      </c>
      <c r="E357" s="20">
        <f>IF($F357=0,0,D357/$F357)</f>
        <v>0</v>
      </c>
      <c r="F357" s="30" t="n">
        <v>40</v>
      </c>
      <c r="G357" s="4" t="inlineStr">
        <is>
          <t>複数回答</t>
        </is>
      </c>
    </row>
    <row r="358" ht="28" customHeight="1">
      <c r="A358" s="4" t="inlineStr">
        <is>
          <t>問35</t>
        </is>
      </c>
      <c r="B358" s="5" t="inlineStr">
        <is>
          <t>差別や偏見、不利益を感じた場面はありますか（あてはまるものすべて）</t>
        </is>
      </c>
      <c r="C358" s="5" t="inlineStr">
        <is>
          <t>アルバイト先・職場</t>
        </is>
      </c>
      <c r="D358" s="30" t="n">
        <v>4</v>
      </c>
      <c r="E358" s="20">
        <f>IF($F358=0,0,D358/$F358)</f>
        <v>0.1</v>
      </c>
      <c r="F358" s="19">
        <f>$F$357</f>
        <v>40</v>
      </c>
      <c r="G358" s="4" t="inlineStr">
        <is>
          <t>複数回答</t>
        </is>
      </c>
    </row>
    <row r="359" ht="28" customHeight="1">
      <c r="A359" s="4" t="inlineStr">
        <is>
          <t>問35</t>
        </is>
      </c>
      <c r="B359" s="5" t="inlineStr">
        <is>
          <t>差別や偏見、不利益を感じた場面はありますか（あてはまるものすべて）</t>
        </is>
      </c>
      <c r="C359" s="5" t="inlineStr">
        <is>
          <t>医療機関</t>
        </is>
      </c>
      <c r="D359" s="30" t="n">
        <v>2</v>
      </c>
      <c r="E359" s="20">
        <f>IF($F359=0,0,D359/$F359)</f>
        <v>0.05</v>
      </c>
      <c r="F359" s="19">
        <f>$F$357</f>
        <v>40</v>
      </c>
      <c r="G359" s="4" t="inlineStr">
        <is>
          <t>複数回答</t>
        </is>
      </c>
    </row>
    <row r="360" ht="28" customHeight="1">
      <c r="A360" s="4" t="inlineStr">
        <is>
          <t>問35</t>
        </is>
      </c>
      <c r="B360" s="5" t="inlineStr">
        <is>
          <t>差別や偏見、不利益を感じた場面はありますか（あてはまるものすべて）</t>
        </is>
      </c>
      <c r="C360" s="5" t="inlineStr">
        <is>
          <t>福祉サービス事業所</t>
        </is>
      </c>
      <c r="D360" s="30" t="n">
        <v>0</v>
      </c>
      <c r="E360" s="20">
        <f>IF($F360=0,0,D360/$F360)</f>
        <v>0</v>
      </c>
      <c r="F360" s="19">
        <f>$F$357</f>
        <v>40</v>
      </c>
      <c r="G360" s="4" t="inlineStr">
        <is>
          <t>複数回答</t>
        </is>
      </c>
    </row>
    <row r="361" ht="28" customHeight="1">
      <c r="A361" s="4" t="inlineStr">
        <is>
          <t>問35</t>
        </is>
      </c>
      <c r="B361" s="5" t="inlineStr">
        <is>
          <t>差別や偏見、不利益を感じた場面はありますか（あてはまるものすべて）</t>
        </is>
      </c>
      <c r="C361" s="5" t="inlineStr">
        <is>
          <t>役場・公共施設</t>
        </is>
      </c>
      <c r="D361" s="30" t="n">
        <v>0</v>
      </c>
      <c r="E361" s="20">
        <f>IF($F361=0,0,D361/$F361)</f>
        <v>0</v>
      </c>
      <c r="F361" s="19">
        <f>$F$357</f>
        <v>40</v>
      </c>
      <c r="G361" s="4" t="inlineStr">
        <is>
          <t>複数回答</t>
        </is>
      </c>
    </row>
    <row r="362" ht="28" customHeight="1">
      <c r="A362" s="4" t="inlineStr">
        <is>
          <t>問35</t>
        </is>
      </c>
      <c r="B362" s="5" t="inlineStr">
        <is>
          <t>差別や偏見、不利益を感じた場面はありますか（あてはまるものすべて）</t>
        </is>
      </c>
      <c r="C362" s="5" t="inlineStr">
        <is>
          <t>地域活動・行事</t>
        </is>
      </c>
      <c r="D362" s="30" t="n">
        <v>3</v>
      </c>
      <c r="E362" s="20">
        <f>IF($F362=0,0,D362/$F362)</f>
        <v>0.075</v>
      </c>
      <c r="F362" s="19">
        <f>$F$357</f>
        <v>40</v>
      </c>
      <c r="G362" s="4" t="inlineStr">
        <is>
          <t>複数回答</t>
        </is>
      </c>
    </row>
    <row r="363" ht="28" customHeight="1">
      <c r="A363" s="4" t="inlineStr">
        <is>
          <t>問35</t>
        </is>
      </c>
      <c r="B363" s="5" t="inlineStr">
        <is>
          <t>差別や偏見、不利益を感じた場面はありますか（あてはまるものすべて）</t>
        </is>
      </c>
      <c r="C363" s="5" t="inlineStr">
        <is>
          <t>公共交通機関・飲食店・買い物等</t>
        </is>
      </c>
      <c r="D363" s="30" t="n">
        <v>3</v>
      </c>
      <c r="E363" s="20">
        <f>IF($F363=0,0,D363/$F363)</f>
        <v>0.075</v>
      </c>
      <c r="F363" s="19">
        <f>$F$357</f>
        <v>40</v>
      </c>
      <c r="G363" s="4" t="inlineStr">
        <is>
          <t>複数回答</t>
        </is>
      </c>
    </row>
    <row r="364" ht="28" customHeight="1">
      <c r="A364" s="4" t="inlineStr">
        <is>
          <t>問35</t>
        </is>
      </c>
      <c r="B364" s="5" t="inlineStr">
        <is>
          <t>差別や偏見、不利益を感じた場面はありますか（あてはまるものすべて）</t>
        </is>
      </c>
      <c r="C364" s="5" t="inlineStr">
        <is>
          <t>趣味・余暇活動</t>
        </is>
      </c>
      <c r="D364" s="30" t="n">
        <v>2</v>
      </c>
      <c r="E364" s="20">
        <f>IF($F364=0,0,D364/$F364)</f>
        <v>0.05</v>
      </c>
      <c r="F364" s="19">
        <f>$F$357</f>
        <v>40</v>
      </c>
      <c r="G364" s="4" t="inlineStr">
        <is>
          <t>複数回答</t>
        </is>
      </c>
    </row>
    <row r="365" ht="28" customHeight="1">
      <c r="A365" s="4" t="inlineStr">
        <is>
          <t>問35</t>
        </is>
      </c>
      <c r="B365" s="5" t="inlineStr">
        <is>
          <t>差別や偏見、不利益を感じた場面はありますか（あてはまるものすべて）</t>
        </is>
      </c>
      <c r="C365" s="5" t="inlineStr">
        <is>
          <t>インターネット・SNS・AI</t>
        </is>
      </c>
      <c r="D365" s="30" t="n">
        <v>0</v>
      </c>
      <c r="E365" s="20">
        <f>IF($F365=0,0,D365/$F365)</f>
        <v>0</v>
      </c>
      <c r="F365" s="19">
        <f>$F$357</f>
        <v>40</v>
      </c>
      <c r="G365" s="4" t="inlineStr">
        <is>
          <t>複数回答</t>
        </is>
      </c>
    </row>
    <row r="366" ht="28" customHeight="1">
      <c r="A366" s="4" t="inlineStr">
        <is>
          <t>問35</t>
        </is>
      </c>
      <c r="B366" s="5" t="inlineStr">
        <is>
          <t>差別や偏見、不利益を感じた場面はありますか（あてはまるものすべて）</t>
        </is>
      </c>
      <c r="C366" s="5" t="inlineStr">
        <is>
          <t>特にない</t>
        </is>
      </c>
      <c r="D366" s="30" t="n">
        <v>20</v>
      </c>
      <c r="E366" s="20">
        <f>IF($F366=0,0,D366/$F366)</f>
        <v>0.5</v>
      </c>
      <c r="F366" s="19">
        <f>$F$357</f>
        <v>40</v>
      </c>
      <c r="G366" s="4" t="inlineStr">
        <is>
          <t>複数回答</t>
        </is>
      </c>
    </row>
    <row r="367" ht="28" customHeight="1">
      <c r="A367" s="4" t="inlineStr">
        <is>
          <t>問35</t>
        </is>
      </c>
      <c r="B367" s="5" t="inlineStr">
        <is>
          <t>差別や偏見、不利益を感じた場面はありますか（あてはまるものすべて）</t>
        </is>
      </c>
      <c r="C367" s="5" t="inlineStr">
        <is>
          <t>その他</t>
        </is>
      </c>
      <c r="D367" s="30" t="n">
        <v>3</v>
      </c>
      <c r="E367" s="20">
        <f>IF($F367=0,0,D367/$F367)</f>
        <v>0.075</v>
      </c>
      <c r="F367" s="19">
        <f>$F$357</f>
        <v>40</v>
      </c>
      <c r="G367" s="4" t="inlineStr">
        <is>
          <t>複数回答</t>
        </is>
      </c>
    </row>
    <row r="368" ht="28" customHeight="1">
      <c r="A368" s="4" t="inlineStr">
        <is>
          <t>問35</t>
        </is>
      </c>
      <c r="B368" s="5" t="inlineStr">
        <is>
          <t>差別や偏見、不利益を感じた場面はありますか（あてはまるものすべて）</t>
        </is>
      </c>
      <c r="C368" s="5" t="inlineStr">
        <is>
          <t>無回答</t>
        </is>
      </c>
      <c r="D368" s="30" t="n">
        <v>8</v>
      </c>
      <c r="E368" s="20">
        <f>IF($F368=0,0,D368/$F368)</f>
        <v>0.2</v>
      </c>
      <c r="F368" s="19">
        <f>$F$357</f>
        <v>40</v>
      </c>
      <c r="G368" s="4" t="inlineStr">
        <is>
          <t>複数回答</t>
        </is>
      </c>
    </row>
    <row r="369" ht="40.5" customHeight="1">
      <c r="A369" s="4" t="inlineStr">
        <is>
          <t>問36</t>
        </is>
      </c>
      <c r="B369" s="5" t="inlineStr">
        <is>
          <t>障がいのある人が利用しやすくするための配慮（合理的配慮）として必要だと思うことは何ですか（あてはまるものすべて）</t>
        </is>
      </c>
      <c r="C369" s="5" t="inlineStr">
        <is>
          <t>わかりやすい説明</t>
        </is>
      </c>
      <c r="D369" s="30" t="n">
        <v>16</v>
      </c>
      <c r="E369" s="20">
        <f>IF($F369=0,0,D369/$F369)</f>
        <v>0.4</v>
      </c>
      <c r="F369" s="30" t="n">
        <v>40</v>
      </c>
      <c r="G369" s="4" t="inlineStr">
        <is>
          <t>複数回答</t>
        </is>
      </c>
    </row>
    <row r="370" ht="40.5" customHeight="1">
      <c r="A370" s="4" t="inlineStr">
        <is>
          <t>問36</t>
        </is>
      </c>
      <c r="B370" s="5" t="inlineStr">
        <is>
          <t>障がいのある人が利用しやすくするための配慮（合理的配慮）として必要だと思うことは何ですか（あてはまるものすべて）</t>
        </is>
      </c>
      <c r="C370" s="5" t="inlineStr">
        <is>
          <t>筆談・手話・要約筆記・字幕等の意思疎通支援</t>
        </is>
      </c>
      <c r="D370" s="30" t="n">
        <v>9</v>
      </c>
      <c r="E370" s="20">
        <f>IF($F370=0,0,D370/$F370)</f>
        <v>0.225</v>
      </c>
      <c r="F370" s="19">
        <f>$F$369</f>
        <v>40</v>
      </c>
      <c r="G370" s="4" t="inlineStr">
        <is>
          <t>複数回答</t>
        </is>
      </c>
    </row>
    <row r="371" ht="40.5" customHeight="1">
      <c r="A371" s="4" t="inlineStr">
        <is>
          <t>問36</t>
        </is>
      </c>
      <c r="B371" s="5" t="inlineStr">
        <is>
          <t>障がいのある人が利用しやすくするための配慮（合理的配慮）として必要だと思うことは何ですか（あてはまるものすべて）</t>
        </is>
      </c>
      <c r="C371" s="5" t="inlineStr">
        <is>
          <t>静かな場所での相談</t>
        </is>
      </c>
      <c r="D371" s="30" t="n">
        <v>3</v>
      </c>
      <c r="E371" s="20">
        <f>IF($F371=0,0,D371/$F371)</f>
        <v>0.075</v>
      </c>
      <c r="F371" s="19">
        <f>$F$369</f>
        <v>40</v>
      </c>
      <c r="G371" s="4" t="inlineStr">
        <is>
          <t>複数回答</t>
        </is>
      </c>
    </row>
    <row r="372" ht="40.5" customHeight="1">
      <c r="A372" s="4" t="inlineStr">
        <is>
          <t>問36</t>
        </is>
      </c>
      <c r="B372" s="5" t="inlineStr">
        <is>
          <t>障がいのある人が利用しやすくするための配慮（合理的配慮）として必要だと思うことは何ですか（あてはまるものすべて）</t>
        </is>
      </c>
      <c r="C372" s="5" t="inlineStr">
        <is>
          <t>移動しやすい環境</t>
        </is>
      </c>
      <c r="D372" s="30" t="n">
        <v>9</v>
      </c>
      <c r="E372" s="20">
        <f>IF($F372=0,0,D372/$F372)</f>
        <v>0.225</v>
      </c>
      <c r="F372" s="19">
        <f>$F$369</f>
        <v>40</v>
      </c>
      <c r="G372" s="4" t="inlineStr">
        <is>
          <t>複数回答</t>
        </is>
      </c>
    </row>
    <row r="373" ht="40.5" customHeight="1">
      <c r="A373" s="4" t="inlineStr">
        <is>
          <t>問36</t>
        </is>
      </c>
      <c r="B373" s="5" t="inlineStr">
        <is>
          <t>障がいのある人が利用しやすくするための配慮（合理的配慮）として必要だと思うことは何ですか（あてはまるものすべて）</t>
        </is>
      </c>
      <c r="C373" s="5" t="inlineStr">
        <is>
          <t>手続きの支援</t>
        </is>
      </c>
      <c r="D373" s="30" t="n">
        <v>15</v>
      </c>
      <c r="E373" s="20">
        <f>IF($F373=0,0,D373/$F373)</f>
        <v>0.375</v>
      </c>
      <c r="F373" s="19">
        <f>$F$369</f>
        <v>40</v>
      </c>
      <c r="G373" s="4" t="inlineStr">
        <is>
          <t>複数回答</t>
        </is>
      </c>
    </row>
    <row r="374" ht="40.5" customHeight="1">
      <c r="A374" s="4" t="inlineStr">
        <is>
          <t>問36</t>
        </is>
      </c>
      <c r="B374" s="5" t="inlineStr">
        <is>
          <t>障がいのある人が利用しやすくするための配慮（合理的配慮）として必要だと思うことは何ですか（あてはまるものすべて）</t>
        </is>
      </c>
      <c r="C374" s="5" t="inlineStr">
        <is>
          <t>本人の意思確認を丁寧に行うこと</t>
        </is>
      </c>
      <c r="D374" s="30" t="n">
        <v>13</v>
      </c>
      <c r="E374" s="20">
        <f>IF($F374=0,0,D374/$F374)</f>
        <v>0.325</v>
      </c>
      <c r="F374" s="19">
        <f>$F$369</f>
        <v>40</v>
      </c>
      <c r="G374" s="4" t="inlineStr">
        <is>
          <t>複数回答</t>
        </is>
      </c>
    </row>
    <row r="375" ht="40.5" customHeight="1">
      <c r="A375" s="4" t="inlineStr">
        <is>
          <t>問36</t>
        </is>
      </c>
      <c r="B375" s="5" t="inlineStr">
        <is>
          <t>障がいのある人が利用しやすくするための配慮（合理的配慮）として必要だと思うことは何ですか（あてはまるものすべて）</t>
        </is>
      </c>
      <c r="C375" s="5" t="inlineStr">
        <is>
          <t>職場・学校での配慮</t>
        </is>
      </c>
      <c r="D375" s="30" t="n">
        <v>3</v>
      </c>
      <c r="E375" s="20">
        <f>IF($F375=0,0,D375/$F375)</f>
        <v>0.075</v>
      </c>
      <c r="F375" s="19">
        <f>$F$369</f>
        <v>40</v>
      </c>
      <c r="G375" s="4" t="inlineStr">
        <is>
          <t>複数回答</t>
        </is>
      </c>
    </row>
    <row r="376" ht="40.5" customHeight="1">
      <c r="A376" s="4" t="inlineStr">
        <is>
          <t>問36</t>
        </is>
      </c>
      <c r="B376" s="5" t="inlineStr">
        <is>
          <t>障がいのある人が利用しやすくするための配慮（合理的配慮）として必要だと思うことは何ですか（あてはまるものすべて）</t>
        </is>
      </c>
      <c r="C376" s="5" t="inlineStr">
        <is>
          <t>特にない</t>
        </is>
      </c>
      <c r="D376" s="30" t="n">
        <v>7</v>
      </c>
      <c r="E376" s="20">
        <f>IF($F376=0,0,D376/$F376)</f>
        <v>0.175</v>
      </c>
      <c r="F376" s="19">
        <f>$F$369</f>
        <v>40</v>
      </c>
      <c r="G376" s="4" t="inlineStr">
        <is>
          <t>複数回答</t>
        </is>
      </c>
    </row>
    <row r="377" ht="40.5" customHeight="1">
      <c r="A377" s="4" t="inlineStr">
        <is>
          <t>問36</t>
        </is>
      </c>
      <c r="B377" s="5" t="inlineStr">
        <is>
          <t>障がいのある人が利用しやすくするための配慮（合理的配慮）として必要だと思うことは何ですか（あてはまるものすべて）</t>
        </is>
      </c>
      <c r="C377" s="5" t="inlineStr">
        <is>
          <t>その他</t>
        </is>
      </c>
      <c r="D377" s="30" t="n">
        <v>0</v>
      </c>
      <c r="E377" s="20">
        <f>IF($F377=0,0,D377/$F377)</f>
        <v>0</v>
      </c>
      <c r="F377" s="19">
        <f>$F$369</f>
        <v>40</v>
      </c>
      <c r="G377" s="4" t="inlineStr">
        <is>
          <t>複数回答</t>
        </is>
      </c>
    </row>
    <row r="378" ht="40.5" customHeight="1">
      <c r="A378" s="4" t="inlineStr">
        <is>
          <t>問36</t>
        </is>
      </c>
      <c r="B378" s="5" t="inlineStr">
        <is>
          <t>障がいのある人が利用しやすくするための配慮（合理的配慮）として必要だと思うことは何ですか（あてはまるものすべて）</t>
        </is>
      </c>
      <c r="C378" s="5" t="inlineStr">
        <is>
          <t>無回答</t>
        </is>
      </c>
      <c r="D378" s="30" t="n">
        <v>6</v>
      </c>
      <c r="E378" s="20">
        <f>IF($F378=0,0,D378/$F378)</f>
        <v>0.15</v>
      </c>
      <c r="F378" s="19">
        <f>$F$369</f>
        <v>40</v>
      </c>
      <c r="G378" s="4" t="inlineStr">
        <is>
          <t>複数回答</t>
        </is>
      </c>
    </row>
    <row r="379" ht="16" customHeight="1">
      <c r="A379" s="4" t="inlineStr">
        <is>
          <t>問37</t>
        </is>
      </c>
      <c r="B379" s="5" t="inlineStr">
        <is>
          <t>成年後見制度や権利擁護支援について知っていますか</t>
        </is>
      </c>
      <c r="C379" s="5" t="inlineStr">
        <is>
          <t>利用している</t>
        </is>
      </c>
      <c r="D379" s="30" t="n">
        <v>2</v>
      </c>
      <c r="E379" s="20">
        <f>IF($F379=0,0,D379/$F379)</f>
        <v>0.05</v>
      </c>
      <c r="F379" s="30" t="n">
        <v>40</v>
      </c>
      <c r="G379" s="4" t="inlineStr">
        <is>
          <t>単一回答</t>
        </is>
      </c>
    </row>
    <row r="380" ht="16" customHeight="1">
      <c r="A380" s="4" t="inlineStr">
        <is>
          <t>問37</t>
        </is>
      </c>
      <c r="B380" s="5" t="inlineStr">
        <is>
          <t>成年後見制度や権利擁護支援について知っていますか</t>
        </is>
      </c>
      <c r="C380" s="5" t="inlineStr">
        <is>
          <t>知っている</t>
        </is>
      </c>
      <c r="D380" s="30" t="n">
        <v>10</v>
      </c>
      <c r="E380" s="20">
        <f>IF($F380=0,0,D380/$F380)</f>
        <v>0.25</v>
      </c>
      <c r="F380" s="19">
        <f>$F$379</f>
        <v>40</v>
      </c>
      <c r="G380" s="4" t="inlineStr">
        <is>
          <t>単一回答</t>
        </is>
      </c>
    </row>
    <row r="381" ht="16" customHeight="1">
      <c r="A381" s="4" t="inlineStr">
        <is>
          <t>問37</t>
        </is>
      </c>
      <c r="B381" s="5" t="inlineStr">
        <is>
          <t>成年後見制度や権利擁護支援について知っていますか</t>
        </is>
      </c>
      <c r="C381" s="5" t="inlineStr">
        <is>
          <t>名前だけ聞いたことがある</t>
        </is>
      </c>
      <c r="D381" s="30" t="n">
        <v>8</v>
      </c>
      <c r="E381" s="20">
        <f>IF($F381=0,0,D381/$F381)</f>
        <v>0.2</v>
      </c>
      <c r="F381" s="19">
        <f>$F$379</f>
        <v>40</v>
      </c>
      <c r="G381" s="4" t="inlineStr">
        <is>
          <t>単一回答</t>
        </is>
      </c>
    </row>
    <row r="382" ht="16" customHeight="1">
      <c r="A382" s="4" t="inlineStr">
        <is>
          <t>問37</t>
        </is>
      </c>
      <c r="B382" s="5" t="inlineStr">
        <is>
          <t>成年後見制度や権利擁護支援について知っていますか</t>
        </is>
      </c>
      <c r="C382" s="5" t="inlineStr">
        <is>
          <t>利用したいが手続きがわからない</t>
        </is>
      </c>
      <c r="D382" s="30" t="n">
        <v>0</v>
      </c>
      <c r="E382" s="20">
        <f>IF($F382=0,0,D382/$F382)</f>
        <v>0</v>
      </c>
      <c r="F382" s="19">
        <f>$F$379</f>
        <v>40</v>
      </c>
      <c r="G382" s="4" t="inlineStr">
        <is>
          <t>単一回答</t>
        </is>
      </c>
    </row>
    <row r="383" ht="16" customHeight="1">
      <c r="A383" s="4" t="inlineStr">
        <is>
          <t>問37</t>
        </is>
      </c>
      <c r="B383" s="5" t="inlineStr">
        <is>
          <t>成年後見制度や権利擁護支援について知っていますか</t>
        </is>
      </c>
      <c r="C383" s="5" t="inlineStr">
        <is>
          <t>知らない</t>
        </is>
      </c>
      <c r="D383" s="30" t="n">
        <v>15</v>
      </c>
      <c r="E383" s="20">
        <f>IF($F383=0,0,D383/$F383)</f>
        <v>0.375</v>
      </c>
      <c r="F383" s="19">
        <f>$F$379</f>
        <v>40</v>
      </c>
      <c r="G383" s="4" t="inlineStr">
        <is>
          <t>単一回答</t>
        </is>
      </c>
    </row>
    <row r="384" ht="16" customHeight="1">
      <c r="A384" s="4" t="inlineStr">
        <is>
          <t>問37</t>
        </is>
      </c>
      <c r="B384" s="5" t="inlineStr">
        <is>
          <t>成年後見制度や権利擁護支援について知っていますか</t>
        </is>
      </c>
      <c r="C384" s="5" t="inlineStr">
        <is>
          <t>無回答</t>
        </is>
      </c>
      <c r="D384" s="30" t="n">
        <v>5</v>
      </c>
      <c r="E384" s="20">
        <f>IF($F384=0,0,D384/$F384)</f>
        <v>0.125</v>
      </c>
      <c r="F384" s="19">
        <f>$F$379</f>
        <v>40</v>
      </c>
      <c r="G384" s="4" t="inlineStr">
        <is>
          <t>単一回答</t>
        </is>
      </c>
    </row>
    <row r="385" ht="28" customHeight="1">
      <c r="A385" s="4" t="inlineStr">
        <is>
          <t>問38</t>
        </is>
      </c>
      <c r="B385" s="5" t="inlineStr">
        <is>
          <t>災害時に不安なことは何ですか（あてはまるものすべて）</t>
        </is>
      </c>
      <c r="C385" s="5" t="inlineStr">
        <is>
          <t>避難する方法</t>
        </is>
      </c>
      <c r="D385" s="30" t="n">
        <v>15</v>
      </c>
      <c r="E385" s="20">
        <f>IF($F385=0,0,D385/$F385)</f>
        <v>0.375</v>
      </c>
      <c r="F385" s="30" t="n">
        <v>40</v>
      </c>
      <c r="G385" s="4" t="inlineStr">
        <is>
          <t>複数回答</t>
        </is>
      </c>
    </row>
    <row r="386" ht="28" customHeight="1">
      <c r="A386" s="4" t="inlineStr">
        <is>
          <t>問38</t>
        </is>
      </c>
      <c r="B386" s="5" t="inlineStr">
        <is>
          <t>災害時に不安なことは何ですか（あてはまるものすべて）</t>
        </is>
      </c>
      <c r="C386" s="5" t="inlineStr">
        <is>
          <t>避難先での生活</t>
        </is>
      </c>
      <c r="D386" s="30" t="n">
        <v>25</v>
      </c>
      <c r="E386" s="20">
        <f>IF($F386=0,0,D386/$F386)</f>
        <v>0.625</v>
      </c>
      <c r="F386" s="19">
        <f>$F$385</f>
        <v>40</v>
      </c>
      <c r="G386" s="4" t="inlineStr">
        <is>
          <t>複数回答</t>
        </is>
      </c>
    </row>
    <row r="387" ht="28" customHeight="1">
      <c r="A387" s="4" t="inlineStr">
        <is>
          <t>問38</t>
        </is>
      </c>
      <c r="B387" s="5" t="inlineStr">
        <is>
          <t>災害時に不安なことは何ですか（あてはまるものすべて）</t>
        </is>
      </c>
      <c r="C387" s="5" t="inlineStr">
        <is>
          <t>薬・医療機器</t>
        </is>
      </c>
      <c r="D387" s="30" t="n">
        <v>18</v>
      </c>
      <c r="E387" s="20">
        <f>IF($F387=0,0,D387/$F387)</f>
        <v>0.45</v>
      </c>
      <c r="F387" s="19">
        <f>$F$385</f>
        <v>40</v>
      </c>
      <c r="G387" s="4" t="inlineStr">
        <is>
          <t>複数回答</t>
        </is>
      </c>
    </row>
    <row r="388" ht="28" customHeight="1">
      <c r="A388" s="4" t="inlineStr">
        <is>
          <t>問38</t>
        </is>
      </c>
      <c r="B388" s="5" t="inlineStr">
        <is>
          <t>災害時に不安なことは何ですか（あてはまるものすべて）</t>
        </is>
      </c>
      <c r="C388" s="5" t="inlineStr">
        <is>
          <t>電源の確保</t>
        </is>
      </c>
      <c r="D388" s="30" t="n">
        <v>6</v>
      </c>
      <c r="E388" s="20">
        <f>IF($F388=0,0,D388/$F388)</f>
        <v>0.15</v>
      </c>
      <c r="F388" s="19">
        <f>$F$385</f>
        <v>40</v>
      </c>
      <c r="G388" s="4" t="inlineStr">
        <is>
          <t>複数回答</t>
        </is>
      </c>
    </row>
    <row r="389" ht="28" customHeight="1">
      <c r="A389" s="4" t="inlineStr">
        <is>
          <t>問38</t>
        </is>
      </c>
      <c r="B389" s="5" t="inlineStr">
        <is>
          <t>災害時に不安なことは何ですか（あてはまるものすべて）</t>
        </is>
      </c>
      <c r="C389" s="5" t="inlineStr">
        <is>
          <t>介助者がいないこと</t>
        </is>
      </c>
      <c r="D389" s="30" t="n">
        <v>3</v>
      </c>
      <c r="E389" s="20">
        <f>IF($F389=0,0,D389/$F389)</f>
        <v>0.075</v>
      </c>
      <c r="F389" s="19">
        <f>$F$385</f>
        <v>40</v>
      </c>
      <c r="G389" s="4" t="inlineStr">
        <is>
          <t>複数回答</t>
        </is>
      </c>
    </row>
    <row r="390" ht="28" customHeight="1">
      <c r="A390" s="4" t="inlineStr">
        <is>
          <t>問38</t>
        </is>
      </c>
      <c r="B390" s="5" t="inlineStr">
        <is>
          <t>災害時に不安なことは何ですか（あてはまるものすべて）</t>
        </is>
      </c>
      <c r="C390" s="5" t="inlineStr">
        <is>
          <t>情報が届かないこと</t>
        </is>
      </c>
      <c r="D390" s="30" t="n">
        <v>5</v>
      </c>
      <c r="E390" s="20">
        <f>IF($F390=0,0,D390/$F390)</f>
        <v>0.125</v>
      </c>
      <c r="F390" s="19">
        <f>$F$385</f>
        <v>40</v>
      </c>
      <c r="G390" s="4" t="inlineStr">
        <is>
          <t>複数回答</t>
        </is>
      </c>
    </row>
    <row r="391" ht="28" customHeight="1">
      <c r="A391" s="4" t="inlineStr">
        <is>
          <t>問38</t>
        </is>
      </c>
      <c r="B391" s="5" t="inlineStr">
        <is>
          <t>災害時に不安なことは何ですか（あてはまるものすべて）</t>
        </is>
      </c>
      <c r="C391" s="5" t="inlineStr">
        <is>
          <t>冬季・積雪時の避難</t>
        </is>
      </c>
      <c r="D391" s="30" t="n">
        <v>17</v>
      </c>
      <c r="E391" s="20">
        <f>IF($F391=0,0,D391/$F391)</f>
        <v>0.425</v>
      </c>
      <c r="F391" s="19">
        <f>$F$385</f>
        <v>40</v>
      </c>
      <c r="G391" s="4" t="inlineStr">
        <is>
          <t>複数回答</t>
        </is>
      </c>
    </row>
    <row r="392" ht="28" customHeight="1">
      <c r="A392" s="4" t="inlineStr">
        <is>
          <t>問38</t>
        </is>
      </c>
      <c r="B392" s="5" t="inlineStr">
        <is>
          <t>災害時に不安なことは何ですか（あてはまるものすべて）</t>
        </is>
      </c>
      <c r="C392" s="5" t="inlineStr">
        <is>
          <t>ペット・補助犬等</t>
        </is>
      </c>
      <c r="D392" s="30" t="n">
        <v>0</v>
      </c>
      <c r="E392" s="20">
        <f>IF($F392=0,0,D392/$F392)</f>
        <v>0</v>
      </c>
      <c r="F392" s="19">
        <f>$F$385</f>
        <v>40</v>
      </c>
      <c r="G392" s="4" t="inlineStr">
        <is>
          <t>複数回答</t>
        </is>
      </c>
    </row>
    <row r="393" ht="28" customHeight="1">
      <c r="A393" s="4" t="inlineStr">
        <is>
          <t>問38</t>
        </is>
      </c>
      <c r="B393" s="5" t="inlineStr">
        <is>
          <t>災害時に不安なことは何ですか（あてはまるものすべて）</t>
        </is>
      </c>
      <c r="C393" s="5" t="inlineStr">
        <is>
          <t>特に不安はない</t>
        </is>
      </c>
      <c r="D393" s="30" t="n">
        <v>3</v>
      </c>
      <c r="E393" s="20">
        <f>IF($F393=0,0,D393/$F393)</f>
        <v>0.075</v>
      </c>
      <c r="F393" s="19">
        <f>$F$385</f>
        <v>40</v>
      </c>
      <c r="G393" s="4" t="inlineStr">
        <is>
          <t>複数回答</t>
        </is>
      </c>
    </row>
    <row r="394" ht="28" customHeight="1">
      <c r="A394" s="4" t="inlineStr">
        <is>
          <t>問38</t>
        </is>
      </c>
      <c r="B394" s="5" t="inlineStr">
        <is>
          <t>災害時に不安なことは何ですか（あてはまるものすべて）</t>
        </is>
      </c>
      <c r="C394" s="5" t="inlineStr">
        <is>
          <t>その他</t>
        </is>
      </c>
      <c r="D394" s="30" t="n">
        <v>0</v>
      </c>
      <c r="E394" s="20">
        <f>IF($F394=0,0,D394/$F394)</f>
        <v>0</v>
      </c>
      <c r="F394" s="19">
        <f>$F$385</f>
        <v>40</v>
      </c>
      <c r="G394" s="4" t="inlineStr">
        <is>
          <t>複数回答</t>
        </is>
      </c>
    </row>
    <row r="395" ht="28" customHeight="1">
      <c r="A395" s="4" t="inlineStr">
        <is>
          <t>問38</t>
        </is>
      </c>
      <c r="B395" s="5" t="inlineStr">
        <is>
          <t>災害時に不安なことは何ですか（あてはまるものすべて）</t>
        </is>
      </c>
      <c r="C395" s="5" t="inlineStr">
        <is>
          <t>無回答</t>
        </is>
      </c>
      <c r="D395" s="30" t="n">
        <v>4</v>
      </c>
      <c r="E395" s="20">
        <f>IF($F395=0,0,D395/$F395)</f>
        <v>0.1</v>
      </c>
      <c r="F395" s="19">
        <f>$F$385</f>
        <v>40</v>
      </c>
      <c r="G395" s="4" t="inlineStr">
        <is>
          <t>複数回答</t>
        </is>
      </c>
    </row>
    <row r="396" ht="28" customHeight="1">
      <c r="A396" s="4" t="inlineStr">
        <is>
          <t>問39</t>
        </is>
      </c>
      <c r="B396" s="5" t="inlineStr">
        <is>
          <t>避難行動要支援者名簿や個別避難計画について知っていますか</t>
        </is>
      </c>
      <c r="C396" s="5" t="inlineStr">
        <is>
          <t>制度を知っており作成したい</t>
        </is>
      </c>
      <c r="D396" s="30" t="n">
        <v>2</v>
      </c>
      <c r="E396" s="20">
        <f>IF($F396=0,0,D396/$F396)</f>
        <v>0.05</v>
      </c>
      <c r="F396" s="30" t="n">
        <v>40</v>
      </c>
      <c r="G396" s="4" t="inlineStr">
        <is>
          <t>単一回答</t>
        </is>
      </c>
    </row>
    <row r="397" ht="28" customHeight="1">
      <c r="A397" s="4" t="inlineStr">
        <is>
          <t>問39</t>
        </is>
      </c>
      <c r="B397" s="5" t="inlineStr">
        <is>
          <t>避難行動要支援者名簿や個別避難計画について知っていますか</t>
        </is>
      </c>
      <c r="C397" s="5" t="inlineStr">
        <is>
          <t>名前だけ聞いたことがある</t>
        </is>
      </c>
      <c r="D397" s="30" t="n">
        <v>5</v>
      </c>
      <c r="E397" s="20">
        <f>IF($F397=0,0,D397/$F397)</f>
        <v>0.125</v>
      </c>
      <c r="F397" s="19">
        <f>$F$396</f>
        <v>40</v>
      </c>
      <c r="G397" s="4" t="inlineStr">
        <is>
          <t>単一回答</t>
        </is>
      </c>
    </row>
    <row r="398" ht="28" customHeight="1">
      <c r="A398" s="4" t="inlineStr">
        <is>
          <t>問39</t>
        </is>
      </c>
      <c r="B398" s="5" t="inlineStr">
        <is>
          <t>避難行動要支援者名簿や個別避難計画について知っていますか</t>
        </is>
      </c>
      <c r="C398" s="5" t="inlineStr">
        <is>
          <t>知らない</t>
        </is>
      </c>
      <c r="D398" s="30" t="n">
        <v>28</v>
      </c>
      <c r="E398" s="20">
        <f>IF($F398=0,0,D398/$F398)</f>
        <v>0.7</v>
      </c>
      <c r="F398" s="19">
        <f>$F$396</f>
        <v>40</v>
      </c>
      <c r="G398" s="4" t="inlineStr">
        <is>
          <t>単一回答</t>
        </is>
      </c>
    </row>
    <row r="399" ht="28" customHeight="1">
      <c r="A399" s="4" t="inlineStr">
        <is>
          <t>問39</t>
        </is>
      </c>
      <c r="B399" s="5" t="inlineStr">
        <is>
          <t>避難行動要支援者名簿や個別避難計画について知っていますか</t>
        </is>
      </c>
      <c r="C399" s="5" t="inlineStr">
        <is>
          <t>必要ない</t>
        </is>
      </c>
      <c r="D399" s="30" t="n">
        <v>1</v>
      </c>
      <c r="E399" s="20">
        <f>IF($F399=0,0,D399/$F399)</f>
        <v>0.025</v>
      </c>
      <c r="F399" s="19">
        <f>$F$396</f>
        <v>40</v>
      </c>
      <c r="G399" s="4" t="inlineStr">
        <is>
          <t>単一回答</t>
        </is>
      </c>
    </row>
    <row r="400" ht="28" customHeight="1">
      <c r="A400" s="4" t="inlineStr">
        <is>
          <t>問39</t>
        </is>
      </c>
      <c r="B400" s="5" t="inlineStr">
        <is>
          <t>避難行動要支援者名簿や個別避難計画について知っていますか</t>
        </is>
      </c>
      <c r="C400" s="5" t="inlineStr">
        <is>
          <t>無回答</t>
        </is>
      </c>
      <c r="D400" s="30" t="n">
        <v>4</v>
      </c>
      <c r="E400" s="20">
        <f>IF($F400=0,0,D400/$F400)</f>
        <v>0.1</v>
      </c>
      <c r="F400" s="19">
        <f>$F$396</f>
        <v>40</v>
      </c>
      <c r="G400" s="4" t="inlineStr">
        <is>
          <t>単一回答</t>
        </is>
      </c>
    </row>
    <row r="401" ht="28" customHeight="1">
      <c r="A401" s="4" t="inlineStr">
        <is>
          <t>問40</t>
        </is>
      </c>
      <c r="B401" s="5" t="inlineStr">
        <is>
          <t>災害時に支援してくれる人や機関はありますか（あてはまるものすべて）</t>
        </is>
      </c>
      <c r="C401" s="5" t="inlineStr">
        <is>
          <t>同居家族</t>
        </is>
      </c>
      <c r="D401" s="30" t="n">
        <v>25</v>
      </c>
      <c r="E401" s="20">
        <f>IF($F401=0,0,D401/$F401)</f>
        <v>0.625</v>
      </c>
      <c r="F401" s="30" t="n">
        <v>40</v>
      </c>
      <c r="G401" s="4" t="inlineStr">
        <is>
          <t>複数回答</t>
        </is>
      </c>
    </row>
    <row r="402" ht="28" customHeight="1">
      <c r="A402" s="4" t="inlineStr">
        <is>
          <t>問40</t>
        </is>
      </c>
      <c r="B402" s="5" t="inlineStr">
        <is>
          <t>災害時に支援してくれる人や機関はありますか（あてはまるものすべて）</t>
        </is>
      </c>
      <c r="C402" s="5" t="inlineStr">
        <is>
          <t>別居家族・親族</t>
        </is>
      </c>
      <c r="D402" s="30" t="n">
        <v>10</v>
      </c>
      <c r="E402" s="20">
        <f>IF($F402=0,0,D402/$F402)</f>
        <v>0.25</v>
      </c>
      <c r="F402" s="19">
        <f>$F$401</f>
        <v>40</v>
      </c>
      <c r="G402" s="4" t="inlineStr">
        <is>
          <t>複数回答</t>
        </is>
      </c>
    </row>
    <row r="403" ht="28" customHeight="1">
      <c r="A403" s="4" t="inlineStr">
        <is>
          <t>問40</t>
        </is>
      </c>
      <c r="B403" s="5" t="inlineStr">
        <is>
          <t>災害時に支援してくれる人や機関はありますか（あてはまるものすべて）</t>
        </is>
      </c>
      <c r="C403" s="5" t="inlineStr">
        <is>
          <t>近所の人</t>
        </is>
      </c>
      <c r="D403" s="30" t="n">
        <v>7</v>
      </c>
      <c r="E403" s="20">
        <f>IF($F403=0,0,D403/$F403)</f>
        <v>0.175</v>
      </c>
      <c r="F403" s="19">
        <f>$F$401</f>
        <v>40</v>
      </c>
      <c r="G403" s="4" t="inlineStr">
        <is>
          <t>複数回答</t>
        </is>
      </c>
    </row>
    <row r="404" ht="28" customHeight="1">
      <c r="A404" s="4" t="inlineStr">
        <is>
          <t>問40</t>
        </is>
      </c>
      <c r="B404" s="5" t="inlineStr">
        <is>
          <t>災害時に支援してくれる人や機関はありますか（あてはまるものすべて）</t>
        </is>
      </c>
      <c r="C404" s="5" t="inlineStr">
        <is>
          <t>民生委員・児童委員</t>
        </is>
      </c>
      <c r="D404" s="30" t="n">
        <v>4</v>
      </c>
      <c r="E404" s="20">
        <f>IF($F404=0,0,D404/$F404)</f>
        <v>0.1</v>
      </c>
      <c r="F404" s="19">
        <f>$F$401</f>
        <v>40</v>
      </c>
      <c r="G404" s="4" t="inlineStr">
        <is>
          <t>複数回答</t>
        </is>
      </c>
    </row>
    <row r="405" ht="28" customHeight="1">
      <c r="A405" s="4" t="inlineStr">
        <is>
          <t>問40</t>
        </is>
      </c>
      <c r="B405" s="5" t="inlineStr">
        <is>
          <t>災害時に支援してくれる人や機関はありますか（あてはまるものすべて）</t>
        </is>
      </c>
      <c r="C405" s="5" t="inlineStr">
        <is>
          <t>福祉サービス事業所</t>
        </is>
      </c>
      <c r="D405" s="30" t="n">
        <v>6</v>
      </c>
      <c r="E405" s="20">
        <f>IF($F405=0,0,D405/$F405)</f>
        <v>0.15</v>
      </c>
      <c r="F405" s="19">
        <f>$F$401</f>
        <v>40</v>
      </c>
      <c r="G405" s="4" t="inlineStr">
        <is>
          <t>複数回答</t>
        </is>
      </c>
    </row>
    <row r="406" ht="28" customHeight="1">
      <c r="A406" s="4" t="inlineStr">
        <is>
          <t>問40</t>
        </is>
      </c>
      <c r="B406" s="5" t="inlineStr">
        <is>
          <t>災害時に支援してくれる人や機関はありますか（あてはまるものすべて）</t>
        </is>
      </c>
      <c r="C406" s="5" t="inlineStr">
        <is>
          <t>医療機関</t>
        </is>
      </c>
      <c r="D406" s="30" t="n">
        <v>4</v>
      </c>
      <c r="E406" s="20">
        <f>IF($F406=0,0,D406/$F406)</f>
        <v>0.1</v>
      </c>
      <c r="F406" s="19">
        <f>$F$401</f>
        <v>40</v>
      </c>
      <c r="G406" s="4" t="inlineStr">
        <is>
          <t>複数回答</t>
        </is>
      </c>
    </row>
    <row r="407" ht="28" customHeight="1">
      <c r="A407" s="4" t="inlineStr">
        <is>
          <t>問40</t>
        </is>
      </c>
      <c r="B407" s="5" t="inlineStr">
        <is>
          <t>災害時に支援してくれる人や機関はありますか（あてはまるものすべて）</t>
        </is>
      </c>
      <c r="C407" s="5" t="inlineStr">
        <is>
          <t>消防・警察</t>
        </is>
      </c>
      <c r="D407" s="30" t="n">
        <v>4</v>
      </c>
      <c r="E407" s="20">
        <f>IF($F407=0,0,D407/$F407)</f>
        <v>0.1</v>
      </c>
      <c r="F407" s="19">
        <f>$F$401</f>
        <v>40</v>
      </c>
      <c r="G407" s="4" t="inlineStr">
        <is>
          <t>複数回答</t>
        </is>
      </c>
    </row>
    <row r="408" ht="28" customHeight="1">
      <c r="A408" s="4" t="inlineStr">
        <is>
          <t>問40</t>
        </is>
      </c>
      <c r="B408" s="5" t="inlineStr">
        <is>
          <t>災害時に支援してくれる人や機関はありますか（あてはまるものすべて）</t>
        </is>
      </c>
      <c r="C408" s="5" t="inlineStr">
        <is>
          <t>いない・わからない</t>
        </is>
      </c>
      <c r="D408" s="30" t="n">
        <v>1</v>
      </c>
      <c r="E408" s="20">
        <f>IF($F408=0,0,D408/$F408)</f>
        <v>0.025</v>
      </c>
      <c r="F408" s="19">
        <f>$F$401</f>
        <v>40</v>
      </c>
      <c r="G408" s="4" t="inlineStr">
        <is>
          <t>複数回答</t>
        </is>
      </c>
    </row>
    <row r="409" ht="28" customHeight="1">
      <c r="A409" s="4" t="inlineStr">
        <is>
          <t>問40</t>
        </is>
      </c>
      <c r="B409" s="5" t="inlineStr">
        <is>
          <t>災害時に支援してくれる人や機関はありますか（あてはまるものすべて）</t>
        </is>
      </c>
      <c r="C409" s="5" t="inlineStr">
        <is>
          <t>その他</t>
        </is>
      </c>
      <c r="D409" s="30" t="n">
        <v>1</v>
      </c>
      <c r="E409" s="20">
        <f>IF($F409=0,0,D409/$F409)</f>
        <v>0.025</v>
      </c>
      <c r="F409" s="19">
        <f>$F$401</f>
        <v>40</v>
      </c>
      <c r="G409" s="4" t="inlineStr">
        <is>
          <t>複数回答</t>
        </is>
      </c>
    </row>
    <row r="410" ht="28" customHeight="1">
      <c r="A410" s="4" t="inlineStr">
        <is>
          <t>問40</t>
        </is>
      </c>
      <c r="B410" s="5" t="inlineStr">
        <is>
          <t>災害時に支援してくれる人や機関はありますか（あてはまるものすべて）</t>
        </is>
      </c>
      <c r="C410" s="5" t="inlineStr">
        <is>
          <t>無回答</t>
        </is>
      </c>
      <c r="D410" s="30" t="n">
        <v>3</v>
      </c>
      <c r="E410" s="20">
        <f>IF($F410=0,0,D410/$F410)</f>
        <v>0.075</v>
      </c>
      <c r="F410" s="19">
        <f>$F$401</f>
        <v>40</v>
      </c>
      <c r="G410" s="4" t="inlineStr">
        <is>
          <t>複数回答</t>
        </is>
      </c>
    </row>
    <row r="411" ht="28" customHeight="1">
      <c r="A411" s="4" t="inlineStr">
        <is>
          <t>問41</t>
        </is>
      </c>
      <c r="B411" s="5" t="inlineStr">
        <is>
          <t>災害時に必要だと思う支援は何ですか（あてはまるものすべて）</t>
        </is>
      </c>
      <c r="C411" s="5" t="inlineStr">
        <is>
          <t>個別避難計画の作成支援</t>
        </is>
      </c>
      <c r="D411" s="30" t="n">
        <v>6</v>
      </c>
      <c r="E411" s="20">
        <f>IF($F411=0,0,D411/$F411)</f>
        <v>0.15</v>
      </c>
      <c r="F411" s="30" t="n">
        <v>40</v>
      </c>
      <c r="G411" s="4" t="inlineStr">
        <is>
          <t>複数回答</t>
        </is>
      </c>
    </row>
    <row r="412" ht="28" customHeight="1">
      <c r="A412" s="4" t="inlineStr">
        <is>
          <t>問41</t>
        </is>
      </c>
      <c r="B412" s="5" t="inlineStr">
        <is>
          <t>災害時に必要だと思う支援は何ですか（あてはまるものすべて）</t>
        </is>
      </c>
      <c r="C412" s="5" t="inlineStr">
        <is>
          <t>避難訓練への参加支援</t>
        </is>
      </c>
      <c r="D412" s="30" t="n">
        <v>5</v>
      </c>
      <c r="E412" s="20">
        <f>IF($F412=0,0,D412/$F412)</f>
        <v>0.125</v>
      </c>
      <c r="F412" s="19">
        <f>$F$411</f>
        <v>40</v>
      </c>
      <c r="G412" s="4" t="inlineStr">
        <is>
          <t>複数回答</t>
        </is>
      </c>
    </row>
    <row r="413" ht="28" customHeight="1">
      <c r="A413" s="4" t="inlineStr">
        <is>
          <t>問41</t>
        </is>
      </c>
      <c r="B413" s="5" t="inlineStr">
        <is>
          <t>災害時に必要だと思う支援は何ですか（あてはまるものすべて）</t>
        </is>
      </c>
      <c r="C413" s="5" t="inlineStr">
        <is>
          <t>福祉避難所の情報提供</t>
        </is>
      </c>
      <c r="D413" s="30" t="n">
        <v>13</v>
      </c>
      <c r="E413" s="20">
        <f>IF($F413=0,0,D413/$F413)</f>
        <v>0.325</v>
      </c>
      <c r="F413" s="19">
        <f>$F$411</f>
        <v>40</v>
      </c>
      <c r="G413" s="4" t="inlineStr">
        <is>
          <t>複数回答</t>
        </is>
      </c>
    </row>
    <row r="414" ht="28" customHeight="1">
      <c r="A414" s="4" t="inlineStr">
        <is>
          <t>問41</t>
        </is>
      </c>
      <c r="B414" s="5" t="inlineStr">
        <is>
          <t>災害時に必要だと思う支援は何ですか（あてはまるものすべて）</t>
        </is>
      </c>
      <c r="C414" s="5" t="inlineStr">
        <is>
          <t>薬・医療機器・電源の確保</t>
        </is>
      </c>
      <c r="D414" s="30" t="n">
        <v>21</v>
      </c>
      <c r="E414" s="20">
        <f>IF($F414=0,0,D414/$F414)</f>
        <v>0.525</v>
      </c>
      <c r="F414" s="19">
        <f>$F$411</f>
        <v>40</v>
      </c>
      <c r="G414" s="4" t="inlineStr">
        <is>
          <t>複数回答</t>
        </is>
      </c>
    </row>
    <row r="415" ht="28" customHeight="1">
      <c r="A415" s="4" t="inlineStr">
        <is>
          <t>問41</t>
        </is>
      </c>
      <c r="B415" s="5" t="inlineStr">
        <is>
          <t>災害時に必要だと思う支援は何ですか（あてはまるものすべて）</t>
        </is>
      </c>
      <c r="C415" s="5" t="inlineStr">
        <is>
          <t>冬季避難の支援</t>
        </is>
      </c>
      <c r="D415" s="30" t="n">
        <v>12</v>
      </c>
      <c r="E415" s="20">
        <f>IF($F415=0,0,D415/$F415)</f>
        <v>0.3</v>
      </c>
      <c r="F415" s="19">
        <f>$F$411</f>
        <v>40</v>
      </c>
      <c r="G415" s="4" t="inlineStr">
        <is>
          <t>複数回答</t>
        </is>
      </c>
    </row>
    <row r="416" ht="28" customHeight="1">
      <c r="A416" s="4" t="inlineStr">
        <is>
          <t>問41</t>
        </is>
      </c>
      <c r="B416" s="5" t="inlineStr">
        <is>
          <t>災害時に必要だと思う支援は何ですか（あてはまるものすべて）</t>
        </is>
      </c>
      <c r="C416" s="5" t="inlineStr">
        <is>
          <t>安否確認</t>
        </is>
      </c>
      <c r="D416" s="30" t="n">
        <v>13</v>
      </c>
      <c r="E416" s="20">
        <f>IF($F416=0,0,D416/$F416)</f>
        <v>0.325</v>
      </c>
      <c r="F416" s="19">
        <f>$F$411</f>
        <v>40</v>
      </c>
      <c r="G416" s="4" t="inlineStr">
        <is>
          <t>複数回答</t>
        </is>
      </c>
    </row>
    <row r="417" ht="28" customHeight="1">
      <c r="A417" s="4" t="inlineStr">
        <is>
          <t>問41</t>
        </is>
      </c>
      <c r="B417" s="5" t="inlineStr">
        <is>
          <t>災害時に必要だと思う支援は何ですか（あてはまるものすべて）</t>
        </is>
      </c>
      <c r="C417" s="5" t="inlineStr">
        <is>
          <t>避難所での合理的配慮</t>
        </is>
      </c>
      <c r="D417" s="30" t="n">
        <v>12</v>
      </c>
      <c r="E417" s="20">
        <f>IF($F417=0,0,D417/$F417)</f>
        <v>0.3</v>
      </c>
      <c r="F417" s="19">
        <f>$F$411</f>
        <v>40</v>
      </c>
      <c r="G417" s="4" t="inlineStr">
        <is>
          <t>複数回答</t>
        </is>
      </c>
    </row>
    <row r="418" ht="28" customHeight="1">
      <c r="A418" s="4" t="inlineStr">
        <is>
          <t>問41</t>
        </is>
      </c>
      <c r="B418" s="5" t="inlineStr">
        <is>
          <t>災害時に必要だと思う支援は何ですか（あてはまるものすべて）</t>
        </is>
      </c>
      <c r="C418" s="5" t="inlineStr">
        <is>
          <t>文字・掲示・字幕等の目で見てわかる災害情報</t>
        </is>
      </c>
      <c r="D418" s="30" t="n">
        <v>12</v>
      </c>
      <c r="E418" s="20">
        <f>IF($F418=0,0,D418/$F418)</f>
        <v>0.3</v>
      </c>
      <c r="F418" s="19">
        <f>$F$411</f>
        <v>40</v>
      </c>
      <c r="G418" s="4" t="inlineStr">
        <is>
          <t>複数回答</t>
        </is>
      </c>
    </row>
    <row r="419" ht="28" customHeight="1">
      <c r="A419" s="4" t="inlineStr">
        <is>
          <t>問41</t>
        </is>
      </c>
      <c r="B419" s="5" t="inlineStr">
        <is>
          <t>災害時に必要だと思う支援は何ですか（あてはまるものすべて）</t>
        </is>
      </c>
      <c r="C419" s="5" t="inlineStr">
        <is>
          <t>その他</t>
        </is>
      </c>
      <c r="D419" s="30" t="n">
        <v>1</v>
      </c>
      <c r="E419" s="20">
        <f>IF($F419=0,0,D419/$F419)</f>
        <v>0.025</v>
      </c>
      <c r="F419" s="19">
        <f>$F$411</f>
        <v>40</v>
      </c>
      <c r="G419" s="4" t="inlineStr">
        <is>
          <t>複数回答</t>
        </is>
      </c>
    </row>
    <row r="420" ht="28" customHeight="1">
      <c r="A420" s="4" t="inlineStr">
        <is>
          <t>問41</t>
        </is>
      </c>
      <c r="B420" s="5" t="inlineStr">
        <is>
          <t>災害時に必要だと思う支援は何ですか（あてはまるものすべて）</t>
        </is>
      </c>
      <c r="C420" s="5" t="inlineStr">
        <is>
          <t>無回答</t>
        </is>
      </c>
      <c r="D420" s="30" t="n">
        <v>6</v>
      </c>
      <c r="E420" s="20">
        <f>IF($F420=0,0,D420/$F420)</f>
        <v>0.15</v>
      </c>
      <c r="F420" s="19">
        <f>$F$411</f>
        <v>40</v>
      </c>
      <c r="G420" s="4" t="inlineStr">
        <is>
          <t>複数回答</t>
        </is>
      </c>
    </row>
    <row r="421" ht="28" customHeight="1">
      <c r="A421" s="4" t="inlineStr">
        <is>
          <t>問42</t>
        </is>
      </c>
      <c r="B421" s="5" t="inlineStr">
        <is>
          <t>地域活動や社会参加について、今後参加したいものはありますか（あてはまるものすべて）</t>
        </is>
      </c>
      <c r="C421" s="5" t="inlineStr">
        <is>
          <t>趣味・スポーツ</t>
        </is>
      </c>
      <c r="D421" s="30" t="n">
        <v>7</v>
      </c>
      <c r="E421" s="20">
        <f>IF($F421=0,0,D421/$F421)</f>
        <v>0.175</v>
      </c>
      <c r="F421" s="30" t="n">
        <v>40</v>
      </c>
      <c r="G421" s="4" t="inlineStr">
        <is>
          <t>複数回答</t>
        </is>
      </c>
    </row>
    <row r="422" ht="28" customHeight="1">
      <c r="A422" s="4" t="inlineStr">
        <is>
          <t>問42</t>
        </is>
      </c>
      <c r="B422" s="5" t="inlineStr">
        <is>
          <t>地域活動や社会参加について、今後参加したいものはありますか（あてはまるものすべて）</t>
        </is>
      </c>
      <c r="C422" s="5" t="inlineStr">
        <is>
          <t>ボランティア</t>
        </is>
      </c>
      <c r="D422" s="30" t="n">
        <v>3</v>
      </c>
      <c r="E422" s="20">
        <f>IF($F422=0,0,D422/$F422)</f>
        <v>0.075</v>
      </c>
      <c r="F422" s="19">
        <f>$F$421</f>
        <v>40</v>
      </c>
      <c r="G422" s="4" t="inlineStr">
        <is>
          <t>複数回答</t>
        </is>
      </c>
    </row>
    <row r="423" ht="28" customHeight="1">
      <c r="A423" s="4" t="inlineStr">
        <is>
          <t>問42</t>
        </is>
      </c>
      <c r="B423" s="5" t="inlineStr">
        <is>
          <t>地域活動や社会参加について、今後参加したいものはありますか（あてはまるものすべて）</t>
        </is>
      </c>
      <c r="C423" s="5" t="inlineStr">
        <is>
          <t>地域行事</t>
        </is>
      </c>
      <c r="D423" s="30" t="n">
        <v>7</v>
      </c>
      <c r="E423" s="20">
        <f>IF($F423=0,0,D423/$F423)</f>
        <v>0.175</v>
      </c>
      <c r="F423" s="19">
        <f>$F$421</f>
        <v>40</v>
      </c>
      <c r="G423" s="4" t="inlineStr">
        <is>
          <t>複数回答</t>
        </is>
      </c>
    </row>
    <row r="424" ht="28" customHeight="1">
      <c r="A424" s="4" t="inlineStr">
        <is>
          <t>問42</t>
        </is>
      </c>
      <c r="B424" s="5" t="inlineStr">
        <is>
          <t>地域活動や社会参加について、今後参加したいものはありますか（あてはまるものすべて）</t>
        </is>
      </c>
      <c r="C424" s="5" t="inlineStr">
        <is>
          <t>障がい者団体・家族会</t>
        </is>
      </c>
      <c r="D424" s="30" t="n">
        <v>3</v>
      </c>
      <c r="E424" s="20">
        <f>IF($F424=0,0,D424/$F424)</f>
        <v>0.075</v>
      </c>
      <c r="F424" s="19">
        <f>$F$421</f>
        <v>40</v>
      </c>
      <c r="G424" s="4" t="inlineStr">
        <is>
          <t>複数回答</t>
        </is>
      </c>
    </row>
    <row r="425" ht="28" customHeight="1">
      <c r="A425" s="4" t="inlineStr">
        <is>
          <t>問42</t>
        </is>
      </c>
      <c r="B425" s="5" t="inlineStr">
        <is>
          <t>地域活動や社会参加について、今後参加したいものはありますか（あてはまるものすべて）</t>
        </is>
      </c>
      <c r="C425" s="5" t="inlineStr">
        <is>
          <t>就労・地域貢献</t>
        </is>
      </c>
      <c r="D425" s="30" t="n">
        <v>3</v>
      </c>
      <c r="E425" s="20">
        <f>IF($F425=0,0,D425/$F425)</f>
        <v>0.075</v>
      </c>
      <c r="F425" s="19">
        <f>$F$421</f>
        <v>40</v>
      </c>
      <c r="G425" s="4" t="inlineStr">
        <is>
          <t>複数回答</t>
        </is>
      </c>
    </row>
    <row r="426" ht="28" customHeight="1">
      <c r="A426" s="4" t="inlineStr">
        <is>
          <t>問42</t>
        </is>
      </c>
      <c r="B426" s="5" t="inlineStr">
        <is>
          <t>地域活動や社会参加について、今後参加したいものはありますか（あてはまるものすべて）</t>
        </is>
      </c>
      <c r="C426" s="5" t="inlineStr">
        <is>
          <t>学習・講座</t>
        </is>
      </c>
      <c r="D426" s="30" t="n">
        <v>3</v>
      </c>
      <c r="E426" s="20">
        <f>IF($F426=0,0,D426/$F426)</f>
        <v>0.075</v>
      </c>
      <c r="F426" s="19">
        <f>$F$421</f>
        <v>40</v>
      </c>
      <c r="G426" s="4" t="inlineStr">
        <is>
          <t>複数回答</t>
        </is>
      </c>
    </row>
    <row r="427" ht="28" customHeight="1">
      <c r="A427" s="4" t="inlineStr">
        <is>
          <t>問42</t>
        </is>
      </c>
      <c r="B427" s="5" t="inlineStr">
        <is>
          <t>地域活動や社会参加について、今後参加したいものはありますか（あてはまるものすべて）</t>
        </is>
      </c>
      <c r="C427" s="5" t="inlineStr">
        <is>
          <t>オンラインでの交流</t>
        </is>
      </c>
      <c r="D427" s="30" t="n">
        <v>0</v>
      </c>
      <c r="E427" s="20">
        <f>IF($F427=0,0,D427/$F427)</f>
        <v>0</v>
      </c>
      <c r="F427" s="19">
        <f>$F$421</f>
        <v>40</v>
      </c>
      <c r="G427" s="4" t="inlineStr">
        <is>
          <t>複数回答</t>
        </is>
      </c>
    </row>
    <row r="428" ht="28" customHeight="1">
      <c r="A428" s="4" t="inlineStr">
        <is>
          <t>問42</t>
        </is>
      </c>
      <c r="B428" s="5" t="inlineStr">
        <is>
          <t>地域活動や社会参加について、今後参加したいものはありますか（あてはまるものすべて）</t>
        </is>
      </c>
      <c r="C428" s="5" t="inlineStr">
        <is>
          <t>特にない</t>
        </is>
      </c>
      <c r="D428" s="30" t="n">
        <v>20</v>
      </c>
      <c r="E428" s="20">
        <f>IF($F428=0,0,D428/$F428)</f>
        <v>0.5</v>
      </c>
      <c r="F428" s="19">
        <f>$F$421</f>
        <v>40</v>
      </c>
      <c r="G428" s="4" t="inlineStr">
        <is>
          <t>複数回答</t>
        </is>
      </c>
    </row>
    <row r="429" ht="28" customHeight="1">
      <c r="A429" s="4" t="inlineStr">
        <is>
          <t>問42</t>
        </is>
      </c>
      <c r="B429" s="5" t="inlineStr">
        <is>
          <t>地域活動や社会参加について、今後参加したいものはありますか（あてはまるものすべて）</t>
        </is>
      </c>
      <c r="C429" s="5" t="inlineStr">
        <is>
          <t>その他</t>
        </is>
      </c>
      <c r="D429" s="30" t="n">
        <v>0</v>
      </c>
      <c r="E429" s="20">
        <f>IF($F429=0,0,D429/$F429)</f>
        <v>0</v>
      </c>
      <c r="F429" s="19">
        <f>$F$421</f>
        <v>40</v>
      </c>
      <c r="G429" s="4" t="inlineStr">
        <is>
          <t>複数回答</t>
        </is>
      </c>
    </row>
    <row r="430" ht="28" customHeight="1">
      <c r="A430" s="4" t="inlineStr">
        <is>
          <t>問42</t>
        </is>
      </c>
      <c r="B430" s="5" t="inlineStr">
        <is>
          <t>地域活動や社会参加について、今後参加したいものはありますか（あてはまるものすべて）</t>
        </is>
      </c>
      <c r="C430" s="5" t="inlineStr">
        <is>
          <t>無回答</t>
        </is>
      </c>
      <c r="D430" s="30" t="n">
        <v>8</v>
      </c>
      <c r="E430" s="20">
        <f>IF($F430=0,0,D430/$F430)</f>
        <v>0.2</v>
      </c>
      <c r="F430" s="19">
        <f>$F$421</f>
        <v>40</v>
      </c>
      <c r="G430" s="4" t="inlineStr">
        <is>
          <t>複数回答</t>
        </is>
      </c>
    </row>
    <row r="431" ht="28" customHeight="1">
      <c r="A431" s="4" t="inlineStr">
        <is>
          <t>問43</t>
        </is>
      </c>
      <c r="B431" s="5" t="inlineStr">
        <is>
          <t>障がいへの理解を深めるために必要だと思う取組は何ですか（あてはまるものすべて）</t>
        </is>
      </c>
      <c r="C431" s="5" t="inlineStr">
        <is>
          <t>学校での福祉教育</t>
        </is>
      </c>
      <c r="D431" s="30" t="n">
        <v>9</v>
      </c>
      <c r="E431" s="20">
        <f>IF($F431=0,0,D431/$F431)</f>
        <v>0.225</v>
      </c>
      <c r="F431" s="30" t="n">
        <v>40</v>
      </c>
      <c r="G431" s="4" t="inlineStr">
        <is>
          <t>複数回答</t>
        </is>
      </c>
    </row>
    <row r="432" ht="28" customHeight="1">
      <c r="A432" s="4" t="inlineStr">
        <is>
          <t>問43</t>
        </is>
      </c>
      <c r="B432" s="5" t="inlineStr">
        <is>
          <t>障がいへの理解を深めるために必要だと思う取組は何ですか（あてはまるものすべて）</t>
        </is>
      </c>
      <c r="C432" s="5" t="inlineStr">
        <is>
          <t>地域住民向けの講座</t>
        </is>
      </c>
      <c r="D432" s="30" t="n">
        <v>7</v>
      </c>
      <c r="E432" s="20">
        <f>IF($F432=0,0,D432/$F432)</f>
        <v>0.175</v>
      </c>
      <c r="F432" s="19">
        <f>$F$431</f>
        <v>40</v>
      </c>
      <c r="G432" s="4" t="inlineStr">
        <is>
          <t>複数回答</t>
        </is>
      </c>
    </row>
    <row r="433" ht="28" customHeight="1">
      <c r="A433" s="4" t="inlineStr">
        <is>
          <t>問43</t>
        </is>
      </c>
      <c r="B433" s="5" t="inlineStr">
        <is>
          <t>障がいへの理解を深めるために必要だと思う取組は何ですか（あてはまるものすべて）</t>
        </is>
      </c>
      <c r="C433" s="5" t="inlineStr">
        <is>
          <t>事業所・企業への啓発</t>
        </is>
      </c>
      <c r="D433" s="30" t="n">
        <v>5</v>
      </c>
      <c r="E433" s="20">
        <f>IF($F433=0,0,D433/$F433)</f>
        <v>0.125</v>
      </c>
      <c r="F433" s="19">
        <f>$F$431</f>
        <v>40</v>
      </c>
      <c r="G433" s="4" t="inlineStr">
        <is>
          <t>複数回答</t>
        </is>
      </c>
    </row>
    <row r="434" ht="28" customHeight="1">
      <c r="A434" s="4" t="inlineStr">
        <is>
          <t>問43</t>
        </is>
      </c>
      <c r="B434" s="5" t="inlineStr">
        <is>
          <t>障がいへの理解を深めるために必要だと思う取組は何ですか（あてはまるものすべて）</t>
        </is>
      </c>
      <c r="C434" s="5" t="inlineStr">
        <is>
          <t>広報・ホームページでの情報発信</t>
        </is>
      </c>
      <c r="D434" s="30" t="n">
        <v>13</v>
      </c>
      <c r="E434" s="20">
        <f>IF($F434=0,0,D434/$F434)</f>
        <v>0.325</v>
      </c>
      <c r="F434" s="19">
        <f>$F$431</f>
        <v>40</v>
      </c>
      <c r="G434" s="4" t="inlineStr">
        <is>
          <t>複数回答</t>
        </is>
      </c>
    </row>
    <row r="435" ht="28" customHeight="1">
      <c r="A435" s="4" t="inlineStr">
        <is>
          <t>問43</t>
        </is>
      </c>
      <c r="B435" s="5" t="inlineStr">
        <is>
          <t>障がいへの理解を深めるために必要だと思う取組は何ですか（あてはまるものすべて）</t>
        </is>
      </c>
      <c r="C435" s="5" t="inlineStr">
        <is>
          <t>交流の場づくり</t>
        </is>
      </c>
      <c r="D435" s="30" t="n">
        <v>11</v>
      </c>
      <c r="E435" s="20">
        <f>IF($F435=0,0,D435/$F435)</f>
        <v>0.275</v>
      </c>
      <c r="F435" s="19">
        <f>$F$431</f>
        <v>40</v>
      </c>
      <c r="G435" s="4" t="inlineStr">
        <is>
          <t>複数回答</t>
        </is>
      </c>
    </row>
    <row r="436" ht="28" customHeight="1">
      <c r="A436" s="4" t="inlineStr">
        <is>
          <t>問43</t>
        </is>
      </c>
      <c r="B436" s="5" t="inlineStr">
        <is>
          <t>障がいへの理解を深めるために必要だと思う取組は何ですか（あてはまるものすべて）</t>
        </is>
      </c>
      <c r="C436" s="5" t="inlineStr">
        <is>
          <t>障がい当事者の意見発信</t>
        </is>
      </c>
      <c r="D436" s="30" t="n">
        <v>6</v>
      </c>
      <c r="E436" s="20">
        <f>IF($F436=0,0,D436/$F436)</f>
        <v>0.15</v>
      </c>
      <c r="F436" s="19">
        <f>$F$431</f>
        <v>40</v>
      </c>
      <c r="G436" s="4" t="inlineStr">
        <is>
          <t>複数回答</t>
        </is>
      </c>
    </row>
    <row r="437" ht="28" customHeight="1">
      <c r="A437" s="4" t="inlineStr">
        <is>
          <t>問43</t>
        </is>
      </c>
      <c r="B437" s="5" t="inlineStr">
        <is>
          <t>障がいへの理解を深めるために必要だと思う取組は何ですか（あてはまるものすべて）</t>
        </is>
      </c>
      <c r="C437" s="5" t="inlineStr">
        <is>
          <t>特にない</t>
        </is>
      </c>
      <c r="D437" s="30" t="n">
        <v>7</v>
      </c>
      <c r="E437" s="20">
        <f>IF($F437=0,0,D437/$F437)</f>
        <v>0.175</v>
      </c>
      <c r="F437" s="19">
        <f>$F$431</f>
        <v>40</v>
      </c>
      <c r="G437" s="4" t="inlineStr">
        <is>
          <t>複数回答</t>
        </is>
      </c>
    </row>
    <row r="438" ht="28" customHeight="1">
      <c r="A438" s="4" t="inlineStr">
        <is>
          <t>問43</t>
        </is>
      </c>
      <c r="B438" s="5" t="inlineStr">
        <is>
          <t>障がいへの理解を深めるために必要だと思う取組は何ですか（あてはまるものすべて）</t>
        </is>
      </c>
      <c r="C438" s="5" t="inlineStr">
        <is>
          <t>その他</t>
        </is>
      </c>
      <c r="D438" s="30" t="n">
        <v>0</v>
      </c>
      <c r="E438" s="20">
        <f>IF($F438=0,0,D438/$F438)</f>
        <v>0</v>
      </c>
      <c r="F438" s="19">
        <f>$F$431</f>
        <v>40</v>
      </c>
      <c r="G438" s="4" t="inlineStr">
        <is>
          <t>複数回答</t>
        </is>
      </c>
    </row>
    <row r="439" ht="28" customHeight="1">
      <c r="A439" s="4" t="inlineStr">
        <is>
          <t>問43</t>
        </is>
      </c>
      <c r="B439" s="5" t="inlineStr">
        <is>
          <t>障がいへの理解を深めるために必要だと思う取組は何ですか（あてはまるものすべて）</t>
        </is>
      </c>
      <c r="C439" s="5" t="inlineStr">
        <is>
          <t>無回答</t>
        </is>
      </c>
      <c r="D439" s="30" t="n">
        <v>7</v>
      </c>
      <c r="E439" s="20">
        <f>IF($F439=0,0,D439/$F439)</f>
        <v>0.175</v>
      </c>
      <c r="F439" s="19">
        <f>$F$431</f>
        <v>40</v>
      </c>
      <c r="G439" s="4" t="inlineStr">
        <is>
          <t>複数回答</t>
        </is>
      </c>
    </row>
    <row r="440" ht="28" customHeight="1">
      <c r="A440" s="4" t="inlineStr">
        <is>
          <t>問44</t>
        </is>
      </c>
      <c r="B440" s="5" t="inlineStr">
        <is>
          <t>今後、村が特に力を入れるべきことは何ですか（3つまで）</t>
        </is>
      </c>
      <c r="C440" s="5" t="inlineStr">
        <is>
          <t>相談支援体制</t>
        </is>
      </c>
      <c r="D440" s="30" t="n">
        <v>15</v>
      </c>
      <c r="E440" s="20">
        <f>IF($F440=0,0,D440/$F440)</f>
        <v>0.375</v>
      </c>
      <c r="F440" s="30" t="n">
        <v>40</v>
      </c>
      <c r="G440" s="4" t="inlineStr">
        <is>
          <t>複数回答</t>
        </is>
      </c>
    </row>
    <row r="441" ht="28" customHeight="1">
      <c r="A441" s="4" t="inlineStr">
        <is>
          <t>問44</t>
        </is>
      </c>
      <c r="B441" s="5" t="inlineStr">
        <is>
          <t>今後、村が特に力を入れるべきことは何ですか（3つまで）</t>
        </is>
      </c>
      <c r="C441" s="5" t="inlineStr">
        <is>
          <t>在宅生活支援</t>
        </is>
      </c>
      <c r="D441" s="30" t="n">
        <v>10</v>
      </c>
      <c r="E441" s="20">
        <f>IF($F441=0,0,D441/$F441)</f>
        <v>0.25</v>
      </c>
      <c r="F441" s="19">
        <f>$F$440</f>
        <v>40</v>
      </c>
      <c r="G441" s="4" t="inlineStr">
        <is>
          <t>複数回答</t>
        </is>
      </c>
    </row>
    <row r="442" ht="28" customHeight="1">
      <c r="A442" s="4" t="inlineStr">
        <is>
          <t>問44</t>
        </is>
      </c>
      <c r="B442" s="5" t="inlineStr">
        <is>
          <t>今後、村が特に力を入れるべきことは何ですか（3つまで）</t>
        </is>
      </c>
      <c r="C442" s="5" t="inlineStr">
        <is>
          <t>移動支援</t>
        </is>
      </c>
      <c r="D442" s="30" t="n">
        <v>10</v>
      </c>
      <c r="E442" s="20">
        <f>IF($F442=0,0,D442/$F442)</f>
        <v>0.25</v>
      </c>
      <c r="F442" s="19">
        <f>$F$440</f>
        <v>40</v>
      </c>
      <c r="G442" s="4" t="inlineStr">
        <is>
          <t>複数回答</t>
        </is>
      </c>
    </row>
    <row r="443" ht="28" customHeight="1">
      <c r="A443" s="4" t="inlineStr">
        <is>
          <t>問44</t>
        </is>
      </c>
      <c r="B443" s="5" t="inlineStr">
        <is>
          <t>今後、村が特に力を入れるべきことは何ですか（3つまで）</t>
        </is>
      </c>
      <c r="C443" s="5" t="inlineStr">
        <is>
          <t>就労支援</t>
        </is>
      </c>
      <c r="D443" s="30" t="n">
        <v>4</v>
      </c>
      <c r="E443" s="20">
        <f>IF($F443=0,0,D443/$F443)</f>
        <v>0.1</v>
      </c>
      <c r="F443" s="19">
        <f>$F$440</f>
        <v>40</v>
      </c>
      <c r="G443" s="4" t="inlineStr">
        <is>
          <t>複数回答</t>
        </is>
      </c>
    </row>
    <row r="444" ht="28" customHeight="1">
      <c r="A444" s="4" t="inlineStr">
        <is>
          <t>問44</t>
        </is>
      </c>
      <c r="B444" s="5" t="inlineStr">
        <is>
          <t>今後、村が特に力を入れるべきことは何ですか（3つまで）</t>
        </is>
      </c>
      <c r="C444" s="5" t="inlineStr">
        <is>
          <t>災害時支援</t>
        </is>
      </c>
      <c r="D444" s="30" t="n">
        <v>14</v>
      </c>
      <c r="E444" s="20">
        <f>IF($F444=0,0,D444/$F444)</f>
        <v>0.35</v>
      </c>
      <c r="F444" s="19">
        <f>$F$440</f>
        <v>40</v>
      </c>
      <c r="G444" s="4" t="inlineStr">
        <is>
          <t>複数回答</t>
        </is>
      </c>
    </row>
    <row r="445" ht="28" customHeight="1">
      <c r="A445" s="4" t="inlineStr">
        <is>
          <t>問44</t>
        </is>
      </c>
      <c r="B445" s="5" t="inlineStr">
        <is>
          <t>今後、村が特に力を入れるべきことは何ですか（3つまで）</t>
        </is>
      </c>
      <c r="C445" s="5" t="inlineStr">
        <is>
          <t>差別解消・権利擁護</t>
        </is>
      </c>
      <c r="D445" s="30" t="n">
        <v>5</v>
      </c>
      <c r="E445" s="20">
        <f>IF($F445=0,0,D445/$F445)</f>
        <v>0.125</v>
      </c>
      <c r="F445" s="19">
        <f>$F$440</f>
        <v>40</v>
      </c>
      <c r="G445" s="4" t="inlineStr">
        <is>
          <t>複数回答</t>
        </is>
      </c>
    </row>
    <row r="446" ht="28" customHeight="1">
      <c r="A446" s="4" t="inlineStr">
        <is>
          <t>問44</t>
        </is>
      </c>
      <c r="B446" s="5" t="inlineStr">
        <is>
          <t>今後、村が特に力を入れるべきことは何ですか（3つまで）</t>
        </is>
      </c>
      <c r="C446" s="5" t="inlineStr">
        <is>
          <t>家族支援</t>
        </is>
      </c>
      <c r="D446" s="30" t="n">
        <v>9</v>
      </c>
      <c r="E446" s="20">
        <f>IF($F446=0,0,D446/$F446)</f>
        <v>0.225</v>
      </c>
      <c r="F446" s="19">
        <f>$F$440</f>
        <v>40</v>
      </c>
      <c r="G446" s="4" t="inlineStr">
        <is>
          <t>複数回答</t>
        </is>
      </c>
    </row>
    <row r="447" ht="28" customHeight="1">
      <c r="A447" s="4" t="inlineStr">
        <is>
          <t>問44</t>
        </is>
      </c>
      <c r="B447" s="5" t="inlineStr">
        <is>
          <t>今後、村が特に力を入れるべきことは何ですか（3つまで）</t>
        </is>
      </c>
      <c r="C447" s="5" t="inlineStr">
        <is>
          <t>サービス事業所の確保</t>
        </is>
      </c>
      <c r="D447" s="30" t="n">
        <v>10</v>
      </c>
      <c r="E447" s="20">
        <f>IF($F447=0,0,D447/$F447)</f>
        <v>0.25</v>
      </c>
      <c r="F447" s="19">
        <f>$F$440</f>
        <v>40</v>
      </c>
      <c r="G447" s="4" t="inlineStr">
        <is>
          <t>複数回答</t>
        </is>
      </c>
    </row>
    <row r="448" ht="28" customHeight="1">
      <c r="A448" s="4" t="inlineStr">
        <is>
          <t>問44</t>
        </is>
      </c>
      <c r="B448" s="5" t="inlineStr">
        <is>
          <t>今後、村が特に力を入れるべきことは何ですか（3つまで）</t>
        </is>
      </c>
      <c r="C448" s="5" t="inlineStr">
        <is>
          <t>その他</t>
        </is>
      </c>
      <c r="D448" s="30" t="n">
        <v>0</v>
      </c>
      <c r="E448" s="20">
        <f>IF($F448=0,0,D448/$F448)</f>
        <v>0</v>
      </c>
      <c r="F448" s="19">
        <f>$F$440</f>
        <v>40</v>
      </c>
      <c r="G448" s="4" t="inlineStr">
        <is>
          <t>複数回答</t>
        </is>
      </c>
    </row>
    <row r="449" ht="28" customHeight="1">
      <c r="A449" s="4" t="inlineStr">
        <is>
          <t>問44</t>
        </is>
      </c>
      <c r="B449" s="5" t="inlineStr">
        <is>
          <t>今後、村が特に力を入れるべきことは何ですか（3つまで）</t>
        </is>
      </c>
      <c r="C449" s="5" t="inlineStr">
        <is>
          <t>無回答</t>
        </is>
      </c>
      <c r="D449" s="30" t="n">
        <v>7</v>
      </c>
      <c r="E449" s="20">
        <f>IF($F449=0,0,D449/$F449)</f>
        <v>0.175</v>
      </c>
      <c r="F449" s="19">
        <f>$F$440</f>
        <v>40</v>
      </c>
      <c r="G449" s="4" t="inlineStr">
        <is>
          <t>複数回答</t>
        </is>
      </c>
    </row>
  </sheetData>
  <autoFilter ref="A4:G4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24"/>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46" customWidth="1" min="3" max="3"/>
    <col width="8" customWidth="1" min="4" max="4"/>
    <col width="9" customWidth="1" min="5" max="5"/>
    <col width="13" customWidth="1" min="6" max="6"/>
    <col width="14" customWidth="1" min="7" max="7"/>
  </cols>
  <sheetData>
    <row r="1">
      <c r="A1" s="35" t="inlineStr">
        <is>
          <t>障がい児調査（18歳未満）　単純集計（入力データ）</t>
        </is>
      </c>
    </row>
    <row r="2">
      <c r="A2" s="18" t="inlineStr">
        <is>
          <t>斜体のセル（件数・回答者数）が入力値です。割合は計算式で、各章シートの表・グラフに自動で反映されます。回答者数（n）は無回答を含む人数で、各設問の先頭行に入力し、2行目以降は先頭行を参照しています。「無回答」は各設問の最終行です。</t>
        </is>
      </c>
    </row>
    <row r="4">
      <c r="A4" s="3" t="inlineStr">
        <is>
          <t>設問番号</t>
        </is>
      </c>
      <c r="B4" s="3" t="inlineStr">
        <is>
          <t>設問</t>
        </is>
      </c>
      <c r="C4" s="3" t="inlineStr">
        <is>
          <t>選択肢</t>
        </is>
      </c>
      <c r="D4" s="3" t="inlineStr">
        <is>
          <t>件数</t>
        </is>
      </c>
      <c r="E4" s="3" t="inlineStr">
        <is>
          <t>割合</t>
        </is>
      </c>
      <c r="F4" s="3" t="inlineStr">
        <is>
          <t>回答者数（n）</t>
        </is>
      </c>
      <c r="G4" s="3" t="inlineStr">
        <is>
          <t>回答形式</t>
        </is>
      </c>
    </row>
    <row r="5" ht="16" customHeight="1">
      <c r="A5" s="4" t="inlineStr">
        <is>
          <t>問1</t>
        </is>
      </c>
      <c r="B5" s="5" t="inlineStr">
        <is>
          <t>この調査票を記入された方はどなたですか</t>
        </is>
      </c>
      <c r="C5" s="5" t="inlineStr">
        <is>
          <t>宛名のご本人</t>
        </is>
      </c>
      <c r="D5" s="30" t="n">
        <v>1</v>
      </c>
      <c r="E5" s="20">
        <f>IF($F5=0,0,D5/$F5)</f>
        <v>0.333333333333333</v>
      </c>
      <c r="F5" s="30" t="n">
        <v>3</v>
      </c>
      <c r="G5" s="4" t="inlineStr">
        <is>
          <t>単一回答</t>
        </is>
      </c>
    </row>
    <row r="6" ht="16" customHeight="1">
      <c r="A6" s="4" t="inlineStr">
        <is>
          <t>問1</t>
        </is>
      </c>
      <c r="B6" s="5" t="inlineStr">
        <is>
          <t>この調査票を記入された方はどなたですか</t>
        </is>
      </c>
      <c r="C6" s="5" t="inlineStr">
        <is>
          <t>ご家族</t>
        </is>
      </c>
      <c r="D6" s="30" t="n">
        <v>2</v>
      </c>
      <c r="E6" s="20">
        <f>IF($F6=0,0,D6/$F6)</f>
        <v>0.666666666666667</v>
      </c>
      <c r="F6" s="19">
        <f>$F$5</f>
        <v>3</v>
      </c>
      <c r="G6" s="4" t="inlineStr">
        <is>
          <t>単一回答</t>
        </is>
      </c>
    </row>
    <row r="7" ht="16" customHeight="1">
      <c r="A7" s="4" t="inlineStr">
        <is>
          <t>問1</t>
        </is>
      </c>
      <c r="B7" s="5" t="inlineStr">
        <is>
          <t>この調査票を記入された方はどなたですか</t>
        </is>
      </c>
      <c r="C7" s="5" t="inlineStr">
        <is>
          <t>支援者・事業所職員</t>
        </is>
      </c>
      <c r="D7" s="30" t="n">
        <v>0</v>
      </c>
      <c r="E7" s="20">
        <f>IF($F7=0,0,D7/$F7)</f>
        <v>0</v>
      </c>
      <c r="F7" s="19">
        <f>$F$5</f>
        <v>3</v>
      </c>
      <c r="G7" s="4" t="inlineStr">
        <is>
          <t>単一回答</t>
        </is>
      </c>
    </row>
    <row r="8" ht="16" customHeight="1">
      <c r="A8" s="4" t="inlineStr">
        <is>
          <t>問1</t>
        </is>
      </c>
      <c r="B8" s="5" t="inlineStr">
        <is>
          <t>この調査票を記入された方はどなたですか</t>
        </is>
      </c>
      <c r="C8" s="5" t="inlineStr">
        <is>
          <t>その他</t>
        </is>
      </c>
      <c r="D8" s="30" t="n">
        <v>0</v>
      </c>
      <c r="E8" s="20">
        <f>IF($F8=0,0,D8/$F8)</f>
        <v>0</v>
      </c>
      <c r="F8" s="19">
        <f>$F$5</f>
        <v>3</v>
      </c>
      <c r="G8" s="4" t="inlineStr">
        <is>
          <t>単一回答</t>
        </is>
      </c>
    </row>
    <row r="9" ht="16" customHeight="1">
      <c r="A9" s="4" t="inlineStr">
        <is>
          <t>問1</t>
        </is>
      </c>
      <c r="B9" s="5" t="inlineStr">
        <is>
          <t>この調査票を記入された方はどなたですか</t>
        </is>
      </c>
      <c r="C9" s="5" t="inlineStr">
        <is>
          <t>無回答</t>
        </is>
      </c>
      <c r="D9" s="30" t="n">
        <v>0</v>
      </c>
      <c r="E9" s="20">
        <f>IF($F9=0,0,D9/$F9)</f>
        <v>0</v>
      </c>
      <c r="F9" s="19">
        <f>$F$5</f>
        <v>3</v>
      </c>
      <c r="G9" s="4" t="inlineStr">
        <is>
          <t>単一回答</t>
        </is>
      </c>
    </row>
    <row r="10" ht="28" customHeight="1">
      <c r="A10" s="4" t="inlineStr">
        <is>
          <t>問1-2</t>
        </is>
      </c>
      <c r="B10" s="5" t="inlineStr">
        <is>
          <t>この回答は、宛名のご本人の意向をどのように反映していますか</t>
        </is>
      </c>
      <c r="C10" s="5" t="inlineStr">
        <is>
          <t>本人が回答した</t>
        </is>
      </c>
      <c r="D10" s="30" t="n">
        <v>1</v>
      </c>
      <c r="E10" s="20">
        <f>IF($F10=0,0,D10/$F10)</f>
        <v>0.333333333333333</v>
      </c>
      <c r="F10" s="30" t="n">
        <v>3</v>
      </c>
      <c r="G10" s="4" t="inlineStr">
        <is>
          <t>単一回答</t>
        </is>
      </c>
    </row>
    <row r="11" ht="28" customHeight="1">
      <c r="A11" s="4" t="inlineStr">
        <is>
          <t>問1-2</t>
        </is>
      </c>
      <c r="B11" s="5" t="inlineStr">
        <is>
          <t>この回答は、宛名のご本人の意向をどのように反映していますか</t>
        </is>
      </c>
      <c r="C11" s="5" t="inlineStr">
        <is>
          <t>本人に確認して代理記入した</t>
        </is>
      </c>
      <c r="D11" s="30" t="n">
        <v>0</v>
      </c>
      <c r="E11" s="20">
        <f>IF($F11=0,0,D11/$F11)</f>
        <v>0</v>
      </c>
      <c r="F11" s="19">
        <f>$F$10</f>
        <v>3</v>
      </c>
      <c r="G11" s="4" t="inlineStr">
        <is>
          <t>単一回答</t>
        </is>
      </c>
    </row>
    <row r="12" ht="28" customHeight="1">
      <c r="A12" s="4" t="inlineStr">
        <is>
          <t>問1-2</t>
        </is>
      </c>
      <c r="B12" s="5" t="inlineStr">
        <is>
          <t>この回答は、宛名のご本人の意向をどのように反映していますか</t>
        </is>
      </c>
      <c r="C12" s="5" t="inlineStr">
        <is>
          <t>本人の様子や日頃の意向を踏まえて代理記入した</t>
        </is>
      </c>
      <c r="D12" s="30" t="n">
        <v>1</v>
      </c>
      <c r="E12" s="20">
        <f>IF($F12=0,0,D12/$F12)</f>
        <v>0.333333333333333</v>
      </c>
      <c r="F12" s="19">
        <f>$F$10</f>
        <v>3</v>
      </c>
      <c r="G12" s="4" t="inlineStr">
        <is>
          <t>単一回答</t>
        </is>
      </c>
    </row>
    <row r="13" ht="28" customHeight="1">
      <c r="A13" s="4" t="inlineStr">
        <is>
          <t>問1-2</t>
        </is>
      </c>
      <c r="B13" s="5" t="inlineStr">
        <is>
          <t>この回答は、宛名のご本人の意向をどのように反映していますか</t>
        </is>
      </c>
      <c r="C13" s="5" t="inlineStr">
        <is>
          <t>本人に確認することが難しく、家族・支援者の判断で記入した</t>
        </is>
      </c>
      <c r="D13" s="30" t="n">
        <v>1</v>
      </c>
      <c r="E13" s="20">
        <f>IF($F13=0,0,D13/$F13)</f>
        <v>0.333333333333333</v>
      </c>
      <c r="F13" s="19">
        <f>$F$10</f>
        <v>3</v>
      </c>
      <c r="G13" s="4" t="inlineStr">
        <is>
          <t>単一回答</t>
        </is>
      </c>
    </row>
    <row r="14" ht="28" customHeight="1">
      <c r="A14" s="4" t="inlineStr">
        <is>
          <t>問1-2</t>
        </is>
      </c>
      <c r="B14" s="5" t="inlineStr">
        <is>
          <t>この回答は、宛名のご本人の意向をどのように反映していますか</t>
        </is>
      </c>
      <c r="C14" s="5" t="inlineStr">
        <is>
          <t>その他</t>
        </is>
      </c>
      <c r="D14" s="30" t="n">
        <v>0</v>
      </c>
      <c r="E14" s="20">
        <f>IF($F14=0,0,D14/$F14)</f>
        <v>0</v>
      </c>
      <c r="F14" s="19">
        <f>$F$10</f>
        <v>3</v>
      </c>
      <c r="G14" s="4" t="inlineStr">
        <is>
          <t>単一回答</t>
        </is>
      </c>
    </row>
    <row r="15" ht="28" customHeight="1">
      <c r="A15" s="4" t="inlineStr">
        <is>
          <t>問1-2</t>
        </is>
      </c>
      <c r="B15" s="5" t="inlineStr">
        <is>
          <t>この回答は、宛名のご本人の意向をどのように反映していますか</t>
        </is>
      </c>
      <c r="C15" s="5" t="inlineStr">
        <is>
          <t>無回答</t>
        </is>
      </c>
      <c r="D15" s="30" t="n">
        <v>0</v>
      </c>
      <c r="E15" s="20">
        <f>IF($F15=0,0,D15/$F15)</f>
        <v>0</v>
      </c>
      <c r="F15" s="19">
        <f>$F$10</f>
        <v>3</v>
      </c>
      <c r="G15" s="4" t="inlineStr">
        <is>
          <t>単一回答</t>
        </is>
      </c>
    </row>
    <row r="16" ht="16" customHeight="1">
      <c r="A16" s="4" t="inlineStr">
        <is>
          <t>問2</t>
        </is>
      </c>
      <c r="B16" s="5" t="inlineStr">
        <is>
          <t>お子さん（宛名の方）の年齢を教えてください</t>
        </is>
      </c>
      <c r="C16" s="5" t="inlineStr">
        <is>
          <t>0～5歳</t>
        </is>
      </c>
      <c r="D16" s="30" t="n">
        <v>0</v>
      </c>
      <c r="E16" s="20">
        <f>IF($F16=0,0,D16/$F16)</f>
        <v>0</v>
      </c>
      <c r="F16" s="30" t="n">
        <v>3</v>
      </c>
      <c r="G16" s="4" t="inlineStr">
        <is>
          <t>単一回答</t>
        </is>
      </c>
    </row>
    <row r="17" ht="16" customHeight="1">
      <c r="A17" s="4" t="inlineStr">
        <is>
          <t>問2</t>
        </is>
      </c>
      <c r="B17" s="5" t="inlineStr">
        <is>
          <t>お子さん（宛名の方）の年齢を教えてください</t>
        </is>
      </c>
      <c r="C17" s="5" t="inlineStr">
        <is>
          <t>6～11歳</t>
        </is>
      </c>
      <c r="D17" s="30" t="n">
        <v>1</v>
      </c>
      <c r="E17" s="20">
        <f>IF($F17=0,0,D17/$F17)</f>
        <v>0.333333333333333</v>
      </c>
      <c r="F17" s="19">
        <f>$F$16</f>
        <v>3</v>
      </c>
      <c r="G17" s="4" t="inlineStr">
        <is>
          <t>単一回答</t>
        </is>
      </c>
    </row>
    <row r="18" ht="16" customHeight="1">
      <c r="A18" s="4" t="inlineStr">
        <is>
          <t>問2</t>
        </is>
      </c>
      <c r="B18" s="5" t="inlineStr">
        <is>
          <t>お子さん（宛名の方）の年齢を教えてください</t>
        </is>
      </c>
      <c r="C18" s="5" t="inlineStr">
        <is>
          <t>12～14歳</t>
        </is>
      </c>
      <c r="D18" s="30" t="n">
        <v>1</v>
      </c>
      <c r="E18" s="20">
        <f>IF($F18=0,0,D18/$F18)</f>
        <v>0.333333333333333</v>
      </c>
      <c r="F18" s="19">
        <f>$F$16</f>
        <v>3</v>
      </c>
      <c r="G18" s="4" t="inlineStr">
        <is>
          <t>単一回答</t>
        </is>
      </c>
    </row>
    <row r="19" ht="16" customHeight="1">
      <c r="A19" s="4" t="inlineStr">
        <is>
          <t>問2</t>
        </is>
      </c>
      <c r="B19" s="5" t="inlineStr">
        <is>
          <t>お子さん（宛名の方）の年齢を教えてください</t>
        </is>
      </c>
      <c r="C19" s="5" t="inlineStr">
        <is>
          <t>15～17歳</t>
        </is>
      </c>
      <c r="D19" s="30" t="n">
        <v>1</v>
      </c>
      <c r="E19" s="20">
        <f>IF($F19=0,0,D19/$F19)</f>
        <v>0.333333333333333</v>
      </c>
      <c r="F19" s="19">
        <f>$F$16</f>
        <v>3</v>
      </c>
      <c r="G19" s="4" t="inlineStr">
        <is>
          <t>単一回答</t>
        </is>
      </c>
    </row>
    <row r="20" ht="16" customHeight="1">
      <c r="A20" s="4" t="inlineStr">
        <is>
          <t>問2</t>
        </is>
      </c>
      <c r="B20" s="5" t="inlineStr">
        <is>
          <t>お子さん（宛名の方）の年齢を教えてください</t>
        </is>
      </c>
      <c r="C20" s="5" t="inlineStr">
        <is>
          <t>無回答</t>
        </is>
      </c>
      <c r="D20" s="30" t="n">
        <v>0</v>
      </c>
      <c r="E20" s="20">
        <f>IF($F20=0,0,D20/$F20)</f>
        <v>0</v>
      </c>
      <c r="F20" s="19">
        <f>$F$16</f>
        <v>3</v>
      </c>
      <c r="G20" s="4" t="inlineStr">
        <is>
          <t>単一回答</t>
        </is>
      </c>
    </row>
    <row r="21" ht="16" customHeight="1">
      <c r="A21" s="4" t="inlineStr">
        <is>
          <t>問3</t>
        </is>
      </c>
      <c r="B21" s="5" t="inlineStr">
        <is>
          <t>あなたのお住まいの地区を教えてください</t>
        </is>
      </c>
      <c r="C21" s="5" t="inlineStr">
        <is>
          <t>北山地区</t>
        </is>
      </c>
      <c r="D21" s="30" t="n">
        <v>2</v>
      </c>
      <c r="E21" s="20">
        <f>IF($F21=0,0,D21/$F21)</f>
        <v>0.666666666666667</v>
      </c>
      <c r="F21" s="30" t="n">
        <v>3</v>
      </c>
      <c r="G21" s="4" t="inlineStr">
        <is>
          <t>単一回答</t>
        </is>
      </c>
    </row>
    <row r="22" ht="16" customHeight="1">
      <c r="A22" s="4" t="inlineStr">
        <is>
          <t>問3</t>
        </is>
      </c>
      <c r="B22" s="5" t="inlineStr">
        <is>
          <t>あなたのお住まいの地区を教えてください</t>
        </is>
      </c>
      <c r="C22" s="5" t="inlineStr">
        <is>
          <t>大塩地区</t>
        </is>
      </c>
      <c r="D22" s="30" t="n">
        <v>0</v>
      </c>
      <c r="E22" s="20">
        <f>IF($F22=0,0,D22/$F22)</f>
        <v>0</v>
      </c>
      <c r="F22" s="19">
        <f>$F$21</f>
        <v>3</v>
      </c>
      <c r="G22" s="4" t="inlineStr">
        <is>
          <t>単一回答</t>
        </is>
      </c>
    </row>
    <row r="23" ht="16" customHeight="1">
      <c r="A23" s="4" t="inlineStr">
        <is>
          <t>問3</t>
        </is>
      </c>
      <c r="B23" s="5" t="inlineStr">
        <is>
          <t>あなたのお住まいの地区を教えてください</t>
        </is>
      </c>
      <c r="C23" s="5" t="inlineStr">
        <is>
          <t>桧原地区</t>
        </is>
      </c>
      <c r="D23" s="30" t="n">
        <v>0</v>
      </c>
      <c r="E23" s="20">
        <f>IF($F23=0,0,D23/$F23)</f>
        <v>0</v>
      </c>
      <c r="F23" s="19">
        <f>$F$21</f>
        <v>3</v>
      </c>
      <c r="G23" s="4" t="inlineStr">
        <is>
          <t>単一回答</t>
        </is>
      </c>
    </row>
    <row r="24" ht="16" customHeight="1">
      <c r="A24" s="4" t="inlineStr">
        <is>
          <t>問3</t>
        </is>
      </c>
      <c r="B24" s="5" t="inlineStr">
        <is>
          <t>あなたのお住まいの地区を教えてください</t>
        </is>
      </c>
      <c r="C24" s="5" t="inlineStr">
        <is>
          <t>裏磐梯地区</t>
        </is>
      </c>
      <c r="D24" s="30" t="n">
        <v>1</v>
      </c>
      <c r="E24" s="20">
        <f>IF($F24=0,0,D24/$F24)</f>
        <v>0.333333333333333</v>
      </c>
      <c r="F24" s="19">
        <f>$F$21</f>
        <v>3</v>
      </c>
      <c r="G24" s="4" t="inlineStr">
        <is>
          <t>単一回答</t>
        </is>
      </c>
    </row>
    <row r="25" ht="16" customHeight="1">
      <c r="A25" s="4" t="inlineStr">
        <is>
          <t>問3</t>
        </is>
      </c>
      <c r="B25" s="5" t="inlineStr">
        <is>
          <t>あなたのお住まいの地区を教えてください</t>
        </is>
      </c>
      <c r="C25" s="5" t="inlineStr">
        <is>
          <t>その他</t>
        </is>
      </c>
      <c r="D25" s="30" t="n">
        <v>0</v>
      </c>
      <c r="E25" s="20">
        <f>IF($F25=0,0,D25/$F25)</f>
        <v>0</v>
      </c>
      <c r="F25" s="19">
        <f>$F$21</f>
        <v>3</v>
      </c>
      <c r="G25" s="4" t="inlineStr">
        <is>
          <t>単一回答</t>
        </is>
      </c>
    </row>
    <row r="26" ht="16" customHeight="1">
      <c r="A26" s="4" t="inlineStr">
        <is>
          <t>問3</t>
        </is>
      </c>
      <c r="B26" s="5" t="inlineStr">
        <is>
          <t>あなたのお住まいの地区を教えてください</t>
        </is>
      </c>
      <c r="C26" s="5" t="inlineStr">
        <is>
          <t>無回答</t>
        </is>
      </c>
      <c r="D26" s="30" t="n">
        <v>0</v>
      </c>
      <c r="E26" s="20">
        <f>IF($F26=0,0,D26/$F26)</f>
        <v>0</v>
      </c>
      <c r="F26" s="19">
        <f>$F$21</f>
        <v>3</v>
      </c>
      <c r="G26" s="4" t="inlineStr">
        <is>
          <t>単一回答</t>
        </is>
      </c>
    </row>
    <row r="27" ht="16" customHeight="1">
      <c r="A27" s="4" t="inlineStr">
        <is>
          <t>問4</t>
        </is>
      </c>
      <c r="B27" s="5" t="inlineStr">
        <is>
          <t>あなたの性別を教えてください</t>
        </is>
      </c>
      <c r="C27" s="5" t="inlineStr">
        <is>
          <t>男性</t>
        </is>
      </c>
      <c r="D27" s="30" t="n">
        <v>2</v>
      </c>
      <c r="E27" s="20">
        <f>IF($F27=0,0,D27/$F27)</f>
        <v>0.666666666666667</v>
      </c>
      <c r="F27" s="30" t="n">
        <v>3</v>
      </c>
      <c r="G27" s="4" t="inlineStr">
        <is>
          <t>単一回答</t>
        </is>
      </c>
    </row>
    <row r="28" ht="16" customHeight="1">
      <c r="A28" s="4" t="inlineStr">
        <is>
          <t>問4</t>
        </is>
      </c>
      <c r="B28" s="5" t="inlineStr">
        <is>
          <t>あなたの性別を教えてください</t>
        </is>
      </c>
      <c r="C28" s="5" t="inlineStr">
        <is>
          <t>女性</t>
        </is>
      </c>
      <c r="D28" s="30" t="n">
        <v>1</v>
      </c>
      <c r="E28" s="20">
        <f>IF($F28=0,0,D28/$F28)</f>
        <v>0.333333333333333</v>
      </c>
      <c r="F28" s="19">
        <f>$F$27</f>
        <v>3</v>
      </c>
      <c r="G28" s="4" t="inlineStr">
        <is>
          <t>単一回答</t>
        </is>
      </c>
    </row>
    <row r="29" ht="16" customHeight="1">
      <c r="A29" s="4" t="inlineStr">
        <is>
          <t>問4</t>
        </is>
      </c>
      <c r="B29" s="5" t="inlineStr">
        <is>
          <t>あなたの性別を教えてください</t>
        </is>
      </c>
      <c r="C29" s="5" t="inlineStr">
        <is>
          <t>回答しない</t>
        </is>
      </c>
      <c r="D29" s="30" t="n">
        <v>0</v>
      </c>
      <c r="E29" s="20">
        <f>IF($F29=0,0,D29/$F29)</f>
        <v>0</v>
      </c>
      <c r="F29" s="19">
        <f>$F$27</f>
        <v>3</v>
      </c>
      <c r="G29" s="4" t="inlineStr">
        <is>
          <t>単一回答</t>
        </is>
      </c>
    </row>
    <row r="30" ht="16" customHeight="1">
      <c r="A30" s="4" t="inlineStr">
        <is>
          <t>問4</t>
        </is>
      </c>
      <c r="B30" s="5" t="inlineStr">
        <is>
          <t>あなたの性別を教えてください</t>
        </is>
      </c>
      <c r="C30" s="5" t="inlineStr">
        <is>
          <t>無回答</t>
        </is>
      </c>
      <c r="D30" s="30" t="n">
        <v>0</v>
      </c>
      <c r="E30" s="20">
        <f>IF($F30=0,0,D30/$F30)</f>
        <v>0</v>
      </c>
      <c r="F30" s="19">
        <f>$F$27</f>
        <v>3</v>
      </c>
      <c r="G30" s="4" t="inlineStr">
        <is>
          <t>単一回答</t>
        </is>
      </c>
    </row>
    <row r="31" ht="28" customHeight="1">
      <c r="A31" s="4" t="inlineStr">
        <is>
          <t>問5</t>
        </is>
      </c>
      <c r="B31" s="5" t="inlineStr">
        <is>
          <t>お持ちの手帳等を教えてください（あてはまるものすべて）</t>
        </is>
      </c>
      <c r="C31" s="5" t="inlineStr">
        <is>
          <t>身体障がい者手帳</t>
        </is>
      </c>
      <c r="D31" s="30" t="n">
        <v>2</v>
      </c>
      <c r="E31" s="20">
        <f>IF($F31=0,0,D31/$F31)</f>
        <v>0.666666666666667</v>
      </c>
      <c r="F31" s="30" t="n">
        <v>3</v>
      </c>
      <c r="G31" s="4" t="inlineStr">
        <is>
          <t>複数回答</t>
        </is>
      </c>
    </row>
    <row r="32" ht="28" customHeight="1">
      <c r="A32" s="4" t="inlineStr">
        <is>
          <t>問5</t>
        </is>
      </c>
      <c r="B32" s="5" t="inlineStr">
        <is>
          <t>お持ちの手帳等を教えてください（あてはまるものすべて）</t>
        </is>
      </c>
      <c r="C32" s="5" t="inlineStr">
        <is>
          <t>療育手帳</t>
        </is>
      </c>
      <c r="D32" s="30" t="n">
        <v>1</v>
      </c>
      <c r="E32" s="20">
        <f>IF($F32=0,0,D32/$F32)</f>
        <v>0.333333333333333</v>
      </c>
      <c r="F32" s="19">
        <f>$F$31</f>
        <v>3</v>
      </c>
      <c r="G32" s="4" t="inlineStr">
        <is>
          <t>複数回答</t>
        </is>
      </c>
    </row>
    <row r="33" ht="28" customHeight="1">
      <c r="A33" s="4" t="inlineStr">
        <is>
          <t>問5</t>
        </is>
      </c>
      <c r="B33" s="5" t="inlineStr">
        <is>
          <t>お持ちの手帳等を教えてください（あてはまるものすべて）</t>
        </is>
      </c>
      <c r="C33" s="5" t="inlineStr">
        <is>
          <t>精神障がい者保健福祉手帳</t>
        </is>
      </c>
      <c r="D33" s="30" t="n">
        <v>1</v>
      </c>
      <c r="E33" s="20">
        <f>IF($F33=0,0,D33/$F33)</f>
        <v>0.333333333333333</v>
      </c>
      <c r="F33" s="19">
        <f>$F$31</f>
        <v>3</v>
      </c>
      <c r="G33" s="4" t="inlineStr">
        <is>
          <t>複数回答</t>
        </is>
      </c>
    </row>
    <row r="34" ht="28" customHeight="1">
      <c r="A34" s="4" t="inlineStr">
        <is>
          <t>問5</t>
        </is>
      </c>
      <c r="B34" s="5" t="inlineStr">
        <is>
          <t>お持ちの手帳等を教えてください（あてはまるものすべて）</t>
        </is>
      </c>
      <c r="C34" s="5" t="inlineStr">
        <is>
          <t>難病に関する医療受給者証等</t>
        </is>
      </c>
      <c r="D34" s="30" t="n">
        <v>0</v>
      </c>
      <c r="E34" s="20">
        <f>IF($F34=0,0,D34/$F34)</f>
        <v>0</v>
      </c>
      <c r="F34" s="19">
        <f>$F$31</f>
        <v>3</v>
      </c>
      <c r="G34" s="4" t="inlineStr">
        <is>
          <t>複数回答</t>
        </is>
      </c>
    </row>
    <row r="35" ht="28" customHeight="1">
      <c r="A35" s="4" t="inlineStr">
        <is>
          <t>問5</t>
        </is>
      </c>
      <c r="B35" s="5" t="inlineStr">
        <is>
          <t>お持ちの手帳等を教えてください（あてはまるものすべて）</t>
        </is>
      </c>
      <c r="C35" s="5" t="inlineStr">
        <is>
          <t>手帳等は持っていないが障がい福祉サービスを利用している</t>
        </is>
      </c>
      <c r="D35" s="30" t="n">
        <v>0</v>
      </c>
      <c r="E35" s="20">
        <f>IF($F35=0,0,D35/$F35)</f>
        <v>0</v>
      </c>
      <c r="F35" s="19">
        <f>$F$31</f>
        <v>3</v>
      </c>
      <c r="G35" s="4" t="inlineStr">
        <is>
          <t>複数回答</t>
        </is>
      </c>
    </row>
    <row r="36" ht="28" customHeight="1">
      <c r="A36" s="4" t="inlineStr">
        <is>
          <t>問5</t>
        </is>
      </c>
      <c r="B36" s="5" t="inlineStr">
        <is>
          <t>お持ちの手帳等を教えてください（あてはまるものすべて）</t>
        </is>
      </c>
      <c r="C36" s="5" t="inlineStr">
        <is>
          <t>その他</t>
        </is>
      </c>
      <c r="D36" s="30" t="n">
        <v>0</v>
      </c>
      <c r="E36" s="20">
        <f>IF($F36=0,0,D36/$F36)</f>
        <v>0</v>
      </c>
      <c r="F36" s="19">
        <f>$F$31</f>
        <v>3</v>
      </c>
      <c r="G36" s="4" t="inlineStr">
        <is>
          <t>複数回答</t>
        </is>
      </c>
    </row>
    <row r="37" ht="28" customHeight="1">
      <c r="A37" s="4" t="inlineStr">
        <is>
          <t>問5</t>
        </is>
      </c>
      <c r="B37" s="5" t="inlineStr">
        <is>
          <t>お持ちの手帳等を教えてください（あてはまるものすべて）</t>
        </is>
      </c>
      <c r="C37" s="5" t="inlineStr">
        <is>
          <t>無回答</t>
        </is>
      </c>
      <c r="D37" s="30" t="n">
        <v>1</v>
      </c>
      <c r="E37" s="20">
        <f>IF($F37=0,0,D37/$F37)</f>
        <v>0.333333333333333</v>
      </c>
      <c r="F37" s="19">
        <f>$F$31</f>
        <v>3</v>
      </c>
      <c r="G37" s="4" t="inlineStr">
        <is>
          <t>複数回答</t>
        </is>
      </c>
    </row>
    <row r="38" ht="28" customHeight="1">
      <c r="A38" s="4" t="inlineStr">
        <is>
          <t>問6</t>
        </is>
      </c>
      <c r="B38" s="5" t="inlineStr">
        <is>
          <t>主たる障がい種別を1つ選ぶとすれば、どれにあたりますか</t>
        </is>
      </c>
      <c r="C38" s="5" t="inlineStr">
        <is>
          <t>身体障がい</t>
        </is>
      </c>
      <c r="D38" s="30" t="n">
        <v>1</v>
      </c>
      <c r="E38" s="20">
        <f>IF($F38=0,0,D38/$F38)</f>
        <v>0.333333333333333</v>
      </c>
      <c r="F38" s="30" t="n">
        <v>3</v>
      </c>
      <c r="G38" s="4" t="inlineStr">
        <is>
          <t>単一回答</t>
        </is>
      </c>
    </row>
    <row r="39" ht="28" customHeight="1">
      <c r="A39" s="4" t="inlineStr">
        <is>
          <t>問6</t>
        </is>
      </c>
      <c r="B39" s="5" t="inlineStr">
        <is>
          <t>主たる障がい種別を1つ選ぶとすれば、どれにあたりますか</t>
        </is>
      </c>
      <c r="C39" s="5" t="inlineStr">
        <is>
          <t>知的障がい</t>
        </is>
      </c>
      <c r="D39" s="30" t="n">
        <v>1</v>
      </c>
      <c r="E39" s="20">
        <f>IF($F39=0,0,D39/$F39)</f>
        <v>0.333333333333333</v>
      </c>
      <c r="F39" s="19">
        <f>$F$38</f>
        <v>3</v>
      </c>
      <c r="G39" s="4" t="inlineStr">
        <is>
          <t>単一回答</t>
        </is>
      </c>
    </row>
    <row r="40" ht="28" customHeight="1">
      <c r="A40" s="4" t="inlineStr">
        <is>
          <t>問6</t>
        </is>
      </c>
      <c r="B40" s="5" t="inlineStr">
        <is>
          <t>主たる障がい種別を1つ選ぶとすれば、どれにあたりますか</t>
        </is>
      </c>
      <c r="C40" s="5" t="inlineStr">
        <is>
          <t>精神障がい</t>
        </is>
      </c>
      <c r="D40" s="30" t="n">
        <v>0</v>
      </c>
      <c r="E40" s="20">
        <f>IF($F40=0,0,D40/$F40)</f>
        <v>0</v>
      </c>
      <c r="F40" s="19">
        <f>$F$38</f>
        <v>3</v>
      </c>
      <c r="G40" s="4" t="inlineStr">
        <is>
          <t>単一回答</t>
        </is>
      </c>
    </row>
    <row r="41" ht="28" customHeight="1">
      <c r="A41" s="4" t="inlineStr">
        <is>
          <t>問6</t>
        </is>
      </c>
      <c r="B41" s="5" t="inlineStr">
        <is>
          <t>主たる障がい種別を1つ選ぶとすれば、どれにあたりますか</t>
        </is>
      </c>
      <c r="C41" s="5" t="inlineStr">
        <is>
          <t>発達障がい</t>
        </is>
      </c>
      <c r="D41" s="30" t="n">
        <v>1</v>
      </c>
      <c r="E41" s="20">
        <f>IF($F41=0,0,D41/$F41)</f>
        <v>0.333333333333333</v>
      </c>
      <c r="F41" s="19">
        <f>$F$38</f>
        <v>3</v>
      </c>
      <c r="G41" s="4" t="inlineStr">
        <is>
          <t>単一回答</t>
        </is>
      </c>
    </row>
    <row r="42" ht="28" customHeight="1">
      <c r="A42" s="4" t="inlineStr">
        <is>
          <t>問6</t>
        </is>
      </c>
      <c r="B42" s="5" t="inlineStr">
        <is>
          <t>主たる障がい種別を1つ選ぶとすれば、どれにあたりますか</t>
        </is>
      </c>
      <c r="C42" s="5" t="inlineStr">
        <is>
          <t>難病</t>
        </is>
      </c>
      <c r="D42" s="30" t="n">
        <v>0</v>
      </c>
      <c r="E42" s="20">
        <f>IF($F42=0,0,D42/$F42)</f>
        <v>0</v>
      </c>
      <c r="F42" s="19">
        <f>$F$38</f>
        <v>3</v>
      </c>
      <c r="G42" s="4" t="inlineStr">
        <is>
          <t>単一回答</t>
        </is>
      </c>
    </row>
    <row r="43" ht="28" customHeight="1">
      <c r="A43" s="4" t="inlineStr">
        <is>
          <t>問6</t>
        </is>
      </c>
      <c r="B43" s="5" t="inlineStr">
        <is>
          <t>主たる障がい種別を1つ選ぶとすれば、どれにあたりますか</t>
        </is>
      </c>
      <c r="C43" s="5" t="inlineStr">
        <is>
          <t>高次脳機能障がい</t>
        </is>
      </c>
      <c r="D43" s="30" t="n">
        <v>0</v>
      </c>
      <c r="E43" s="20">
        <f>IF($F43=0,0,D43/$F43)</f>
        <v>0</v>
      </c>
      <c r="F43" s="19">
        <f>$F$38</f>
        <v>3</v>
      </c>
      <c r="G43" s="4" t="inlineStr">
        <is>
          <t>単一回答</t>
        </is>
      </c>
    </row>
    <row r="44" ht="28" customHeight="1">
      <c r="A44" s="4" t="inlineStr">
        <is>
          <t>問6</t>
        </is>
      </c>
      <c r="B44" s="5" t="inlineStr">
        <is>
          <t>主たる障がい種別を1つ選ぶとすれば、どれにあたりますか</t>
        </is>
      </c>
      <c r="C44" s="5" t="inlineStr">
        <is>
          <t>重症心身障がい</t>
        </is>
      </c>
      <c r="D44" s="30" t="n">
        <v>0</v>
      </c>
      <c r="E44" s="20">
        <f>IF($F44=0,0,D44/$F44)</f>
        <v>0</v>
      </c>
      <c r="F44" s="19">
        <f>$F$38</f>
        <v>3</v>
      </c>
      <c r="G44" s="4" t="inlineStr">
        <is>
          <t>単一回答</t>
        </is>
      </c>
    </row>
    <row r="45" ht="28" customHeight="1">
      <c r="A45" s="4" t="inlineStr">
        <is>
          <t>問6</t>
        </is>
      </c>
      <c r="B45" s="5" t="inlineStr">
        <is>
          <t>主たる障がい種別を1つ選ぶとすれば、どれにあたりますか</t>
        </is>
      </c>
      <c r="C45" s="5" t="inlineStr">
        <is>
          <t>わからない・その他</t>
        </is>
      </c>
      <c r="D45" s="30" t="n">
        <v>0</v>
      </c>
      <c r="E45" s="20">
        <f>IF($F45=0,0,D45/$F45)</f>
        <v>0</v>
      </c>
      <c r="F45" s="19">
        <f>$F$38</f>
        <v>3</v>
      </c>
      <c r="G45" s="4" t="inlineStr">
        <is>
          <t>単一回答</t>
        </is>
      </c>
    </row>
    <row r="46" ht="28" customHeight="1">
      <c r="A46" s="4" t="inlineStr">
        <is>
          <t>問6</t>
        </is>
      </c>
      <c r="B46" s="5" t="inlineStr">
        <is>
          <t>主たる障がい種別を1つ選ぶとすれば、どれにあたりますか</t>
        </is>
      </c>
      <c r="C46" s="5" t="inlineStr">
        <is>
          <t>無回答</t>
        </is>
      </c>
      <c r="D46" s="30" t="n">
        <v>0</v>
      </c>
      <c r="E46" s="20">
        <f>IF($F46=0,0,D46/$F46)</f>
        <v>0</v>
      </c>
      <c r="F46" s="19">
        <f>$F$38</f>
        <v>3</v>
      </c>
      <c r="G46" s="4" t="inlineStr">
        <is>
          <t>単一回答</t>
        </is>
      </c>
    </row>
    <row r="47" ht="16" customHeight="1">
      <c r="A47" s="4" t="inlineStr">
        <is>
          <t>問7</t>
        </is>
      </c>
      <c r="B47" s="5" t="inlineStr">
        <is>
          <t>障害児通所支援等の支給決定を受けていますか</t>
        </is>
      </c>
      <c r="C47" s="5" t="inlineStr">
        <is>
          <t>受けている</t>
        </is>
      </c>
      <c r="D47" s="30" t="n">
        <v>2</v>
      </c>
      <c r="E47" s="20">
        <f>IF($F47=0,0,D47/$F47)</f>
        <v>0.666666666666667</v>
      </c>
      <c r="F47" s="30" t="n">
        <v>3</v>
      </c>
      <c r="G47" s="4" t="inlineStr">
        <is>
          <t>単一回答</t>
        </is>
      </c>
    </row>
    <row r="48" ht="16" customHeight="1">
      <c r="A48" s="4" t="inlineStr">
        <is>
          <t>問7</t>
        </is>
      </c>
      <c r="B48" s="5" t="inlineStr">
        <is>
          <t>障害児通所支援等の支給決定を受けていますか</t>
        </is>
      </c>
      <c r="C48" s="5" t="inlineStr">
        <is>
          <t>受けていない</t>
        </is>
      </c>
      <c r="D48" s="30" t="n">
        <v>1</v>
      </c>
      <c r="E48" s="20">
        <f>IF($F48=0,0,D48/$F48)</f>
        <v>0.333333333333333</v>
      </c>
      <c r="F48" s="19">
        <f>$F$47</f>
        <v>3</v>
      </c>
      <c r="G48" s="4" t="inlineStr">
        <is>
          <t>単一回答</t>
        </is>
      </c>
    </row>
    <row r="49" ht="16" customHeight="1">
      <c r="A49" s="4" t="inlineStr">
        <is>
          <t>問7</t>
        </is>
      </c>
      <c r="B49" s="5" t="inlineStr">
        <is>
          <t>障害児通所支援等の支給決定を受けていますか</t>
        </is>
      </c>
      <c r="C49" s="5" t="inlineStr">
        <is>
          <t>わからない</t>
        </is>
      </c>
      <c r="D49" s="30" t="n">
        <v>0</v>
      </c>
      <c r="E49" s="20">
        <f>IF($F49=0,0,D49/$F49)</f>
        <v>0</v>
      </c>
      <c r="F49" s="19">
        <f>$F$47</f>
        <v>3</v>
      </c>
      <c r="G49" s="4" t="inlineStr">
        <is>
          <t>単一回答</t>
        </is>
      </c>
    </row>
    <row r="50" ht="16" customHeight="1">
      <c r="A50" s="4" t="inlineStr">
        <is>
          <t>問7</t>
        </is>
      </c>
      <c r="B50" s="5" t="inlineStr">
        <is>
          <t>障害児通所支援等の支給決定を受けていますか</t>
        </is>
      </c>
      <c r="C50" s="5" t="inlineStr">
        <is>
          <t>無回答</t>
        </is>
      </c>
      <c r="D50" s="30" t="n">
        <v>0</v>
      </c>
      <c r="E50" s="20">
        <f>IF($F50=0,0,D50/$F50)</f>
        <v>0</v>
      </c>
      <c r="F50" s="19">
        <f>$F$47</f>
        <v>3</v>
      </c>
      <c r="G50" s="4" t="inlineStr">
        <is>
          <t>単一回答</t>
        </is>
      </c>
    </row>
    <row r="51" ht="28" customHeight="1">
      <c r="A51" s="4" t="inlineStr">
        <is>
          <t>問8</t>
        </is>
      </c>
      <c r="B51" s="5" t="inlineStr">
        <is>
          <t>日常生活でお子さんの主な支援・介助・見守りをしている方はどなたですか</t>
        </is>
      </c>
      <c r="C51" s="5" t="inlineStr">
        <is>
          <t>介助は必要ない</t>
        </is>
      </c>
      <c r="D51" s="30" t="n">
        <v>0</v>
      </c>
      <c r="E51" s="20">
        <f>IF($F51=0,0,D51/$F51)</f>
        <v>0</v>
      </c>
      <c r="F51" s="30" t="n">
        <v>3</v>
      </c>
      <c r="G51" s="4" t="inlineStr">
        <is>
          <t>単一回答</t>
        </is>
      </c>
    </row>
    <row r="52" ht="28" customHeight="1">
      <c r="A52" s="4" t="inlineStr">
        <is>
          <t>問8</t>
        </is>
      </c>
      <c r="B52" s="5" t="inlineStr">
        <is>
          <t>日常生活でお子さんの主な支援・介助・見守りをしている方はどなたですか</t>
        </is>
      </c>
      <c r="C52" s="5" t="inlineStr">
        <is>
          <t>親</t>
        </is>
      </c>
      <c r="D52" s="30" t="n">
        <v>3</v>
      </c>
      <c r="E52" s="20">
        <f>IF($F52=0,0,D52/$F52)</f>
        <v>1</v>
      </c>
      <c r="F52" s="19">
        <f>$F$51</f>
        <v>3</v>
      </c>
      <c r="G52" s="4" t="inlineStr">
        <is>
          <t>単一回答</t>
        </is>
      </c>
    </row>
    <row r="53" ht="28" customHeight="1">
      <c r="A53" s="4" t="inlineStr">
        <is>
          <t>問8</t>
        </is>
      </c>
      <c r="B53" s="5" t="inlineStr">
        <is>
          <t>日常生活でお子さんの主な支援・介助・見守りをしている方はどなたですか</t>
        </is>
      </c>
      <c r="C53" s="5" t="inlineStr">
        <is>
          <t>兄弟姉妹</t>
        </is>
      </c>
      <c r="D53" s="30" t="n">
        <v>0</v>
      </c>
      <c r="E53" s="20">
        <f>IF($F53=0,0,D53/$F53)</f>
        <v>0</v>
      </c>
      <c r="F53" s="19">
        <f>$F$51</f>
        <v>3</v>
      </c>
      <c r="G53" s="4" t="inlineStr">
        <is>
          <t>単一回答</t>
        </is>
      </c>
    </row>
    <row r="54" ht="28" customHeight="1">
      <c r="A54" s="4" t="inlineStr">
        <is>
          <t>問8</t>
        </is>
      </c>
      <c r="B54" s="5" t="inlineStr">
        <is>
          <t>日常生活でお子さんの主な支援・介助・見守りをしている方はどなたですか</t>
        </is>
      </c>
      <c r="C54" s="5" t="inlineStr">
        <is>
          <t>祖父母</t>
        </is>
      </c>
      <c r="D54" s="30" t="n">
        <v>0</v>
      </c>
      <c r="E54" s="20">
        <f>IF($F54=0,0,D54/$F54)</f>
        <v>0</v>
      </c>
      <c r="F54" s="19">
        <f>$F$51</f>
        <v>3</v>
      </c>
      <c r="G54" s="4" t="inlineStr">
        <is>
          <t>単一回答</t>
        </is>
      </c>
    </row>
    <row r="55" ht="28" customHeight="1">
      <c r="A55" s="4" t="inlineStr">
        <is>
          <t>問8</t>
        </is>
      </c>
      <c r="B55" s="5" t="inlineStr">
        <is>
          <t>日常生活でお子さんの主な支援・介助・見守りをしている方はどなたですか</t>
        </is>
      </c>
      <c r="C55" s="5" t="inlineStr">
        <is>
          <t>その他の親族</t>
        </is>
      </c>
      <c r="D55" s="30" t="n">
        <v>0</v>
      </c>
      <c r="E55" s="20">
        <f>IF($F55=0,0,D55/$F55)</f>
        <v>0</v>
      </c>
      <c r="F55" s="19">
        <f>$F$51</f>
        <v>3</v>
      </c>
      <c r="G55" s="4" t="inlineStr">
        <is>
          <t>単一回答</t>
        </is>
      </c>
    </row>
    <row r="56" ht="28" customHeight="1">
      <c r="A56" s="4" t="inlineStr">
        <is>
          <t>問8</t>
        </is>
      </c>
      <c r="B56" s="5" t="inlineStr">
        <is>
          <t>日常生活でお子さんの主な支援・介助・見守りをしている方はどなたですか</t>
        </is>
      </c>
      <c r="C56" s="5" t="inlineStr">
        <is>
          <t>ホームヘルパー等</t>
        </is>
      </c>
      <c r="D56" s="30" t="n">
        <v>0</v>
      </c>
      <c r="E56" s="20">
        <f>IF($F56=0,0,D56/$F56)</f>
        <v>0</v>
      </c>
      <c r="F56" s="19">
        <f>$F$51</f>
        <v>3</v>
      </c>
      <c r="G56" s="4" t="inlineStr">
        <is>
          <t>単一回答</t>
        </is>
      </c>
    </row>
    <row r="57" ht="28" customHeight="1">
      <c r="A57" s="4" t="inlineStr">
        <is>
          <t>問8</t>
        </is>
      </c>
      <c r="B57" s="5" t="inlineStr">
        <is>
          <t>日常生活でお子さんの主な支援・介助・見守りをしている方はどなたですか</t>
        </is>
      </c>
      <c r="C57" s="5" t="inlineStr">
        <is>
          <t>保育所・幼稚園・認定こども園・学校の職員</t>
        </is>
      </c>
      <c r="D57" s="30" t="n">
        <v>0</v>
      </c>
      <c r="E57" s="20">
        <f>IF($F57=0,0,D57/$F57)</f>
        <v>0</v>
      </c>
      <c r="F57" s="19">
        <f>$F$51</f>
        <v>3</v>
      </c>
      <c r="G57" s="4" t="inlineStr">
        <is>
          <t>単一回答</t>
        </is>
      </c>
    </row>
    <row r="58" ht="28" customHeight="1">
      <c r="A58" s="4" t="inlineStr">
        <is>
          <t>問8</t>
        </is>
      </c>
      <c r="B58" s="5" t="inlineStr">
        <is>
          <t>日常生活でお子さんの主な支援・介助・見守りをしている方はどなたですか</t>
        </is>
      </c>
      <c r="C58" s="5" t="inlineStr">
        <is>
          <t>障がい福祉サービス・障がい児通所支援事業所などの職員</t>
        </is>
      </c>
      <c r="D58" s="30" t="n">
        <v>0</v>
      </c>
      <c r="E58" s="20">
        <f>IF($F58=0,0,D58/$F58)</f>
        <v>0</v>
      </c>
      <c r="F58" s="19">
        <f>$F$51</f>
        <v>3</v>
      </c>
      <c r="G58" s="4" t="inlineStr">
        <is>
          <t>単一回答</t>
        </is>
      </c>
    </row>
    <row r="59" ht="28" customHeight="1">
      <c r="A59" s="4" t="inlineStr">
        <is>
          <t>問8</t>
        </is>
      </c>
      <c r="B59" s="5" t="inlineStr">
        <is>
          <t>日常生活でお子さんの主な支援・介助・見守りをしている方はどなたですか</t>
        </is>
      </c>
      <c r="C59" s="5" t="inlineStr">
        <is>
          <t>その他</t>
        </is>
      </c>
      <c r="D59" s="30" t="n">
        <v>0</v>
      </c>
      <c r="E59" s="20">
        <f>IF($F59=0,0,D59/$F59)</f>
        <v>0</v>
      </c>
      <c r="F59" s="19">
        <f>$F$51</f>
        <v>3</v>
      </c>
      <c r="G59" s="4" t="inlineStr">
        <is>
          <t>単一回答</t>
        </is>
      </c>
    </row>
    <row r="60" ht="28" customHeight="1">
      <c r="A60" s="4" t="inlineStr">
        <is>
          <t>問8</t>
        </is>
      </c>
      <c r="B60" s="5" t="inlineStr">
        <is>
          <t>日常生活でお子さんの主な支援・介助・見守りをしている方はどなたですか</t>
        </is>
      </c>
      <c r="C60" s="5" t="inlineStr">
        <is>
          <t>無回答</t>
        </is>
      </c>
      <c r="D60" s="30" t="n">
        <v>0</v>
      </c>
      <c r="E60" s="20">
        <f>IF($F60=0,0,D60/$F60)</f>
        <v>0</v>
      </c>
      <c r="F60" s="19">
        <f>$F$51</f>
        <v>3</v>
      </c>
      <c r="G60" s="4" t="inlineStr">
        <is>
          <t>単一回答</t>
        </is>
      </c>
    </row>
    <row r="61" ht="28" customHeight="1">
      <c r="A61" s="4" t="inlineStr">
        <is>
          <t>問9</t>
        </is>
      </c>
      <c r="B61" s="5" t="inlineStr">
        <is>
          <t>お子さんは現在、どのように暮らしていますか（あてはまるものすべて）</t>
        </is>
      </c>
      <c r="C61" s="5" t="inlineStr">
        <is>
          <t>自宅で家族と暮らしている</t>
        </is>
      </c>
      <c r="D61" s="30" t="n">
        <v>3</v>
      </c>
      <c r="E61" s="20">
        <f>IF($F61=0,0,D61/$F61)</f>
        <v>1</v>
      </c>
      <c r="F61" s="30" t="n">
        <v>3</v>
      </c>
      <c r="G61" s="4" t="inlineStr">
        <is>
          <t>複数回答</t>
        </is>
      </c>
    </row>
    <row r="62" ht="28" customHeight="1">
      <c r="A62" s="4" t="inlineStr">
        <is>
          <t>問9</t>
        </is>
      </c>
      <c r="B62" s="5" t="inlineStr">
        <is>
          <t>お子さんは現在、どのように暮らしていますか（あてはまるものすべて）</t>
        </is>
      </c>
      <c r="C62" s="5" t="inlineStr">
        <is>
          <t>病院に入院中</t>
        </is>
      </c>
      <c r="D62" s="30" t="n">
        <v>0</v>
      </c>
      <c r="E62" s="20">
        <f>IF($F62=0,0,D62/$F62)</f>
        <v>0</v>
      </c>
      <c r="F62" s="19">
        <f>$F$61</f>
        <v>3</v>
      </c>
      <c r="G62" s="4" t="inlineStr">
        <is>
          <t>複数回答</t>
        </is>
      </c>
    </row>
    <row r="63" ht="28" customHeight="1">
      <c r="A63" s="4" t="inlineStr">
        <is>
          <t>問9</t>
        </is>
      </c>
      <c r="B63" s="5" t="inlineStr">
        <is>
          <t>お子さんは現在、どのように暮らしていますか（あてはまるものすべて）</t>
        </is>
      </c>
      <c r="C63" s="5" t="inlineStr">
        <is>
          <t>その他</t>
        </is>
      </c>
      <c r="D63" s="30" t="n">
        <v>0</v>
      </c>
      <c r="E63" s="20">
        <f>IF($F63=0,0,D63/$F63)</f>
        <v>0</v>
      </c>
      <c r="F63" s="19">
        <f>$F$61</f>
        <v>3</v>
      </c>
      <c r="G63" s="4" t="inlineStr">
        <is>
          <t>複数回答</t>
        </is>
      </c>
    </row>
    <row r="64" ht="28" customHeight="1">
      <c r="A64" s="4" t="inlineStr">
        <is>
          <t>問9</t>
        </is>
      </c>
      <c r="B64" s="5" t="inlineStr">
        <is>
          <t>お子さんは現在、どのように暮らしていますか（あてはまるものすべて）</t>
        </is>
      </c>
      <c r="C64" s="5" t="inlineStr">
        <is>
          <t>無回答</t>
        </is>
      </c>
      <c r="D64" s="30" t="n">
        <v>0</v>
      </c>
      <c r="E64" s="20">
        <f>IF($F64=0,0,D64/$F64)</f>
        <v>0</v>
      </c>
      <c r="F64" s="19">
        <f>$F$61</f>
        <v>3</v>
      </c>
      <c r="G64" s="4" t="inlineStr">
        <is>
          <t>複数回答</t>
        </is>
      </c>
    </row>
    <row r="65" ht="28" customHeight="1">
      <c r="A65" s="4" t="inlineStr">
        <is>
          <t>問10</t>
        </is>
      </c>
      <c r="B65" s="5" t="inlineStr">
        <is>
          <t>日常生活で困っていることは何ですか（あてはまるものすべて）</t>
        </is>
      </c>
      <c r="C65" s="5" t="inlineStr">
        <is>
          <t>家事</t>
        </is>
      </c>
      <c r="D65" s="30" t="n">
        <v>1</v>
      </c>
      <c r="E65" s="20">
        <f>IF($F65=0,0,D65/$F65)</f>
        <v>0.333333333333333</v>
      </c>
      <c r="F65" s="30" t="n">
        <v>3</v>
      </c>
      <c r="G65" s="4" t="inlineStr">
        <is>
          <t>複数回答</t>
        </is>
      </c>
    </row>
    <row r="66" ht="28" customHeight="1">
      <c r="A66" s="4" t="inlineStr">
        <is>
          <t>問10</t>
        </is>
      </c>
      <c r="B66" s="5" t="inlineStr">
        <is>
          <t>日常生活で困っていることは何ですか（あてはまるものすべて）</t>
        </is>
      </c>
      <c r="C66" s="5" t="inlineStr">
        <is>
          <t>食事</t>
        </is>
      </c>
      <c r="D66" s="30" t="n">
        <v>1</v>
      </c>
      <c r="E66" s="20">
        <f>IF($F66=0,0,D66/$F66)</f>
        <v>0.333333333333333</v>
      </c>
      <c r="F66" s="19">
        <f>$F$65</f>
        <v>3</v>
      </c>
      <c r="G66" s="4" t="inlineStr">
        <is>
          <t>複数回答</t>
        </is>
      </c>
    </row>
    <row r="67" ht="28" customHeight="1">
      <c r="A67" s="4" t="inlineStr">
        <is>
          <t>問10</t>
        </is>
      </c>
      <c r="B67" s="5" t="inlineStr">
        <is>
          <t>日常生活で困っていることは何ですか（あてはまるものすべて）</t>
        </is>
      </c>
      <c r="C67" s="5" t="inlineStr">
        <is>
          <t>入浴</t>
        </is>
      </c>
      <c r="D67" s="30" t="n">
        <v>1</v>
      </c>
      <c r="E67" s="20">
        <f>IF($F67=0,0,D67/$F67)</f>
        <v>0.333333333333333</v>
      </c>
      <c r="F67" s="19">
        <f>$F$65</f>
        <v>3</v>
      </c>
      <c r="G67" s="4" t="inlineStr">
        <is>
          <t>複数回答</t>
        </is>
      </c>
    </row>
    <row r="68" ht="28" customHeight="1">
      <c r="A68" s="4" t="inlineStr">
        <is>
          <t>問10</t>
        </is>
      </c>
      <c r="B68" s="5" t="inlineStr">
        <is>
          <t>日常生活で困っていることは何ですか（あてはまるものすべて）</t>
        </is>
      </c>
      <c r="C68" s="5" t="inlineStr">
        <is>
          <t>排せつ</t>
        </is>
      </c>
      <c r="D68" s="30" t="n">
        <v>1</v>
      </c>
      <c r="E68" s="20">
        <f>IF($F68=0,0,D68/$F68)</f>
        <v>0.333333333333333</v>
      </c>
      <c r="F68" s="19">
        <f>$F$65</f>
        <v>3</v>
      </c>
      <c r="G68" s="4" t="inlineStr">
        <is>
          <t>複数回答</t>
        </is>
      </c>
    </row>
    <row r="69" ht="28" customHeight="1">
      <c r="A69" s="4" t="inlineStr">
        <is>
          <t>問10</t>
        </is>
      </c>
      <c r="B69" s="5" t="inlineStr">
        <is>
          <t>日常生活で困っていることは何ですか（あてはまるものすべて）</t>
        </is>
      </c>
      <c r="C69" s="5" t="inlineStr">
        <is>
          <t>服薬管理</t>
        </is>
      </c>
      <c r="D69" s="30" t="n">
        <v>1</v>
      </c>
      <c r="E69" s="20">
        <f>IF($F69=0,0,D69/$F69)</f>
        <v>0.333333333333333</v>
      </c>
      <c r="F69" s="19">
        <f>$F$65</f>
        <v>3</v>
      </c>
      <c r="G69" s="4" t="inlineStr">
        <is>
          <t>複数回答</t>
        </is>
      </c>
    </row>
    <row r="70" ht="28" customHeight="1">
      <c r="A70" s="4" t="inlineStr">
        <is>
          <t>問10</t>
        </is>
      </c>
      <c r="B70" s="5" t="inlineStr">
        <is>
          <t>日常生活で困っていることは何ですか（あてはまるものすべて）</t>
        </is>
      </c>
      <c r="C70" s="5" t="inlineStr">
        <is>
          <t>金銭管理</t>
        </is>
      </c>
      <c r="D70" s="30" t="n">
        <v>1</v>
      </c>
      <c r="E70" s="20">
        <f>IF($F70=0,0,D70/$F70)</f>
        <v>0.333333333333333</v>
      </c>
      <c r="F70" s="19">
        <f>$F$65</f>
        <v>3</v>
      </c>
      <c r="G70" s="4" t="inlineStr">
        <is>
          <t>複数回答</t>
        </is>
      </c>
    </row>
    <row r="71" ht="28" customHeight="1">
      <c r="A71" s="4" t="inlineStr">
        <is>
          <t>問10</t>
        </is>
      </c>
      <c r="B71" s="5" t="inlineStr">
        <is>
          <t>日常生活で困っていることは何ですか（あてはまるものすべて）</t>
        </is>
      </c>
      <c r="C71" s="5" t="inlineStr">
        <is>
          <t>通院</t>
        </is>
      </c>
      <c r="D71" s="30" t="n">
        <v>1</v>
      </c>
      <c r="E71" s="20">
        <f>IF($F71=0,0,D71/$F71)</f>
        <v>0.333333333333333</v>
      </c>
      <c r="F71" s="19">
        <f>$F$65</f>
        <v>3</v>
      </c>
      <c r="G71" s="4" t="inlineStr">
        <is>
          <t>複数回答</t>
        </is>
      </c>
    </row>
    <row r="72" ht="28" customHeight="1">
      <c r="A72" s="4" t="inlineStr">
        <is>
          <t>問10</t>
        </is>
      </c>
      <c r="B72" s="5" t="inlineStr">
        <is>
          <t>日常生活で困っていることは何ですか（あてはまるものすべて）</t>
        </is>
      </c>
      <c r="C72" s="5" t="inlineStr">
        <is>
          <t>外出・移動</t>
        </is>
      </c>
      <c r="D72" s="30" t="n">
        <v>1</v>
      </c>
      <c r="E72" s="20">
        <f>IF($F72=0,0,D72/$F72)</f>
        <v>0.333333333333333</v>
      </c>
      <c r="F72" s="19">
        <f>$F$65</f>
        <v>3</v>
      </c>
      <c r="G72" s="4" t="inlineStr">
        <is>
          <t>複数回答</t>
        </is>
      </c>
    </row>
    <row r="73" ht="28" customHeight="1">
      <c r="A73" s="4" t="inlineStr">
        <is>
          <t>問10</t>
        </is>
      </c>
      <c r="B73" s="5" t="inlineStr">
        <is>
          <t>日常生活で困っていることは何ですか（あてはまるものすべて）</t>
        </is>
      </c>
      <c r="C73" s="5" t="inlineStr">
        <is>
          <t>買い物</t>
        </is>
      </c>
      <c r="D73" s="30" t="n">
        <v>1</v>
      </c>
      <c r="E73" s="20">
        <f>IF($F73=0,0,D73/$F73)</f>
        <v>0.333333333333333</v>
      </c>
      <c r="F73" s="19">
        <f>$F$65</f>
        <v>3</v>
      </c>
      <c r="G73" s="4" t="inlineStr">
        <is>
          <t>複数回答</t>
        </is>
      </c>
    </row>
    <row r="74" ht="28" customHeight="1">
      <c r="A74" s="4" t="inlineStr">
        <is>
          <t>問10</t>
        </is>
      </c>
      <c r="B74" s="5" t="inlineStr">
        <is>
          <t>日常生活で困っていることは何ですか（あてはまるものすべて）</t>
        </is>
      </c>
      <c r="C74" s="5" t="inlineStr">
        <is>
          <t>災害時の避難</t>
        </is>
      </c>
      <c r="D74" s="30" t="n">
        <v>1</v>
      </c>
      <c r="E74" s="20">
        <f>IF($F74=0,0,D74/$F74)</f>
        <v>0.333333333333333</v>
      </c>
      <c r="F74" s="19">
        <f>$F$65</f>
        <v>3</v>
      </c>
      <c r="G74" s="4" t="inlineStr">
        <is>
          <t>複数回答</t>
        </is>
      </c>
    </row>
    <row r="75" ht="28" customHeight="1">
      <c r="A75" s="4" t="inlineStr">
        <is>
          <t>問10</t>
        </is>
      </c>
      <c r="B75" s="5" t="inlineStr">
        <is>
          <t>日常生活で困っていることは何ですか（あてはまるものすべて）</t>
        </is>
      </c>
      <c r="C75" s="5" t="inlineStr">
        <is>
          <t>相談先がない</t>
        </is>
      </c>
      <c r="D75" s="30" t="n">
        <v>0</v>
      </c>
      <c r="E75" s="20">
        <f>IF($F75=0,0,D75/$F75)</f>
        <v>0</v>
      </c>
      <c r="F75" s="19">
        <f>$F$65</f>
        <v>3</v>
      </c>
      <c r="G75" s="4" t="inlineStr">
        <is>
          <t>複数回答</t>
        </is>
      </c>
    </row>
    <row r="76" ht="28" customHeight="1">
      <c r="A76" s="4" t="inlineStr">
        <is>
          <t>問10</t>
        </is>
      </c>
      <c r="B76" s="5" t="inlineStr">
        <is>
          <t>日常生活で困っていることは何ですか（あてはまるものすべて）</t>
        </is>
      </c>
      <c r="C76" s="5" t="inlineStr">
        <is>
          <t>将来の生活</t>
        </is>
      </c>
      <c r="D76" s="30" t="n">
        <v>3</v>
      </c>
      <c r="E76" s="20">
        <f>IF($F76=0,0,D76/$F76)</f>
        <v>1</v>
      </c>
      <c r="F76" s="19">
        <f>$F$65</f>
        <v>3</v>
      </c>
      <c r="G76" s="4" t="inlineStr">
        <is>
          <t>複数回答</t>
        </is>
      </c>
    </row>
    <row r="77" ht="28" customHeight="1">
      <c r="A77" s="4" t="inlineStr">
        <is>
          <t>問10</t>
        </is>
      </c>
      <c r="B77" s="5" t="inlineStr">
        <is>
          <t>日常生活で困っていることは何ですか（あてはまるものすべて）</t>
        </is>
      </c>
      <c r="C77" s="5" t="inlineStr">
        <is>
          <t>特にない</t>
        </is>
      </c>
      <c r="D77" s="30" t="n">
        <v>0</v>
      </c>
      <c r="E77" s="20">
        <f>IF($F77=0,0,D77/$F77)</f>
        <v>0</v>
      </c>
      <c r="F77" s="19">
        <f>$F$65</f>
        <v>3</v>
      </c>
      <c r="G77" s="4" t="inlineStr">
        <is>
          <t>複数回答</t>
        </is>
      </c>
    </row>
    <row r="78" ht="28" customHeight="1">
      <c r="A78" s="4" t="inlineStr">
        <is>
          <t>問10</t>
        </is>
      </c>
      <c r="B78" s="5" t="inlineStr">
        <is>
          <t>日常生活で困っていることは何ですか（あてはまるものすべて）</t>
        </is>
      </c>
      <c r="C78" s="5" t="inlineStr">
        <is>
          <t>その他</t>
        </is>
      </c>
      <c r="D78" s="30" t="n">
        <v>1</v>
      </c>
      <c r="E78" s="20">
        <f>IF($F78=0,0,D78/$F78)</f>
        <v>0.333333333333333</v>
      </c>
      <c r="F78" s="19">
        <f>$F$65</f>
        <v>3</v>
      </c>
      <c r="G78" s="4" t="inlineStr">
        <is>
          <t>複数回答</t>
        </is>
      </c>
    </row>
    <row r="79" ht="28" customHeight="1">
      <c r="A79" s="4" t="inlineStr">
        <is>
          <t>問10</t>
        </is>
      </c>
      <c r="B79" s="5" t="inlineStr">
        <is>
          <t>日常生活で困っていることは何ですか（あてはまるものすべて）</t>
        </is>
      </c>
      <c r="C79" s="5" t="inlineStr">
        <is>
          <t>無回答</t>
        </is>
      </c>
      <c r="D79" s="30" t="n">
        <v>0</v>
      </c>
      <c r="E79" s="20">
        <f>IF($F79=0,0,D79/$F79)</f>
        <v>0</v>
      </c>
      <c r="F79" s="19">
        <f>$F$65</f>
        <v>3</v>
      </c>
      <c r="G79" s="4" t="inlineStr">
        <is>
          <t>複数回答</t>
        </is>
      </c>
    </row>
    <row r="80" ht="16" customHeight="1">
      <c r="A80" s="4" t="inlineStr">
        <is>
          <t>問11</t>
        </is>
      </c>
      <c r="B80" s="5" t="inlineStr">
        <is>
          <t>18歳になったら、どのような暮らし方を希望しますか</t>
        </is>
      </c>
      <c r="C80" s="5" t="inlineStr">
        <is>
          <t>家族と一緒に暮らしたい</t>
        </is>
      </c>
      <c r="D80" s="30" t="n">
        <v>0</v>
      </c>
      <c r="E80" s="20">
        <f>IF($F80=0,0,D80/$F80)</f>
        <v>0</v>
      </c>
      <c r="F80" s="30" t="n">
        <v>3</v>
      </c>
      <c r="G80" s="4" t="inlineStr">
        <is>
          <t>単一回答</t>
        </is>
      </c>
    </row>
    <row r="81" ht="16" customHeight="1">
      <c r="A81" s="4" t="inlineStr">
        <is>
          <t>問11</t>
        </is>
      </c>
      <c r="B81" s="5" t="inlineStr">
        <is>
          <t>18歳になったら、どのような暮らし方を希望しますか</t>
        </is>
      </c>
      <c r="C81" s="5" t="inlineStr">
        <is>
          <t>一人暮らしをしたい</t>
        </is>
      </c>
      <c r="D81" s="30" t="n">
        <v>1</v>
      </c>
      <c r="E81" s="20">
        <f>IF($F81=0,0,D81/$F81)</f>
        <v>0.333333333333333</v>
      </c>
      <c r="F81" s="19">
        <f>$F$80</f>
        <v>3</v>
      </c>
      <c r="G81" s="4" t="inlineStr">
        <is>
          <t>単一回答</t>
        </is>
      </c>
    </row>
    <row r="82" ht="16" customHeight="1">
      <c r="A82" s="4" t="inlineStr">
        <is>
          <t>問11</t>
        </is>
      </c>
      <c r="B82" s="5" t="inlineStr">
        <is>
          <t>18歳になったら、どのような暮らし方を希望しますか</t>
        </is>
      </c>
      <c r="C82" s="5" t="inlineStr">
        <is>
          <t>グループホームで暮らしたい</t>
        </is>
      </c>
      <c r="D82" s="30" t="n">
        <v>0</v>
      </c>
      <c r="E82" s="20">
        <f>IF($F82=0,0,D82/$F82)</f>
        <v>0</v>
      </c>
      <c r="F82" s="19">
        <f>$F$80</f>
        <v>3</v>
      </c>
      <c r="G82" s="4" t="inlineStr">
        <is>
          <t>単一回答</t>
        </is>
      </c>
    </row>
    <row r="83" ht="16" customHeight="1">
      <c r="A83" s="4" t="inlineStr">
        <is>
          <t>問11</t>
        </is>
      </c>
      <c r="B83" s="5" t="inlineStr">
        <is>
          <t>18歳になったら、どのような暮らし方を希望しますか</t>
        </is>
      </c>
      <c r="C83" s="5" t="inlineStr">
        <is>
          <t>障がい者支援施設等で暮らしたい</t>
        </is>
      </c>
      <c r="D83" s="30" t="n">
        <v>0</v>
      </c>
      <c r="E83" s="20">
        <f>IF($F83=0,0,D83/$F83)</f>
        <v>0</v>
      </c>
      <c r="F83" s="19">
        <f>$F$80</f>
        <v>3</v>
      </c>
      <c r="G83" s="4" t="inlineStr">
        <is>
          <t>単一回答</t>
        </is>
      </c>
    </row>
    <row r="84" ht="16" customHeight="1">
      <c r="A84" s="4" t="inlineStr">
        <is>
          <t>問11</t>
        </is>
      </c>
      <c r="B84" s="5" t="inlineStr">
        <is>
          <t>18歳になったら、どのような暮らし方を希望しますか</t>
        </is>
      </c>
      <c r="C84" s="5" t="inlineStr">
        <is>
          <t>病院・施設から地域で暮らしたい</t>
        </is>
      </c>
      <c r="D84" s="30" t="n">
        <v>0</v>
      </c>
      <c r="E84" s="20">
        <f>IF($F84=0,0,D84/$F84)</f>
        <v>0</v>
      </c>
      <c r="F84" s="19">
        <f>$F$80</f>
        <v>3</v>
      </c>
      <c r="G84" s="4" t="inlineStr">
        <is>
          <t>単一回答</t>
        </is>
      </c>
    </row>
    <row r="85" ht="16" customHeight="1">
      <c r="A85" s="4" t="inlineStr">
        <is>
          <t>問11</t>
        </is>
      </c>
      <c r="B85" s="5" t="inlineStr">
        <is>
          <t>18歳になったら、どのような暮らし方を希望しますか</t>
        </is>
      </c>
      <c r="C85" s="5" t="inlineStr">
        <is>
          <t>まだわからない</t>
        </is>
      </c>
      <c r="D85" s="30" t="n">
        <v>1</v>
      </c>
      <c r="E85" s="20">
        <f>IF($F85=0,0,D85/$F85)</f>
        <v>0.333333333333333</v>
      </c>
      <c r="F85" s="19">
        <f>$F$80</f>
        <v>3</v>
      </c>
      <c r="G85" s="4" t="inlineStr">
        <is>
          <t>単一回答</t>
        </is>
      </c>
    </row>
    <row r="86" ht="16" customHeight="1">
      <c r="A86" s="4" t="inlineStr">
        <is>
          <t>問11</t>
        </is>
      </c>
      <c r="B86" s="5" t="inlineStr">
        <is>
          <t>18歳になったら、どのような暮らし方を希望しますか</t>
        </is>
      </c>
      <c r="C86" s="5" t="inlineStr">
        <is>
          <t>その他</t>
        </is>
      </c>
      <c r="D86" s="30" t="n">
        <v>1</v>
      </c>
      <c r="E86" s="20">
        <f>IF($F86=0,0,D86/$F86)</f>
        <v>0.333333333333333</v>
      </c>
      <c r="F86" s="19">
        <f>$F$80</f>
        <v>3</v>
      </c>
      <c r="G86" s="4" t="inlineStr">
        <is>
          <t>単一回答</t>
        </is>
      </c>
    </row>
    <row r="87" ht="16" customHeight="1">
      <c r="A87" s="4" t="inlineStr">
        <is>
          <t>問11</t>
        </is>
      </c>
      <c r="B87" s="5" t="inlineStr">
        <is>
          <t>18歳になったら、どのような暮らし方を希望しますか</t>
        </is>
      </c>
      <c r="C87" s="5" t="inlineStr">
        <is>
          <t>無回答</t>
        </is>
      </c>
      <c r="D87" s="30" t="n">
        <v>0</v>
      </c>
      <c r="E87" s="20">
        <f>IF($F87=0,0,D87/$F87)</f>
        <v>0</v>
      </c>
      <c r="F87" s="19">
        <f>$F$80</f>
        <v>3</v>
      </c>
      <c r="G87" s="4" t="inlineStr">
        <is>
          <t>単一回答</t>
        </is>
      </c>
    </row>
    <row r="88" ht="16" customHeight="1">
      <c r="A88" s="4" t="inlineStr">
        <is>
          <t>問12</t>
        </is>
      </c>
      <c r="B88" s="5" t="inlineStr">
        <is>
          <t>外出の頻度を教えてください</t>
        </is>
      </c>
      <c r="C88" s="5" t="inlineStr">
        <is>
          <t>ほぼ毎日</t>
        </is>
      </c>
      <c r="D88" s="30" t="n">
        <v>1</v>
      </c>
      <c r="E88" s="20">
        <f>IF($F88=0,0,D88/$F88)</f>
        <v>0.333333333333333</v>
      </c>
      <c r="F88" s="30" t="n">
        <v>3</v>
      </c>
      <c r="G88" s="4" t="inlineStr">
        <is>
          <t>単一回答</t>
        </is>
      </c>
    </row>
    <row r="89" ht="16" customHeight="1">
      <c r="A89" s="4" t="inlineStr">
        <is>
          <t>問12</t>
        </is>
      </c>
      <c r="B89" s="5" t="inlineStr">
        <is>
          <t>外出の頻度を教えてください</t>
        </is>
      </c>
      <c r="C89" s="5" t="inlineStr">
        <is>
          <t>週に2～4回</t>
        </is>
      </c>
      <c r="D89" s="30" t="n">
        <v>1</v>
      </c>
      <c r="E89" s="20">
        <f>IF($F89=0,0,D89/$F89)</f>
        <v>0.333333333333333</v>
      </c>
      <c r="F89" s="19">
        <f>$F$88</f>
        <v>3</v>
      </c>
      <c r="G89" s="4" t="inlineStr">
        <is>
          <t>単一回答</t>
        </is>
      </c>
    </row>
    <row r="90" ht="16" customHeight="1">
      <c r="A90" s="4" t="inlineStr">
        <is>
          <t>問12</t>
        </is>
      </c>
      <c r="B90" s="5" t="inlineStr">
        <is>
          <t>外出の頻度を教えてください</t>
        </is>
      </c>
      <c r="C90" s="5" t="inlineStr">
        <is>
          <t>週に1回程度</t>
        </is>
      </c>
      <c r="D90" s="30" t="n">
        <v>1</v>
      </c>
      <c r="E90" s="20">
        <f>IF($F90=0,0,D90/$F90)</f>
        <v>0.333333333333333</v>
      </c>
      <c r="F90" s="19">
        <f>$F$88</f>
        <v>3</v>
      </c>
      <c r="G90" s="4" t="inlineStr">
        <is>
          <t>単一回答</t>
        </is>
      </c>
    </row>
    <row r="91" ht="16" customHeight="1">
      <c r="A91" s="4" t="inlineStr">
        <is>
          <t>問12</t>
        </is>
      </c>
      <c r="B91" s="5" t="inlineStr">
        <is>
          <t>外出の頻度を教えてください</t>
        </is>
      </c>
      <c r="C91" s="5" t="inlineStr">
        <is>
          <t>月に数回</t>
        </is>
      </c>
      <c r="D91" s="30" t="n">
        <v>0</v>
      </c>
      <c r="E91" s="20">
        <f>IF($F91=0,0,D91/$F91)</f>
        <v>0</v>
      </c>
      <c r="F91" s="19">
        <f>$F$88</f>
        <v>3</v>
      </c>
      <c r="G91" s="4" t="inlineStr">
        <is>
          <t>単一回答</t>
        </is>
      </c>
    </row>
    <row r="92" ht="16" customHeight="1">
      <c r="A92" s="4" t="inlineStr">
        <is>
          <t>問12</t>
        </is>
      </c>
      <c r="B92" s="5" t="inlineStr">
        <is>
          <t>外出の頻度を教えてください</t>
        </is>
      </c>
      <c r="C92" s="5" t="inlineStr">
        <is>
          <t>ほとんど外出しない</t>
        </is>
      </c>
      <c r="D92" s="30" t="n">
        <v>0</v>
      </c>
      <c r="E92" s="20">
        <f>IF($F92=0,0,D92/$F92)</f>
        <v>0</v>
      </c>
      <c r="F92" s="19">
        <f>$F$88</f>
        <v>3</v>
      </c>
      <c r="G92" s="4" t="inlineStr">
        <is>
          <t>単一回答</t>
        </is>
      </c>
    </row>
    <row r="93" ht="16" customHeight="1">
      <c r="A93" s="4" t="inlineStr">
        <is>
          <t>問12</t>
        </is>
      </c>
      <c r="B93" s="5" t="inlineStr">
        <is>
          <t>外出の頻度を教えてください</t>
        </is>
      </c>
      <c r="C93" s="5" t="inlineStr">
        <is>
          <t>無回答</t>
        </is>
      </c>
      <c r="D93" s="30" t="n">
        <v>0</v>
      </c>
      <c r="E93" s="20">
        <f>IF($F93=0,0,D93/$F93)</f>
        <v>0</v>
      </c>
      <c r="F93" s="19">
        <f>$F$88</f>
        <v>3</v>
      </c>
      <c r="G93" s="4" t="inlineStr">
        <is>
          <t>単一回答</t>
        </is>
      </c>
    </row>
    <row r="94" ht="28" customHeight="1">
      <c r="A94" s="4" t="inlineStr">
        <is>
          <t>問13</t>
        </is>
      </c>
      <c r="B94" s="5" t="inlineStr">
        <is>
          <t>外出時の主な移動手段を教えてください（あてはまるものすべて）</t>
        </is>
      </c>
      <c r="C94" s="5" t="inlineStr">
        <is>
          <t>家族の送迎</t>
        </is>
      </c>
      <c r="D94" s="30" t="n">
        <v>3</v>
      </c>
      <c r="E94" s="20">
        <f>IF($F94=0,0,D94/$F94)</f>
        <v>1</v>
      </c>
      <c r="F94" s="30" t="n">
        <v>3</v>
      </c>
      <c r="G94" s="4" t="inlineStr">
        <is>
          <t>複数回答</t>
        </is>
      </c>
    </row>
    <row r="95" ht="28" customHeight="1">
      <c r="A95" s="4" t="inlineStr">
        <is>
          <t>問13</t>
        </is>
      </c>
      <c r="B95" s="5" t="inlineStr">
        <is>
          <t>外出時の主な移動手段を教えてください（あてはまるものすべて）</t>
        </is>
      </c>
      <c r="C95" s="5" t="inlineStr">
        <is>
          <t>徒歩</t>
        </is>
      </c>
      <c r="D95" s="30" t="n">
        <v>2</v>
      </c>
      <c r="E95" s="20">
        <f>IF($F95=0,0,D95/$F95)</f>
        <v>0.666666666666667</v>
      </c>
      <c r="F95" s="19">
        <f>$F$94</f>
        <v>3</v>
      </c>
      <c r="G95" s="4" t="inlineStr">
        <is>
          <t>複数回答</t>
        </is>
      </c>
    </row>
    <row r="96" ht="28" customHeight="1">
      <c r="A96" s="4" t="inlineStr">
        <is>
          <t>問13</t>
        </is>
      </c>
      <c r="B96" s="5" t="inlineStr">
        <is>
          <t>外出時の主な移動手段を教えてください（あてはまるものすべて）</t>
        </is>
      </c>
      <c r="C96" s="5" t="inlineStr">
        <is>
          <t>自転車</t>
        </is>
      </c>
      <c r="D96" s="30" t="n">
        <v>1</v>
      </c>
      <c r="E96" s="20">
        <f>IF($F96=0,0,D96/$F96)</f>
        <v>0.333333333333333</v>
      </c>
      <c r="F96" s="19">
        <f>$F$94</f>
        <v>3</v>
      </c>
      <c r="G96" s="4" t="inlineStr">
        <is>
          <t>複数回答</t>
        </is>
      </c>
    </row>
    <row r="97" ht="28" customHeight="1">
      <c r="A97" s="4" t="inlineStr">
        <is>
          <t>問13</t>
        </is>
      </c>
      <c r="B97" s="5" t="inlineStr">
        <is>
          <t>外出時の主な移動手段を教えてください（あてはまるものすべて）</t>
        </is>
      </c>
      <c r="C97" s="5" t="inlineStr">
        <is>
          <t>路線バス</t>
        </is>
      </c>
      <c r="D97" s="30" t="n">
        <v>1</v>
      </c>
      <c r="E97" s="20">
        <f>IF($F97=0,0,D97/$F97)</f>
        <v>0.333333333333333</v>
      </c>
      <c r="F97" s="19">
        <f>$F$94</f>
        <v>3</v>
      </c>
      <c r="G97" s="4" t="inlineStr">
        <is>
          <t>複数回答</t>
        </is>
      </c>
    </row>
    <row r="98" ht="28" customHeight="1">
      <c r="A98" s="4" t="inlineStr">
        <is>
          <t>問13</t>
        </is>
      </c>
      <c r="B98" s="5" t="inlineStr">
        <is>
          <t>外出時の主な移動手段を教えてください（あてはまるものすべて）</t>
        </is>
      </c>
      <c r="C98" s="5" t="inlineStr">
        <is>
          <t>タクシー</t>
        </is>
      </c>
      <c r="D98" s="30" t="n">
        <v>0</v>
      </c>
      <c r="E98" s="20">
        <f>IF($F98=0,0,D98/$F98)</f>
        <v>0</v>
      </c>
      <c r="F98" s="19">
        <f>$F$94</f>
        <v>3</v>
      </c>
      <c r="G98" s="4" t="inlineStr">
        <is>
          <t>複数回答</t>
        </is>
      </c>
    </row>
    <row r="99" ht="28" customHeight="1">
      <c r="A99" s="4" t="inlineStr">
        <is>
          <t>問13</t>
        </is>
      </c>
      <c r="B99" s="5" t="inlineStr">
        <is>
          <t>外出時の主な移動手段を教えてください（あてはまるものすべて）</t>
        </is>
      </c>
      <c r="C99" s="5" t="inlineStr">
        <is>
          <t>福祉タクシー等</t>
        </is>
      </c>
      <c r="D99" s="30" t="n">
        <v>0</v>
      </c>
      <c r="E99" s="20">
        <f>IF($F99=0,0,D99/$F99)</f>
        <v>0</v>
      </c>
      <c r="F99" s="19">
        <f>$F$94</f>
        <v>3</v>
      </c>
      <c r="G99" s="4" t="inlineStr">
        <is>
          <t>複数回答</t>
        </is>
      </c>
    </row>
    <row r="100" ht="28" customHeight="1">
      <c r="A100" s="4" t="inlineStr">
        <is>
          <t>問13</t>
        </is>
      </c>
      <c r="B100" s="5" t="inlineStr">
        <is>
          <t>外出時の主な移動手段を教えてください（あてはまるものすべて）</t>
        </is>
      </c>
      <c r="C100" s="5" t="inlineStr">
        <is>
          <t>事業所・施設の送迎</t>
        </is>
      </c>
      <c r="D100" s="30" t="n">
        <v>0</v>
      </c>
      <c r="E100" s="20">
        <f>IF($F100=0,0,D100/$F100)</f>
        <v>0</v>
      </c>
      <c r="F100" s="19">
        <f>$F$94</f>
        <v>3</v>
      </c>
      <c r="G100" s="4" t="inlineStr">
        <is>
          <t>複数回答</t>
        </is>
      </c>
    </row>
    <row r="101" ht="28" customHeight="1">
      <c r="A101" s="4" t="inlineStr">
        <is>
          <t>問13</t>
        </is>
      </c>
      <c r="B101" s="5" t="inlineStr">
        <is>
          <t>外出時の主な移動手段を教えてください（あてはまるものすべて）</t>
        </is>
      </c>
      <c r="C101" s="5" t="inlineStr">
        <is>
          <t>その他</t>
        </is>
      </c>
      <c r="D101" s="30" t="n">
        <v>0</v>
      </c>
      <c r="E101" s="20">
        <f>IF($F101=0,0,D101/$F101)</f>
        <v>0</v>
      </c>
      <c r="F101" s="19">
        <f>$F$94</f>
        <v>3</v>
      </c>
      <c r="G101" s="4" t="inlineStr">
        <is>
          <t>複数回答</t>
        </is>
      </c>
    </row>
    <row r="102" ht="28" customHeight="1">
      <c r="A102" s="4" t="inlineStr">
        <is>
          <t>問13</t>
        </is>
      </c>
      <c r="B102" s="5" t="inlineStr">
        <is>
          <t>外出時の主な移動手段を教えてください（あてはまるものすべて）</t>
        </is>
      </c>
      <c r="C102" s="5" t="inlineStr">
        <is>
          <t>無回答</t>
        </is>
      </c>
      <c r="D102" s="30" t="n">
        <v>0</v>
      </c>
      <c r="E102" s="20">
        <f>IF($F102=0,0,D102/$F102)</f>
        <v>0</v>
      </c>
      <c r="F102" s="19">
        <f>$F$94</f>
        <v>3</v>
      </c>
      <c r="G102" s="4" t="inlineStr">
        <is>
          <t>複数回答</t>
        </is>
      </c>
    </row>
    <row r="103" ht="28" customHeight="1">
      <c r="A103" s="4" t="inlineStr">
        <is>
          <t>問14</t>
        </is>
      </c>
      <c r="B103" s="5" t="inlineStr">
        <is>
          <t>外出するときに困ることは何ですか（あてはまるものすべて）</t>
        </is>
      </c>
      <c r="C103" s="5" t="inlineStr">
        <is>
          <t>交通手段が少ない</t>
        </is>
      </c>
      <c r="D103" s="30" t="n">
        <v>2</v>
      </c>
      <c r="E103" s="20">
        <f>IF($F103=0,0,D103/$F103)</f>
        <v>0.666666666666667</v>
      </c>
      <c r="F103" s="30" t="n">
        <v>3</v>
      </c>
      <c r="G103" s="4" t="inlineStr">
        <is>
          <t>複数回答</t>
        </is>
      </c>
    </row>
    <row r="104" ht="28" customHeight="1">
      <c r="A104" s="4" t="inlineStr">
        <is>
          <t>問14</t>
        </is>
      </c>
      <c r="B104" s="5" t="inlineStr">
        <is>
          <t>外出するときに困ることは何ですか（あてはまるものすべて）</t>
        </is>
      </c>
      <c r="C104" s="5" t="inlineStr">
        <is>
          <t>家族等の付き添いが必要</t>
        </is>
      </c>
      <c r="D104" s="30" t="n">
        <v>2</v>
      </c>
      <c r="E104" s="20">
        <f>IF($F104=0,0,D104/$F104)</f>
        <v>0.666666666666667</v>
      </c>
      <c r="F104" s="19">
        <f>$F$103</f>
        <v>3</v>
      </c>
      <c r="G104" s="4" t="inlineStr">
        <is>
          <t>複数回答</t>
        </is>
      </c>
    </row>
    <row r="105" ht="28" customHeight="1">
      <c r="A105" s="4" t="inlineStr">
        <is>
          <t>問14</t>
        </is>
      </c>
      <c r="B105" s="5" t="inlineStr">
        <is>
          <t>外出するときに困ることは何ですか（あてはまるものすべて）</t>
        </is>
      </c>
      <c r="C105" s="5" t="inlineStr">
        <is>
          <t>送迎がない</t>
        </is>
      </c>
      <c r="D105" s="30" t="n">
        <v>1</v>
      </c>
      <c r="E105" s="20">
        <f>IF($F105=0,0,D105/$F105)</f>
        <v>0.333333333333333</v>
      </c>
      <c r="F105" s="19">
        <f>$F$103</f>
        <v>3</v>
      </c>
      <c r="G105" s="4" t="inlineStr">
        <is>
          <t>複数回答</t>
        </is>
      </c>
    </row>
    <row r="106" ht="28" customHeight="1">
      <c r="A106" s="4" t="inlineStr">
        <is>
          <t>問14</t>
        </is>
      </c>
      <c r="B106" s="5" t="inlineStr">
        <is>
          <t>外出するときに困ることは何ですか（あてはまるものすべて）</t>
        </is>
      </c>
      <c r="C106" s="5" t="inlineStr">
        <is>
          <t>冬季・積雪時に外出しにくい</t>
        </is>
      </c>
      <c r="D106" s="30" t="n">
        <v>1</v>
      </c>
      <c r="E106" s="20">
        <f>IF($F106=0,0,D106/$F106)</f>
        <v>0.333333333333333</v>
      </c>
      <c r="F106" s="19">
        <f>$F$103</f>
        <v>3</v>
      </c>
      <c r="G106" s="4" t="inlineStr">
        <is>
          <t>複数回答</t>
        </is>
      </c>
    </row>
    <row r="107" ht="28" customHeight="1">
      <c r="A107" s="4" t="inlineStr">
        <is>
          <t>問14</t>
        </is>
      </c>
      <c r="B107" s="5" t="inlineStr">
        <is>
          <t>外出するときに困ることは何ですか（あてはまるものすべて）</t>
        </is>
      </c>
      <c r="C107" s="5" t="inlineStr">
        <is>
          <t>道路・建物が利用しにくい</t>
        </is>
      </c>
      <c r="D107" s="30" t="n">
        <v>0</v>
      </c>
      <c r="E107" s="20">
        <f>IF($F107=0,0,D107/$F107)</f>
        <v>0</v>
      </c>
      <c r="F107" s="19">
        <f>$F$103</f>
        <v>3</v>
      </c>
      <c r="G107" s="4" t="inlineStr">
        <is>
          <t>複数回答</t>
        </is>
      </c>
    </row>
    <row r="108" ht="28" customHeight="1">
      <c r="A108" s="4" t="inlineStr">
        <is>
          <t>問14</t>
        </is>
      </c>
      <c r="B108" s="5" t="inlineStr">
        <is>
          <t>外出するときに困ることは何ですか（あてはまるものすべて）</t>
        </is>
      </c>
      <c r="C108" s="5" t="inlineStr">
        <is>
          <t>周囲の理解が不安</t>
        </is>
      </c>
      <c r="D108" s="30" t="n">
        <v>0</v>
      </c>
      <c r="E108" s="20">
        <f>IF($F108=0,0,D108/$F108)</f>
        <v>0</v>
      </c>
      <c r="F108" s="19">
        <f>$F$103</f>
        <v>3</v>
      </c>
      <c r="G108" s="4" t="inlineStr">
        <is>
          <t>複数回答</t>
        </is>
      </c>
    </row>
    <row r="109" ht="28" customHeight="1">
      <c r="A109" s="4" t="inlineStr">
        <is>
          <t>問14</t>
        </is>
      </c>
      <c r="B109" s="5" t="inlineStr">
        <is>
          <t>外出するときに困ることは何ですか（あてはまるものすべて）</t>
        </is>
      </c>
      <c r="C109" s="5" t="inlineStr">
        <is>
          <t>体調面が不安</t>
        </is>
      </c>
      <c r="D109" s="30" t="n">
        <v>1</v>
      </c>
      <c r="E109" s="20">
        <f>IF($F109=0,0,D109/$F109)</f>
        <v>0.333333333333333</v>
      </c>
      <c r="F109" s="19">
        <f>$F$103</f>
        <v>3</v>
      </c>
      <c r="G109" s="4" t="inlineStr">
        <is>
          <t>複数回答</t>
        </is>
      </c>
    </row>
    <row r="110" ht="28" customHeight="1">
      <c r="A110" s="4" t="inlineStr">
        <is>
          <t>問14</t>
        </is>
      </c>
      <c r="B110" s="5" t="inlineStr">
        <is>
          <t>外出するときに困ることは何ですか（あてはまるものすべて）</t>
        </is>
      </c>
      <c r="C110" s="5" t="inlineStr">
        <is>
          <t>費用がかかる</t>
        </is>
      </c>
      <c r="D110" s="30" t="n">
        <v>1</v>
      </c>
      <c r="E110" s="20">
        <f>IF($F110=0,0,D110/$F110)</f>
        <v>0.333333333333333</v>
      </c>
      <c r="F110" s="19">
        <f>$F$103</f>
        <v>3</v>
      </c>
      <c r="G110" s="4" t="inlineStr">
        <is>
          <t>複数回答</t>
        </is>
      </c>
    </row>
    <row r="111" ht="28" customHeight="1">
      <c r="A111" s="4" t="inlineStr">
        <is>
          <t>問14</t>
        </is>
      </c>
      <c r="B111" s="5" t="inlineStr">
        <is>
          <t>外出するときに困ることは何ですか（あてはまるものすべて）</t>
        </is>
      </c>
      <c r="C111" s="5" t="inlineStr">
        <is>
          <t>特に困らない</t>
        </is>
      </c>
      <c r="D111" s="30" t="n">
        <v>0</v>
      </c>
      <c r="E111" s="20">
        <f>IF($F111=0,0,D111/$F111)</f>
        <v>0</v>
      </c>
      <c r="F111" s="19">
        <f>$F$103</f>
        <v>3</v>
      </c>
      <c r="G111" s="4" t="inlineStr">
        <is>
          <t>複数回答</t>
        </is>
      </c>
    </row>
    <row r="112" ht="28" customHeight="1">
      <c r="A112" s="4" t="inlineStr">
        <is>
          <t>問14</t>
        </is>
      </c>
      <c r="B112" s="5" t="inlineStr">
        <is>
          <t>外出するときに困ることは何ですか（あてはまるものすべて）</t>
        </is>
      </c>
      <c r="C112" s="5" t="inlineStr">
        <is>
          <t>その他</t>
        </is>
      </c>
      <c r="D112" s="30" t="n">
        <v>1</v>
      </c>
      <c r="E112" s="20">
        <f>IF($F112=0,0,D112/$F112)</f>
        <v>0.333333333333333</v>
      </c>
      <c r="F112" s="19">
        <f>$F$103</f>
        <v>3</v>
      </c>
      <c r="G112" s="4" t="inlineStr">
        <is>
          <t>複数回答</t>
        </is>
      </c>
    </row>
    <row r="113" ht="28" customHeight="1">
      <c r="A113" s="4" t="inlineStr">
        <is>
          <t>問14</t>
        </is>
      </c>
      <c r="B113" s="5" t="inlineStr">
        <is>
          <t>外出するときに困ることは何ですか（あてはまるものすべて）</t>
        </is>
      </c>
      <c r="C113" s="5" t="inlineStr">
        <is>
          <t>無回答</t>
        </is>
      </c>
      <c r="D113" s="30" t="n">
        <v>0</v>
      </c>
      <c r="E113" s="20">
        <f>IF($F113=0,0,D113/$F113)</f>
        <v>0</v>
      </c>
      <c r="F113" s="19">
        <f>$F$103</f>
        <v>3</v>
      </c>
      <c r="G113" s="4" t="inlineStr">
        <is>
          <t>複数回答</t>
        </is>
      </c>
    </row>
    <row r="114" ht="16" customHeight="1">
      <c r="A114" s="4" t="inlineStr">
        <is>
          <t>問15</t>
        </is>
      </c>
      <c r="B114" s="5" t="inlineStr">
        <is>
          <t>現在、定期的に通院していますか</t>
        </is>
      </c>
      <c r="C114" s="5" t="inlineStr">
        <is>
          <t>通院している</t>
        </is>
      </c>
      <c r="D114" s="30" t="n">
        <v>3</v>
      </c>
      <c r="E114" s="20">
        <f>IF($F114=0,0,D114/$F114)</f>
        <v>1</v>
      </c>
      <c r="F114" s="30" t="n">
        <v>3</v>
      </c>
      <c r="G114" s="4" t="inlineStr">
        <is>
          <t>単一回答</t>
        </is>
      </c>
    </row>
    <row r="115" ht="16" customHeight="1">
      <c r="A115" s="4" t="inlineStr">
        <is>
          <t>問15</t>
        </is>
      </c>
      <c r="B115" s="5" t="inlineStr">
        <is>
          <t>現在、定期的に通院していますか</t>
        </is>
      </c>
      <c r="C115" s="5" t="inlineStr">
        <is>
          <t>通院していない</t>
        </is>
      </c>
      <c r="D115" s="30" t="n">
        <v>0</v>
      </c>
      <c r="E115" s="20">
        <f>IF($F115=0,0,D115/$F115)</f>
        <v>0</v>
      </c>
      <c r="F115" s="19">
        <f>$F$114</f>
        <v>3</v>
      </c>
      <c r="G115" s="4" t="inlineStr">
        <is>
          <t>単一回答</t>
        </is>
      </c>
    </row>
    <row r="116" ht="16" customHeight="1">
      <c r="A116" s="4" t="inlineStr">
        <is>
          <t>問15</t>
        </is>
      </c>
      <c r="B116" s="5" t="inlineStr">
        <is>
          <t>現在、定期的に通院していますか</t>
        </is>
      </c>
      <c r="C116" s="5" t="inlineStr">
        <is>
          <t>訪問診療・往診を受けている</t>
        </is>
      </c>
      <c r="D116" s="30" t="n">
        <v>0</v>
      </c>
      <c r="E116" s="20">
        <f>IF($F116=0,0,D116/$F116)</f>
        <v>0</v>
      </c>
      <c r="F116" s="19">
        <f>$F$114</f>
        <v>3</v>
      </c>
      <c r="G116" s="4" t="inlineStr">
        <is>
          <t>単一回答</t>
        </is>
      </c>
    </row>
    <row r="117" ht="16" customHeight="1">
      <c r="A117" s="4" t="inlineStr">
        <is>
          <t>問15</t>
        </is>
      </c>
      <c r="B117" s="5" t="inlineStr">
        <is>
          <t>現在、定期的に通院していますか</t>
        </is>
      </c>
      <c r="C117" s="5" t="inlineStr">
        <is>
          <t>わからない</t>
        </is>
      </c>
      <c r="D117" s="30" t="n">
        <v>0</v>
      </c>
      <c r="E117" s="20">
        <f>IF($F117=0,0,D117/$F117)</f>
        <v>0</v>
      </c>
      <c r="F117" s="19">
        <f>$F$114</f>
        <v>3</v>
      </c>
      <c r="G117" s="4" t="inlineStr">
        <is>
          <t>単一回答</t>
        </is>
      </c>
    </row>
    <row r="118" ht="16" customHeight="1">
      <c r="A118" s="4" t="inlineStr">
        <is>
          <t>問15</t>
        </is>
      </c>
      <c r="B118" s="5" t="inlineStr">
        <is>
          <t>現在、定期的に通院していますか</t>
        </is>
      </c>
      <c r="C118" s="5" t="inlineStr">
        <is>
          <t>無回答</t>
        </is>
      </c>
      <c r="D118" s="30" t="n">
        <v>0</v>
      </c>
      <c r="E118" s="20">
        <f>IF($F118=0,0,D118/$F118)</f>
        <v>0</v>
      </c>
      <c r="F118" s="19">
        <f>$F$114</f>
        <v>3</v>
      </c>
      <c r="G118" s="4" t="inlineStr">
        <is>
          <t>単一回答</t>
        </is>
      </c>
    </row>
    <row r="119" ht="28" customHeight="1">
      <c r="A119" s="4" t="inlineStr">
        <is>
          <t>問16</t>
        </is>
      </c>
      <c r="B119" s="5" t="inlineStr">
        <is>
          <t>通院や医療で困っていることはありますか（あてはまるものすべて）</t>
        </is>
      </c>
      <c r="C119" s="5" t="inlineStr">
        <is>
          <t>専門医療機関が遠い</t>
        </is>
      </c>
      <c r="D119" s="30" t="n">
        <v>3</v>
      </c>
      <c r="E119" s="20">
        <f>IF($F119=0,0,D119/$F119)</f>
        <v>1</v>
      </c>
      <c r="F119" s="30" t="n">
        <v>3</v>
      </c>
      <c r="G119" s="4" t="inlineStr">
        <is>
          <t>複数回答</t>
        </is>
      </c>
    </row>
    <row r="120" ht="28" customHeight="1">
      <c r="A120" s="4" t="inlineStr">
        <is>
          <t>問16</t>
        </is>
      </c>
      <c r="B120" s="5" t="inlineStr">
        <is>
          <t>通院や医療で困っていることはありますか（あてはまるものすべて）</t>
        </is>
      </c>
      <c r="C120" s="5" t="inlineStr">
        <is>
          <t>通院の交通手段がない</t>
        </is>
      </c>
      <c r="D120" s="30" t="n">
        <v>1</v>
      </c>
      <c r="E120" s="20">
        <f>IF($F120=0,0,D120/$F120)</f>
        <v>0.333333333333333</v>
      </c>
      <c r="F120" s="19">
        <f>$F$119</f>
        <v>3</v>
      </c>
      <c r="G120" s="4" t="inlineStr">
        <is>
          <t>複数回答</t>
        </is>
      </c>
    </row>
    <row r="121" ht="28" customHeight="1">
      <c r="A121" s="4" t="inlineStr">
        <is>
          <t>問16</t>
        </is>
      </c>
      <c r="B121" s="5" t="inlineStr">
        <is>
          <t>通院や医療で困っていることはありますか（あてはまるものすべて）</t>
        </is>
      </c>
      <c r="C121" s="5" t="inlineStr">
        <is>
          <t>付き添いが必要</t>
        </is>
      </c>
      <c r="D121" s="30" t="n">
        <v>3</v>
      </c>
      <c r="E121" s="20">
        <f>IF($F121=0,0,D121/$F121)</f>
        <v>1</v>
      </c>
      <c r="F121" s="19">
        <f>$F$119</f>
        <v>3</v>
      </c>
      <c r="G121" s="4" t="inlineStr">
        <is>
          <t>複数回答</t>
        </is>
      </c>
    </row>
    <row r="122" ht="28" customHeight="1">
      <c r="A122" s="4" t="inlineStr">
        <is>
          <t>問16</t>
        </is>
      </c>
      <c r="B122" s="5" t="inlineStr">
        <is>
          <t>通院や医療で困っていることはありますか（あてはまるものすべて）</t>
        </is>
      </c>
      <c r="C122" s="5" t="inlineStr">
        <is>
          <t>医療費や交通費の負担が大きい</t>
        </is>
      </c>
      <c r="D122" s="30" t="n">
        <v>1</v>
      </c>
      <c r="E122" s="20">
        <f>IF($F122=0,0,D122/$F122)</f>
        <v>0.333333333333333</v>
      </c>
      <c r="F122" s="19">
        <f>$F$119</f>
        <v>3</v>
      </c>
      <c r="G122" s="4" t="inlineStr">
        <is>
          <t>複数回答</t>
        </is>
      </c>
    </row>
    <row r="123" ht="28" customHeight="1">
      <c r="A123" s="4" t="inlineStr">
        <is>
          <t>問16</t>
        </is>
      </c>
      <c r="B123" s="5" t="inlineStr">
        <is>
          <t>通院や医療で困っていることはありますか（あてはまるものすべて）</t>
        </is>
      </c>
      <c r="C123" s="5" t="inlineStr">
        <is>
          <t>予約・受診手続きが難しい</t>
        </is>
      </c>
      <c r="D123" s="30" t="n">
        <v>0</v>
      </c>
      <c r="E123" s="20">
        <f>IF($F123=0,0,D123/$F123)</f>
        <v>0</v>
      </c>
      <c r="F123" s="19">
        <f>$F$119</f>
        <v>3</v>
      </c>
      <c r="G123" s="4" t="inlineStr">
        <is>
          <t>複数回答</t>
        </is>
      </c>
    </row>
    <row r="124" ht="28" customHeight="1">
      <c r="A124" s="4" t="inlineStr">
        <is>
          <t>問16</t>
        </is>
      </c>
      <c r="B124" s="5" t="inlineStr">
        <is>
          <t>通院や医療で困っていることはありますか（あてはまるものすべて）</t>
        </is>
      </c>
      <c r="C124" s="5" t="inlineStr">
        <is>
          <t>緊急時の対応が不安</t>
        </is>
      </c>
      <c r="D124" s="30" t="n">
        <v>2</v>
      </c>
      <c r="E124" s="20">
        <f>IF($F124=0,0,D124/$F124)</f>
        <v>0.666666666666667</v>
      </c>
      <c r="F124" s="19">
        <f>$F$119</f>
        <v>3</v>
      </c>
      <c r="G124" s="4" t="inlineStr">
        <is>
          <t>複数回答</t>
        </is>
      </c>
    </row>
    <row r="125" ht="28" customHeight="1">
      <c r="A125" s="4" t="inlineStr">
        <is>
          <t>問16</t>
        </is>
      </c>
      <c r="B125" s="5" t="inlineStr">
        <is>
          <t>通院や医療で困っていることはありますか（あてはまるものすべて）</t>
        </is>
      </c>
      <c r="C125" s="5" t="inlineStr">
        <is>
          <t>特に困っていない</t>
        </is>
      </c>
      <c r="D125" s="30" t="n">
        <v>0</v>
      </c>
      <c r="E125" s="20">
        <f>IF($F125=0,0,D125/$F125)</f>
        <v>0</v>
      </c>
      <c r="F125" s="19">
        <f>$F$119</f>
        <v>3</v>
      </c>
      <c r="G125" s="4" t="inlineStr">
        <is>
          <t>複数回答</t>
        </is>
      </c>
    </row>
    <row r="126" ht="28" customHeight="1">
      <c r="A126" s="4" t="inlineStr">
        <is>
          <t>問16</t>
        </is>
      </c>
      <c r="B126" s="5" t="inlineStr">
        <is>
          <t>通院や医療で困っていることはありますか（あてはまるものすべて）</t>
        </is>
      </c>
      <c r="C126" s="5" t="inlineStr">
        <is>
          <t>その他</t>
        </is>
      </c>
      <c r="D126" s="30" t="n">
        <v>1</v>
      </c>
      <c r="E126" s="20">
        <f>IF($F126=0,0,D126/$F126)</f>
        <v>0.333333333333333</v>
      </c>
      <c r="F126" s="19">
        <f>$F$119</f>
        <v>3</v>
      </c>
      <c r="G126" s="4" t="inlineStr">
        <is>
          <t>複数回答</t>
        </is>
      </c>
    </row>
    <row r="127" ht="28" customHeight="1">
      <c r="A127" s="4" t="inlineStr">
        <is>
          <t>問16</t>
        </is>
      </c>
      <c r="B127" s="5" t="inlineStr">
        <is>
          <t>通院や医療で困っていることはありますか（あてはまるものすべて）</t>
        </is>
      </c>
      <c r="C127" s="5" t="inlineStr">
        <is>
          <t>無回答</t>
        </is>
      </c>
      <c r="D127" s="30" t="n">
        <v>0</v>
      </c>
      <c r="E127" s="20">
        <f>IF($F127=0,0,D127/$F127)</f>
        <v>0</v>
      </c>
      <c r="F127" s="19">
        <f>$F$119</f>
        <v>3</v>
      </c>
      <c r="G127" s="4" t="inlineStr">
        <is>
          <t>複数回答</t>
        </is>
      </c>
    </row>
    <row r="128" ht="28" customHeight="1">
      <c r="A128" s="4" t="inlineStr">
        <is>
          <t>問17</t>
        </is>
      </c>
      <c r="B128" s="5" t="inlineStr">
        <is>
          <t>医療的ケアを必要としていますか（あてはまるものすべて）</t>
        </is>
      </c>
      <c r="C128" s="5" t="inlineStr">
        <is>
          <t>必要としていない</t>
        </is>
      </c>
      <c r="D128" s="30" t="n">
        <v>2</v>
      </c>
      <c r="E128" s="20">
        <f>IF($F128=0,0,D128/$F128)</f>
        <v>0.666666666666667</v>
      </c>
      <c r="F128" s="30" t="n">
        <v>3</v>
      </c>
      <c r="G128" s="4" t="inlineStr">
        <is>
          <t>複数回答</t>
        </is>
      </c>
    </row>
    <row r="129" ht="28" customHeight="1">
      <c r="A129" s="4" t="inlineStr">
        <is>
          <t>問17</t>
        </is>
      </c>
      <c r="B129" s="5" t="inlineStr">
        <is>
          <t>医療的ケアを必要としていますか（あてはまるものすべて）</t>
        </is>
      </c>
      <c r="C129" s="5" t="inlineStr">
        <is>
          <t>吸引</t>
        </is>
      </c>
      <c r="D129" s="30" t="n">
        <v>0</v>
      </c>
      <c r="E129" s="20">
        <f>IF($F129=0,0,D129/$F129)</f>
        <v>0</v>
      </c>
      <c r="F129" s="19">
        <f>$F$128</f>
        <v>3</v>
      </c>
      <c r="G129" s="4" t="inlineStr">
        <is>
          <t>複数回答</t>
        </is>
      </c>
    </row>
    <row r="130" ht="28" customHeight="1">
      <c r="A130" s="4" t="inlineStr">
        <is>
          <t>問17</t>
        </is>
      </c>
      <c r="B130" s="5" t="inlineStr">
        <is>
          <t>医療的ケアを必要としていますか（あてはまるものすべて）</t>
        </is>
      </c>
      <c r="C130" s="5" t="inlineStr">
        <is>
          <t>酸素療法</t>
        </is>
      </c>
      <c r="D130" s="30" t="n">
        <v>1</v>
      </c>
      <c r="E130" s="20">
        <f>IF($F130=0,0,D130/$F130)</f>
        <v>0.333333333333333</v>
      </c>
      <c r="F130" s="19">
        <f>$F$128</f>
        <v>3</v>
      </c>
      <c r="G130" s="4" t="inlineStr">
        <is>
          <t>複数回答</t>
        </is>
      </c>
    </row>
    <row r="131" ht="28" customHeight="1">
      <c r="A131" s="4" t="inlineStr">
        <is>
          <t>問17</t>
        </is>
      </c>
      <c r="B131" s="5" t="inlineStr">
        <is>
          <t>医療的ケアを必要としていますか（あてはまるものすべて）</t>
        </is>
      </c>
      <c r="C131" s="5" t="inlineStr">
        <is>
          <t>人工呼吸器（レスピレーター）</t>
        </is>
      </c>
      <c r="D131" s="30" t="n">
        <v>0</v>
      </c>
      <c r="E131" s="20">
        <f>IF($F131=0,0,D131/$F131)</f>
        <v>0</v>
      </c>
      <c r="F131" s="19">
        <f>$F$128</f>
        <v>3</v>
      </c>
      <c r="G131" s="4" t="inlineStr">
        <is>
          <t>複数回答</t>
        </is>
      </c>
    </row>
    <row r="132" ht="28" customHeight="1">
      <c r="A132" s="4" t="inlineStr">
        <is>
          <t>問17</t>
        </is>
      </c>
      <c r="B132" s="5" t="inlineStr">
        <is>
          <t>医療的ケアを必要としていますか（あてはまるものすべて）</t>
        </is>
      </c>
      <c r="C132" s="5" t="inlineStr">
        <is>
          <t>導尿</t>
        </is>
      </c>
      <c r="D132" s="30" t="n">
        <v>0</v>
      </c>
      <c r="E132" s="20">
        <f>IF($F132=0,0,D132/$F132)</f>
        <v>0</v>
      </c>
      <c r="F132" s="19">
        <f>$F$128</f>
        <v>3</v>
      </c>
      <c r="G132" s="4" t="inlineStr">
        <is>
          <t>複数回答</t>
        </is>
      </c>
    </row>
    <row r="133" ht="28" customHeight="1">
      <c r="A133" s="4" t="inlineStr">
        <is>
          <t>問17</t>
        </is>
      </c>
      <c r="B133" s="5" t="inlineStr">
        <is>
          <t>医療的ケアを必要としていますか（あてはまるものすべて）</t>
        </is>
      </c>
      <c r="C133" s="5" t="inlineStr">
        <is>
          <t>ストマ（人工肛門・人工膀胱）</t>
        </is>
      </c>
      <c r="D133" s="30" t="n">
        <v>0</v>
      </c>
      <c r="E133" s="20">
        <f>IF($F133=0,0,D133/$F133)</f>
        <v>0</v>
      </c>
      <c r="F133" s="19">
        <f>$F$128</f>
        <v>3</v>
      </c>
      <c r="G133" s="4" t="inlineStr">
        <is>
          <t>複数回答</t>
        </is>
      </c>
    </row>
    <row r="134" ht="28" customHeight="1">
      <c r="A134" s="4" t="inlineStr">
        <is>
          <t>問17</t>
        </is>
      </c>
      <c r="B134" s="5" t="inlineStr">
        <is>
          <t>医療的ケアを必要としていますか（あてはまるものすべて）</t>
        </is>
      </c>
      <c r="C134" s="5" t="inlineStr">
        <is>
          <t>服薬管理等の継続支援</t>
        </is>
      </c>
      <c r="D134" s="30" t="n">
        <v>1</v>
      </c>
      <c r="E134" s="20">
        <f>IF($F134=0,0,D134/$F134)</f>
        <v>0.333333333333333</v>
      </c>
      <c r="F134" s="19">
        <f>$F$128</f>
        <v>3</v>
      </c>
      <c r="G134" s="4" t="inlineStr">
        <is>
          <t>複数回答</t>
        </is>
      </c>
    </row>
    <row r="135" ht="28" customHeight="1">
      <c r="A135" s="4" t="inlineStr">
        <is>
          <t>問17</t>
        </is>
      </c>
      <c r="B135" s="5" t="inlineStr">
        <is>
          <t>医療的ケアを必要としていますか（あてはまるものすべて）</t>
        </is>
      </c>
      <c r="C135" s="5" t="inlineStr">
        <is>
          <t>気管切開</t>
        </is>
      </c>
      <c r="D135" s="30" t="n">
        <v>0</v>
      </c>
      <c r="E135" s="20">
        <f>IF($F135=0,0,D135/$F135)</f>
        <v>0</v>
      </c>
      <c r="F135" s="19">
        <f>$F$128</f>
        <v>3</v>
      </c>
      <c r="G135" s="4" t="inlineStr">
        <is>
          <t>複数回答</t>
        </is>
      </c>
    </row>
    <row r="136" ht="28" customHeight="1">
      <c r="A136" s="4" t="inlineStr">
        <is>
          <t>問17</t>
        </is>
      </c>
      <c r="B136" s="5" t="inlineStr">
        <is>
          <t>医療的ケアを必要としていますか（あてはまるものすべて）</t>
        </is>
      </c>
      <c r="C136" s="5" t="inlineStr">
        <is>
          <t>胃ろう・腸ろう</t>
        </is>
      </c>
      <c r="D136" s="30" t="n">
        <v>1</v>
      </c>
      <c r="E136" s="20">
        <f>IF($F136=0,0,D136/$F136)</f>
        <v>0.333333333333333</v>
      </c>
      <c r="F136" s="19">
        <f>$F$128</f>
        <v>3</v>
      </c>
      <c r="G136" s="4" t="inlineStr">
        <is>
          <t>複数回答</t>
        </is>
      </c>
    </row>
    <row r="137" ht="28" customHeight="1">
      <c r="A137" s="4" t="inlineStr">
        <is>
          <t>問17</t>
        </is>
      </c>
      <c r="B137" s="5" t="inlineStr">
        <is>
          <t>医療的ケアを必要としていますか（あてはまるものすべて）</t>
        </is>
      </c>
      <c r="C137" s="5" t="inlineStr">
        <is>
          <t>鼻腔管栄養</t>
        </is>
      </c>
      <c r="D137" s="30" t="n">
        <v>0</v>
      </c>
      <c r="E137" s="20">
        <f>IF($F137=0,0,D137/$F137)</f>
        <v>0</v>
      </c>
      <c r="F137" s="19">
        <f>$F$128</f>
        <v>3</v>
      </c>
      <c r="G137" s="4" t="inlineStr">
        <is>
          <t>複数回答</t>
        </is>
      </c>
    </row>
    <row r="138" ht="28" customHeight="1">
      <c r="A138" s="4" t="inlineStr">
        <is>
          <t>問17</t>
        </is>
      </c>
      <c r="B138" s="5" t="inlineStr">
        <is>
          <t>医療的ケアを必要としていますか（あてはまるものすべて）</t>
        </is>
      </c>
      <c r="C138" s="5" t="inlineStr">
        <is>
          <t>中心静脈栄養（IVH）</t>
        </is>
      </c>
      <c r="D138" s="30" t="n">
        <v>0</v>
      </c>
      <c r="E138" s="20">
        <f>IF($F138=0,0,D138/$F138)</f>
        <v>0</v>
      </c>
      <c r="F138" s="19">
        <f>$F$128</f>
        <v>3</v>
      </c>
      <c r="G138" s="4" t="inlineStr">
        <is>
          <t>複数回答</t>
        </is>
      </c>
    </row>
    <row r="139" ht="28" customHeight="1">
      <c r="A139" s="4" t="inlineStr">
        <is>
          <t>問17</t>
        </is>
      </c>
      <c r="B139" s="5" t="inlineStr">
        <is>
          <t>医療的ケアを必要としていますか（あてはまるものすべて）</t>
        </is>
      </c>
      <c r="C139" s="5" t="inlineStr">
        <is>
          <t>透析</t>
        </is>
      </c>
      <c r="D139" s="30" t="n">
        <v>0</v>
      </c>
      <c r="E139" s="20">
        <f>IF($F139=0,0,D139/$F139)</f>
        <v>0</v>
      </c>
      <c r="F139" s="19">
        <f>$F$128</f>
        <v>3</v>
      </c>
      <c r="G139" s="4" t="inlineStr">
        <is>
          <t>複数回答</t>
        </is>
      </c>
    </row>
    <row r="140" ht="28" customHeight="1">
      <c r="A140" s="4" t="inlineStr">
        <is>
          <t>問17</t>
        </is>
      </c>
      <c r="B140" s="5" t="inlineStr">
        <is>
          <t>医療的ケアを必要としていますか（あてはまるものすべて）</t>
        </is>
      </c>
      <c r="C140" s="5" t="inlineStr">
        <is>
          <t>カテーテル留置</t>
        </is>
      </c>
      <c r="D140" s="30" t="n">
        <v>0</v>
      </c>
      <c r="E140" s="20">
        <f>IF($F140=0,0,D140/$F140)</f>
        <v>0</v>
      </c>
      <c r="F140" s="19">
        <f>$F$128</f>
        <v>3</v>
      </c>
      <c r="G140" s="4" t="inlineStr">
        <is>
          <t>複数回答</t>
        </is>
      </c>
    </row>
    <row r="141" ht="28" customHeight="1">
      <c r="A141" s="4" t="inlineStr">
        <is>
          <t>問17</t>
        </is>
      </c>
      <c r="B141" s="5" t="inlineStr">
        <is>
          <t>医療的ケアを必要としていますか（あてはまるものすべて）</t>
        </is>
      </c>
      <c r="C141" s="5" t="inlineStr">
        <is>
          <t>その他</t>
        </is>
      </c>
      <c r="D141" s="30" t="n">
        <v>0</v>
      </c>
      <c r="E141" s="20">
        <f>IF($F141=0,0,D141/$F141)</f>
        <v>0</v>
      </c>
      <c r="F141" s="19">
        <f>$F$128</f>
        <v>3</v>
      </c>
      <c r="G141" s="4" t="inlineStr">
        <is>
          <t>複数回答</t>
        </is>
      </c>
    </row>
    <row r="142" ht="28" customHeight="1">
      <c r="A142" s="4" t="inlineStr">
        <is>
          <t>問17</t>
        </is>
      </c>
      <c r="B142" s="5" t="inlineStr">
        <is>
          <t>医療的ケアを必要としていますか（あてはまるものすべて）</t>
        </is>
      </c>
      <c r="C142" s="5" t="inlineStr">
        <is>
          <t>無回答</t>
        </is>
      </c>
      <c r="D142" s="30" t="n">
        <v>0</v>
      </c>
      <c r="E142" s="20">
        <f>IF($F142=0,0,D142/$F142)</f>
        <v>0</v>
      </c>
      <c r="F142" s="19">
        <f>$F$128</f>
        <v>3</v>
      </c>
      <c r="G142" s="4" t="inlineStr">
        <is>
          <t>複数回答</t>
        </is>
      </c>
    </row>
    <row r="143" ht="28" customHeight="1">
      <c r="A143" s="4" t="inlineStr">
        <is>
          <t>問18</t>
        </is>
      </c>
      <c r="B143" s="5" t="inlineStr">
        <is>
          <t>医療的ケアや重い障がいに関して、必要だと思う支援は何ですか（あてはまるものすべて）</t>
        </is>
      </c>
      <c r="C143" s="5" t="inlineStr">
        <is>
          <t>身近な相談先</t>
        </is>
      </c>
      <c r="D143" s="30" t="n">
        <v>1</v>
      </c>
      <c r="E143" s="20">
        <f>IF($F143=0,0,D143/$F143)</f>
        <v>0.333333333333333</v>
      </c>
      <c r="F143" s="30" t="n">
        <v>3</v>
      </c>
      <c r="G143" s="4" t="inlineStr">
        <is>
          <t>複数回答</t>
        </is>
      </c>
    </row>
    <row r="144" ht="28" customHeight="1">
      <c r="A144" s="4" t="inlineStr">
        <is>
          <t>問18</t>
        </is>
      </c>
      <c r="B144" s="5" t="inlineStr">
        <is>
          <t>医療的ケアや重い障がいに関して、必要だと思う支援は何ですか（あてはまるものすべて）</t>
        </is>
      </c>
      <c r="C144" s="5" t="inlineStr">
        <is>
          <t>通所先での医療的ケア対応</t>
        </is>
      </c>
      <c r="D144" s="30" t="n">
        <v>1</v>
      </c>
      <c r="E144" s="20">
        <f>IF($F144=0,0,D144/$F144)</f>
        <v>0.333333333333333</v>
      </c>
      <c r="F144" s="19">
        <f>$F$143</f>
        <v>3</v>
      </c>
      <c r="G144" s="4" t="inlineStr">
        <is>
          <t>複数回答</t>
        </is>
      </c>
    </row>
    <row r="145" ht="28" customHeight="1">
      <c r="A145" s="4" t="inlineStr">
        <is>
          <t>問18</t>
        </is>
      </c>
      <c r="B145" s="5" t="inlineStr">
        <is>
          <t>医療的ケアや重い障がいに関して、必要だと思う支援は何ですか（あてはまるものすべて）</t>
        </is>
      </c>
      <c r="C145" s="5" t="inlineStr">
        <is>
          <t>短期入所・レスパイトケア</t>
        </is>
      </c>
      <c r="D145" s="30" t="n">
        <v>1</v>
      </c>
      <c r="E145" s="20">
        <f>IF($F145=0,0,D145/$F145)</f>
        <v>0.333333333333333</v>
      </c>
      <c r="F145" s="19">
        <f>$F$143</f>
        <v>3</v>
      </c>
      <c r="G145" s="4" t="inlineStr">
        <is>
          <t>複数回答</t>
        </is>
      </c>
    </row>
    <row r="146" ht="28" customHeight="1">
      <c r="A146" s="4" t="inlineStr">
        <is>
          <t>問18</t>
        </is>
      </c>
      <c r="B146" s="5" t="inlineStr">
        <is>
          <t>医療的ケアや重い障がいに関して、必要だと思う支援は何ですか（あてはまるものすべて）</t>
        </is>
      </c>
      <c r="C146" s="5" t="inlineStr">
        <is>
          <t>訪問看護等との連携</t>
        </is>
      </c>
      <c r="D146" s="30" t="n">
        <v>1</v>
      </c>
      <c r="E146" s="20">
        <f>IF($F146=0,0,D146/$F146)</f>
        <v>0.333333333333333</v>
      </c>
      <c r="F146" s="19">
        <f>$F$143</f>
        <v>3</v>
      </c>
      <c r="G146" s="4" t="inlineStr">
        <is>
          <t>複数回答</t>
        </is>
      </c>
    </row>
    <row r="147" ht="28" customHeight="1">
      <c r="A147" s="4" t="inlineStr">
        <is>
          <t>問18</t>
        </is>
      </c>
      <c r="B147" s="5" t="inlineStr">
        <is>
          <t>医療的ケアや重い障がいに関して、必要だと思う支援は何ですか（あてはまるものすべて）</t>
        </is>
      </c>
      <c r="C147" s="5" t="inlineStr">
        <is>
          <t>災害時の電源・医療機器対応</t>
        </is>
      </c>
      <c r="D147" s="30" t="n">
        <v>0</v>
      </c>
      <c r="E147" s="20">
        <f>IF($F147=0,0,D147/$F147)</f>
        <v>0</v>
      </c>
      <c r="F147" s="19">
        <f>$F$143</f>
        <v>3</v>
      </c>
      <c r="G147" s="4" t="inlineStr">
        <is>
          <t>複数回答</t>
        </is>
      </c>
    </row>
    <row r="148" ht="28" customHeight="1">
      <c r="A148" s="4" t="inlineStr">
        <is>
          <t>問18</t>
        </is>
      </c>
      <c r="B148" s="5" t="inlineStr">
        <is>
          <t>医療的ケアや重い障がいに関して、必要だと思う支援は何ですか（あてはまるものすべて）</t>
        </is>
      </c>
      <c r="C148" s="5" t="inlineStr">
        <is>
          <t>家族の負担軽減</t>
        </is>
      </c>
      <c r="D148" s="30" t="n">
        <v>3</v>
      </c>
      <c r="E148" s="20">
        <f>IF($F148=0,0,D148/$F148)</f>
        <v>1</v>
      </c>
      <c r="F148" s="19">
        <f>$F$143</f>
        <v>3</v>
      </c>
      <c r="G148" s="4" t="inlineStr">
        <is>
          <t>複数回答</t>
        </is>
      </c>
    </row>
    <row r="149" ht="28" customHeight="1">
      <c r="A149" s="4" t="inlineStr">
        <is>
          <t>問18</t>
        </is>
      </c>
      <c r="B149" s="5" t="inlineStr">
        <is>
          <t>医療的ケアや重い障がいに関して、必要だと思う支援は何ですか（あてはまるものすべて）</t>
        </is>
      </c>
      <c r="C149" s="5" t="inlineStr">
        <is>
          <t>特にない</t>
        </is>
      </c>
      <c r="D149" s="30" t="n">
        <v>0</v>
      </c>
      <c r="E149" s="20">
        <f>IF($F149=0,0,D149/$F149)</f>
        <v>0</v>
      </c>
      <c r="F149" s="19">
        <f>$F$143</f>
        <v>3</v>
      </c>
      <c r="G149" s="4" t="inlineStr">
        <is>
          <t>複数回答</t>
        </is>
      </c>
    </row>
    <row r="150" ht="28" customHeight="1">
      <c r="A150" s="4" t="inlineStr">
        <is>
          <t>問18</t>
        </is>
      </c>
      <c r="B150" s="5" t="inlineStr">
        <is>
          <t>医療的ケアや重い障がいに関して、必要だと思う支援は何ですか（あてはまるものすべて）</t>
        </is>
      </c>
      <c r="C150" s="5" t="inlineStr">
        <is>
          <t>その他</t>
        </is>
      </c>
      <c r="D150" s="30" t="n">
        <v>1</v>
      </c>
      <c r="E150" s="20">
        <f>IF($F150=0,0,D150/$F150)</f>
        <v>0.333333333333333</v>
      </c>
      <c r="F150" s="19">
        <f>$F$143</f>
        <v>3</v>
      </c>
      <c r="G150" s="4" t="inlineStr">
        <is>
          <t>複数回答</t>
        </is>
      </c>
    </row>
    <row r="151" ht="28" customHeight="1">
      <c r="A151" s="4" t="inlineStr">
        <is>
          <t>問18</t>
        </is>
      </c>
      <c r="B151" s="5" t="inlineStr">
        <is>
          <t>医療的ケアや重い障がいに関して、必要だと思う支援は何ですか（あてはまるものすべて）</t>
        </is>
      </c>
      <c r="C151" s="5" t="inlineStr">
        <is>
          <t>無回答</t>
        </is>
      </c>
      <c r="D151" s="30" t="n">
        <v>0</v>
      </c>
      <c r="E151" s="20">
        <f>IF($F151=0,0,D151/$F151)</f>
        <v>0</v>
      </c>
      <c r="F151" s="19">
        <f>$F$143</f>
        <v>3</v>
      </c>
      <c r="G151" s="4" t="inlineStr">
        <is>
          <t>複数回答</t>
        </is>
      </c>
    </row>
    <row r="152" ht="28" customHeight="1">
      <c r="A152" s="4" t="inlineStr">
        <is>
          <t>問19</t>
        </is>
      </c>
      <c r="B152" s="5" t="inlineStr">
        <is>
          <t>困ったときに相談する相手・場所はどこですか（あてはまるものすべて）</t>
        </is>
      </c>
      <c r="C152" s="5" t="inlineStr">
        <is>
          <t>家族・親族</t>
        </is>
      </c>
      <c r="D152" s="30" t="n">
        <v>3</v>
      </c>
      <c r="E152" s="20">
        <f>IF($F152=0,0,D152/$F152)</f>
        <v>1</v>
      </c>
      <c r="F152" s="30" t="n">
        <v>3</v>
      </c>
      <c r="G152" s="4" t="inlineStr">
        <is>
          <t>複数回答</t>
        </is>
      </c>
    </row>
    <row r="153" ht="28" customHeight="1">
      <c r="A153" s="4" t="inlineStr">
        <is>
          <t>問19</t>
        </is>
      </c>
      <c r="B153" s="5" t="inlineStr">
        <is>
          <t>困ったときに相談する相手・場所はどこですか（あてはまるものすべて）</t>
        </is>
      </c>
      <c r="C153" s="5" t="inlineStr">
        <is>
          <t>友人・知人</t>
        </is>
      </c>
      <c r="D153" s="30" t="n">
        <v>0</v>
      </c>
      <c r="E153" s="20">
        <f>IF($F153=0,0,D153/$F153)</f>
        <v>0</v>
      </c>
      <c r="F153" s="19">
        <f>$F$152</f>
        <v>3</v>
      </c>
      <c r="G153" s="4" t="inlineStr">
        <is>
          <t>複数回答</t>
        </is>
      </c>
    </row>
    <row r="154" ht="28" customHeight="1">
      <c r="A154" s="4" t="inlineStr">
        <is>
          <t>問19</t>
        </is>
      </c>
      <c r="B154" s="5" t="inlineStr">
        <is>
          <t>困ったときに相談する相手・場所はどこですか（あてはまるものすべて）</t>
        </is>
      </c>
      <c r="C154" s="5" t="inlineStr">
        <is>
          <t>村役場</t>
        </is>
      </c>
      <c r="D154" s="30" t="n">
        <v>0</v>
      </c>
      <c r="E154" s="20">
        <f>IF($F154=0,0,D154/$F154)</f>
        <v>0</v>
      </c>
      <c r="F154" s="19">
        <f>$F$152</f>
        <v>3</v>
      </c>
      <c r="G154" s="4" t="inlineStr">
        <is>
          <t>複数回答</t>
        </is>
      </c>
    </row>
    <row r="155" ht="28" customHeight="1">
      <c r="A155" s="4" t="inlineStr">
        <is>
          <t>問19</t>
        </is>
      </c>
      <c r="B155" s="5" t="inlineStr">
        <is>
          <t>困ったときに相談する相手・場所はどこですか（あてはまるものすべて）</t>
        </is>
      </c>
      <c r="C155" s="5" t="inlineStr">
        <is>
          <t>相談支援専門員</t>
        </is>
      </c>
      <c r="D155" s="30" t="n">
        <v>1</v>
      </c>
      <c r="E155" s="20">
        <f>IF($F155=0,0,D155/$F155)</f>
        <v>0.333333333333333</v>
      </c>
      <c r="F155" s="19">
        <f>$F$152</f>
        <v>3</v>
      </c>
      <c r="G155" s="4" t="inlineStr">
        <is>
          <t>複数回答</t>
        </is>
      </c>
    </row>
    <row r="156" ht="28" customHeight="1">
      <c r="A156" s="4" t="inlineStr">
        <is>
          <t>問19</t>
        </is>
      </c>
      <c r="B156" s="5" t="inlineStr">
        <is>
          <t>困ったときに相談する相手・場所はどこですか（あてはまるものすべて）</t>
        </is>
      </c>
      <c r="C156" s="5" t="inlineStr">
        <is>
          <t>福祉サービス事業所</t>
        </is>
      </c>
      <c r="D156" s="30" t="n">
        <v>0</v>
      </c>
      <c r="E156" s="20">
        <f>IF($F156=0,0,D156/$F156)</f>
        <v>0</v>
      </c>
      <c r="F156" s="19">
        <f>$F$152</f>
        <v>3</v>
      </c>
      <c r="G156" s="4" t="inlineStr">
        <is>
          <t>複数回答</t>
        </is>
      </c>
    </row>
    <row r="157" ht="28" customHeight="1">
      <c r="A157" s="4" t="inlineStr">
        <is>
          <t>問19</t>
        </is>
      </c>
      <c r="B157" s="5" t="inlineStr">
        <is>
          <t>困ったときに相談する相手・場所はどこですか（あてはまるものすべて）</t>
        </is>
      </c>
      <c r="C157" s="5" t="inlineStr">
        <is>
          <t>医療機関</t>
        </is>
      </c>
      <c r="D157" s="30" t="n">
        <v>2</v>
      </c>
      <c r="E157" s="20">
        <f>IF($F157=0,0,D157/$F157)</f>
        <v>0.666666666666667</v>
      </c>
      <c r="F157" s="19">
        <f>$F$152</f>
        <v>3</v>
      </c>
      <c r="G157" s="4" t="inlineStr">
        <is>
          <t>複数回答</t>
        </is>
      </c>
    </row>
    <row r="158" ht="28" customHeight="1">
      <c r="A158" s="4" t="inlineStr">
        <is>
          <t>問19</t>
        </is>
      </c>
      <c r="B158" s="5" t="inlineStr">
        <is>
          <t>困ったときに相談する相手・場所はどこですか（あてはまるものすべて）</t>
        </is>
      </c>
      <c r="C158" s="5" t="inlineStr">
        <is>
          <t>学校・保育所等</t>
        </is>
      </c>
      <c r="D158" s="30" t="n">
        <v>0</v>
      </c>
      <c r="E158" s="20">
        <f>IF($F158=0,0,D158/$F158)</f>
        <v>0</v>
      </c>
      <c r="F158" s="19">
        <f>$F$152</f>
        <v>3</v>
      </c>
      <c r="G158" s="4" t="inlineStr">
        <is>
          <t>複数回答</t>
        </is>
      </c>
    </row>
    <row r="159" ht="28" customHeight="1">
      <c r="A159" s="4" t="inlineStr">
        <is>
          <t>問19</t>
        </is>
      </c>
      <c r="B159" s="5" t="inlineStr">
        <is>
          <t>困ったときに相談する相手・場所はどこですか（あてはまるものすべて）</t>
        </is>
      </c>
      <c r="C159" s="5" t="inlineStr">
        <is>
          <t>SNS・インターネット・AI</t>
        </is>
      </c>
      <c r="D159" s="30" t="n">
        <v>0</v>
      </c>
      <c r="E159" s="20">
        <f>IF($F159=0,0,D159/$F159)</f>
        <v>0</v>
      </c>
      <c r="F159" s="19">
        <f>$F$152</f>
        <v>3</v>
      </c>
      <c r="G159" s="4" t="inlineStr">
        <is>
          <t>複数回答</t>
        </is>
      </c>
    </row>
    <row r="160" ht="28" customHeight="1">
      <c r="A160" s="4" t="inlineStr">
        <is>
          <t>問19</t>
        </is>
      </c>
      <c r="B160" s="5" t="inlineStr">
        <is>
          <t>困ったときに相談する相手・場所はどこですか（あてはまるものすべて）</t>
        </is>
      </c>
      <c r="C160" s="5" t="inlineStr">
        <is>
          <t>社会福祉協議会</t>
        </is>
      </c>
      <c r="D160" s="30" t="n">
        <v>0</v>
      </c>
      <c r="E160" s="20">
        <f>IF($F160=0,0,D160/$F160)</f>
        <v>0</v>
      </c>
      <c r="F160" s="19">
        <f>$F$152</f>
        <v>3</v>
      </c>
      <c r="G160" s="4" t="inlineStr">
        <is>
          <t>複数回答</t>
        </is>
      </c>
    </row>
    <row r="161" ht="28" customHeight="1">
      <c r="A161" s="4" t="inlineStr">
        <is>
          <t>問19</t>
        </is>
      </c>
      <c r="B161" s="5" t="inlineStr">
        <is>
          <t>困ったときに相談する相手・場所はどこですか（あてはまるものすべて）</t>
        </is>
      </c>
      <c r="C161" s="5" t="inlineStr">
        <is>
          <t>民生委員・児童委員</t>
        </is>
      </c>
      <c r="D161" s="30" t="n">
        <v>0</v>
      </c>
      <c r="E161" s="20">
        <f>IF($F161=0,0,D161/$F161)</f>
        <v>0</v>
      </c>
      <c r="F161" s="19">
        <f>$F$152</f>
        <v>3</v>
      </c>
      <c r="G161" s="4" t="inlineStr">
        <is>
          <t>複数回答</t>
        </is>
      </c>
    </row>
    <row r="162" ht="28" customHeight="1">
      <c r="A162" s="4" t="inlineStr">
        <is>
          <t>問19</t>
        </is>
      </c>
      <c r="B162" s="5" t="inlineStr">
        <is>
          <t>困ったときに相談する相手・場所はどこですか（あてはまるものすべて）</t>
        </is>
      </c>
      <c r="C162" s="5" t="inlineStr">
        <is>
          <t>相談する相手がいない</t>
        </is>
      </c>
      <c r="D162" s="30" t="n">
        <v>0</v>
      </c>
      <c r="E162" s="20">
        <f>IF($F162=0,0,D162/$F162)</f>
        <v>0</v>
      </c>
      <c r="F162" s="19">
        <f>$F$152</f>
        <v>3</v>
      </c>
      <c r="G162" s="4" t="inlineStr">
        <is>
          <t>複数回答</t>
        </is>
      </c>
    </row>
    <row r="163" ht="28" customHeight="1">
      <c r="A163" s="4" t="inlineStr">
        <is>
          <t>問19</t>
        </is>
      </c>
      <c r="B163" s="5" t="inlineStr">
        <is>
          <t>困ったときに相談する相手・場所はどこですか（あてはまるものすべて）</t>
        </is>
      </c>
      <c r="C163" s="5" t="inlineStr">
        <is>
          <t>その他</t>
        </is>
      </c>
      <c r="D163" s="30" t="n">
        <v>1</v>
      </c>
      <c r="E163" s="20">
        <f>IF($F163=0,0,D163/$F163)</f>
        <v>0.333333333333333</v>
      </c>
      <c r="F163" s="19">
        <f>$F$152</f>
        <v>3</v>
      </c>
      <c r="G163" s="4" t="inlineStr">
        <is>
          <t>複数回答</t>
        </is>
      </c>
    </row>
    <row r="164" ht="28" customHeight="1">
      <c r="A164" s="4" t="inlineStr">
        <is>
          <t>問19</t>
        </is>
      </c>
      <c r="B164" s="5" t="inlineStr">
        <is>
          <t>困ったときに相談する相手・場所はどこですか（あてはまるものすべて）</t>
        </is>
      </c>
      <c r="C164" s="5" t="inlineStr">
        <is>
          <t>無回答</t>
        </is>
      </c>
      <c r="D164" s="30" t="n">
        <v>0</v>
      </c>
      <c r="E164" s="20">
        <f>IF($F164=0,0,D164/$F164)</f>
        <v>0</v>
      </c>
      <c r="F164" s="19">
        <f>$F$152</f>
        <v>3</v>
      </c>
      <c r="G164" s="4" t="inlineStr">
        <is>
          <t>複数回答</t>
        </is>
      </c>
    </row>
    <row r="165" ht="28" customHeight="1">
      <c r="A165" s="4" t="inlineStr">
        <is>
          <t>問20</t>
        </is>
      </c>
      <c r="B165" s="5" t="inlineStr">
        <is>
          <t>相談しにくい、又は相談できない理由は何ですか（あてはまるものすべて）</t>
        </is>
      </c>
      <c r="C165" s="5" t="inlineStr">
        <is>
          <t>相談先がわからない</t>
        </is>
      </c>
      <c r="D165" s="30" t="n">
        <v>0</v>
      </c>
      <c r="E165" s="20">
        <f>IF($F165=0,0,D165/$F165)</f>
        <v>0</v>
      </c>
      <c r="F165" s="30" t="n">
        <v>3</v>
      </c>
      <c r="G165" s="4" t="inlineStr">
        <is>
          <t>複数回答</t>
        </is>
      </c>
    </row>
    <row r="166" ht="28" customHeight="1">
      <c r="A166" s="4" t="inlineStr">
        <is>
          <t>問20</t>
        </is>
      </c>
      <c r="B166" s="5" t="inlineStr">
        <is>
          <t>相談しにくい、又は相談できない理由は何ですか（あてはまるものすべて）</t>
        </is>
      </c>
      <c r="C166" s="5" t="inlineStr">
        <is>
          <t>身近に相談先がない</t>
        </is>
      </c>
      <c r="D166" s="30" t="n">
        <v>0</v>
      </c>
      <c r="E166" s="20">
        <f>IF($F166=0,0,D166/$F166)</f>
        <v>0</v>
      </c>
      <c r="F166" s="19">
        <f>$F$165</f>
        <v>3</v>
      </c>
      <c r="G166" s="4" t="inlineStr">
        <is>
          <t>複数回答</t>
        </is>
      </c>
    </row>
    <row r="167" ht="28" customHeight="1">
      <c r="A167" s="4" t="inlineStr">
        <is>
          <t>問20</t>
        </is>
      </c>
      <c r="B167" s="5" t="inlineStr">
        <is>
          <t>相談しにくい、又は相談できない理由は何ですか（あてはまるものすべて）</t>
        </is>
      </c>
      <c r="C167" s="5" t="inlineStr">
        <is>
          <t>何を相談してよいかわからない</t>
        </is>
      </c>
      <c r="D167" s="30" t="n">
        <v>0</v>
      </c>
      <c r="E167" s="20">
        <f>IF($F167=0,0,D167/$F167)</f>
        <v>0</v>
      </c>
      <c r="F167" s="19">
        <f>$F$165</f>
        <v>3</v>
      </c>
      <c r="G167" s="4" t="inlineStr">
        <is>
          <t>複数回答</t>
        </is>
      </c>
    </row>
    <row r="168" ht="28" customHeight="1">
      <c r="A168" s="4" t="inlineStr">
        <is>
          <t>問20</t>
        </is>
      </c>
      <c r="B168" s="5" t="inlineStr">
        <is>
          <t>相談しにくい、又は相談できない理由は何ですか（あてはまるものすべて）</t>
        </is>
      </c>
      <c r="C168" s="5" t="inlineStr">
        <is>
          <t>相談しても解決しないと思う</t>
        </is>
      </c>
      <c r="D168" s="30" t="n">
        <v>2</v>
      </c>
      <c r="E168" s="20">
        <f>IF($F168=0,0,D168/$F168)</f>
        <v>0.666666666666667</v>
      </c>
      <c r="F168" s="19">
        <f>$F$165</f>
        <v>3</v>
      </c>
      <c r="G168" s="4" t="inlineStr">
        <is>
          <t>複数回答</t>
        </is>
      </c>
    </row>
    <row r="169" ht="28" customHeight="1">
      <c r="A169" s="4" t="inlineStr">
        <is>
          <t>問20</t>
        </is>
      </c>
      <c r="B169" s="5" t="inlineStr">
        <is>
          <t>相談しにくい、又は相談できない理由は何ですか（あてはまるものすべて）</t>
        </is>
      </c>
      <c r="C169" s="5" t="inlineStr">
        <is>
          <t>交通手段がない</t>
        </is>
      </c>
      <c r="D169" s="30" t="n">
        <v>0</v>
      </c>
      <c r="E169" s="20">
        <f>IF($F169=0,0,D169/$F169)</f>
        <v>0</v>
      </c>
      <c r="F169" s="19">
        <f>$F$165</f>
        <v>3</v>
      </c>
      <c r="G169" s="4" t="inlineStr">
        <is>
          <t>複数回答</t>
        </is>
      </c>
    </row>
    <row r="170" ht="28" customHeight="1">
      <c r="A170" s="4" t="inlineStr">
        <is>
          <t>問20</t>
        </is>
      </c>
      <c r="B170" s="5" t="inlineStr">
        <is>
          <t>相談しにくい、又は相談できない理由は何ですか（あてはまるものすべて）</t>
        </is>
      </c>
      <c r="C170" s="5" t="inlineStr">
        <is>
          <t>家族が対応している</t>
        </is>
      </c>
      <c r="D170" s="30" t="n">
        <v>1</v>
      </c>
      <c r="E170" s="20">
        <f>IF($F170=0,0,D170/$F170)</f>
        <v>0.333333333333333</v>
      </c>
      <c r="F170" s="19">
        <f>$F$165</f>
        <v>3</v>
      </c>
      <c r="G170" s="4" t="inlineStr">
        <is>
          <t>複数回答</t>
        </is>
      </c>
    </row>
    <row r="171" ht="28" customHeight="1">
      <c r="A171" s="4" t="inlineStr">
        <is>
          <t>問20</t>
        </is>
      </c>
      <c r="B171" s="5" t="inlineStr">
        <is>
          <t>相談しにくい、又は相談できない理由は何ですか（あてはまるものすべて）</t>
        </is>
      </c>
      <c r="C171" s="5" t="inlineStr">
        <is>
          <t>プライバシーが不安</t>
        </is>
      </c>
      <c r="D171" s="30" t="n">
        <v>0</v>
      </c>
      <c r="E171" s="20">
        <f>IF($F171=0,0,D171/$F171)</f>
        <v>0</v>
      </c>
      <c r="F171" s="19">
        <f>$F$165</f>
        <v>3</v>
      </c>
      <c r="G171" s="4" t="inlineStr">
        <is>
          <t>複数回答</t>
        </is>
      </c>
    </row>
    <row r="172" ht="28" customHeight="1">
      <c r="A172" s="4" t="inlineStr">
        <is>
          <t>問20</t>
        </is>
      </c>
      <c r="B172" s="5" t="inlineStr">
        <is>
          <t>相談しにくい、又は相談できない理由は何ですか（あてはまるものすべて）</t>
        </is>
      </c>
      <c r="C172" s="5" t="inlineStr">
        <is>
          <t>特に困っていない</t>
        </is>
      </c>
      <c r="D172" s="30" t="n">
        <v>0</v>
      </c>
      <c r="E172" s="20">
        <f>IF($F172=0,0,D172/$F172)</f>
        <v>0</v>
      </c>
      <c r="F172" s="19">
        <f>$F$165</f>
        <v>3</v>
      </c>
      <c r="G172" s="4" t="inlineStr">
        <is>
          <t>複数回答</t>
        </is>
      </c>
    </row>
    <row r="173" ht="28" customHeight="1">
      <c r="A173" s="4" t="inlineStr">
        <is>
          <t>問20</t>
        </is>
      </c>
      <c r="B173" s="5" t="inlineStr">
        <is>
          <t>相談しにくい、又は相談できない理由は何ですか（あてはまるものすべて）</t>
        </is>
      </c>
      <c r="C173" s="5" t="inlineStr">
        <is>
          <t>その他</t>
        </is>
      </c>
      <c r="D173" s="30" t="n">
        <v>0</v>
      </c>
      <c r="E173" s="20">
        <f>IF($F173=0,0,D173/$F173)</f>
        <v>0</v>
      </c>
      <c r="F173" s="19">
        <f>$F$165</f>
        <v>3</v>
      </c>
      <c r="G173" s="4" t="inlineStr">
        <is>
          <t>複数回答</t>
        </is>
      </c>
    </row>
    <row r="174" ht="28" customHeight="1">
      <c r="A174" s="4" t="inlineStr">
        <is>
          <t>問20</t>
        </is>
      </c>
      <c r="B174" s="5" t="inlineStr">
        <is>
          <t>相談しにくい、又は相談できない理由は何ですか（あてはまるものすべて）</t>
        </is>
      </c>
      <c r="C174" s="5" t="inlineStr">
        <is>
          <t>無回答</t>
        </is>
      </c>
      <c r="D174" s="30" t="n">
        <v>0</v>
      </c>
      <c r="E174" s="20">
        <f>IF($F174=0,0,D174/$F174)</f>
        <v>0</v>
      </c>
      <c r="F174" s="19">
        <f>$F$165</f>
        <v>3</v>
      </c>
      <c r="G174" s="4" t="inlineStr">
        <is>
          <t>複数回答</t>
        </is>
      </c>
    </row>
    <row r="175" ht="28" customHeight="1">
      <c r="A175" s="4" t="inlineStr">
        <is>
          <t>問21</t>
        </is>
      </c>
      <c r="B175" s="5" t="inlineStr">
        <is>
          <t>福祉に関する情報はどこから得ていますか（あてはまるものすべて）</t>
        </is>
      </c>
      <c r="C175" s="5" t="inlineStr">
        <is>
          <t>村広報・ホームページ</t>
        </is>
      </c>
      <c r="D175" s="30" t="n">
        <v>0</v>
      </c>
      <c r="E175" s="20">
        <f>IF($F175=0,0,D175/$F175)</f>
        <v>0</v>
      </c>
      <c r="F175" s="30" t="n">
        <v>3</v>
      </c>
      <c r="G175" s="4" t="inlineStr">
        <is>
          <t>複数回答</t>
        </is>
      </c>
    </row>
    <row r="176" ht="28" customHeight="1">
      <c r="A176" s="4" t="inlineStr">
        <is>
          <t>問21</t>
        </is>
      </c>
      <c r="B176" s="5" t="inlineStr">
        <is>
          <t>福祉に関する情報はどこから得ていますか（あてはまるものすべて）</t>
        </is>
      </c>
      <c r="C176" s="5" t="inlineStr">
        <is>
          <t>家族・知人</t>
        </is>
      </c>
      <c r="D176" s="30" t="n">
        <v>1</v>
      </c>
      <c r="E176" s="20">
        <f>IF($F176=0,0,D176/$F176)</f>
        <v>0.333333333333333</v>
      </c>
      <c r="F176" s="19">
        <f>$F$175</f>
        <v>3</v>
      </c>
      <c r="G176" s="4" t="inlineStr">
        <is>
          <t>複数回答</t>
        </is>
      </c>
    </row>
    <row r="177" ht="28" customHeight="1">
      <c r="A177" s="4" t="inlineStr">
        <is>
          <t>問21</t>
        </is>
      </c>
      <c r="B177" s="5" t="inlineStr">
        <is>
          <t>福祉に関する情報はどこから得ていますか（あてはまるものすべて）</t>
        </is>
      </c>
      <c r="C177" s="5" t="inlineStr">
        <is>
          <t>相談支援専門員</t>
        </is>
      </c>
      <c r="D177" s="30" t="n">
        <v>0</v>
      </c>
      <c r="E177" s="20">
        <f>IF($F177=0,0,D177/$F177)</f>
        <v>0</v>
      </c>
      <c r="F177" s="19">
        <f>$F$175</f>
        <v>3</v>
      </c>
      <c r="G177" s="4" t="inlineStr">
        <is>
          <t>複数回答</t>
        </is>
      </c>
    </row>
    <row r="178" ht="28" customHeight="1">
      <c r="A178" s="4" t="inlineStr">
        <is>
          <t>問21</t>
        </is>
      </c>
      <c r="B178" s="5" t="inlineStr">
        <is>
          <t>福祉に関する情報はどこから得ていますか（あてはまるものすべて）</t>
        </is>
      </c>
      <c r="C178" s="5" t="inlineStr">
        <is>
          <t>福祉サービス事業所</t>
        </is>
      </c>
      <c r="D178" s="30" t="n">
        <v>0</v>
      </c>
      <c r="E178" s="20">
        <f>IF($F178=0,0,D178/$F178)</f>
        <v>0</v>
      </c>
      <c r="F178" s="19">
        <f>$F$175</f>
        <v>3</v>
      </c>
      <c r="G178" s="4" t="inlineStr">
        <is>
          <t>複数回答</t>
        </is>
      </c>
    </row>
    <row r="179" ht="28" customHeight="1">
      <c r="A179" s="4" t="inlineStr">
        <is>
          <t>問21</t>
        </is>
      </c>
      <c r="B179" s="5" t="inlineStr">
        <is>
          <t>福祉に関する情報はどこから得ていますか（あてはまるものすべて）</t>
        </is>
      </c>
      <c r="C179" s="5" t="inlineStr">
        <is>
          <t>医療機関</t>
        </is>
      </c>
      <c r="D179" s="30" t="n">
        <v>3</v>
      </c>
      <c r="E179" s="20">
        <f>IF($F179=0,0,D179/$F179)</f>
        <v>1</v>
      </c>
      <c r="F179" s="19">
        <f>$F$175</f>
        <v>3</v>
      </c>
      <c r="G179" s="4" t="inlineStr">
        <is>
          <t>複数回答</t>
        </is>
      </c>
    </row>
    <row r="180" ht="28" customHeight="1">
      <c r="A180" s="4" t="inlineStr">
        <is>
          <t>問21</t>
        </is>
      </c>
      <c r="B180" s="5" t="inlineStr">
        <is>
          <t>福祉に関する情報はどこから得ていますか（あてはまるものすべて）</t>
        </is>
      </c>
      <c r="C180" s="5" t="inlineStr">
        <is>
          <t>学校・保育所等</t>
        </is>
      </c>
      <c r="D180" s="30" t="n">
        <v>0</v>
      </c>
      <c r="E180" s="20">
        <f>IF($F180=0,0,D180/$F180)</f>
        <v>0</v>
      </c>
      <c r="F180" s="19">
        <f>$F$175</f>
        <v>3</v>
      </c>
      <c r="G180" s="4" t="inlineStr">
        <is>
          <t>複数回答</t>
        </is>
      </c>
    </row>
    <row r="181" ht="28" customHeight="1">
      <c r="A181" s="4" t="inlineStr">
        <is>
          <t>問21</t>
        </is>
      </c>
      <c r="B181" s="5" t="inlineStr">
        <is>
          <t>福祉に関する情報はどこから得ていますか（あてはまるものすべて）</t>
        </is>
      </c>
      <c r="C181" s="5" t="inlineStr">
        <is>
          <t>SNS・インターネット・AI</t>
        </is>
      </c>
      <c r="D181" s="30" t="n">
        <v>1</v>
      </c>
      <c r="E181" s="20">
        <f>IF($F181=0,0,D181/$F181)</f>
        <v>0.333333333333333</v>
      </c>
      <c r="F181" s="19">
        <f>$F$175</f>
        <v>3</v>
      </c>
      <c r="G181" s="4" t="inlineStr">
        <is>
          <t>複数回答</t>
        </is>
      </c>
    </row>
    <row r="182" ht="28" customHeight="1">
      <c r="A182" s="4" t="inlineStr">
        <is>
          <t>問21</t>
        </is>
      </c>
      <c r="B182" s="5" t="inlineStr">
        <is>
          <t>福祉に関する情報はどこから得ていますか（あてはまるものすべて）</t>
        </is>
      </c>
      <c r="C182" s="5" t="inlineStr">
        <is>
          <t>新聞・テレビ</t>
        </is>
      </c>
      <c r="D182" s="30" t="n">
        <v>0</v>
      </c>
      <c r="E182" s="20">
        <f>IF($F182=0,0,D182/$F182)</f>
        <v>0</v>
      </c>
      <c r="F182" s="19">
        <f>$F$175</f>
        <v>3</v>
      </c>
      <c r="G182" s="4" t="inlineStr">
        <is>
          <t>複数回答</t>
        </is>
      </c>
    </row>
    <row r="183" ht="28" customHeight="1">
      <c r="A183" s="4" t="inlineStr">
        <is>
          <t>問21</t>
        </is>
      </c>
      <c r="B183" s="5" t="inlineStr">
        <is>
          <t>福祉に関する情報はどこから得ていますか（あてはまるものすべて）</t>
        </is>
      </c>
      <c r="C183" s="5" t="inlineStr">
        <is>
          <t>情報を得られていない</t>
        </is>
      </c>
      <c r="D183" s="30" t="n">
        <v>0</v>
      </c>
      <c r="E183" s="20">
        <f>IF($F183=0,0,D183/$F183)</f>
        <v>0</v>
      </c>
      <c r="F183" s="19">
        <f>$F$175</f>
        <v>3</v>
      </c>
      <c r="G183" s="4" t="inlineStr">
        <is>
          <t>複数回答</t>
        </is>
      </c>
    </row>
    <row r="184" ht="28" customHeight="1">
      <c r="A184" s="4" t="inlineStr">
        <is>
          <t>問21</t>
        </is>
      </c>
      <c r="B184" s="5" t="inlineStr">
        <is>
          <t>福祉に関する情報はどこから得ていますか（あてはまるものすべて）</t>
        </is>
      </c>
      <c r="C184" s="5" t="inlineStr">
        <is>
          <t>その他</t>
        </is>
      </c>
      <c r="D184" s="30" t="n">
        <v>0</v>
      </c>
      <c r="E184" s="20">
        <f>IF($F184=0,0,D184/$F184)</f>
        <v>0</v>
      </c>
      <c r="F184" s="19">
        <f>$F$175</f>
        <v>3</v>
      </c>
      <c r="G184" s="4" t="inlineStr">
        <is>
          <t>複数回答</t>
        </is>
      </c>
    </row>
    <row r="185" ht="28" customHeight="1">
      <c r="A185" s="4" t="inlineStr">
        <is>
          <t>問21</t>
        </is>
      </c>
      <c r="B185" s="5" t="inlineStr">
        <is>
          <t>福祉に関する情報はどこから得ていますか（あてはまるものすべて）</t>
        </is>
      </c>
      <c r="C185" s="5" t="inlineStr">
        <is>
          <t>無回答</t>
        </is>
      </c>
      <c r="D185" s="30" t="n">
        <v>0</v>
      </c>
      <c r="E185" s="20">
        <f>IF($F185=0,0,D185/$F185)</f>
        <v>0</v>
      </c>
      <c r="F185" s="19">
        <f>$F$175</f>
        <v>3</v>
      </c>
      <c r="G185" s="4" t="inlineStr">
        <is>
          <t>複数回答</t>
        </is>
      </c>
    </row>
    <row r="186" ht="28" customHeight="1">
      <c r="A186" s="4" t="inlineStr">
        <is>
          <t>問22</t>
        </is>
      </c>
      <c r="B186" s="5" t="inlineStr">
        <is>
          <t>相談支援に期待することは何ですか（あてはまるものすべて）</t>
        </is>
      </c>
      <c r="C186" s="5" t="inlineStr">
        <is>
          <t>サービス利用の相談</t>
        </is>
      </c>
      <c r="D186" s="30" t="n">
        <v>2</v>
      </c>
      <c r="E186" s="20">
        <f>IF($F186=0,0,D186/$F186)</f>
        <v>0.666666666666667</v>
      </c>
      <c r="F186" s="30" t="n">
        <v>3</v>
      </c>
      <c r="G186" s="4" t="inlineStr">
        <is>
          <t>複数回答</t>
        </is>
      </c>
    </row>
    <row r="187" ht="28" customHeight="1">
      <c r="A187" s="4" t="inlineStr">
        <is>
          <t>問22</t>
        </is>
      </c>
      <c r="B187" s="5" t="inlineStr">
        <is>
          <t>相談支援に期待することは何ですか（あてはまるものすべて）</t>
        </is>
      </c>
      <c r="C187" s="5" t="inlineStr">
        <is>
          <t>将来の暮らしの相談</t>
        </is>
      </c>
      <c r="D187" s="30" t="n">
        <v>3</v>
      </c>
      <c r="E187" s="20">
        <f>IF($F187=0,0,D187/$F187)</f>
        <v>1</v>
      </c>
      <c r="F187" s="19">
        <f>$F$186</f>
        <v>3</v>
      </c>
      <c r="G187" s="4" t="inlineStr">
        <is>
          <t>複数回答</t>
        </is>
      </c>
    </row>
    <row r="188" ht="28" customHeight="1">
      <c r="A188" s="4" t="inlineStr">
        <is>
          <t>問22</t>
        </is>
      </c>
      <c r="B188" s="5" t="inlineStr">
        <is>
          <t>相談支援に期待することは何ですか（あてはまるものすべて）</t>
        </is>
      </c>
      <c r="C188" s="5" t="inlineStr">
        <is>
          <t>日中活動の相談</t>
        </is>
      </c>
      <c r="D188" s="30" t="n">
        <v>1</v>
      </c>
      <c r="E188" s="20">
        <f>IF($F188=0,0,D188/$F188)</f>
        <v>0.333333333333333</v>
      </c>
      <c r="F188" s="19">
        <f>$F$186</f>
        <v>3</v>
      </c>
      <c r="G188" s="4" t="inlineStr">
        <is>
          <t>複数回答</t>
        </is>
      </c>
    </row>
    <row r="189" ht="28" customHeight="1">
      <c r="A189" s="4" t="inlineStr">
        <is>
          <t>問22</t>
        </is>
      </c>
      <c r="B189" s="5" t="inlineStr">
        <is>
          <t>相談支援に期待することは何ですか（あてはまるものすべて）</t>
        </is>
      </c>
      <c r="C189" s="5" t="inlineStr">
        <is>
          <t>障がい児・発達の相談</t>
        </is>
      </c>
      <c r="D189" s="30" t="n">
        <v>1</v>
      </c>
      <c r="E189" s="20">
        <f>IF($F189=0,0,D189/$F189)</f>
        <v>0.333333333333333</v>
      </c>
      <c r="F189" s="19">
        <f>$F$186</f>
        <v>3</v>
      </c>
      <c r="G189" s="4" t="inlineStr">
        <is>
          <t>複数回答</t>
        </is>
      </c>
    </row>
    <row r="190" ht="28" customHeight="1">
      <c r="A190" s="4" t="inlineStr">
        <is>
          <t>問22</t>
        </is>
      </c>
      <c r="B190" s="5" t="inlineStr">
        <is>
          <t>相談支援に期待することは何ですか（あてはまるものすべて）</t>
        </is>
      </c>
      <c r="C190" s="5" t="inlineStr">
        <is>
          <t>医療・通院の相談</t>
        </is>
      </c>
      <c r="D190" s="30" t="n">
        <v>3</v>
      </c>
      <c r="E190" s="20">
        <f>IF($F190=0,0,D190/$F190)</f>
        <v>1</v>
      </c>
      <c r="F190" s="19">
        <f>$F$186</f>
        <v>3</v>
      </c>
      <c r="G190" s="4" t="inlineStr">
        <is>
          <t>複数回答</t>
        </is>
      </c>
    </row>
    <row r="191" ht="28" customHeight="1">
      <c r="A191" s="4" t="inlineStr">
        <is>
          <t>問22</t>
        </is>
      </c>
      <c r="B191" s="5" t="inlineStr">
        <is>
          <t>相談支援に期待することは何ですか（あてはまるものすべて）</t>
        </is>
      </c>
      <c r="C191" s="5" t="inlineStr">
        <is>
          <t>家族の負担軽減</t>
        </is>
      </c>
      <c r="D191" s="30" t="n">
        <v>2</v>
      </c>
      <c r="E191" s="20">
        <f>IF($F191=0,0,D191/$F191)</f>
        <v>0.666666666666667</v>
      </c>
      <c r="F191" s="19">
        <f>$F$186</f>
        <v>3</v>
      </c>
      <c r="G191" s="4" t="inlineStr">
        <is>
          <t>複数回答</t>
        </is>
      </c>
    </row>
    <row r="192" ht="28" customHeight="1">
      <c r="A192" s="4" t="inlineStr">
        <is>
          <t>問22</t>
        </is>
      </c>
      <c r="B192" s="5" t="inlineStr">
        <is>
          <t>相談支援に期待することは何ですか（あてはまるものすべて）</t>
        </is>
      </c>
      <c r="C192" s="5" t="inlineStr">
        <is>
          <t>緊急時の相談</t>
        </is>
      </c>
      <c r="D192" s="30" t="n">
        <v>1</v>
      </c>
      <c r="E192" s="20">
        <f>IF($F192=0,0,D192/$F192)</f>
        <v>0.333333333333333</v>
      </c>
      <c r="F192" s="19">
        <f>$F$186</f>
        <v>3</v>
      </c>
      <c r="G192" s="4" t="inlineStr">
        <is>
          <t>複数回答</t>
        </is>
      </c>
    </row>
    <row r="193" ht="28" customHeight="1">
      <c r="A193" s="4" t="inlineStr">
        <is>
          <t>問22</t>
        </is>
      </c>
      <c r="B193" s="5" t="inlineStr">
        <is>
          <t>相談支援に期待することは何ですか（あてはまるものすべて）</t>
        </is>
      </c>
      <c r="C193" s="5" t="inlineStr">
        <is>
          <t>わかりやすい情報提供</t>
        </is>
      </c>
      <c r="D193" s="30" t="n">
        <v>1</v>
      </c>
      <c r="E193" s="20">
        <f>IF($F193=0,0,D193/$F193)</f>
        <v>0.333333333333333</v>
      </c>
      <c r="F193" s="19">
        <f>$F$186</f>
        <v>3</v>
      </c>
      <c r="G193" s="4" t="inlineStr">
        <is>
          <t>複数回答</t>
        </is>
      </c>
    </row>
    <row r="194" ht="28" customHeight="1">
      <c r="A194" s="4" t="inlineStr">
        <is>
          <t>問22</t>
        </is>
      </c>
      <c r="B194" s="5" t="inlineStr">
        <is>
          <t>相談支援に期待することは何ですか（あてはまるものすべて）</t>
        </is>
      </c>
      <c r="C194" s="5" t="inlineStr">
        <is>
          <t>その他</t>
        </is>
      </c>
      <c r="D194" s="30" t="n">
        <v>0</v>
      </c>
      <c r="E194" s="20">
        <f>IF($F194=0,0,D194/$F194)</f>
        <v>0</v>
      </c>
      <c r="F194" s="19">
        <f>$F$186</f>
        <v>3</v>
      </c>
      <c r="G194" s="4" t="inlineStr">
        <is>
          <t>複数回答</t>
        </is>
      </c>
    </row>
    <row r="195" ht="28" customHeight="1">
      <c r="A195" s="4" t="inlineStr">
        <is>
          <t>問22</t>
        </is>
      </c>
      <c r="B195" s="5" t="inlineStr">
        <is>
          <t>相談支援に期待することは何ですか（あてはまるものすべて）</t>
        </is>
      </c>
      <c r="C195" s="5" t="inlineStr">
        <is>
          <t>無回答</t>
        </is>
      </c>
      <c r="D195" s="30" t="n">
        <v>0</v>
      </c>
      <c r="E195" s="20">
        <f>IF($F195=0,0,D195/$F195)</f>
        <v>0</v>
      </c>
      <c r="F195" s="19">
        <f>$F$186</f>
        <v>3</v>
      </c>
      <c r="G195" s="4" t="inlineStr">
        <is>
          <t>複数回答</t>
        </is>
      </c>
    </row>
    <row r="196" ht="16" customHeight="1">
      <c r="A196" s="4" t="inlineStr">
        <is>
          <t>問23</t>
        </is>
      </c>
      <c r="B196" s="5" t="inlineStr">
        <is>
          <t>現在の通園・通学等の状況を教えてください</t>
        </is>
      </c>
      <c r="C196" s="5" t="inlineStr">
        <is>
          <t>保育所・幼稚園・認定こども園に通っている</t>
        </is>
      </c>
      <c r="D196" s="30" t="n">
        <v>0</v>
      </c>
      <c r="E196" s="20">
        <f>IF($F196=0,0,D196/$F196)</f>
        <v>0</v>
      </c>
      <c r="F196" s="30" t="n">
        <v>3</v>
      </c>
      <c r="G196" s="4" t="inlineStr">
        <is>
          <t>単一回答</t>
        </is>
      </c>
    </row>
    <row r="197" ht="16" customHeight="1">
      <c r="A197" s="4" t="inlineStr">
        <is>
          <t>問23</t>
        </is>
      </c>
      <c r="B197" s="5" t="inlineStr">
        <is>
          <t>現在の通園・通学等の状況を教えてください</t>
        </is>
      </c>
      <c r="C197" s="5" t="inlineStr">
        <is>
          <t>小学校に通っている</t>
        </is>
      </c>
      <c r="D197" s="30" t="n">
        <v>0</v>
      </c>
      <c r="E197" s="20">
        <f>IF($F197=0,0,D197/$F197)</f>
        <v>0</v>
      </c>
      <c r="F197" s="19">
        <f>$F$196</f>
        <v>3</v>
      </c>
      <c r="G197" s="4" t="inlineStr">
        <is>
          <t>単一回答</t>
        </is>
      </c>
    </row>
    <row r="198" ht="16" customHeight="1">
      <c r="A198" s="4" t="inlineStr">
        <is>
          <t>問23</t>
        </is>
      </c>
      <c r="B198" s="5" t="inlineStr">
        <is>
          <t>現在の通園・通学等の状況を教えてください</t>
        </is>
      </c>
      <c r="C198" s="5" t="inlineStr">
        <is>
          <t>中学校に通っている</t>
        </is>
      </c>
      <c r="D198" s="30" t="n">
        <v>1</v>
      </c>
      <c r="E198" s="20">
        <f>IF($F198=0,0,D198/$F198)</f>
        <v>0.333333333333333</v>
      </c>
      <c r="F198" s="19">
        <f>$F$196</f>
        <v>3</v>
      </c>
      <c r="G198" s="4" t="inlineStr">
        <is>
          <t>単一回答</t>
        </is>
      </c>
    </row>
    <row r="199" ht="16" customHeight="1">
      <c r="A199" s="4" t="inlineStr">
        <is>
          <t>問23</t>
        </is>
      </c>
      <c r="B199" s="5" t="inlineStr">
        <is>
          <t>現在の通園・通学等の状況を教えてください</t>
        </is>
      </c>
      <c r="C199" s="5" t="inlineStr">
        <is>
          <t>高等学校等に通っている</t>
        </is>
      </c>
      <c r="D199" s="30" t="n">
        <v>1</v>
      </c>
      <c r="E199" s="20">
        <f>IF($F199=0,0,D199/$F199)</f>
        <v>0.333333333333333</v>
      </c>
      <c r="F199" s="19">
        <f>$F$196</f>
        <v>3</v>
      </c>
      <c r="G199" s="4" t="inlineStr">
        <is>
          <t>単一回答</t>
        </is>
      </c>
    </row>
    <row r="200" ht="16" customHeight="1">
      <c r="A200" s="4" t="inlineStr">
        <is>
          <t>問23</t>
        </is>
      </c>
      <c r="B200" s="5" t="inlineStr">
        <is>
          <t>現在の通園・通学等の状況を教えてください</t>
        </is>
      </c>
      <c r="C200" s="5" t="inlineStr">
        <is>
          <t>特別支援学校に通っている</t>
        </is>
      </c>
      <c r="D200" s="30" t="n">
        <v>1</v>
      </c>
      <c r="E200" s="20">
        <f>IF($F200=0,0,D200/$F200)</f>
        <v>0.333333333333333</v>
      </c>
      <c r="F200" s="19">
        <f>$F$196</f>
        <v>3</v>
      </c>
      <c r="G200" s="4" t="inlineStr">
        <is>
          <t>単一回答</t>
        </is>
      </c>
    </row>
    <row r="201" ht="16" customHeight="1">
      <c r="A201" s="4" t="inlineStr">
        <is>
          <t>問23</t>
        </is>
      </c>
      <c r="B201" s="5" t="inlineStr">
        <is>
          <t>現在の通園・通学等の状況を教えてください</t>
        </is>
      </c>
      <c r="C201" s="5" t="inlineStr">
        <is>
          <t>児童発達支援を利用している</t>
        </is>
      </c>
      <c r="D201" s="30" t="n">
        <v>0</v>
      </c>
      <c r="E201" s="20">
        <f>IF($F201=0,0,D201/$F201)</f>
        <v>0</v>
      </c>
      <c r="F201" s="19">
        <f>$F$196</f>
        <v>3</v>
      </c>
      <c r="G201" s="4" t="inlineStr">
        <is>
          <t>単一回答</t>
        </is>
      </c>
    </row>
    <row r="202" ht="16" customHeight="1">
      <c r="A202" s="4" t="inlineStr">
        <is>
          <t>問23</t>
        </is>
      </c>
      <c r="B202" s="5" t="inlineStr">
        <is>
          <t>現在の通園・通学等の状況を教えてください</t>
        </is>
      </c>
      <c r="C202" s="5" t="inlineStr">
        <is>
          <t>放課後等デイサービスを利用している</t>
        </is>
      </c>
      <c r="D202" s="30" t="n">
        <v>0</v>
      </c>
      <c r="E202" s="20">
        <f>IF($F202=0,0,D202/$F202)</f>
        <v>0</v>
      </c>
      <c r="F202" s="19">
        <f>$F$196</f>
        <v>3</v>
      </c>
      <c r="G202" s="4" t="inlineStr">
        <is>
          <t>単一回答</t>
        </is>
      </c>
    </row>
    <row r="203" ht="16" customHeight="1">
      <c r="A203" s="4" t="inlineStr">
        <is>
          <t>問23</t>
        </is>
      </c>
      <c r="B203" s="5" t="inlineStr">
        <is>
          <t>現在の通園・通学等の状況を教えてください</t>
        </is>
      </c>
      <c r="C203" s="5" t="inlineStr">
        <is>
          <t>在宅で過ごしていることが多い</t>
        </is>
      </c>
      <c r="D203" s="30" t="n">
        <v>0</v>
      </c>
      <c r="E203" s="20">
        <f>IF($F203=0,0,D203/$F203)</f>
        <v>0</v>
      </c>
      <c r="F203" s="19">
        <f>$F$196</f>
        <v>3</v>
      </c>
      <c r="G203" s="4" t="inlineStr">
        <is>
          <t>単一回答</t>
        </is>
      </c>
    </row>
    <row r="204" ht="16" customHeight="1">
      <c r="A204" s="4" t="inlineStr">
        <is>
          <t>問23</t>
        </is>
      </c>
      <c r="B204" s="5" t="inlineStr">
        <is>
          <t>現在の通園・通学等の状況を教えてください</t>
        </is>
      </c>
      <c r="C204" s="5" t="inlineStr">
        <is>
          <t>その他</t>
        </is>
      </c>
      <c r="D204" s="30" t="n">
        <v>0</v>
      </c>
      <c r="E204" s="20">
        <f>IF($F204=0,0,D204/$F204)</f>
        <v>0</v>
      </c>
      <c r="F204" s="19">
        <f>$F$196</f>
        <v>3</v>
      </c>
      <c r="G204" s="4" t="inlineStr">
        <is>
          <t>単一回答</t>
        </is>
      </c>
    </row>
    <row r="205" ht="16" customHeight="1">
      <c r="A205" s="4" t="inlineStr">
        <is>
          <t>問23</t>
        </is>
      </c>
      <c r="B205" s="5" t="inlineStr">
        <is>
          <t>現在の通園・通学等の状況を教えてください</t>
        </is>
      </c>
      <c r="C205" s="5" t="inlineStr">
        <is>
          <t>無回答</t>
        </is>
      </c>
      <c r="D205" s="30" t="n">
        <v>0</v>
      </c>
      <c r="E205" s="20">
        <f>IF($F205=0,0,D205/$F205)</f>
        <v>0</v>
      </c>
      <c r="F205" s="19">
        <f>$F$196</f>
        <v>3</v>
      </c>
      <c r="G205" s="4" t="inlineStr">
        <is>
          <t>単一回答</t>
        </is>
      </c>
    </row>
    <row r="206" ht="28" customHeight="1">
      <c r="A206" s="4" t="inlineStr">
        <is>
          <t>問24</t>
        </is>
      </c>
      <c r="B206" s="5" t="inlineStr">
        <is>
          <t>通園・通学や事業所利用で困っていることはありますか（あてはまるものすべて）</t>
        </is>
      </c>
      <c r="C206" s="5" t="inlineStr">
        <is>
          <t>送迎・移動手段の確保が難しい</t>
        </is>
      </c>
      <c r="D206" s="30" t="n">
        <v>3</v>
      </c>
      <c r="E206" s="20">
        <f>IF($F206=0,0,D206/$F206)</f>
        <v>1</v>
      </c>
      <c r="F206" s="30" t="n">
        <v>3</v>
      </c>
      <c r="G206" s="4" t="inlineStr">
        <is>
          <t>複数回答</t>
        </is>
      </c>
    </row>
    <row r="207" ht="28" customHeight="1">
      <c r="A207" s="4" t="inlineStr">
        <is>
          <t>問24</t>
        </is>
      </c>
      <c r="B207" s="5" t="inlineStr">
        <is>
          <t>通園・通学や事業所利用で困っていることはありますか（あてはまるものすべて）</t>
        </is>
      </c>
      <c r="C207" s="5" t="inlineStr">
        <is>
          <t>冬季の通園・通学・通所が不安</t>
        </is>
      </c>
      <c r="D207" s="30" t="n">
        <v>1</v>
      </c>
      <c r="E207" s="20">
        <f>IF($F207=0,0,D207/$F207)</f>
        <v>0.333333333333333</v>
      </c>
      <c r="F207" s="19">
        <f>$F$206</f>
        <v>3</v>
      </c>
      <c r="G207" s="4" t="inlineStr">
        <is>
          <t>複数回答</t>
        </is>
      </c>
    </row>
    <row r="208" ht="28" customHeight="1">
      <c r="A208" s="4" t="inlineStr">
        <is>
          <t>問24</t>
        </is>
      </c>
      <c r="B208" s="5" t="inlineStr">
        <is>
          <t>通園・通学や事業所利用で困っていることはありますか（あてはまるものすべて）</t>
        </is>
      </c>
      <c r="C208" s="5" t="inlineStr">
        <is>
          <t>付き添いなど家族の負担が大きい</t>
        </is>
      </c>
      <c r="D208" s="30" t="n">
        <v>3</v>
      </c>
      <c r="E208" s="20">
        <f>IF($F208=0,0,D208/$F208)</f>
        <v>1</v>
      </c>
      <c r="F208" s="19">
        <f>$F$206</f>
        <v>3</v>
      </c>
      <c r="G208" s="4" t="inlineStr">
        <is>
          <t>複数回答</t>
        </is>
      </c>
    </row>
    <row r="209" ht="28" customHeight="1">
      <c r="A209" s="4" t="inlineStr">
        <is>
          <t>問24</t>
        </is>
      </c>
      <c r="B209" s="5" t="inlineStr">
        <is>
          <t>通園・通学や事業所利用で困っていることはありますか（あてはまるものすべて）</t>
        </is>
      </c>
      <c r="C209" s="5" t="inlineStr">
        <is>
          <t>医療的ケアに対応できる場所が少ない</t>
        </is>
      </c>
      <c r="D209" s="30" t="n">
        <v>0</v>
      </c>
      <c r="E209" s="20">
        <f>IF($F209=0,0,D209/$F209)</f>
        <v>0</v>
      </c>
      <c r="F209" s="19">
        <f>$F$206</f>
        <v>3</v>
      </c>
      <c r="G209" s="4" t="inlineStr">
        <is>
          <t>複数回答</t>
        </is>
      </c>
    </row>
    <row r="210" ht="28" customHeight="1">
      <c r="A210" s="4" t="inlineStr">
        <is>
          <t>問24</t>
        </is>
      </c>
      <c r="B210" s="5" t="inlineStr">
        <is>
          <t>通園・通学や事業所利用で困っていることはありますか（あてはまるものすべて）</t>
        </is>
      </c>
      <c r="C210" s="5" t="inlineStr">
        <is>
          <t>本人に合う支援や配慮を受けにくい</t>
        </is>
      </c>
      <c r="D210" s="30" t="n">
        <v>0</v>
      </c>
      <c r="E210" s="20">
        <f>IF($F210=0,0,D210/$F210)</f>
        <v>0</v>
      </c>
      <c r="F210" s="19">
        <f>$F$206</f>
        <v>3</v>
      </c>
      <c r="G210" s="4" t="inlineStr">
        <is>
          <t>複数回答</t>
        </is>
      </c>
    </row>
    <row r="211" ht="28" customHeight="1">
      <c r="A211" s="4" t="inlineStr">
        <is>
          <t>問24</t>
        </is>
      </c>
      <c r="B211" s="5" t="inlineStr">
        <is>
          <t>通園・通学や事業所利用で困っていることはありますか（あてはまるものすべて）</t>
        </is>
      </c>
      <c r="C211" s="5" t="inlineStr">
        <is>
          <t>学校・園・事業所との情報共有が難しい</t>
        </is>
      </c>
      <c r="D211" s="30" t="n">
        <v>1</v>
      </c>
      <c r="E211" s="20">
        <f>IF($F211=0,0,D211/$F211)</f>
        <v>0.333333333333333</v>
      </c>
      <c r="F211" s="19">
        <f>$F$206</f>
        <v>3</v>
      </c>
      <c r="G211" s="4" t="inlineStr">
        <is>
          <t>複数回答</t>
        </is>
      </c>
    </row>
    <row r="212" ht="28" customHeight="1">
      <c r="A212" s="4" t="inlineStr">
        <is>
          <t>問24</t>
        </is>
      </c>
      <c r="B212" s="5" t="inlineStr">
        <is>
          <t>通園・通学や事業所利用で困っていることはありますか（あてはまるものすべて）</t>
        </is>
      </c>
      <c r="C212" s="5" t="inlineStr">
        <is>
          <t>放課後や長期休暇の過ごし方に困る</t>
        </is>
      </c>
      <c r="D212" s="30" t="n">
        <v>0</v>
      </c>
      <c r="E212" s="20">
        <f>IF($F212=0,0,D212/$F212)</f>
        <v>0</v>
      </c>
      <c r="F212" s="19">
        <f>$F$206</f>
        <v>3</v>
      </c>
      <c r="G212" s="4" t="inlineStr">
        <is>
          <t>複数回答</t>
        </is>
      </c>
    </row>
    <row r="213" ht="28" customHeight="1">
      <c r="A213" s="4" t="inlineStr">
        <is>
          <t>問24</t>
        </is>
      </c>
      <c r="B213" s="5" t="inlineStr">
        <is>
          <t>通園・通学や事業所利用で困っていることはありますか（あてはまるものすべて）</t>
        </is>
      </c>
      <c r="C213" s="5" t="inlineStr">
        <is>
          <t>相談先がわからない</t>
        </is>
      </c>
      <c r="D213" s="30" t="n">
        <v>0</v>
      </c>
      <c r="E213" s="20">
        <f>IF($F213=0,0,D213/$F213)</f>
        <v>0</v>
      </c>
      <c r="F213" s="19">
        <f>$F$206</f>
        <v>3</v>
      </c>
      <c r="G213" s="4" t="inlineStr">
        <is>
          <t>複数回答</t>
        </is>
      </c>
    </row>
    <row r="214" ht="28" customHeight="1">
      <c r="A214" s="4" t="inlineStr">
        <is>
          <t>問24</t>
        </is>
      </c>
      <c r="B214" s="5" t="inlineStr">
        <is>
          <t>通園・通学や事業所利用で困っていることはありますか（あてはまるものすべて）</t>
        </is>
      </c>
      <c r="C214" s="5" t="inlineStr">
        <is>
          <t>特にない</t>
        </is>
      </c>
      <c r="D214" s="30" t="n">
        <v>0</v>
      </c>
      <c r="E214" s="20">
        <f>IF($F214=0,0,D214/$F214)</f>
        <v>0</v>
      </c>
      <c r="F214" s="19">
        <f>$F$206</f>
        <v>3</v>
      </c>
      <c r="G214" s="4" t="inlineStr">
        <is>
          <t>複数回答</t>
        </is>
      </c>
    </row>
    <row r="215" ht="28" customHeight="1">
      <c r="A215" s="4" t="inlineStr">
        <is>
          <t>問24</t>
        </is>
      </c>
      <c r="B215" s="5" t="inlineStr">
        <is>
          <t>通園・通学や事業所利用で困っていることはありますか（あてはまるものすべて）</t>
        </is>
      </c>
      <c r="C215" s="5" t="inlineStr">
        <is>
          <t>その他</t>
        </is>
      </c>
      <c r="D215" s="30" t="n">
        <v>1</v>
      </c>
      <c r="E215" s="20">
        <f>IF($F215=0,0,D215/$F215)</f>
        <v>0.333333333333333</v>
      </c>
      <c r="F215" s="19">
        <f>$F$206</f>
        <v>3</v>
      </c>
      <c r="G215" s="4" t="inlineStr">
        <is>
          <t>複数回答</t>
        </is>
      </c>
    </row>
    <row r="216" ht="28" customHeight="1">
      <c r="A216" s="4" t="inlineStr">
        <is>
          <t>問24</t>
        </is>
      </c>
      <c r="B216" s="5" t="inlineStr">
        <is>
          <t>通園・通学や事業所利用で困っていることはありますか（あてはまるものすべて）</t>
        </is>
      </c>
      <c r="C216" s="5" t="inlineStr">
        <is>
          <t>無回答</t>
        </is>
      </c>
      <c r="D216" s="30" t="n">
        <v>0</v>
      </c>
      <c r="E216" s="20">
        <f>IF($F216=0,0,D216/$F216)</f>
        <v>0</v>
      </c>
      <c r="F216" s="19">
        <f>$F$206</f>
        <v>3</v>
      </c>
      <c r="G216" s="4" t="inlineStr">
        <is>
          <t>複数回答</t>
        </is>
      </c>
    </row>
    <row r="217" ht="16" customHeight="1">
      <c r="A217" s="4" t="inlineStr">
        <is>
          <t>問25</t>
        </is>
      </c>
      <c r="B217" s="5" t="inlineStr">
        <is>
          <t>安心できる居場所</t>
        </is>
      </c>
      <c r="C217" s="5" t="inlineStr">
        <is>
          <t>そう思う</t>
        </is>
      </c>
      <c r="D217" s="30" t="n">
        <v>2</v>
      </c>
      <c r="E217" s="20">
        <f>IF($F217=0,0,D217/$F217)</f>
        <v>0.666666666666667</v>
      </c>
      <c r="F217" s="30" t="n">
        <v>3</v>
      </c>
      <c r="G217" s="4" t="inlineStr">
        <is>
          <t>単一回答（項目別）</t>
        </is>
      </c>
    </row>
    <row r="218" ht="16" customHeight="1">
      <c r="A218" s="4" t="inlineStr">
        <is>
          <t>問25</t>
        </is>
      </c>
      <c r="B218" s="5" t="inlineStr">
        <is>
          <t>安心できる居場所</t>
        </is>
      </c>
      <c r="C218" s="5" t="inlineStr">
        <is>
          <t>どちらかといえばそう思う</t>
        </is>
      </c>
      <c r="D218" s="30" t="n">
        <v>1</v>
      </c>
      <c r="E218" s="20">
        <f>IF($F218=0,0,D218/$F218)</f>
        <v>0.333333333333333</v>
      </c>
      <c r="F218" s="19">
        <f>$F$217</f>
        <v>3</v>
      </c>
      <c r="G218" s="4" t="inlineStr">
        <is>
          <t>単一回答（項目別）</t>
        </is>
      </c>
    </row>
    <row r="219" ht="16" customHeight="1">
      <c r="A219" s="4" t="inlineStr">
        <is>
          <t>問25</t>
        </is>
      </c>
      <c r="B219" s="5" t="inlineStr">
        <is>
          <t>安心できる居場所</t>
        </is>
      </c>
      <c r="C219" s="5" t="inlineStr">
        <is>
          <t>どちらかといえばそう思わない</t>
        </is>
      </c>
      <c r="D219" s="30" t="n">
        <v>0</v>
      </c>
      <c r="E219" s="20">
        <f>IF($F219=0,0,D219/$F219)</f>
        <v>0</v>
      </c>
      <c r="F219" s="19">
        <f>$F$217</f>
        <v>3</v>
      </c>
      <c r="G219" s="4" t="inlineStr">
        <is>
          <t>単一回答（項目別）</t>
        </is>
      </c>
    </row>
    <row r="220" ht="16" customHeight="1">
      <c r="A220" s="4" t="inlineStr">
        <is>
          <t>問25</t>
        </is>
      </c>
      <c r="B220" s="5" t="inlineStr">
        <is>
          <t>安心できる居場所</t>
        </is>
      </c>
      <c r="C220" s="5" t="inlineStr">
        <is>
          <t>そう思わない・わからない</t>
        </is>
      </c>
      <c r="D220" s="30" t="n">
        <v>0</v>
      </c>
      <c r="E220" s="20">
        <f>IF($F220=0,0,D220/$F220)</f>
        <v>0</v>
      </c>
      <c r="F220" s="19">
        <f>$F$217</f>
        <v>3</v>
      </c>
      <c r="G220" s="4" t="inlineStr">
        <is>
          <t>単一回答（項目別）</t>
        </is>
      </c>
    </row>
    <row r="221" ht="16" customHeight="1">
      <c r="A221" s="4" t="inlineStr">
        <is>
          <t>問25</t>
        </is>
      </c>
      <c r="B221" s="5" t="inlineStr">
        <is>
          <t>安心できる居場所</t>
        </is>
      </c>
      <c r="C221" s="5" t="inlineStr">
        <is>
          <t>無回答</t>
        </is>
      </c>
      <c r="D221" s="30" t="n">
        <v>0</v>
      </c>
      <c r="E221" s="20">
        <f>IF($F221=0,0,D221/$F221)</f>
        <v>0</v>
      </c>
      <c r="F221" s="19">
        <f>$F$217</f>
        <v>3</v>
      </c>
      <c r="G221" s="4" t="inlineStr">
        <is>
          <t>単一回答（項目別）</t>
        </is>
      </c>
    </row>
    <row r="222" ht="16" customHeight="1">
      <c r="A222" s="4" t="inlineStr">
        <is>
          <t>問25</t>
        </is>
      </c>
      <c r="B222" s="5" t="inlineStr">
        <is>
          <t>相談できる人</t>
        </is>
      </c>
      <c r="C222" s="5" t="inlineStr">
        <is>
          <t>そう思う</t>
        </is>
      </c>
      <c r="D222" s="30" t="n">
        <v>1</v>
      </c>
      <c r="E222" s="20">
        <f>IF($F222=0,0,D222/$F222)</f>
        <v>0.333333333333333</v>
      </c>
      <c r="F222" s="30" t="n">
        <v>3</v>
      </c>
      <c r="G222" s="4" t="inlineStr">
        <is>
          <t>単一回答（項目別）</t>
        </is>
      </c>
    </row>
    <row r="223" ht="16" customHeight="1">
      <c r="A223" s="4" t="inlineStr">
        <is>
          <t>問25</t>
        </is>
      </c>
      <c r="B223" s="5" t="inlineStr">
        <is>
          <t>相談できる人</t>
        </is>
      </c>
      <c r="C223" s="5" t="inlineStr">
        <is>
          <t>どちらかといえばそう思う</t>
        </is>
      </c>
      <c r="D223" s="30" t="n">
        <v>2</v>
      </c>
      <c r="E223" s="20">
        <f>IF($F223=0,0,D223/$F223)</f>
        <v>0.666666666666667</v>
      </c>
      <c r="F223" s="19">
        <f>$F$222</f>
        <v>3</v>
      </c>
      <c r="G223" s="4" t="inlineStr">
        <is>
          <t>単一回答（項目別）</t>
        </is>
      </c>
    </row>
    <row r="224" ht="16" customHeight="1">
      <c r="A224" s="4" t="inlineStr">
        <is>
          <t>問25</t>
        </is>
      </c>
      <c r="B224" s="5" t="inlineStr">
        <is>
          <t>相談できる人</t>
        </is>
      </c>
      <c r="C224" s="5" t="inlineStr">
        <is>
          <t>どちらかといえばそう思わない</t>
        </is>
      </c>
      <c r="D224" s="30" t="n">
        <v>0</v>
      </c>
      <c r="E224" s="20">
        <f>IF($F224=0,0,D224/$F224)</f>
        <v>0</v>
      </c>
      <c r="F224" s="19">
        <f>$F$222</f>
        <v>3</v>
      </c>
      <c r="G224" s="4" t="inlineStr">
        <is>
          <t>単一回答（項目別）</t>
        </is>
      </c>
    </row>
    <row r="225" ht="16" customHeight="1">
      <c r="A225" s="4" t="inlineStr">
        <is>
          <t>問25</t>
        </is>
      </c>
      <c r="B225" s="5" t="inlineStr">
        <is>
          <t>相談できる人</t>
        </is>
      </c>
      <c r="C225" s="5" t="inlineStr">
        <is>
          <t>そう思わない・わからない</t>
        </is>
      </c>
      <c r="D225" s="30" t="n">
        <v>0</v>
      </c>
      <c r="E225" s="20">
        <f>IF($F225=0,0,D225/$F225)</f>
        <v>0</v>
      </c>
      <c r="F225" s="19">
        <f>$F$222</f>
        <v>3</v>
      </c>
      <c r="G225" s="4" t="inlineStr">
        <is>
          <t>単一回答（項目別）</t>
        </is>
      </c>
    </row>
    <row r="226" ht="16" customHeight="1">
      <c r="A226" s="4" t="inlineStr">
        <is>
          <t>問25</t>
        </is>
      </c>
      <c r="B226" s="5" t="inlineStr">
        <is>
          <t>相談できる人</t>
        </is>
      </c>
      <c r="C226" s="5" t="inlineStr">
        <is>
          <t>無回答</t>
        </is>
      </c>
      <c r="D226" s="30" t="n">
        <v>0</v>
      </c>
      <c r="E226" s="20">
        <f>IF($F226=0,0,D226/$F226)</f>
        <v>0</v>
      </c>
      <c r="F226" s="19">
        <f>$F$222</f>
        <v>3</v>
      </c>
      <c r="G226" s="4" t="inlineStr">
        <is>
          <t>単一回答（項目別）</t>
        </is>
      </c>
    </row>
    <row r="227" ht="16" customHeight="1">
      <c r="A227" s="4" t="inlineStr">
        <is>
          <t>問25</t>
        </is>
      </c>
      <c r="B227" s="5" t="inlineStr">
        <is>
          <t>友人・地域との関わり</t>
        </is>
      </c>
      <c r="C227" s="5" t="inlineStr">
        <is>
          <t>そう思う</t>
        </is>
      </c>
      <c r="D227" s="30" t="n">
        <v>1</v>
      </c>
      <c r="E227" s="20">
        <f>IF($F227=0,0,D227/$F227)</f>
        <v>0.333333333333333</v>
      </c>
      <c r="F227" s="30" t="n">
        <v>3</v>
      </c>
      <c r="G227" s="4" t="inlineStr">
        <is>
          <t>単一回答（項目別）</t>
        </is>
      </c>
    </row>
    <row r="228" ht="16" customHeight="1">
      <c r="A228" s="4" t="inlineStr">
        <is>
          <t>問25</t>
        </is>
      </c>
      <c r="B228" s="5" t="inlineStr">
        <is>
          <t>友人・地域との関わり</t>
        </is>
      </c>
      <c r="C228" s="5" t="inlineStr">
        <is>
          <t>どちらかといえばそう思う</t>
        </is>
      </c>
      <c r="D228" s="30" t="n">
        <v>2</v>
      </c>
      <c r="E228" s="20">
        <f>IF($F228=0,0,D228/$F228)</f>
        <v>0.666666666666667</v>
      </c>
      <c r="F228" s="19">
        <f>$F$227</f>
        <v>3</v>
      </c>
      <c r="G228" s="4" t="inlineStr">
        <is>
          <t>単一回答（項目別）</t>
        </is>
      </c>
    </row>
    <row r="229" ht="16" customHeight="1">
      <c r="A229" s="4" t="inlineStr">
        <is>
          <t>問25</t>
        </is>
      </c>
      <c r="B229" s="5" t="inlineStr">
        <is>
          <t>友人・地域との関わり</t>
        </is>
      </c>
      <c r="C229" s="5" t="inlineStr">
        <is>
          <t>どちらかといえばそう思わない</t>
        </is>
      </c>
      <c r="D229" s="30" t="n">
        <v>0</v>
      </c>
      <c r="E229" s="20">
        <f>IF($F229=0,0,D229/$F229)</f>
        <v>0</v>
      </c>
      <c r="F229" s="19">
        <f>$F$227</f>
        <v>3</v>
      </c>
      <c r="G229" s="4" t="inlineStr">
        <is>
          <t>単一回答（項目別）</t>
        </is>
      </c>
    </row>
    <row r="230" ht="16" customHeight="1">
      <c r="A230" s="4" t="inlineStr">
        <is>
          <t>問25</t>
        </is>
      </c>
      <c r="B230" s="5" t="inlineStr">
        <is>
          <t>友人・地域との関わり</t>
        </is>
      </c>
      <c r="C230" s="5" t="inlineStr">
        <is>
          <t>そう思わない・わからない</t>
        </is>
      </c>
      <c r="D230" s="30" t="n">
        <v>0</v>
      </c>
      <c r="E230" s="20">
        <f>IF($F230=0,0,D230/$F230)</f>
        <v>0</v>
      </c>
      <c r="F230" s="19">
        <f>$F$227</f>
        <v>3</v>
      </c>
      <c r="G230" s="4" t="inlineStr">
        <is>
          <t>単一回答（項目別）</t>
        </is>
      </c>
    </row>
    <row r="231" ht="16" customHeight="1">
      <c r="A231" s="4" t="inlineStr">
        <is>
          <t>問25</t>
        </is>
      </c>
      <c r="B231" s="5" t="inlineStr">
        <is>
          <t>友人・地域との関わり</t>
        </is>
      </c>
      <c r="C231" s="5" t="inlineStr">
        <is>
          <t>無回答</t>
        </is>
      </c>
      <c r="D231" s="30" t="n">
        <v>0</v>
      </c>
      <c r="E231" s="20">
        <f>IF($F231=0,0,D231/$F231)</f>
        <v>0</v>
      </c>
      <c r="F231" s="19">
        <f>$F$227</f>
        <v>3</v>
      </c>
      <c r="G231" s="4" t="inlineStr">
        <is>
          <t>単一回答（項目別）</t>
        </is>
      </c>
    </row>
    <row r="232" ht="16" customHeight="1">
      <c r="A232" s="4" t="inlineStr">
        <is>
          <t>問25</t>
        </is>
      </c>
      <c r="B232" s="5" t="inlineStr">
        <is>
          <t>意思の尊重</t>
        </is>
      </c>
      <c r="C232" s="5" t="inlineStr">
        <is>
          <t>そう思う</t>
        </is>
      </c>
      <c r="D232" s="30" t="n">
        <v>0</v>
      </c>
      <c r="E232" s="20">
        <f>IF($F232=0,0,D232/$F232)</f>
        <v>0</v>
      </c>
      <c r="F232" s="30" t="n">
        <v>3</v>
      </c>
      <c r="G232" s="4" t="inlineStr">
        <is>
          <t>単一回答（項目別）</t>
        </is>
      </c>
    </row>
    <row r="233" ht="16" customHeight="1">
      <c r="A233" s="4" t="inlineStr">
        <is>
          <t>問25</t>
        </is>
      </c>
      <c r="B233" s="5" t="inlineStr">
        <is>
          <t>意思の尊重</t>
        </is>
      </c>
      <c r="C233" s="5" t="inlineStr">
        <is>
          <t>どちらかといえばそう思う</t>
        </is>
      </c>
      <c r="D233" s="30" t="n">
        <v>2</v>
      </c>
      <c r="E233" s="20">
        <f>IF($F233=0,0,D233/$F233)</f>
        <v>0.666666666666667</v>
      </c>
      <c r="F233" s="19">
        <f>$F$232</f>
        <v>3</v>
      </c>
      <c r="G233" s="4" t="inlineStr">
        <is>
          <t>単一回答（項目別）</t>
        </is>
      </c>
    </row>
    <row r="234" ht="16" customHeight="1">
      <c r="A234" s="4" t="inlineStr">
        <is>
          <t>問25</t>
        </is>
      </c>
      <c r="B234" s="5" t="inlineStr">
        <is>
          <t>意思の尊重</t>
        </is>
      </c>
      <c r="C234" s="5" t="inlineStr">
        <is>
          <t>どちらかといえばそう思わない</t>
        </is>
      </c>
      <c r="D234" s="30" t="n">
        <v>1</v>
      </c>
      <c r="E234" s="20">
        <f>IF($F234=0,0,D234/$F234)</f>
        <v>0.333333333333333</v>
      </c>
      <c r="F234" s="19">
        <f>$F$232</f>
        <v>3</v>
      </c>
      <c r="G234" s="4" t="inlineStr">
        <is>
          <t>単一回答（項目別）</t>
        </is>
      </c>
    </row>
    <row r="235" ht="16" customHeight="1">
      <c r="A235" s="4" t="inlineStr">
        <is>
          <t>問25</t>
        </is>
      </c>
      <c r="B235" s="5" t="inlineStr">
        <is>
          <t>意思の尊重</t>
        </is>
      </c>
      <c r="C235" s="5" t="inlineStr">
        <is>
          <t>そう思わない・わからない</t>
        </is>
      </c>
      <c r="D235" s="30" t="n">
        <v>0</v>
      </c>
      <c r="E235" s="20">
        <f>IF($F235=0,0,D235/$F235)</f>
        <v>0</v>
      </c>
      <c r="F235" s="19">
        <f>$F$232</f>
        <v>3</v>
      </c>
      <c r="G235" s="4" t="inlineStr">
        <is>
          <t>単一回答（項目別）</t>
        </is>
      </c>
    </row>
    <row r="236" ht="16" customHeight="1">
      <c r="A236" s="4" t="inlineStr">
        <is>
          <t>問25</t>
        </is>
      </c>
      <c r="B236" s="5" t="inlineStr">
        <is>
          <t>意思の尊重</t>
        </is>
      </c>
      <c r="C236" s="5" t="inlineStr">
        <is>
          <t>無回答</t>
        </is>
      </c>
      <c r="D236" s="30" t="n">
        <v>0</v>
      </c>
      <c r="E236" s="20">
        <f>IF($F236=0,0,D236/$F236)</f>
        <v>0</v>
      </c>
      <c r="F236" s="19">
        <f>$F$232</f>
        <v>3</v>
      </c>
      <c r="G236" s="4" t="inlineStr">
        <is>
          <t>単一回答（項目別）</t>
        </is>
      </c>
    </row>
    <row r="237" ht="16" customHeight="1">
      <c r="A237" s="4" t="inlineStr">
        <is>
          <t>問25</t>
        </is>
      </c>
      <c r="B237" s="5" t="inlineStr">
        <is>
          <t>家族の負担感</t>
        </is>
      </c>
      <c r="C237" s="5" t="inlineStr">
        <is>
          <t>そう思う</t>
        </is>
      </c>
      <c r="D237" s="30" t="n">
        <v>3</v>
      </c>
      <c r="E237" s="20">
        <f>IF($F237=0,0,D237/$F237)</f>
        <v>1</v>
      </c>
      <c r="F237" s="30" t="n">
        <v>3</v>
      </c>
      <c r="G237" s="4" t="inlineStr">
        <is>
          <t>単一回答（項目別）</t>
        </is>
      </c>
    </row>
    <row r="238" ht="16" customHeight="1">
      <c r="A238" s="4" t="inlineStr">
        <is>
          <t>問25</t>
        </is>
      </c>
      <c r="B238" s="5" t="inlineStr">
        <is>
          <t>家族の負担感</t>
        </is>
      </c>
      <c r="C238" s="5" t="inlineStr">
        <is>
          <t>どちらかといえばそう思う</t>
        </is>
      </c>
      <c r="D238" s="30" t="n">
        <v>0</v>
      </c>
      <c r="E238" s="20">
        <f>IF($F238=0,0,D238/$F238)</f>
        <v>0</v>
      </c>
      <c r="F238" s="19">
        <f>$F$237</f>
        <v>3</v>
      </c>
      <c r="G238" s="4" t="inlineStr">
        <is>
          <t>単一回答（項目別）</t>
        </is>
      </c>
    </row>
    <row r="239" ht="16" customHeight="1">
      <c r="A239" s="4" t="inlineStr">
        <is>
          <t>問25</t>
        </is>
      </c>
      <c r="B239" s="5" t="inlineStr">
        <is>
          <t>家族の負担感</t>
        </is>
      </c>
      <c r="C239" s="5" t="inlineStr">
        <is>
          <t>どちらかといえばそう思わない</t>
        </is>
      </c>
      <c r="D239" s="30" t="n">
        <v>0</v>
      </c>
      <c r="E239" s="20">
        <f>IF($F239=0,0,D239/$F239)</f>
        <v>0</v>
      </c>
      <c r="F239" s="19">
        <f>$F$237</f>
        <v>3</v>
      </c>
      <c r="G239" s="4" t="inlineStr">
        <is>
          <t>単一回答（項目別）</t>
        </is>
      </c>
    </row>
    <row r="240" ht="16" customHeight="1">
      <c r="A240" s="4" t="inlineStr">
        <is>
          <t>問25</t>
        </is>
      </c>
      <c r="B240" s="5" t="inlineStr">
        <is>
          <t>家族の負担感</t>
        </is>
      </c>
      <c r="C240" s="5" t="inlineStr">
        <is>
          <t>そう思わない・わからない</t>
        </is>
      </c>
      <c r="D240" s="30" t="n">
        <v>0</v>
      </c>
      <c r="E240" s="20">
        <f>IF($F240=0,0,D240/$F240)</f>
        <v>0</v>
      </c>
      <c r="F240" s="19">
        <f>$F$237</f>
        <v>3</v>
      </c>
      <c r="G240" s="4" t="inlineStr">
        <is>
          <t>単一回答（項目別）</t>
        </is>
      </c>
    </row>
    <row r="241" ht="16" customHeight="1">
      <c r="A241" s="4" t="inlineStr">
        <is>
          <t>問25</t>
        </is>
      </c>
      <c r="B241" s="5" t="inlineStr">
        <is>
          <t>家族の負担感</t>
        </is>
      </c>
      <c r="C241" s="5" t="inlineStr">
        <is>
          <t>無回答</t>
        </is>
      </c>
      <c r="D241" s="30" t="n">
        <v>0</v>
      </c>
      <c r="E241" s="20">
        <f>IF($F241=0,0,D241/$F241)</f>
        <v>0</v>
      </c>
      <c r="F241" s="19">
        <f>$F$237</f>
        <v>3</v>
      </c>
      <c r="G241" s="4" t="inlineStr">
        <is>
          <t>単一回答（項目別）</t>
        </is>
      </c>
    </row>
    <row r="242" ht="28" customHeight="1">
      <c r="A242" s="4" t="inlineStr">
        <is>
          <t>問26</t>
        </is>
      </c>
      <c r="B242" s="5" t="inlineStr">
        <is>
          <t>現在必要な医療的ケアや健康面の支援はありますか（あてはまるものすべて）</t>
        </is>
      </c>
      <c r="C242" s="5" t="inlineStr">
        <is>
          <t>経管栄養</t>
        </is>
      </c>
      <c r="D242" s="30" t="n">
        <v>1</v>
      </c>
      <c r="E242" s="20">
        <f>IF($F242=0,0,D242/$F242)</f>
        <v>0.333333333333333</v>
      </c>
      <c r="F242" s="30" t="n">
        <v>3</v>
      </c>
      <c r="G242" s="4" t="inlineStr">
        <is>
          <t>複数回答</t>
        </is>
      </c>
    </row>
    <row r="243" ht="28" customHeight="1">
      <c r="A243" s="4" t="inlineStr">
        <is>
          <t>問26</t>
        </is>
      </c>
      <c r="B243" s="5" t="inlineStr">
        <is>
          <t>現在必要な医療的ケアや健康面の支援はありますか（あてはまるものすべて）</t>
        </is>
      </c>
      <c r="C243" s="5" t="inlineStr">
        <is>
          <t>たんの吸引</t>
        </is>
      </c>
      <c r="D243" s="30" t="n">
        <v>0</v>
      </c>
      <c r="E243" s="20">
        <f>IF($F243=0,0,D243/$F243)</f>
        <v>0</v>
      </c>
      <c r="F243" s="19">
        <f>$F$242</f>
        <v>3</v>
      </c>
      <c r="G243" s="4" t="inlineStr">
        <is>
          <t>複数回答</t>
        </is>
      </c>
    </row>
    <row r="244" ht="28" customHeight="1">
      <c r="A244" s="4" t="inlineStr">
        <is>
          <t>問26</t>
        </is>
      </c>
      <c r="B244" s="5" t="inlineStr">
        <is>
          <t>現在必要な医療的ケアや健康面の支援はありますか（あてはまるものすべて）</t>
        </is>
      </c>
      <c r="C244" s="5" t="inlineStr">
        <is>
          <t>酸素療法</t>
        </is>
      </c>
      <c r="D244" s="30" t="n">
        <v>1</v>
      </c>
      <c r="E244" s="20">
        <f>IF($F244=0,0,D244/$F244)</f>
        <v>0.333333333333333</v>
      </c>
      <c r="F244" s="19">
        <f>$F$242</f>
        <v>3</v>
      </c>
      <c r="G244" s="4" t="inlineStr">
        <is>
          <t>複数回答</t>
        </is>
      </c>
    </row>
    <row r="245" ht="28" customHeight="1">
      <c r="A245" s="4" t="inlineStr">
        <is>
          <t>問26</t>
        </is>
      </c>
      <c r="B245" s="5" t="inlineStr">
        <is>
          <t>現在必要な医療的ケアや健康面の支援はありますか（あてはまるものすべて）</t>
        </is>
      </c>
      <c r="C245" s="5" t="inlineStr">
        <is>
          <t>人工呼吸器の管理</t>
        </is>
      </c>
      <c r="D245" s="30" t="n">
        <v>0</v>
      </c>
      <c r="E245" s="20">
        <f>IF($F245=0,0,D245/$F245)</f>
        <v>0</v>
      </c>
      <c r="F245" s="19">
        <f>$F$242</f>
        <v>3</v>
      </c>
      <c r="G245" s="4" t="inlineStr">
        <is>
          <t>複数回答</t>
        </is>
      </c>
    </row>
    <row r="246" ht="28" customHeight="1">
      <c r="A246" s="4" t="inlineStr">
        <is>
          <t>問26</t>
        </is>
      </c>
      <c r="B246" s="5" t="inlineStr">
        <is>
          <t>現在必要な医療的ケアや健康面の支援はありますか（あてはまるものすべて）</t>
        </is>
      </c>
      <c r="C246" s="5" t="inlineStr">
        <is>
          <t>気管切開部の管理</t>
        </is>
      </c>
      <c r="D246" s="30" t="n">
        <v>0</v>
      </c>
      <c r="E246" s="20">
        <f>IF($F246=0,0,D246/$F246)</f>
        <v>0</v>
      </c>
      <c r="F246" s="19">
        <f>$F$242</f>
        <v>3</v>
      </c>
      <c r="G246" s="4" t="inlineStr">
        <is>
          <t>複数回答</t>
        </is>
      </c>
    </row>
    <row r="247" ht="28" customHeight="1">
      <c r="A247" s="4" t="inlineStr">
        <is>
          <t>問26</t>
        </is>
      </c>
      <c r="B247" s="5" t="inlineStr">
        <is>
          <t>現在必要な医療的ケアや健康面の支援はありますか（あてはまるものすべて）</t>
        </is>
      </c>
      <c r="C247" s="5" t="inlineStr">
        <is>
          <t>導尿</t>
        </is>
      </c>
      <c r="D247" s="30" t="n">
        <v>0</v>
      </c>
      <c r="E247" s="20">
        <f>IF($F247=0,0,D247/$F247)</f>
        <v>0</v>
      </c>
      <c r="F247" s="19">
        <f>$F$242</f>
        <v>3</v>
      </c>
      <c r="G247" s="4" t="inlineStr">
        <is>
          <t>複数回答</t>
        </is>
      </c>
    </row>
    <row r="248" ht="28" customHeight="1">
      <c r="A248" s="4" t="inlineStr">
        <is>
          <t>問26</t>
        </is>
      </c>
      <c r="B248" s="5" t="inlineStr">
        <is>
          <t>現在必要な医療的ケアや健康面の支援はありますか（あてはまるものすべて）</t>
        </is>
      </c>
      <c r="C248" s="5" t="inlineStr">
        <is>
          <t>インスリン注射・血糖管理</t>
        </is>
      </c>
      <c r="D248" s="30" t="n">
        <v>0</v>
      </c>
      <c r="E248" s="20">
        <f>IF($F248=0,0,D248/$F248)</f>
        <v>0</v>
      </c>
      <c r="F248" s="19">
        <f>$F$242</f>
        <v>3</v>
      </c>
      <c r="G248" s="4" t="inlineStr">
        <is>
          <t>複数回答</t>
        </is>
      </c>
    </row>
    <row r="249" ht="28" customHeight="1">
      <c r="A249" s="4" t="inlineStr">
        <is>
          <t>問26</t>
        </is>
      </c>
      <c r="B249" s="5" t="inlineStr">
        <is>
          <t>現在必要な医療的ケアや健康面の支援はありますか（あてはまるものすべて）</t>
        </is>
      </c>
      <c r="C249" s="5" t="inlineStr">
        <is>
          <t>服薬管理</t>
        </is>
      </c>
      <c r="D249" s="30" t="n">
        <v>1</v>
      </c>
      <c r="E249" s="20">
        <f>IF($F249=0,0,D249/$F249)</f>
        <v>0.333333333333333</v>
      </c>
      <c r="F249" s="19">
        <f>$F$242</f>
        <v>3</v>
      </c>
      <c r="G249" s="4" t="inlineStr">
        <is>
          <t>複数回答</t>
        </is>
      </c>
    </row>
    <row r="250" ht="28" customHeight="1">
      <c r="A250" s="4" t="inlineStr">
        <is>
          <t>問26</t>
        </is>
      </c>
      <c r="B250" s="5" t="inlineStr">
        <is>
          <t>現在必要な医療的ケアや健康面の支援はありますか（あてはまるものすべて）</t>
        </is>
      </c>
      <c r="C250" s="5" t="inlineStr">
        <is>
          <t>発作時の対応</t>
        </is>
      </c>
      <c r="D250" s="30" t="n">
        <v>2</v>
      </c>
      <c r="E250" s="20">
        <f>IF($F250=0,0,D250/$F250)</f>
        <v>0.666666666666667</v>
      </c>
      <c r="F250" s="19">
        <f>$F$242</f>
        <v>3</v>
      </c>
      <c r="G250" s="4" t="inlineStr">
        <is>
          <t>複数回答</t>
        </is>
      </c>
    </row>
    <row r="251" ht="28" customHeight="1">
      <c r="A251" s="4" t="inlineStr">
        <is>
          <t>問26</t>
        </is>
      </c>
      <c r="B251" s="5" t="inlineStr">
        <is>
          <t>現在必要な医療的ケアや健康面の支援はありますか（あてはまるものすべて）</t>
        </is>
      </c>
      <c r="C251" s="5" t="inlineStr">
        <is>
          <t>医療的ケアは必要ない</t>
        </is>
      </c>
      <c r="D251" s="30" t="n">
        <v>1</v>
      </c>
      <c r="E251" s="20">
        <f>IF($F251=0,0,D251/$F251)</f>
        <v>0.333333333333333</v>
      </c>
      <c r="F251" s="19">
        <f>$F$242</f>
        <v>3</v>
      </c>
      <c r="G251" s="4" t="inlineStr">
        <is>
          <t>複数回答</t>
        </is>
      </c>
    </row>
    <row r="252" ht="28" customHeight="1">
      <c r="A252" s="4" t="inlineStr">
        <is>
          <t>問26</t>
        </is>
      </c>
      <c r="B252" s="5" t="inlineStr">
        <is>
          <t>現在必要な医療的ケアや健康面の支援はありますか（あてはまるものすべて）</t>
        </is>
      </c>
      <c r="C252" s="5" t="inlineStr">
        <is>
          <t>その他の医療的ケア</t>
        </is>
      </c>
      <c r="D252" s="30" t="n">
        <v>0</v>
      </c>
      <c r="E252" s="20">
        <f>IF($F252=0,0,D252/$F252)</f>
        <v>0</v>
      </c>
      <c r="F252" s="19">
        <f>$F$242</f>
        <v>3</v>
      </c>
      <c r="G252" s="4" t="inlineStr">
        <is>
          <t>複数回答</t>
        </is>
      </c>
    </row>
    <row r="253" ht="28" customHeight="1">
      <c r="A253" s="4" t="inlineStr">
        <is>
          <t>問26</t>
        </is>
      </c>
      <c r="B253" s="5" t="inlineStr">
        <is>
          <t>現在必要な医療的ケアや健康面の支援はありますか（あてはまるものすべて）</t>
        </is>
      </c>
      <c r="C253" s="5" t="inlineStr">
        <is>
          <t>無回答</t>
        </is>
      </c>
      <c r="D253" s="30" t="n">
        <v>0</v>
      </c>
      <c r="E253" s="20">
        <f>IF($F253=0,0,D253/$F253)</f>
        <v>0</v>
      </c>
      <c r="F253" s="19">
        <f>$F$242</f>
        <v>3</v>
      </c>
      <c r="G253" s="4" t="inlineStr">
        <is>
          <t>複数回答</t>
        </is>
      </c>
    </row>
    <row r="254" ht="28" customHeight="1">
      <c r="A254" s="4" t="inlineStr">
        <is>
          <t>問27</t>
        </is>
      </c>
      <c r="B254" s="5" t="inlineStr">
        <is>
          <t>現在利用しているサービスを選んでください（あてはまるものすべて）</t>
        </is>
      </c>
      <c r="C254" s="5" t="inlineStr">
        <is>
          <t>児童発達支援</t>
        </is>
      </c>
      <c r="D254" s="30" t="n">
        <v>0</v>
      </c>
      <c r="E254" s="20">
        <f>IF($F254=0,0,D254/$F254)</f>
        <v>0</v>
      </c>
      <c r="F254" s="30" t="n">
        <v>3</v>
      </c>
      <c r="G254" s="4" t="inlineStr">
        <is>
          <t>複数回答</t>
        </is>
      </c>
    </row>
    <row r="255" ht="28" customHeight="1">
      <c r="A255" s="4" t="inlineStr">
        <is>
          <t>問27</t>
        </is>
      </c>
      <c r="B255" s="5" t="inlineStr">
        <is>
          <t>現在利用しているサービスを選んでください（あてはまるものすべて）</t>
        </is>
      </c>
      <c r="C255" s="5" t="inlineStr">
        <is>
          <t>放課後等デイサービス</t>
        </is>
      </c>
      <c r="D255" s="30" t="n">
        <v>2</v>
      </c>
      <c r="E255" s="20">
        <f>IF($F255=0,0,D255/$F255)</f>
        <v>0.666666666666667</v>
      </c>
      <c r="F255" s="19">
        <f>$F$254</f>
        <v>3</v>
      </c>
      <c r="G255" s="4" t="inlineStr">
        <is>
          <t>複数回答</t>
        </is>
      </c>
    </row>
    <row r="256" ht="28" customHeight="1">
      <c r="A256" s="4" t="inlineStr">
        <is>
          <t>問27</t>
        </is>
      </c>
      <c r="B256" s="5" t="inlineStr">
        <is>
          <t>現在利用しているサービスを選んでください（あてはまるものすべて）</t>
        </is>
      </c>
      <c r="C256" s="5" t="inlineStr">
        <is>
          <t>保育所等訪問支援</t>
        </is>
      </c>
      <c r="D256" s="30" t="n">
        <v>0</v>
      </c>
      <c r="E256" s="20">
        <f>IF($F256=0,0,D256/$F256)</f>
        <v>0</v>
      </c>
      <c r="F256" s="19">
        <f>$F$254</f>
        <v>3</v>
      </c>
      <c r="G256" s="4" t="inlineStr">
        <is>
          <t>複数回答</t>
        </is>
      </c>
    </row>
    <row r="257" ht="28" customHeight="1">
      <c r="A257" s="4" t="inlineStr">
        <is>
          <t>問27</t>
        </is>
      </c>
      <c r="B257" s="5" t="inlineStr">
        <is>
          <t>現在利用しているサービスを選んでください（あてはまるものすべて）</t>
        </is>
      </c>
      <c r="C257" s="5" t="inlineStr">
        <is>
          <t>居宅訪問型児童発達支援</t>
        </is>
      </c>
      <c r="D257" s="30" t="n">
        <v>0</v>
      </c>
      <c r="E257" s="20">
        <f>IF($F257=0,0,D257/$F257)</f>
        <v>0</v>
      </c>
      <c r="F257" s="19">
        <f>$F$254</f>
        <v>3</v>
      </c>
      <c r="G257" s="4" t="inlineStr">
        <is>
          <t>複数回答</t>
        </is>
      </c>
    </row>
    <row r="258" ht="28" customHeight="1">
      <c r="A258" s="4" t="inlineStr">
        <is>
          <t>問27</t>
        </is>
      </c>
      <c r="B258" s="5" t="inlineStr">
        <is>
          <t>現在利用しているサービスを選んでください（あてはまるものすべて）</t>
        </is>
      </c>
      <c r="C258" s="5" t="inlineStr">
        <is>
          <t>障がい児相談支援</t>
        </is>
      </c>
      <c r="D258" s="30" t="n">
        <v>1</v>
      </c>
      <c r="E258" s="20">
        <f>IF($F258=0,0,D258/$F258)</f>
        <v>0.333333333333333</v>
      </c>
      <c r="F258" s="19">
        <f>$F$254</f>
        <v>3</v>
      </c>
      <c r="G258" s="4" t="inlineStr">
        <is>
          <t>複数回答</t>
        </is>
      </c>
    </row>
    <row r="259" ht="28" customHeight="1">
      <c r="A259" s="4" t="inlineStr">
        <is>
          <t>問27</t>
        </is>
      </c>
      <c r="B259" s="5" t="inlineStr">
        <is>
          <t>現在利用しているサービスを選んでください（あてはまるものすべて）</t>
        </is>
      </c>
      <c r="C259" s="5" t="inlineStr">
        <is>
          <t>短期入所（ショートステイ）</t>
        </is>
      </c>
      <c r="D259" s="30" t="n">
        <v>1</v>
      </c>
      <c r="E259" s="20">
        <f>IF($F259=0,0,D259/$F259)</f>
        <v>0.333333333333333</v>
      </c>
      <c r="F259" s="19">
        <f>$F$254</f>
        <v>3</v>
      </c>
      <c r="G259" s="4" t="inlineStr">
        <is>
          <t>複数回答</t>
        </is>
      </c>
    </row>
    <row r="260" ht="28" customHeight="1">
      <c r="A260" s="4" t="inlineStr">
        <is>
          <t>問27</t>
        </is>
      </c>
      <c r="B260" s="5" t="inlineStr">
        <is>
          <t>現在利用しているサービスを選んでください（あてはまるものすべて）</t>
        </is>
      </c>
      <c r="C260" s="5" t="inlineStr">
        <is>
          <t>日中一時支援</t>
        </is>
      </c>
      <c r="D260" s="30" t="n">
        <v>0</v>
      </c>
      <c r="E260" s="20">
        <f>IF($F260=0,0,D260/$F260)</f>
        <v>0</v>
      </c>
      <c r="F260" s="19">
        <f>$F$254</f>
        <v>3</v>
      </c>
      <c r="G260" s="4" t="inlineStr">
        <is>
          <t>複数回答</t>
        </is>
      </c>
    </row>
    <row r="261" ht="28" customHeight="1">
      <c r="A261" s="4" t="inlineStr">
        <is>
          <t>問27</t>
        </is>
      </c>
      <c r="B261" s="5" t="inlineStr">
        <is>
          <t>現在利用しているサービスを選んでください（あてはまるものすべて）</t>
        </is>
      </c>
      <c r="C261" s="5" t="inlineStr">
        <is>
          <t>移動支援</t>
        </is>
      </c>
      <c r="D261" s="30" t="n">
        <v>0</v>
      </c>
      <c r="E261" s="20">
        <f>IF($F261=0,0,D261/$F261)</f>
        <v>0</v>
      </c>
      <c r="F261" s="19">
        <f>$F$254</f>
        <v>3</v>
      </c>
      <c r="G261" s="4" t="inlineStr">
        <is>
          <t>複数回答</t>
        </is>
      </c>
    </row>
    <row r="262" ht="28" customHeight="1">
      <c r="A262" s="4" t="inlineStr">
        <is>
          <t>問27</t>
        </is>
      </c>
      <c r="B262" s="5" t="inlineStr">
        <is>
          <t>現在利用しているサービスを選んでください（あてはまるものすべて）</t>
        </is>
      </c>
      <c r="C262" s="5" t="inlineStr">
        <is>
          <t>日常生活用具の給付</t>
        </is>
      </c>
      <c r="D262" s="30" t="n">
        <v>0</v>
      </c>
      <c r="E262" s="20">
        <f>IF($F262=0,0,D262/$F262)</f>
        <v>0</v>
      </c>
      <c r="F262" s="19">
        <f>$F$254</f>
        <v>3</v>
      </c>
      <c r="G262" s="4" t="inlineStr">
        <is>
          <t>複数回答</t>
        </is>
      </c>
    </row>
    <row r="263" ht="28" customHeight="1">
      <c r="A263" s="4" t="inlineStr">
        <is>
          <t>問27</t>
        </is>
      </c>
      <c r="B263" s="5" t="inlineStr">
        <is>
          <t>現在利用しているサービスを選んでください（あてはまるものすべて）</t>
        </is>
      </c>
      <c r="C263" s="5" t="inlineStr">
        <is>
          <t>現在利用しているサービスは特にない</t>
        </is>
      </c>
      <c r="D263" s="30" t="n">
        <v>1</v>
      </c>
      <c r="E263" s="20">
        <f>IF($F263=0,0,D263/$F263)</f>
        <v>0.333333333333333</v>
      </c>
      <c r="F263" s="19">
        <f>$F$254</f>
        <v>3</v>
      </c>
      <c r="G263" s="4" t="inlineStr">
        <is>
          <t>複数回答</t>
        </is>
      </c>
    </row>
    <row r="264" ht="28" customHeight="1">
      <c r="A264" s="4" t="inlineStr">
        <is>
          <t>問27</t>
        </is>
      </c>
      <c r="B264" s="5" t="inlineStr">
        <is>
          <t>現在利用しているサービスを選んでください（あてはまるものすべて）</t>
        </is>
      </c>
      <c r="C264" s="5" t="inlineStr">
        <is>
          <t>その他</t>
        </is>
      </c>
      <c r="D264" s="30" t="n">
        <v>0</v>
      </c>
      <c r="E264" s="20">
        <f>IF($F264=0,0,D264/$F264)</f>
        <v>0</v>
      </c>
      <c r="F264" s="19">
        <f>$F$254</f>
        <v>3</v>
      </c>
      <c r="G264" s="4" t="inlineStr">
        <is>
          <t>複数回答</t>
        </is>
      </c>
    </row>
    <row r="265" ht="28" customHeight="1">
      <c r="A265" s="4" t="inlineStr">
        <is>
          <t>問27</t>
        </is>
      </c>
      <c r="B265" s="5" t="inlineStr">
        <is>
          <t>現在利用しているサービスを選んでください（あてはまるものすべて）</t>
        </is>
      </c>
      <c r="C265" s="5" t="inlineStr">
        <is>
          <t>無回答</t>
        </is>
      </c>
      <c r="D265" s="30" t="n">
        <v>0</v>
      </c>
      <c r="E265" s="20">
        <f>IF($F265=0,0,D265/$F265)</f>
        <v>0</v>
      </c>
      <c r="F265" s="19">
        <f>$F$254</f>
        <v>3</v>
      </c>
      <c r="G265" s="4" t="inlineStr">
        <is>
          <t>複数回答</t>
        </is>
      </c>
    </row>
    <row r="266" ht="28" customHeight="1">
      <c r="A266" s="4" t="inlineStr">
        <is>
          <t>問28</t>
        </is>
      </c>
      <c r="B266" s="5" t="inlineStr">
        <is>
          <t>内容をよく知らないサービスがあれば選んでください（あてはまるものすべて）</t>
        </is>
      </c>
      <c r="C266" s="5" t="inlineStr">
        <is>
          <t>児童発達支援</t>
        </is>
      </c>
      <c r="D266" s="30" t="n">
        <v>1</v>
      </c>
      <c r="E266" s="20">
        <f>IF($F266=0,0,D266/$F266)</f>
        <v>0.333333333333333</v>
      </c>
      <c r="F266" s="30" t="n">
        <v>3</v>
      </c>
      <c r="G266" s="4" t="inlineStr">
        <is>
          <t>複数回答</t>
        </is>
      </c>
    </row>
    <row r="267" ht="28" customHeight="1">
      <c r="A267" s="4" t="inlineStr">
        <is>
          <t>問28</t>
        </is>
      </c>
      <c r="B267" s="5" t="inlineStr">
        <is>
          <t>内容をよく知らないサービスがあれば選んでください（あてはまるものすべて）</t>
        </is>
      </c>
      <c r="C267" s="5" t="inlineStr">
        <is>
          <t>放課後等デイサービス</t>
        </is>
      </c>
      <c r="D267" s="30" t="n">
        <v>1</v>
      </c>
      <c r="E267" s="20">
        <f>IF($F267=0,0,D267/$F267)</f>
        <v>0.333333333333333</v>
      </c>
      <c r="F267" s="19">
        <f>$F$266</f>
        <v>3</v>
      </c>
      <c r="G267" s="4" t="inlineStr">
        <is>
          <t>複数回答</t>
        </is>
      </c>
    </row>
    <row r="268" ht="28" customHeight="1">
      <c r="A268" s="4" t="inlineStr">
        <is>
          <t>問28</t>
        </is>
      </c>
      <c r="B268" s="5" t="inlineStr">
        <is>
          <t>内容をよく知らないサービスがあれば選んでください（あてはまるものすべて）</t>
        </is>
      </c>
      <c r="C268" s="5" t="inlineStr">
        <is>
          <t>保育所等訪問支援</t>
        </is>
      </c>
      <c r="D268" s="30" t="n">
        <v>1</v>
      </c>
      <c r="E268" s="20">
        <f>IF($F268=0,0,D268/$F268)</f>
        <v>0.333333333333333</v>
      </c>
      <c r="F268" s="19">
        <f>$F$266</f>
        <v>3</v>
      </c>
      <c r="G268" s="4" t="inlineStr">
        <is>
          <t>複数回答</t>
        </is>
      </c>
    </row>
    <row r="269" ht="28" customHeight="1">
      <c r="A269" s="4" t="inlineStr">
        <is>
          <t>問28</t>
        </is>
      </c>
      <c r="B269" s="5" t="inlineStr">
        <is>
          <t>内容をよく知らないサービスがあれば選んでください（あてはまるものすべて）</t>
        </is>
      </c>
      <c r="C269" s="5" t="inlineStr">
        <is>
          <t>居宅訪問型児童発達支援</t>
        </is>
      </c>
      <c r="D269" s="30" t="n">
        <v>2</v>
      </c>
      <c r="E269" s="20">
        <f>IF($F269=0,0,D269/$F269)</f>
        <v>0.666666666666667</v>
      </c>
      <c r="F269" s="19">
        <f>$F$266</f>
        <v>3</v>
      </c>
      <c r="G269" s="4" t="inlineStr">
        <is>
          <t>複数回答</t>
        </is>
      </c>
    </row>
    <row r="270" ht="28" customHeight="1">
      <c r="A270" s="4" t="inlineStr">
        <is>
          <t>問28</t>
        </is>
      </c>
      <c r="B270" s="5" t="inlineStr">
        <is>
          <t>内容をよく知らないサービスがあれば選んでください（あてはまるものすべて）</t>
        </is>
      </c>
      <c r="C270" s="5" t="inlineStr">
        <is>
          <t>障がい児相談支援</t>
        </is>
      </c>
      <c r="D270" s="30" t="n">
        <v>1</v>
      </c>
      <c r="E270" s="20">
        <f>IF($F270=0,0,D270/$F270)</f>
        <v>0.333333333333333</v>
      </c>
      <c r="F270" s="19">
        <f>$F$266</f>
        <v>3</v>
      </c>
      <c r="G270" s="4" t="inlineStr">
        <is>
          <t>複数回答</t>
        </is>
      </c>
    </row>
    <row r="271" ht="28" customHeight="1">
      <c r="A271" s="4" t="inlineStr">
        <is>
          <t>問28</t>
        </is>
      </c>
      <c r="B271" s="5" t="inlineStr">
        <is>
          <t>内容をよく知らないサービスがあれば選んでください（あてはまるものすべて）</t>
        </is>
      </c>
      <c r="C271" s="5" t="inlineStr">
        <is>
          <t>短期入所（ショートステイ）</t>
        </is>
      </c>
      <c r="D271" s="30" t="n">
        <v>1</v>
      </c>
      <c r="E271" s="20">
        <f>IF($F271=0,0,D271/$F271)</f>
        <v>0.333333333333333</v>
      </c>
      <c r="F271" s="19">
        <f>$F$266</f>
        <v>3</v>
      </c>
      <c r="G271" s="4" t="inlineStr">
        <is>
          <t>複数回答</t>
        </is>
      </c>
    </row>
    <row r="272" ht="28" customHeight="1">
      <c r="A272" s="4" t="inlineStr">
        <is>
          <t>問28</t>
        </is>
      </c>
      <c r="B272" s="5" t="inlineStr">
        <is>
          <t>内容をよく知らないサービスがあれば選んでください（あてはまるものすべて）</t>
        </is>
      </c>
      <c r="C272" s="5" t="inlineStr">
        <is>
          <t>日中一時支援</t>
        </is>
      </c>
      <c r="D272" s="30" t="n">
        <v>1</v>
      </c>
      <c r="E272" s="20">
        <f>IF($F272=0,0,D272/$F272)</f>
        <v>0.333333333333333</v>
      </c>
      <c r="F272" s="19">
        <f>$F$266</f>
        <v>3</v>
      </c>
      <c r="G272" s="4" t="inlineStr">
        <is>
          <t>複数回答</t>
        </is>
      </c>
    </row>
    <row r="273" ht="28" customHeight="1">
      <c r="A273" s="4" t="inlineStr">
        <is>
          <t>問28</t>
        </is>
      </c>
      <c r="B273" s="5" t="inlineStr">
        <is>
          <t>内容をよく知らないサービスがあれば選んでください（あてはまるものすべて）</t>
        </is>
      </c>
      <c r="C273" s="5" t="inlineStr">
        <is>
          <t>移動支援</t>
        </is>
      </c>
      <c r="D273" s="30" t="n">
        <v>3</v>
      </c>
      <c r="E273" s="20">
        <f>IF($F273=0,0,D273/$F273)</f>
        <v>1</v>
      </c>
      <c r="F273" s="19">
        <f>$F$266</f>
        <v>3</v>
      </c>
      <c r="G273" s="4" t="inlineStr">
        <is>
          <t>複数回答</t>
        </is>
      </c>
    </row>
    <row r="274" ht="28" customHeight="1">
      <c r="A274" s="4" t="inlineStr">
        <is>
          <t>問28</t>
        </is>
      </c>
      <c r="B274" s="5" t="inlineStr">
        <is>
          <t>内容をよく知らないサービスがあれば選んでください（あてはまるものすべて）</t>
        </is>
      </c>
      <c r="C274" s="5" t="inlineStr">
        <is>
          <t>日常生活用具の給付</t>
        </is>
      </c>
      <c r="D274" s="30" t="n">
        <v>3</v>
      </c>
      <c r="E274" s="20">
        <f>IF($F274=0,0,D274/$F274)</f>
        <v>1</v>
      </c>
      <c r="F274" s="19">
        <f>$F$266</f>
        <v>3</v>
      </c>
      <c r="G274" s="4" t="inlineStr">
        <is>
          <t>複数回答</t>
        </is>
      </c>
    </row>
    <row r="275" ht="28" customHeight="1">
      <c r="A275" s="4" t="inlineStr">
        <is>
          <t>問28</t>
        </is>
      </c>
      <c r="B275" s="5" t="inlineStr">
        <is>
          <t>内容をよく知らないサービスがあれば選んでください（あてはまるものすべて）</t>
        </is>
      </c>
      <c r="C275" s="5" t="inlineStr">
        <is>
          <t>知っている</t>
        </is>
      </c>
      <c r="D275" s="30" t="n">
        <v>0</v>
      </c>
      <c r="E275" s="20">
        <f>IF($F275=0,0,D275/$F275)</f>
        <v>0</v>
      </c>
      <c r="F275" s="19">
        <f>$F$266</f>
        <v>3</v>
      </c>
      <c r="G275" s="4" t="inlineStr">
        <is>
          <t>複数回答</t>
        </is>
      </c>
    </row>
    <row r="276" ht="28" customHeight="1">
      <c r="A276" s="4" t="inlineStr">
        <is>
          <t>問28</t>
        </is>
      </c>
      <c r="B276" s="5" t="inlineStr">
        <is>
          <t>内容をよく知らないサービスがあれば選んでください（あてはまるものすべて）</t>
        </is>
      </c>
      <c r="C276" s="5" t="inlineStr">
        <is>
          <t>無回答</t>
        </is>
      </c>
      <c r="D276" s="30" t="n">
        <v>0</v>
      </c>
      <c r="E276" s="20">
        <f>IF($F276=0,0,D276/$F276)</f>
        <v>0</v>
      </c>
      <c r="F276" s="19">
        <f>$F$266</f>
        <v>3</v>
      </c>
      <c r="G276" s="4" t="inlineStr">
        <is>
          <t>複数回答</t>
        </is>
      </c>
    </row>
    <row r="277" ht="28" customHeight="1">
      <c r="A277" s="4" t="inlineStr">
        <is>
          <t>問29</t>
        </is>
      </c>
      <c r="B277" s="5" t="inlineStr">
        <is>
          <t>今後3年間で利用したい、または利用を続けたいサービスを選んでください（あてはまるものすべて）</t>
        </is>
      </c>
      <c r="C277" s="5" t="inlineStr">
        <is>
          <t>児童発達支援</t>
        </is>
      </c>
      <c r="D277" s="30" t="n">
        <v>0</v>
      </c>
      <c r="E277" s="20">
        <f>IF($F277=0,0,D277/$F277)</f>
        <v>0</v>
      </c>
      <c r="F277" s="30" t="n">
        <v>3</v>
      </c>
      <c r="G277" s="4" t="inlineStr">
        <is>
          <t>複数回答</t>
        </is>
      </c>
    </row>
    <row r="278" ht="28" customHeight="1">
      <c r="A278" s="4" t="inlineStr">
        <is>
          <t>問29</t>
        </is>
      </c>
      <c r="B278" s="5" t="inlineStr">
        <is>
          <t>今後3年間で利用したい、または利用を続けたいサービスを選んでください（あてはまるものすべて）</t>
        </is>
      </c>
      <c r="C278" s="5" t="inlineStr">
        <is>
          <t>放課後等デイサービス</t>
        </is>
      </c>
      <c r="D278" s="30" t="n">
        <v>1</v>
      </c>
      <c r="E278" s="20">
        <f>IF($F278=0,0,D278/$F278)</f>
        <v>0.333333333333333</v>
      </c>
      <c r="F278" s="19">
        <f>$F$277</f>
        <v>3</v>
      </c>
      <c r="G278" s="4" t="inlineStr">
        <is>
          <t>複数回答</t>
        </is>
      </c>
    </row>
    <row r="279" ht="28" customHeight="1">
      <c r="A279" s="4" t="inlineStr">
        <is>
          <t>問29</t>
        </is>
      </c>
      <c r="B279" s="5" t="inlineStr">
        <is>
          <t>今後3年間で利用したい、または利用を続けたいサービスを選んでください（あてはまるものすべて）</t>
        </is>
      </c>
      <c r="C279" s="5" t="inlineStr">
        <is>
          <t>保育所等訪問支援</t>
        </is>
      </c>
      <c r="D279" s="30" t="n">
        <v>0</v>
      </c>
      <c r="E279" s="20">
        <f>IF($F279=0,0,D279/$F279)</f>
        <v>0</v>
      </c>
      <c r="F279" s="19">
        <f>$F$277</f>
        <v>3</v>
      </c>
      <c r="G279" s="4" t="inlineStr">
        <is>
          <t>複数回答</t>
        </is>
      </c>
    </row>
    <row r="280" ht="28" customHeight="1">
      <c r="A280" s="4" t="inlineStr">
        <is>
          <t>問29</t>
        </is>
      </c>
      <c r="B280" s="5" t="inlineStr">
        <is>
          <t>今後3年間で利用したい、または利用を続けたいサービスを選んでください（あてはまるものすべて）</t>
        </is>
      </c>
      <c r="C280" s="5" t="inlineStr">
        <is>
          <t>居宅訪問型児童発達支援</t>
        </is>
      </c>
      <c r="D280" s="30" t="n">
        <v>0</v>
      </c>
      <c r="E280" s="20">
        <f>IF($F280=0,0,D280/$F280)</f>
        <v>0</v>
      </c>
      <c r="F280" s="19">
        <f>$F$277</f>
        <v>3</v>
      </c>
      <c r="G280" s="4" t="inlineStr">
        <is>
          <t>複数回答</t>
        </is>
      </c>
    </row>
    <row r="281" ht="28" customHeight="1">
      <c r="A281" s="4" t="inlineStr">
        <is>
          <t>問29</t>
        </is>
      </c>
      <c r="B281" s="5" t="inlineStr">
        <is>
          <t>今後3年間で利用したい、または利用を続けたいサービスを選んでください（あてはまるものすべて）</t>
        </is>
      </c>
      <c r="C281" s="5" t="inlineStr">
        <is>
          <t>障がい児相談支援</t>
        </is>
      </c>
      <c r="D281" s="30" t="n">
        <v>2</v>
      </c>
      <c r="E281" s="20">
        <f>IF($F281=0,0,D281/$F281)</f>
        <v>0.666666666666667</v>
      </c>
      <c r="F281" s="19">
        <f>$F$277</f>
        <v>3</v>
      </c>
      <c r="G281" s="4" t="inlineStr">
        <is>
          <t>複数回答</t>
        </is>
      </c>
    </row>
    <row r="282" ht="28" customHeight="1">
      <c r="A282" s="4" t="inlineStr">
        <is>
          <t>問29</t>
        </is>
      </c>
      <c r="B282" s="5" t="inlineStr">
        <is>
          <t>今後3年間で利用したい、または利用を続けたいサービスを選んでください（あてはまるものすべて）</t>
        </is>
      </c>
      <c r="C282" s="5" t="inlineStr">
        <is>
          <t>短期入所（ショートステイ）</t>
        </is>
      </c>
      <c r="D282" s="30" t="n">
        <v>1</v>
      </c>
      <c r="E282" s="20">
        <f>IF($F282=0,0,D282/$F282)</f>
        <v>0.333333333333333</v>
      </c>
      <c r="F282" s="19">
        <f>$F$277</f>
        <v>3</v>
      </c>
      <c r="G282" s="4" t="inlineStr">
        <is>
          <t>複数回答</t>
        </is>
      </c>
    </row>
    <row r="283" ht="28" customHeight="1">
      <c r="A283" s="4" t="inlineStr">
        <is>
          <t>問29</t>
        </is>
      </c>
      <c r="B283" s="5" t="inlineStr">
        <is>
          <t>今後3年間で利用したい、または利用を続けたいサービスを選んでください（あてはまるものすべて）</t>
        </is>
      </c>
      <c r="C283" s="5" t="inlineStr">
        <is>
          <t>日中一時支援</t>
        </is>
      </c>
      <c r="D283" s="30" t="n">
        <v>0</v>
      </c>
      <c r="E283" s="20">
        <f>IF($F283=0,0,D283/$F283)</f>
        <v>0</v>
      </c>
      <c r="F283" s="19">
        <f>$F$277</f>
        <v>3</v>
      </c>
      <c r="G283" s="4" t="inlineStr">
        <is>
          <t>複数回答</t>
        </is>
      </c>
    </row>
    <row r="284" ht="28" customHeight="1">
      <c r="A284" s="4" t="inlineStr">
        <is>
          <t>問29</t>
        </is>
      </c>
      <c r="B284" s="5" t="inlineStr">
        <is>
          <t>今後3年間で利用したい、または利用を続けたいサービスを選んでください（あてはまるものすべて）</t>
        </is>
      </c>
      <c r="C284" s="5" t="inlineStr">
        <is>
          <t>移動支援</t>
        </is>
      </c>
      <c r="D284" s="30" t="n">
        <v>3</v>
      </c>
      <c r="E284" s="20">
        <f>IF($F284=0,0,D284/$F284)</f>
        <v>1</v>
      </c>
      <c r="F284" s="19">
        <f>$F$277</f>
        <v>3</v>
      </c>
      <c r="G284" s="4" t="inlineStr">
        <is>
          <t>複数回答</t>
        </is>
      </c>
    </row>
    <row r="285" ht="28" customHeight="1">
      <c r="A285" s="4" t="inlineStr">
        <is>
          <t>問29</t>
        </is>
      </c>
      <c r="B285" s="5" t="inlineStr">
        <is>
          <t>今後3年間で利用したい、または利用を続けたいサービスを選んでください（あてはまるものすべて）</t>
        </is>
      </c>
      <c r="C285" s="5" t="inlineStr">
        <is>
          <t>日常生活用具の給付</t>
        </is>
      </c>
      <c r="D285" s="30" t="n">
        <v>1</v>
      </c>
      <c r="E285" s="20">
        <f>IF($F285=0,0,D285/$F285)</f>
        <v>0.333333333333333</v>
      </c>
      <c r="F285" s="19">
        <f>$F$277</f>
        <v>3</v>
      </c>
      <c r="G285" s="4" t="inlineStr">
        <is>
          <t>複数回答</t>
        </is>
      </c>
    </row>
    <row r="286" ht="28" customHeight="1">
      <c r="A286" s="4" t="inlineStr">
        <is>
          <t>問29</t>
        </is>
      </c>
      <c r="B286" s="5" t="inlineStr">
        <is>
          <t>今後3年間で利用したい、または利用を続けたいサービスを選んでください（あてはまるものすべて）</t>
        </is>
      </c>
      <c r="C286" s="5" t="inlineStr">
        <is>
          <t>利用したいサービスは特にない</t>
        </is>
      </c>
      <c r="D286" s="30" t="n">
        <v>0</v>
      </c>
      <c r="E286" s="20">
        <f>IF($F286=0,0,D286/$F286)</f>
        <v>0</v>
      </c>
      <c r="F286" s="19">
        <f>$F$277</f>
        <v>3</v>
      </c>
      <c r="G286" s="4" t="inlineStr">
        <is>
          <t>複数回答</t>
        </is>
      </c>
    </row>
    <row r="287" ht="28" customHeight="1">
      <c r="A287" s="4" t="inlineStr">
        <is>
          <t>問29</t>
        </is>
      </c>
      <c r="B287" s="5" t="inlineStr">
        <is>
          <t>今後3年間で利用したい、または利用を続けたいサービスを選んでください（あてはまるものすべて）</t>
        </is>
      </c>
      <c r="C287" s="5" t="inlineStr">
        <is>
          <t>その他</t>
        </is>
      </c>
      <c r="D287" s="30" t="n">
        <v>0</v>
      </c>
      <c r="E287" s="20">
        <f>IF($F287=0,0,D287/$F287)</f>
        <v>0</v>
      </c>
      <c r="F287" s="19">
        <f>$F$277</f>
        <v>3</v>
      </c>
      <c r="G287" s="4" t="inlineStr">
        <is>
          <t>複数回答</t>
        </is>
      </c>
    </row>
    <row r="288" ht="28" customHeight="1">
      <c r="A288" s="4" t="inlineStr">
        <is>
          <t>問29</t>
        </is>
      </c>
      <c r="B288" s="5" t="inlineStr">
        <is>
          <t>今後3年間で利用したい、または利用を続けたいサービスを選んでください（あてはまるものすべて）</t>
        </is>
      </c>
      <c r="C288" s="5" t="inlineStr">
        <is>
          <t>無回答</t>
        </is>
      </c>
      <c r="D288" s="30" t="n">
        <v>0</v>
      </c>
      <c r="E288" s="20">
        <f>IF($F288=0,0,D288/$F288)</f>
        <v>0</v>
      </c>
      <c r="F288" s="19">
        <f>$F$277</f>
        <v>3</v>
      </c>
      <c r="G288" s="4" t="inlineStr">
        <is>
          <t>複数回答</t>
        </is>
      </c>
    </row>
    <row r="289" ht="16" customHeight="1">
      <c r="A289" s="4" t="inlineStr">
        <is>
          <t>問30</t>
        </is>
      </c>
      <c r="B289" s="5" t="inlineStr">
        <is>
          <t>今利用している福祉サービスに満足していますか</t>
        </is>
      </c>
      <c r="C289" s="5" t="inlineStr">
        <is>
          <t>満足している</t>
        </is>
      </c>
      <c r="D289" s="30" t="n">
        <v>0</v>
      </c>
      <c r="E289" s="20">
        <f>IF($F289=0,0,D289/$F289)</f>
        <v>0</v>
      </c>
      <c r="F289" s="30" t="n">
        <v>3</v>
      </c>
      <c r="G289" s="4" t="inlineStr">
        <is>
          <t>単一回答</t>
        </is>
      </c>
    </row>
    <row r="290" ht="16" customHeight="1">
      <c r="A290" s="4" t="inlineStr">
        <is>
          <t>問30</t>
        </is>
      </c>
      <c r="B290" s="5" t="inlineStr">
        <is>
          <t>今利用している福祉サービスに満足していますか</t>
        </is>
      </c>
      <c r="C290" s="5" t="inlineStr">
        <is>
          <t>適切なサービスがわからない</t>
        </is>
      </c>
      <c r="D290" s="30" t="n">
        <v>0</v>
      </c>
      <c r="E290" s="20">
        <f>IF($F290=0,0,D290/$F290)</f>
        <v>0</v>
      </c>
      <c r="F290" s="19">
        <f>$F$289</f>
        <v>3</v>
      </c>
      <c r="G290" s="4" t="inlineStr">
        <is>
          <t>単一回答</t>
        </is>
      </c>
    </row>
    <row r="291" ht="16" customHeight="1">
      <c r="A291" s="4" t="inlineStr">
        <is>
          <t>問30</t>
        </is>
      </c>
      <c r="B291" s="5" t="inlineStr">
        <is>
          <t>今利用している福祉サービスに満足していますか</t>
        </is>
      </c>
      <c r="C291" s="5" t="inlineStr">
        <is>
          <t>サービスの量が足りない</t>
        </is>
      </c>
      <c r="D291" s="30" t="n">
        <v>1</v>
      </c>
      <c r="E291" s="20">
        <f>IF($F291=0,0,D291/$F291)</f>
        <v>0.333333333333333</v>
      </c>
      <c r="F291" s="19">
        <f>$F$289</f>
        <v>3</v>
      </c>
      <c r="G291" s="4" t="inlineStr">
        <is>
          <t>単一回答</t>
        </is>
      </c>
    </row>
    <row r="292" ht="16" customHeight="1">
      <c r="A292" s="4" t="inlineStr">
        <is>
          <t>問30</t>
        </is>
      </c>
      <c r="B292" s="5" t="inlineStr">
        <is>
          <t>今利用している福祉サービスに満足していますか</t>
        </is>
      </c>
      <c r="C292" s="5" t="inlineStr">
        <is>
          <t>サービスの質がよくない</t>
        </is>
      </c>
      <c r="D292" s="30" t="n">
        <v>0</v>
      </c>
      <c r="E292" s="20">
        <f>IF($F292=0,0,D292/$F292)</f>
        <v>0</v>
      </c>
      <c r="F292" s="19">
        <f>$F$289</f>
        <v>3</v>
      </c>
      <c r="G292" s="4" t="inlineStr">
        <is>
          <t>単一回答</t>
        </is>
      </c>
    </row>
    <row r="293" ht="16" customHeight="1">
      <c r="A293" s="4" t="inlineStr">
        <is>
          <t>問30</t>
        </is>
      </c>
      <c r="B293" s="5" t="inlineStr">
        <is>
          <t>今利用している福祉サービスに満足していますか</t>
        </is>
      </c>
      <c r="C293" s="5" t="inlineStr">
        <is>
          <t>利用できる事業所が少ない</t>
        </is>
      </c>
      <c r="D293" s="30" t="n">
        <v>1</v>
      </c>
      <c r="E293" s="20">
        <f>IF($F293=0,0,D293/$F293)</f>
        <v>0.333333333333333</v>
      </c>
      <c r="F293" s="19">
        <f>$F$289</f>
        <v>3</v>
      </c>
      <c r="G293" s="4" t="inlineStr">
        <is>
          <t>単一回答</t>
        </is>
      </c>
    </row>
    <row r="294" ht="16" customHeight="1">
      <c r="A294" s="4" t="inlineStr">
        <is>
          <t>問30</t>
        </is>
      </c>
      <c r="B294" s="5" t="inlineStr">
        <is>
          <t>今利用している福祉サービスに満足していますか</t>
        </is>
      </c>
      <c r="C294" s="5" t="inlineStr">
        <is>
          <t>サービスの使い方がわからない</t>
        </is>
      </c>
      <c r="D294" s="30" t="n">
        <v>0</v>
      </c>
      <c r="E294" s="20">
        <f>IF($F294=0,0,D294/$F294)</f>
        <v>0</v>
      </c>
      <c r="F294" s="19">
        <f>$F$289</f>
        <v>3</v>
      </c>
      <c r="G294" s="4" t="inlineStr">
        <is>
          <t>単一回答</t>
        </is>
      </c>
    </row>
    <row r="295" ht="16" customHeight="1">
      <c r="A295" s="4" t="inlineStr">
        <is>
          <t>問30</t>
        </is>
      </c>
      <c r="B295" s="5" t="inlineStr">
        <is>
          <t>今利用している福祉サービスに満足していますか</t>
        </is>
      </c>
      <c r="C295" s="5" t="inlineStr">
        <is>
          <t>利用していない</t>
        </is>
      </c>
      <c r="D295" s="30" t="n">
        <v>1</v>
      </c>
      <c r="E295" s="20">
        <f>IF($F295=0,0,D295/$F295)</f>
        <v>0.333333333333333</v>
      </c>
      <c r="F295" s="19">
        <f>$F$289</f>
        <v>3</v>
      </c>
      <c r="G295" s="4" t="inlineStr">
        <is>
          <t>単一回答</t>
        </is>
      </c>
    </row>
    <row r="296" ht="16" customHeight="1">
      <c r="A296" s="4" t="inlineStr">
        <is>
          <t>問30</t>
        </is>
      </c>
      <c r="B296" s="5" t="inlineStr">
        <is>
          <t>今利用している福祉サービスに満足していますか</t>
        </is>
      </c>
      <c r="C296" s="5" t="inlineStr">
        <is>
          <t>無回答</t>
        </is>
      </c>
      <c r="D296" s="30" t="n">
        <v>0</v>
      </c>
      <c r="E296" s="20">
        <f>IF($F296=0,0,D296/$F296)</f>
        <v>0</v>
      </c>
      <c r="F296" s="19">
        <f>$F$289</f>
        <v>3</v>
      </c>
      <c r="G296" s="4" t="inlineStr">
        <is>
          <t>単一回答</t>
        </is>
      </c>
    </row>
    <row r="297" ht="28" customHeight="1">
      <c r="A297" s="4" t="inlineStr">
        <is>
          <t>問31</t>
        </is>
      </c>
      <c r="B297" s="5" t="inlineStr">
        <is>
          <t>放課後や長期休暇中の過ごし方で困っていることはありますか（あてはまるものすべて）</t>
        </is>
      </c>
      <c r="C297" s="5" t="inlineStr">
        <is>
          <t>利用できる場所が少ない</t>
        </is>
      </c>
      <c r="D297" s="30" t="n">
        <v>2</v>
      </c>
      <c r="E297" s="20">
        <f>IF($F297=0,0,D297/$F297)</f>
        <v>0.666666666666667</v>
      </c>
      <c r="F297" s="30" t="n">
        <v>3</v>
      </c>
      <c r="G297" s="4" t="inlineStr">
        <is>
          <t>複数回答</t>
        </is>
      </c>
    </row>
    <row r="298" ht="28" customHeight="1">
      <c r="A298" s="4" t="inlineStr">
        <is>
          <t>問31</t>
        </is>
      </c>
      <c r="B298" s="5" t="inlineStr">
        <is>
          <t>放課後や長期休暇中の過ごし方で困っていることはありますか（あてはまるものすべて）</t>
        </is>
      </c>
      <c r="C298" s="5" t="inlineStr">
        <is>
          <t>送迎がない</t>
        </is>
      </c>
      <c r="D298" s="30" t="n">
        <v>2</v>
      </c>
      <c r="E298" s="20">
        <f>IF($F298=0,0,D298/$F298)</f>
        <v>0.666666666666667</v>
      </c>
      <c r="F298" s="19">
        <f>$F$297</f>
        <v>3</v>
      </c>
      <c r="G298" s="4" t="inlineStr">
        <is>
          <t>複数回答</t>
        </is>
      </c>
    </row>
    <row r="299" ht="28" customHeight="1">
      <c r="A299" s="4" t="inlineStr">
        <is>
          <t>問31</t>
        </is>
      </c>
      <c r="B299" s="5" t="inlineStr">
        <is>
          <t>放課後や長期休暇中の過ごし方で困っていることはありますか（あてはまるものすべて）</t>
        </is>
      </c>
      <c r="C299" s="5" t="inlineStr">
        <is>
          <t>医療的ケアに対応できる場所が少ない</t>
        </is>
      </c>
      <c r="D299" s="30" t="n">
        <v>1</v>
      </c>
      <c r="E299" s="20">
        <f>IF($F299=0,0,D299/$F299)</f>
        <v>0.333333333333333</v>
      </c>
      <c r="F299" s="19">
        <f>$F$297</f>
        <v>3</v>
      </c>
      <c r="G299" s="4" t="inlineStr">
        <is>
          <t>複数回答</t>
        </is>
      </c>
    </row>
    <row r="300" ht="28" customHeight="1">
      <c r="A300" s="4" t="inlineStr">
        <is>
          <t>問31</t>
        </is>
      </c>
      <c r="B300" s="5" t="inlineStr">
        <is>
          <t>放課後や長期休暇中の過ごし方で困っていることはありますか（あてはまるものすべて）</t>
        </is>
      </c>
      <c r="C300" s="5" t="inlineStr">
        <is>
          <t>長期休暇の過ごし方に困る</t>
        </is>
      </c>
      <c r="D300" s="30" t="n">
        <v>1</v>
      </c>
      <c r="E300" s="20">
        <f>IF($F300=0,0,D300/$F300)</f>
        <v>0.333333333333333</v>
      </c>
      <c r="F300" s="19">
        <f>$F$297</f>
        <v>3</v>
      </c>
      <c r="G300" s="4" t="inlineStr">
        <is>
          <t>複数回答</t>
        </is>
      </c>
    </row>
    <row r="301" ht="28" customHeight="1">
      <c r="A301" s="4" t="inlineStr">
        <is>
          <t>問31</t>
        </is>
      </c>
      <c r="B301" s="5" t="inlineStr">
        <is>
          <t>放課後や長期休暇中の過ごし方で困っていることはありますか（あてはまるものすべて）</t>
        </is>
      </c>
      <c r="C301" s="5" t="inlineStr">
        <is>
          <t>家族への負担が大きい</t>
        </is>
      </c>
      <c r="D301" s="30" t="n">
        <v>1</v>
      </c>
      <c r="E301" s="20">
        <f>IF($F301=0,0,D301/$F301)</f>
        <v>0.333333333333333</v>
      </c>
      <c r="F301" s="19">
        <f>$F$297</f>
        <v>3</v>
      </c>
      <c r="G301" s="4" t="inlineStr">
        <is>
          <t>複数回答</t>
        </is>
      </c>
    </row>
    <row r="302" ht="28" customHeight="1">
      <c r="A302" s="4" t="inlineStr">
        <is>
          <t>問31</t>
        </is>
      </c>
      <c r="B302" s="5" t="inlineStr">
        <is>
          <t>放課後や長期休暇中の過ごし方で困っていることはありますか（あてはまるものすべて）</t>
        </is>
      </c>
      <c r="C302" s="5" t="inlineStr">
        <is>
          <t>相談先がない</t>
        </is>
      </c>
      <c r="D302" s="30" t="n">
        <v>0</v>
      </c>
      <c r="E302" s="20">
        <f>IF($F302=0,0,D302/$F302)</f>
        <v>0</v>
      </c>
      <c r="F302" s="19">
        <f>$F$297</f>
        <v>3</v>
      </c>
      <c r="G302" s="4" t="inlineStr">
        <is>
          <t>複数回答</t>
        </is>
      </c>
    </row>
    <row r="303" ht="28" customHeight="1">
      <c r="A303" s="4" t="inlineStr">
        <is>
          <t>問31</t>
        </is>
      </c>
      <c r="B303" s="5" t="inlineStr">
        <is>
          <t>放課後や長期休暇中の過ごし方で困っていることはありますか（あてはまるものすべて）</t>
        </is>
      </c>
      <c r="C303" s="5" t="inlineStr">
        <is>
          <t>費用負担が心配</t>
        </is>
      </c>
      <c r="D303" s="30" t="n">
        <v>1</v>
      </c>
      <c r="E303" s="20">
        <f>IF($F303=0,0,D303/$F303)</f>
        <v>0.333333333333333</v>
      </c>
      <c r="F303" s="19">
        <f>$F$297</f>
        <v>3</v>
      </c>
      <c r="G303" s="4" t="inlineStr">
        <is>
          <t>複数回答</t>
        </is>
      </c>
    </row>
    <row r="304" ht="28" customHeight="1">
      <c r="A304" s="4" t="inlineStr">
        <is>
          <t>問31</t>
        </is>
      </c>
      <c r="B304" s="5" t="inlineStr">
        <is>
          <t>放課後や長期休暇中の過ごし方で困っていることはありますか（あてはまるものすべて）</t>
        </is>
      </c>
      <c r="C304" s="5" t="inlineStr">
        <is>
          <t>特に困っていない</t>
        </is>
      </c>
      <c r="D304" s="30" t="n">
        <v>0</v>
      </c>
      <c r="E304" s="20">
        <f>IF($F304=0,0,D304/$F304)</f>
        <v>0</v>
      </c>
      <c r="F304" s="19">
        <f>$F$297</f>
        <v>3</v>
      </c>
      <c r="G304" s="4" t="inlineStr">
        <is>
          <t>複数回答</t>
        </is>
      </c>
    </row>
    <row r="305" ht="28" customHeight="1">
      <c r="A305" s="4" t="inlineStr">
        <is>
          <t>問31</t>
        </is>
      </c>
      <c r="B305" s="5" t="inlineStr">
        <is>
          <t>放課後や長期休暇中の過ごし方で困っていることはありますか（あてはまるものすべて）</t>
        </is>
      </c>
      <c r="C305" s="5" t="inlineStr">
        <is>
          <t>その他</t>
        </is>
      </c>
      <c r="D305" s="30" t="n">
        <v>0</v>
      </c>
      <c r="E305" s="20">
        <f>IF($F305=0,0,D305/$F305)</f>
        <v>0</v>
      </c>
      <c r="F305" s="19">
        <f>$F$297</f>
        <v>3</v>
      </c>
      <c r="G305" s="4" t="inlineStr">
        <is>
          <t>複数回答</t>
        </is>
      </c>
    </row>
    <row r="306" ht="28" customHeight="1">
      <c r="A306" s="4" t="inlineStr">
        <is>
          <t>問31</t>
        </is>
      </c>
      <c r="B306" s="5" t="inlineStr">
        <is>
          <t>放課後や長期休暇中の過ごし方で困っていることはありますか（あてはまるものすべて）</t>
        </is>
      </c>
      <c r="C306" s="5" t="inlineStr">
        <is>
          <t>無回答</t>
        </is>
      </c>
      <c r="D306" s="30" t="n">
        <v>0</v>
      </c>
      <c r="E306" s="20">
        <f>IF($F306=0,0,D306/$F306)</f>
        <v>0</v>
      </c>
      <c r="F306" s="19">
        <f>$F$297</f>
        <v>3</v>
      </c>
      <c r="G306" s="4" t="inlineStr">
        <is>
          <t>複数回答</t>
        </is>
      </c>
    </row>
    <row r="307" ht="28" customHeight="1">
      <c r="A307" s="4" t="inlineStr">
        <is>
          <t>問32</t>
        </is>
      </c>
      <c r="B307" s="5" t="inlineStr">
        <is>
          <t>18歳以降のことで不安なことはありますか（あてはまるものすべて）</t>
        </is>
      </c>
      <c r="C307" s="5" t="inlineStr">
        <is>
          <t>進学先・就労先</t>
        </is>
      </c>
      <c r="D307" s="30" t="n">
        <v>3</v>
      </c>
      <c r="E307" s="20">
        <f>IF($F307=0,0,D307/$F307)</f>
        <v>1</v>
      </c>
      <c r="F307" s="30" t="n">
        <v>3</v>
      </c>
      <c r="G307" s="4" t="inlineStr">
        <is>
          <t>複数回答</t>
        </is>
      </c>
    </row>
    <row r="308" ht="28" customHeight="1">
      <c r="A308" s="4" t="inlineStr">
        <is>
          <t>問32</t>
        </is>
      </c>
      <c r="B308" s="5" t="inlineStr">
        <is>
          <t>18歳以降のことで不安なことはありますか（あてはまるものすべて）</t>
        </is>
      </c>
      <c r="C308" s="5" t="inlineStr">
        <is>
          <t>生活介護や就労継続支援A型等の通所先</t>
        </is>
      </c>
      <c r="D308" s="30" t="n">
        <v>1</v>
      </c>
      <c r="E308" s="20">
        <f>IF($F308=0,0,D308/$F308)</f>
        <v>0.333333333333333</v>
      </c>
      <c r="F308" s="19">
        <f>$F$307</f>
        <v>3</v>
      </c>
      <c r="G308" s="4" t="inlineStr">
        <is>
          <t>複数回答</t>
        </is>
      </c>
    </row>
    <row r="309" ht="28" customHeight="1">
      <c r="A309" s="4" t="inlineStr">
        <is>
          <t>問32</t>
        </is>
      </c>
      <c r="B309" s="5" t="inlineStr">
        <is>
          <t>18歳以降のことで不安なことはありますか（あてはまるものすべて）</t>
        </is>
      </c>
      <c r="C309" s="5" t="inlineStr">
        <is>
          <t>就労選択支援の利用</t>
        </is>
      </c>
      <c r="D309" s="30" t="n">
        <v>3</v>
      </c>
      <c r="E309" s="20">
        <f>IF($F309=0,0,D309/$F309)</f>
        <v>1</v>
      </c>
      <c r="F309" s="19">
        <f>$F$307</f>
        <v>3</v>
      </c>
      <c r="G309" s="4" t="inlineStr">
        <is>
          <t>複数回答</t>
        </is>
      </c>
    </row>
    <row r="310" ht="28" customHeight="1">
      <c r="A310" s="4" t="inlineStr">
        <is>
          <t>問32</t>
        </is>
      </c>
      <c r="B310" s="5" t="inlineStr">
        <is>
          <t>18歳以降のことで不安なことはありますか（あてはまるものすべて）</t>
        </is>
      </c>
      <c r="C310" s="5" t="inlineStr">
        <is>
          <t>相談支援の継続</t>
        </is>
      </c>
      <c r="D310" s="30" t="n">
        <v>1</v>
      </c>
      <c r="E310" s="20">
        <f>IF($F310=0,0,D310/$F310)</f>
        <v>0.333333333333333</v>
      </c>
      <c r="F310" s="19">
        <f>$F$307</f>
        <v>3</v>
      </c>
      <c r="G310" s="4" t="inlineStr">
        <is>
          <t>複数回答</t>
        </is>
      </c>
    </row>
    <row r="311" ht="28" customHeight="1">
      <c r="A311" s="4" t="inlineStr">
        <is>
          <t>問32</t>
        </is>
      </c>
      <c r="B311" s="5" t="inlineStr">
        <is>
          <t>18歳以降のことで不安なことはありますか（あてはまるものすべて）</t>
        </is>
      </c>
      <c r="C311" s="5" t="inlineStr">
        <is>
          <t>医療・通院の継続</t>
        </is>
      </c>
      <c r="D311" s="30" t="n">
        <v>3</v>
      </c>
      <c r="E311" s="20">
        <f>IF($F311=0,0,D311/$F311)</f>
        <v>1</v>
      </c>
      <c r="F311" s="19">
        <f>$F$307</f>
        <v>3</v>
      </c>
      <c r="G311" s="4" t="inlineStr">
        <is>
          <t>複数回答</t>
        </is>
      </c>
    </row>
    <row r="312" ht="28" customHeight="1">
      <c r="A312" s="4" t="inlineStr">
        <is>
          <t>問32</t>
        </is>
      </c>
      <c r="B312" s="5" t="inlineStr">
        <is>
          <t>18歳以降のことで不安なことはありますか（あてはまるものすべて）</t>
        </is>
      </c>
      <c r="C312" s="5" t="inlineStr">
        <is>
          <t>送迎・移動手段</t>
        </is>
      </c>
      <c r="D312" s="30" t="n">
        <v>3</v>
      </c>
      <c r="E312" s="20">
        <f>IF($F312=0,0,D312/$F312)</f>
        <v>1</v>
      </c>
      <c r="F312" s="19">
        <f>$F$307</f>
        <v>3</v>
      </c>
      <c r="G312" s="4" t="inlineStr">
        <is>
          <t>複数回答</t>
        </is>
      </c>
    </row>
    <row r="313" ht="28" customHeight="1">
      <c r="A313" s="4" t="inlineStr">
        <is>
          <t>問32</t>
        </is>
      </c>
      <c r="B313" s="5" t="inlineStr">
        <is>
          <t>18歳以降のことで不安なことはありますか（あてはまるものすべて）</t>
        </is>
      </c>
      <c r="C313" s="5" t="inlineStr">
        <is>
          <t>本人の意思決定や将来の暮らし</t>
        </is>
      </c>
      <c r="D313" s="30" t="n">
        <v>3</v>
      </c>
      <c r="E313" s="20">
        <f>IF($F313=0,0,D313/$F313)</f>
        <v>1</v>
      </c>
      <c r="F313" s="19">
        <f>$F$307</f>
        <v>3</v>
      </c>
      <c r="G313" s="4" t="inlineStr">
        <is>
          <t>複数回答</t>
        </is>
      </c>
    </row>
    <row r="314" ht="28" customHeight="1">
      <c r="A314" s="4" t="inlineStr">
        <is>
          <t>問32</t>
        </is>
      </c>
      <c r="B314" s="5" t="inlineStr">
        <is>
          <t>18歳以降のことで不安なことはありますか（あてはまるものすべて）</t>
        </is>
      </c>
      <c r="C314" s="5" t="inlineStr">
        <is>
          <t>家族の負担</t>
        </is>
      </c>
      <c r="D314" s="30" t="n">
        <v>3</v>
      </c>
      <c r="E314" s="20">
        <f>IF($F314=0,0,D314/$F314)</f>
        <v>1</v>
      </c>
      <c r="F314" s="19">
        <f>$F$307</f>
        <v>3</v>
      </c>
      <c r="G314" s="4" t="inlineStr">
        <is>
          <t>複数回答</t>
        </is>
      </c>
    </row>
    <row r="315" ht="28" customHeight="1">
      <c r="A315" s="4" t="inlineStr">
        <is>
          <t>問32</t>
        </is>
      </c>
      <c r="B315" s="5" t="inlineStr">
        <is>
          <t>18歳以降のことで不安なことはありますか（あてはまるものすべて）</t>
        </is>
      </c>
      <c r="C315" s="5" t="inlineStr">
        <is>
          <t>親など家族が高齢になった後の生活</t>
        </is>
      </c>
      <c r="D315" s="30" t="n">
        <v>3</v>
      </c>
      <c r="E315" s="20">
        <f>IF($F315=0,0,D315/$F315)</f>
        <v>1</v>
      </c>
      <c r="F315" s="19">
        <f>$F$307</f>
        <v>3</v>
      </c>
      <c r="G315" s="4" t="inlineStr">
        <is>
          <t>複数回答</t>
        </is>
      </c>
    </row>
    <row r="316" ht="28" customHeight="1">
      <c r="A316" s="4" t="inlineStr">
        <is>
          <t>問32</t>
        </is>
      </c>
      <c r="B316" s="5" t="inlineStr">
        <is>
          <t>18歳以降のことで不安なことはありますか（あてはまるものすべて）</t>
        </is>
      </c>
      <c r="C316" s="5" t="inlineStr">
        <is>
          <t>経済的な負担</t>
        </is>
      </c>
      <c r="D316" s="30" t="n">
        <v>3</v>
      </c>
      <c r="E316" s="20">
        <f>IF($F316=0,0,D316/$F316)</f>
        <v>1</v>
      </c>
      <c r="F316" s="19">
        <f>$F$307</f>
        <v>3</v>
      </c>
      <c r="G316" s="4" t="inlineStr">
        <is>
          <t>複数回答</t>
        </is>
      </c>
    </row>
    <row r="317" ht="28" customHeight="1">
      <c r="A317" s="4" t="inlineStr">
        <is>
          <t>問32</t>
        </is>
      </c>
      <c r="B317" s="5" t="inlineStr">
        <is>
          <t>18歳以降のことで不安なことはありますか（あてはまるものすべて）</t>
        </is>
      </c>
      <c r="C317" s="5" t="inlineStr">
        <is>
          <t>まだ考えていない</t>
        </is>
      </c>
      <c r="D317" s="30" t="n">
        <v>0</v>
      </c>
      <c r="E317" s="20">
        <f>IF($F317=0,0,D317/$F317)</f>
        <v>0</v>
      </c>
      <c r="F317" s="19">
        <f>$F$307</f>
        <v>3</v>
      </c>
      <c r="G317" s="4" t="inlineStr">
        <is>
          <t>複数回答</t>
        </is>
      </c>
    </row>
    <row r="318" ht="28" customHeight="1">
      <c r="A318" s="4" t="inlineStr">
        <is>
          <t>問32</t>
        </is>
      </c>
      <c r="B318" s="5" t="inlineStr">
        <is>
          <t>18歳以降のことで不安なことはありますか（あてはまるものすべて）</t>
        </is>
      </c>
      <c r="C318" s="5" t="inlineStr">
        <is>
          <t>その他</t>
        </is>
      </c>
      <c r="D318" s="30" t="n">
        <v>1</v>
      </c>
      <c r="E318" s="20">
        <f>IF($F318=0,0,D318/$F318)</f>
        <v>0.333333333333333</v>
      </c>
      <c r="F318" s="19">
        <f>$F$307</f>
        <v>3</v>
      </c>
      <c r="G318" s="4" t="inlineStr">
        <is>
          <t>複数回答</t>
        </is>
      </c>
    </row>
    <row r="319" ht="28" customHeight="1">
      <c r="A319" s="4" t="inlineStr">
        <is>
          <t>問32</t>
        </is>
      </c>
      <c r="B319" s="5" t="inlineStr">
        <is>
          <t>18歳以降のことで不安なことはありますか（あてはまるものすべて）</t>
        </is>
      </c>
      <c r="C319" s="5" t="inlineStr">
        <is>
          <t>無回答</t>
        </is>
      </c>
      <c r="D319" s="30" t="n">
        <v>0</v>
      </c>
      <c r="E319" s="20">
        <f>IF($F319=0,0,D319/$F319)</f>
        <v>0</v>
      </c>
      <c r="F319" s="19">
        <f>$F$307</f>
        <v>3</v>
      </c>
      <c r="G319" s="4" t="inlineStr">
        <is>
          <t>複数回答</t>
        </is>
      </c>
    </row>
    <row r="320" ht="28" customHeight="1">
      <c r="A320" s="4" t="inlineStr">
        <is>
          <t>問33</t>
        </is>
      </c>
      <c r="B320" s="5" t="inlineStr">
        <is>
          <t>障がいがあることで差別や偏見、不利益を感じたことはありますか</t>
        </is>
      </c>
      <c r="C320" s="5" t="inlineStr">
        <is>
          <t>週に１回程度</t>
        </is>
      </c>
      <c r="D320" s="30" t="n">
        <v>1</v>
      </c>
      <c r="E320" s="20">
        <f>IF($F320=0,0,D320/$F320)</f>
        <v>0.333333333333333</v>
      </c>
      <c r="F320" s="30" t="n">
        <v>3</v>
      </c>
      <c r="G320" s="4" t="inlineStr">
        <is>
          <t>単一回答</t>
        </is>
      </c>
    </row>
    <row r="321" ht="28" customHeight="1">
      <c r="A321" s="4" t="inlineStr">
        <is>
          <t>問33</t>
        </is>
      </c>
      <c r="B321" s="5" t="inlineStr">
        <is>
          <t>障がいがあることで差別や偏見、不利益を感じたことはありますか</t>
        </is>
      </c>
      <c r="C321" s="5" t="inlineStr">
        <is>
          <t>月に１回程度</t>
        </is>
      </c>
      <c r="D321" s="30" t="n">
        <v>1</v>
      </c>
      <c r="E321" s="20">
        <f>IF($F321=0,0,D321/$F321)</f>
        <v>0.333333333333333</v>
      </c>
      <c r="F321" s="19">
        <f>$F$320</f>
        <v>3</v>
      </c>
      <c r="G321" s="4" t="inlineStr">
        <is>
          <t>単一回答</t>
        </is>
      </c>
    </row>
    <row r="322" ht="28" customHeight="1">
      <c r="A322" s="4" t="inlineStr">
        <is>
          <t>問33</t>
        </is>
      </c>
      <c r="B322" s="5" t="inlineStr">
        <is>
          <t>障がいがあることで差別や偏見、不利益を感じたことはありますか</t>
        </is>
      </c>
      <c r="C322" s="5" t="inlineStr">
        <is>
          <t>年に１回程度</t>
        </is>
      </c>
      <c r="D322" s="30" t="n">
        <v>0</v>
      </c>
      <c r="E322" s="20">
        <f>IF($F322=0,0,D322/$F322)</f>
        <v>0</v>
      </c>
      <c r="F322" s="19">
        <f>$F$320</f>
        <v>3</v>
      </c>
      <c r="G322" s="4" t="inlineStr">
        <is>
          <t>単一回答</t>
        </is>
      </c>
    </row>
    <row r="323" ht="28" customHeight="1">
      <c r="A323" s="4" t="inlineStr">
        <is>
          <t>問33</t>
        </is>
      </c>
      <c r="B323" s="5" t="inlineStr">
        <is>
          <t>障がいがあることで差別や偏見、不利益を感じたことはありますか</t>
        </is>
      </c>
      <c r="C323" s="5" t="inlineStr">
        <is>
          <t>ない</t>
        </is>
      </c>
      <c r="D323" s="30" t="n">
        <v>1</v>
      </c>
      <c r="E323" s="20">
        <f>IF($F323=0,0,D323/$F323)</f>
        <v>0.333333333333333</v>
      </c>
      <c r="F323" s="19">
        <f>$F$320</f>
        <v>3</v>
      </c>
      <c r="G323" s="4" t="inlineStr">
        <is>
          <t>単一回答</t>
        </is>
      </c>
    </row>
    <row r="324" ht="28" customHeight="1">
      <c r="A324" s="4" t="inlineStr">
        <is>
          <t>問33</t>
        </is>
      </c>
      <c r="B324" s="5" t="inlineStr">
        <is>
          <t>障がいがあることで差別や偏見、不利益を感じたことはありますか</t>
        </is>
      </c>
      <c r="C324" s="5" t="inlineStr">
        <is>
          <t>わからない</t>
        </is>
      </c>
      <c r="D324" s="30" t="n">
        <v>0</v>
      </c>
      <c r="E324" s="20">
        <f>IF($F324=0,0,D324/$F324)</f>
        <v>0</v>
      </c>
      <c r="F324" s="19">
        <f>$F$320</f>
        <v>3</v>
      </c>
      <c r="G324" s="4" t="inlineStr">
        <is>
          <t>単一回答</t>
        </is>
      </c>
    </row>
    <row r="325" ht="28" customHeight="1">
      <c r="A325" s="4" t="inlineStr">
        <is>
          <t>問33</t>
        </is>
      </c>
      <c r="B325" s="5" t="inlineStr">
        <is>
          <t>障がいがあることで差別や偏見、不利益を感じたことはありますか</t>
        </is>
      </c>
      <c r="C325" s="5" t="inlineStr">
        <is>
          <t>無回答</t>
        </is>
      </c>
      <c r="D325" s="30" t="n">
        <v>0</v>
      </c>
      <c r="E325" s="20">
        <f>IF($F325=0,0,D325/$F325)</f>
        <v>0</v>
      </c>
      <c r="F325" s="19">
        <f>$F$320</f>
        <v>3</v>
      </c>
      <c r="G325" s="4" t="inlineStr">
        <is>
          <t>単一回答</t>
        </is>
      </c>
    </row>
    <row r="326" ht="28" customHeight="1">
      <c r="A326" s="4" t="inlineStr">
        <is>
          <t>問34</t>
        </is>
      </c>
      <c r="B326" s="5" t="inlineStr">
        <is>
          <t>差別や偏見、不利益を感じた場面はどこですか（あてはまるものすべて）</t>
        </is>
      </c>
      <c r="C326" s="5" t="inlineStr">
        <is>
          <t>学校・保育所等</t>
        </is>
      </c>
      <c r="D326" s="30" t="n">
        <v>2</v>
      </c>
      <c r="E326" s="20">
        <f>IF($F326=0,0,D326/$F326)</f>
        <v>0.666666666666667</v>
      </c>
      <c r="F326" s="30" t="n">
        <v>3</v>
      </c>
      <c r="G326" s="4" t="inlineStr">
        <is>
          <t>複数回答</t>
        </is>
      </c>
    </row>
    <row r="327" ht="28" customHeight="1">
      <c r="A327" s="4" t="inlineStr">
        <is>
          <t>問34</t>
        </is>
      </c>
      <c r="B327" s="5" t="inlineStr">
        <is>
          <t>差別や偏見、不利益を感じた場面はどこですか（あてはまるものすべて）</t>
        </is>
      </c>
      <c r="C327" s="5" t="inlineStr">
        <is>
          <t>アルバイト先・職場</t>
        </is>
      </c>
      <c r="D327" s="30" t="n">
        <v>0</v>
      </c>
      <c r="E327" s="20">
        <f>IF($F327=0,0,D327/$F327)</f>
        <v>0</v>
      </c>
      <c r="F327" s="19">
        <f>$F$326</f>
        <v>3</v>
      </c>
      <c r="G327" s="4" t="inlineStr">
        <is>
          <t>複数回答</t>
        </is>
      </c>
    </row>
    <row r="328" ht="28" customHeight="1">
      <c r="A328" s="4" t="inlineStr">
        <is>
          <t>問34</t>
        </is>
      </c>
      <c r="B328" s="5" t="inlineStr">
        <is>
          <t>差別や偏見、不利益を感じた場面はどこですか（あてはまるものすべて）</t>
        </is>
      </c>
      <c r="C328" s="5" t="inlineStr">
        <is>
          <t>医療機関</t>
        </is>
      </c>
      <c r="D328" s="30" t="n">
        <v>1</v>
      </c>
      <c r="E328" s="20">
        <f>IF($F328=0,0,D328/$F328)</f>
        <v>0.333333333333333</v>
      </c>
      <c r="F328" s="19">
        <f>$F$326</f>
        <v>3</v>
      </c>
      <c r="G328" s="4" t="inlineStr">
        <is>
          <t>複数回答</t>
        </is>
      </c>
    </row>
    <row r="329" ht="28" customHeight="1">
      <c r="A329" s="4" t="inlineStr">
        <is>
          <t>問34</t>
        </is>
      </c>
      <c r="B329" s="5" t="inlineStr">
        <is>
          <t>差別や偏見、不利益を感じた場面はどこですか（あてはまるものすべて）</t>
        </is>
      </c>
      <c r="C329" s="5" t="inlineStr">
        <is>
          <t>福祉サービス事業所</t>
        </is>
      </c>
      <c r="D329" s="30" t="n">
        <v>0</v>
      </c>
      <c r="E329" s="20">
        <f>IF($F329=0,0,D329/$F329)</f>
        <v>0</v>
      </c>
      <c r="F329" s="19">
        <f>$F$326</f>
        <v>3</v>
      </c>
      <c r="G329" s="4" t="inlineStr">
        <is>
          <t>複数回答</t>
        </is>
      </c>
    </row>
    <row r="330" ht="28" customHeight="1">
      <c r="A330" s="4" t="inlineStr">
        <is>
          <t>問34</t>
        </is>
      </c>
      <c r="B330" s="5" t="inlineStr">
        <is>
          <t>差別や偏見、不利益を感じた場面はどこですか（あてはまるものすべて）</t>
        </is>
      </c>
      <c r="C330" s="5" t="inlineStr">
        <is>
          <t>役場・公共施設</t>
        </is>
      </c>
      <c r="D330" s="30" t="n">
        <v>0</v>
      </c>
      <c r="E330" s="20">
        <f>IF($F330=0,0,D330/$F330)</f>
        <v>0</v>
      </c>
      <c r="F330" s="19">
        <f>$F$326</f>
        <v>3</v>
      </c>
      <c r="G330" s="4" t="inlineStr">
        <is>
          <t>複数回答</t>
        </is>
      </c>
    </row>
    <row r="331" ht="28" customHeight="1">
      <c r="A331" s="4" t="inlineStr">
        <is>
          <t>問34</t>
        </is>
      </c>
      <c r="B331" s="5" t="inlineStr">
        <is>
          <t>差別や偏見、不利益を感じた場面はどこですか（あてはまるものすべて）</t>
        </is>
      </c>
      <c r="C331" s="5" t="inlineStr">
        <is>
          <t>地域活動・行事</t>
        </is>
      </c>
      <c r="D331" s="30" t="n">
        <v>1</v>
      </c>
      <c r="E331" s="20">
        <f>IF($F331=0,0,D331/$F331)</f>
        <v>0.333333333333333</v>
      </c>
      <c r="F331" s="19">
        <f>$F$326</f>
        <v>3</v>
      </c>
      <c r="G331" s="4" t="inlineStr">
        <is>
          <t>複数回答</t>
        </is>
      </c>
    </row>
    <row r="332" ht="28" customHeight="1">
      <c r="A332" s="4" t="inlineStr">
        <is>
          <t>問34</t>
        </is>
      </c>
      <c r="B332" s="5" t="inlineStr">
        <is>
          <t>差別や偏見、不利益を感じた場面はどこですか（あてはまるものすべて）</t>
        </is>
      </c>
      <c r="C332" s="5" t="inlineStr">
        <is>
          <t>公共交通機関・飲食店・買い物等</t>
        </is>
      </c>
      <c r="D332" s="30" t="n">
        <v>2</v>
      </c>
      <c r="E332" s="20">
        <f>IF($F332=0,0,D332/$F332)</f>
        <v>0.666666666666667</v>
      </c>
      <c r="F332" s="19">
        <f>$F$326</f>
        <v>3</v>
      </c>
      <c r="G332" s="4" t="inlineStr">
        <is>
          <t>複数回答</t>
        </is>
      </c>
    </row>
    <row r="333" ht="28" customHeight="1">
      <c r="A333" s="4" t="inlineStr">
        <is>
          <t>問34</t>
        </is>
      </c>
      <c r="B333" s="5" t="inlineStr">
        <is>
          <t>差別や偏見、不利益を感じた場面はどこですか（あてはまるものすべて）</t>
        </is>
      </c>
      <c r="C333" s="5" t="inlineStr">
        <is>
          <t>習い事</t>
        </is>
      </c>
      <c r="D333" s="30" t="n">
        <v>1</v>
      </c>
      <c r="E333" s="20">
        <f>IF($F333=0,0,D333/$F333)</f>
        <v>0.333333333333333</v>
      </c>
      <c r="F333" s="19">
        <f>$F$326</f>
        <v>3</v>
      </c>
      <c r="G333" s="4" t="inlineStr">
        <is>
          <t>複数回答</t>
        </is>
      </c>
    </row>
    <row r="334" ht="28" customHeight="1">
      <c r="A334" s="4" t="inlineStr">
        <is>
          <t>問34</t>
        </is>
      </c>
      <c r="B334" s="5" t="inlineStr">
        <is>
          <t>差別や偏見、不利益を感じた場面はどこですか（あてはまるものすべて）</t>
        </is>
      </c>
      <c r="C334" s="5" t="inlineStr">
        <is>
          <t>インターネット・SNS</t>
        </is>
      </c>
      <c r="D334" s="30" t="n">
        <v>0</v>
      </c>
      <c r="E334" s="20">
        <f>IF($F334=0,0,D334/$F334)</f>
        <v>0</v>
      </c>
      <c r="F334" s="19">
        <f>$F$326</f>
        <v>3</v>
      </c>
      <c r="G334" s="4" t="inlineStr">
        <is>
          <t>複数回答</t>
        </is>
      </c>
    </row>
    <row r="335" ht="28" customHeight="1">
      <c r="A335" s="4" t="inlineStr">
        <is>
          <t>問34</t>
        </is>
      </c>
      <c r="B335" s="5" t="inlineStr">
        <is>
          <t>差別や偏見、不利益を感じた場面はどこですか（あてはまるものすべて）</t>
        </is>
      </c>
      <c r="C335" s="5" t="inlineStr">
        <is>
          <t>特にない</t>
        </is>
      </c>
      <c r="D335" s="30" t="n">
        <v>1</v>
      </c>
      <c r="E335" s="20">
        <f>IF($F335=0,0,D335/$F335)</f>
        <v>0.333333333333333</v>
      </c>
      <c r="F335" s="19">
        <f>$F$326</f>
        <v>3</v>
      </c>
      <c r="G335" s="4" t="inlineStr">
        <is>
          <t>複数回答</t>
        </is>
      </c>
    </row>
    <row r="336" ht="28" customHeight="1">
      <c r="A336" s="4" t="inlineStr">
        <is>
          <t>問34</t>
        </is>
      </c>
      <c r="B336" s="5" t="inlineStr">
        <is>
          <t>差別や偏見、不利益を感じた場面はどこですか（あてはまるものすべて）</t>
        </is>
      </c>
      <c r="C336" s="5" t="inlineStr">
        <is>
          <t>その他</t>
        </is>
      </c>
      <c r="D336" s="30" t="n">
        <v>0</v>
      </c>
      <c r="E336" s="20">
        <f>IF($F336=0,0,D336/$F336)</f>
        <v>0</v>
      </c>
      <c r="F336" s="19">
        <f>$F$326</f>
        <v>3</v>
      </c>
      <c r="G336" s="4" t="inlineStr">
        <is>
          <t>複数回答</t>
        </is>
      </c>
    </row>
    <row r="337" ht="28" customHeight="1">
      <c r="A337" s="4" t="inlineStr">
        <is>
          <t>問34</t>
        </is>
      </c>
      <c r="B337" s="5" t="inlineStr">
        <is>
          <t>差別や偏見、不利益を感じた場面はどこですか（あてはまるものすべて）</t>
        </is>
      </c>
      <c r="C337" s="5" t="inlineStr">
        <is>
          <t>無回答</t>
        </is>
      </c>
      <c r="D337" s="30" t="n">
        <v>0</v>
      </c>
      <c r="E337" s="20">
        <f>IF($F337=0,0,D337/$F337)</f>
        <v>0</v>
      </c>
      <c r="F337" s="19">
        <f>$F$326</f>
        <v>3</v>
      </c>
      <c r="G337" s="4" t="inlineStr">
        <is>
          <t>複数回答</t>
        </is>
      </c>
    </row>
    <row r="338" ht="40.5" customHeight="1">
      <c r="A338" s="4" t="inlineStr">
        <is>
          <t>問35</t>
        </is>
      </c>
      <c r="B338" s="5" t="inlineStr">
        <is>
          <t>障がいのある人が利用しやすくするための配慮（合理的配慮）として必要だと思うことは何ですか（あてはまるものすべて）</t>
        </is>
      </c>
      <c r="C338" s="5" t="inlineStr">
        <is>
          <t>わかりやすい説明</t>
        </is>
      </c>
      <c r="D338" s="30" t="n">
        <v>3</v>
      </c>
      <c r="E338" s="20">
        <f>IF($F338=0,0,D338/$F338)</f>
        <v>1</v>
      </c>
      <c r="F338" s="30" t="n">
        <v>3</v>
      </c>
      <c r="G338" s="4" t="inlineStr">
        <is>
          <t>複数回答</t>
        </is>
      </c>
    </row>
    <row r="339" ht="40.5" customHeight="1">
      <c r="A339" s="4" t="inlineStr">
        <is>
          <t>問35</t>
        </is>
      </c>
      <c r="B339" s="5" t="inlineStr">
        <is>
          <t>障がいのある人が利用しやすくするための配慮（合理的配慮）として必要だと思うことは何ですか（あてはまるものすべて）</t>
        </is>
      </c>
      <c r="C339" s="5" t="inlineStr">
        <is>
          <t>筆談・手話・要約筆記・字幕等の意思疎通支援</t>
        </is>
      </c>
      <c r="D339" s="30" t="n">
        <v>1</v>
      </c>
      <c r="E339" s="20">
        <f>IF($F339=0,0,D339/$F339)</f>
        <v>0.333333333333333</v>
      </c>
      <c r="F339" s="19">
        <f>$F$338</f>
        <v>3</v>
      </c>
      <c r="G339" s="4" t="inlineStr">
        <is>
          <t>複数回答</t>
        </is>
      </c>
    </row>
    <row r="340" ht="40.5" customHeight="1">
      <c r="A340" s="4" t="inlineStr">
        <is>
          <t>問35</t>
        </is>
      </c>
      <c r="B340" s="5" t="inlineStr">
        <is>
          <t>障がいのある人が利用しやすくするための配慮（合理的配慮）として必要だと思うことは何ですか（あてはまるものすべて）</t>
        </is>
      </c>
      <c r="C340" s="5" t="inlineStr">
        <is>
          <t>静かな場所での相談</t>
        </is>
      </c>
      <c r="D340" s="30" t="n">
        <v>1</v>
      </c>
      <c r="E340" s="20">
        <f>IF($F340=0,0,D340/$F340)</f>
        <v>0.333333333333333</v>
      </c>
      <c r="F340" s="19">
        <f>$F$338</f>
        <v>3</v>
      </c>
      <c r="G340" s="4" t="inlineStr">
        <is>
          <t>複数回答</t>
        </is>
      </c>
    </row>
    <row r="341" ht="40.5" customHeight="1">
      <c r="A341" s="4" t="inlineStr">
        <is>
          <t>問35</t>
        </is>
      </c>
      <c r="B341" s="5" t="inlineStr">
        <is>
          <t>障がいのある人が利用しやすくするための配慮（合理的配慮）として必要だと思うことは何ですか（あてはまるものすべて）</t>
        </is>
      </c>
      <c r="C341" s="5" t="inlineStr">
        <is>
          <t>移動しやすい環境</t>
        </is>
      </c>
      <c r="D341" s="30" t="n">
        <v>1</v>
      </c>
      <c r="E341" s="20">
        <f>IF($F341=0,0,D341/$F341)</f>
        <v>0.333333333333333</v>
      </c>
      <c r="F341" s="19">
        <f>$F$338</f>
        <v>3</v>
      </c>
      <c r="G341" s="4" t="inlineStr">
        <is>
          <t>複数回答</t>
        </is>
      </c>
    </row>
    <row r="342" ht="40.5" customHeight="1">
      <c r="A342" s="4" t="inlineStr">
        <is>
          <t>問35</t>
        </is>
      </c>
      <c r="B342" s="5" t="inlineStr">
        <is>
          <t>障がいのある人が利用しやすくするための配慮（合理的配慮）として必要だと思うことは何ですか（あてはまるものすべて）</t>
        </is>
      </c>
      <c r="C342" s="5" t="inlineStr">
        <is>
          <t>手続きの支援</t>
        </is>
      </c>
      <c r="D342" s="30" t="n">
        <v>2</v>
      </c>
      <c r="E342" s="20">
        <f>IF($F342=0,0,D342/$F342)</f>
        <v>0.666666666666667</v>
      </c>
      <c r="F342" s="19">
        <f>$F$338</f>
        <v>3</v>
      </c>
      <c r="G342" s="4" t="inlineStr">
        <is>
          <t>複数回答</t>
        </is>
      </c>
    </row>
    <row r="343" ht="40.5" customHeight="1">
      <c r="A343" s="4" t="inlineStr">
        <is>
          <t>問35</t>
        </is>
      </c>
      <c r="B343" s="5" t="inlineStr">
        <is>
          <t>障がいのある人が利用しやすくするための配慮（合理的配慮）として必要だと思うことは何ですか（あてはまるものすべて）</t>
        </is>
      </c>
      <c r="C343" s="5" t="inlineStr">
        <is>
          <t>本人の意思確認を丁寧に行うこと</t>
        </is>
      </c>
      <c r="D343" s="30" t="n">
        <v>2</v>
      </c>
      <c r="E343" s="20">
        <f>IF($F343=0,0,D343/$F343)</f>
        <v>0.666666666666667</v>
      </c>
      <c r="F343" s="19">
        <f>$F$338</f>
        <v>3</v>
      </c>
      <c r="G343" s="4" t="inlineStr">
        <is>
          <t>複数回答</t>
        </is>
      </c>
    </row>
    <row r="344" ht="40.5" customHeight="1">
      <c r="A344" s="4" t="inlineStr">
        <is>
          <t>問35</t>
        </is>
      </c>
      <c r="B344" s="5" t="inlineStr">
        <is>
          <t>障がいのある人が利用しやすくするための配慮（合理的配慮）として必要だと思うことは何ですか（あてはまるものすべて）</t>
        </is>
      </c>
      <c r="C344" s="5" t="inlineStr">
        <is>
          <t>職場・学校での配慮</t>
        </is>
      </c>
      <c r="D344" s="30" t="n">
        <v>3</v>
      </c>
      <c r="E344" s="20">
        <f>IF($F344=0,0,D344/$F344)</f>
        <v>1</v>
      </c>
      <c r="F344" s="19">
        <f>$F$338</f>
        <v>3</v>
      </c>
      <c r="G344" s="4" t="inlineStr">
        <is>
          <t>複数回答</t>
        </is>
      </c>
    </row>
    <row r="345" ht="40.5" customHeight="1">
      <c r="A345" s="4" t="inlineStr">
        <is>
          <t>問35</t>
        </is>
      </c>
      <c r="B345" s="5" t="inlineStr">
        <is>
          <t>障がいのある人が利用しやすくするための配慮（合理的配慮）として必要だと思うことは何ですか（あてはまるものすべて）</t>
        </is>
      </c>
      <c r="C345" s="5" t="inlineStr">
        <is>
          <t>特にない</t>
        </is>
      </c>
      <c r="D345" s="30" t="n">
        <v>0</v>
      </c>
      <c r="E345" s="20">
        <f>IF($F345=0,0,D345/$F345)</f>
        <v>0</v>
      </c>
      <c r="F345" s="19">
        <f>$F$338</f>
        <v>3</v>
      </c>
      <c r="G345" s="4" t="inlineStr">
        <is>
          <t>複数回答</t>
        </is>
      </c>
    </row>
    <row r="346" ht="40.5" customHeight="1">
      <c r="A346" s="4" t="inlineStr">
        <is>
          <t>問35</t>
        </is>
      </c>
      <c r="B346" s="5" t="inlineStr">
        <is>
          <t>障がいのある人が利用しやすくするための配慮（合理的配慮）として必要だと思うことは何ですか（あてはまるものすべて）</t>
        </is>
      </c>
      <c r="C346" s="5" t="inlineStr">
        <is>
          <t>その他</t>
        </is>
      </c>
      <c r="D346" s="30" t="n">
        <v>0</v>
      </c>
      <c r="E346" s="20">
        <f>IF($F346=0,0,D346/$F346)</f>
        <v>0</v>
      </c>
      <c r="F346" s="19">
        <f>$F$338</f>
        <v>3</v>
      </c>
      <c r="G346" s="4" t="inlineStr">
        <is>
          <t>複数回答</t>
        </is>
      </c>
    </row>
    <row r="347" ht="40.5" customHeight="1">
      <c r="A347" s="4" t="inlineStr">
        <is>
          <t>問35</t>
        </is>
      </c>
      <c r="B347" s="5" t="inlineStr">
        <is>
          <t>障がいのある人が利用しやすくするための配慮（合理的配慮）として必要だと思うことは何ですか（あてはまるものすべて）</t>
        </is>
      </c>
      <c r="C347" s="5" t="inlineStr">
        <is>
          <t>無回答</t>
        </is>
      </c>
      <c r="D347" s="30" t="n">
        <v>0</v>
      </c>
      <c r="E347" s="20">
        <f>IF($F347=0,0,D347/$F347)</f>
        <v>0</v>
      </c>
      <c r="F347" s="19">
        <f>$F$338</f>
        <v>3</v>
      </c>
      <c r="G347" s="4" t="inlineStr">
        <is>
          <t>複数回答</t>
        </is>
      </c>
    </row>
    <row r="348" ht="16" customHeight="1">
      <c r="A348" s="4" t="inlineStr">
        <is>
          <t>問36</t>
        </is>
      </c>
      <c r="B348" s="5" t="inlineStr">
        <is>
          <t>成年後見制度や権利擁護支援について知っていますか</t>
        </is>
      </c>
      <c r="C348" s="5" t="inlineStr">
        <is>
          <t>利用している</t>
        </is>
      </c>
      <c r="D348" s="30" t="n">
        <v>0</v>
      </c>
      <c r="E348" s="20">
        <f>IF($F348=0,0,D348/$F348)</f>
        <v>0</v>
      </c>
      <c r="F348" s="30" t="n">
        <v>3</v>
      </c>
      <c r="G348" s="4" t="inlineStr">
        <is>
          <t>単一回答</t>
        </is>
      </c>
    </row>
    <row r="349" ht="16" customHeight="1">
      <c r="A349" s="4" t="inlineStr">
        <is>
          <t>問36</t>
        </is>
      </c>
      <c r="B349" s="5" t="inlineStr">
        <is>
          <t>成年後見制度や権利擁護支援について知っていますか</t>
        </is>
      </c>
      <c r="C349" s="5" t="inlineStr">
        <is>
          <t>知っている</t>
        </is>
      </c>
      <c r="D349" s="30" t="n">
        <v>0</v>
      </c>
      <c r="E349" s="20">
        <f>IF($F349=0,0,D349/$F349)</f>
        <v>0</v>
      </c>
      <c r="F349" s="19">
        <f>$F$348</f>
        <v>3</v>
      </c>
      <c r="G349" s="4" t="inlineStr">
        <is>
          <t>単一回答</t>
        </is>
      </c>
    </row>
    <row r="350" ht="16" customHeight="1">
      <c r="A350" s="4" t="inlineStr">
        <is>
          <t>問36</t>
        </is>
      </c>
      <c r="B350" s="5" t="inlineStr">
        <is>
          <t>成年後見制度や権利擁護支援について知っていますか</t>
        </is>
      </c>
      <c r="C350" s="5" t="inlineStr">
        <is>
          <t>名前だけ聞いたことがある</t>
        </is>
      </c>
      <c r="D350" s="30" t="n">
        <v>0</v>
      </c>
      <c r="E350" s="20">
        <f>IF($F350=0,0,D350/$F350)</f>
        <v>0</v>
      </c>
      <c r="F350" s="19">
        <f>$F$348</f>
        <v>3</v>
      </c>
      <c r="G350" s="4" t="inlineStr">
        <is>
          <t>単一回答</t>
        </is>
      </c>
    </row>
    <row r="351" ht="16" customHeight="1">
      <c r="A351" s="4" t="inlineStr">
        <is>
          <t>問36</t>
        </is>
      </c>
      <c r="B351" s="5" t="inlineStr">
        <is>
          <t>成年後見制度や権利擁護支援について知っていますか</t>
        </is>
      </c>
      <c r="C351" s="5" t="inlineStr">
        <is>
          <t>利用したいが手続きがわからない</t>
        </is>
      </c>
      <c r="D351" s="30" t="n">
        <v>0</v>
      </c>
      <c r="E351" s="20">
        <f>IF($F351=0,0,D351/$F351)</f>
        <v>0</v>
      </c>
      <c r="F351" s="19">
        <f>$F$348</f>
        <v>3</v>
      </c>
      <c r="G351" s="4" t="inlineStr">
        <is>
          <t>単一回答</t>
        </is>
      </c>
    </row>
    <row r="352" ht="16" customHeight="1">
      <c r="A352" s="4" t="inlineStr">
        <is>
          <t>問36</t>
        </is>
      </c>
      <c r="B352" s="5" t="inlineStr">
        <is>
          <t>成年後見制度や権利擁護支援について知っていますか</t>
        </is>
      </c>
      <c r="C352" s="5" t="inlineStr">
        <is>
          <t>知らない</t>
        </is>
      </c>
      <c r="D352" s="30" t="n">
        <v>3</v>
      </c>
      <c r="E352" s="20">
        <f>IF($F352=0,0,D352/$F352)</f>
        <v>1</v>
      </c>
      <c r="F352" s="19">
        <f>$F$348</f>
        <v>3</v>
      </c>
      <c r="G352" s="4" t="inlineStr">
        <is>
          <t>単一回答</t>
        </is>
      </c>
    </row>
    <row r="353" ht="16" customHeight="1">
      <c r="A353" s="4" t="inlineStr">
        <is>
          <t>問36</t>
        </is>
      </c>
      <c r="B353" s="5" t="inlineStr">
        <is>
          <t>成年後見制度や権利擁護支援について知っていますか</t>
        </is>
      </c>
      <c r="C353" s="5" t="inlineStr">
        <is>
          <t>無回答</t>
        </is>
      </c>
      <c r="D353" s="30" t="n">
        <v>0</v>
      </c>
      <c r="E353" s="20">
        <f>IF($F353=0,0,D353/$F353)</f>
        <v>0</v>
      </c>
      <c r="F353" s="19">
        <f>$F$348</f>
        <v>3</v>
      </c>
      <c r="G353" s="4" t="inlineStr">
        <is>
          <t>単一回答</t>
        </is>
      </c>
    </row>
    <row r="354" ht="28" customHeight="1">
      <c r="A354" s="4" t="inlineStr">
        <is>
          <t>問37</t>
        </is>
      </c>
      <c r="B354" s="5" t="inlineStr">
        <is>
          <t>災害時に不安なことは何ですか（あてはまるものすべて）</t>
        </is>
      </c>
      <c r="C354" s="5" t="inlineStr">
        <is>
          <t>避難する方法</t>
        </is>
      </c>
      <c r="D354" s="30" t="n">
        <v>1</v>
      </c>
      <c r="E354" s="20">
        <f>IF($F354=0,0,D354/$F354)</f>
        <v>0.333333333333333</v>
      </c>
      <c r="F354" s="30" t="n">
        <v>3</v>
      </c>
      <c r="G354" s="4" t="inlineStr">
        <is>
          <t>複数回答</t>
        </is>
      </c>
    </row>
    <row r="355" ht="28" customHeight="1">
      <c r="A355" s="4" t="inlineStr">
        <is>
          <t>問37</t>
        </is>
      </c>
      <c r="B355" s="5" t="inlineStr">
        <is>
          <t>災害時に不安なことは何ですか（あてはまるものすべて）</t>
        </is>
      </c>
      <c r="C355" s="5" t="inlineStr">
        <is>
          <t>避難先での生活</t>
        </is>
      </c>
      <c r="D355" s="30" t="n">
        <v>2</v>
      </c>
      <c r="E355" s="20">
        <f>IF($F355=0,0,D355/$F355)</f>
        <v>0.666666666666667</v>
      </c>
      <c r="F355" s="19">
        <f>$F$354</f>
        <v>3</v>
      </c>
      <c r="G355" s="4" t="inlineStr">
        <is>
          <t>複数回答</t>
        </is>
      </c>
    </row>
    <row r="356" ht="28" customHeight="1">
      <c r="A356" s="4" t="inlineStr">
        <is>
          <t>問37</t>
        </is>
      </c>
      <c r="B356" s="5" t="inlineStr">
        <is>
          <t>災害時に不安なことは何ですか（あてはまるものすべて）</t>
        </is>
      </c>
      <c r="C356" s="5" t="inlineStr">
        <is>
          <t>薬・医療機器</t>
        </is>
      </c>
      <c r="D356" s="30" t="n">
        <v>2</v>
      </c>
      <c r="E356" s="20">
        <f>IF($F356=0,0,D356/$F356)</f>
        <v>0.666666666666667</v>
      </c>
      <c r="F356" s="19">
        <f>$F$354</f>
        <v>3</v>
      </c>
      <c r="G356" s="4" t="inlineStr">
        <is>
          <t>複数回答</t>
        </is>
      </c>
    </row>
    <row r="357" ht="28" customHeight="1">
      <c r="A357" s="4" t="inlineStr">
        <is>
          <t>問37</t>
        </is>
      </c>
      <c r="B357" s="5" t="inlineStr">
        <is>
          <t>災害時に不安なことは何ですか（あてはまるものすべて）</t>
        </is>
      </c>
      <c r="C357" s="5" t="inlineStr">
        <is>
          <t>電源の確保</t>
        </is>
      </c>
      <c r="D357" s="30" t="n">
        <v>0</v>
      </c>
      <c r="E357" s="20">
        <f>IF($F357=0,0,D357/$F357)</f>
        <v>0</v>
      </c>
      <c r="F357" s="19">
        <f>$F$354</f>
        <v>3</v>
      </c>
      <c r="G357" s="4" t="inlineStr">
        <is>
          <t>複数回答</t>
        </is>
      </c>
    </row>
    <row r="358" ht="28" customHeight="1">
      <c r="A358" s="4" t="inlineStr">
        <is>
          <t>問37</t>
        </is>
      </c>
      <c r="B358" s="5" t="inlineStr">
        <is>
          <t>災害時に不安なことは何ですか（あてはまるものすべて）</t>
        </is>
      </c>
      <c r="C358" s="5" t="inlineStr">
        <is>
          <t>介助者がいないこと</t>
        </is>
      </c>
      <c r="D358" s="30" t="n">
        <v>0</v>
      </c>
      <c r="E358" s="20">
        <f>IF($F358=0,0,D358/$F358)</f>
        <v>0</v>
      </c>
      <c r="F358" s="19">
        <f>$F$354</f>
        <v>3</v>
      </c>
      <c r="G358" s="4" t="inlineStr">
        <is>
          <t>複数回答</t>
        </is>
      </c>
    </row>
    <row r="359" ht="28" customHeight="1">
      <c r="A359" s="4" t="inlineStr">
        <is>
          <t>問37</t>
        </is>
      </c>
      <c r="B359" s="5" t="inlineStr">
        <is>
          <t>災害時に不安なことは何ですか（あてはまるものすべて）</t>
        </is>
      </c>
      <c r="C359" s="5" t="inlineStr">
        <is>
          <t>情報が届かないこと</t>
        </is>
      </c>
      <c r="D359" s="30" t="n">
        <v>1</v>
      </c>
      <c r="E359" s="20">
        <f>IF($F359=0,0,D359/$F359)</f>
        <v>0.333333333333333</v>
      </c>
      <c r="F359" s="19">
        <f>$F$354</f>
        <v>3</v>
      </c>
      <c r="G359" s="4" t="inlineStr">
        <is>
          <t>複数回答</t>
        </is>
      </c>
    </row>
    <row r="360" ht="28" customHeight="1">
      <c r="A360" s="4" t="inlineStr">
        <is>
          <t>問37</t>
        </is>
      </c>
      <c r="B360" s="5" t="inlineStr">
        <is>
          <t>災害時に不安なことは何ですか（あてはまるものすべて）</t>
        </is>
      </c>
      <c r="C360" s="5" t="inlineStr">
        <is>
          <t>冬季・積雪時の避難</t>
        </is>
      </c>
      <c r="D360" s="30" t="n">
        <v>2</v>
      </c>
      <c r="E360" s="20">
        <f>IF($F360=0,0,D360/$F360)</f>
        <v>0.666666666666667</v>
      </c>
      <c r="F360" s="19">
        <f>$F$354</f>
        <v>3</v>
      </c>
      <c r="G360" s="4" t="inlineStr">
        <is>
          <t>複数回答</t>
        </is>
      </c>
    </row>
    <row r="361" ht="28" customHeight="1">
      <c r="A361" s="4" t="inlineStr">
        <is>
          <t>問37</t>
        </is>
      </c>
      <c r="B361" s="5" t="inlineStr">
        <is>
          <t>災害時に不安なことは何ですか（あてはまるものすべて）</t>
        </is>
      </c>
      <c r="C361" s="5" t="inlineStr">
        <is>
          <t>ペット・補助犬等</t>
        </is>
      </c>
      <c r="D361" s="30" t="n">
        <v>0</v>
      </c>
      <c r="E361" s="20">
        <f>IF($F361=0,0,D361/$F361)</f>
        <v>0</v>
      </c>
      <c r="F361" s="19">
        <f>$F$354</f>
        <v>3</v>
      </c>
      <c r="G361" s="4" t="inlineStr">
        <is>
          <t>複数回答</t>
        </is>
      </c>
    </row>
    <row r="362" ht="28" customHeight="1">
      <c r="A362" s="4" t="inlineStr">
        <is>
          <t>問37</t>
        </is>
      </c>
      <c r="B362" s="5" t="inlineStr">
        <is>
          <t>災害時に不安なことは何ですか（あてはまるものすべて）</t>
        </is>
      </c>
      <c r="C362" s="5" t="inlineStr">
        <is>
          <t>特に不安はない</t>
        </is>
      </c>
      <c r="D362" s="30" t="n">
        <v>0</v>
      </c>
      <c r="E362" s="20">
        <f>IF($F362=0,0,D362/$F362)</f>
        <v>0</v>
      </c>
      <c r="F362" s="19">
        <f>$F$354</f>
        <v>3</v>
      </c>
      <c r="G362" s="4" t="inlineStr">
        <is>
          <t>複数回答</t>
        </is>
      </c>
    </row>
    <row r="363" ht="28" customHeight="1">
      <c r="A363" s="4" t="inlineStr">
        <is>
          <t>問37</t>
        </is>
      </c>
      <c r="B363" s="5" t="inlineStr">
        <is>
          <t>災害時に不安なことは何ですか（あてはまるものすべて）</t>
        </is>
      </c>
      <c r="C363" s="5" t="inlineStr">
        <is>
          <t>その他</t>
        </is>
      </c>
      <c r="D363" s="30" t="n">
        <v>0</v>
      </c>
      <c r="E363" s="20">
        <f>IF($F363=0,0,D363/$F363)</f>
        <v>0</v>
      </c>
      <c r="F363" s="19">
        <f>$F$354</f>
        <v>3</v>
      </c>
      <c r="G363" s="4" t="inlineStr">
        <is>
          <t>複数回答</t>
        </is>
      </c>
    </row>
    <row r="364" ht="28" customHeight="1">
      <c r="A364" s="4" t="inlineStr">
        <is>
          <t>問37</t>
        </is>
      </c>
      <c r="B364" s="5" t="inlineStr">
        <is>
          <t>災害時に不安なことは何ですか（あてはまるものすべて）</t>
        </is>
      </c>
      <c r="C364" s="5" t="inlineStr">
        <is>
          <t>無回答</t>
        </is>
      </c>
      <c r="D364" s="30" t="n">
        <v>0</v>
      </c>
      <c r="E364" s="20">
        <f>IF($F364=0,0,D364/$F364)</f>
        <v>0</v>
      </c>
      <c r="F364" s="19">
        <f>$F$354</f>
        <v>3</v>
      </c>
      <c r="G364" s="4" t="inlineStr">
        <is>
          <t>複数回答</t>
        </is>
      </c>
    </row>
    <row r="365" ht="28" customHeight="1">
      <c r="A365" s="4" t="inlineStr">
        <is>
          <t>問38</t>
        </is>
      </c>
      <c r="B365" s="5" t="inlineStr">
        <is>
          <t>避難行動要支援者名簿や個別避難計画について知っていますか</t>
        </is>
      </c>
      <c r="C365" s="5" t="inlineStr">
        <is>
          <t>制度を知っており作成したい</t>
        </is>
      </c>
      <c r="D365" s="30" t="n">
        <v>0</v>
      </c>
      <c r="E365" s="20">
        <f>IF($F365=0,0,D365/$F365)</f>
        <v>0</v>
      </c>
      <c r="F365" s="30" t="n">
        <v>3</v>
      </c>
      <c r="G365" s="4" t="inlineStr">
        <is>
          <t>単一回答</t>
        </is>
      </c>
    </row>
    <row r="366" ht="28" customHeight="1">
      <c r="A366" s="4" t="inlineStr">
        <is>
          <t>問38</t>
        </is>
      </c>
      <c r="B366" s="5" t="inlineStr">
        <is>
          <t>避難行動要支援者名簿や個別避難計画について知っていますか</t>
        </is>
      </c>
      <c r="C366" s="5" t="inlineStr">
        <is>
          <t>名前だけ聞いたことがある</t>
        </is>
      </c>
      <c r="D366" s="30" t="n">
        <v>0</v>
      </c>
      <c r="E366" s="20">
        <f>IF($F366=0,0,D366/$F366)</f>
        <v>0</v>
      </c>
      <c r="F366" s="19">
        <f>$F$365</f>
        <v>3</v>
      </c>
      <c r="G366" s="4" t="inlineStr">
        <is>
          <t>単一回答</t>
        </is>
      </c>
    </row>
    <row r="367" ht="28" customHeight="1">
      <c r="A367" s="4" t="inlineStr">
        <is>
          <t>問38</t>
        </is>
      </c>
      <c r="B367" s="5" t="inlineStr">
        <is>
          <t>避難行動要支援者名簿や個別避難計画について知っていますか</t>
        </is>
      </c>
      <c r="C367" s="5" t="inlineStr">
        <is>
          <t>知らない</t>
        </is>
      </c>
      <c r="D367" s="30" t="n">
        <v>3</v>
      </c>
      <c r="E367" s="20">
        <f>IF($F367=0,0,D367/$F367)</f>
        <v>1</v>
      </c>
      <c r="F367" s="19">
        <f>$F$365</f>
        <v>3</v>
      </c>
      <c r="G367" s="4" t="inlineStr">
        <is>
          <t>単一回答</t>
        </is>
      </c>
    </row>
    <row r="368" ht="28" customHeight="1">
      <c r="A368" s="4" t="inlineStr">
        <is>
          <t>問38</t>
        </is>
      </c>
      <c r="B368" s="5" t="inlineStr">
        <is>
          <t>避難行動要支援者名簿や個別避難計画について知っていますか</t>
        </is>
      </c>
      <c r="C368" s="5" t="inlineStr">
        <is>
          <t>必要ない</t>
        </is>
      </c>
      <c r="D368" s="30" t="n">
        <v>0</v>
      </c>
      <c r="E368" s="20">
        <f>IF($F368=0,0,D368/$F368)</f>
        <v>0</v>
      </c>
      <c r="F368" s="19">
        <f>$F$365</f>
        <v>3</v>
      </c>
      <c r="G368" s="4" t="inlineStr">
        <is>
          <t>単一回答</t>
        </is>
      </c>
    </row>
    <row r="369" ht="28" customHeight="1">
      <c r="A369" s="4" t="inlineStr">
        <is>
          <t>問38</t>
        </is>
      </c>
      <c r="B369" s="5" t="inlineStr">
        <is>
          <t>避難行動要支援者名簿や個別避難計画について知っていますか</t>
        </is>
      </c>
      <c r="C369" s="5" t="inlineStr">
        <is>
          <t>無回答</t>
        </is>
      </c>
      <c r="D369" s="30" t="n">
        <v>0</v>
      </c>
      <c r="E369" s="20">
        <f>IF($F369=0,0,D369/$F369)</f>
        <v>0</v>
      </c>
      <c r="F369" s="19">
        <f>$F$365</f>
        <v>3</v>
      </c>
      <c r="G369" s="4" t="inlineStr">
        <is>
          <t>単一回答</t>
        </is>
      </c>
    </row>
    <row r="370" ht="28" customHeight="1">
      <c r="A370" s="4" t="inlineStr">
        <is>
          <t>問39</t>
        </is>
      </c>
      <c r="B370" s="5" t="inlineStr">
        <is>
          <t>災害時に支援してくれる人や機関はありますか（あてはまるものすべて）</t>
        </is>
      </c>
      <c r="C370" s="5" t="inlineStr">
        <is>
          <t>家族・親族</t>
        </is>
      </c>
      <c r="D370" s="30" t="n">
        <v>3</v>
      </c>
      <c r="E370" s="20">
        <f>IF($F370=0,0,D370/$F370)</f>
        <v>1</v>
      </c>
      <c r="F370" s="30" t="n">
        <v>3</v>
      </c>
      <c r="G370" s="4" t="inlineStr">
        <is>
          <t>複数回答</t>
        </is>
      </c>
    </row>
    <row r="371" ht="28" customHeight="1">
      <c r="A371" s="4" t="inlineStr">
        <is>
          <t>問39</t>
        </is>
      </c>
      <c r="B371" s="5" t="inlineStr">
        <is>
          <t>災害時に支援してくれる人や機関はありますか（あてはまるものすべて）</t>
        </is>
      </c>
      <c r="C371" s="5" t="inlineStr">
        <is>
          <t>友人・知人</t>
        </is>
      </c>
      <c r="D371" s="30" t="n">
        <v>0</v>
      </c>
      <c r="E371" s="20">
        <f>IF($F371=0,0,D371/$F371)</f>
        <v>0</v>
      </c>
      <c r="F371" s="19">
        <f>$F$370</f>
        <v>3</v>
      </c>
      <c r="G371" s="4" t="inlineStr">
        <is>
          <t>複数回答</t>
        </is>
      </c>
    </row>
    <row r="372" ht="28" customHeight="1">
      <c r="A372" s="4" t="inlineStr">
        <is>
          <t>問39</t>
        </is>
      </c>
      <c r="B372" s="5" t="inlineStr">
        <is>
          <t>災害時に支援してくれる人や機関はありますか（あてはまるものすべて）</t>
        </is>
      </c>
      <c r="C372" s="5" t="inlineStr">
        <is>
          <t>村役場</t>
        </is>
      </c>
      <c r="D372" s="30" t="n">
        <v>0</v>
      </c>
      <c r="E372" s="20">
        <f>IF($F372=0,0,D372/$F372)</f>
        <v>0</v>
      </c>
      <c r="F372" s="19">
        <f>$F$370</f>
        <v>3</v>
      </c>
      <c r="G372" s="4" t="inlineStr">
        <is>
          <t>複数回答</t>
        </is>
      </c>
    </row>
    <row r="373" ht="28" customHeight="1">
      <c r="A373" s="4" t="inlineStr">
        <is>
          <t>問39</t>
        </is>
      </c>
      <c r="B373" s="5" t="inlineStr">
        <is>
          <t>災害時に支援してくれる人や機関はありますか（あてはまるものすべて）</t>
        </is>
      </c>
      <c r="C373" s="5" t="inlineStr">
        <is>
          <t>相談支援専門員</t>
        </is>
      </c>
      <c r="D373" s="30" t="n">
        <v>0</v>
      </c>
      <c r="E373" s="20">
        <f>IF($F373=0,0,D373/$F373)</f>
        <v>0</v>
      </c>
      <c r="F373" s="19">
        <f>$F$370</f>
        <v>3</v>
      </c>
      <c r="G373" s="4" t="inlineStr">
        <is>
          <t>複数回答</t>
        </is>
      </c>
    </row>
    <row r="374" ht="28" customHeight="1">
      <c r="A374" s="4" t="inlineStr">
        <is>
          <t>問39</t>
        </is>
      </c>
      <c r="B374" s="5" t="inlineStr">
        <is>
          <t>災害時に支援してくれる人や機関はありますか（あてはまるものすべて）</t>
        </is>
      </c>
      <c r="C374" s="5" t="inlineStr">
        <is>
          <t>福祉サービス事業所</t>
        </is>
      </c>
      <c r="D374" s="30" t="n">
        <v>0</v>
      </c>
      <c r="E374" s="20">
        <f>IF($F374=0,0,D374/$F374)</f>
        <v>0</v>
      </c>
      <c r="F374" s="19">
        <f>$F$370</f>
        <v>3</v>
      </c>
      <c r="G374" s="4" t="inlineStr">
        <is>
          <t>複数回答</t>
        </is>
      </c>
    </row>
    <row r="375" ht="28" customHeight="1">
      <c r="A375" s="4" t="inlineStr">
        <is>
          <t>問39</t>
        </is>
      </c>
      <c r="B375" s="5" t="inlineStr">
        <is>
          <t>災害時に支援してくれる人や機関はありますか（あてはまるものすべて）</t>
        </is>
      </c>
      <c r="C375" s="5" t="inlineStr">
        <is>
          <t>医療機関</t>
        </is>
      </c>
      <c r="D375" s="30" t="n">
        <v>0</v>
      </c>
      <c r="E375" s="20">
        <f>IF($F375=0,0,D375/$F375)</f>
        <v>0</v>
      </c>
      <c r="F375" s="19">
        <f>$F$370</f>
        <v>3</v>
      </c>
      <c r="G375" s="4" t="inlineStr">
        <is>
          <t>複数回答</t>
        </is>
      </c>
    </row>
    <row r="376" ht="28" customHeight="1">
      <c r="A376" s="4" t="inlineStr">
        <is>
          <t>問39</t>
        </is>
      </c>
      <c r="B376" s="5" t="inlineStr">
        <is>
          <t>災害時に支援してくれる人や機関はありますか（あてはまるものすべて）</t>
        </is>
      </c>
      <c r="C376" s="5" t="inlineStr">
        <is>
          <t>学校・保育所等</t>
        </is>
      </c>
      <c r="D376" s="30" t="n">
        <v>0</v>
      </c>
      <c r="E376" s="20">
        <f>IF($F376=0,0,D376/$F376)</f>
        <v>0</v>
      </c>
      <c r="F376" s="19">
        <f>$F$370</f>
        <v>3</v>
      </c>
      <c r="G376" s="4" t="inlineStr">
        <is>
          <t>複数回答</t>
        </is>
      </c>
    </row>
    <row r="377" ht="28" customHeight="1">
      <c r="A377" s="4" t="inlineStr">
        <is>
          <t>問39</t>
        </is>
      </c>
      <c r="B377" s="5" t="inlineStr">
        <is>
          <t>災害時に支援してくれる人や機関はありますか（あてはまるものすべて）</t>
        </is>
      </c>
      <c r="C377" s="5" t="inlineStr">
        <is>
          <t>SNS・インターネット・AI</t>
        </is>
      </c>
      <c r="D377" s="30" t="n">
        <v>0</v>
      </c>
      <c r="E377" s="20">
        <f>IF($F377=0,0,D377/$F377)</f>
        <v>0</v>
      </c>
      <c r="F377" s="19">
        <f>$F$370</f>
        <v>3</v>
      </c>
      <c r="G377" s="4" t="inlineStr">
        <is>
          <t>複数回答</t>
        </is>
      </c>
    </row>
    <row r="378" ht="28" customHeight="1">
      <c r="A378" s="4" t="inlineStr">
        <is>
          <t>問39</t>
        </is>
      </c>
      <c r="B378" s="5" t="inlineStr">
        <is>
          <t>災害時に支援してくれる人や機関はありますか（あてはまるものすべて）</t>
        </is>
      </c>
      <c r="C378" s="5" t="inlineStr">
        <is>
          <t>社会福祉協議会</t>
        </is>
      </c>
      <c r="D378" s="30" t="n">
        <v>0</v>
      </c>
      <c r="E378" s="20">
        <f>IF($F378=0,0,D378/$F378)</f>
        <v>0</v>
      </c>
      <c r="F378" s="19">
        <f>$F$370</f>
        <v>3</v>
      </c>
      <c r="G378" s="4" t="inlineStr">
        <is>
          <t>複数回答</t>
        </is>
      </c>
    </row>
    <row r="379" ht="28" customHeight="1">
      <c r="A379" s="4" t="inlineStr">
        <is>
          <t>問39</t>
        </is>
      </c>
      <c r="B379" s="5" t="inlineStr">
        <is>
          <t>災害時に支援してくれる人や機関はありますか（あてはまるものすべて）</t>
        </is>
      </c>
      <c r="C379" s="5" t="inlineStr">
        <is>
          <t>民生委員・児童委員</t>
        </is>
      </c>
      <c r="D379" s="30" t="n">
        <v>0</v>
      </c>
      <c r="E379" s="20">
        <f>IF($F379=0,0,D379/$F379)</f>
        <v>0</v>
      </c>
      <c r="F379" s="19">
        <f>$F$370</f>
        <v>3</v>
      </c>
      <c r="G379" s="4" t="inlineStr">
        <is>
          <t>複数回答</t>
        </is>
      </c>
    </row>
    <row r="380" ht="28" customHeight="1">
      <c r="A380" s="4" t="inlineStr">
        <is>
          <t>問39</t>
        </is>
      </c>
      <c r="B380" s="5" t="inlineStr">
        <is>
          <t>災害時に支援してくれる人や機関はありますか（あてはまるものすべて）</t>
        </is>
      </c>
      <c r="C380" s="5" t="inlineStr">
        <is>
          <t>いない・わからない</t>
        </is>
      </c>
      <c r="D380" s="30" t="n">
        <v>0</v>
      </c>
      <c r="E380" s="20">
        <f>IF($F380=0,0,D380/$F380)</f>
        <v>0</v>
      </c>
      <c r="F380" s="19">
        <f>$F$370</f>
        <v>3</v>
      </c>
      <c r="G380" s="4" t="inlineStr">
        <is>
          <t>複数回答</t>
        </is>
      </c>
    </row>
    <row r="381" ht="28" customHeight="1">
      <c r="A381" s="4" t="inlineStr">
        <is>
          <t>問39</t>
        </is>
      </c>
      <c r="B381" s="5" t="inlineStr">
        <is>
          <t>災害時に支援してくれる人や機関はありますか（あてはまるものすべて）</t>
        </is>
      </c>
      <c r="C381" s="5" t="inlineStr">
        <is>
          <t>その他</t>
        </is>
      </c>
      <c r="D381" s="30" t="n">
        <v>0</v>
      </c>
      <c r="E381" s="20">
        <f>IF($F381=0,0,D381/$F381)</f>
        <v>0</v>
      </c>
      <c r="F381" s="19">
        <f>$F$370</f>
        <v>3</v>
      </c>
      <c r="G381" s="4" t="inlineStr">
        <is>
          <t>複数回答</t>
        </is>
      </c>
    </row>
    <row r="382" ht="28" customHeight="1">
      <c r="A382" s="4" t="inlineStr">
        <is>
          <t>問39</t>
        </is>
      </c>
      <c r="B382" s="5" t="inlineStr">
        <is>
          <t>災害時に支援してくれる人や機関はありますか（あてはまるものすべて）</t>
        </is>
      </c>
      <c r="C382" s="5" t="inlineStr">
        <is>
          <t>無回答</t>
        </is>
      </c>
      <c r="D382" s="30" t="n">
        <v>0</v>
      </c>
      <c r="E382" s="20">
        <f>IF($F382=0,0,D382/$F382)</f>
        <v>0</v>
      </c>
      <c r="F382" s="19">
        <f>$F$370</f>
        <v>3</v>
      </c>
      <c r="G382" s="4" t="inlineStr">
        <is>
          <t>複数回答</t>
        </is>
      </c>
    </row>
    <row r="383" ht="28" customHeight="1">
      <c r="A383" s="4" t="inlineStr">
        <is>
          <t>問40</t>
        </is>
      </c>
      <c r="B383" s="5" t="inlineStr">
        <is>
          <t>災害時に必要だと思う支援は何ですか（あてはまるものすべて）</t>
        </is>
      </c>
      <c r="C383" s="5" t="inlineStr">
        <is>
          <t>個別避難計画の作成支援</t>
        </is>
      </c>
      <c r="D383" s="30" t="n">
        <v>0</v>
      </c>
      <c r="E383" s="20">
        <f>IF($F383=0,0,D383/$F383)</f>
        <v>0</v>
      </c>
      <c r="F383" s="30" t="n">
        <v>3</v>
      </c>
      <c r="G383" s="4" t="inlineStr">
        <is>
          <t>複数回答</t>
        </is>
      </c>
    </row>
    <row r="384" ht="28" customHeight="1">
      <c r="A384" s="4" t="inlineStr">
        <is>
          <t>問40</t>
        </is>
      </c>
      <c r="B384" s="5" t="inlineStr">
        <is>
          <t>災害時に必要だと思う支援は何ですか（あてはまるものすべて）</t>
        </is>
      </c>
      <c r="C384" s="5" t="inlineStr">
        <is>
          <t>避難訓練への参加支援</t>
        </is>
      </c>
      <c r="D384" s="30" t="n">
        <v>1</v>
      </c>
      <c r="E384" s="20">
        <f>IF($F384=0,0,D384/$F384)</f>
        <v>0.333333333333333</v>
      </c>
      <c r="F384" s="19">
        <f>$F$383</f>
        <v>3</v>
      </c>
      <c r="G384" s="4" t="inlineStr">
        <is>
          <t>複数回答</t>
        </is>
      </c>
    </row>
    <row r="385" ht="28" customHeight="1">
      <c r="A385" s="4" t="inlineStr">
        <is>
          <t>問40</t>
        </is>
      </c>
      <c r="B385" s="5" t="inlineStr">
        <is>
          <t>災害時に必要だと思う支援は何ですか（あてはまるものすべて）</t>
        </is>
      </c>
      <c r="C385" s="5" t="inlineStr">
        <is>
          <t>福祉避難所の情報提供</t>
        </is>
      </c>
      <c r="D385" s="30" t="n">
        <v>0</v>
      </c>
      <c r="E385" s="20">
        <f>IF($F385=0,0,D385/$F385)</f>
        <v>0</v>
      </c>
      <c r="F385" s="19">
        <f>$F$383</f>
        <v>3</v>
      </c>
      <c r="G385" s="4" t="inlineStr">
        <is>
          <t>複数回答</t>
        </is>
      </c>
    </row>
    <row r="386" ht="28" customHeight="1">
      <c r="A386" s="4" t="inlineStr">
        <is>
          <t>問40</t>
        </is>
      </c>
      <c r="B386" s="5" t="inlineStr">
        <is>
          <t>災害時に必要だと思う支援は何ですか（あてはまるものすべて）</t>
        </is>
      </c>
      <c r="C386" s="5" t="inlineStr">
        <is>
          <t>薬・医療機器・電源の確保</t>
        </is>
      </c>
      <c r="D386" s="30" t="n">
        <v>2</v>
      </c>
      <c r="E386" s="20">
        <f>IF($F386=0,0,D386/$F386)</f>
        <v>0.666666666666667</v>
      </c>
      <c r="F386" s="19">
        <f>$F$383</f>
        <v>3</v>
      </c>
      <c r="G386" s="4" t="inlineStr">
        <is>
          <t>複数回答</t>
        </is>
      </c>
    </row>
    <row r="387" ht="28" customHeight="1">
      <c r="A387" s="4" t="inlineStr">
        <is>
          <t>問40</t>
        </is>
      </c>
      <c r="B387" s="5" t="inlineStr">
        <is>
          <t>災害時に必要だと思う支援は何ですか（あてはまるものすべて）</t>
        </is>
      </c>
      <c r="C387" s="5" t="inlineStr">
        <is>
          <t>冬季避難の支援</t>
        </is>
      </c>
      <c r="D387" s="30" t="n">
        <v>2</v>
      </c>
      <c r="E387" s="20">
        <f>IF($F387=0,0,D387/$F387)</f>
        <v>0.666666666666667</v>
      </c>
      <c r="F387" s="19">
        <f>$F$383</f>
        <v>3</v>
      </c>
      <c r="G387" s="4" t="inlineStr">
        <is>
          <t>複数回答</t>
        </is>
      </c>
    </row>
    <row r="388" ht="28" customHeight="1">
      <c r="A388" s="4" t="inlineStr">
        <is>
          <t>問40</t>
        </is>
      </c>
      <c r="B388" s="5" t="inlineStr">
        <is>
          <t>災害時に必要だと思う支援は何ですか（あてはまるものすべて）</t>
        </is>
      </c>
      <c r="C388" s="5" t="inlineStr">
        <is>
          <t>安否確認</t>
        </is>
      </c>
      <c r="D388" s="30" t="n">
        <v>1</v>
      </c>
      <c r="E388" s="20">
        <f>IF($F388=0,0,D388/$F388)</f>
        <v>0.333333333333333</v>
      </c>
      <c r="F388" s="19">
        <f>$F$383</f>
        <v>3</v>
      </c>
      <c r="G388" s="4" t="inlineStr">
        <is>
          <t>複数回答</t>
        </is>
      </c>
    </row>
    <row r="389" ht="28" customHeight="1">
      <c r="A389" s="4" t="inlineStr">
        <is>
          <t>問40</t>
        </is>
      </c>
      <c r="B389" s="5" t="inlineStr">
        <is>
          <t>災害時に必要だと思う支援は何ですか（あてはまるものすべて）</t>
        </is>
      </c>
      <c r="C389" s="5" t="inlineStr">
        <is>
          <t>避難所での合理的配慮</t>
        </is>
      </c>
      <c r="D389" s="30" t="n">
        <v>2</v>
      </c>
      <c r="E389" s="20">
        <f>IF($F389=0,0,D389/$F389)</f>
        <v>0.666666666666667</v>
      </c>
      <c r="F389" s="19">
        <f>$F$383</f>
        <v>3</v>
      </c>
      <c r="G389" s="4" t="inlineStr">
        <is>
          <t>複数回答</t>
        </is>
      </c>
    </row>
    <row r="390" ht="28" customHeight="1">
      <c r="A390" s="4" t="inlineStr">
        <is>
          <t>問40</t>
        </is>
      </c>
      <c r="B390" s="5" t="inlineStr">
        <is>
          <t>災害時に必要だと思う支援は何ですか（あてはまるものすべて）</t>
        </is>
      </c>
      <c r="C390" s="5" t="inlineStr">
        <is>
          <t>文字・掲示・字幕等の目で見てわかる災害情報</t>
        </is>
      </c>
      <c r="D390" s="30" t="n">
        <v>0</v>
      </c>
      <c r="E390" s="20">
        <f>IF($F390=0,0,D390/$F390)</f>
        <v>0</v>
      </c>
      <c r="F390" s="19">
        <f>$F$383</f>
        <v>3</v>
      </c>
      <c r="G390" s="4" t="inlineStr">
        <is>
          <t>複数回答</t>
        </is>
      </c>
    </row>
    <row r="391" ht="28" customHeight="1">
      <c r="A391" s="4" t="inlineStr">
        <is>
          <t>問40</t>
        </is>
      </c>
      <c r="B391" s="5" t="inlineStr">
        <is>
          <t>災害時に必要だと思う支援は何ですか（あてはまるものすべて）</t>
        </is>
      </c>
      <c r="C391" s="5" t="inlineStr">
        <is>
          <t>その他</t>
        </is>
      </c>
      <c r="D391" s="30" t="n">
        <v>0</v>
      </c>
      <c r="E391" s="20">
        <f>IF($F391=0,0,D391/$F391)</f>
        <v>0</v>
      </c>
      <c r="F391" s="19">
        <f>$F$383</f>
        <v>3</v>
      </c>
      <c r="G391" s="4" t="inlineStr">
        <is>
          <t>複数回答</t>
        </is>
      </c>
    </row>
    <row r="392" ht="28" customHeight="1">
      <c r="A392" s="4" t="inlineStr">
        <is>
          <t>問40</t>
        </is>
      </c>
      <c r="B392" s="5" t="inlineStr">
        <is>
          <t>災害時に必要だと思う支援は何ですか（あてはまるものすべて）</t>
        </is>
      </c>
      <c r="C392" s="5" t="inlineStr">
        <is>
          <t>無回答</t>
        </is>
      </c>
      <c r="D392" s="30" t="n">
        <v>0</v>
      </c>
      <c r="E392" s="20">
        <f>IF($F392=0,0,D392/$F392)</f>
        <v>0</v>
      </c>
      <c r="F392" s="19">
        <f>$F$383</f>
        <v>3</v>
      </c>
      <c r="G392" s="4" t="inlineStr">
        <is>
          <t>複数回答</t>
        </is>
      </c>
    </row>
    <row r="393" ht="28" customHeight="1">
      <c r="A393" s="4" t="inlineStr">
        <is>
          <t>問41</t>
        </is>
      </c>
      <c r="B393" s="5" t="inlineStr">
        <is>
          <t>地域活動や社会参加について、今後参加したいものはありますか（あてはまるものすべて）</t>
        </is>
      </c>
      <c r="C393" s="5" t="inlineStr">
        <is>
          <t>趣味・スポーツ</t>
        </is>
      </c>
      <c r="D393" s="30" t="n">
        <v>1</v>
      </c>
      <c r="E393" s="20">
        <f>IF($F393=0,0,D393/$F393)</f>
        <v>0.333333333333333</v>
      </c>
      <c r="F393" s="30" t="n">
        <v>3</v>
      </c>
      <c r="G393" s="4" t="inlineStr">
        <is>
          <t>複数回答</t>
        </is>
      </c>
    </row>
    <row r="394" ht="28" customHeight="1">
      <c r="A394" s="4" t="inlineStr">
        <is>
          <t>問41</t>
        </is>
      </c>
      <c r="B394" s="5" t="inlineStr">
        <is>
          <t>地域活動や社会参加について、今後参加したいものはありますか（あてはまるものすべて）</t>
        </is>
      </c>
      <c r="C394" s="5" t="inlineStr">
        <is>
          <t>ボランティア</t>
        </is>
      </c>
      <c r="D394" s="30" t="n">
        <v>0</v>
      </c>
      <c r="E394" s="20">
        <f>IF($F394=0,0,D394/$F394)</f>
        <v>0</v>
      </c>
      <c r="F394" s="19">
        <f>$F$393</f>
        <v>3</v>
      </c>
      <c r="G394" s="4" t="inlineStr">
        <is>
          <t>複数回答</t>
        </is>
      </c>
    </row>
    <row r="395" ht="28" customHeight="1">
      <c r="A395" s="4" t="inlineStr">
        <is>
          <t>問41</t>
        </is>
      </c>
      <c r="B395" s="5" t="inlineStr">
        <is>
          <t>地域活動や社会参加について、今後参加したいものはありますか（あてはまるものすべて）</t>
        </is>
      </c>
      <c r="C395" s="5" t="inlineStr">
        <is>
          <t>地域行事</t>
        </is>
      </c>
      <c r="D395" s="30" t="n">
        <v>0</v>
      </c>
      <c r="E395" s="20">
        <f>IF($F395=0,0,D395/$F395)</f>
        <v>0</v>
      </c>
      <c r="F395" s="19">
        <f>$F$393</f>
        <v>3</v>
      </c>
      <c r="G395" s="4" t="inlineStr">
        <is>
          <t>複数回答</t>
        </is>
      </c>
    </row>
    <row r="396" ht="28" customHeight="1">
      <c r="A396" s="4" t="inlineStr">
        <is>
          <t>問41</t>
        </is>
      </c>
      <c r="B396" s="5" t="inlineStr">
        <is>
          <t>地域活動や社会参加について、今後参加したいものはありますか（あてはまるものすべて）</t>
        </is>
      </c>
      <c r="C396" s="5" t="inlineStr">
        <is>
          <t>障がい者団体・家族会</t>
        </is>
      </c>
      <c r="D396" s="30" t="n">
        <v>0</v>
      </c>
      <c r="E396" s="20">
        <f>IF($F396=0,0,D396/$F396)</f>
        <v>0</v>
      </c>
      <c r="F396" s="19">
        <f>$F$393</f>
        <v>3</v>
      </c>
      <c r="G396" s="4" t="inlineStr">
        <is>
          <t>複数回答</t>
        </is>
      </c>
    </row>
    <row r="397" ht="28" customHeight="1">
      <c r="A397" s="4" t="inlineStr">
        <is>
          <t>問41</t>
        </is>
      </c>
      <c r="B397" s="5" t="inlineStr">
        <is>
          <t>地域活動や社会参加について、今後参加したいものはありますか（あてはまるものすべて）</t>
        </is>
      </c>
      <c r="C397" s="5" t="inlineStr">
        <is>
          <t>就労・地域貢献</t>
        </is>
      </c>
      <c r="D397" s="30" t="n">
        <v>0</v>
      </c>
      <c r="E397" s="20">
        <f>IF($F397=0,0,D397/$F397)</f>
        <v>0</v>
      </c>
      <c r="F397" s="19">
        <f>$F$393</f>
        <v>3</v>
      </c>
      <c r="G397" s="4" t="inlineStr">
        <is>
          <t>複数回答</t>
        </is>
      </c>
    </row>
    <row r="398" ht="28" customHeight="1">
      <c r="A398" s="4" t="inlineStr">
        <is>
          <t>問41</t>
        </is>
      </c>
      <c r="B398" s="5" t="inlineStr">
        <is>
          <t>地域活動や社会参加について、今後参加したいものはありますか（あてはまるものすべて）</t>
        </is>
      </c>
      <c r="C398" s="5" t="inlineStr">
        <is>
          <t>学習・講座</t>
        </is>
      </c>
      <c r="D398" s="30" t="n">
        <v>0</v>
      </c>
      <c r="E398" s="20">
        <f>IF($F398=0,0,D398/$F398)</f>
        <v>0</v>
      </c>
      <c r="F398" s="19">
        <f>$F$393</f>
        <v>3</v>
      </c>
      <c r="G398" s="4" t="inlineStr">
        <is>
          <t>複数回答</t>
        </is>
      </c>
    </row>
    <row r="399" ht="28" customHeight="1">
      <c r="A399" s="4" t="inlineStr">
        <is>
          <t>問41</t>
        </is>
      </c>
      <c r="B399" s="5" t="inlineStr">
        <is>
          <t>地域活動や社会参加について、今後参加したいものはありますか（あてはまるものすべて）</t>
        </is>
      </c>
      <c r="C399" s="5" t="inlineStr">
        <is>
          <t>オンラインでの交流</t>
        </is>
      </c>
      <c r="D399" s="30" t="n">
        <v>0</v>
      </c>
      <c r="E399" s="20">
        <f>IF($F399=0,0,D399/$F399)</f>
        <v>0</v>
      </c>
      <c r="F399" s="19">
        <f>$F$393</f>
        <v>3</v>
      </c>
      <c r="G399" s="4" t="inlineStr">
        <is>
          <t>複数回答</t>
        </is>
      </c>
    </row>
    <row r="400" ht="28" customHeight="1">
      <c r="A400" s="4" t="inlineStr">
        <is>
          <t>問41</t>
        </is>
      </c>
      <c r="B400" s="5" t="inlineStr">
        <is>
          <t>地域活動や社会参加について、今後参加したいものはありますか（あてはまるものすべて）</t>
        </is>
      </c>
      <c r="C400" s="5" t="inlineStr">
        <is>
          <t>特にない</t>
        </is>
      </c>
      <c r="D400" s="30" t="n">
        <v>2</v>
      </c>
      <c r="E400" s="20">
        <f>IF($F400=0,0,D400/$F400)</f>
        <v>0.666666666666667</v>
      </c>
      <c r="F400" s="19">
        <f>$F$393</f>
        <v>3</v>
      </c>
      <c r="G400" s="4" t="inlineStr">
        <is>
          <t>複数回答</t>
        </is>
      </c>
    </row>
    <row r="401" ht="28" customHeight="1">
      <c r="A401" s="4" t="inlineStr">
        <is>
          <t>問41</t>
        </is>
      </c>
      <c r="B401" s="5" t="inlineStr">
        <is>
          <t>地域活動や社会参加について、今後参加したいものはありますか（あてはまるものすべて）</t>
        </is>
      </c>
      <c r="C401" s="5" t="inlineStr">
        <is>
          <t>その他</t>
        </is>
      </c>
      <c r="D401" s="30" t="n">
        <v>0</v>
      </c>
      <c r="E401" s="20">
        <f>IF($F401=0,0,D401/$F401)</f>
        <v>0</v>
      </c>
      <c r="F401" s="19">
        <f>$F$393</f>
        <v>3</v>
      </c>
      <c r="G401" s="4" t="inlineStr">
        <is>
          <t>複数回答</t>
        </is>
      </c>
    </row>
    <row r="402" ht="28" customHeight="1">
      <c r="A402" s="4" t="inlineStr">
        <is>
          <t>問41</t>
        </is>
      </c>
      <c r="B402" s="5" t="inlineStr">
        <is>
          <t>地域活動や社会参加について、今後参加したいものはありますか（あてはまるものすべて）</t>
        </is>
      </c>
      <c r="C402" s="5" t="inlineStr">
        <is>
          <t>無回答</t>
        </is>
      </c>
      <c r="D402" s="30" t="n">
        <v>0</v>
      </c>
      <c r="E402" s="20">
        <f>IF($F402=0,0,D402/$F402)</f>
        <v>0</v>
      </c>
      <c r="F402" s="19">
        <f>$F$393</f>
        <v>3</v>
      </c>
      <c r="G402" s="4" t="inlineStr">
        <is>
          <t>複数回答</t>
        </is>
      </c>
    </row>
    <row r="403" ht="28" customHeight="1">
      <c r="A403" s="4" t="inlineStr">
        <is>
          <t>問42</t>
        </is>
      </c>
      <c r="B403" s="5" t="inlineStr">
        <is>
          <t>障がいへの理解を深めるために必要だと思う取組は何ですか（あてはまるものすべて）</t>
        </is>
      </c>
      <c r="C403" s="5" t="inlineStr">
        <is>
          <t>学校での福祉教育</t>
        </is>
      </c>
      <c r="D403" s="30" t="n">
        <v>3</v>
      </c>
      <c r="E403" s="20">
        <f>IF($F403=0,0,D403/$F403)</f>
        <v>1</v>
      </c>
      <c r="F403" s="30" t="n">
        <v>3</v>
      </c>
      <c r="G403" s="4" t="inlineStr">
        <is>
          <t>複数回答</t>
        </is>
      </c>
    </row>
    <row r="404" ht="28" customHeight="1">
      <c r="A404" s="4" t="inlineStr">
        <is>
          <t>問42</t>
        </is>
      </c>
      <c r="B404" s="5" t="inlineStr">
        <is>
          <t>障がいへの理解を深めるために必要だと思う取組は何ですか（あてはまるものすべて）</t>
        </is>
      </c>
      <c r="C404" s="5" t="inlineStr">
        <is>
          <t>地域住民向けの講座</t>
        </is>
      </c>
      <c r="D404" s="30" t="n">
        <v>1</v>
      </c>
      <c r="E404" s="20">
        <f>IF($F404=0,0,D404/$F404)</f>
        <v>0.333333333333333</v>
      </c>
      <c r="F404" s="19">
        <f>$F$403</f>
        <v>3</v>
      </c>
      <c r="G404" s="4" t="inlineStr">
        <is>
          <t>複数回答</t>
        </is>
      </c>
    </row>
    <row r="405" ht="28" customHeight="1">
      <c r="A405" s="4" t="inlineStr">
        <is>
          <t>問42</t>
        </is>
      </c>
      <c r="B405" s="5" t="inlineStr">
        <is>
          <t>障がいへの理解を深めるために必要だと思う取組は何ですか（あてはまるものすべて）</t>
        </is>
      </c>
      <c r="C405" s="5" t="inlineStr">
        <is>
          <t>事業所・企業への啓発</t>
        </is>
      </c>
      <c r="D405" s="30" t="n">
        <v>1</v>
      </c>
      <c r="E405" s="20">
        <f>IF($F405=0,0,D405/$F405)</f>
        <v>0.333333333333333</v>
      </c>
      <c r="F405" s="19">
        <f>$F$403</f>
        <v>3</v>
      </c>
      <c r="G405" s="4" t="inlineStr">
        <is>
          <t>複数回答</t>
        </is>
      </c>
    </row>
    <row r="406" ht="28" customHeight="1">
      <c r="A406" s="4" t="inlineStr">
        <is>
          <t>問42</t>
        </is>
      </c>
      <c r="B406" s="5" t="inlineStr">
        <is>
          <t>障がいへの理解を深めるために必要だと思う取組は何ですか（あてはまるものすべて）</t>
        </is>
      </c>
      <c r="C406" s="5" t="inlineStr">
        <is>
          <t>広報・ホームページでの情報発信</t>
        </is>
      </c>
      <c r="D406" s="30" t="n">
        <v>0</v>
      </c>
      <c r="E406" s="20">
        <f>IF($F406=0,0,D406/$F406)</f>
        <v>0</v>
      </c>
      <c r="F406" s="19">
        <f>$F$403</f>
        <v>3</v>
      </c>
      <c r="G406" s="4" t="inlineStr">
        <is>
          <t>複数回答</t>
        </is>
      </c>
    </row>
    <row r="407" ht="28" customHeight="1">
      <c r="A407" s="4" t="inlineStr">
        <is>
          <t>問42</t>
        </is>
      </c>
      <c r="B407" s="5" t="inlineStr">
        <is>
          <t>障がいへの理解を深めるために必要だと思う取組は何ですか（あてはまるものすべて）</t>
        </is>
      </c>
      <c r="C407" s="5" t="inlineStr">
        <is>
          <t>交流の場づくり</t>
        </is>
      </c>
      <c r="D407" s="30" t="n">
        <v>0</v>
      </c>
      <c r="E407" s="20">
        <f>IF($F407=0,0,D407/$F407)</f>
        <v>0</v>
      </c>
      <c r="F407" s="19">
        <f>$F$403</f>
        <v>3</v>
      </c>
      <c r="G407" s="4" t="inlineStr">
        <is>
          <t>複数回答</t>
        </is>
      </c>
    </row>
    <row r="408" ht="28" customHeight="1">
      <c r="A408" s="4" t="inlineStr">
        <is>
          <t>問42</t>
        </is>
      </c>
      <c r="B408" s="5" t="inlineStr">
        <is>
          <t>障がいへの理解を深めるために必要だと思う取組は何ですか（あてはまるものすべて）</t>
        </is>
      </c>
      <c r="C408" s="5" t="inlineStr">
        <is>
          <t>障がい当事者の意見発信</t>
        </is>
      </c>
      <c r="D408" s="30" t="n">
        <v>0</v>
      </c>
      <c r="E408" s="20">
        <f>IF($F408=0,0,D408/$F408)</f>
        <v>0</v>
      </c>
      <c r="F408" s="19">
        <f>$F$403</f>
        <v>3</v>
      </c>
      <c r="G408" s="4" t="inlineStr">
        <is>
          <t>複数回答</t>
        </is>
      </c>
    </row>
    <row r="409" ht="28" customHeight="1">
      <c r="A409" s="4" t="inlineStr">
        <is>
          <t>問42</t>
        </is>
      </c>
      <c r="B409" s="5" t="inlineStr">
        <is>
          <t>障がいへの理解を深めるために必要だと思う取組は何ですか（あてはまるものすべて）</t>
        </is>
      </c>
      <c r="C409" s="5" t="inlineStr">
        <is>
          <t>特にない</t>
        </is>
      </c>
      <c r="D409" s="30" t="n">
        <v>0</v>
      </c>
      <c r="E409" s="20">
        <f>IF($F409=0,0,D409/$F409)</f>
        <v>0</v>
      </c>
      <c r="F409" s="19">
        <f>$F$403</f>
        <v>3</v>
      </c>
      <c r="G409" s="4" t="inlineStr">
        <is>
          <t>複数回答</t>
        </is>
      </c>
    </row>
    <row r="410" ht="28" customHeight="1">
      <c r="A410" s="4" t="inlineStr">
        <is>
          <t>問42</t>
        </is>
      </c>
      <c r="B410" s="5" t="inlineStr">
        <is>
          <t>障がいへの理解を深めるために必要だと思う取組は何ですか（あてはまるものすべて）</t>
        </is>
      </c>
      <c r="C410" s="5" t="inlineStr">
        <is>
          <t>その他</t>
        </is>
      </c>
      <c r="D410" s="30" t="n">
        <v>0</v>
      </c>
      <c r="E410" s="20">
        <f>IF($F410=0,0,D410/$F410)</f>
        <v>0</v>
      </c>
      <c r="F410" s="19">
        <f>$F$403</f>
        <v>3</v>
      </c>
      <c r="G410" s="4" t="inlineStr">
        <is>
          <t>複数回答</t>
        </is>
      </c>
    </row>
    <row r="411" ht="28" customHeight="1">
      <c r="A411" s="4" t="inlineStr">
        <is>
          <t>問42</t>
        </is>
      </c>
      <c r="B411" s="5" t="inlineStr">
        <is>
          <t>障がいへの理解を深めるために必要だと思う取組は何ですか（あてはまるものすべて）</t>
        </is>
      </c>
      <c r="C411" s="5" t="inlineStr">
        <is>
          <t>無回答</t>
        </is>
      </c>
      <c r="D411" s="30" t="n">
        <v>0</v>
      </c>
      <c r="E411" s="20">
        <f>IF($F411=0,0,D411/$F411)</f>
        <v>0</v>
      </c>
      <c r="F411" s="19">
        <f>$F$403</f>
        <v>3</v>
      </c>
      <c r="G411" s="4" t="inlineStr">
        <is>
          <t>複数回答</t>
        </is>
      </c>
    </row>
    <row r="412" ht="28" customHeight="1">
      <c r="A412" s="4" t="inlineStr">
        <is>
          <t>問43</t>
        </is>
      </c>
      <c r="B412" s="5" t="inlineStr">
        <is>
          <t>今後、村が特に力を入れるべきことは何ですか（3つまで）</t>
        </is>
      </c>
      <c r="C412" s="5" t="inlineStr">
        <is>
          <t>相談支援体制</t>
        </is>
      </c>
      <c r="D412" s="30" t="n">
        <v>1</v>
      </c>
      <c r="E412" s="20">
        <f>IF($F412=0,0,D412/$F412)</f>
        <v>0.333333333333333</v>
      </c>
      <c r="F412" s="30" t="n">
        <v>3</v>
      </c>
      <c r="G412" s="4" t="inlineStr">
        <is>
          <t>複数回答</t>
        </is>
      </c>
    </row>
    <row r="413" ht="28" customHeight="1">
      <c r="A413" s="4" t="inlineStr">
        <is>
          <t>問43</t>
        </is>
      </c>
      <c r="B413" s="5" t="inlineStr">
        <is>
          <t>今後、村が特に力を入れるべきことは何ですか（3つまで）</t>
        </is>
      </c>
      <c r="C413" s="5" t="inlineStr">
        <is>
          <t>在宅生活支援</t>
        </is>
      </c>
      <c r="D413" s="30" t="n">
        <v>0</v>
      </c>
      <c r="E413" s="20">
        <f>IF($F413=0,0,D413/$F413)</f>
        <v>0</v>
      </c>
      <c r="F413" s="19">
        <f>$F$412</f>
        <v>3</v>
      </c>
      <c r="G413" s="4" t="inlineStr">
        <is>
          <t>複数回答</t>
        </is>
      </c>
    </row>
    <row r="414" ht="28" customHeight="1">
      <c r="A414" s="4" t="inlineStr">
        <is>
          <t>問43</t>
        </is>
      </c>
      <c r="B414" s="5" t="inlineStr">
        <is>
          <t>今後、村が特に力を入れるべきことは何ですか（3つまで）</t>
        </is>
      </c>
      <c r="C414" s="5" t="inlineStr">
        <is>
          <t>移動支援</t>
        </is>
      </c>
      <c r="D414" s="30" t="n">
        <v>2</v>
      </c>
      <c r="E414" s="20">
        <f>IF($F414=0,0,D414/$F414)</f>
        <v>0.666666666666667</v>
      </c>
      <c r="F414" s="19">
        <f>$F$412</f>
        <v>3</v>
      </c>
      <c r="G414" s="4" t="inlineStr">
        <is>
          <t>複数回答</t>
        </is>
      </c>
    </row>
    <row r="415" ht="28" customHeight="1">
      <c r="A415" s="4" t="inlineStr">
        <is>
          <t>問43</t>
        </is>
      </c>
      <c r="B415" s="5" t="inlineStr">
        <is>
          <t>今後、村が特に力を入れるべきことは何ですか（3つまで）</t>
        </is>
      </c>
      <c r="C415" s="5" t="inlineStr">
        <is>
          <t>就労支援</t>
        </is>
      </c>
      <c r="D415" s="30" t="n">
        <v>2</v>
      </c>
      <c r="E415" s="20">
        <f>IF($F415=0,0,D415/$F415)</f>
        <v>0.666666666666667</v>
      </c>
      <c r="F415" s="19">
        <f>$F$412</f>
        <v>3</v>
      </c>
      <c r="G415" s="4" t="inlineStr">
        <is>
          <t>複数回答</t>
        </is>
      </c>
    </row>
    <row r="416" ht="28" customHeight="1">
      <c r="A416" s="4" t="inlineStr">
        <is>
          <t>問43</t>
        </is>
      </c>
      <c r="B416" s="5" t="inlineStr">
        <is>
          <t>今後、村が特に力を入れるべきことは何ですか（3つまで）</t>
        </is>
      </c>
      <c r="C416" s="5" t="inlineStr">
        <is>
          <t>障がい児支援</t>
        </is>
      </c>
      <c r="D416" s="30" t="n">
        <v>0</v>
      </c>
      <c r="E416" s="20">
        <f>IF($F416=0,0,D416/$F416)</f>
        <v>0</v>
      </c>
      <c r="F416" s="19">
        <f>$F$412</f>
        <v>3</v>
      </c>
      <c r="G416" s="4" t="inlineStr">
        <is>
          <t>複数回答</t>
        </is>
      </c>
    </row>
    <row r="417" ht="28" customHeight="1">
      <c r="A417" s="4" t="inlineStr">
        <is>
          <t>問43</t>
        </is>
      </c>
      <c r="B417" s="5" t="inlineStr">
        <is>
          <t>今後、村が特に力を入れるべきことは何ですか（3つまで）</t>
        </is>
      </c>
      <c r="C417" s="5" t="inlineStr">
        <is>
          <t>医療的ケア児等支援</t>
        </is>
      </c>
      <c r="D417" s="30" t="n">
        <v>1</v>
      </c>
      <c r="E417" s="20">
        <f>IF($F417=0,0,D417/$F417)</f>
        <v>0.333333333333333</v>
      </c>
      <c r="F417" s="19">
        <f>$F$412</f>
        <v>3</v>
      </c>
      <c r="G417" s="4" t="inlineStr">
        <is>
          <t>複数回答</t>
        </is>
      </c>
    </row>
    <row r="418" ht="28" customHeight="1">
      <c r="A418" s="4" t="inlineStr">
        <is>
          <t>問43</t>
        </is>
      </c>
      <c r="B418" s="5" t="inlineStr">
        <is>
          <t>今後、村が特に力を入れるべきことは何ですか（3つまで）</t>
        </is>
      </c>
      <c r="C418" s="5" t="inlineStr">
        <is>
          <t>災害時支援</t>
        </is>
      </c>
      <c r="D418" s="30" t="n">
        <v>1</v>
      </c>
      <c r="E418" s="20">
        <f>IF($F418=0,0,D418/$F418)</f>
        <v>0.333333333333333</v>
      </c>
      <c r="F418" s="19">
        <f>$F$412</f>
        <v>3</v>
      </c>
      <c r="G418" s="4" t="inlineStr">
        <is>
          <t>複数回答</t>
        </is>
      </c>
    </row>
    <row r="419" ht="28" customHeight="1">
      <c r="A419" s="4" t="inlineStr">
        <is>
          <t>問43</t>
        </is>
      </c>
      <c r="B419" s="5" t="inlineStr">
        <is>
          <t>今後、村が特に力を入れるべきことは何ですか（3つまで）</t>
        </is>
      </c>
      <c r="C419" s="5" t="inlineStr">
        <is>
          <t>差別解消・権利擁護</t>
        </is>
      </c>
      <c r="D419" s="30" t="n">
        <v>1</v>
      </c>
      <c r="E419" s="20">
        <f>IF($F419=0,0,D419/$F419)</f>
        <v>0.333333333333333</v>
      </c>
      <c r="F419" s="19">
        <f>$F$412</f>
        <v>3</v>
      </c>
      <c r="G419" s="4" t="inlineStr">
        <is>
          <t>複数回答</t>
        </is>
      </c>
    </row>
    <row r="420" ht="28" customHeight="1">
      <c r="A420" s="4" t="inlineStr">
        <is>
          <t>問43</t>
        </is>
      </c>
      <c r="B420" s="5" t="inlineStr">
        <is>
          <t>今後、村が特に力を入れるべきことは何ですか（3つまで）</t>
        </is>
      </c>
      <c r="C420" s="5" t="inlineStr">
        <is>
          <t>家族支援</t>
        </is>
      </c>
      <c r="D420" s="30" t="n">
        <v>0</v>
      </c>
      <c r="E420" s="20">
        <f>IF($F420=0,0,D420/$F420)</f>
        <v>0</v>
      </c>
      <c r="F420" s="19">
        <f>$F$412</f>
        <v>3</v>
      </c>
      <c r="G420" s="4" t="inlineStr">
        <is>
          <t>複数回答</t>
        </is>
      </c>
    </row>
    <row r="421" ht="28" customHeight="1">
      <c r="A421" s="4" t="inlineStr">
        <is>
          <t>問43</t>
        </is>
      </c>
      <c r="B421" s="5" t="inlineStr">
        <is>
          <t>今後、村が特に力を入れるべきことは何ですか（3つまで）</t>
        </is>
      </c>
      <c r="C421" s="5" t="inlineStr">
        <is>
          <t>サービス事業所の確保</t>
        </is>
      </c>
      <c r="D421" s="30" t="n">
        <v>1</v>
      </c>
      <c r="E421" s="20">
        <f>IF($F421=0,0,D421/$F421)</f>
        <v>0.333333333333333</v>
      </c>
      <c r="F421" s="19">
        <f>$F$412</f>
        <v>3</v>
      </c>
      <c r="G421" s="4" t="inlineStr">
        <is>
          <t>複数回答</t>
        </is>
      </c>
    </row>
    <row r="422" ht="28" customHeight="1">
      <c r="A422" s="4" t="inlineStr">
        <is>
          <t>問43</t>
        </is>
      </c>
      <c r="B422" s="5" t="inlineStr">
        <is>
          <t>今後、村が特に力を入れるべきことは何ですか（3つまで）</t>
        </is>
      </c>
      <c r="C422" s="5" t="inlineStr">
        <is>
          <t>同じ立場の保護者や経験者に相談できる場の設定</t>
        </is>
      </c>
      <c r="D422" s="30" t="n">
        <v>0</v>
      </c>
      <c r="E422" s="20">
        <f>IF($F422=0,0,D422/$F422)</f>
        <v>0</v>
      </c>
      <c r="F422" s="19">
        <f>$F$412</f>
        <v>3</v>
      </c>
      <c r="G422" s="4" t="inlineStr">
        <is>
          <t>複数回答</t>
        </is>
      </c>
    </row>
    <row r="423" ht="28" customHeight="1">
      <c r="A423" s="4" t="inlineStr">
        <is>
          <t>問43</t>
        </is>
      </c>
      <c r="B423" s="5" t="inlineStr">
        <is>
          <t>今後、村が特に力を入れるべきことは何ですか（3つまで）</t>
        </is>
      </c>
      <c r="C423" s="5" t="inlineStr">
        <is>
          <t>その他</t>
        </is>
      </c>
      <c r="D423" s="30" t="n">
        <v>0</v>
      </c>
      <c r="E423" s="20">
        <f>IF($F423=0,0,D423/$F423)</f>
        <v>0</v>
      </c>
      <c r="F423" s="19">
        <f>$F$412</f>
        <v>3</v>
      </c>
      <c r="G423" s="4" t="inlineStr">
        <is>
          <t>複数回答</t>
        </is>
      </c>
    </row>
    <row r="424" ht="28" customHeight="1">
      <c r="A424" s="4" t="inlineStr">
        <is>
          <t>問43</t>
        </is>
      </c>
      <c r="B424" s="5" t="inlineStr">
        <is>
          <t>今後、村が特に力を入れるべきことは何ですか（3つまで）</t>
        </is>
      </c>
      <c r="C424" s="5" t="inlineStr">
        <is>
          <t>無回答</t>
        </is>
      </c>
      <c r="D424" s="30" t="n">
        <v>0</v>
      </c>
      <c r="E424" s="20">
        <f>IF($F424=0,0,D424/$F424)</f>
        <v>0</v>
      </c>
      <c r="F424" s="19">
        <f>$F$412</f>
        <v>3</v>
      </c>
      <c r="G424" s="4" t="inlineStr">
        <is>
          <t>複数回答</t>
        </is>
      </c>
    </row>
  </sheetData>
  <autoFilter ref="A4:G42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50"/>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44" customWidth="1" min="3" max="3"/>
    <col width="11" customWidth="1" min="4" max="4"/>
    <col width="11" customWidth="1" min="5" max="5"/>
    <col width="11" customWidth="1" min="6" max="6"/>
    <col width="11" customWidth="1" min="7" max="7"/>
    <col width="11" customWidth="1" min="8" max="8"/>
    <col width="11" customWidth="1" min="9" max="9"/>
  </cols>
  <sheetData>
    <row r="1">
      <c r="A1" s="35" t="inlineStr">
        <is>
          <t>障がい者調査　障がい別集計（入力データ）</t>
        </is>
      </c>
    </row>
    <row r="2">
      <c r="A2" s="18" t="inlineStr">
        <is>
          <t>障がい別は、第７期計画策定時の調査と同様に、問5で所持していると回答した手帳により区分しています（身体障がい者手帳＝身体障がい、療育手帳＝知的障がい、精神障がい者保健福祉手帳＝精神障がい）。複数の手帳を所持している方は各区分に計上。斜体が入力値（件数・回答者数）、割合は各区分の回答者数を基数とする計算式です。</t>
        </is>
      </c>
    </row>
    <row r="4" ht="30" customHeight="1">
      <c r="A4" s="3" t="inlineStr">
        <is>
          <t>設問番号</t>
        </is>
      </c>
      <c r="B4" s="3" t="inlineStr">
        <is>
          <t>設問</t>
        </is>
      </c>
      <c r="C4" s="3" t="inlineStr">
        <is>
          <t>選択肢</t>
        </is>
      </c>
      <c r="D4" s="3" t="inlineStr">
        <is>
          <t>身体障がい
（件数）</t>
        </is>
      </c>
      <c r="E4" s="3" t="inlineStr">
        <is>
          <t>知的障がい
（件数）</t>
        </is>
      </c>
      <c r="F4" s="3" t="inlineStr">
        <is>
          <t>精神障がい
（件数）</t>
        </is>
      </c>
      <c r="G4" s="3" t="inlineStr">
        <is>
          <t>身体障がい
（割合）</t>
        </is>
      </c>
      <c r="H4" s="3" t="inlineStr">
        <is>
          <t>知的障がい
（割合）</t>
        </is>
      </c>
      <c r="I4" s="3" t="inlineStr">
        <is>
          <t>精神障がい
（割合）</t>
        </is>
      </c>
    </row>
    <row r="5">
      <c r="C5" s="22" t="inlineStr">
        <is>
          <t>回答者数（n）</t>
        </is>
      </c>
      <c r="D5" s="29" t="n">
        <v>29</v>
      </c>
      <c r="E5" s="29" t="n">
        <v>2</v>
      </c>
      <c r="F5" s="29" t="n">
        <v>6</v>
      </c>
    </row>
    <row r="6">
      <c r="A6" s="4" t="inlineStr">
        <is>
          <t>問1</t>
        </is>
      </c>
      <c r="B6" s="5" t="inlineStr">
        <is>
          <t>この調査票を記入された方はどなたですか</t>
        </is>
      </c>
      <c r="C6" s="5" t="inlineStr">
        <is>
          <t>宛名のご本人</t>
        </is>
      </c>
      <c r="D6" s="30" t="n">
        <v>18</v>
      </c>
      <c r="E6" s="30" t="n">
        <v>0</v>
      </c>
      <c r="F6" s="30" t="n">
        <v>4</v>
      </c>
      <c r="G6" s="20">
        <f>IF(D$5=0,0,D6/D$5)</f>
        <v>0.620689655172414</v>
      </c>
      <c r="H6" s="20">
        <f>IF(E$5=0,0,E6/E$5)</f>
        <v>0</v>
      </c>
      <c r="I6" s="20">
        <f>IF(F$5=0,0,F6/F$5)</f>
        <v>0.666666666666667</v>
      </c>
    </row>
    <row r="7">
      <c r="A7" s="4" t="inlineStr">
        <is>
          <t>問1</t>
        </is>
      </c>
      <c r="B7" s="5" t="inlineStr"/>
      <c r="C7" s="5" t="inlineStr">
        <is>
          <t>ご家族</t>
        </is>
      </c>
      <c r="D7" s="30" t="n">
        <v>8</v>
      </c>
      <c r="E7" s="30" t="n">
        <v>0</v>
      </c>
      <c r="F7" s="30" t="n">
        <v>1</v>
      </c>
      <c r="G7" s="20">
        <f>IF(D$5=0,0,D7/D$5)</f>
        <v>0.275862068965517</v>
      </c>
      <c r="H7" s="20">
        <f>IF(E$5=0,0,E7/E$5)</f>
        <v>0</v>
      </c>
      <c r="I7" s="20">
        <f>IF(F$5=0,0,F7/F$5)</f>
        <v>0.166666666666667</v>
      </c>
    </row>
    <row r="8">
      <c r="A8" s="4" t="inlineStr">
        <is>
          <t>問1</t>
        </is>
      </c>
      <c r="B8" s="5" t="inlineStr"/>
      <c r="C8" s="5" t="inlineStr">
        <is>
          <t>支援者・事業所職員</t>
        </is>
      </c>
      <c r="D8" s="30" t="n">
        <v>3</v>
      </c>
      <c r="E8" s="30" t="n">
        <v>2</v>
      </c>
      <c r="F8" s="30" t="n">
        <v>0</v>
      </c>
      <c r="G8" s="20">
        <f>IF(D$5=0,0,D8/D$5)</f>
        <v>0.103448275862069</v>
      </c>
      <c r="H8" s="20">
        <f>IF(E$5=0,0,E8/E$5)</f>
        <v>1</v>
      </c>
      <c r="I8" s="20">
        <f>IF(F$5=0,0,F8/F$5)</f>
        <v>0</v>
      </c>
    </row>
    <row r="9">
      <c r="A9" s="4" t="inlineStr">
        <is>
          <t>問1</t>
        </is>
      </c>
      <c r="B9" s="5" t="inlineStr"/>
      <c r="C9" s="5" t="inlineStr">
        <is>
          <t>その他</t>
        </is>
      </c>
      <c r="D9" s="30" t="n">
        <v>0</v>
      </c>
      <c r="E9" s="30" t="n">
        <v>0</v>
      </c>
      <c r="F9" s="30" t="n">
        <v>1</v>
      </c>
      <c r="G9" s="20">
        <f>IF(D$5=0,0,D9/D$5)</f>
        <v>0</v>
      </c>
      <c r="H9" s="20">
        <f>IF(E$5=0,0,E9/E$5)</f>
        <v>0</v>
      </c>
      <c r="I9" s="20">
        <f>IF(F$5=0,0,F9/F$5)</f>
        <v>0.166666666666667</v>
      </c>
    </row>
    <row r="10">
      <c r="A10" s="4" t="inlineStr">
        <is>
          <t>問1</t>
        </is>
      </c>
      <c r="B10" s="5" t="inlineStr"/>
      <c r="C10" s="5" t="inlineStr">
        <is>
          <t>無回答</t>
        </is>
      </c>
      <c r="D10" s="30" t="n">
        <v>0</v>
      </c>
      <c r="E10" s="30" t="n">
        <v>0</v>
      </c>
      <c r="F10" s="30" t="n">
        <v>0</v>
      </c>
      <c r="G10" s="20">
        <f>IF(D$5=0,0,D10/D$5)</f>
        <v>0</v>
      </c>
      <c r="H10" s="20">
        <f>IF(E$5=0,0,E10/E$5)</f>
        <v>0</v>
      </c>
      <c r="I10" s="20">
        <f>IF(F$5=0,0,F10/F$5)</f>
        <v>0</v>
      </c>
    </row>
    <row r="11">
      <c r="A11" s="4" t="inlineStr">
        <is>
          <t>問1-2</t>
        </is>
      </c>
      <c r="B11" s="5" t="inlineStr">
        <is>
          <t>この回答は、宛名のご本人の意向をどのように反映していますか</t>
        </is>
      </c>
      <c r="C11" s="5" t="inlineStr">
        <is>
          <t>本人が回答した</t>
        </is>
      </c>
      <c r="D11" s="30" t="n">
        <v>16</v>
      </c>
      <c r="E11" s="30" t="n">
        <v>0</v>
      </c>
      <c r="F11" s="30" t="n">
        <v>4</v>
      </c>
      <c r="G11" s="20">
        <f>IF(D$5=0,0,D11/D$5)</f>
        <v>0.551724137931035</v>
      </c>
      <c r="H11" s="20">
        <f>IF(E$5=0,0,E11/E$5)</f>
        <v>0</v>
      </c>
      <c r="I11" s="20">
        <f>IF(F$5=0,0,F11/F$5)</f>
        <v>0.666666666666667</v>
      </c>
    </row>
    <row r="12">
      <c r="A12" s="4" t="inlineStr">
        <is>
          <t>問1-2</t>
        </is>
      </c>
      <c r="B12" s="5" t="inlineStr"/>
      <c r="C12" s="5" t="inlineStr">
        <is>
          <t>本人に確認して代理記入した</t>
        </is>
      </c>
      <c r="D12" s="30" t="n">
        <v>7</v>
      </c>
      <c r="E12" s="30" t="n">
        <v>0</v>
      </c>
      <c r="F12" s="30" t="n">
        <v>1</v>
      </c>
      <c r="G12" s="20">
        <f>IF(D$5=0,0,D12/D$5)</f>
        <v>0.241379310344828</v>
      </c>
      <c r="H12" s="20">
        <f>IF(E$5=0,0,E12/E$5)</f>
        <v>0</v>
      </c>
      <c r="I12" s="20">
        <f>IF(F$5=0,0,F12/F$5)</f>
        <v>0.166666666666667</v>
      </c>
    </row>
    <row r="13">
      <c r="A13" s="4" t="inlineStr">
        <is>
          <t>問1-2</t>
        </is>
      </c>
      <c r="B13" s="5" t="inlineStr"/>
      <c r="C13" s="5" t="inlineStr">
        <is>
          <t>本人の様子や日頃の意向を踏まえて代理記入した</t>
        </is>
      </c>
      <c r="D13" s="30" t="n">
        <v>1</v>
      </c>
      <c r="E13" s="30" t="n">
        <v>0</v>
      </c>
      <c r="F13" s="30" t="n">
        <v>1</v>
      </c>
      <c r="G13" s="20">
        <f>IF(D$5=0,0,D13/D$5)</f>
        <v>0.0344827586206897</v>
      </c>
      <c r="H13" s="20">
        <f>IF(E$5=0,0,E13/E$5)</f>
        <v>0</v>
      </c>
      <c r="I13" s="20">
        <f>IF(F$5=0,0,F13/F$5)</f>
        <v>0.166666666666667</v>
      </c>
    </row>
    <row r="14">
      <c r="A14" s="4" t="inlineStr">
        <is>
          <t>問1-2</t>
        </is>
      </c>
      <c r="B14" s="5" t="inlineStr"/>
      <c r="C14" s="5" t="inlineStr">
        <is>
          <t>本人に確認することが難しく、家族・支援者の判断で記入した</t>
        </is>
      </c>
      <c r="D14" s="30" t="n">
        <v>5</v>
      </c>
      <c r="E14" s="30" t="n">
        <v>2</v>
      </c>
      <c r="F14" s="30" t="n">
        <v>0</v>
      </c>
      <c r="G14" s="20">
        <f>IF(D$5=0,0,D14/D$5)</f>
        <v>0.172413793103448</v>
      </c>
      <c r="H14" s="20">
        <f>IF(E$5=0,0,E14/E$5)</f>
        <v>1</v>
      </c>
      <c r="I14" s="20">
        <f>IF(F$5=0,0,F14/F$5)</f>
        <v>0</v>
      </c>
    </row>
    <row r="15">
      <c r="A15" s="4" t="inlineStr">
        <is>
          <t>問1-2</t>
        </is>
      </c>
      <c r="B15" s="5" t="inlineStr"/>
      <c r="C15" s="5" t="inlineStr">
        <is>
          <t>その他</t>
        </is>
      </c>
      <c r="D15" s="30" t="n">
        <v>0</v>
      </c>
      <c r="E15" s="30" t="n">
        <v>0</v>
      </c>
      <c r="F15" s="30" t="n">
        <v>0</v>
      </c>
      <c r="G15" s="20">
        <f>IF(D$5=0,0,D15/D$5)</f>
        <v>0</v>
      </c>
      <c r="H15" s="20">
        <f>IF(E$5=0,0,E15/E$5)</f>
        <v>0</v>
      </c>
      <c r="I15" s="20">
        <f>IF(F$5=0,0,F15/F$5)</f>
        <v>0</v>
      </c>
    </row>
    <row r="16">
      <c r="A16" s="4" t="inlineStr">
        <is>
          <t>問1-2</t>
        </is>
      </c>
      <c r="B16" s="5" t="inlineStr"/>
      <c r="C16" s="5" t="inlineStr">
        <is>
          <t>無回答</t>
        </is>
      </c>
      <c r="D16" s="30" t="n">
        <v>0</v>
      </c>
      <c r="E16" s="30" t="n">
        <v>0</v>
      </c>
      <c r="F16" s="30" t="n">
        <v>0</v>
      </c>
      <c r="G16" s="20">
        <f>IF(D$5=0,0,D16/D$5)</f>
        <v>0</v>
      </c>
      <c r="H16" s="20">
        <f>IF(E$5=0,0,E16/E$5)</f>
        <v>0</v>
      </c>
      <c r="I16" s="20">
        <f>IF(F$5=0,0,F16/F$5)</f>
        <v>0</v>
      </c>
    </row>
    <row r="17">
      <c r="A17" s="4" t="inlineStr">
        <is>
          <t>問2</t>
        </is>
      </c>
      <c r="B17" s="5" t="inlineStr">
        <is>
          <t>あなた（宛名の方）の年齢を教えてください</t>
        </is>
      </c>
      <c r="C17" s="5" t="inlineStr">
        <is>
          <t>18～29歳</t>
        </is>
      </c>
      <c r="D17" s="30" t="n">
        <v>0</v>
      </c>
      <c r="E17" s="30" t="n">
        <v>0</v>
      </c>
      <c r="F17" s="30" t="n">
        <v>0</v>
      </c>
      <c r="G17" s="20">
        <f>IF(D$5=0,0,D17/D$5)</f>
        <v>0</v>
      </c>
      <c r="H17" s="20">
        <f>IF(E$5=0,0,E17/E$5)</f>
        <v>0</v>
      </c>
      <c r="I17" s="20">
        <f>IF(F$5=0,0,F17/F$5)</f>
        <v>0</v>
      </c>
    </row>
    <row r="18">
      <c r="A18" s="4" t="inlineStr">
        <is>
          <t>問2</t>
        </is>
      </c>
      <c r="B18" s="5" t="inlineStr"/>
      <c r="C18" s="5" t="inlineStr">
        <is>
          <t>30～39歳</t>
        </is>
      </c>
      <c r="D18" s="30" t="n">
        <v>1</v>
      </c>
      <c r="E18" s="30" t="n">
        <v>0</v>
      </c>
      <c r="F18" s="30" t="n">
        <v>2</v>
      </c>
      <c r="G18" s="20">
        <f>IF(D$5=0,0,D18/D$5)</f>
        <v>0.0344827586206897</v>
      </c>
      <c r="H18" s="20">
        <f>IF(E$5=0,0,E18/E$5)</f>
        <v>0</v>
      </c>
      <c r="I18" s="20">
        <f>IF(F$5=0,0,F18/F$5)</f>
        <v>0.333333333333333</v>
      </c>
    </row>
    <row r="19">
      <c r="A19" s="4" t="inlineStr">
        <is>
          <t>問2</t>
        </is>
      </c>
      <c r="B19" s="5" t="inlineStr"/>
      <c r="C19" s="5" t="inlineStr">
        <is>
          <t>40～49歳</t>
        </is>
      </c>
      <c r="D19" s="30" t="n">
        <v>1</v>
      </c>
      <c r="E19" s="30" t="n">
        <v>0</v>
      </c>
      <c r="F19" s="30" t="n">
        <v>1</v>
      </c>
      <c r="G19" s="20">
        <f>IF(D$5=0,0,D19/D$5)</f>
        <v>0.0344827586206897</v>
      </c>
      <c r="H19" s="20">
        <f>IF(E$5=0,0,E19/E$5)</f>
        <v>0</v>
      </c>
      <c r="I19" s="20">
        <f>IF(F$5=0,0,F19/F$5)</f>
        <v>0.166666666666667</v>
      </c>
    </row>
    <row r="20">
      <c r="A20" s="4" t="inlineStr">
        <is>
          <t>問2</t>
        </is>
      </c>
      <c r="B20" s="5" t="inlineStr"/>
      <c r="C20" s="5" t="inlineStr">
        <is>
          <t>50～64歳</t>
        </is>
      </c>
      <c r="D20" s="30" t="n">
        <v>5</v>
      </c>
      <c r="E20" s="30" t="n">
        <v>1</v>
      </c>
      <c r="F20" s="30" t="n">
        <v>2</v>
      </c>
      <c r="G20" s="20">
        <f>IF(D$5=0,0,D20/D$5)</f>
        <v>0.172413793103448</v>
      </c>
      <c r="H20" s="20">
        <f>IF(E$5=0,0,E20/E$5)</f>
        <v>0.5</v>
      </c>
      <c r="I20" s="20">
        <f>IF(F$5=0,0,F20/F$5)</f>
        <v>0.333333333333333</v>
      </c>
    </row>
    <row r="21">
      <c r="A21" s="4" t="inlineStr">
        <is>
          <t>問2</t>
        </is>
      </c>
      <c r="B21" s="5" t="inlineStr"/>
      <c r="C21" s="5" t="inlineStr">
        <is>
          <t>65歳以上</t>
        </is>
      </c>
      <c r="D21" s="30" t="n">
        <v>21</v>
      </c>
      <c r="E21" s="30" t="n">
        <v>1</v>
      </c>
      <c r="F21" s="30" t="n">
        <v>1</v>
      </c>
      <c r="G21" s="20">
        <f>IF(D$5=0,0,D21/D$5)</f>
        <v>0.724137931034483</v>
      </c>
      <c r="H21" s="20">
        <f>IF(E$5=0,0,E21/E$5)</f>
        <v>0.5</v>
      </c>
      <c r="I21" s="20">
        <f>IF(F$5=0,0,F21/F$5)</f>
        <v>0.166666666666667</v>
      </c>
    </row>
    <row r="22">
      <c r="A22" s="4" t="inlineStr">
        <is>
          <t>問2</t>
        </is>
      </c>
      <c r="B22" s="5" t="inlineStr"/>
      <c r="C22" s="5" t="inlineStr">
        <is>
          <t>無回答</t>
        </is>
      </c>
      <c r="D22" s="30" t="n">
        <v>1</v>
      </c>
      <c r="E22" s="30" t="n">
        <v>0</v>
      </c>
      <c r="F22" s="30" t="n">
        <v>0</v>
      </c>
      <c r="G22" s="20">
        <f>IF(D$5=0,0,D22/D$5)</f>
        <v>0.0344827586206897</v>
      </c>
      <c r="H22" s="20">
        <f>IF(E$5=0,0,E22/E$5)</f>
        <v>0</v>
      </c>
      <c r="I22" s="20">
        <f>IF(F$5=0,0,F22/F$5)</f>
        <v>0</v>
      </c>
    </row>
    <row r="23">
      <c r="A23" s="4" t="inlineStr">
        <is>
          <t>問3</t>
        </is>
      </c>
      <c r="B23" s="5" t="inlineStr">
        <is>
          <t>あなたのお住まいの地区を教えてください</t>
        </is>
      </c>
      <c r="C23" s="5" t="inlineStr">
        <is>
          <t>北山地区</t>
        </is>
      </c>
      <c r="D23" s="30" t="n">
        <v>14</v>
      </c>
      <c r="E23" s="30" t="n">
        <v>1</v>
      </c>
      <c r="F23" s="30" t="n">
        <v>2</v>
      </c>
      <c r="G23" s="20">
        <f>IF(D$5=0,0,D23/D$5)</f>
        <v>0.482758620689655</v>
      </c>
      <c r="H23" s="20">
        <f>IF(E$5=0,0,E23/E$5)</f>
        <v>0.5</v>
      </c>
      <c r="I23" s="20">
        <f>IF(F$5=0,0,F23/F$5)</f>
        <v>0.333333333333333</v>
      </c>
    </row>
    <row r="24">
      <c r="A24" s="4" t="inlineStr">
        <is>
          <t>問3</t>
        </is>
      </c>
      <c r="B24" s="5" t="inlineStr"/>
      <c r="C24" s="5" t="inlineStr">
        <is>
          <t>大塩地区</t>
        </is>
      </c>
      <c r="D24" s="30" t="n">
        <v>4</v>
      </c>
      <c r="E24" s="30" t="n">
        <v>1</v>
      </c>
      <c r="F24" s="30" t="n">
        <v>1</v>
      </c>
      <c r="G24" s="20">
        <f>IF(D$5=0,0,D24/D$5)</f>
        <v>0.137931034482759</v>
      </c>
      <c r="H24" s="20">
        <f>IF(E$5=0,0,E24/E$5)</f>
        <v>0.5</v>
      </c>
      <c r="I24" s="20">
        <f>IF(F$5=0,0,F24/F$5)</f>
        <v>0.166666666666667</v>
      </c>
    </row>
    <row r="25">
      <c r="A25" s="4" t="inlineStr">
        <is>
          <t>問3</t>
        </is>
      </c>
      <c r="B25" s="5" t="inlineStr"/>
      <c r="C25" s="5" t="inlineStr">
        <is>
          <t>桧原地区</t>
        </is>
      </c>
      <c r="D25" s="30" t="n">
        <v>3</v>
      </c>
      <c r="E25" s="30" t="n">
        <v>0</v>
      </c>
      <c r="F25" s="30" t="n">
        <v>0</v>
      </c>
      <c r="G25" s="20">
        <f>IF(D$5=0,0,D25/D$5)</f>
        <v>0.103448275862069</v>
      </c>
      <c r="H25" s="20">
        <f>IF(E$5=0,0,E25/E$5)</f>
        <v>0</v>
      </c>
      <c r="I25" s="20">
        <f>IF(F$5=0,0,F25/F$5)</f>
        <v>0</v>
      </c>
    </row>
    <row r="26">
      <c r="A26" s="4" t="inlineStr">
        <is>
          <t>問3</t>
        </is>
      </c>
      <c r="B26" s="5" t="inlineStr"/>
      <c r="C26" s="5" t="inlineStr">
        <is>
          <t>裏磐梯地区</t>
        </is>
      </c>
      <c r="D26" s="30" t="n">
        <v>8</v>
      </c>
      <c r="E26" s="30" t="n">
        <v>0</v>
      </c>
      <c r="F26" s="30" t="n">
        <v>2</v>
      </c>
      <c r="G26" s="20">
        <f>IF(D$5=0,0,D26/D$5)</f>
        <v>0.275862068965517</v>
      </c>
      <c r="H26" s="20">
        <f>IF(E$5=0,0,E26/E$5)</f>
        <v>0</v>
      </c>
      <c r="I26" s="20">
        <f>IF(F$5=0,0,F26/F$5)</f>
        <v>0.333333333333333</v>
      </c>
    </row>
    <row r="27">
      <c r="A27" s="4" t="inlineStr">
        <is>
          <t>問3</t>
        </is>
      </c>
      <c r="B27" s="5" t="inlineStr"/>
      <c r="C27" s="5" t="inlineStr">
        <is>
          <t>その他</t>
        </is>
      </c>
      <c r="D27" s="30" t="n">
        <v>0</v>
      </c>
      <c r="E27" s="30" t="n">
        <v>0</v>
      </c>
      <c r="F27" s="30" t="n">
        <v>1</v>
      </c>
      <c r="G27" s="20">
        <f>IF(D$5=0,0,D27/D$5)</f>
        <v>0</v>
      </c>
      <c r="H27" s="20">
        <f>IF(E$5=0,0,E27/E$5)</f>
        <v>0</v>
      </c>
      <c r="I27" s="20">
        <f>IF(F$5=0,0,F27/F$5)</f>
        <v>0.166666666666667</v>
      </c>
    </row>
    <row r="28">
      <c r="A28" s="4" t="inlineStr">
        <is>
          <t>問3</t>
        </is>
      </c>
      <c r="B28" s="5" t="inlineStr"/>
      <c r="C28" s="5" t="inlineStr">
        <is>
          <t>無回答</t>
        </is>
      </c>
      <c r="D28" s="30" t="n">
        <v>0</v>
      </c>
      <c r="E28" s="30" t="n">
        <v>0</v>
      </c>
      <c r="F28" s="30" t="n">
        <v>0</v>
      </c>
      <c r="G28" s="20">
        <f>IF(D$5=0,0,D28/D$5)</f>
        <v>0</v>
      </c>
      <c r="H28" s="20">
        <f>IF(E$5=0,0,E28/E$5)</f>
        <v>0</v>
      </c>
      <c r="I28" s="20">
        <f>IF(F$5=0,0,F28/F$5)</f>
        <v>0</v>
      </c>
    </row>
    <row r="29">
      <c r="A29" s="4" t="inlineStr">
        <is>
          <t>問4</t>
        </is>
      </c>
      <c r="B29" s="5" t="inlineStr">
        <is>
          <t>あなたの性別を教えてください</t>
        </is>
      </c>
      <c r="C29" s="5" t="inlineStr">
        <is>
          <t>男性</t>
        </is>
      </c>
      <c r="D29" s="30" t="n">
        <v>10</v>
      </c>
      <c r="E29" s="30" t="n">
        <v>1</v>
      </c>
      <c r="F29" s="30" t="n">
        <v>5</v>
      </c>
      <c r="G29" s="20">
        <f>IF(D$5=0,0,D29/D$5)</f>
        <v>0.344827586206897</v>
      </c>
      <c r="H29" s="20">
        <f>IF(E$5=0,0,E29/E$5)</f>
        <v>0.5</v>
      </c>
      <c r="I29" s="20">
        <f>IF(F$5=0,0,F29/F$5)</f>
        <v>0.833333333333333</v>
      </c>
    </row>
    <row r="30">
      <c r="A30" s="4" t="inlineStr">
        <is>
          <t>問4</t>
        </is>
      </c>
      <c r="B30" s="5" t="inlineStr"/>
      <c r="C30" s="5" t="inlineStr">
        <is>
          <t>女性</t>
        </is>
      </c>
      <c r="D30" s="30" t="n">
        <v>19</v>
      </c>
      <c r="E30" s="30" t="n">
        <v>1</v>
      </c>
      <c r="F30" s="30" t="n">
        <v>1</v>
      </c>
      <c r="G30" s="20">
        <f>IF(D$5=0,0,D30/D$5)</f>
        <v>0.655172413793103</v>
      </c>
      <c r="H30" s="20">
        <f>IF(E$5=0,0,E30/E$5)</f>
        <v>0.5</v>
      </c>
      <c r="I30" s="20">
        <f>IF(F$5=0,0,F30/F$5)</f>
        <v>0.166666666666667</v>
      </c>
    </row>
    <row r="31">
      <c r="A31" s="4" t="inlineStr">
        <is>
          <t>問4</t>
        </is>
      </c>
      <c r="B31" s="5" t="inlineStr"/>
      <c r="C31" s="5" t="inlineStr">
        <is>
          <t>回答しない</t>
        </is>
      </c>
      <c r="D31" s="30" t="n">
        <v>0</v>
      </c>
      <c r="E31" s="30" t="n">
        <v>0</v>
      </c>
      <c r="F31" s="30" t="n">
        <v>0</v>
      </c>
      <c r="G31" s="20">
        <f>IF(D$5=0,0,D31/D$5)</f>
        <v>0</v>
      </c>
      <c r="H31" s="20">
        <f>IF(E$5=0,0,E31/E$5)</f>
        <v>0</v>
      </c>
      <c r="I31" s="20">
        <f>IF(F$5=0,0,F31/F$5)</f>
        <v>0</v>
      </c>
    </row>
    <row r="32">
      <c r="A32" s="4" t="inlineStr">
        <is>
          <t>問4</t>
        </is>
      </c>
      <c r="B32" s="5" t="inlineStr"/>
      <c r="C32" s="5" t="inlineStr">
        <is>
          <t>無回答</t>
        </is>
      </c>
      <c r="D32" s="30" t="n">
        <v>0</v>
      </c>
      <c r="E32" s="30" t="n">
        <v>0</v>
      </c>
      <c r="F32" s="30" t="n">
        <v>0</v>
      </c>
      <c r="G32" s="20">
        <f>IF(D$5=0,0,D32/D$5)</f>
        <v>0</v>
      </c>
      <c r="H32" s="20">
        <f>IF(E$5=0,0,E32/E$5)</f>
        <v>0</v>
      </c>
      <c r="I32" s="20">
        <f>IF(F$5=0,0,F32/F$5)</f>
        <v>0</v>
      </c>
    </row>
    <row r="33">
      <c r="A33" s="4" t="inlineStr">
        <is>
          <t>問5</t>
        </is>
      </c>
      <c r="B33" s="5" t="inlineStr">
        <is>
          <t>お持ちの手帳等を教えてください（あてはまるものすべて）</t>
        </is>
      </c>
      <c r="C33" s="5" t="inlineStr">
        <is>
          <t>身体障がい者手帳</t>
        </is>
      </c>
      <c r="D33" s="30" t="n">
        <v>29</v>
      </c>
      <c r="E33" s="30" t="n">
        <v>1</v>
      </c>
      <c r="F33" s="30" t="n">
        <v>0</v>
      </c>
      <c r="G33" s="20">
        <f>IF(D$5=0,0,D33/D$5)</f>
        <v>1</v>
      </c>
      <c r="H33" s="20">
        <f>IF(E$5=0,0,E33/E$5)</f>
        <v>0.5</v>
      </c>
      <c r="I33" s="20">
        <f>IF(F$5=0,0,F33/F$5)</f>
        <v>0</v>
      </c>
    </row>
    <row r="34">
      <c r="A34" s="4" t="inlineStr">
        <is>
          <t>問5</t>
        </is>
      </c>
      <c r="B34" s="5" t="inlineStr"/>
      <c r="C34" s="5" t="inlineStr">
        <is>
          <t>療育手帳</t>
        </is>
      </c>
      <c r="D34" s="30" t="n">
        <v>1</v>
      </c>
      <c r="E34" s="30" t="n">
        <v>2</v>
      </c>
      <c r="F34" s="30" t="n">
        <v>0</v>
      </c>
      <c r="G34" s="20">
        <f>IF(D$5=0,0,D34/D$5)</f>
        <v>0.0344827586206897</v>
      </c>
      <c r="H34" s="20">
        <f>IF(E$5=0,0,E34/E$5)</f>
        <v>1</v>
      </c>
      <c r="I34" s="20">
        <f>IF(F$5=0,0,F34/F$5)</f>
        <v>0</v>
      </c>
    </row>
    <row r="35">
      <c r="A35" s="4" t="inlineStr">
        <is>
          <t>問5</t>
        </is>
      </c>
      <c r="B35" s="5" t="inlineStr"/>
      <c r="C35" s="5" t="inlineStr">
        <is>
          <t>精神障がい者保健福祉手帳</t>
        </is>
      </c>
      <c r="D35" s="30" t="n">
        <v>0</v>
      </c>
      <c r="E35" s="30" t="n">
        <v>0</v>
      </c>
      <c r="F35" s="30" t="n">
        <v>6</v>
      </c>
      <c r="G35" s="20">
        <f>IF(D$5=0,0,D35/D$5)</f>
        <v>0</v>
      </c>
      <c r="H35" s="20">
        <f>IF(E$5=0,0,E35/E$5)</f>
        <v>0</v>
      </c>
      <c r="I35" s="20">
        <f>IF(F$5=0,0,F35/F$5)</f>
        <v>1</v>
      </c>
    </row>
    <row r="36">
      <c r="A36" s="4" t="inlineStr">
        <is>
          <t>問5</t>
        </is>
      </c>
      <c r="B36" s="5" t="inlineStr"/>
      <c r="C36" s="5" t="inlineStr">
        <is>
          <t>自立支援医療受給者証</t>
        </is>
      </c>
      <c r="D36" s="30" t="n">
        <v>3</v>
      </c>
      <c r="E36" s="30" t="n">
        <v>0</v>
      </c>
      <c r="F36" s="30" t="n">
        <v>1</v>
      </c>
      <c r="G36" s="20">
        <f>IF(D$5=0,0,D36/D$5)</f>
        <v>0.103448275862069</v>
      </c>
      <c r="H36" s="20">
        <f>IF(E$5=0,0,E36/E$5)</f>
        <v>0</v>
      </c>
      <c r="I36" s="20">
        <f>IF(F$5=0,0,F36/F$5)</f>
        <v>0.166666666666667</v>
      </c>
    </row>
    <row r="37">
      <c r="A37" s="4" t="inlineStr">
        <is>
          <t>問5</t>
        </is>
      </c>
      <c r="B37" s="5" t="inlineStr"/>
      <c r="C37" s="5" t="inlineStr">
        <is>
          <t>難病に関する医療受給者証等</t>
        </is>
      </c>
      <c r="D37" s="30" t="n">
        <v>0</v>
      </c>
      <c r="E37" s="30" t="n">
        <v>0</v>
      </c>
      <c r="F37" s="30" t="n">
        <v>0</v>
      </c>
      <c r="G37" s="20">
        <f>IF(D$5=0,0,D37/D$5)</f>
        <v>0</v>
      </c>
      <c r="H37" s="20">
        <f>IF(E$5=0,0,E37/E$5)</f>
        <v>0</v>
      </c>
      <c r="I37" s="20">
        <f>IF(F$5=0,0,F37/F$5)</f>
        <v>0</v>
      </c>
    </row>
    <row r="38">
      <c r="A38" s="4" t="inlineStr">
        <is>
          <t>問5</t>
        </is>
      </c>
      <c r="B38" s="5" t="inlineStr"/>
      <c r="C38" s="5" t="inlineStr">
        <is>
          <t>手帳等は持っていないが障がい福祉サービスを利用している</t>
        </is>
      </c>
      <c r="D38" s="30" t="n">
        <v>0</v>
      </c>
      <c r="E38" s="30" t="n">
        <v>0</v>
      </c>
      <c r="F38" s="30" t="n">
        <v>0</v>
      </c>
      <c r="G38" s="20">
        <f>IF(D$5=0,0,D38/D$5)</f>
        <v>0</v>
      </c>
      <c r="H38" s="20">
        <f>IF(E$5=0,0,E38/E$5)</f>
        <v>0</v>
      </c>
      <c r="I38" s="20">
        <f>IF(F$5=0,0,F38/F$5)</f>
        <v>0</v>
      </c>
    </row>
    <row r="39">
      <c r="A39" s="4" t="inlineStr">
        <is>
          <t>問5</t>
        </is>
      </c>
      <c r="B39" s="5" t="inlineStr"/>
      <c r="C39" s="5" t="inlineStr">
        <is>
          <t>その他</t>
        </is>
      </c>
      <c r="D39" s="30" t="n">
        <v>1</v>
      </c>
      <c r="E39" s="30" t="n">
        <v>0</v>
      </c>
      <c r="F39" s="30" t="n">
        <v>0</v>
      </c>
      <c r="G39" s="20">
        <f>IF(D$5=0,0,D39/D$5)</f>
        <v>0.0344827586206897</v>
      </c>
      <c r="H39" s="20">
        <f>IF(E$5=0,0,E39/E$5)</f>
        <v>0</v>
      </c>
      <c r="I39" s="20">
        <f>IF(F$5=0,0,F39/F$5)</f>
        <v>0</v>
      </c>
    </row>
    <row r="40">
      <c r="A40" s="4" t="inlineStr">
        <is>
          <t>問5</t>
        </is>
      </c>
      <c r="B40" s="5" t="inlineStr"/>
      <c r="C40" s="5" t="inlineStr">
        <is>
          <t>無回答</t>
        </is>
      </c>
      <c r="D40" s="30" t="n">
        <v>0</v>
      </c>
      <c r="E40" s="30" t="n">
        <v>0</v>
      </c>
      <c r="F40" s="30" t="n">
        <v>0</v>
      </c>
      <c r="G40" s="20">
        <f>IF(D$5=0,0,D40/D$5)</f>
        <v>0</v>
      </c>
      <c r="H40" s="20">
        <f>IF(E$5=0,0,E40/E$5)</f>
        <v>0</v>
      </c>
      <c r="I40" s="20">
        <f>IF(F$5=0,0,F40/F$5)</f>
        <v>0</v>
      </c>
    </row>
    <row r="41">
      <c r="A41" s="4" t="inlineStr">
        <is>
          <t>問6</t>
        </is>
      </c>
      <c r="B41" s="5" t="inlineStr">
        <is>
          <t>主たる障がい種別を1つ選ぶとすれば、どれにあたりますか</t>
        </is>
      </c>
      <c r="C41" s="5" t="inlineStr">
        <is>
          <t>身体障がい</t>
        </is>
      </c>
      <c r="D41" s="30" t="n">
        <v>26</v>
      </c>
      <c r="E41" s="30" t="n">
        <v>0</v>
      </c>
      <c r="F41" s="30" t="n">
        <v>0</v>
      </c>
      <c r="G41" s="20">
        <f>IF(D$5=0,0,D41/D$5)</f>
        <v>0.896551724137931</v>
      </c>
      <c r="H41" s="20">
        <f>IF(E$5=0,0,E41/E$5)</f>
        <v>0</v>
      </c>
      <c r="I41" s="20">
        <f>IF(F$5=0,0,F41/F$5)</f>
        <v>0</v>
      </c>
    </row>
    <row r="42">
      <c r="A42" s="4" t="inlineStr">
        <is>
          <t>問6</t>
        </is>
      </c>
      <c r="B42" s="5" t="inlineStr"/>
      <c r="C42" s="5" t="inlineStr">
        <is>
          <t>知的障がい</t>
        </is>
      </c>
      <c r="D42" s="30" t="n">
        <v>1</v>
      </c>
      <c r="E42" s="30" t="n">
        <v>2</v>
      </c>
      <c r="F42" s="30" t="n">
        <v>0</v>
      </c>
      <c r="G42" s="20">
        <f>IF(D$5=0,0,D42/D$5)</f>
        <v>0.0344827586206897</v>
      </c>
      <c r="H42" s="20">
        <f>IF(E$5=0,0,E42/E$5)</f>
        <v>1</v>
      </c>
      <c r="I42" s="20">
        <f>IF(F$5=0,0,F42/F$5)</f>
        <v>0</v>
      </c>
    </row>
    <row r="43">
      <c r="A43" s="4" t="inlineStr">
        <is>
          <t>問6</t>
        </is>
      </c>
      <c r="B43" s="5" t="inlineStr"/>
      <c r="C43" s="5" t="inlineStr">
        <is>
          <t>精神障がい</t>
        </is>
      </c>
      <c r="D43" s="30" t="n">
        <v>1</v>
      </c>
      <c r="E43" s="30" t="n">
        <v>0</v>
      </c>
      <c r="F43" s="30" t="n">
        <v>3</v>
      </c>
      <c r="G43" s="20">
        <f>IF(D$5=0,0,D43/D$5)</f>
        <v>0.0344827586206897</v>
      </c>
      <c r="H43" s="20">
        <f>IF(E$5=0,0,E43/E$5)</f>
        <v>0</v>
      </c>
      <c r="I43" s="20">
        <f>IF(F$5=0,0,F43/F$5)</f>
        <v>0.5</v>
      </c>
    </row>
    <row r="44">
      <c r="A44" s="4" t="inlineStr">
        <is>
          <t>問6</t>
        </is>
      </c>
      <c r="B44" s="5" t="inlineStr"/>
      <c r="C44" s="5" t="inlineStr">
        <is>
          <t>発達障がい</t>
        </is>
      </c>
      <c r="D44" s="30" t="n">
        <v>0</v>
      </c>
      <c r="E44" s="30" t="n">
        <v>0</v>
      </c>
      <c r="F44" s="30" t="n">
        <v>3</v>
      </c>
      <c r="G44" s="20">
        <f>IF(D$5=0,0,D44/D$5)</f>
        <v>0</v>
      </c>
      <c r="H44" s="20">
        <f>IF(E$5=0,0,E44/E$5)</f>
        <v>0</v>
      </c>
      <c r="I44" s="20">
        <f>IF(F$5=0,0,F44/F$5)</f>
        <v>0.5</v>
      </c>
    </row>
    <row r="45">
      <c r="A45" s="4" t="inlineStr">
        <is>
          <t>問6</t>
        </is>
      </c>
      <c r="B45" s="5" t="inlineStr"/>
      <c r="C45" s="5" t="inlineStr">
        <is>
          <t>難病</t>
        </is>
      </c>
      <c r="D45" s="30" t="n">
        <v>0</v>
      </c>
      <c r="E45" s="30" t="n">
        <v>0</v>
      </c>
      <c r="F45" s="30" t="n">
        <v>0</v>
      </c>
      <c r="G45" s="20">
        <f>IF(D$5=0,0,D45/D$5)</f>
        <v>0</v>
      </c>
      <c r="H45" s="20">
        <f>IF(E$5=0,0,E45/E$5)</f>
        <v>0</v>
      </c>
      <c r="I45" s="20">
        <f>IF(F$5=0,0,F45/F$5)</f>
        <v>0</v>
      </c>
    </row>
    <row r="46">
      <c r="A46" s="4" t="inlineStr">
        <is>
          <t>問6</t>
        </is>
      </c>
      <c r="B46" s="5" t="inlineStr"/>
      <c r="C46" s="5" t="inlineStr">
        <is>
          <t>高次脳機能障がい</t>
        </is>
      </c>
      <c r="D46" s="30" t="n">
        <v>0</v>
      </c>
      <c r="E46" s="30" t="n">
        <v>0</v>
      </c>
      <c r="F46" s="30" t="n">
        <v>0</v>
      </c>
      <c r="G46" s="20">
        <f>IF(D$5=0,0,D46/D$5)</f>
        <v>0</v>
      </c>
      <c r="H46" s="20">
        <f>IF(E$5=0,0,E46/E$5)</f>
        <v>0</v>
      </c>
      <c r="I46" s="20">
        <f>IF(F$5=0,0,F46/F$5)</f>
        <v>0</v>
      </c>
    </row>
    <row r="47">
      <c r="A47" s="4" t="inlineStr">
        <is>
          <t>問6</t>
        </is>
      </c>
      <c r="B47" s="5" t="inlineStr"/>
      <c r="C47" s="5" t="inlineStr">
        <is>
          <t>重症心身障がい</t>
        </is>
      </c>
      <c r="D47" s="30" t="n">
        <v>0</v>
      </c>
      <c r="E47" s="30" t="n">
        <v>0</v>
      </c>
      <c r="F47" s="30" t="n">
        <v>0</v>
      </c>
      <c r="G47" s="20">
        <f>IF(D$5=0,0,D47/D$5)</f>
        <v>0</v>
      </c>
      <c r="H47" s="20">
        <f>IF(E$5=0,0,E47/E$5)</f>
        <v>0</v>
      </c>
      <c r="I47" s="20">
        <f>IF(F$5=0,0,F47/F$5)</f>
        <v>0</v>
      </c>
    </row>
    <row r="48">
      <c r="A48" s="4" t="inlineStr">
        <is>
          <t>問6</t>
        </is>
      </c>
      <c r="B48" s="5" t="inlineStr"/>
      <c r="C48" s="5" t="inlineStr">
        <is>
          <t>わからない・その他</t>
        </is>
      </c>
      <c r="D48" s="30" t="n">
        <v>1</v>
      </c>
      <c r="E48" s="30" t="n">
        <v>0</v>
      </c>
      <c r="F48" s="30" t="n">
        <v>0</v>
      </c>
      <c r="G48" s="20">
        <f>IF(D$5=0,0,D48/D$5)</f>
        <v>0.0344827586206897</v>
      </c>
      <c r="H48" s="20">
        <f>IF(E$5=0,0,E48/E$5)</f>
        <v>0</v>
      </c>
      <c r="I48" s="20">
        <f>IF(F$5=0,0,F48/F$5)</f>
        <v>0</v>
      </c>
    </row>
    <row r="49">
      <c r="A49" s="4" t="inlineStr">
        <is>
          <t>問6</t>
        </is>
      </c>
      <c r="B49" s="5" t="inlineStr"/>
      <c r="C49" s="5" t="inlineStr">
        <is>
          <t>無回答</t>
        </is>
      </c>
      <c r="D49" s="30" t="n">
        <v>0</v>
      </c>
      <c r="E49" s="30" t="n">
        <v>0</v>
      </c>
      <c r="F49" s="30" t="n">
        <v>0</v>
      </c>
      <c r="G49" s="20">
        <f>IF(D$5=0,0,D49/D$5)</f>
        <v>0</v>
      </c>
      <c r="H49" s="20">
        <f>IF(E$5=0,0,E49/E$5)</f>
        <v>0</v>
      </c>
      <c r="I49" s="20">
        <f>IF(F$5=0,0,F49/F$5)</f>
        <v>0</v>
      </c>
    </row>
    <row r="50">
      <c r="A50" s="4" t="inlineStr">
        <is>
          <t>問7</t>
        </is>
      </c>
      <c r="B50" s="5" t="inlineStr">
        <is>
          <t>現在、どこで暮らしていますか</t>
        </is>
      </c>
      <c r="C50" s="5" t="inlineStr">
        <is>
          <t>自宅で家族と暮らしている</t>
        </is>
      </c>
      <c r="D50" s="30" t="n">
        <v>19</v>
      </c>
      <c r="E50" s="30" t="n">
        <v>0</v>
      </c>
      <c r="F50" s="30" t="n">
        <v>4</v>
      </c>
      <c r="G50" s="20">
        <f>IF(D$5=0,0,D50/D$5)</f>
        <v>0.655172413793103</v>
      </c>
      <c r="H50" s="20">
        <f>IF(E$5=0,0,E50/E$5)</f>
        <v>0</v>
      </c>
      <c r="I50" s="20">
        <f>IF(F$5=0,0,F50/F$5)</f>
        <v>0.666666666666667</v>
      </c>
    </row>
    <row r="51">
      <c r="A51" s="4" t="inlineStr">
        <is>
          <t>問7</t>
        </is>
      </c>
      <c r="B51" s="5" t="inlineStr"/>
      <c r="C51" s="5" t="inlineStr">
        <is>
          <t>自宅で一人暮らし</t>
        </is>
      </c>
      <c r="D51" s="30" t="n">
        <v>5</v>
      </c>
      <c r="E51" s="30" t="n">
        <v>0</v>
      </c>
      <c r="F51" s="30" t="n">
        <v>0</v>
      </c>
      <c r="G51" s="20">
        <f>IF(D$5=0,0,D51/D$5)</f>
        <v>0.172413793103448</v>
      </c>
      <c r="H51" s="20">
        <f>IF(E$5=0,0,E51/E$5)</f>
        <v>0</v>
      </c>
      <c r="I51" s="20">
        <f>IF(F$5=0,0,F51/F$5)</f>
        <v>0</v>
      </c>
    </row>
    <row r="52">
      <c r="A52" s="4" t="inlineStr">
        <is>
          <t>問7</t>
        </is>
      </c>
      <c r="B52" s="5" t="inlineStr"/>
      <c r="C52" s="5" t="inlineStr">
        <is>
          <t>グループホーム</t>
        </is>
      </c>
      <c r="D52" s="30" t="n">
        <v>1</v>
      </c>
      <c r="E52" s="30" t="n">
        <v>0</v>
      </c>
      <c r="F52" s="30" t="n">
        <v>2</v>
      </c>
      <c r="G52" s="20">
        <f>IF(D$5=0,0,D52/D$5)</f>
        <v>0.0344827586206897</v>
      </c>
      <c r="H52" s="20">
        <f>IF(E$5=0,0,E52/E$5)</f>
        <v>0</v>
      </c>
      <c r="I52" s="20">
        <f>IF(F$5=0,0,F52/F$5)</f>
        <v>0.333333333333333</v>
      </c>
    </row>
    <row r="53">
      <c r="A53" s="4" t="inlineStr">
        <is>
          <t>問7</t>
        </is>
      </c>
      <c r="B53" s="5" t="inlineStr"/>
      <c r="C53" s="5" t="inlineStr">
        <is>
          <t>障がい者支援施設</t>
        </is>
      </c>
      <c r="D53" s="30" t="n">
        <v>1</v>
      </c>
      <c r="E53" s="30" t="n">
        <v>2</v>
      </c>
      <c r="F53" s="30" t="n">
        <v>0</v>
      </c>
      <c r="G53" s="20">
        <f>IF(D$5=0,0,D53/D$5)</f>
        <v>0.0344827586206897</v>
      </c>
      <c r="H53" s="20">
        <f>IF(E$5=0,0,E53/E$5)</f>
        <v>1</v>
      </c>
      <c r="I53" s="20">
        <f>IF(F$5=0,0,F53/F$5)</f>
        <v>0</v>
      </c>
    </row>
    <row r="54">
      <c r="A54" s="4" t="inlineStr">
        <is>
          <t>問7</t>
        </is>
      </c>
      <c r="B54" s="5" t="inlineStr"/>
      <c r="C54" s="5" t="inlineStr">
        <is>
          <t>病院に入院中</t>
        </is>
      </c>
      <c r="D54" s="30" t="n">
        <v>1</v>
      </c>
      <c r="E54" s="30" t="n">
        <v>0</v>
      </c>
      <c r="F54" s="30" t="n">
        <v>0</v>
      </c>
      <c r="G54" s="20">
        <f>IF(D$5=0,0,D54/D$5)</f>
        <v>0.0344827586206897</v>
      </c>
      <c r="H54" s="20">
        <f>IF(E$5=0,0,E54/E$5)</f>
        <v>0</v>
      </c>
      <c r="I54" s="20">
        <f>IF(F$5=0,0,F54/F$5)</f>
        <v>0</v>
      </c>
    </row>
    <row r="55">
      <c r="A55" s="4" t="inlineStr">
        <is>
          <t>問7</t>
        </is>
      </c>
      <c r="B55" s="5" t="inlineStr"/>
      <c r="C55" s="5" t="inlineStr">
        <is>
          <t>高齢者施設等</t>
        </is>
      </c>
      <c r="D55" s="30" t="n">
        <v>1</v>
      </c>
      <c r="E55" s="30" t="n">
        <v>0</v>
      </c>
      <c r="F55" s="30" t="n">
        <v>0</v>
      </c>
      <c r="G55" s="20">
        <f>IF(D$5=0,0,D55/D$5)</f>
        <v>0.0344827586206897</v>
      </c>
      <c r="H55" s="20">
        <f>IF(E$5=0,0,E55/E$5)</f>
        <v>0</v>
      </c>
      <c r="I55" s="20">
        <f>IF(F$5=0,0,F55/F$5)</f>
        <v>0</v>
      </c>
    </row>
    <row r="56">
      <c r="A56" s="4" t="inlineStr">
        <is>
          <t>問7</t>
        </is>
      </c>
      <c r="B56" s="5" t="inlineStr"/>
      <c r="C56" s="5" t="inlineStr">
        <is>
          <t>その他</t>
        </is>
      </c>
      <c r="D56" s="30" t="n">
        <v>0</v>
      </c>
      <c r="E56" s="30" t="n">
        <v>0</v>
      </c>
      <c r="F56" s="30" t="n">
        <v>0</v>
      </c>
      <c r="G56" s="20">
        <f>IF(D$5=0,0,D56/D$5)</f>
        <v>0</v>
      </c>
      <c r="H56" s="20">
        <f>IF(E$5=0,0,E56/E$5)</f>
        <v>0</v>
      </c>
      <c r="I56" s="20">
        <f>IF(F$5=0,0,F56/F$5)</f>
        <v>0</v>
      </c>
    </row>
    <row r="57">
      <c r="A57" s="4" t="inlineStr">
        <is>
          <t>問7</t>
        </is>
      </c>
      <c r="B57" s="5" t="inlineStr"/>
      <c r="C57" s="5" t="inlineStr">
        <is>
          <t>無回答</t>
        </is>
      </c>
      <c r="D57" s="30" t="n">
        <v>1</v>
      </c>
      <c r="E57" s="30" t="n">
        <v>0</v>
      </c>
      <c r="F57" s="30" t="n">
        <v>0</v>
      </c>
      <c r="G57" s="20">
        <f>IF(D$5=0,0,D57/D$5)</f>
        <v>0.0344827586206897</v>
      </c>
      <c r="H57" s="20">
        <f>IF(E$5=0,0,E57/E$5)</f>
        <v>0</v>
      </c>
      <c r="I57" s="20">
        <f>IF(F$5=0,0,F57/F$5)</f>
        <v>0</v>
      </c>
    </row>
    <row r="58">
      <c r="A58" s="4" t="inlineStr">
        <is>
          <t>問8</t>
        </is>
      </c>
      <c r="B58" s="5" t="inlineStr">
        <is>
          <t>現在一緒に暮らしている方を教えてください（あてはまるものすべて）</t>
        </is>
      </c>
      <c r="C58" s="5" t="inlineStr">
        <is>
          <t>一人暮らし</t>
        </is>
      </c>
      <c r="D58" s="30" t="n">
        <v>5</v>
      </c>
      <c r="E58" s="30" t="n">
        <v>1</v>
      </c>
      <c r="F58" s="30" t="n">
        <v>0</v>
      </c>
      <c r="G58" s="20">
        <f>IF(D$5=0,0,D58/D$5)</f>
        <v>0.172413793103448</v>
      </c>
      <c r="H58" s="20">
        <f>IF(E$5=0,0,E58/E$5)</f>
        <v>0.5</v>
      </c>
      <c r="I58" s="20">
        <f>IF(F$5=0,0,F58/F$5)</f>
        <v>0</v>
      </c>
    </row>
    <row r="59">
      <c r="A59" s="4" t="inlineStr">
        <is>
          <t>問8</t>
        </is>
      </c>
      <c r="B59" s="5" t="inlineStr"/>
      <c r="C59" s="5" t="inlineStr">
        <is>
          <t>配偶者</t>
        </is>
      </c>
      <c r="D59" s="30" t="n">
        <v>13</v>
      </c>
      <c r="E59" s="30" t="n">
        <v>0</v>
      </c>
      <c r="F59" s="30" t="n">
        <v>0</v>
      </c>
      <c r="G59" s="20">
        <f>IF(D$5=0,0,D59/D$5)</f>
        <v>0.448275862068966</v>
      </c>
      <c r="H59" s="20">
        <f>IF(E$5=0,0,E59/E$5)</f>
        <v>0</v>
      </c>
      <c r="I59" s="20">
        <f>IF(F$5=0,0,F59/F$5)</f>
        <v>0</v>
      </c>
    </row>
    <row r="60">
      <c r="A60" s="4" t="inlineStr">
        <is>
          <t>問8</t>
        </is>
      </c>
      <c r="B60" s="5" t="inlineStr"/>
      <c r="C60" s="5" t="inlineStr">
        <is>
          <t>親</t>
        </is>
      </c>
      <c r="D60" s="30" t="n">
        <v>3</v>
      </c>
      <c r="E60" s="30" t="n">
        <v>0</v>
      </c>
      <c r="F60" s="30" t="n">
        <v>4</v>
      </c>
      <c r="G60" s="20">
        <f>IF(D$5=0,0,D60/D$5)</f>
        <v>0.103448275862069</v>
      </c>
      <c r="H60" s="20">
        <f>IF(E$5=0,0,E60/E$5)</f>
        <v>0</v>
      </c>
      <c r="I60" s="20">
        <f>IF(F$5=0,0,F60/F$5)</f>
        <v>0.666666666666667</v>
      </c>
    </row>
    <row r="61">
      <c r="A61" s="4" t="inlineStr">
        <is>
          <t>問8</t>
        </is>
      </c>
      <c r="B61" s="5" t="inlineStr"/>
      <c r="C61" s="5" t="inlineStr">
        <is>
          <t>子ども</t>
        </is>
      </c>
      <c r="D61" s="30" t="n">
        <v>11</v>
      </c>
      <c r="E61" s="30" t="n">
        <v>0</v>
      </c>
      <c r="F61" s="30" t="n">
        <v>0</v>
      </c>
      <c r="G61" s="20">
        <f>IF(D$5=0,0,D61/D$5)</f>
        <v>0.379310344827586</v>
      </c>
      <c r="H61" s="20">
        <f>IF(E$5=0,0,E61/E$5)</f>
        <v>0</v>
      </c>
      <c r="I61" s="20">
        <f>IF(F$5=0,0,F61/F$5)</f>
        <v>0</v>
      </c>
    </row>
    <row r="62">
      <c r="A62" s="4" t="inlineStr">
        <is>
          <t>問8</t>
        </is>
      </c>
      <c r="B62" s="5" t="inlineStr"/>
      <c r="C62" s="5" t="inlineStr">
        <is>
          <t>兄弟姉妹</t>
        </is>
      </c>
      <c r="D62" s="30" t="n">
        <v>1</v>
      </c>
      <c r="E62" s="30" t="n">
        <v>0</v>
      </c>
      <c r="F62" s="30" t="n">
        <v>1</v>
      </c>
      <c r="G62" s="20">
        <f>IF(D$5=0,0,D62/D$5)</f>
        <v>0.0344827586206897</v>
      </c>
      <c r="H62" s="20">
        <f>IF(E$5=0,0,E62/E$5)</f>
        <v>0</v>
      </c>
      <c r="I62" s="20">
        <f>IF(F$5=0,0,F62/F$5)</f>
        <v>0.166666666666667</v>
      </c>
    </row>
    <row r="63">
      <c r="A63" s="4" t="inlineStr">
        <is>
          <t>問8</t>
        </is>
      </c>
      <c r="B63" s="5" t="inlineStr"/>
      <c r="C63" s="5" t="inlineStr">
        <is>
          <t>祖父母</t>
        </is>
      </c>
      <c r="D63" s="30" t="n">
        <v>1</v>
      </c>
      <c r="E63" s="30" t="n">
        <v>0</v>
      </c>
      <c r="F63" s="30" t="n">
        <v>0</v>
      </c>
      <c r="G63" s="20">
        <f>IF(D$5=0,0,D63/D$5)</f>
        <v>0.0344827586206897</v>
      </c>
      <c r="H63" s="20">
        <f>IF(E$5=0,0,E63/E$5)</f>
        <v>0</v>
      </c>
      <c r="I63" s="20">
        <f>IF(F$5=0,0,F63/F$5)</f>
        <v>0</v>
      </c>
    </row>
    <row r="64">
      <c r="A64" s="4" t="inlineStr">
        <is>
          <t>問8</t>
        </is>
      </c>
      <c r="B64" s="5" t="inlineStr"/>
      <c r="C64" s="5" t="inlineStr">
        <is>
          <t>その他</t>
        </is>
      </c>
      <c r="D64" s="30" t="n">
        <v>0</v>
      </c>
      <c r="E64" s="30" t="n">
        <v>1</v>
      </c>
      <c r="F64" s="30" t="n">
        <v>2</v>
      </c>
      <c r="G64" s="20">
        <f>IF(D$5=0,0,D64/D$5)</f>
        <v>0</v>
      </c>
      <c r="H64" s="20">
        <f>IF(E$5=0,0,E64/E$5)</f>
        <v>0.5</v>
      </c>
      <c r="I64" s="20">
        <f>IF(F$5=0,0,F64/F$5)</f>
        <v>0.333333333333333</v>
      </c>
    </row>
    <row r="65">
      <c r="A65" s="4" t="inlineStr">
        <is>
          <t>問8</t>
        </is>
      </c>
      <c r="B65" s="5" t="inlineStr"/>
      <c r="C65" s="5" t="inlineStr">
        <is>
          <t>無回答</t>
        </is>
      </c>
      <c r="D65" s="30" t="n">
        <v>3</v>
      </c>
      <c r="E65" s="30" t="n">
        <v>0</v>
      </c>
      <c r="F65" s="30" t="n">
        <v>0</v>
      </c>
      <c r="G65" s="20">
        <f>IF(D$5=0,0,D65/D$5)</f>
        <v>0.103448275862069</v>
      </c>
      <c r="H65" s="20">
        <f>IF(E$5=0,0,E65/E$5)</f>
        <v>0</v>
      </c>
      <c r="I65" s="20">
        <f>IF(F$5=0,0,F65/F$5)</f>
        <v>0</v>
      </c>
    </row>
    <row r="66">
      <c r="A66" s="4" t="inlineStr">
        <is>
          <t>問9</t>
        </is>
      </c>
      <c r="B66" s="5" t="inlineStr">
        <is>
          <t>日常生活で主に支援・介助してくれる方はどなたですか（あてはまるものすべて）</t>
        </is>
      </c>
      <c r="C66" s="5" t="inlineStr">
        <is>
          <t>介助は必要ない</t>
        </is>
      </c>
      <c r="D66" s="30" t="n">
        <v>14</v>
      </c>
      <c r="E66" s="30" t="n">
        <v>0</v>
      </c>
      <c r="F66" s="30" t="n">
        <v>1</v>
      </c>
      <c r="G66" s="20">
        <f>IF(D$5=0,0,D66/D$5)</f>
        <v>0.482758620689655</v>
      </c>
      <c r="H66" s="20">
        <f>IF(E$5=0,0,E66/E$5)</f>
        <v>0</v>
      </c>
      <c r="I66" s="20">
        <f>IF(F$5=0,0,F66/F$5)</f>
        <v>0.166666666666667</v>
      </c>
    </row>
    <row r="67">
      <c r="A67" s="4" t="inlineStr">
        <is>
          <t>問9</t>
        </is>
      </c>
      <c r="B67" s="5" t="inlineStr"/>
      <c r="C67" s="5" t="inlineStr">
        <is>
          <t>親</t>
        </is>
      </c>
      <c r="D67" s="30" t="n">
        <v>2</v>
      </c>
      <c r="E67" s="30" t="n">
        <v>0</v>
      </c>
      <c r="F67" s="30" t="n">
        <v>3</v>
      </c>
      <c r="G67" s="20">
        <f>IF(D$5=0,0,D67/D$5)</f>
        <v>0.0689655172413793</v>
      </c>
      <c r="H67" s="20">
        <f>IF(E$5=0,0,E67/E$5)</f>
        <v>0</v>
      </c>
      <c r="I67" s="20">
        <f>IF(F$5=0,0,F67/F$5)</f>
        <v>0.5</v>
      </c>
    </row>
    <row r="68">
      <c r="A68" s="4" t="inlineStr">
        <is>
          <t>問9</t>
        </is>
      </c>
      <c r="B68" s="5" t="inlineStr"/>
      <c r="C68" s="5" t="inlineStr">
        <is>
          <t>配偶者</t>
        </is>
      </c>
      <c r="D68" s="30" t="n">
        <v>6</v>
      </c>
      <c r="E68" s="30" t="n">
        <v>0</v>
      </c>
      <c r="F68" s="30" t="n">
        <v>0</v>
      </c>
      <c r="G68" s="20">
        <f>IF(D$5=0,0,D68/D$5)</f>
        <v>0.206896551724138</v>
      </c>
      <c r="H68" s="20">
        <f>IF(E$5=0,0,E68/E$5)</f>
        <v>0</v>
      </c>
      <c r="I68" s="20">
        <f>IF(F$5=0,0,F68/F$5)</f>
        <v>0</v>
      </c>
    </row>
    <row r="69">
      <c r="A69" s="4" t="inlineStr">
        <is>
          <t>問9</t>
        </is>
      </c>
      <c r="B69" s="5" t="inlineStr"/>
      <c r="C69" s="5" t="inlineStr">
        <is>
          <t>子ども</t>
        </is>
      </c>
      <c r="D69" s="30" t="n">
        <v>9</v>
      </c>
      <c r="E69" s="30" t="n">
        <v>0</v>
      </c>
      <c r="F69" s="30" t="n">
        <v>0</v>
      </c>
      <c r="G69" s="20">
        <f>IF(D$5=0,0,D69/D$5)</f>
        <v>0.310344827586207</v>
      </c>
      <c r="H69" s="20">
        <f>IF(E$5=0,0,E69/E$5)</f>
        <v>0</v>
      </c>
      <c r="I69" s="20">
        <f>IF(F$5=0,0,F69/F$5)</f>
        <v>0</v>
      </c>
    </row>
    <row r="70">
      <c r="A70" s="4" t="inlineStr">
        <is>
          <t>問9</t>
        </is>
      </c>
      <c r="B70" s="5" t="inlineStr"/>
      <c r="C70" s="5" t="inlineStr">
        <is>
          <t>兄弟姉妹</t>
        </is>
      </c>
      <c r="D70" s="30" t="n">
        <v>0</v>
      </c>
      <c r="E70" s="30" t="n">
        <v>0</v>
      </c>
      <c r="F70" s="30" t="n">
        <v>0</v>
      </c>
      <c r="G70" s="20">
        <f>IF(D$5=0,0,D70/D$5)</f>
        <v>0</v>
      </c>
      <c r="H70" s="20">
        <f>IF(E$5=0,0,E70/E$5)</f>
        <v>0</v>
      </c>
      <c r="I70" s="20">
        <f>IF(F$5=0,0,F70/F$5)</f>
        <v>0</v>
      </c>
    </row>
    <row r="71">
      <c r="A71" s="4" t="inlineStr">
        <is>
          <t>問9</t>
        </is>
      </c>
      <c r="B71" s="5" t="inlineStr"/>
      <c r="C71" s="5" t="inlineStr">
        <is>
          <t>その他の親族</t>
        </is>
      </c>
      <c r="D71" s="30" t="n">
        <v>1</v>
      </c>
      <c r="E71" s="30" t="n">
        <v>0</v>
      </c>
      <c r="F71" s="30" t="n">
        <v>0</v>
      </c>
      <c r="G71" s="20">
        <f>IF(D$5=0,0,D71/D$5)</f>
        <v>0.0344827586206897</v>
      </c>
      <c r="H71" s="20">
        <f>IF(E$5=0,0,E71/E$5)</f>
        <v>0</v>
      </c>
      <c r="I71" s="20">
        <f>IF(F$5=0,0,F71/F$5)</f>
        <v>0</v>
      </c>
    </row>
    <row r="72">
      <c r="A72" s="4" t="inlineStr">
        <is>
          <t>問9</t>
        </is>
      </c>
      <c r="B72" s="5" t="inlineStr"/>
      <c r="C72" s="5" t="inlineStr">
        <is>
          <t>ホームヘルパー等</t>
        </is>
      </c>
      <c r="D72" s="30" t="n">
        <v>2</v>
      </c>
      <c r="E72" s="30" t="n">
        <v>0</v>
      </c>
      <c r="F72" s="30" t="n">
        <v>0</v>
      </c>
      <c r="G72" s="20">
        <f>IF(D$5=0,0,D72/D$5)</f>
        <v>0.0689655172413793</v>
      </c>
      <c r="H72" s="20">
        <f>IF(E$5=0,0,E72/E$5)</f>
        <v>0</v>
      </c>
      <c r="I72" s="20">
        <f>IF(F$5=0,0,F72/F$5)</f>
        <v>0</v>
      </c>
    </row>
    <row r="73">
      <c r="A73" s="4" t="inlineStr">
        <is>
          <t>問9</t>
        </is>
      </c>
      <c r="B73" s="5" t="inlineStr"/>
      <c r="C73" s="5" t="inlineStr">
        <is>
          <t>施設・事業所職員</t>
        </is>
      </c>
      <c r="D73" s="30" t="n">
        <v>4</v>
      </c>
      <c r="E73" s="30" t="n">
        <v>2</v>
      </c>
      <c r="F73" s="30" t="n">
        <v>2</v>
      </c>
      <c r="G73" s="20">
        <f>IF(D$5=0,0,D73/D$5)</f>
        <v>0.137931034482759</v>
      </c>
      <c r="H73" s="20">
        <f>IF(E$5=0,0,E73/E$5)</f>
        <v>1</v>
      </c>
      <c r="I73" s="20">
        <f>IF(F$5=0,0,F73/F$5)</f>
        <v>0.333333333333333</v>
      </c>
    </row>
    <row r="74">
      <c r="A74" s="4" t="inlineStr">
        <is>
          <t>問9</t>
        </is>
      </c>
      <c r="B74" s="5" t="inlineStr"/>
      <c r="C74" s="5" t="inlineStr">
        <is>
          <t>主な支援者はいない</t>
        </is>
      </c>
      <c r="D74" s="30" t="n">
        <v>1</v>
      </c>
      <c r="E74" s="30" t="n">
        <v>0</v>
      </c>
      <c r="F74" s="30" t="n">
        <v>0</v>
      </c>
      <c r="G74" s="20">
        <f>IF(D$5=0,0,D74/D$5)</f>
        <v>0.0344827586206897</v>
      </c>
      <c r="H74" s="20">
        <f>IF(E$5=0,0,E74/E$5)</f>
        <v>0</v>
      </c>
      <c r="I74" s="20">
        <f>IF(F$5=0,0,F74/F$5)</f>
        <v>0</v>
      </c>
    </row>
    <row r="75">
      <c r="A75" s="4" t="inlineStr">
        <is>
          <t>問9</t>
        </is>
      </c>
      <c r="B75" s="5" t="inlineStr"/>
      <c r="C75" s="5" t="inlineStr">
        <is>
          <t>その他</t>
        </is>
      </c>
      <c r="D75" s="30" t="n">
        <v>0</v>
      </c>
      <c r="E75" s="30" t="n">
        <v>0</v>
      </c>
      <c r="F75" s="30" t="n">
        <v>0</v>
      </c>
      <c r="G75" s="20">
        <f>IF(D$5=0,0,D75/D$5)</f>
        <v>0</v>
      </c>
      <c r="H75" s="20">
        <f>IF(E$5=0,0,E75/E$5)</f>
        <v>0</v>
      </c>
      <c r="I75" s="20">
        <f>IF(F$5=0,0,F75/F$5)</f>
        <v>0</v>
      </c>
    </row>
    <row r="76">
      <c r="A76" s="4" t="inlineStr">
        <is>
          <t>問9</t>
        </is>
      </c>
      <c r="B76" s="5" t="inlineStr"/>
      <c r="C76" s="5" t="inlineStr">
        <is>
          <t>無回答</t>
        </is>
      </c>
      <c r="D76" s="30" t="n">
        <v>1</v>
      </c>
      <c r="E76" s="30" t="n">
        <v>0</v>
      </c>
      <c r="F76" s="30" t="n">
        <v>0</v>
      </c>
      <c r="G76" s="20">
        <f>IF(D$5=0,0,D76/D$5)</f>
        <v>0.0344827586206897</v>
      </c>
      <c r="H76" s="20">
        <f>IF(E$5=0,0,E76/E$5)</f>
        <v>0</v>
      </c>
      <c r="I76" s="20">
        <f>IF(F$5=0,0,F76/F$5)</f>
        <v>0</v>
      </c>
    </row>
    <row r="77">
      <c r="A77" s="4" t="inlineStr">
        <is>
          <t>問10</t>
        </is>
      </c>
      <c r="B77" s="5" t="inlineStr">
        <is>
          <t>日常生活で困っていることは何ですか（あてはまるものすべて）</t>
        </is>
      </c>
      <c r="C77" s="5" t="inlineStr">
        <is>
          <t>家事</t>
        </is>
      </c>
      <c r="D77" s="30" t="n">
        <v>0</v>
      </c>
      <c r="E77" s="30" t="n">
        <v>1</v>
      </c>
      <c r="F77" s="30" t="n">
        <v>0</v>
      </c>
      <c r="G77" s="20">
        <f>IF(D$5=0,0,D77/D$5)</f>
        <v>0</v>
      </c>
      <c r="H77" s="20">
        <f>IF(E$5=0,0,E77/E$5)</f>
        <v>0.5</v>
      </c>
      <c r="I77" s="20">
        <f>IF(F$5=0,0,F77/F$5)</f>
        <v>0</v>
      </c>
    </row>
    <row r="78">
      <c r="A78" s="4" t="inlineStr">
        <is>
          <t>問10</t>
        </is>
      </c>
      <c r="B78" s="5" t="inlineStr"/>
      <c r="C78" s="5" t="inlineStr">
        <is>
          <t>食事</t>
        </is>
      </c>
      <c r="D78" s="30" t="n">
        <v>3</v>
      </c>
      <c r="E78" s="30" t="n">
        <v>1</v>
      </c>
      <c r="F78" s="30" t="n">
        <v>0</v>
      </c>
      <c r="G78" s="20">
        <f>IF(D$5=0,0,D78/D$5)</f>
        <v>0.103448275862069</v>
      </c>
      <c r="H78" s="20">
        <f>IF(E$5=0,0,E78/E$5)</f>
        <v>0.5</v>
      </c>
      <c r="I78" s="20">
        <f>IF(F$5=0,0,F78/F$5)</f>
        <v>0</v>
      </c>
    </row>
    <row r="79">
      <c r="A79" s="4" t="inlineStr">
        <is>
          <t>問10</t>
        </is>
      </c>
      <c r="B79" s="5" t="inlineStr"/>
      <c r="C79" s="5" t="inlineStr">
        <is>
          <t>入浴</t>
        </is>
      </c>
      <c r="D79" s="30" t="n">
        <v>3</v>
      </c>
      <c r="E79" s="30" t="n">
        <v>1</v>
      </c>
      <c r="F79" s="30" t="n">
        <v>0</v>
      </c>
      <c r="G79" s="20">
        <f>IF(D$5=0,0,D79/D$5)</f>
        <v>0.103448275862069</v>
      </c>
      <c r="H79" s="20">
        <f>IF(E$5=0,0,E79/E$5)</f>
        <v>0.5</v>
      </c>
      <c r="I79" s="20">
        <f>IF(F$5=0,0,F79/F$5)</f>
        <v>0</v>
      </c>
    </row>
    <row r="80">
      <c r="A80" s="4" t="inlineStr">
        <is>
          <t>問10</t>
        </is>
      </c>
      <c r="B80" s="5" t="inlineStr"/>
      <c r="C80" s="5" t="inlineStr">
        <is>
          <t>排せつ</t>
        </is>
      </c>
      <c r="D80" s="30" t="n">
        <v>2</v>
      </c>
      <c r="E80" s="30" t="n">
        <v>0</v>
      </c>
      <c r="F80" s="30" t="n">
        <v>0</v>
      </c>
      <c r="G80" s="20">
        <f>IF(D$5=0,0,D80/D$5)</f>
        <v>0.0689655172413793</v>
      </c>
      <c r="H80" s="20">
        <f>IF(E$5=0,0,E80/E$5)</f>
        <v>0</v>
      </c>
      <c r="I80" s="20">
        <f>IF(F$5=0,0,F80/F$5)</f>
        <v>0</v>
      </c>
    </row>
    <row r="81">
      <c r="A81" s="4" t="inlineStr">
        <is>
          <t>問10</t>
        </is>
      </c>
      <c r="B81" s="5" t="inlineStr"/>
      <c r="C81" s="5" t="inlineStr">
        <is>
          <t>服薬管理</t>
        </is>
      </c>
      <c r="D81" s="30" t="n">
        <v>4</v>
      </c>
      <c r="E81" s="30" t="n">
        <v>1</v>
      </c>
      <c r="F81" s="30" t="n">
        <v>0</v>
      </c>
      <c r="G81" s="20">
        <f>IF(D$5=0,0,D81/D$5)</f>
        <v>0.137931034482759</v>
      </c>
      <c r="H81" s="20">
        <f>IF(E$5=0,0,E81/E$5)</f>
        <v>0.5</v>
      </c>
      <c r="I81" s="20">
        <f>IF(F$5=0,0,F81/F$5)</f>
        <v>0</v>
      </c>
    </row>
    <row r="82">
      <c r="A82" s="4" t="inlineStr">
        <is>
          <t>問10</t>
        </is>
      </c>
      <c r="B82" s="5" t="inlineStr"/>
      <c r="C82" s="5" t="inlineStr">
        <is>
          <t>金銭管理</t>
        </is>
      </c>
      <c r="D82" s="30" t="n">
        <v>1</v>
      </c>
      <c r="E82" s="30" t="n">
        <v>1</v>
      </c>
      <c r="F82" s="30" t="n">
        <v>2</v>
      </c>
      <c r="G82" s="20">
        <f>IF(D$5=0,0,D82/D$5)</f>
        <v>0.0344827586206897</v>
      </c>
      <c r="H82" s="20">
        <f>IF(E$5=0,0,E82/E$5)</f>
        <v>0.5</v>
      </c>
      <c r="I82" s="20">
        <f>IF(F$5=0,0,F82/F$5)</f>
        <v>0.333333333333333</v>
      </c>
    </row>
    <row r="83">
      <c r="A83" s="4" t="inlineStr">
        <is>
          <t>問10</t>
        </is>
      </c>
      <c r="B83" s="5" t="inlineStr"/>
      <c r="C83" s="5" t="inlineStr">
        <is>
          <t>通院</t>
        </is>
      </c>
      <c r="D83" s="30" t="n">
        <v>5</v>
      </c>
      <c r="E83" s="30" t="n">
        <v>1</v>
      </c>
      <c r="F83" s="30" t="n">
        <v>1</v>
      </c>
      <c r="G83" s="20">
        <f>IF(D$5=0,0,D83/D$5)</f>
        <v>0.172413793103448</v>
      </c>
      <c r="H83" s="20">
        <f>IF(E$5=0,0,E83/E$5)</f>
        <v>0.5</v>
      </c>
      <c r="I83" s="20">
        <f>IF(F$5=0,0,F83/F$5)</f>
        <v>0.166666666666667</v>
      </c>
    </row>
    <row r="84">
      <c r="A84" s="4" t="inlineStr">
        <is>
          <t>問10</t>
        </is>
      </c>
      <c r="B84" s="5" t="inlineStr"/>
      <c r="C84" s="5" t="inlineStr">
        <is>
          <t>外出・移動</t>
        </is>
      </c>
      <c r="D84" s="30" t="n">
        <v>8</v>
      </c>
      <c r="E84" s="30" t="n">
        <v>2</v>
      </c>
      <c r="F84" s="30" t="n">
        <v>1</v>
      </c>
      <c r="G84" s="20">
        <f>IF(D$5=0,0,D84/D$5)</f>
        <v>0.275862068965517</v>
      </c>
      <c r="H84" s="20">
        <f>IF(E$5=0,0,E84/E$5)</f>
        <v>1</v>
      </c>
      <c r="I84" s="20">
        <f>IF(F$5=0,0,F84/F$5)</f>
        <v>0.166666666666667</v>
      </c>
    </row>
    <row r="85">
      <c r="A85" s="4" t="inlineStr">
        <is>
          <t>問10</t>
        </is>
      </c>
      <c r="B85" s="5" t="inlineStr"/>
      <c r="C85" s="5" t="inlineStr">
        <is>
          <t>買い物</t>
        </is>
      </c>
      <c r="D85" s="30" t="n">
        <v>3</v>
      </c>
      <c r="E85" s="30" t="n">
        <v>1</v>
      </c>
      <c r="F85" s="30" t="n">
        <v>1</v>
      </c>
      <c r="G85" s="20">
        <f>IF(D$5=0,0,D85/D$5)</f>
        <v>0.103448275862069</v>
      </c>
      <c r="H85" s="20">
        <f>IF(E$5=0,0,E85/E$5)</f>
        <v>0.5</v>
      </c>
      <c r="I85" s="20">
        <f>IF(F$5=0,0,F85/F$5)</f>
        <v>0.166666666666667</v>
      </c>
    </row>
    <row r="86">
      <c r="A86" s="4" t="inlineStr">
        <is>
          <t>問10</t>
        </is>
      </c>
      <c r="B86" s="5" t="inlineStr"/>
      <c r="C86" s="5" t="inlineStr">
        <is>
          <t>災害時の避難</t>
        </is>
      </c>
      <c r="D86" s="30" t="n">
        <v>8</v>
      </c>
      <c r="E86" s="30" t="n">
        <v>2</v>
      </c>
      <c r="F86" s="30" t="n">
        <v>1</v>
      </c>
      <c r="G86" s="20">
        <f>IF(D$5=0,0,D86/D$5)</f>
        <v>0.275862068965517</v>
      </c>
      <c r="H86" s="20">
        <f>IF(E$5=0,0,E86/E$5)</f>
        <v>1</v>
      </c>
      <c r="I86" s="20">
        <f>IF(F$5=0,0,F86/F$5)</f>
        <v>0.166666666666667</v>
      </c>
    </row>
    <row r="87">
      <c r="A87" s="4" t="inlineStr">
        <is>
          <t>問10</t>
        </is>
      </c>
      <c r="B87" s="5" t="inlineStr"/>
      <c r="C87" s="5" t="inlineStr">
        <is>
          <t>相談先がない</t>
        </is>
      </c>
      <c r="D87" s="30" t="n">
        <v>0</v>
      </c>
      <c r="E87" s="30" t="n">
        <v>0</v>
      </c>
      <c r="F87" s="30" t="n">
        <v>1</v>
      </c>
      <c r="G87" s="20">
        <f>IF(D$5=0,0,D87/D$5)</f>
        <v>0</v>
      </c>
      <c r="H87" s="20">
        <f>IF(E$5=0,0,E87/E$5)</f>
        <v>0</v>
      </c>
      <c r="I87" s="20">
        <f>IF(F$5=0,0,F87/F$5)</f>
        <v>0.166666666666667</v>
      </c>
    </row>
    <row r="88">
      <c r="A88" s="4" t="inlineStr">
        <is>
          <t>問10</t>
        </is>
      </c>
      <c r="B88" s="5" t="inlineStr"/>
      <c r="C88" s="5" t="inlineStr">
        <is>
          <t>将来の生活</t>
        </is>
      </c>
      <c r="D88" s="30" t="n">
        <v>7</v>
      </c>
      <c r="E88" s="30" t="n">
        <v>2</v>
      </c>
      <c r="F88" s="30" t="n">
        <v>3</v>
      </c>
      <c r="G88" s="20">
        <f>IF(D$5=0,0,D88/D$5)</f>
        <v>0.241379310344828</v>
      </c>
      <c r="H88" s="20">
        <f>IF(E$5=0,0,E88/E$5)</f>
        <v>1</v>
      </c>
      <c r="I88" s="20">
        <f>IF(F$5=0,0,F88/F$5)</f>
        <v>0.5</v>
      </c>
    </row>
    <row r="89">
      <c r="A89" s="4" t="inlineStr">
        <is>
          <t>問10</t>
        </is>
      </c>
      <c r="B89" s="5" t="inlineStr"/>
      <c r="C89" s="5" t="inlineStr">
        <is>
          <t>特にない</t>
        </is>
      </c>
      <c r="D89" s="30" t="n">
        <v>9</v>
      </c>
      <c r="E89" s="30" t="n">
        <v>0</v>
      </c>
      <c r="F89" s="30" t="n">
        <v>3</v>
      </c>
      <c r="G89" s="20">
        <f>IF(D$5=0,0,D89/D$5)</f>
        <v>0.310344827586207</v>
      </c>
      <c r="H89" s="20">
        <f>IF(E$5=0,0,E89/E$5)</f>
        <v>0</v>
      </c>
      <c r="I89" s="20">
        <f>IF(F$5=0,0,F89/F$5)</f>
        <v>0.5</v>
      </c>
    </row>
    <row r="90">
      <c r="A90" s="4" t="inlineStr">
        <is>
          <t>問10</t>
        </is>
      </c>
      <c r="B90" s="5" t="inlineStr"/>
      <c r="C90" s="5" t="inlineStr">
        <is>
          <t>その他</t>
        </is>
      </c>
      <c r="D90" s="30" t="n">
        <v>1</v>
      </c>
      <c r="E90" s="30" t="n">
        <v>0</v>
      </c>
      <c r="F90" s="30" t="n">
        <v>0</v>
      </c>
      <c r="G90" s="20">
        <f>IF(D$5=0,0,D90/D$5)</f>
        <v>0.0344827586206897</v>
      </c>
      <c r="H90" s="20">
        <f>IF(E$5=0,0,E90/E$5)</f>
        <v>0</v>
      </c>
      <c r="I90" s="20">
        <f>IF(F$5=0,0,F90/F$5)</f>
        <v>0</v>
      </c>
    </row>
    <row r="91">
      <c r="A91" s="4" t="inlineStr">
        <is>
          <t>問10</t>
        </is>
      </c>
      <c r="B91" s="5" t="inlineStr"/>
      <c r="C91" s="5" t="inlineStr">
        <is>
          <t>無回答</t>
        </is>
      </c>
      <c r="D91" s="30" t="n">
        <v>1</v>
      </c>
      <c r="E91" s="30" t="n">
        <v>0</v>
      </c>
      <c r="F91" s="30" t="n">
        <v>0</v>
      </c>
      <c r="G91" s="20">
        <f>IF(D$5=0,0,D91/D$5)</f>
        <v>0.0344827586206897</v>
      </c>
      <c r="H91" s="20">
        <f>IF(E$5=0,0,E91/E$5)</f>
        <v>0</v>
      </c>
      <c r="I91" s="20">
        <f>IF(F$5=0,0,F91/F$5)</f>
        <v>0</v>
      </c>
    </row>
    <row r="92">
      <c r="A92" s="4" t="inlineStr">
        <is>
          <t>問11</t>
        </is>
      </c>
      <c r="B92" s="5" t="inlineStr">
        <is>
          <t>将来、どのような暮らし方を希望しますか</t>
        </is>
      </c>
      <c r="C92" s="5" t="inlineStr">
        <is>
          <t>今の自宅で暮らしたい</t>
        </is>
      </c>
      <c r="D92" s="30" t="n">
        <v>11</v>
      </c>
      <c r="E92" s="30" t="n">
        <v>0</v>
      </c>
      <c r="F92" s="30" t="n">
        <v>3</v>
      </c>
      <c r="G92" s="20">
        <f>IF(D$5=0,0,D92/D$5)</f>
        <v>0.379310344827586</v>
      </c>
      <c r="H92" s="20">
        <f>IF(E$5=0,0,E92/E$5)</f>
        <v>0</v>
      </c>
      <c r="I92" s="20">
        <f>IF(F$5=0,0,F92/F$5)</f>
        <v>0.5</v>
      </c>
    </row>
    <row r="93">
      <c r="A93" s="4" t="inlineStr">
        <is>
          <t>問11</t>
        </is>
      </c>
      <c r="B93" s="5" t="inlineStr"/>
      <c r="C93" s="5" t="inlineStr">
        <is>
          <t>家族と一緒に暮らしたい</t>
        </is>
      </c>
      <c r="D93" s="30" t="n">
        <v>6</v>
      </c>
      <c r="E93" s="30" t="n">
        <v>0</v>
      </c>
      <c r="F93" s="30" t="n">
        <v>0</v>
      </c>
      <c r="G93" s="20">
        <f>IF(D$5=0,0,D93/D$5)</f>
        <v>0.206896551724138</v>
      </c>
      <c r="H93" s="20">
        <f>IF(E$5=0,0,E93/E$5)</f>
        <v>0</v>
      </c>
      <c r="I93" s="20">
        <f>IF(F$5=0,0,F93/F$5)</f>
        <v>0</v>
      </c>
    </row>
    <row r="94">
      <c r="A94" s="4" t="inlineStr">
        <is>
          <t>問11</t>
        </is>
      </c>
      <c r="B94" s="5" t="inlineStr"/>
      <c r="C94" s="5" t="inlineStr">
        <is>
          <t>一人暮らしをしたい</t>
        </is>
      </c>
      <c r="D94" s="30" t="n">
        <v>2</v>
      </c>
      <c r="E94" s="30" t="n">
        <v>0</v>
      </c>
      <c r="F94" s="30" t="n">
        <v>0</v>
      </c>
      <c r="G94" s="20">
        <f>IF(D$5=0,0,D94/D$5)</f>
        <v>0.0689655172413793</v>
      </c>
      <c r="H94" s="20">
        <f>IF(E$5=0,0,E94/E$5)</f>
        <v>0</v>
      </c>
      <c r="I94" s="20">
        <f>IF(F$5=0,0,F94/F$5)</f>
        <v>0</v>
      </c>
    </row>
    <row r="95">
      <c r="A95" s="4" t="inlineStr">
        <is>
          <t>問11</t>
        </is>
      </c>
      <c r="B95" s="5" t="inlineStr"/>
      <c r="C95" s="5" t="inlineStr">
        <is>
          <t>グループホームで暮らしたい</t>
        </is>
      </c>
      <c r="D95" s="30" t="n">
        <v>0</v>
      </c>
      <c r="E95" s="30" t="n">
        <v>0</v>
      </c>
      <c r="F95" s="30" t="n">
        <v>2</v>
      </c>
      <c r="G95" s="20">
        <f>IF(D$5=0,0,D95/D$5)</f>
        <v>0</v>
      </c>
      <c r="H95" s="20">
        <f>IF(E$5=0,0,E95/E$5)</f>
        <v>0</v>
      </c>
      <c r="I95" s="20">
        <f>IF(F$5=0,0,F95/F$5)</f>
        <v>0.333333333333333</v>
      </c>
    </row>
    <row r="96">
      <c r="A96" s="4" t="inlineStr">
        <is>
          <t>問11</t>
        </is>
      </c>
      <c r="B96" s="5" t="inlineStr"/>
      <c r="C96" s="5" t="inlineStr">
        <is>
          <t>施設で暮らしたい</t>
        </is>
      </c>
      <c r="D96" s="30" t="n">
        <v>3</v>
      </c>
      <c r="E96" s="30" t="n">
        <v>1</v>
      </c>
      <c r="F96" s="30" t="n">
        <v>0</v>
      </c>
      <c r="G96" s="20">
        <f>IF(D$5=0,0,D96/D$5)</f>
        <v>0.103448275862069</v>
      </c>
      <c r="H96" s="20">
        <f>IF(E$5=0,0,E96/E$5)</f>
        <v>0.5</v>
      </c>
      <c r="I96" s="20">
        <f>IF(F$5=0,0,F96/F$5)</f>
        <v>0</v>
      </c>
    </row>
    <row r="97">
      <c r="A97" s="4" t="inlineStr">
        <is>
          <t>問11</t>
        </is>
      </c>
      <c r="B97" s="5" t="inlineStr"/>
      <c r="C97" s="5" t="inlineStr">
        <is>
          <t>病院・施設から地域で暮らしたい</t>
        </is>
      </c>
      <c r="D97" s="30" t="n">
        <v>0</v>
      </c>
      <c r="E97" s="30" t="n">
        <v>0</v>
      </c>
      <c r="F97" s="30" t="n">
        <v>0</v>
      </c>
      <c r="G97" s="20">
        <f>IF(D$5=0,0,D97/D$5)</f>
        <v>0</v>
      </c>
      <c r="H97" s="20">
        <f>IF(E$5=0,0,E97/E$5)</f>
        <v>0</v>
      </c>
      <c r="I97" s="20">
        <f>IF(F$5=0,0,F97/F$5)</f>
        <v>0</v>
      </c>
    </row>
    <row r="98">
      <c r="A98" s="4" t="inlineStr">
        <is>
          <t>問11</t>
        </is>
      </c>
      <c r="B98" s="5" t="inlineStr"/>
      <c r="C98" s="5" t="inlineStr">
        <is>
          <t>まだわからない</t>
        </is>
      </c>
      <c r="D98" s="30" t="n">
        <v>6</v>
      </c>
      <c r="E98" s="30" t="n">
        <v>1</v>
      </c>
      <c r="F98" s="30" t="n">
        <v>0</v>
      </c>
      <c r="G98" s="20">
        <f>IF(D$5=0,0,D98/D$5)</f>
        <v>0.206896551724138</v>
      </c>
      <c r="H98" s="20">
        <f>IF(E$5=0,0,E98/E$5)</f>
        <v>0.5</v>
      </c>
      <c r="I98" s="20">
        <f>IF(F$5=0,0,F98/F$5)</f>
        <v>0</v>
      </c>
    </row>
    <row r="99">
      <c r="A99" s="4" t="inlineStr">
        <is>
          <t>問11</t>
        </is>
      </c>
      <c r="B99" s="5" t="inlineStr"/>
      <c r="C99" s="5" t="inlineStr">
        <is>
          <t>その他</t>
        </is>
      </c>
      <c r="D99" s="30" t="n">
        <v>0</v>
      </c>
      <c r="E99" s="30" t="n">
        <v>0</v>
      </c>
      <c r="F99" s="30" t="n">
        <v>1</v>
      </c>
      <c r="G99" s="20">
        <f>IF(D$5=0,0,D99/D$5)</f>
        <v>0</v>
      </c>
      <c r="H99" s="20">
        <f>IF(E$5=0,0,E99/E$5)</f>
        <v>0</v>
      </c>
      <c r="I99" s="20">
        <f>IF(F$5=0,0,F99/F$5)</f>
        <v>0.166666666666667</v>
      </c>
    </row>
    <row r="100">
      <c r="A100" s="4" t="inlineStr">
        <is>
          <t>問11</t>
        </is>
      </c>
      <c r="B100" s="5" t="inlineStr"/>
      <c r="C100" s="5" t="inlineStr">
        <is>
          <t>無回答</t>
        </is>
      </c>
      <c r="D100" s="30" t="n">
        <v>1</v>
      </c>
      <c r="E100" s="30" t="n">
        <v>0</v>
      </c>
      <c r="F100" s="30" t="n">
        <v>0</v>
      </c>
      <c r="G100" s="20">
        <f>IF(D$5=0,0,D100/D$5)</f>
        <v>0.0344827586206897</v>
      </c>
      <c r="H100" s="20">
        <f>IF(E$5=0,0,E100/E$5)</f>
        <v>0</v>
      </c>
      <c r="I100" s="20">
        <f>IF(F$5=0,0,F100/F$5)</f>
        <v>0</v>
      </c>
    </row>
    <row r="101">
      <c r="A101" s="4" t="inlineStr">
        <is>
          <t>問12</t>
        </is>
      </c>
      <c r="B101" s="5" t="inlineStr">
        <is>
          <t>外出の頻度を教えてください</t>
        </is>
      </c>
      <c r="C101" s="5" t="inlineStr">
        <is>
          <t>ほぼ毎日</t>
        </is>
      </c>
      <c r="D101" s="30" t="n">
        <v>8</v>
      </c>
      <c r="E101" s="30" t="n">
        <v>0</v>
      </c>
      <c r="F101" s="30" t="n">
        <v>2</v>
      </c>
      <c r="G101" s="20">
        <f>IF(D$5=0,0,D101/D$5)</f>
        <v>0.275862068965517</v>
      </c>
      <c r="H101" s="20">
        <f>IF(E$5=0,0,E101/E$5)</f>
        <v>0</v>
      </c>
      <c r="I101" s="20">
        <f>IF(F$5=0,0,F101/F$5)</f>
        <v>0.333333333333333</v>
      </c>
    </row>
    <row r="102">
      <c r="A102" s="4" t="inlineStr">
        <is>
          <t>問12</t>
        </is>
      </c>
      <c r="B102" s="5" t="inlineStr"/>
      <c r="C102" s="5" t="inlineStr">
        <is>
          <t>週に2～4回</t>
        </is>
      </c>
      <c r="D102" s="30" t="n">
        <v>4</v>
      </c>
      <c r="E102" s="30" t="n">
        <v>0</v>
      </c>
      <c r="F102" s="30" t="n">
        <v>2</v>
      </c>
      <c r="G102" s="20">
        <f>IF(D$5=0,0,D102/D$5)</f>
        <v>0.137931034482759</v>
      </c>
      <c r="H102" s="20">
        <f>IF(E$5=0,0,E102/E$5)</f>
        <v>0</v>
      </c>
      <c r="I102" s="20">
        <f>IF(F$5=0,0,F102/F$5)</f>
        <v>0.333333333333333</v>
      </c>
    </row>
    <row r="103">
      <c r="A103" s="4" t="inlineStr">
        <is>
          <t>問12</t>
        </is>
      </c>
      <c r="B103" s="5" t="inlineStr"/>
      <c r="C103" s="5" t="inlineStr">
        <is>
          <t>週に1回程度</t>
        </is>
      </c>
      <c r="D103" s="30" t="n">
        <v>6</v>
      </c>
      <c r="E103" s="30" t="n">
        <v>0</v>
      </c>
      <c r="F103" s="30" t="n">
        <v>0</v>
      </c>
      <c r="G103" s="20">
        <f>IF(D$5=0,0,D103/D$5)</f>
        <v>0.206896551724138</v>
      </c>
      <c r="H103" s="20">
        <f>IF(E$5=0,0,E103/E$5)</f>
        <v>0</v>
      </c>
      <c r="I103" s="20">
        <f>IF(F$5=0,0,F103/F$5)</f>
        <v>0</v>
      </c>
    </row>
    <row r="104">
      <c r="A104" s="4" t="inlineStr">
        <is>
          <t>問12</t>
        </is>
      </c>
      <c r="B104" s="5" t="inlineStr"/>
      <c r="C104" s="5" t="inlineStr">
        <is>
          <t>月に数回</t>
        </is>
      </c>
      <c r="D104" s="30" t="n">
        <v>6</v>
      </c>
      <c r="E104" s="30" t="n">
        <v>0</v>
      </c>
      <c r="F104" s="30" t="n">
        <v>0</v>
      </c>
      <c r="G104" s="20">
        <f>IF(D$5=0,0,D104/D$5)</f>
        <v>0.206896551724138</v>
      </c>
      <c r="H104" s="20">
        <f>IF(E$5=0,0,E104/E$5)</f>
        <v>0</v>
      </c>
      <c r="I104" s="20">
        <f>IF(F$5=0,0,F104/F$5)</f>
        <v>0</v>
      </c>
    </row>
    <row r="105">
      <c r="A105" s="4" t="inlineStr">
        <is>
          <t>問12</t>
        </is>
      </c>
      <c r="B105" s="5" t="inlineStr"/>
      <c r="C105" s="5" t="inlineStr">
        <is>
          <t>ほとんど外出しない</t>
        </is>
      </c>
      <c r="D105" s="30" t="n">
        <v>5</v>
      </c>
      <c r="E105" s="30" t="n">
        <v>2</v>
      </c>
      <c r="F105" s="30" t="n">
        <v>2</v>
      </c>
      <c r="G105" s="20">
        <f>IF(D$5=0,0,D105/D$5)</f>
        <v>0.172413793103448</v>
      </c>
      <c r="H105" s="20">
        <f>IF(E$5=0,0,E105/E$5)</f>
        <v>1</v>
      </c>
      <c r="I105" s="20">
        <f>IF(F$5=0,0,F105/F$5)</f>
        <v>0.333333333333333</v>
      </c>
    </row>
    <row r="106">
      <c r="A106" s="4" t="inlineStr">
        <is>
          <t>問12</t>
        </is>
      </c>
      <c r="B106" s="5" t="inlineStr"/>
      <c r="C106" s="5" t="inlineStr">
        <is>
          <t>無回答</t>
        </is>
      </c>
      <c r="D106" s="30" t="n">
        <v>0</v>
      </c>
      <c r="E106" s="30" t="n">
        <v>0</v>
      </c>
      <c r="F106" s="30" t="n">
        <v>0</v>
      </c>
      <c r="G106" s="20">
        <f>IF(D$5=0,0,D106/D$5)</f>
        <v>0</v>
      </c>
      <c r="H106" s="20">
        <f>IF(E$5=0,0,E106/E$5)</f>
        <v>0</v>
      </c>
      <c r="I106" s="20">
        <f>IF(F$5=0,0,F106/F$5)</f>
        <v>0</v>
      </c>
    </row>
    <row r="107">
      <c r="A107" s="4" t="inlineStr">
        <is>
          <t>問13</t>
        </is>
      </c>
      <c r="B107" s="5" t="inlineStr">
        <is>
          <t>外出時の主な移動手段を教えてください（あてはまるものすべて）</t>
        </is>
      </c>
      <c r="C107" s="5" t="inlineStr">
        <is>
          <t>自分で運転</t>
        </is>
      </c>
      <c r="D107" s="30" t="n">
        <v>14</v>
      </c>
      <c r="E107" s="30" t="n">
        <v>0</v>
      </c>
      <c r="F107" s="30" t="n">
        <v>1</v>
      </c>
      <c r="G107" s="20">
        <f>IF(D$5=0,0,D107/D$5)</f>
        <v>0.482758620689655</v>
      </c>
      <c r="H107" s="20">
        <f>IF(E$5=0,0,E107/E$5)</f>
        <v>0</v>
      </c>
      <c r="I107" s="20">
        <f>IF(F$5=0,0,F107/F$5)</f>
        <v>0.166666666666667</v>
      </c>
    </row>
    <row r="108">
      <c r="A108" s="4" t="inlineStr">
        <is>
          <t>問13</t>
        </is>
      </c>
      <c r="B108" s="5" t="inlineStr"/>
      <c r="C108" s="5" t="inlineStr">
        <is>
          <t>家族・知人の送迎</t>
        </is>
      </c>
      <c r="D108" s="30" t="n">
        <v>11</v>
      </c>
      <c r="E108" s="30" t="n">
        <v>0</v>
      </c>
      <c r="F108" s="30" t="n">
        <v>3</v>
      </c>
      <c r="G108" s="20">
        <f>IF(D$5=0,0,D108/D$5)</f>
        <v>0.379310344827586</v>
      </c>
      <c r="H108" s="20">
        <f>IF(E$5=0,0,E108/E$5)</f>
        <v>0</v>
      </c>
      <c r="I108" s="20">
        <f>IF(F$5=0,0,F108/F$5)</f>
        <v>0.5</v>
      </c>
    </row>
    <row r="109">
      <c r="A109" s="4" t="inlineStr">
        <is>
          <t>問13</t>
        </is>
      </c>
      <c r="B109" s="5" t="inlineStr"/>
      <c r="C109" s="5" t="inlineStr">
        <is>
          <t>徒歩</t>
        </is>
      </c>
      <c r="D109" s="30" t="n">
        <v>1</v>
      </c>
      <c r="E109" s="30" t="n">
        <v>0</v>
      </c>
      <c r="F109" s="30" t="n">
        <v>2</v>
      </c>
      <c r="G109" s="20">
        <f>IF(D$5=0,0,D109/D$5)</f>
        <v>0.0344827586206897</v>
      </c>
      <c r="H109" s="20">
        <f>IF(E$5=0,0,E109/E$5)</f>
        <v>0</v>
      </c>
      <c r="I109" s="20">
        <f>IF(F$5=0,0,F109/F$5)</f>
        <v>0.333333333333333</v>
      </c>
    </row>
    <row r="110">
      <c r="A110" s="4" t="inlineStr">
        <is>
          <t>問13</t>
        </is>
      </c>
      <c r="B110" s="5" t="inlineStr"/>
      <c r="C110" s="5" t="inlineStr">
        <is>
          <t>自転車</t>
        </is>
      </c>
      <c r="D110" s="30" t="n">
        <v>0</v>
      </c>
      <c r="E110" s="30" t="n">
        <v>0</v>
      </c>
      <c r="F110" s="30" t="n">
        <v>1</v>
      </c>
      <c r="G110" s="20">
        <f>IF(D$5=0,0,D110/D$5)</f>
        <v>0</v>
      </c>
      <c r="H110" s="20">
        <f>IF(E$5=0,0,E110/E$5)</f>
        <v>0</v>
      </c>
      <c r="I110" s="20">
        <f>IF(F$5=0,0,F110/F$5)</f>
        <v>0.166666666666667</v>
      </c>
    </row>
    <row r="111">
      <c r="A111" s="4" t="inlineStr">
        <is>
          <t>問13</t>
        </is>
      </c>
      <c r="B111" s="5" t="inlineStr"/>
      <c r="C111" s="5" t="inlineStr">
        <is>
          <t>路線バス</t>
        </is>
      </c>
      <c r="D111" s="30" t="n">
        <v>1</v>
      </c>
      <c r="E111" s="30" t="n">
        <v>0</v>
      </c>
      <c r="F111" s="30" t="n">
        <v>2</v>
      </c>
      <c r="G111" s="20">
        <f>IF(D$5=0,0,D111/D$5)</f>
        <v>0.0344827586206897</v>
      </c>
      <c r="H111" s="20">
        <f>IF(E$5=0,0,E111/E$5)</f>
        <v>0</v>
      </c>
      <c r="I111" s="20">
        <f>IF(F$5=0,0,F111/F$5)</f>
        <v>0.333333333333333</v>
      </c>
    </row>
    <row r="112">
      <c r="A112" s="4" t="inlineStr">
        <is>
          <t>問13</t>
        </is>
      </c>
      <c r="B112" s="5" t="inlineStr"/>
      <c r="C112" s="5" t="inlineStr">
        <is>
          <t>タクシー</t>
        </is>
      </c>
      <c r="D112" s="30" t="n">
        <v>1</v>
      </c>
      <c r="E112" s="30" t="n">
        <v>0</v>
      </c>
      <c r="F112" s="30" t="n">
        <v>1</v>
      </c>
      <c r="G112" s="20">
        <f>IF(D$5=0,0,D112/D$5)</f>
        <v>0.0344827586206897</v>
      </c>
      <c r="H112" s="20">
        <f>IF(E$5=0,0,E112/E$5)</f>
        <v>0</v>
      </c>
      <c r="I112" s="20">
        <f>IF(F$5=0,0,F112/F$5)</f>
        <v>0.166666666666667</v>
      </c>
    </row>
    <row r="113">
      <c r="A113" s="4" t="inlineStr">
        <is>
          <t>問13</t>
        </is>
      </c>
      <c r="B113" s="5" t="inlineStr"/>
      <c r="C113" s="5" t="inlineStr">
        <is>
          <t>福祉タクシー等</t>
        </is>
      </c>
      <c r="D113" s="30" t="n">
        <v>0</v>
      </c>
      <c r="E113" s="30" t="n">
        <v>0</v>
      </c>
      <c r="F113" s="30" t="n">
        <v>0</v>
      </c>
      <c r="G113" s="20">
        <f>IF(D$5=0,0,D113/D$5)</f>
        <v>0</v>
      </c>
      <c r="H113" s="20">
        <f>IF(E$5=0,0,E113/E$5)</f>
        <v>0</v>
      </c>
      <c r="I113" s="20">
        <f>IF(F$5=0,0,F113/F$5)</f>
        <v>0</v>
      </c>
    </row>
    <row r="114">
      <c r="A114" s="4" t="inlineStr">
        <is>
          <t>問13</t>
        </is>
      </c>
      <c r="B114" s="5" t="inlineStr"/>
      <c r="C114" s="5" t="inlineStr">
        <is>
          <t>事業所・施設の送迎</t>
        </is>
      </c>
      <c r="D114" s="30" t="n">
        <v>4</v>
      </c>
      <c r="E114" s="30" t="n">
        <v>2</v>
      </c>
      <c r="F114" s="30" t="n">
        <v>3</v>
      </c>
      <c r="G114" s="20">
        <f>IF(D$5=0,0,D114/D$5)</f>
        <v>0.137931034482759</v>
      </c>
      <c r="H114" s="20">
        <f>IF(E$5=0,0,E114/E$5)</f>
        <v>1</v>
      </c>
      <c r="I114" s="20">
        <f>IF(F$5=0,0,F114/F$5)</f>
        <v>0.5</v>
      </c>
    </row>
    <row r="115">
      <c r="A115" s="4" t="inlineStr">
        <is>
          <t>問13</t>
        </is>
      </c>
      <c r="B115" s="5" t="inlineStr"/>
      <c r="C115" s="5" t="inlineStr">
        <is>
          <t>その他</t>
        </is>
      </c>
      <c r="D115" s="30" t="n">
        <v>2</v>
      </c>
      <c r="E115" s="30" t="n">
        <v>0</v>
      </c>
      <c r="F115" s="30" t="n">
        <v>0</v>
      </c>
      <c r="G115" s="20">
        <f>IF(D$5=0,0,D115/D$5)</f>
        <v>0.0689655172413793</v>
      </c>
      <c r="H115" s="20">
        <f>IF(E$5=0,0,E115/E$5)</f>
        <v>0</v>
      </c>
      <c r="I115" s="20">
        <f>IF(F$5=0,0,F115/F$5)</f>
        <v>0</v>
      </c>
    </row>
    <row r="116">
      <c r="A116" s="4" t="inlineStr">
        <is>
          <t>問13</t>
        </is>
      </c>
      <c r="B116" s="5" t="inlineStr"/>
      <c r="C116" s="5" t="inlineStr">
        <is>
          <t>無回答</t>
        </is>
      </c>
      <c r="D116" s="30" t="n">
        <v>3</v>
      </c>
      <c r="E116" s="30" t="n">
        <v>0</v>
      </c>
      <c r="F116" s="30" t="n">
        <v>1</v>
      </c>
      <c r="G116" s="20">
        <f>IF(D$5=0,0,D116/D$5)</f>
        <v>0.103448275862069</v>
      </c>
      <c r="H116" s="20">
        <f>IF(E$5=0,0,E116/E$5)</f>
        <v>0</v>
      </c>
      <c r="I116" s="20">
        <f>IF(F$5=0,0,F116/F$5)</f>
        <v>0.166666666666667</v>
      </c>
    </row>
    <row r="117">
      <c r="A117" s="4" t="inlineStr">
        <is>
          <t>問14</t>
        </is>
      </c>
      <c r="B117" s="5" t="inlineStr">
        <is>
          <t>外出するときに困ることは何ですか（あてはまるものすべて）</t>
        </is>
      </c>
      <c r="C117" s="5" t="inlineStr">
        <is>
          <t>交通手段が少ない</t>
        </is>
      </c>
      <c r="D117" s="30" t="n">
        <v>3</v>
      </c>
      <c r="E117" s="30" t="n">
        <v>0</v>
      </c>
      <c r="F117" s="30" t="n">
        <v>3</v>
      </c>
      <c r="G117" s="20">
        <f>IF(D$5=0,0,D117/D$5)</f>
        <v>0.103448275862069</v>
      </c>
      <c r="H117" s="20">
        <f>IF(E$5=0,0,E117/E$5)</f>
        <v>0</v>
      </c>
      <c r="I117" s="20">
        <f>IF(F$5=0,0,F117/F$5)</f>
        <v>0.5</v>
      </c>
    </row>
    <row r="118">
      <c r="A118" s="4" t="inlineStr">
        <is>
          <t>問14</t>
        </is>
      </c>
      <c r="B118" s="5" t="inlineStr"/>
      <c r="C118" s="5" t="inlineStr">
        <is>
          <t>家族等の付き添いが必要</t>
        </is>
      </c>
      <c r="D118" s="30" t="n">
        <v>4</v>
      </c>
      <c r="E118" s="30" t="n">
        <v>1</v>
      </c>
      <c r="F118" s="30" t="n">
        <v>2</v>
      </c>
      <c r="G118" s="20">
        <f>IF(D$5=0,0,D118/D$5)</f>
        <v>0.137931034482759</v>
      </c>
      <c r="H118" s="20">
        <f>IF(E$5=0,0,E118/E$5)</f>
        <v>0.5</v>
      </c>
      <c r="I118" s="20">
        <f>IF(F$5=0,0,F118/F$5)</f>
        <v>0.333333333333333</v>
      </c>
    </row>
    <row r="119">
      <c r="A119" s="4" t="inlineStr">
        <is>
          <t>問14</t>
        </is>
      </c>
      <c r="B119" s="5" t="inlineStr"/>
      <c r="C119" s="5" t="inlineStr">
        <is>
          <t>送迎がない</t>
        </is>
      </c>
      <c r="D119" s="30" t="n">
        <v>4</v>
      </c>
      <c r="E119" s="30" t="n">
        <v>0</v>
      </c>
      <c r="F119" s="30" t="n">
        <v>1</v>
      </c>
      <c r="G119" s="20">
        <f>IF(D$5=0,0,D119/D$5)</f>
        <v>0.137931034482759</v>
      </c>
      <c r="H119" s="20">
        <f>IF(E$5=0,0,E119/E$5)</f>
        <v>0</v>
      </c>
      <c r="I119" s="20">
        <f>IF(F$5=0,0,F119/F$5)</f>
        <v>0.166666666666667</v>
      </c>
    </row>
    <row r="120">
      <c r="A120" s="4" t="inlineStr">
        <is>
          <t>問14</t>
        </is>
      </c>
      <c r="B120" s="5" t="inlineStr"/>
      <c r="C120" s="5" t="inlineStr">
        <is>
          <t>冬季・積雪時に外出しにくい</t>
        </is>
      </c>
      <c r="D120" s="30" t="n">
        <v>8</v>
      </c>
      <c r="E120" s="30" t="n">
        <v>0</v>
      </c>
      <c r="F120" s="30" t="n">
        <v>5</v>
      </c>
      <c r="G120" s="20">
        <f>IF(D$5=0,0,D120/D$5)</f>
        <v>0.275862068965517</v>
      </c>
      <c r="H120" s="20">
        <f>IF(E$5=0,0,E120/E$5)</f>
        <v>0</v>
      </c>
      <c r="I120" s="20">
        <f>IF(F$5=0,0,F120/F$5)</f>
        <v>0.833333333333333</v>
      </c>
    </row>
    <row r="121">
      <c r="A121" s="4" t="inlineStr">
        <is>
          <t>問14</t>
        </is>
      </c>
      <c r="B121" s="5" t="inlineStr"/>
      <c r="C121" s="5" t="inlineStr">
        <is>
          <t>道路・建物が利用しにくい</t>
        </is>
      </c>
      <c r="D121" s="30" t="n">
        <v>0</v>
      </c>
      <c r="E121" s="30" t="n">
        <v>0</v>
      </c>
      <c r="F121" s="30" t="n">
        <v>0</v>
      </c>
      <c r="G121" s="20">
        <f>IF(D$5=0,0,D121/D$5)</f>
        <v>0</v>
      </c>
      <c r="H121" s="20">
        <f>IF(E$5=0,0,E121/E$5)</f>
        <v>0</v>
      </c>
      <c r="I121" s="20">
        <f>IF(F$5=0,0,F121/F$5)</f>
        <v>0</v>
      </c>
    </row>
    <row r="122">
      <c r="A122" s="4" t="inlineStr">
        <is>
          <t>問14</t>
        </is>
      </c>
      <c r="B122" s="5" t="inlineStr"/>
      <c r="C122" s="5" t="inlineStr">
        <is>
          <t>周囲の理解が不安</t>
        </is>
      </c>
      <c r="D122" s="30" t="n">
        <v>1</v>
      </c>
      <c r="E122" s="30" t="n">
        <v>0</v>
      </c>
      <c r="F122" s="30" t="n">
        <v>1</v>
      </c>
      <c r="G122" s="20">
        <f>IF(D$5=0,0,D122/D$5)</f>
        <v>0.0344827586206897</v>
      </c>
      <c r="H122" s="20">
        <f>IF(E$5=0,0,E122/E$5)</f>
        <v>0</v>
      </c>
      <c r="I122" s="20">
        <f>IF(F$5=0,0,F122/F$5)</f>
        <v>0.166666666666667</v>
      </c>
    </row>
    <row r="123">
      <c r="A123" s="4" t="inlineStr">
        <is>
          <t>問14</t>
        </is>
      </c>
      <c r="B123" s="5" t="inlineStr"/>
      <c r="C123" s="5" t="inlineStr">
        <is>
          <t>体調面が不安</t>
        </is>
      </c>
      <c r="D123" s="30" t="n">
        <v>6</v>
      </c>
      <c r="E123" s="30" t="n">
        <v>1</v>
      </c>
      <c r="F123" s="30" t="n">
        <v>2</v>
      </c>
      <c r="G123" s="20">
        <f>IF(D$5=0,0,D123/D$5)</f>
        <v>0.206896551724138</v>
      </c>
      <c r="H123" s="20">
        <f>IF(E$5=0,0,E123/E$5)</f>
        <v>0.5</v>
      </c>
      <c r="I123" s="20">
        <f>IF(F$5=0,0,F123/F$5)</f>
        <v>0.333333333333333</v>
      </c>
    </row>
    <row r="124">
      <c r="A124" s="4" t="inlineStr">
        <is>
          <t>問14</t>
        </is>
      </c>
      <c r="B124" s="5" t="inlineStr"/>
      <c r="C124" s="5" t="inlineStr">
        <is>
          <t>費用がかかる</t>
        </is>
      </c>
      <c r="D124" s="30" t="n">
        <v>4</v>
      </c>
      <c r="E124" s="30" t="n">
        <v>0</v>
      </c>
      <c r="F124" s="30" t="n">
        <v>1</v>
      </c>
      <c r="G124" s="20">
        <f>IF(D$5=0,0,D124/D$5)</f>
        <v>0.137931034482759</v>
      </c>
      <c r="H124" s="20">
        <f>IF(E$5=0,0,E124/E$5)</f>
        <v>0</v>
      </c>
      <c r="I124" s="20">
        <f>IF(F$5=0,0,F124/F$5)</f>
        <v>0.166666666666667</v>
      </c>
    </row>
    <row r="125">
      <c r="A125" s="4" t="inlineStr">
        <is>
          <t>問14</t>
        </is>
      </c>
      <c r="B125" s="5" t="inlineStr"/>
      <c r="C125" s="5" t="inlineStr">
        <is>
          <t>特に困らない</t>
        </is>
      </c>
      <c r="D125" s="30" t="n">
        <v>10</v>
      </c>
      <c r="E125" s="30" t="n">
        <v>0</v>
      </c>
      <c r="F125" s="30" t="n">
        <v>0</v>
      </c>
      <c r="G125" s="20">
        <f>IF(D$5=0,0,D125/D$5)</f>
        <v>0.344827586206897</v>
      </c>
      <c r="H125" s="20">
        <f>IF(E$5=0,0,E125/E$5)</f>
        <v>0</v>
      </c>
      <c r="I125" s="20">
        <f>IF(F$5=0,0,F125/F$5)</f>
        <v>0</v>
      </c>
    </row>
    <row r="126">
      <c r="A126" s="4" t="inlineStr">
        <is>
          <t>問14</t>
        </is>
      </c>
      <c r="B126" s="5" t="inlineStr"/>
      <c r="C126" s="5" t="inlineStr">
        <is>
          <t>その他</t>
        </is>
      </c>
      <c r="D126" s="30" t="n">
        <v>1</v>
      </c>
      <c r="E126" s="30" t="n">
        <v>0</v>
      </c>
      <c r="F126" s="30" t="n">
        <v>0</v>
      </c>
      <c r="G126" s="20">
        <f>IF(D$5=0,0,D126/D$5)</f>
        <v>0.0344827586206897</v>
      </c>
      <c r="H126" s="20">
        <f>IF(E$5=0,0,E126/E$5)</f>
        <v>0</v>
      </c>
      <c r="I126" s="20">
        <f>IF(F$5=0,0,F126/F$5)</f>
        <v>0</v>
      </c>
    </row>
    <row r="127">
      <c r="A127" s="4" t="inlineStr">
        <is>
          <t>問14</t>
        </is>
      </c>
      <c r="B127" s="5" t="inlineStr"/>
      <c r="C127" s="5" t="inlineStr">
        <is>
          <t>無回答</t>
        </is>
      </c>
      <c r="D127" s="30" t="n">
        <v>3</v>
      </c>
      <c r="E127" s="30" t="n">
        <v>0</v>
      </c>
      <c r="F127" s="30" t="n">
        <v>0</v>
      </c>
      <c r="G127" s="20">
        <f>IF(D$5=0,0,D127/D$5)</f>
        <v>0.103448275862069</v>
      </c>
      <c r="H127" s="20">
        <f>IF(E$5=0,0,E127/E$5)</f>
        <v>0</v>
      </c>
      <c r="I127" s="20">
        <f>IF(F$5=0,0,F127/F$5)</f>
        <v>0</v>
      </c>
    </row>
    <row r="128">
      <c r="A128" s="4" t="inlineStr">
        <is>
          <t>問15</t>
        </is>
      </c>
      <c r="B128" s="5" t="inlineStr">
        <is>
          <t>現在、定期的に通院していますか</t>
        </is>
      </c>
      <c r="C128" s="5" t="inlineStr">
        <is>
          <t>通院している</t>
        </is>
      </c>
      <c r="D128" s="30" t="n">
        <v>22</v>
      </c>
      <c r="E128" s="30" t="n">
        <v>1</v>
      </c>
      <c r="F128" s="30" t="n">
        <v>4</v>
      </c>
      <c r="G128" s="20">
        <f>IF(D$5=0,0,D128/D$5)</f>
        <v>0.758620689655172</v>
      </c>
      <c r="H128" s="20">
        <f>IF(E$5=0,0,E128/E$5)</f>
        <v>0.5</v>
      </c>
      <c r="I128" s="20">
        <f>IF(F$5=0,0,F128/F$5)</f>
        <v>0.666666666666667</v>
      </c>
    </row>
    <row r="129">
      <c r="A129" s="4" t="inlineStr">
        <is>
          <t>問15</t>
        </is>
      </c>
      <c r="B129" s="5" t="inlineStr"/>
      <c r="C129" s="5" t="inlineStr">
        <is>
          <t>通院していない</t>
        </is>
      </c>
      <c r="D129" s="30" t="n">
        <v>2</v>
      </c>
      <c r="E129" s="30" t="n">
        <v>0</v>
      </c>
      <c r="F129" s="30" t="n">
        <v>1</v>
      </c>
      <c r="G129" s="20">
        <f>IF(D$5=0,0,D129/D$5)</f>
        <v>0.0689655172413793</v>
      </c>
      <c r="H129" s="20">
        <f>IF(E$5=0,0,E129/E$5)</f>
        <v>0</v>
      </c>
      <c r="I129" s="20">
        <f>IF(F$5=0,0,F129/F$5)</f>
        <v>0.166666666666667</v>
      </c>
    </row>
    <row r="130">
      <c r="A130" s="4" t="inlineStr">
        <is>
          <t>問15</t>
        </is>
      </c>
      <c r="B130" s="5" t="inlineStr"/>
      <c r="C130" s="5" t="inlineStr">
        <is>
          <t>訪問診療・往診を受けている</t>
        </is>
      </c>
      <c r="D130" s="30" t="n">
        <v>1</v>
      </c>
      <c r="E130" s="30" t="n">
        <v>1</v>
      </c>
      <c r="F130" s="30" t="n">
        <v>1</v>
      </c>
      <c r="G130" s="20">
        <f>IF(D$5=0,0,D130/D$5)</f>
        <v>0.0344827586206897</v>
      </c>
      <c r="H130" s="20">
        <f>IF(E$5=0,0,E130/E$5)</f>
        <v>0.5</v>
      </c>
      <c r="I130" s="20">
        <f>IF(F$5=0,0,F130/F$5)</f>
        <v>0.166666666666667</v>
      </c>
    </row>
    <row r="131">
      <c r="A131" s="4" t="inlineStr">
        <is>
          <t>問15</t>
        </is>
      </c>
      <c r="B131" s="5" t="inlineStr"/>
      <c r="C131" s="5" t="inlineStr">
        <is>
          <t>わからない</t>
        </is>
      </c>
      <c r="D131" s="30" t="n">
        <v>2</v>
      </c>
      <c r="E131" s="30" t="n">
        <v>0</v>
      </c>
      <c r="F131" s="30" t="n">
        <v>0</v>
      </c>
      <c r="G131" s="20">
        <f>IF(D$5=0,0,D131/D$5)</f>
        <v>0.0689655172413793</v>
      </c>
      <c r="H131" s="20">
        <f>IF(E$5=0,0,E131/E$5)</f>
        <v>0</v>
      </c>
      <c r="I131" s="20">
        <f>IF(F$5=0,0,F131/F$5)</f>
        <v>0</v>
      </c>
    </row>
    <row r="132">
      <c r="A132" s="4" t="inlineStr">
        <is>
          <t>問15</t>
        </is>
      </c>
      <c r="B132" s="5" t="inlineStr"/>
      <c r="C132" s="5" t="inlineStr">
        <is>
          <t>無回答</t>
        </is>
      </c>
      <c r="D132" s="30" t="n">
        <v>2</v>
      </c>
      <c r="E132" s="30" t="n">
        <v>0</v>
      </c>
      <c r="F132" s="30" t="n">
        <v>0</v>
      </c>
      <c r="G132" s="20">
        <f>IF(D$5=0,0,D132/D$5)</f>
        <v>0.0689655172413793</v>
      </c>
      <c r="H132" s="20">
        <f>IF(E$5=0,0,E132/E$5)</f>
        <v>0</v>
      </c>
      <c r="I132" s="20">
        <f>IF(F$5=0,0,F132/F$5)</f>
        <v>0</v>
      </c>
    </row>
    <row r="133">
      <c r="A133" s="4" t="inlineStr">
        <is>
          <t>問16</t>
        </is>
      </c>
      <c r="B133" s="5" t="inlineStr">
        <is>
          <t>通院や医療で困っていることはありますか（あてはまるものすべて）</t>
        </is>
      </c>
      <c r="C133" s="5" t="inlineStr">
        <is>
          <t>専門医療機関が遠い</t>
        </is>
      </c>
      <c r="D133" s="30" t="n">
        <v>6</v>
      </c>
      <c r="E133" s="30" t="n">
        <v>0</v>
      </c>
      <c r="F133" s="30" t="n">
        <v>2</v>
      </c>
      <c r="G133" s="20">
        <f>IF(D$5=0,0,D133/D$5)</f>
        <v>0.206896551724138</v>
      </c>
      <c r="H133" s="20">
        <f>IF(E$5=0,0,E133/E$5)</f>
        <v>0</v>
      </c>
      <c r="I133" s="20">
        <f>IF(F$5=0,0,F133/F$5)</f>
        <v>0.333333333333333</v>
      </c>
    </row>
    <row r="134">
      <c r="A134" s="4" t="inlineStr">
        <is>
          <t>問16</t>
        </is>
      </c>
      <c r="B134" s="5" t="inlineStr"/>
      <c r="C134" s="5" t="inlineStr">
        <is>
          <t>通院の交通手段がない</t>
        </is>
      </c>
      <c r="D134" s="30" t="n">
        <v>2</v>
      </c>
      <c r="E134" s="30" t="n">
        <v>0</v>
      </c>
      <c r="F134" s="30" t="n">
        <v>1</v>
      </c>
      <c r="G134" s="20">
        <f>IF(D$5=0,0,D134/D$5)</f>
        <v>0.0689655172413793</v>
      </c>
      <c r="H134" s="20">
        <f>IF(E$5=0,0,E134/E$5)</f>
        <v>0</v>
      </c>
      <c r="I134" s="20">
        <f>IF(F$5=0,0,F134/F$5)</f>
        <v>0.166666666666667</v>
      </c>
    </row>
    <row r="135">
      <c r="A135" s="4" t="inlineStr">
        <is>
          <t>問16</t>
        </is>
      </c>
      <c r="B135" s="5" t="inlineStr"/>
      <c r="C135" s="5" t="inlineStr">
        <is>
          <t>付き添いが必要</t>
        </is>
      </c>
      <c r="D135" s="30" t="n">
        <v>7</v>
      </c>
      <c r="E135" s="30" t="n">
        <v>2</v>
      </c>
      <c r="F135" s="30" t="n">
        <v>0</v>
      </c>
      <c r="G135" s="20">
        <f>IF(D$5=0,0,D135/D$5)</f>
        <v>0.241379310344828</v>
      </c>
      <c r="H135" s="20">
        <f>IF(E$5=0,0,E135/E$5)</f>
        <v>1</v>
      </c>
      <c r="I135" s="20">
        <f>IF(F$5=0,0,F135/F$5)</f>
        <v>0</v>
      </c>
    </row>
    <row r="136">
      <c r="A136" s="4" t="inlineStr">
        <is>
          <t>問16</t>
        </is>
      </c>
      <c r="B136" s="5" t="inlineStr"/>
      <c r="C136" s="5" t="inlineStr">
        <is>
          <t>医療費や交通費の負担が大きい</t>
        </is>
      </c>
      <c r="D136" s="30" t="n">
        <v>4</v>
      </c>
      <c r="E136" s="30" t="n">
        <v>0</v>
      </c>
      <c r="F136" s="30" t="n">
        <v>2</v>
      </c>
      <c r="G136" s="20">
        <f>IF(D$5=0,0,D136/D$5)</f>
        <v>0.137931034482759</v>
      </c>
      <c r="H136" s="20">
        <f>IF(E$5=0,0,E136/E$5)</f>
        <v>0</v>
      </c>
      <c r="I136" s="20">
        <f>IF(F$5=0,0,F136/F$5)</f>
        <v>0.333333333333333</v>
      </c>
    </row>
    <row r="137">
      <c r="A137" s="4" t="inlineStr">
        <is>
          <t>問16</t>
        </is>
      </c>
      <c r="B137" s="5" t="inlineStr"/>
      <c r="C137" s="5" t="inlineStr">
        <is>
          <t>予約・受診手続きが難しい</t>
        </is>
      </c>
      <c r="D137" s="30" t="n">
        <v>1</v>
      </c>
      <c r="E137" s="30" t="n">
        <v>1</v>
      </c>
      <c r="F137" s="30" t="n">
        <v>0</v>
      </c>
      <c r="G137" s="20">
        <f>IF(D$5=0,0,D137/D$5)</f>
        <v>0.0344827586206897</v>
      </c>
      <c r="H137" s="20">
        <f>IF(E$5=0,0,E137/E$5)</f>
        <v>0.5</v>
      </c>
      <c r="I137" s="20">
        <f>IF(F$5=0,0,F137/F$5)</f>
        <v>0</v>
      </c>
    </row>
    <row r="138">
      <c r="A138" s="4" t="inlineStr">
        <is>
          <t>問16</t>
        </is>
      </c>
      <c r="B138" s="5" t="inlineStr"/>
      <c r="C138" s="5" t="inlineStr">
        <is>
          <t>緊急時の対応が不安</t>
        </is>
      </c>
      <c r="D138" s="30" t="n">
        <v>5</v>
      </c>
      <c r="E138" s="30" t="n">
        <v>0</v>
      </c>
      <c r="F138" s="30" t="n">
        <v>1</v>
      </c>
      <c r="G138" s="20">
        <f>IF(D$5=0,0,D138/D$5)</f>
        <v>0.172413793103448</v>
      </c>
      <c r="H138" s="20">
        <f>IF(E$5=0,0,E138/E$5)</f>
        <v>0</v>
      </c>
      <c r="I138" s="20">
        <f>IF(F$5=0,0,F138/F$5)</f>
        <v>0.166666666666667</v>
      </c>
    </row>
    <row r="139">
      <c r="A139" s="4" t="inlineStr">
        <is>
          <t>問16</t>
        </is>
      </c>
      <c r="B139" s="5" t="inlineStr"/>
      <c r="C139" s="5" t="inlineStr">
        <is>
          <t>特に困っていない</t>
        </is>
      </c>
      <c r="D139" s="30" t="n">
        <v>12</v>
      </c>
      <c r="E139" s="30" t="n">
        <v>0</v>
      </c>
      <c r="F139" s="30" t="n">
        <v>2</v>
      </c>
      <c r="G139" s="20">
        <f>IF(D$5=0,0,D139/D$5)</f>
        <v>0.413793103448276</v>
      </c>
      <c r="H139" s="20">
        <f>IF(E$5=0,0,E139/E$5)</f>
        <v>0</v>
      </c>
      <c r="I139" s="20">
        <f>IF(F$5=0,0,F139/F$5)</f>
        <v>0.333333333333333</v>
      </c>
    </row>
    <row r="140">
      <c r="A140" s="4" t="inlineStr">
        <is>
          <t>問16</t>
        </is>
      </c>
      <c r="B140" s="5" t="inlineStr"/>
      <c r="C140" s="5" t="inlineStr">
        <is>
          <t>その他</t>
        </is>
      </c>
      <c r="D140" s="30" t="n">
        <v>0</v>
      </c>
      <c r="E140" s="30" t="n">
        <v>0</v>
      </c>
      <c r="F140" s="30" t="n">
        <v>0</v>
      </c>
      <c r="G140" s="20">
        <f>IF(D$5=0,0,D140/D$5)</f>
        <v>0</v>
      </c>
      <c r="H140" s="20">
        <f>IF(E$5=0,0,E140/E$5)</f>
        <v>0</v>
      </c>
      <c r="I140" s="20">
        <f>IF(F$5=0,0,F140/F$5)</f>
        <v>0</v>
      </c>
    </row>
    <row r="141">
      <c r="A141" s="4" t="inlineStr">
        <is>
          <t>問16</t>
        </is>
      </c>
      <c r="B141" s="5" t="inlineStr"/>
      <c r="C141" s="5" t="inlineStr">
        <is>
          <t>無回答</t>
        </is>
      </c>
      <c r="D141" s="30" t="n">
        <v>2</v>
      </c>
      <c r="E141" s="30" t="n">
        <v>0</v>
      </c>
      <c r="F141" s="30" t="n">
        <v>0</v>
      </c>
      <c r="G141" s="20">
        <f>IF(D$5=0,0,D141/D$5)</f>
        <v>0.0689655172413793</v>
      </c>
      <c r="H141" s="20">
        <f>IF(E$5=0,0,E141/E$5)</f>
        <v>0</v>
      </c>
      <c r="I141" s="20">
        <f>IF(F$5=0,0,F141/F$5)</f>
        <v>0</v>
      </c>
    </row>
    <row r="142">
      <c r="A142" s="4" t="inlineStr">
        <is>
          <t>問17</t>
        </is>
      </c>
      <c r="B142" s="5" t="inlineStr">
        <is>
          <t>医療的ケアを必要としていますか（あてはまるものすべて）</t>
        </is>
      </c>
      <c r="C142" s="5" t="inlineStr">
        <is>
          <t>必要としていない</t>
        </is>
      </c>
      <c r="D142" s="30" t="n">
        <v>22</v>
      </c>
      <c r="E142" s="30" t="n">
        <v>1</v>
      </c>
      <c r="F142" s="30" t="n">
        <v>5</v>
      </c>
      <c r="G142" s="20">
        <f>IF(D$5=0,0,D142/D$5)</f>
        <v>0.758620689655172</v>
      </c>
      <c r="H142" s="20">
        <f>IF(E$5=0,0,E142/E$5)</f>
        <v>0.5</v>
      </c>
      <c r="I142" s="20">
        <f>IF(F$5=0,0,F142/F$5)</f>
        <v>0.833333333333333</v>
      </c>
    </row>
    <row r="143">
      <c r="A143" s="4" t="inlineStr">
        <is>
          <t>問17</t>
        </is>
      </c>
      <c r="B143" s="5" t="inlineStr"/>
      <c r="C143" s="5" t="inlineStr">
        <is>
          <t>吸引</t>
        </is>
      </c>
      <c r="D143" s="30" t="n">
        <v>1</v>
      </c>
      <c r="E143" s="30" t="n">
        <v>0</v>
      </c>
      <c r="F143" s="30" t="n">
        <v>0</v>
      </c>
      <c r="G143" s="20">
        <f>IF(D$5=0,0,D143/D$5)</f>
        <v>0.0344827586206897</v>
      </c>
      <c r="H143" s="20">
        <f>IF(E$5=0,0,E143/E$5)</f>
        <v>0</v>
      </c>
      <c r="I143" s="20">
        <f>IF(F$5=0,0,F143/F$5)</f>
        <v>0</v>
      </c>
    </row>
    <row r="144">
      <c r="A144" s="4" t="inlineStr">
        <is>
          <t>問17</t>
        </is>
      </c>
      <c r="B144" s="5" t="inlineStr"/>
      <c r="C144" s="5" t="inlineStr">
        <is>
          <t>酸素療法</t>
        </is>
      </c>
      <c r="D144" s="30" t="n">
        <v>1</v>
      </c>
      <c r="E144" s="30" t="n">
        <v>0</v>
      </c>
      <c r="F144" s="30" t="n">
        <v>0</v>
      </c>
      <c r="G144" s="20">
        <f>IF(D$5=0,0,D144/D$5)</f>
        <v>0.0344827586206897</v>
      </c>
      <c r="H144" s="20">
        <f>IF(E$5=0,0,E144/E$5)</f>
        <v>0</v>
      </c>
      <c r="I144" s="20">
        <f>IF(F$5=0,0,F144/F$5)</f>
        <v>0</v>
      </c>
    </row>
    <row r="145">
      <c r="A145" s="4" t="inlineStr">
        <is>
          <t>問17</t>
        </is>
      </c>
      <c r="B145" s="5" t="inlineStr"/>
      <c r="C145" s="5" t="inlineStr">
        <is>
          <t>人工呼吸器（レスピレーター）</t>
        </is>
      </c>
      <c r="D145" s="30" t="n">
        <v>0</v>
      </c>
      <c r="E145" s="30" t="n">
        <v>0</v>
      </c>
      <c r="F145" s="30" t="n">
        <v>0</v>
      </c>
      <c r="G145" s="20">
        <f>IF(D$5=0,0,D145/D$5)</f>
        <v>0</v>
      </c>
      <c r="H145" s="20">
        <f>IF(E$5=0,0,E145/E$5)</f>
        <v>0</v>
      </c>
      <c r="I145" s="20">
        <f>IF(F$5=0,0,F145/F$5)</f>
        <v>0</v>
      </c>
    </row>
    <row r="146">
      <c r="A146" s="4" t="inlineStr">
        <is>
          <t>問17</t>
        </is>
      </c>
      <c r="B146" s="5" t="inlineStr"/>
      <c r="C146" s="5" t="inlineStr">
        <is>
          <t>導尿</t>
        </is>
      </c>
      <c r="D146" s="30" t="n">
        <v>1</v>
      </c>
      <c r="E146" s="30" t="n">
        <v>0</v>
      </c>
      <c r="F146" s="30" t="n">
        <v>0</v>
      </c>
      <c r="G146" s="20">
        <f>IF(D$5=0,0,D146/D$5)</f>
        <v>0.0344827586206897</v>
      </c>
      <c r="H146" s="20">
        <f>IF(E$5=0,0,E146/E$5)</f>
        <v>0</v>
      </c>
      <c r="I146" s="20">
        <f>IF(F$5=0,0,F146/F$5)</f>
        <v>0</v>
      </c>
    </row>
    <row r="147">
      <c r="A147" s="4" t="inlineStr">
        <is>
          <t>問17</t>
        </is>
      </c>
      <c r="B147" s="5" t="inlineStr"/>
      <c r="C147" s="5" t="inlineStr">
        <is>
          <t>ストマ（人工肛門・人工膀胱）</t>
        </is>
      </c>
      <c r="D147" s="30" t="n">
        <v>0</v>
      </c>
      <c r="E147" s="30" t="n">
        <v>0</v>
      </c>
      <c r="F147" s="30" t="n">
        <v>0</v>
      </c>
      <c r="G147" s="20">
        <f>IF(D$5=0,0,D147/D$5)</f>
        <v>0</v>
      </c>
      <c r="H147" s="20">
        <f>IF(E$5=0,0,E147/E$5)</f>
        <v>0</v>
      </c>
      <c r="I147" s="20">
        <f>IF(F$5=0,0,F147/F$5)</f>
        <v>0</v>
      </c>
    </row>
    <row r="148">
      <c r="A148" s="4" t="inlineStr">
        <is>
          <t>問17</t>
        </is>
      </c>
      <c r="B148" s="5" t="inlineStr"/>
      <c r="C148" s="5" t="inlineStr">
        <is>
          <t>服薬管理等の継続支援</t>
        </is>
      </c>
      <c r="D148" s="30" t="n">
        <v>1</v>
      </c>
      <c r="E148" s="30" t="n">
        <v>1</v>
      </c>
      <c r="F148" s="30" t="n">
        <v>1</v>
      </c>
      <c r="G148" s="20">
        <f>IF(D$5=0,0,D148/D$5)</f>
        <v>0.0344827586206897</v>
      </c>
      <c r="H148" s="20">
        <f>IF(E$5=0,0,E148/E$5)</f>
        <v>0.5</v>
      </c>
      <c r="I148" s="20">
        <f>IF(F$5=0,0,F148/F$5)</f>
        <v>0.166666666666667</v>
      </c>
    </row>
    <row r="149">
      <c r="A149" s="4" t="inlineStr">
        <is>
          <t>問17</t>
        </is>
      </c>
      <c r="B149" s="5" t="inlineStr"/>
      <c r="C149" s="5" t="inlineStr">
        <is>
          <t>気管切開</t>
        </is>
      </c>
      <c r="D149" s="30" t="n">
        <v>0</v>
      </c>
      <c r="E149" s="30" t="n">
        <v>0</v>
      </c>
      <c r="F149" s="30" t="n">
        <v>0</v>
      </c>
      <c r="G149" s="20">
        <f>IF(D$5=0,0,D149/D$5)</f>
        <v>0</v>
      </c>
      <c r="H149" s="20">
        <f>IF(E$5=0,0,E149/E$5)</f>
        <v>0</v>
      </c>
      <c r="I149" s="20">
        <f>IF(F$5=0,0,F149/F$5)</f>
        <v>0</v>
      </c>
    </row>
    <row r="150">
      <c r="A150" s="4" t="inlineStr">
        <is>
          <t>問17</t>
        </is>
      </c>
      <c r="B150" s="5" t="inlineStr"/>
      <c r="C150" s="5" t="inlineStr">
        <is>
          <t>胃ろう・腸ろう</t>
        </is>
      </c>
      <c r="D150" s="30" t="n">
        <v>1</v>
      </c>
      <c r="E150" s="30" t="n">
        <v>0</v>
      </c>
      <c r="F150" s="30" t="n">
        <v>0</v>
      </c>
      <c r="G150" s="20">
        <f>IF(D$5=0,0,D150/D$5)</f>
        <v>0.0344827586206897</v>
      </c>
      <c r="H150" s="20">
        <f>IF(E$5=0,0,E150/E$5)</f>
        <v>0</v>
      </c>
      <c r="I150" s="20">
        <f>IF(F$5=0,0,F150/F$5)</f>
        <v>0</v>
      </c>
    </row>
    <row r="151">
      <c r="A151" s="4" t="inlineStr">
        <is>
          <t>問17</t>
        </is>
      </c>
      <c r="B151" s="5" t="inlineStr"/>
      <c r="C151" s="5" t="inlineStr">
        <is>
          <t>鼻腔管栄養</t>
        </is>
      </c>
      <c r="D151" s="30" t="n">
        <v>0</v>
      </c>
      <c r="E151" s="30" t="n">
        <v>0</v>
      </c>
      <c r="F151" s="30" t="n">
        <v>0</v>
      </c>
      <c r="G151" s="20">
        <f>IF(D$5=0,0,D151/D$5)</f>
        <v>0</v>
      </c>
      <c r="H151" s="20">
        <f>IF(E$5=0,0,E151/E$5)</f>
        <v>0</v>
      </c>
      <c r="I151" s="20">
        <f>IF(F$5=0,0,F151/F$5)</f>
        <v>0</v>
      </c>
    </row>
    <row r="152">
      <c r="A152" s="4" t="inlineStr">
        <is>
          <t>問17</t>
        </is>
      </c>
      <c r="B152" s="5" t="inlineStr"/>
      <c r="C152" s="5" t="inlineStr">
        <is>
          <t>中心静脈栄養（IVH）</t>
        </is>
      </c>
      <c r="D152" s="30" t="n">
        <v>0</v>
      </c>
      <c r="E152" s="30" t="n">
        <v>0</v>
      </c>
      <c r="F152" s="30" t="n">
        <v>0</v>
      </c>
      <c r="G152" s="20">
        <f>IF(D$5=0,0,D152/D$5)</f>
        <v>0</v>
      </c>
      <c r="H152" s="20">
        <f>IF(E$5=0,0,E152/E$5)</f>
        <v>0</v>
      </c>
      <c r="I152" s="20">
        <f>IF(F$5=0,0,F152/F$5)</f>
        <v>0</v>
      </c>
    </row>
    <row r="153">
      <c r="A153" s="4" t="inlineStr">
        <is>
          <t>問17</t>
        </is>
      </c>
      <c r="B153" s="5" t="inlineStr"/>
      <c r="C153" s="5" t="inlineStr">
        <is>
          <t>透析</t>
        </is>
      </c>
      <c r="D153" s="30" t="n">
        <v>0</v>
      </c>
      <c r="E153" s="30" t="n">
        <v>0</v>
      </c>
      <c r="F153" s="30" t="n">
        <v>0</v>
      </c>
      <c r="G153" s="20">
        <f>IF(D$5=0,0,D153/D$5)</f>
        <v>0</v>
      </c>
      <c r="H153" s="20">
        <f>IF(E$5=0,0,E153/E$5)</f>
        <v>0</v>
      </c>
      <c r="I153" s="20">
        <f>IF(F$5=0,0,F153/F$5)</f>
        <v>0</v>
      </c>
    </row>
    <row r="154">
      <c r="A154" s="4" t="inlineStr">
        <is>
          <t>問17</t>
        </is>
      </c>
      <c r="B154" s="5" t="inlineStr"/>
      <c r="C154" s="5" t="inlineStr">
        <is>
          <t>カテーテル留置</t>
        </is>
      </c>
      <c r="D154" s="30" t="n">
        <v>0</v>
      </c>
      <c r="E154" s="30" t="n">
        <v>0</v>
      </c>
      <c r="F154" s="30" t="n">
        <v>0</v>
      </c>
      <c r="G154" s="20">
        <f>IF(D$5=0,0,D154/D$5)</f>
        <v>0</v>
      </c>
      <c r="H154" s="20">
        <f>IF(E$5=0,0,E154/E$5)</f>
        <v>0</v>
      </c>
      <c r="I154" s="20">
        <f>IF(F$5=0,0,F154/F$5)</f>
        <v>0</v>
      </c>
    </row>
    <row r="155">
      <c r="A155" s="4" t="inlineStr">
        <is>
          <t>問17</t>
        </is>
      </c>
      <c r="B155" s="5" t="inlineStr"/>
      <c r="C155" s="5" t="inlineStr">
        <is>
          <t>その他</t>
        </is>
      </c>
      <c r="D155" s="30" t="n">
        <v>0</v>
      </c>
      <c r="E155" s="30" t="n">
        <v>0</v>
      </c>
      <c r="F155" s="30" t="n">
        <v>0</v>
      </c>
      <c r="G155" s="20">
        <f>IF(D$5=0,0,D155/D$5)</f>
        <v>0</v>
      </c>
      <c r="H155" s="20">
        <f>IF(E$5=0,0,E155/E$5)</f>
        <v>0</v>
      </c>
      <c r="I155" s="20">
        <f>IF(F$5=0,0,F155/F$5)</f>
        <v>0</v>
      </c>
    </row>
    <row r="156">
      <c r="A156" s="4" t="inlineStr">
        <is>
          <t>問17</t>
        </is>
      </c>
      <c r="B156" s="5" t="inlineStr"/>
      <c r="C156" s="5" t="inlineStr">
        <is>
          <t>無回答</t>
        </is>
      </c>
      <c r="D156" s="30" t="n">
        <v>3</v>
      </c>
      <c r="E156" s="30" t="n">
        <v>0</v>
      </c>
      <c r="F156" s="30" t="n">
        <v>0</v>
      </c>
      <c r="G156" s="20">
        <f>IF(D$5=0,0,D156/D$5)</f>
        <v>0.103448275862069</v>
      </c>
      <c r="H156" s="20">
        <f>IF(E$5=0,0,E156/E$5)</f>
        <v>0</v>
      </c>
      <c r="I156" s="20">
        <f>IF(F$5=0,0,F156/F$5)</f>
        <v>0</v>
      </c>
    </row>
    <row r="157">
      <c r="A157" s="4" t="inlineStr">
        <is>
          <t>問18</t>
        </is>
      </c>
      <c r="B157" s="5" t="inlineStr">
        <is>
          <t>医療的ケアや重い障がいに関して、必要だと思う支援は何ですか（あてはまるものすべて）</t>
        </is>
      </c>
      <c r="C157" s="5" t="inlineStr">
        <is>
          <t>身近な相談先</t>
        </is>
      </c>
      <c r="D157" s="30" t="n">
        <v>3</v>
      </c>
      <c r="E157" s="30" t="n">
        <v>1</v>
      </c>
      <c r="F157" s="30" t="n">
        <v>2</v>
      </c>
      <c r="G157" s="20">
        <f>IF(D$5=0,0,D157/D$5)</f>
        <v>0.103448275862069</v>
      </c>
      <c r="H157" s="20">
        <f>IF(E$5=0,0,E157/E$5)</f>
        <v>0.5</v>
      </c>
      <c r="I157" s="20">
        <f>IF(F$5=0,0,F157/F$5)</f>
        <v>0.333333333333333</v>
      </c>
    </row>
    <row r="158">
      <c r="A158" s="4" t="inlineStr">
        <is>
          <t>問18</t>
        </is>
      </c>
      <c r="B158" s="5" t="inlineStr"/>
      <c r="C158" s="5" t="inlineStr">
        <is>
          <t>通所先での医療的ケア対応</t>
        </is>
      </c>
      <c r="D158" s="30" t="n">
        <v>1</v>
      </c>
      <c r="E158" s="30" t="n">
        <v>1</v>
      </c>
      <c r="F158" s="30" t="n">
        <v>1</v>
      </c>
      <c r="G158" s="20">
        <f>IF(D$5=0,0,D158/D$5)</f>
        <v>0.0344827586206897</v>
      </c>
      <c r="H158" s="20">
        <f>IF(E$5=0,0,E158/E$5)</f>
        <v>0.5</v>
      </c>
      <c r="I158" s="20">
        <f>IF(F$5=0,0,F158/F$5)</f>
        <v>0.166666666666667</v>
      </c>
    </row>
    <row r="159">
      <c r="A159" s="4" t="inlineStr">
        <is>
          <t>問18</t>
        </is>
      </c>
      <c r="B159" s="5" t="inlineStr"/>
      <c r="C159" s="5" t="inlineStr">
        <is>
          <t>短期入所・レスパイトケア</t>
        </is>
      </c>
      <c r="D159" s="30" t="n">
        <v>1</v>
      </c>
      <c r="E159" s="30" t="n">
        <v>0</v>
      </c>
      <c r="F159" s="30" t="n">
        <v>0</v>
      </c>
      <c r="G159" s="20">
        <f>IF(D$5=0,0,D159/D$5)</f>
        <v>0.0344827586206897</v>
      </c>
      <c r="H159" s="20">
        <f>IF(E$5=0,0,E159/E$5)</f>
        <v>0</v>
      </c>
      <c r="I159" s="20">
        <f>IF(F$5=0,0,F159/F$5)</f>
        <v>0</v>
      </c>
    </row>
    <row r="160">
      <c r="A160" s="4" t="inlineStr">
        <is>
          <t>問18</t>
        </is>
      </c>
      <c r="B160" s="5" t="inlineStr"/>
      <c r="C160" s="5" t="inlineStr">
        <is>
          <t>訪問看護等との連携</t>
        </is>
      </c>
      <c r="D160" s="30" t="n">
        <v>2</v>
      </c>
      <c r="E160" s="30" t="n">
        <v>0</v>
      </c>
      <c r="F160" s="30" t="n">
        <v>1</v>
      </c>
      <c r="G160" s="20">
        <f>IF(D$5=0,0,D160/D$5)</f>
        <v>0.0689655172413793</v>
      </c>
      <c r="H160" s="20">
        <f>IF(E$5=0,0,E160/E$5)</f>
        <v>0</v>
      </c>
      <c r="I160" s="20">
        <f>IF(F$5=0,0,F160/F$5)</f>
        <v>0.166666666666667</v>
      </c>
    </row>
    <row r="161">
      <c r="A161" s="4" t="inlineStr">
        <is>
          <t>問18</t>
        </is>
      </c>
      <c r="B161" s="5" t="inlineStr"/>
      <c r="C161" s="5" t="inlineStr">
        <is>
          <t>災害時の電源・医療機器対応</t>
        </is>
      </c>
      <c r="D161" s="30" t="n">
        <v>1</v>
      </c>
      <c r="E161" s="30" t="n">
        <v>0</v>
      </c>
      <c r="F161" s="30" t="n">
        <v>0</v>
      </c>
      <c r="G161" s="20">
        <f>IF(D$5=0,0,D161/D$5)</f>
        <v>0.0344827586206897</v>
      </c>
      <c r="H161" s="20">
        <f>IF(E$5=0,0,E161/E$5)</f>
        <v>0</v>
      </c>
      <c r="I161" s="20">
        <f>IF(F$5=0,0,F161/F$5)</f>
        <v>0</v>
      </c>
    </row>
    <row r="162">
      <c r="A162" s="4" t="inlineStr">
        <is>
          <t>問18</t>
        </is>
      </c>
      <c r="B162" s="5" t="inlineStr"/>
      <c r="C162" s="5" t="inlineStr">
        <is>
          <t>家族の負担軽減</t>
        </is>
      </c>
      <c r="D162" s="30" t="n">
        <v>4</v>
      </c>
      <c r="E162" s="30" t="n">
        <v>2</v>
      </c>
      <c r="F162" s="30" t="n">
        <v>3</v>
      </c>
      <c r="G162" s="20">
        <f>IF(D$5=0,0,D162/D$5)</f>
        <v>0.137931034482759</v>
      </c>
      <c r="H162" s="20">
        <f>IF(E$5=0,0,E162/E$5)</f>
        <v>1</v>
      </c>
      <c r="I162" s="20">
        <f>IF(F$5=0,0,F162/F$5)</f>
        <v>0.5</v>
      </c>
    </row>
    <row r="163">
      <c r="A163" s="4" t="inlineStr">
        <is>
          <t>問18</t>
        </is>
      </c>
      <c r="B163" s="5" t="inlineStr"/>
      <c r="C163" s="5" t="inlineStr">
        <is>
          <t>特にない</t>
        </is>
      </c>
      <c r="D163" s="30" t="n">
        <v>17</v>
      </c>
      <c r="E163" s="30" t="n">
        <v>0</v>
      </c>
      <c r="F163" s="30" t="n">
        <v>2</v>
      </c>
      <c r="G163" s="20">
        <f>IF(D$5=0,0,D163/D$5)</f>
        <v>0.586206896551724</v>
      </c>
      <c r="H163" s="20">
        <f>IF(E$5=0,0,E163/E$5)</f>
        <v>0</v>
      </c>
      <c r="I163" s="20">
        <f>IF(F$5=0,0,F163/F$5)</f>
        <v>0.333333333333333</v>
      </c>
    </row>
    <row r="164">
      <c r="A164" s="4" t="inlineStr">
        <is>
          <t>問18</t>
        </is>
      </c>
      <c r="B164" s="5" t="inlineStr"/>
      <c r="C164" s="5" t="inlineStr">
        <is>
          <t>その他</t>
        </is>
      </c>
      <c r="D164" s="30" t="n">
        <v>0</v>
      </c>
      <c r="E164" s="30" t="n">
        <v>0</v>
      </c>
      <c r="F164" s="30" t="n">
        <v>0</v>
      </c>
      <c r="G164" s="20">
        <f>IF(D$5=0,0,D164/D$5)</f>
        <v>0</v>
      </c>
      <c r="H164" s="20">
        <f>IF(E$5=0,0,E164/E$5)</f>
        <v>0</v>
      </c>
      <c r="I164" s="20">
        <f>IF(F$5=0,0,F164/F$5)</f>
        <v>0</v>
      </c>
    </row>
    <row r="165">
      <c r="A165" s="4" t="inlineStr">
        <is>
          <t>問18</t>
        </is>
      </c>
      <c r="B165" s="5" t="inlineStr"/>
      <c r="C165" s="5" t="inlineStr">
        <is>
          <t>無回答</t>
        </is>
      </c>
      <c r="D165" s="30" t="n">
        <v>4</v>
      </c>
      <c r="E165" s="30" t="n">
        <v>0</v>
      </c>
      <c r="F165" s="30" t="n">
        <v>1</v>
      </c>
      <c r="G165" s="20">
        <f>IF(D$5=0,0,D165/D$5)</f>
        <v>0.137931034482759</v>
      </c>
      <c r="H165" s="20">
        <f>IF(E$5=0,0,E165/E$5)</f>
        <v>0</v>
      </c>
      <c r="I165" s="20">
        <f>IF(F$5=0,0,F165/F$5)</f>
        <v>0.166666666666667</v>
      </c>
    </row>
    <row r="166">
      <c r="A166" s="4" t="inlineStr">
        <is>
          <t>問19</t>
        </is>
      </c>
      <c r="B166" s="5" t="inlineStr">
        <is>
          <t>強度行動障がい支援（自傷や強いこだわり、パニックがある方）に関して、必要だと思う支援は何ですか（あてはまるものすべて）</t>
        </is>
      </c>
      <c r="C166" s="5" t="inlineStr">
        <is>
          <t>ヘルパーやスタッフの派遣・増員</t>
        </is>
      </c>
      <c r="D166" s="30" t="n">
        <v>3</v>
      </c>
      <c r="E166" s="30" t="n">
        <v>0</v>
      </c>
      <c r="F166" s="30" t="n">
        <v>1</v>
      </c>
      <c r="G166" s="20">
        <f>IF(D$5=0,0,D166/D$5)</f>
        <v>0.103448275862069</v>
      </c>
      <c r="H166" s="20">
        <f>IF(E$5=0,0,E166/E$5)</f>
        <v>0</v>
      </c>
      <c r="I166" s="20">
        <f>IF(F$5=0,0,F166/F$5)</f>
        <v>0.166666666666667</v>
      </c>
    </row>
    <row r="167">
      <c r="A167" s="4" t="inlineStr">
        <is>
          <t>問19</t>
        </is>
      </c>
      <c r="B167" s="5" t="inlineStr"/>
      <c r="C167" s="5" t="inlineStr">
        <is>
          <t>パニック時や緊急時に一時的に受け入れてくれる施設の整備</t>
        </is>
      </c>
      <c r="D167" s="30" t="n">
        <v>6</v>
      </c>
      <c r="E167" s="30" t="n">
        <v>1</v>
      </c>
      <c r="F167" s="30" t="n">
        <v>1</v>
      </c>
      <c r="G167" s="20">
        <f>IF(D$5=0,0,D167/D$5)</f>
        <v>0.206896551724138</v>
      </c>
      <c r="H167" s="20">
        <f>IF(E$5=0,0,E167/E$5)</f>
        <v>0.5</v>
      </c>
      <c r="I167" s="20">
        <f>IF(F$5=0,0,F167/F$5)</f>
        <v>0.166666666666667</v>
      </c>
    </row>
    <row r="168">
      <c r="A168" s="4" t="inlineStr">
        <is>
          <t>問19</t>
        </is>
      </c>
      <c r="B168" s="5" t="inlineStr"/>
      <c r="C168" s="5" t="inlineStr">
        <is>
          <t>自宅以外で落ち着いて過ごせる居場所や日中活動の場の確保</t>
        </is>
      </c>
      <c r="D168" s="30" t="n">
        <v>4</v>
      </c>
      <c r="E168" s="30" t="n">
        <v>1</v>
      </c>
      <c r="F168" s="30" t="n">
        <v>1</v>
      </c>
      <c r="G168" s="20">
        <f>IF(D$5=0,0,D168/D$5)</f>
        <v>0.137931034482759</v>
      </c>
      <c r="H168" s="20">
        <f>IF(E$5=0,0,E168/E$5)</f>
        <v>0.5</v>
      </c>
      <c r="I168" s="20">
        <f>IF(F$5=0,0,F168/F$5)</f>
        <v>0.166666666666667</v>
      </c>
    </row>
    <row r="169">
      <c r="A169" s="4" t="inlineStr">
        <is>
          <t>問19</t>
        </is>
      </c>
      <c r="B169" s="5" t="inlineStr"/>
      <c r="C169" s="5" t="inlineStr">
        <is>
          <t>医療機関や発達障害支援センターなどの専門機関との連携強化</t>
        </is>
      </c>
      <c r="D169" s="30" t="n">
        <v>3</v>
      </c>
      <c r="E169" s="30" t="n">
        <v>1</v>
      </c>
      <c r="F169" s="30" t="n">
        <v>1</v>
      </c>
      <c r="G169" s="20">
        <f>IF(D$5=0,0,D169/D$5)</f>
        <v>0.103448275862069</v>
      </c>
      <c r="H169" s="20">
        <f>IF(E$5=0,0,E169/E$5)</f>
        <v>0.5</v>
      </c>
      <c r="I169" s="20">
        <f>IF(F$5=0,0,F169/F$5)</f>
        <v>0.166666666666667</v>
      </c>
    </row>
    <row r="170">
      <c r="A170" s="4" t="inlineStr">
        <is>
          <t>問19</t>
        </is>
      </c>
      <c r="B170" s="5" t="inlineStr"/>
      <c r="C170" s="5" t="inlineStr">
        <is>
          <t>家族（介護者）が対応方法を学ぶための研修や、悩みを相談できる機会の提供</t>
        </is>
      </c>
      <c r="D170" s="30" t="n">
        <v>1</v>
      </c>
      <c r="E170" s="30" t="n">
        <v>0</v>
      </c>
      <c r="F170" s="30" t="n">
        <v>0</v>
      </c>
      <c r="G170" s="20">
        <f>IF(D$5=0,0,D170/D$5)</f>
        <v>0.0344827586206897</v>
      </c>
      <c r="H170" s="20">
        <f>IF(E$5=0,0,E170/E$5)</f>
        <v>0</v>
      </c>
      <c r="I170" s="20">
        <f>IF(F$5=0,0,F170/F$5)</f>
        <v>0</v>
      </c>
    </row>
    <row r="171">
      <c r="A171" s="4" t="inlineStr">
        <is>
          <t>問19</t>
        </is>
      </c>
      <c r="B171" s="5" t="inlineStr"/>
      <c r="C171" s="5" t="inlineStr">
        <is>
          <t>特にない</t>
        </is>
      </c>
      <c r="D171" s="30" t="n">
        <v>15</v>
      </c>
      <c r="E171" s="30" t="n">
        <v>0</v>
      </c>
      <c r="F171" s="30" t="n">
        <v>2</v>
      </c>
      <c r="G171" s="20">
        <f>IF(D$5=0,0,D171/D$5)</f>
        <v>0.517241379310345</v>
      </c>
      <c r="H171" s="20">
        <f>IF(E$5=0,0,E171/E$5)</f>
        <v>0</v>
      </c>
      <c r="I171" s="20">
        <f>IF(F$5=0,0,F171/F$5)</f>
        <v>0.333333333333333</v>
      </c>
    </row>
    <row r="172">
      <c r="A172" s="4" t="inlineStr">
        <is>
          <t>問19</t>
        </is>
      </c>
      <c r="B172" s="5" t="inlineStr"/>
      <c r="C172" s="5" t="inlineStr">
        <is>
          <t>無回答</t>
        </is>
      </c>
      <c r="D172" s="30" t="n">
        <v>6</v>
      </c>
      <c r="E172" s="30" t="n">
        <v>0</v>
      </c>
      <c r="F172" s="30" t="n">
        <v>1</v>
      </c>
      <c r="G172" s="20">
        <f>IF(D$5=0,0,D172/D$5)</f>
        <v>0.206896551724138</v>
      </c>
      <c r="H172" s="20">
        <f>IF(E$5=0,0,E172/E$5)</f>
        <v>0</v>
      </c>
      <c r="I172" s="20">
        <f>IF(F$5=0,0,F172/F$5)</f>
        <v>0.166666666666667</v>
      </c>
    </row>
    <row r="173">
      <c r="A173" s="4" t="inlineStr">
        <is>
          <t>問20</t>
        </is>
      </c>
      <c r="B173" s="5" t="inlineStr">
        <is>
          <t>高次脳機能障がい支援に関して、必要だと思う支援は何ですか（あてはまるものすべて）</t>
        </is>
      </c>
      <c r="C173" s="5" t="inlineStr">
        <is>
          <t>ヘルパーやスタッフの派遣・増員</t>
        </is>
      </c>
      <c r="D173" s="30" t="n">
        <v>3</v>
      </c>
      <c r="E173" s="30" t="n">
        <v>0</v>
      </c>
      <c r="F173" s="30" t="n">
        <v>0</v>
      </c>
      <c r="G173" s="20">
        <f>IF(D$5=0,0,D173/D$5)</f>
        <v>0.103448275862069</v>
      </c>
      <c r="H173" s="20">
        <f>IF(E$5=0,0,E173/E$5)</f>
        <v>0</v>
      </c>
      <c r="I173" s="20">
        <f>IF(F$5=0,0,F173/F$5)</f>
        <v>0</v>
      </c>
    </row>
    <row r="174">
      <c r="A174" s="4" t="inlineStr">
        <is>
          <t>問20</t>
        </is>
      </c>
      <c r="B174" s="5" t="inlineStr"/>
      <c r="C174" s="5" t="inlineStr">
        <is>
          <t>パニック時や緊急時に一時的に受け入れてくれる施設の整備</t>
        </is>
      </c>
      <c r="D174" s="30" t="n">
        <v>4</v>
      </c>
      <c r="E174" s="30" t="n">
        <v>1</v>
      </c>
      <c r="F174" s="30" t="n">
        <v>1</v>
      </c>
      <c r="G174" s="20">
        <f>IF(D$5=0,0,D174/D$5)</f>
        <v>0.137931034482759</v>
      </c>
      <c r="H174" s="20">
        <f>IF(E$5=0,0,E174/E$5)</f>
        <v>0.5</v>
      </c>
      <c r="I174" s="20">
        <f>IF(F$5=0,0,F174/F$5)</f>
        <v>0.166666666666667</v>
      </c>
    </row>
    <row r="175">
      <c r="A175" s="4" t="inlineStr">
        <is>
          <t>問20</t>
        </is>
      </c>
      <c r="B175" s="5" t="inlineStr"/>
      <c r="C175" s="5" t="inlineStr">
        <is>
          <t>自宅以外で落ち着いて過ごせる居場所や日中活動の場の確保</t>
        </is>
      </c>
      <c r="D175" s="30" t="n">
        <v>3</v>
      </c>
      <c r="E175" s="30" t="n">
        <v>1</v>
      </c>
      <c r="F175" s="30" t="n">
        <v>1</v>
      </c>
      <c r="G175" s="20">
        <f>IF(D$5=0,0,D175/D$5)</f>
        <v>0.103448275862069</v>
      </c>
      <c r="H175" s="20">
        <f>IF(E$5=0,0,E175/E$5)</f>
        <v>0.5</v>
      </c>
      <c r="I175" s="20">
        <f>IF(F$5=0,0,F175/F$5)</f>
        <v>0.166666666666667</v>
      </c>
    </row>
    <row r="176">
      <c r="A176" s="4" t="inlineStr">
        <is>
          <t>問20</t>
        </is>
      </c>
      <c r="B176" s="5" t="inlineStr"/>
      <c r="C176" s="5" t="inlineStr">
        <is>
          <t>医療機関や発達障害支援センターなどの専門機関との連携強化</t>
        </is>
      </c>
      <c r="D176" s="30" t="n">
        <v>5</v>
      </c>
      <c r="E176" s="30" t="n">
        <v>1</v>
      </c>
      <c r="F176" s="30" t="n">
        <v>1</v>
      </c>
      <c r="G176" s="20">
        <f>IF(D$5=0,0,D176/D$5)</f>
        <v>0.172413793103448</v>
      </c>
      <c r="H176" s="20">
        <f>IF(E$5=0,0,E176/E$5)</f>
        <v>0.5</v>
      </c>
      <c r="I176" s="20">
        <f>IF(F$5=0,0,F176/F$5)</f>
        <v>0.166666666666667</v>
      </c>
    </row>
    <row r="177">
      <c r="A177" s="4" t="inlineStr">
        <is>
          <t>問20</t>
        </is>
      </c>
      <c r="B177" s="5" t="inlineStr"/>
      <c r="C177" s="5" t="inlineStr">
        <is>
          <t>家族（介護者）が対応方法を学ぶための研修や、悩みを相談できる機会の提供</t>
        </is>
      </c>
      <c r="D177" s="30" t="n">
        <v>2</v>
      </c>
      <c r="E177" s="30" t="n">
        <v>0</v>
      </c>
      <c r="F177" s="30" t="n">
        <v>1</v>
      </c>
      <c r="G177" s="20">
        <f>IF(D$5=0,0,D177/D$5)</f>
        <v>0.0689655172413793</v>
      </c>
      <c r="H177" s="20">
        <f>IF(E$5=0,0,E177/E$5)</f>
        <v>0</v>
      </c>
      <c r="I177" s="20">
        <f>IF(F$5=0,0,F177/F$5)</f>
        <v>0.166666666666667</v>
      </c>
    </row>
    <row r="178">
      <c r="A178" s="4" t="inlineStr">
        <is>
          <t>問20</t>
        </is>
      </c>
      <c r="B178" s="5" t="inlineStr"/>
      <c r="C178" s="5" t="inlineStr">
        <is>
          <t>特にない</t>
        </is>
      </c>
      <c r="D178" s="30" t="n">
        <v>14</v>
      </c>
      <c r="E178" s="30" t="n">
        <v>0</v>
      </c>
      <c r="F178" s="30" t="n">
        <v>2</v>
      </c>
      <c r="G178" s="20">
        <f>IF(D$5=0,0,D178/D$5)</f>
        <v>0.482758620689655</v>
      </c>
      <c r="H178" s="20">
        <f>IF(E$5=0,0,E178/E$5)</f>
        <v>0</v>
      </c>
      <c r="I178" s="20">
        <f>IF(F$5=0,0,F178/F$5)</f>
        <v>0.333333333333333</v>
      </c>
    </row>
    <row r="179">
      <c r="A179" s="4" t="inlineStr">
        <is>
          <t>問20</t>
        </is>
      </c>
      <c r="B179" s="5" t="inlineStr"/>
      <c r="C179" s="5" t="inlineStr">
        <is>
          <t>無回答</t>
        </is>
      </c>
      <c r="D179" s="30" t="n">
        <v>8</v>
      </c>
      <c r="E179" s="30" t="n">
        <v>0</v>
      </c>
      <c r="F179" s="30" t="n">
        <v>2</v>
      </c>
      <c r="G179" s="20">
        <f>IF(D$5=0,0,D179/D$5)</f>
        <v>0.275862068965517</v>
      </c>
      <c r="H179" s="20">
        <f>IF(E$5=0,0,E179/E$5)</f>
        <v>0</v>
      </c>
      <c r="I179" s="20">
        <f>IF(F$5=0,0,F179/F$5)</f>
        <v>0.333333333333333</v>
      </c>
    </row>
    <row r="180">
      <c r="A180" s="4" t="inlineStr">
        <is>
          <t>問21</t>
        </is>
      </c>
      <c r="B180" s="5" t="inlineStr">
        <is>
          <t>意思決定支援（本人が自分の希望を伝え、選択していくための支援）に関して、必要だと思う支援は何ですか</t>
        </is>
      </c>
      <c r="C180" s="5" t="inlineStr">
        <is>
          <t>必要である（現在すでに支援を受けている、または今後受けたい）</t>
        </is>
      </c>
      <c r="D180" s="30" t="n">
        <v>5</v>
      </c>
      <c r="E180" s="30" t="n">
        <v>1</v>
      </c>
      <c r="F180" s="30" t="n">
        <v>2</v>
      </c>
      <c r="G180" s="20">
        <f>IF(D$5=0,0,D180/D$5)</f>
        <v>0.172413793103448</v>
      </c>
      <c r="H180" s="20">
        <f>IF(E$5=0,0,E180/E$5)</f>
        <v>0.5</v>
      </c>
      <c r="I180" s="20">
        <f>IF(F$5=0,0,F180/F$5)</f>
        <v>0.333333333333333</v>
      </c>
    </row>
    <row r="181">
      <c r="A181" s="4" t="inlineStr">
        <is>
          <t>問21</t>
        </is>
      </c>
      <c r="B181" s="5" t="inlineStr"/>
      <c r="C181" s="5" t="inlineStr">
        <is>
          <t>今は必要ないが、将来的には必要になると思う</t>
        </is>
      </c>
      <c r="D181" s="30" t="n">
        <v>9</v>
      </c>
      <c r="E181" s="30" t="n">
        <v>1</v>
      </c>
      <c r="F181" s="30" t="n">
        <v>1</v>
      </c>
      <c r="G181" s="20">
        <f>IF(D$5=0,0,D181/D$5)</f>
        <v>0.310344827586207</v>
      </c>
      <c r="H181" s="20">
        <f>IF(E$5=0,0,E181/E$5)</f>
        <v>0.5</v>
      </c>
      <c r="I181" s="20">
        <f>IF(F$5=0,0,F181/F$5)</f>
        <v>0.166666666666667</v>
      </c>
    </row>
    <row r="182">
      <c r="A182" s="4" t="inlineStr">
        <is>
          <t>問21</t>
        </is>
      </c>
      <c r="B182" s="5" t="inlineStr"/>
      <c r="C182" s="5" t="inlineStr">
        <is>
          <t>必要ない（自分や家族等と相談して意思決定ができる）</t>
        </is>
      </c>
      <c r="D182" s="30" t="n">
        <v>6</v>
      </c>
      <c r="E182" s="30" t="n">
        <v>0</v>
      </c>
      <c r="F182" s="30" t="n">
        <v>2</v>
      </c>
      <c r="G182" s="20">
        <f>IF(D$5=0,0,D182/D$5)</f>
        <v>0.206896551724138</v>
      </c>
      <c r="H182" s="20">
        <f>IF(E$5=0,0,E182/E$5)</f>
        <v>0</v>
      </c>
      <c r="I182" s="20">
        <f>IF(F$5=0,0,F182/F$5)</f>
        <v>0.333333333333333</v>
      </c>
    </row>
    <row r="183">
      <c r="A183" s="4" t="inlineStr">
        <is>
          <t>問21</t>
        </is>
      </c>
      <c r="B183" s="5" t="inlineStr"/>
      <c r="C183" s="5" t="inlineStr">
        <is>
          <t>わからない（意思決定支援がどのようなものか知らない）</t>
        </is>
      </c>
      <c r="D183" s="30" t="n">
        <v>4</v>
      </c>
      <c r="E183" s="30" t="n">
        <v>0</v>
      </c>
      <c r="F183" s="30" t="n">
        <v>1</v>
      </c>
      <c r="G183" s="20">
        <f>IF(D$5=0,0,D183/D$5)</f>
        <v>0.137931034482759</v>
      </c>
      <c r="H183" s="20">
        <f>IF(E$5=0,0,E183/E$5)</f>
        <v>0</v>
      </c>
      <c r="I183" s="20">
        <f>IF(F$5=0,0,F183/F$5)</f>
        <v>0.166666666666667</v>
      </c>
    </row>
    <row r="184">
      <c r="A184" s="4" t="inlineStr">
        <is>
          <t>問21</t>
        </is>
      </c>
      <c r="B184" s="5" t="inlineStr"/>
      <c r="C184" s="5" t="inlineStr">
        <is>
          <t>無回答</t>
        </is>
      </c>
      <c r="D184" s="30" t="n">
        <v>5</v>
      </c>
      <c r="E184" s="30" t="n">
        <v>0</v>
      </c>
      <c r="F184" s="30" t="n">
        <v>0</v>
      </c>
      <c r="G184" s="20">
        <f>IF(D$5=0,0,D184/D$5)</f>
        <v>0.172413793103448</v>
      </c>
      <c r="H184" s="20">
        <f>IF(E$5=0,0,E184/E$5)</f>
        <v>0</v>
      </c>
      <c r="I184" s="20">
        <f>IF(F$5=0,0,F184/F$5)</f>
        <v>0</v>
      </c>
    </row>
    <row r="185">
      <c r="A185" s="4" t="inlineStr">
        <is>
          <t>問22</t>
        </is>
      </c>
      <c r="B185" s="5" t="inlineStr">
        <is>
          <t>困ったときに相談する相手・場所はどこですか（あてはまるものすべて）</t>
        </is>
      </c>
      <c r="C185" s="5" t="inlineStr">
        <is>
          <t>家族・親族</t>
        </is>
      </c>
      <c r="D185" s="30" t="n">
        <v>22</v>
      </c>
      <c r="E185" s="30" t="n">
        <v>1</v>
      </c>
      <c r="F185" s="30" t="n">
        <v>4</v>
      </c>
      <c r="G185" s="20">
        <f>IF(D$5=0,0,D185/D$5)</f>
        <v>0.758620689655172</v>
      </c>
      <c r="H185" s="20">
        <f>IF(E$5=0,0,E185/E$5)</f>
        <v>0.5</v>
      </c>
      <c r="I185" s="20">
        <f>IF(F$5=0,0,F185/F$5)</f>
        <v>0.666666666666667</v>
      </c>
    </row>
    <row r="186">
      <c r="A186" s="4" t="inlineStr">
        <is>
          <t>問22</t>
        </is>
      </c>
      <c r="B186" s="5" t="inlineStr"/>
      <c r="C186" s="5" t="inlineStr">
        <is>
          <t>友人・知人</t>
        </is>
      </c>
      <c r="D186" s="30" t="n">
        <v>5</v>
      </c>
      <c r="E186" s="30" t="n">
        <v>0</v>
      </c>
      <c r="F186" s="30" t="n">
        <v>0</v>
      </c>
      <c r="G186" s="20">
        <f>IF(D$5=0,0,D186/D$5)</f>
        <v>0.172413793103448</v>
      </c>
      <c r="H186" s="20">
        <f>IF(E$5=0,0,E186/E$5)</f>
        <v>0</v>
      </c>
      <c r="I186" s="20">
        <f>IF(F$5=0,0,F186/F$5)</f>
        <v>0</v>
      </c>
    </row>
    <row r="187">
      <c r="A187" s="4" t="inlineStr">
        <is>
          <t>問22</t>
        </is>
      </c>
      <c r="B187" s="5" t="inlineStr"/>
      <c r="C187" s="5" t="inlineStr">
        <is>
          <t>村役場</t>
        </is>
      </c>
      <c r="D187" s="30" t="n">
        <v>4</v>
      </c>
      <c r="E187" s="30" t="n">
        <v>0</v>
      </c>
      <c r="F187" s="30" t="n">
        <v>1</v>
      </c>
      <c r="G187" s="20">
        <f>IF(D$5=0,0,D187/D$5)</f>
        <v>0.137931034482759</v>
      </c>
      <c r="H187" s="20">
        <f>IF(E$5=0,0,E187/E$5)</f>
        <v>0</v>
      </c>
      <c r="I187" s="20">
        <f>IF(F$5=0,0,F187/F$5)</f>
        <v>0.166666666666667</v>
      </c>
    </row>
    <row r="188">
      <c r="A188" s="4" t="inlineStr">
        <is>
          <t>問22</t>
        </is>
      </c>
      <c r="B188" s="5" t="inlineStr"/>
      <c r="C188" s="5" t="inlineStr">
        <is>
          <t>相談支援専門員</t>
        </is>
      </c>
      <c r="D188" s="30" t="n">
        <v>5</v>
      </c>
      <c r="E188" s="30" t="n">
        <v>2</v>
      </c>
      <c r="F188" s="30" t="n">
        <v>2</v>
      </c>
      <c r="G188" s="20">
        <f>IF(D$5=0,0,D188/D$5)</f>
        <v>0.172413793103448</v>
      </c>
      <c r="H188" s="20">
        <f>IF(E$5=0,0,E188/E$5)</f>
        <v>1</v>
      </c>
      <c r="I188" s="20">
        <f>IF(F$5=0,0,F188/F$5)</f>
        <v>0.333333333333333</v>
      </c>
    </row>
    <row r="189">
      <c r="A189" s="4" t="inlineStr">
        <is>
          <t>問22</t>
        </is>
      </c>
      <c r="B189" s="5" t="inlineStr"/>
      <c r="C189" s="5" t="inlineStr">
        <is>
          <t>福祉サービス事業所</t>
        </is>
      </c>
      <c r="D189" s="30" t="n">
        <v>3</v>
      </c>
      <c r="E189" s="30" t="n">
        <v>2</v>
      </c>
      <c r="F189" s="30" t="n">
        <v>1</v>
      </c>
      <c r="G189" s="20">
        <f>IF(D$5=0,0,D189/D$5)</f>
        <v>0.103448275862069</v>
      </c>
      <c r="H189" s="20">
        <f>IF(E$5=0,0,E189/E$5)</f>
        <v>1</v>
      </c>
      <c r="I189" s="20">
        <f>IF(F$5=0,0,F189/F$5)</f>
        <v>0.166666666666667</v>
      </c>
    </row>
    <row r="190">
      <c r="A190" s="4" t="inlineStr">
        <is>
          <t>問22</t>
        </is>
      </c>
      <c r="B190" s="5" t="inlineStr"/>
      <c r="C190" s="5" t="inlineStr">
        <is>
          <t>医療機関</t>
        </is>
      </c>
      <c r="D190" s="30" t="n">
        <v>9</v>
      </c>
      <c r="E190" s="30" t="n">
        <v>1</v>
      </c>
      <c r="F190" s="30" t="n">
        <v>2</v>
      </c>
      <c r="G190" s="20">
        <f>IF(D$5=0,0,D190/D$5)</f>
        <v>0.310344827586207</v>
      </c>
      <c r="H190" s="20">
        <f>IF(E$5=0,0,E190/E$5)</f>
        <v>0.5</v>
      </c>
      <c r="I190" s="20">
        <f>IF(F$5=0,0,F190/F$5)</f>
        <v>0.333333333333333</v>
      </c>
    </row>
    <row r="191">
      <c r="A191" s="4" t="inlineStr">
        <is>
          <t>問22</t>
        </is>
      </c>
      <c r="B191" s="5" t="inlineStr"/>
      <c r="C191" s="5" t="inlineStr">
        <is>
          <t>SNS・インターネット・AI</t>
        </is>
      </c>
      <c r="D191" s="30" t="n">
        <v>1</v>
      </c>
      <c r="E191" s="30" t="n">
        <v>0</v>
      </c>
      <c r="F191" s="30" t="n">
        <v>0</v>
      </c>
      <c r="G191" s="20">
        <f>IF(D$5=0,0,D191/D$5)</f>
        <v>0.0344827586206897</v>
      </c>
      <c r="H191" s="20">
        <f>IF(E$5=0,0,E191/E$5)</f>
        <v>0</v>
      </c>
      <c r="I191" s="20">
        <f>IF(F$5=0,0,F191/F$5)</f>
        <v>0</v>
      </c>
    </row>
    <row r="192">
      <c r="A192" s="4" t="inlineStr">
        <is>
          <t>問22</t>
        </is>
      </c>
      <c r="B192" s="5" t="inlineStr"/>
      <c r="C192" s="5" t="inlineStr">
        <is>
          <t>社会福祉協議会</t>
        </is>
      </c>
      <c r="D192" s="30" t="n">
        <v>4</v>
      </c>
      <c r="E192" s="30" t="n">
        <v>0</v>
      </c>
      <c r="F192" s="30" t="n">
        <v>0</v>
      </c>
      <c r="G192" s="20">
        <f>IF(D$5=0,0,D192/D$5)</f>
        <v>0.137931034482759</v>
      </c>
      <c r="H192" s="20">
        <f>IF(E$5=0,0,E192/E$5)</f>
        <v>0</v>
      </c>
      <c r="I192" s="20">
        <f>IF(F$5=0,0,F192/F$5)</f>
        <v>0</v>
      </c>
    </row>
    <row r="193">
      <c r="A193" s="4" t="inlineStr">
        <is>
          <t>問22</t>
        </is>
      </c>
      <c r="B193" s="5" t="inlineStr"/>
      <c r="C193" s="5" t="inlineStr">
        <is>
          <t>民生委員・児童委員</t>
        </is>
      </c>
      <c r="D193" s="30" t="n">
        <v>1</v>
      </c>
      <c r="E193" s="30" t="n">
        <v>0</v>
      </c>
      <c r="F193" s="30" t="n">
        <v>0</v>
      </c>
      <c r="G193" s="20">
        <f>IF(D$5=0,0,D193/D$5)</f>
        <v>0.0344827586206897</v>
      </c>
      <c r="H193" s="20">
        <f>IF(E$5=0,0,E193/E$5)</f>
        <v>0</v>
      </c>
      <c r="I193" s="20">
        <f>IF(F$5=0,0,F193/F$5)</f>
        <v>0</v>
      </c>
    </row>
    <row r="194">
      <c r="A194" s="4" t="inlineStr">
        <is>
          <t>問22</t>
        </is>
      </c>
      <c r="B194" s="5" t="inlineStr"/>
      <c r="C194" s="5" t="inlineStr">
        <is>
          <t>相談する相手がいない</t>
        </is>
      </c>
      <c r="D194" s="30" t="n">
        <v>1</v>
      </c>
      <c r="E194" s="30" t="n">
        <v>0</v>
      </c>
      <c r="F194" s="30" t="n">
        <v>0</v>
      </c>
      <c r="G194" s="20">
        <f>IF(D$5=0,0,D194/D$5)</f>
        <v>0.0344827586206897</v>
      </c>
      <c r="H194" s="20">
        <f>IF(E$5=0,0,E194/E$5)</f>
        <v>0</v>
      </c>
      <c r="I194" s="20">
        <f>IF(F$5=0,0,F194/F$5)</f>
        <v>0</v>
      </c>
    </row>
    <row r="195">
      <c r="A195" s="4" t="inlineStr">
        <is>
          <t>問22</t>
        </is>
      </c>
      <c r="B195" s="5" t="inlineStr"/>
      <c r="C195" s="5" t="inlineStr">
        <is>
          <t>その他</t>
        </is>
      </c>
      <c r="D195" s="30" t="n">
        <v>1</v>
      </c>
      <c r="E195" s="30" t="n">
        <v>0</v>
      </c>
      <c r="F195" s="30" t="n">
        <v>0</v>
      </c>
      <c r="G195" s="20">
        <f>IF(D$5=0,0,D195/D$5)</f>
        <v>0.0344827586206897</v>
      </c>
      <c r="H195" s="20">
        <f>IF(E$5=0,0,E195/E$5)</f>
        <v>0</v>
      </c>
      <c r="I195" s="20">
        <f>IF(F$5=0,0,F195/F$5)</f>
        <v>0</v>
      </c>
    </row>
    <row r="196">
      <c r="A196" s="4" t="inlineStr">
        <is>
          <t>問22</t>
        </is>
      </c>
      <c r="B196" s="5" t="inlineStr"/>
      <c r="C196" s="5" t="inlineStr">
        <is>
          <t>無回答</t>
        </is>
      </c>
      <c r="D196" s="30" t="n">
        <v>1</v>
      </c>
      <c r="E196" s="30" t="n">
        <v>0</v>
      </c>
      <c r="F196" s="30" t="n">
        <v>0</v>
      </c>
      <c r="G196" s="20">
        <f>IF(D$5=0,0,D196/D$5)</f>
        <v>0.0344827586206897</v>
      </c>
      <c r="H196" s="20">
        <f>IF(E$5=0,0,E196/E$5)</f>
        <v>0</v>
      </c>
      <c r="I196" s="20">
        <f>IF(F$5=0,0,F196/F$5)</f>
        <v>0</v>
      </c>
    </row>
    <row r="197">
      <c r="A197" s="4" t="inlineStr">
        <is>
          <t>問23</t>
        </is>
      </c>
      <c r="B197" s="5" t="inlineStr">
        <is>
          <t>相談しにくい、又は相談できない理由は何ですか（あてはまるものすべて）</t>
        </is>
      </c>
      <c r="C197" s="5" t="inlineStr">
        <is>
          <t>相談先がわからない</t>
        </is>
      </c>
      <c r="D197" s="30" t="n">
        <v>0</v>
      </c>
      <c r="E197" s="30" t="n">
        <v>0</v>
      </c>
      <c r="F197" s="30" t="n">
        <v>0</v>
      </c>
      <c r="G197" s="20">
        <f>IF(D$5=0,0,D197/D$5)</f>
        <v>0</v>
      </c>
      <c r="H197" s="20">
        <f>IF(E$5=0,0,E197/E$5)</f>
        <v>0</v>
      </c>
      <c r="I197" s="20">
        <f>IF(F$5=0,0,F197/F$5)</f>
        <v>0</v>
      </c>
    </row>
    <row r="198">
      <c r="A198" s="4" t="inlineStr">
        <is>
          <t>問23</t>
        </is>
      </c>
      <c r="B198" s="5" t="inlineStr"/>
      <c r="C198" s="5" t="inlineStr">
        <is>
          <t>身近に相談先がない</t>
        </is>
      </c>
      <c r="D198" s="30" t="n">
        <v>1</v>
      </c>
      <c r="E198" s="30" t="n">
        <v>0</v>
      </c>
      <c r="F198" s="30" t="n">
        <v>0</v>
      </c>
      <c r="G198" s="20">
        <f>IF(D$5=0,0,D198/D$5)</f>
        <v>0.0344827586206897</v>
      </c>
      <c r="H198" s="20">
        <f>IF(E$5=0,0,E198/E$5)</f>
        <v>0</v>
      </c>
      <c r="I198" s="20">
        <f>IF(F$5=0,0,F198/F$5)</f>
        <v>0</v>
      </c>
    </row>
    <row r="199">
      <c r="A199" s="4" t="inlineStr">
        <is>
          <t>問23</t>
        </is>
      </c>
      <c r="B199" s="5" t="inlineStr"/>
      <c r="C199" s="5" t="inlineStr">
        <is>
          <t>何を相談してよいかわからない</t>
        </is>
      </c>
      <c r="D199" s="30" t="n">
        <v>3</v>
      </c>
      <c r="E199" s="30" t="n">
        <v>1</v>
      </c>
      <c r="F199" s="30" t="n">
        <v>0</v>
      </c>
      <c r="G199" s="20">
        <f>IF(D$5=0,0,D199/D$5)</f>
        <v>0.103448275862069</v>
      </c>
      <c r="H199" s="20">
        <f>IF(E$5=0,0,E199/E$5)</f>
        <v>0.5</v>
      </c>
      <c r="I199" s="20">
        <f>IF(F$5=0,0,F199/F$5)</f>
        <v>0</v>
      </c>
    </row>
    <row r="200">
      <c r="A200" s="4" t="inlineStr">
        <is>
          <t>問23</t>
        </is>
      </c>
      <c r="B200" s="5" t="inlineStr"/>
      <c r="C200" s="5" t="inlineStr">
        <is>
          <t>相談しても解決しないと思う</t>
        </is>
      </c>
      <c r="D200" s="30" t="n">
        <v>4</v>
      </c>
      <c r="E200" s="30" t="n">
        <v>0</v>
      </c>
      <c r="F200" s="30" t="n">
        <v>2</v>
      </c>
      <c r="G200" s="20">
        <f>IF(D$5=0,0,D200/D$5)</f>
        <v>0.137931034482759</v>
      </c>
      <c r="H200" s="20">
        <f>IF(E$5=0,0,E200/E$5)</f>
        <v>0</v>
      </c>
      <c r="I200" s="20">
        <f>IF(F$5=0,0,F200/F$5)</f>
        <v>0.333333333333333</v>
      </c>
    </row>
    <row r="201">
      <c r="A201" s="4" t="inlineStr">
        <is>
          <t>問23</t>
        </is>
      </c>
      <c r="B201" s="5" t="inlineStr"/>
      <c r="C201" s="5" t="inlineStr">
        <is>
          <t>交通手段がない</t>
        </is>
      </c>
      <c r="D201" s="30" t="n">
        <v>1</v>
      </c>
      <c r="E201" s="30" t="n">
        <v>0</v>
      </c>
      <c r="F201" s="30" t="n">
        <v>0</v>
      </c>
      <c r="G201" s="20">
        <f>IF(D$5=0,0,D201/D$5)</f>
        <v>0.0344827586206897</v>
      </c>
      <c r="H201" s="20">
        <f>IF(E$5=0,0,E201/E$5)</f>
        <v>0</v>
      </c>
      <c r="I201" s="20">
        <f>IF(F$5=0,0,F201/F$5)</f>
        <v>0</v>
      </c>
    </row>
    <row r="202">
      <c r="A202" s="4" t="inlineStr">
        <is>
          <t>問23</t>
        </is>
      </c>
      <c r="B202" s="5" t="inlineStr"/>
      <c r="C202" s="5" t="inlineStr">
        <is>
          <t>家族が対応している</t>
        </is>
      </c>
      <c r="D202" s="30" t="n">
        <v>7</v>
      </c>
      <c r="E202" s="30" t="n">
        <v>0</v>
      </c>
      <c r="F202" s="30" t="n">
        <v>1</v>
      </c>
      <c r="G202" s="20">
        <f>IF(D$5=0,0,D202/D$5)</f>
        <v>0.241379310344828</v>
      </c>
      <c r="H202" s="20">
        <f>IF(E$5=0,0,E202/E$5)</f>
        <v>0</v>
      </c>
      <c r="I202" s="20">
        <f>IF(F$5=0,0,F202/F$5)</f>
        <v>0.166666666666667</v>
      </c>
    </row>
    <row r="203">
      <c r="A203" s="4" t="inlineStr">
        <is>
          <t>問23</t>
        </is>
      </c>
      <c r="B203" s="5" t="inlineStr"/>
      <c r="C203" s="5" t="inlineStr">
        <is>
          <t>プライバシーが不安</t>
        </is>
      </c>
      <c r="D203" s="30" t="n">
        <v>3</v>
      </c>
      <c r="E203" s="30" t="n">
        <v>0</v>
      </c>
      <c r="F203" s="30" t="n">
        <v>1</v>
      </c>
      <c r="G203" s="20">
        <f>IF(D$5=0,0,D203/D$5)</f>
        <v>0.103448275862069</v>
      </c>
      <c r="H203" s="20">
        <f>IF(E$5=0,0,E203/E$5)</f>
        <v>0</v>
      </c>
      <c r="I203" s="20">
        <f>IF(F$5=0,0,F203/F$5)</f>
        <v>0.166666666666667</v>
      </c>
    </row>
    <row r="204">
      <c r="A204" s="4" t="inlineStr">
        <is>
          <t>問23</t>
        </is>
      </c>
      <c r="B204" s="5" t="inlineStr"/>
      <c r="C204" s="5" t="inlineStr">
        <is>
          <t>特に困っていない</t>
        </is>
      </c>
      <c r="D204" s="30" t="n">
        <v>12</v>
      </c>
      <c r="E204" s="30" t="n">
        <v>1</v>
      </c>
      <c r="F204" s="30" t="n">
        <v>2</v>
      </c>
      <c r="G204" s="20">
        <f>IF(D$5=0,0,D204/D$5)</f>
        <v>0.413793103448276</v>
      </c>
      <c r="H204" s="20">
        <f>IF(E$5=0,0,E204/E$5)</f>
        <v>0.5</v>
      </c>
      <c r="I204" s="20">
        <f>IF(F$5=0,0,F204/F$5)</f>
        <v>0.333333333333333</v>
      </c>
    </row>
    <row r="205">
      <c r="A205" s="4" t="inlineStr">
        <is>
          <t>問23</t>
        </is>
      </c>
      <c r="B205" s="5" t="inlineStr"/>
      <c r="C205" s="5" t="inlineStr">
        <is>
          <t>その他</t>
        </is>
      </c>
      <c r="D205" s="30" t="n">
        <v>0</v>
      </c>
      <c r="E205" s="30" t="n">
        <v>0</v>
      </c>
      <c r="F205" s="30" t="n">
        <v>0</v>
      </c>
      <c r="G205" s="20">
        <f>IF(D$5=0,0,D205/D$5)</f>
        <v>0</v>
      </c>
      <c r="H205" s="20">
        <f>IF(E$5=0,0,E205/E$5)</f>
        <v>0</v>
      </c>
      <c r="I205" s="20">
        <f>IF(F$5=0,0,F205/F$5)</f>
        <v>0</v>
      </c>
    </row>
    <row r="206">
      <c r="A206" s="4" t="inlineStr">
        <is>
          <t>問23</t>
        </is>
      </c>
      <c r="B206" s="5" t="inlineStr"/>
      <c r="C206" s="5" t="inlineStr">
        <is>
          <t>無回答</t>
        </is>
      </c>
      <c r="D206" s="30" t="n">
        <v>5</v>
      </c>
      <c r="E206" s="30" t="n">
        <v>0</v>
      </c>
      <c r="F206" s="30" t="n">
        <v>1</v>
      </c>
      <c r="G206" s="20">
        <f>IF(D$5=0,0,D206/D$5)</f>
        <v>0.172413793103448</v>
      </c>
      <c r="H206" s="20">
        <f>IF(E$5=0,0,E206/E$5)</f>
        <v>0</v>
      </c>
      <c r="I206" s="20">
        <f>IF(F$5=0,0,F206/F$5)</f>
        <v>0.166666666666667</v>
      </c>
    </row>
    <row r="207">
      <c r="A207" s="4" t="inlineStr">
        <is>
          <t>問24</t>
        </is>
      </c>
      <c r="B207" s="5" t="inlineStr">
        <is>
          <t>同じ障がいのある人（ピアサポーター）に相談をしたいと感じますか</t>
        </is>
      </c>
      <c r="C207" s="5" t="inlineStr">
        <is>
          <t>相談したい（現在も相談している）</t>
        </is>
      </c>
      <c r="D207" s="30" t="n">
        <v>0</v>
      </c>
      <c r="E207" s="30" t="n">
        <v>0</v>
      </c>
      <c r="F207" s="30" t="n">
        <v>0</v>
      </c>
      <c r="G207" s="20">
        <f>IF(D$5=0,0,D207/D$5)</f>
        <v>0</v>
      </c>
      <c r="H207" s="20">
        <f>IF(E$5=0,0,E207/E$5)</f>
        <v>0</v>
      </c>
      <c r="I207" s="20">
        <f>IF(F$5=0,0,F207/F$5)</f>
        <v>0</v>
      </c>
    </row>
    <row r="208">
      <c r="A208" s="4" t="inlineStr">
        <is>
          <t>問24</t>
        </is>
      </c>
      <c r="B208" s="5" t="inlineStr"/>
      <c r="C208" s="5" t="inlineStr">
        <is>
          <t>機会があれば相談してみたい</t>
        </is>
      </c>
      <c r="D208" s="30" t="n">
        <v>10</v>
      </c>
      <c r="E208" s="30" t="n">
        <v>1</v>
      </c>
      <c r="F208" s="30" t="n">
        <v>1</v>
      </c>
      <c r="G208" s="20">
        <f>IF(D$5=0,0,D208/D$5)</f>
        <v>0.344827586206897</v>
      </c>
      <c r="H208" s="20">
        <f>IF(E$5=0,0,E208/E$5)</f>
        <v>0.5</v>
      </c>
      <c r="I208" s="20">
        <f>IF(F$5=0,0,F208/F$5)</f>
        <v>0.166666666666667</v>
      </c>
    </row>
    <row r="209">
      <c r="A209" s="4" t="inlineStr">
        <is>
          <t>問24</t>
        </is>
      </c>
      <c r="B209" s="5" t="inlineStr"/>
      <c r="C209" s="5" t="inlineStr">
        <is>
          <t>あまり相談したいとは思わない</t>
        </is>
      </c>
      <c r="D209" s="30" t="n">
        <v>6</v>
      </c>
      <c r="E209" s="30" t="n">
        <v>0</v>
      </c>
      <c r="F209" s="30" t="n">
        <v>2</v>
      </c>
      <c r="G209" s="20">
        <f>IF(D$5=0,0,D209/D$5)</f>
        <v>0.206896551724138</v>
      </c>
      <c r="H209" s="20">
        <f>IF(E$5=0,0,E209/E$5)</f>
        <v>0</v>
      </c>
      <c r="I209" s="20">
        <f>IF(F$5=0,0,F209/F$5)</f>
        <v>0.333333333333333</v>
      </c>
    </row>
    <row r="210">
      <c r="A210" s="4" t="inlineStr">
        <is>
          <t>問24</t>
        </is>
      </c>
      <c r="B210" s="5" t="inlineStr"/>
      <c r="C210" s="5" t="inlineStr">
        <is>
          <t>まったく相談したいとは思わない</t>
        </is>
      </c>
      <c r="D210" s="30" t="n">
        <v>4</v>
      </c>
      <c r="E210" s="30" t="n">
        <v>0</v>
      </c>
      <c r="F210" s="30" t="n">
        <v>2</v>
      </c>
      <c r="G210" s="20">
        <f>IF(D$5=0,0,D210/D$5)</f>
        <v>0.137931034482759</v>
      </c>
      <c r="H210" s="20">
        <f>IF(E$5=0,0,E210/E$5)</f>
        <v>0</v>
      </c>
      <c r="I210" s="20">
        <f>IF(F$5=0,0,F210/F$5)</f>
        <v>0.333333333333333</v>
      </c>
    </row>
    <row r="211">
      <c r="A211" s="4" t="inlineStr">
        <is>
          <t>問24</t>
        </is>
      </c>
      <c r="B211" s="5" t="inlineStr"/>
      <c r="C211" s="5" t="inlineStr">
        <is>
          <t>わからない</t>
        </is>
      </c>
      <c r="D211" s="30" t="n">
        <v>6</v>
      </c>
      <c r="E211" s="30" t="n">
        <v>1</v>
      </c>
      <c r="F211" s="30" t="n">
        <v>0</v>
      </c>
      <c r="G211" s="20">
        <f>IF(D$5=0,0,D211/D$5)</f>
        <v>0.206896551724138</v>
      </c>
      <c r="H211" s="20">
        <f>IF(E$5=0,0,E211/E$5)</f>
        <v>0.5</v>
      </c>
      <c r="I211" s="20">
        <f>IF(F$5=0,0,F211/F$5)</f>
        <v>0</v>
      </c>
    </row>
    <row r="212">
      <c r="A212" s="4" t="inlineStr">
        <is>
          <t>問24</t>
        </is>
      </c>
      <c r="B212" s="5" t="inlineStr"/>
      <c r="C212" s="5" t="inlineStr">
        <is>
          <t>無回答</t>
        </is>
      </c>
      <c r="D212" s="30" t="n">
        <v>3</v>
      </c>
      <c r="E212" s="30" t="n">
        <v>0</v>
      </c>
      <c r="F212" s="30" t="n">
        <v>1</v>
      </c>
      <c r="G212" s="20">
        <f>IF(D$5=0,0,D212/D$5)</f>
        <v>0.103448275862069</v>
      </c>
      <c r="H212" s="20">
        <f>IF(E$5=0,0,E212/E$5)</f>
        <v>0</v>
      </c>
      <c r="I212" s="20">
        <f>IF(F$5=0,0,F212/F$5)</f>
        <v>0.166666666666667</v>
      </c>
    </row>
    <row r="213">
      <c r="A213" s="4" t="inlineStr">
        <is>
          <t>問25</t>
        </is>
      </c>
      <c r="B213" s="5" t="inlineStr">
        <is>
          <t>福祉に関する情報はどこから得ていますか（あてはまるものすべて）</t>
        </is>
      </c>
      <c r="C213" s="5" t="inlineStr">
        <is>
          <t>村広報・ホームページ</t>
        </is>
      </c>
      <c r="D213" s="30" t="n">
        <v>14</v>
      </c>
      <c r="E213" s="30" t="n">
        <v>1</v>
      </c>
      <c r="F213" s="30" t="n">
        <v>1</v>
      </c>
      <c r="G213" s="20">
        <f>IF(D$5=0,0,D213/D$5)</f>
        <v>0.482758620689655</v>
      </c>
      <c r="H213" s="20">
        <f>IF(E$5=0,0,E213/E$5)</f>
        <v>0.5</v>
      </c>
      <c r="I213" s="20">
        <f>IF(F$5=0,0,F213/F$5)</f>
        <v>0.166666666666667</v>
      </c>
    </row>
    <row r="214">
      <c r="A214" s="4" t="inlineStr">
        <is>
          <t>問25</t>
        </is>
      </c>
      <c r="B214" s="5" t="inlineStr"/>
      <c r="C214" s="5" t="inlineStr">
        <is>
          <t>家族・知人</t>
        </is>
      </c>
      <c r="D214" s="30" t="n">
        <v>6</v>
      </c>
      <c r="E214" s="30" t="n">
        <v>0</v>
      </c>
      <c r="F214" s="30" t="n">
        <v>1</v>
      </c>
      <c r="G214" s="20">
        <f>IF(D$5=0,0,D214/D$5)</f>
        <v>0.206896551724138</v>
      </c>
      <c r="H214" s="20">
        <f>IF(E$5=0,0,E214/E$5)</f>
        <v>0</v>
      </c>
      <c r="I214" s="20">
        <f>IF(F$5=0,0,F214/F$5)</f>
        <v>0.166666666666667</v>
      </c>
    </row>
    <row r="215">
      <c r="A215" s="4" t="inlineStr">
        <is>
          <t>問25</t>
        </is>
      </c>
      <c r="B215" s="5" t="inlineStr"/>
      <c r="C215" s="5" t="inlineStr">
        <is>
          <t>相談支援専門員</t>
        </is>
      </c>
      <c r="D215" s="30" t="n">
        <v>9</v>
      </c>
      <c r="E215" s="30" t="n">
        <v>2</v>
      </c>
      <c r="F215" s="30" t="n">
        <v>3</v>
      </c>
      <c r="G215" s="20">
        <f>IF(D$5=0,0,D215/D$5)</f>
        <v>0.310344827586207</v>
      </c>
      <c r="H215" s="20">
        <f>IF(E$5=0,0,E215/E$5)</f>
        <v>1</v>
      </c>
      <c r="I215" s="20">
        <f>IF(F$5=0,0,F215/F$5)</f>
        <v>0.5</v>
      </c>
    </row>
    <row r="216">
      <c r="A216" s="4" t="inlineStr">
        <is>
          <t>問25</t>
        </is>
      </c>
      <c r="B216" s="5" t="inlineStr"/>
      <c r="C216" s="5" t="inlineStr">
        <is>
          <t>福祉サービス事業所</t>
        </is>
      </c>
      <c r="D216" s="30" t="n">
        <v>7</v>
      </c>
      <c r="E216" s="30" t="n">
        <v>2</v>
      </c>
      <c r="F216" s="30" t="n">
        <v>1</v>
      </c>
      <c r="G216" s="20">
        <f>IF(D$5=0,0,D216/D$5)</f>
        <v>0.241379310344828</v>
      </c>
      <c r="H216" s="20">
        <f>IF(E$5=0,0,E216/E$5)</f>
        <v>1</v>
      </c>
      <c r="I216" s="20">
        <f>IF(F$5=0,0,F216/F$5)</f>
        <v>0.166666666666667</v>
      </c>
    </row>
    <row r="217">
      <c r="A217" s="4" t="inlineStr">
        <is>
          <t>問25</t>
        </is>
      </c>
      <c r="B217" s="5" t="inlineStr"/>
      <c r="C217" s="5" t="inlineStr">
        <is>
          <t>医療機関</t>
        </is>
      </c>
      <c r="D217" s="30" t="n">
        <v>5</v>
      </c>
      <c r="E217" s="30" t="n">
        <v>0</v>
      </c>
      <c r="F217" s="30" t="n">
        <v>2</v>
      </c>
      <c r="G217" s="20">
        <f>IF(D$5=0,0,D217/D$5)</f>
        <v>0.172413793103448</v>
      </c>
      <c r="H217" s="20">
        <f>IF(E$5=0,0,E217/E$5)</f>
        <v>0</v>
      </c>
      <c r="I217" s="20">
        <f>IF(F$5=0,0,F217/F$5)</f>
        <v>0.333333333333333</v>
      </c>
    </row>
    <row r="218">
      <c r="A218" s="4" t="inlineStr">
        <is>
          <t>問25</t>
        </is>
      </c>
      <c r="B218" s="5" t="inlineStr"/>
      <c r="C218" s="5" t="inlineStr">
        <is>
          <t>学校</t>
        </is>
      </c>
      <c r="D218" s="30" t="n">
        <v>0</v>
      </c>
      <c r="E218" s="30" t="n">
        <v>0</v>
      </c>
      <c r="F218" s="30" t="n">
        <v>0</v>
      </c>
      <c r="G218" s="20">
        <f>IF(D$5=0,0,D218/D$5)</f>
        <v>0</v>
      </c>
      <c r="H218" s="20">
        <f>IF(E$5=0,0,E218/E$5)</f>
        <v>0</v>
      </c>
      <c r="I218" s="20">
        <f>IF(F$5=0,0,F218/F$5)</f>
        <v>0</v>
      </c>
    </row>
    <row r="219">
      <c r="A219" s="4" t="inlineStr">
        <is>
          <t>問25</t>
        </is>
      </c>
      <c r="B219" s="5" t="inlineStr"/>
      <c r="C219" s="5" t="inlineStr">
        <is>
          <t>SNS・インターネット・AI</t>
        </is>
      </c>
      <c r="D219" s="30" t="n">
        <v>3</v>
      </c>
      <c r="E219" s="30" t="n">
        <v>0</v>
      </c>
      <c r="F219" s="30" t="n">
        <v>1</v>
      </c>
      <c r="G219" s="20">
        <f>IF(D$5=0,0,D219/D$5)</f>
        <v>0.103448275862069</v>
      </c>
      <c r="H219" s="20">
        <f>IF(E$5=0,0,E219/E$5)</f>
        <v>0</v>
      </c>
      <c r="I219" s="20">
        <f>IF(F$5=0,0,F219/F$5)</f>
        <v>0.166666666666667</v>
      </c>
    </row>
    <row r="220">
      <c r="A220" s="4" t="inlineStr">
        <is>
          <t>問25</t>
        </is>
      </c>
      <c r="B220" s="5" t="inlineStr"/>
      <c r="C220" s="5" t="inlineStr">
        <is>
          <t>新聞・テレビ</t>
        </is>
      </c>
      <c r="D220" s="30" t="n">
        <v>10</v>
      </c>
      <c r="E220" s="30" t="n">
        <v>1</v>
      </c>
      <c r="F220" s="30" t="n">
        <v>1</v>
      </c>
      <c r="G220" s="20">
        <f>IF(D$5=0,0,D220/D$5)</f>
        <v>0.344827586206897</v>
      </c>
      <c r="H220" s="20">
        <f>IF(E$5=0,0,E220/E$5)</f>
        <v>0.5</v>
      </c>
      <c r="I220" s="20">
        <f>IF(F$5=0,0,F220/F$5)</f>
        <v>0.166666666666667</v>
      </c>
    </row>
    <row r="221">
      <c r="A221" s="4" t="inlineStr">
        <is>
          <t>問25</t>
        </is>
      </c>
      <c r="B221" s="5" t="inlineStr"/>
      <c r="C221" s="5" t="inlineStr">
        <is>
          <t>情報を得られていない</t>
        </is>
      </c>
      <c r="D221" s="30" t="n">
        <v>1</v>
      </c>
      <c r="E221" s="30" t="n">
        <v>0</v>
      </c>
      <c r="F221" s="30" t="n">
        <v>0</v>
      </c>
      <c r="G221" s="20">
        <f>IF(D$5=0,0,D221/D$5)</f>
        <v>0.0344827586206897</v>
      </c>
      <c r="H221" s="20">
        <f>IF(E$5=0,0,E221/E$5)</f>
        <v>0</v>
      </c>
      <c r="I221" s="20">
        <f>IF(F$5=0,0,F221/F$5)</f>
        <v>0</v>
      </c>
    </row>
    <row r="222">
      <c r="A222" s="4" t="inlineStr">
        <is>
          <t>問25</t>
        </is>
      </c>
      <c r="B222" s="5" t="inlineStr"/>
      <c r="C222" s="5" t="inlineStr">
        <is>
          <t>その他</t>
        </is>
      </c>
      <c r="D222" s="30" t="n">
        <v>0</v>
      </c>
      <c r="E222" s="30" t="n">
        <v>0</v>
      </c>
      <c r="F222" s="30" t="n">
        <v>0</v>
      </c>
      <c r="G222" s="20">
        <f>IF(D$5=0,0,D222/D$5)</f>
        <v>0</v>
      </c>
      <c r="H222" s="20">
        <f>IF(E$5=0,0,E222/E$5)</f>
        <v>0</v>
      </c>
      <c r="I222" s="20">
        <f>IF(F$5=0,0,F222/F$5)</f>
        <v>0</v>
      </c>
    </row>
    <row r="223">
      <c r="A223" s="4" t="inlineStr">
        <is>
          <t>問25</t>
        </is>
      </c>
      <c r="B223" s="5" t="inlineStr"/>
      <c r="C223" s="5" t="inlineStr">
        <is>
          <t>無回答</t>
        </is>
      </c>
      <c r="D223" s="30" t="n">
        <v>1</v>
      </c>
      <c r="E223" s="30" t="n">
        <v>0</v>
      </c>
      <c r="F223" s="30" t="n">
        <v>0</v>
      </c>
      <c r="G223" s="20">
        <f>IF(D$5=0,0,D223/D$5)</f>
        <v>0.0344827586206897</v>
      </c>
      <c r="H223" s="20">
        <f>IF(E$5=0,0,E223/E$5)</f>
        <v>0</v>
      </c>
      <c r="I223" s="20">
        <f>IF(F$5=0,0,F223/F$5)</f>
        <v>0</v>
      </c>
    </row>
    <row r="224">
      <c r="A224" s="4" t="inlineStr">
        <is>
          <t>問26</t>
        </is>
      </c>
      <c r="B224" s="5" t="inlineStr">
        <is>
          <t>相談支援に期待することは何ですか（あてはまるものすべて）</t>
        </is>
      </c>
      <c r="C224" s="5" t="inlineStr">
        <is>
          <t>サービス利用の相談</t>
        </is>
      </c>
      <c r="D224" s="30" t="n">
        <v>11</v>
      </c>
      <c r="E224" s="30" t="n">
        <v>1</v>
      </c>
      <c r="F224" s="30" t="n">
        <v>2</v>
      </c>
      <c r="G224" s="20">
        <f>IF(D$5=0,0,D224/D$5)</f>
        <v>0.379310344827586</v>
      </c>
      <c r="H224" s="20">
        <f>IF(E$5=0,0,E224/E$5)</f>
        <v>0.5</v>
      </c>
      <c r="I224" s="20">
        <f>IF(F$5=0,0,F224/F$5)</f>
        <v>0.333333333333333</v>
      </c>
    </row>
    <row r="225">
      <c r="A225" s="4" t="inlineStr">
        <is>
          <t>問26</t>
        </is>
      </c>
      <c r="B225" s="5" t="inlineStr"/>
      <c r="C225" s="5" t="inlineStr">
        <is>
          <t>将来の暮らしの相談</t>
        </is>
      </c>
      <c r="D225" s="30" t="n">
        <v>7</v>
      </c>
      <c r="E225" s="30" t="n">
        <v>1</v>
      </c>
      <c r="F225" s="30" t="n">
        <v>4</v>
      </c>
      <c r="G225" s="20">
        <f>IF(D$5=0,0,D225/D$5)</f>
        <v>0.241379310344828</v>
      </c>
      <c r="H225" s="20">
        <f>IF(E$5=0,0,E225/E$5)</f>
        <v>0.5</v>
      </c>
      <c r="I225" s="20">
        <f>IF(F$5=0,0,F225/F$5)</f>
        <v>0.666666666666667</v>
      </c>
    </row>
    <row r="226">
      <c r="A226" s="4" t="inlineStr">
        <is>
          <t>問26</t>
        </is>
      </c>
      <c r="B226" s="5" t="inlineStr"/>
      <c r="C226" s="5" t="inlineStr">
        <is>
          <t>就労・日中活動の相談</t>
        </is>
      </c>
      <c r="D226" s="30" t="n">
        <v>0</v>
      </c>
      <c r="E226" s="30" t="n">
        <v>0</v>
      </c>
      <c r="F226" s="30" t="n">
        <v>1</v>
      </c>
      <c r="G226" s="20">
        <f>IF(D$5=0,0,D226/D$5)</f>
        <v>0</v>
      </c>
      <c r="H226" s="20">
        <f>IF(E$5=0,0,E226/E$5)</f>
        <v>0</v>
      </c>
      <c r="I226" s="20">
        <f>IF(F$5=0,0,F226/F$5)</f>
        <v>0.166666666666667</v>
      </c>
    </row>
    <row r="227">
      <c r="A227" s="4" t="inlineStr">
        <is>
          <t>問26</t>
        </is>
      </c>
      <c r="B227" s="5" t="inlineStr"/>
      <c r="C227" s="5" t="inlineStr">
        <is>
          <t>医療・通院の相談</t>
        </is>
      </c>
      <c r="D227" s="30" t="n">
        <v>5</v>
      </c>
      <c r="E227" s="30" t="n">
        <v>1</v>
      </c>
      <c r="F227" s="30" t="n">
        <v>2</v>
      </c>
      <c r="G227" s="20">
        <f>IF(D$5=0,0,D227/D$5)</f>
        <v>0.172413793103448</v>
      </c>
      <c r="H227" s="20">
        <f>IF(E$5=0,0,E227/E$5)</f>
        <v>0.5</v>
      </c>
      <c r="I227" s="20">
        <f>IF(F$5=0,0,F227/F$5)</f>
        <v>0.333333333333333</v>
      </c>
    </row>
    <row r="228">
      <c r="A228" s="4" t="inlineStr">
        <is>
          <t>問26</t>
        </is>
      </c>
      <c r="B228" s="5" t="inlineStr"/>
      <c r="C228" s="5" t="inlineStr">
        <is>
          <t>家族の負担軽減</t>
        </is>
      </c>
      <c r="D228" s="30" t="n">
        <v>3</v>
      </c>
      <c r="E228" s="30" t="n">
        <v>0</v>
      </c>
      <c r="F228" s="30" t="n">
        <v>0</v>
      </c>
      <c r="G228" s="20">
        <f>IF(D$5=0,0,D228/D$5)</f>
        <v>0.103448275862069</v>
      </c>
      <c r="H228" s="20">
        <f>IF(E$5=0,0,E228/E$5)</f>
        <v>0</v>
      </c>
      <c r="I228" s="20">
        <f>IF(F$5=0,0,F228/F$5)</f>
        <v>0</v>
      </c>
    </row>
    <row r="229">
      <c r="A229" s="4" t="inlineStr">
        <is>
          <t>問26</t>
        </is>
      </c>
      <c r="B229" s="5" t="inlineStr"/>
      <c r="C229" s="5" t="inlineStr">
        <is>
          <t>緊急時の相談</t>
        </is>
      </c>
      <c r="D229" s="30" t="n">
        <v>7</v>
      </c>
      <c r="E229" s="30" t="n">
        <v>1</v>
      </c>
      <c r="F229" s="30" t="n">
        <v>2</v>
      </c>
      <c r="G229" s="20">
        <f>IF(D$5=0,0,D229/D$5)</f>
        <v>0.241379310344828</v>
      </c>
      <c r="H229" s="20">
        <f>IF(E$5=0,0,E229/E$5)</f>
        <v>0.5</v>
      </c>
      <c r="I229" s="20">
        <f>IF(F$5=0,0,F229/F$5)</f>
        <v>0.333333333333333</v>
      </c>
    </row>
    <row r="230">
      <c r="A230" s="4" t="inlineStr">
        <is>
          <t>問26</t>
        </is>
      </c>
      <c r="B230" s="5" t="inlineStr"/>
      <c r="C230" s="5" t="inlineStr">
        <is>
          <t>わかりやすい情報提供</t>
        </is>
      </c>
      <c r="D230" s="30" t="n">
        <v>10</v>
      </c>
      <c r="E230" s="30" t="n">
        <v>1</v>
      </c>
      <c r="F230" s="30" t="n">
        <v>3</v>
      </c>
      <c r="G230" s="20">
        <f>IF(D$5=0,0,D230/D$5)</f>
        <v>0.344827586206897</v>
      </c>
      <c r="H230" s="20">
        <f>IF(E$5=0,0,E230/E$5)</f>
        <v>0.5</v>
      </c>
      <c r="I230" s="20">
        <f>IF(F$5=0,0,F230/F$5)</f>
        <v>0.5</v>
      </c>
    </row>
    <row r="231">
      <c r="A231" s="4" t="inlineStr">
        <is>
          <t>問26</t>
        </is>
      </c>
      <c r="B231" s="5" t="inlineStr"/>
      <c r="C231" s="5" t="inlineStr">
        <is>
          <t>その他</t>
        </is>
      </c>
      <c r="D231" s="30" t="n">
        <v>1</v>
      </c>
      <c r="E231" s="30" t="n">
        <v>0</v>
      </c>
      <c r="F231" s="30" t="n">
        <v>0</v>
      </c>
      <c r="G231" s="20">
        <f>IF(D$5=0,0,D231/D$5)</f>
        <v>0.0344827586206897</v>
      </c>
      <c r="H231" s="20">
        <f>IF(E$5=0,0,E231/E$5)</f>
        <v>0</v>
      </c>
      <c r="I231" s="20">
        <f>IF(F$5=0,0,F231/F$5)</f>
        <v>0</v>
      </c>
    </row>
    <row r="232">
      <c r="A232" s="4" t="inlineStr">
        <is>
          <t>問26</t>
        </is>
      </c>
      <c r="B232" s="5" t="inlineStr"/>
      <c r="C232" s="5" t="inlineStr">
        <is>
          <t>無回答</t>
        </is>
      </c>
      <c r="D232" s="30" t="n">
        <v>8</v>
      </c>
      <c r="E232" s="30" t="n">
        <v>0</v>
      </c>
      <c r="F232" s="30" t="n">
        <v>0</v>
      </c>
      <c r="G232" s="20">
        <f>IF(D$5=0,0,D232/D$5)</f>
        <v>0.275862068965517</v>
      </c>
      <c r="H232" s="20">
        <f>IF(E$5=0,0,E232/E$5)</f>
        <v>0</v>
      </c>
      <c r="I232" s="20">
        <f>IF(F$5=0,0,F232/F$5)</f>
        <v>0</v>
      </c>
    </row>
    <row r="233">
      <c r="A233" s="4" t="inlineStr">
        <is>
          <t>問27-1</t>
        </is>
      </c>
      <c r="B233" s="5" t="inlineStr">
        <is>
          <t>現在利用しているサービスを選んでください（あてはまるものすべて）</t>
        </is>
      </c>
      <c r="C233" s="5" t="inlineStr">
        <is>
          <t>居宅介護（ホームヘルプ）</t>
        </is>
      </c>
      <c r="D233" s="30" t="n">
        <v>1</v>
      </c>
      <c r="E233" s="30" t="n">
        <v>0</v>
      </c>
      <c r="F233" s="30" t="n">
        <v>0</v>
      </c>
      <c r="G233" s="20">
        <f>IF(D$5=0,0,D233/D$5)</f>
        <v>0.0344827586206897</v>
      </c>
      <c r="H233" s="20">
        <f>IF(E$5=0,0,E233/E$5)</f>
        <v>0</v>
      </c>
      <c r="I233" s="20">
        <f>IF(F$5=0,0,F233/F$5)</f>
        <v>0</v>
      </c>
    </row>
    <row r="234">
      <c r="A234" s="4" t="inlineStr">
        <is>
          <t>問27-1</t>
        </is>
      </c>
      <c r="B234" s="5" t="inlineStr"/>
      <c r="C234" s="5" t="inlineStr">
        <is>
          <t>重度訪問介護</t>
        </is>
      </c>
      <c r="D234" s="30" t="n">
        <v>0</v>
      </c>
      <c r="E234" s="30" t="n">
        <v>0</v>
      </c>
      <c r="F234" s="30" t="n">
        <v>0</v>
      </c>
      <c r="G234" s="20">
        <f>IF(D$5=0,0,D234/D$5)</f>
        <v>0</v>
      </c>
      <c r="H234" s="20">
        <f>IF(E$5=0,0,E234/E$5)</f>
        <v>0</v>
      </c>
      <c r="I234" s="20">
        <f>IF(F$5=0,0,F234/F$5)</f>
        <v>0</v>
      </c>
    </row>
    <row r="235">
      <c r="A235" s="4" t="inlineStr">
        <is>
          <t>問27-1</t>
        </is>
      </c>
      <c r="B235" s="5" t="inlineStr"/>
      <c r="C235" s="5" t="inlineStr">
        <is>
          <t>同行援護・行動援護</t>
        </is>
      </c>
      <c r="D235" s="30" t="n">
        <v>1</v>
      </c>
      <c r="E235" s="30" t="n">
        <v>0</v>
      </c>
      <c r="F235" s="30" t="n">
        <v>0</v>
      </c>
      <c r="G235" s="20">
        <f>IF(D$5=0,0,D235/D$5)</f>
        <v>0.0344827586206897</v>
      </c>
      <c r="H235" s="20">
        <f>IF(E$5=0,0,E235/E$5)</f>
        <v>0</v>
      </c>
      <c r="I235" s="20">
        <f>IF(F$5=0,0,F235/F$5)</f>
        <v>0</v>
      </c>
    </row>
    <row r="236">
      <c r="A236" s="4" t="inlineStr">
        <is>
          <t>問27-1</t>
        </is>
      </c>
      <c r="B236" s="5" t="inlineStr"/>
      <c r="C236" s="5" t="inlineStr">
        <is>
          <t>生活介護</t>
        </is>
      </c>
      <c r="D236" s="30" t="n">
        <v>2</v>
      </c>
      <c r="E236" s="30" t="n">
        <v>2</v>
      </c>
      <c r="F236" s="30" t="n">
        <v>1</v>
      </c>
      <c r="G236" s="20">
        <f>IF(D$5=0,0,D236/D$5)</f>
        <v>0.0689655172413793</v>
      </c>
      <c r="H236" s="20">
        <f>IF(E$5=0,0,E236/E$5)</f>
        <v>1</v>
      </c>
      <c r="I236" s="20">
        <f>IF(F$5=0,0,F236/F$5)</f>
        <v>0.166666666666667</v>
      </c>
    </row>
    <row r="237">
      <c r="A237" s="4" t="inlineStr">
        <is>
          <t>問27-1</t>
        </is>
      </c>
      <c r="B237" s="5" t="inlineStr"/>
      <c r="C237" s="5" t="inlineStr">
        <is>
          <t>自立訓練</t>
        </is>
      </c>
      <c r="D237" s="30" t="n">
        <v>1</v>
      </c>
      <c r="E237" s="30" t="n">
        <v>0</v>
      </c>
      <c r="F237" s="30" t="n">
        <v>1</v>
      </c>
      <c r="G237" s="20">
        <f>IF(D$5=0,0,D237/D$5)</f>
        <v>0.0344827586206897</v>
      </c>
      <c r="H237" s="20">
        <f>IF(E$5=0,0,E237/E$5)</f>
        <v>0</v>
      </c>
      <c r="I237" s="20">
        <f>IF(F$5=0,0,F237/F$5)</f>
        <v>0.166666666666667</v>
      </c>
    </row>
    <row r="238">
      <c r="A238" s="4" t="inlineStr">
        <is>
          <t>問27-1</t>
        </is>
      </c>
      <c r="B238" s="5" t="inlineStr"/>
      <c r="C238" s="5" t="inlineStr">
        <is>
          <t>就労移行支援</t>
        </is>
      </c>
      <c r="D238" s="30" t="n">
        <v>0</v>
      </c>
      <c r="E238" s="30" t="n">
        <v>0</v>
      </c>
      <c r="F238" s="30" t="n">
        <v>0</v>
      </c>
      <c r="G238" s="20">
        <f>IF(D$5=0,0,D238/D$5)</f>
        <v>0</v>
      </c>
      <c r="H238" s="20">
        <f>IF(E$5=0,0,E238/E$5)</f>
        <v>0</v>
      </c>
      <c r="I238" s="20">
        <f>IF(F$5=0,0,F238/F$5)</f>
        <v>0</v>
      </c>
    </row>
    <row r="239">
      <c r="A239" s="4" t="inlineStr">
        <is>
          <t>問27-1</t>
        </is>
      </c>
      <c r="B239" s="5" t="inlineStr"/>
      <c r="C239" s="5" t="inlineStr">
        <is>
          <t>就労継続支援A型</t>
        </is>
      </c>
      <c r="D239" s="30" t="n">
        <v>1</v>
      </c>
      <c r="E239" s="30" t="n">
        <v>0</v>
      </c>
      <c r="F239" s="30" t="n">
        <v>0</v>
      </c>
      <c r="G239" s="20">
        <f>IF(D$5=0,0,D239/D$5)</f>
        <v>0.0344827586206897</v>
      </c>
      <c r="H239" s="20">
        <f>IF(E$5=0,0,E239/E$5)</f>
        <v>0</v>
      </c>
      <c r="I239" s="20">
        <f>IF(F$5=0,0,F239/F$5)</f>
        <v>0</v>
      </c>
    </row>
    <row r="240">
      <c r="A240" s="4" t="inlineStr">
        <is>
          <t>問27-1</t>
        </is>
      </c>
      <c r="B240" s="5" t="inlineStr"/>
      <c r="C240" s="5" t="inlineStr">
        <is>
          <t>就労継続支援B型</t>
        </is>
      </c>
      <c r="D240" s="30" t="n">
        <v>1</v>
      </c>
      <c r="E240" s="30" t="n">
        <v>0</v>
      </c>
      <c r="F240" s="30" t="n">
        <v>1</v>
      </c>
      <c r="G240" s="20">
        <f>IF(D$5=0,0,D240/D$5)</f>
        <v>0.0344827586206897</v>
      </c>
      <c r="H240" s="20">
        <f>IF(E$5=0,0,E240/E$5)</f>
        <v>0</v>
      </c>
      <c r="I240" s="20">
        <f>IF(F$5=0,0,F240/F$5)</f>
        <v>0.166666666666667</v>
      </c>
    </row>
    <row r="241">
      <c r="A241" s="4" t="inlineStr">
        <is>
          <t>問27-1</t>
        </is>
      </c>
      <c r="B241" s="5" t="inlineStr"/>
      <c r="C241" s="5" t="inlineStr">
        <is>
          <t>就労選択支援</t>
        </is>
      </c>
      <c r="D241" s="30" t="n">
        <v>1</v>
      </c>
      <c r="E241" s="30" t="n">
        <v>0</v>
      </c>
      <c r="F241" s="30" t="n">
        <v>0</v>
      </c>
      <c r="G241" s="20">
        <f>IF(D$5=0,0,D241/D$5)</f>
        <v>0.0344827586206897</v>
      </c>
      <c r="H241" s="20">
        <f>IF(E$5=0,0,E241/E$5)</f>
        <v>0</v>
      </c>
      <c r="I241" s="20">
        <f>IF(F$5=0,0,F241/F$5)</f>
        <v>0</v>
      </c>
    </row>
    <row r="242">
      <c r="A242" s="4" t="inlineStr">
        <is>
          <t>問27-1</t>
        </is>
      </c>
      <c r="B242" s="5" t="inlineStr"/>
      <c r="C242" s="5" t="inlineStr">
        <is>
          <t>就労定着支援</t>
        </is>
      </c>
      <c r="D242" s="30" t="n">
        <v>0</v>
      </c>
      <c r="E242" s="30" t="n">
        <v>0</v>
      </c>
      <c r="F242" s="30" t="n">
        <v>0</v>
      </c>
      <c r="G242" s="20">
        <f>IF(D$5=0,0,D242/D$5)</f>
        <v>0</v>
      </c>
      <c r="H242" s="20">
        <f>IF(E$5=0,0,E242/E$5)</f>
        <v>0</v>
      </c>
      <c r="I242" s="20">
        <f>IF(F$5=0,0,F242/F$5)</f>
        <v>0</v>
      </c>
    </row>
    <row r="243">
      <c r="A243" s="4" t="inlineStr">
        <is>
          <t>問27-1</t>
        </is>
      </c>
      <c r="B243" s="5" t="inlineStr"/>
      <c r="C243" s="5" t="inlineStr">
        <is>
          <t>短期入所（ショートステイ）</t>
        </is>
      </c>
      <c r="D243" s="30" t="n">
        <v>2</v>
      </c>
      <c r="E243" s="30" t="n">
        <v>0</v>
      </c>
      <c r="F243" s="30" t="n">
        <v>0</v>
      </c>
      <c r="G243" s="20">
        <f>IF(D$5=0,0,D243/D$5)</f>
        <v>0.0689655172413793</v>
      </c>
      <c r="H243" s="20">
        <f>IF(E$5=0,0,E243/E$5)</f>
        <v>0</v>
      </c>
      <c r="I243" s="20">
        <f>IF(F$5=0,0,F243/F$5)</f>
        <v>0</v>
      </c>
    </row>
    <row r="244">
      <c r="A244" s="4" t="inlineStr">
        <is>
          <t>問27-1</t>
        </is>
      </c>
      <c r="B244" s="5" t="inlineStr"/>
      <c r="C244" s="5" t="inlineStr">
        <is>
          <t>グループホーム</t>
        </is>
      </c>
      <c r="D244" s="30" t="n">
        <v>2</v>
      </c>
      <c r="E244" s="30" t="n">
        <v>0</v>
      </c>
      <c r="F244" s="30" t="n">
        <v>1</v>
      </c>
      <c r="G244" s="20">
        <f>IF(D$5=0,0,D244/D$5)</f>
        <v>0.0689655172413793</v>
      </c>
      <c r="H244" s="20">
        <f>IF(E$5=0,0,E244/E$5)</f>
        <v>0</v>
      </c>
      <c r="I244" s="20">
        <f>IF(F$5=0,0,F244/F$5)</f>
        <v>0.166666666666667</v>
      </c>
    </row>
    <row r="245">
      <c r="A245" s="4" t="inlineStr">
        <is>
          <t>問27-1</t>
        </is>
      </c>
      <c r="B245" s="5" t="inlineStr"/>
      <c r="C245" s="5" t="inlineStr">
        <is>
          <t>施設入所支援</t>
        </is>
      </c>
      <c r="D245" s="30" t="n">
        <v>3</v>
      </c>
      <c r="E245" s="30" t="n">
        <v>2</v>
      </c>
      <c r="F245" s="30" t="n">
        <v>1</v>
      </c>
      <c r="G245" s="20">
        <f>IF(D$5=0,0,D245/D$5)</f>
        <v>0.103448275862069</v>
      </c>
      <c r="H245" s="20">
        <f>IF(E$5=0,0,E245/E$5)</f>
        <v>1</v>
      </c>
      <c r="I245" s="20">
        <f>IF(F$5=0,0,F245/F$5)</f>
        <v>0.166666666666667</v>
      </c>
    </row>
    <row r="246">
      <c r="A246" s="4" t="inlineStr">
        <is>
          <t>問27-1</t>
        </is>
      </c>
      <c r="B246" s="5" t="inlineStr"/>
      <c r="C246" s="5" t="inlineStr">
        <is>
          <t>計画相談支援</t>
        </is>
      </c>
      <c r="D246" s="30" t="n">
        <v>1</v>
      </c>
      <c r="E246" s="30" t="n">
        <v>0</v>
      </c>
      <c r="F246" s="30" t="n">
        <v>1</v>
      </c>
      <c r="G246" s="20">
        <f>IF(D$5=0,0,D246/D$5)</f>
        <v>0.0344827586206897</v>
      </c>
      <c r="H246" s="20">
        <f>IF(E$5=0,0,E246/E$5)</f>
        <v>0</v>
      </c>
      <c r="I246" s="20">
        <f>IF(F$5=0,0,F246/F$5)</f>
        <v>0.166666666666667</v>
      </c>
    </row>
    <row r="247">
      <c r="A247" s="4" t="inlineStr">
        <is>
          <t>問27-1</t>
        </is>
      </c>
      <c r="B247" s="5" t="inlineStr"/>
      <c r="C247" s="5" t="inlineStr">
        <is>
          <t>移動支援</t>
        </is>
      </c>
      <c r="D247" s="30" t="n">
        <v>0</v>
      </c>
      <c r="E247" s="30" t="n">
        <v>0</v>
      </c>
      <c r="F247" s="30" t="n">
        <v>1</v>
      </c>
      <c r="G247" s="20">
        <f>IF(D$5=0,0,D247/D$5)</f>
        <v>0</v>
      </c>
      <c r="H247" s="20">
        <f>IF(E$5=0,0,E247/E$5)</f>
        <v>0</v>
      </c>
      <c r="I247" s="20">
        <f>IF(F$5=0,0,F247/F$5)</f>
        <v>0.166666666666667</v>
      </c>
    </row>
    <row r="248">
      <c r="A248" s="4" t="inlineStr">
        <is>
          <t>問27-1</t>
        </is>
      </c>
      <c r="B248" s="5" t="inlineStr"/>
      <c r="C248" s="5" t="inlineStr">
        <is>
          <t>日中一時支援</t>
        </is>
      </c>
      <c r="D248" s="30" t="n">
        <v>1</v>
      </c>
      <c r="E248" s="30" t="n">
        <v>0</v>
      </c>
      <c r="F248" s="30" t="n">
        <v>0</v>
      </c>
      <c r="G248" s="20">
        <f>IF(D$5=0,0,D248/D$5)</f>
        <v>0.0344827586206897</v>
      </c>
      <c r="H248" s="20">
        <f>IF(E$5=0,0,E248/E$5)</f>
        <v>0</v>
      </c>
      <c r="I248" s="20">
        <f>IF(F$5=0,0,F248/F$5)</f>
        <v>0</v>
      </c>
    </row>
    <row r="249">
      <c r="A249" s="4" t="inlineStr">
        <is>
          <t>問27-1</t>
        </is>
      </c>
      <c r="B249" s="5" t="inlineStr"/>
      <c r="C249" s="5" t="inlineStr">
        <is>
          <t>日常生活用具</t>
        </is>
      </c>
      <c r="D249" s="30" t="n">
        <v>1</v>
      </c>
      <c r="E249" s="30" t="n">
        <v>0</v>
      </c>
      <c r="F249" s="30" t="n">
        <v>0</v>
      </c>
      <c r="G249" s="20">
        <f>IF(D$5=0,0,D249/D$5)</f>
        <v>0.0344827586206897</v>
      </c>
      <c r="H249" s="20">
        <f>IF(E$5=0,0,E249/E$5)</f>
        <v>0</v>
      </c>
      <c r="I249" s="20">
        <f>IF(F$5=0,0,F249/F$5)</f>
        <v>0</v>
      </c>
    </row>
    <row r="250">
      <c r="A250" s="4" t="inlineStr">
        <is>
          <t>問27-1</t>
        </is>
      </c>
      <c r="B250" s="5" t="inlineStr"/>
      <c r="C250" s="5" t="inlineStr">
        <is>
          <t>訪問入浴</t>
        </is>
      </c>
      <c r="D250" s="30" t="n">
        <v>0</v>
      </c>
      <c r="E250" s="30" t="n">
        <v>0</v>
      </c>
      <c r="F250" s="30" t="n">
        <v>0</v>
      </c>
      <c r="G250" s="20">
        <f>IF(D$5=0,0,D250/D$5)</f>
        <v>0</v>
      </c>
      <c r="H250" s="20">
        <f>IF(E$5=0,0,E250/E$5)</f>
        <v>0</v>
      </c>
      <c r="I250" s="20">
        <f>IF(F$5=0,0,F250/F$5)</f>
        <v>0</v>
      </c>
    </row>
    <row r="251">
      <c r="A251" s="4" t="inlineStr">
        <is>
          <t>問27-1</t>
        </is>
      </c>
      <c r="B251" s="5" t="inlineStr"/>
      <c r="C251" s="5" t="inlineStr">
        <is>
          <t>現在利用しているサービスは特にない</t>
        </is>
      </c>
      <c r="D251" s="30" t="n">
        <v>12</v>
      </c>
      <c r="E251" s="30" t="n">
        <v>0</v>
      </c>
      <c r="F251" s="30" t="n">
        <v>3</v>
      </c>
      <c r="G251" s="20">
        <f>IF(D$5=0,0,D251/D$5)</f>
        <v>0.413793103448276</v>
      </c>
      <c r="H251" s="20">
        <f>IF(E$5=0,0,E251/E$5)</f>
        <v>0</v>
      </c>
      <c r="I251" s="20">
        <f>IF(F$5=0,0,F251/F$5)</f>
        <v>0.5</v>
      </c>
    </row>
    <row r="252">
      <c r="A252" s="4" t="inlineStr">
        <is>
          <t>問27-1</t>
        </is>
      </c>
      <c r="B252" s="5" t="inlineStr"/>
      <c r="C252" s="5" t="inlineStr">
        <is>
          <t>無回答</t>
        </is>
      </c>
      <c r="D252" s="30" t="n">
        <v>7</v>
      </c>
      <c r="E252" s="30" t="n">
        <v>0</v>
      </c>
      <c r="F252" s="30" t="n">
        <v>1</v>
      </c>
      <c r="G252" s="20">
        <f>IF(D$5=0,0,D252/D$5)</f>
        <v>0.241379310344828</v>
      </c>
      <c r="H252" s="20">
        <f>IF(E$5=0,0,E252/E$5)</f>
        <v>0</v>
      </c>
      <c r="I252" s="20">
        <f>IF(F$5=0,0,F252/F$5)</f>
        <v>0.166666666666667</v>
      </c>
    </row>
    <row r="253">
      <c r="A253" s="4" t="inlineStr">
        <is>
          <t>問27-2</t>
        </is>
      </c>
      <c r="B253" s="5" t="inlineStr">
        <is>
          <t>内容をよく知らないサービスがあれば選んでください（あてはまるものすべて）</t>
        </is>
      </c>
      <c r="C253" s="5" t="inlineStr">
        <is>
          <t>居宅介護（ホームヘルプ）</t>
        </is>
      </c>
      <c r="D253" s="30" t="n">
        <v>3</v>
      </c>
      <c r="E253" s="30" t="n">
        <v>1</v>
      </c>
      <c r="F253" s="30" t="n">
        <v>2</v>
      </c>
      <c r="G253" s="20">
        <f>IF(D$5=0,0,D253/D$5)</f>
        <v>0.103448275862069</v>
      </c>
      <c r="H253" s="20">
        <f>IF(E$5=0,0,E253/E$5)</f>
        <v>0.5</v>
      </c>
      <c r="I253" s="20">
        <f>IF(F$5=0,0,F253/F$5)</f>
        <v>0.333333333333333</v>
      </c>
    </row>
    <row r="254">
      <c r="A254" s="4" t="inlineStr">
        <is>
          <t>問27-2</t>
        </is>
      </c>
      <c r="B254" s="5" t="inlineStr"/>
      <c r="C254" s="5" t="inlineStr">
        <is>
          <t>重度訪問介護</t>
        </is>
      </c>
      <c r="D254" s="30" t="n">
        <v>6</v>
      </c>
      <c r="E254" s="30" t="n">
        <v>1</v>
      </c>
      <c r="F254" s="30" t="n">
        <v>2</v>
      </c>
      <c r="G254" s="20">
        <f>IF(D$5=0,0,D254/D$5)</f>
        <v>0.206896551724138</v>
      </c>
      <c r="H254" s="20">
        <f>IF(E$5=0,0,E254/E$5)</f>
        <v>0.5</v>
      </c>
      <c r="I254" s="20">
        <f>IF(F$5=0,0,F254/F$5)</f>
        <v>0.333333333333333</v>
      </c>
    </row>
    <row r="255">
      <c r="A255" s="4" t="inlineStr">
        <is>
          <t>問27-2</t>
        </is>
      </c>
      <c r="B255" s="5" t="inlineStr"/>
      <c r="C255" s="5" t="inlineStr">
        <is>
          <t>同行援護・行動援護</t>
        </is>
      </c>
      <c r="D255" s="30" t="n">
        <v>6</v>
      </c>
      <c r="E255" s="30" t="n">
        <v>1</v>
      </c>
      <c r="F255" s="30" t="n">
        <v>2</v>
      </c>
      <c r="G255" s="20">
        <f>IF(D$5=0,0,D255/D$5)</f>
        <v>0.206896551724138</v>
      </c>
      <c r="H255" s="20">
        <f>IF(E$5=0,0,E255/E$5)</f>
        <v>0.5</v>
      </c>
      <c r="I255" s="20">
        <f>IF(F$5=0,0,F255/F$5)</f>
        <v>0.333333333333333</v>
      </c>
    </row>
    <row r="256">
      <c r="A256" s="4" t="inlineStr">
        <is>
          <t>問27-2</t>
        </is>
      </c>
      <c r="B256" s="5" t="inlineStr"/>
      <c r="C256" s="5" t="inlineStr">
        <is>
          <t>生活介護</t>
        </is>
      </c>
      <c r="D256" s="30" t="n">
        <v>4</v>
      </c>
      <c r="E256" s="30" t="n">
        <v>0</v>
      </c>
      <c r="F256" s="30" t="n">
        <v>2</v>
      </c>
      <c r="G256" s="20">
        <f>IF(D$5=0,0,D256/D$5)</f>
        <v>0.137931034482759</v>
      </c>
      <c r="H256" s="20">
        <f>IF(E$5=0,0,E256/E$5)</f>
        <v>0</v>
      </c>
      <c r="I256" s="20">
        <f>IF(F$5=0,0,F256/F$5)</f>
        <v>0.333333333333333</v>
      </c>
    </row>
    <row r="257">
      <c r="A257" s="4" t="inlineStr">
        <is>
          <t>問27-2</t>
        </is>
      </c>
      <c r="B257" s="5" t="inlineStr"/>
      <c r="C257" s="5" t="inlineStr">
        <is>
          <t>自立訓練</t>
        </is>
      </c>
      <c r="D257" s="30" t="n">
        <v>4</v>
      </c>
      <c r="E257" s="30" t="n">
        <v>1</v>
      </c>
      <c r="F257" s="30" t="n">
        <v>2</v>
      </c>
      <c r="G257" s="20">
        <f>IF(D$5=0,0,D257/D$5)</f>
        <v>0.137931034482759</v>
      </c>
      <c r="H257" s="20">
        <f>IF(E$5=0,0,E257/E$5)</f>
        <v>0.5</v>
      </c>
      <c r="I257" s="20">
        <f>IF(F$5=0,0,F257/F$5)</f>
        <v>0.333333333333333</v>
      </c>
    </row>
    <row r="258">
      <c r="A258" s="4" t="inlineStr">
        <is>
          <t>問27-2</t>
        </is>
      </c>
      <c r="B258" s="5" t="inlineStr"/>
      <c r="C258" s="5" t="inlineStr">
        <is>
          <t>就労移行支援</t>
        </is>
      </c>
      <c r="D258" s="30" t="n">
        <v>4</v>
      </c>
      <c r="E258" s="30" t="n">
        <v>1</v>
      </c>
      <c r="F258" s="30" t="n">
        <v>3</v>
      </c>
      <c r="G258" s="20">
        <f>IF(D$5=0,0,D258/D$5)</f>
        <v>0.137931034482759</v>
      </c>
      <c r="H258" s="20">
        <f>IF(E$5=0,0,E258/E$5)</f>
        <v>0.5</v>
      </c>
      <c r="I258" s="20">
        <f>IF(F$5=0,0,F258/F$5)</f>
        <v>0.5</v>
      </c>
    </row>
    <row r="259">
      <c r="A259" s="4" t="inlineStr">
        <is>
          <t>問27-2</t>
        </is>
      </c>
      <c r="B259" s="5" t="inlineStr"/>
      <c r="C259" s="5" t="inlineStr">
        <is>
          <t>就労継続支援A型</t>
        </is>
      </c>
      <c r="D259" s="30" t="n">
        <v>5</v>
      </c>
      <c r="E259" s="30" t="n">
        <v>1</v>
      </c>
      <c r="F259" s="30" t="n">
        <v>2</v>
      </c>
      <c r="G259" s="20">
        <f>IF(D$5=0,0,D259/D$5)</f>
        <v>0.172413793103448</v>
      </c>
      <c r="H259" s="20">
        <f>IF(E$5=0,0,E259/E$5)</f>
        <v>0.5</v>
      </c>
      <c r="I259" s="20">
        <f>IF(F$5=0,0,F259/F$5)</f>
        <v>0.333333333333333</v>
      </c>
    </row>
    <row r="260">
      <c r="A260" s="4" t="inlineStr">
        <is>
          <t>問27-2</t>
        </is>
      </c>
      <c r="B260" s="5" t="inlineStr"/>
      <c r="C260" s="5" t="inlineStr">
        <is>
          <t>就労継続支援B型</t>
        </is>
      </c>
      <c r="D260" s="30" t="n">
        <v>5</v>
      </c>
      <c r="E260" s="30" t="n">
        <v>1</v>
      </c>
      <c r="F260" s="30" t="n">
        <v>2</v>
      </c>
      <c r="G260" s="20">
        <f>IF(D$5=0,0,D260/D$5)</f>
        <v>0.172413793103448</v>
      </c>
      <c r="H260" s="20">
        <f>IF(E$5=0,0,E260/E$5)</f>
        <v>0.5</v>
      </c>
      <c r="I260" s="20">
        <f>IF(F$5=0,0,F260/F$5)</f>
        <v>0.333333333333333</v>
      </c>
    </row>
    <row r="261">
      <c r="A261" s="4" t="inlineStr">
        <is>
          <t>問27-2</t>
        </is>
      </c>
      <c r="B261" s="5" t="inlineStr"/>
      <c r="C261" s="5" t="inlineStr">
        <is>
          <t>就労選択支援</t>
        </is>
      </c>
      <c r="D261" s="30" t="n">
        <v>5</v>
      </c>
      <c r="E261" s="30" t="n">
        <v>1</v>
      </c>
      <c r="F261" s="30" t="n">
        <v>3</v>
      </c>
      <c r="G261" s="20">
        <f>IF(D$5=0,0,D261/D$5)</f>
        <v>0.172413793103448</v>
      </c>
      <c r="H261" s="20">
        <f>IF(E$5=0,0,E261/E$5)</f>
        <v>0.5</v>
      </c>
      <c r="I261" s="20">
        <f>IF(F$5=0,0,F261/F$5)</f>
        <v>0.5</v>
      </c>
    </row>
    <row r="262">
      <c r="A262" s="4" t="inlineStr">
        <is>
          <t>問27-2</t>
        </is>
      </c>
      <c r="B262" s="5" t="inlineStr"/>
      <c r="C262" s="5" t="inlineStr">
        <is>
          <t>就労定着支援</t>
        </is>
      </c>
      <c r="D262" s="30" t="n">
        <v>5</v>
      </c>
      <c r="E262" s="30" t="n">
        <v>1</v>
      </c>
      <c r="F262" s="30" t="n">
        <v>2</v>
      </c>
      <c r="G262" s="20">
        <f>IF(D$5=0,0,D262/D$5)</f>
        <v>0.172413793103448</v>
      </c>
      <c r="H262" s="20">
        <f>IF(E$5=0,0,E262/E$5)</f>
        <v>0.5</v>
      </c>
      <c r="I262" s="20">
        <f>IF(F$5=0,0,F262/F$5)</f>
        <v>0.333333333333333</v>
      </c>
    </row>
    <row r="263">
      <c r="A263" s="4" t="inlineStr">
        <is>
          <t>問27-2</t>
        </is>
      </c>
      <c r="B263" s="5" t="inlineStr"/>
      <c r="C263" s="5" t="inlineStr">
        <is>
          <t>短期入所（ショートステイ）</t>
        </is>
      </c>
      <c r="D263" s="30" t="n">
        <v>2</v>
      </c>
      <c r="E263" s="30" t="n">
        <v>1</v>
      </c>
      <c r="F263" s="30" t="n">
        <v>1</v>
      </c>
      <c r="G263" s="20">
        <f>IF(D$5=0,0,D263/D$5)</f>
        <v>0.0689655172413793</v>
      </c>
      <c r="H263" s="20">
        <f>IF(E$5=0,0,E263/E$5)</f>
        <v>0.5</v>
      </c>
      <c r="I263" s="20">
        <f>IF(F$5=0,0,F263/F$5)</f>
        <v>0.166666666666667</v>
      </c>
    </row>
    <row r="264">
      <c r="A264" s="4" t="inlineStr">
        <is>
          <t>問27-2</t>
        </is>
      </c>
      <c r="B264" s="5" t="inlineStr"/>
      <c r="C264" s="5" t="inlineStr">
        <is>
          <t>グループホーム</t>
        </is>
      </c>
      <c r="D264" s="30" t="n">
        <v>3</v>
      </c>
      <c r="E264" s="30" t="n">
        <v>1</v>
      </c>
      <c r="F264" s="30" t="n">
        <v>1</v>
      </c>
      <c r="G264" s="20">
        <f>IF(D$5=0,0,D264/D$5)</f>
        <v>0.103448275862069</v>
      </c>
      <c r="H264" s="20">
        <f>IF(E$5=0,0,E264/E$5)</f>
        <v>0.5</v>
      </c>
      <c r="I264" s="20">
        <f>IF(F$5=0,0,F264/F$5)</f>
        <v>0.166666666666667</v>
      </c>
    </row>
    <row r="265">
      <c r="A265" s="4" t="inlineStr">
        <is>
          <t>問27-2</t>
        </is>
      </c>
      <c r="B265" s="5" t="inlineStr"/>
      <c r="C265" s="5" t="inlineStr">
        <is>
          <t>施設入所支援</t>
        </is>
      </c>
      <c r="D265" s="30" t="n">
        <v>5</v>
      </c>
      <c r="E265" s="30" t="n">
        <v>0</v>
      </c>
      <c r="F265" s="30" t="n">
        <v>1</v>
      </c>
      <c r="G265" s="20">
        <f>IF(D$5=0,0,D265/D$5)</f>
        <v>0.172413793103448</v>
      </c>
      <c r="H265" s="20">
        <f>IF(E$5=0,0,E265/E$5)</f>
        <v>0</v>
      </c>
      <c r="I265" s="20">
        <f>IF(F$5=0,0,F265/F$5)</f>
        <v>0.166666666666667</v>
      </c>
    </row>
    <row r="266">
      <c r="A266" s="4" t="inlineStr">
        <is>
          <t>問27-2</t>
        </is>
      </c>
      <c r="B266" s="5" t="inlineStr"/>
      <c r="C266" s="5" t="inlineStr">
        <is>
          <t>計画相談支援</t>
        </is>
      </c>
      <c r="D266" s="30" t="n">
        <v>4</v>
      </c>
      <c r="E266" s="30" t="n">
        <v>1</v>
      </c>
      <c r="F266" s="30" t="n">
        <v>2</v>
      </c>
      <c r="G266" s="20">
        <f>IF(D$5=0,0,D266/D$5)</f>
        <v>0.137931034482759</v>
      </c>
      <c r="H266" s="20">
        <f>IF(E$5=0,0,E266/E$5)</f>
        <v>0.5</v>
      </c>
      <c r="I266" s="20">
        <f>IF(F$5=0,0,F266/F$5)</f>
        <v>0.333333333333333</v>
      </c>
    </row>
    <row r="267">
      <c r="A267" s="4" t="inlineStr">
        <is>
          <t>問27-2</t>
        </is>
      </c>
      <c r="B267" s="5" t="inlineStr"/>
      <c r="C267" s="5" t="inlineStr">
        <is>
          <t>移動支援</t>
        </is>
      </c>
      <c r="D267" s="30" t="n">
        <v>6</v>
      </c>
      <c r="E267" s="30" t="n">
        <v>1</v>
      </c>
      <c r="F267" s="30" t="n">
        <v>2</v>
      </c>
      <c r="G267" s="20">
        <f>IF(D$5=0,0,D267/D$5)</f>
        <v>0.206896551724138</v>
      </c>
      <c r="H267" s="20">
        <f>IF(E$5=0,0,E267/E$5)</f>
        <v>0.5</v>
      </c>
      <c r="I267" s="20">
        <f>IF(F$5=0,0,F267/F$5)</f>
        <v>0.333333333333333</v>
      </c>
    </row>
    <row r="268">
      <c r="A268" s="4" t="inlineStr">
        <is>
          <t>問27-2</t>
        </is>
      </c>
      <c r="B268" s="5" t="inlineStr"/>
      <c r="C268" s="5" t="inlineStr">
        <is>
          <t>日中一時支援</t>
        </is>
      </c>
      <c r="D268" s="30" t="n">
        <v>4</v>
      </c>
      <c r="E268" s="30" t="n">
        <v>1</v>
      </c>
      <c r="F268" s="30" t="n">
        <v>3</v>
      </c>
      <c r="G268" s="20">
        <f>IF(D$5=0,0,D268/D$5)</f>
        <v>0.137931034482759</v>
      </c>
      <c r="H268" s="20">
        <f>IF(E$5=0,0,E268/E$5)</f>
        <v>0.5</v>
      </c>
      <c r="I268" s="20">
        <f>IF(F$5=0,0,F268/F$5)</f>
        <v>0.5</v>
      </c>
    </row>
    <row r="269">
      <c r="A269" s="4" t="inlineStr">
        <is>
          <t>問27-2</t>
        </is>
      </c>
      <c r="B269" s="5" t="inlineStr"/>
      <c r="C269" s="5" t="inlineStr">
        <is>
          <t>日常生活用具</t>
        </is>
      </c>
      <c r="D269" s="30" t="n">
        <v>3</v>
      </c>
      <c r="E269" s="30" t="n">
        <v>1</v>
      </c>
      <c r="F269" s="30" t="n">
        <v>2</v>
      </c>
      <c r="G269" s="20">
        <f>IF(D$5=0,0,D269/D$5)</f>
        <v>0.103448275862069</v>
      </c>
      <c r="H269" s="20">
        <f>IF(E$5=0,0,E269/E$5)</f>
        <v>0.5</v>
      </c>
      <c r="I269" s="20">
        <f>IF(F$5=0,0,F269/F$5)</f>
        <v>0.333333333333333</v>
      </c>
    </row>
    <row r="270">
      <c r="A270" s="4" t="inlineStr">
        <is>
          <t>問27-2</t>
        </is>
      </c>
      <c r="B270" s="5" t="inlineStr"/>
      <c r="C270" s="5" t="inlineStr">
        <is>
          <t>訪問入浴</t>
        </is>
      </c>
      <c r="D270" s="30" t="n">
        <v>3</v>
      </c>
      <c r="E270" s="30" t="n">
        <v>1</v>
      </c>
      <c r="F270" s="30" t="n">
        <v>1</v>
      </c>
      <c r="G270" s="20">
        <f>IF(D$5=0,0,D270/D$5)</f>
        <v>0.103448275862069</v>
      </c>
      <c r="H270" s="20">
        <f>IF(E$5=0,0,E270/E$5)</f>
        <v>0.5</v>
      </c>
      <c r="I270" s="20">
        <f>IF(F$5=0,0,F270/F$5)</f>
        <v>0.166666666666667</v>
      </c>
    </row>
    <row r="271">
      <c r="A271" s="4" t="inlineStr">
        <is>
          <t>問27-2</t>
        </is>
      </c>
      <c r="B271" s="5" t="inlineStr"/>
      <c r="C271" s="5" t="inlineStr">
        <is>
          <t>知らないサービスは特にない</t>
        </is>
      </c>
      <c r="D271" s="30" t="n">
        <v>7</v>
      </c>
      <c r="E271" s="30" t="n">
        <v>1</v>
      </c>
      <c r="F271" s="30" t="n">
        <v>0</v>
      </c>
      <c r="G271" s="20">
        <f>IF(D$5=0,0,D271/D$5)</f>
        <v>0.241379310344828</v>
      </c>
      <c r="H271" s="20">
        <f>IF(E$5=0,0,E271/E$5)</f>
        <v>0.5</v>
      </c>
      <c r="I271" s="20">
        <f>IF(F$5=0,0,F271/F$5)</f>
        <v>0</v>
      </c>
    </row>
    <row r="272">
      <c r="A272" s="4" t="inlineStr">
        <is>
          <t>問27-2</t>
        </is>
      </c>
      <c r="B272" s="5" t="inlineStr"/>
      <c r="C272" s="5" t="inlineStr">
        <is>
          <t>無回答</t>
        </is>
      </c>
      <c r="D272" s="30" t="n">
        <v>12</v>
      </c>
      <c r="E272" s="30" t="n">
        <v>0</v>
      </c>
      <c r="F272" s="30" t="n">
        <v>1</v>
      </c>
      <c r="G272" s="20">
        <f>IF(D$5=0,0,D272/D$5)</f>
        <v>0.413793103448276</v>
      </c>
      <c r="H272" s="20">
        <f>IF(E$5=0,0,E272/E$5)</f>
        <v>0</v>
      </c>
      <c r="I272" s="20">
        <f>IF(F$5=0,0,F272/F$5)</f>
        <v>0.166666666666667</v>
      </c>
    </row>
    <row r="273">
      <c r="A273" s="4" t="inlineStr">
        <is>
          <t>問27-3</t>
        </is>
      </c>
      <c r="B273" s="5" t="inlineStr">
        <is>
          <t>今後3年間で利用したい、または利用を続けたいサービスを選んでください（あてはまるものすべて）</t>
        </is>
      </c>
      <c r="C273" s="5" t="inlineStr">
        <is>
          <t>居宅介護（ホームヘルプ）</t>
        </is>
      </c>
      <c r="D273" s="30" t="n">
        <v>3</v>
      </c>
      <c r="E273" s="30" t="n">
        <v>0</v>
      </c>
      <c r="F273" s="30" t="n">
        <v>0</v>
      </c>
      <c r="G273" s="20">
        <f>IF(D$5=0,0,D273/D$5)</f>
        <v>0.103448275862069</v>
      </c>
      <c r="H273" s="20">
        <f>IF(E$5=0,0,E273/E$5)</f>
        <v>0</v>
      </c>
      <c r="I273" s="20">
        <f>IF(F$5=0,0,F273/F$5)</f>
        <v>0</v>
      </c>
    </row>
    <row r="274">
      <c r="A274" s="4" t="inlineStr">
        <is>
          <t>問27-3</t>
        </is>
      </c>
      <c r="B274" s="5" t="inlineStr"/>
      <c r="C274" s="5" t="inlineStr">
        <is>
          <t>重度訪問介護</t>
        </is>
      </c>
      <c r="D274" s="30" t="n">
        <v>0</v>
      </c>
      <c r="E274" s="30" t="n">
        <v>0</v>
      </c>
      <c r="F274" s="30" t="n">
        <v>0</v>
      </c>
      <c r="G274" s="20">
        <f>IF(D$5=0,0,D274/D$5)</f>
        <v>0</v>
      </c>
      <c r="H274" s="20">
        <f>IF(E$5=0,0,E274/E$5)</f>
        <v>0</v>
      </c>
      <c r="I274" s="20">
        <f>IF(F$5=0,0,F274/F$5)</f>
        <v>0</v>
      </c>
    </row>
    <row r="275">
      <c r="A275" s="4" t="inlineStr">
        <is>
          <t>問27-3</t>
        </is>
      </c>
      <c r="B275" s="5" t="inlineStr"/>
      <c r="C275" s="5" t="inlineStr">
        <is>
          <t>同行援護・行動援護</t>
        </is>
      </c>
      <c r="D275" s="30" t="n">
        <v>1</v>
      </c>
      <c r="E275" s="30" t="n">
        <v>0</v>
      </c>
      <c r="F275" s="30" t="n">
        <v>0</v>
      </c>
      <c r="G275" s="20">
        <f>IF(D$5=0,0,D275/D$5)</f>
        <v>0.0344827586206897</v>
      </c>
      <c r="H275" s="20">
        <f>IF(E$5=0,0,E275/E$5)</f>
        <v>0</v>
      </c>
      <c r="I275" s="20">
        <f>IF(F$5=0,0,F275/F$5)</f>
        <v>0</v>
      </c>
    </row>
    <row r="276">
      <c r="A276" s="4" t="inlineStr">
        <is>
          <t>問27-3</t>
        </is>
      </c>
      <c r="B276" s="5" t="inlineStr"/>
      <c r="C276" s="5" t="inlineStr">
        <is>
          <t>生活介護</t>
        </is>
      </c>
      <c r="D276" s="30" t="n">
        <v>1</v>
      </c>
      <c r="E276" s="30" t="n">
        <v>2</v>
      </c>
      <c r="F276" s="30" t="n">
        <v>1</v>
      </c>
      <c r="G276" s="20">
        <f>IF(D$5=0,0,D276/D$5)</f>
        <v>0.0344827586206897</v>
      </c>
      <c r="H276" s="20">
        <f>IF(E$5=0,0,E276/E$5)</f>
        <v>1</v>
      </c>
      <c r="I276" s="20">
        <f>IF(F$5=0,0,F276/F$5)</f>
        <v>0.166666666666667</v>
      </c>
    </row>
    <row r="277">
      <c r="A277" s="4" t="inlineStr">
        <is>
          <t>問27-3</t>
        </is>
      </c>
      <c r="B277" s="5" t="inlineStr"/>
      <c r="C277" s="5" t="inlineStr">
        <is>
          <t>自立訓練</t>
        </is>
      </c>
      <c r="D277" s="30" t="n">
        <v>1</v>
      </c>
      <c r="E277" s="30" t="n">
        <v>0</v>
      </c>
      <c r="F277" s="30" t="n">
        <v>0</v>
      </c>
      <c r="G277" s="20">
        <f>IF(D$5=0,0,D277/D$5)</f>
        <v>0.0344827586206897</v>
      </c>
      <c r="H277" s="20">
        <f>IF(E$5=0,0,E277/E$5)</f>
        <v>0</v>
      </c>
      <c r="I277" s="20">
        <f>IF(F$5=0,0,F277/F$5)</f>
        <v>0</v>
      </c>
    </row>
    <row r="278">
      <c r="A278" s="4" t="inlineStr">
        <is>
          <t>問27-3</t>
        </is>
      </c>
      <c r="B278" s="5" t="inlineStr"/>
      <c r="C278" s="5" t="inlineStr">
        <is>
          <t>就労移行支援</t>
        </is>
      </c>
      <c r="D278" s="30" t="n">
        <v>0</v>
      </c>
      <c r="E278" s="30" t="n">
        <v>0</v>
      </c>
      <c r="F278" s="30" t="n">
        <v>1</v>
      </c>
      <c r="G278" s="20">
        <f>IF(D$5=0,0,D278/D$5)</f>
        <v>0</v>
      </c>
      <c r="H278" s="20">
        <f>IF(E$5=0,0,E278/E$5)</f>
        <v>0</v>
      </c>
      <c r="I278" s="20">
        <f>IF(F$5=0,0,F278/F$5)</f>
        <v>0.166666666666667</v>
      </c>
    </row>
    <row r="279">
      <c r="A279" s="4" t="inlineStr">
        <is>
          <t>問27-3</t>
        </is>
      </c>
      <c r="B279" s="5" t="inlineStr"/>
      <c r="C279" s="5" t="inlineStr">
        <is>
          <t>就労継続支援A型</t>
        </is>
      </c>
      <c r="D279" s="30" t="n">
        <v>0</v>
      </c>
      <c r="E279" s="30" t="n">
        <v>0</v>
      </c>
      <c r="F279" s="30" t="n">
        <v>0</v>
      </c>
      <c r="G279" s="20">
        <f>IF(D$5=0,0,D279/D$5)</f>
        <v>0</v>
      </c>
      <c r="H279" s="20">
        <f>IF(E$5=0,0,E279/E$5)</f>
        <v>0</v>
      </c>
      <c r="I279" s="20">
        <f>IF(F$5=0,0,F279/F$5)</f>
        <v>0</v>
      </c>
    </row>
    <row r="280">
      <c r="A280" s="4" t="inlineStr">
        <is>
          <t>問27-3</t>
        </is>
      </c>
      <c r="B280" s="5" t="inlineStr"/>
      <c r="C280" s="5" t="inlineStr">
        <is>
          <t>就労継続支援B型</t>
        </is>
      </c>
      <c r="D280" s="30" t="n">
        <v>1</v>
      </c>
      <c r="E280" s="30" t="n">
        <v>0</v>
      </c>
      <c r="F280" s="30" t="n">
        <v>0</v>
      </c>
      <c r="G280" s="20">
        <f>IF(D$5=0,0,D280/D$5)</f>
        <v>0.0344827586206897</v>
      </c>
      <c r="H280" s="20">
        <f>IF(E$5=0,0,E280/E$5)</f>
        <v>0</v>
      </c>
      <c r="I280" s="20">
        <f>IF(F$5=0,0,F280/F$5)</f>
        <v>0</v>
      </c>
    </row>
    <row r="281">
      <c r="A281" s="4" t="inlineStr">
        <is>
          <t>問27-3</t>
        </is>
      </c>
      <c r="B281" s="5" t="inlineStr"/>
      <c r="C281" s="5" t="inlineStr">
        <is>
          <t>就労選択支援</t>
        </is>
      </c>
      <c r="D281" s="30" t="n">
        <v>0</v>
      </c>
      <c r="E281" s="30" t="n">
        <v>0</v>
      </c>
      <c r="F281" s="30" t="n">
        <v>0</v>
      </c>
      <c r="G281" s="20">
        <f>IF(D$5=0,0,D281/D$5)</f>
        <v>0</v>
      </c>
      <c r="H281" s="20">
        <f>IF(E$5=0,0,E281/E$5)</f>
        <v>0</v>
      </c>
      <c r="I281" s="20">
        <f>IF(F$5=0,0,F281/F$5)</f>
        <v>0</v>
      </c>
    </row>
    <row r="282">
      <c r="A282" s="4" t="inlineStr">
        <is>
          <t>問27-3</t>
        </is>
      </c>
      <c r="B282" s="5" t="inlineStr"/>
      <c r="C282" s="5" t="inlineStr">
        <is>
          <t>就労定着支援</t>
        </is>
      </c>
      <c r="D282" s="30" t="n">
        <v>0</v>
      </c>
      <c r="E282" s="30" t="n">
        <v>0</v>
      </c>
      <c r="F282" s="30" t="n">
        <v>0</v>
      </c>
      <c r="G282" s="20">
        <f>IF(D$5=0,0,D282/D$5)</f>
        <v>0</v>
      </c>
      <c r="H282" s="20">
        <f>IF(E$5=0,0,E282/E$5)</f>
        <v>0</v>
      </c>
      <c r="I282" s="20">
        <f>IF(F$5=0,0,F282/F$5)</f>
        <v>0</v>
      </c>
    </row>
    <row r="283">
      <c r="A283" s="4" t="inlineStr">
        <is>
          <t>問27-3</t>
        </is>
      </c>
      <c r="B283" s="5" t="inlineStr"/>
      <c r="C283" s="5" t="inlineStr">
        <is>
          <t>短期入所（ショートステイ）</t>
        </is>
      </c>
      <c r="D283" s="30" t="n">
        <v>4</v>
      </c>
      <c r="E283" s="30" t="n">
        <v>0</v>
      </c>
      <c r="F283" s="30" t="n">
        <v>0</v>
      </c>
      <c r="G283" s="20">
        <f>IF(D$5=0,0,D283/D$5)</f>
        <v>0.137931034482759</v>
      </c>
      <c r="H283" s="20">
        <f>IF(E$5=0,0,E283/E$5)</f>
        <v>0</v>
      </c>
      <c r="I283" s="20">
        <f>IF(F$5=0,0,F283/F$5)</f>
        <v>0</v>
      </c>
    </row>
    <row r="284">
      <c r="A284" s="4" t="inlineStr">
        <is>
          <t>問27-3</t>
        </is>
      </c>
      <c r="B284" s="5" t="inlineStr"/>
      <c r="C284" s="5" t="inlineStr">
        <is>
          <t>グループホーム</t>
        </is>
      </c>
      <c r="D284" s="30" t="n">
        <v>4</v>
      </c>
      <c r="E284" s="30" t="n">
        <v>0</v>
      </c>
      <c r="F284" s="30" t="n">
        <v>1</v>
      </c>
      <c r="G284" s="20">
        <f>IF(D$5=0,0,D284/D$5)</f>
        <v>0.137931034482759</v>
      </c>
      <c r="H284" s="20">
        <f>IF(E$5=0,0,E284/E$5)</f>
        <v>0</v>
      </c>
      <c r="I284" s="20">
        <f>IF(F$5=0,0,F284/F$5)</f>
        <v>0.166666666666667</v>
      </c>
    </row>
    <row r="285">
      <c r="A285" s="4" t="inlineStr">
        <is>
          <t>問27-3</t>
        </is>
      </c>
      <c r="B285" s="5" t="inlineStr"/>
      <c r="C285" s="5" t="inlineStr">
        <is>
          <t>施設入所支援</t>
        </is>
      </c>
      <c r="D285" s="30" t="n">
        <v>7</v>
      </c>
      <c r="E285" s="30" t="n">
        <v>2</v>
      </c>
      <c r="F285" s="30" t="n">
        <v>1</v>
      </c>
      <c r="G285" s="20">
        <f>IF(D$5=0,0,D285/D$5)</f>
        <v>0.241379310344828</v>
      </c>
      <c r="H285" s="20">
        <f>IF(E$5=0,0,E285/E$5)</f>
        <v>1</v>
      </c>
      <c r="I285" s="20">
        <f>IF(F$5=0,0,F285/F$5)</f>
        <v>0.166666666666667</v>
      </c>
    </row>
    <row r="286">
      <c r="A286" s="4" t="inlineStr">
        <is>
          <t>問27-3</t>
        </is>
      </c>
      <c r="B286" s="5" t="inlineStr"/>
      <c r="C286" s="5" t="inlineStr">
        <is>
          <t>計画相談支援</t>
        </is>
      </c>
      <c r="D286" s="30" t="n">
        <v>3</v>
      </c>
      <c r="E286" s="30" t="n">
        <v>1</v>
      </c>
      <c r="F286" s="30" t="n">
        <v>0</v>
      </c>
      <c r="G286" s="20">
        <f>IF(D$5=0,0,D286/D$5)</f>
        <v>0.103448275862069</v>
      </c>
      <c r="H286" s="20">
        <f>IF(E$5=0,0,E286/E$5)</f>
        <v>0.5</v>
      </c>
      <c r="I286" s="20">
        <f>IF(F$5=0,0,F286/F$5)</f>
        <v>0</v>
      </c>
    </row>
    <row r="287">
      <c r="A287" s="4" t="inlineStr">
        <is>
          <t>問27-3</t>
        </is>
      </c>
      <c r="B287" s="5" t="inlineStr"/>
      <c r="C287" s="5" t="inlineStr">
        <is>
          <t>移動支援</t>
        </is>
      </c>
      <c r="D287" s="30" t="n">
        <v>0</v>
      </c>
      <c r="E287" s="30" t="n">
        <v>0</v>
      </c>
      <c r="F287" s="30" t="n">
        <v>2</v>
      </c>
      <c r="G287" s="20">
        <f>IF(D$5=0,0,D287/D$5)</f>
        <v>0</v>
      </c>
      <c r="H287" s="20">
        <f>IF(E$5=0,0,E287/E$5)</f>
        <v>0</v>
      </c>
      <c r="I287" s="20">
        <f>IF(F$5=0,0,F287/F$5)</f>
        <v>0.333333333333333</v>
      </c>
    </row>
    <row r="288">
      <c r="A288" s="4" t="inlineStr">
        <is>
          <t>問27-3</t>
        </is>
      </c>
      <c r="B288" s="5" t="inlineStr"/>
      <c r="C288" s="5" t="inlineStr">
        <is>
          <t>日中一時支援</t>
        </is>
      </c>
      <c r="D288" s="30" t="n">
        <v>1</v>
      </c>
      <c r="E288" s="30" t="n">
        <v>0</v>
      </c>
      <c r="F288" s="30" t="n">
        <v>0</v>
      </c>
      <c r="G288" s="20">
        <f>IF(D$5=0,0,D288/D$5)</f>
        <v>0.0344827586206897</v>
      </c>
      <c r="H288" s="20">
        <f>IF(E$5=0,0,E288/E$5)</f>
        <v>0</v>
      </c>
      <c r="I288" s="20">
        <f>IF(F$5=0,0,F288/F$5)</f>
        <v>0</v>
      </c>
    </row>
    <row r="289">
      <c r="A289" s="4" t="inlineStr">
        <is>
          <t>問27-3</t>
        </is>
      </c>
      <c r="B289" s="5" t="inlineStr"/>
      <c r="C289" s="5" t="inlineStr">
        <is>
          <t>日常生活用具</t>
        </is>
      </c>
      <c r="D289" s="30" t="n">
        <v>1</v>
      </c>
      <c r="E289" s="30" t="n">
        <v>0</v>
      </c>
      <c r="F289" s="30" t="n">
        <v>0</v>
      </c>
      <c r="G289" s="20">
        <f>IF(D$5=0,0,D289/D$5)</f>
        <v>0.0344827586206897</v>
      </c>
      <c r="H289" s="20">
        <f>IF(E$5=0,0,E289/E$5)</f>
        <v>0</v>
      </c>
      <c r="I289" s="20">
        <f>IF(F$5=0,0,F289/F$5)</f>
        <v>0</v>
      </c>
    </row>
    <row r="290">
      <c r="A290" s="4" t="inlineStr">
        <is>
          <t>問27-3</t>
        </is>
      </c>
      <c r="B290" s="5" t="inlineStr"/>
      <c r="C290" s="5" t="inlineStr">
        <is>
          <t>訪問入浴</t>
        </is>
      </c>
      <c r="D290" s="30" t="n">
        <v>0</v>
      </c>
      <c r="E290" s="30" t="n">
        <v>0</v>
      </c>
      <c r="F290" s="30" t="n">
        <v>0</v>
      </c>
      <c r="G290" s="20">
        <f>IF(D$5=0,0,D290/D$5)</f>
        <v>0</v>
      </c>
      <c r="H290" s="20">
        <f>IF(E$5=0,0,E290/E$5)</f>
        <v>0</v>
      </c>
      <c r="I290" s="20">
        <f>IF(F$5=0,0,F290/F$5)</f>
        <v>0</v>
      </c>
    </row>
    <row r="291">
      <c r="A291" s="4" t="inlineStr">
        <is>
          <t>問27-3</t>
        </is>
      </c>
      <c r="B291" s="5" t="inlineStr"/>
      <c r="C291" s="5" t="inlineStr">
        <is>
          <t>利用したいサービスは特にない</t>
        </is>
      </c>
      <c r="D291" s="30" t="n">
        <v>10</v>
      </c>
      <c r="E291" s="30" t="n">
        <v>0</v>
      </c>
      <c r="F291" s="30" t="n">
        <v>2</v>
      </c>
      <c r="G291" s="20">
        <f>IF(D$5=0,0,D291/D$5)</f>
        <v>0.344827586206897</v>
      </c>
      <c r="H291" s="20">
        <f>IF(E$5=0,0,E291/E$5)</f>
        <v>0</v>
      </c>
      <c r="I291" s="20">
        <f>IF(F$5=0,0,F291/F$5)</f>
        <v>0.333333333333333</v>
      </c>
    </row>
    <row r="292">
      <c r="A292" s="4" t="inlineStr">
        <is>
          <t>問27-3</t>
        </is>
      </c>
      <c r="B292" s="5" t="inlineStr"/>
      <c r="C292" s="5" t="inlineStr">
        <is>
          <t>無回答</t>
        </is>
      </c>
      <c r="D292" s="30" t="n">
        <v>8</v>
      </c>
      <c r="E292" s="30" t="n">
        <v>0</v>
      </c>
      <c r="F292" s="30" t="n">
        <v>1</v>
      </c>
      <c r="G292" s="20">
        <f>IF(D$5=0,0,D292/D$5)</f>
        <v>0.275862068965517</v>
      </c>
      <c r="H292" s="20">
        <f>IF(E$5=0,0,E292/E$5)</f>
        <v>0</v>
      </c>
      <c r="I292" s="20">
        <f>IF(F$5=0,0,F292/F$5)</f>
        <v>0.166666666666667</v>
      </c>
    </row>
    <row r="293">
      <c r="A293" s="4" t="inlineStr">
        <is>
          <t>問28</t>
        </is>
      </c>
      <c r="B293" s="5" t="inlineStr">
        <is>
          <t>サービスを利用したいが利用できない理由は何ですか（あてはまるものすべて）</t>
        </is>
      </c>
      <c r="C293" s="5" t="inlineStr">
        <is>
          <t>近くに事業所がない</t>
        </is>
      </c>
      <c r="D293" s="30" t="n">
        <v>1</v>
      </c>
      <c r="E293" s="30" t="n">
        <v>0</v>
      </c>
      <c r="F293" s="30" t="n">
        <v>2</v>
      </c>
      <c r="G293" s="20">
        <f>IF(D$5=0,0,D293/D$5)</f>
        <v>0.0344827586206897</v>
      </c>
      <c r="H293" s="20">
        <f>IF(E$5=0,0,E293/E$5)</f>
        <v>0</v>
      </c>
      <c r="I293" s="20">
        <f>IF(F$5=0,0,F293/F$5)</f>
        <v>0.333333333333333</v>
      </c>
    </row>
    <row r="294">
      <c r="A294" s="4" t="inlineStr">
        <is>
          <t>問28</t>
        </is>
      </c>
      <c r="B294" s="5" t="inlineStr"/>
      <c r="C294" s="5" t="inlineStr">
        <is>
          <t>空きがない</t>
        </is>
      </c>
      <c r="D294" s="30" t="n">
        <v>1</v>
      </c>
      <c r="E294" s="30" t="n">
        <v>0</v>
      </c>
      <c r="F294" s="30" t="n">
        <v>0</v>
      </c>
      <c r="G294" s="20">
        <f>IF(D$5=0,0,D294/D$5)</f>
        <v>0.0344827586206897</v>
      </c>
      <c r="H294" s="20">
        <f>IF(E$5=0,0,E294/E$5)</f>
        <v>0</v>
      </c>
      <c r="I294" s="20">
        <f>IF(F$5=0,0,F294/F$5)</f>
        <v>0</v>
      </c>
    </row>
    <row r="295">
      <c r="A295" s="4" t="inlineStr">
        <is>
          <t>問28</t>
        </is>
      </c>
      <c r="B295" s="5" t="inlineStr"/>
      <c r="C295" s="5" t="inlineStr">
        <is>
          <t>送迎がない</t>
        </is>
      </c>
      <c r="D295" s="30" t="n">
        <v>0</v>
      </c>
      <c r="E295" s="30" t="n">
        <v>0</v>
      </c>
      <c r="F295" s="30" t="n">
        <v>1</v>
      </c>
      <c r="G295" s="20">
        <f>IF(D$5=0,0,D295/D$5)</f>
        <v>0</v>
      </c>
      <c r="H295" s="20">
        <f>IF(E$5=0,0,E295/E$5)</f>
        <v>0</v>
      </c>
      <c r="I295" s="20">
        <f>IF(F$5=0,0,F295/F$5)</f>
        <v>0.166666666666667</v>
      </c>
    </row>
    <row r="296">
      <c r="A296" s="4" t="inlineStr">
        <is>
          <t>問28</t>
        </is>
      </c>
      <c r="B296" s="5" t="inlineStr"/>
      <c r="C296" s="5" t="inlineStr">
        <is>
          <t>利用方法がわからない</t>
        </is>
      </c>
      <c r="D296" s="30" t="n">
        <v>1</v>
      </c>
      <c r="E296" s="30" t="n">
        <v>1</v>
      </c>
      <c r="F296" s="30" t="n">
        <v>1</v>
      </c>
      <c r="G296" s="20">
        <f>IF(D$5=0,0,D296/D$5)</f>
        <v>0.0344827586206897</v>
      </c>
      <c r="H296" s="20">
        <f>IF(E$5=0,0,E296/E$5)</f>
        <v>0.5</v>
      </c>
      <c r="I296" s="20">
        <f>IF(F$5=0,0,F296/F$5)</f>
        <v>0.166666666666667</v>
      </c>
    </row>
    <row r="297">
      <c r="A297" s="4" t="inlineStr">
        <is>
          <t>問28</t>
        </is>
      </c>
      <c r="B297" s="5" t="inlineStr"/>
      <c r="C297" s="5" t="inlineStr">
        <is>
          <t>費用が心配</t>
        </is>
      </c>
      <c r="D297" s="30" t="n">
        <v>2</v>
      </c>
      <c r="E297" s="30" t="n">
        <v>0</v>
      </c>
      <c r="F297" s="30" t="n">
        <v>2</v>
      </c>
      <c r="G297" s="20">
        <f>IF(D$5=0,0,D297/D$5)</f>
        <v>0.0689655172413793</v>
      </c>
      <c r="H297" s="20">
        <f>IF(E$5=0,0,E297/E$5)</f>
        <v>0</v>
      </c>
      <c r="I297" s="20">
        <f>IF(F$5=0,0,F297/F$5)</f>
        <v>0.333333333333333</v>
      </c>
    </row>
    <row r="298">
      <c r="A298" s="4" t="inlineStr">
        <is>
          <t>問28</t>
        </is>
      </c>
      <c r="B298" s="5" t="inlineStr"/>
      <c r="C298" s="5" t="inlineStr">
        <is>
          <t>本人に合うサービスがない</t>
        </is>
      </c>
      <c r="D298" s="30" t="n">
        <v>1</v>
      </c>
      <c r="E298" s="30" t="n">
        <v>0</v>
      </c>
      <c r="F298" s="30" t="n">
        <v>0</v>
      </c>
      <c r="G298" s="20">
        <f>IF(D$5=0,0,D298/D$5)</f>
        <v>0.0344827586206897</v>
      </c>
      <c r="H298" s="20">
        <f>IF(E$5=0,0,E298/E$5)</f>
        <v>0</v>
      </c>
      <c r="I298" s="20">
        <f>IF(F$5=0,0,F298/F$5)</f>
        <v>0</v>
      </c>
    </row>
    <row r="299">
      <c r="A299" s="4" t="inlineStr">
        <is>
          <t>問28</t>
        </is>
      </c>
      <c r="B299" s="5" t="inlineStr"/>
      <c r="C299" s="5" t="inlineStr">
        <is>
          <t>家族が対応している</t>
        </is>
      </c>
      <c r="D299" s="30" t="n">
        <v>4</v>
      </c>
      <c r="E299" s="30" t="n">
        <v>1</v>
      </c>
      <c r="F299" s="30" t="n">
        <v>0</v>
      </c>
      <c r="G299" s="20">
        <f>IF(D$5=0,0,D299/D$5)</f>
        <v>0.137931034482759</v>
      </c>
      <c r="H299" s="20">
        <f>IF(E$5=0,0,E299/E$5)</f>
        <v>0.5</v>
      </c>
      <c r="I299" s="20">
        <f>IF(F$5=0,0,F299/F$5)</f>
        <v>0</v>
      </c>
    </row>
    <row r="300">
      <c r="A300" s="4" t="inlineStr">
        <is>
          <t>問28</t>
        </is>
      </c>
      <c r="B300" s="5" t="inlineStr"/>
      <c r="C300" s="5" t="inlineStr">
        <is>
          <t>必要性を感じない</t>
        </is>
      </c>
      <c r="D300" s="30" t="n">
        <v>9</v>
      </c>
      <c r="E300" s="30" t="n">
        <v>1</v>
      </c>
      <c r="F300" s="30" t="n">
        <v>2</v>
      </c>
      <c r="G300" s="20">
        <f>IF(D$5=0,0,D300/D$5)</f>
        <v>0.310344827586207</v>
      </c>
      <c r="H300" s="20">
        <f>IF(E$5=0,0,E300/E$5)</f>
        <v>0.5</v>
      </c>
      <c r="I300" s="20">
        <f>IF(F$5=0,0,F300/F$5)</f>
        <v>0.333333333333333</v>
      </c>
    </row>
    <row r="301">
      <c r="A301" s="4" t="inlineStr">
        <is>
          <t>問28</t>
        </is>
      </c>
      <c r="B301" s="5" t="inlineStr"/>
      <c r="C301" s="5" t="inlineStr">
        <is>
          <t>その他</t>
        </is>
      </c>
      <c r="D301" s="30" t="n">
        <v>1</v>
      </c>
      <c r="E301" s="30" t="n">
        <v>0</v>
      </c>
      <c r="F301" s="30" t="n">
        <v>0</v>
      </c>
      <c r="G301" s="20">
        <f>IF(D$5=0,0,D301/D$5)</f>
        <v>0.0344827586206897</v>
      </c>
      <c r="H301" s="20">
        <f>IF(E$5=0,0,E301/E$5)</f>
        <v>0</v>
      </c>
      <c r="I301" s="20">
        <f>IF(F$5=0,0,F301/F$5)</f>
        <v>0</v>
      </c>
    </row>
    <row r="302">
      <c r="A302" s="4" t="inlineStr">
        <is>
          <t>問28</t>
        </is>
      </c>
      <c r="B302" s="5" t="inlineStr"/>
      <c r="C302" s="5" t="inlineStr">
        <is>
          <t>無回答</t>
        </is>
      </c>
      <c r="D302" s="30" t="n">
        <v>12</v>
      </c>
      <c r="E302" s="30" t="n">
        <v>0</v>
      </c>
      <c r="F302" s="30" t="n">
        <v>0</v>
      </c>
      <c r="G302" s="20">
        <f>IF(D$5=0,0,D302/D$5)</f>
        <v>0.413793103448276</v>
      </c>
      <c r="H302" s="20">
        <f>IF(E$5=0,0,E302/E$5)</f>
        <v>0</v>
      </c>
      <c r="I302" s="20">
        <f>IF(F$5=0,0,F302/F$5)</f>
        <v>0</v>
      </c>
    </row>
    <row r="303">
      <c r="A303" s="4" t="inlineStr">
        <is>
          <t>問29</t>
        </is>
      </c>
      <c r="B303" s="5" t="inlineStr">
        <is>
          <t>緊急時の相談や短期入所など支援を行う地域生活支援拠点について期待する機能は何ですか（あてはまるものすべて）</t>
        </is>
      </c>
      <c r="C303" s="5" t="inlineStr">
        <is>
          <t>緊急時の相談</t>
        </is>
      </c>
      <c r="D303" s="30" t="n">
        <v>10</v>
      </c>
      <c r="E303" s="30" t="n">
        <v>0</v>
      </c>
      <c r="F303" s="30" t="n">
        <v>2</v>
      </c>
      <c r="G303" s="20">
        <f>IF(D$5=0,0,D303/D$5)</f>
        <v>0.344827586206897</v>
      </c>
      <c r="H303" s="20">
        <f>IF(E$5=0,0,E303/E$5)</f>
        <v>0</v>
      </c>
      <c r="I303" s="20">
        <f>IF(F$5=0,0,F303/F$5)</f>
        <v>0.333333333333333</v>
      </c>
    </row>
    <row r="304">
      <c r="A304" s="4" t="inlineStr">
        <is>
          <t>問29</t>
        </is>
      </c>
      <c r="B304" s="5" t="inlineStr"/>
      <c r="C304" s="5" t="inlineStr">
        <is>
          <t>緊急時の受入れ</t>
        </is>
      </c>
      <c r="D304" s="30" t="n">
        <v>10</v>
      </c>
      <c r="E304" s="30" t="n">
        <v>1</v>
      </c>
      <c r="F304" s="30" t="n">
        <v>2</v>
      </c>
      <c r="G304" s="20">
        <f>IF(D$5=0,0,D304/D$5)</f>
        <v>0.344827586206897</v>
      </c>
      <c r="H304" s="20">
        <f>IF(E$5=0,0,E304/E$5)</f>
        <v>0.5</v>
      </c>
      <c r="I304" s="20">
        <f>IF(F$5=0,0,F304/F$5)</f>
        <v>0.333333333333333</v>
      </c>
    </row>
    <row r="305">
      <c r="A305" s="4" t="inlineStr">
        <is>
          <t>問29</t>
        </is>
      </c>
      <c r="B305" s="5" t="inlineStr"/>
      <c r="C305" s="5" t="inlineStr">
        <is>
          <t>短期入所の確保</t>
        </is>
      </c>
      <c r="D305" s="30" t="n">
        <v>3</v>
      </c>
      <c r="E305" s="30" t="n">
        <v>0</v>
      </c>
      <c r="F305" s="30" t="n">
        <v>0</v>
      </c>
      <c r="G305" s="20">
        <f>IF(D$5=0,0,D305/D$5)</f>
        <v>0.103448275862069</v>
      </c>
      <c r="H305" s="20">
        <f>IF(E$5=0,0,E305/E$5)</f>
        <v>0</v>
      </c>
      <c r="I305" s="20">
        <f>IF(F$5=0,0,F305/F$5)</f>
        <v>0</v>
      </c>
    </row>
    <row r="306">
      <c r="A306" s="4" t="inlineStr">
        <is>
          <t>問29</t>
        </is>
      </c>
      <c r="B306" s="5" t="inlineStr"/>
      <c r="C306" s="5" t="inlineStr">
        <is>
          <t>一人暮らし・グループホーム体験</t>
        </is>
      </c>
      <c r="D306" s="30" t="n">
        <v>1</v>
      </c>
      <c r="E306" s="30" t="n">
        <v>0</v>
      </c>
      <c r="F306" s="30" t="n">
        <v>0</v>
      </c>
      <c r="G306" s="20">
        <f>IF(D$5=0,0,D306/D$5)</f>
        <v>0.0344827586206897</v>
      </c>
      <c r="H306" s="20">
        <f>IF(E$5=0,0,E306/E$5)</f>
        <v>0</v>
      </c>
      <c r="I306" s="20">
        <f>IF(F$5=0,0,F306/F$5)</f>
        <v>0</v>
      </c>
    </row>
    <row r="307">
      <c r="A307" s="4" t="inlineStr">
        <is>
          <t>問29</t>
        </is>
      </c>
      <c r="B307" s="5" t="inlineStr"/>
      <c r="C307" s="5" t="inlineStr">
        <is>
          <t>専門的人材の確保</t>
        </is>
      </c>
      <c r="D307" s="30" t="n">
        <v>3</v>
      </c>
      <c r="E307" s="30" t="n">
        <v>0</v>
      </c>
      <c r="F307" s="30" t="n">
        <v>1</v>
      </c>
      <c r="G307" s="20">
        <f>IF(D$5=0,0,D307/D$5)</f>
        <v>0.103448275862069</v>
      </c>
      <c r="H307" s="20">
        <f>IF(E$5=0,0,E307/E$5)</f>
        <v>0</v>
      </c>
      <c r="I307" s="20">
        <f>IF(F$5=0,0,F307/F$5)</f>
        <v>0.166666666666667</v>
      </c>
    </row>
    <row r="308">
      <c r="A308" s="4" t="inlineStr">
        <is>
          <t>問29</t>
        </is>
      </c>
      <c r="B308" s="5" t="inlineStr"/>
      <c r="C308" s="5" t="inlineStr">
        <is>
          <t>地域の事業所との連携</t>
        </is>
      </c>
      <c r="D308" s="30" t="n">
        <v>5</v>
      </c>
      <c r="E308" s="30" t="n">
        <v>0</v>
      </c>
      <c r="F308" s="30" t="n">
        <v>2</v>
      </c>
      <c r="G308" s="20">
        <f>IF(D$5=0,0,D308/D$5)</f>
        <v>0.172413793103448</v>
      </c>
      <c r="H308" s="20">
        <f>IF(E$5=0,0,E308/E$5)</f>
        <v>0</v>
      </c>
      <c r="I308" s="20">
        <f>IF(F$5=0,0,F308/F$5)</f>
        <v>0.333333333333333</v>
      </c>
    </row>
    <row r="309">
      <c r="A309" s="4" t="inlineStr">
        <is>
          <t>問29</t>
        </is>
      </c>
      <c r="B309" s="5" t="inlineStr"/>
      <c r="C309" s="5" t="inlineStr">
        <is>
          <t>制度を知らない</t>
        </is>
      </c>
      <c r="D309" s="30" t="n">
        <v>4</v>
      </c>
      <c r="E309" s="30" t="n">
        <v>1</v>
      </c>
      <c r="F309" s="30" t="n">
        <v>2</v>
      </c>
      <c r="G309" s="20">
        <f>IF(D$5=0,0,D309/D$5)</f>
        <v>0.137931034482759</v>
      </c>
      <c r="H309" s="20">
        <f>IF(E$5=0,0,E309/E$5)</f>
        <v>0.5</v>
      </c>
      <c r="I309" s="20">
        <f>IF(F$5=0,0,F309/F$5)</f>
        <v>0.333333333333333</v>
      </c>
    </row>
    <row r="310">
      <c r="A310" s="4" t="inlineStr">
        <is>
          <t>問29</t>
        </is>
      </c>
      <c r="B310" s="5" t="inlineStr"/>
      <c r="C310" s="5" t="inlineStr">
        <is>
          <t>特にない</t>
        </is>
      </c>
      <c r="D310" s="30" t="n">
        <v>5</v>
      </c>
      <c r="E310" s="30" t="n">
        <v>0</v>
      </c>
      <c r="F310" s="30" t="n">
        <v>0</v>
      </c>
      <c r="G310" s="20">
        <f>IF(D$5=0,0,D310/D$5)</f>
        <v>0.172413793103448</v>
      </c>
      <c r="H310" s="20">
        <f>IF(E$5=0,0,E310/E$5)</f>
        <v>0</v>
      </c>
      <c r="I310" s="20">
        <f>IF(F$5=0,0,F310/F$5)</f>
        <v>0</v>
      </c>
    </row>
    <row r="311">
      <c r="A311" s="4" t="inlineStr">
        <is>
          <t>問29</t>
        </is>
      </c>
      <c r="B311" s="5" t="inlineStr"/>
      <c r="C311" s="5" t="inlineStr">
        <is>
          <t>その他</t>
        </is>
      </c>
      <c r="D311" s="30" t="n">
        <v>0</v>
      </c>
      <c r="E311" s="30" t="n">
        <v>0</v>
      </c>
      <c r="F311" s="30" t="n">
        <v>0</v>
      </c>
      <c r="G311" s="20">
        <f>IF(D$5=0,0,D311/D$5)</f>
        <v>0</v>
      </c>
      <c r="H311" s="20">
        <f>IF(E$5=0,0,E311/E$5)</f>
        <v>0</v>
      </c>
      <c r="I311" s="20">
        <f>IF(F$5=0,0,F311/F$5)</f>
        <v>0</v>
      </c>
    </row>
    <row r="312">
      <c r="A312" s="4" t="inlineStr">
        <is>
          <t>問29</t>
        </is>
      </c>
      <c r="B312" s="5" t="inlineStr"/>
      <c r="C312" s="5" t="inlineStr">
        <is>
          <t>無回答</t>
        </is>
      </c>
      <c r="D312" s="30" t="n">
        <v>5</v>
      </c>
      <c r="E312" s="30" t="n">
        <v>0</v>
      </c>
      <c r="F312" s="30" t="n">
        <v>1</v>
      </c>
      <c r="G312" s="20">
        <f>IF(D$5=0,0,D312/D$5)</f>
        <v>0.172413793103448</v>
      </c>
      <c r="H312" s="20">
        <f>IF(E$5=0,0,E312/E$5)</f>
        <v>0</v>
      </c>
      <c r="I312" s="20">
        <f>IF(F$5=0,0,F312/F$5)</f>
        <v>0.166666666666667</v>
      </c>
    </row>
    <row r="313">
      <c r="A313" s="4" t="inlineStr">
        <is>
          <t>問30</t>
        </is>
      </c>
      <c r="B313" s="5" t="inlineStr">
        <is>
          <t>今利用している福祉サービスに満足していますか</t>
        </is>
      </c>
      <c r="C313" s="5" t="inlineStr">
        <is>
          <t>満足している</t>
        </is>
      </c>
      <c r="D313" s="30" t="n">
        <v>10</v>
      </c>
      <c r="E313" s="30" t="n">
        <v>2</v>
      </c>
      <c r="F313" s="30" t="n">
        <v>2</v>
      </c>
      <c r="G313" s="20">
        <f>IF(D$5=0,0,D313/D$5)</f>
        <v>0.344827586206897</v>
      </c>
      <c r="H313" s="20">
        <f>IF(E$5=0,0,E313/E$5)</f>
        <v>1</v>
      </c>
      <c r="I313" s="20">
        <f>IF(F$5=0,0,F313/F$5)</f>
        <v>0.333333333333333</v>
      </c>
    </row>
    <row r="314">
      <c r="A314" s="4" t="inlineStr">
        <is>
          <t>問30</t>
        </is>
      </c>
      <c r="B314" s="5" t="inlineStr"/>
      <c r="C314" s="5" t="inlineStr">
        <is>
          <t>適切なサービスがわからない</t>
        </is>
      </c>
      <c r="D314" s="30" t="n">
        <v>2</v>
      </c>
      <c r="E314" s="30" t="n">
        <v>0</v>
      </c>
      <c r="F314" s="30" t="n">
        <v>1</v>
      </c>
      <c r="G314" s="20">
        <f>IF(D$5=0,0,D314/D$5)</f>
        <v>0.0689655172413793</v>
      </c>
      <c r="H314" s="20">
        <f>IF(E$5=0,0,E314/E$5)</f>
        <v>0</v>
      </c>
      <c r="I314" s="20">
        <f>IF(F$5=0,0,F314/F$5)</f>
        <v>0.166666666666667</v>
      </c>
    </row>
    <row r="315">
      <c r="A315" s="4" t="inlineStr">
        <is>
          <t>問30</t>
        </is>
      </c>
      <c r="B315" s="5" t="inlineStr"/>
      <c r="C315" s="5" t="inlineStr">
        <is>
          <t>サービスの量が足りない</t>
        </is>
      </c>
      <c r="D315" s="30" t="n">
        <v>1</v>
      </c>
      <c r="E315" s="30" t="n">
        <v>0</v>
      </c>
      <c r="F315" s="30" t="n">
        <v>0</v>
      </c>
      <c r="G315" s="20">
        <f>IF(D$5=0,0,D315/D$5)</f>
        <v>0.0344827586206897</v>
      </c>
      <c r="H315" s="20">
        <f>IF(E$5=0,0,E315/E$5)</f>
        <v>0</v>
      </c>
      <c r="I315" s="20">
        <f>IF(F$5=0,0,F315/F$5)</f>
        <v>0</v>
      </c>
    </row>
    <row r="316">
      <c r="A316" s="4" t="inlineStr">
        <is>
          <t>問30</t>
        </is>
      </c>
      <c r="B316" s="5" t="inlineStr"/>
      <c r="C316" s="5" t="inlineStr">
        <is>
          <t>サービスの質がよくない</t>
        </is>
      </c>
      <c r="D316" s="30" t="n">
        <v>0</v>
      </c>
      <c r="E316" s="30" t="n">
        <v>0</v>
      </c>
      <c r="F316" s="30" t="n">
        <v>0</v>
      </c>
      <c r="G316" s="20">
        <f>IF(D$5=0,0,D316/D$5)</f>
        <v>0</v>
      </c>
      <c r="H316" s="20">
        <f>IF(E$5=0,0,E316/E$5)</f>
        <v>0</v>
      </c>
      <c r="I316" s="20">
        <f>IF(F$5=0,0,F316/F$5)</f>
        <v>0</v>
      </c>
    </row>
    <row r="317">
      <c r="A317" s="4" t="inlineStr">
        <is>
          <t>問30</t>
        </is>
      </c>
      <c r="B317" s="5" t="inlineStr"/>
      <c r="C317" s="5" t="inlineStr">
        <is>
          <t>利用できる事業所が少ない</t>
        </is>
      </c>
      <c r="D317" s="30" t="n">
        <v>1</v>
      </c>
      <c r="E317" s="30" t="n">
        <v>0</v>
      </c>
      <c r="F317" s="30" t="n">
        <v>0</v>
      </c>
      <c r="G317" s="20">
        <f>IF(D$5=0,0,D317/D$5)</f>
        <v>0.0344827586206897</v>
      </c>
      <c r="H317" s="20">
        <f>IF(E$5=0,0,E317/E$5)</f>
        <v>0</v>
      </c>
      <c r="I317" s="20">
        <f>IF(F$5=0,0,F317/F$5)</f>
        <v>0</v>
      </c>
    </row>
    <row r="318">
      <c r="A318" s="4" t="inlineStr">
        <is>
          <t>問30</t>
        </is>
      </c>
      <c r="B318" s="5" t="inlineStr"/>
      <c r="C318" s="5" t="inlineStr">
        <is>
          <t>サービスの使い方がわからない</t>
        </is>
      </c>
      <c r="D318" s="30" t="n">
        <v>2</v>
      </c>
      <c r="E318" s="30" t="n">
        <v>0</v>
      </c>
      <c r="F318" s="30" t="n">
        <v>1</v>
      </c>
      <c r="G318" s="20">
        <f>IF(D$5=0,0,D318/D$5)</f>
        <v>0.0689655172413793</v>
      </c>
      <c r="H318" s="20">
        <f>IF(E$5=0,0,E318/E$5)</f>
        <v>0</v>
      </c>
      <c r="I318" s="20">
        <f>IF(F$5=0,0,F318/F$5)</f>
        <v>0.166666666666667</v>
      </c>
    </row>
    <row r="319">
      <c r="A319" s="4" t="inlineStr">
        <is>
          <t>問30</t>
        </is>
      </c>
      <c r="B319" s="5" t="inlineStr"/>
      <c r="C319" s="5" t="inlineStr">
        <is>
          <t>利用していない</t>
        </is>
      </c>
      <c r="D319" s="30" t="n">
        <v>9</v>
      </c>
      <c r="E319" s="30" t="n">
        <v>0</v>
      </c>
      <c r="F319" s="30" t="n">
        <v>1</v>
      </c>
      <c r="G319" s="20">
        <f>IF(D$5=0,0,D319/D$5)</f>
        <v>0.310344827586207</v>
      </c>
      <c r="H319" s="20">
        <f>IF(E$5=0,0,E319/E$5)</f>
        <v>0</v>
      </c>
      <c r="I319" s="20">
        <f>IF(F$5=0,0,F319/F$5)</f>
        <v>0.166666666666667</v>
      </c>
    </row>
    <row r="320">
      <c r="A320" s="4" t="inlineStr">
        <is>
          <t>問30</t>
        </is>
      </c>
      <c r="B320" s="5" t="inlineStr"/>
      <c r="C320" s="5" t="inlineStr">
        <is>
          <t>無回答</t>
        </is>
      </c>
      <c r="D320" s="30" t="n">
        <v>4</v>
      </c>
      <c r="E320" s="30" t="n">
        <v>0</v>
      </c>
      <c r="F320" s="30" t="n">
        <v>1</v>
      </c>
      <c r="G320" s="20">
        <f>IF(D$5=0,0,D320/D$5)</f>
        <v>0.137931034482759</v>
      </c>
      <c r="H320" s="20">
        <f>IF(E$5=0,0,E320/E$5)</f>
        <v>0</v>
      </c>
      <c r="I320" s="20">
        <f>IF(F$5=0,0,F320/F$5)</f>
        <v>0.166666666666667</v>
      </c>
    </row>
    <row r="321">
      <c r="A321" s="4" t="inlineStr">
        <is>
          <t>問31</t>
        </is>
      </c>
      <c r="B321" s="5" t="inlineStr">
        <is>
          <t>現在の日中の過ごし方を教えてください</t>
        </is>
      </c>
      <c r="C321" s="5" t="inlineStr">
        <is>
          <t>一般企業等で働いている</t>
        </is>
      </c>
      <c r="D321" s="30" t="n">
        <v>2</v>
      </c>
      <c r="E321" s="30" t="n">
        <v>0</v>
      </c>
      <c r="F321" s="30" t="n">
        <v>0</v>
      </c>
      <c r="G321" s="20">
        <f>IF(D$5=0,0,D321/D$5)</f>
        <v>0.0689655172413793</v>
      </c>
      <c r="H321" s="20">
        <f>IF(E$5=0,0,E321/E$5)</f>
        <v>0</v>
      </c>
      <c r="I321" s="20">
        <f>IF(F$5=0,0,F321/F$5)</f>
        <v>0</v>
      </c>
    </row>
    <row r="322">
      <c r="A322" s="4" t="inlineStr">
        <is>
          <t>問31</t>
        </is>
      </c>
      <c r="B322" s="5" t="inlineStr"/>
      <c r="C322" s="5" t="inlineStr">
        <is>
          <t>自営業・農業等をしている</t>
        </is>
      </c>
      <c r="D322" s="30" t="n">
        <v>3</v>
      </c>
      <c r="E322" s="30" t="n">
        <v>0</v>
      </c>
      <c r="F322" s="30" t="n">
        <v>0</v>
      </c>
      <c r="G322" s="20">
        <f>IF(D$5=0,0,D322/D$5)</f>
        <v>0.103448275862069</v>
      </c>
      <c r="H322" s="20">
        <f>IF(E$5=0,0,E322/E$5)</f>
        <v>0</v>
      </c>
      <c r="I322" s="20">
        <f>IF(F$5=0,0,F322/F$5)</f>
        <v>0</v>
      </c>
    </row>
    <row r="323">
      <c r="A323" s="4" t="inlineStr">
        <is>
          <t>問31</t>
        </is>
      </c>
      <c r="B323" s="5" t="inlineStr"/>
      <c r="C323" s="5" t="inlineStr">
        <is>
          <t>就労継続支援A型を利用</t>
        </is>
      </c>
      <c r="D323" s="30" t="n">
        <v>0</v>
      </c>
      <c r="E323" s="30" t="n">
        <v>0</v>
      </c>
      <c r="F323" s="30" t="n">
        <v>0</v>
      </c>
      <c r="G323" s="20">
        <f>IF(D$5=0,0,D323/D$5)</f>
        <v>0</v>
      </c>
      <c r="H323" s="20">
        <f>IF(E$5=0,0,E323/E$5)</f>
        <v>0</v>
      </c>
      <c r="I323" s="20">
        <f>IF(F$5=0,0,F323/F$5)</f>
        <v>0</v>
      </c>
    </row>
    <row r="324">
      <c r="A324" s="4" t="inlineStr">
        <is>
          <t>問31</t>
        </is>
      </c>
      <c r="B324" s="5" t="inlineStr"/>
      <c r="C324" s="5" t="inlineStr">
        <is>
          <t>就労継続支援B型を利用</t>
        </is>
      </c>
      <c r="D324" s="30" t="n">
        <v>1</v>
      </c>
      <c r="E324" s="30" t="n">
        <v>0</v>
      </c>
      <c r="F324" s="30" t="n">
        <v>1</v>
      </c>
      <c r="G324" s="20">
        <f>IF(D$5=0,0,D324/D$5)</f>
        <v>0.0344827586206897</v>
      </c>
      <c r="H324" s="20">
        <f>IF(E$5=0,0,E324/E$5)</f>
        <v>0</v>
      </c>
      <c r="I324" s="20">
        <f>IF(F$5=0,0,F324/F$5)</f>
        <v>0.166666666666667</v>
      </c>
    </row>
    <row r="325">
      <c r="A325" s="4" t="inlineStr">
        <is>
          <t>問31</t>
        </is>
      </c>
      <c r="B325" s="5" t="inlineStr"/>
      <c r="C325" s="5" t="inlineStr">
        <is>
          <t>生活介護を利用</t>
        </is>
      </c>
      <c r="D325" s="30" t="n">
        <v>1</v>
      </c>
      <c r="E325" s="30" t="n">
        <v>1</v>
      </c>
      <c r="F325" s="30" t="n">
        <v>0</v>
      </c>
      <c r="G325" s="20">
        <f>IF(D$5=0,0,D325/D$5)</f>
        <v>0.0344827586206897</v>
      </c>
      <c r="H325" s="20">
        <f>IF(E$5=0,0,E325/E$5)</f>
        <v>0.5</v>
      </c>
      <c r="I325" s="20">
        <f>IF(F$5=0,0,F325/F$5)</f>
        <v>0</v>
      </c>
    </row>
    <row r="326">
      <c r="A326" s="4" t="inlineStr">
        <is>
          <t>問31</t>
        </is>
      </c>
      <c r="B326" s="5" t="inlineStr"/>
      <c r="C326" s="5" t="inlineStr">
        <is>
          <t>学校に通っている</t>
        </is>
      </c>
      <c r="D326" s="30" t="n">
        <v>0</v>
      </c>
      <c r="E326" s="30" t="n">
        <v>0</v>
      </c>
      <c r="F326" s="30" t="n">
        <v>0</v>
      </c>
      <c r="G326" s="20">
        <f>IF(D$5=0,0,D326/D$5)</f>
        <v>0</v>
      </c>
      <c r="H326" s="20">
        <f>IF(E$5=0,0,E326/E$5)</f>
        <v>0</v>
      </c>
      <c r="I326" s="20">
        <f>IF(F$5=0,0,F326/F$5)</f>
        <v>0</v>
      </c>
    </row>
    <row r="327">
      <c r="A327" s="4" t="inlineStr">
        <is>
          <t>問31</t>
        </is>
      </c>
      <c r="B327" s="5" t="inlineStr"/>
      <c r="C327" s="5" t="inlineStr">
        <is>
          <t>自宅で過ごすことが多い</t>
        </is>
      </c>
      <c r="D327" s="30" t="n">
        <v>10</v>
      </c>
      <c r="E327" s="30" t="n">
        <v>0</v>
      </c>
      <c r="F327" s="30" t="n">
        <v>3</v>
      </c>
      <c r="G327" s="20">
        <f>IF(D$5=0,0,D327/D$5)</f>
        <v>0.344827586206897</v>
      </c>
      <c r="H327" s="20">
        <f>IF(E$5=0,0,E327/E$5)</f>
        <v>0</v>
      </c>
      <c r="I327" s="20">
        <f>IF(F$5=0,0,F327/F$5)</f>
        <v>0.5</v>
      </c>
    </row>
    <row r="328">
      <c r="A328" s="4" t="inlineStr">
        <is>
          <t>問31</t>
        </is>
      </c>
      <c r="B328" s="5" t="inlineStr"/>
      <c r="C328" s="5" t="inlineStr">
        <is>
          <t>入院・入所中</t>
        </is>
      </c>
      <c r="D328" s="30" t="n">
        <v>4</v>
      </c>
      <c r="E328" s="30" t="n">
        <v>1</v>
      </c>
      <c r="F328" s="30" t="n">
        <v>1</v>
      </c>
      <c r="G328" s="20">
        <f>IF(D$5=0,0,D328/D$5)</f>
        <v>0.137931034482759</v>
      </c>
      <c r="H328" s="20">
        <f>IF(E$5=0,0,E328/E$5)</f>
        <v>0.5</v>
      </c>
      <c r="I328" s="20">
        <f>IF(F$5=0,0,F328/F$5)</f>
        <v>0.166666666666667</v>
      </c>
    </row>
    <row r="329">
      <c r="A329" s="4" t="inlineStr">
        <is>
          <t>問31</t>
        </is>
      </c>
      <c r="B329" s="5" t="inlineStr"/>
      <c r="C329" s="5" t="inlineStr">
        <is>
          <t>その他</t>
        </is>
      </c>
      <c r="D329" s="30" t="n">
        <v>4</v>
      </c>
      <c r="E329" s="30" t="n">
        <v>0</v>
      </c>
      <c r="F329" s="30" t="n">
        <v>1</v>
      </c>
      <c r="G329" s="20">
        <f>IF(D$5=0,0,D329/D$5)</f>
        <v>0.137931034482759</v>
      </c>
      <c r="H329" s="20">
        <f>IF(E$5=0,0,E329/E$5)</f>
        <v>0</v>
      </c>
      <c r="I329" s="20">
        <f>IF(F$5=0,0,F329/F$5)</f>
        <v>0.166666666666667</v>
      </c>
    </row>
    <row r="330">
      <c r="A330" s="4" t="inlineStr">
        <is>
          <t>問31</t>
        </is>
      </c>
      <c r="B330" s="5" t="inlineStr"/>
      <c r="C330" s="5" t="inlineStr">
        <is>
          <t>無回答</t>
        </is>
      </c>
      <c r="D330" s="30" t="n">
        <v>4</v>
      </c>
      <c r="E330" s="30" t="n">
        <v>0</v>
      </c>
      <c r="F330" s="30" t="n">
        <v>0</v>
      </c>
      <c r="G330" s="20">
        <f>IF(D$5=0,0,D330/D$5)</f>
        <v>0.137931034482759</v>
      </c>
      <c r="H330" s="20">
        <f>IF(E$5=0,0,E330/E$5)</f>
        <v>0</v>
      </c>
      <c r="I330" s="20">
        <f>IF(F$5=0,0,F330/F$5)</f>
        <v>0</v>
      </c>
    </row>
    <row r="331">
      <c r="A331" s="4" t="inlineStr">
        <is>
          <t>問32</t>
        </is>
      </c>
      <c r="B331" s="5" t="inlineStr">
        <is>
          <t>今後希望する日中活動・働き方を教えてください</t>
        </is>
      </c>
      <c r="C331" s="5" t="inlineStr">
        <is>
          <t>一般企業等で働きたい</t>
        </is>
      </c>
      <c r="D331" s="30" t="n">
        <v>1</v>
      </c>
      <c r="E331" s="30" t="n">
        <v>0</v>
      </c>
      <c r="F331" s="30" t="n">
        <v>0</v>
      </c>
      <c r="G331" s="20">
        <f>IF(D$5=0,0,D331/D$5)</f>
        <v>0.0344827586206897</v>
      </c>
      <c r="H331" s="20">
        <f>IF(E$5=0,0,E331/E$5)</f>
        <v>0</v>
      </c>
      <c r="I331" s="20">
        <f>IF(F$5=0,0,F331/F$5)</f>
        <v>0</v>
      </c>
    </row>
    <row r="332">
      <c r="A332" s="4" t="inlineStr">
        <is>
          <t>問32</t>
        </is>
      </c>
      <c r="B332" s="5" t="inlineStr"/>
      <c r="C332" s="5" t="inlineStr">
        <is>
          <t>短時間・体調に合わせて働きたい</t>
        </is>
      </c>
      <c r="D332" s="30" t="n">
        <v>1</v>
      </c>
      <c r="E332" s="30" t="n">
        <v>0</v>
      </c>
      <c r="F332" s="30" t="n">
        <v>2</v>
      </c>
      <c r="G332" s="20">
        <f>IF(D$5=0,0,D332/D$5)</f>
        <v>0.0344827586206897</v>
      </c>
      <c r="H332" s="20">
        <f>IF(E$5=0,0,E332/E$5)</f>
        <v>0</v>
      </c>
      <c r="I332" s="20">
        <f>IF(F$5=0,0,F332/F$5)</f>
        <v>0.333333333333333</v>
      </c>
    </row>
    <row r="333">
      <c r="A333" s="4" t="inlineStr">
        <is>
          <t>問32</t>
        </is>
      </c>
      <c r="B333" s="5" t="inlineStr"/>
      <c r="C333" s="5" t="inlineStr">
        <is>
          <t>就労継続支援A型を利用したい</t>
        </is>
      </c>
      <c r="D333" s="30" t="n">
        <v>0</v>
      </c>
      <c r="E333" s="30" t="n">
        <v>0</v>
      </c>
      <c r="F333" s="30" t="n">
        <v>0</v>
      </c>
      <c r="G333" s="20">
        <f>IF(D$5=0,0,D333/D$5)</f>
        <v>0</v>
      </c>
      <c r="H333" s="20">
        <f>IF(E$5=0,0,E333/E$5)</f>
        <v>0</v>
      </c>
      <c r="I333" s="20">
        <f>IF(F$5=0,0,F333/F$5)</f>
        <v>0</v>
      </c>
    </row>
    <row r="334">
      <c r="A334" s="4" t="inlineStr">
        <is>
          <t>問32</t>
        </is>
      </c>
      <c r="B334" s="5" t="inlineStr"/>
      <c r="C334" s="5" t="inlineStr">
        <is>
          <t>就労継続支援B型を利用したい</t>
        </is>
      </c>
      <c r="D334" s="30" t="n">
        <v>1</v>
      </c>
      <c r="E334" s="30" t="n">
        <v>0</v>
      </c>
      <c r="F334" s="30" t="n">
        <v>0</v>
      </c>
      <c r="G334" s="20">
        <f>IF(D$5=0,0,D334/D$5)</f>
        <v>0.0344827586206897</v>
      </c>
      <c r="H334" s="20">
        <f>IF(E$5=0,0,E334/E$5)</f>
        <v>0</v>
      </c>
      <c r="I334" s="20">
        <f>IF(F$5=0,0,F334/F$5)</f>
        <v>0</v>
      </c>
    </row>
    <row r="335">
      <c r="A335" s="4" t="inlineStr">
        <is>
          <t>問32</t>
        </is>
      </c>
      <c r="B335" s="5" t="inlineStr"/>
      <c r="C335" s="5" t="inlineStr">
        <is>
          <t>生活介護を利用したい</t>
        </is>
      </c>
      <c r="D335" s="30" t="n">
        <v>1</v>
      </c>
      <c r="E335" s="30" t="n">
        <v>0</v>
      </c>
      <c r="F335" s="30" t="n">
        <v>0</v>
      </c>
      <c r="G335" s="20">
        <f>IF(D$5=0,0,D335/D$5)</f>
        <v>0.0344827586206897</v>
      </c>
      <c r="H335" s="20">
        <f>IF(E$5=0,0,E335/E$5)</f>
        <v>0</v>
      </c>
      <c r="I335" s="20">
        <f>IF(F$5=0,0,F335/F$5)</f>
        <v>0</v>
      </c>
    </row>
    <row r="336">
      <c r="A336" s="4" t="inlineStr">
        <is>
          <t>問32</t>
        </is>
      </c>
      <c r="B336" s="5" t="inlineStr"/>
      <c r="C336" s="5" t="inlineStr">
        <is>
          <t>訓練を受けたい</t>
        </is>
      </c>
      <c r="D336" s="30" t="n">
        <v>0</v>
      </c>
      <c r="E336" s="30" t="n">
        <v>0</v>
      </c>
      <c r="F336" s="30" t="n">
        <v>0</v>
      </c>
      <c r="G336" s="20">
        <f>IF(D$5=0,0,D336/D$5)</f>
        <v>0</v>
      </c>
      <c r="H336" s="20">
        <f>IF(E$5=0,0,E336/E$5)</f>
        <v>0</v>
      </c>
      <c r="I336" s="20">
        <f>IF(F$5=0,0,F336/F$5)</f>
        <v>0</v>
      </c>
    </row>
    <row r="337">
      <c r="A337" s="4" t="inlineStr">
        <is>
          <t>問32</t>
        </is>
      </c>
      <c r="B337" s="5" t="inlineStr"/>
      <c r="C337" s="5" t="inlineStr">
        <is>
          <t>今のままでよい</t>
        </is>
      </c>
      <c r="D337" s="30" t="n">
        <v>16</v>
      </c>
      <c r="E337" s="30" t="n">
        <v>2</v>
      </c>
      <c r="F337" s="30" t="n">
        <v>3</v>
      </c>
      <c r="G337" s="20">
        <f>IF(D$5=0,0,D337/D$5)</f>
        <v>0.551724137931035</v>
      </c>
      <c r="H337" s="20">
        <f>IF(E$5=0,0,E337/E$5)</f>
        <v>1</v>
      </c>
      <c r="I337" s="20">
        <f>IF(F$5=0,0,F337/F$5)</f>
        <v>0.5</v>
      </c>
    </row>
    <row r="338">
      <c r="A338" s="4" t="inlineStr">
        <is>
          <t>問32</t>
        </is>
      </c>
      <c r="B338" s="5" t="inlineStr"/>
      <c r="C338" s="5" t="inlineStr">
        <is>
          <t>まだわからない</t>
        </is>
      </c>
      <c r="D338" s="30" t="n">
        <v>2</v>
      </c>
      <c r="E338" s="30" t="n">
        <v>0</v>
      </c>
      <c r="F338" s="30" t="n">
        <v>0</v>
      </c>
      <c r="G338" s="20">
        <f>IF(D$5=0,0,D338/D$5)</f>
        <v>0.0689655172413793</v>
      </c>
      <c r="H338" s="20">
        <f>IF(E$5=0,0,E338/E$5)</f>
        <v>0</v>
      </c>
      <c r="I338" s="20">
        <f>IF(F$5=0,0,F338/F$5)</f>
        <v>0</v>
      </c>
    </row>
    <row r="339">
      <c r="A339" s="4" t="inlineStr">
        <is>
          <t>問32</t>
        </is>
      </c>
      <c r="B339" s="5" t="inlineStr"/>
      <c r="C339" s="5" t="inlineStr">
        <is>
          <t>その他</t>
        </is>
      </c>
      <c r="D339" s="30" t="n">
        <v>1</v>
      </c>
      <c r="E339" s="30" t="n">
        <v>0</v>
      </c>
      <c r="F339" s="30" t="n">
        <v>1</v>
      </c>
      <c r="G339" s="20">
        <f>IF(D$5=0,0,D339/D$5)</f>
        <v>0.0344827586206897</v>
      </c>
      <c r="H339" s="20">
        <f>IF(E$5=0,0,E339/E$5)</f>
        <v>0</v>
      </c>
      <c r="I339" s="20">
        <f>IF(F$5=0,0,F339/F$5)</f>
        <v>0.166666666666667</v>
      </c>
    </row>
    <row r="340">
      <c r="A340" s="4" t="inlineStr">
        <is>
          <t>問32</t>
        </is>
      </c>
      <c r="B340" s="5" t="inlineStr"/>
      <c r="C340" s="5" t="inlineStr">
        <is>
          <t>無回答</t>
        </is>
      </c>
      <c r="D340" s="30" t="n">
        <v>6</v>
      </c>
      <c r="E340" s="30" t="n">
        <v>0</v>
      </c>
      <c r="F340" s="30" t="n">
        <v>0</v>
      </c>
      <c r="G340" s="20">
        <f>IF(D$5=0,0,D340/D$5)</f>
        <v>0.206896551724138</v>
      </c>
      <c r="H340" s="20">
        <f>IF(E$5=0,0,E340/E$5)</f>
        <v>0</v>
      </c>
      <c r="I340" s="20">
        <f>IF(F$5=0,0,F340/F$5)</f>
        <v>0</v>
      </c>
    </row>
    <row r="341">
      <c r="A341" s="4" t="inlineStr">
        <is>
          <t>問33</t>
        </is>
      </c>
      <c r="B341" s="5" t="inlineStr">
        <is>
          <t>働くため、又は日中活動を続けるために必要な支援は何ですか（あてはまるものすべて）</t>
        </is>
      </c>
      <c r="C341" s="5" t="inlineStr">
        <is>
          <t>職場・作業内容の体験</t>
        </is>
      </c>
      <c r="D341" s="30" t="n">
        <v>1</v>
      </c>
      <c r="E341" s="30" t="n">
        <v>1</v>
      </c>
      <c r="F341" s="30" t="n">
        <v>2</v>
      </c>
      <c r="G341" s="20">
        <f>IF(D$5=0,0,D341/D$5)</f>
        <v>0.0344827586206897</v>
      </c>
      <c r="H341" s="20">
        <f>IF(E$5=0,0,E341/E$5)</f>
        <v>0.5</v>
      </c>
      <c r="I341" s="20">
        <f>IF(F$5=0,0,F341/F$5)</f>
        <v>0.333333333333333</v>
      </c>
    </row>
    <row r="342">
      <c r="A342" s="4" t="inlineStr">
        <is>
          <t>問33</t>
        </is>
      </c>
      <c r="B342" s="5" t="inlineStr"/>
      <c r="C342" s="5" t="inlineStr">
        <is>
          <t>就労に向けた相談</t>
        </is>
      </c>
      <c r="D342" s="30" t="n">
        <v>2</v>
      </c>
      <c r="E342" s="30" t="n">
        <v>1</v>
      </c>
      <c r="F342" s="30" t="n">
        <v>2</v>
      </c>
      <c r="G342" s="20">
        <f>IF(D$5=0,0,D342/D$5)</f>
        <v>0.0689655172413793</v>
      </c>
      <c r="H342" s="20">
        <f>IF(E$5=0,0,E342/E$5)</f>
        <v>0.5</v>
      </c>
      <c r="I342" s="20">
        <f>IF(F$5=0,0,F342/F$5)</f>
        <v>0.333333333333333</v>
      </c>
    </row>
    <row r="343">
      <c r="A343" s="4" t="inlineStr">
        <is>
          <t>問33</t>
        </is>
      </c>
      <c r="B343" s="5" t="inlineStr"/>
      <c r="C343" s="5" t="inlineStr">
        <is>
          <t>通勤・通所の支援</t>
        </is>
      </c>
      <c r="D343" s="30" t="n">
        <v>2</v>
      </c>
      <c r="E343" s="30" t="n">
        <v>1</v>
      </c>
      <c r="F343" s="30" t="n">
        <v>2</v>
      </c>
      <c r="G343" s="20">
        <f>IF(D$5=0,0,D343/D$5)</f>
        <v>0.0689655172413793</v>
      </c>
      <c r="H343" s="20">
        <f>IF(E$5=0,0,E343/E$5)</f>
        <v>0.5</v>
      </c>
      <c r="I343" s="20">
        <f>IF(F$5=0,0,F343/F$5)</f>
        <v>0.333333333333333</v>
      </c>
    </row>
    <row r="344">
      <c r="A344" s="4" t="inlineStr">
        <is>
          <t>問33</t>
        </is>
      </c>
      <c r="B344" s="5" t="inlineStr"/>
      <c r="C344" s="5" t="inlineStr">
        <is>
          <t>体調に合わせた勤務</t>
        </is>
      </c>
      <c r="D344" s="30" t="n">
        <v>2</v>
      </c>
      <c r="E344" s="30" t="n">
        <v>1</v>
      </c>
      <c r="F344" s="30" t="n">
        <v>4</v>
      </c>
      <c r="G344" s="20">
        <f>IF(D$5=0,0,D344/D$5)</f>
        <v>0.0689655172413793</v>
      </c>
      <c r="H344" s="20">
        <f>IF(E$5=0,0,E344/E$5)</f>
        <v>0.5</v>
      </c>
      <c r="I344" s="20">
        <f>IF(F$5=0,0,F344/F$5)</f>
        <v>0.666666666666667</v>
      </c>
    </row>
    <row r="345">
      <c r="A345" s="4" t="inlineStr">
        <is>
          <t>問33</t>
        </is>
      </c>
      <c r="B345" s="5" t="inlineStr"/>
      <c r="C345" s="5" t="inlineStr">
        <is>
          <t>職場の障がい理解</t>
        </is>
      </c>
      <c r="D345" s="30" t="n">
        <v>4</v>
      </c>
      <c r="E345" s="30" t="n">
        <v>1</v>
      </c>
      <c r="F345" s="30" t="n">
        <v>3</v>
      </c>
      <c r="G345" s="20">
        <f>IF(D$5=0,0,D345/D$5)</f>
        <v>0.137931034482759</v>
      </c>
      <c r="H345" s="20">
        <f>IF(E$5=0,0,E345/E$5)</f>
        <v>0.5</v>
      </c>
      <c r="I345" s="20">
        <f>IF(F$5=0,0,F345/F$5)</f>
        <v>0.5</v>
      </c>
    </row>
    <row r="346">
      <c r="A346" s="4" t="inlineStr">
        <is>
          <t>問33</t>
        </is>
      </c>
      <c r="B346" s="5" t="inlineStr"/>
      <c r="C346" s="5" t="inlineStr">
        <is>
          <t>仕事後の相談・定着支援</t>
        </is>
      </c>
      <c r="D346" s="30" t="n">
        <v>1</v>
      </c>
      <c r="E346" s="30" t="n">
        <v>1</v>
      </c>
      <c r="F346" s="30" t="n">
        <v>1</v>
      </c>
      <c r="G346" s="20">
        <f>IF(D$5=0,0,D346/D$5)</f>
        <v>0.0344827586206897</v>
      </c>
      <c r="H346" s="20">
        <f>IF(E$5=0,0,E346/E$5)</f>
        <v>0.5</v>
      </c>
      <c r="I346" s="20">
        <f>IF(F$5=0,0,F346/F$5)</f>
        <v>0.166666666666667</v>
      </c>
    </row>
    <row r="347">
      <c r="A347" s="4" t="inlineStr">
        <is>
          <t>問33</t>
        </is>
      </c>
      <c r="B347" s="5" t="inlineStr"/>
      <c r="C347" s="5" t="inlineStr">
        <is>
          <t>生活リズムの支援</t>
        </is>
      </c>
      <c r="D347" s="30" t="n">
        <v>1</v>
      </c>
      <c r="E347" s="30" t="n">
        <v>1</v>
      </c>
      <c r="F347" s="30" t="n">
        <v>2</v>
      </c>
      <c r="G347" s="20">
        <f>IF(D$5=0,0,D347/D$5)</f>
        <v>0.0344827586206897</v>
      </c>
      <c r="H347" s="20">
        <f>IF(E$5=0,0,E347/E$5)</f>
        <v>0.5</v>
      </c>
      <c r="I347" s="20">
        <f>IF(F$5=0,0,F347/F$5)</f>
        <v>0.333333333333333</v>
      </c>
    </row>
    <row r="348">
      <c r="A348" s="4" t="inlineStr">
        <is>
          <t>問33</t>
        </is>
      </c>
      <c r="B348" s="5" t="inlineStr"/>
      <c r="C348" s="5" t="inlineStr">
        <is>
          <t>家族への説明</t>
        </is>
      </c>
      <c r="D348" s="30" t="n">
        <v>0</v>
      </c>
      <c r="E348" s="30" t="n">
        <v>0</v>
      </c>
      <c r="F348" s="30" t="n">
        <v>0</v>
      </c>
      <c r="G348" s="20">
        <f>IF(D$5=0,0,D348/D$5)</f>
        <v>0</v>
      </c>
      <c r="H348" s="20">
        <f>IF(E$5=0,0,E348/E$5)</f>
        <v>0</v>
      </c>
      <c r="I348" s="20">
        <f>IF(F$5=0,0,F348/F$5)</f>
        <v>0</v>
      </c>
    </row>
    <row r="349">
      <c r="A349" s="4" t="inlineStr">
        <is>
          <t>問33</t>
        </is>
      </c>
      <c r="B349" s="5" t="inlineStr"/>
      <c r="C349" s="5" t="inlineStr">
        <is>
          <t>特にない</t>
        </is>
      </c>
      <c r="D349" s="30" t="n">
        <v>16</v>
      </c>
      <c r="E349" s="30" t="n">
        <v>0</v>
      </c>
      <c r="F349" s="30" t="n">
        <v>1</v>
      </c>
      <c r="G349" s="20">
        <f>IF(D$5=0,0,D349/D$5)</f>
        <v>0.551724137931035</v>
      </c>
      <c r="H349" s="20">
        <f>IF(E$5=0,0,E349/E$5)</f>
        <v>0</v>
      </c>
      <c r="I349" s="20">
        <f>IF(F$5=0,0,F349/F$5)</f>
        <v>0.166666666666667</v>
      </c>
    </row>
    <row r="350">
      <c r="A350" s="4" t="inlineStr">
        <is>
          <t>問33</t>
        </is>
      </c>
      <c r="B350" s="5" t="inlineStr"/>
      <c r="C350" s="5" t="inlineStr">
        <is>
          <t>その他</t>
        </is>
      </c>
      <c r="D350" s="30" t="n">
        <v>0</v>
      </c>
      <c r="E350" s="30" t="n">
        <v>0</v>
      </c>
      <c r="F350" s="30" t="n">
        <v>0</v>
      </c>
      <c r="G350" s="20">
        <f>IF(D$5=0,0,D350/D$5)</f>
        <v>0</v>
      </c>
      <c r="H350" s="20">
        <f>IF(E$5=0,0,E350/E$5)</f>
        <v>0</v>
      </c>
      <c r="I350" s="20">
        <f>IF(F$5=0,0,F350/F$5)</f>
        <v>0</v>
      </c>
    </row>
    <row r="351">
      <c r="A351" s="4" t="inlineStr">
        <is>
          <t>問33</t>
        </is>
      </c>
      <c r="B351" s="5" t="inlineStr"/>
      <c r="C351" s="5" t="inlineStr">
        <is>
          <t>無回答</t>
        </is>
      </c>
      <c r="D351" s="30" t="n">
        <v>7</v>
      </c>
      <c r="E351" s="30" t="n">
        <v>0</v>
      </c>
      <c r="F351" s="30" t="n">
        <v>0</v>
      </c>
      <c r="G351" s="20">
        <f>IF(D$5=0,0,D351/D$5)</f>
        <v>0.241379310344828</v>
      </c>
      <c r="H351" s="20">
        <f>IF(E$5=0,0,E351/E$5)</f>
        <v>0</v>
      </c>
      <c r="I351" s="20">
        <f>IF(F$5=0,0,F351/F$5)</f>
        <v>0</v>
      </c>
    </row>
    <row r="352">
      <c r="A352" s="4" t="inlineStr">
        <is>
          <t>問34</t>
        </is>
      </c>
      <c r="B352" s="5" t="inlineStr">
        <is>
          <t>障がいがあることで差別や偏見、不利益を感じたことはありますか</t>
        </is>
      </c>
      <c r="C352" s="5" t="inlineStr">
        <is>
          <t>週に１回程度</t>
        </is>
      </c>
      <c r="D352" s="30" t="n">
        <v>2</v>
      </c>
      <c r="E352" s="30" t="n">
        <v>0</v>
      </c>
      <c r="F352" s="30" t="n">
        <v>1</v>
      </c>
      <c r="G352" s="20">
        <f>IF(D$5=0,0,D352/D$5)</f>
        <v>0.0689655172413793</v>
      </c>
      <c r="H352" s="20">
        <f>IF(E$5=0,0,E352/E$5)</f>
        <v>0</v>
      </c>
      <c r="I352" s="20">
        <f>IF(F$5=0,0,F352/F$5)</f>
        <v>0.166666666666667</v>
      </c>
    </row>
    <row r="353">
      <c r="A353" s="4" t="inlineStr">
        <is>
          <t>問34</t>
        </is>
      </c>
      <c r="B353" s="5" t="inlineStr"/>
      <c r="C353" s="5" t="inlineStr">
        <is>
          <t>月に１回程度</t>
        </is>
      </c>
      <c r="D353" s="30" t="n">
        <v>1</v>
      </c>
      <c r="E353" s="30" t="n">
        <v>0</v>
      </c>
      <c r="F353" s="30" t="n">
        <v>2</v>
      </c>
      <c r="G353" s="20">
        <f>IF(D$5=0,0,D353/D$5)</f>
        <v>0.0344827586206897</v>
      </c>
      <c r="H353" s="20">
        <f>IF(E$5=0,0,E353/E$5)</f>
        <v>0</v>
      </c>
      <c r="I353" s="20">
        <f>IF(F$5=0,0,F353/F$5)</f>
        <v>0.333333333333333</v>
      </c>
    </row>
    <row r="354">
      <c r="A354" s="4" t="inlineStr">
        <is>
          <t>問34</t>
        </is>
      </c>
      <c r="B354" s="5" t="inlineStr"/>
      <c r="C354" s="5" t="inlineStr">
        <is>
          <t>年に１回程度</t>
        </is>
      </c>
      <c r="D354" s="30" t="n">
        <v>2</v>
      </c>
      <c r="E354" s="30" t="n">
        <v>0</v>
      </c>
      <c r="F354" s="30" t="n">
        <v>0</v>
      </c>
      <c r="G354" s="20">
        <f>IF(D$5=0,0,D354/D$5)</f>
        <v>0.0689655172413793</v>
      </c>
      <c r="H354" s="20">
        <f>IF(E$5=0,0,E354/E$5)</f>
        <v>0</v>
      </c>
      <c r="I354" s="20">
        <f>IF(F$5=0,0,F354/F$5)</f>
        <v>0</v>
      </c>
    </row>
    <row r="355">
      <c r="A355" s="4" t="inlineStr">
        <is>
          <t>問34</t>
        </is>
      </c>
      <c r="B355" s="5" t="inlineStr"/>
      <c r="C355" s="5" t="inlineStr">
        <is>
          <t>ない</t>
        </is>
      </c>
      <c r="D355" s="30" t="n">
        <v>10</v>
      </c>
      <c r="E355" s="30" t="n">
        <v>0</v>
      </c>
      <c r="F355" s="30" t="n">
        <v>1</v>
      </c>
      <c r="G355" s="20">
        <f>IF(D$5=0,0,D355/D$5)</f>
        <v>0.344827586206897</v>
      </c>
      <c r="H355" s="20">
        <f>IF(E$5=0,0,E355/E$5)</f>
        <v>0</v>
      </c>
      <c r="I355" s="20">
        <f>IF(F$5=0,0,F355/F$5)</f>
        <v>0.166666666666667</v>
      </c>
    </row>
    <row r="356">
      <c r="A356" s="4" t="inlineStr">
        <is>
          <t>問34</t>
        </is>
      </c>
      <c r="B356" s="5" t="inlineStr"/>
      <c r="C356" s="5" t="inlineStr">
        <is>
          <t>わからない</t>
        </is>
      </c>
      <c r="D356" s="30" t="n">
        <v>7</v>
      </c>
      <c r="E356" s="30" t="n">
        <v>2</v>
      </c>
      <c r="F356" s="30" t="n">
        <v>2</v>
      </c>
      <c r="G356" s="20">
        <f>IF(D$5=0,0,D356/D$5)</f>
        <v>0.241379310344828</v>
      </c>
      <c r="H356" s="20">
        <f>IF(E$5=0,0,E356/E$5)</f>
        <v>1</v>
      </c>
      <c r="I356" s="20">
        <f>IF(F$5=0,0,F356/F$5)</f>
        <v>0.333333333333333</v>
      </c>
    </row>
    <row r="357">
      <c r="A357" s="4" t="inlineStr">
        <is>
          <t>問34</t>
        </is>
      </c>
      <c r="B357" s="5" t="inlineStr"/>
      <c r="C357" s="5" t="inlineStr">
        <is>
          <t>無回答</t>
        </is>
      </c>
      <c r="D357" s="30" t="n">
        <v>7</v>
      </c>
      <c r="E357" s="30" t="n">
        <v>0</v>
      </c>
      <c r="F357" s="30" t="n">
        <v>0</v>
      </c>
      <c r="G357" s="20">
        <f>IF(D$5=0,0,D357/D$5)</f>
        <v>0.241379310344828</v>
      </c>
      <c r="H357" s="20">
        <f>IF(E$5=0,0,E357/E$5)</f>
        <v>0</v>
      </c>
      <c r="I357" s="20">
        <f>IF(F$5=0,0,F357/F$5)</f>
        <v>0</v>
      </c>
    </row>
    <row r="358">
      <c r="A358" s="4" t="inlineStr">
        <is>
          <t>問35</t>
        </is>
      </c>
      <c r="B358" s="5" t="inlineStr">
        <is>
          <t>差別や偏見、不利益を感じた場面はありますか（あてはまるものすべて）</t>
        </is>
      </c>
      <c r="C358" s="5" t="inlineStr">
        <is>
          <t>学校等</t>
        </is>
      </c>
      <c r="D358" s="30" t="n">
        <v>0</v>
      </c>
      <c r="E358" s="30" t="n">
        <v>0</v>
      </c>
      <c r="F358" s="30" t="n">
        <v>0</v>
      </c>
      <c r="G358" s="20">
        <f>IF(D$5=0,0,D358/D$5)</f>
        <v>0</v>
      </c>
      <c r="H358" s="20">
        <f>IF(E$5=0,0,E358/E$5)</f>
        <v>0</v>
      </c>
      <c r="I358" s="20">
        <f>IF(F$5=0,0,F358/F$5)</f>
        <v>0</v>
      </c>
    </row>
    <row r="359">
      <c r="A359" s="4" t="inlineStr">
        <is>
          <t>問35</t>
        </is>
      </c>
      <c r="B359" s="5" t="inlineStr"/>
      <c r="C359" s="5" t="inlineStr">
        <is>
          <t>アルバイト先・職場</t>
        </is>
      </c>
      <c r="D359" s="30" t="n">
        <v>1</v>
      </c>
      <c r="E359" s="30" t="n">
        <v>0</v>
      </c>
      <c r="F359" s="30" t="n">
        <v>2</v>
      </c>
      <c r="G359" s="20">
        <f>IF(D$5=0,0,D359/D$5)</f>
        <v>0.0344827586206897</v>
      </c>
      <c r="H359" s="20">
        <f>IF(E$5=0,0,E359/E$5)</f>
        <v>0</v>
      </c>
      <c r="I359" s="20">
        <f>IF(F$5=0,0,F359/F$5)</f>
        <v>0.333333333333333</v>
      </c>
    </row>
    <row r="360">
      <c r="A360" s="4" t="inlineStr">
        <is>
          <t>問35</t>
        </is>
      </c>
      <c r="B360" s="5" t="inlineStr"/>
      <c r="C360" s="5" t="inlineStr">
        <is>
          <t>医療機関</t>
        </is>
      </c>
      <c r="D360" s="30" t="n">
        <v>2</v>
      </c>
      <c r="E360" s="30" t="n">
        <v>0</v>
      </c>
      <c r="F360" s="30" t="n">
        <v>0</v>
      </c>
      <c r="G360" s="20">
        <f>IF(D$5=0,0,D360/D$5)</f>
        <v>0.0689655172413793</v>
      </c>
      <c r="H360" s="20">
        <f>IF(E$5=0,0,E360/E$5)</f>
        <v>0</v>
      </c>
      <c r="I360" s="20">
        <f>IF(F$5=0,0,F360/F$5)</f>
        <v>0</v>
      </c>
    </row>
    <row r="361">
      <c r="A361" s="4" t="inlineStr">
        <is>
          <t>問35</t>
        </is>
      </c>
      <c r="B361" s="5" t="inlineStr"/>
      <c r="C361" s="5" t="inlineStr">
        <is>
          <t>福祉サービス事業所</t>
        </is>
      </c>
      <c r="D361" s="30" t="n">
        <v>0</v>
      </c>
      <c r="E361" s="30" t="n">
        <v>0</v>
      </c>
      <c r="F361" s="30" t="n">
        <v>0</v>
      </c>
      <c r="G361" s="20">
        <f>IF(D$5=0,0,D361/D$5)</f>
        <v>0</v>
      </c>
      <c r="H361" s="20">
        <f>IF(E$5=0,0,E361/E$5)</f>
        <v>0</v>
      </c>
      <c r="I361" s="20">
        <f>IF(F$5=0,0,F361/F$5)</f>
        <v>0</v>
      </c>
    </row>
    <row r="362">
      <c r="A362" s="4" t="inlineStr">
        <is>
          <t>問35</t>
        </is>
      </c>
      <c r="B362" s="5" t="inlineStr"/>
      <c r="C362" s="5" t="inlineStr">
        <is>
          <t>役場・公共施設</t>
        </is>
      </c>
      <c r="D362" s="30" t="n">
        <v>0</v>
      </c>
      <c r="E362" s="30" t="n">
        <v>0</v>
      </c>
      <c r="F362" s="30" t="n">
        <v>0</v>
      </c>
      <c r="G362" s="20">
        <f>IF(D$5=0,0,D362/D$5)</f>
        <v>0</v>
      </c>
      <c r="H362" s="20">
        <f>IF(E$5=0,0,E362/E$5)</f>
        <v>0</v>
      </c>
      <c r="I362" s="20">
        <f>IF(F$5=0,0,F362/F$5)</f>
        <v>0</v>
      </c>
    </row>
    <row r="363">
      <c r="A363" s="4" t="inlineStr">
        <is>
          <t>問35</t>
        </is>
      </c>
      <c r="B363" s="5" t="inlineStr"/>
      <c r="C363" s="5" t="inlineStr">
        <is>
          <t>地域活動・行事</t>
        </is>
      </c>
      <c r="D363" s="30" t="n">
        <v>2</v>
      </c>
      <c r="E363" s="30" t="n">
        <v>0</v>
      </c>
      <c r="F363" s="30" t="n">
        <v>1</v>
      </c>
      <c r="G363" s="20">
        <f>IF(D$5=0,0,D363/D$5)</f>
        <v>0.0689655172413793</v>
      </c>
      <c r="H363" s="20">
        <f>IF(E$5=0,0,E363/E$5)</f>
        <v>0</v>
      </c>
      <c r="I363" s="20">
        <f>IF(F$5=0,0,F363/F$5)</f>
        <v>0.166666666666667</v>
      </c>
    </row>
    <row r="364">
      <c r="A364" s="4" t="inlineStr">
        <is>
          <t>問35</t>
        </is>
      </c>
      <c r="B364" s="5" t="inlineStr"/>
      <c r="C364" s="5" t="inlineStr">
        <is>
          <t>公共交通機関・飲食店・買い物等</t>
        </is>
      </c>
      <c r="D364" s="30" t="n">
        <v>2</v>
      </c>
      <c r="E364" s="30" t="n">
        <v>0</v>
      </c>
      <c r="F364" s="30" t="n">
        <v>0</v>
      </c>
      <c r="G364" s="20">
        <f>IF(D$5=0,0,D364/D$5)</f>
        <v>0.0689655172413793</v>
      </c>
      <c r="H364" s="20">
        <f>IF(E$5=0,0,E364/E$5)</f>
        <v>0</v>
      </c>
      <c r="I364" s="20">
        <f>IF(F$5=0,0,F364/F$5)</f>
        <v>0</v>
      </c>
    </row>
    <row r="365">
      <c r="A365" s="4" t="inlineStr">
        <is>
          <t>問35</t>
        </is>
      </c>
      <c r="B365" s="5" t="inlineStr"/>
      <c r="C365" s="5" t="inlineStr">
        <is>
          <t>趣味・余暇活動</t>
        </is>
      </c>
      <c r="D365" s="30" t="n">
        <v>2</v>
      </c>
      <c r="E365" s="30" t="n">
        <v>0</v>
      </c>
      <c r="F365" s="30" t="n">
        <v>0</v>
      </c>
      <c r="G365" s="20">
        <f>IF(D$5=0,0,D365/D$5)</f>
        <v>0.0689655172413793</v>
      </c>
      <c r="H365" s="20">
        <f>IF(E$5=0,0,E365/E$5)</f>
        <v>0</v>
      </c>
      <c r="I365" s="20">
        <f>IF(F$5=0,0,F365/F$5)</f>
        <v>0</v>
      </c>
    </row>
    <row r="366">
      <c r="A366" s="4" t="inlineStr">
        <is>
          <t>問35</t>
        </is>
      </c>
      <c r="B366" s="5" t="inlineStr"/>
      <c r="C366" s="5" t="inlineStr">
        <is>
          <t>インターネット・SNS・AI</t>
        </is>
      </c>
      <c r="D366" s="30" t="n">
        <v>0</v>
      </c>
      <c r="E366" s="30" t="n">
        <v>0</v>
      </c>
      <c r="F366" s="30" t="n">
        <v>0</v>
      </c>
      <c r="G366" s="20">
        <f>IF(D$5=0,0,D366/D$5)</f>
        <v>0</v>
      </c>
      <c r="H366" s="20">
        <f>IF(E$5=0,0,E366/E$5)</f>
        <v>0</v>
      </c>
      <c r="I366" s="20">
        <f>IF(F$5=0,0,F366/F$5)</f>
        <v>0</v>
      </c>
    </row>
    <row r="367">
      <c r="A367" s="4" t="inlineStr">
        <is>
          <t>問35</t>
        </is>
      </c>
      <c r="B367" s="5" t="inlineStr"/>
      <c r="C367" s="5" t="inlineStr">
        <is>
          <t>特にない</t>
        </is>
      </c>
      <c r="D367" s="30" t="n">
        <v>16</v>
      </c>
      <c r="E367" s="30" t="n">
        <v>1</v>
      </c>
      <c r="F367" s="30" t="n">
        <v>2</v>
      </c>
      <c r="G367" s="20">
        <f>IF(D$5=0,0,D367/D$5)</f>
        <v>0.551724137931035</v>
      </c>
      <c r="H367" s="20">
        <f>IF(E$5=0,0,E367/E$5)</f>
        <v>0.5</v>
      </c>
      <c r="I367" s="20">
        <f>IF(F$5=0,0,F367/F$5)</f>
        <v>0.333333333333333</v>
      </c>
    </row>
    <row r="368">
      <c r="A368" s="4" t="inlineStr">
        <is>
          <t>問35</t>
        </is>
      </c>
      <c r="B368" s="5" t="inlineStr"/>
      <c r="C368" s="5" t="inlineStr">
        <is>
          <t>その他</t>
        </is>
      </c>
      <c r="D368" s="30" t="n">
        <v>1</v>
      </c>
      <c r="E368" s="30" t="n">
        <v>1</v>
      </c>
      <c r="F368" s="30" t="n">
        <v>1</v>
      </c>
      <c r="G368" s="20">
        <f>IF(D$5=0,0,D368/D$5)</f>
        <v>0.0344827586206897</v>
      </c>
      <c r="H368" s="20">
        <f>IF(E$5=0,0,E368/E$5)</f>
        <v>0.5</v>
      </c>
      <c r="I368" s="20">
        <f>IF(F$5=0,0,F368/F$5)</f>
        <v>0.166666666666667</v>
      </c>
    </row>
    <row r="369">
      <c r="A369" s="4" t="inlineStr">
        <is>
          <t>問35</t>
        </is>
      </c>
      <c r="B369" s="5" t="inlineStr"/>
      <c r="C369" s="5" t="inlineStr">
        <is>
          <t>無回答</t>
        </is>
      </c>
      <c r="D369" s="30" t="n">
        <v>7</v>
      </c>
      <c r="E369" s="30" t="n">
        <v>0</v>
      </c>
      <c r="F369" s="30" t="n">
        <v>0</v>
      </c>
      <c r="G369" s="20">
        <f>IF(D$5=0,0,D369/D$5)</f>
        <v>0.241379310344828</v>
      </c>
      <c r="H369" s="20">
        <f>IF(E$5=0,0,E369/E$5)</f>
        <v>0</v>
      </c>
      <c r="I369" s="20">
        <f>IF(F$5=0,0,F369/F$5)</f>
        <v>0</v>
      </c>
    </row>
    <row r="370">
      <c r="A370" s="4" t="inlineStr">
        <is>
          <t>問36</t>
        </is>
      </c>
      <c r="B370" s="5" t="inlineStr">
        <is>
          <t>障がいのある人が利用しやすくするための配慮（合理的配慮）として必要だと思うことは何ですか（あてはまるものすべて）</t>
        </is>
      </c>
      <c r="C370" s="5" t="inlineStr">
        <is>
          <t>わかりやすい説明</t>
        </is>
      </c>
      <c r="D370" s="30" t="n">
        <v>10</v>
      </c>
      <c r="E370" s="30" t="n">
        <v>1</v>
      </c>
      <c r="F370" s="30" t="n">
        <v>4</v>
      </c>
      <c r="G370" s="20">
        <f>IF(D$5=0,0,D370/D$5)</f>
        <v>0.344827586206897</v>
      </c>
      <c r="H370" s="20">
        <f>IF(E$5=0,0,E370/E$5)</f>
        <v>0.5</v>
      </c>
      <c r="I370" s="20">
        <f>IF(F$5=0,0,F370/F$5)</f>
        <v>0.666666666666667</v>
      </c>
    </row>
    <row r="371">
      <c r="A371" s="4" t="inlineStr">
        <is>
          <t>問36</t>
        </is>
      </c>
      <c r="B371" s="5" t="inlineStr"/>
      <c r="C371" s="5" t="inlineStr">
        <is>
          <t>筆談・手話・要約筆記・字幕等の意思疎通支援</t>
        </is>
      </c>
      <c r="D371" s="30" t="n">
        <v>8</v>
      </c>
      <c r="E371" s="30" t="n">
        <v>0</v>
      </c>
      <c r="F371" s="30" t="n">
        <v>1</v>
      </c>
      <c r="G371" s="20">
        <f>IF(D$5=0,0,D371/D$5)</f>
        <v>0.275862068965517</v>
      </c>
      <c r="H371" s="20">
        <f>IF(E$5=0,0,E371/E$5)</f>
        <v>0</v>
      </c>
      <c r="I371" s="20">
        <f>IF(F$5=0,0,F371/F$5)</f>
        <v>0.166666666666667</v>
      </c>
    </row>
    <row r="372">
      <c r="A372" s="4" t="inlineStr">
        <is>
          <t>問36</t>
        </is>
      </c>
      <c r="B372" s="5" t="inlineStr"/>
      <c r="C372" s="5" t="inlineStr">
        <is>
          <t>静かな場所での相談</t>
        </is>
      </c>
      <c r="D372" s="30" t="n">
        <v>1</v>
      </c>
      <c r="E372" s="30" t="n">
        <v>0</v>
      </c>
      <c r="F372" s="30" t="n">
        <v>1</v>
      </c>
      <c r="G372" s="20">
        <f>IF(D$5=0,0,D372/D$5)</f>
        <v>0.0344827586206897</v>
      </c>
      <c r="H372" s="20">
        <f>IF(E$5=0,0,E372/E$5)</f>
        <v>0</v>
      </c>
      <c r="I372" s="20">
        <f>IF(F$5=0,0,F372/F$5)</f>
        <v>0.166666666666667</v>
      </c>
    </row>
    <row r="373">
      <c r="A373" s="4" t="inlineStr">
        <is>
          <t>問36</t>
        </is>
      </c>
      <c r="B373" s="5" t="inlineStr"/>
      <c r="C373" s="5" t="inlineStr">
        <is>
          <t>移動しやすい環境</t>
        </is>
      </c>
      <c r="D373" s="30" t="n">
        <v>5</v>
      </c>
      <c r="E373" s="30" t="n">
        <v>1</v>
      </c>
      <c r="F373" s="30" t="n">
        <v>3</v>
      </c>
      <c r="G373" s="20">
        <f>IF(D$5=0,0,D373/D$5)</f>
        <v>0.172413793103448</v>
      </c>
      <c r="H373" s="20">
        <f>IF(E$5=0,0,E373/E$5)</f>
        <v>0.5</v>
      </c>
      <c r="I373" s="20">
        <f>IF(F$5=0,0,F373/F$5)</f>
        <v>0.5</v>
      </c>
    </row>
    <row r="374">
      <c r="A374" s="4" t="inlineStr">
        <is>
          <t>問36</t>
        </is>
      </c>
      <c r="B374" s="5" t="inlineStr"/>
      <c r="C374" s="5" t="inlineStr">
        <is>
          <t>手続きの支援</t>
        </is>
      </c>
      <c r="D374" s="30" t="n">
        <v>10</v>
      </c>
      <c r="E374" s="30" t="n">
        <v>2</v>
      </c>
      <c r="F374" s="30" t="n">
        <v>4</v>
      </c>
      <c r="G374" s="20">
        <f>IF(D$5=0,0,D374/D$5)</f>
        <v>0.344827586206897</v>
      </c>
      <c r="H374" s="20">
        <f>IF(E$5=0,0,E374/E$5)</f>
        <v>1</v>
      </c>
      <c r="I374" s="20">
        <f>IF(F$5=0,0,F374/F$5)</f>
        <v>0.666666666666667</v>
      </c>
    </row>
    <row r="375">
      <c r="A375" s="4" t="inlineStr">
        <is>
          <t>問36</t>
        </is>
      </c>
      <c r="B375" s="5" t="inlineStr"/>
      <c r="C375" s="5" t="inlineStr">
        <is>
          <t>本人の意思確認を丁寧に行うこと</t>
        </is>
      </c>
      <c r="D375" s="30" t="n">
        <v>8</v>
      </c>
      <c r="E375" s="30" t="n">
        <v>2</v>
      </c>
      <c r="F375" s="30" t="n">
        <v>3</v>
      </c>
      <c r="G375" s="20">
        <f>IF(D$5=0,0,D375/D$5)</f>
        <v>0.275862068965517</v>
      </c>
      <c r="H375" s="20">
        <f>IF(E$5=0,0,E375/E$5)</f>
        <v>1</v>
      </c>
      <c r="I375" s="20">
        <f>IF(F$5=0,0,F375/F$5)</f>
        <v>0.5</v>
      </c>
    </row>
    <row r="376">
      <c r="A376" s="4" t="inlineStr">
        <is>
          <t>問36</t>
        </is>
      </c>
      <c r="B376" s="5" t="inlineStr"/>
      <c r="C376" s="5" t="inlineStr">
        <is>
          <t>職場・学校での配慮</t>
        </is>
      </c>
      <c r="D376" s="30" t="n">
        <v>3</v>
      </c>
      <c r="E376" s="30" t="n">
        <v>0</v>
      </c>
      <c r="F376" s="30" t="n">
        <v>0</v>
      </c>
      <c r="G376" s="20">
        <f>IF(D$5=0,0,D376/D$5)</f>
        <v>0.103448275862069</v>
      </c>
      <c r="H376" s="20">
        <f>IF(E$5=0,0,E376/E$5)</f>
        <v>0</v>
      </c>
      <c r="I376" s="20">
        <f>IF(F$5=0,0,F376/F$5)</f>
        <v>0</v>
      </c>
    </row>
    <row r="377">
      <c r="A377" s="4" t="inlineStr">
        <is>
          <t>問36</t>
        </is>
      </c>
      <c r="B377" s="5" t="inlineStr"/>
      <c r="C377" s="5" t="inlineStr">
        <is>
          <t>特にない</t>
        </is>
      </c>
      <c r="D377" s="30" t="n">
        <v>5</v>
      </c>
      <c r="E377" s="30" t="n">
        <v>0</v>
      </c>
      <c r="F377" s="30" t="n">
        <v>0</v>
      </c>
      <c r="G377" s="20">
        <f>IF(D$5=0,0,D377/D$5)</f>
        <v>0.172413793103448</v>
      </c>
      <c r="H377" s="20">
        <f>IF(E$5=0,0,E377/E$5)</f>
        <v>0</v>
      </c>
      <c r="I377" s="20">
        <f>IF(F$5=0,0,F377/F$5)</f>
        <v>0</v>
      </c>
    </row>
    <row r="378">
      <c r="A378" s="4" t="inlineStr">
        <is>
          <t>問36</t>
        </is>
      </c>
      <c r="B378" s="5" t="inlineStr"/>
      <c r="C378" s="5" t="inlineStr">
        <is>
          <t>その他</t>
        </is>
      </c>
      <c r="D378" s="30" t="n">
        <v>0</v>
      </c>
      <c r="E378" s="30" t="n">
        <v>0</v>
      </c>
      <c r="F378" s="30" t="n">
        <v>0</v>
      </c>
      <c r="G378" s="20">
        <f>IF(D$5=0,0,D378/D$5)</f>
        <v>0</v>
      </c>
      <c r="H378" s="20">
        <f>IF(E$5=0,0,E378/E$5)</f>
        <v>0</v>
      </c>
      <c r="I378" s="20">
        <f>IF(F$5=0,0,F378/F$5)</f>
        <v>0</v>
      </c>
    </row>
    <row r="379">
      <c r="A379" s="4" t="inlineStr">
        <is>
          <t>問36</t>
        </is>
      </c>
      <c r="B379" s="5" t="inlineStr"/>
      <c r="C379" s="5" t="inlineStr">
        <is>
          <t>無回答</t>
        </is>
      </c>
      <c r="D379" s="30" t="n">
        <v>6</v>
      </c>
      <c r="E379" s="30" t="n">
        <v>0</v>
      </c>
      <c r="F379" s="30" t="n">
        <v>0</v>
      </c>
      <c r="G379" s="20">
        <f>IF(D$5=0,0,D379/D$5)</f>
        <v>0.206896551724138</v>
      </c>
      <c r="H379" s="20">
        <f>IF(E$5=0,0,E379/E$5)</f>
        <v>0</v>
      </c>
      <c r="I379" s="20">
        <f>IF(F$5=0,0,F379/F$5)</f>
        <v>0</v>
      </c>
    </row>
    <row r="380">
      <c r="A380" s="4" t="inlineStr">
        <is>
          <t>問37</t>
        </is>
      </c>
      <c r="B380" s="5" t="inlineStr">
        <is>
          <t>成年後見制度や権利擁護支援について知っていますか</t>
        </is>
      </c>
      <c r="C380" s="5" t="inlineStr">
        <is>
          <t>利用している</t>
        </is>
      </c>
      <c r="D380" s="30" t="n">
        <v>0</v>
      </c>
      <c r="E380" s="30" t="n">
        <v>1</v>
      </c>
      <c r="F380" s="30" t="n">
        <v>1</v>
      </c>
      <c r="G380" s="20">
        <f>IF(D$5=0,0,D380/D$5)</f>
        <v>0</v>
      </c>
      <c r="H380" s="20">
        <f>IF(E$5=0,0,E380/E$5)</f>
        <v>0.5</v>
      </c>
      <c r="I380" s="20">
        <f>IF(F$5=0,0,F380/F$5)</f>
        <v>0.166666666666667</v>
      </c>
    </row>
    <row r="381">
      <c r="A381" s="4" t="inlineStr">
        <is>
          <t>問37</t>
        </is>
      </c>
      <c r="B381" s="5" t="inlineStr"/>
      <c r="C381" s="5" t="inlineStr">
        <is>
          <t>知っている</t>
        </is>
      </c>
      <c r="D381" s="30" t="n">
        <v>9</v>
      </c>
      <c r="E381" s="30" t="n">
        <v>0</v>
      </c>
      <c r="F381" s="30" t="n">
        <v>0</v>
      </c>
      <c r="G381" s="20">
        <f>IF(D$5=0,0,D381/D$5)</f>
        <v>0.310344827586207</v>
      </c>
      <c r="H381" s="20">
        <f>IF(E$5=0,0,E381/E$5)</f>
        <v>0</v>
      </c>
      <c r="I381" s="20">
        <f>IF(F$5=0,0,F381/F$5)</f>
        <v>0</v>
      </c>
    </row>
    <row r="382">
      <c r="A382" s="4" t="inlineStr">
        <is>
          <t>問37</t>
        </is>
      </c>
      <c r="B382" s="5" t="inlineStr"/>
      <c r="C382" s="5" t="inlineStr">
        <is>
          <t>名前だけ聞いたことがある</t>
        </is>
      </c>
      <c r="D382" s="30" t="n">
        <v>5</v>
      </c>
      <c r="E382" s="30" t="n">
        <v>0</v>
      </c>
      <c r="F382" s="30" t="n">
        <v>3</v>
      </c>
      <c r="G382" s="20">
        <f>IF(D$5=0,0,D382/D$5)</f>
        <v>0.172413793103448</v>
      </c>
      <c r="H382" s="20">
        <f>IF(E$5=0,0,E382/E$5)</f>
        <v>0</v>
      </c>
      <c r="I382" s="20">
        <f>IF(F$5=0,0,F382/F$5)</f>
        <v>0.5</v>
      </c>
    </row>
    <row r="383">
      <c r="A383" s="4" t="inlineStr">
        <is>
          <t>問37</t>
        </is>
      </c>
      <c r="B383" s="5" t="inlineStr"/>
      <c r="C383" s="5" t="inlineStr">
        <is>
          <t>利用したいが手続きがわからない</t>
        </is>
      </c>
      <c r="D383" s="30" t="n">
        <v>0</v>
      </c>
      <c r="E383" s="30" t="n">
        <v>0</v>
      </c>
      <c r="F383" s="30" t="n">
        <v>0</v>
      </c>
      <c r="G383" s="20">
        <f>IF(D$5=0,0,D383/D$5)</f>
        <v>0</v>
      </c>
      <c r="H383" s="20">
        <f>IF(E$5=0,0,E383/E$5)</f>
        <v>0</v>
      </c>
      <c r="I383" s="20">
        <f>IF(F$5=0,0,F383/F$5)</f>
        <v>0</v>
      </c>
    </row>
    <row r="384">
      <c r="A384" s="4" t="inlineStr">
        <is>
          <t>問37</t>
        </is>
      </c>
      <c r="B384" s="5" t="inlineStr"/>
      <c r="C384" s="5" t="inlineStr">
        <is>
          <t>知らない</t>
        </is>
      </c>
      <c r="D384" s="30" t="n">
        <v>11</v>
      </c>
      <c r="E384" s="30" t="n">
        <v>1</v>
      </c>
      <c r="F384" s="30" t="n">
        <v>2</v>
      </c>
      <c r="G384" s="20">
        <f>IF(D$5=0,0,D384/D$5)</f>
        <v>0.379310344827586</v>
      </c>
      <c r="H384" s="20">
        <f>IF(E$5=0,0,E384/E$5)</f>
        <v>0.5</v>
      </c>
      <c r="I384" s="20">
        <f>IF(F$5=0,0,F384/F$5)</f>
        <v>0.333333333333333</v>
      </c>
    </row>
    <row r="385">
      <c r="A385" s="4" t="inlineStr">
        <is>
          <t>問37</t>
        </is>
      </c>
      <c r="B385" s="5" t="inlineStr"/>
      <c r="C385" s="5" t="inlineStr">
        <is>
          <t>無回答</t>
        </is>
      </c>
      <c r="D385" s="30" t="n">
        <v>4</v>
      </c>
      <c r="E385" s="30" t="n">
        <v>0</v>
      </c>
      <c r="F385" s="30" t="n">
        <v>0</v>
      </c>
      <c r="G385" s="20">
        <f>IF(D$5=0,0,D385/D$5)</f>
        <v>0.137931034482759</v>
      </c>
      <c r="H385" s="20">
        <f>IF(E$5=0,0,E385/E$5)</f>
        <v>0</v>
      </c>
      <c r="I385" s="20">
        <f>IF(F$5=0,0,F385/F$5)</f>
        <v>0</v>
      </c>
    </row>
    <row r="386">
      <c r="A386" s="4" t="inlineStr">
        <is>
          <t>問38</t>
        </is>
      </c>
      <c r="B386" s="5" t="inlineStr">
        <is>
          <t>災害時に不安なことは何ですか（あてはまるものすべて）</t>
        </is>
      </c>
      <c r="C386" s="5" t="inlineStr">
        <is>
          <t>避難する方法</t>
        </is>
      </c>
      <c r="D386" s="30" t="n">
        <v>9</v>
      </c>
      <c r="E386" s="30" t="n">
        <v>1</v>
      </c>
      <c r="F386" s="30" t="n">
        <v>2</v>
      </c>
      <c r="G386" s="20">
        <f>IF(D$5=0,0,D386/D$5)</f>
        <v>0.310344827586207</v>
      </c>
      <c r="H386" s="20">
        <f>IF(E$5=0,0,E386/E$5)</f>
        <v>0.5</v>
      </c>
      <c r="I386" s="20">
        <f>IF(F$5=0,0,F386/F$5)</f>
        <v>0.333333333333333</v>
      </c>
    </row>
    <row r="387">
      <c r="A387" s="4" t="inlineStr">
        <is>
          <t>問38</t>
        </is>
      </c>
      <c r="B387" s="5" t="inlineStr"/>
      <c r="C387" s="5" t="inlineStr">
        <is>
          <t>避難先での生活</t>
        </is>
      </c>
      <c r="D387" s="30" t="n">
        <v>16</v>
      </c>
      <c r="E387" s="30" t="n">
        <v>2</v>
      </c>
      <c r="F387" s="30" t="n">
        <v>6</v>
      </c>
      <c r="G387" s="20">
        <f>IF(D$5=0,0,D387/D$5)</f>
        <v>0.551724137931035</v>
      </c>
      <c r="H387" s="20">
        <f>IF(E$5=0,0,E387/E$5)</f>
        <v>1</v>
      </c>
      <c r="I387" s="20">
        <f>IF(F$5=0,0,F387/F$5)</f>
        <v>1</v>
      </c>
    </row>
    <row r="388">
      <c r="A388" s="4" t="inlineStr">
        <is>
          <t>問38</t>
        </is>
      </c>
      <c r="B388" s="5" t="inlineStr"/>
      <c r="C388" s="5" t="inlineStr">
        <is>
          <t>薬・医療機器</t>
        </is>
      </c>
      <c r="D388" s="30" t="n">
        <v>11</v>
      </c>
      <c r="E388" s="30" t="n">
        <v>2</v>
      </c>
      <c r="F388" s="30" t="n">
        <v>3</v>
      </c>
      <c r="G388" s="20">
        <f>IF(D$5=0,0,D388/D$5)</f>
        <v>0.379310344827586</v>
      </c>
      <c r="H388" s="20">
        <f>IF(E$5=0,0,E388/E$5)</f>
        <v>1</v>
      </c>
      <c r="I388" s="20">
        <f>IF(F$5=0,0,F388/F$5)</f>
        <v>0.5</v>
      </c>
    </row>
    <row r="389">
      <c r="A389" s="4" t="inlineStr">
        <is>
          <t>問38</t>
        </is>
      </c>
      <c r="B389" s="5" t="inlineStr"/>
      <c r="C389" s="5" t="inlineStr">
        <is>
          <t>電源の確保</t>
        </is>
      </c>
      <c r="D389" s="30" t="n">
        <v>5</v>
      </c>
      <c r="E389" s="30" t="n">
        <v>1</v>
      </c>
      <c r="F389" s="30" t="n">
        <v>0</v>
      </c>
      <c r="G389" s="20">
        <f>IF(D$5=0,0,D389/D$5)</f>
        <v>0.172413793103448</v>
      </c>
      <c r="H389" s="20">
        <f>IF(E$5=0,0,E389/E$5)</f>
        <v>0.5</v>
      </c>
      <c r="I389" s="20">
        <f>IF(F$5=0,0,F389/F$5)</f>
        <v>0</v>
      </c>
    </row>
    <row r="390">
      <c r="A390" s="4" t="inlineStr">
        <is>
          <t>問38</t>
        </is>
      </c>
      <c r="B390" s="5" t="inlineStr"/>
      <c r="C390" s="5" t="inlineStr">
        <is>
          <t>介助者がいないこと</t>
        </is>
      </c>
      <c r="D390" s="30" t="n">
        <v>2</v>
      </c>
      <c r="E390" s="30" t="n">
        <v>1</v>
      </c>
      <c r="F390" s="30" t="n">
        <v>0</v>
      </c>
      <c r="G390" s="20">
        <f>IF(D$5=0,0,D390/D$5)</f>
        <v>0.0689655172413793</v>
      </c>
      <c r="H390" s="20">
        <f>IF(E$5=0,0,E390/E$5)</f>
        <v>0.5</v>
      </c>
      <c r="I390" s="20">
        <f>IF(F$5=0,0,F390/F$5)</f>
        <v>0</v>
      </c>
    </row>
    <row r="391">
      <c r="A391" s="4" t="inlineStr">
        <is>
          <t>問38</t>
        </is>
      </c>
      <c r="B391" s="5" t="inlineStr"/>
      <c r="C391" s="5" t="inlineStr">
        <is>
          <t>情報が届かないこと</t>
        </is>
      </c>
      <c r="D391" s="30" t="n">
        <v>5</v>
      </c>
      <c r="E391" s="30" t="n">
        <v>0</v>
      </c>
      <c r="F391" s="30" t="n">
        <v>0</v>
      </c>
      <c r="G391" s="20">
        <f>IF(D$5=0,0,D391/D$5)</f>
        <v>0.172413793103448</v>
      </c>
      <c r="H391" s="20">
        <f>IF(E$5=0,0,E391/E$5)</f>
        <v>0</v>
      </c>
      <c r="I391" s="20">
        <f>IF(F$5=0,0,F391/F$5)</f>
        <v>0</v>
      </c>
    </row>
    <row r="392">
      <c r="A392" s="4" t="inlineStr">
        <is>
          <t>問38</t>
        </is>
      </c>
      <c r="B392" s="5" t="inlineStr"/>
      <c r="C392" s="5" t="inlineStr">
        <is>
          <t>冬季・積雪時の避難</t>
        </is>
      </c>
      <c r="D392" s="30" t="n">
        <v>10</v>
      </c>
      <c r="E392" s="30" t="n">
        <v>1</v>
      </c>
      <c r="F392" s="30" t="n">
        <v>4</v>
      </c>
      <c r="G392" s="20">
        <f>IF(D$5=0,0,D392/D$5)</f>
        <v>0.344827586206897</v>
      </c>
      <c r="H392" s="20">
        <f>IF(E$5=0,0,E392/E$5)</f>
        <v>0.5</v>
      </c>
      <c r="I392" s="20">
        <f>IF(F$5=0,0,F392/F$5)</f>
        <v>0.666666666666667</v>
      </c>
    </row>
    <row r="393">
      <c r="A393" s="4" t="inlineStr">
        <is>
          <t>問38</t>
        </is>
      </c>
      <c r="B393" s="5" t="inlineStr"/>
      <c r="C393" s="5" t="inlineStr">
        <is>
          <t>ペット・補助犬等</t>
        </is>
      </c>
      <c r="D393" s="30" t="n">
        <v>0</v>
      </c>
      <c r="E393" s="30" t="n">
        <v>0</v>
      </c>
      <c r="F393" s="30" t="n">
        <v>0</v>
      </c>
      <c r="G393" s="20">
        <f>IF(D$5=0,0,D393/D$5)</f>
        <v>0</v>
      </c>
      <c r="H393" s="20">
        <f>IF(E$5=0,0,E393/E$5)</f>
        <v>0</v>
      </c>
      <c r="I393" s="20">
        <f>IF(F$5=0,0,F393/F$5)</f>
        <v>0</v>
      </c>
    </row>
    <row r="394">
      <c r="A394" s="4" t="inlineStr">
        <is>
          <t>問38</t>
        </is>
      </c>
      <c r="B394" s="5" t="inlineStr"/>
      <c r="C394" s="5" t="inlineStr">
        <is>
          <t>特に不安はない</t>
        </is>
      </c>
      <c r="D394" s="30" t="n">
        <v>3</v>
      </c>
      <c r="E394" s="30" t="n">
        <v>0</v>
      </c>
      <c r="F394" s="30" t="n">
        <v>0</v>
      </c>
      <c r="G394" s="20">
        <f>IF(D$5=0,0,D394/D$5)</f>
        <v>0.103448275862069</v>
      </c>
      <c r="H394" s="20">
        <f>IF(E$5=0,0,E394/E$5)</f>
        <v>0</v>
      </c>
      <c r="I394" s="20">
        <f>IF(F$5=0,0,F394/F$5)</f>
        <v>0</v>
      </c>
    </row>
    <row r="395">
      <c r="A395" s="4" t="inlineStr">
        <is>
          <t>問38</t>
        </is>
      </c>
      <c r="B395" s="5" t="inlineStr"/>
      <c r="C395" s="5" t="inlineStr">
        <is>
          <t>その他</t>
        </is>
      </c>
      <c r="D395" s="30" t="n">
        <v>0</v>
      </c>
      <c r="E395" s="30" t="n">
        <v>0</v>
      </c>
      <c r="F395" s="30" t="n">
        <v>0</v>
      </c>
      <c r="G395" s="20">
        <f>IF(D$5=0,0,D395/D$5)</f>
        <v>0</v>
      </c>
      <c r="H395" s="20">
        <f>IF(E$5=0,0,E395/E$5)</f>
        <v>0</v>
      </c>
      <c r="I395" s="20">
        <f>IF(F$5=0,0,F395/F$5)</f>
        <v>0</v>
      </c>
    </row>
    <row r="396">
      <c r="A396" s="4" t="inlineStr">
        <is>
          <t>問38</t>
        </is>
      </c>
      <c r="B396" s="5" t="inlineStr"/>
      <c r="C396" s="5" t="inlineStr">
        <is>
          <t>無回答</t>
        </is>
      </c>
      <c r="D396" s="30" t="n">
        <v>4</v>
      </c>
      <c r="E396" s="30" t="n">
        <v>0</v>
      </c>
      <c r="F396" s="30" t="n">
        <v>0</v>
      </c>
      <c r="G396" s="20">
        <f>IF(D$5=0,0,D396/D$5)</f>
        <v>0.137931034482759</v>
      </c>
      <c r="H396" s="20">
        <f>IF(E$5=0,0,E396/E$5)</f>
        <v>0</v>
      </c>
      <c r="I396" s="20">
        <f>IF(F$5=0,0,F396/F$5)</f>
        <v>0</v>
      </c>
    </row>
    <row r="397">
      <c r="A397" s="4" t="inlineStr">
        <is>
          <t>問39</t>
        </is>
      </c>
      <c r="B397" s="5" t="inlineStr">
        <is>
          <t>避難行動要支援者名簿や個別避難計画について知っていますか</t>
        </is>
      </c>
      <c r="C397" s="5" t="inlineStr">
        <is>
          <t>制度を知っており作成したい</t>
        </is>
      </c>
      <c r="D397" s="30" t="n">
        <v>2</v>
      </c>
      <c r="E397" s="30" t="n">
        <v>0</v>
      </c>
      <c r="F397" s="30" t="n">
        <v>0</v>
      </c>
      <c r="G397" s="20">
        <f>IF(D$5=0,0,D397/D$5)</f>
        <v>0.0689655172413793</v>
      </c>
      <c r="H397" s="20">
        <f>IF(E$5=0,0,E397/E$5)</f>
        <v>0</v>
      </c>
      <c r="I397" s="20">
        <f>IF(F$5=0,0,F397/F$5)</f>
        <v>0</v>
      </c>
    </row>
    <row r="398">
      <c r="A398" s="4" t="inlineStr">
        <is>
          <t>問39</t>
        </is>
      </c>
      <c r="B398" s="5" t="inlineStr"/>
      <c r="C398" s="5" t="inlineStr">
        <is>
          <t>名前だけ聞いたことがある</t>
        </is>
      </c>
      <c r="D398" s="30" t="n">
        <v>5</v>
      </c>
      <c r="E398" s="30" t="n">
        <v>0</v>
      </c>
      <c r="F398" s="30" t="n">
        <v>0</v>
      </c>
      <c r="G398" s="20">
        <f>IF(D$5=0,0,D398/D$5)</f>
        <v>0.172413793103448</v>
      </c>
      <c r="H398" s="20">
        <f>IF(E$5=0,0,E398/E$5)</f>
        <v>0</v>
      </c>
      <c r="I398" s="20">
        <f>IF(F$5=0,0,F398/F$5)</f>
        <v>0</v>
      </c>
    </row>
    <row r="399">
      <c r="A399" s="4" t="inlineStr">
        <is>
          <t>問39</t>
        </is>
      </c>
      <c r="B399" s="5" t="inlineStr"/>
      <c r="C399" s="5" t="inlineStr">
        <is>
          <t>知らない</t>
        </is>
      </c>
      <c r="D399" s="30" t="n">
        <v>18</v>
      </c>
      <c r="E399" s="30" t="n">
        <v>2</v>
      </c>
      <c r="F399" s="30" t="n">
        <v>6</v>
      </c>
      <c r="G399" s="20">
        <f>IF(D$5=0,0,D399/D$5)</f>
        <v>0.620689655172414</v>
      </c>
      <c r="H399" s="20">
        <f>IF(E$5=0,0,E399/E$5)</f>
        <v>1</v>
      </c>
      <c r="I399" s="20">
        <f>IF(F$5=0,0,F399/F$5)</f>
        <v>1</v>
      </c>
    </row>
    <row r="400">
      <c r="A400" s="4" t="inlineStr">
        <is>
          <t>問39</t>
        </is>
      </c>
      <c r="B400" s="5" t="inlineStr"/>
      <c r="C400" s="5" t="inlineStr">
        <is>
          <t>必要ない</t>
        </is>
      </c>
      <c r="D400" s="30" t="n">
        <v>1</v>
      </c>
      <c r="E400" s="30" t="n">
        <v>0</v>
      </c>
      <c r="F400" s="30" t="n">
        <v>0</v>
      </c>
      <c r="G400" s="20">
        <f>IF(D$5=0,0,D400/D$5)</f>
        <v>0.0344827586206897</v>
      </c>
      <c r="H400" s="20">
        <f>IF(E$5=0,0,E400/E$5)</f>
        <v>0</v>
      </c>
      <c r="I400" s="20">
        <f>IF(F$5=0,0,F400/F$5)</f>
        <v>0</v>
      </c>
    </row>
    <row r="401">
      <c r="A401" s="4" t="inlineStr">
        <is>
          <t>問39</t>
        </is>
      </c>
      <c r="B401" s="5" t="inlineStr"/>
      <c r="C401" s="5" t="inlineStr">
        <is>
          <t>無回答</t>
        </is>
      </c>
      <c r="D401" s="30" t="n">
        <v>3</v>
      </c>
      <c r="E401" s="30" t="n">
        <v>0</v>
      </c>
      <c r="F401" s="30" t="n">
        <v>0</v>
      </c>
      <c r="G401" s="20">
        <f>IF(D$5=0,0,D401/D$5)</f>
        <v>0.103448275862069</v>
      </c>
      <c r="H401" s="20">
        <f>IF(E$5=0,0,E401/E$5)</f>
        <v>0</v>
      </c>
      <c r="I401" s="20">
        <f>IF(F$5=0,0,F401/F$5)</f>
        <v>0</v>
      </c>
    </row>
    <row r="402">
      <c r="A402" s="4" t="inlineStr">
        <is>
          <t>問40</t>
        </is>
      </c>
      <c r="B402" s="5" t="inlineStr">
        <is>
          <t>災害時に支援してくれる人や機関はありますか（あてはまるものすべて）</t>
        </is>
      </c>
      <c r="C402" s="5" t="inlineStr">
        <is>
          <t>同居家族</t>
        </is>
      </c>
      <c r="D402" s="30" t="n">
        <v>19</v>
      </c>
      <c r="E402" s="30" t="n">
        <v>0</v>
      </c>
      <c r="F402" s="30" t="n">
        <v>4</v>
      </c>
      <c r="G402" s="20">
        <f>IF(D$5=0,0,D402/D$5)</f>
        <v>0.655172413793103</v>
      </c>
      <c r="H402" s="20">
        <f>IF(E$5=0,0,E402/E$5)</f>
        <v>0</v>
      </c>
      <c r="I402" s="20">
        <f>IF(F$5=0,0,F402/F$5)</f>
        <v>0.666666666666667</v>
      </c>
    </row>
    <row r="403">
      <c r="A403" s="4" t="inlineStr">
        <is>
          <t>問40</t>
        </is>
      </c>
      <c r="B403" s="5" t="inlineStr"/>
      <c r="C403" s="5" t="inlineStr">
        <is>
          <t>別居家族・親族</t>
        </is>
      </c>
      <c r="D403" s="30" t="n">
        <v>9</v>
      </c>
      <c r="E403" s="30" t="n">
        <v>0</v>
      </c>
      <c r="F403" s="30" t="n">
        <v>0</v>
      </c>
      <c r="G403" s="20">
        <f>IF(D$5=0,0,D403/D$5)</f>
        <v>0.310344827586207</v>
      </c>
      <c r="H403" s="20">
        <f>IF(E$5=0,0,E403/E$5)</f>
        <v>0</v>
      </c>
      <c r="I403" s="20">
        <f>IF(F$5=0,0,F403/F$5)</f>
        <v>0</v>
      </c>
    </row>
    <row r="404">
      <c r="A404" s="4" t="inlineStr">
        <is>
          <t>問40</t>
        </is>
      </c>
      <c r="B404" s="5" t="inlineStr"/>
      <c r="C404" s="5" t="inlineStr">
        <is>
          <t>近所の人</t>
        </is>
      </c>
      <c r="D404" s="30" t="n">
        <v>4</v>
      </c>
      <c r="E404" s="30" t="n">
        <v>0</v>
      </c>
      <c r="F404" s="30" t="n">
        <v>2</v>
      </c>
      <c r="G404" s="20">
        <f>IF(D$5=0,0,D404/D$5)</f>
        <v>0.137931034482759</v>
      </c>
      <c r="H404" s="20">
        <f>IF(E$5=0,0,E404/E$5)</f>
        <v>0</v>
      </c>
      <c r="I404" s="20">
        <f>IF(F$5=0,0,F404/F$5)</f>
        <v>0.333333333333333</v>
      </c>
    </row>
    <row r="405">
      <c r="A405" s="4" t="inlineStr">
        <is>
          <t>問40</t>
        </is>
      </c>
      <c r="B405" s="5" t="inlineStr"/>
      <c r="C405" s="5" t="inlineStr">
        <is>
          <t>民生委員・児童委員</t>
        </is>
      </c>
      <c r="D405" s="30" t="n">
        <v>1</v>
      </c>
      <c r="E405" s="30" t="n">
        <v>0</v>
      </c>
      <c r="F405" s="30" t="n">
        <v>0</v>
      </c>
      <c r="G405" s="20">
        <f>IF(D$5=0,0,D405/D$5)</f>
        <v>0.0344827586206897</v>
      </c>
      <c r="H405" s="20">
        <f>IF(E$5=0,0,E405/E$5)</f>
        <v>0</v>
      </c>
      <c r="I405" s="20">
        <f>IF(F$5=0,0,F405/F$5)</f>
        <v>0</v>
      </c>
    </row>
    <row r="406">
      <c r="A406" s="4" t="inlineStr">
        <is>
          <t>問40</t>
        </is>
      </c>
      <c r="B406" s="5" t="inlineStr"/>
      <c r="C406" s="5" t="inlineStr">
        <is>
          <t>福祉サービス事業所</t>
        </is>
      </c>
      <c r="D406" s="30" t="n">
        <v>3</v>
      </c>
      <c r="E406" s="30" t="n">
        <v>2</v>
      </c>
      <c r="F406" s="30" t="n">
        <v>2</v>
      </c>
      <c r="G406" s="20">
        <f>IF(D$5=0,0,D406/D$5)</f>
        <v>0.103448275862069</v>
      </c>
      <c r="H406" s="20">
        <f>IF(E$5=0,0,E406/E$5)</f>
        <v>1</v>
      </c>
      <c r="I406" s="20">
        <f>IF(F$5=0,0,F406/F$5)</f>
        <v>0.333333333333333</v>
      </c>
    </row>
    <row r="407">
      <c r="A407" s="4" t="inlineStr">
        <is>
          <t>問40</t>
        </is>
      </c>
      <c r="B407" s="5" t="inlineStr"/>
      <c r="C407" s="5" t="inlineStr">
        <is>
          <t>医療機関</t>
        </is>
      </c>
      <c r="D407" s="30" t="n">
        <v>2</v>
      </c>
      <c r="E407" s="30" t="n">
        <v>0</v>
      </c>
      <c r="F407" s="30" t="n">
        <v>1</v>
      </c>
      <c r="G407" s="20">
        <f>IF(D$5=0,0,D407/D$5)</f>
        <v>0.0689655172413793</v>
      </c>
      <c r="H407" s="20">
        <f>IF(E$5=0,0,E407/E$5)</f>
        <v>0</v>
      </c>
      <c r="I407" s="20">
        <f>IF(F$5=0,0,F407/F$5)</f>
        <v>0.166666666666667</v>
      </c>
    </row>
    <row r="408">
      <c r="A408" s="4" t="inlineStr">
        <is>
          <t>問40</t>
        </is>
      </c>
      <c r="B408" s="5" t="inlineStr"/>
      <c r="C408" s="5" t="inlineStr">
        <is>
          <t>消防・警察</t>
        </is>
      </c>
      <c r="D408" s="30" t="n">
        <v>1</v>
      </c>
      <c r="E408" s="30" t="n">
        <v>0</v>
      </c>
      <c r="F408" s="30" t="n">
        <v>2</v>
      </c>
      <c r="G408" s="20">
        <f>IF(D$5=0,0,D408/D$5)</f>
        <v>0.0344827586206897</v>
      </c>
      <c r="H408" s="20">
        <f>IF(E$5=0,0,E408/E$5)</f>
        <v>0</v>
      </c>
      <c r="I408" s="20">
        <f>IF(F$5=0,0,F408/F$5)</f>
        <v>0.333333333333333</v>
      </c>
    </row>
    <row r="409">
      <c r="A409" s="4" t="inlineStr">
        <is>
          <t>問40</t>
        </is>
      </c>
      <c r="B409" s="5" t="inlineStr"/>
      <c r="C409" s="5" t="inlineStr">
        <is>
          <t>いない・わからない</t>
        </is>
      </c>
      <c r="D409" s="30" t="n">
        <v>0</v>
      </c>
      <c r="E409" s="30" t="n">
        <v>0</v>
      </c>
      <c r="F409" s="30" t="n">
        <v>0</v>
      </c>
      <c r="G409" s="20">
        <f>IF(D$5=0,0,D409/D$5)</f>
        <v>0</v>
      </c>
      <c r="H409" s="20">
        <f>IF(E$5=0,0,E409/E$5)</f>
        <v>0</v>
      </c>
      <c r="I409" s="20">
        <f>IF(F$5=0,0,F409/F$5)</f>
        <v>0</v>
      </c>
    </row>
    <row r="410">
      <c r="A410" s="4" t="inlineStr">
        <is>
          <t>問40</t>
        </is>
      </c>
      <c r="B410" s="5" t="inlineStr"/>
      <c r="C410" s="5" t="inlineStr">
        <is>
          <t>その他</t>
        </is>
      </c>
      <c r="D410" s="30" t="n">
        <v>1</v>
      </c>
      <c r="E410" s="30" t="n">
        <v>0</v>
      </c>
      <c r="F410" s="30" t="n">
        <v>0</v>
      </c>
      <c r="G410" s="20">
        <f>IF(D$5=0,0,D410/D$5)</f>
        <v>0.0344827586206897</v>
      </c>
      <c r="H410" s="20">
        <f>IF(E$5=0,0,E410/E$5)</f>
        <v>0</v>
      </c>
      <c r="I410" s="20">
        <f>IF(F$5=0,0,F410/F$5)</f>
        <v>0</v>
      </c>
    </row>
    <row r="411">
      <c r="A411" s="4" t="inlineStr">
        <is>
          <t>問40</t>
        </is>
      </c>
      <c r="B411" s="5" t="inlineStr"/>
      <c r="C411" s="5" t="inlineStr">
        <is>
          <t>無回答</t>
        </is>
      </c>
      <c r="D411" s="30" t="n">
        <v>3</v>
      </c>
      <c r="E411" s="30" t="n">
        <v>0</v>
      </c>
      <c r="F411" s="30" t="n">
        <v>0</v>
      </c>
      <c r="G411" s="20">
        <f>IF(D$5=0,0,D411/D$5)</f>
        <v>0.103448275862069</v>
      </c>
      <c r="H411" s="20">
        <f>IF(E$5=0,0,E411/E$5)</f>
        <v>0</v>
      </c>
      <c r="I411" s="20">
        <f>IF(F$5=0,0,F411/F$5)</f>
        <v>0</v>
      </c>
    </row>
    <row r="412">
      <c r="A412" s="4" t="inlineStr">
        <is>
          <t>問41</t>
        </is>
      </c>
      <c r="B412" s="5" t="inlineStr">
        <is>
          <t>災害時に必要だと思う支援は何ですか（あてはまるものすべて）</t>
        </is>
      </c>
      <c r="C412" s="5" t="inlineStr">
        <is>
          <t>個別避難計画の作成支援</t>
        </is>
      </c>
      <c r="D412" s="30" t="n">
        <v>3</v>
      </c>
      <c r="E412" s="30" t="n">
        <v>0</v>
      </c>
      <c r="F412" s="30" t="n">
        <v>3</v>
      </c>
      <c r="G412" s="20">
        <f>IF(D$5=0,0,D412/D$5)</f>
        <v>0.103448275862069</v>
      </c>
      <c r="H412" s="20">
        <f>IF(E$5=0,0,E412/E$5)</f>
        <v>0</v>
      </c>
      <c r="I412" s="20">
        <f>IF(F$5=0,0,F412/F$5)</f>
        <v>0.5</v>
      </c>
    </row>
    <row r="413">
      <c r="A413" s="4" t="inlineStr">
        <is>
          <t>問41</t>
        </is>
      </c>
      <c r="B413" s="5" t="inlineStr"/>
      <c r="C413" s="5" t="inlineStr">
        <is>
          <t>避難訓練への参加支援</t>
        </is>
      </c>
      <c r="D413" s="30" t="n">
        <v>3</v>
      </c>
      <c r="E413" s="30" t="n">
        <v>0</v>
      </c>
      <c r="F413" s="30" t="n">
        <v>1</v>
      </c>
      <c r="G413" s="20">
        <f>IF(D$5=0,0,D413/D$5)</f>
        <v>0.103448275862069</v>
      </c>
      <c r="H413" s="20">
        <f>IF(E$5=0,0,E413/E$5)</f>
        <v>0</v>
      </c>
      <c r="I413" s="20">
        <f>IF(F$5=0,0,F413/F$5)</f>
        <v>0.166666666666667</v>
      </c>
    </row>
    <row r="414">
      <c r="A414" s="4" t="inlineStr">
        <is>
          <t>問41</t>
        </is>
      </c>
      <c r="B414" s="5" t="inlineStr"/>
      <c r="C414" s="5" t="inlineStr">
        <is>
          <t>福祉避難所の情報提供</t>
        </is>
      </c>
      <c r="D414" s="30" t="n">
        <v>10</v>
      </c>
      <c r="E414" s="30" t="n">
        <v>1</v>
      </c>
      <c r="F414" s="30" t="n">
        <v>2</v>
      </c>
      <c r="G414" s="20">
        <f>IF(D$5=0,0,D414/D$5)</f>
        <v>0.344827586206897</v>
      </c>
      <c r="H414" s="20">
        <f>IF(E$5=0,0,E414/E$5)</f>
        <v>0.5</v>
      </c>
      <c r="I414" s="20">
        <f>IF(F$5=0,0,F414/F$5)</f>
        <v>0.333333333333333</v>
      </c>
    </row>
    <row r="415">
      <c r="A415" s="4" t="inlineStr">
        <is>
          <t>問41</t>
        </is>
      </c>
      <c r="B415" s="5" t="inlineStr"/>
      <c r="C415" s="5" t="inlineStr">
        <is>
          <t>薬・医療機器・電源の確保</t>
        </is>
      </c>
      <c r="D415" s="30" t="n">
        <v>16</v>
      </c>
      <c r="E415" s="30" t="n">
        <v>1</v>
      </c>
      <c r="F415" s="30" t="n">
        <v>3</v>
      </c>
      <c r="G415" s="20">
        <f>IF(D$5=0,0,D415/D$5)</f>
        <v>0.551724137931035</v>
      </c>
      <c r="H415" s="20">
        <f>IF(E$5=0,0,E415/E$5)</f>
        <v>0.5</v>
      </c>
      <c r="I415" s="20">
        <f>IF(F$5=0,0,F415/F$5)</f>
        <v>0.5</v>
      </c>
    </row>
    <row r="416">
      <c r="A416" s="4" t="inlineStr">
        <is>
          <t>問41</t>
        </is>
      </c>
      <c r="B416" s="5" t="inlineStr"/>
      <c r="C416" s="5" t="inlineStr">
        <is>
          <t>冬季避難の支援</t>
        </is>
      </c>
      <c r="D416" s="30" t="n">
        <v>8</v>
      </c>
      <c r="E416" s="30" t="n">
        <v>0</v>
      </c>
      <c r="F416" s="30" t="n">
        <v>4</v>
      </c>
      <c r="G416" s="20">
        <f>IF(D$5=0,0,D416/D$5)</f>
        <v>0.275862068965517</v>
      </c>
      <c r="H416" s="20">
        <f>IF(E$5=0,0,E416/E$5)</f>
        <v>0</v>
      </c>
      <c r="I416" s="20">
        <f>IF(F$5=0,0,F416/F$5)</f>
        <v>0.666666666666667</v>
      </c>
    </row>
    <row r="417">
      <c r="A417" s="4" t="inlineStr">
        <is>
          <t>問41</t>
        </is>
      </c>
      <c r="B417" s="5" t="inlineStr"/>
      <c r="C417" s="5" t="inlineStr">
        <is>
          <t>安否確認</t>
        </is>
      </c>
      <c r="D417" s="30" t="n">
        <v>9</v>
      </c>
      <c r="E417" s="30" t="n">
        <v>0</v>
      </c>
      <c r="F417" s="30" t="n">
        <v>3</v>
      </c>
      <c r="G417" s="20">
        <f>IF(D$5=0,0,D417/D$5)</f>
        <v>0.310344827586207</v>
      </c>
      <c r="H417" s="20">
        <f>IF(E$5=0,0,E417/E$5)</f>
        <v>0</v>
      </c>
      <c r="I417" s="20">
        <f>IF(F$5=0,0,F417/F$5)</f>
        <v>0.5</v>
      </c>
    </row>
    <row r="418">
      <c r="A418" s="4" t="inlineStr">
        <is>
          <t>問41</t>
        </is>
      </c>
      <c r="B418" s="5" t="inlineStr"/>
      <c r="C418" s="5" t="inlineStr">
        <is>
          <t>避難所での合理的配慮</t>
        </is>
      </c>
      <c r="D418" s="30" t="n">
        <v>6</v>
      </c>
      <c r="E418" s="30" t="n">
        <v>0</v>
      </c>
      <c r="F418" s="30" t="n">
        <v>5</v>
      </c>
      <c r="G418" s="20">
        <f>IF(D$5=0,0,D418/D$5)</f>
        <v>0.206896551724138</v>
      </c>
      <c r="H418" s="20">
        <f>IF(E$5=0,0,E418/E$5)</f>
        <v>0</v>
      </c>
      <c r="I418" s="20">
        <f>IF(F$5=0,0,F418/F$5)</f>
        <v>0.833333333333333</v>
      </c>
    </row>
    <row r="419">
      <c r="A419" s="4" t="inlineStr">
        <is>
          <t>問41</t>
        </is>
      </c>
      <c r="B419" s="5" t="inlineStr"/>
      <c r="C419" s="5" t="inlineStr">
        <is>
          <t>文字・掲示・字幕等の目で見てわかる災害情報</t>
        </is>
      </c>
      <c r="D419" s="30" t="n">
        <v>9</v>
      </c>
      <c r="E419" s="30" t="n">
        <v>0</v>
      </c>
      <c r="F419" s="30" t="n">
        <v>3</v>
      </c>
      <c r="G419" s="20">
        <f>IF(D$5=0,0,D419/D$5)</f>
        <v>0.310344827586207</v>
      </c>
      <c r="H419" s="20">
        <f>IF(E$5=0,0,E419/E$5)</f>
        <v>0</v>
      </c>
      <c r="I419" s="20">
        <f>IF(F$5=0,0,F419/F$5)</f>
        <v>0.5</v>
      </c>
    </row>
    <row r="420">
      <c r="A420" s="4" t="inlineStr">
        <is>
          <t>問41</t>
        </is>
      </c>
      <c r="B420" s="5" t="inlineStr"/>
      <c r="C420" s="5" t="inlineStr">
        <is>
          <t>その他</t>
        </is>
      </c>
      <c r="D420" s="30" t="n">
        <v>1</v>
      </c>
      <c r="E420" s="30" t="n">
        <v>0</v>
      </c>
      <c r="F420" s="30" t="n">
        <v>0</v>
      </c>
      <c r="G420" s="20">
        <f>IF(D$5=0,0,D420/D$5)</f>
        <v>0.0344827586206897</v>
      </c>
      <c r="H420" s="20">
        <f>IF(E$5=0,0,E420/E$5)</f>
        <v>0</v>
      </c>
      <c r="I420" s="20">
        <f>IF(F$5=0,0,F420/F$5)</f>
        <v>0</v>
      </c>
    </row>
    <row r="421">
      <c r="A421" s="4" t="inlineStr">
        <is>
          <t>問41</t>
        </is>
      </c>
      <c r="B421" s="5" t="inlineStr"/>
      <c r="C421" s="5" t="inlineStr">
        <is>
          <t>無回答</t>
        </is>
      </c>
      <c r="D421" s="30" t="n">
        <v>4</v>
      </c>
      <c r="E421" s="30" t="n">
        <v>0</v>
      </c>
      <c r="F421" s="30" t="n">
        <v>0</v>
      </c>
      <c r="G421" s="20">
        <f>IF(D$5=0,0,D421/D$5)</f>
        <v>0.137931034482759</v>
      </c>
      <c r="H421" s="20">
        <f>IF(E$5=0,0,E421/E$5)</f>
        <v>0</v>
      </c>
      <c r="I421" s="20">
        <f>IF(F$5=0,0,F421/F$5)</f>
        <v>0</v>
      </c>
    </row>
    <row r="422">
      <c r="A422" s="4" t="inlineStr">
        <is>
          <t>問42</t>
        </is>
      </c>
      <c r="B422" s="5" t="inlineStr">
        <is>
          <t>地域活動や社会参加について、今後参加したいものはありますか（あてはまるものすべて）</t>
        </is>
      </c>
      <c r="C422" s="5" t="inlineStr">
        <is>
          <t>趣味・スポーツ</t>
        </is>
      </c>
      <c r="D422" s="30" t="n">
        <v>5</v>
      </c>
      <c r="E422" s="30" t="n">
        <v>0</v>
      </c>
      <c r="F422" s="30" t="n">
        <v>1</v>
      </c>
      <c r="G422" s="20">
        <f>IF(D$5=0,0,D422/D$5)</f>
        <v>0.172413793103448</v>
      </c>
      <c r="H422" s="20">
        <f>IF(E$5=0,0,E422/E$5)</f>
        <v>0</v>
      </c>
      <c r="I422" s="20">
        <f>IF(F$5=0,0,F422/F$5)</f>
        <v>0.166666666666667</v>
      </c>
    </row>
    <row r="423">
      <c r="A423" s="4" t="inlineStr">
        <is>
          <t>問42</t>
        </is>
      </c>
      <c r="B423" s="5" t="inlineStr"/>
      <c r="C423" s="5" t="inlineStr">
        <is>
          <t>ボランティア</t>
        </is>
      </c>
      <c r="D423" s="30" t="n">
        <v>1</v>
      </c>
      <c r="E423" s="30" t="n">
        <v>0</v>
      </c>
      <c r="F423" s="30" t="n">
        <v>1</v>
      </c>
      <c r="G423" s="20">
        <f>IF(D$5=0,0,D423/D$5)</f>
        <v>0.0344827586206897</v>
      </c>
      <c r="H423" s="20">
        <f>IF(E$5=0,0,E423/E$5)</f>
        <v>0</v>
      </c>
      <c r="I423" s="20">
        <f>IF(F$5=0,0,F423/F$5)</f>
        <v>0.166666666666667</v>
      </c>
    </row>
    <row r="424">
      <c r="A424" s="4" t="inlineStr">
        <is>
          <t>問42</t>
        </is>
      </c>
      <c r="B424" s="5" t="inlineStr"/>
      <c r="C424" s="5" t="inlineStr">
        <is>
          <t>地域行事</t>
        </is>
      </c>
      <c r="D424" s="30" t="n">
        <v>4</v>
      </c>
      <c r="E424" s="30" t="n">
        <v>0</v>
      </c>
      <c r="F424" s="30" t="n">
        <v>1</v>
      </c>
      <c r="G424" s="20">
        <f>IF(D$5=0,0,D424/D$5)</f>
        <v>0.137931034482759</v>
      </c>
      <c r="H424" s="20">
        <f>IF(E$5=0,0,E424/E$5)</f>
        <v>0</v>
      </c>
      <c r="I424" s="20">
        <f>IF(F$5=0,0,F424/F$5)</f>
        <v>0.166666666666667</v>
      </c>
    </row>
    <row r="425">
      <c r="A425" s="4" t="inlineStr">
        <is>
          <t>問42</t>
        </is>
      </c>
      <c r="B425" s="5" t="inlineStr"/>
      <c r="C425" s="5" t="inlineStr">
        <is>
          <t>障がい者団体・家族会</t>
        </is>
      </c>
      <c r="D425" s="30" t="n">
        <v>2</v>
      </c>
      <c r="E425" s="30" t="n">
        <v>1</v>
      </c>
      <c r="F425" s="30" t="n">
        <v>1</v>
      </c>
      <c r="G425" s="20">
        <f>IF(D$5=0,0,D425/D$5)</f>
        <v>0.0689655172413793</v>
      </c>
      <c r="H425" s="20">
        <f>IF(E$5=0,0,E425/E$5)</f>
        <v>0.5</v>
      </c>
      <c r="I425" s="20">
        <f>IF(F$5=0,0,F425/F$5)</f>
        <v>0.166666666666667</v>
      </c>
    </row>
    <row r="426">
      <c r="A426" s="4" t="inlineStr">
        <is>
          <t>問42</t>
        </is>
      </c>
      <c r="B426" s="5" t="inlineStr"/>
      <c r="C426" s="5" t="inlineStr">
        <is>
          <t>就労・地域貢献</t>
        </is>
      </c>
      <c r="D426" s="30" t="n">
        <v>2</v>
      </c>
      <c r="E426" s="30" t="n">
        <v>0</v>
      </c>
      <c r="F426" s="30" t="n">
        <v>1</v>
      </c>
      <c r="G426" s="20">
        <f>IF(D$5=0,0,D426/D$5)</f>
        <v>0.0689655172413793</v>
      </c>
      <c r="H426" s="20">
        <f>IF(E$5=0,0,E426/E$5)</f>
        <v>0</v>
      </c>
      <c r="I426" s="20">
        <f>IF(F$5=0,0,F426/F$5)</f>
        <v>0.166666666666667</v>
      </c>
    </row>
    <row r="427">
      <c r="A427" s="4" t="inlineStr">
        <is>
          <t>問42</t>
        </is>
      </c>
      <c r="B427" s="5" t="inlineStr"/>
      <c r="C427" s="5" t="inlineStr">
        <is>
          <t>学習・講座</t>
        </is>
      </c>
      <c r="D427" s="30" t="n">
        <v>2</v>
      </c>
      <c r="E427" s="30" t="n">
        <v>0</v>
      </c>
      <c r="F427" s="30" t="n">
        <v>1</v>
      </c>
      <c r="G427" s="20">
        <f>IF(D$5=0,0,D427/D$5)</f>
        <v>0.0689655172413793</v>
      </c>
      <c r="H427" s="20">
        <f>IF(E$5=0,0,E427/E$5)</f>
        <v>0</v>
      </c>
      <c r="I427" s="20">
        <f>IF(F$5=0,0,F427/F$5)</f>
        <v>0.166666666666667</v>
      </c>
    </row>
    <row r="428">
      <c r="A428" s="4" t="inlineStr">
        <is>
          <t>問42</t>
        </is>
      </c>
      <c r="B428" s="5" t="inlineStr"/>
      <c r="C428" s="5" t="inlineStr">
        <is>
          <t>オンラインでの交流</t>
        </is>
      </c>
      <c r="D428" s="30" t="n">
        <v>0</v>
      </c>
      <c r="E428" s="30" t="n">
        <v>0</v>
      </c>
      <c r="F428" s="30" t="n">
        <v>0</v>
      </c>
      <c r="G428" s="20">
        <f>IF(D$5=0,0,D428/D$5)</f>
        <v>0</v>
      </c>
      <c r="H428" s="20">
        <f>IF(E$5=0,0,E428/E$5)</f>
        <v>0</v>
      </c>
      <c r="I428" s="20">
        <f>IF(F$5=0,0,F428/F$5)</f>
        <v>0</v>
      </c>
    </row>
    <row r="429">
      <c r="A429" s="4" t="inlineStr">
        <is>
          <t>問42</t>
        </is>
      </c>
      <c r="B429" s="5" t="inlineStr"/>
      <c r="C429" s="5" t="inlineStr">
        <is>
          <t>特にない</t>
        </is>
      </c>
      <c r="D429" s="30" t="n">
        <v>14</v>
      </c>
      <c r="E429" s="30" t="n">
        <v>1</v>
      </c>
      <c r="F429" s="30" t="n">
        <v>3</v>
      </c>
      <c r="G429" s="20">
        <f>IF(D$5=0,0,D429/D$5)</f>
        <v>0.482758620689655</v>
      </c>
      <c r="H429" s="20">
        <f>IF(E$5=0,0,E429/E$5)</f>
        <v>0.5</v>
      </c>
      <c r="I429" s="20">
        <f>IF(F$5=0,0,F429/F$5)</f>
        <v>0.5</v>
      </c>
    </row>
    <row r="430">
      <c r="A430" s="4" t="inlineStr">
        <is>
          <t>問42</t>
        </is>
      </c>
      <c r="B430" s="5" t="inlineStr"/>
      <c r="C430" s="5" t="inlineStr">
        <is>
          <t>その他</t>
        </is>
      </c>
      <c r="D430" s="30" t="n">
        <v>0</v>
      </c>
      <c r="E430" s="30" t="n">
        <v>0</v>
      </c>
      <c r="F430" s="30" t="n">
        <v>0</v>
      </c>
      <c r="G430" s="20">
        <f>IF(D$5=0,0,D430/D$5)</f>
        <v>0</v>
      </c>
      <c r="H430" s="20">
        <f>IF(E$5=0,0,E430/E$5)</f>
        <v>0</v>
      </c>
      <c r="I430" s="20">
        <f>IF(F$5=0,0,F430/F$5)</f>
        <v>0</v>
      </c>
    </row>
    <row r="431">
      <c r="A431" s="4" t="inlineStr">
        <is>
          <t>問42</t>
        </is>
      </c>
      <c r="B431" s="5" t="inlineStr"/>
      <c r="C431" s="5" t="inlineStr">
        <is>
          <t>無回答</t>
        </is>
      </c>
      <c r="D431" s="30" t="n">
        <v>7</v>
      </c>
      <c r="E431" s="30" t="n">
        <v>0</v>
      </c>
      <c r="F431" s="30" t="n">
        <v>1</v>
      </c>
      <c r="G431" s="20">
        <f>IF(D$5=0,0,D431/D$5)</f>
        <v>0.241379310344828</v>
      </c>
      <c r="H431" s="20">
        <f>IF(E$5=0,0,E431/E$5)</f>
        <v>0</v>
      </c>
      <c r="I431" s="20">
        <f>IF(F$5=0,0,F431/F$5)</f>
        <v>0.166666666666667</v>
      </c>
    </row>
    <row r="432">
      <c r="A432" s="4" t="inlineStr">
        <is>
          <t>問43</t>
        </is>
      </c>
      <c r="B432" s="5" t="inlineStr">
        <is>
          <t>障がいへの理解を深めるために必要だと思う取組は何ですか（あてはまるものすべて）</t>
        </is>
      </c>
      <c r="C432" s="5" t="inlineStr">
        <is>
          <t>学校での福祉教育</t>
        </is>
      </c>
      <c r="D432" s="30" t="n">
        <v>8</v>
      </c>
      <c r="E432" s="30" t="n">
        <v>1</v>
      </c>
      <c r="F432" s="30" t="n">
        <v>1</v>
      </c>
      <c r="G432" s="20">
        <f>IF(D$5=0,0,D432/D$5)</f>
        <v>0.275862068965517</v>
      </c>
      <c r="H432" s="20">
        <f>IF(E$5=0,0,E432/E$5)</f>
        <v>0.5</v>
      </c>
      <c r="I432" s="20">
        <f>IF(F$5=0,0,F432/F$5)</f>
        <v>0.166666666666667</v>
      </c>
    </row>
    <row r="433">
      <c r="A433" s="4" t="inlineStr">
        <is>
          <t>問43</t>
        </is>
      </c>
      <c r="B433" s="5" t="inlineStr"/>
      <c r="C433" s="5" t="inlineStr">
        <is>
          <t>地域住民向けの講座</t>
        </is>
      </c>
      <c r="D433" s="30" t="n">
        <v>5</v>
      </c>
      <c r="E433" s="30" t="n">
        <v>0</v>
      </c>
      <c r="F433" s="30" t="n">
        <v>0</v>
      </c>
      <c r="G433" s="20">
        <f>IF(D$5=0,0,D433/D$5)</f>
        <v>0.172413793103448</v>
      </c>
      <c r="H433" s="20">
        <f>IF(E$5=0,0,E433/E$5)</f>
        <v>0</v>
      </c>
      <c r="I433" s="20">
        <f>IF(F$5=0,0,F433/F$5)</f>
        <v>0</v>
      </c>
    </row>
    <row r="434">
      <c r="A434" s="4" t="inlineStr">
        <is>
          <t>問43</t>
        </is>
      </c>
      <c r="B434" s="5" t="inlineStr"/>
      <c r="C434" s="5" t="inlineStr">
        <is>
          <t>事業所・企業への啓発</t>
        </is>
      </c>
      <c r="D434" s="30" t="n">
        <v>4</v>
      </c>
      <c r="E434" s="30" t="n">
        <v>0</v>
      </c>
      <c r="F434" s="30" t="n">
        <v>1</v>
      </c>
      <c r="G434" s="20">
        <f>IF(D$5=0,0,D434/D$5)</f>
        <v>0.137931034482759</v>
      </c>
      <c r="H434" s="20">
        <f>IF(E$5=0,0,E434/E$5)</f>
        <v>0</v>
      </c>
      <c r="I434" s="20">
        <f>IF(F$5=0,0,F434/F$5)</f>
        <v>0.166666666666667</v>
      </c>
    </row>
    <row r="435">
      <c r="A435" s="4" t="inlineStr">
        <is>
          <t>問43</t>
        </is>
      </c>
      <c r="B435" s="5" t="inlineStr"/>
      <c r="C435" s="5" t="inlineStr">
        <is>
          <t>広報・ホームページでの情報発信</t>
        </is>
      </c>
      <c r="D435" s="30" t="n">
        <v>10</v>
      </c>
      <c r="E435" s="30" t="n">
        <v>0</v>
      </c>
      <c r="F435" s="30" t="n">
        <v>2</v>
      </c>
      <c r="G435" s="20">
        <f>IF(D$5=0,0,D435/D$5)</f>
        <v>0.344827586206897</v>
      </c>
      <c r="H435" s="20">
        <f>IF(E$5=0,0,E435/E$5)</f>
        <v>0</v>
      </c>
      <c r="I435" s="20">
        <f>IF(F$5=0,0,F435/F$5)</f>
        <v>0.333333333333333</v>
      </c>
    </row>
    <row r="436">
      <c r="A436" s="4" t="inlineStr">
        <is>
          <t>問43</t>
        </is>
      </c>
      <c r="B436" s="5" t="inlineStr"/>
      <c r="C436" s="5" t="inlineStr">
        <is>
          <t>交流の場づくり</t>
        </is>
      </c>
      <c r="D436" s="30" t="n">
        <v>7</v>
      </c>
      <c r="E436" s="30" t="n">
        <v>2</v>
      </c>
      <c r="F436" s="30" t="n">
        <v>1</v>
      </c>
      <c r="G436" s="20">
        <f>IF(D$5=0,0,D436/D$5)</f>
        <v>0.241379310344828</v>
      </c>
      <c r="H436" s="20">
        <f>IF(E$5=0,0,E436/E$5)</f>
        <v>1</v>
      </c>
      <c r="I436" s="20">
        <f>IF(F$5=0,0,F436/F$5)</f>
        <v>0.166666666666667</v>
      </c>
    </row>
    <row r="437">
      <c r="A437" s="4" t="inlineStr">
        <is>
          <t>問43</t>
        </is>
      </c>
      <c r="B437" s="5" t="inlineStr"/>
      <c r="C437" s="5" t="inlineStr">
        <is>
          <t>障がい当事者の意見発信</t>
        </is>
      </c>
      <c r="D437" s="30" t="n">
        <v>4</v>
      </c>
      <c r="E437" s="30" t="n">
        <v>0</v>
      </c>
      <c r="F437" s="30" t="n">
        <v>1</v>
      </c>
      <c r="G437" s="20">
        <f>IF(D$5=0,0,D437/D$5)</f>
        <v>0.137931034482759</v>
      </c>
      <c r="H437" s="20">
        <f>IF(E$5=0,0,E437/E$5)</f>
        <v>0</v>
      </c>
      <c r="I437" s="20">
        <f>IF(F$5=0,0,F437/F$5)</f>
        <v>0.166666666666667</v>
      </c>
    </row>
    <row r="438">
      <c r="A438" s="4" t="inlineStr">
        <is>
          <t>問43</t>
        </is>
      </c>
      <c r="B438" s="5" t="inlineStr"/>
      <c r="C438" s="5" t="inlineStr">
        <is>
          <t>特にない</t>
        </is>
      </c>
      <c r="D438" s="30" t="n">
        <v>5</v>
      </c>
      <c r="E438" s="30" t="n">
        <v>0</v>
      </c>
      <c r="F438" s="30" t="n">
        <v>1</v>
      </c>
      <c r="G438" s="20">
        <f>IF(D$5=0,0,D438/D$5)</f>
        <v>0.172413793103448</v>
      </c>
      <c r="H438" s="20">
        <f>IF(E$5=0,0,E438/E$5)</f>
        <v>0</v>
      </c>
      <c r="I438" s="20">
        <f>IF(F$5=0,0,F438/F$5)</f>
        <v>0.166666666666667</v>
      </c>
    </row>
    <row r="439">
      <c r="A439" s="4" t="inlineStr">
        <is>
          <t>問43</t>
        </is>
      </c>
      <c r="B439" s="5" t="inlineStr"/>
      <c r="C439" s="5" t="inlineStr">
        <is>
          <t>その他</t>
        </is>
      </c>
      <c r="D439" s="30" t="n">
        <v>0</v>
      </c>
      <c r="E439" s="30" t="n">
        <v>0</v>
      </c>
      <c r="F439" s="30" t="n">
        <v>0</v>
      </c>
      <c r="G439" s="20">
        <f>IF(D$5=0,0,D439/D$5)</f>
        <v>0</v>
      </c>
      <c r="H439" s="20">
        <f>IF(E$5=0,0,E439/E$5)</f>
        <v>0</v>
      </c>
      <c r="I439" s="20">
        <f>IF(F$5=0,0,F439/F$5)</f>
        <v>0</v>
      </c>
    </row>
    <row r="440">
      <c r="A440" s="4" t="inlineStr">
        <is>
          <t>問43</t>
        </is>
      </c>
      <c r="B440" s="5" t="inlineStr"/>
      <c r="C440" s="5" t="inlineStr">
        <is>
          <t>無回答</t>
        </is>
      </c>
      <c r="D440" s="30" t="n">
        <v>6</v>
      </c>
      <c r="E440" s="30" t="n">
        <v>0</v>
      </c>
      <c r="F440" s="30" t="n">
        <v>1</v>
      </c>
      <c r="G440" s="20">
        <f>IF(D$5=0,0,D440/D$5)</f>
        <v>0.206896551724138</v>
      </c>
      <c r="H440" s="20">
        <f>IF(E$5=0,0,E440/E$5)</f>
        <v>0</v>
      </c>
      <c r="I440" s="20">
        <f>IF(F$5=0,0,F440/F$5)</f>
        <v>0.166666666666667</v>
      </c>
    </row>
    <row r="441">
      <c r="A441" s="4" t="inlineStr">
        <is>
          <t>問44</t>
        </is>
      </c>
      <c r="B441" s="5" t="inlineStr">
        <is>
          <t>今後、村が特に力を入れるべきことは何ですか（3つまで）</t>
        </is>
      </c>
      <c r="C441" s="5" t="inlineStr">
        <is>
          <t>相談支援体制</t>
        </is>
      </c>
      <c r="D441" s="30" t="n">
        <v>10</v>
      </c>
      <c r="E441" s="30" t="n">
        <v>1</v>
      </c>
      <c r="F441" s="30" t="n">
        <v>2</v>
      </c>
      <c r="G441" s="20">
        <f>IF(D$5=0,0,D441/D$5)</f>
        <v>0.344827586206897</v>
      </c>
      <c r="H441" s="20">
        <f>IF(E$5=0,0,E441/E$5)</f>
        <v>0.5</v>
      </c>
      <c r="I441" s="20">
        <f>IF(F$5=0,0,F441/F$5)</f>
        <v>0.333333333333333</v>
      </c>
    </row>
    <row r="442">
      <c r="A442" s="4" t="inlineStr">
        <is>
          <t>問44</t>
        </is>
      </c>
      <c r="B442" s="5" t="inlineStr"/>
      <c r="C442" s="5" t="inlineStr">
        <is>
          <t>在宅生活支援</t>
        </is>
      </c>
      <c r="D442" s="30" t="n">
        <v>8</v>
      </c>
      <c r="E442" s="30" t="n">
        <v>0</v>
      </c>
      <c r="F442" s="30" t="n">
        <v>2</v>
      </c>
      <c r="G442" s="20">
        <f>IF(D$5=0,0,D442/D$5)</f>
        <v>0.275862068965517</v>
      </c>
      <c r="H442" s="20">
        <f>IF(E$5=0,0,E442/E$5)</f>
        <v>0</v>
      </c>
      <c r="I442" s="20">
        <f>IF(F$5=0,0,F442/F$5)</f>
        <v>0.333333333333333</v>
      </c>
    </row>
    <row r="443">
      <c r="A443" s="4" t="inlineStr">
        <is>
          <t>問44</t>
        </is>
      </c>
      <c r="B443" s="5" t="inlineStr"/>
      <c r="C443" s="5" t="inlineStr">
        <is>
          <t>移動支援</t>
        </is>
      </c>
      <c r="D443" s="30" t="n">
        <v>6</v>
      </c>
      <c r="E443" s="30" t="n">
        <v>1</v>
      </c>
      <c r="F443" s="30" t="n">
        <v>3</v>
      </c>
      <c r="G443" s="20">
        <f>IF(D$5=0,0,D443/D$5)</f>
        <v>0.206896551724138</v>
      </c>
      <c r="H443" s="20">
        <f>IF(E$5=0,0,E443/E$5)</f>
        <v>0.5</v>
      </c>
      <c r="I443" s="20">
        <f>IF(F$5=0,0,F443/F$5)</f>
        <v>0.5</v>
      </c>
    </row>
    <row r="444">
      <c r="A444" s="4" t="inlineStr">
        <is>
          <t>問44</t>
        </is>
      </c>
      <c r="B444" s="5" t="inlineStr"/>
      <c r="C444" s="5" t="inlineStr">
        <is>
          <t>就労支援</t>
        </is>
      </c>
      <c r="D444" s="30" t="n">
        <v>1</v>
      </c>
      <c r="E444" s="30" t="n">
        <v>0</v>
      </c>
      <c r="F444" s="30" t="n">
        <v>2</v>
      </c>
      <c r="G444" s="20">
        <f>IF(D$5=0,0,D444/D$5)</f>
        <v>0.0344827586206897</v>
      </c>
      <c r="H444" s="20">
        <f>IF(E$5=0,0,E444/E$5)</f>
        <v>0</v>
      </c>
      <c r="I444" s="20">
        <f>IF(F$5=0,0,F444/F$5)</f>
        <v>0.333333333333333</v>
      </c>
    </row>
    <row r="445">
      <c r="A445" s="4" t="inlineStr">
        <is>
          <t>問44</t>
        </is>
      </c>
      <c r="B445" s="5" t="inlineStr"/>
      <c r="C445" s="5" t="inlineStr">
        <is>
          <t>災害時支援</t>
        </is>
      </c>
      <c r="D445" s="30" t="n">
        <v>12</v>
      </c>
      <c r="E445" s="30" t="n">
        <v>0</v>
      </c>
      <c r="F445" s="30" t="n">
        <v>1</v>
      </c>
      <c r="G445" s="20">
        <f>IF(D$5=0,0,D445/D$5)</f>
        <v>0.413793103448276</v>
      </c>
      <c r="H445" s="20">
        <f>IF(E$5=0,0,E445/E$5)</f>
        <v>0</v>
      </c>
      <c r="I445" s="20">
        <f>IF(F$5=0,0,F445/F$5)</f>
        <v>0.166666666666667</v>
      </c>
    </row>
    <row r="446">
      <c r="A446" s="4" t="inlineStr">
        <is>
          <t>問44</t>
        </is>
      </c>
      <c r="B446" s="5" t="inlineStr"/>
      <c r="C446" s="5" t="inlineStr">
        <is>
          <t>差別解消・権利擁護</t>
        </is>
      </c>
      <c r="D446" s="30" t="n">
        <v>4</v>
      </c>
      <c r="E446" s="30" t="n">
        <v>0</v>
      </c>
      <c r="F446" s="30" t="n">
        <v>1</v>
      </c>
      <c r="G446" s="20">
        <f>IF(D$5=0,0,D446/D$5)</f>
        <v>0.137931034482759</v>
      </c>
      <c r="H446" s="20">
        <f>IF(E$5=0,0,E446/E$5)</f>
        <v>0</v>
      </c>
      <c r="I446" s="20">
        <f>IF(F$5=0,0,F446/F$5)</f>
        <v>0.166666666666667</v>
      </c>
    </row>
    <row r="447">
      <c r="A447" s="4" t="inlineStr">
        <is>
          <t>問44</t>
        </is>
      </c>
      <c r="B447" s="5" t="inlineStr"/>
      <c r="C447" s="5" t="inlineStr">
        <is>
          <t>家族支援</t>
        </is>
      </c>
      <c r="D447" s="30" t="n">
        <v>7</v>
      </c>
      <c r="E447" s="30" t="n">
        <v>0</v>
      </c>
      <c r="F447" s="30" t="n">
        <v>1</v>
      </c>
      <c r="G447" s="20">
        <f>IF(D$5=0,0,D447/D$5)</f>
        <v>0.241379310344828</v>
      </c>
      <c r="H447" s="20">
        <f>IF(E$5=0,0,E447/E$5)</f>
        <v>0</v>
      </c>
      <c r="I447" s="20">
        <f>IF(F$5=0,0,F447/F$5)</f>
        <v>0.166666666666667</v>
      </c>
    </row>
    <row r="448">
      <c r="A448" s="4" t="inlineStr">
        <is>
          <t>問44</t>
        </is>
      </c>
      <c r="B448" s="5" t="inlineStr"/>
      <c r="C448" s="5" t="inlineStr">
        <is>
          <t>サービス事業所の確保</t>
        </is>
      </c>
      <c r="D448" s="30" t="n">
        <v>8</v>
      </c>
      <c r="E448" s="30" t="n">
        <v>2</v>
      </c>
      <c r="F448" s="30" t="n">
        <v>1</v>
      </c>
      <c r="G448" s="20">
        <f>IF(D$5=0,0,D448/D$5)</f>
        <v>0.275862068965517</v>
      </c>
      <c r="H448" s="20">
        <f>IF(E$5=0,0,E448/E$5)</f>
        <v>1</v>
      </c>
      <c r="I448" s="20">
        <f>IF(F$5=0,0,F448/F$5)</f>
        <v>0.166666666666667</v>
      </c>
    </row>
    <row r="449">
      <c r="A449" s="4" t="inlineStr">
        <is>
          <t>問44</t>
        </is>
      </c>
      <c r="B449" s="5" t="inlineStr"/>
      <c r="C449" s="5" t="inlineStr">
        <is>
          <t>その他</t>
        </is>
      </c>
      <c r="D449" s="30" t="n">
        <v>0</v>
      </c>
      <c r="E449" s="30" t="n">
        <v>0</v>
      </c>
      <c r="F449" s="30" t="n">
        <v>0</v>
      </c>
      <c r="G449" s="20">
        <f>IF(D$5=0,0,D449/D$5)</f>
        <v>0</v>
      </c>
      <c r="H449" s="20">
        <f>IF(E$5=0,0,E449/E$5)</f>
        <v>0</v>
      </c>
      <c r="I449" s="20">
        <f>IF(F$5=0,0,F449/F$5)</f>
        <v>0</v>
      </c>
    </row>
    <row r="450">
      <c r="A450" s="4" t="inlineStr">
        <is>
          <t>問44</t>
        </is>
      </c>
      <c r="B450" s="5" t="inlineStr"/>
      <c r="C450" s="5" t="inlineStr">
        <is>
          <t>無回答</t>
        </is>
      </c>
      <c r="D450" s="30" t="n">
        <v>4</v>
      </c>
      <c r="E450" s="30" t="n">
        <v>0</v>
      </c>
      <c r="F450" s="30" t="n">
        <v>1</v>
      </c>
      <c r="G450" s="20">
        <f>IF(D$5=0,0,D450/D$5)</f>
        <v>0.137931034482759</v>
      </c>
      <c r="H450" s="20">
        <f>IF(E$5=0,0,E450/E$5)</f>
        <v>0</v>
      </c>
      <c r="I450" s="20">
        <f>IF(F$5=0,0,F450/F$5)</f>
        <v>0.166666666666667</v>
      </c>
    </row>
  </sheetData>
  <autoFilter ref="A4:I4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2026-10-04T23:29:26Z</dcterms:created>
  <dcterms:modified xmlns:dcterms="http://purl.org/dc/terms/" xmlns:xsi="http://www.w3.org/2001/XMLSchema-instance" xsi:type="dcterms:W3CDTF">2026-10-04T23:29:28Z</dcterms:modified>
</cp:coreProperties>
</file>