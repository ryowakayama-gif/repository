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60c33cc3ec04d49" /></Relationships>
</file>

<file path=xl/workbook.xml><?xml version="1.0" encoding="utf-8"?>
<x:workbook xmlns:x="http://schemas.openxmlformats.org/spreadsheetml/2006/main">
  <x:sheets>
    <x:sheet xmlns:r="http://schemas.openxmlformats.org/officeDocument/2006/relationships" name="データ" sheetId="1" r:id="Rbcbec623a998467d"/>
    <x:sheet xmlns:r="http://schemas.openxmlformats.org/officeDocument/2006/relationships" name="SurveyApp_Metadata" sheetId="2" r:id="R0756b55f33b44d5a"/>
    <x:sheet xmlns:r="http://schemas.openxmlformats.org/officeDocument/2006/relationships" name="概要" sheetId="3" r:id="R6c84a72e0f104437"/>
    <x:sheet xmlns:r="http://schemas.openxmlformats.org/officeDocument/2006/relationships" name="単純集計" sheetId="4" r:id="R478a77b344714e5d"/>
    <x:sheet xmlns:r="http://schemas.openxmlformats.org/officeDocument/2006/relationships" name="自由記述一覧" sheetId="5" r:id="R9270ef09655e4d3a"/>
    <x:sheet xmlns:r="http://schemas.openxmlformats.org/officeDocument/2006/relationships" name="C01_障がい×今後サービス" sheetId="6" r:id="R3bcee98cd738440b"/>
    <x:sheet xmlns:r="http://schemas.openxmlformats.org/officeDocument/2006/relationships" name="C02_地区×外出困難" sheetId="7" r:id="R887104473c22490b"/>
    <x:sheet xmlns:r="http://schemas.openxmlformats.org/officeDocument/2006/relationships" name="C03_地区×通園通学課題" sheetId="8" r:id="R044431b9871a4e30"/>
    <x:sheet xmlns:r="http://schemas.openxmlformats.org/officeDocument/2006/relationships" name="C04_年齢×18歳後暮らし" sheetId="9" r:id="R387c8407a4c64e63"/>
    <x:sheet xmlns:r="http://schemas.openxmlformats.org/officeDocument/2006/relationships" name="C05_年齢×生活課題" sheetId="10" r:id="R10808e3125244f92"/>
    <x:sheet xmlns:r="http://schemas.openxmlformats.org/officeDocument/2006/relationships" name="C06_現在サービス×今後" sheetId="11" r:id="R44082c107f944a2b"/>
    <x:sheet xmlns:r="http://schemas.openxmlformats.org/officeDocument/2006/relationships" name="C07_避難計画×災害不安" sheetId="12" r:id="R37b5723b20a74c7e"/>
    <x:sheet xmlns:r="http://schemas.openxmlformats.org/officeDocument/2006/relationships" name="C08_障がい×合理的配慮" sheetId="13" r:id="R7399865c0d7043a8"/>
    <x:sheet xmlns:r="http://schemas.openxmlformats.org/officeDocument/2006/relationships" name="C09_相談先×相談期待" sheetId="14" r:id="Rc6a72375097a4cb1"/>
    <x:sheet xmlns:r="http://schemas.openxmlformats.org/officeDocument/2006/relationships" name="C10_介助者×18歳後不安" sheetId="15" r:id="Rb1e4f01410ef46d3"/>
  </x:sheets>
</x:workbook>
</file>

<file path=xl/sharedStrings.xml><?xml version="1.0" encoding="utf-8"?>
<x:sst xmlns:x="http://schemas.openxmlformats.org/spreadsheetml/2006/main">
  <x:si>
    <x:t xml:space="preserve">NO</x:t>
  </x:si>
  <x:si>
    <x:t xml:space="preserve">追加１</x:t>
  </x:si>
  <x:si>
    <x:t xml:space="preserve">追加２</x:t>
  </x:si>
  <x:si>
    <x:t xml:space="preserve">追加３</x:t>
  </x:si>
  <x:si>
    <x:t xml:space="preserve">追加４</x:t>
  </x:si>
  <x:si>
    <x:t xml:space="preserve">追加５</x:t>
  </x:si>
  <x:si>
    <x:t xml:space="preserve">追加６</x:t>
  </x:si>
  <x:si>
    <x:t xml:space="preserve">追加７</x:t>
  </x:si>
  <x:si>
    <x:t xml:space="preserve">追加８</x:t>
  </x:si>
  <x:si>
    <x:t xml:space="preserve">追加９</x:t>
  </x:si>
  <x:si>
    <x:t xml:space="preserve">追加１０</x:t>
  </x:si>
  <x:si>
    <x:t xml:space="preserve">問1</x:t>
  </x:si>
  <x:si>
    <x:t xml:space="preserve">問1-2</x:t>
  </x:si>
  <x:si>
    <x:t xml:space="preserve">問2</x:t>
  </x:si>
  <x:si>
    <x:t xml:space="preserve">問3</x:t>
  </x:si>
  <x:si>
    <x:t xml:space="preserve">問4</x:t>
  </x:si>
  <x:si>
    <x:t xml:space="preserve">問5</x:t>
  </x:si>
  <x:si>
    <x:t xml:space="preserve">問6</x:t>
  </x:si>
  <x:si>
    <x:t xml:space="preserve">問7</x:t>
  </x:si>
  <x:si>
    <x:t xml:space="preserve">問8</x:t>
  </x:si>
  <x:si>
    <x:t xml:space="preserve">問9</x:t>
  </x:si>
  <x:si>
    <x:t xml:space="preserve">問10</x:t>
  </x:si>
  <x:si>
    <x:t xml:space="preserve">問10-2</x:t>
  </x:si>
  <x:si>
    <x:t xml:space="preserve">問11</x:t>
  </x:si>
  <x:si>
    <x:t xml:space="preserve">問12</x:t>
  </x:si>
  <x:si>
    <x:t xml:space="preserve">問13</x:t>
  </x:si>
  <x:si>
    <x:t xml:space="preserve">問14</x:t>
  </x:si>
  <x:si>
    <x:t xml:space="preserve">問15</x:t>
  </x:si>
  <x:si>
    <x:t xml:space="preserve">問16</x:t>
  </x:si>
  <x:si>
    <x:t xml:space="preserve">問17</x:t>
  </x:si>
  <x:si>
    <x:t xml:space="preserve">問18</x:t>
  </x:si>
  <x:si>
    <x:t xml:space="preserve">問19</x:t>
  </x:si>
  <x:si>
    <x:t xml:space="preserve">問20</x:t>
  </x:si>
  <x:si>
    <x:t xml:space="preserve">問21</x:t>
  </x:si>
  <x:si>
    <x:t xml:space="preserve">問22</x:t>
  </x:si>
  <x:si>
    <x:t xml:space="preserve">問23</x:t>
  </x:si>
  <x:si>
    <x:t xml:space="preserve">問24</x:t>
  </x:si>
  <x:si>
    <x:t xml:space="preserve">問25</x:t>
  </x:si>
  <x:si>
    <x:t xml:space="preserve">問26</x:t>
  </x:si>
  <x:si>
    <x:t xml:space="preserve">問27</x:t>
  </x:si>
  <x:si>
    <x:t xml:space="preserve">問28</x:t>
  </x:si>
  <x:si>
    <x:t xml:space="preserve">問29</x:t>
  </x:si>
  <x:si>
    <x:t xml:space="preserve">問30</x:t>
  </x:si>
  <x:si>
    <x:t xml:space="preserve">問31</x:t>
  </x:si>
  <x:si>
    <x:t xml:space="preserve">問32</x:t>
  </x:si>
  <x:si>
    <x:t xml:space="preserve">問32-1</x:t>
  </x:si>
  <x:si>
    <x:t xml:space="preserve">問33</x:t>
  </x:si>
  <x:si>
    <x:t xml:space="preserve">問34</x:t>
  </x:si>
  <x:si>
    <x:t xml:space="preserve">問35</x:t>
  </x:si>
  <x:si>
    <x:t xml:space="preserve">問36</x:t>
  </x:si>
  <x:si>
    <x:t xml:space="preserve">問37</x:t>
  </x:si>
  <x:si>
    <x:t xml:space="preserve">問38</x:t>
  </x:si>
  <x:si>
    <x:t xml:space="preserve">問39</x:t>
  </x:si>
  <x:si>
    <x:t xml:space="preserve">問40</x:t>
  </x:si>
  <x:si>
    <x:t xml:space="preserve">問41</x:t>
  </x:si>
  <x:si>
    <x:t xml:space="preserve">問42</x:t>
  </x:si>
  <x:si>
    <x:t xml:space="preserve">問43</x:t>
  </x:si>
  <x:si>
    <x:t xml:space="preserve">問44</x:t>
  </x:si>
  <x:si>
    <x:t xml:space="preserve">この調査票を記入された方はどなたですか</x:t>
  </x:si>
  <x:si>
    <x:t xml:space="preserve">この回答は、宛名のご本人の意向をどのように反映していますか</x:t>
  </x:si>
  <x:si>
    <x:t xml:space="preserve">お子さん（宛名の方）の年齢を教えてください</x:t>
  </x:si>
  <x:si>
    <x:t xml:space="preserve">あなたのお住まいの地区を教えてください</x:t>
  </x:si>
  <x:si>
    <x:t xml:space="preserve">あなたの性別を教えてください</x:t>
  </x:si>
  <x:si>
    <x:t xml:space="preserve">お持ちの手帳等を教えてください（あてはまるものすべて）</x:t>
  </x:si>
  <x:si>
    <x:t xml:space="preserve">主たる障がい種別を1つ選ぶとすれば、どれにあたりますか</x:t>
  </x:si>
  <x:si>
    <x:t xml:space="preserve">障害児通所支援等の支給決定を受けていますか</x:t>
  </x:si>
  <x:si>
    <x:t xml:space="preserve">日常生活でお子さんの主な支援・介助・見守りをしている方はどなたですか</x:t>
  </x:si>
  <x:si>
    <x:t xml:space="preserve">お子さんは現在、どのように暮らしていますか（あてはまるものすべて）</x:t>
  </x:si>
  <x:si>
    <x:t xml:space="preserve">日常生活で困っていることは何ですか（あてはまるものすべて）</x:t>
  </x:si>
  <x:si>
    <x:t xml:space="preserve">困っていることについて、自由に記入してください</x:t>
  </x:si>
  <x:si>
    <x:t xml:space="preserve">18歳になったら、どのような暮らし方を希望しますか</x:t>
  </x:si>
  <x:si>
    <x:t xml:space="preserve">外出の頻度を教えてください</x:t>
  </x:si>
  <x:si>
    <x:t xml:space="preserve">外出時の主な移動手段を教えてください（あてはまるものすべて）</x:t>
  </x:si>
  <x:si>
    <x:t xml:space="preserve">外出するときに困ることは何ですか（あてはまるものすべて）</x:t>
  </x:si>
  <x:si>
    <x:t xml:space="preserve">現在、定期的に通院していますか</x:t>
  </x:si>
  <x:si>
    <x:t xml:space="preserve">通院や医療で困っていることはありますか（あてはまるものすべて）</x:t>
  </x:si>
  <x:si>
    <x:t xml:space="preserve">医療的ケアを必要としていますか（あてはまるものすべて）</x:t>
  </x:si>
  <x:si>
    <x:t xml:space="preserve">医療的ケアや重い障がいに関して、必要だと思う支援は何ですか（あてはまるものすべて）</x:t>
  </x:si>
  <x:si>
    <x:t xml:space="preserve">困ったときに相談する相手・場所はどこですか（あてはまるものすべて）</x:t>
  </x:si>
  <x:si>
    <x:t xml:space="preserve">相談しにくい、又は相談できない理由は何ですか（あてはまるものすべて）</x:t>
  </x:si>
  <x:si>
    <x:t xml:space="preserve">福祉に関する情報はどこから得ていますか（あてはまるものすべて）</x:t>
  </x:si>
  <x:si>
    <x:t xml:space="preserve">相談支援に期待することは何ですか（あてはまるものすべて）</x:t>
  </x:si>
  <x:si>
    <x:t xml:space="preserve">現在の通園・通学等の状況を教えてください</x:t>
  </x:si>
  <x:si>
    <x:t xml:space="preserve">通園・通学や事業所利用で困っていることはありますか（あてはまるものすべて）</x:t>
  </x:si>
  <x:si>
    <x:t xml:space="preserve">安心できる居場所</x:t>
  </x:si>
  <x:si>
    <x:t xml:space="preserve">相談できる人</x:t>
  </x:si>
  <x:si>
    <x:t xml:space="preserve">友人・地域との関わり</x:t>
  </x:si>
  <x:si>
    <x:t xml:space="preserve">意思の尊重</x:t>
  </x:si>
  <x:si>
    <x:t xml:space="preserve">家族の負担感</x:t>
  </x:si>
  <x:si>
    <x:t xml:space="preserve">現在必要な医療的ケアや健康面の支援はありますか（あてはまるものすべて）</x:t>
  </x:si>
  <x:si>
    <x:t xml:space="preserve">現在利用しているサービスを選んでください（あてはまるものすべて）</x:t>
  </x:si>
  <x:si>
    <x:t xml:space="preserve">内容をよく知らないサービスがあれば選んでください（あてはまるものすべて）</x:t>
  </x:si>
  <x:si>
    <x:t xml:space="preserve">今後3年間で利用したい、または利用を続けたいサービスを選んでください（あてはまるものすべて）</x:t>
  </x:si>
  <x:si>
    <x:t xml:space="preserve">今利用している福祉サービスに満足していますか</x:t>
  </x:si>
  <x:si>
    <x:t xml:space="preserve">放課後や長期休暇中の過ごし方で困っていることはありますか（あてはまるものすべて）</x:t>
  </x:si>
  <x:si>
    <x:t xml:space="preserve">18歳以降のことで不安なことはありますか（あてはまるものすべて）</x:t>
  </x:si>
  <x:si>
    <x:t xml:space="preserve">なぜそう思ったのか、自由に記入してください</x:t>
  </x:si>
  <x:si>
    <x:t xml:space="preserve">障がいがあることで差別や偏見、不利益を感じたことはありますか</x:t>
  </x:si>
  <x:si>
    <x:t xml:space="preserve">差別や偏見、不利益を感じた場面はどこですか（あてはまるものすべて）</x:t>
  </x:si>
  <x:si>
    <x:t xml:space="preserve">障がいのある人が利用しやすくするための配慮（合理的配慮）として必要だと思うことは何ですか（あてはまるものすべて）</x:t>
  </x:si>
  <x:si>
    <x:t xml:space="preserve">成年後見制度や権利擁護支援について知っていますか</x:t>
  </x:si>
  <x:si>
    <x:t xml:space="preserve">災害時に不安なことは何ですか（あてはまるものすべて）</x:t>
  </x:si>
  <x:si>
    <x:t xml:space="preserve">避難行動要支援者名簿や個別避難計画について知っていますか</x:t>
  </x:si>
  <x:si>
    <x:t xml:space="preserve">災害時に支援してくれる人や機関はありますか（あてはまるものすべて）</x:t>
  </x:si>
  <x:si>
    <x:t xml:space="preserve">災害時に必要だと思う支援は何ですか（あてはまるものすべて）</x:t>
  </x:si>
  <x:si>
    <x:t xml:space="preserve">地域活動や社会参加について、今後参加したいものはありますか（あてはまるものすべて）</x:t>
  </x:si>
  <x:si>
    <x:t xml:space="preserve">障がいへの理解を深めるために必要だと思う取組は何ですか（あてはまるものすべて）</x:t>
  </x:si>
  <x:si>
    <x:t xml:space="preserve">今後、村が特に力を入れるべきことは何ですか（3つまで）</x:t>
  </x:si>
  <x:si>
    <x:t xml:space="preserve">障がい福祉や暮らしについて、ご意見・ご要望があれば自由に記入してください</x:t>
  </x:si>
  <x:si>
    <x:t xml:space="preserve">宛名のご本人</x:t>
  </x:si>
  <x:si>
    <x:t xml:space="preserve">ご家族</x:t>
  </x:si>
  <x:si>
    <x:t xml:space="preserve">支援者・事業所職員</x:t>
  </x:si>
  <x:si>
    <x:t xml:space="preserve">その他</x:t>
  </x:si>
  <x:si>
    <x:t xml:space="preserve">本人が回答した</x:t>
  </x:si>
  <x:si>
    <x:t xml:space="preserve">本人に確認して代理記入した</x:t>
  </x:si>
  <x:si>
    <x:t xml:space="preserve">本人の様子や日頃の意向を踏まえて代理記入した</x:t>
  </x:si>
  <x:si>
    <x:t xml:space="preserve">本人に確認することが難しく、家族・支援者の判断で記入した</x:t>
  </x:si>
  <x:si>
    <x:t xml:space="preserve">0～5歳</x:t>
  </x:si>
  <x:si>
    <x:t xml:space="preserve">6～11歳</x:t>
  </x:si>
  <x:si>
    <x:t xml:space="preserve">12～14歳</x:t>
  </x:si>
  <x:si>
    <x:t xml:space="preserve">15～17歳</x:t>
  </x:si>
  <x:si>
    <x:t xml:space="preserve">北山地区</x:t>
  </x:si>
  <x:si>
    <x:t xml:space="preserve">大塩地区</x:t>
  </x:si>
  <x:si>
    <x:t xml:space="preserve">桧原地区</x:t>
  </x:si>
  <x:si>
    <x:t xml:space="preserve">裏磐梯地区</x:t>
  </x:si>
  <x:si>
    <x:t xml:space="preserve">男性</x:t>
  </x:si>
  <x:si>
    <x:t xml:space="preserve">女性</x:t>
  </x:si>
  <x:si>
    <x:t xml:space="preserve">回答しない</x:t>
  </x:si>
  <x:si>
    <x:t xml:space="preserve">身体障がい者手帳</x:t>
  </x:si>
  <x:si>
    <x:t xml:space="preserve">療育手帳</x:t>
  </x:si>
  <x:si>
    <x:t xml:space="preserve">精神障がい者保健福祉手帳</x:t>
  </x:si>
  <x:si>
    <x:t xml:space="preserve">難病に関する医療受給者証等</x:t>
  </x:si>
  <x:si>
    <x:t xml:space="preserve">手帳等は持っていないが障がい福祉サービスを利用している</x:t>
  </x:si>
  <x:si>
    <x:t xml:space="preserve">身体障がい</x:t>
  </x:si>
  <x:si>
    <x:t xml:space="preserve">知的障がい</x:t>
  </x:si>
  <x:si>
    <x:t xml:space="preserve">精神障がい</x:t>
  </x:si>
  <x:si>
    <x:t xml:space="preserve">発達障がい</x:t>
  </x:si>
  <x:si>
    <x:t xml:space="preserve">難病</x:t>
  </x:si>
  <x:si>
    <x:t xml:space="preserve">高次脳機能障がい</x:t>
  </x:si>
  <x:si>
    <x:t xml:space="preserve">重症心身障がい</x:t>
  </x:si>
  <x:si>
    <x:t xml:space="preserve">わからない・その他</x:t>
  </x:si>
  <x:si>
    <x:t xml:space="preserve">受けている</x:t>
  </x:si>
  <x:si>
    <x:t xml:space="preserve">受けていない</x:t>
  </x:si>
  <x:si>
    <x:t xml:space="preserve">わからない</x:t>
  </x:si>
  <x:si>
    <x:t xml:space="preserve">介助は必要ない</x:t>
  </x:si>
  <x:si>
    <x:t xml:space="preserve">親</x:t>
  </x:si>
  <x:si>
    <x:t xml:space="preserve">兄弟姉妹</x:t>
  </x:si>
  <x:si>
    <x:t xml:space="preserve">祖父母</x:t>
  </x:si>
  <x:si>
    <x:t xml:space="preserve">その他の親族</x:t>
  </x:si>
  <x:si>
    <x:t xml:space="preserve">ホームヘルパー等</x:t>
  </x:si>
  <x:si>
    <x:t xml:space="preserve">保育所・幼稚園・認定こども園・学校の職員</x:t>
  </x:si>
  <x:si>
    <x:t xml:space="preserve">障がい福祉サービス・障がい児通所支援事業所などの職員</x:t>
  </x:si>
  <x:si>
    <x:t xml:space="preserve">自宅で家族と暮らしている</x:t>
  </x:si>
  <x:si>
    <x:t xml:space="preserve">病院に入院中</x:t>
  </x:si>
  <x:si>
    <x:t xml:space="preserve">家事</x:t>
  </x:si>
  <x:si>
    <x:t xml:space="preserve">食事</x:t>
  </x:si>
  <x:si>
    <x:t xml:space="preserve">入浴</x:t>
  </x:si>
  <x:si>
    <x:t xml:space="preserve">排せつ</x:t>
  </x:si>
  <x:si>
    <x:t xml:space="preserve">服薬管理</x:t>
  </x:si>
  <x:si>
    <x:t xml:space="preserve">金銭管理</x:t>
  </x:si>
  <x:si>
    <x:t xml:space="preserve">通院</x:t>
  </x:si>
  <x:si>
    <x:t xml:space="preserve">外出・移動</x:t>
  </x:si>
  <x:si>
    <x:t xml:space="preserve">買い物</x:t>
  </x:si>
  <x:si>
    <x:t xml:space="preserve">災害時の避難</x:t>
  </x:si>
  <x:si>
    <x:t xml:space="preserve">相談先がない</x:t>
  </x:si>
  <x:si>
    <x:t xml:space="preserve">将来の生活</x:t>
  </x:si>
  <x:si>
    <x:t xml:space="preserve">特にない</x:t>
  </x:si>
  <x:si>
    <x:t xml:space="preserve">困りごと自由記述</x:t>
  </x:si>
  <x:si>
    <x:t xml:space="preserve">家族と一緒に暮らしたい</x:t>
  </x:si>
  <x:si>
    <x:t xml:space="preserve">一人暮らしをしたい</x:t>
  </x:si>
  <x:si>
    <x:t xml:space="preserve">グループホームで暮らしたい</x:t>
  </x:si>
  <x:si>
    <x:t xml:space="preserve">障がい者支援施設等で暮らしたい</x:t>
  </x:si>
  <x:si>
    <x:t xml:space="preserve">病院・施設から地域で暮らしたい</x:t>
  </x:si>
  <x:si>
    <x:t xml:space="preserve">まだわからない</x:t>
  </x:si>
  <x:si>
    <x:t xml:space="preserve">ほぼ毎日</x:t>
  </x:si>
  <x:si>
    <x:t xml:space="preserve">週に2～4回</x:t>
  </x:si>
  <x:si>
    <x:t xml:space="preserve">週に1回程度</x:t>
  </x:si>
  <x:si>
    <x:t xml:space="preserve">月に数回</x:t>
  </x:si>
  <x:si>
    <x:t xml:space="preserve">ほとんど外出しない</x:t>
  </x:si>
  <x:si>
    <x:t xml:space="preserve">家族の送迎</x:t>
  </x:si>
  <x:si>
    <x:t xml:space="preserve">徒歩</x:t>
  </x:si>
  <x:si>
    <x:t xml:space="preserve">自転車</x:t>
  </x:si>
  <x:si>
    <x:t xml:space="preserve">路線バス</x:t>
  </x:si>
  <x:si>
    <x:t xml:space="preserve">タクシー</x:t>
  </x:si>
  <x:si>
    <x:t xml:space="preserve">福祉タクシー等</x:t>
  </x:si>
  <x:si>
    <x:t xml:space="preserve">事業所・施設の送迎</x:t>
  </x:si>
  <x:si>
    <x:t xml:space="preserve">交通手段が少ない</x:t>
  </x:si>
  <x:si>
    <x:t xml:space="preserve">家族等の付き添いが必要</x:t>
  </x:si>
  <x:si>
    <x:t xml:space="preserve">送迎がない</x:t>
  </x:si>
  <x:si>
    <x:t xml:space="preserve">冬季・積雪時に外出しにくい</x:t>
  </x:si>
  <x:si>
    <x:t xml:space="preserve">道路・建物が利用しにくい</x:t>
  </x:si>
  <x:si>
    <x:t xml:space="preserve">周囲の理解が不安</x:t>
  </x:si>
  <x:si>
    <x:t xml:space="preserve">体調面が不安</x:t>
  </x:si>
  <x:si>
    <x:t xml:space="preserve">費用がかかる</x:t>
  </x:si>
  <x:si>
    <x:t xml:space="preserve">特に困らない</x:t>
  </x:si>
  <x:si>
    <x:t xml:space="preserve">通院している</x:t>
  </x:si>
  <x:si>
    <x:t xml:space="preserve">通院していない</x:t>
  </x:si>
  <x:si>
    <x:t xml:space="preserve">訪問診療・往診を受けている</x:t>
  </x:si>
  <x:si>
    <x:t xml:space="preserve">専門医療機関が遠い</x:t>
  </x:si>
  <x:si>
    <x:t xml:space="preserve">通院の交通手段がない</x:t>
  </x:si>
  <x:si>
    <x:t xml:space="preserve">付き添いが必要</x:t>
  </x:si>
  <x:si>
    <x:t xml:space="preserve">医療費や交通費の負担が大きい</x:t>
  </x:si>
  <x:si>
    <x:t xml:space="preserve">予約・受診手続きが難しい</x:t>
  </x:si>
  <x:si>
    <x:t xml:space="preserve">緊急時の対応が不安</x:t>
  </x:si>
  <x:si>
    <x:t xml:space="preserve">特に困っていない</x:t>
  </x:si>
  <x:si>
    <x:t xml:space="preserve">必要としていない</x:t>
  </x:si>
  <x:si>
    <x:t xml:space="preserve">吸引</x:t>
  </x:si>
  <x:si>
    <x:t xml:space="preserve">酸素療法</x:t>
  </x:si>
  <x:si>
    <x:t xml:space="preserve">人工呼吸器（レスピレーター）</x:t>
  </x:si>
  <x:si>
    <x:t xml:space="preserve">導尿</x:t>
  </x:si>
  <x:si>
    <x:t xml:space="preserve">ストマ（人工肛門・人工膀胱）</x:t>
  </x:si>
  <x:si>
    <x:t xml:space="preserve">服薬管理等の継続支援</x:t>
  </x:si>
  <x:si>
    <x:t xml:space="preserve">気管切開</x:t>
  </x:si>
  <x:si>
    <x:t xml:space="preserve">胃ろう・腸ろう</x:t>
  </x:si>
  <x:si>
    <x:t xml:space="preserve">鼻腔管栄養</x:t>
  </x:si>
  <x:si>
    <x:t xml:space="preserve">中心静脈栄養（IVH）</x:t>
  </x:si>
  <x:si>
    <x:t xml:space="preserve">透析</x:t>
  </x:si>
  <x:si>
    <x:t xml:space="preserve">カテーテル留置</x:t>
  </x:si>
  <x:si>
    <x:t xml:space="preserve">身近な相談先</x:t>
  </x:si>
  <x:si>
    <x:t xml:space="preserve">通所先での医療的ケア対応</x:t>
  </x:si>
  <x:si>
    <x:t xml:space="preserve">短期入所・レスパイトケア</x:t>
  </x:si>
  <x:si>
    <x:t xml:space="preserve">訪問看護等との連携</x:t>
  </x:si>
  <x:si>
    <x:t xml:space="preserve">災害時の電源・医療機器対応</x:t>
  </x:si>
  <x:si>
    <x:t xml:space="preserve">家族の負担軽減</x:t>
  </x:si>
  <x:si>
    <x:t xml:space="preserve">家族・親族</x:t>
  </x:si>
  <x:si>
    <x:t xml:space="preserve">友人・知人</x:t>
  </x:si>
  <x:si>
    <x:t xml:space="preserve">村役場</x:t>
  </x:si>
  <x:si>
    <x:t xml:space="preserve">相談支援専門員</x:t>
  </x:si>
  <x:si>
    <x:t xml:space="preserve">福祉サービス事業所</x:t>
  </x:si>
  <x:si>
    <x:t xml:space="preserve">医療機関</x:t>
  </x:si>
  <x:si>
    <x:t xml:space="preserve">学校・保育所等</x:t>
  </x:si>
  <x:si>
    <x:t xml:space="preserve">SNS・インターネット・AI</x:t>
  </x:si>
  <x:si>
    <x:t xml:space="preserve">社会福祉協議会</x:t>
  </x:si>
  <x:si>
    <x:t xml:space="preserve">民生委員・児童委員</x:t>
  </x:si>
  <x:si>
    <x:t xml:space="preserve">相談する相手がいない</x:t>
  </x:si>
  <x:si>
    <x:t xml:space="preserve">相談先がわからない</x:t>
  </x:si>
  <x:si>
    <x:t xml:space="preserve">身近に相談先がない</x:t>
  </x:si>
  <x:si>
    <x:t xml:space="preserve">何を相談してよいかわからない</x:t>
  </x:si>
  <x:si>
    <x:t xml:space="preserve">相談しても解決しないと思う</x:t>
  </x:si>
  <x:si>
    <x:t xml:space="preserve">交通手段がない</x:t>
  </x:si>
  <x:si>
    <x:t xml:space="preserve">家族が対応している</x:t>
  </x:si>
  <x:si>
    <x:t xml:space="preserve">プライバシーが不安</x:t>
  </x:si>
  <x:si>
    <x:t xml:space="preserve">村広報・ホームページ</x:t>
  </x:si>
  <x:si>
    <x:t xml:space="preserve">家族・知人</x:t>
  </x:si>
  <x:si>
    <x:t xml:space="preserve">新聞・テレビ</x:t>
  </x:si>
  <x:si>
    <x:t xml:space="preserve">情報を得られていない</x:t>
  </x:si>
  <x:si>
    <x:t xml:space="preserve">サービス利用の相談</x:t>
  </x:si>
  <x:si>
    <x:t xml:space="preserve">将来の暮らしの相談</x:t>
  </x:si>
  <x:si>
    <x:t xml:space="preserve">日中活動の相談</x:t>
  </x:si>
  <x:si>
    <x:t xml:space="preserve">障がい児・発達の相談</x:t>
  </x:si>
  <x:si>
    <x:t xml:space="preserve">医療・通院の相談</x:t>
  </x:si>
  <x:si>
    <x:t xml:space="preserve">緊急時の相談</x:t>
  </x:si>
  <x:si>
    <x:t xml:space="preserve">わかりやすい情報提供</x:t>
  </x:si>
  <x:si>
    <x:t xml:space="preserve">保育所・幼稚園・認定こども園に通っている</x:t>
  </x:si>
  <x:si>
    <x:t xml:space="preserve">小学校に通っている</x:t>
  </x:si>
  <x:si>
    <x:t xml:space="preserve">中学校に通っている</x:t>
  </x:si>
  <x:si>
    <x:t xml:space="preserve">高等学校等に通っている</x:t>
  </x:si>
  <x:si>
    <x:t xml:space="preserve">特別支援学校に通っている</x:t>
  </x:si>
  <x:si>
    <x:t xml:space="preserve">児童発達支援を利用している</x:t>
  </x:si>
  <x:si>
    <x:t xml:space="preserve">放課後等デイサービスを利用している</x:t>
  </x:si>
  <x:si>
    <x:t xml:space="preserve">在宅で過ごしていることが多い</x:t>
  </x:si>
  <x:si>
    <x:t xml:space="preserve">送迎・移動手段の確保が難しい</x:t>
  </x:si>
  <x:si>
    <x:t xml:space="preserve">冬季の通園・通学・通所が不安</x:t>
  </x:si>
  <x:si>
    <x:t xml:space="preserve">付き添いなど家族の負担が大きい</x:t>
  </x:si>
  <x:si>
    <x:t xml:space="preserve">医療的ケアに対応できる場所が少ない</x:t>
  </x:si>
  <x:si>
    <x:t xml:space="preserve">本人に合う支援や配慮を受けにくい</x:t>
  </x:si>
  <x:si>
    <x:t xml:space="preserve">学校・園・事業所との情報共有が難しい</x:t>
  </x:si>
  <x:si>
    <x:t xml:space="preserve">放課後や長期休暇の過ごし方に困る</x:t>
  </x:si>
  <x:si>
    <x:t xml:space="preserve">そう思う</x:t>
  </x:si>
  <x:si>
    <x:t xml:space="preserve">どちらかといえばそう思う</x:t>
  </x:si>
  <x:si>
    <x:t xml:space="preserve">どちらかといえばそう思わない</x:t>
  </x:si>
  <x:si>
    <x:t xml:space="preserve">そう思わない・わからない</x:t>
  </x:si>
  <x:si>
    <x:t xml:space="preserve">経管栄養</x:t>
  </x:si>
  <x:si>
    <x:t xml:space="preserve">たんの吸引</x:t>
  </x:si>
  <x:si>
    <x:t xml:space="preserve">人工呼吸器の管理</x:t>
  </x:si>
  <x:si>
    <x:t xml:space="preserve">気管切開部の管理</x:t>
  </x:si>
  <x:si>
    <x:t xml:space="preserve">インスリン注射・血糖管理</x:t>
  </x:si>
  <x:si>
    <x:t xml:space="preserve">発作時の対応</x:t>
  </x:si>
  <x:si>
    <x:t xml:space="preserve">医療的ケアは必要ない</x:t>
  </x:si>
  <x:si>
    <x:t xml:space="preserve">その他の医療的ケア</x:t>
  </x:si>
  <x:si>
    <x:t xml:space="preserve">児童発達支援</x:t>
  </x:si>
  <x:si>
    <x:t xml:space="preserve">放課後等デイサービス</x:t>
  </x:si>
  <x:si>
    <x:t xml:space="preserve">保育所等訪問支援</x:t>
  </x:si>
  <x:si>
    <x:t xml:space="preserve">居宅訪問型児童発達支援</x:t>
  </x:si>
  <x:si>
    <x:t xml:space="preserve">障がい児相談支援</x:t>
  </x:si>
  <x:si>
    <x:t xml:space="preserve">短期入所（ショートステイ）</x:t>
  </x:si>
  <x:si>
    <x:t xml:space="preserve">日中一時支援</x:t>
  </x:si>
  <x:si>
    <x:t xml:space="preserve">移動支援</x:t>
  </x:si>
  <x:si>
    <x:t xml:space="preserve">日常生活用具の給付</x:t>
  </x:si>
  <x:si>
    <x:t xml:space="preserve">現在利用しているサービスは特にない</x:t>
  </x:si>
  <x:si>
    <x:t xml:space="preserve">知っている</x:t>
  </x:si>
  <x:si>
    <x:t xml:space="preserve">利用したいサービスは特にない</x:t>
  </x:si>
  <x:si>
    <x:t xml:space="preserve">満足している</x:t>
  </x:si>
  <x:si>
    <x:t xml:space="preserve">適切なサービスがわからない</x:t>
  </x:si>
  <x:si>
    <x:t xml:space="preserve">サービスの量が足りない</x:t>
  </x:si>
  <x:si>
    <x:t xml:space="preserve">サービスの質がよくない</x:t>
  </x:si>
  <x:si>
    <x:t xml:space="preserve">利用できる事業所が少ない</x:t>
  </x:si>
  <x:si>
    <x:t xml:space="preserve">サービスの使い方がわからない</x:t>
  </x:si>
  <x:si>
    <x:t xml:space="preserve">利用していない</x:t>
  </x:si>
  <x:si>
    <x:t xml:space="preserve">利用できる場所が少ない</x:t>
  </x:si>
  <x:si>
    <x:t xml:space="preserve">長期休暇の過ごし方に困る</x:t>
  </x:si>
  <x:si>
    <x:t xml:space="preserve">家族への負担が大きい</x:t>
  </x:si>
  <x:si>
    <x:t xml:space="preserve">費用負担が心配</x:t>
  </x:si>
  <x:si>
    <x:t xml:space="preserve">進学先・就労先</x:t>
  </x:si>
  <x:si>
    <x:t xml:space="preserve">生活介護や就労継続支援A型等の通所先</x:t>
  </x:si>
  <x:si>
    <x:t xml:space="preserve">就労選択支援の利用</x:t>
  </x:si>
  <x:si>
    <x:t xml:space="preserve">相談支援の継続</x:t>
  </x:si>
  <x:si>
    <x:t xml:space="preserve">医療・通院の継続</x:t>
  </x:si>
  <x:si>
    <x:t xml:space="preserve">送迎・移動手段</x:t>
  </x:si>
  <x:si>
    <x:t xml:space="preserve">本人の意思決定や将来の暮らし</x:t>
  </x:si>
  <x:si>
    <x:t xml:space="preserve">家族の負担</x:t>
  </x:si>
  <x:si>
    <x:t xml:space="preserve">親など家族が高齢になった後の生活</x:t>
  </x:si>
  <x:si>
    <x:t xml:space="preserve">経済的な負担</x:t>
  </x:si>
  <x:si>
    <x:t xml:space="preserve">まだ考えていない</x:t>
  </x:si>
  <x:si>
    <x:t xml:space="preserve">18歳以降の不安の理由</x:t>
  </x:si>
  <x:si>
    <x:t xml:space="preserve">週に１回程度</x:t>
  </x:si>
  <x:si>
    <x:t xml:space="preserve">月に１回程度</x:t>
  </x:si>
  <x:si>
    <x:t xml:space="preserve">年に１回程度</x:t>
  </x:si>
  <x:si>
    <x:t xml:space="preserve">ない</x:t>
  </x:si>
  <x:si>
    <x:t xml:space="preserve">アルバイト先・職場</x:t>
  </x:si>
  <x:si>
    <x:t xml:space="preserve">役場・公共施設</x:t>
  </x:si>
  <x:si>
    <x:t xml:space="preserve">地域活動・行事</x:t>
  </x:si>
  <x:si>
    <x:t xml:space="preserve">公共交通機関・飲食店・買い物等</x:t>
  </x:si>
  <x:si>
    <x:t xml:space="preserve">習い事</x:t>
  </x:si>
  <x:si>
    <x:t xml:space="preserve">インターネット・SNS</x:t>
  </x:si>
  <x:si>
    <x:t xml:space="preserve">わかりやすい説明</x:t>
  </x:si>
  <x:si>
    <x:t xml:space="preserve">筆談・手話・要約筆記・字幕等の意思疎通支援</x:t>
  </x:si>
  <x:si>
    <x:t xml:space="preserve">静かな場所での相談</x:t>
  </x:si>
  <x:si>
    <x:t xml:space="preserve">移動しやすい環境</x:t>
  </x:si>
  <x:si>
    <x:t xml:space="preserve">手続きの支援</x:t>
  </x:si>
  <x:si>
    <x:t xml:space="preserve">本人の意思確認を丁寧に行うこと</x:t>
  </x:si>
  <x:si>
    <x:t xml:space="preserve">職場・学校での配慮</x:t>
  </x:si>
  <x:si>
    <x:t xml:space="preserve">利用している</x:t>
  </x:si>
  <x:si>
    <x:t xml:space="preserve">名前だけ聞いたことがある</x:t>
  </x:si>
  <x:si>
    <x:t xml:space="preserve">利用したいが手続きがわからない</x:t>
  </x:si>
  <x:si>
    <x:t xml:space="preserve">知らない</x:t>
  </x:si>
  <x:si>
    <x:t xml:space="preserve">避難する方法</x:t>
  </x:si>
  <x:si>
    <x:t xml:space="preserve">避難先での生活</x:t>
  </x:si>
  <x:si>
    <x:t xml:space="preserve">薬・医療機器</x:t>
  </x:si>
  <x:si>
    <x:t xml:space="preserve">電源の確保</x:t>
  </x:si>
  <x:si>
    <x:t xml:space="preserve">介助者がいないこと</x:t>
  </x:si>
  <x:si>
    <x:t xml:space="preserve">情報が届かないこと</x:t>
  </x:si>
  <x:si>
    <x:t xml:space="preserve">冬季・積雪時の避難</x:t>
  </x:si>
  <x:si>
    <x:t xml:space="preserve">ペット・補助犬等</x:t>
  </x:si>
  <x:si>
    <x:t xml:space="preserve">特に不安はない</x:t>
  </x:si>
  <x:si>
    <x:t xml:space="preserve">制度を知っており作成したい</x:t>
  </x:si>
  <x:si>
    <x:t xml:space="preserve">必要ない</x:t>
  </x:si>
  <x:si>
    <x:t xml:space="preserve">いない・わからない</x:t>
  </x:si>
  <x:si>
    <x:t xml:space="preserve">個別避難計画の作成支援</x:t>
  </x:si>
  <x:si>
    <x:t xml:space="preserve">避難訓練への参加支援</x:t>
  </x:si>
  <x:si>
    <x:t xml:space="preserve">福祉避難所の情報提供</x:t>
  </x:si>
  <x:si>
    <x:t xml:space="preserve">薬・医療機器・電源の確保</x:t>
  </x:si>
  <x:si>
    <x:t xml:space="preserve">冬季避難の支援</x:t>
  </x:si>
  <x:si>
    <x:t xml:space="preserve">安否確認</x:t>
  </x:si>
  <x:si>
    <x:t xml:space="preserve">避難所での合理的配慮</x:t>
  </x:si>
  <x:si>
    <x:t xml:space="preserve">文字・掲示・字幕等の目で見てわかる災害情報</x:t>
  </x:si>
  <x:si>
    <x:t xml:space="preserve">趣味・スポーツ</x:t>
  </x:si>
  <x:si>
    <x:t xml:space="preserve">ボランティア</x:t>
  </x:si>
  <x:si>
    <x:t xml:space="preserve">地域行事</x:t>
  </x:si>
  <x:si>
    <x:t xml:space="preserve">障がい者団体・家族会</x:t>
  </x:si>
  <x:si>
    <x:t xml:space="preserve">就労・地域貢献</x:t>
  </x:si>
  <x:si>
    <x:t xml:space="preserve">学習・講座</x:t>
  </x:si>
  <x:si>
    <x:t xml:space="preserve">オンラインでの交流</x:t>
  </x:si>
  <x:si>
    <x:t xml:space="preserve">学校での福祉教育</x:t>
  </x:si>
  <x:si>
    <x:t xml:space="preserve">地域住民向けの講座</x:t>
  </x:si>
  <x:si>
    <x:t xml:space="preserve">事業所・企業への啓発</x:t>
  </x:si>
  <x:si>
    <x:t xml:space="preserve">広報・ホームページでの情報発信</x:t>
  </x:si>
  <x:si>
    <x:t xml:space="preserve">交流の場づくり</x:t>
  </x:si>
  <x:si>
    <x:t xml:space="preserve">障がい当事者の意見発信</x:t>
  </x:si>
  <x:si>
    <x:t xml:space="preserve">相談支援体制</x:t>
  </x:si>
  <x:si>
    <x:t xml:space="preserve">在宅生活支援</x:t>
  </x:si>
  <x:si>
    <x:t xml:space="preserve">就労支援</x:t>
  </x:si>
  <x:si>
    <x:t xml:space="preserve">障がい児支援</x:t>
  </x:si>
  <x:si>
    <x:t xml:space="preserve">医療的ケア児等支援</x:t>
  </x:si>
  <x:si>
    <x:t xml:space="preserve">災害時支援</x:t>
  </x:si>
  <x:si>
    <x:t xml:space="preserve">差別解消・権利擁護</x:t>
  </x:si>
  <x:si>
    <x:t xml:space="preserve">家族支援</x:t>
  </x:si>
  <x:si>
    <x:t xml:space="preserve">サービス事業所の確保</x:t>
  </x:si>
  <x:si>
    <x:t xml:space="preserve">同じ立場の保護者や経験者に相談できる場の設定</x:t>
  </x:si>
  <x:si>
    <x:t xml:space="preserve">意見要望</x:t>
  </x:si>
  <x:si>
    <x:t xml:space="preserve">①</x:t>
  </x:si>
  <x:si>
    <x:t xml:space="preserve">②</x:t>
  </x:si>
  <x:si>
    <x:t xml:space="preserve">③</x:t>
  </x:si>
  <x:si>
    <x:t xml:space="preserve">④</x:t>
  </x:si>
  <x:si>
    <x:t xml:space="preserve">自由記述</x:t>
  </x:si>
  <x:si>
    <x:t xml:space="preserve">n</x:t>
  </x:si>
  <x:si>
    <x:t xml:space="preserve">⑤</x:t>
  </x:si>
  <x:si>
    <x:t xml:space="preserve">⑥</x:t>
  </x:si>
  <x:si>
    <x:t xml:space="preserve">⑦</x:t>
  </x:si>
  <x:si>
    <x:t xml:space="preserve">⑧</x:t>
  </x:si>
  <x:si>
    <x:t xml:space="preserve">⑨</x:t>
  </x:si>
  <x:si>
    <x:t xml:space="preserve">⑩</x:t>
  </x:si>
  <x:si>
    <x:t xml:space="preserve">⑪</x:t>
  </x:si>
  <x:si>
    <x:t xml:space="preserve">⑫</x:t>
  </x:si>
  <x:si>
    <x:t xml:space="preserve">⑬</x:t>
  </x:si>
  <x:si>
    <x:t xml:space="preserve">⑭</x:t>
  </x:si>
  <x:si>
    <x:t xml:space="preserve">1</x:t>
  </x:si>
  <x:si>
    <x:t xml:space="preserve">〇</x:t>
  </x:si>
  <x:si>
    <x:t xml:space="preserve">地域生活支援センター</x:t>
  </x:si>
  <x:si>
    <x:t xml:space="preserve">5</x:t>
  </x:si>
  <x:si>
    <x:t xml:space="preserve">学問に対しての不安が強く、将来への不安がある</x:t>
  </x:si>
  <x:si>
    <x:t xml:space="preserve">2</x:t>
  </x:si>
  <x:si>
    <x:t xml:space="preserve">学校や放課後デイなど遠方への送迎</x:t>
  </x:si>
  <x:si>
    <x:t xml:space="preserve">全介助です。サービス業なので土日祝日など預かってもらえるところが無かったり、遠方で送り迎えで4時間かかったりで片親の私が働けないです。支援学校への送り迎えも毎日大変ですし、猪苗代支援学校から裏磐梯の児童クラブへ私が送迎しないといけません。仕事を抜けての送迎は死活問題です。教育委員会に何度も頼んできましたが何も進展はありません。</x:t>
  </x:si>
  <x:si>
    <x:t xml:space="preserve">自閉症の癇癪を起こす為、外出が難しいです。</x:t>
  </x:si>
  <x:si>
    <x:t xml:space="preserve">待つことが難しい為、受診時の待ち時間時に癇癪を起こして暴れるのでとても大変です。</x:t>
  </x:si>
  <x:si>
    <x:t xml:space="preserve">通所への送迎</x:t>
  </x:si>
  <x:si>
    <x:t xml:space="preserve">何年も前から送迎のことを相談しているが話が進まないこと</x:t>
  </x:si>
  <x:si>
    <x:t xml:space="preserve">１人で生きていけないので心配です</x:t>
  </x:si>
  <x:si>
    <x:t xml:space="preserve">意思疎通が取れないし、生活全て介助が必要です。片親なので私が歳をとったら面倒を見れるのか不安です。</x:t>
  </x:si>
  <x:si>
    <x:t xml:space="preserve">送迎の支援、オムツ券の発行、サービス事業所の村内への建設、拡大を本当にお願いします。</x:t>
  </x:si>
  <x:si>
    <x:t xml:space="preserve">計</x:t>
  </x:si>
  <x:si>
    <x:t xml:space="preserve">key</x:t>
  </x:si>
  <x:si>
    <x:t xml:space="preserve">value</x:t>
  </x:si>
  <x:si>
    <x:t xml:space="preserve">metadataFormatVersion</x:t>
  </x:si>
  <x:si>
    <x:t xml:space="preserve">artifactType</x:t>
  </x:si>
  <x:si>
    <x:t xml:space="preserve">integrated-data</x:t>
  </x:si>
  <x:si>
    <x:t xml:space="preserve">surveyId</x:t>
  </x:si>
  <x:si>
    <x:t xml:space="preserve">survey_kitashiobara_shogaiji_2026</x:t>
  </x:si>
  <x:si>
    <x:t xml:space="preserve">schemaVersion</x:t>
  </x:si>
  <x:si>
    <x:t xml:space="preserve">surveyDefinitionVersion</x:t>
  </x:si>
  <x:si>
    <x:t xml:space="preserve">1.0.0</x:t>
  </x:si>
  <x:si>
    <x:t xml:space="preserve">definitionSha256</x:t>
  </x:si>
  <x:si>
    <x:t xml:space="preserve">d65419856f4532d8a8bfcdbf2eab792a5e4127a81c64aa6fc3bbcdf32a5033c8</x:t>
  </x:si>
  <x:si>
    <x:t xml:space="preserve">integratedLayoutVersion</x:t>
  </x:si>
  <x:si>
    <x:t xml:space="preserve">integratedLayout.v2</x:t>
  </x:si>
  <x:si>
    <x:t xml:space="preserve">sourceAppVersions</x:t>
  </x:si>
  <x:si>
    <x:t xml:space="preserve">["1.5.0"]</x:t>
  </x:si>
  <x:si>
    <x:t xml:space="preserve">aggregateEngineVersion</x:t>
  </x:si>
  <x:si>
    <x:t xml:space="preserve">1.5.0</x:t>
  </x:si>
  <x:si>
    <x:t xml:space="preserve">createdAt</x:t>
  </x:si>
  <x:si>
    <x:t xml:space="preserve">2026-10-02T09:36:29.595688Z</x:t>
  </x:si>
</x:sst>
</file>

<file path=xl/styles.xml><?xml version="1.0" encoding="utf-8"?>
<x:styleSheet xmlns:x="http://schemas.openxmlformats.org/spreadsheetml/2006/main">
  <x:numFmts count="1">
    <x:numFmt numFmtId="176" formatCode="0.0%"/>
  </x:numFmts>
  <x:fonts count="9">
    <x:font>
      <x:sz val="11"/>
      <x:color theme="1"/>
      <x:name val="ＭＳ Ｐゴシック"/>
    </x:font>
    <x:font>
      <x:sz val="10"/>
      <x:name val="游ゴシック"/>
    </x:font>
    <x:font>
      <x:b/>
      <x:sz val="10"/>
      <x:name val="游ゴシック"/>
    </x:font>
    <x:font>
      <x:sz val="6"/>
      <x:name val="ＭＳ Ｐゴシック"/>
    </x:font>
    <x:font>
      <x:b/>
      <x:sz val="16"/>
      <x:color rgb="FFFFFFFF"/>
      <x:name val="ＭＳ Ｐゴシック"/>
    </x:font>
    <x:font>
      <x:b/>
      <x:sz val="11"/>
      <x:color rgb="FFFFFFFF"/>
      <x:name val="ＭＳ Ｐゴシック"/>
    </x:font>
    <x:font>
      <x:sz val="11"/>
      <x:color rgb="FF222222"/>
      <x:name val="ＭＳ Ｐゴシック"/>
    </x:font>
    <x:font>
      <x:b/>
      <x:sz val="11"/>
      <x:color rgb="FF1F4E78"/>
      <x:name val="ＭＳ Ｐゴシック"/>
    </x:font>
    <x:font>
      <x:sz val="11"/>
      <x:color rgb="FF1F4E78"/>
      <x:name val="ＭＳ Ｐゴシック"/>
    </x:font>
  </x:fonts>
  <x:fills count="9">
    <x:fill>
      <x:patternFill patternType="none"/>
    </x:fill>
    <x:fill>
      <x:patternFill patternType="gray125"/>
    </x:fill>
    <x:fill>
      <x:patternFill patternType="solid">
        <x:fgColor rgb="FFDDEBF7"/>
      </x:patternFill>
    </x:fill>
    <x:fill>
      <x:patternFill patternType="solid">
        <x:fgColor rgb="FFFFFFFF"/>
      </x:patternFill>
    </x:fill>
    <x:fill>
      <x:patternFill patternType="solid">
        <x:fgColor rgb="FFF2F2F2"/>
      </x:patternFill>
    </x:fill>
    <x:fill>
      <x:patternFill patternType="solid">
        <x:fgColor rgb="FF1F4E78"/>
      </x:patternFill>
    </x:fill>
    <x:fill>
      <x:patternFill patternType="solid">
        <x:fgColor rgb="FF5B9BD5"/>
      </x:patternFill>
    </x:fill>
    <x:fill>
      <x:patternFill patternType="solid">
        <x:fgColor rgb="FFD9EAF7"/>
      </x:patternFill>
    </x:fill>
    <x:fill>
      <x:patternFill patternType="solid">
        <x:fgColor rgb="FFFFF2CC"/>
      </x:patternFill>
    </x:fill>
  </x:fills>
  <x:borders count="54">
    <x:border/>
    <x:border>
      <x:left style="medium">
        <x:color auto="1"/>
      </x:left>
      <x:right style="medium">
        <x:color auto="1"/>
      </x:right>
      <x:top style="medium">
        <x:color auto="1"/>
      </x:top>
      <x:bottom style="medium">
        <x:color auto="1"/>
      </x:bottom>
    </x:border>
    <x:border>
      <x:left style="medium">
        <x:color auto="1"/>
      </x:left>
      <x:right style="medium">
        <x:color auto="1"/>
      </x:right>
    </x:border>
    <x:border>
      <x:left style="medium">
        <x:color auto="1"/>
      </x:left>
      <x:right style="medium">
        <x:color auto="1"/>
      </x:right>
      <x:bottom style="medium">
        <x:color auto="1"/>
      </x:bottom>
    </x:border>
    <x:border>
      <x:left style="thin">
        <x:color auto="1"/>
      </x:left>
      <x:right style="thin">
        <x:color auto="1"/>
      </x:right>
      <x:top style="medium">
        <x:color auto="1"/>
      </x:top>
      <x:bottom style="medium">
        <x:color auto="1"/>
      </x:bottom>
    </x:border>
    <x:border>
      <x:left style="thin">
        <x:color auto="1"/>
      </x:left>
      <x:right style="medium">
        <x:color auto="1"/>
      </x:right>
      <x:top style="medium">
        <x:color auto="1"/>
      </x:top>
      <x:bottom style="medium">
        <x:color auto="1"/>
      </x:bottom>
    </x:border>
    <x:border>
      <x:left style="thin">
        <x:color auto="1"/>
      </x:left>
      <x:right style="medium">
        <x:color auto="1"/>
      </x:right>
      <x:top style="thin">
        <x:color auto="1"/>
      </x:top>
      <x:bottom style="thin">
        <x:color auto="1"/>
      </x:bottom>
    </x:border>
    <x:border>
      <x:left style="thin">
        <x:color auto="1"/>
      </x:left>
      <x:right style="medium">
        <x:color auto="1"/>
      </x:right>
      <x:top style="thin">
        <x:color auto="1"/>
      </x:top>
      <x:bottom style="medium">
        <x:color auto="1"/>
      </x:bottom>
    </x:border>
    <x:border>
      <x:left style="medium">
        <x:color auto="1"/>
      </x:left>
      <x:right style="medium">
        <x:color auto="1"/>
      </x:right>
      <x:top style="medium">
        <x:color auto="1"/>
      </x:top>
      <x:bottom style="thin">
        <x:color auto="1"/>
      </x:bottom>
    </x:border>
    <x:border>
      <x:top style="medium">
        <x:color auto="1"/>
      </x:top>
      <x:bottom style="thin">
        <x:color auto="1"/>
      </x:bottom>
    </x:border>
    <x:border>
      <x:right style="medium">
        <x:color auto="1"/>
      </x:right>
      <x:top style="medium">
        <x:color auto="1"/>
      </x:top>
      <x:bottom style="thin">
        <x:color auto="1"/>
      </x:bottom>
    </x:border>
    <x:border>
      <x:left style="medium">
        <x:color auto="1"/>
      </x:left>
      <x:top style="thin">
        <x:color auto="1"/>
      </x:top>
      <x:bottom style="thin">
        <x:color auto="1"/>
      </x:bottom>
    </x:border>
    <x:border>
      <x:left style="dashed">
        <x:color auto="1"/>
      </x:left>
      <x:top style="thin">
        <x:color auto="1"/>
      </x:top>
      <x:bottom style="thin">
        <x:color auto="1"/>
      </x:bottom>
    </x:border>
    <x:border>
      <x:left style="medium">
        <x:color auto="1"/>
      </x:left>
      <x:right style="medium">
        <x:color auto="1"/>
      </x:right>
      <x:top style="thin">
        <x:color auto="1"/>
      </x:top>
      <x:bottom style="thin">
        <x:color auto="1"/>
      </x:bottom>
    </x:border>
    <x:border>
      <x:right style="medium">
        <x:color auto="1"/>
      </x:right>
      <x:top style="thin">
        <x:color auto="1"/>
      </x:top>
      <x:bottom style="thin">
        <x:color auto="1"/>
      </x:bottom>
    </x:border>
    <x:border>
      <x:left style="medium">
        <x:color auto="1"/>
      </x:left>
      <x:top style="thin">
        <x:color auto="1"/>
      </x:top>
      <x:bottom style="medium">
        <x:color auto="1"/>
      </x:bottom>
    </x:border>
    <x:border>
      <x:left style="dashed">
        <x:color auto="1"/>
      </x:left>
      <x:top style="thin">
        <x:color auto="1"/>
      </x:top>
      <x:bottom style="medium">
        <x:color auto="1"/>
      </x:bottom>
    </x:border>
    <x:border>
      <x:left style="medium">
        <x:color auto="1"/>
      </x:left>
      <x:bottom style="thin">
        <x:color auto="1"/>
      </x:bottom>
    </x:border>
    <x:border>
      <x:left style="thin">
        <x:color auto="1"/>
      </x:left>
      <x:right style="thin">
        <x:color auto="1"/>
      </x:right>
      <x:bottom style="thin">
        <x:color auto="1"/>
      </x:bottom>
    </x:border>
    <x:border>
      <x:left style="thin">
        <x:color auto="1"/>
      </x:left>
      <x:right style="medium">
        <x:color auto="1"/>
      </x:right>
      <x:bottom style="thin">
        <x:color auto="1"/>
      </x:bottom>
    </x:border>
    <x:border>
      <x:left style="dashed">
        <x:color auto="1"/>
      </x:left>
      <x:bottom style="thin">
        <x:color auto="1"/>
      </x:bottom>
    </x:border>
    <x:border>
      <x:top style="medium">
        <x:color auto="1"/>
      </x:top>
      <x:bottom style="medium">
        <x:color auto="1"/>
      </x:bottom>
    </x:border>
    <x:border>
      <x:right style="medium">
        <x:color auto="1"/>
      </x:right>
      <x:top style="medium">
        <x:color auto="1"/>
      </x:top>
      <x:bottom style="medium">
        <x:color auto="1"/>
      </x:bottom>
    </x:border>
    <x:border>
      <x:left style="thin">
        <x:color auto="1"/>
      </x:left>
      <x:right style="medium">
        <x:color auto="1"/>
      </x:right>
    </x:border>
    <x:border>
      <x:left style="thin">
        <x:color auto="1"/>
      </x:left>
      <x:right style="medium">
        <x:color auto="1"/>
      </x:right>
      <x:bottom style="medium">
        <x:color auto="1"/>
      </x:bottom>
    </x:border>
    <x:border>
      <x:left style="thin">
        <x:color auto="1"/>
      </x:left>
      <x:right style="thin">
        <x:color auto="1"/>
      </x:right>
    </x:border>
    <x:border>
      <x:left style="thin">
        <x:color auto="1"/>
      </x:left>
      <x:right style="thin">
        <x:color auto="1"/>
      </x:right>
      <x:bottom style="medium">
        <x:color auto="1"/>
      </x:bottom>
    </x:border>
    <x:border/>
    <x:border>
      <x:left style="medium">
        <x:color auto="1"/>
      </x:left>
      <x:top style="thin">
        <x:color auto="1"/>
      </x:top>
      <x:bottom style="thin">
        <x:color auto="1"/>
      </x:bottom>
    </x:border>
    <x:border>
      <x:left style="dashed">
        <x:color auto="1"/>
      </x:left>
      <x:top style="thin">
        <x:color auto="1"/>
      </x:top>
      <x:bottom style="thin">
        <x:color auto="1"/>
      </x:bottom>
    </x:border>
    <x:border>
      <x:left style="thin">
        <x:color auto="1"/>
      </x:left>
      <x:right style="medium">
        <x:color auto="1"/>
      </x:right>
      <x:top style="thin">
        <x:color auto="1"/>
      </x:top>
      <x:bottom style="thin">
        <x:color auto="1"/>
      </x:bottom>
    </x:border>
    <x:border>
      <x:left style="medium">
        <x:color auto="1"/>
      </x:left>
      <x:top style="thin">
        <x:color auto="1"/>
      </x:top>
      <x:bottom style="medium">
        <x:color auto="1"/>
      </x:bottom>
    </x:border>
    <x:border>
      <x:left style="dashed">
        <x:color auto="1"/>
      </x:left>
      <x:top style="thin">
        <x:color auto="1"/>
      </x:top>
      <x:bottom style="medium">
        <x:color auto="1"/>
      </x:bottom>
    </x:border>
    <x:border>
      <x:left style="thin">
        <x:color auto="1"/>
      </x:left>
      <x:right style="medium">
        <x:color auto="1"/>
      </x:right>
      <x:top style="thin">
        <x:color auto="1"/>
      </x:top>
      <x:bottom style="medium">
        <x:color auto="1"/>
      </x:bottom>
    </x:border>
    <x:border>
      <x:left style="medium">
        <x:color auto="1"/>
      </x:left>
      <x:bottom style="thin">
        <x:color auto="1"/>
      </x:bottom>
    </x:border>
    <x:border>
      <x:left style="thin">
        <x:color auto="1"/>
      </x:left>
      <x:right style="thin">
        <x:color auto="1"/>
      </x:right>
      <x:bottom style="thin">
        <x:color auto="1"/>
      </x:bottom>
    </x:border>
    <x:border>
      <x:left style="thin">
        <x:color auto="1"/>
      </x:left>
      <x:right style="medium">
        <x:color auto="1"/>
      </x:right>
      <x:bottom style="thin">
        <x:color auto="1"/>
      </x:bottom>
    </x:border>
    <x:border>
      <x:left style="dashed">
        <x:color auto="1"/>
      </x:left>
      <x:bottom style="thin">
        <x:color auto="1"/>
      </x:bottom>
    </x:border>
    <x:border>
      <x:left style="medium">
        <x:color auto="1"/>
      </x:left>
      <x:right style="medium">
        <x:color auto="1"/>
      </x:right>
      <x:top style="medium">
        <x:color auto="1"/>
      </x:top>
      <x:bottom style="medium">
        <x:color auto="1"/>
      </x:bottom>
    </x:border>
    <x:border>
      <x:top style="medium">
        <x:color auto="1"/>
      </x:top>
      <x:bottom style="medium">
        <x:color auto="1"/>
      </x:bottom>
    </x:border>
    <x:border>
      <x:right style="medium">
        <x:color auto="1"/>
      </x:right>
      <x:top style="medium">
        <x:color auto="1"/>
      </x:top>
      <x:bottom style="medium">
        <x:color auto="1"/>
      </x:bottom>
    </x:border>
    <x:border>
      <x:left style="medium">
        <x:color auto="1"/>
      </x:left>
      <x:right style="medium">
        <x:color auto="1"/>
      </x:right>
      <x:top style="medium">
        <x:color auto="1"/>
      </x:top>
      <x:bottom style="thin">
        <x:color auto="1"/>
      </x:bottom>
    </x:border>
    <x:border>
      <x:right style="medium">
        <x:color auto="1"/>
      </x:right>
      <x:top style="medium">
        <x:color auto="1"/>
      </x:top>
      <x:bottom style="thin">
        <x:color auto="1"/>
      </x:bottom>
    </x:border>
    <x:border>
      <x:left style="medium">
        <x:color auto="1"/>
      </x:left>
      <x:right style="medium">
        <x:color auto="1"/>
      </x:right>
    </x:border>
    <x:border>
      <x:left style="medium">
        <x:color auto="1"/>
      </x:left>
      <x:right style="medium">
        <x:color auto="1"/>
      </x:right>
      <x:bottom style="medium">
        <x:color auto="1"/>
      </x:bottom>
    </x:border>
    <x:border>
      <x:top style="medium">
        <x:color auto="1"/>
      </x:top>
      <x:bottom style="thin">
        <x:color auto="1"/>
      </x:bottom>
    </x:border>
    <x:border>
      <x:left style="thin">
        <x:color auto="1"/>
      </x:left>
      <x:right style="medium">
        <x:color auto="1"/>
      </x:right>
      <x:top style="medium">
        <x:color auto="1"/>
      </x:top>
      <x:bottom style="medium">
        <x:color auto="1"/>
      </x:bottom>
    </x:border>
    <x:border>
      <x:left style="thin">
        <x:color auto="1"/>
      </x:left>
      <x:right style="medium">
        <x:color auto="1"/>
      </x:right>
    </x:border>
    <x:border>
      <x:left style="thin">
        <x:color auto="1"/>
      </x:left>
      <x:right style="medium">
        <x:color auto="1"/>
      </x:right>
      <x:bottom style="medium">
        <x:color auto="1"/>
      </x:bottom>
    </x:border>
    <x:border>
      <x:left style="medium">
        <x:color auto="1"/>
      </x:left>
      <x:right style="medium">
        <x:color auto="1"/>
      </x:right>
      <x:top style="thin">
        <x:color auto="1"/>
      </x:top>
      <x:bottom style="thin">
        <x:color auto="1"/>
      </x:bottom>
    </x:border>
    <x:border>
      <x:right style="medium">
        <x:color auto="1"/>
      </x:right>
      <x:top style="thin">
        <x:color auto="1"/>
      </x:top>
      <x:bottom style="thin">
        <x:color auto="1"/>
      </x:bottom>
    </x:border>
    <x:border>
      <x:left style="thin">
        <x:color auto="1"/>
      </x:left>
      <x:right style="thin">
        <x:color auto="1"/>
      </x:right>
      <x:top style="medium">
        <x:color auto="1"/>
      </x:top>
      <x:bottom style="medium">
        <x:color auto="1"/>
      </x:bottom>
    </x:border>
    <x:border>
      <x:left style="thin">
        <x:color auto="1"/>
      </x:left>
      <x:right style="thin">
        <x:color auto="1"/>
      </x:right>
    </x:border>
    <x:border>
      <x:left style="thin">
        <x:color auto="1"/>
      </x:left>
      <x:right style="thin">
        <x:color auto="1"/>
      </x:right>
      <x:bottom style="medium">
        <x:color auto="1"/>
      </x:bottom>
    </x:border>
  </x:borders>
  <x:cellStyleXfs count="1">
    <x:xf numFmtId="0" fontId="0" fillId="0" borderId="0"/>
  </x:cellStyleXfs>
  <x:cellXfs count="118">
    <x:xf numFmtId="0" fontId="0" fillId="0" borderId="0" xfId="0"/>
    <x:xf numFmtId="0" fontId="1" fillId="0" borderId="11" xfId="0" applyFont="1" applyBorder="1" applyAlignment="1">
      <x:alignment horizontal="left" vertical="center"/>
    </x:xf>
    <x:xf numFmtId="0" fontId="1" fillId="0" borderId="12" xfId="0" applyFont="1" applyBorder="1" applyAlignment="1">
      <x:alignment horizontal="left" vertical="center"/>
    </x:xf>
    <x:xf numFmtId="0" fontId="1" fillId="0" borderId="6" xfId="0" applyFont="1" applyBorder="1" applyAlignment="1">
      <x:alignment horizontal="left" vertical="center"/>
    </x:xf>
    <x:xf numFmtId="0" fontId="1" fillId="0" borderId="15" xfId="0" applyFont="1" applyBorder="1" applyAlignment="1">
      <x:alignment horizontal="center" vertical="center"/>
    </x:xf>
    <x:xf numFmtId="0" fontId="1" fillId="0" borderId="16" xfId="0" applyFont="1" applyBorder="1" applyAlignment="1">
      <x:alignment horizontal="center" vertical="center"/>
    </x:xf>
    <x:xf numFmtId="0" fontId="1" fillId="2" borderId="7" xfId="0" applyFont="1" applyFill="1" applyBorder="1" applyAlignment="1">
      <x:alignment horizontal="center" vertical="center"/>
    </x:xf>
    <x:xf numFmtId="0" fontId="1" fillId="3" borderId="17" xfId="0" applyFont="1" applyFill="1" applyBorder="1" applyAlignment="1">
      <x:alignment horizontal="center" vertical="center"/>
    </x:xf>
    <x:xf numFmtId="0" fontId="1" fillId="3" borderId="18" xfId="0" applyFont="1" applyFill="1" applyBorder="1" applyAlignment="1">
      <x:alignment horizontal="center" vertical="center"/>
    </x:xf>
    <x:xf numFmtId="0" fontId="1" fillId="3" borderId="19" xfId="0" applyFont="1" applyFill="1" applyBorder="1" applyAlignment="1">
      <x:alignment horizontal="center" vertical="center"/>
    </x:xf>
    <x:xf numFmtId="0" fontId="1" fillId="3" borderId="20" xfId="0" applyFont="1" applyFill="1" applyBorder="1" applyAlignment="1">
      <x:alignment horizontal="center" vertical="center"/>
    </x:xf>
    <x:xf numFmtId="0" fontId="1" fillId="3" borderId="20" xfId="0" applyFont="1" applyFill="1" applyBorder="1" applyAlignment="1">
      <x:alignment horizontal="left" vertical="center"/>
    </x:xf>
    <x:xf numFmtId="0" fontId="1" fillId="2" borderId="19" xfId="0" applyFont="1" applyFill="1" applyBorder="1" applyAlignment="1">
      <x:alignment horizontal="center" vertical="center"/>
    </x:xf>
    <x:xf numFmtId="0" fontId="1" fillId="4" borderId="17" xfId="0" applyFont="1" applyFill="1" applyBorder="1" applyAlignment="1">
      <x:alignment horizontal="center" vertical="center"/>
    </x:xf>
    <x:xf numFmtId="0" fontId="1" fillId="4" borderId="18" xfId="0" applyFont="1" applyFill="1" applyBorder="1" applyAlignment="1">
      <x:alignment horizontal="center" vertical="center"/>
    </x:xf>
    <x:xf numFmtId="0" fontId="1" fillId="4" borderId="19" xfId="0" applyFont="1" applyFill="1" applyBorder="1" applyAlignment="1">
      <x:alignment horizontal="center" vertical="center"/>
    </x:xf>
    <x:xf numFmtId="0" fontId="1" fillId="4" borderId="20" xfId="0" applyFont="1" applyFill="1" applyBorder="1" applyAlignment="1">
      <x:alignment horizontal="center" vertical="center"/>
    </x:xf>
    <x:xf numFmtId="0" fontId="1" fillId="4" borderId="20" xfId="0" applyFont="1" applyFill="1" applyBorder="1" applyAlignment="1">
      <x:alignment horizontal="left" vertical="center"/>
    </x:xf>
    <x:xf numFmtId="0" fontId="0" fillId="0" borderId="0" xfId="0" applyAlignment="1">
      <x:alignment horizontal="center" vertical="center"/>
    </x:xf>
    <x:xf numFmtId="0" fontId="2" fillId="2" borderId="0" xfId="0" applyFont="1" applyFill="1"/>
    <x:xf numFmtId="176" fontId="2" fillId="2" borderId="0" xfId="0" applyNumberFormat="1" applyFont="1" applyFill="1"/>
    <x:xf numFmtId="0" fontId="2" fillId="0" borderId="1" xfId="0" applyFont="1" applyBorder="1" applyAlignment="1">
      <x:alignment horizontal="left" vertical="center"/>
    </x:xf>
    <x:xf numFmtId="0" fontId="0" fillId="0" borderId="21" xfId="0" applyBorder="1"/>
    <x:xf numFmtId="0" fontId="0" fillId="0" borderId="22" xfId="0" applyBorder="1"/>
    <x:xf numFmtId="0" fontId="1" fillId="0" borderId="8" xfId="0" applyFont="1" applyBorder="1" applyAlignment="1">
      <x:alignment horizontal="left" vertical="center"/>
    </x:xf>
    <x:xf numFmtId="0" fontId="0" fillId="0" borderId="10" xfId="0" applyBorder="1"/>
    <x:xf numFmtId="0" fontId="2" fillId="0" borderId="1" xfId="0" applyFont="1" applyBorder="1" applyAlignment="1">
      <x:alignment horizontal="center" vertical="center"/>
    </x:xf>
    <x:xf numFmtId="0" fontId="0" fillId="0" borderId="2" xfId="0" applyBorder="1"/>
    <x:xf numFmtId="0" fontId="0" fillId="0" borderId="3" xfId="0" applyBorder="1"/>
    <x:xf numFmtId="0" fontId="0" fillId="0" borderId="9" xfId="0" applyBorder="1"/>
    <x:xf numFmtId="0" fontId="2" fillId="0" borderId="5" xfId="0" applyFont="1" applyBorder="1" applyAlignment="1">
      <x:alignment horizontal="center" vertical="center" wrapText="1"/>
    </x:xf>
    <x:xf numFmtId="0" fontId="0" fillId="0" borderId="23" xfId="0" applyBorder="1"/>
    <x:xf numFmtId="0" fontId="0" fillId="0" borderId="24" xfId="0" applyBorder="1"/>
    <x:xf numFmtId="0" fontId="1" fillId="0" borderId="13" xfId="0" applyFont="1" applyBorder="1" applyAlignment="1">
      <x:alignment horizontal="left" vertical="center"/>
    </x:xf>
    <x:xf numFmtId="0" fontId="0" fillId="0" borderId="14" xfId="0" applyBorder="1"/>
    <x:xf numFmtId="0" fontId="2" fillId="0" borderId="4" xfId="0" applyFont="1" applyBorder="1" applyAlignment="1">
      <x:alignment horizontal="center" vertical="center" wrapText="1"/>
    </x:xf>
    <x:xf numFmtId="0" fontId="0" fillId="0" borderId="25" xfId="0" applyBorder="1"/>
    <x:xf numFmtId="0" fontId="0" fillId="0" borderId="26" xfId="0" applyBorder="1"/>
    <x:xf numFmtId="0" fontId="0" fillId="0" borderId="27" xfId="0" applyNumberFormat="1" applyFont="1" applyFill="1" applyBorder="1"/>
    <x:xf numFmtId="0" fontId="1" fillId="0" borderId="28" xfId="0" applyNumberFormat="1" applyFont="1" applyFill="1" applyBorder="1" applyAlignment="1">
      <x:alignment horizontal="left" vertical="center"/>
    </x:xf>
    <x:xf numFmtId="0" fontId="1" fillId="0" borderId="29" xfId="0" applyNumberFormat="1" applyFont="1" applyFill="1" applyBorder="1" applyAlignment="1">
      <x:alignment horizontal="left" vertical="center"/>
    </x:xf>
    <x:xf numFmtId="0" fontId="1" fillId="0" borderId="30" xfId="0" applyNumberFormat="1" applyFont="1" applyFill="1" applyBorder="1" applyAlignment="1">
      <x:alignment horizontal="left" vertical="center"/>
    </x:xf>
    <x:xf numFmtId="0" fontId="1" fillId="0" borderId="31" xfId="0" applyNumberFormat="1" applyFont="1" applyFill="1" applyBorder="1" applyAlignment="1">
      <x:alignment horizontal="center" vertical="center"/>
    </x:xf>
    <x:xf numFmtId="0" fontId="1" fillId="0" borderId="32" xfId="0" applyNumberFormat="1" applyFont="1" applyFill="1" applyBorder="1" applyAlignment="1">
      <x:alignment horizontal="center" vertical="center"/>
    </x:xf>
    <x:xf numFmtId="0" fontId="1" fillId="2" borderId="33" xfId="0" applyNumberFormat="1" applyFont="1" applyFill="1" applyBorder="1" applyAlignment="1">
      <x:alignment horizontal="center" vertical="center"/>
    </x:xf>
    <x:xf numFmtId="0" fontId="1" fillId="3" borderId="34" xfId="0" applyNumberFormat="1" applyFont="1" applyFill="1" applyBorder="1" applyAlignment="1">
      <x:alignment horizontal="center" vertical="center"/>
    </x:xf>
    <x:xf numFmtId="0" fontId="1" fillId="3" borderId="35" xfId="0" applyNumberFormat="1" applyFont="1" applyFill="1" applyBorder="1" applyAlignment="1">
      <x:alignment horizontal="center" vertical="center"/>
    </x:xf>
    <x:xf numFmtId="0" fontId="1" fillId="3" borderId="36" xfId="0" applyNumberFormat="1" applyFont="1" applyFill="1" applyBorder="1" applyAlignment="1">
      <x:alignment horizontal="center" vertical="center"/>
    </x:xf>
    <x:xf numFmtId="0" fontId="1" fillId="3" borderId="37" xfId="0" applyNumberFormat="1" applyFont="1" applyFill="1" applyBorder="1" applyAlignment="1">
      <x:alignment horizontal="center" vertical="center"/>
    </x:xf>
    <x:xf numFmtId="0" fontId="1" fillId="3" borderId="37" xfId="0" applyNumberFormat="1" applyFont="1" applyFill="1" applyBorder="1" applyAlignment="1">
      <x:alignment horizontal="left" vertical="center"/>
    </x:xf>
    <x:xf numFmtId="0" fontId="1" fillId="2" borderId="36" xfId="0" applyNumberFormat="1" applyFont="1" applyFill="1" applyBorder="1" applyAlignment="1">
      <x:alignment horizontal="center" vertical="center"/>
    </x:xf>
    <x:xf numFmtId="0" fontId="1" fillId="4" borderId="34" xfId="0" applyNumberFormat="1" applyFont="1" applyFill="1" applyBorder="1" applyAlignment="1">
      <x:alignment horizontal="center" vertical="center"/>
    </x:xf>
    <x:xf numFmtId="0" fontId="1" fillId="4" borderId="35" xfId="0" applyNumberFormat="1" applyFont="1" applyFill="1" applyBorder="1" applyAlignment="1">
      <x:alignment horizontal="center" vertical="center"/>
    </x:xf>
    <x:xf numFmtId="0" fontId="1" fillId="4" borderId="36" xfId="0" applyNumberFormat="1" applyFont="1" applyFill="1" applyBorder="1" applyAlignment="1">
      <x:alignment horizontal="center" vertical="center"/>
    </x:xf>
    <x:xf numFmtId="0" fontId="1" fillId="4" borderId="37" xfId="0" applyNumberFormat="1" applyFont="1" applyFill="1" applyBorder="1" applyAlignment="1">
      <x:alignment horizontal="center" vertical="center"/>
    </x:xf>
    <x:xf numFmtId="0" fontId="1" fillId="4" borderId="37" xfId="0" applyNumberFormat="1" applyFont="1" applyFill="1" applyBorder="1" applyAlignment="1">
      <x:alignment horizontal="left" vertical="center"/>
    </x:xf>
    <x:xf numFmtId="0" fontId="0" fillId="0" borderId="27" xfId="0" applyNumberFormat="1" applyFont="1" applyFill="1" applyBorder="1" applyAlignment="1">
      <x:alignment horizontal="center" vertical="center"/>
    </x:xf>
    <x:xf numFmtId="0" fontId="2" fillId="2" borderId="27" xfId="0" applyNumberFormat="1" applyFont="1" applyFill="1" applyBorder="1"/>
    <x:xf numFmtId="176" fontId="2" fillId="2" borderId="27" xfId="0" applyNumberFormat="1" applyFont="1" applyFill="1" applyBorder="1"/>
    <x:xf numFmtId="0" fontId="2" fillId="0" borderId="38" xfId="0" applyNumberFormat="1" applyFont="1" applyFill="1" applyBorder="1" applyAlignment="1">
      <x:alignment horizontal="left" vertical="center"/>
    </x:xf>
    <x:xf numFmtId="0" fontId="0" fillId="0" borderId="39" xfId="0" applyNumberFormat="1" applyFont="1" applyFill="1" applyBorder="1"/>
    <x:xf numFmtId="0" fontId="0" fillId="0" borderId="40" xfId="0" applyNumberFormat="1" applyFont="1" applyFill="1" applyBorder="1"/>
    <x:xf numFmtId="0" fontId="1" fillId="0" borderId="41" xfId="0" applyNumberFormat="1" applyFont="1" applyFill="1" applyBorder="1" applyAlignment="1">
      <x:alignment horizontal="left" vertical="center"/>
    </x:xf>
    <x:xf numFmtId="0" fontId="0" fillId="0" borderId="42" xfId="0" applyNumberFormat="1" applyFont="1" applyFill="1" applyBorder="1"/>
    <x:xf numFmtId="0" fontId="2" fillId="0" borderId="38" xfId="0" applyNumberFormat="1" applyFont="1" applyFill="1" applyBorder="1" applyAlignment="1">
      <x:alignment horizontal="center" vertical="center"/>
    </x:xf>
    <x:xf numFmtId="0" fontId="0" fillId="0" borderId="43" xfId="0" applyNumberFormat="1" applyFont="1" applyFill="1" applyBorder="1"/>
    <x:xf numFmtId="0" fontId="0" fillId="0" borderId="44" xfId="0" applyNumberFormat="1" applyFont="1" applyFill="1" applyBorder="1"/>
    <x:xf numFmtId="0" fontId="0" fillId="0" borderId="45" xfId="0" applyNumberFormat="1" applyFont="1" applyFill="1" applyBorder="1"/>
    <x:xf numFmtId="0" fontId="2" fillId="0" borderId="46" xfId="0" applyNumberFormat="1" applyFont="1" applyFill="1" applyBorder="1" applyAlignment="1">
      <x:alignment horizontal="center" vertical="center" wrapText="1"/>
    </x:xf>
    <x:xf numFmtId="0" fontId="0" fillId="0" borderId="47" xfId="0" applyNumberFormat="1" applyFont="1" applyFill="1" applyBorder="1"/>
    <x:xf numFmtId="0" fontId="0" fillId="0" borderId="48" xfId="0" applyNumberFormat="1" applyFont="1" applyFill="1" applyBorder="1"/>
    <x:xf numFmtId="0" fontId="1" fillId="0" borderId="49" xfId="0" applyNumberFormat="1" applyFont="1" applyFill="1" applyBorder="1" applyAlignment="1">
      <x:alignment horizontal="left" vertical="center"/>
    </x:xf>
    <x:xf numFmtId="0" fontId="0" fillId="0" borderId="50" xfId="0" applyNumberFormat="1" applyFont="1" applyFill="1" applyBorder="1"/>
    <x:xf numFmtId="0" fontId="2" fillId="0" borderId="51" xfId="0" applyNumberFormat="1" applyFont="1" applyFill="1" applyBorder="1" applyAlignment="1">
      <x:alignment horizontal="center" vertical="center" wrapText="1"/>
    </x:xf>
    <x:xf numFmtId="0" fontId="0" fillId="0" borderId="52" xfId="0" applyNumberFormat="1" applyFont="1" applyFill="1" applyBorder="1"/>
    <x:xf numFmtId="0" fontId="0" fillId="0" borderId="53"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27" xfId="0" applyNumberFormat="1" applyFont="1" applyFill="1" applyBorder="1"/>
    <x:xf numFmtId="0" fontId="4" fillId="5" borderId="27" xfId="0" applyNumberFormat="1" applyFont="1" applyFill="1" applyBorder="1"/>
    <x:xf numFmtId="0" fontId="4" fillId="5" borderId="27" xfId="0" applyNumberFormat="1" applyFont="1" applyFill="1" applyBorder="1" applyAlignment="1">
      <x:alignment vertical="center"/>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0" fontId="0" fillId="6" borderId="27" xfId="0" applyNumberFormat="1" applyFont="1" applyFill="1" applyBorder="1"/>
    <x:xf numFmtId="0" fontId="5" fillId="6" borderId="27" xfId="0" applyNumberFormat="1" applyFont="1" applyFill="1" applyBorder="1"/>
    <x:xf numFmtId="0" fontId="5" fillId="6" borderId="27" xfId="0" applyNumberFormat="1" applyFont="1" applyFill="1" applyBorder="1" applyAlignment="1">
      <x:alignment wrapText="1"/>
    </x:xf>
    <x:xf numFmtId="0" fontId="5" fillId="6" borderId="27" xfId="0" applyNumberFormat="1" applyFont="1" applyFill="1" applyBorder="1" applyAlignment="1">
      <x:alignment horizontal="center" wrapText="1"/>
    </x:xf>
    <x:xf numFmtId="0" fontId="5" fillId="6" borderId="27" xfId="0" applyNumberFormat="1" applyFont="1" applyFill="1" applyBorder="1" applyAlignment="1">
      <x:alignment horizontal="center" vertical="center"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0" borderId="27" xfId="0" applyNumberFormat="1" applyFont="1" applyFill="1" applyBorder="1"/>
    <x:xf numFmtId="0" fontId="6" fillId="0" borderId="27" xfId="0" applyNumberFormat="1" applyFont="1" applyFill="1" applyBorder="1" applyAlignment="1">
      <x:alignment wrapText="1"/>
    </x:xf>
    <x:xf numFmtId="0" fontId="6" fillId="0" borderId="27" xfId="0" applyNumberFormat="1" applyFont="1" applyFill="1" applyBorder="1" applyAlignment="1">
      <x:alignment vertical="top" wrapText="1"/>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0" fontId="0" fillId="7" borderId="27" xfId="0" applyNumberFormat="1" applyFont="1" applyFill="1" applyBorder="1"/>
    <x:xf numFmtId="0" fontId="7" fillId="7" borderId="27" xfId="0" applyNumberFormat="1" applyFont="1" applyFill="1" applyBorder="1"/>
    <x:xf numFmtId="0" fontId="7" fillId="7" borderId="27" xfId="0" applyNumberFormat="1" applyFont="1" applyFill="1" applyBorder="1" applyAlignment="1">
      <x:alignment wrapText="1"/>
    </x:xf>
    <x:xf numFmtId="176" fontId="6" fillId="0" borderId="0" xfId="0" applyNumberFormat="1" applyFont="1" applyFill="1" applyBorder="1" applyAlignment="1">
      <x:alignment vertical="top" wrapText="1"/>
    </x:xf>
    <x:xf numFmtId="176" fontId="6" fillId="0" borderId="27" xfId="0" applyNumberFormat="1" applyFont="1" applyFill="1" applyBorder="1" applyAlignment="1">
      <x:alignment vertical="top"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top" wrapText="1"/>
    </x:xf>
    <x:xf numFmtId="0" fontId="0" fillId="8" borderId="27" xfId="0" applyNumberFormat="1" applyFont="1" applyFill="1" applyBorder="1"/>
    <x:xf numFmtId="0" fontId="6" fillId="8" borderId="27" xfId="0" applyNumberFormat="1" applyFont="1" applyFill="1" applyBorder="1"/>
    <x:xf numFmtId="0" fontId="6" fillId="8" borderId="27" xfId="0" applyNumberFormat="1" applyFont="1" applyFill="1" applyBorder="1" applyAlignment="1">
      <x:alignment wrapText="1"/>
    </x:xf>
    <x:xf numFmtId="0" fontId="6" fillId="8" borderId="27" xfId="0" applyNumberFormat="1" applyFont="1" applyFill="1" applyBorder="1" applyAlignment="1">
      <x:alignment vertical="top" wrapText="1"/>
    </x:xf>
    <x:xf numFmtId="0" fontId="8" fillId="7" borderId="0" xfId="0" applyNumberFormat="1" applyFont="1" applyFill="1" applyBorder="1"/>
    <x:xf numFmtId="0" fontId="8" fillId="7" borderId="0" xfId="0" applyNumberFormat="1" applyFont="1" applyFill="1" applyBorder="1" applyAlignment="1">
      <x:alignment wrapText="1"/>
    </x:xf>
    <x:xf numFmtId="0" fontId="8" fillId="7" borderId="27" xfId="0" applyNumberFormat="1" applyFont="1" applyFill="1" applyBorder="1"/>
    <x:xf numFmtId="0" fontId="8" fillId="7" borderId="27" xfId="0" applyNumberFormat="1" applyFont="1" applyFill="1" applyBorder="1" applyAlignment="1">
      <x:alignment wrapText="1"/>
    </x:xf>
  </x:cellXfs>
  <x:cellStyles count="1">
    <x:cellStyle name="標準" xfId="0"/>
  </x:cellStyles>
</x:styleSheet>
</file>

<file path=xl/_rels/workbook.xml.rels>&#65279;<?xml version="1.0" encoding="utf-8"?><Relationships xmlns="http://schemas.openxmlformats.org/package/2006/relationships"><Relationship Type="http://schemas.openxmlformats.org/officeDocument/2006/relationships/styles" Target="/xl/styles.xml" Id="Ree7ae4d46c0841f3" /><Relationship Type="http://schemas.openxmlformats.org/officeDocument/2006/relationships/theme" Target="/xl/theme/theme1.xml" Id="R4360317df3d74947" /><Relationship Type="http://schemas.openxmlformats.org/officeDocument/2006/relationships/sharedStrings" Target="/xl/sharedStrings.xml" Id="Rf12d94eadafe4579" /><Relationship Type="http://schemas.openxmlformats.org/officeDocument/2006/relationships/worksheet" Target="/xl/worksheets/sheet1.xml" Id="Rbcbec623a998467d" /><Relationship Type="http://schemas.openxmlformats.org/officeDocument/2006/relationships/worksheet" Target="/xl/worksheets/sheet2.xml" Id="R0756b55f33b44d5a" /><Relationship Type="http://schemas.openxmlformats.org/officeDocument/2006/relationships/worksheet" Target="/xl/worksheets/sheet3.xml" Id="R6c84a72e0f104437" /><Relationship Type="http://schemas.openxmlformats.org/officeDocument/2006/relationships/worksheet" Target="/xl/worksheets/sheet4.xml" Id="R478a77b344714e5d" /><Relationship Type="http://schemas.openxmlformats.org/officeDocument/2006/relationships/worksheet" Target="/xl/worksheets/sheet5.xml" Id="R9270ef09655e4d3a" /><Relationship Type="http://schemas.openxmlformats.org/officeDocument/2006/relationships/worksheet" Target="/xl/worksheets/sheet6.xml" Id="R3bcee98cd738440b" /><Relationship Type="http://schemas.openxmlformats.org/officeDocument/2006/relationships/worksheet" Target="/xl/worksheets/sheet7.xml" Id="R887104473c22490b" /><Relationship Type="http://schemas.openxmlformats.org/officeDocument/2006/relationships/worksheet" Target="/xl/worksheets/sheet8.xml" Id="R044431b9871a4e30" /><Relationship Type="http://schemas.openxmlformats.org/officeDocument/2006/relationships/worksheet" Target="/xl/worksheets/sheet9.xml" Id="R387c8407a4c64e63" /><Relationship Type="http://schemas.openxmlformats.org/officeDocument/2006/relationships/worksheet" Target="/xl/worksheets/sheet10.xml" Id="R10808e3125244f92" /><Relationship Type="http://schemas.openxmlformats.org/officeDocument/2006/relationships/worksheet" Target="/xl/worksheets/sheet11.xml" Id="R44082c107f944a2b" /><Relationship Type="http://schemas.openxmlformats.org/officeDocument/2006/relationships/worksheet" Target="/xl/worksheets/sheet12.xml" Id="R37b5723b20a74c7e" /><Relationship Type="http://schemas.openxmlformats.org/officeDocument/2006/relationships/worksheet" Target="/xl/worksheets/sheet13.xml" Id="R7399865c0d7043a8" /><Relationship Type="http://schemas.openxmlformats.org/officeDocument/2006/relationships/worksheet" Target="/xl/worksheets/sheet14.xml" Id="Rc6a72375097a4cb1" /><Relationship Type="http://schemas.openxmlformats.org/officeDocument/2006/relationships/worksheet" Target="/xl/worksheets/sheet15.xml" Id="Rb1e4f01410ef46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3.5"/>
  <x:cols>
    <x:col min="1" max="1" width="6" customWidth="1"/>
    <x:col min="2" max="11" width="8" customWidth="1"/>
    <x:col min="12" max="15" width="3.5" customWidth="1"/>
    <x:col min="16" max="16" width="8.75" customWidth="1"/>
    <x:col min="17" max="17" width="6.75" customWidth="1"/>
    <x:col min="18" max="22" width="3.5" customWidth="1"/>
    <x:col min="23" max="23" width="8.75" customWidth="1"/>
    <x:col min="24" max="24" width="6.75" customWidth="1"/>
    <x:col min="25" max="28" width="3.5" customWidth="1"/>
    <x:col min="29" max="29" width="6.75" customWidth="1"/>
    <x:col min="30" max="34" width="3.5" customWidth="1"/>
    <x:col min="35" max="35" width="8.75" customWidth="1"/>
    <x:col min="36" max="36" width="6.75" customWidth="1"/>
    <x:col min="37" max="39" width="3.5" customWidth="1"/>
    <x:col min="40" max="40" width="6.75" customWidth="1"/>
    <x:col min="41" max="46" width="3.5" customWidth="1"/>
    <x:col min="47" max="47" width="8.75" customWidth="1"/>
    <x:col min="48" max="48" width="6.75" customWidth="1"/>
    <x:col min="49" max="56" width="3.5" customWidth="1"/>
    <x:col min="57" max="57" width="8.75" customWidth="1"/>
    <x:col min="58" max="58" width="6.75" customWidth="1"/>
    <x:col min="59" max="61" width="3.5" customWidth="1"/>
    <x:col min="62" max="62" width="6.75" customWidth="1"/>
    <x:col min="63" max="71" width="3.5" customWidth="1"/>
    <x:col min="72" max="72" width="8.75" customWidth="1"/>
    <x:col min="73" max="73" width="6.75" customWidth="1"/>
    <x:col min="74" max="76" width="3.5" customWidth="1"/>
    <x:col min="77" max="77" width="8.75" customWidth="1"/>
    <x:col min="78" max="78" width="6.75" customWidth="1"/>
    <x:col min="79" max="92" width="3.5" customWidth="1"/>
    <x:col min="93" max="93" width="8.75" customWidth="1"/>
    <x:col min="94" max="94" width="6.75" customWidth="1"/>
    <x:col min="95" max="95" width="8" customWidth="1"/>
    <x:col min="96" max="96" width="6.75" customWidth="1"/>
    <x:col min="97" max="103" width="3.5" customWidth="1"/>
    <x:col min="104" max="104" width="8.75" customWidth="1"/>
    <x:col min="105" max="105" width="6.75" customWidth="1"/>
    <x:col min="106" max="110" width="3.5" customWidth="1"/>
    <x:col min="111" max="111" width="6.75" customWidth="1"/>
    <x:col min="112" max="119" width="3.5" customWidth="1"/>
    <x:col min="120" max="120" width="8.75" customWidth="1"/>
    <x:col min="121" max="121" width="6.75" customWidth="1"/>
    <x:col min="122" max="131" width="3.5" customWidth="1"/>
    <x:col min="132" max="132" width="8.75" customWidth="1"/>
    <x:col min="133" max="133" width="6.75" customWidth="1"/>
    <x:col min="134" max="137" width="3.5" customWidth="1"/>
    <x:col min="138" max="138" width="6.75" customWidth="1"/>
    <x:col min="139" max="146" width="3.5" customWidth="1"/>
    <x:col min="147" max="147" width="8.75" customWidth="1"/>
    <x:col min="148" max="148" width="6.75" customWidth="1"/>
    <x:col min="149" max="162" width="3.5" customWidth="1"/>
    <x:col min="163" max="163" width="8.75" customWidth="1"/>
    <x:col min="164" max="164" width="6.75" customWidth="1"/>
    <x:col min="165" max="172" width="3.5" customWidth="1"/>
    <x:col min="173" max="173" width="8.75" customWidth="1"/>
    <x:col min="174" max="174" width="6.75" customWidth="1"/>
    <x:col min="175" max="186" width="3.5" customWidth="1"/>
    <x:col min="187" max="187" width="8.75" customWidth="1"/>
    <x:col min="188" max="188" width="6.75" customWidth="1"/>
    <x:col min="189" max="197" width="3.5" customWidth="1"/>
    <x:col min="198" max="198" width="8.75" customWidth="1"/>
    <x:col min="199" max="199" width="6.75" customWidth="1"/>
    <x:col min="200" max="209" width="3.5" customWidth="1"/>
    <x:col min="210" max="210" width="8.75" customWidth="1"/>
    <x:col min="211" max="211" width="6.75" customWidth="1"/>
    <x:col min="212" max="220" width="3.5" customWidth="1"/>
    <x:col min="221" max="221" width="8.75" customWidth="1"/>
    <x:col min="222" max="222" width="6.75" customWidth="1"/>
    <x:col min="223" max="231" width="3.5" customWidth="1"/>
    <x:col min="232" max="232" width="8.75" customWidth="1"/>
    <x:col min="233" max="233" width="6.75" customWidth="1"/>
    <x:col min="234" max="243" width="3.5" customWidth="1"/>
    <x:col min="244" max="244" width="8.75" customWidth="1"/>
    <x:col min="245" max="245" width="6.75" customWidth="1"/>
    <x:col min="246" max="249" width="3.5" customWidth="1"/>
    <x:col min="250" max="250" width="6.75" customWidth="1"/>
    <x:col min="251" max="254" width="3.5" customWidth="1"/>
    <x:col min="255" max="255" width="6.75" customWidth="1"/>
    <x:col min="256" max="259" width="3.5" customWidth="1"/>
    <x:col min="260" max="260" width="6.75" customWidth="1"/>
    <x:col min="261" max="264" width="3.5" customWidth="1"/>
    <x:col min="265" max="265" width="6.75" customWidth="1"/>
    <x:col min="266" max="269" width="3.5" customWidth="1"/>
    <x:col min="270" max="270" width="6.75" customWidth="1"/>
    <x:col min="271" max="281" width="3.5" customWidth="1"/>
    <x:col min="282" max="282" width="8.75" customWidth="1"/>
    <x:col min="283" max="283" width="6.75" customWidth="1"/>
    <x:col min="284" max="294" width="3.5" customWidth="1"/>
    <x:col min="295" max="295" width="8.75" customWidth="1"/>
    <x:col min="296" max="296" width="6.75" customWidth="1"/>
    <x:col min="297" max="306" width="3.5" customWidth="1"/>
    <x:col min="307" max="307" width="6.75" customWidth="1"/>
    <x:col min="308" max="318" width="3.5" customWidth="1"/>
    <x:col min="319" max="319" width="8.75" customWidth="1"/>
    <x:col min="320" max="320" width="6.75" customWidth="1"/>
    <x:col min="321" max="327" width="3.5" customWidth="1"/>
    <x:col min="328" max="328" width="6.75" customWidth="1"/>
    <x:col min="329" max="337" width="3.5" customWidth="1"/>
    <x:col min="338" max="338" width="8.75" customWidth="1"/>
    <x:col min="339" max="339" width="6.75" customWidth="1"/>
    <x:col min="340" max="351" width="3.5" customWidth="1"/>
    <x:col min="352" max="352" width="8.75" customWidth="1"/>
    <x:col min="353" max="353" width="6.75" customWidth="1"/>
    <x:col min="354" max="354" width="8" customWidth="1"/>
    <x:col min="355" max="355" width="6.75" customWidth="1"/>
    <x:col min="356" max="360" width="3.5" customWidth="1"/>
    <x:col min="361" max="361" width="6.75" customWidth="1"/>
    <x:col min="362" max="372" width="3.5" customWidth="1"/>
    <x:col min="373" max="373" width="8.75" customWidth="1"/>
    <x:col min="374" max="374" width="6.75" customWidth="1"/>
    <x:col min="375" max="383" width="3.5" customWidth="1"/>
    <x:col min="384" max="384" width="8.75" customWidth="1"/>
    <x:col min="385" max="385" width="6.75" customWidth="1"/>
    <x:col min="386" max="390" width="3.5" customWidth="1"/>
    <x:col min="391" max="391" width="6.75" customWidth="1"/>
    <x:col min="392" max="401" width="3.5" customWidth="1"/>
    <x:col min="402" max="402" width="8.75" customWidth="1"/>
    <x:col min="403" max="403" width="6.75" customWidth="1"/>
    <x:col min="404" max="407" width="3.5" customWidth="1"/>
    <x:col min="408" max="408" width="6.75" customWidth="1"/>
    <x:col min="409" max="420" width="3.5" customWidth="1"/>
    <x:col min="421" max="421" width="8.75" customWidth="1"/>
    <x:col min="422" max="422" width="6.75" customWidth="1"/>
    <x:col min="423" max="431" width="3.5" customWidth="1"/>
    <x:col min="432" max="432" width="8.75" customWidth="1"/>
    <x:col min="433" max="433" width="6.75" customWidth="1"/>
    <x:col min="434" max="442" width="3.5" customWidth="1"/>
    <x:col min="443" max="443" width="8.75" customWidth="1"/>
    <x:col min="444" max="444" width="6.75" customWidth="1"/>
    <x:col min="445" max="452" width="3.5" customWidth="1"/>
    <x:col min="453" max="453" width="8.75" customWidth="1"/>
    <x:col min="454" max="454" width="6.75" customWidth="1"/>
    <x:col min="455" max="466" width="3.5" customWidth="1"/>
    <x:col min="467" max="467" width="8.75" customWidth="1"/>
    <x:col min="468" max="468" width="6.75" customWidth="1"/>
    <x:col min="469" max="469" width="8" customWidth="1"/>
    <x:col min="470" max="470" width="6.75" customWidth="1"/>
  </x:cols>
  <x:sheetData>
    <x:row r="1" ht="20.100000381469727" customHeight="1">
      <x:c r="A1" s="26" t="s">
        <x:v>0</x:v>
      </x:c>
      <x:c r="B1" s="35" t="s">
        <x:v>1</x:v>
      </x:c>
      <x:c r="C1" s="35" t="s">
        <x:v>2</x:v>
      </x:c>
      <x:c r="D1" s="35" t="s">
        <x:v>3</x:v>
      </x:c>
      <x:c r="E1" s="35" t="s">
        <x:v>4</x:v>
      </x:c>
      <x:c r="F1" s="35" t="s">
        <x:v>5</x:v>
      </x:c>
      <x:c r="G1" s="35" t="s">
        <x:v>6</x:v>
      </x:c>
      <x:c r="H1" s="35" t="s">
        <x:v>7</x:v>
      </x:c>
      <x:c r="I1" s="35" t="s">
        <x:v>8</x:v>
      </x:c>
      <x:c r="J1" s="35" t="s">
        <x:v>9</x:v>
      </x:c>
      <x:c r="K1" s="30" t="s">
        <x:v>10</x:v>
      </x:c>
      <x:c r="L1" s="21" t="s">
        <x:v>11</x:v>
      </x:c>
      <x:c r="M1" s="22"/>
      <x:c r="N1" s="22"/>
      <x:c r="O1" s="22"/>
      <x:c r="P1" s="22"/>
      <x:c r="Q1" s="23"/>
      <x:c r="R1" s="21" t="s">
        <x:v>12</x:v>
      </x:c>
      <x:c r="S1" s="22"/>
      <x:c r="T1" s="22"/>
      <x:c r="U1" s="22"/>
      <x:c r="V1" s="22"/>
      <x:c r="W1" s="22"/>
      <x:c r="X1" s="23"/>
      <x:c r="Y1" s="21" t="s">
        <x:v>13</x:v>
      </x:c>
      <x:c r="Z1" s="22"/>
      <x:c r="AA1" s="22"/>
      <x:c r="AB1" s="22"/>
      <x:c r="AC1" s="23"/>
      <x:c r="AD1" s="21" t="s">
        <x:v>14</x:v>
      </x:c>
      <x:c r="AE1" s="22"/>
      <x:c r="AF1" s="22"/>
      <x:c r="AG1" s="22"/>
      <x:c r="AH1" s="22"/>
      <x:c r="AI1" s="22"/>
      <x:c r="AJ1" s="23"/>
      <x:c r="AK1" s="21" t="s">
        <x:v>15</x:v>
      </x:c>
      <x:c r="AL1" s="22"/>
      <x:c r="AM1" s="22"/>
      <x:c r="AN1" s="23"/>
      <x:c r="AO1" s="21" t="s">
        <x:v>16</x:v>
      </x:c>
      <x:c r="AP1" s="22"/>
      <x:c r="AQ1" s="22"/>
      <x:c r="AR1" s="22"/>
      <x:c r="AS1" s="22"/>
      <x:c r="AT1" s="22"/>
      <x:c r="AU1" s="22"/>
      <x:c r="AV1" s="23"/>
      <x:c r="AW1" s="21" t="s">
        <x:v>17</x:v>
      </x:c>
      <x:c r="AX1" s="22"/>
      <x:c r="AY1" s="22"/>
      <x:c r="AZ1" s="22"/>
      <x:c r="BA1" s="22"/>
      <x:c r="BB1" s="22"/>
      <x:c r="BC1" s="22"/>
      <x:c r="BD1" s="22"/>
      <x:c r="BE1" s="22"/>
      <x:c r="BF1" s="23"/>
      <x:c r="BG1" s="21" t="s">
        <x:v>18</x:v>
      </x:c>
      <x:c r="BH1" s="22"/>
      <x:c r="BI1" s="22"/>
      <x:c r="BJ1" s="23"/>
      <x:c r="BK1" s="21" t="s">
        <x:v>19</x:v>
      </x:c>
      <x:c r="BL1" s="22"/>
      <x:c r="BM1" s="22"/>
      <x:c r="BN1" s="22"/>
      <x:c r="BO1" s="22"/>
      <x:c r="BP1" s="22"/>
      <x:c r="BQ1" s="22"/>
      <x:c r="BR1" s="22"/>
      <x:c r="BS1" s="22"/>
      <x:c r="BT1" s="22"/>
      <x:c r="BU1" s="23"/>
      <x:c r="BV1" s="21" t="s">
        <x:v>20</x:v>
      </x:c>
      <x:c r="BW1" s="22"/>
      <x:c r="BX1" s="22"/>
      <x:c r="BY1" s="22"/>
      <x:c r="BZ1" s="23"/>
      <x:c r="CA1" s="21" t="s">
        <x:v>21</x:v>
      </x:c>
      <x:c r="CB1" s="22"/>
      <x:c r="CC1" s="22"/>
      <x:c r="CD1" s="22"/>
      <x:c r="CE1" s="22"/>
      <x:c r="CF1" s="22"/>
      <x:c r="CG1" s="22"/>
      <x:c r="CH1" s="22"/>
      <x:c r="CI1" s="22"/>
      <x:c r="CJ1" s="22"/>
      <x:c r="CK1" s="22"/>
      <x:c r="CL1" s="22"/>
      <x:c r="CM1" s="22"/>
      <x:c r="CN1" s="22"/>
      <x:c r="CO1" s="22"/>
      <x:c r="CP1" s="23"/>
      <x:c r="CQ1" s="21" t="s">
        <x:v>22</x:v>
      </x:c>
      <x:c r="CR1" s="23"/>
      <x:c r="CS1" s="21" t="s">
        <x:v>23</x:v>
      </x:c>
      <x:c r="CT1" s="22"/>
      <x:c r="CU1" s="22"/>
      <x:c r="CV1" s="22"/>
      <x:c r="CW1" s="22"/>
      <x:c r="CX1" s="22"/>
      <x:c r="CY1" s="22"/>
      <x:c r="CZ1" s="22"/>
      <x:c r="DA1" s="23"/>
      <x:c r="DB1" s="21" t="s">
        <x:v>24</x:v>
      </x:c>
      <x:c r="DC1" s="22"/>
      <x:c r="DD1" s="22"/>
      <x:c r="DE1" s="22"/>
      <x:c r="DF1" s="22"/>
      <x:c r="DG1" s="23"/>
      <x:c r="DH1" s="21" t="s">
        <x:v>25</x:v>
      </x:c>
      <x:c r="DI1" s="22"/>
      <x:c r="DJ1" s="22"/>
      <x:c r="DK1" s="22"/>
      <x:c r="DL1" s="22"/>
      <x:c r="DM1" s="22"/>
      <x:c r="DN1" s="22"/>
      <x:c r="DO1" s="22"/>
      <x:c r="DP1" s="22"/>
      <x:c r="DQ1" s="23"/>
      <x:c r="DR1" s="21" t="s">
        <x:v>26</x:v>
      </x:c>
      <x:c r="DS1" s="22"/>
      <x:c r="DT1" s="22"/>
      <x:c r="DU1" s="22"/>
      <x:c r="DV1" s="22"/>
      <x:c r="DW1" s="22"/>
      <x:c r="DX1" s="22"/>
      <x:c r="DY1" s="22"/>
      <x:c r="DZ1" s="22"/>
      <x:c r="EA1" s="22"/>
      <x:c r="EB1" s="22"/>
      <x:c r="EC1" s="23"/>
      <x:c r="ED1" s="21" t="s">
        <x:v>27</x:v>
      </x:c>
      <x:c r="EE1" s="22"/>
      <x:c r="EF1" s="22"/>
      <x:c r="EG1" s="22"/>
      <x:c r="EH1" s="23"/>
      <x:c r="EI1" s="21" t="s">
        <x:v>28</x:v>
      </x:c>
      <x:c r="EJ1" s="22"/>
      <x:c r="EK1" s="22"/>
      <x:c r="EL1" s="22"/>
      <x:c r="EM1" s="22"/>
      <x:c r="EN1" s="22"/>
      <x:c r="EO1" s="22"/>
      <x:c r="EP1" s="22"/>
      <x:c r="EQ1" s="22"/>
      <x:c r="ER1" s="23"/>
      <x:c r="ES1" s="21" t="s">
        <x:v>29</x:v>
      </x:c>
      <x:c r="ET1" s="22"/>
      <x:c r="EU1" s="22"/>
      <x:c r="EV1" s="22"/>
      <x:c r="EW1" s="22"/>
      <x:c r="EX1" s="22"/>
      <x:c r="EY1" s="22"/>
      <x:c r="EZ1" s="22"/>
      <x:c r="FA1" s="22"/>
      <x:c r="FB1" s="22"/>
      <x:c r="FC1" s="22"/>
      <x:c r="FD1" s="22"/>
      <x:c r="FE1" s="22"/>
      <x:c r="FF1" s="22"/>
      <x:c r="FG1" s="22"/>
      <x:c r="FH1" s="23"/>
      <x:c r="FI1" s="21" t="s">
        <x:v>30</x:v>
      </x:c>
      <x:c r="FJ1" s="22"/>
      <x:c r="FK1" s="22"/>
      <x:c r="FL1" s="22"/>
      <x:c r="FM1" s="22"/>
      <x:c r="FN1" s="22"/>
      <x:c r="FO1" s="22"/>
      <x:c r="FP1" s="22"/>
      <x:c r="FQ1" s="22"/>
      <x:c r="FR1" s="23"/>
      <x:c r="FS1" s="21" t="s">
        <x:v>31</x:v>
      </x:c>
      <x:c r="FT1" s="22"/>
      <x:c r="FU1" s="22"/>
      <x:c r="FV1" s="22"/>
      <x:c r="FW1" s="22"/>
      <x:c r="FX1" s="22"/>
      <x:c r="FY1" s="22"/>
      <x:c r="FZ1" s="22"/>
      <x:c r="GA1" s="22"/>
      <x:c r="GB1" s="22"/>
      <x:c r="GC1" s="22"/>
      <x:c r="GD1" s="22"/>
      <x:c r="GE1" s="22"/>
      <x:c r="GF1" s="23"/>
      <x:c r="GG1" s="21" t="s">
        <x:v>32</x:v>
      </x:c>
      <x:c r="GH1" s="22"/>
      <x:c r="GI1" s="22"/>
      <x:c r="GJ1" s="22"/>
      <x:c r="GK1" s="22"/>
      <x:c r="GL1" s="22"/>
      <x:c r="GM1" s="22"/>
      <x:c r="GN1" s="22"/>
      <x:c r="GO1" s="22"/>
      <x:c r="GP1" s="22"/>
      <x:c r="GQ1" s="23"/>
      <x:c r="GR1" s="21" t="s">
        <x:v>33</x:v>
      </x:c>
      <x:c r="GS1" s="22"/>
      <x:c r="GT1" s="22"/>
      <x:c r="GU1" s="22"/>
      <x:c r="GV1" s="22"/>
      <x:c r="GW1" s="22"/>
      <x:c r="GX1" s="22"/>
      <x:c r="GY1" s="22"/>
      <x:c r="GZ1" s="22"/>
      <x:c r="HA1" s="22"/>
      <x:c r="HB1" s="22"/>
      <x:c r="HC1" s="23"/>
      <x:c r="HD1" s="21" t="s">
        <x:v>34</x:v>
      </x:c>
      <x:c r="HE1" s="22"/>
      <x:c r="HF1" s="22"/>
      <x:c r="HG1" s="22"/>
      <x:c r="HH1" s="22"/>
      <x:c r="HI1" s="22"/>
      <x:c r="HJ1" s="22"/>
      <x:c r="HK1" s="22"/>
      <x:c r="HL1" s="22"/>
      <x:c r="HM1" s="22"/>
      <x:c r="HN1" s="23"/>
      <x:c r="HO1" s="21" t="s">
        <x:v>35</x:v>
      </x:c>
      <x:c r="HP1" s="22"/>
      <x:c r="HQ1" s="22"/>
      <x:c r="HR1" s="22"/>
      <x:c r="HS1" s="22"/>
      <x:c r="HT1" s="22"/>
      <x:c r="HU1" s="22"/>
      <x:c r="HV1" s="22"/>
      <x:c r="HW1" s="22"/>
      <x:c r="HX1" s="22"/>
      <x:c r="HY1" s="23"/>
      <x:c r="HZ1" s="21" t="s">
        <x:v>36</x:v>
      </x:c>
      <x:c r="IA1" s="22"/>
      <x:c r="IB1" s="22"/>
      <x:c r="IC1" s="22"/>
      <x:c r="ID1" s="22"/>
      <x:c r="IE1" s="22"/>
      <x:c r="IF1" s="22"/>
      <x:c r="IG1" s="22"/>
      <x:c r="IH1" s="22"/>
      <x:c r="II1" s="22"/>
      <x:c r="IJ1" s="22"/>
      <x:c r="IK1" s="23"/>
      <x:c r="IL1" s="21" t="s">
        <x:v>37</x:v>
      </x:c>
      <x:c r="IM1" s="22"/>
      <x:c r="IN1" s="22"/>
      <x:c r="IO1" s="22"/>
      <x:c r="IP1" s="22"/>
      <x:c r="IQ1" s="22"/>
      <x:c r="IR1" s="22"/>
      <x:c r="IS1" s="22"/>
      <x:c r="IT1" s="22"/>
      <x:c r="IU1" s="22"/>
      <x:c r="IV1" s="22"/>
      <x:c r="IW1" s="22"/>
      <x:c r="IX1" s="22"/>
      <x:c r="IY1" s="22"/>
      <x:c r="IZ1" s="22"/>
      <x:c r="JA1" s="22"/>
      <x:c r="JB1" s="22"/>
      <x:c r="JC1" s="22"/>
      <x:c r="JD1" s="22"/>
      <x:c r="JE1" s="22"/>
      <x:c r="JF1" s="22"/>
      <x:c r="JG1" s="22"/>
      <x:c r="JH1" s="22"/>
      <x:c r="JI1" s="22"/>
      <x:c r="JJ1" s="23"/>
      <x:c r="JK1" s="21" t="s">
        <x:v>38</x:v>
      </x:c>
      <x:c r="JL1" s="22"/>
      <x:c r="JM1" s="22"/>
      <x:c r="JN1" s="22"/>
      <x:c r="JO1" s="22"/>
      <x:c r="JP1" s="22"/>
      <x:c r="JQ1" s="22"/>
      <x:c r="JR1" s="22"/>
      <x:c r="JS1" s="22"/>
      <x:c r="JT1" s="22"/>
      <x:c r="JU1" s="22"/>
      <x:c r="JV1" s="22"/>
      <x:c r="JW1" s="23"/>
      <x:c r="JX1" s="21" t="s">
        <x:v>39</x:v>
      </x:c>
      <x:c r="JY1" s="22"/>
      <x:c r="JZ1" s="22"/>
      <x:c r="KA1" s="22"/>
      <x:c r="KB1" s="22"/>
      <x:c r="KC1" s="22"/>
      <x:c r="KD1" s="22"/>
      <x:c r="KE1" s="22"/>
      <x:c r="KF1" s="22"/>
      <x:c r="KG1" s="22"/>
      <x:c r="KH1" s="22"/>
      <x:c r="KI1" s="22"/>
      <x:c r="KJ1" s="23"/>
      <x:c r="KK1" s="21" t="s">
        <x:v>40</x:v>
      </x:c>
      <x:c r="KL1" s="22"/>
      <x:c r="KM1" s="22"/>
      <x:c r="KN1" s="22"/>
      <x:c r="KO1" s="22"/>
      <x:c r="KP1" s="22"/>
      <x:c r="KQ1" s="22"/>
      <x:c r="KR1" s="22"/>
      <x:c r="KS1" s="22"/>
      <x:c r="KT1" s="22"/>
      <x:c r="KU1" s="23"/>
      <x:c r="KV1" s="21" t="s">
        <x:v>41</x:v>
      </x:c>
      <x:c r="KW1" s="22"/>
      <x:c r="KX1" s="22"/>
      <x:c r="KY1" s="22"/>
      <x:c r="KZ1" s="22"/>
      <x:c r="LA1" s="22"/>
      <x:c r="LB1" s="22"/>
      <x:c r="LC1" s="22"/>
      <x:c r="LD1" s="22"/>
      <x:c r="LE1" s="22"/>
      <x:c r="LF1" s="22"/>
      <x:c r="LG1" s="22"/>
      <x:c r="LH1" s="23"/>
      <x:c r="LI1" s="21" t="s">
        <x:v>42</x:v>
      </x:c>
      <x:c r="LJ1" s="22"/>
      <x:c r="LK1" s="22"/>
      <x:c r="LL1" s="22"/>
      <x:c r="LM1" s="22"/>
      <x:c r="LN1" s="22"/>
      <x:c r="LO1" s="22"/>
      <x:c r="LP1" s="23"/>
      <x:c r="LQ1" s="21" t="s">
        <x:v>43</x:v>
      </x:c>
      <x:c r="LR1" s="22"/>
      <x:c r="LS1" s="22"/>
      <x:c r="LT1" s="22"/>
      <x:c r="LU1" s="22"/>
      <x:c r="LV1" s="22"/>
      <x:c r="LW1" s="22"/>
      <x:c r="LX1" s="22"/>
      <x:c r="LY1" s="22"/>
      <x:c r="LZ1" s="22"/>
      <x:c r="MA1" s="23"/>
      <x:c r="MB1" s="21" t="s">
        <x:v>44</x:v>
      </x:c>
      <x:c r="MC1" s="22"/>
      <x:c r="MD1" s="22"/>
      <x:c r="ME1" s="22"/>
      <x:c r="MF1" s="22"/>
      <x:c r="MG1" s="22"/>
      <x:c r="MH1" s="22"/>
      <x:c r="MI1" s="22"/>
      <x:c r="MJ1" s="22"/>
      <x:c r="MK1" s="22"/>
      <x:c r="ML1" s="22"/>
      <x:c r="MM1" s="22"/>
      <x:c r="MN1" s="22"/>
      <x:c r="MO1" s="23"/>
      <x:c r="MP1" s="21" t="s">
        <x:v>45</x:v>
      </x:c>
      <x:c r="MQ1" s="23"/>
      <x:c r="MR1" s="21" t="s">
        <x:v>46</x:v>
      </x:c>
      <x:c r="MS1" s="22"/>
      <x:c r="MT1" s="22"/>
      <x:c r="MU1" s="22"/>
      <x:c r="MV1" s="22"/>
      <x:c r="MW1" s="23"/>
      <x:c r="MX1" s="21" t="s">
        <x:v>47</x:v>
      </x:c>
      <x:c r="MY1" s="22"/>
      <x:c r="MZ1" s="22"/>
      <x:c r="NA1" s="22"/>
      <x:c r="NB1" s="22"/>
      <x:c r="NC1" s="22"/>
      <x:c r="ND1" s="22"/>
      <x:c r="NE1" s="22"/>
      <x:c r="NF1" s="22"/>
      <x:c r="NG1" s="22"/>
      <x:c r="NH1" s="22"/>
      <x:c r="NI1" s="22"/>
      <x:c r="NJ1" s="23"/>
      <x:c r="NK1" s="21" t="s">
        <x:v>48</x:v>
      </x:c>
      <x:c r="NL1" s="22"/>
      <x:c r="NM1" s="22"/>
      <x:c r="NN1" s="22"/>
      <x:c r="NO1" s="22"/>
      <x:c r="NP1" s="22"/>
      <x:c r="NQ1" s="22"/>
      <x:c r="NR1" s="22"/>
      <x:c r="NS1" s="22"/>
      <x:c r="NT1" s="22"/>
      <x:c r="NU1" s="23"/>
      <x:c r="NV1" s="21" t="s">
        <x:v>49</x:v>
      </x:c>
      <x:c r="NW1" s="22"/>
      <x:c r="NX1" s="22"/>
      <x:c r="NY1" s="22"/>
      <x:c r="NZ1" s="22"/>
      <x:c r="OA1" s="23"/>
      <x:c r="OB1" s="21" t="s">
        <x:v>50</x:v>
      </x:c>
      <x:c r="OC1" s="22"/>
      <x:c r="OD1" s="22"/>
      <x:c r="OE1" s="22"/>
      <x:c r="OF1" s="22"/>
      <x:c r="OG1" s="22"/>
      <x:c r="OH1" s="22"/>
      <x:c r="OI1" s="22"/>
      <x:c r="OJ1" s="22"/>
      <x:c r="OK1" s="22"/>
      <x:c r="OL1" s="22"/>
      <x:c r="OM1" s="23"/>
      <x:c r="ON1" s="21" t="s">
        <x:v>51</x:v>
      </x:c>
      <x:c r="OO1" s="22"/>
      <x:c r="OP1" s="22"/>
      <x:c r="OQ1" s="22"/>
      <x:c r="OR1" s="23"/>
      <x:c r="OS1" s="21" t="s">
        <x:v>52</x:v>
      </x:c>
      <x:c r="OT1" s="22"/>
      <x:c r="OU1" s="22"/>
      <x:c r="OV1" s="22"/>
      <x:c r="OW1" s="22"/>
      <x:c r="OX1" s="22"/>
      <x:c r="OY1" s="22"/>
      <x:c r="OZ1" s="22"/>
      <x:c r="PA1" s="22"/>
      <x:c r="PB1" s="22"/>
      <x:c r="PC1" s="22"/>
      <x:c r="PD1" s="22"/>
      <x:c r="PE1" s="22"/>
      <x:c r="PF1" s="23"/>
      <x:c r="PG1" s="21" t="s">
        <x:v>53</x:v>
      </x:c>
      <x:c r="PH1" s="22"/>
      <x:c r="PI1" s="22"/>
      <x:c r="PJ1" s="22"/>
      <x:c r="PK1" s="22"/>
      <x:c r="PL1" s="22"/>
      <x:c r="PM1" s="22"/>
      <x:c r="PN1" s="22"/>
      <x:c r="PO1" s="22"/>
      <x:c r="PP1" s="22"/>
      <x:c r="PQ1" s="23"/>
      <x:c r="PR1" s="21" t="s">
        <x:v>54</x:v>
      </x:c>
      <x:c r="PS1" s="22"/>
      <x:c r="PT1" s="22"/>
      <x:c r="PU1" s="22"/>
      <x:c r="PV1" s="22"/>
      <x:c r="PW1" s="22"/>
      <x:c r="PX1" s="22"/>
      <x:c r="PY1" s="22"/>
      <x:c r="PZ1" s="22"/>
      <x:c r="QA1" s="22"/>
      <x:c r="QB1" s="23"/>
      <x:c r="QC1" s="21" t="s">
        <x:v>55</x:v>
      </x:c>
      <x:c r="QD1" s="22"/>
      <x:c r="QE1" s="22"/>
      <x:c r="QF1" s="22"/>
      <x:c r="QG1" s="22"/>
      <x:c r="QH1" s="22"/>
      <x:c r="QI1" s="22"/>
      <x:c r="QJ1" s="22"/>
      <x:c r="QK1" s="22"/>
      <x:c r="QL1" s="23"/>
      <x:c r="QM1" s="21" t="s">
        <x:v>56</x:v>
      </x:c>
      <x:c r="QN1" s="22"/>
      <x:c r="QO1" s="22"/>
      <x:c r="QP1" s="22"/>
      <x:c r="QQ1" s="22"/>
      <x:c r="QR1" s="22"/>
      <x:c r="QS1" s="22"/>
      <x:c r="QT1" s="22"/>
      <x:c r="QU1" s="22"/>
      <x:c r="QV1" s="22"/>
      <x:c r="QW1" s="22"/>
      <x:c r="QX1" s="22"/>
      <x:c r="QY1" s="22"/>
      <x:c r="QZ1" s="23"/>
      <x:c r="RA1" s="21" t="s">
        <x:v>57</x:v>
      </x:c>
      <x:c r="RB1" s="23"/>
    </x:row>
    <x:row r="2" ht="18" customHeight="1">
      <x:c r="A2" s="27"/>
      <x:c r="B2" s="36"/>
      <x:c r="C2" s="36"/>
      <x:c r="D2" s="36"/>
      <x:c r="E2" s="36"/>
      <x:c r="F2" s="36"/>
      <x:c r="G2" s="36"/>
      <x:c r="H2" s="36"/>
      <x:c r="I2" s="36"/>
      <x:c r="J2" s="36"/>
      <x:c r="K2" s="31"/>
      <x:c r="L2" s="24" t="s">
        <x:v>58</x:v>
      </x:c>
      <x:c r="M2" s="29"/>
      <x:c r="N2" s="29"/>
      <x:c r="O2" s="29"/>
      <x:c r="P2" s="29"/>
      <x:c r="Q2" s="25"/>
      <x:c r="R2" s="24" t="s">
        <x:v>59</x:v>
      </x:c>
      <x:c r="S2" s="29"/>
      <x:c r="T2" s="29"/>
      <x:c r="U2" s="29"/>
      <x:c r="V2" s="29"/>
      <x:c r="W2" s="29"/>
      <x:c r="X2" s="25"/>
      <x:c r="Y2" s="24" t="s">
        <x:v>60</x:v>
      </x:c>
      <x:c r="Z2" s="29"/>
      <x:c r="AA2" s="29"/>
      <x:c r="AB2" s="29"/>
      <x:c r="AC2" s="25"/>
      <x:c r="AD2" s="24" t="s">
        <x:v>61</x:v>
      </x:c>
      <x:c r="AE2" s="29"/>
      <x:c r="AF2" s="29"/>
      <x:c r="AG2" s="29"/>
      <x:c r="AH2" s="29"/>
      <x:c r="AI2" s="29"/>
      <x:c r="AJ2" s="25"/>
      <x:c r="AK2" s="24" t="s">
        <x:v>62</x:v>
      </x:c>
      <x:c r="AL2" s="29"/>
      <x:c r="AM2" s="29"/>
      <x:c r="AN2" s="25"/>
      <x:c r="AO2" s="24" t="s">
        <x:v>63</x:v>
      </x:c>
      <x:c r="AP2" s="29"/>
      <x:c r="AQ2" s="29"/>
      <x:c r="AR2" s="29"/>
      <x:c r="AS2" s="29"/>
      <x:c r="AT2" s="29"/>
      <x:c r="AU2" s="29"/>
      <x:c r="AV2" s="25"/>
      <x:c r="AW2" s="24" t="s">
        <x:v>64</x:v>
      </x:c>
      <x:c r="AX2" s="29"/>
      <x:c r="AY2" s="29"/>
      <x:c r="AZ2" s="29"/>
      <x:c r="BA2" s="29"/>
      <x:c r="BB2" s="29"/>
      <x:c r="BC2" s="29"/>
      <x:c r="BD2" s="29"/>
      <x:c r="BE2" s="29"/>
      <x:c r="BF2" s="25"/>
      <x:c r="BG2" s="24" t="s">
        <x:v>65</x:v>
      </x:c>
      <x:c r="BH2" s="29"/>
      <x:c r="BI2" s="29"/>
      <x:c r="BJ2" s="25"/>
      <x:c r="BK2" s="24" t="s">
        <x:v>66</x:v>
      </x:c>
      <x:c r="BL2" s="29"/>
      <x:c r="BM2" s="29"/>
      <x:c r="BN2" s="29"/>
      <x:c r="BO2" s="29"/>
      <x:c r="BP2" s="29"/>
      <x:c r="BQ2" s="29"/>
      <x:c r="BR2" s="29"/>
      <x:c r="BS2" s="29"/>
      <x:c r="BT2" s="29"/>
      <x:c r="BU2" s="25"/>
      <x:c r="BV2" s="24" t="s">
        <x:v>67</x:v>
      </x:c>
      <x:c r="BW2" s="29"/>
      <x:c r="BX2" s="29"/>
      <x:c r="BY2" s="29"/>
      <x:c r="BZ2" s="25"/>
      <x:c r="CA2" s="24" t="s">
        <x:v>68</x:v>
      </x:c>
      <x:c r="CB2" s="29"/>
      <x:c r="CC2" s="29"/>
      <x:c r="CD2" s="29"/>
      <x:c r="CE2" s="29"/>
      <x:c r="CF2" s="29"/>
      <x:c r="CG2" s="29"/>
      <x:c r="CH2" s="29"/>
      <x:c r="CI2" s="29"/>
      <x:c r="CJ2" s="29"/>
      <x:c r="CK2" s="29"/>
      <x:c r="CL2" s="29"/>
      <x:c r="CM2" s="29"/>
      <x:c r="CN2" s="29"/>
      <x:c r="CO2" s="29"/>
      <x:c r="CP2" s="25"/>
      <x:c r="CQ2" s="24" t="s">
        <x:v>69</x:v>
      </x:c>
      <x:c r="CR2" s="25"/>
      <x:c r="CS2" s="24" t="s">
        <x:v>70</x:v>
      </x:c>
      <x:c r="CT2" s="29"/>
      <x:c r="CU2" s="29"/>
      <x:c r="CV2" s="29"/>
      <x:c r="CW2" s="29"/>
      <x:c r="CX2" s="29"/>
      <x:c r="CY2" s="29"/>
      <x:c r="CZ2" s="29"/>
      <x:c r="DA2" s="25"/>
      <x:c r="DB2" s="24" t="s">
        <x:v>71</x:v>
      </x:c>
      <x:c r="DC2" s="29"/>
      <x:c r="DD2" s="29"/>
      <x:c r="DE2" s="29"/>
      <x:c r="DF2" s="29"/>
      <x:c r="DG2" s="25"/>
      <x:c r="DH2" s="24" t="s">
        <x:v>72</x:v>
      </x:c>
      <x:c r="DI2" s="29"/>
      <x:c r="DJ2" s="29"/>
      <x:c r="DK2" s="29"/>
      <x:c r="DL2" s="29"/>
      <x:c r="DM2" s="29"/>
      <x:c r="DN2" s="29"/>
      <x:c r="DO2" s="29"/>
      <x:c r="DP2" s="29"/>
      <x:c r="DQ2" s="25"/>
      <x:c r="DR2" s="24" t="s">
        <x:v>73</x:v>
      </x:c>
      <x:c r="DS2" s="29"/>
      <x:c r="DT2" s="29"/>
      <x:c r="DU2" s="29"/>
      <x:c r="DV2" s="29"/>
      <x:c r="DW2" s="29"/>
      <x:c r="DX2" s="29"/>
      <x:c r="DY2" s="29"/>
      <x:c r="DZ2" s="29"/>
      <x:c r="EA2" s="29"/>
      <x:c r="EB2" s="29"/>
      <x:c r="EC2" s="25"/>
      <x:c r="ED2" s="24" t="s">
        <x:v>74</x:v>
      </x:c>
      <x:c r="EE2" s="29"/>
      <x:c r="EF2" s="29"/>
      <x:c r="EG2" s="29"/>
      <x:c r="EH2" s="25"/>
      <x:c r="EI2" s="24" t="s">
        <x:v>75</x:v>
      </x:c>
      <x:c r="EJ2" s="29"/>
      <x:c r="EK2" s="29"/>
      <x:c r="EL2" s="29"/>
      <x:c r="EM2" s="29"/>
      <x:c r="EN2" s="29"/>
      <x:c r="EO2" s="29"/>
      <x:c r="EP2" s="29"/>
      <x:c r="EQ2" s="29"/>
      <x:c r="ER2" s="25"/>
      <x:c r="ES2" s="24" t="s">
        <x:v>76</x:v>
      </x:c>
      <x:c r="ET2" s="29"/>
      <x:c r="EU2" s="29"/>
      <x:c r="EV2" s="29"/>
      <x:c r="EW2" s="29"/>
      <x:c r="EX2" s="29"/>
      <x:c r="EY2" s="29"/>
      <x:c r="EZ2" s="29"/>
      <x:c r="FA2" s="29"/>
      <x:c r="FB2" s="29"/>
      <x:c r="FC2" s="29"/>
      <x:c r="FD2" s="29"/>
      <x:c r="FE2" s="29"/>
      <x:c r="FF2" s="29"/>
      <x:c r="FG2" s="29"/>
      <x:c r="FH2" s="25"/>
      <x:c r="FI2" s="24" t="s">
        <x:v>77</x:v>
      </x:c>
      <x:c r="FJ2" s="29"/>
      <x:c r="FK2" s="29"/>
      <x:c r="FL2" s="29"/>
      <x:c r="FM2" s="29"/>
      <x:c r="FN2" s="29"/>
      <x:c r="FO2" s="29"/>
      <x:c r="FP2" s="29"/>
      <x:c r="FQ2" s="29"/>
      <x:c r="FR2" s="25"/>
      <x:c r="FS2" s="24" t="s">
        <x:v>78</x:v>
      </x:c>
      <x:c r="FT2" s="29"/>
      <x:c r="FU2" s="29"/>
      <x:c r="FV2" s="29"/>
      <x:c r="FW2" s="29"/>
      <x:c r="FX2" s="29"/>
      <x:c r="FY2" s="29"/>
      <x:c r="FZ2" s="29"/>
      <x:c r="GA2" s="29"/>
      <x:c r="GB2" s="29"/>
      <x:c r="GC2" s="29"/>
      <x:c r="GD2" s="29"/>
      <x:c r="GE2" s="29"/>
      <x:c r="GF2" s="25"/>
      <x:c r="GG2" s="24" t="s">
        <x:v>79</x:v>
      </x:c>
      <x:c r="GH2" s="29"/>
      <x:c r="GI2" s="29"/>
      <x:c r="GJ2" s="29"/>
      <x:c r="GK2" s="29"/>
      <x:c r="GL2" s="29"/>
      <x:c r="GM2" s="29"/>
      <x:c r="GN2" s="29"/>
      <x:c r="GO2" s="29"/>
      <x:c r="GP2" s="29"/>
      <x:c r="GQ2" s="25"/>
      <x:c r="GR2" s="24" t="s">
        <x:v>80</x:v>
      </x:c>
      <x:c r="GS2" s="29"/>
      <x:c r="GT2" s="29"/>
      <x:c r="GU2" s="29"/>
      <x:c r="GV2" s="29"/>
      <x:c r="GW2" s="29"/>
      <x:c r="GX2" s="29"/>
      <x:c r="GY2" s="29"/>
      <x:c r="GZ2" s="29"/>
      <x:c r="HA2" s="29"/>
      <x:c r="HB2" s="29"/>
      <x:c r="HC2" s="25"/>
      <x:c r="HD2" s="24" t="s">
        <x:v>81</x:v>
      </x:c>
      <x:c r="HE2" s="29"/>
      <x:c r="HF2" s="29"/>
      <x:c r="HG2" s="29"/>
      <x:c r="HH2" s="29"/>
      <x:c r="HI2" s="29"/>
      <x:c r="HJ2" s="29"/>
      <x:c r="HK2" s="29"/>
      <x:c r="HL2" s="29"/>
      <x:c r="HM2" s="29"/>
      <x:c r="HN2" s="25"/>
      <x:c r="HO2" s="24" t="s">
        <x:v>82</x:v>
      </x:c>
      <x:c r="HP2" s="29"/>
      <x:c r="HQ2" s="29"/>
      <x:c r="HR2" s="29"/>
      <x:c r="HS2" s="29"/>
      <x:c r="HT2" s="29"/>
      <x:c r="HU2" s="29"/>
      <x:c r="HV2" s="29"/>
      <x:c r="HW2" s="29"/>
      <x:c r="HX2" s="29"/>
      <x:c r="HY2" s="25"/>
      <x:c r="HZ2" s="24" t="s">
        <x:v>83</x:v>
      </x:c>
      <x:c r="IA2" s="29"/>
      <x:c r="IB2" s="29"/>
      <x:c r="IC2" s="29"/>
      <x:c r="ID2" s="29"/>
      <x:c r="IE2" s="29"/>
      <x:c r="IF2" s="29"/>
      <x:c r="IG2" s="29"/>
      <x:c r="IH2" s="29"/>
      <x:c r="II2" s="29"/>
      <x:c r="IJ2" s="29"/>
      <x:c r="IK2" s="25"/>
      <x:c r="IL2" s="24" t="s">
        <x:v>84</x:v>
      </x:c>
      <x:c r="IM2" s="29"/>
      <x:c r="IN2" s="29"/>
      <x:c r="IO2" s="29"/>
      <x:c r="IP2" s="25"/>
      <x:c r="IQ2" s="24" t="s">
        <x:v>85</x:v>
      </x:c>
      <x:c r="IR2" s="29"/>
      <x:c r="IS2" s="29"/>
      <x:c r="IT2" s="29"/>
      <x:c r="IU2" s="25"/>
      <x:c r="IV2" s="24" t="s">
        <x:v>86</x:v>
      </x:c>
      <x:c r="IW2" s="29"/>
      <x:c r="IX2" s="29"/>
      <x:c r="IY2" s="29"/>
      <x:c r="IZ2" s="25"/>
      <x:c r="JA2" s="24" t="s">
        <x:v>87</x:v>
      </x:c>
      <x:c r="JB2" s="29"/>
      <x:c r="JC2" s="29"/>
      <x:c r="JD2" s="29"/>
      <x:c r="JE2" s="25"/>
      <x:c r="JF2" s="24" t="s">
        <x:v>88</x:v>
      </x:c>
      <x:c r="JG2" s="29"/>
      <x:c r="JH2" s="29"/>
      <x:c r="JI2" s="29"/>
      <x:c r="JJ2" s="25"/>
      <x:c r="JK2" s="24" t="s">
        <x:v>89</x:v>
      </x:c>
      <x:c r="JL2" s="29"/>
      <x:c r="JM2" s="29"/>
      <x:c r="JN2" s="29"/>
      <x:c r="JO2" s="29"/>
      <x:c r="JP2" s="29"/>
      <x:c r="JQ2" s="29"/>
      <x:c r="JR2" s="29"/>
      <x:c r="JS2" s="29"/>
      <x:c r="JT2" s="29"/>
      <x:c r="JU2" s="29"/>
      <x:c r="JV2" s="29"/>
      <x:c r="JW2" s="25"/>
      <x:c r="JX2" s="24" t="s">
        <x:v>90</x:v>
      </x:c>
      <x:c r="JY2" s="29"/>
      <x:c r="JZ2" s="29"/>
      <x:c r="KA2" s="29"/>
      <x:c r="KB2" s="29"/>
      <x:c r="KC2" s="29"/>
      <x:c r="KD2" s="29"/>
      <x:c r="KE2" s="29"/>
      <x:c r="KF2" s="29"/>
      <x:c r="KG2" s="29"/>
      <x:c r="KH2" s="29"/>
      <x:c r="KI2" s="29"/>
      <x:c r="KJ2" s="25"/>
      <x:c r="KK2" s="24" t="s">
        <x:v>91</x:v>
      </x:c>
      <x:c r="KL2" s="29"/>
      <x:c r="KM2" s="29"/>
      <x:c r="KN2" s="29"/>
      <x:c r="KO2" s="29"/>
      <x:c r="KP2" s="29"/>
      <x:c r="KQ2" s="29"/>
      <x:c r="KR2" s="29"/>
      <x:c r="KS2" s="29"/>
      <x:c r="KT2" s="29"/>
      <x:c r="KU2" s="25"/>
      <x:c r="KV2" s="24" t="s">
        <x:v>92</x:v>
      </x:c>
      <x:c r="KW2" s="29"/>
      <x:c r="KX2" s="29"/>
      <x:c r="KY2" s="29"/>
      <x:c r="KZ2" s="29"/>
      <x:c r="LA2" s="29"/>
      <x:c r="LB2" s="29"/>
      <x:c r="LC2" s="29"/>
      <x:c r="LD2" s="29"/>
      <x:c r="LE2" s="29"/>
      <x:c r="LF2" s="29"/>
      <x:c r="LG2" s="29"/>
      <x:c r="LH2" s="25"/>
      <x:c r="LI2" s="24" t="s">
        <x:v>93</x:v>
      </x:c>
      <x:c r="LJ2" s="29"/>
      <x:c r="LK2" s="29"/>
      <x:c r="LL2" s="29"/>
      <x:c r="LM2" s="29"/>
      <x:c r="LN2" s="29"/>
      <x:c r="LO2" s="29"/>
      <x:c r="LP2" s="25"/>
      <x:c r="LQ2" s="24" t="s">
        <x:v>94</x:v>
      </x:c>
      <x:c r="LR2" s="29"/>
      <x:c r="LS2" s="29"/>
      <x:c r="LT2" s="29"/>
      <x:c r="LU2" s="29"/>
      <x:c r="LV2" s="29"/>
      <x:c r="LW2" s="29"/>
      <x:c r="LX2" s="29"/>
      <x:c r="LY2" s="29"/>
      <x:c r="LZ2" s="29"/>
      <x:c r="MA2" s="25"/>
      <x:c r="MB2" s="24" t="s">
        <x:v>95</x:v>
      </x:c>
      <x:c r="MC2" s="29"/>
      <x:c r="MD2" s="29"/>
      <x:c r="ME2" s="29"/>
      <x:c r="MF2" s="29"/>
      <x:c r="MG2" s="29"/>
      <x:c r="MH2" s="29"/>
      <x:c r="MI2" s="29"/>
      <x:c r="MJ2" s="29"/>
      <x:c r="MK2" s="29"/>
      <x:c r="ML2" s="29"/>
      <x:c r="MM2" s="29"/>
      <x:c r="MN2" s="29"/>
      <x:c r="MO2" s="25"/>
      <x:c r="MP2" s="24" t="s">
        <x:v>96</x:v>
      </x:c>
      <x:c r="MQ2" s="25"/>
      <x:c r="MR2" s="24" t="s">
        <x:v>97</x:v>
      </x:c>
      <x:c r="MS2" s="29"/>
      <x:c r="MT2" s="29"/>
      <x:c r="MU2" s="29"/>
      <x:c r="MV2" s="29"/>
      <x:c r="MW2" s="25"/>
      <x:c r="MX2" s="24" t="s">
        <x:v>98</x:v>
      </x:c>
      <x:c r="MY2" s="29"/>
      <x:c r="MZ2" s="29"/>
      <x:c r="NA2" s="29"/>
      <x:c r="NB2" s="29"/>
      <x:c r="NC2" s="29"/>
      <x:c r="ND2" s="29"/>
      <x:c r="NE2" s="29"/>
      <x:c r="NF2" s="29"/>
      <x:c r="NG2" s="29"/>
      <x:c r="NH2" s="29"/>
      <x:c r="NI2" s="29"/>
      <x:c r="NJ2" s="25"/>
      <x:c r="NK2" s="24" t="s">
        <x:v>99</x:v>
      </x:c>
      <x:c r="NL2" s="29"/>
      <x:c r="NM2" s="29"/>
      <x:c r="NN2" s="29"/>
      <x:c r="NO2" s="29"/>
      <x:c r="NP2" s="29"/>
      <x:c r="NQ2" s="29"/>
      <x:c r="NR2" s="29"/>
      <x:c r="NS2" s="29"/>
      <x:c r="NT2" s="29"/>
      <x:c r="NU2" s="25"/>
      <x:c r="NV2" s="24" t="s">
        <x:v>100</x:v>
      </x:c>
      <x:c r="NW2" s="29"/>
      <x:c r="NX2" s="29"/>
      <x:c r="NY2" s="29"/>
      <x:c r="NZ2" s="29"/>
      <x:c r="OA2" s="25"/>
      <x:c r="OB2" s="24" t="s">
        <x:v>101</x:v>
      </x:c>
      <x:c r="OC2" s="29"/>
      <x:c r="OD2" s="29"/>
      <x:c r="OE2" s="29"/>
      <x:c r="OF2" s="29"/>
      <x:c r="OG2" s="29"/>
      <x:c r="OH2" s="29"/>
      <x:c r="OI2" s="29"/>
      <x:c r="OJ2" s="29"/>
      <x:c r="OK2" s="29"/>
      <x:c r="OL2" s="29"/>
      <x:c r="OM2" s="25"/>
      <x:c r="ON2" s="24" t="s">
        <x:v>102</x:v>
      </x:c>
      <x:c r="OO2" s="29"/>
      <x:c r="OP2" s="29"/>
      <x:c r="OQ2" s="29"/>
      <x:c r="OR2" s="25"/>
      <x:c r="OS2" s="24" t="s">
        <x:v>103</x:v>
      </x:c>
      <x:c r="OT2" s="29"/>
      <x:c r="OU2" s="29"/>
      <x:c r="OV2" s="29"/>
      <x:c r="OW2" s="29"/>
      <x:c r="OX2" s="29"/>
      <x:c r="OY2" s="29"/>
      <x:c r="OZ2" s="29"/>
      <x:c r="PA2" s="29"/>
      <x:c r="PB2" s="29"/>
      <x:c r="PC2" s="29"/>
      <x:c r="PD2" s="29"/>
      <x:c r="PE2" s="29"/>
      <x:c r="PF2" s="25"/>
      <x:c r="PG2" s="24" t="s">
        <x:v>104</x:v>
      </x:c>
      <x:c r="PH2" s="29"/>
      <x:c r="PI2" s="29"/>
      <x:c r="PJ2" s="29"/>
      <x:c r="PK2" s="29"/>
      <x:c r="PL2" s="29"/>
      <x:c r="PM2" s="29"/>
      <x:c r="PN2" s="29"/>
      <x:c r="PO2" s="29"/>
      <x:c r="PP2" s="29"/>
      <x:c r="PQ2" s="25"/>
      <x:c r="PR2" s="24" t="s">
        <x:v>105</x:v>
      </x:c>
      <x:c r="PS2" s="29"/>
      <x:c r="PT2" s="29"/>
      <x:c r="PU2" s="29"/>
      <x:c r="PV2" s="29"/>
      <x:c r="PW2" s="29"/>
      <x:c r="PX2" s="29"/>
      <x:c r="PY2" s="29"/>
      <x:c r="PZ2" s="29"/>
      <x:c r="QA2" s="29"/>
      <x:c r="QB2" s="25"/>
      <x:c r="QC2" s="24" t="s">
        <x:v>106</x:v>
      </x:c>
      <x:c r="QD2" s="29"/>
      <x:c r="QE2" s="29"/>
      <x:c r="QF2" s="29"/>
      <x:c r="QG2" s="29"/>
      <x:c r="QH2" s="29"/>
      <x:c r="QI2" s="29"/>
      <x:c r="QJ2" s="29"/>
      <x:c r="QK2" s="29"/>
      <x:c r="QL2" s="25"/>
      <x:c r="QM2" s="24" t="s">
        <x:v>107</x:v>
      </x:c>
      <x:c r="QN2" s="29"/>
      <x:c r="QO2" s="29"/>
      <x:c r="QP2" s="29"/>
      <x:c r="QQ2" s="29"/>
      <x:c r="QR2" s="29"/>
      <x:c r="QS2" s="29"/>
      <x:c r="QT2" s="29"/>
      <x:c r="QU2" s="29"/>
      <x:c r="QV2" s="29"/>
      <x:c r="QW2" s="29"/>
      <x:c r="QX2" s="29"/>
      <x:c r="QY2" s="29"/>
      <x:c r="QZ2" s="25"/>
      <x:c r="RA2" s="24" t="s">
        <x:v>108</x:v>
      </x:c>
      <x:c r="RB2" s="25"/>
    </x:row>
    <x:row r="3" ht="18" hidden="1" customHeight="1">
      <x:c r="A3" s="27"/>
      <x:c r="B3" s="36"/>
      <x:c r="C3" s="36"/>
      <x:c r="D3" s="36"/>
      <x:c r="E3" s="36"/>
      <x:c r="F3" s="36"/>
      <x:c r="G3" s="36"/>
      <x:c r="H3" s="36"/>
      <x:c r="I3" s="36"/>
      <x:c r="J3" s="36"/>
      <x:c r="K3" s="31"/>
      <x:c r="L3" s="1" t="s">
        <x:v>109</x:v>
      </x:c>
      <x:c r="M3" s="2" t="s">
        <x:v>110</x:v>
      </x:c>
      <x:c r="N3" s="2" t="s">
        <x:v>111</x:v>
      </x:c>
      <x:c r="O3" s="2" t="s">
        <x:v>112</x:v>
      </x:c>
      <x:c r="P3" s="2"/>
      <x:c r="Q3" s="3"/>
      <x:c r="R3" s="1" t="s">
        <x:v>113</x:v>
      </x:c>
      <x:c r="S3" s="2" t="s">
        <x:v>114</x:v>
      </x:c>
      <x:c r="T3" s="2" t="s">
        <x:v>115</x:v>
      </x:c>
      <x:c r="U3" s="2" t="s">
        <x:v>116</x:v>
      </x:c>
      <x:c r="V3" s="2" t="s">
        <x:v>112</x:v>
      </x:c>
      <x:c r="W3" s="2"/>
      <x:c r="X3" s="3"/>
      <x:c r="Y3" s="1" t="s">
        <x:v>117</x:v>
      </x:c>
      <x:c r="Z3" s="2" t="s">
        <x:v>118</x:v>
      </x:c>
      <x:c r="AA3" s="2" t="s">
        <x:v>119</x:v>
      </x:c>
      <x:c r="AB3" s="2" t="s">
        <x:v>120</x:v>
      </x:c>
      <x:c r="AC3" s="3"/>
      <x:c r="AD3" s="1" t="s">
        <x:v>121</x:v>
      </x:c>
      <x:c r="AE3" s="2" t="s">
        <x:v>122</x:v>
      </x:c>
      <x:c r="AF3" s="2" t="s">
        <x:v>123</x:v>
      </x:c>
      <x:c r="AG3" s="2" t="s">
        <x:v>124</x:v>
      </x:c>
      <x:c r="AH3" s="2" t="s">
        <x:v>112</x:v>
      </x:c>
      <x:c r="AI3" s="2"/>
      <x:c r="AJ3" s="3"/>
      <x:c r="AK3" s="1" t="s">
        <x:v>125</x:v>
      </x:c>
      <x:c r="AL3" s="2" t="s">
        <x:v>126</x:v>
      </x:c>
      <x:c r="AM3" s="2" t="s">
        <x:v>127</x:v>
      </x:c>
      <x:c r="AN3" s="3"/>
      <x:c r="AO3" s="1" t="s">
        <x:v>128</x:v>
      </x:c>
      <x:c r="AP3" s="2" t="s">
        <x:v>129</x:v>
      </x:c>
      <x:c r="AQ3" s="2" t="s">
        <x:v>130</x:v>
      </x:c>
      <x:c r="AR3" s="2" t="s">
        <x:v>131</x:v>
      </x:c>
      <x:c r="AS3" s="2" t="s">
        <x:v>132</x:v>
      </x:c>
      <x:c r="AT3" s="2" t="s">
        <x:v>112</x:v>
      </x:c>
      <x:c r="AU3" s="2"/>
      <x:c r="AV3" s="3"/>
      <x:c r="AW3" s="1" t="s">
        <x:v>133</x:v>
      </x:c>
      <x:c r="AX3" s="2" t="s">
        <x:v>134</x:v>
      </x:c>
      <x:c r="AY3" s="2" t="s">
        <x:v>135</x:v>
      </x:c>
      <x:c r="AZ3" s="2" t="s">
        <x:v>136</x:v>
      </x:c>
      <x:c r="BA3" s="2" t="s">
        <x:v>137</x:v>
      </x:c>
      <x:c r="BB3" s="2" t="s">
        <x:v>138</x:v>
      </x:c>
      <x:c r="BC3" s="2" t="s">
        <x:v>139</x:v>
      </x:c>
      <x:c r="BD3" s="2" t="s">
        <x:v>140</x:v>
      </x:c>
      <x:c r="BE3" s="2"/>
      <x:c r="BF3" s="3"/>
      <x:c r="BG3" s="1" t="s">
        <x:v>141</x:v>
      </x:c>
      <x:c r="BH3" s="2" t="s">
        <x:v>142</x:v>
      </x:c>
      <x:c r="BI3" s="2" t="s">
        <x:v>143</x:v>
      </x:c>
      <x:c r="BJ3" s="3"/>
      <x:c r="BK3" s="1" t="s">
        <x:v>144</x:v>
      </x:c>
      <x:c r="BL3" s="2" t="s">
        <x:v>145</x:v>
      </x:c>
      <x:c r="BM3" s="2" t="s">
        <x:v>146</x:v>
      </x:c>
      <x:c r="BN3" s="2" t="s">
        <x:v>147</x:v>
      </x:c>
      <x:c r="BO3" s="2" t="s">
        <x:v>148</x:v>
      </x:c>
      <x:c r="BP3" s="2" t="s">
        <x:v>149</x:v>
      </x:c>
      <x:c r="BQ3" s="2" t="s">
        <x:v>150</x:v>
      </x:c>
      <x:c r="BR3" s="2" t="s">
        <x:v>151</x:v>
      </x:c>
      <x:c r="BS3" s="2" t="s">
        <x:v>112</x:v>
      </x:c>
      <x:c r="BT3" s="2"/>
      <x:c r="BU3" s="3"/>
      <x:c r="BV3" s="1" t="s">
        <x:v>152</x:v>
      </x:c>
      <x:c r="BW3" s="2" t="s">
        <x:v>153</x:v>
      </x:c>
      <x:c r="BX3" s="2" t="s">
        <x:v>112</x:v>
      </x:c>
      <x:c r="BY3" s="2"/>
      <x:c r="BZ3" s="3"/>
      <x:c r="CA3" s="1" t="s">
        <x:v>154</x:v>
      </x:c>
      <x:c r="CB3" s="2" t="s">
        <x:v>155</x:v>
      </x:c>
      <x:c r="CC3" s="2" t="s">
        <x:v>156</x:v>
      </x:c>
      <x:c r="CD3" s="2" t="s">
        <x:v>157</x:v>
      </x:c>
      <x:c r="CE3" s="2" t="s">
        <x:v>158</x:v>
      </x:c>
      <x:c r="CF3" s="2" t="s">
        <x:v>159</x:v>
      </x:c>
      <x:c r="CG3" s="2" t="s">
        <x:v>160</x:v>
      </x:c>
      <x:c r="CH3" s="2" t="s">
        <x:v>161</x:v>
      </x:c>
      <x:c r="CI3" s="2" t="s">
        <x:v>162</x:v>
      </x:c>
      <x:c r="CJ3" s="2" t="s">
        <x:v>163</x:v>
      </x:c>
      <x:c r="CK3" s="2" t="s">
        <x:v>164</x:v>
      </x:c>
      <x:c r="CL3" s="2" t="s">
        <x:v>165</x:v>
      </x:c>
      <x:c r="CM3" s="2" t="s">
        <x:v>166</x:v>
      </x:c>
      <x:c r="CN3" s="2" t="s">
        <x:v>112</x:v>
      </x:c>
      <x:c r="CO3" s="2"/>
      <x:c r="CP3" s="3"/>
      <x:c r="CQ3" s="33" t="s">
        <x:v>167</x:v>
      </x:c>
      <x:c r="CR3" s="34"/>
      <x:c r="CS3" s="1" t="s">
        <x:v>168</x:v>
      </x:c>
      <x:c r="CT3" s="2" t="s">
        <x:v>169</x:v>
      </x:c>
      <x:c r="CU3" s="2" t="s">
        <x:v>170</x:v>
      </x:c>
      <x:c r="CV3" s="2" t="s">
        <x:v>171</x:v>
      </x:c>
      <x:c r="CW3" s="2" t="s">
        <x:v>172</x:v>
      </x:c>
      <x:c r="CX3" s="2" t="s">
        <x:v>173</x:v>
      </x:c>
      <x:c r="CY3" s="2" t="s">
        <x:v>112</x:v>
      </x:c>
      <x:c r="CZ3" s="2"/>
      <x:c r="DA3" s="3"/>
      <x:c r="DB3" s="1" t="s">
        <x:v>174</x:v>
      </x:c>
      <x:c r="DC3" s="2" t="s">
        <x:v>175</x:v>
      </x:c>
      <x:c r="DD3" s="2" t="s">
        <x:v>176</x:v>
      </x:c>
      <x:c r="DE3" s="2" t="s">
        <x:v>177</x:v>
      </x:c>
      <x:c r="DF3" s="2" t="s">
        <x:v>178</x:v>
      </x:c>
      <x:c r="DG3" s="3"/>
      <x:c r="DH3" s="1" t="s">
        <x:v>179</x:v>
      </x:c>
      <x:c r="DI3" s="2" t="s">
        <x:v>180</x:v>
      </x:c>
      <x:c r="DJ3" s="2" t="s">
        <x:v>181</x:v>
      </x:c>
      <x:c r="DK3" s="2" t="s">
        <x:v>182</x:v>
      </x:c>
      <x:c r="DL3" s="2" t="s">
        <x:v>183</x:v>
      </x:c>
      <x:c r="DM3" s="2" t="s">
        <x:v>184</x:v>
      </x:c>
      <x:c r="DN3" s="2" t="s">
        <x:v>185</x:v>
      </x:c>
      <x:c r="DO3" s="2" t="s">
        <x:v>112</x:v>
      </x:c>
      <x:c r="DP3" s="2"/>
      <x:c r="DQ3" s="3"/>
      <x:c r="DR3" s="1" t="s">
        <x:v>186</x:v>
      </x:c>
      <x:c r="DS3" s="2" t="s">
        <x:v>187</x:v>
      </x:c>
      <x:c r="DT3" s="2" t="s">
        <x:v>188</x:v>
      </x:c>
      <x:c r="DU3" s="2" t="s">
        <x:v>189</x:v>
      </x:c>
      <x:c r="DV3" s="2" t="s">
        <x:v>190</x:v>
      </x:c>
      <x:c r="DW3" s="2" t="s">
        <x:v>191</x:v>
      </x:c>
      <x:c r="DX3" s="2" t="s">
        <x:v>192</x:v>
      </x:c>
      <x:c r="DY3" s="2" t="s">
        <x:v>193</x:v>
      </x:c>
      <x:c r="DZ3" s="2" t="s">
        <x:v>194</x:v>
      </x:c>
      <x:c r="EA3" s="2" t="s">
        <x:v>112</x:v>
      </x:c>
      <x:c r="EB3" s="2"/>
      <x:c r="EC3" s="3"/>
      <x:c r="ED3" s="1" t="s">
        <x:v>195</x:v>
      </x:c>
      <x:c r="EE3" s="2" t="s">
        <x:v>196</x:v>
      </x:c>
      <x:c r="EF3" s="2" t="s">
        <x:v>197</x:v>
      </x:c>
      <x:c r="EG3" s="2" t="s">
        <x:v>143</x:v>
      </x:c>
      <x:c r="EH3" s="3"/>
      <x:c r="EI3" s="1" t="s">
        <x:v>198</x:v>
      </x:c>
      <x:c r="EJ3" s="2" t="s">
        <x:v>199</x:v>
      </x:c>
      <x:c r="EK3" s="2" t="s">
        <x:v>200</x:v>
      </x:c>
      <x:c r="EL3" s="2" t="s">
        <x:v>201</x:v>
      </x:c>
      <x:c r="EM3" s="2" t="s">
        <x:v>202</x:v>
      </x:c>
      <x:c r="EN3" s="2" t="s">
        <x:v>203</x:v>
      </x:c>
      <x:c r="EO3" s="2" t="s">
        <x:v>204</x:v>
      </x:c>
      <x:c r="EP3" s="2" t="s">
        <x:v>112</x:v>
      </x:c>
      <x:c r="EQ3" s="2"/>
      <x:c r="ER3" s="3"/>
      <x:c r="ES3" s="1" t="s">
        <x:v>205</x:v>
      </x:c>
      <x:c r="ET3" s="2" t="s">
        <x:v>206</x:v>
      </x:c>
      <x:c r="EU3" s="2" t="s">
        <x:v>207</x:v>
      </x:c>
      <x:c r="EV3" s="2" t="s">
        <x:v>208</x:v>
      </x:c>
      <x:c r="EW3" s="2" t="s">
        <x:v>209</x:v>
      </x:c>
      <x:c r="EX3" s="2" t="s">
        <x:v>210</x:v>
      </x:c>
      <x:c r="EY3" s="2" t="s">
        <x:v>211</x:v>
      </x:c>
      <x:c r="EZ3" s="2" t="s">
        <x:v>212</x:v>
      </x:c>
      <x:c r="FA3" s="2" t="s">
        <x:v>213</x:v>
      </x:c>
      <x:c r="FB3" s="2" t="s">
        <x:v>214</x:v>
      </x:c>
      <x:c r="FC3" s="2" t="s">
        <x:v>215</x:v>
      </x:c>
      <x:c r="FD3" s="2" t="s">
        <x:v>216</x:v>
      </x:c>
      <x:c r="FE3" s="2" t="s">
        <x:v>217</x:v>
      </x:c>
      <x:c r="FF3" s="2" t="s">
        <x:v>112</x:v>
      </x:c>
      <x:c r="FG3" s="2"/>
      <x:c r="FH3" s="3"/>
      <x:c r="FI3" s="1" t="s">
        <x:v>218</x:v>
      </x:c>
      <x:c r="FJ3" s="2" t="s">
        <x:v>219</x:v>
      </x:c>
      <x:c r="FK3" s="2" t="s">
        <x:v>220</x:v>
      </x:c>
      <x:c r="FL3" s="2" t="s">
        <x:v>221</x:v>
      </x:c>
      <x:c r="FM3" s="2" t="s">
        <x:v>222</x:v>
      </x:c>
      <x:c r="FN3" s="2" t="s">
        <x:v>223</x:v>
      </x:c>
      <x:c r="FO3" s="2" t="s">
        <x:v>166</x:v>
      </x:c>
      <x:c r="FP3" s="2" t="s">
        <x:v>112</x:v>
      </x:c>
      <x:c r="FQ3" s="2"/>
      <x:c r="FR3" s="3"/>
      <x:c r="FS3" s="1" t="s">
        <x:v>224</x:v>
      </x:c>
      <x:c r="FT3" s="2" t="s">
        <x:v>225</x:v>
      </x:c>
      <x:c r="FU3" s="2" t="s">
        <x:v>226</x:v>
      </x:c>
      <x:c r="FV3" s="2" t="s">
        <x:v>227</x:v>
      </x:c>
      <x:c r="FW3" s="2" t="s">
        <x:v>228</x:v>
      </x:c>
      <x:c r="FX3" s="2" t="s">
        <x:v>229</x:v>
      </x:c>
      <x:c r="FY3" s="2" t="s">
        <x:v>230</x:v>
      </x:c>
      <x:c r="FZ3" s="2" t="s">
        <x:v>231</x:v>
      </x:c>
      <x:c r="GA3" s="2" t="s">
        <x:v>232</x:v>
      </x:c>
      <x:c r="GB3" s="2" t="s">
        <x:v>233</x:v>
      </x:c>
      <x:c r="GC3" s="2" t="s">
        <x:v>234</x:v>
      </x:c>
      <x:c r="GD3" s="2" t="s">
        <x:v>112</x:v>
      </x:c>
      <x:c r="GE3" s="2"/>
      <x:c r="GF3" s="3"/>
      <x:c r="GG3" s="1" t="s">
        <x:v>235</x:v>
      </x:c>
      <x:c r="GH3" s="2" t="s">
        <x:v>236</x:v>
      </x:c>
      <x:c r="GI3" s="2" t="s">
        <x:v>237</x:v>
      </x:c>
      <x:c r="GJ3" s="2" t="s">
        <x:v>238</x:v>
      </x:c>
      <x:c r="GK3" s="2" t="s">
        <x:v>239</x:v>
      </x:c>
      <x:c r="GL3" s="2" t="s">
        <x:v>240</x:v>
      </x:c>
      <x:c r="GM3" s="2" t="s">
        <x:v>241</x:v>
      </x:c>
      <x:c r="GN3" s="2" t="s">
        <x:v>204</x:v>
      </x:c>
      <x:c r="GO3" s="2" t="s">
        <x:v>112</x:v>
      </x:c>
      <x:c r="GP3" s="2"/>
      <x:c r="GQ3" s="3"/>
      <x:c r="GR3" s="1" t="s">
        <x:v>242</x:v>
      </x:c>
      <x:c r="GS3" s="2" t="s">
        <x:v>243</x:v>
      </x:c>
      <x:c r="GT3" s="2" t="s">
        <x:v>227</x:v>
      </x:c>
      <x:c r="GU3" s="2" t="s">
        <x:v>228</x:v>
      </x:c>
      <x:c r="GV3" s="2" t="s">
        <x:v>229</x:v>
      </x:c>
      <x:c r="GW3" s="2" t="s">
        <x:v>230</x:v>
      </x:c>
      <x:c r="GX3" s="2" t="s">
        <x:v>231</x:v>
      </x:c>
      <x:c r="GY3" s="2" t="s">
        <x:v>244</x:v>
      </x:c>
      <x:c r="GZ3" s="2" t="s">
        <x:v>245</x:v>
      </x:c>
      <x:c r="HA3" s="2" t="s">
        <x:v>112</x:v>
      </x:c>
      <x:c r="HB3" s="2"/>
      <x:c r="HC3" s="3"/>
      <x:c r="HD3" s="1" t="s">
        <x:v>246</x:v>
      </x:c>
      <x:c r="HE3" s="2" t="s">
        <x:v>247</x:v>
      </x:c>
      <x:c r="HF3" s="2" t="s">
        <x:v>248</x:v>
      </x:c>
      <x:c r="HG3" s="2" t="s">
        <x:v>249</x:v>
      </x:c>
      <x:c r="HH3" s="2" t="s">
        <x:v>250</x:v>
      </x:c>
      <x:c r="HI3" s="2" t="s">
        <x:v>223</x:v>
      </x:c>
      <x:c r="HJ3" s="2" t="s">
        <x:v>251</x:v>
      </x:c>
      <x:c r="HK3" s="2" t="s">
        <x:v>252</x:v>
      </x:c>
      <x:c r="HL3" s="2" t="s">
        <x:v>112</x:v>
      </x:c>
      <x:c r="HM3" s="2"/>
      <x:c r="HN3" s="3"/>
      <x:c r="HO3" s="1" t="s">
        <x:v>253</x:v>
      </x:c>
      <x:c r="HP3" s="2" t="s">
        <x:v>254</x:v>
      </x:c>
      <x:c r="HQ3" s="2" t="s">
        <x:v>255</x:v>
      </x:c>
      <x:c r="HR3" s="2" t="s">
        <x:v>256</x:v>
      </x:c>
      <x:c r="HS3" s="2" t="s">
        <x:v>257</x:v>
      </x:c>
      <x:c r="HT3" s="2" t="s">
        <x:v>258</x:v>
      </x:c>
      <x:c r="HU3" s="2" t="s">
        <x:v>259</x:v>
      </x:c>
      <x:c r="HV3" s="2" t="s">
        <x:v>260</x:v>
      </x:c>
      <x:c r="HW3" s="2" t="s">
        <x:v>112</x:v>
      </x:c>
      <x:c r="HX3" s="2"/>
      <x:c r="HY3" s="3"/>
      <x:c r="HZ3" s="1" t="s">
        <x:v>261</x:v>
      </x:c>
      <x:c r="IA3" s="2" t="s">
        <x:v>262</x:v>
      </x:c>
      <x:c r="IB3" s="2" t="s">
        <x:v>263</x:v>
      </x:c>
      <x:c r="IC3" s="2" t="s">
        <x:v>264</x:v>
      </x:c>
      <x:c r="ID3" s="2" t="s">
        <x:v>265</x:v>
      </x:c>
      <x:c r="IE3" s="2" t="s">
        <x:v>266</x:v>
      </x:c>
      <x:c r="IF3" s="2" t="s">
        <x:v>267</x:v>
      </x:c>
      <x:c r="IG3" s="2" t="s">
        <x:v>235</x:v>
      </x:c>
      <x:c r="IH3" s="2" t="s">
        <x:v>166</x:v>
      </x:c>
      <x:c r="II3" s="2" t="s">
        <x:v>112</x:v>
      </x:c>
      <x:c r="IJ3" s="2"/>
      <x:c r="IK3" s="3"/>
      <x:c r="IL3" s="1" t="s">
        <x:v>268</x:v>
      </x:c>
      <x:c r="IM3" s="2" t="s">
        <x:v>269</x:v>
      </x:c>
      <x:c r="IN3" s="2" t="s">
        <x:v>270</x:v>
      </x:c>
      <x:c r="IO3" s="2" t="s">
        <x:v>271</x:v>
      </x:c>
      <x:c r="IP3" s="3"/>
      <x:c r="IQ3" s="1" t="s">
        <x:v>268</x:v>
      </x:c>
      <x:c r="IR3" s="2" t="s">
        <x:v>269</x:v>
      </x:c>
      <x:c r="IS3" s="2" t="s">
        <x:v>270</x:v>
      </x:c>
      <x:c r="IT3" s="2" t="s">
        <x:v>271</x:v>
      </x:c>
      <x:c r="IU3" s="3"/>
      <x:c r="IV3" s="1" t="s">
        <x:v>268</x:v>
      </x:c>
      <x:c r="IW3" s="2" t="s">
        <x:v>269</x:v>
      </x:c>
      <x:c r="IX3" s="2" t="s">
        <x:v>270</x:v>
      </x:c>
      <x:c r="IY3" s="2" t="s">
        <x:v>271</x:v>
      </x:c>
      <x:c r="IZ3" s="3"/>
      <x:c r="JA3" s="1" t="s">
        <x:v>268</x:v>
      </x:c>
      <x:c r="JB3" s="2" t="s">
        <x:v>269</x:v>
      </x:c>
      <x:c r="JC3" s="2" t="s">
        <x:v>270</x:v>
      </x:c>
      <x:c r="JD3" s="2" t="s">
        <x:v>271</x:v>
      </x:c>
      <x:c r="JE3" s="3"/>
      <x:c r="JF3" s="1" t="s">
        <x:v>268</x:v>
      </x:c>
      <x:c r="JG3" s="2" t="s">
        <x:v>269</x:v>
      </x:c>
      <x:c r="JH3" s="2" t="s">
        <x:v>270</x:v>
      </x:c>
      <x:c r="JI3" s="2" t="s">
        <x:v>271</x:v>
      </x:c>
      <x:c r="JJ3" s="3"/>
      <x:c r="JK3" s="1" t="s">
        <x:v>272</x:v>
      </x:c>
      <x:c r="JL3" s="2" t="s">
        <x:v>273</x:v>
      </x:c>
      <x:c r="JM3" s="2" t="s">
        <x:v>207</x:v>
      </x:c>
      <x:c r="JN3" s="2" t="s">
        <x:v>274</x:v>
      </x:c>
      <x:c r="JO3" s="2" t="s">
        <x:v>275</x:v>
      </x:c>
      <x:c r="JP3" s="2" t="s">
        <x:v>209</x:v>
      </x:c>
      <x:c r="JQ3" s="2" t="s">
        <x:v>276</x:v>
      </x:c>
      <x:c r="JR3" s="2" t="s">
        <x:v>158</x:v>
      </x:c>
      <x:c r="JS3" s="2" t="s">
        <x:v>277</x:v>
      </x:c>
      <x:c r="JT3" s="2" t="s">
        <x:v>278</x:v>
      </x:c>
      <x:c r="JU3" s="2" t="s">
        <x:v>279</x:v>
      </x:c>
      <x:c r="JV3" s="2"/>
      <x:c r="JW3" s="3"/>
      <x:c r="JX3" s="1" t="s">
        <x:v>280</x:v>
      </x:c>
      <x:c r="JY3" s="2" t="s">
        <x:v>281</x:v>
      </x:c>
      <x:c r="JZ3" s="2" t="s">
        <x:v>282</x:v>
      </x:c>
      <x:c r="KA3" s="2" t="s">
        <x:v>283</x:v>
      </x:c>
      <x:c r="KB3" s="2" t="s">
        <x:v>284</x:v>
      </x:c>
      <x:c r="KC3" s="2" t="s">
        <x:v>285</x:v>
      </x:c>
      <x:c r="KD3" s="2" t="s">
        <x:v>286</x:v>
      </x:c>
      <x:c r="KE3" s="2" t="s">
        <x:v>287</x:v>
      </x:c>
      <x:c r="KF3" s="2" t="s">
        <x:v>288</x:v>
      </x:c>
      <x:c r="KG3" s="2" t="s">
        <x:v>289</x:v>
      </x:c>
      <x:c r="KH3" s="2" t="s">
        <x:v>112</x:v>
      </x:c>
      <x:c r="KI3" s="2"/>
      <x:c r="KJ3" s="3"/>
      <x:c r="KK3" s="1" t="s">
        <x:v>280</x:v>
      </x:c>
      <x:c r="KL3" s="2" t="s">
        <x:v>281</x:v>
      </x:c>
      <x:c r="KM3" s="2" t="s">
        <x:v>282</x:v>
      </x:c>
      <x:c r="KN3" s="2" t="s">
        <x:v>283</x:v>
      </x:c>
      <x:c r="KO3" s="2" t="s">
        <x:v>284</x:v>
      </x:c>
      <x:c r="KP3" s="2" t="s">
        <x:v>285</x:v>
      </x:c>
      <x:c r="KQ3" s="2" t="s">
        <x:v>286</x:v>
      </x:c>
      <x:c r="KR3" s="2" t="s">
        <x:v>287</x:v>
      </x:c>
      <x:c r="KS3" s="2" t="s">
        <x:v>288</x:v>
      </x:c>
      <x:c r="KT3" s="2" t="s">
        <x:v>290</x:v>
      </x:c>
      <x:c r="KU3" s="3"/>
      <x:c r="KV3" s="1" t="s">
        <x:v>280</x:v>
      </x:c>
      <x:c r="KW3" s="2" t="s">
        <x:v>281</x:v>
      </x:c>
      <x:c r="KX3" s="2" t="s">
        <x:v>282</x:v>
      </x:c>
      <x:c r="KY3" s="2" t="s">
        <x:v>283</x:v>
      </x:c>
      <x:c r="KZ3" s="2" t="s">
        <x:v>284</x:v>
      </x:c>
      <x:c r="LA3" s="2" t="s">
        <x:v>285</x:v>
      </x:c>
      <x:c r="LB3" s="2" t="s">
        <x:v>286</x:v>
      </x:c>
      <x:c r="LC3" s="2" t="s">
        <x:v>287</x:v>
      </x:c>
      <x:c r="LD3" s="2" t="s">
        <x:v>288</x:v>
      </x:c>
      <x:c r="LE3" s="2" t="s">
        <x:v>291</x:v>
      </x:c>
      <x:c r="LF3" s="2" t="s">
        <x:v>112</x:v>
      </x:c>
      <x:c r="LG3" s="2"/>
      <x:c r="LH3" s="3"/>
      <x:c r="LI3" s="1" t="s">
        <x:v>292</x:v>
      </x:c>
      <x:c r="LJ3" s="2" t="s">
        <x:v>293</x:v>
      </x:c>
      <x:c r="LK3" s="2" t="s">
        <x:v>294</x:v>
      </x:c>
      <x:c r="LL3" s="2" t="s">
        <x:v>295</x:v>
      </x:c>
      <x:c r="LM3" s="2" t="s">
        <x:v>296</x:v>
      </x:c>
      <x:c r="LN3" s="2" t="s">
        <x:v>297</x:v>
      </x:c>
      <x:c r="LO3" s="2" t="s">
        <x:v>298</x:v>
      </x:c>
      <x:c r="LP3" s="3"/>
      <x:c r="LQ3" s="1" t="s">
        <x:v>299</x:v>
      </x:c>
      <x:c r="LR3" s="2" t="s">
        <x:v>188</x:v>
      </x:c>
      <x:c r="LS3" s="2" t="s">
        <x:v>264</x:v>
      </x:c>
      <x:c r="LT3" s="2" t="s">
        <x:v>300</x:v>
      </x:c>
      <x:c r="LU3" s="2" t="s">
        <x:v>301</x:v>
      </x:c>
      <x:c r="LV3" s="2" t="s">
        <x:v>164</x:v>
      </x:c>
      <x:c r="LW3" s="2" t="s">
        <x:v>302</x:v>
      </x:c>
      <x:c r="LX3" s="2" t="s">
        <x:v>204</x:v>
      </x:c>
      <x:c r="LY3" s="2" t="s">
        <x:v>112</x:v>
      </x:c>
      <x:c r="LZ3" s="2"/>
      <x:c r="MA3" s="3"/>
      <x:c r="MB3" s="1" t="s">
        <x:v>303</x:v>
      </x:c>
      <x:c r="MC3" s="2" t="s">
        <x:v>304</x:v>
      </x:c>
      <x:c r="MD3" s="2" t="s">
        <x:v>305</x:v>
      </x:c>
      <x:c r="ME3" s="2" t="s">
        <x:v>306</x:v>
      </x:c>
      <x:c r="MF3" s="2" t="s">
        <x:v>307</x:v>
      </x:c>
      <x:c r="MG3" s="2" t="s">
        <x:v>308</x:v>
      </x:c>
      <x:c r="MH3" s="2" t="s">
        <x:v>309</x:v>
      </x:c>
      <x:c r="MI3" s="2" t="s">
        <x:v>310</x:v>
      </x:c>
      <x:c r="MJ3" s="2" t="s">
        <x:v>311</x:v>
      </x:c>
      <x:c r="MK3" s="2" t="s">
        <x:v>312</x:v>
      </x:c>
      <x:c r="ML3" s="2" t="s">
        <x:v>313</x:v>
      </x:c>
      <x:c r="MM3" s="2" t="s">
        <x:v>112</x:v>
      </x:c>
      <x:c r="MN3" s="2"/>
      <x:c r="MO3" s="3"/>
      <x:c r="MP3" s="33" t="s">
        <x:v>314</x:v>
      </x:c>
      <x:c r="MQ3" s="34"/>
      <x:c r="MR3" s="1" t="s">
        <x:v>315</x:v>
      </x:c>
      <x:c r="MS3" s="2" t="s">
        <x:v>316</x:v>
      </x:c>
      <x:c r="MT3" s="2" t="s">
        <x:v>317</x:v>
      </x:c>
      <x:c r="MU3" s="2" t="s">
        <x:v>318</x:v>
      </x:c>
      <x:c r="MV3" s="2" t="s">
        <x:v>143</x:v>
      </x:c>
      <x:c r="MW3" s="3"/>
      <x:c r="MX3" s="1" t="s">
        <x:v>230</x:v>
      </x:c>
      <x:c r="MY3" s="2" t="s">
        <x:v>319</x:v>
      </x:c>
      <x:c r="MZ3" s="2" t="s">
        <x:v>229</x:v>
      </x:c>
      <x:c r="NA3" s="2" t="s">
        <x:v>228</x:v>
      </x:c>
      <x:c r="NB3" s="2" t="s">
        <x:v>320</x:v>
      </x:c>
      <x:c r="NC3" s="2" t="s">
        <x:v>321</x:v>
      </x:c>
      <x:c r="ND3" s="2" t="s">
        <x:v>322</x:v>
      </x:c>
      <x:c r="NE3" s="2" t="s">
        <x:v>323</x:v>
      </x:c>
      <x:c r="NF3" s="2" t="s">
        <x:v>324</x:v>
      </x:c>
      <x:c r="NG3" s="2" t="s">
        <x:v>166</x:v>
      </x:c>
      <x:c r="NH3" s="2" t="s">
        <x:v>112</x:v>
      </x:c>
      <x:c r="NI3" s="2"/>
      <x:c r="NJ3" s="3"/>
      <x:c r="NK3" s="1" t="s">
        <x:v>325</x:v>
      </x:c>
      <x:c r="NL3" s="2" t="s">
        <x:v>326</x:v>
      </x:c>
      <x:c r="NM3" s="2" t="s">
        <x:v>327</x:v>
      </x:c>
      <x:c r="NN3" s="2" t="s">
        <x:v>328</x:v>
      </x:c>
      <x:c r="NO3" s="2" t="s">
        <x:v>329</x:v>
      </x:c>
      <x:c r="NP3" s="2" t="s">
        <x:v>330</x:v>
      </x:c>
      <x:c r="NQ3" s="2" t="s">
        <x:v>331</x:v>
      </x:c>
      <x:c r="NR3" s="2" t="s">
        <x:v>166</x:v>
      </x:c>
      <x:c r="NS3" s="2" t="s">
        <x:v>112</x:v>
      </x:c>
      <x:c r="NT3" s="2"/>
      <x:c r="NU3" s="3"/>
      <x:c r="NV3" s="1" t="s">
        <x:v>332</x:v>
      </x:c>
      <x:c r="NW3" s="2" t="s">
        <x:v>290</x:v>
      </x:c>
      <x:c r="NX3" s="2" t="s">
        <x:v>333</x:v>
      </x:c>
      <x:c r="NY3" s="2" t="s">
        <x:v>334</x:v>
      </x:c>
      <x:c r="NZ3" s="2" t="s">
        <x:v>335</x:v>
      </x:c>
      <x:c r="OA3" s="3"/>
      <x:c r="OB3" s="1" t="s">
        <x:v>336</x:v>
      </x:c>
      <x:c r="OC3" s="2" t="s">
        <x:v>337</x:v>
      </x:c>
      <x:c r="OD3" s="2" t="s">
        <x:v>338</x:v>
      </x:c>
      <x:c r="OE3" s="2" t="s">
        <x:v>339</x:v>
      </x:c>
      <x:c r="OF3" s="2" t="s">
        <x:v>340</x:v>
      </x:c>
      <x:c r="OG3" s="2" t="s">
        <x:v>341</x:v>
      </x:c>
      <x:c r="OH3" s="2" t="s">
        <x:v>342</x:v>
      </x:c>
      <x:c r="OI3" s="2" t="s">
        <x:v>343</x:v>
      </x:c>
      <x:c r="OJ3" s="2" t="s">
        <x:v>344</x:v>
      </x:c>
      <x:c r="OK3" s="2" t="s">
        <x:v>112</x:v>
      </x:c>
      <x:c r="OL3" s="2"/>
      <x:c r="OM3" s="3"/>
      <x:c r="ON3" s="1" t="s">
        <x:v>345</x:v>
      </x:c>
      <x:c r="OO3" s="2" t="s">
        <x:v>333</x:v>
      </x:c>
      <x:c r="OP3" s="2" t="s">
        <x:v>335</x:v>
      </x:c>
      <x:c r="OQ3" s="2" t="s">
        <x:v>346</x:v>
      </x:c>
      <x:c r="OR3" s="3"/>
      <x:c r="OS3" s="1" t="s">
        <x:v>224</x:v>
      </x:c>
      <x:c r="OT3" s="2" t="s">
        <x:v>225</x:v>
      </x:c>
      <x:c r="OU3" s="2" t="s">
        <x:v>226</x:v>
      </x:c>
      <x:c r="OV3" s="2" t="s">
        <x:v>227</x:v>
      </x:c>
      <x:c r="OW3" s="2" t="s">
        <x:v>228</x:v>
      </x:c>
      <x:c r="OX3" s="2" t="s">
        <x:v>229</x:v>
      </x:c>
      <x:c r="OY3" s="2" t="s">
        <x:v>230</x:v>
      </x:c>
      <x:c r="OZ3" s="2" t="s">
        <x:v>231</x:v>
      </x:c>
      <x:c r="PA3" s="2" t="s">
        <x:v>232</x:v>
      </x:c>
      <x:c r="PB3" s="2" t="s">
        <x:v>233</x:v>
      </x:c>
      <x:c r="PC3" s="2" t="s">
        <x:v>347</x:v>
      </x:c>
      <x:c r="PD3" s="2" t="s">
        <x:v>112</x:v>
      </x:c>
      <x:c r="PE3" s="2"/>
      <x:c r="PF3" s="3"/>
      <x:c r="PG3" s="1" t="s">
        <x:v>348</x:v>
      </x:c>
      <x:c r="PH3" s="2" t="s">
        <x:v>349</x:v>
      </x:c>
      <x:c r="PI3" s="2" t="s">
        <x:v>350</x:v>
      </x:c>
      <x:c r="PJ3" s="2" t="s">
        <x:v>351</x:v>
      </x:c>
      <x:c r="PK3" s="2" t="s">
        <x:v>352</x:v>
      </x:c>
      <x:c r="PL3" s="2" t="s">
        <x:v>353</x:v>
      </x:c>
      <x:c r="PM3" s="2" t="s">
        <x:v>354</x:v>
      </x:c>
      <x:c r="PN3" s="2" t="s">
        <x:v>355</x:v>
      </x:c>
      <x:c r="PO3" s="2" t="s">
        <x:v>112</x:v>
      </x:c>
      <x:c r="PP3" s="2"/>
      <x:c r="PQ3" s="3"/>
      <x:c r="PR3" s="1" t="s">
        <x:v>356</x:v>
      </x:c>
      <x:c r="PS3" s="2" t="s">
        <x:v>357</x:v>
      </x:c>
      <x:c r="PT3" s="2" t="s">
        <x:v>358</x:v>
      </x:c>
      <x:c r="PU3" s="2" t="s">
        <x:v>359</x:v>
      </x:c>
      <x:c r="PV3" s="2" t="s">
        <x:v>360</x:v>
      </x:c>
      <x:c r="PW3" s="2" t="s">
        <x:v>361</x:v>
      </x:c>
      <x:c r="PX3" s="2" t="s">
        <x:v>362</x:v>
      </x:c>
      <x:c r="PY3" s="2" t="s">
        <x:v>166</x:v>
      </x:c>
      <x:c r="PZ3" s="2" t="s">
        <x:v>112</x:v>
      </x:c>
      <x:c r="QA3" s="2"/>
      <x:c r="QB3" s="3"/>
      <x:c r="QC3" s="1" t="s">
        <x:v>363</x:v>
      </x:c>
      <x:c r="QD3" s="2" t="s">
        <x:v>364</x:v>
      </x:c>
      <x:c r="QE3" s="2" t="s">
        <x:v>365</x:v>
      </x:c>
      <x:c r="QF3" s="2" t="s">
        <x:v>366</x:v>
      </x:c>
      <x:c r="QG3" s="2" t="s">
        <x:v>367</x:v>
      </x:c>
      <x:c r="QH3" s="2" t="s">
        <x:v>368</x:v>
      </x:c>
      <x:c r="QI3" s="2" t="s">
        <x:v>166</x:v>
      </x:c>
      <x:c r="QJ3" s="2" t="s">
        <x:v>112</x:v>
      </x:c>
      <x:c r="QK3" s="2"/>
      <x:c r="QL3" s="3"/>
      <x:c r="QM3" s="1" t="s">
        <x:v>369</x:v>
      </x:c>
      <x:c r="QN3" s="2" t="s">
        <x:v>370</x:v>
      </x:c>
      <x:c r="QO3" s="2" t="s">
        <x:v>287</x:v>
      </x:c>
      <x:c r="QP3" s="2" t="s">
        <x:v>371</x:v>
      </x:c>
      <x:c r="QQ3" s="2" t="s">
        <x:v>372</x:v>
      </x:c>
      <x:c r="QR3" s="2" t="s">
        <x:v>373</x:v>
      </x:c>
      <x:c r="QS3" s="2" t="s">
        <x:v>374</x:v>
      </x:c>
      <x:c r="QT3" s="2" t="s">
        <x:v>375</x:v>
      </x:c>
      <x:c r="QU3" s="2" t="s">
        <x:v>376</x:v>
      </x:c>
      <x:c r="QV3" s="2" t="s">
        <x:v>377</x:v>
      </x:c>
      <x:c r="QW3" s="2" t="s">
        <x:v>378</x:v>
      </x:c>
      <x:c r="QX3" s="2" t="s">
        <x:v>112</x:v>
      </x:c>
      <x:c r="QY3" s="2"/>
      <x:c r="QZ3" s="3"/>
      <x:c r="RA3" s="33" t="s">
        <x:v>379</x:v>
      </x:c>
      <x:c r="RB3" s="34"/>
    </x:row>
    <x:row r="4" ht="18" customHeight="1">
      <x:c r="A4" s="28"/>
      <x:c r="B4" s="37"/>
      <x:c r="C4" s="37"/>
      <x:c r="D4" s="37"/>
      <x:c r="E4" s="37"/>
      <x:c r="F4" s="37"/>
      <x:c r="G4" s="37"/>
      <x:c r="H4" s="37"/>
      <x:c r="I4" s="37"/>
      <x:c r="J4" s="37"/>
      <x:c r="K4" s="32"/>
      <x:c r="L4" s="4" t="s">
        <x:v>380</x:v>
      </x:c>
      <x:c r="M4" s="5" t="s">
        <x:v>381</x:v>
      </x:c>
      <x:c r="N4" s="5" t="s">
        <x:v>382</x:v>
      </x:c>
      <x:c r="O4" s="5" t="s">
        <x:v>383</x:v>
      </x:c>
      <x:c r="P4" s="5" t="s">
        <x:v>384</x:v>
      </x:c>
      <x:c r="Q4" s="6" t="s">
        <x:v>385</x:v>
      </x:c>
      <x:c r="R4" s="4" t="s">
        <x:v>380</x:v>
      </x:c>
      <x:c r="S4" s="5" t="s">
        <x:v>381</x:v>
      </x:c>
      <x:c r="T4" s="5" t="s">
        <x:v>382</x:v>
      </x:c>
      <x:c r="U4" s="5" t="s">
        <x:v>383</x:v>
      </x:c>
      <x:c r="V4" s="5" t="s">
        <x:v>386</x:v>
      </x:c>
      <x:c r="W4" s="5" t="s">
        <x:v>384</x:v>
      </x:c>
      <x:c r="X4" s="6" t="s">
        <x:v>385</x:v>
      </x:c>
      <x:c r="Y4" s="4" t="s">
        <x:v>380</x:v>
      </x:c>
      <x:c r="Z4" s="5" t="s">
        <x:v>381</x:v>
      </x:c>
      <x:c r="AA4" s="5" t="s">
        <x:v>382</x:v>
      </x:c>
      <x:c r="AB4" s="5" t="s">
        <x:v>383</x:v>
      </x:c>
      <x:c r="AC4" s="6" t="s">
        <x:v>385</x:v>
      </x:c>
      <x:c r="AD4" s="4" t="s">
        <x:v>380</x:v>
      </x:c>
      <x:c r="AE4" s="5" t="s">
        <x:v>381</x:v>
      </x:c>
      <x:c r="AF4" s="5" t="s">
        <x:v>382</x:v>
      </x:c>
      <x:c r="AG4" s="5" t="s">
        <x:v>383</x:v>
      </x:c>
      <x:c r="AH4" s="5" t="s">
        <x:v>386</x:v>
      </x:c>
      <x:c r="AI4" s="5" t="s">
        <x:v>384</x:v>
      </x:c>
      <x:c r="AJ4" s="6" t="s">
        <x:v>385</x:v>
      </x:c>
      <x:c r="AK4" s="4" t="s">
        <x:v>380</x:v>
      </x:c>
      <x:c r="AL4" s="5" t="s">
        <x:v>381</x:v>
      </x:c>
      <x:c r="AM4" s="5" t="s">
        <x:v>382</x:v>
      </x:c>
      <x:c r="AN4" s="6" t="s">
        <x:v>385</x:v>
      </x:c>
      <x:c r="AO4" s="4" t="s">
        <x:v>380</x:v>
      </x:c>
      <x:c r="AP4" s="5" t="s">
        <x:v>381</x:v>
      </x:c>
      <x:c r="AQ4" s="5" t="s">
        <x:v>382</x:v>
      </x:c>
      <x:c r="AR4" s="5" t="s">
        <x:v>383</x:v>
      </x:c>
      <x:c r="AS4" s="5" t="s">
        <x:v>386</x:v>
      </x:c>
      <x:c r="AT4" s="5" t="s">
        <x:v>387</x:v>
      </x:c>
      <x:c r="AU4" s="5" t="s">
        <x:v>384</x:v>
      </x:c>
      <x:c r="AV4" s="6" t="s">
        <x:v>385</x:v>
      </x:c>
      <x:c r="AW4" s="4" t="s">
        <x:v>380</x:v>
      </x:c>
      <x:c r="AX4" s="5" t="s">
        <x:v>381</x:v>
      </x:c>
      <x:c r="AY4" s="5" t="s">
        <x:v>382</x:v>
      </x:c>
      <x:c r="AZ4" s="5" t="s">
        <x:v>383</x:v>
      </x:c>
      <x:c r="BA4" s="5" t="s">
        <x:v>386</x:v>
      </x:c>
      <x:c r="BB4" s="5" t="s">
        <x:v>387</x:v>
      </x:c>
      <x:c r="BC4" s="5" t="s">
        <x:v>388</x:v>
      </x:c>
      <x:c r="BD4" s="5" t="s">
        <x:v>389</x:v>
      </x:c>
      <x:c r="BE4" s="5" t="s">
        <x:v>384</x:v>
      </x:c>
      <x:c r="BF4" s="6" t="s">
        <x:v>385</x:v>
      </x:c>
      <x:c r="BG4" s="4" t="s">
        <x:v>380</x:v>
      </x:c>
      <x:c r="BH4" s="5" t="s">
        <x:v>381</x:v>
      </x:c>
      <x:c r="BI4" s="5" t="s">
        <x:v>382</x:v>
      </x:c>
      <x:c r="BJ4" s="6" t="s">
        <x:v>385</x:v>
      </x:c>
      <x:c r="BK4" s="4" t="s">
        <x:v>380</x:v>
      </x:c>
      <x:c r="BL4" s="5" t="s">
        <x:v>381</x:v>
      </x:c>
      <x:c r="BM4" s="5" t="s">
        <x:v>382</x:v>
      </x:c>
      <x:c r="BN4" s="5" t="s">
        <x:v>383</x:v>
      </x:c>
      <x:c r="BO4" s="5" t="s">
        <x:v>386</x:v>
      </x:c>
      <x:c r="BP4" s="5" t="s">
        <x:v>387</x:v>
      </x:c>
      <x:c r="BQ4" s="5" t="s">
        <x:v>388</x:v>
      </x:c>
      <x:c r="BR4" s="5" t="s">
        <x:v>389</x:v>
      </x:c>
      <x:c r="BS4" s="5" t="s">
        <x:v>390</x:v>
      </x:c>
      <x:c r="BT4" s="5" t="s">
        <x:v>384</x:v>
      </x:c>
      <x:c r="BU4" s="6" t="s">
        <x:v>385</x:v>
      </x:c>
      <x:c r="BV4" s="4" t="s">
        <x:v>380</x:v>
      </x:c>
      <x:c r="BW4" s="5" t="s">
        <x:v>381</x:v>
      </x:c>
      <x:c r="BX4" s="5" t="s">
        <x:v>382</x:v>
      </x:c>
      <x:c r="BY4" s="5" t="s">
        <x:v>384</x:v>
      </x:c>
      <x:c r="BZ4" s="6" t="s">
        <x:v>385</x:v>
      </x:c>
      <x:c r="CA4" s="4" t="s">
        <x:v>380</x:v>
      </x:c>
      <x:c r="CB4" s="5" t="s">
        <x:v>381</x:v>
      </x:c>
      <x:c r="CC4" s="5" t="s">
        <x:v>382</x:v>
      </x:c>
      <x:c r="CD4" s="5" t="s">
        <x:v>383</x:v>
      </x:c>
      <x:c r="CE4" s="5" t="s">
        <x:v>386</x:v>
      </x:c>
      <x:c r="CF4" s="5" t="s">
        <x:v>387</x:v>
      </x:c>
      <x:c r="CG4" s="5" t="s">
        <x:v>388</x:v>
      </x:c>
      <x:c r="CH4" s="5" t="s">
        <x:v>389</x:v>
      </x:c>
      <x:c r="CI4" s="5" t="s">
        <x:v>390</x:v>
      </x:c>
      <x:c r="CJ4" s="5" t="s">
        <x:v>391</x:v>
      </x:c>
      <x:c r="CK4" s="5" t="s">
        <x:v>392</x:v>
      </x:c>
      <x:c r="CL4" s="5" t="s">
        <x:v>393</x:v>
      </x:c>
      <x:c r="CM4" s="5" t="s">
        <x:v>394</x:v>
      </x:c>
      <x:c r="CN4" s="5" t="s">
        <x:v>395</x:v>
      </x:c>
      <x:c r="CO4" s="5" t="s">
        <x:v>384</x:v>
      </x:c>
      <x:c r="CP4" s="6" t="s">
        <x:v>385</x:v>
      </x:c>
      <x:c r="CQ4" s="4"/>
      <x:c r="CR4" s="6" t="s">
        <x:v>385</x:v>
      </x:c>
      <x:c r="CS4" s="4" t="s">
        <x:v>380</x:v>
      </x:c>
      <x:c r="CT4" s="5" t="s">
        <x:v>381</x:v>
      </x:c>
      <x:c r="CU4" s="5" t="s">
        <x:v>382</x:v>
      </x:c>
      <x:c r="CV4" s="5" t="s">
        <x:v>383</x:v>
      </x:c>
      <x:c r="CW4" s="5" t="s">
        <x:v>386</x:v>
      </x:c>
      <x:c r="CX4" s="5" t="s">
        <x:v>387</x:v>
      </x:c>
      <x:c r="CY4" s="5" t="s">
        <x:v>388</x:v>
      </x:c>
      <x:c r="CZ4" s="5" t="s">
        <x:v>384</x:v>
      </x:c>
      <x:c r="DA4" s="6" t="s">
        <x:v>385</x:v>
      </x:c>
      <x:c r="DB4" s="4" t="s">
        <x:v>380</x:v>
      </x:c>
      <x:c r="DC4" s="5" t="s">
        <x:v>381</x:v>
      </x:c>
      <x:c r="DD4" s="5" t="s">
        <x:v>382</x:v>
      </x:c>
      <x:c r="DE4" s="5" t="s">
        <x:v>383</x:v>
      </x:c>
      <x:c r="DF4" s="5" t="s">
        <x:v>386</x:v>
      </x:c>
      <x:c r="DG4" s="6" t="s">
        <x:v>385</x:v>
      </x:c>
      <x:c r="DH4" s="4" t="s">
        <x:v>380</x:v>
      </x:c>
      <x:c r="DI4" s="5" t="s">
        <x:v>381</x:v>
      </x:c>
      <x:c r="DJ4" s="5" t="s">
        <x:v>382</x:v>
      </x:c>
      <x:c r="DK4" s="5" t="s">
        <x:v>383</x:v>
      </x:c>
      <x:c r="DL4" s="5" t="s">
        <x:v>386</x:v>
      </x:c>
      <x:c r="DM4" s="5" t="s">
        <x:v>387</x:v>
      </x:c>
      <x:c r="DN4" s="5" t="s">
        <x:v>388</x:v>
      </x:c>
      <x:c r="DO4" s="5" t="s">
        <x:v>389</x:v>
      </x:c>
      <x:c r="DP4" s="5" t="s">
        <x:v>384</x:v>
      </x:c>
      <x:c r="DQ4" s="6" t="s">
        <x:v>385</x:v>
      </x:c>
      <x:c r="DR4" s="4" t="s">
        <x:v>380</x:v>
      </x:c>
      <x:c r="DS4" s="5" t="s">
        <x:v>381</x:v>
      </x:c>
      <x:c r="DT4" s="5" t="s">
        <x:v>382</x:v>
      </x:c>
      <x:c r="DU4" s="5" t="s">
        <x:v>383</x:v>
      </x:c>
      <x:c r="DV4" s="5" t="s">
        <x:v>386</x:v>
      </x:c>
      <x:c r="DW4" s="5" t="s">
        <x:v>387</x:v>
      </x:c>
      <x:c r="DX4" s="5" t="s">
        <x:v>388</x:v>
      </x:c>
      <x:c r="DY4" s="5" t="s">
        <x:v>389</x:v>
      </x:c>
      <x:c r="DZ4" s="5" t="s">
        <x:v>390</x:v>
      </x:c>
      <x:c r="EA4" s="5" t="s">
        <x:v>391</x:v>
      </x:c>
      <x:c r="EB4" s="5" t="s">
        <x:v>384</x:v>
      </x:c>
      <x:c r="EC4" s="6" t="s">
        <x:v>385</x:v>
      </x:c>
      <x:c r="ED4" s="4" t="s">
        <x:v>380</x:v>
      </x:c>
      <x:c r="EE4" s="5" t="s">
        <x:v>381</x:v>
      </x:c>
      <x:c r="EF4" s="5" t="s">
        <x:v>382</x:v>
      </x:c>
      <x:c r="EG4" s="5" t="s">
        <x:v>383</x:v>
      </x:c>
      <x:c r="EH4" s="6" t="s">
        <x:v>385</x:v>
      </x:c>
      <x:c r="EI4" s="4" t="s">
        <x:v>380</x:v>
      </x:c>
      <x:c r="EJ4" s="5" t="s">
        <x:v>381</x:v>
      </x:c>
      <x:c r="EK4" s="5" t="s">
        <x:v>382</x:v>
      </x:c>
      <x:c r="EL4" s="5" t="s">
        <x:v>383</x:v>
      </x:c>
      <x:c r="EM4" s="5" t="s">
        <x:v>386</x:v>
      </x:c>
      <x:c r="EN4" s="5" t="s">
        <x:v>387</x:v>
      </x:c>
      <x:c r="EO4" s="5" t="s">
        <x:v>388</x:v>
      </x:c>
      <x:c r="EP4" s="5" t="s">
        <x:v>389</x:v>
      </x:c>
      <x:c r="EQ4" s="5" t="s">
        <x:v>384</x:v>
      </x:c>
      <x:c r="ER4" s="6" t="s">
        <x:v>385</x:v>
      </x:c>
      <x:c r="ES4" s="4" t="s">
        <x:v>380</x:v>
      </x:c>
      <x:c r="ET4" s="5" t="s">
        <x:v>381</x:v>
      </x:c>
      <x:c r="EU4" s="5" t="s">
        <x:v>382</x:v>
      </x:c>
      <x:c r="EV4" s="5" t="s">
        <x:v>383</x:v>
      </x:c>
      <x:c r="EW4" s="5" t="s">
        <x:v>386</x:v>
      </x:c>
      <x:c r="EX4" s="5" t="s">
        <x:v>387</x:v>
      </x:c>
      <x:c r="EY4" s="5" t="s">
        <x:v>388</x:v>
      </x:c>
      <x:c r="EZ4" s="5" t="s">
        <x:v>389</x:v>
      </x:c>
      <x:c r="FA4" s="5" t="s">
        <x:v>390</x:v>
      </x:c>
      <x:c r="FB4" s="5" t="s">
        <x:v>391</x:v>
      </x:c>
      <x:c r="FC4" s="5" t="s">
        <x:v>392</x:v>
      </x:c>
      <x:c r="FD4" s="5" t="s">
        <x:v>393</x:v>
      </x:c>
      <x:c r="FE4" s="5" t="s">
        <x:v>394</x:v>
      </x:c>
      <x:c r="FF4" s="5" t="s">
        <x:v>395</x:v>
      </x:c>
      <x:c r="FG4" s="5" t="s">
        <x:v>384</x:v>
      </x:c>
      <x:c r="FH4" s="6" t="s">
        <x:v>385</x:v>
      </x:c>
      <x:c r="FI4" s="4" t="s">
        <x:v>380</x:v>
      </x:c>
      <x:c r="FJ4" s="5" t="s">
        <x:v>381</x:v>
      </x:c>
      <x:c r="FK4" s="5" t="s">
        <x:v>382</x:v>
      </x:c>
      <x:c r="FL4" s="5" t="s">
        <x:v>383</x:v>
      </x:c>
      <x:c r="FM4" s="5" t="s">
        <x:v>386</x:v>
      </x:c>
      <x:c r="FN4" s="5" t="s">
        <x:v>387</x:v>
      </x:c>
      <x:c r="FO4" s="5" t="s">
        <x:v>388</x:v>
      </x:c>
      <x:c r="FP4" s="5" t="s">
        <x:v>389</x:v>
      </x:c>
      <x:c r="FQ4" s="5" t="s">
        <x:v>384</x:v>
      </x:c>
      <x:c r="FR4" s="6" t="s">
        <x:v>385</x:v>
      </x:c>
      <x:c r="FS4" s="4" t="s">
        <x:v>380</x:v>
      </x:c>
      <x:c r="FT4" s="5" t="s">
        <x:v>381</x:v>
      </x:c>
      <x:c r="FU4" s="5" t="s">
        <x:v>382</x:v>
      </x:c>
      <x:c r="FV4" s="5" t="s">
        <x:v>383</x:v>
      </x:c>
      <x:c r="FW4" s="5" t="s">
        <x:v>386</x:v>
      </x:c>
      <x:c r="FX4" s="5" t="s">
        <x:v>387</x:v>
      </x:c>
      <x:c r="FY4" s="5" t="s">
        <x:v>388</x:v>
      </x:c>
      <x:c r="FZ4" s="5" t="s">
        <x:v>389</x:v>
      </x:c>
      <x:c r="GA4" s="5" t="s">
        <x:v>390</x:v>
      </x:c>
      <x:c r="GB4" s="5" t="s">
        <x:v>391</x:v>
      </x:c>
      <x:c r="GC4" s="5" t="s">
        <x:v>392</x:v>
      </x:c>
      <x:c r="GD4" s="5" t="s">
        <x:v>393</x:v>
      </x:c>
      <x:c r="GE4" s="5" t="s">
        <x:v>384</x:v>
      </x:c>
      <x:c r="GF4" s="6" t="s">
        <x:v>385</x:v>
      </x:c>
      <x:c r="GG4" s="4" t="s">
        <x:v>380</x:v>
      </x:c>
      <x:c r="GH4" s="5" t="s">
        <x:v>381</x:v>
      </x:c>
      <x:c r="GI4" s="5" t="s">
        <x:v>382</x:v>
      </x:c>
      <x:c r="GJ4" s="5" t="s">
        <x:v>383</x:v>
      </x:c>
      <x:c r="GK4" s="5" t="s">
        <x:v>386</x:v>
      </x:c>
      <x:c r="GL4" s="5" t="s">
        <x:v>387</x:v>
      </x:c>
      <x:c r="GM4" s="5" t="s">
        <x:v>388</x:v>
      </x:c>
      <x:c r="GN4" s="5" t="s">
        <x:v>389</x:v>
      </x:c>
      <x:c r="GO4" s="5" t="s">
        <x:v>390</x:v>
      </x:c>
      <x:c r="GP4" s="5" t="s">
        <x:v>384</x:v>
      </x:c>
      <x:c r="GQ4" s="6" t="s">
        <x:v>385</x:v>
      </x:c>
      <x:c r="GR4" s="4" t="s">
        <x:v>380</x:v>
      </x:c>
      <x:c r="GS4" s="5" t="s">
        <x:v>381</x:v>
      </x:c>
      <x:c r="GT4" s="5" t="s">
        <x:v>382</x:v>
      </x:c>
      <x:c r="GU4" s="5" t="s">
        <x:v>383</x:v>
      </x:c>
      <x:c r="GV4" s="5" t="s">
        <x:v>386</x:v>
      </x:c>
      <x:c r="GW4" s="5" t="s">
        <x:v>387</x:v>
      </x:c>
      <x:c r="GX4" s="5" t="s">
        <x:v>388</x:v>
      </x:c>
      <x:c r="GY4" s="5" t="s">
        <x:v>389</x:v>
      </x:c>
      <x:c r="GZ4" s="5" t="s">
        <x:v>390</x:v>
      </x:c>
      <x:c r="HA4" s="5" t="s">
        <x:v>391</x:v>
      </x:c>
      <x:c r="HB4" s="5" t="s">
        <x:v>384</x:v>
      </x:c>
      <x:c r="HC4" s="6" t="s">
        <x:v>385</x:v>
      </x:c>
      <x:c r="HD4" s="4" t="s">
        <x:v>380</x:v>
      </x:c>
      <x:c r="HE4" s="5" t="s">
        <x:v>381</x:v>
      </x:c>
      <x:c r="HF4" s="5" t="s">
        <x:v>382</x:v>
      </x:c>
      <x:c r="HG4" s="5" t="s">
        <x:v>383</x:v>
      </x:c>
      <x:c r="HH4" s="5" t="s">
        <x:v>386</x:v>
      </x:c>
      <x:c r="HI4" s="5" t="s">
        <x:v>387</x:v>
      </x:c>
      <x:c r="HJ4" s="5" t="s">
        <x:v>388</x:v>
      </x:c>
      <x:c r="HK4" s="5" t="s">
        <x:v>389</x:v>
      </x:c>
      <x:c r="HL4" s="5" t="s">
        <x:v>390</x:v>
      </x:c>
      <x:c r="HM4" s="5" t="s">
        <x:v>384</x:v>
      </x:c>
      <x:c r="HN4" s="6" t="s">
        <x:v>385</x:v>
      </x:c>
      <x:c r="HO4" s="4" t="s">
        <x:v>380</x:v>
      </x:c>
      <x:c r="HP4" s="5" t="s">
        <x:v>381</x:v>
      </x:c>
      <x:c r="HQ4" s="5" t="s">
        <x:v>382</x:v>
      </x:c>
      <x:c r="HR4" s="5" t="s">
        <x:v>383</x:v>
      </x:c>
      <x:c r="HS4" s="5" t="s">
        <x:v>386</x:v>
      </x:c>
      <x:c r="HT4" s="5" t="s">
        <x:v>387</x:v>
      </x:c>
      <x:c r="HU4" s="5" t="s">
        <x:v>388</x:v>
      </x:c>
      <x:c r="HV4" s="5" t="s">
        <x:v>389</x:v>
      </x:c>
      <x:c r="HW4" s="5" t="s">
        <x:v>390</x:v>
      </x:c>
      <x:c r="HX4" s="5" t="s">
        <x:v>384</x:v>
      </x:c>
      <x:c r="HY4" s="6" t="s">
        <x:v>385</x:v>
      </x:c>
      <x:c r="HZ4" s="4" t="s">
        <x:v>380</x:v>
      </x:c>
      <x:c r="IA4" s="5" t="s">
        <x:v>381</x:v>
      </x:c>
      <x:c r="IB4" s="5" t="s">
        <x:v>382</x:v>
      </x:c>
      <x:c r="IC4" s="5" t="s">
        <x:v>383</x:v>
      </x:c>
      <x:c r="ID4" s="5" t="s">
        <x:v>386</x:v>
      </x:c>
      <x:c r="IE4" s="5" t="s">
        <x:v>387</x:v>
      </x:c>
      <x:c r="IF4" s="5" t="s">
        <x:v>388</x:v>
      </x:c>
      <x:c r="IG4" s="5" t="s">
        <x:v>389</x:v>
      </x:c>
      <x:c r="IH4" s="5" t="s">
        <x:v>390</x:v>
      </x:c>
      <x:c r="II4" s="5" t="s">
        <x:v>391</x:v>
      </x:c>
      <x:c r="IJ4" s="5" t="s">
        <x:v>384</x:v>
      </x:c>
      <x:c r="IK4" s="6" t="s">
        <x:v>385</x:v>
      </x:c>
      <x:c r="IL4" s="4" t="s">
        <x:v>380</x:v>
      </x:c>
      <x:c r="IM4" s="5" t="s">
        <x:v>381</x:v>
      </x:c>
      <x:c r="IN4" s="5" t="s">
        <x:v>382</x:v>
      </x:c>
      <x:c r="IO4" s="5" t="s">
        <x:v>383</x:v>
      </x:c>
      <x:c r="IP4" s="6" t="s">
        <x:v>385</x:v>
      </x:c>
      <x:c r="IQ4" s="4" t="s">
        <x:v>380</x:v>
      </x:c>
      <x:c r="IR4" s="5" t="s">
        <x:v>381</x:v>
      </x:c>
      <x:c r="IS4" s="5" t="s">
        <x:v>382</x:v>
      </x:c>
      <x:c r="IT4" s="5" t="s">
        <x:v>383</x:v>
      </x:c>
      <x:c r="IU4" s="6" t="s">
        <x:v>385</x:v>
      </x:c>
      <x:c r="IV4" s="4" t="s">
        <x:v>380</x:v>
      </x:c>
      <x:c r="IW4" s="5" t="s">
        <x:v>381</x:v>
      </x:c>
      <x:c r="IX4" s="5" t="s">
        <x:v>382</x:v>
      </x:c>
      <x:c r="IY4" s="5" t="s">
        <x:v>383</x:v>
      </x:c>
      <x:c r="IZ4" s="6" t="s">
        <x:v>385</x:v>
      </x:c>
      <x:c r="JA4" s="4" t="s">
        <x:v>380</x:v>
      </x:c>
      <x:c r="JB4" s="5" t="s">
        <x:v>381</x:v>
      </x:c>
      <x:c r="JC4" s="5" t="s">
        <x:v>382</x:v>
      </x:c>
      <x:c r="JD4" s="5" t="s">
        <x:v>383</x:v>
      </x:c>
      <x:c r="JE4" s="6" t="s">
        <x:v>385</x:v>
      </x:c>
      <x:c r="JF4" s="4" t="s">
        <x:v>380</x:v>
      </x:c>
      <x:c r="JG4" s="5" t="s">
        <x:v>381</x:v>
      </x:c>
      <x:c r="JH4" s="5" t="s">
        <x:v>382</x:v>
      </x:c>
      <x:c r="JI4" s="5" t="s">
        <x:v>383</x:v>
      </x:c>
      <x:c r="JJ4" s="6" t="s">
        <x:v>385</x:v>
      </x:c>
      <x:c r="JK4" s="4" t="s">
        <x:v>380</x:v>
      </x:c>
      <x:c r="JL4" s="5" t="s">
        <x:v>381</x:v>
      </x:c>
      <x:c r="JM4" s="5" t="s">
        <x:v>382</x:v>
      </x:c>
      <x:c r="JN4" s="5" t="s">
        <x:v>383</x:v>
      </x:c>
      <x:c r="JO4" s="5" t="s">
        <x:v>386</x:v>
      </x:c>
      <x:c r="JP4" s="5" t="s">
        <x:v>387</x:v>
      </x:c>
      <x:c r="JQ4" s="5" t="s">
        <x:v>388</x:v>
      </x:c>
      <x:c r="JR4" s="5" t="s">
        <x:v>389</x:v>
      </x:c>
      <x:c r="JS4" s="5" t="s">
        <x:v>390</x:v>
      </x:c>
      <x:c r="JT4" s="5" t="s">
        <x:v>391</x:v>
      </x:c>
      <x:c r="JU4" s="5" t="s">
        <x:v>392</x:v>
      </x:c>
      <x:c r="JV4" s="5" t="s">
        <x:v>384</x:v>
      </x:c>
      <x:c r="JW4" s="6" t="s">
        <x:v>385</x:v>
      </x:c>
      <x:c r="JX4" s="4" t="s">
        <x:v>380</x:v>
      </x:c>
      <x:c r="JY4" s="5" t="s">
        <x:v>381</x:v>
      </x:c>
      <x:c r="JZ4" s="5" t="s">
        <x:v>382</x:v>
      </x:c>
      <x:c r="KA4" s="5" t="s">
        <x:v>383</x:v>
      </x:c>
      <x:c r="KB4" s="5" t="s">
        <x:v>386</x:v>
      </x:c>
      <x:c r="KC4" s="5" t="s">
        <x:v>387</x:v>
      </x:c>
      <x:c r="KD4" s="5" t="s">
        <x:v>388</x:v>
      </x:c>
      <x:c r="KE4" s="5" t="s">
        <x:v>389</x:v>
      </x:c>
      <x:c r="KF4" s="5" t="s">
        <x:v>390</x:v>
      </x:c>
      <x:c r="KG4" s="5" t="s">
        <x:v>391</x:v>
      </x:c>
      <x:c r="KH4" s="5" t="s">
        <x:v>392</x:v>
      </x:c>
      <x:c r="KI4" s="5" t="s">
        <x:v>384</x:v>
      </x:c>
      <x:c r="KJ4" s="6" t="s">
        <x:v>385</x:v>
      </x:c>
      <x:c r="KK4" s="4" t="s">
        <x:v>380</x:v>
      </x:c>
      <x:c r="KL4" s="5" t="s">
        <x:v>381</x:v>
      </x:c>
      <x:c r="KM4" s="5" t="s">
        <x:v>382</x:v>
      </x:c>
      <x:c r="KN4" s="5" t="s">
        <x:v>383</x:v>
      </x:c>
      <x:c r="KO4" s="5" t="s">
        <x:v>386</x:v>
      </x:c>
      <x:c r="KP4" s="5" t="s">
        <x:v>387</x:v>
      </x:c>
      <x:c r="KQ4" s="5" t="s">
        <x:v>388</x:v>
      </x:c>
      <x:c r="KR4" s="5" t="s">
        <x:v>389</x:v>
      </x:c>
      <x:c r="KS4" s="5" t="s">
        <x:v>390</x:v>
      </x:c>
      <x:c r="KT4" s="5" t="s">
        <x:v>391</x:v>
      </x:c>
      <x:c r="KU4" s="6" t="s">
        <x:v>385</x:v>
      </x:c>
      <x:c r="KV4" s="4" t="s">
        <x:v>380</x:v>
      </x:c>
      <x:c r="KW4" s="5" t="s">
        <x:v>381</x:v>
      </x:c>
      <x:c r="KX4" s="5" t="s">
        <x:v>382</x:v>
      </x:c>
      <x:c r="KY4" s="5" t="s">
        <x:v>383</x:v>
      </x:c>
      <x:c r="KZ4" s="5" t="s">
        <x:v>386</x:v>
      </x:c>
      <x:c r="LA4" s="5" t="s">
        <x:v>387</x:v>
      </x:c>
      <x:c r="LB4" s="5" t="s">
        <x:v>388</x:v>
      </x:c>
      <x:c r="LC4" s="5" t="s">
        <x:v>389</x:v>
      </x:c>
      <x:c r="LD4" s="5" t="s">
        <x:v>390</x:v>
      </x:c>
      <x:c r="LE4" s="5" t="s">
        <x:v>391</x:v>
      </x:c>
      <x:c r="LF4" s="5" t="s">
        <x:v>392</x:v>
      </x:c>
      <x:c r="LG4" s="5" t="s">
        <x:v>384</x:v>
      </x:c>
      <x:c r="LH4" s="6" t="s">
        <x:v>385</x:v>
      </x:c>
      <x:c r="LI4" s="4" t="s">
        <x:v>380</x:v>
      </x:c>
      <x:c r="LJ4" s="5" t="s">
        <x:v>381</x:v>
      </x:c>
      <x:c r="LK4" s="5" t="s">
        <x:v>382</x:v>
      </x:c>
      <x:c r="LL4" s="5" t="s">
        <x:v>383</x:v>
      </x:c>
      <x:c r="LM4" s="5" t="s">
        <x:v>386</x:v>
      </x:c>
      <x:c r="LN4" s="5" t="s">
        <x:v>387</x:v>
      </x:c>
      <x:c r="LO4" s="5" t="s">
        <x:v>388</x:v>
      </x:c>
      <x:c r="LP4" s="6" t="s">
        <x:v>385</x:v>
      </x:c>
      <x:c r="LQ4" s="4" t="s">
        <x:v>380</x:v>
      </x:c>
      <x:c r="LR4" s="5" t="s">
        <x:v>381</x:v>
      </x:c>
      <x:c r="LS4" s="5" t="s">
        <x:v>382</x:v>
      </x:c>
      <x:c r="LT4" s="5" t="s">
        <x:v>383</x:v>
      </x:c>
      <x:c r="LU4" s="5" t="s">
        <x:v>386</x:v>
      </x:c>
      <x:c r="LV4" s="5" t="s">
        <x:v>387</x:v>
      </x:c>
      <x:c r="LW4" s="5" t="s">
        <x:v>388</x:v>
      </x:c>
      <x:c r="LX4" s="5" t="s">
        <x:v>389</x:v>
      </x:c>
      <x:c r="LY4" s="5" t="s">
        <x:v>390</x:v>
      </x:c>
      <x:c r="LZ4" s="5" t="s">
        <x:v>384</x:v>
      </x:c>
      <x:c r="MA4" s="6" t="s">
        <x:v>385</x:v>
      </x:c>
      <x:c r="MB4" s="4" t="s">
        <x:v>380</x:v>
      </x:c>
      <x:c r="MC4" s="5" t="s">
        <x:v>381</x:v>
      </x:c>
      <x:c r="MD4" s="5" t="s">
        <x:v>382</x:v>
      </x:c>
      <x:c r="ME4" s="5" t="s">
        <x:v>383</x:v>
      </x:c>
      <x:c r="MF4" s="5" t="s">
        <x:v>386</x:v>
      </x:c>
      <x:c r="MG4" s="5" t="s">
        <x:v>387</x:v>
      </x:c>
      <x:c r="MH4" s="5" t="s">
        <x:v>388</x:v>
      </x:c>
      <x:c r="MI4" s="5" t="s">
        <x:v>389</x:v>
      </x:c>
      <x:c r="MJ4" s="5" t="s">
        <x:v>390</x:v>
      </x:c>
      <x:c r="MK4" s="5" t="s">
        <x:v>391</x:v>
      </x:c>
      <x:c r="ML4" s="5" t="s">
        <x:v>392</x:v>
      </x:c>
      <x:c r="MM4" s="5" t="s">
        <x:v>393</x:v>
      </x:c>
      <x:c r="MN4" s="5" t="s">
        <x:v>384</x:v>
      </x:c>
      <x:c r="MO4" s="6" t="s">
        <x:v>385</x:v>
      </x:c>
      <x:c r="MP4" s="4"/>
      <x:c r="MQ4" s="6" t="s">
        <x:v>385</x:v>
      </x:c>
      <x:c r="MR4" s="4" t="s">
        <x:v>380</x:v>
      </x:c>
      <x:c r="MS4" s="5" t="s">
        <x:v>381</x:v>
      </x:c>
      <x:c r="MT4" s="5" t="s">
        <x:v>382</x:v>
      </x:c>
      <x:c r="MU4" s="5" t="s">
        <x:v>383</x:v>
      </x:c>
      <x:c r="MV4" s="5" t="s">
        <x:v>386</x:v>
      </x:c>
      <x:c r="MW4" s="6" t="s">
        <x:v>385</x:v>
      </x:c>
      <x:c r="MX4" s="4" t="s">
        <x:v>380</x:v>
      </x:c>
      <x:c r="MY4" s="5" t="s">
        <x:v>381</x:v>
      </x:c>
      <x:c r="MZ4" s="5" t="s">
        <x:v>382</x:v>
      </x:c>
      <x:c r="NA4" s="5" t="s">
        <x:v>383</x:v>
      </x:c>
      <x:c r="NB4" s="5" t="s">
        <x:v>386</x:v>
      </x:c>
      <x:c r="NC4" s="5" t="s">
        <x:v>387</x:v>
      </x:c>
      <x:c r="ND4" s="5" t="s">
        <x:v>388</x:v>
      </x:c>
      <x:c r="NE4" s="5" t="s">
        <x:v>389</x:v>
      </x:c>
      <x:c r="NF4" s="5" t="s">
        <x:v>390</x:v>
      </x:c>
      <x:c r="NG4" s="5" t="s">
        <x:v>391</x:v>
      </x:c>
      <x:c r="NH4" s="5" t="s">
        <x:v>392</x:v>
      </x:c>
      <x:c r="NI4" s="5" t="s">
        <x:v>384</x:v>
      </x:c>
      <x:c r="NJ4" s="6" t="s">
        <x:v>385</x:v>
      </x:c>
      <x:c r="NK4" s="4" t="s">
        <x:v>380</x:v>
      </x:c>
      <x:c r="NL4" s="5" t="s">
        <x:v>381</x:v>
      </x:c>
      <x:c r="NM4" s="5" t="s">
        <x:v>382</x:v>
      </x:c>
      <x:c r="NN4" s="5" t="s">
        <x:v>383</x:v>
      </x:c>
      <x:c r="NO4" s="5" t="s">
        <x:v>386</x:v>
      </x:c>
      <x:c r="NP4" s="5" t="s">
        <x:v>387</x:v>
      </x:c>
      <x:c r="NQ4" s="5" t="s">
        <x:v>388</x:v>
      </x:c>
      <x:c r="NR4" s="5" t="s">
        <x:v>389</x:v>
      </x:c>
      <x:c r="NS4" s="5" t="s">
        <x:v>390</x:v>
      </x:c>
      <x:c r="NT4" s="5" t="s">
        <x:v>384</x:v>
      </x:c>
      <x:c r="NU4" s="6" t="s">
        <x:v>385</x:v>
      </x:c>
      <x:c r="NV4" s="4" t="s">
        <x:v>380</x:v>
      </x:c>
      <x:c r="NW4" s="5" t="s">
        <x:v>381</x:v>
      </x:c>
      <x:c r="NX4" s="5" t="s">
        <x:v>382</x:v>
      </x:c>
      <x:c r="NY4" s="5" t="s">
        <x:v>383</x:v>
      </x:c>
      <x:c r="NZ4" s="5" t="s">
        <x:v>386</x:v>
      </x:c>
      <x:c r="OA4" s="6" t="s">
        <x:v>385</x:v>
      </x:c>
      <x:c r="OB4" s="4" t="s">
        <x:v>380</x:v>
      </x:c>
      <x:c r="OC4" s="5" t="s">
        <x:v>381</x:v>
      </x:c>
      <x:c r="OD4" s="5" t="s">
        <x:v>382</x:v>
      </x:c>
      <x:c r="OE4" s="5" t="s">
        <x:v>383</x:v>
      </x:c>
      <x:c r="OF4" s="5" t="s">
        <x:v>386</x:v>
      </x:c>
      <x:c r="OG4" s="5" t="s">
        <x:v>387</x:v>
      </x:c>
      <x:c r="OH4" s="5" t="s">
        <x:v>388</x:v>
      </x:c>
      <x:c r="OI4" s="5" t="s">
        <x:v>389</x:v>
      </x:c>
      <x:c r="OJ4" s="5" t="s">
        <x:v>390</x:v>
      </x:c>
      <x:c r="OK4" s="5" t="s">
        <x:v>391</x:v>
      </x:c>
      <x:c r="OL4" s="5" t="s">
        <x:v>384</x:v>
      </x:c>
      <x:c r="OM4" s="6" t="s">
        <x:v>385</x:v>
      </x:c>
      <x:c r="ON4" s="4" t="s">
        <x:v>380</x:v>
      </x:c>
      <x:c r="OO4" s="5" t="s">
        <x:v>381</x:v>
      </x:c>
      <x:c r="OP4" s="5" t="s">
        <x:v>382</x:v>
      </x:c>
      <x:c r="OQ4" s="5" t="s">
        <x:v>383</x:v>
      </x:c>
      <x:c r="OR4" s="6" t="s">
        <x:v>385</x:v>
      </x:c>
      <x:c r="OS4" s="4" t="s">
        <x:v>380</x:v>
      </x:c>
      <x:c r="OT4" s="5" t="s">
        <x:v>381</x:v>
      </x:c>
      <x:c r="OU4" s="5" t="s">
        <x:v>382</x:v>
      </x:c>
      <x:c r="OV4" s="5" t="s">
        <x:v>383</x:v>
      </x:c>
      <x:c r="OW4" s="5" t="s">
        <x:v>386</x:v>
      </x:c>
      <x:c r="OX4" s="5" t="s">
        <x:v>387</x:v>
      </x:c>
      <x:c r="OY4" s="5" t="s">
        <x:v>388</x:v>
      </x:c>
      <x:c r="OZ4" s="5" t="s">
        <x:v>389</x:v>
      </x:c>
      <x:c r="PA4" s="5" t="s">
        <x:v>390</x:v>
      </x:c>
      <x:c r="PB4" s="5" t="s">
        <x:v>391</x:v>
      </x:c>
      <x:c r="PC4" s="5" t="s">
        <x:v>392</x:v>
      </x:c>
      <x:c r="PD4" s="5" t="s">
        <x:v>393</x:v>
      </x:c>
      <x:c r="PE4" s="5" t="s">
        <x:v>384</x:v>
      </x:c>
      <x:c r="PF4" s="6" t="s">
        <x:v>385</x:v>
      </x:c>
      <x:c r="PG4" s="4" t="s">
        <x:v>380</x:v>
      </x:c>
      <x:c r="PH4" s="5" t="s">
        <x:v>381</x:v>
      </x:c>
      <x:c r="PI4" s="5" t="s">
        <x:v>382</x:v>
      </x:c>
      <x:c r="PJ4" s="5" t="s">
        <x:v>383</x:v>
      </x:c>
      <x:c r="PK4" s="5" t="s">
        <x:v>386</x:v>
      </x:c>
      <x:c r="PL4" s="5" t="s">
        <x:v>387</x:v>
      </x:c>
      <x:c r="PM4" s="5" t="s">
        <x:v>388</x:v>
      </x:c>
      <x:c r="PN4" s="5" t="s">
        <x:v>389</x:v>
      </x:c>
      <x:c r="PO4" s="5" t="s">
        <x:v>390</x:v>
      </x:c>
      <x:c r="PP4" s="5" t="s">
        <x:v>384</x:v>
      </x:c>
      <x:c r="PQ4" s="6" t="s">
        <x:v>385</x:v>
      </x:c>
      <x:c r="PR4" s="4" t="s">
        <x:v>380</x:v>
      </x:c>
      <x:c r="PS4" s="5" t="s">
        <x:v>381</x:v>
      </x:c>
      <x:c r="PT4" s="5" t="s">
        <x:v>382</x:v>
      </x:c>
      <x:c r="PU4" s="5" t="s">
        <x:v>383</x:v>
      </x:c>
      <x:c r="PV4" s="5" t="s">
        <x:v>386</x:v>
      </x:c>
      <x:c r="PW4" s="5" t="s">
        <x:v>387</x:v>
      </x:c>
      <x:c r="PX4" s="5" t="s">
        <x:v>388</x:v>
      </x:c>
      <x:c r="PY4" s="5" t="s">
        <x:v>389</x:v>
      </x:c>
      <x:c r="PZ4" s="5" t="s">
        <x:v>390</x:v>
      </x:c>
      <x:c r="QA4" s="5" t="s">
        <x:v>384</x:v>
      </x:c>
      <x:c r="QB4" s="6" t="s">
        <x:v>385</x:v>
      </x:c>
      <x:c r="QC4" s="4" t="s">
        <x:v>380</x:v>
      </x:c>
      <x:c r="QD4" s="5" t="s">
        <x:v>381</x:v>
      </x:c>
      <x:c r="QE4" s="5" t="s">
        <x:v>382</x:v>
      </x:c>
      <x:c r="QF4" s="5" t="s">
        <x:v>383</x:v>
      </x:c>
      <x:c r="QG4" s="5" t="s">
        <x:v>386</x:v>
      </x:c>
      <x:c r="QH4" s="5" t="s">
        <x:v>387</x:v>
      </x:c>
      <x:c r="QI4" s="5" t="s">
        <x:v>388</x:v>
      </x:c>
      <x:c r="QJ4" s="5" t="s">
        <x:v>389</x:v>
      </x:c>
      <x:c r="QK4" s="5" t="s">
        <x:v>384</x:v>
      </x:c>
      <x:c r="QL4" s="6" t="s">
        <x:v>385</x:v>
      </x:c>
      <x:c r="QM4" s="4" t="s">
        <x:v>380</x:v>
      </x:c>
      <x:c r="QN4" s="5" t="s">
        <x:v>381</x:v>
      </x:c>
      <x:c r="QO4" s="5" t="s">
        <x:v>382</x:v>
      </x:c>
      <x:c r="QP4" s="5" t="s">
        <x:v>383</x:v>
      </x:c>
      <x:c r="QQ4" s="5" t="s">
        <x:v>386</x:v>
      </x:c>
      <x:c r="QR4" s="5" t="s">
        <x:v>387</x:v>
      </x:c>
      <x:c r="QS4" s="5" t="s">
        <x:v>388</x:v>
      </x:c>
      <x:c r="QT4" s="5" t="s">
        <x:v>389</x:v>
      </x:c>
      <x:c r="QU4" s="5" t="s">
        <x:v>390</x:v>
      </x:c>
      <x:c r="QV4" s="5" t="s">
        <x:v>391</x:v>
      </x:c>
      <x:c r="QW4" s="5" t="s">
        <x:v>392</x:v>
      </x:c>
      <x:c r="QX4" s="5" t="s">
        <x:v>393</x:v>
      </x:c>
      <x:c r="QY4" s="5" t="s">
        <x:v>384</x:v>
      </x:c>
      <x:c r="QZ4" s="6" t="s">
        <x:v>385</x:v>
      </x:c>
      <x:c r="RA4" s="4"/>
      <x:c r="RB4" s="6" t="s">
        <x:v>385</x:v>
      </x:c>
    </x:row>
    <x:row r="5" ht="16.5">
      <x:c r="A5" s="7" t="s">
        <x:v>396</x:v>
      </x:c>
      <x:c r="B5" s="8"/>
      <x:c r="C5" s="8"/>
      <x:c r="D5" s="8"/>
      <x:c r="E5" s="8"/>
      <x:c r="F5" s="8"/>
      <x:c r="G5" s="8"/>
      <x:c r="H5" s="8"/>
      <x:c r="I5" s="8"/>
      <x:c r="J5" s="8"/>
      <x:c r="K5" s="9"/>
      <x:c r="L5" s="7" t="s">
        <x:v>397</x:v>
      </x:c>
      <x:c r="M5" s="10"/>
      <x:c r="N5" s="10"/>
      <x:c r="O5" s="10"/>
      <x:c r="P5" s="11"/>
      <x:c r="Q5" s="12" t="n">
        <x:f>IF(SUMPRODUCT(--(L5:P5&lt;&gt;""))&gt;0,1,0)</x:f>
        <x:v>1</x:v>
      </x:c>
      <x:c r="R5" s="7" t="s">
        <x:v>397</x:v>
      </x:c>
      <x:c r="S5" s="10"/>
      <x:c r="T5" s="10"/>
      <x:c r="U5" s="10"/>
      <x:c r="V5" s="10"/>
      <x:c r="W5" s="11"/>
      <x:c r="X5" s="12" t="n">
        <x:f>IF(SUMPRODUCT(--(R5:W5&lt;&gt;""))&gt;0,1,0)</x:f>
        <x:v>1</x:v>
      </x:c>
      <x:c r="Y5" s="7"/>
      <x:c r="Z5" s="10"/>
      <x:c r="AA5" s="10"/>
      <x:c r="AB5" s="10" t="s">
        <x:v>397</x:v>
      </x:c>
      <x:c r="AC5" s="12" t="n">
        <x:f>IF(COUNTIF(Y5:AB5,"〇")&gt;0,1,0)</x:f>
        <x:v>1</x:v>
      </x:c>
      <x:c r="AD5" s="7" t="s">
        <x:v>397</x:v>
      </x:c>
      <x:c r="AE5" s="10"/>
      <x:c r="AF5" s="10"/>
      <x:c r="AG5" s="10"/>
      <x:c r="AH5" s="10"/>
      <x:c r="AI5" s="11"/>
      <x:c r="AJ5" s="12" t="n">
        <x:f>IF(SUMPRODUCT(--(AD5:AI5&lt;&gt;""))&gt;0,1,0)</x:f>
        <x:v>1</x:v>
      </x:c>
      <x:c r="AK5" s="7" t="s">
        <x:v>397</x:v>
      </x:c>
      <x:c r="AL5" s="10"/>
      <x:c r="AM5" s="10"/>
      <x:c r="AN5" s="12" t="n">
        <x:f>IF(COUNTIF(AK5:AM5,"〇")&gt;0,1,0)</x:f>
        <x:v>1</x:v>
      </x:c>
      <x:c r="AO5" s="7" t="s">
        <x:v>397</x:v>
      </x:c>
      <x:c r="AP5" s="10"/>
      <x:c r="AQ5" s="10" t="s">
        <x:v>397</x:v>
      </x:c>
      <x:c r="AR5" s="10"/>
      <x:c r="AS5" s="10"/>
      <x:c r="AT5" s="10"/>
      <x:c r="AU5" s="11"/>
      <x:c r="AV5" s="12" t="n">
        <x:f>IF(SUMPRODUCT(--(AO5:AU5&lt;&gt;""))&gt;0,1,0)</x:f>
        <x:v>1</x:v>
      </x:c>
      <x:c r="AW5" s="7" t="s">
        <x:v>397</x:v>
      </x:c>
      <x:c r="AX5" s="10"/>
      <x:c r="AY5" s="10"/>
      <x:c r="AZ5" s="10"/>
      <x:c r="BA5" s="10"/>
      <x:c r="BB5" s="10"/>
      <x:c r="BC5" s="10"/>
      <x:c r="BD5" s="10"/>
      <x:c r="BE5" s="11"/>
      <x:c r="BF5" s="12" t="n">
        <x:f>IF(SUMPRODUCT(--(AW5:BE5&lt;&gt;""))&gt;0,1,0)</x:f>
        <x:v>1</x:v>
      </x:c>
      <x:c r="BG5" s="7"/>
      <x:c r="BH5" s="10" t="s">
        <x:v>397</x:v>
      </x:c>
      <x:c r="BI5" s="10"/>
      <x:c r="BJ5" s="12" t="n">
        <x:f>IF(COUNTIF(BG5:BI5,"〇")&gt;0,1,0)</x:f>
        <x:v>1</x:v>
      </x:c>
      <x:c r="BK5" s="7"/>
      <x:c r="BL5" s="10" t="s">
        <x:v>397</x:v>
      </x:c>
      <x:c r="BM5" s="10"/>
      <x:c r="BN5" s="10"/>
      <x:c r="BO5" s="10"/>
      <x:c r="BP5" s="10"/>
      <x:c r="BQ5" s="10"/>
      <x:c r="BR5" s="10"/>
      <x:c r="BS5" s="10"/>
      <x:c r="BT5" s="11"/>
      <x:c r="BU5" s="12" t="n">
        <x:f>IF(SUMPRODUCT(--(BK5:BT5&lt;&gt;""))&gt;0,1,0)</x:f>
        <x:v>1</x:v>
      </x:c>
      <x:c r="BV5" s="7" t="s">
        <x:v>397</x:v>
      </x:c>
      <x:c r="BW5" s="10"/>
      <x:c r="BX5" s="10"/>
      <x:c r="BY5" s="11"/>
      <x:c r="BZ5" s="12" t="n">
        <x:f>IF(SUMPRODUCT(--(BV5:BY5&lt;&gt;""))&gt;0,1,0)</x:f>
        <x:v>1</x:v>
      </x:c>
      <x:c r="CA5" s="7"/>
      <x:c r="CB5" s="10"/>
      <x:c r="CC5" s="10"/>
      <x:c r="CD5" s="10"/>
      <x:c r="CE5" s="10"/>
      <x:c r="CF5" s="10"/>
      <x:c r="CG5" s="10"/>
      <x:c r="CH5" s="10"/>
      <x:c r="CI5" s="10"/>
      <x:c r="CJ5" s="10"/>
      <x:c r="CK5" s="10"/>
      <x:c r="CL5" s="10" t="s">
        <x:v>397</x:v>
      </x:c>
      <x:c r="CM5" s="10"/>
      <x:c r="CN5" s="10"/>
      <x:c r="CO5" s="11"/>
      <x:c r="CP5" s="12" t="n">
        <x:f>IF(SUMPRODUCT(--(CA5:CO5&lt;&gt;""))&gt;0,1,0)</x:f>
        <x:v>1</x:v>
      </x:c>
      <x:c r="CQ5" s="7"/>
      <x:c r="CR5" s="12" t="n">
        <x:f>IF(SUMPRODUCT(--(CQ5:CQ5&lt;&gt;""))&gt;0,1,0)</x:f>
        <x:v>0</x:v>
      </x:c>
      <x:c r="CS5" s="7"/>
      <x:c r="CT5" s="10"/>
      <x:c r="CU5" s="10"/>
      <x:c r="CV5" s="10"/>
      <x:c r="CW5" s="10"/>
      <x:c r="CX5" s="10"/>
      <x:c r="CY5" s="10" t="s">
        <x:v>397</x:v>
      </x:c>
      <x:c r="CZ5" s="11"/>
      <x:c r="DA5" s="12" t="n">
        <x:f>IF(SUMPRODUCT(--(CS5:CZ5&lt;&gt;""))&gt;0,1,0)</x:f>
        <x:v>1</x:v>
      </x:c>
      <x:c r="DB5" s="7" t="s">
        <x:v>397</x:v>
      </x:c>
      <x:c r="DC5" s="10"/>
      <x:c r="DD5" s="10"/>
      <x:c r="DE5" s="10"/>
      <x:c r="DF5" s="10"/>
      <x:c r="DG5" s="12" t="n">
        <x:f>IF(COUNTIF(DB5:DF5,"〇")&gt;0,1,0)</x:f>
        <x:v>1</x:v>
      </x:c>
      <x:c r="DH5" s="7" t="s">
        <x:v>397</x:v>
      </x:c>
      <x:c r="DI5" s="10" t="s">
        <x:v>397</x:v>
      </x:c>
      <x:c r="DJ5" s="10"/>
      <x:c r="DK5" s="10" t="s">
        <x:v>397</x:v>
      </x:c>
      <x:c r="DL5" s="10"/>
      <x:c r="DM5" s="10"/>
      <x:c r="DN5" s="10"/>
      <x:c r="DO5" s="10"/>
      <x:c r="DP5" s="11"/>
      <x:c r="DQ5" s="12" t="n">
        <x:f>IF(SUMPRODUCT(--(DH5:DP5&lt;&gt;""))&gt;0,1,0)</x:f>
        <x:v>1</x:v>
      </x:c>
      <x:c r="DR5" s="7" t="s">
        <x:v>397</x:v>
      </x:c>
      <x:c r="DS5" s="10" t="s">
        <x:v>397</x:v>
      </x:c>
      <x:c r="DT5" s="10"/>
      <x:c r="DU5" s="10" t="s">
        <x:v>397</x:v>
      </x:c>
      <x:c r="DV5" s="10"/>
      <x:c r="DW5" s="10"/>
      <x:c r="DX5" s="10" t="s">
        <x:v>397</x:v>
      </x:c>
      <x:c r="DY5" s="10"/>
      <x:c r="DZ5" s="10"/>
      <x:c r="EA5" s="10"/>
      <x:c r="EB5" s="11"/>
      <x:c r="EC5" s="12" t="n">
        <x:f>IF(SUMPRODUCT(--(DR5:EB5&lt;&gt;""))&gt;0,1,0)</x:f>
        <x:v>1</x:v>
      </x:c>
      <x:c r="ED5" s="7" t="s">
        <x:v>397</x:v>
      </x:c>
      <x:c r="EE5" s="10"/>
      <x:c r="EF5" s="10"/>
      <x:c r="EG5" s="10"/>
      <x:c r="EH5" s="12" t="n">
        <x:f>IF(COUNTIF(ED5:EG5,"〇")&gt;0,1,0)</x:f>
        <x:v>1</x:v>
      </x:c>
      <x:c r="EI5" s="7" t="s">
        <x:v>397</x:v>
      </x:c>
      <x:c r="EJ5" s="10" t="s">
        <x:v>397</x:v>
      </x:c>
      <x:c r="EK5" s="10" t="s">
        <x:v>397</x:v>
      </x:c>
      <x:c r="EL5" s="10"/>
      <x:c r="EM5" s="10"/>
      <x:c r="EN5" s="10" t="s">
        <x:v>397</x:v>
      </x:c>
      <x:c r="EO5" s="10"/>
      <x:c r="EP5" s="10"/>
      <x:c r="EQ5" s="11"/>
      <x:c r="ER5" s="12" t="n">
        <x:f>IF(SUMPRODUCT(--(EI5:EQ5&lt;&gt;""))&gt;0,1,0)</x:f>
        <x:v>1</x:v>
      </x:c>
      <x:c r="ES5" s="7" t="s">
        <x:v>397</x:v>
      </x:c>
      <x:c r="ET5" s="10"/>
      <x:c r="EU5" s="10"/>
      <x:c r="EV5" s="10"/>
      <x:c r="EW5" s="10"/>
      <x:c r="EX5" s="10"/>
      <x:c r="EY5" s="10"/>
      <x:c r="EZ5" s="10"/>
      <x:c r="FA5" s="10"/>
      <x:c r="FB5" s="10"/>
      <x:c r="FC5" s="10"/>
      <x:c r="FD5" s="10"/>
      <x:c r="FE5" s="10"/>
      <x:c r="FF5" s="10"/>
      <x:c r="FG5" s="11"/>
      <x:c r="FH5" s="12" t="n">
        <x:f>IF(SUMPRODUCT(--(ES5:FG5&lt;&gt;""))&gt;0,1,0)</x:f>
        <x:v>1</x:v>
      </x:c>
      <x:c r="FI5" s="7" t="s">
        <x:v>397</x:v>
      </x:c>
      <x:c r="FJ5" s="10"/>
      <x:c r="FK5" s="10"/>
      <x:c r="FL5" s="10"/>
      <x:c r="FM5" s="10"/>
      <x:c r="FN5" s="10" t="s">
        <x:v>397</x:v>
      </x:c>
      <x:c r="FO5" s="10"/>
      <x:c r="FP5" s="10"/>
      <x:c r="FQ5" s="11"/>
      <x:c r="FR5" s="12" t="n">
        <x:f>IF(SUMPRODUCT(--(FI5:FQ5&lt;&gt;""))&gt;0,1,0)</x:f>
        <x:v>1</x:v>
      </x:c>
      <x:c r="FS5" s="7" t="s">
        <x:v>397</x:v>
      </x:c>
      <x:c r="FT5" s="10"/>
      <x:c r="FU5" s="10"/>
      <x:c r="FV5" s="10"/>
      <x:c r="FW5" s="10"/>
      <x:c r="FX5" s="10" t="s">
        <x:v>397</x:v>
      </x:c>
      <x:c r="FY5" s="10"/>
      <x:c r="FZ5" s="10"/>
      <x:c r="GA5" s="10"/>
      <x:c r="GB5" s="10"/>
      <x:c r="GC5" s="10"/>
      <x:c r="GD5" s="10" t="s">
        <x:v>397</x:v>
      </x:c>
      <x:c r="GE5" s="11" t="s">
        <x:v>398</x:v>
      </x:c>
      <x:c r="GF5" s="12" t="n">
        <x:f>IF(SUMPRODUCT(--(FS5:GE5&lt;&gt;""))&gt;0,1,0)</x:f>
        <x:v>1</x:v>
      </x:c>
      <x:c r="GG5" s="7"/>
      <x:c r="GH5" s="10"/>
      <x:c r="GI5" s="10"/>
      <x:c r="GJ5" s="10"/>
      <x:c r="GK5" s="10"/>
      <x:c r="GL5" s="10" t="s">
        <x:v>397</x:v>
      </x:c>
      <x:c r="GM5" s="10"/>
      <x:c r="GN5" s="10"/>
      <x:c r="GO5" s="10"/>
      <x:c r="GP5" s="11"/>
      <x:c r="GQ5" s="12" t="n">
        <x:f>IF(SUMPRODUCT(--(GG5:GP5&lt;&gt;""))&gt;0,1,0)</x:f>
        <x:v>1</x:v>
      </x:c>
      <x:c r="GR5" s="7"/>
      <x:c r="GS5" s="10" t="s">
        <x:v>397</x:v>
      </x:c>
      <x:c r="GT5" s="10"/>
      <x:c r="GU5" s="10"/>
      <x:c r="GV5" s="10" t="s">
        <x:v>397</x:v>
      </x:c>
      <x:c r="GW5" s="10"/>
      <x:c r="GX5" s="10" t="s">
        <x:v>397</x:v>
      </x:c>
      <x:c r="GY5" s="10"/>
      <x:c r="GZ5" s="10"/>
      <x:c r="HA5" s="10"/>
      <x:c r="HB5" s="11"/>
      <x:c r="HC5" s="12" t="n">
        <x:f>IF(SUMPRODUCT(--(GR5:HB5&lt;&gt;""))&gt;0,1,0)</x:f>
        <x:v>1</x:v>
      </x:c>
      <x:c r="HD5" s="7" t="s">
        <x:v>397</x:v>
      </x:c>
      <x:c r="HE5" s="10" t="s">
        <x:v>397</x:v>
      </x:c>
      <x:c r="HF5" s="10"/>
      <x:c r="HG5" s="10"/>
      <x:c r="HH5" s="10" t="s">
        <x:v>397</x:v>
      </x:c>
      <x:c r="HI5" s="10" t="s">
        <x:v>397</x:v>
      </x:c>
      <x:c r="HJ5" s="10"/>
      <x:c r="HK5" s="10"/>
      <x:c r="HL5" s="10"/>
      <x:c r="HM5" s="11"/>
      <x:c r="HN5" s="12" t="n">
        <x:f>IF(SUMPRODUCT(--(HD5:HM5&lt;&gt;""))&gt;0,1,0)</x:f>
        <x:v>1</x:v>
      </x:c>
      <x:c r="HO5" s="7"/>
      <x:c r="HP5" s="10"/>
      <x:c r="HQ5" s="10"/>
      <x:c r="HR5" s="10" t="s">
        <x:v>397</x:v>
      </x:c>
      <x:c r="HS5" s="10"/>
      <x:c r="HT5" s="10"/>
      <x:c r="HU5" s="10"/>
      <x:c r="HV5" s="10"/>
      <x:c r="HW5" s="10"/>
      <x:c r="HX5" s="11"/>
      <x:c r="HY5" s="12" t="n">
        <x:f>IF(SUMPRODUCT(--(HO5:HX5&lt;&gt;""))&gt;0,1,0)</x:f>
        <x:v>1</x:v>
      </x:c>
      <x:c r="HZ5" s="7" t="s">
        <x:v>397</x:v>
      </x:c>
      <x:c r="IA5" s="10"/>
      <x:c r="IB5" s="10" t="s">
        <x:v>397</x:v>
      </x:c>
      <x:c r="IC5" s="10"/>
      <x:c r="ID5" s="10"/>
      <x:c r="IE5" s="10"/>
      <x:c r="IF5" s="10"/>
      <x:c r="IG5" s="10"/>
      <x:c r="IH5" s="10"/>
      <x:c r="II5" s="10"/>
      <x:c r="IJ5" s="11"/>
      <x:c r="IK5" s="12" t="n">
        <x:f>IF(SUMPRODUCT(--(HZ5:IJ5&lt;&gt;""))&gt;0,1,0)</x:f>
        <x:v>1</x:v>
      </x:c>
      <x:c r="IL5" s="7" t="s">
        <x:v>397</x:v>
      </x:c>
      <x:c r="IM5" s="10"/>
      <x:c r="IN5" s="10"/>
      <x:c r="IO5" s="10"/>
      <x:c r="IP5" s="12" t="n">
        <x:f>IF(COUNTIF(IL5:IO5,"〇")&gt;0,1,0)</x:f>
        <x:v>1</x:v>
      </x:c>
      <x:c r="IQ5" s="7" t="s">
        <x:v>397</x:v>
      </x:c>
      <x:c r="IR5" s="10"/>
      <x:c r="IS5" s="10"/>
      <x:c r="IT5" s="10"/>
      <x:c r="IU5" s="12" t="n">
        <x:f>IF(COUNTIF(IQ5:IT5,"〇")&gt;0,1,0)</x:f>
        <x:v>1</x:v>
      </x:c>
      <x:c r="IV5" s="7" t="s">
        <x:v>397</x:v>
      </x:c>
      <x:c r="IW5" s="10"/>
      <x:c r="IX5" s="10"/>
      <x:c r="IY5" s="10"/>
      <x:c r="IZ5" s="12" t="n">
        <x:f>IF(COUNTIF(IV5:IY5,"〇")&gt;0,1,0)</x:f>
        <x:v>1</x:v>
      </x:c>
      <x:c r="JA5" s="7"/>
      <x:c r="JB5" s="10" t="s">
        <x:v>397</x:v>
      </x:c>
      <x:c r="JC5" s="10"/>
      <x:c r="JD5" s="10"/>
      <x:c r="JE5" s="12" t="n">
        <x:f>IF(COUNTIF(JA5:JD5,"〇")&gt;0,1,0)</x:f>
        <x:v>1</x:v>
      </x:c>
      <x:c r="JF5" s="7" t="s">
        <x:v>397</x:v>
      </x:c>
      <x:c r="JG5" s="10"/>
      <x:c r="JH5" s="10"/>
      <x:c r="JI5" s="10"/>
      <x:c r="JJ5" s="12" t="n">
        <x:f>IF(COUNTIF(JF5:JI5,"〇")&gt;0,1,0)</x:f>
        <x:v>1</x:v>
      </x:c>
      <x:c r="JK5" s="7"/>
      <x:c r="JL5" s="10"/>
      <x:c r="JM5" s="10"/>
      <x:c r="JN5" s="10"/>
      <x:c r="JO5" s="10"/>
      <x:c r="JP5" s="10"/>
      <x:c r="JQ5" s="10"/>
      <x:c r="JR5" s="10"/>
      <x:c r="JS5" s="10" t="s">
        <x:v>397</x:v>
      </x:c>
      <x:c r="JT5" s="10"/>
      <x:c r="JU5" s="10"/>
      <x:c r="JV5" s="11"/>
      <x:c r="JW5" s="12" t="n">
        <x:f>IF(SUMPRODUCT(--(JK5:JV5&lt;&gt;""))&gt;0,1,0)</x:f>
        <x:v>1</x:v>
      </x:c>
      <x:c r="JX5" s="7"/>
      <x:c r="JY5" s="10"/>
      <x:c r="JZ5" s="10"/>
      <x:c r="KA5" s="10"/>
      <x:c r="KB5" s="10"/>
      <x:c r="KC5" s="10"/>
      <x:c r="KD5" s="10"/>
      <x:c r="KE5" s="10"/>
      <x:c r="KF5" s="10"/>
      <x:c r="KG5" s="10" t="s">
        <x:v>397</x:v>
      </x:c>
      <x:c r="KH5" s="10"/>
      <x:c r="KI5" s="11"/>
      <x:c r="KJ5" s="12" t="n">
        <x:f>IF(SUMPRODUCT(--(JX5:KI5&lt;&gt;""))&gt;0,1,0)</x:f>
        <x:v>1</x:v>
      </x:c>
      <x:c r="KK5" s="7" t="s">
        <x:v>397</x:v>
      </x:c>
      <x:c r="KL5" s="10" t="s">
        <x:v>397</x:v>
      </x:c>
      <x:c r="KM5" s="10" t="s">
        <x:v>397</x:v>
      </x:c>
      <x:c r="KN5" s="10" t="s">
        <x:v>397</x:v>
      </x:c>
      <x:c r="KO5" s="10" t="s">
        <x:v>397</x:v>
      </x:c>
      <x:c r="KP5" s="10" t="s">
        <x:v>397</x:v>
      </x:c>
      <x:c r="KQ5" s="10" t="s">
        <x:v>397</x:v>
      </x:c>
      <x:c r="KR5" s="10" t="s">
        <x:v>397</x:v>
      </x:c>
      <x:c r="KS5" s="10" t="s">
        <x:v>397</x:v>
      </x:c>
      <x:c r="KT5" s="10"/>
      <x:c r="KU5" s="12" t="n">
        <x:f>IF(COUNTIF(KK5:KT5,"〇")&gt;0,1,0)</x:f>
        <x:v>1</x:v>
      </x:c>
      <x:c r="KV5" s="7"/>
      <x:c r="KW5" s="10"/>
      <x:c r="KX5" s="10"/>
      <x:c r="KY5" s="10"/>
      <x:c r="KZ5" s="10"/>
      <x:c r="LA5" s="10"/>
      <x:c r="LB5" s="10"/>
      <x:c r="LC5" s="10" t="s">
        <x:v>397</x:v>
      </x:c>
      <x:c r="LD5" s="10"/>
      <x:c r="LE5" s="10"/>
      <x:c r="LF5" s="10"/>
      <x:c r="LG5" s="11"/>
      <x:c r="LH5" s="12" t="n">
        <x:f>IF(SUMPRODUCT(--(KV5:LG5&lt;&gt;""))&gt;0,1,0)</x:f>
        <x:v>1</x:v>
      </x:c>
      <x:c r="LI5" s="7"/>
      <x:c r="LJ5" s="10"/>
      <x:c r="LK5" s="10"/>
      <x:c r="LL5" s="10"/>
      <x:c r="LM5" s="10"/>
      <x:c r="LN5" s="10"/>
      <x:c r="LO5" s="10" t="s">
        <x:v>397</x:v>
      </x:c>
      <x:c r="LP5" s="12" t="n">
        <x:f>IF(COUNTIF(LI5:LO5,"〇")&gt;0,1,0)</x:f>
        <x:v>1</x:v>
      </x:c>
      <x:c r="LQ5" s="7"/>
      <x:c r="LR5" s="10" t="s">
        <x:v>397</x:v>
      </x:c>
      <x:c r="LS5" s="10"/>
      <x:c r="LT5" s="10"/>
      <x:c r="LU5" s="10"/>
      <x:c r="LV5" s="10"/>
      <x:c r="LW5" s="10"/>
      <x:c r="LX5" s="10"/>
      <x:c r="LY5" s="10"/>
      <x:c r="LZ5" s="11"/>
      <x:c r="MA5" s="12" t="n">
        <x:f>IF(SUMPRODUCT(--(LQ5:LZ5&lt;&gt;""))&gt;0,1,0)</x:f>
        <x:v>1</x:v>
      </x:c>
      <x:c r="MB5" s="7" t="s">
        <x:v>397</x:v>
      </x:c>
      <x:c r="MC5" s="10"/>
      <x:c r="MD5" s="10" t="s">
        <x:v>397</x:v>
      </x:c>
      <x:c r="ME5" s="10"/>
      <x:c r="MF5" s="10" t="s">
        <x:v>397</x:v>
      </x:c>
      <x:c r="MG5" s="10" t="s">
        <x:v>397</x:v>
      </x:c>
      <x:c r="MH5" s="10" t="s">
        <x:v>397</x:v>
      </x:c>
      <x:c r="MI5" s="10" t="s">
        <x:v>397</x:v>
      </x:c>
      <x:c r="MJ5" s="10" t="s">
        <x:v>397</x:v>
      </x:c>
      <x:c r="MK5" s="10" t="s">
        <x:v>397</x:v>
      </x:c>
      <x:c r="ML5" s="10"/>
      <x:c r="MM5" s="10"/>
      <x:c r="MN5" s="11"/>
      <x:c r="MO5" s="12" t="n">
        <x:f>IF(SUMPRODUCT(--(MB5:MN5&lt;&gt;""))&gt;0,1,0)</x:f>
        <x:v>1</x:v>
      </x:c>
      <x:c r="MP5" s="7"/>
      <x:c r="MQ5" s="12" t="n">
        <x:f>IF(SUMPRODUCT(--(MP5:MP5&lt;&gt;""))&gt;0,1,0)</x:f>
        <x:v>0</x:v>
      </x:c>
      <x:c r="MR5" s="7"/>
      <x:c r="MS5" s="10"/>
      <x:c r="MT5" s="10"/>
      <x:c r="MU5" s="10" t="s">
        <x:v>397</x:v>
      </x:c>
      <x:c r="MV5" s="10"/>
      <x:c r="MW5" s="12" t="n">
        <x:f>IF(COUNTIF(MR5:MV5,"〇")&gt;0,1,0)</x:f>
        <x:v>1</x:v>
      </x:c>
      <x:c r="MX5" s="7"/>
      <x:c r="MY5" s="10"/>
      <x:c r="MZ5" s="10"/>
      <x:c r="NA5" s="10"/>
      <x:c r="NB5" s="10"/>
      <x:c r="NC5" s="10"/>
      <x:c r="ND5" s="10"/>
      <x:c r="NE5" s="10"/>
      <x:c r="NF5" s="10"/>
      <x:c r="NG5" s="10" t="s">
        <x:v>397</x:v>
      </x:c>
      <x:c r="NH5" s="10"/>
      <x:c r="NI5" s="11"/>
      <x:c r="NJ5" s="12" t="n">
        <x:f>IF(SUMPRODUCT(--(MX5:NI5&lt;&gt;""))&gt;0,1,0)</x:f>
        <x:v>1</x:v>
      </x:c>
      <x:c r="NK5" s="7" t="s">
        <x:v>397</x:v>
      </x:c>
      <x:c r="NL5" s="10"/>
      <x:c r="NM5" s="10"/>
      <x:c r="NN5" s="10"/>
      <x:c r="NO5" s="10"/>
      <x:c r="NP5" s="10"/>
      <x:c r="NQ5" s="10" t="s">
        <x:v>397</x:v>
      </x:c>
      <x:c r="NR5" s="10"/>
      <x:c r="NS5" s="10"/>
      <x:c r="NT5" s="11"/>
      <x:c r="NU5" s="12" t="n">
        <x:f>IF(SUMPRODUCT(--(NK5:NT5&lt;&gt;""))&gt;0,1,0)</x:f>
        <x:v>1</x:v>
      </x:c>
      <x:c r="NV5" s="7"/>
      <x:c r="NW5" s="10"/>
      <x:c r="NX5" s="10"/>
      <x:c r="NY5" s="10"/>
      <x:c r="NZ5" s="10" t="s">
        <x:v>397</x:v>
      </x:c>
      <x:c r="OA5" s="12" t="n">
        <x:f>IF(COUNTIF(NV5:NZ5,"〇")&gt;0,1,0)</x:f>
        <x:v>1</x:v>
      </x:c>
      <x:c r="OB5" s="7" t="s">
        <x:v>397</x:v>
      </x:c>
      <x:c r="OC5" s="10" t="s">
        <x:v>397</x:v>
      </x:c>
      <x:c r="OD5" s="10" t="s">
        <x:v>397</x:v>
      </x:c>
      <x:c r="OE5" s="10"/>
      <x:c r="OF5" s="10"/>
      <x:c r="OG5" s="10"/>
      <x:c r="OH5" s="10" t="s">
        <x:v>397</x:v>
      </x:c>
      <x:c r="OI5" s="10"/>
      <x:c r="OJ5" s="10"/>
      <x:c r="OK5" s="10"/>
      <x:c r="OL5" s="11"/>
      <x:c r="OM5" s="12" t="n">
        <x:f>IF(SUMPRODUCT(--(OB5:OL5&lt;&gt;""))&gt;0,1,0)</x:f>
        <x:v>1</x:v>
      </x:c>
      <x:c r="ON5" s="7"/>
      <x:c r="OO5" s="10"/>
      <x:c r="OP5" s="10" t="s">
        <x:v>397</x:v>
      </x:c>
      <x:c r="OQ5" s="10"/>
      <x:c r="OR5" s="12" t="n">
        <x:f>IF(COUNTIF(ON5:OQ5,"〇")&gt;0,1,0)</x:f>
        <x:v>1</x:v>
      </x:c>
      <x:c r="OS5" s="7" t="s">
        <x:v>397</x:v>
      </x:c>
      <x:c r="OT5" s="10"/>
      <x:c r="OU5" s="10"/>
      <x:c r="OV5" s="10"/>
      <x:c r="OW5" s="10"/>
      <x:c r="OX5" s="10"/>
      <x:c r="OY5" s="10"/>
      <x:c r="OZ5" s="10"/>
      <x:c r="PA5" s="10"/>
      <x:c r="PB5" s="10"/>
      <x:c r="PC5" s="10"/>
      <x:c r="PD5" s="10"/>
      <x:c r="PE5" s="11"/>
      <x:c r="PF5" s="12" t="n">
        <x:f>IF(SUMPRODUCT(--(OS5:PE5&lt;&gt;""))&gt;0,1,0)</x:f>
        <x:v>1</x:v>
      </x:c>
      <x:c r="PG5" s="7"/>
      <x:c r="PH5" s="10" t="s">
        <x:v>397</x:v>
      </x:c>
      <x:c r="PI5" s="10"/>
      <x:c r="PJ5" s="10" t="s">
        <x:v>397</x:v>
      </x:c>
      <x:c r="PK5" s="10" t="s">
        <x:v>397</x:v>
      </x:c>
      <x:c r="PL5" s="10"/>
      <x:c r="PM5" s="10" t="s">
        <x:v>397</x:v>
      </x:c>
      <x:c r="PN5" s="10"/>
      <x:c r="PO5" s="10"/>
      <x:c r="PP5" s="11"/>
      <x:c r="PQ5" s="12" t="n">
        <x:f>IF(SUMPRODUCT(--(PG5:PP5&lt;&gt;""))&gt;0,1,0)</x:f>
        <x:v>1</x:v>
      </x:c>
      <x:c r="PR5" s="7"/>
      <x:c r="PS5" s="10"/>
      <x:c r="PT5" s="10"/>
      <x:c r="PU5" s="10"/>
      <x:c r="PV5" s="10"/>
      <x:c r="PW5" s="10"/>
      <x:c r="PX5" s="10"/>
      <x:c r="PY5" s="10" t="s">
        <x:v>397</x:v>
      </x:c>
      <x:c r="PZ5" s="10"/>
      <x:c r="QA5" s="11"/>
      <x:c r="QB5" s="12" t="n">
        <x:f>IF(SUMPRODUCT(--(PR5:QA5&lt;&gt;""))&gt;0,1,0)</x:f>
        <x:v>1</x:v>
      </x:c>
      <x:c r="QC5" s="7" t="s">
        <x:v>397</x:v>
      </x:c>
      <x:c r="QD5" s="10"/>
      <x:c r="QE5" s="10"/>
      <x:c r="QF5" s="10"/>
      <x:c r="QG5" s="10"/>
      <x:c r="QH5" s="10"/>
      <x:c r="QI5" s="10"/>
      <x:c r="QJ5" s="10"/>
      <x:c r="QK5" s="11"/>
      <x:c r="QL5" s="12" t="n">
        <x:f>IF(SUMPRODUCT(--(QC5:QK5&lt;&gt;""))&gt;0,1,0)</x:f>
        <x:v>1</x:v>
      </x:c>
      <x:c r="QM5" s="7" t="s">
        <x:v>397</x:v>
      </x:c>
      <x:c r="QN5" s="10"/>
      <x:c r="QO5" s="10"/>
      <x:c r="QP5" s="10" t="s">
        <x:v>397</x:v>
      </x:c>
      <x:c r="QQ5" s="10"/>
      <x:c r="QR5" s="10"/>
      <x:c r="QS5" s="10" t="s">
        <x:v>397</x:v>
      </x:c>
      <x:c r="QT5" s="10"/>
      <x:c r="QU5" s="10"/>
      <x:c r="QV5" s="10"/>
      <x:c r="QW5" s="10"/>
      <x:c r="QX5" s="10"/>
      <x:c r="QY5" s="11"/>
      <x:c r="QZ5" s="12" t="n">
        <x:f>IF(SUMPRODUCT(--(QM5:QY5&lt;&gt;""))&gt;0,1,0)</x:f>
        <x:v>1</x:v>
      </x:c>
      <x:c r="RA5" s="7"/>
      <x:c r="RB5" s="12" t="n">
        <x:f>IF(SUMPRODUCT(--(RA5:RA5&lt;&gt;""))&gt;0,1,0)</x:f>
        <x:v>0</x:v>
      </x:c>
    </x:row>
    <x:row r="6" ht="16.5">
      <x:c r="A6" s="13" t="s">
        <x:v>399</x:v>
      </x:c>
      <x:c r="B6" s="14"/>
      <x:c r="C6" s="14"/>
      <x:c r="D6" s="14"/>
      <x:c r="E6" s="14"/>
      <x:c r="F6" s="14"/>
      <x:c r="G6" s="14"/>
      <x:c r="H6" s="14"/>
      <x:c r="I6" s="14"/>
      <x:c r="J6" s="14"/>
      <x:c r="K6" s="15"/>
      <x:c r="L6" s="13"/>
      <x:c r="M6" s="16" t="s">
        <x:v>397</x:v>
      </x:c>
      <x:c r="N6" s="16"/>
      <x:c r="O6" s="16"/>
      <x:c r="P6" s="17"/>
      <x:c r="Q6" s="12" t="n">
        <x:f>IF(SUMPRODUCT(--(L6:P6&lt;&gt;""))&gt;0,1,0)</x:f>
        <x:v>1</x:v>
      </x:c>
      <x:c r="R6" s="13"/>
      <x:c r="S6" s="16"/>
      <x:c r="T6" s="16" t="s">
        <x:v>397</x:v>
      </x:c>
      <x:c r="U6" s="16"/>
      <x:c r="V6" s="16"/>
      <x:c r="W6" s="17"/>
      <x:c r="X6" s="12" t="n">
        <x:f>IF(SUMPRODUCT(--(R6:W6&lt;&gt;""))&gt;0,1,0)</x:f>
        <x:v>1</x:v>
      </x:c>
      <x:c r="Y6" s="13"/>
      <x:c r="Z6" s="16"/>
      <x:c r="AA6" s="16" t="s">
        <x:v>397</x:v>
      </x:c>
      <x:c r="AB6" s="16"/>
      <x:c r="AC6" s="12" t="n">
        <x:f>IF(COUNTIF(Y6:AB6,"〇")&gt;0,1,0)</x:f>
        <x:v>1</x:v>
      </x:c>
      <x:c r="AD6" s="13" t="s">
        <x:v>397</x:v>
      </x:c>
      <x:c r="AE6" s="16"/>
      <x:c r="AF6" s="16"/>
      <x:c r="AG6" s="16"/>
      <x:c r="AH6" s="16"/>
      <x:c r="AI6" s="17"/>
      <x:c r="AJ6" s="12" t="n">
        <x:f>IF(SUMPRODUCT(--(AD6:AI6&lt;&gt;""))&gt;0,1,0)</x:f>
        <x:v>1</x:v>
      </x:c>
      <x:c r="AK6" s="13" t="s">
        <x:v>397</x:v>
      </x:c>
      <x:c r="AL6" s="16"/>
      <x:c r="AM6" s="16"/>
      <x:c r="AN6" s="12" t="n">
        <x:f>IF(COUNTIF(AK6:AM6,"〇")&gt;0,1,0)</x:f>
        <x:v>1</x:v>
      </x:c>
      <x:c r="AO6" s="13"/>
      <x:c r="AP6" s="16"/>
      <x:c r="AQ6" s="16"/>
      <x:c r="AR6" s="16"/>
      <x:c r="AS6" s="16"/>
      <x:c r="AT6" s="16"/>
      <x:c r="AU6" s="17"/>
      <x:c r="AV6" s="12" t="n">
        <x:f>IF(SUMPRODUCT(--(AO6:AU6&lt;&gt;""))&gt;0,1,0)</x:f>
        <x:v>0</x:v>
      </x:c>
      <x:c r="AW6" s="13"/>
      <x:c r="AX6" s="16"/>
      <x:c r="AY6" s="16"/>
      <x:c r="AZ6" s="16" t="s">
        <x:v>397</x:v>
      </x:c>
      <x:c r="BA6" s="16"/>
      <x:c r="BB6" s="16"/>
      <x:c r="BC6" s="16"/>
      <x:c r="BD6" s="16"/>
      <x:c r="BE6" s="17"/>
      <x:c r="BF6" s="12" t="n">
        <x:f>IF(SUMPRODUCT(--(AW6:BE6&lt;&gt;""))&gt;0,1,0)</x:f>
        <x:v>1</x:v>
      </x:c>
      <x:c r="BG6" s="13" t="s">
        <x:v>397</x:v>
      </x:c>
      <x:c r="BH6" s="16"/>
      <x:c r="BI6" s="16"/>
      <x:c r="BJ6" s="12" t="n">
        <x:f>IF(COUNTIF(BG6:BI6,"〇")&gt;0,1,0)</x:f>
        <x:v>1</x:v>
      </x:c>
      <x:c r="BK6" s="13"/>
      <x:c r="BL6" s="16" t="s">
        <x:v>397</x:v>
      </x:c>
      <x:c r="BM6" s="16"/>
      <x:c r="BN6" s="16"/>
      <x:c r="BO6" s="16"/>
      <x:c r="BP6" s="16"/>
      <x:c r="BQ6" s="16"/>
      <x:c r="BR6" s="16"/>
      <x:c r="BS6" s="16"/>
      <x:c r="BT6" s="17"/>
      <x:c r="BU6" s="12" t="n">
        <x:f>IF(SUMPRODUCT(--(BK6:BT6&lt;&gt;""))&gt;0,1,0)</x:f>
        <x:v>1</x:v>
      </x:c>
      <x:c r="BV6" s="13" t="s">
        <x:v>397</x:v>
      </x:c>
      <x:c r="BW6" s="16"/>
      <x:c r="BX6" s="16"/>
      <x:c r="BY6" s="17"/>
      <x:c r="BZ6" s="12" t="n">
        <x:f>IF(SUMPRODUCT(--(BV6:BY6&lt;&gt;""))&gt;0,1,0)</x:f>
        <x:v>1</x:v>
      </x:c>
      <x:c r="CA6" s="13"/>
      <x:c r="CB6" s="16"/>
      <x:c r="CC6" s="16"/>
      <x:c r="CD6" s="16"/>
      <x:c r="CE6" s="16"/>
      <x:c r="CF6" s="16" t="s">
        <x:v>397</x:v>
      </x:c>
      <x:c r="CG6" s="16"/>
      <x:c r="CH6" s="16"/>
      <x:c r="CI6" s="16"/>
      <x:c r="CJ6" s="16"/>
      <x:c r="CK6" s="16"/>
      <x:c r="CL6" s="16" t="s">
        <x:v>397</x:v>
      </x:c>
      <x:c r="CM6" s="16"/>
      <x:c r="CN6" s="16"/>
      <x:c r="CO6" s="17"/>
      <x:c r="CP6" s="12" t="n">
        <x:f>IF(SUMPRODUCT(--(CA6:CO6&lt;&gt;""))&gt;0,1,0)</x:f>
        <x:v>1</x:v>
      </x:c>
      <x:c r="CQ6" s="13" t="s">
        <x:v>400</x:v>
      </x:c>
      <x:c r="CR6" s="12" t="n">
        <x:f>IF(SUMPRODUCT(--(CQ6:CQ6&lt;&gt;""))&gt;0,1,0)</x:f>
        <x:v>1</x:v>
      </x:c>
      <x:c r="CS6" s="13"/>
      <x:c r="CT6" s="16" t="s">
        <x:v>397</x:v>
      </x:c>
      <x:c r="CU6" s="16"/>
      <x:c r="CV6" s="16"/>
      <x:c r="CW6" s="16"/>
      <x:c r="CX6" s="16"/>
      <x:c r="CY6" s="16"/>
      <x:c r="CZ6" s="17"/>
      <x:c r="DA6" s="12" t="n">
        <x:f>IF(SUMPRODUCT(--(CS6:CZ6&lt;&gt;""))&gt;0,1,0)</x:f>
        <x:v>1</x:v>
      </x:c>
      <x:c r="DB6" s="13"/>
      <x:c r="DC6" s="16" t="s">
        <x:v>397</x:v>
      </x:c>
      <x:c r="DD6" s="16"/>
      <x:c r="DE6" s="16"/>
      <x:c r="DF6" s="16"/>
      <x:c r="DG6" s="12" t="n">
        <x:f>IF(COUNTIF(DB6:DF6,"〇")&gt;0,1,0)</x:f>
        <x:v>1</x:v>
      </x:c>
      <x:c r="DH6" s="13" t="s">
        <x:v>397</x:v>
      </x:c>
      <x:c r="DI6" s="16" t="s">
        <x:v>397</x:v>
      </x:c>
      <x:c r="DJ6" s="16" t="s">
        <x:v>397</x:v>
      </x:c>
      <x:c r="DK6" s="16"/>
      <x:c r="DL6" s="16"/>
      <x:c r="DM6" s="16"/>
      <x:c r="DN6" s="16"/>
      <x:c r="DO6" s="16"/>
      <x:c r="DP6" s="17"/>
      <x:c r="DQ6" s="12" t="n">
        <x:f>IF(SUMPRODUCT(--(DH6:DP6&lt;&gt;""))&gt;0,1,0)</x:f>
        <x:v>1</x:v>
      </x:c>
      <x:c r="DR6" s="13" t="s">
        <x:v>397</x:v>
      </x:c>
      <x:c r="DS6" s="16"/>
      <x:c r="DT6" s="16" t="s">
        <x:v>397</x:v>
      </x:c>
      <x:c r="DU6" s="16"/>
      <x:c r="DV6" s="16"/>
      <x:c r="DW6" s="16"/>
      <x:c r="DX6" s="16"/>
      <x:c r="DY6" s="16" t="s">
        <x:v>397</x:v>
      </x:c>
      <x:c r="DZ6" s="16"/>
      <x:c r="EA6" s="16"/>
      <x:c r="EB6" s="17"/>
      <x:c r="EC6" s="12" t="n">
        <x:f>IF(SUMPRODUCT(--(DR6:EB6&lt;&gt;""))&gt;0,1,0)</x:f>
        <x:v>1</x:v>
      </x:c>
      <x:c r="ED6" s="13" t="s">
        <x:v>397</x:v>
      </x:c>
      <x:c r="EE6" s="16"/>
      <x:c r="EF6" s="16"/>
      <x:c r="EG6" s="16"/>
      <x:c r="EH6" s="12" t="n">
        <x:f>IF(COUNTIF(ED6:EG6,"〇")&gt;0,1,0)</x:f>
        <x:v>1</x:v>
      </x:c>
      <x:c r="EI6" s="13" t="s">
        <x:v>397</x:v>
      </x:c>
      <x:c r="EJ6" s="16"/>
      <x:c r="EK6" s="16" t="s">
        <x:v>397</x:v>
      </x:c>
      <x:c r="EL6" s="16"/>
      <x:c r="EM6" s="16"/>
      <x:c r="EN6" s="16"/>
      <x:c r="EO6" s="16"/>
      <x:c r="EP6" s="16"/>
      <x:c r="EQ6" s="17"/>
      <x:c r="ER6" s="12" t="n">
        <x:f>IF(SUMPRODUCT(--(EI6:EQ6&lt;&gt;""))&gt;0,1,0)</x:f>
        <x:v>1</x:v>
      </x:c>
      <x:c r="ES6" s="13" t="s">
        <x:v>397</x:v>
      </x:c>
      <x:c r="ET6" s="16"/>
      <x:c r="EU6" s="16"/>
      <x:c r="EV6" s="16"/>
      <x:c r="EW6" s="16"/>
      <x:c r="EX6" s="16"/>
      <x:c r="EY6" s="16"/>
      <x:c r="EZ6" s="16"/>
      <x:c r="FA6" s="16"/>
      <x:c r="FB6" s="16"/>
      <x:c r="FC6" s="16"/>
      <x:c r="FD6" s="16"/>
      <x:c r="FE6" s="16"/>
      <x:c r="FF6" s="16"/>
      <x:c r="FG6" s="17"/>
      <x:c r="FH6" s="12" t="n">
        <x:f>IF(SUMPRODUCT(--(ES6:FG6&lt;&gt;""))&gt;0,1,0)</x:f>
        <x:v>1</x:v>
      </x:c>
      <x:c r="FI6" s="13"/>
      <x:c r="FJ6" s="16"/>
      <x:c r="FK6" s="16"/>
      <x:c r="FL6" s="16" t="s">
        <x:v>397</x:v>
      </x:c>
      <x:c r="FM6" s="16"/>
      <x:c r="FN6" s="16" t="s">
        <x:v>397</x:v>
      </x:c>
      <x:c r="FO6" s="16"/>
      <x:c r="FP6" s="16"/>
      <x:c r="FQ6" s="17"/>
      <x:c r="FR6" s="12" t="n">
        <x:f>IF(SUMPRODUCT(--(FI6:FQ6&lt;&gt;""))&gt;0,1,0)</x:f>
        <x:v>1</x:v>
      </x:c>
      <x:c r="FS6" s="13" t="s">
        <x:v>397</x:v>
      </x:c>
      <x:c r="FT6" s="16"/>
      <x:c r="FU6" s="16"/>
      <x:c r="FV6" s="16" t="s">
        <x:v>397</x:v>
      </x:c>
      <x:c r="FW6" s="16"/>
      <x:c r="FX6" s="16" t="s">
        <x:v>397</x:v>
      </x:c>
      <x:c r="FY6" s="16"/>
      <x:c r="FZ6" s="16"/>
      <x:c r="GA6" s="16"/>
      <x:c r="GB6" s="16"/>
      <x:c r="GC6" s="16"/>
      <x:c r="GD6" s="16"/>
      <x:c r="GE6" s="17"/>
      <x:c r="GF6" s="12" t="n">
        <x:f>IF(SUMPRODUCT(--(FS6:GE6&lt;&gt;""))&gt;0,1,0)</x:f>
        <x:v>1</x:v>
      </x:c>
      <x:c r="GG6" s="13"/>
      <x:c r="GH6" s="16"/>
      <x:c r="GI6" s="16"/>
      <x:c r="GJ6" s="16" t="s">
        <x:v>397</x:v>
      </x:c>
      <x:c r="GK6" s="16"/>
      <x:c r="GL6" s="16"/>
      <x:c r="GM6" s="16"/>
      <x:c r="GN6" s="16"/>
      <x:c r="GO6" s="16"/>
      <x:c r="GP6" s="17"/>
      <x:c r="GQ6" s="12" t="n">
        <x:f>IF(SUMPRODUCT(--(GG6:GP6&lt;&gt;""))&gt;0,1,0)</x:f>
        <x:v>1</x:v>
      </x:c>
      <x:c r="GR6" s="13"/>
      <x:c r="GS6" s="16"/>
      <x:c r="GT6" s="16"/>
      <x:c r="GU6" s="16"/>
      <x:c r="GV6" s="16" t="s">
        <x:v>397</x:v>
      </x:c>
      <x:c r="GW6" s="16"/>
      <x:c r="GX6" s="16"/>
      <x:c r="GY6" s="16"/>
      <x:c r="GZ6" s="16"/>
      <x:c r="HA6" s="16"/>
      <x:c r="HB6" s="17"/>
      <x:c r="HC6" s="12" t="n">
        <x:f>IF(SUMPRODUCT(--(GR6:HB6&lt;&gt;""))&gt;0,1,0)</x:f>
        <x:v>1</x:v>
      </x:c>
      <x:c r="HD6" s="13"/>
      <x:c r="HE6" s="16" t="s">
        <x:v>397</x:v>
      </x:c>
      <x:c r="HF6" s="16"/>
      <x:c r="HG6" s="16"/>
      <x:c r="HH6" s="16" t="s">
        <x:v>397</x:v>
      </x:c>
      <x:c r="HI6" s="16"/>
      <x:c r="HJ6" s="16"/>
      <x:c r="HK6" s="16"/>
      <x:c r="HL6" s="16"/>
      <x:c r="HM6" s="17"/>
      <x:c r="HN6" s="12" t="n">
        <x:f>IF(SUMPRODUCT(--(HD6:HM6&lt;&gt;""))&gt;0,1,0)</x:f>
        <x:v>1</x:v>
      </x:c>
      <x:c r="HO6" s="13"/>
      <x:c r="HP6" s="16"/>
      <x:c r="HQ6" s="16" t="s">
        <x:v>397</x:v>
      </x:c>
      <x:c r="HR6" s="16"/>
      <x:c r="HS6" s="16"/>
      <x:c r="HT6" s="16"/>
      <x:c r="HU6" s="16"/>
      <x:c r="HV6" s="16"/>
      <x:c r="HW6" s="16"/>
      <x:c r="HX6" s="17"/>
      <x:c r="HY6" s="12" t="n">
        <x:f>IF(SUMPRODUCT(--(HO6:HX6&lt;&gt;""))&gt;0,1,0)</x:f>
        <x:v>1</x:v>
      </x:c>
      <x:c r="HZ6" s="13" t="s">
        <x:v>397</x:v>
      </x:c>
      <x:c r="IA6" s="16"/>
      <x:c r="IB6" s="16" t="s">
        <x:v>397</x:v>
      </x:c>
      <x:c r="IC6" s="16"/>
      <x:c r="ID6" s="16"/>
      <x:c r="IE6" s="16"/>
      <x:c r="IF6" s="16"/>
      <x:c r="IG6" s="16"/>
      <x:c r="IH6" s="16"/>
      <x:c r="II6" s="16"/>
      <x:c r="IJ6" s="17"/>
      <x:c r="IK6" s="12" t="n">
        <x:f>IF(SUMPRODUCT(--(HZ6:IJ6&lt;&gt;""))&gt;0,1,0)</x:f>
        <x:v>1</x:v>
      </x:c>
      <x:c r="IL6" s="13" t="s">
        <x:v>397</x:v>
      </x:c>
      <x:c r="IM6" s="16"/>
      <x:c r="IN6" s="16"/>
      <x:c r="IO6" s="16"/>
      <x:c r="IP6" s="12" t="n">
        <x:f>IF(COUNTIF(IL6:IO6,"〇")&gt;0,1,0)</x:f>
        <x:v>1</x:v>
      </x:c>
      <x:c r="IQ6" s="13"/>
      <x:c r="IR6" s="16" t="s">
        <x:v>397</x:v>
      </x:c>
      <x:c r="IS6" s="16"/>
      <x:c r="IT6" s="16"/>
      <x:c r="IU6" s="12" t="n">
        <x:f>IF(COUNTIF(IQ6:IT6,"〇")&gt;0,1,0)</x:f>
        <x:v>1</x:v>
      </x:c>
      <x:c r="IV6" s="13"/>
      <x:c r="IW6" s="16" t="s">
        <x:v>397</x:v>
      </x:c>
      <x:c r="IX6" s="16"/>
      <x:c r="IY6" s="16"/>
      <x:c r="IZ6" s="12" t="n">
        <x:f>IF(COUNTIF(IV6:IY6,"〇")&gt;0,1,0)</x:f>
        <x:v>1</x:v>
      </x:c>
      <x:c r="JA6" s="13"/>
      <x:c r="JB6" s="16"/>
      <x:c r="JC6" s="16" t="s">
        <x:v>397</x:v>
      </x:c>
      <x:c r="JD6" s="16"/>
      <x:c r="JE6" s="12" t="n">
        <x:f>IF(COUNTIF(JA6:JD6,"〇")&gt;0,1,0)</x:f>
        <x:v>1</x:v>
      </x:c>
      <x:c r="JF6" s="13" t="s">
        <x:v>397</x:v>
      </x:c>
      <x:c r="JG6" s="16"/>
      <x:c r="JH6" s="16"/>
      <x:c r="JI6" s="16"/>
      <x:c r="JJ6" s="12" t="n">
        <x:f>IF(COUNTIF(JF6:JI6,"〇")&gt;0,1,0)</x:f>
        <x:v>1</x:v>
      </x:c>
      <x:c r="JK6" s="13"/>
      <x:c r="JL6" s="16"/>
      <x:c r="JM6" s="16"/>
      <x:c r="JN6" s="16"/>
      <x:c r="JO6" s="16"/>
      <x:c r="JP6" s="16"/>
      <x:c r="JQ6" s="16"/>
      <x:c r="JR6" s="16"/>
      <x:c r="JS6" s="16"/>
      <x:c r="JT6" s="16" t="s">
        <x:v>397</x:v>
      </x:c>
      <x:c r="JU6" s="16"/>
      <x:c r="JV6" s="17"/>
      <x:c r="JW6" s="12" t="n">
        <x:f>IF(SUMPRODUCT(--(JK6:JV6&lt;&gt;""))&gt;0,1,0)</x:f>
        <x:v>1</x:v>
      </x:c>
      <x:c r="JX6" s="13"/>
      <x:c r="JY6" s="16" t="s">
        <x:v>397</x:v>
      </x:c>
      <x:c r="JZ6" s="16"/>
      <x:c r="KA6" s="16"/>
      <x:c r="KB6" s="16"/>
      <x:c r="KC6" s="16"/>
      <x:c r="KD6" s="16"/>
      <x:c r="KE6" s="16"/>
      <x:c r="KF6" s="16"/>
      <x:c r="KG6" s="16"/>
      <x:c r="KH6" s="16"/>
      <x:c r="KI6" s="17"/>
      <x:c r="KJ6" s="12" t="n">
        <x:f>IF(SUMPRODUCT(--(JX6:KI6&lt;&gt;""))&gt;0,1,0)</x:f>
        <x:v>1</x:v>
      </x:c>
      <x:c r="KK6" s="13"/>
      <x:c r="KL6" s="16"/>
      <x:c r="KM6" s="16"/>
      <x:c r="KN6" s="16" t="s">
        <x:v>397</x:v>
      </x:c>
      <x:c r="KO6" s="16"/>
      <x:c r="KP6" s="16"/>
      <x:c r="KQ6" s="16"/>
      <x:c r="KR6" s="16" t="s">
        <x:v>397</x:v>
      </x:c>
      <x:c r="KS6" s="16" t="s">
        <x:v>397</x:v>
      </x:c>
      <x:c r="KT6" s="16"/>
      <x:c r="KU6" s="12" t="n">
        <x:f>IF(COUNTIF(KK6:KT6,"〇")&gt;0,1,0)</x:f>
        <x:v>1</x:v>
      </x:c>
      <x:c r="KV6" s="13"/>
      <x:c r="KW6" s="16"/>
      <x:c r="KX6" s="16"/>
      <x:c r="KY6" s="16"/>
      <x:c r="KZ6" s="16" t="s">
        <x:v>397</x:v>
      </x:c>
      <x:c r="LA6" s="16"/>
      <x:c r="LB6" s="16"/>
      <x:c r="LC6" s="16" t="s">
        <x:v>397</x:v>
      </x:c>
      <x:c r="LD6" s="16"/>
      <x:c r="LE6" s="16"/>
      <x:c r="LF6" s="16"/>
      <x:c r="LG6" s="17"/>
      <x:c r="LH6" s="12" t="n">
        <x:f>IF(SUMPRODUCT(--(KV6:LG6&lt;&gt;""))&gt;0,1,0)</x:f>
        <x:v>1</x:v>
      </x:c>
      <x:c r="LI6" s="13"/>
      <x:c r="LJ6" s="16"/>
      <x:c r="LK6" s="16" t="s">
        <x:v>397</x:v>
      </x:c>
      <x:c r="LL6" s="16"/>
      <x:c r="LM6" s="16"/>
      <x:c r="LN6" s="16"/>
      <x:c r="LO6" s="16"/>
      <x:c r="LP6" s="12" t="n">
        <x:f>IF(COUNTIF(LI6:LO6,"〇")&gt;0,1,0)</x:f>
        <x:v>1</x:v>
      </x:c>
      <x:c r="LQ6" s="13" t="s">
        <x:v>397</x:v>
      </x:c>
      <x:c r="LR6" s="16"/>
      <x:c r="LS6" s="16"/>
      <x:c r="LT6" s="16"/>
      <x:c r="LU6" s="16"/>
      <x:c r="LV6" s="16"/>
      <x:c r="LW6" s="16"/>
      <x:c r="LX6" s="16"/>
      <x:c r="LY6" s="16"/>
      <x:c r="LZ6" s="17"/>
      <x:c r="MA6" s="12" t="n">
        <x:f>IF(SUMPRODUCT(--(LQ6:LZ6&lt;&gt;""))&gt;0,1,0)</x:f>
        <x:v>1</x:v>
      </x:c>
      <x:c r="MB6" s="13" t="s">
        <x:v>397</x:v>
      </x:c>
      <x:c r="MC6" s="16"/>
      <x:c r="MD6" s="16" t="s">
        <x:v>397</x:v>
      </x:c>
      <x:c r="ME6" s="16"/>
      <x:c r="MF6" s="16" t="s">
        <x:v>397</x:v>
      </x:c>
      <x:c r="MG6" s="16" t="s">
        <x:v>397</x:v>
      </x:c>
      <x:c r="MH6" s="16" t="s">
        <x:v>397</x:v>
      </x:c>
      <x:c r="MI6" s="16" t="s">
        <x:v>397</x:v>
      </x:c>
      <x:c r="MJ6" s="16" t="s">
        <x:v>397</x:v>
      </x:c>
      <x:c r="MK6" s="16" t="s">
        <x:v>397</x:v>
      </x:c>
      <x:c r="ML6" s="16"/>
      <x:c r="MM6" s="16"/>
      <x:c r="MN6" s="17"/>
      <x:c r="MO6" s="12" t="n">
        <x:f>IF(SUMPRODUCT(--(MB6:MN6&lt;&gt;""))&gt;0,1,0)</x:f>
        <x:v>1</x:v>
      </x:c>
      <x:c r="MP6" s="13" t="s">
        <x:v>396</x:v>
      </x:c>
      <x:c r="MQ6" s="12" t="n">
        <x:f>IF(SUMPRODUCT(--(MP6:MP6&lt;&gt;""))&gt;0,1,0)</x:f>
        <x:v>1</x:v>
      </x:c>
      <x:c r="MR6" s="13" t="s">
        <x:v>397</x:v>
      </x:c>
      <x:c r="MS6" s="16"/>
      <x:c r="MT6" s="16"/>
      <x:c r="MU6" s="16"/>
      <x:c r="MV6" s="16"/>
      <x:c r="MW6" s="12" t="n">
        <x:f>IF(COUNTIF(MR6:MV6,"〇")&gt;0,1,0)</x:f>
        <x:v>1</x:v>
      </x:c>
      <x:c r="MX6" s="13" t="s">
        <x:v>397</x:v>
      </x:c>
      <x:c r="MY6" s="16"/>
      <x:c r="MZ6" s="16"/>
      <x:c r="NA6" s="16"/>
      <x:c r="NB6" s="16"/>
      <x:c r="NC6" s="16"/>
      <x:c r="ND6" s="16" t="s">
        <x:v>397</x:v>
      </x:c>
      <x:c r="NE6" s="16" t="s">
        <x:v>397</x:v>
      </x:c>
      <x:c r="NF6" s="16"/>
      <x:c r="NG6" s="16"/>
      <x:c r="NH6" s="16"/>
      <x:c r="NI6" s="17"/>
      <x:c r="NJ6" s="12" t="n">
        <x:f>IF(SUMPRODUCT(--(MX6:NI6&lt;&gt;""))&gt;0,1,0)</x:f>
        <x:v>1</x:v>
      </x:c>
      <x:c r="NK6" s="13" t="s">
        <x:v>397</x:v>
      </x:c>
      <x:c r="NL6" s="16"/>
      <x:c r="NM6" s="16"/>
      <x:c r="NN6" s="16"/>
      <x:c r="NO6" s="16" t="s">
        <x:v>397</x:v>
      </x:c>
      <x:c r="NP6" s="16" t="s">
        <x:v>397</x:v>
      </x:c>
      <x:c r="NQ6" s="16" t="s">
        <x:v>397</x:v>
      </x:c>
      <x:c r="NR6" s="16"/>
      <x:c r="NS6" s="16"/>
      <x:c r="NT6" s="17"/>
      <x:c r="NU6" s="12" t="n">
        <x:f>IF(SUMPRODUCT(--(NK6:NT6&lt;&gt;""))&gt;0,1,0)</x:f>
        <x:v>1</x:v>
      </x:c>
      <x:c r="NV6" s="13"/>
      <x:c r="NW6" s="16"/>
      <x:c r="NX6" s="16"/>
      <x:c r="NY6" s="16"/>
      <x:c r="NZ6" s="16" t="s">
        <x:v>397</x:v>
      </x:c>
      <x:c r="OA6" s="12" t="n">
        <x:f>IF(COUNTIF(NV6:NZ6,"〇")&gt;0,1,0)</x:f>
        <x:v>1</x:v>
      </x:c>
      <x:c r="OB6" s="13"/>
      <x:c r="OC6" s="16"/>
      <x:c r="OD6" s="16"/>
      <x:c r="OE6" s="16"/>
      <x:c r="OF6" s="16"/>
      <x:c r="OG6" s="16" t="s">
        <x:v>397</x:v>
      </x:c>
      <x:c r="OH6" s="16"/>
      <x:c r="OI6" s="16"/>
      <x:c r="OJ6" s="16"/>
      <x:c r="OK6" s="16"/>
      <x:c r="OL6" s="17"/>
      <x:c r="OM6" s="12" t="n">
        <x:f>IF(SUMPRODUCT(--(OB6:OL6&lt;&gt;""))&gt;0,1,0)</x:f>
        <x:v>1</x:v>
      </x:c>
      <x:c r="ON6" s="13"/>
      <x:c r="OO6" s="16"/>
      <x:c r="OP6" s="16" t="s">
        <x:v>397</x:v>
      </x:c>
      <x:c r="OQ6" s="16"/>
      <x:c r="OR6" s="12" t="n">
        <x:f>IF(COUNTIF(ON6:OQ6,"〇")&gt;0,1,0)</x:f>
        <x:v>1</x:v>
      </x:c>
      <x:c r="OS6" s="13" t="s">
        <x:v>397</x:v>
      </x:c>
      <x:c r="OT6" s="16"/>
      <x:c r="OU6" s="16"/>
      <x:c r="OV6" s="16"/>
      <x:c r="OW6" s="16"/>
      <x:c r="OX6" s="16"/>
      <x:c r="OY6" s="16"/>
      <x:c r="OZ6" s="16"/>
      <x:c r="PA6" s="16"/>
      <x:c r="PB6" s="16"/>
      <x:c r="PC6" s="16"/>
      <x:c r="PD6" s="16"/>
      <x:c r="PE6" s="17"/>
      <x:c r="PF6" s="12" t="n">
        <x:f>IF(SUMPRODUCT(--(OS6:PE6&lt;&gt;""))&gt;0,1,0)</x:f>
        <x:v>1</x:v>
      </x:c>
      <x:c r="PG6" s="13"/>
      <x:c r="PH6" s="16"/>
      <x:c r="PI6" s="16"/>
      <x:c r="PJ6" s="16"/>
      <x:c r="PK6" s="16"/>
      <x:c r="PL6" s="16" t="s">
        <x:v>397</x:v>
      </x:c>
      <x:c r="PM6" s="16"/>
      <x:c r="PN6" s="16"/>
      <x:c r="PO6" s="16"/>
      <x:c r="PP6" s="17"/>
      <x:c r="PQ6" s="12" t="n">
        <x:f>IF(SUMPRODUCT(--(PG6:PP6&lt;&gt;""))&gt;0,1,0)</x:f>
        <x:v>1</x:v>
      </x:c>
      <x:c r="PR6" s="13" t="s">
        <x:v>397</x:v>
      </x:c>
      <x:c r="PS6" s="16"/>
      <x:c r="PT6" s="16"/>
      <x:c r="PU6" s="16"/>
      <x:c r="PV6" s="16"/>
      <x:c r="PW6" s="16"/>
      <x:c r="PX6" s="16"/>
      <x:c r="PY6" s="16"/>
      <x:c r="PZ6" s="16"/>
      <x:c r="QA6" s="17"/>
      <x:c r="QB6" s="12" t="n">
        <x:f>IF(SUMPRODUCT(--(PR6:QA6&lt;&gt;""))&gt;0,1,0)</x:f>
        <x:v>1</x:v>
      </x:c>
      <x:c r="QC6" s="13" t="s">
        <x:v>397</x:v>
      </x:c>
      <x:c r="QD6" s="16" t="s">
        <x:v>397</x:v>
      </x:c>
      <x:c r="QE6" s="16"/>
      <x:c r="QF6" s="16"/>
      <x:c r="QG6" s="16"/>
      <x:c r="QH6" s="16"/>
      <x:c r="QI6" s="16"/>
      <x:c r="QJ6" s="16"/>
      <x:c r="QK6" s="17"/>
      <x:c r="QL6" s="12" t="n">
        <x:f>IF(SUMPRODUCT(--(QC6:QK6&lt;&gt;""))&gt;0,1,0)</x:f>
        <x:v>1</x:v>
      </x:c>
      <x:c r="QM6" s="13"/>
      <x:c r="QN6" s="16"/>
      <x:c r="QO6" s="16" t="s">
        <x:v>397</x:v>
      </x:c>
      <x:c r="QP6" s="16" t="s">
        <x:v>397</x:v>
      </x:c>
      <x:c r="QQ6" s="16"/>
      <x:c r="QR6" s="16"/>
      <x:c r="QS6" s="16"/>
      <x:c r="QT6" s="16" t="s">
        <x:v>397</x:v>
      </x:c>
      <x:c r="QU6" s="16"/>
      <x:c r="QV6" s="16"/>
      <x:c r="QW6" s="16"/>
      <x:c r="QX6" s="16"/>
      <x:c r="QY6" s="17"/>
      <x:c r="QZ6" s="12" t="n">
        <x:f>IF(SUMPRODUCT(--(QM6:QY6&lt;&gt;""))&gt;0,1,0)</x:f>
        <x:v>1</x:v>
      </x:c>
      <x:c r="RA6" s="13"/>
      <x:c r="RB6" s="12" t="n">
        <x:f>IF(SUMPRODUCT(--(RA6:RA6&lt;&gt;""))&gt;0,1,0)</x:f>
        <x:v>0</x:v>
      </x:c>
    </x:row>
    <x:row r="7" ht="16.5">
      <x:c r="A7" s="7" t="s">
        <x:v>401</x:v>
      </x:c>
      <x:c r="B7" s="8"/>
      <x:c r="C7" s="8"/>
      <x:c r="D7" s="8"/>
      <x:c r="E7" s="8"/>
      <x:c r="F7" s="8"/>
      <x:c r="G7" s="8"/>
      <x:c r="H7" s="8"/>
      <x:c r="I7" s="8"/>
      <x:c r="J7" s="8"/>
      <x:c r="K7" s="9"/>
      <x:c r="L7" s="7"/>
      <x:c r="M7" s="10" t="s">
        <x:v>397</x:v>
      </x:c>
      <x:c r="N7" s="10"/>
      <x:c r="O7" s="10"/>
      <x:c r="P7" s="11"/>
      <x:c r="Q7" s="12" t="n">
        <x:f>IF(SUMPRODUCT(--(L7:P7&lt;&gt;""))&gt;0,1,0)</x:f>
        <x:v>1</x:v>
      </x:c>
      <x:c r="R7" s="7"/>
      <x:c r="S7" s="10"/>
      <x:c r="T7" s="10"/>
      <x:c r="U7" s="10" t="s">
        <x:v>397</x:v>
      </x:c>
      <x:c r="V7" s="10"/>
      <x:c r="W7" s="11"/>
      <x:c r="X7" s="12" t="n">
        <x:f>IF(SUMPRODUCT(--(R7:W7&lt;&gt;""))&gt;0,1,0)</x:f>
        <x:v>1</x:v>
      </x:c>
      <x:c r="Y7" s="7"/>
      <x:c r="Z7" s="10" t="s">
        <x:v>397</x:v>
      </x:c>
      <x:c r="AA7" s="10"/>
      <x:c r="AB7" s="10"/>
      <x:c r="AC7" s="12" t="n">
        <x:f>IF(COUNTIF(Y7:AB7,"〇")&gt;0,1,0)</x:f>
        <x:v>1</x:v>
      </x:c>
      <x:c r="AD7" s="7"/>
      <x:c r="AE7" s="10"/>
      <x:c r="AF7" s="10"/>
      <x:c r="AG7" s="10" t="s">
        <x:v>397</x:v>
      </x:c>
      <x:c r="AH7" s="10"/>
      <x:c r="AI7" s="11"/>
      <x:c r="AJ7" s="12" t="n">
        <x:f>IF(SUMPRODUCT(--(AD7:AI7&lt;&gt;""))&gt;0,1,0)</x:f>
        <x:v>1</x:v>
      </x:c>
      <x:c r="AK7" s="7"/>
      <x:c r="AL7" s="10" t="s">
        <x:v>397</x:v>
      </x:c>
      <x:c r="AM7" s="10"/>
      <x:c r="AN7" s="12" t="n">
        <x:f>IF(COUNTIF(AK7:AM7,"〇")&gt;0,1,0)</x:f>
        <x:v>1</x:v>
      </x:c>
      <x:c r="AO7" s="7" t="s">
        <x:v>397</x:v>
      </x:c>
      <x:c r="AP7" s="10" t="s">
        <x:v>397</x:v>
      </x:c>
      <x:c r="AQ7" s="10"/>
      <x:c r="AR7" s="10"/>
      <x:c r="AS7" s="10"/>
      <x:c r="AT7" s="10"/>
      <x:c r="AU7" s="11"/>
      <x:c r="AV7" s="12" t="n">
        <x:f>IF(SUMPRODUCT(--(AO7:AU7&lt;&gt;""))&gt;0,1,0)</x:f>
        <x:v>1</x:v>
      </x:c>
      <x:c r="AW7" s="7"/>
      <x:c r="AX7" s="10" t="s">
        <x:v>397</x:v>
      </x:c>
      <x:c r="AY7" s="10"/>
      <x:c r="AZ7" s="10"/>
      <x:c r="BA7" s="10"/>
      <x:c r="BB7" s="10"/>
      <x:c r="BC7" s="10"/>
      <x:c r="BD7" s="10"/>
      <x:c r="BE7" s="11"/>
      <x:c r="BF7" s="12" t="n">
        <x:f>IF(SUMPRODUCT(--(AW7:BE7&lt;&gt;""))&gt;0,1,0)</x:f>
        <x:v>1</x:v>
      </x:c>
      <x:c r="BG7" s="7" t="s">
        <x:v>397</x:v>
      </x:c>
      <x:c r="BH7" s="10"/>
      <x:c r="BI7" s="10"/>
      <x:c r="BJ7" s="12" t="n">
        <x:f>IF(COUNTIF(BG7:BI7,"〇")&gt;0,1,0)</x:f>
        <x:v>1</x:v>
      </x:c>
      <x:c r="BK7" s="7"/>
      <x:c r="BL7" s="10" t="s">
        <x:v>397</x:v>
      </x:c>
      <x:c r="BM7" s="10"/>
      <x:c r="BN7" s="10"/>
      <x:c r="BO7" s="10"/>
      <x:c r="BP7" s="10"/>
      <x:c r="BQ7" s="10"/>
      <x:c r="BR7" s="10"/>
      <x:c r="BS7" s="10"/>
      <x:c r="BT7" s="11"/>
      <x:c r="BU7" s="12" t="n">
        <x:f>IF(SUMPRODUCT(--(BK7:BT7&lt;&gt;""))&gt;0,1,0)</x:f>
        <x:v>1</x:v>
      </x:c>
      <x:c r="BV7" s="7" t="s">
        <x:v>397</x:v>
      </x:c>
      <x:c r="BW7" s="10"/>
      <x:c r="BX7" s="10"/>
      <x:c r="BY7" s="11"/>
      <x:c r="BZ7" s="12" t="n">
        <x:f>IF(SUMPRODUCT(--(BV7:BY7&lt;&gt;""))&gt;0,1,0)</x:f>
        <x:v>1</x:v>
      </x:c>
      <x:c r="CA7" s="7" t="s">
        <x:v>397</x:v>
      </x:c>
      <x:c r="CB7" s="10" t="s">
        <x:v>397</x:v>
      </x:c>
      <x:c r="CC7" s="10" t="s">
        <x:v>397</x:v>
      </x:c>
      <x:c r="CD7" s="10" t="s">
        <x:v>397</x:v>
      </x:c>
      <x:c r="CE7" s="10" t="s">
        <x:v>397</x:v>
      </x:c>
      <x:c r="CF7" s="10"/>
      <x:c r="CG7" s="10" t="s">
        <x:v>397</x:v>
      </x:c>
      <x:c r="CH7" s="10" t="s">
        <x:v>397</x:v>
      </x:c>
      <x:c r="CI7" s="10" t="s">
        <x:v>397</x:v>
      </x:c>
      <x:c r="CJ7" s="10" t="s">
        <x:v>397</x:v>
      </x:c>
      <x:c r="CK7" s="10"/>
      <x:c r="CL7" s="10" t="s">
        <x:v>397</x:v>
      </x:c>
      <x:c r="CM7" s="10"/>
      <x:c r="CN7" s="10" t="s">
        <x:v>397</x:v>
      </x:c>
      <x:c r="CO7" s="11" t="s">
        <x:v>402</x:v>
      </x:c>
      <x:c r="CP7" s="12" t="n">
        <x:f>IF(SUMPRODUCT(--(CA7:CO7&lt;&gt;""))&gt;0,1,0)</x:f>
        <x:v>1</x:v>
      </x:c>
      <x:c r="CQ7" s="7" t="s">
        <x:v>403</x:v>
      </x:c>
      <x:c r="CR7" s="12" t="n">
        <x:f>IF(SUMPRODUCT(--(CQ7:CQ7&lt;&gt;""))&gt;0,1,0)</x:f>
        <x:v>1</x:v>
      </x:c>
      <x:c r="CS7" s="7"/>
      <x:c r="CT7" s="10"/>
      <x:c r="CU7" s="10"/>
      <x:c r="CV7" s="10"/>
      <x:c r="CW7" s="10"/>
      <x:c r="CX7" s="10" t="s">
        <x:v>397</x:v>
      </x:c>
      <x:c r="CY7" s="10"/>
      <x:c r="CZ7" s="11"/>
      <x:c r="DA7" s="12" t="n">
        <x:f>IF(SUMPRODUCT(--(CS7:CZ7&lt;&gt;""))&gt;0,1,0)</x:f>
        <x:v>1</x:v>
      </x:c>
      <x:c r="DB7" s="7"/>
      <x:c r="DC7" s="10"/>
      <x:c r="DD7" s="10" t="s">
        <x:v>397</x:v>
      </x:c>
      <x:c r="DE7" s="10"/>
      <x:c r="DF7" s="10"/>
      <x:c r="DG7" s="12" t="n">
        <x:f>IF(COUNTIF(DB7:DF7,"〇")&gt;0,1,0)</x:f>
        <x:v>1</x:v>
      </x:c>
      <x:c r="DH7" s="7" t="s">
        <x:v>397</x:v>
      </x:c>
      <x:c r="DI7" s="10"/>
      <x:c r="DJ7" s="10"/>
      <x:c r="DK7" s="10"/>
      <x:c r="DL7" s="10"/>
      <x:c r="DM7" s="10"/>
      <x:c r="DN7" s="10"/>
      <x:c r="DO7" s="10"/>
      <x:c r="DP7" s="11"/>
      <x:c r="DQ7" s="12" t="n">
        <x:f>IF(SUMPRODUCT(--(DH7:DP7&lt;&gt;""))&gt;0,1,0)</x:f>
        <x:v>1</x:v>
      </x:c>
      <x:c r="DR7" s="7"/>
      <x:c r="DS7" s="10" t="s">
        <x:v>397</x:v>
      </x:c>
      <x:c r="DT7" s="10"/>
      <x:c r="DU7" s="10"/>
      <x:c r="DV7" s="10"/>
      <x:c r="DW7" s="10"/>
      <x:c r="DX7" s="10"/>
      <x:c r="DY7" s="10"/>
      <x:c r="DZ7" s="10"/>
      <x:c r="EA7" s="10" t="s">
        <x:v>397</x:v>
      </x:c>
      <x:c r="EB7" s="11" t="s">
        <x:v>404</x:v>
      </x:c>
      <x:c r="EC7" s="12" t="n">
        <x:f>IF(SUMPRODUCT(--(DR7:EB7&lt;&gt;""))&gt;0,1,0)</x:f>
        <x:v>1</x:v>
      </x:c>
      <x:c r="ED7" s="7" t="s">
        <x:v>397</x:v>
      </x:c>
      <x:c r="EE7" s="10"/>
      <x:c r="EF7" s="10"/>
      <x:c r="EG7" s="10"/>
      <x:c r="EH7" s="12" t="n">
        <x:f>IF(COUNTIF(ED7:EG7,"〇")&gt;0,1,0)</x:f>
        <x:v>1</x:v>
      </x:c>
      <x:c r="EI7" s="7" t="s">
        <x:v>397</x:v>
      </x:c>
      <x:c r="EJ7" s="10"/>
      <x:c r="EK7" s="10" t="s">
        <x:v>397</x:v>
      </x:c>
      <x:c r="EL7" s="10" t="s">
        <x:v>397</x:v>
      </x:c>
      <x:c r="EM7" s="10"/>
      <x:c r="EN7" s="10" t="s">
        <x:v>397</x:v>
      </x:c>
      <x:c r="EO7" s="10"/>
      <x:c r="EP7" s="10" t="s">
        <x:v>397</x:v>
      </x:c>
      <x:c r="EQ7" s="11" t="s">
        <x:v>405</x:v>
      </x:c>
      <x:c r="ER7" s="12" t="n">
        <x:f>IF(SUMPRODUCT(--(EI7:EQ7&lt;&gt;""))&gt;0,1,0)</x:f>
        <x:v>1</x:v>
      </x:c>
      <x:c r="ES7" s="7"/>
      <x:c r="ET7" s="10"/>
      <x:c r="EU7" s="10" t="s">
        <x:v>397</x:v>
      </x:c>
      <x:c r="EV7" s="10"/>
      <x:c r="EW7" s="10"/>
      <x:c r="EX7" s="10"/>
      <x:c r="EY7" s="10" t="s">
        <x:v>397</x:v>
      </x:c>
      <x:c r="EZ7" s="10"/>
      <x:c r="FA7" s="10" t="s">
        <x:v>397</x:v>
      </x:c>
      <x:c r="FB7" s="10"/>
      <x:c r="FC7" s="10"/>
      <x:c r="FD7" s="10"/>
      <x:c r="FE7" s="10"/>
      <x:c r="FF7" s="10"/>
      <x:c r="FG7" s="11"/>
      <x:c r="FH7" s="12" t="n">
        <x:f>IF(SUMPRODUCT(--(ES7:FG7&lt;&gt;""))&gt;0,1,0)</x:f>
        <x:v>1</x:v>
      </x:c>
      <x:c r="FI7" s="7"/>
      <x:c r="FJ7" s="10" t="s">
        <x:v>397</x:v>
      </x:c>
      <x:c r="FK7" s="10" t="s">
        <x:v>397</x:v>
      </x:c>
      <x:c r="FL7" s="10"/>
      <x:c r="FM7" s="10"/>
      <x:c r="FN7" s="10" t="s">
        <x:v>397</x:v>
      </x:c>
      <x:c r="FO7" s="10"/>
      <x:c r="FP7" s="10" t="s">
        <x:v>397</x:v>
      </x:c>
      <x:c r="FQ7" s="11" t="s">
        <x:v>406</x:v>
      </x:c>
      <x:c r="FR7" s="12" t="n">
        <x:f>IF(SUMPRODUCT(--(FI7:FQ7&lt;&gt;""))&gt;0,1,0)</x:f>
        <x:v>1</x:v>
      </x:c>
      <x:c r="FS7" s="7" t="s">
        <x:v>397</x:v>
      </x:c>
      <x:c r="FT7" s="10"/>
      <x:c r="FU7" s="10"/>
      <x:c r="FV7" s="10"/>
      <x:c r="FW7" s="10"/>
      <x:c r="FX7" s="10"/>
      <x:c r="FY7" s="10"/>
      <x:c r="FZ7" s="10"/>
      <x:c r="GA7" s="10"/>
      <x:c r="GB7" s="10"/>
      <x:c r="GC7" s="10"/>
      <x:c r="GD7" s="10"/>
      <x:c r="GE7" s="11"/>
      <x:c r="GF7" s="12" t="n">
        <x:f>IF(SUMPRODUCT(--(FS7:GE7&lt;&gt;""))&gt;0,1,0)</x:f>
        <x:v>1</x:v>
      </x:c>
      <x:c r="GG7" s="7"/>
      <x:c r="GH7" s="10"/>
      <x:c r="GI7" s="10"/>
      <x:c r="GJ7" s="10" t="s">
        <x:v>397</x:v>
      </x:c>
      <x:c r="GK7" s="10"/>
      <x:c r="GL7" s="10"/>
      <x:c r="GM7" s="10"/>
      <x:c r="GN7" s="10"/>
      <x:c r="GO7" s="10"/>
      <x:c r="GP7" s="11"/>
      <x:c r="GQ7" s="12" t="n">
        <x:f>IF(SUMPRODUCT(--(GG7:GP7&lt;&gt;""))&gt;0,1,0)</x:f>
        <x:v>1</x:v>
      </x:c>
      <x:c r="GR7" s="7"/>
      <x:c r="GS7" s="10"/>
      <x:c r="GT7" s="10"/>
      <x:c r="GU7" s="10"/>
      <x:c r="GV7" s="10" t="s">
        <x:v>397</x:v>
      </x:c>
      <x:c r="GW7" s="10"/>
      <x:c r="GX7" s="10"/>
      <x:c r="GY7" s="10"/>
      <x:c r="GZ7" s="10"/>
      <x:c r="HA7" s="10"/>
      <x:c r="HB7" s="11"/>
      <x:c r="HC7" s="12" t="n">
        <x:f>IF(SUMPRODUCT(--(GR7:HB7&lt;&gt;""))&gt;0,1,0)</x:f>
        <x:v>1</x:v>
      </x:c>
      <x:c r="HD7" s="7" t="s">
        <x:v>397</x:v>
      </x:c>
      <x:c r="HE7" s="10" t="s">
        <x:v>397</x:v>
      </x:c>
      <x:c r="HF7" s="10" t="s">
        <x:v>397</x:v>
      </x:c>
      <x:c r="HG7" s="10" t="s">
        <x:v>397</x:v>
      </x:c>
      <x:c r="HH7" s="10" t="s">
        <x:v>397</x:v>
      </x:c>
      <x:c r="HI7" s="10" t="s">
        <x:v>397</x:v>
      </x:c>
      <x:c r="HJ7" s="10" t="s">
        <x:v>397</x:v>
      </x:c>
      <x:c r="HK7" s="10" t="s">
        <x:v>397</x:v>
      </x:c>
      <x:c r="HL7" s="10"/>
      <x:c r="HM7" s="11"/>
      <x:c r="HN7" s="12" t="n">
        <x:f>IF(SUMPRODUCT(--(HD7:HM7&lt;&gt;""))&gt;0,1,0)</x:f>
        <x:v>1</x:v>
      </x:c>
      <x:c r="HO7" s="7"/>
      <x:c r="HP7" s="10"/>
      <x:c r="HQ7" s="10"/>
      <x:c r="HR7" s="10"/>
      <x:c r="HS7" s="10" t="s">
        <x:v>397</x:v>
      </x:c>
      <x:c r="HT7" s="10"/>
      <x:c r="HU7" s="10"/>
      <x:c r="HV7" s="10"/>
      <x:c r="HW7" s="10"/>
      <x:c r="HX7" s="11"/>
      <x:c r="HY7" s="12" t="n">
        <x:f>IF(SUMPRODUCT(--(HO7:HX7&lt;&gt;""))&gt;0,1,0)</x:f>
        <x:v>1</x:v>
      </x:c>
      <x:c r="HZ7" s="7" t="s">
        <x:v>397</x:v>
      </x:c>
      <x:c r="IA7" s="10" t="s">
        <x:v>397</x:v>
      </x:c>
      <x:c r="IB7" s="10" t="s">
        <x:v>397</x:v>
      </x:c>
      <x:c r="IC7" s="10"/>
      <x:c r="ID7" s="10"/>
      <x:c r="IE7" s="10" t="s">
        <x:v>397</x:v>
      </x:c>
      <x:c r="IF7" s="10"/>
      <x:c r="IG7" s="10"/>
      <x:c r="IH7" s="10"/>
      <x:c r="II7" s="10" t="s">
        <x:v>397</x:v>
      </x:c>
      <x:c r="IJ7" s="11" t="s">
        <x:v>407</x:v>
      </x:c>
      <x:c r="IK7" s="12" t="n">
        <x:f>IF(SUMPRODUCT(--(HZ7:IJ7&lt;&gt;""))&gt;0,1,0)</x:f>
        <x:v>1</x:v>
      </x:c>
      <x:c r="IL7" s="7"/>
      <x:c r="IM7" s="10" t="s">
        <x:v>397</x:v>
      </x:c>
      <x:c r="IN7" s="10"/>
      <x:c r="IO7" s="10"/>
      <x:c r="IP7" s="12" t="n">
        <x:f>IF(COUNTIF(IL7:IO7,"〇")&gt;0,1,0)</x:f>
        <x:v>1</x:v>
      </x:c>
      <x:c r="IQ7" s="7"/>
      <x:c r="IR7" s="10" t="s">
        <x:v>397</x:v>
      </x:c>
      <x:c r="IS7" s="10"/>
      <x:c r="IT7" s="10"/>
      <x:c r="IU7" s="12" t="n">
        <x:f>IF(COUNTIF(IQ7:IT7,"〇")&gt;0,1,0)</x:f>
        <x:v>1</x:v>
      </x:c>
      <x:c r="IV7" s="7"/>
      <x:c r="IW7" s="10" t="s">
        <x:v>397</x:v>
      </x:c>
      <x:c r="IX7" s="10"/>
      <x:c r="IY7" s="10"/>
      <x:c r="IZ7" s="12" t="n">
        <x:f>IF(COUNTIF(IV7:IY7,"〇")&gt;0,1,0)</x:f>
        <x:v>1</x:v>
      </x:c>
      <x:c r="JA7" s="7"/>
      <x:c r="JB7" s="10" t="s">
        <x:v>397</x:v>
      </x:c>
      <x:c r="JC7" s="10"/>
      <x:c r="JD7" s="10"/>
      <x:c r="JE7" s="12" t="n">
        <x:f>IF(COUNTIF(JA7:JD7,"〇")&gt;0,1,0)</x:f>
        <x:v>1</x:v>
      </x:c>
      <x:c r="JF7" s="7" t="s">
        <x:v>397</x:v>
      </x:c>
      <x:c r="JG7" s="10"/>
      <x:c r="JH7" s="10"/>
      <x:c r="JI7" s="10"/>
      <x:c r="JJ7" s="12" t="n">
        <x:f>IF(COUNTIF(JF7:JI7,"〇")&gt;0,1,0)</x:f>
        <x:v>1</x:v>
      </x:c>
      <x:c r="JK7" s="7" t="s">
        <x:v>397</x:v>
      </x:c>
      <x:c r="JL7" s="10"/>
      <x:c r="JM7" s="10" t="s">
        <x:v>397</x:v>
      </x:c>
      <x:c r="JN7" s="10"/>
      <x:c r="JO7" s="10"/>
      <x:c r="JP7" s="10"/>
      <x:c r="JQ7" s="10"/>
      <x:c r="JR7" s="10" t="s">
        <x:v>397</x:v>
      </x:c>
      <x:c r="JS7" s="10" t="s">
        <x:v>397</x:v>
      </x:c>
      <x:c r="JT7" s="10"/>
      <x:c r="JU7" s="10"/>
      <x:c r="JV7" s="11"/>
      <x:c r="JW7" s="12" t="n">
        <x:f>IF(SUMPRODUCT(--(JK7:JV7&lt;&gt;""))&gt;0,1,0)</x:f>
        <x:v>1</x:v>
      </x:c>
      <x:c r="JX7" s="7"/>
      <x:c r="JY7" s="10" t="s">
        <x:v>397</x:v>
      </x:c>
      <x:c r="JZ7" s="10"/>
      <x:c r="KA7" s="10"/>
      <x:c r="KB7" s="10" t="s">
        <x:v>397</x:v>
      </x:c>
      <x:c r="KC7" s="10" t="s">
        <x:v>397</x:v>
      </x:c>
      <x:c r="KD7" s="10"/>
      <x:c r="KE7" s="10"/>
      <x:c r="KF7" s="10"/>
      <x:c r="KG7" s="10"/>
      <x:c r="KH7" s="10"/>
      <x:c r="KI7" s="11"/>
      <x:c r="KJ7" s="12" t="n">
        <x:f>IF(SUMPRODUCT(--(JX7:KI7&lt;&gt;""))&gt;0,1,0)</x:f>
        <x:v>1</x:v>
      </x:c>
      <x:c r="KK7" s="7"/>
      <x:c r="KL7" s="10"/>
      <x:c r="KM7" s="10"/>
      <x:c r="KN7" s="10"/>
      <x:c r="KO7" s="10"/>
      <x:c r="KP7" s="10"/>
      <x:c r="KQ7" s="10"/>
      <x:c r="KR7" s="10" t="s">
        <x:v>397</x:v>
      </x:c>
      <x:c r="KS7" s="10" t="s">
        <x:v>397</x:v>
      </x:c>
      <x:c r="KT7" s="10"/>
      <x:c r="KU7" s="12" t="n">
        <x:f>IF(COUNTIF(KK7:KT7,"〇")&gt;0,1,0)</x:f>
        <x:v>1</x:v>
      </x:c>
      <x:c r="KV7" s="7"/>
      <x:c r="KW7" s="10" t="s">
        <x:v>397</x:v>
      </x:c>
      <x:c r="KX7" s="10"/>
      <x:c r="KY7" s="10"/>
      <x:c r="KZ7" s="10" t="s">
        <x:v>397</x:v>
      </x:c>
      <x:c r="LA7" s="10" t="s">
        <x:v>397</x:v>
      </x:c>
      <x:c r="LB7" s="10"/>
      <x:c r="LC7" s="10" t="s">
        <x:v>397</x:v>
      </x:c>
      <x:c r="LD7" s="10" t="s">
        <x:v>397</x:v>
      </x:c>
      <x:c r="LE7" s="10"/>
      <x:c r="LF7" s="10"/>
      <x:c r="LG7" s="11"/>
      <x:c r="LH7" s="12" t="n">
        <x:f>IF(SUMPRODUCT(--(KV7:LG7&lt;&gt;""))&gt;0,1,0)</x:f>
        <x:v>1</x:v>
      </x:c>
      <x:c r="LI7" s="7"/>
      <x:c r="LJ7" s="10"/>
      <x:c r="LK7" s="10"/>
      <x:c r="LL7" s="10"/>
      <x:c r="LM7" s="10" t="s">
        <x:v>397</x:v>
      </x:c>
      <x:c r="LN7" s="10"/>
      <x:c r="LO7" s="10"/>
      <x:c r="LP7" s="12" t="n">
        <x:f>IF(COUNTIF(LI7:LO7,"〇")&gt;0,1,0)</x:f>
        <x:v>1</x:v>
      </x:c>
      <x:c r="LQ7" s="7" t="s">
        <x:v>397</x:v>
      </x:c>
      <x:c r="LR7" s="10" t="s">
        <x:v>397</x:v>
      </x:c>
      <x:c r="LS7" s="10" t="s">
        <x:v>397</x:v>
      </x:c>
      <x:c r="LT7" s="10" t="s">
        <x:v>397</x:v>
      </x:c>
      <x:c r="LU7" s="10" t="s">
        <x:v>397</x:v>
      </x:c>
      <x:c r="LV7" s="10"/>
      <x:c r="LW7" s="10" t="s">
        <x:v>397</x:v>
      </x:c>
      <x:c r="LX7" s="10"/>
      <x:c r="LY7" s="10"/>
      <x:c r="LZ7" s="11"/>
      <x:c r="MA7" s="12" t="n">
        <x:f>IF(SUMPRODUCT(--(LQ7:LZ7&lt;&gt;""))&gt;0,1,0)</x:f>
        <x:v>1</x:v>
      </x:c>
      <x:c r="MB7" s="7" t="s">
        <x:v>397</x:v>
      </x:c>
      <x:c r="MC7" s="10" t="s">
        <x:v>397</x:v>
      </x:c>
      <x:c r="MD7" s="10" t="s">
        <x:v>397</x:v>
      </x:c>
      <x:c r="ME7" s="10" t="s">
        <x:v>397</x:v>
      </x:c>
      <x:c r="MF7" s="10" t="s">
        <x:v>397</x:v>
      </x:c>
      <x:c r="MG7" s="10" t="s">
        <x:v>397</x:v>
      </x:c>
      <x:c r="MH7" s="10" t="s">
        <x:v>397</x:v>
      </x:c>
      <x:c r="MI7" s="10" t="s">
        <x:v>397</x:v>
      </x:c>
      <x:c r="MJ7" s="10" t="s">
        <x:v>397</x:v>
      </x:c>
      <x:c r="MK7" s="10" t="s">
        <x:v>397</x:v>
      </x:c>
      <x:c r="ML7" s="10"/>
      <x:c r="MM7" s="10" t="s">
        <x:v>397</x:v>
      </x:c>
      <x:c r="MN7" s="11" t="s">
        <x:v>408</x:v>
      </x:c>
      <x:c r="MO7" s="12" t="n">
        <x:f>IF(SUMPRODUCT(--(MB7:MN7&lt;&gt;""))&gt;0,1,0)</x:f>
        <x:v>1</x:v>
      </x:c>
      <x:c r="MP7" s="7" t="s">
        <x:v>409</x:v>
      </x:c>
      <x:c r="MQ7" s="12" t="n">
        <x:f>IF(SUMPRODUCT(--(MP7:MP7&lt;&gt;""))&gt;0,1,0)</x:f>
        <x:v>1</x:v>
      </x:c>
      <x:c r="MR7" s="7"/>
      <x:c r="MS7" s="10" t="s">
        <x:v>397</x:v>
      </x:c>
      <x:c r="MT7" s="10"/>
      <x:c r="MU7" s="10"/>
      <x:c r="MV7" s="10"/>
      <x:c r="MW7" s="12" t="n">
        <x:f>IF(COUNTIF(MR7:MV7,"〇")&gt;0,1,0)</x:f>
        <x:v>1</x:v>
      </x:c>
      <x:c r="MX7" s="7" t="s">
        <x:v>397</x:v>
      </x:c>
      <x:c r="MY7" s="10"/>
      <x:c r="MZ7" s="10" t="s">
        <x:v>397</x:v>
      </x:c>
      <x:c r="NA7" s="10"/>
      <x:c r="NB7" s="10"/>
      <x:c r="NC7" s="10" t="s">
        <x:v>397</x:v>
      </x:c>
      <x:c r="ND7" s="10" t="s">
        <x:v>397</x:v>
      </x:c>
      <x:c r="NE7" s="10"/>
      <x:c r="NF7" s="10"/>
      <x:c r="NG7" s="10"/>
      <x:c r="NH7" s="10"/>
      <x:c r="NI7" s="11"/>
      <x:c r="NJ7" s="12" t="n">
        <x:f>IF(SUMPRODUCT(--(MX7:NI7&lt;&gt;""))&gt;0,1,0)</x:f>
        <x:v>1</x:v>
      </x:c>
      <x:c r="NK7" s="7" t="s">
        <x:v>397</x:v>
      </x:c>
      <x:c r="NL7" s="10" t="s">
        <x:v>397</x:v>
      </x:c>
      <x:c r="NM7" s="10" t="s">
        <x:v>397</x:v>
      </x:c>
      <x:c r="NN7" s="10" t="s">
        <x:v>397</x:v>
      </x:c>
      <x:c r="NO7" s="10" t="s">
        <x:v>397</x:v>
      </x:c>
      <x:c r="NP7" s="10" t="s">
        <x:v>397</x:v>
      </x:c>
      <x:c r="NQ7" s="10" t="s">
        <x:v>397</x:v>
      </x:c>
      <x:c r="NR7" s="10"/>
      <x:c r="NS7" s="10"/>
      <x:c r="NT7" s="11"/>
      <x:c r="NU7" s="12" t="n">
        <x:f>IF(SUMPRODUCT(--(NK7:NT7&lt;&gt;""))&gt;0,1,0)</x:f>
        <x:v>1</x:v>
      </x:c>
      <x:c r="NV7" s="7"/>
      <x:c r="NW7" s="10"/>
      <x:c r="NX7" s="10"/>
      <x:c r="NY7" s="10"/>
      <x:c r="NZ7" s="10" t="s">
        <x:v>397</x:v>
      </x:c>
      <x:c r="OA7" s="12" t="n">
        <x:f>IF(COUNTIF(NV7:NZ7,"〇")&gt;0,1,0)</x:f>
        <x:v>1</x:v>
      </x:c>
      <x:c r="OB7" s="7"/>
      <x:c r="OC7" s="10" t="s">
        <x:v>397</x:v>
      </x:c>
      <x:c r="OD7" s="10" t="s">
        <x:v>397</x:v>
      </x:c>
      <x:c r="OE7" s="10"/>
      <x:c r="OF7" s="10"/>
      <x:c r="OG7" s="10"/>
      <x:c r="OH7" s="10" t="s">
        <x:v>397</x:v>
      </x:c>
      <x:c r="OI7" s="10"/>
      <x:c r="OJ7" s="10"/>
      <x:c r="OK7" s="10"/>
      <x:c r="OL7" s="11"/>
      <x:c r="OM7" s="12" t="n">
        <x:f>IF(SUMPRODUCT(--(OB7:OL7&lt;&gt;""))&gt;0,1,0)</x:f>
        <x:v>1</x:v>
      </x:c>
      <x:c r="ON7" s="7"/>
      <x:c r="OO7" s="10"/>
      <x:c r="OP7" s="10" t="s">
        <x:v>397</x:v>
      </x:c>
      <x:c r="OQ7" s="10"/>
      <x:c r="OR7" s="12" t="n">
        <x:f>IF(COUNTIF(ON7:OQ7,"〇")&gt;0,1,0)</x:f>
        <x:v>1</x:v>
      </x:c>
      <x:c r="OS7" s="7" t="s">
        <x:v>397</x:v>
      </x:c>
      <x:c r="OT7" s="10"/>
      <x:c r="OU7" s="10"/>
      <x:c r="OV7" s="10"/>
      <x:c r="OW7" s="10"/>
      <x:c r="OX7" s="10"/>
      <x:c r="OY7" s="10"/>
      <x:c r="OZ7" s="10"/>
      <x:c r="PA7" s="10"/>
      <x:c r="PB7" s="10"/>
      <x:c r="PC7" s="10"/>
      <x:c r="PD7" s="10"/>
      <x:c r="PE7" s="11"/>
      <x:c r="PF7" s="12" t="n">
        <x:f>IF(SUMPRODUCT(--(OS7:PE7&lt;&gt;""))&gt;0,1,0)</x:f>
        <x:v>1</x:v>
      </x:c>
      <x:c r="PG7" s="7"/>
      <x:c r="PH7" s="10"/>
      <x:c r="PI7" s="10"/>
      <x:c r="PJ7" s="10" t="s">
        <x:v>397</x:v>
      </x:c>
      <x:c r="PK7" s="10" t="s">
        <x:v>397</x:v>
      </x:c>
      <x:c r="PL7" s="10"/>
      <x:c r="PM7" s="10" t="s">
        <x:v>397</x:v>
      </x:c>
      <x:c r="PN7" s="10"/>
      <x:c r="PO7" s="10"/>
      <x:c r="PP7" s="11"/>
      <x:c r="PQ7" s="12" t="n">
        <x:f>IF(SUMPRODUCT(--(PG7:PP7&lt;&gt;""))&gt;0,1,0)</x:f>
        <x:v>1</x:v>
      </x:c>
      <x:c r="PR7" s="7"/>
      <x:c r="PS7" s="10"/>
      <x:c r="PT7" s="10"/>
      <x:c r="PU7" s="10"/>
      <x:c r="PV7" s="10"/>
      <x:c r="PW7" s="10"/>
      <x:c r="PX7" s="10"/>
      <x:c r="PY7" s="10" t="s">
        <x:v>397</x:v>
      </x:c>
      <x:c r="PZ7" s="10"/>
      <x:c r="QA7" s="11"/>
      <x:c r="QB7" s="12" t="n">
        <x:f>IF(SUMPRODUCT(--(PR7:QA7&lt;&gt;""))&gt;0,1,0)</x:f>
        <x:v>1</x:v>
      </x:c>
      <x:c r="QC7" s="7" t="s">
        <x:v>397</x:v>
      </x:c>
      <x:c r="QD7" s="10"/>
      <x:c r="QE7" s="10" t="s">
        <x:v>397</x:v>
      </x:c>
      <x:c r="QF7" s="10"/>
      <x:c r="QG7" s="10"/>
      <x:c r="QH7" s="10"/>
      <x:c r="QI7" s="10"/>
      <x:c r="QJ7" s="10"/>
      <x:c r="QK7" s="11"/>
      <x:c r="QL7" s="12" t="n">
        <x:f>IF(SUMPRODUCT(--(QC7:QK7&lt;&gt;""))&gt;0,1,0)</x:f>
        <x:v>1</x:v>
      </x:c>
      <x:c r="QM7" s="7"/>
      <x:c r="QN7" s="10"/>
      <x:c r="QO7" s="10" t="s">
        <x:v>397</x:v>
      </x:c>
      <x:c r="QP7" s="10"/>
      <x:c r="QQ7" s="10"/>
      <x:c r="QR7" s="10" t="s">
        <x:v>397</x:v>
      </x:c>
      <x:c r="QS7" s="10"/>
      <x:c r="QT7" s="10"/>
      <x:c r="QU7" s="10"/>
      <x:c r="QV7" s="10" t="s">
        <x:v>397</x:v>
      </x:c>
      <x:c r="QW7" s="10"/>
      <x:c r="QX7" s="10"/>
      <x:c r="QY7" s="11"/>
      <x:c r="QZ7" s="12" t="n">
        <x:f>IF(SUMPRODUCT(--(QM7:QY7&lt;&gt;""))&gt;0,1,0)</x:f>
        <x:v>1</x:v>
      </x:c>
      <x:c r="RA7" s="7" t="s">
        <x:v>410</x:v>
      </x:c>
      <x:c r="RB7" s="12" t="n">
        <x:f>IF(SUMPRODUCT(--(RA7:RA7&lt;&gt;""))&gt;0,1,0)</x:f>
        <x:v>1</x:v>
      </x:c>
    </x:row>
    <x:row r="9" ht="16.5">
      <x:c r="A9" s="18" t="s">
        <x:v>411</x:v>
      </x:c>
      <x:c r="L9" t="n">
        <x:f>COUNTIF(L5:L7,"〇")</x:f>
        <x:v>1</x:v>
      </x:c>
      <x:c r="M9" t="n">
        <x:f>COUNTIF(M5:M7,"〇")</x:f>
        <x:v>2</x:v>
      </x:c>
      <x:c r="N9" t="n">
        <x:f>COUNTIF(N5:N7,"〇")</x:f>
        <x:v>0</x:v>
      </x:c>
      <x:c r="O9" t="n">
        <x:f>COUNTIF(O5:O7,"〇")</x:f>
        <x:v>0</x:v>
      </x:c>
      <x:c r="Q9" s="19" t="n">
        <x:f>SUM(Q5:Q7)</x:f>
        <x:v>3</x:v>
      </x:c>
      <x:c r="R9" t="n">
        <x:f>COUNTIF(R5:R7,"〇")</x:f>
        <x:v>1</x:v>
      </x:c>
      <x:c r="S9" t="n">
        <x:f>COUNTIF(S5:S7,"〇")</x:f>
        <x:v>0</x:v>
      </x:c>
      <x:c r="T9" t="n">
        <x:f>COUNTIF(T5:T7,"〇")</x:f>
        <x:v>1</x:v>
      </x:c>
      <x:c r="U9" t="n">
        <x:f>COUNTIF(U5:U7,"〇")</x:f>
        <x:v>1</x:v>
      </x:c>
      <x:c r="V9" t="n">
        <x:f>COUNTIF(V5:V7,"〇")</x:f>
        <x:v>0</x:v>
      </x:c>
      <x:c r="X9" s="19" t="n">
        <x:f>SUM(X5:X7)</x:f>
        <x:v>3</x:v>
      </x:c>
      <x:c r="Y9" t="n">
        <x:f>COUNTIF(Y5:Y7,"〇")</x:f>
        <x:v>0</x:v>
      </x:c>
      <x:c r="Z9" t="n">
        <x:f>COUNTIF(Z5:Z7,"〇")</x:f>
        <x:v>1</x:v>
      </x:c>
      <x:c r="AA9" t="n">
        <x:f>COUNTIF(AA5:AA7,"〇")</x:f>
        <x:v>1</x:v>
      </x:c>
      <x:c r="AB9" t="n">
        <x:f>COUNTIF(AB5:AB7,"〇")</x:f>
        <x:v>1</x:v>
      </x:c>
      <x:c r="AC9" s="19" t="n">
        <x:f>SUM(AC5:AC7)</x:f>
        <x:v>3</x:v>
      </x:c>
      <x:c r="AD9" t="n">
        <x:f>COUNTIF(AD5:AD7,"〇")</x:f>
        <x:v>2</x:v>
      </x:c>
      <x:c r="AE9" t="n">
        <x:f>COUNTIF(AE5:AE7,"〇")</x:f>
        <x:v>0</x:v>
      </x:c>
      <x:c r="AF9" t="n">
        <x:f>COUNTIF(AF5:AF7,"〇")</x:f>
        <x:v>0</x:v>
      </x:c>
      <x:c r="AG9" t="n">
        <x:f>COUNTIF(AG5:AG7,"〇")</x:f>
        <x:v>1</x:v>
      </x:c>
      <x:c r="AH9" t="n">
        <x:f>COUNTIF(AH5:AH7,"〇")</x:f>
        <x:v>0</x:v>
      </x:c>
      <x:c r="AJ9" s="19" t="n">
        <x:f>SUM(AJ5:AJ7)</x:f>
        <x:v>3</x:v>
      </x:c>
      <x:c r="AK9" t="n">
        <x:f>COUNTIF(AK5:AK7,"〇")</x:f>
        <x:v>2</x:v>
      </x:c>
      <x:c r="AL9" t="n">
        <x:f>COUNTIF(AL5:AL7,"〇")</x:f>
        <x:v>1</x:v>
      </x:c>
      <x:c r="AM9" t="n">
        <x:f>COUNTIF(AM5:AM7,"〇")</x:f>
        <x:v>0</x:v>
      </x:c>
      <x:c r="AN9" s="19" t="n">
        <x:f>SUM(AN5:AN7)</x:f>
        <x:v>3</x:v>
      </x:c>
      <x:c r="AO9" t="n">
        <x:f t="shared" ref="AO9:AT9" si="0">COUNTIF(AO5:AO7,"〇")</x:f>
        <x:v>2</x:v>
      </x:c>
      <x:c r="AP9">
        <x:f t="shared" si="0"/>
        <x:v>1</x:v>
      </x:c>
      <x:c r="AQ9">
        <x:f t="shared" si="0"/>
        <x:v>1</x:v>
      </x:c>
      <x:c r="AR9">
        <x:f t="shared" si="0"/>
        <x:v>0</x:v>
      </x:c>
      <x:c r="AS9">
        <x:f t="shared" si="0"/>
        <x:v>0</x:v>
      </x:c>
      <x:c r="AT9">
        <x:f t="shared" si="0"/>
        <x:v>0</x:v>
      </x:c>
      <x:c r="AV9" s="19">
        <x:v>3</x:v>
      </x:c>
      <x:c r="AW9" t="n">
        <x:f t="shared" ref="AW9:BD9" si="1">COUNTIF(AW5:AW7,"〇")</x:f>
        <x:v>1</x:v>
      </x:c>
      <x:c r="AX9">
        <x:f t="shared" si="1"/>
        <x:v>1</x:v>
      </x:c>
      <x:c r="AY9">
        <x:f t="shared" si="1"/>
        <x:v>0</x:v>
      </x:c>
      <x:c r="AZ9">
        <x:f t="shared" si="1"/>
        <x:v>1</x:v>
      </x:c>
      <x:c r="BA9">
        <x:f t="shared" si="1"/>
        <x:v>0</x:v>
      </x:c>
      <x:c r="BB9">
        <x:f t="shared" si="1"/>
        <x:v>0</x:v>
      </x:c>
      <x:c r="BC9">
        <x:f t="shared" si="1"/>
        <x:v>0</x:v>
      </x:c>
      <x:c r="BD9">
        <x:f t="shared" si="1"/>
        <x:v>0</x:v>
      </x:c>
      <x:c r="BF9" s="19" t="n">
        <x:f>SUM(BF5:BF7)</x:f>
        <x:v>3</x:v>
      </x:c>
      <x:c r="BG9" t="n">
        <x:f>COUNTIF(BG5:BG7,"〇")</x:f>
        <x:v>2</x:v>
      </x:c>
      <x:c r="BH9" t="n">
        <x:f>COUNTIF(BH5:BH7,"〇")</x:f>
        <x:v>1</x:v>
      </x:c>
      <x:c r="BI9" t="n">
        <x:f>COUNTIF(BI5:BI7,"〇")</x:f>
        <x:v>0</x:v>
      </x:c>
      <x:c r="BJ9" s="19" t="n">
        <x:f>SUM(BJ5:BJ7)</x:f>
        <x:v>3</x:v>
      </x:c>
      <x:c r="BK9" t="n">
        <x:f t="shared" ref="BK9:BS9" si="2">COUNTIF(BK5:BK7,"〇")</x:f>
        <x:v>0</x:v>
      </x:c>
      <x:c r="BL9">
        <x:f t="shared" si="2"/>
        <x:v>3</x:v>
      </x:c>
      <x:c r="BM9">
        <x:f t="shared" si="2"/>
        <x:v>0</x:v>
      </x:c>
      <x:c r="BN9">
        <x:f t="shared" si="2"/>
        <x:v>0</x:v>
      </x:c>
      <x:c r="BO9">
        <x:f t="shared" si="2"/>
        <x:v>0</x:v>
      </x:c>
      <x:c r="BP9">
        <x:f t="shared" si="2"/>
        <x:v>0</x:v>
      </x:c>
      <x:c r="BQ9">
        <x:f t="shared" si="2"/>
        <x:v>0</x:v>
      </x:c>
      <x:c r="BR9">
        <x:f t="shared" si="2"/>
        <x:v>0</x:v>
      </x:c>
      <x:c r="BS9">
        <x:f t="shared" si="2"/>
        <x:v>0</x:v>
      </x:c>
      <x:c r="BU9" s="19" t="n">
        <x:f>SUM(BU5:BU7)</x:f>
        <x:v>3</x:v>
      </x:c>
      <x:c r="BV9" t="n">
        <x:f>COUNTIF(BV5:BV7,"〇")</x:f>
        <x:v>3</x:v>
      </x:c>
      <x:c r="BW9" t="n">
        <x:f>COUNTIF(BW5:BW7,"〇")</x:f>
        <x:v>0</x:v>
      </x:c>
      <x:c r="BX9" t="n">
        <x:f>COUNTIF(BX5:BX7,"〇")</x:f>
        <x:v>0</x:v>
      </x:c>
      <x:c r="BZ9" s="19" t="n">
        <x:f>SUM(BZ5:BZ7)</x:f>
        <x:v>3</x:v>
      </x:c>
      <x:c r="CA9" t="n">
        <x:f t="shared" ref="CA9:CN9" si="3">COUNTIF(CA5:CA7,"〇")</x:f>
        <x:v>1</x:v>
      </x:c>
      <x:c r="CB9">
        <x:f t="shared" si="3"/>
        <x:v>1</x:v>
      </x:c>
      <x:c r="CC9">
        <x:f t="shared" si="3"/>
        <x:v>1</x:v>
      </x:c>
      <x:c r="CD9">
        <x:f t="shared" si="3"/>
        <x:v>1</x:v>
      </x:c>
      <x:c r="CE9">
        <x:f t="shared" si="3"/>
        <x:v>1</x:v>
      </x:c>
      <x:c r="CF9">
        <x:f t="shared" si="3"/>
        <x:v>1</x:v>
      </x:c>
      <x:c r="CG9">
        <x:f t="shared" si="3"/>
        <x:v>1</x:v>
      </x:c>
      <x:c r="CH9">
        <x:f t="shared" si="3"/>
        <x:v>1</x:v>
      </x:c>
      <x:c r="CI9">
        <x:f t="shared" si="3"/>
        <x:v>1</x:v>
      </x:c>
      <x:c r="CJ9">
        <x:f t="shared" si="3"/>
        <x:v>1</x:v>
      </x:c>
      <x:c r="CK9">
        <x:f t="shared" si="3"/>
        <x:v>0</x:v>
      </x:c>
      <x:c r="CL9">
        <x:f t="shared" si="3"/>
        <x:v>3</x:v>
      </x:c>
      <x:c r="CM9">
        <x:f t="shared" si="3"/>
        <x:v>0</x:v>
      </x:c>
      <x:c r="CN9">
        <x:f t="shared" si="3"/>
        <x:v>1</x:v>
      </x:c>
      <x:c r="CP9" s="19" t="n">
        <x:f>SUM(CP5:CP7)</x:f>
        <x:v>3</x:v>
      </x:c>
      <x:c r="CR9" s="19">
        <x:v>3</x:v>
      </x:c>
      <x:c r="CS9" t="n">
        <x:f t="shared" ref="CS9:CY9" si="4">COUNTIF(CS5:CS7,"〇")</x:f>
        <x:v>0</x:v>
      </x:c>
      <x:c r="CT9">
        <x:f t="shared" si="4"/>
        <x:v>1</x:v>
      </x:c>
      <x:c r="CU9">
        <x:f t="shared" si="4"/>
        <x:v>0</x:v>
      </x:c>
      <x:c r="CV9">
        <x:f t="shared" si="4"/>
        <x:v>0</x:v>
      </x:c>
      <x:c r="CW9">
        <x:f t="shared" si="4"/>
        <x:v>0</x:v>
      </x:c>
      <x:c r="CX9">
        <x:f t="shared" si="4"/>
        <x:v>1</x:v>
      </x:c>
      <x:c r="CY9">
        <x:f t="shared" si="4"/>
        <x:v>1</x:v>
      </x:c>
      <x:c r="DA9" s="19" t="n">
        <x:f>SUM(DA5:DA7)</x:f>
        <x:v>3</x:v>
      </x:c>
      <x:c r="DB9" t="n">
        <x:f>COUNTIF(DB5:DB7,"〇")</x:f>
        <x:v>1</x:v>
      </x:c>
      <x:c r="DC9" t="n">
        <x:f>COUNTIF(DC5:DC7,"〇")</x:f>
        <x:v>1</x:v>
      </x:c>
      <x:c r="DD9" t="n">
        <x:f>COUNTIF(DD5:DD7,"〇")</x:f>
        <x:v>1</x:v>
      </x:c>
      <x:c r="DE9" t="n">
        <x:f>COUNTIF(DE5:DE7,"〇")</x:f>
        <x:v>0</x:v>
      </x:c>
      <x:c r="DF9" t="n">
        <x:f>COUNTIF(DF5:DF7,"〇")</x:f>
        <x:v>0</x:v>
      </x:c>
      <x:c r="DG9" s="19" t="n">
        <x:f>SUM(DG5:DG7)</x:f>
        <x:v>3</x:v>
      </x:c>
      <x:c r="DH9" t="n">
        <x:f t="shared" ref="DH9:DO9" si="5">COUNTIF(DH5:DH7,"〇")</x:f>
        <x:v>3</x:v>
      </x:c>
      <x:c r="DI9">
        <x:f t="shared" si="5"/>
        <x:v>2</x:v>
      </x:c>
      <x:c r="DJ9">
        <x:f t="shared" si="5"/>
        <x:v>1</x:v>
      </x:c>
      <x:c r="DK9">
        <x:f t="shared" si="5"/>
        <x:v>1</x:v>
      </x:c>
      <x:c r="DL9">
        <x:f t="shared" si="5"/>
        <x:v>0</x:v>
      </x:c>
      <x:c r="DM9">
        <x:f t="shared" si="5"/>
        <x:v>0</x:v>
      </x:c>
      <x:c r="DN9">
        <x:f t="shared" si="5"/>
        <x:v>0</x:v>
      </x:c>
      <x:c r="DO9">
        <x:f t="shared" si="5"/>
        <x:v>0</x:v>
      </x:c>
      <x:c r="DQ9" s="19" t="n">
        <x:f>SUM(DQ5:DQ7)</x:f>
        <x:v>3</x:v>
      </x:c>
      <x:c r="DR9" t="n">
        <x:f t="shared" ref="DR9:EA9" si="6">COUNTIF(DR5:DR7,"〇")</x:f>
        <x:v>2</x:v>
      </x:c>
      <x:c r="DS9">
        <x:f t="shared" si="6"/>
        <x:v>2</x:v>
      </x:c>
      <x:c r="DT9">
        <x:f t="shared" si="6"/>
        <x:v>1</x:v>
      </x:c>
      <x:c r="DU9">
        <x:f t="shared" si="6"/>
        <x:v>1</x:v>
      </x:c>
      <x:c r="DV9">
        <x:f t="shared" si="6"/>
        <x:v>0</x:v>
      </x:c>
      <x:c r="DW9">
        <x:f t="shared" si="6"/>
        <x:v>0</x:v>
      </x:c>
      <x:c r="DX9">
        <x:f t="shared" si="6"/>
        <x:v>1</x:v>
      </x:c>
      <x:c r="DY9">
        <x:f t="shared" si="6"/>
        <x:v>1</x:v>
      </x:c>
      <x:c r="DZ9">
        <x:f t="shared" si="6"/>
        <x:v>0</x:v>
      </x:c>
      <x:c r="EA9">
        <x:f t="shared" si="6"/>
        <x:v>1</x:v>
      </x:c>
      <x:c r="EC9" s="19" t="n">
        <x:f>SUM(EC5:EC7)</x:f>
        <x:v>3</x:v>
      </x:c>
      <x:c r="ED9" t="n">
        <x:f>COUNTIF(ED5:ED7,"〇")</x:f>
        <x:v>3</x:v>
      </x:c>
      <x:c r="EE9" t="n">
        <x:f>COUNTIF(EE5:EE7,"〇")</x:f>
        <x:v>0</x:v>
      </x:c>
      <x:c r="EF9" t="n">
        <x:f>COUNTIF(EF5:EF7,"〇")</x:f>
        <x:v>0</x:v>
      </x:c>
      <x:c r="EG9" t="n">
        <x:f>COUNTIF(EG5:EG7,"〇")</x:f>
        <x:v>0</x:v>
      </x:c>
      <x:c r="EH9" s="19" t="n">
        <x:f>SUM(EH5:EH7)</x:f>
        <x:v>3</x:v>
      </x:c>
      <x:c r="EI9" t="n">
        <x:f t="shared" ref="EI9:EP9" si="7">COUNTIF(EI5:EI7,"〇")</x:f>
        <x:v>3</x:v>
      </x:c>
      <x:c r="EJ9">
        <x:f t="shared" si="7"/>
        <x:v>1</x:v>
      </x:c>
      <x:c r="EK9">
        <x:f t="shared" si="7"/>
        <x:v>3</x:v>
      </x:c>
      <x:c r="EL9">
        <x:f t="shared" si="7"/>
        <x:v>1</x:v>
      </x:c>
      <x:c r="EM9">
        <x:f t="shared" si="7"/>
        <x:v>0</x:v>
      </x:c>
      <x:c r="EN9">
        <x:f t="shared" si="7"/>
        <x:v>2</x:v>
      </x:c>
      <x:c r="EO9">
        <x:f t="shared" si="7"/>
        <x:v>0</x:v>
      </x:c>
      <x:c r="EP9">
        <x:f t="shared" si="7"/>
        <x:v>1</x:v>
      </x:c>
      <x:c r="ER9" s="19" t="n">
        <x:f>SUM(ER5:ER7)</x:f>
        <x:v>3</x:v>
      </x:c>
      <x:c r="ES9" t="n">
        <x:f t="shared" ref="ES9:FF9" si="8">COUNTIF(ES5:ES7,"〇")</x:f>
        <x:v>2</x:v>
      </x:c>
      <x:c r="ET9">
        <x:f t="shared" si="8"/>
        <x:v>0</x:v>
      </x:c>
      <x:c r="EU9">
        <x:f t="shared" si="8"/>
        <x:v>1</x:v>
      </x:c>
      <x:c r="EV9">
        <x:f t="shared" si="8"/>
        <x:v>0</x:v>
      </x:c>
      <x:c r="EW9">
        <x:f t="shared" si="8"/>
        <x:v>0</x:v>
      </x:c>
      <x:c r="EX9">
        <x:f t="shared" si="8"/>
        <x:v>0</x:v>
      </x:c>
      <x:c r="EY9">
        <x:f t="shared" si="8"/>
        <x:v>1</x:v>
      </x:c>
      <x:c r="EZ9">
        <x:f t="shared" si="8"/>
        <x:v>0</x:v>
      </x:c>
      <x:c r="FA9">
        <x:f t="shared" si="8"/>
        <x:v>1</x:v>
      </x:c>
      <x:c r="FB9">
        <x:f t="shared" si="8"/>
        <x:v>0</x:v>
      </x:c>
      <x:c r="FC9">
        <x:f t="shared" si="8"/>
        <x:v>0</x:v>
      </x:c>
      <x:c r="FD9">
        <x:f t="shared" si="8"/>
        <x:v>0</x:v>
      </x:c>
      <x:c r="FE9">
        <x:f t="shared" si="8"/>
        <x:v>0</x:v>
      </x:c>
      <x:c r="FF9">
        <x:f t="shared" si="8"/>
        <x:v>0</x:v>
      </x:c>
      <x:c r="FH9" s="19" t="n">
        <x:f>SUM(FH5:FH7)</x:f>
        <x:v>3</x:v>
      </x:c>
      <x:c r="FI9" t="n">
        <x:f t="shared" ref="FI9:FP9" si="9">COUNTIF(FI5:FI7,"〇")</x:f>
        <x:v>1</x:v>
      </x:c>
      <x:c r="FJ9">
        <x:f t="shared" si="9"/>
        <x:v>1</x:v>
      </x:c>
      <x:c r="FK9">
        <x:f t="shared" si="9"/>
        <x:v>1</x:v>
      </x:c>
      <x:c r="FL9">
        <x:f t="shared" si="9"/>
        <x:v>1</x:v>
      </x:c>
      <x:c r="FM9">
        <x:f t="shared" si="9"/>
        <x:v>0</x:v>
      </x:c>
      <x:c r="FN9">
        <x:f t="shared" si="9"/>
        <x:v>3</x:v>
      </x:c>
      <x:c r="FO9">
        <x:f t="shared" si="9"/>
        <x:v>0</x:v>
      </x:c>
      <x:c r="FP9">
        <x:f t="shared" si="9"/>
        <x:v>1</x:v>
      </x:c>
      <x:c r="FR9" s="19" t="n">
        <x:f>SUM(FR5:FR7)</x:f>
        <x:v>3</x:v>
      </x:c>
      <x:c r="FS9" t="n">
        <x:f t="shared" ref="FS9:GD9" si="10">COUNTIF(FS5:FS7,"〇")</x:f>
        <x:v>3</x:v>
      </x:c>
      <x:c r="FT9">
        <x:f t="shared" si="10"/>
        <x:v>0</x:v>
      </x:c>
      <x:c r="FU9">
        <x:f t="shared" si="10"/>
        <x:v>0</x:v>
      </x:c>
      <x:c r="FV9">
        <x:f t="shared" si="10"/>
        <x:v>1</x:v>
      </x:c>
      <x:c r="FW9">
        <x:f t="shared" si="10"/>
        <x:v>0</x:v>
      </x:c>
      <x:c r="FX9">
        <x:f t="shared" si="10"/>
        <x:v>2</x:v>
      </x:c>
      <x:c r="FY9">
        <x:f t="shared" si="10"/>
        <x:v>0</x:v>
      </x:c>
      <x:c r="FZ9">
        <x:f t="shared" si="10"/>
        <x:v>0</x:v>
      </x:c>
      <x:c r="GA9">
        <x:f t="shared" si="10"/>
        <x:v>0</x:v>
      </x:c>
      <x:c r="GB9">
        <x:f t="shared" si="10"/>
        <x:v>0</x:v>
      </x:c>
      <x:c r="GC9">
        <x:f t="shared" si="10"/>
        <x:v>0</x:v>
      </x:c>
      <x:c r="GD9">
        <x:f t="shared" si="10"/>
        <x:v>1</x:v>
      </x:c>
      <x:c r="GF9" s="19" t="n">
        <x:f>SUM(GF5:GF7)</x:f>
        <x:v>3</x:v>
      </x:c>
      <x:c r="GG9" t="n">
        <x:f t="shared" ref="GG9:GO9" si="11">COUNTIF(GG5:GG7,"〇")</x:f>
        <x:v>0</x:v>
      </x:c>
      <x:c r="GH9">
        <x:f t="shared" si="11"/>
        <x:v>0</x:v>
      </x:c>
      <x:c r="GI9">
        <x:f t="shared" si="11"/>
        <x:v>0</x:v>
      </x:c>
      <x:c r="GJ9">
        <x:f t="shared" si="11"/>
        <x:v>2</x:v>
      </x:c>
      <x:c r="GK9">
        <x:f t="shared" si="11"/>
        <x:v>0</x:v>
      </x:c>
      <x:c r="GL9">
        <x:f t="shared" si="11"/>
        <x:v>1</x:v>
      </x:c>
      <x:c r="GM9">
        <x:f t="shared" si="11"/>
        <x:v>0</x:v>
      </x:c>
      <x:c r="GN9">
        <x:f t="shared" si="11"/>
        <x:v>0</x:v>
      </x:c>
      <x:c r="GO9">
        <x:f t="shared" si="11"/>
        <x:v>0</x:v>
      </x:c>
      <x:c r="GQ9" s="19" t="n">
        <x:f>SUM(GQ5:GQ7)</x:f>
        <x:v>3</x:v>
      </x:c>
      <x:c r="GR9" t="n">
        <x:f t="shared" ref="GR9:HA9" si="12">COUNTIF(GR5:GR7,"〇")</x:f>
        <x:v>0</x:v>
      </x:c>
      <x:c r="GS9">
        <x:f t="shared" si="12"/>
        <x:v>1</x:v>
      </x:c>
      <x:c r="GT9">
        <x:f t="shared" si="12"/>
        <x:v>0</x:v>
      </x:c>
      <x:c r="GU9">
        <x:f t="shared" si="12"/>
        <x:v>0</x:v>
      </x:c>
      <x:c r="GV9">
        <x:f t="shared" si="12"/>
        <x:v>3</x:v>
      </x:c>
      <x:c r="GW9">
        <x:f t="shared" si="12"/>
        <x:v>0</x:v>
      </x:c>
      <x:c r="GX9">
        <x:f t="shared" si="12"/>
        <x:v>1</x:v>
      </x:c>
      <x:c r="GY9">
        <x:f t="shared" si="12"/>
        <x:v>0</x:v>
      </x:c>
      <x:c r="GZ9">
        <x:f t="shared" si="12"/>
        <x:v>0</x:v>
      </x:c>
      <x:c r="HA9">
        <x:f t="shared" si="12"/>
        <x:v>0</x:v>
      </x:c>
      <x:c r="HC9" s="19" t="n">
        <x:f>SUM(HC5:HC7)</x:f>
        <x:v>3</x:v>
      </x:c>
      <x:c r="HD9" t="n">
        <x:f t="shared" ref="HD9:HL9" si="13">COUNTIF(HD5:HD7,"〇")</x:f>
        <x:v>2</x:v>
      </x:c>
      <x:c r="HE9">
        <x:f t="shared" si="13"/>
        <x:v>3</x:v>
      </x:c>
      <x:c r="HF9">
        <x:f t="shared" si="13"/>
        <x:v>1</x:v>
      </x:c>
      <x:c r="HG9">
        <x:f t="shared" si="13"/>
        <x:v>1</x:v>
      </x:c>
      <x:c r="HH9">
        <x:f t="shared" si="13"/>
        <x:v>3</x:v>
      </x:c>
      <x:c r="HI9">
        <x:f t="shared" si="13"/>
        <x:v>2</x:v>
      </x:c>
      <x:c r="HJ9">
        <x:f t="shared" si="13"/>
        <x:v>1</x:v>
      </x:c>
      <x:c r="HK9">
        <x:f t="shared" si="13"/>
        <x:v>1</x:v>
      </x:c>
      <x:c r="HL9">
        <x:f t="shared" si="13"/>
        <x:v>0</x:v>
      </x:c>
      <x:c r="HN9" s="19" t="n">
        <x:f>SUM(HN5:HN7)</x:f>
        <x:v>3</x:v>
      </x:c>
      <x:c r="HO9" t="n">
        <x:f t="shared" ref="HO9:HW9" si="14">COUNTIF(HO5:HO7,"〇")</x:f>
        <x:v>0</x:v>
      </x:c>
      <x:c r="HP9">
        <x:f t="shared" si="14"/>
        <x:v>0</x:v>
      </x:c>
      <x:c r="HQ9">
        <x:f t="shared" si="14"/>
        <x:v>1</x:v>
      </x:c>
      <x:c r="HR9">
        <x:f t="shared" si="14"/>
        <x:v>1</x:v>
      </x:c>
      <x:c r="HS9">
        <x:f t="shared" si="14"/>
        <x:v>1</x:v>
      </x:c>
      <x:c r="HT9">
        <x:f t="shared" si="14"/>
        <x:v>0</x:v>
      </x:c>
      <x:c r="HU9">
        <x:f t="shared" si="14"/>
        <x:v>0</x:v>
      </x:c>
      <x:c r="HV9">
        <x:f t="shared" si="14"/>
        <x:v>0</x:v>
      </x:c>
      <x:c r="HW9">
        <x:f t="shared" si="14"/>
        <x:v>0</x:v>
      </x:c>
      <x:c r="HY9" s="19" t="n">
        <x:f>SUM(HY5:HY7)</x:f>
        <x:v>3</x:v>
      </x:c>
      <x:c r="HZ9" t="n">
        <x:f t="shared" ref="HZ9:II9" si="15">COUNTIF(HZ5:HZ7,"〇")</x:f>
        <x:v>3</x:v>
      </x:c>
      <x:c r="IA9">
        <x:f t="shared" si="15"/>
        <x:v>1</x:v>
      </x:c>
      <x:c r="IB9">
        <x:f t="shared" si="15"/>
        <x:v>3</x:v>
      </x:c>
      <x:c r="IC9">
        <x:f t="shared" si="15"/>
        <x:v>0</x:v>
      </x:c>
      <x:c r="ID9">
        <x:f t="shared" si="15"/>
        <x:v>0</x:v>
      </x:c>
      <x:c r="IE9">
        <x:f t="shared" si="15"/>
        <x:v>1</x:v>
      </x:c>
      <x:c r="IF9">
        <x:f t="shared" si="15"/>
        <x:v>0</x:v>
      </x:c>
      <x:c r="IG9">
        <x:f t="shared" si="15"/>
        <x:v>0</x:v>
      </x:c>
      <x:c r="IH9">
        <x:f t="shared" si="15"/>
        <x:v>0</x:v>
      </x:c>
      <x:c r="II9">
        <x:f t="shared" si="15"/>
        <x:v>1</x:v>
      </x:c>
      <x:c r="IK9" s="19" t="n">
        <x:f>SUM(IK5:IK7)</x:f>
        <x:v>3</x:v>
      </x:c>
      <x:c r="IL9" t="n">
        <x:f>COUNTIF(IL5:IL7,"〇")</x:f>
        <x:v>2</x:v>
      </x:c>
      <x:c r="IM9" t="n">
        <x:f>COUNTIF(IM5:IM7,"〇")</x:f>
        <x:v>1</x:v>
      </x:c>
      <x:c r="IN9" t="n">
        <x:f>COUNTIF(IN5:IN7,"〇")</x:f>
        <x:v>0</x:v>
      </x:c>
      <x:c r="IO9" t="n">
        <x:f>COUNTIF(IO5:IO7,"〇")</x:f>
        <x:v>0</x:v>
      </x:c>
      <x:c r="IP9" s="19" t="n">
        <x:f>SUM(IP5:IP7)</x:f>
        <x:v>3</x:v>
      </x:c>
      <x:c r="IQ9" t="n">
        <x:f>COUNTIF(IQ5:IQ7,"〇")</x:f>
        <x:v>1</x:v>
      </x:c>
      <x:c r="IR9" t="n">
        <x:f>COUNTIF(IR5:IR7,"〇")</x:f>
        <x:v>2</x:v>
      </x:c>
      <x:c r="IS9" t="n">
        <x:f>COUNTIF(IS5:IS7,"〇")</x:f>
        <x:v>0</x:v>
      </x:c>
      <x:c r="IT9" t="n">
        <x:f>COUNTIF(IT5:IT7,"〇")</x:f>
        <x:v>0</x:v>
      </x:c>
      <x:c r="IU9" s="19" t="n">
        <x:f>SUM(IU5:IU7)</x:f>
        <x:v>3</x:v>
      </x:c>
      <x:c r="IV9" t="n">
        <x:f>COUNTIF(IV5:IV7,"〇")</x:f>
        <x:v>1</x:v>
      </x:c>
      <x:c r="IW9" t="n">
        <x:f>COUNTIF(IW5:IW7,"〇")</x:f>
        <x:v>2</x:v>
      </x:c>
      <x:c r="IX9" t="n">
        <x:f>COUNTIF(IX5:IX7,"〇")</x:f>
        <x:v>0</x:v>
      </x:c>
      <x:c r="IY9" t="n">
        <x:f>COUNTIF(IY5:IY7,"〇")</x:f>
        <x:v>0</x:v>
      </x:c>
      <x:c r="IZ9" s="19" t="n">
        <x:f>SUM(IZ5:IZ7)</x:f>
        <x:v>3</x:v>
      </x:c>
      <x:c r="JA9" t="n">
        <x:f>COUNTIF(JA5:JA7,"〇")</x:f>
        <x:v>0</x:v>
      </x:c>
      <x:c r="JB9" t="n">
        <x:f>COUNTIF(JB5:JB7,"〇")</x:f>
        <x:v>2</x:v>
      </x:c>
      <x:c r="JC9" t="n">
        <x:f>COUNTIF(JC5:JC7,"〇")</x:f>
        <x:v>1</x:v>
      </x:c>
      <x:c r="JD9" t="n">
        <x:f>COUNTIF(JD5:JD7,"〇")</x:f>
        <x:v>0</x:v>
      </x:c>
      <x:c r="JE9" s="19" t="n">
        <x:f>SUM(JE5:JE7)</x:f>
        <x:v>3</x:v>
      </x:c>
      <x:c r="JF9" t="n">
        <x:f>COUNTIF(JF5:JF7,"〇")</x:f>
        <x:v>3</x:v>
      </x:c>
      <x:c r="JG9" t="n">
        <x:f>COUNTIF(JG5:JG7,"〇")</x:f>
        <x:v>0</x:v>
      </x:c>
      <x:c r="JH9" t="n">
        <x:f>COUNTIF(JH5:JH7,"〇")</x:f>
        <x:v>0</x:v>
      </x:c>
      <x:c r="JI9" t="n">
        <x:f>COUNTIF(JI5:JI7,"〇")</x:f>
        <x:v>0</x:v>
      </x:c>
      <x:c r="JJ9" s="19" t="n">
        <x:f>SUM(JJ5:JJ7)</x:f>
        <x:v>3</x:v>
      </x:c>
      <x:c r="JK9" t="n">
        <x:f t="shared" ref="JK9:JU9" si="16">COUNTIF(JK5:JK7,"〇")</x:f>
        <x:v>1</x:v>
      </x:c>
      <x:c r="JL9">
        <x:f t="shared" si="16"/>
        <x:v>0</x:v>
      </x:c>
      <x:c r="JM9">
        <x:f t="shared" si="16"/>
        <x:v>1</x:v>
      </x:c>
      <x:c r="JN9">
        <x:f t="shared" si="16"/>
        <x:v>0</x:v>
      </x:c>
      <x:c r="JO9">
        <x:f t="shared" si="16"/>
        <x:v>0</x:v>
      </x:c>
      <x:c r="JP9">
        <x:f t="shared" si="16"/>
        <x:v>0</x:v>
      </x:c>
      <x:c r="JQ9">
        <x:f t="shared" si="16"/>
        <x:v>0</x:v>
      </x:c>
      <x:c r="JR9">
        <x:f t="shared" si="16"/>
        <x:v>1</x:v>
      </x:c>
      <x:c r="JS9">
        <x:f t="shared" si="16"/>
        <x:v>2</x:v>
      </x:c>
      <x:c r="JT9">
        <x:f t="shared" si="16"/>
        <x:v>1</x:v>
      </x:c>
      <x:c r="JU9">
        <x:f t="shared" si="16"/>
        <x:v>0</x:v>
      </x:c>
      <x:c r="JW9" s="19" t="n">
        <x:f>SUM(JW5:JW7)</x:f>
        <x:v>3</x:v>
      </x:c>
      <x:c r="JX9" t="n">
        <x:f t="shared" ref="JX9:KH9" si="17">COUNTIF(JX5:JX7,"〇")</x:f>
        <x:v>0</x:v>
      </x:c>
      <x:c r="JY9">
        <x:f t="shared" si="17"/>
        <x:v>2</x:v>
      </x:c>
      <x:c r="JZ9">
        <x:f t="shared" si="17"/>
        <x:v>0</x:v>
      </x:c>
      <x:c r="KA9">
        <x:f t="shared" si="17"/>
        <x:v>0</x:v>
      </x:c>
      <x:c r="KB9">
        <x:f t="shared" si="17"/>
        <x:v>1</x:v>
      </x:c>
      <x:c r="KC9">
        <x:f t="shared" si="17"/>
        <x:v>1</x:v>
      </x:c>
      <x:c r="KD9">
        <x:f t="shared" si="17"/>
        <x:v>0</x:v>
      </x:c>
      <x:c r="KE9">
        <x:f t="shared" si="17"/>
        <x:v>0</x:v>
      </x:c>
      <x:c r="KF9">
        <x:f t="shared" si="17"/>
        <x:v>0</x:v>
      </x:c>
      <x:c r="KG9">
        <x:f t="shared" si="17"/>
        <x:v>1</x:v>
      </x:c>
      <x:c r="KH9">
        <x:f t="shared" si="17"/>
        <x:v>0</x:v>
      </x:c>
      <x:c r="KJ9" s="19" t="n">
        <x:f>SUM(KJ5:KJ7)</x:f>
        <x:v>3</x:v>
      </x:c>
      <x:c r="KK9" t="n">
        <x:f t="shared" ref="KK9:KT9" si="18">COUNTIF(KK5:KK7,"〇")</x:f>
        <x:v>1</x:v>
      </x:c>
      <x:c r="KL9">
        <x:f t="shared" si="18"/>
        <x:v>1</x:v>
      </x:c>
      <x:c r="KM9">
        <x:f t="shared" si="18"/>
        <x:v>1</x:v>
      </x:c>
      <x:c r="KN9">
        <x:f t="shared" si="18"/>
        <x:v>2</x:v>
      </x:c>
      <x:c r="KO9">
        <x:f t="shared" si="18"/>
        <x:v>1</x:v>
      </x:c>
      <x:c r="KP9">
        <x:f t="shared" si="18"/>
        <x:v>1</x:v>
      </x:c>
      <x:c r="KQ9">
        <x:f t="shared" si="18"/>
        <x:v>1</x:v>
      </x:c>
      <x:c r="KR9">
        <x:f t="shared" si="18"/>
        <x:v>3</x:v>
      </x:c>
      <x:c r="KS9">
        <x:f t="shared" si="18"/>
        <x:v>3</x:v>
      </x:c>
      <x:c r="KT9">
        <x:f t="shared" si="18"/>
        <x:v>0</x:v>
      </x:c>
      <x:c r="KU9" s="19" t="n">
        <x:f>SUM(KU5:KU7)</x:f>
        <x:v>3</x:v>
      </x:c>
      <x:c r="KV9" t="n">
        <x:f t="shared" ref="KV9:LF9" si="19">COUNTIF(KV5:KV7,"〇")</x:f>
        <x:v>0</x:v>
      </x:c>
      <x:c r="KW9">
        <x:f t="shared" si="19"/>
        <x:v>1</x:v>
      </x:c>
      <x:c r="KX9">
        <x:f t="shared" si="19"/>
        <x:v>0</x:v>
      </x:c>
      <x:c r="KY9">
        <x:f t="shared" si="19"/>
        <x:v>0</x:v>
      </x:c>
      <x:c r="KZ9">
        <x:f t="shared" si="19"/>
        <x:v>2</x:v>
      </x:c>
      <x:c r="LA9">
        <x:f t="shared" si="19"/>
        <x:v>1</x:v>
      </x:c>
      <x:c r="LB9">
        <x:f t="shared" si="19"/>
        <x:v>0</x:v>
      </x:c>
      <x:c r="LC9">
        <x:f t="shared" si="19"/>
        <x:v>3</x:v>
      </x:c>
      <x:c r="LD9">
        <x:f t="shared" si="19"/>
        <x:v>1</x:v>
      </x:c>
      <x:c r="LE9">
        <x:f t="shared" si="19"/>
        <x:v>0</x:v>
      </x:c>
      <x:c r="LF9">
        <x:f t="shared" si="19"/>
        <x:v>0</x:v>
      </x:c>
      <x:c r="LH9" s="19" t="n">
        <x:f>SUM(LH5:LH7)</x:f>
        <x:v>3</x:v>
      </x:c>
      <x:c r="LI9" t="n">
        <x:f t="shared" ref="LI9:LO9" si="20">COUNTIF(LI5:LI7,"〇")</x:f>
        <x:v>0</x:v>
      </x:c>
      <x:c r="LJ9">
        <x:f t="shared" si="20"/>
        <x:v>0</x:v>
      </x:c>
      <x:c r="LK9">
        <x:f t="shared" si="20"/>
        <x:v>1</x:v>
      </x:c>
      <x:c r="LL9">
        <x:f t="shared" si="20"/>
        <x:v>0</x:v>
      </x:c>
      <x:c r="LM9">
        <x:f t="shared" si="20"/>
        <x:v>1</x:v>
      </x:c>
      <x:c r="LN9">
        <x:f t="shared" si="20"/>
        <x:v>0</x:v>
      </x:c>
      <x:c r="LO9">
        <x:f t="shared" si="20"/>
        <x:v>1</x:v>
      </x:c>
      <x:c r="LP9" s="19" t="n">
        <x:f>SUM(LP5:LP7)</x:f>
        <x:v>3</x:v>
      </x:c>
      <x:c r="LQ9" t="n">
        <x:f t="shared" ref="LQ9:LY9" si="21">COUNTIF(LQ5:LQ7,"〇")</x:f>
        <x:v>2</x:v>
      </x:c>
      <x:c r="LR9">
        <x:f t="shared" si="21"/>
        <x:v>2</x:v>
      </x:c>
      <x:c r="LS9">
        <x:f t="shared" si="21"/>
        <x:v>1</x:v>
      </x:c>
      <x:c r="LT9">
        <x:f t="shared" si="21"/>
        <x:v>1</x:v>
      </x:c>
      <x:c r="LU9">
        <x:f t="shared" si="21"/>
        <x:v>1</x:v>
      </x:c>
      <x:c r="LV9">
        <x:f t="shared" si="21"/>
        <x:v>0</x:v>
      </x:c>
      <x:c r="LW9">
        <x:f t="shared" si="21"/>
        <x:v>1</x:v>
      </x:c>
      <x:c r="LX9">
        <x:f t="shared" si="21"/>
        <x:v>0</x:v>
      </x:c>
      <x:c r="LY9">
        <x:f t="shared" si="21"/>
        <x:v>0</x:v>
      </x:c>
      <x:c r="MA9" s="19" t="n">
        <x:f>SUM(MA5:MA7)</x:f>
        <x:v>3</x:v>
      </x:c>
      <x:c r="MB9" t="n">
        <x:f t="shared" ref="MB9:MM9" si="22">COUNTIF(MB5:MB7,"〇")</x:f>
        <x:v>3</x:v>
      </x:c>
      <x:c r="MC9">
        <x:f t="shared" si="22"/>
        <x:v>1</x:v>
      </x:c>
      <x:c r="MD9">
        <x:f t="shared" si="22"/>
        <x:v>3</x:v>
      </x:c>
      <x:c r="ME9">
        <x:f t="shared" si="22"/>
        <x:v>1</x:v>
      </x:c>
      <x:c r="MF9">
        <x:f t="shared" si="22"/>
        <x:v>3</x:v>
      </x:c>
      <x:c r="MG9">
        <x:f t="shared" si="22"/>
        <x:v>3</x:v>
      </x:c>
      <x:c r="MH9">
        <x:f t="shared" si="22"/>
        <x:v>3</x:v>
      </x:c>
      <x:c r="MI9">
        <x:f t="shared" si="22"/>
        <x:v>3</x:v>
      </x:c>
      <x:c r="MJ9">
        <x:f t="shared" si="22"/>
        <x:v>3</x:v>
      </x:c>
      <x:c r="MK9">
        <x:f t="shared" si="22"/>
        <x:v>3</x:v>
      </x:c>
      <x:c r="ML9">
        <x:f t="shared" si="22"/>
        <x:v>0</x:v>
      </x:c>
      <x:c r="MM9">
        <x:f t="shared" si="22"/>
        <x:v>1</x:v>
      </x:c>
      <x:c r="MO9" s="19" t="n">
        <x:f>SUM(MO5:MO7)</x:f>
        <x:v>3</x:v>
      </x:c>
      <x:c r="MQ9" s="19">
        <x:v>3</x:v>
      </x:c>
      <x:c r="MR9" t="n">
        <x:f>COUNTIF(MR5:MR7,"〇")</x:f>
        <x:v>1</x:v>
      </x:c>
      <x:c r="MS9" t="n">
        <x:f>COUNTIF(MS5:MS7,"〇")</x:f>
        <x:v>1</x:v>
      </x:c>
      <x:c r="MT9" t="n">
        <x:f>COUNTIF(MT5:MT7,"〇")</x:f>
        <x:v>0</x:v>
      </x:c>
      <x:c r="MU9" t="n">
        <x:f>COUNTIF(MU5:MU7,"〇")</x:f>
        <x:v>1</x:v>
      </x:c>
      <x:c r="MV9" t="n">
        <x:f>COUNTIF(MV5:MV7,"〇")</x:f>
        <x:v>0</x:v>
      </x:c>
      <x:c r="MW9" s="19" t="n">
        <x:f>SUM(MW5:MW7)</x:f>
        <x:v>3</x:v>
      </x:c>
      <x:c r="MX9" t="n">
        <x:f t="shared" ref="MX9:NH9" si="23">COUNTIF(MX5:MX7,"〇")</x:f>
        <x:v>2</x:v>
      </x:c>
      <x:c r="MY9">
        <x:f t="shared" si="23"/>
        <x:v>0</x:v>
      </x:c>
      <x:c r="MZ9">
        <x:f t="shared" si="23"/>
        <x:v>1</x:v>
      </x:c>
      <x:c r="NA9">
        <x:f t="shared" si="23"/>
        <x:v>0</x:v>
      </x:c>
      <x:c r="NB9">
        <x:f t="shared" si="23"/>
        <x:v>0</x:v>
      </x:c>
      <x:c r="NC9">
        <x:f t="shared" si="23"/>
        <x:v>1</x:v>
      </x:c>
      <x:c r="ND9">
        <x:f t="shared" si="23"/>
        <x:v>2</x:v>
      </x:c>
      <x:c r="NE9">
        <x:f t="shared" si="23"/>
        <x:v>1</x:v>
      </x:c>
      <x:c r="NF9">
        <x:f t="shared" si="23"/>
        <x:v>0</x:v>
      </x:c>
      <x:c r="NG9">
        <x:f t="shared" si="23"/>
        <x:v>1</x:v>
      </x:c>
      <x:c r="NH9">
        <x:f t="shared" si="23"/>
        <x:v>0</x:v>
      </x:c>
      <x:c r="NJ9" s="19" t="n">
        <x:f>SUM(NJ5:NJ7)</x:f>
        <x:v>3</x:v>
      </x:c>
      <x:c r="NK9" t="n">
        <x:f t="shared" ref="NK9:NS9" si="24">COUNTIF(NK5:NK7,"〇")</x:f>
        <x:v>3</x:v>
      </x:c>
      <x:c r="NL9">
        <x:f t="shared" si="24"/>
        <x:v>1</x:v>
      </x:c>
      <x:c r="NM9">
        <x:f t="shared" si="24"/>
        <x:v>1</x:v>
      </x:c>
      <x:c r="NN9">
        <x:f t="shared" si="24"/>
        <x:v>1</x:v>
      </x:c>
      <x:c r="NO9">
        <x:f t="shared" si="24"/>
        <x:v>2</x:v>
      </x:c>
      <x:c r="NP9">
        <x:f t="shared" si="24"/>
        <x:v>2</x:v>
      </x:c>
      <x:c r="NQ9">
        <x:f t="shared" si="24"/>
        <x:v>3</x:v>
      </x:c>
      <x:c r="NR9">
        <x:f t="shared" si="24"/>
        <x:v>0</x:v>
      </x:c>
      <x:c r="NS9">
        <x:f t="shared" si="24"/>
        <x:v>0</x:v>
      </x:c>
      <x:c r="NU9" s="19" t="n">
        <x:f>SUM(NU5:NU7)</x:f>
        <x:v>3</x:v>
      </x:c>
      <x:c r="NV9" t="n">
        <x:f>COUNTIF(NV5:NV7,"〇")</x:f>
        <x:v>0</x:v>
      </x:c>
      <x:c r="NW9" t="n">
        <x:f>COUNTIF(NW5:NW7,"〇")</x:f>
        <x:v>0</x:v>
      </x:c>
      <x:c r="NX9" t="n">
        <x:f>COUNTIF(NX5:NX7,"〇")</x:f>
        <x:v>0</x:v>
      </x:c>
      <x:c r="NY9" t="n">
        <x:f>COUNTIF(NY5:NY7,"〇")</x:f>
        <x:v>0</x:v>
      </x:c>
      <x:c r="NZ9" t="n">
        <x:f>COUNTIF(NZ5:NZ7,"〇")</x:f>
        <x:v>3</x:v>
      </x:c>
      <x:c r="OA9" s="19" t="n">
        <x:f>SUM(OA5:OA7)</x:f>
        <x:v>3</x:v>
      </x:c>
      <x:c r="OB9" t="n">
        <x:f t="shared" ref="OB9:OK9" si="25">COUNTIF(OB5:OB7,"〇")</x:f>
        <x:v>1</x:v>
      </x:c>
      <x:c r="OC9">
        <x:f t="shared" si="25"/>
        <x:v>2</x:v>
      </x:c>
      <x:c r="OD9">
        <x:f t="shared" si="25"/>
        <x:v>2</x:v>
      </x:c>
      <x:c r="OE9">
        <x:f t="shared" si="25"/>
        <x:v>0</x:v>
      </x:c>
      <x:c r="OF9">
        <x:f t="shared" si="25"/>
        <x:v>0</x:v>
      </x:c>
      <x:c r="OG9">
        <x:f t="shared" si="25"/>
        <x:v>1</x:v>
      </x:c>
      <x:c r="OH9">
        <x:f t="shared" si="25"/>
        <x:v>2</x:v>
      </x:c>
      <x:c r="OI9">
        <x:f t="shared" si="25"/>
        <x:v>0</x:v>
      </x:c>
      <x:c r="OJ9">
        <x:f t="shared" si="25"/>
        <x:v>0</x:v>
      </x:c>
      <x:c r="OK9">
        <x:f t="shared" si="25"/>
        <x:v>0</x:v>
      </x:c>
      <x:c r="OM9" s="19" t="n">
        <x:f>SUM(OM5:OM7)</x:f>
        <x:v>3</x:v>
      </x:c>
      <x:c r="ON9" t="n">
        <x:f>COUNTIF(ON5:ON7,"〇")</x:f>
        <x:v>0</x:v>
      </x:c>
      <x:c r="OO9" t="n">
        <x:f>COUNTIF(OO5:OO7,"〇")</x:f>
        <x:v>0</x:v>
      </x:c>
      <x:c r="OP9" t="n">
        <x:f>COUNTIF(OP5:OP7,"〇")</x:f>
        <x:v>3</x:v>
      </x:c>
      <x:c r="OQ9" t="n">
        <x:f>COUNTIF(OQ5:OQ7,"〇")</x:f>
        <x:v>0</x:v>
      </x:c>
      <x:c r="OR9" s="19" t="n">
        <x:f>SUM(OR5:OR7)</x:f>
        <x:v>3</x:v>
      </x:c>
      <x:c r="OS9" t="n">
        <x:f t="shared" ref="OS9:PD9" si="26">COUNTIF(OS5:OS7,"〇")</x:f>
        <x:v>3</x:v>
      </x:c>
      <x:c r="OT9">
        <x:f t="shared" si="26"/>
        <x:v>0</x:v>
      </x:c>
      <x:c r="OU9">
        <x:f t="shared" si="26"/>
        <x:v>0</x:v>
      </x:c>
      <x:c r="OV9">
        <x:f t="shared" si="26"/>
        <x:v>0</x:v>
      </x:c>
      <x:c r="OW9">
        <x:f t="shared" si="26"/>
        <x:v>0</x:v>
      </x:c>
      <x:c r="OX9">
        <x:f t="shared" si="26"/>
        <x:v>0</x:v>
      </x:c>
      <x:c r="OY9">
        <x:f t="shared" si="26"/>
        <x:v>0</x:v>
      </x:c>
      <x:c r="OZ9">
        <x:f t="shared" si="26"/>
        <x:v>0</x:v>
      </x:c>
      <x:c r="PA9">
        <x:f t="shared" si="26"/>
        <x:v>0</x:v>
      </x:c>
      <x:c r="PB9">
        <x:f t="shared" si="26"/>
        <x:v>0</x:v>
      </x:c>
      <x:c r="PC9">
        <x:f t="shared" si="26"/>
        <x:v>0</x:v>
      </x:c>
      <x:c r="PD9">
        <x:f t="shared" si="26"/>
        <x:v>0</x:v>
      </x:c>
      <x:c r="PF9" s="19" t="n">
        <x:f>SUM(PF5:PF7)</x:f>
        <x:v>3</x:v>
      </x:c>
      <x:c r="PG9" t="n">
        <x:f t="shared" ref="PG9:PO9" si="27">COUNTIF(PG5:PG7,"〇")</x:f>
        <x:v>0</x:v>
      </x:c>
      <x:c r="PH9">
        <x:f t="shared" si="27"/>
        <x:v>1</x:v>
      </x:c>
      <x:c r="PI9">
        <x:f t="shared" si="27"/>
        <x:v>0</x:v>
      </x:c>
      <x:c r="PJ9">
        <x:f t="shared" si="27"/>
        <x:v>2</x:v>
      </x:c>
      <x:c r="PK9">
        <x:f t="shared" si="27"/>
        <x:v>2</x:v>
      </x:c>
      <x:c r="PL9">
        <x:f t="shared" si="27"/>
        <x:v>1</x:v>
      </x:c>
      <x:c r="PM9">
        <x:f t="shared" si="27"/>
        <x:v>2</x:v>
      </x:c>
      <x:c r="PN9">
        <x:f t="shared" si="27"/>
        <x:v>0</x:v>
      </x:c>
      <x:c r="PO9">
        <x:f t="shared" si="27"/>
        <x:v>0</x:v>
      </x:c>
      <x:c r="PQ9" s="19" t="n">
        <x:f>SUM(PQ5:PQ7)</x:f>
        <x:v>3</x:v>
      </x:c>
      <x:c r="PR9" t="n">
        <x:f t="shared" ref="PR9:PZ9" si="28">COUNTIF(PR5:PR7,"〇")</x:f>
        <x:v>1</x:v>
      </x:c>
      <x:c r="PS9">
        <x:f t="shared" si="28"/>
        <x:v>0</x:v>
      </x:c>
      <x:c r="PT9">
        <x:f t="shared" si="28"/>
        <x:v>0</x:v>
      </x:c>
      <x:c r="PU9">
        <x:f t="shared" si="28"/>
        <x:v>0</x:v>
      </x:c>
      <x:c r="PV9">
        <x:f t="shared" si="28"/>
        <x:v>0</x:v>
      </x:c>
      <x:c r="PW9">
        <x:f t="shared" si="28"/>
        <x:v>0</x:v>
      </x:c>
      <x:c r="PX9">
        <x:f t="shared" si="28"/>
        <x:v>0</x:v>
      </x:c>
      <x:c r="PY9">
        <x:f t="shared" si="28"/>
        <x:v>2</x:v>
      </x:c>
      <x:c r="PZ9">
        <x:f t="shared" si="28"/>
        <x:v>0</x:v>
      </x:c>
      <x:c r="QB9" s="19" t="n">
        <x:f>SUM(QB5:QB7)</x:f>
        <x:v>3</x:v>
      </x:c>
      <x:c r="QC9" t="n">
        <x:f t="shared" ref="QC9:QJ9" si="29">COUNTIF(QC5:QC7,"〇")</x:f>
        <x:v>3</x:v>
      </x:c>
      <x:c r="QD9">
        <x:f t="shared" si="29"/>
        <x:v>1</x:v>
      </x:c>
      <x:c r="QE9">
        <x:f t="shared" si="29"/>
        <x:v>1</x:v>
      </x:c>
      <x:c r="QF9">
        <x:f t="shared" si="29"/>
        <x:v>0</x:v>
      </x:c>
      <x:c r="QG9">
        <x:f t="shared" si="29"/>
        <x:v>0</x:v>
      </x:c>
      <x:c r="QH9">
        <x:f t="shared" si="29"/>
        <x:v>0</x:v>
      </x:c>
      <x:c r="QI9">
        <x:f t="shared" si="29"/>
        <x:v>0</x:v>
      </x:c>
      <x:c r="QJ9">
        <x:f t="shared" si="29"/>
        <x:v>0</x:v>
      </x:c>
      <x:c r="QL9" s="19" t="n">
        <x:f>SUM(QL5:QL7)</x:f>
        <x:v>3</x:v>
      </x:c>
      <x:c r="QM9" t="n">
        <x:f t="shared" ref="QM9:QX9" si="30">COUNTIF(QM5:QM7,"〇")</x:f>
        <x:v>1</x:v>
      </x:c>
      <x:c r="QN9">
        <x:f t="shared" si="30"/>
        <x:v>0</x:v>
      </x:c>
      <x:c r="QO9">
        <x:f t="shared" si="30"/>
        <x:v>2</x:v>
      </x:c>
      <x:c r="QP9">
        <x:f t="shared" si="30"/>
        <x:v>2</x:v>
      </x:c>
      <x:c r="QQ9">
        <x:f t="shared" si="30"/>
        <x:v>0</x:v>
      </x:c>
      <x:c r="QR9">
        <x:f t="shared" si="30"/>
        <x:v>1</x:v>
      </x:c>
      <x:c r="QS9">
        <x:f t="shared" si="30"/>
        <x:v>1</x:v>
      </x:c>
      <x:c r="QT9">
        <x:f t="shared" si="30"/>
        <x:v>1</x:v>
      </x:c>
      <x:c r="QU9">
        <x:f t="shared" si="30"/>
        <x:v>0</x:v>
      </x:c>
      <x:c r="QV9">
        <x:f t="shared" si="30"/>
        <x:v>1</x:v>
      </x:c>
      <x:c r="QW9">
        <x:f t="shared" si="30"/>
        <x:v>0</x:v>
      </x:c>
      <x:c r="QX9">
        <x:f t="shared" si="30"/>
        <x:v>0</x:v>
      </x:c>
      <x:c r="QZ9" s="19" t="n">
        <x:f>SUM(QZ5:QZ7)</x:f>
        <x:v>3</x:v>
      </x:c>
      <x:c r="RB9" s="19" t="n">
        <x:f>SUM(RB5:RB7)</x:f>
        <x:v>1</x:v>
      </x:c>
    </x:row>
    <x:row r="10" ht="16.5">
      <x:c r="Q10" s="20" t="n">
        <x:f>Q9/SUMPRODUCT(--(A5:A7&lt;&gt;""))</x:f>
        <x:v>1</x:v>
      </x:c>
      <x:c r="X10" s="20" t="n">
        <x:f>X9/SUMPRODUCT(--(A5:A7&lt;&gt;""))</x:f>
        <x:v>1</x:v>
      </x:c>
      <x:c r="AC10" s="20" t="n">
        <x:f>AC9/SUMPRODUCT(--(A5:A7&lt;&gt;""))</x:f>
        <x:v>1</x:v>
      </x:c>
      <x:c r="AJ10" s="20" t="n">
        <x:f>AJ9/SUMPRODUCT(--(A5:A7&lt;&gt;""))</x:f>
        <x:v>1</x:v>
      </x:c>
      <x:c r="AN10" s="20" t="n">
        <x:f>AN9/SUMPRODUCT(--(A5:A7&lt;&gt;""))</x:f>
        <x:v>1</x:v>
      </x:c>
      <x:c r="AV10" s="20" t="n">
        <x:f>AV9/SUMPRODUCT(--(A5:A7&lt;&gt;""))</x:f>
        <x:v>1</x:v>
      </x:c>
      <x:c r="BF10" s="20" t="n">
        <x:f>BF9/SUMPRODUCT(--(A5:A7&lt;&gt;""))</x:f>
        <x:v>1</x:v>
      </x:c>
      <x:c r="BJ10" s="20" t="n">
        <x:f>BJ9/SUMPRODUCT(--(A5:A7&lt;&gt;""))</x:f>
        <x:v>1</x:v>
      </x:c>
      <x:c r="BU10" s="20" t="n">
        <x:f>BU9/SUMPRODUCT(--(A5:A7&lt;&gt;""))</x:f>
        <x:v>1</x:v>
      </x:c>
      <x:c r="BZ10" s="20" t="n">
        <x:f>BZ9/SUMPRODUCT(--(A5:A7&lt;&gt;""))</x:f>
        <x:v>1</x:v>
      </x:c>
      <x:c r="CP10" s="20" t="n">
        <x:f>CP9/SUMPRODUCT(--(A5:A7&lt;&gt;""))</x:f>
        <x:v>1</x:v>
      </x:c>
      <x:c r="CR10" s="20" t="n">
        <x:f>CR9/SUMPRODUCT(--(A5:A7&lt;&gt;""))</x:f>
        <x:v>1</x:v>
      </x:c>
      <x:c r="DA10" s="20" t="n">
        <x:f>DA9/SUMPRODUCT(--(A5:A7&lt;&gt;""))</x:f>
        <x:v>1</x:v>
      </x:c>
      <x:c r="DG10" s="20" t="n">
        <x:f>DG9/SUMPRODUCT(--(A5:A7&lt;&gt;""))</x:f>
        <x:v>1</x:v>
      </x:c>
      <x:c r="DQ10" s="20" t="n">
        <x:f>DQ9/SUMPRODUCT(--(A5:A7&lt;&gt;""))</x:f>
        <x:v>1</x:v>
      </x:c>
      <x:c r="EC10" s="20" t="n">
        <x:f>EC9/SUMPRODUCT(--(A5:A7&lt;&gt;""))</x:f>
        <x:v>1</x:v>
      </x:c>
      <x:c r="EH10" s="20" t="n">
        <x:f>EH9/SUMPRODUCT(--(A5:A7&lt;&gt;""))</x:f>
        <x:v>1</x:v>
      </x:c>
      <x:c r="ER10" s="20" t="n">
        <x:f>ER9/SUMPRODUCT(--(A5:A7&lt;&gt;""))</x:f>
        <x:v>1</x:v>
      </x:c>
      <x:c r="FH10" s="20" t="n">
        <x:f>FH9/SUMPRODUCT(--(A5:A7&lt;&gt;""))</x:f>
        <x:v>1</x:v>
      </x:c>
      <x:c r="FR10" s="20" t="n">
        <x:f>FR9/SUMPRODUCT(--(A5:A7&lt;&gt;""))</x:f>
        <x:v>1</x:v>
      </x:c>
      <x:c r="GF10" s="20" t="n">
        <x:f>GF9/SUMPRODUCT(--(A5:A7&lt;&gt;""))</x:f>
        <x:v>1</x:v>
      </x:c>
      <x:c r="GQ10" s="20" t="n">
        <x:f>GQ9/SUMPRODUCT(--(A5:A7&lt;&gt;""))</x:f>
        <x:v>1</x:v>
      </x:c>
      <x:c r="HC10" s="20" t="n">
        <x:f>HC9/SUMPRODUCT(--(A5:A7&lt;&gt;""))</x:f>
        <x:v>1</x:v>
      </x:c>
      <x:c r="HN10" s="20" t="n">
        <x:f>HN9/SUMPRODUCT(--(A5:A7&lt;&gt;""))</x:f>
        <x:v>1</x:v>
      </x:c>
      <x:c r="HY10" s="20" t="n">
        <x:f>HY9/SUMPRODUCT(--(A5:A7&lt;&gt;""))</x:f>
        <x:v>1</x:v>
      </x:c>
      <x:c r="IK10" s="20" t="n">
        <x:f>IK9/SUMPRODUCT(--(A5:A7&lt;&gt;""))</x:f>
        <x:v>1</x:v>
      </x:c>
      <x:c r="IP10" s="20" t="n">
        <x:f>IP9/SUMPRODUCT(--(A5:A7&lt;&gt;""))</x:f>
        <x:v>1</x:v>
      </x:c>
      <x:c r="IU10" s="20" t="n">
        <x:f>IU9/SUMPRODUCT(--(A5:A7&lt;&gt;""))</x:f>
        <x:v>1</x:v>
      </x:c>
      <x:c r="IZ10" s="20" t="n">
        <x:f>IZ9/SUMPRODUCT(--(A5:A7&lt;&gt;""))</x:f>
        <x:v>1</x:v>
      </x:c>
      <x:c r="JE10" s="20" t="n">
        <x:f>JE9/SUMPRODUCT(--(A5:A7&lt;&gt;""))</x:f>
        <x:v>1</x:v>
      </x:c>
      <x:c r="JJ10" s="20" t="n">
        <x:f>JJ9/SUMPRODUCT(--(A5:A7&lt;&gt;""))</x:f>
        <x:v>1</x:v>
      </x:c>
      <x:c r="JW10" s="20" t="n">
        <x:f>JW9/SUMPRODUCT(--(A5:A7&lt;&gt;""))</x:f>
        <x:v>1</x:v>
      </x:c>
      <x:c r="KJ10" s="20" t="n">
        <x:f>KJ9/SUMPRODUCT(--(A5:A7&lt;&gt;""))</x:f>
        <x:v>1</x:v>
      </x:c>
      <x:c r="KU10" s="20" t="n">
        <x:f>KU9/SUMPRODUCT(--(A5:A7&lt;&gt;""))</x:f>
        <x:v>1</x:v>
      </x:c>
      <x:c r="LH10" s="20" t="n">
        <x:f>LH9/SUMPRODUCT(--(A5:A7&lt;&gt;""))</x:f>
        <x:v>1</x:v>
      </x:c>
      <x:c r="LP10" s="20" t="n">
        <x:f>LP9/SUMPRODUCT(--(A5:A7&lt;&gt;""))</x:f>
        <x:v>1</x:v>
      </x:c>
      <x:c r="MA10" s="20" t="n">
        <x:f>MA9/SUMPRODUCT(--(A5:A7&lt;&gt;""))</x:f>
        <x:v>1</x:v>
      </x:c>
      <x:c r="MO10" s="20" t="n">
        <x:f>MO9/SUMPRODUCT(--(A5:A7&lt;&gt;""))</x:f>
        <x:v>1</x:v>
      </x:c>
      <x:c r="MQ10" s="20" t="n">
        <x:f>MQ9/SUMPRODUCT(--(A5:A7&lt;&gt;""))</x:f>
        <x:v>1</x:v>
      </x:c>
      <x:c r="MW10" s="20" t="n">
        <x:f>MW9/SUMPRODUCT(--(A5:A7&lt;&gt;""))</x:f>
        <x:v>1</x:v>
      </x:c>
      <x:c r="NJ10" s="20" t="n">
        <x:f>NJ9/SUMPRODUCT(--(A5:A7&lt;&gt;""))</x:f>
        <x:v>1</x:v>
      </x:c>
      <x:c r="NU10" s="20" t="n">
        <x:f>NU9/SUMPRODUCT(--(A5:A7&lt;&gt;""))</x:f>
        <x:v>1</x:v>
      </x:c>
      <x:c r="OA10" s="20" t="n">
        <x:f>OA9/SUMPRODUCT(--(A5:A7&lt;&gt;""))</x:f>
        <x:v>1</x:v>
      </x:c>
      <x:c r="OM10" s="20" t="n">
        <x:f>OM9/SUMPRODUCT(--(A5:A7&lt;&gt;""))</x:f>
        <x:v>1</x:v>
      </x:c>
      <x:c r="OR10" s="20" t="n">
        <x:f>OR9/SUMPRODUCT(--(A5:A7&lt;&gt;""))</x:f>
        <x:v>1</x:v>
      </x:c>
      <x:c r="PF10" s="20" t="n">
        <x:f>PF9/SUMPRODUCT(--(A5:A7&lt;&gt;""))</x:f>
        <x:v>1</x:v>
      </x:c>
      <x:c r="PQ10" s="20" t="n">
        <x:f>PQ9/SUMPRODUCT(--(A5:A7&lt;&gt;""))</x:f>
        <x:v>1</x:v>
      </x:c>
      <x:c r="QB10" s="20" t="n">
        <x:f>QB9/SUMPRODUCT(--(A5:A7&lt;&gt;""))</x:f>
        <x:v>1</x:v>
      </x:c>
      <x:c r="QL10" s="20" t="n">
        <x:f>QL9/SUMPRODUCT(--(A5:A7&lt;&gt;""))</x:f>
        <x:v>1</x:v>
      </x:c>
      <x:c r="QZ10" s="20" t="n">
        <x:f>QZ9/SUMPRODUCT(--(A5:A7&lt;&gt;""))</x:f>
        <x:v>1</x:v>
      </x:c>
      <x:c r="RB10" s="20" t="n">
        <x:f>RB9/SUMPRODUCT(--(A5:A7&lt;&gt;""))</x:f>
        <x:v>0.3333333333333333</x:v>
      </x:c>
    </x:row>
  </x:sheetData>
  <x:mergeCells>
    <x:mergeCell ref="RA1:RB1"/>
    <x:mergeCell ref="LI1:LP1"/>
    <x:mergeCell ref="ED2:EH2"/>
    <x:mergeCell ref="OS2:PF2"/>
    <x:mergeCell ref="GG2:GQ2"/>
    <x:mergeCell ref="KK2:KU2"/>
    <x:mergeCell ref="DR2:EC2"/>
    <x:mergeCell ref="MR1:MW1"/>
    <x:mergeCell ref="Y1:AC1"/>
    <x:mergeCell ref="JK2:JW2"/>
    <x:mergeCell ref="LQ2:MA2"/>
    <x:mergeCell ref="QC2:QL2"/>
    <x:mergeCell ref="NK2:NU2"/>
    <x:mergeCell ref="ON2:OR2"/>
    <x:mergeCell ref="OS1:PF1"/>
    <x:mergeCell ref="GR2:HC2"/>
    <x:mergeCell ref="RA2:RB2"/>
    <x:mergeCell ref="CQ3:CR3"/>
    <x:mergeCell ref="IL1:JJ1"/>
    <x:mergeCell ref="B1:B4"/>
    <x:mergeCell ref="DR1:EC1"/>
    <x:mergeCell ref="CA1:CP1"/>
    <x:mergeCell ref="QM1:QZ1"/>
    <x:mergeCell ref="AO1:AV1"/>
    <x:mergeCell ref="ON1:OR1"/>
    <x:mergeCell ref="QM2:QZ2"/>
    <x:mergeCell ref="BK1:BU1"/>
    <x:mergeCell ref="HO2:HY2"/>
    <x:mergeCell ref="AO2:AV2"/>
    <x:mergeCell ref="EI1:ER1"/>
    <x:mergeCell ref="JF2:JJ2"/>
    <x:mergeCell ref="IQ2:IU2"/>
    <x:mergeCell ref="CS2:DA2"/>
    <x:mergeCell ref="OB2:OM2"/>
    <x:mergeCell ref="QC1:QL1"/>
    <x:mergeCell ref="C1:C4"/>
    <x:mergeCell ref="BV1:BZ1"/>
    <x:mergeCell ref="NV1:OA1"/>
    <x:mergeCell ref="E1:E4"/>
    <x:mergeCell ref="R2:X2"/>
    <x:mergeCell ref="PG2:PQ2"/>
    <x:mergeCell ref="DH1:DQ1"/>
    <x:mergeCell ref="FS1:GF1"/>
    <x:mergeCell ref="H1:H4"/>
    <x:mergeCell ref="J1:J4"/>
    <x:mergeCell ref="OB1:OM1"/>
    <x:mergeCell ref="RA3:RB3"/>
    <x:mergeCell ref="R1:X1"/>
    <x:mergeCell ref="Y2:AC2"/>
    <x:mergeCell ref="KV2:LH2"/>
    <x:mergeCell ref="IV2:IZ2"/>
    <x:mergeCell ref="MB1:MO1"/>
    <x:mergeCell ref="MX2:NJ2"/>
    <x:mergeCell ref="LI2:LP2"/>
    <x:mergeCell ref="GR1:HC1"/>
    <x:mergeCell ref="HZ1:IK1"/>
    <x:mergeCell ref="AD1:AJ1"/>
    <x:mergeCell ref="FI1:FR1"/>
    <x:mergeCell ref="I1:I4"/>
    <x:mergeCell ref="L2:Q2"/>
    <x:mergeCell ref="ED1:EH1"/>
    <x:mergeCell ref="CA2:CP2"/>
    <x:mergeCell ref="EI2:ER2"/>
    <x:mergeCell ref="KK1:KU1"/>
    <x:mergeCell ref="BG1:BJ1"/>
    <x:mergeCell ref="HZ2:IK2"/>
    <x:mergeCell ref="BK2:BU2"/>
    <x:mergeCell ref="NV2:OA2"/>
    <x:mergeCell ref="D1:D4"/>
    <x:mergeCell ref="F1:F4"/>
    <x:mergeCell ref="JX1:KJ1"/>
    <x:mergeCell ref="CQ2:CR2"/>
    <x:mergeCell ref="BG2:BJ2"/>
    <x:mergeCell ref="G1:G4"/>
    <x:mergeCell ref="AK1:AN1"/>
    <x:mergeCell ref="MB2:MO2"/>
    <x:mergeCell ref="AD2:AJ2"/>
    <x:mergeCell ref="FI2:FR2"/>
    <x:mergeCell ref="MR2:MW2"/>
    <x:mergeCell ref="GG1:GQ1"/>
    <x:mergeCell ref="HO1:HY1"/>
    <x:mergeCell ref="MP1:MQ1"/>
    <x:mergeCell ref="AK2:AN2"/>
    <x:mergeCell ref="HD2:HN2"/>
    <x:mergeCell ref="JA2:JE2"/>
    <x:mergeCell ref="JK1:JW1"/>
    <x:mergeCell ref="IL2:IP2"/>
    <x:mergeCell ref="NK1:NU1"/>
    <x:mergeCell ref="KV1:LH1"/>
    <x:mergeCell ref="AW1:BF1"/>
    <x:mergeCell ref="PR1:QB1"/>
    <x:mergeCell ref="MX1:NJ1"/>
    <x:mergeCell ref="HD1:HN1"/>
    <x:mergeCell ref="MP2:MQ2"/>
    <x:mergeCell ref="ES1:FH1"/>
    <x:mergeCell ref="A1:A4"/>
    <x:mergeCell ref="JX2:KJ2"/>
    <x:mergeCell ref="K1:K4"/>
    <x:mergeCell ref="LQ1:MA1"/>
    <x:mergeCell ref="L1:Q1"/>
    <x:mergeCell ref="DH2:DQ2"/>
    <x:mergeCell ref="FS2:GF2"/>
    <x:mergeCell ref="PR2:QB2"/>
    <x:mergeCell ref="MP3:MQ3"/>
    <x:mergeCell ref="CS1:DA1"/>
    <x:mergeCell ref="ES2:FH2"/>
    <x:mergeCell ref="AW2:BF2"/>
    <x:mergeCell ref="DB2:DG2"/>
    <x:mergeCell ref="PG1:PQ1"/>
    <x:mergeCell ref="BV2:BZ2"/>
    <x:mergeCell ref="DB1:DG1"/>
    <x:mergeCell ref="CQ1:CR1"/>
  </x:mergeCells>
  <x:pageMargins left="0.7" right="0.7" top="0.75" bottom="0.75" header="0.3" footer="0.3"/>
</x:worksheet>
</file>

<file path=xl/worksheets/sheet2.xml><?xml version="1.0" encoding="utf-8"?>
<x:worksheet xmlns:x="http://schemas.openxmlformats.org/spreadsheetml/2006/main">
  <x:sheetFormatPr defaultRowHeight="13.5"/>
  <x:sheetData>
    <x:row r="1">
      <x:c r="A1" t="s">
        <x:v>412</x:v>
      </x:c>
      <x:c r="B1" t="s">
        <x:v>413</x:v>
      </x:c>
    </x:row>
    <x:row r="2">
      <x:c r="A2" t="s">
        <x:v>414</x:v>
      </x:c>
      <x:c r="B2">
        <x:v>1</x:v>
      </x:c>
    </x:row>
    <x:row r="3">
      <x:c r="A3" t="s">
        <x:v>415</x:v>
      </x:c>
      <x:c r="B3" t="s">
        <x:v>416</x:v>
      </x:c>
    </x:row>
    <x:row r="4">
      <x:c r="A4" t="s">
        <x:v>417</x:v>
      </x:c>
      <x:c r="B4" t="s">
        <x:v>418</x:v>
      </x:c>
    </x:row>
    <x:row r="5">
      <x:c r="A5" t="s">
        <x:v>419</x:v>
      </x:c>
      <x:c r="B5">
        <x:v>1</x:v>
      </x:c>
    </x:row>
    <x:row r="6">
      <x:c r="A6" t="s">
        <x:v>420</x:v>
      </x:c>
      <x:c r="B6" t="s">
        <x:v>421</x:v>
      </x:c>
    </x:row>
    <x:row r="7">
      <x:c r="A7" t="s">
        <x:v>422</x:v>
      </x:c>
      <x:c r="B7" t="s">
        <x:v>423</x:v>
      </x:c>
    </x:row>
    <x:row r="8">
      <x:c r="A8" t="s">
        <x:v>424</x:v>
      </x:c>
      <x:c r="B8" t="s">
        <x:v>425</x:v>
      </x:c>
    </x:row>
    <x:row r="9">
      <x:c r="A9" t="s">
        <x:v>426</x:v>
      </x:c>
      <x:c r="B9" t="s">
        <x:v>427</x:v>
      </x:c>
    </x:row>
    <x:row r="10">
      <x:c r="A10" t="s">
        <x:v>428</x:v>
      </x:c>
      <x:c r="B10" t="s">
        <x:v>429</x:v>
      </x:c>
    </x:row>
    <x:row r="11">
      <x:c r="A11" t="s">
        <x:v>430</x:v>
      </x:c>
      <x:c r="B11" t="s">
        <x:v>431</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0" hidden="0" customWidth="1"/>
    <x:col min="2" max="2" width="48" hidden="0" customWidth="1"/>
    <x:col min="3" max="3" width="12" hidden="0" customWidth="1"/>
    <x:col min="4" max="4" width="31" hidden="0" customWidth="1"/>
    <x:col min="5" max="5" width="18" hidden="0" customWidth="1"/>
    <x:col min="6" max="6" width="46" hidden="0" customWidth="1"/>
  </x:cols>
  <x:sheetData>
    <x:row r="1" ht="28" customHeight="1">
      <x:c r="A1" s="78" t="str">
        <x:v>北塩原村 障がい児福祉アンケート 集計・クロス分析</x:v>
      </x:c>
      <x:c r="B1" s="78"/>
      <x:c r="C1" s="78"/>
      <x:c r="D1" s="78"/>
      <x:c r="E1" s="78"/>
      <x:c r="F1" s="78"/>
    </x:row>
    <x:row r="4">
      <x:c r="A4" s="86" t="str">
        <x:v>項目</x:v>
      </x:c>
      <x:c r="B4" s="86" t="str">
        <x:v>内容</x:v>
      </x:c>
      <x:c r="D4" s="86" t="str">
        <x:v>シート</x:v>
      </x:c>
      <x:c r="E4" s="86" t="str">
        <x:v>クロス軸</x:v>
      </x:c>
      <x:c r="F4" s="86" t="str">
        <x:v>分析目的</x:v>
      </x:c>
    </x:row>
    <x:row r="5">
      <x:c r="A5" s="94" t="str">
        <x:v>分析対象</x:v>
      </x:c>
      <x:c r="B5" s="94" t="str">
        <x:v>3件（個票データ）。各設問は有効回答数（n）を分母として集計</x:v>
      </x:c>
      <x:c r="D5" s="94" t="str">
        <x:v>C01_障がい×今後サービス</x:v>
      </x:c>
      <x:c r="E5" s="94" t="str">
        <x:v>問6 × 問29</x:v>
      </x:c>
      <x:c r="F5" s="94" t="str">
        <x:v>障がい種別ごとの今後の障がい児サービス利用ニーズ</x:v>
      </x:c>
    </x:row>
    <x:row r="6">
      <x:c r="A6" s="94" t="str">
        <x:v>集計上の取扱い</x:v>
      </x:c>
      <x:c r="B6" s="94" t="str">
        <x:v>無回答を除いた設問別nを使用。自由記述は「自由記述一覧」シートに整理</x:v>
      </x:c>
      <x:c r="D6" s="94" t="str">
        <x:v>C02_地区×外出困難</x:v>
      </x:c>
      <x:c r="E6" s="94" t="str">
        <x:v>問3 × 問14</x:v>
      </x:c>
      <x:c r="F6" s="94" t="str">
        <x:v>地区別の外出・交通上の課題</x:v>
      </x:c>
    </x:row>
    <x:row r="7">
      <x:c r="A7" s="94" t="str">
        <x:v>集計方法</x:v>
      </x:c>
      <x:c r="B7" s="94" t="str">
        <x:v>単純集計＋主要10テーマのクロス分析（件数・行％）</x:v>
      </x:c>
      <x:c r="D7" s="94" t="str">
        <x:v>C03_地区×通園通学課題</x:v>
      </x:c>
      <x:c r="E7" s="94" t="str">
        <x:v>問3 × 問24</x:v>
      </x:c>
      <x:c r="F7" s="94" t="str">
        <x:v>地区別の通園・通学・事業所利用上の課題</x:v>
      </x:c>
    </x:row>
    <x:row r="8">
      <x:c r="D8" s="94" t="str">
        <x:v>C04_年齢×18歳後暮らし</x:v>
      </x:c>
      <x:c r="E8" s="94" t="str">
        <x:v>問2 × 問11</x:v>
      </x:c>
      <x:c r="F8" s="94" t="str">
        <x:v>年齢別の18歳以降の希望する暮らし</x:v>
      </x:c>
    </x:row>
    <x:row r="9">
      <x:c r="D9" s="94" t="str">
        <x:v>C05_年齢×生活課題</x:v>
      </x:c>
      <x:c r="E9" s="94" t="str">
        <x:v>問2 × 問10</x:v>
      </x:c>
      <x:c r="F9" s="94" t="str">
        <x:v>年齢別の日常生活上の困りごと</x:v>
      </x:c>
    </x:row>
    <x:row r="10">
      <x:c r="A10" s="100" t="str">
        <x:v>参考：問43 村が特に力を入れるべきこと（n=3）</x:v>
      </x:c>
      <x:c r="B10" s="100"/>
      <x:c r="C10" s="100"/>
      <x:c r="D10" s="94" t="str">
        <x:v>C06_現在サービス×今後</x:v>
      </x:c>
      <x:c r="E10" s="94" t="str">
        <x:v>問27 × 問29</x:v>
      </x:c>
      <x:c r="F10" s="94" t="str">
        <x:v>現在利用サービスと今後利用したいサービスの関係</x:v>
      </x:c>
    </x:row>
    <x:row r="11">
      <x:c r="A11" s="86" t="str">
        <x:v>選択肢</x:v>
      </x:c>
      <x:c r="B11" s="86" t="str">
        <x:v>件数</x:v>
      </x:c>
      <x:c r="C11" s="86" t="str">
        <x:v>割合</x:v>
      </x:c>
      <x:c r="D11" s="94" t="str">
        <x:v>C07_避難計画×災害不安</x:v>
      </x:c>
      <x:c r="E11" s="94" t="str">
        <x:v>問38 × 問37</x:v>
      </x:c>
      <x:c r="F11" s="94" t="str">
        <x:v>個別避難計画の認知と災害時の不安</x:v>
      </x:c>
    </x:row>
    <x:row r="12">
      <x:c r="A12" s="94" t="str">
        <x:v>相談支援体制</x:v>
      </x:c>
      <x:c r="B12" s="94" t="n">
        <x:f>COUNTIF('データ'!QM$5:QM$7,"〇")</x:f>
        <x:v>1</x:v>
      </x:c>
      <x:c r="C12" s="104" t="n">
        <x:f>IF(SUM('データ'!QZ$5:QZ$7)=0,"",B12/SUM('データ'!QZ$5:QZ$7))</x:f>
        <x:v>0.3333333333333333</x:v>
      </x:c>
      <x:c r="D12" s="94" t="str">
        <x:v>C08_障がい×合理的配慮</x:v>
      </x:c>
      <x:c r="E12" s="94" t="str">
        <x:v>問6 × 問35</x:v>
      </x:c>
      <x:c r="F12" s="94" t="str">
        <x:v>障がい種別ごとに必要な合理的配慮</x:v>
      </x:c>
    </x:row>
    <x:row r="13">
      <x:c r="A13" s="94" t="str">
        <x:v>在宅生活支援</x:v>
      </x:c>
      <x:c r="B13" s="94" t="n">
        <x:f>COUNTIF('データ'!QN$5:QN$7,"〇")</x:f>
        <x:v>0</x:v>
      </x:c>
      <x:c r="C13" s="104" t="n">
        <x:f>IF(SUM('データ'!QZ$5:QZ$7)=0,"",B13/SUM('データ'!QZ$5:QZ$7))</x:f>
        <x:v>0</x:v>
      </x:c>
      <x:c r="D13" s="94" t="str">
        <x:v>C09_相談先×相談期待</x:v>
      </x:c>
      <x:c r="E13" s="94" t="str">
        <x:v>問19 × 問22</x:v>
      </x:c>
      <x:c r="F13" s="94" t="str">
        <x:v>現在の相談先別の相談支援への期待</x:v>
      </x:c>
    </x:row>
    <x:row r="14">
      <x:c r="A14" s="94" t="str">
        <x:v>移動支援</x:v>
      </x:c>
      <x:c r="B14" s="94" t="n">
        <x:f>COUNTIF('データ'!QO$5:QO$7,"〇")</x:f>
        <x:v>2</x:v>
      </x:c>
      <x:c r="C14" s="104" t="n">
        <x:f>IF(SUM('データ'!QZ$5:QZ$7)=0,"",B14/SUM('データ'!QZ$5:QZ$7))</x:f>
        <x:v>0.6666666666666666</x:v>
      </x:c>
      <x:c r="D14" s="94" t="str">
        <x:v>C10_介助者×18歳後不安</x:v>
      </x:c>
      <x:c r="E14" s="94" t="str">
        <x:v>問8 × 問32</x:v>
      </x:c>
      <x:c r="F14" s="94" t="str">
        <x:v>主な支援・介助者別の18歳以降の不安</x:v>
      </x:c>
    </x:row>
    <x:row r="15">
      <x:c r="A15" s="94" t="str">
        <x:v>就労支援</x:v>
      </x:c>
      <x:c r="B15" s="94" t="n">
        <x:f>COUNTIF('データ'!QP$5:QP$7,"〇")</x:f>
        <x:v>2</x:v>
      </x:c>
      <x:c r="C15" s="104" t="n">
        <x:f>IF(SUM('データ'!QZ$5:QZ$7)=0,"",B15/SUM('データ'!QZ$5:QZ$7))</x:f>
        <x:v>0.6666666666666666</x:v>
      </x:c>
    </x:row>
    <x:row r="16">
      <x:c r="A16" s="94" t="str">
        <x:v>障がい児支援</x:v>
      </x:c>
      <x:c r="B16" s="94" t="n">
        <x:f>COUNTIF('データ'!QQ$5:QQ$7,"〇")</x:f>
        <x:v>0</x:v>
      </x:c>
      <x:c r="C16" s="104" t="n">
        <x:f>IF(SUM('データ'!QZ$5:QZ$7)=0,"",B16/SUM('データ'!QZ$5:QZ$7))</x:f>
        <x:v>0</x:v>
      </x:c>
    </x:row>
    <x:row r="17">
      <x:c r="A17" s="94" t="str">
        <x:v>医療的ケア児等支援</x:v>
      </x:c>
      <x:c r="B17" s="94" t="n">
        <x:f>COUNTIF('データ'!QR$5:QR$7,"〇")</x:f>
        <x:v>1</x:v>
      </x:c>
      <x:c r="C17" s="104" t="n">
        <x:f>IF(SUM('データ'!QZ$5:QZ$7)=0,"",B17/SUM('データ'!QZ$5:QZ$7))</x:f>
        <x:v>0.3333333333333333</x:v>
      </x:c>
    </x:row>
    <x:row r="18">
      <x:c r="A18" s="94" t="str">
        <x:v>災害時支援</x:v>
      </x:c>
      <x:c r="B18" s="94" t="n">
        <x:f>COUNTIF('データ'!QS$5:QS$7,"〇")</x:f>
        <x:v>1</x:v>
      </x:c>
      <x:c r="C18" s="104" t="n">
        <x:f>IF(SUM('データ'!QZ$5:QZ$7)=0,"",B18/SUM('データ'!QZ$5:QZ$7))</x:f>
        <x:v>0.3333333333333333</x:v>
      </x:c>
    </x:row>
    <x:row r="19">
      <x:c r="A19" s="94" t="str">
        <x:v>差別解消・権利擁護</x:v>
      </x:c>
      <x:c r="B19" s="94" t="n">
        <x:f>COUNTIF('データ'!QT$5:QT$7,"〇")</x:f>
        <x:v>1</x:v>
      </x:c>
      <x:c r="C19" s="104" t="n">
        <x:f>IF(SUM('データ'!QZ$5:QZ$7)=0,"",B19/SUM('データ'!QZ$5:QZ$7))</x:f>
        <x:v>0.3333333333333333</x:v>
      </x:c>
    </x:row>
    <x:row r="20">
      <x:c r="A20" s="94" t="str">
        <x:v>家族支援</x:v>
      </x:c>
      <x:c r="B20" s="94" t="n">
        <x:f>COUNTIF('データ'!QU$5:QU$7,"〇")</x:f>
        <x:v>0</x:v>
      </x:c>
      <x:c r="C20" s="104" t="n">
        <x:f>IF(SUM('データ'!QZ$5:QZ$7)=0,"",B20/SUM('データ'!QZ$5:QZ$7))</x:f>
        <x:v>0</x:v>
      </x:c>
    </x:row>
    <x:row r="21">
      <x:c r="A21" s="94" t="str">
        <x:v>サービス事業所の確保</x:v>
      </x:c>
      <x:c r="B21" s="94" t="n">
        <x:f>COUNTIF('データ'!QV$5:QV$7,"〇")</x:f>
        <x:v>1</x:v>
      </x:c>
      <x:c r="C21" s="104" t="n">
        <x:f>IF(SUM('データ'!QZ$5:QZ$7)=0,"",B21/SUM('データ'!QZ$5:QZ$7))</x:f>
        <x:v>0.3333333333333333</x:v>
      </x:c>
    </x:row>
    <x:row r="22">
      <x:c r="A22" s="94" t="str">
        <x:v>同じ立場の保護者や経験者に相談できる場の設定</x:v>
      </x:c>
      <x:c r="B22" s="94" t="n">
        <x:f>COUNTIF('データ'!QW$5:QW$7,"〇")</x:f>
        <x:v>0</x:v>
      </x:c>
      <x:c r="C22" s="104" t="n">
        <x:f>IF(SUM('データ'!QZ$5:QZ$7)=0,"",B22/SUM('データ'!QZ$5:QZ$7))</x:f>
        <x:v>0</x:v>
      </x:c>
    </x:row>
    <x:row r="23">
      <x:c r="A23" s="94" t="str">
        <x:v>その他</x:v>
      </x:c>
      <x:c r="B23" s="94" t="n">
        <x:f>COUNTIF('データ'!QX$5:QX$7,"〇")</x:f>
        <x:v>0</x:v>
      </x:c>
      <x:c r="C23" s="104" t="n">
        <x:f>IF(SUM('データ'!QZ$5:QZ$7)=0,"",B23/SUM('データ'!QZ$5:QZ$7))</x:f>
        <x:v>0</x:v>
      </x:c>
    </x:row>
    <x:row r="25" ht="38" customHeight="1">
      <x:c r="A25" s="109" t="str">
        <x:v>注意：複数回答設問では割合の合計が100％を超える場合があります。今回の回答は3件と少数のため、クロス分析はすべて参考値として解釈してください。</x:v>
      </x:c>
      <x:c r="B25" s="109"/>
      <x:c r="C25" s="109"/>
      <x:c r="D25" s="109"/>
      <x:c r="E25" s="109"/>
      <x:c r="F25" s="109"/>
    </x:row>
  </x:sheetData>
  <x:mergeCells>
    <x:mergeCell ref="A1:F1"/>
    <x:mergeCell ref="A10:C10"/>
    <x:mergeCell ref="A25:F25"/>
  </x:mergeCell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52" hidden="0" customWidth="1"/>
    <x:col min="3" max="3" width="42" hidden="0" customWidth="1"/>
    <x:col min="4" max="4" width="12" hidden="0" customWidth="1"/>
    <x:col min="5" max="5" width="12" hidden="0" customWidth="1"/>
    <x:col min="6" max="6" width="12" hidden="0" customWidth="1"/>
    <x:col min="7" max="7" width="20" hidden="0" customWidth="1"/>
  </x:cols>
  <x:sheetData>
    <x:row r="1" ht="28" customHeight="1">
      <x:c r="A1" s="78" t="str">
        <x:v>単純集計表</x:v>
      </x:c>
      <x:c r="B1" s="78"/>
      <x:c r="C1" s="78"/>
      <x:c r="D1" s="78"/>
      <x:c r="E1" s="78"/>
      <x:c r="F1" s="78"/>
      <x:c r="G1" s="78"/>
    </x:row>
    <x:row r="3">
      <x:c r="A3" s="86" t="str">
        <x:v>設問番号</x:v>
      </x:c>
      <x:c r="B3" s="86" t="str">
        <x:v>設問</x:v>
      </x:c>
      <x:c r="C3" s="86" t="str">
        <x:v>選択肢</x:v>
      </x:c>
      <x:c r="D3" s="86" t="str">
        <x:v>件数</x:v>
      </x:c>
      <x:c r="E3" s="86" t="str">
        <x:v>割合</x:v>
      </x:c>
      <x:c r="F3" s="86" t="str">
        <x:v>有効回答数</x:v>
      </x:c>
      <x:c r="G3" s="86" t="str">
        <x:v>回答形式</x:v>
      </x:c>
    </x:row>
    <x:row r="4">
      <x:c r="A4" s="94" t="str">
        <x:v>問1</x:v>
      </x:c>
      <x:c r="B4" s="94" t="str">
        <x:v>この調査票を記入された方はどなたですか</x:v>
      </x:c>
      <x:c r="C4" s="94" t="str">
        <x:v>宛名のご本人</x:v>
      </x:c>
      <x:c r="D4" s="94" t="n">
        <x:f>COUNTIF('データ'!L$5:L$7,"〇")</x:f>
        <x:v>1</x:v>
      </x:c>
      <x:c r="E4" s="104" t="n">
        <x:f>IF(F4=0,"",D4/F4)</x:f>
        <x:v>0.3333333333333333</x:v>
      </x:c>
      <x:c r="F4" s="94" t="n">
        <x:f>SUM('データ'!Q$5:Q$7)</x:f>
        <x:v>3</x:v>
      </x:c>
      <x:c r="G4" s="94" t="str">
        <x:v>単一回答</x:v>
      </x:c>
    </x:row>
    <x:row r="5">
      <x:c r="A5" s="94" t="str">
        <x:v>問1</x:v>
      </x:c>
      <x:c r="B5" s="94" t="str">
        <x:v>この調査票を記入された方はどなたですか</x:v>
      </x:c>
      <x:c r="C5" s="94" t="str">
        <x:v>ご家族</x:v>
      </x:c>
      <x:c r="D5" s="94" t="n">
        <x:f>COUNTIF('データ'!M$5:M$7,"〇")</x:f>
        <x:v>2</x:v>
      </x:c>
      <x:c r="E5" s="104" t="n">
        <x:f>IF(F5=0,"",D5/F5)</x:f>
        <x:v>0.6666666666666666</x:v>
      </x:c>
      <x:c r="F5" s="94" t="n">
        <x:f>SUM('データ'!Q$5:Q$7)</x:f>
        <x:v>3</x:v>
      </x:c>
      <x:c r="G5" s="94" t="str">
        <x:v>単一回答</x:v>
      </x:c>
    </x:row>
    <x:row r="6">
      <x:c r="A6" s="94" t="str">
        <x:v>問1</x:v>
      </x:c>
      <x:c r="B6" s="94" t="str">
        <x:v>この調査票を記入された方はどなたですか</x:v>
      </x:c>
      <x:c r="C6" s="94" t="str">
        <x:v>支援者・事業所職員</x:v>
      </x:c>
      <x:c r="D6" s="94" t="n">
        <x:f>COUNTIF('データ'!N$5:N$7,"〇")</x:f>
        <x:v>0</x:v>
      </x:c>
      <x:c r="E6" s="104" t="n">
        <x:f>IF(F6=0,"",D6/F6)</x:f>
        <x:v>0</x:v>
      </x:c>
      <x:c r="F6" s="94" t="n">
        <x:f>SUM('データ'!Q$5:Q$7)</x:f>
        <x:v>3</x:v>
      </x:c>
      <x:c r="G6" s="94" t="str">
        <x:v>単一回答</x:v>
      </x:c>
    </x:row>
    <x:row r="7">
      <x:c r="A7" s="94" t="str">
        <x:v>問1</x:v>
      </x:c>
      <x:c r="B7" s="94" t="str">
        <x:v>この調査票を記入された方はどなたですか</x:v>
      </x:c>
      <x:c r="C7" s="94" t="str">
        <x:v>その他</x:v>
      </x:c>
      <x:c r="D7" s="94" t="n">
        <x:f>COUNTIF('データ'!O$5:O$7,"〇")</x:f>
        <x:v>0</x:v>
      </x:c>
      <x:c r="E7" s="104" t="n">
        <x:f>IF(F7=0,"",D7/F7)</x:f>
        <x:v>0</x:v>
      </x:c>
      <x:c r="F7" s="94" t="n">
        <x:f>SUM('データ'!Q$5:Q$7)</x:f>
        <x:v>3</x:v>
      </x:c>
      <x:c r="G7" s="94" t="str">
        <x:v>単一回答</x:v>
      </x:c>
    </x:row>
    <x:row r="8">
      <x:c r="A8" s="94" t="str">
        <x:v>問1-2</x:v>
      </x:c>
      <x:c r="B8" s="94" t="str">
        <x:v>この回答は、宛名のご本人の意向をどのように反映していますか</x:v>
      </x:c>
      <x:c r="C8" s="94" t="str">
        <x:v>本人が回答した</x:v>
      </x:c>
      <x:c r="D8" s="94" t="n">
        <x:f>COUNTIF('データ'!R$5:R$7,"〇")</x:f>
        <x:v>1</x:v>
      </x:c>
      <x:c r="E8" s="104" t="n">
        <x:f>IF(F8=0,"",D8/F8)</x:f>
        <x:v>0.3333333333333333</x:v>
      </x:c>
      <x:c r="F8" s="94" t="n">
        <x:f>SUM('データ'!X$5:X$7)</x:f>
        <x:v>3</x:v>
      </x:c>
      <x:c r="G8" s="94" t="str">
        <x:v>単一回答</x:v>
      </x:c>
    </x:row>
    <x:row r="9">
      <x:c r="A9" s="94" t="str">
        <x:v>問1-2</x:v>
      </x:c>
      <x:c r="B9" s="94" t="str">
        <x:v>この回答は、宛名のご本人の意向をどのように反映していますか</x:v>
      </x:c>
      <x:c r="C9" s="94" t="str">
        <x:v>本人に確認して代理記入した</x:v>
      </x:c>
      <x:c r="D9" s="94" t="n">
        <x:f>COUNTIF('データ'!S$5:S$7,"〇")</x:f>
        <x:v>0</x:v>
      </x:c>
      <x:c r="E9" s="104" t="n">
        <x:f>IF(F9=0,"",D9/F9)</x:f>
        <x:v>0</x:v>
      </x:c>
      <x:c r="F9" s="94" t="n">
        <x:f>SUM('データ'!X$5:X$7)</x:f>
        <x:v>3</x:v>
      </x:c>
      <x:c r="G9" s="94" t="str">
        <x:v>単一回答</x:v>
      </x:c>
    </x:row>
    <x:row r="10">
      <x:c r="A10" s="94" t="str">
        <x:v>問1-2</x:v>
      </x:c>
      <x:c r="B10" s="94" t="str">
        <x:v>この回答は、宛名のご本人の意向をどのように反映していますか</x:v>
      </x:c>
      <x:c r="C10" s="94" t="str">
        <x:v>本人の様子や日頃の意向を踏まえて代理記入した</x:v>
      </x:c>
      <x:c r="D10" s="94" t="n">
        <x:f>COUNTIF('データ'!T$5:T$7,"〇")</x:f>
        <x:v>1</x:v>
      </x:c>
      <x:c r="E10" s="104" t="n">
        <x:f>IF(F10=0,"",D10/F10)</x:f>
        <x:v>0.3333333333333333</x:v>
      </x:c>
      <x:c r="F10" s="94" t="n">
        <x:f>SUM('データ'!X$5:X$7)</x:f>
        <x:v>3</x:v>
      </x:c>
      <x:c r="G10" s="94" t="str">
        <x:v>単一回答</x:v>
      </x:c>
    </x:row>
    <x:row r="11">
      <x:c r="A11" s="94" t="str">
        <x:v>問1-2</x:v>
      </x:c>
      <x:c r="B11" s="94" t="str">
        <x:v>この回答は、宛名のご本人の意向をどのように反映していますか</x:v>
      </x:c>
      <x:c r="C11" s="94" t="str">
        <x:v>本人に確認することが難しく、家族・支援者の判断で記入した</x:v>
      </x:c>
      <x:c r="D11" s="94" t="n">
        <x:f>COUNTIF('データ'!U$5:U$7,"〇")</x:f>
        <x:v>1</x:v>
      </x:c>
      <x:c r="E11" s="104" t="n">
        <x:f>IF(F11=0,"",D11/F11)</x:f>
        <x:v>0.3333333333333333</x:v>
      </x:c>
      <x:c r="F11" s="94" t="n">
        <x:f>SUM('データ'!X$5:X$7)</x:f>
        <x:v>3</x:v>
      </x:c>
      <x:c r="G11" s="94" t="str">
        <x:v>単一回答</x:v>
      </x:c>
    </x:row>
    <x:row r="12">
      <x:c r="A12" s="94" t="str">
        <x:v>問1-2</x:v>
      </x:c>
      <x:c r="B12" s="94" t="str">
        <x:v>この回答は、宛名のご本人の意向をどのように反映していますか</x:v>
      </x:c>
      <x:c r="C12" s="94" t="str">
        <x:v>その他</x:v>
      </x:c>
      <x:c r="D12" s="94" t="n">
        <x:f>COUNTIF('データ'!V$5:V$7,"〇")</x:f>
        <x:v>0</x:v>
      </x:c>
      <x:c r="E12" s="104" t="n">
        <x:f>IF(F12=0,"",D12/F12)</x:f>
        <x:v>0</x:v>
      </x:c>
      <x:c r="F12" s="94" t="n">
        <x:f>SUM('データ'!X$5:X$7)</x:f>
        <x:v>3</x:v>
      </x:c>
      <x:c r="G12" s="94" t="str">
        <x:v>単一回答</x:v>
      </x:c>
    </x:row>
    <x:row r="13">
      <x:c r="A13" s="94" t="str">
        <x:v>問2</x:v>
      </x:c>
      <x:c r="B13" s="94" t="str">
        <x:v>お子さん（宛名の方）の年齢を教えてください</x:v>
      </x:c>
      <x:c r="C13" s="94" t="str">
        <x:v>0～5歳</x:v>
      </x:c>
      <x:c r="D13" s="94" t="n">
        <x:f>COUNTIF('データ'!Y$5:Y$7,"〇")</x:f>
        <x:v>0</x:v>
      </x:c>
      <x:c r="E13" s="104" t="n">
        <x:f>IF(F13=0,"",D13/F13)</x:f>
        <x:v>0</x:v>
      </x:c>
      <x:c r="F13" s="94" t="n">
        <x:f>SUM('データ'!AC$5:AC$7)</x:f>
        <x:v>3</x:v>
      </x:c>
      <x:c r="G13" s="94" t="str">
        <x:v>単一回答</x:v>
      </x:c>
    </x:row>
    <x:row r="14">
      <x:c r="A14" s="94" t="str">
        <x:v>問2</x:v>
      </x:c>
      <x:c r="B14" s="94" t="str">
        <x:v>お子さん（宛名の方）の年齢を教えてください</x:v>
      </x:c>
      <x:c r="C14" s="94" t="str">
        <x:v>6～11歳</x:v>
      </x:c>
      <x:c r="D14" s="94" t="n">
        <x:f>COUNTIF('データ'!Z$5:Z$7,"〇")</x:f>
        <x:v>1</x:v>
      </x:c>
      <x:c r="E14" s="104" t="n">
        <x:f>IF(F14=0,"",D14/F14)</x:f>
        <x:v>0.3333333333333333</x:v>
      </x:c>
      <x:c r="F14" s="94" t="n">
        <x:f>SUM('データ'!AC$5:AC$7)</x:f>
        <x:v>3</x:v>
      </x:c>
      <x:c r="G14" s="94" t="str">
        <x:v>単一回答</x:v>
      </x:c>
    </x:row>
    <x:row r="15">
      <x:c r="A15" s="94" t="str">
        <x:v>問2</x:v>
      </x:c>
      <x:c r="B15" s="94" t="str">
        <x:v>お子さん（宛名の方）の年齢を教えてください</x:v>
      </x:c>
      <x:c r="C15" s="94" t="str">
        <x:v>12～14歳</x:v>
      </x:c>
      <x:c r="D15" s="94" t="n">
        <x:f>COUNTIF('データ'!AA$5:AA$7,"〇")</x:f>
        <x:v>1</x:v>
      </x:c>
      <x:c r="E15" s="104" t="n">
        <x:f>IF(F15=0,"",D15/F15)</x:f>
        <x:v>0.3333333333333333</x:v>
      </x:c>
      <x:c r="F15" s="94" t="n">
        <x:f>SUM('データ'!AC$5:AC$7)</x:f>
        <x:v>3</x:v>
      </x:c>
      <x:c r="G15" s="94" t="str">
        <x:v>単一回答</x:v>
      </x:c>
    </x:row>
    <x:row r="16">
      <x:c r="A16" s="94" t="str">
        <x:v>問2</x:v>
      </x:c>
      <x:c r="B16" s="94" t="str">
        <x:v>お子さん（宛名の方）の年齢を教えてください</x:v>
      </x:c>
      <x:c r="C16" s="94" t="str">
        <x:v>15～17歳</x:v>
      </x:c>
      <x:c r="D16" s="94" t="n">
        <x:f>COUNTIF('データ'!AB$5:AB$7,"〇")</x:f>
        <x:v>1</x:v>
      </x:c>
      <x:c r="E16" s="104" t="n">
        <x:f>IF(F16=0,"",D16/F16)</x:f>
        <x:v>0.3333333333333333</x:v>
      </x:c>
      <x:c r="F16" s="94" t="n">
        <x:f>SUM('データ'!AC$5:AC$7)</x:f>
        <x:v>3</x:v>
      </x:c>
      <x:c r="G16" s="94" t="str">
        <x:v>単一回答</x:v>
      </x:c>
    </x:row>
    <x:row r="17">
      <x:c r="A17" s="94" t="str">
        <x:v>問3</x:v>
      </x:c>
      <x:c r="B17" s="94" t="str">
        <x:v>あなたのお住まいの地区を教えてください</x:v>
      </x:c>
      <x:c r="C17" s="94" t="str">
        <x:v>北山地区</x:v>
      </x:c>
      <x:c r="D17" s="94" t="n">
        <x:f>COUNTIF('データ'!AD$5:AD$7,"〇")</x:f>
        <x:v>2</x:v>
      </x:c>
      <x:c r="E17" s="104" t="n">
        <x:f>IF(F17=0,"",D17/F17)</x:f>
        <x:v>0.6666666666666666</x:v>
      </x:c>
      <x:c r="F17" s="94" t="n">
        <x:f>SUM('データ'!AJ$5:AJ$7)</x:f>
        <x:v>3</x:v>
      </x:c>
      <x:c r="G17" s="94" t="str">
        <x:v>単一回答</x:v>
      </x:c>
    </x:row>
    <x:row r="18">
      <x:c r="A18" s="94" t="str">
        <x:v>問3</x:v>
      </x:c>
      <x:c r="B18" s="94" t="str">
        <x:v>あなたのお住まいの地区を教えてください</x:v>
      </x:c>
      <x:c r="C18" s="94" t="str">
        <x:v>大塩地区</x:v>
      </x:c>
      <x:c r="D18" s="94" t="n">
        <x:f>COUNTIF('データ'!AE$5:AE$7,"〇")</x:f>
        <x:v>0</x:v>
      </x:c>
      <x:c r="E18" s="104" t="n">
        <x:f>IF(F18=0,"",D18/F18)</x:f>
        <x:v>0</x:v>
      </x:c>
      <x:c r="F18" s="94" t="n">
        <x:f>SUM('データ'!AJ$5:AJ$7)</x:f>
        <x:v>3</x:v>
      </x:c>
      <x:c r="G18" s="94" t="str">
        <x:v>単一回答</x:v>
      </x:c>
    </x:row>
    <x:row r="19">
      <x:c r="A19" s="94" t="str">
        <x:v>問3</x:v>
      </x:c>
      <x:c r="B19" s="94" t="str">
        <x:v>あなたのお住まいの地区を教えてください</x:v>
      </x:c>
      <x:c r="C19" s="94" t="str">
        <x:v>桧原地区</x:v>
      </x:c>
      <x:c r="D19" s="94" t="n">
        <x:f>COUNTIF('データ'!AF$5:AF$7,"〇")</x:f>
        <x:v>0</x:v>
      </x:c>
      <x:c r="E19" s="104" t="n">
        <x:f>IF(F19=0,"",D19/F19)</x:f>
        <x:v>0</x:v>
      </x:c>
      <x:c r="F19" s="94" t="n">
        <x:f>SUM('データ'!AJ$5:AJ$7)</x:f>
        <x:v>3</x:v>
      </x:c>
      <x:c r="G19" s="94" t="str">
        <x:v>単一回答</x:v>
      </x:c>
    </x:row>
    <x:row r="20">
      <x:c r="A20" s="94" t="str">
        <x:v>問3</x:v>
      </x:c>
      <x:c r="B20" s="94" t="str">
        <x:v>あなたのお住まいの地区を教えてください</x:v>
      </x:c>
      <x:c r="C20" s="94" t="str">
        <x:v>裏磐梯地区</x:v>
      </x:c>
      <x:c r="D20" s="94" t="n">
        <x:f>COUNTIF('データ'!AG$5:AG$7,"〇")</x:f>
        <x:v>1</x:v>
      </x:c>
      <x:c r="E20" s="104" t="n">
        <x:f>IF(F20=0,"",D20/F20)</x:f>
        <x:v>0.3333333333333333</x:v>
      </x:c>
      <x:c r="F20" s="94" t="n">
        <x:f>SUM('データ'!AJ$5:AJ$7)</x:f>
        <x:v>3</x:v>
      </x:c>
      <x:c r="G20" s="94" t="str">
        <x:v>単一回答</x:v>
      </x:c>
    </x:row>
    <x:row r="21">
      <x:c r="A21" s="94" t="str">
        <x:v>問3</x:v>
      </x:c>
      <x:c r="B21" s="94" t="str">
        <x:v>あなたのお住まいの地区を教えてください</x:v>
      </x:c>
      <x:c r="C21" s="94" t="str">
        <x:v>その他</x:v>
      </x:c>
      <x:c r="D21" s="94" t="n">
        <x:f>COUNTIF('データ'!AH$5:AH$7,"〇")</x:f>
        <x:v>0</x:v>
      </x:c>
      <x:c r="E21" s="104" t="n">
        <x:f>IF(F21=0,"",D21/F21)</x:f>
        <x:v>0</x:v>
      </x:c>
      <x:c r="F21" s="94" t="n">
        <x:f>SUM('データ'!AJ$5:AJ$7)</x:f>
        <x:v>3</x:v>
      </x:c>
      <x:c r="G21" s="94" t="str">
        <x:v>単一回答</x:v>
      </x:c>
    </x:row>
    <x:row r="22">
      <x:c r="A22" s="94" t="str">
        <x:v>問4</x:v>
      </x:c>
      <x:c r="B22" s="94" t="str">
        <x:v>あなたの性別を教えてください</x:v>
      </x:c>
      <x:c r="C22" s="94" t="str">
        <x:v>男性</x:v>
      </x:c>
      <x:c r="D22" s="94" t="n">
        <x:f>COUNTIF('データ'!AK$5:AK$7,"〇")</x:f>
        <x:v>2</x:v>
      </x:c>
      <x:c r="E22" s="104" t="n">
        <x:f>IF(F22=0,"",D22/F22)</x:f>
        <x:v>0.6666666666666666</x:v>
      </x:c>
      <x:c r="F22" s="94" t="n">
        <x:f>SUM('データ'!AN$5:AN$7)</x:f>
        <x:v>3</x:v>
      </x:c>
      <x:c r="G22" s="94" t="str">
        <x:v>単一回答</x:v>
      </x:c>
    </x:row>
    <x:row r="23">
      <x:c r="A23" s="94" t="str">
        <x:v>問4</x:v>
      </x:c>
      <x:c r="B23" s="94" t="str">
        <x:v>あなたの性別を教えてください</x:v>
      </x:c>
      <x:c r="C23" s="94" t="str">
        <x:v>女性</x:v>
      </x:c>
      <x:c r="D23" s="94" t="n">
        <x:f>COUNTIF('データ'!AL$5:AL$7,"〇")</x:f>
        <x:v>1</x:v>
      </x:c>
      <x:c r="E23" s="104" t="n">
        <x:f>IF(F23=0,"",D23/F23)</x:f>
        <x:v>0.3333333333333333</x:v>
      </x:c>
      <x:c r="F23" s="94" t="n">
        <x:f>SUM('データ'!AN$5:AN$7)</x:f>
        <x:v>3</x:v>
      </x:c>
      <x:c r="G23" s="94" t="str">
        <x:v>単一回答</x:v>
      </x:c>
    </x:row>
    <x:row r="24">
      <x:c r="A24" s="94" t="str">
        <x:v>問4</x:v>
      </x:c>
      <x:c r="B24" s="94" t="str">
        <x:v>あなたの性別を教えてください</x:v>
      </x:c>
      <x:c r="C24" s="94" t="str">
        <x:v>回答しない</x:v>
      </x:c>
      <x:c r="D24" s="94" t="n">
        <x:f>COUNTIF('データ'!AM$5:AM$7,"〇")</x:f>
        <x:v>0</x:v>
      </x:c>
      <x:c r="E24" s="104" t="n">
        <x:f>IF(F24=0,"",D24/F24)</x:f>
        <x:v>0</x:v>
      </x:c>
      <x:c r="F24" s="94" t="n">
        <x:f>SUM('データ'!AN$5:AN$7)</x:f>
        <x:v>3</x:v>
      </x:c>
      <x:c r="G24" s="94" t="str">
        <x:v>単一回答</x:v>
      </x:c>
    </x:row>
    <x:row r="25">
      <x:c r="A25" s="94" t="str">
        <x:v>問5</x:v>
      </x:c>
      <x:c r="B25" s="94" t="str">
        <x:v>お持ちの手帳等を教えてください（あてはまるものすべて）</x:v>
      </x:c>
      <x:c r="C25" s="94" t="str">
        <x:v>身体障がい者手帳</x:v>
      </x:c>
      <x:c r="D25" s="94" t="n">
        <x:f>COUNTIF('データ'!AO$5:AO$7,"〇")</x:f>
        <x:v>2</x:v>
      </x:c>
      <x:c r="E25" s="104" t="n">
        <x:f>IF(F25=0,"",D25/F25)</x:f>
        <x:v>1</x:v>
      </x:c>
      <x:c r="F25" s="94" t="n">
        <x:f>SUM('データ'!AV$5:AV$7)</x:f>
        <x:v>2</x:v>
      </x:c>
      <x:c r="G25" s="94" t="str">
        <x:v>複数回答</x:v>
      </x:c>
    </x:row>
    <x:row r="26">
      <x:c r="A26" s="94" t="str">
        <x:v>問5</x:v>
      </x:c>
      <x:c r="B26" s="94" t="str">
        <x:v>お持ちの手帳等を教えてください（あてはまるものすべて）</x:v>
      </x:c>
      <x:c r="C26" s="94" t="str">
        <x:v>療育手帳</x:v>
      </x:c>
      <x:c r="D26" s="94" t="n">
        <x:f>COUNTIF('データ'!AP$5:AP$7,"〇")</x:f>
        <x:v>1</x:v>
      </x:c>
      <x:c r="E26" s="104" t="n">
        <x:f>IF(F26=0,"",D26/F26)</x:f>
        <x:v>0.5</x:v>
      </x:c>
      <x:c r="F26" s="94" t="n">
        <x:f>SUM('データ'!AV$5:AV$7)</x:f>
        <x:v>2</x:v>
      </x:c>
      <x:c r="G26" s="94" t="str">
        <x:v>複数回答</x:v>
      </x:c>
    </x:row>
    <x:row r="27">
      <x:c r="A27" s="94" t="str">
        <x:v>問5</x:v>
      </x:c>
      <x:c r="B27" s="94" t="str">
        <x:v>お持ちの手帳等を教えてください（あてはまるものすべて）</x:v>
      </x:c>
      <x:c r="C27" s="94" t="str">
        <x:v>精神障がい者保健福祉手帳</x:v>
      </x:c>
      <x:c r="D27" s="94" t="n">
        <x:f>COUNTIF('データ'!AQ$5:AQ$7,"〇")</x:f>
        <x:v>1</x:v>
      </x:c>
      <x:c r="E27" s="104" t="n">
        <x:f>IF(F27=0,"",D27/F27)</x:f>
        <x:v>0.5</x:v>
      </x:c>
      <x:c r="F27" s="94" t="n">
        <x:f>SUM('データ'!AV$5:AV$7)</x:f>
        <x:v>2</x:v>
      </x:c>
      <x:c r="G27" s="94" t="str">
        <x:v>複数回答</x:v>
      </x:c>
    </x:row>
    <x:row r="28">
      <x:c r="A28" s="94" t="str">
        <x:v>問5</x:v>
      </x:c>
      <x:c r="B28" s="94" t="str">
        <x:v>お持ちの手帳等を教えてください（あてはまるものすべて）</x:v>
      </x:c>
      <x:c r="C28" s="94" t="str">
        <x:v>難病に関する医療受給者証等</x:v>
      </x:c>
      <x:c r="D28" s="94" t="n">
        <x:f>COUNTIF('データ'!AR$5:AR$7,"〇")</x:f>
        <x:v>0</x:v>
      </x:c>
      <x:c r="E28" s="104" t="n">
        <x:f>IF(F28=0,"",D28/F28)</x:f>
        <x:v>0</x:v>
      </x:c>
      <x:c r="F28" s="94" t="n">
        <x:f>SUM('データ'!AV$5:AV$7)</x:f>
        <x:v>2</x:v>
      </x:c>
      <x:c r="G28" s="94" t="str">
        <x:v>複数回答</x:v>
      </x:c>
    </x:row>
    <x:row r="29">
      <x:c r="A29" s="94" t="str">
        <x:v>問5</x:v>
      </x:c>
      <x:c r="B29" s="94" t="str">
        <x:v>お持ちの手帳等を教えてください（あてはまるものすべて）</x:v>
      </x:c>
      <x:c r="C29" s="94" t="str">
        <x:v>手帳等は持っていないが障がい福祉サービスを利用している</x:v>
      </x:c>
      <x:c r="D29" s="94" t="n">
        <x:f>COUNTIF('データ'!AS$5:AS$7,"〇")</x:f>
        <x:v>0</x:v>
      </x:c>
      <x:c r="E29" s="104" t="n">
        <x:f>IF(F29=0,"",D29/F29)</x:f>
        <x:v>0</x:v>
      </x:c>
      <x:c r="F29" s="94" t="n">
        <x:f>SUM('データ'!AV$5:AV$7)</x:f>
        <x:v>2</x:v>
      </x:c>
      <x:c r="G29" s="94" t="str">
        <x:v>複数回答</x:v>
      </x:c>
    </x:row>
    <x:row r="30">
      <x:c r="A30" s="94" t="str">
        <x:v>問5</x:v>
      </x:c>
      <x:c r="B30" s="94" t="str">
        <x:v>お持ちの手帳等を教えてください（あてはまるものすべて）</x:v>
      </x:c>
      <x:c r="C30" s="94" t="str">
        <x:v>その他</x:v>
      </x:c>
      <x:c r="D30" s="94" t="n">
        <x:f>COUNTIF('データ'!AT$5:AT$7,"〇")</x:f>
        <x:v>0</x:v>
      </x:c>
      <x:c r="E30" s="104" t="n">
        <x:f>IF(F30=0,"",D30/F30)</x:f>
        <x:v>0</x:v>
      </x:c>
      <x:c r="F30" s="94" t="n">
        <x:f>SUM('データ'!AV$5:AV$7)</x:f>
        <x:v>2</x:v>
      </x:c>
      <x:c r="G30" s="94" t="str">
        <x:v>複数回答</x:v>
      </x:c>
    </x:row>
    <x:row r="31">
      <x:c r="A31" s="94" t="str">
        <x:v>問6</x:v>
      </x:c>
      <x:c r="B31" s="94" t="str">
        <x:v>主たる障がい種別を1つ選ぶとすれば、どれにあたりますか</x:v>
      </x:c>
      <x:c r="C31" s="94" t="str">
        <x:v>身体障がい</x:v>
      </x:c>
      <x:c r="D31" s="94" t="n">
        <x:f>COUNTIF('データ'!AW$5:AW$7,"〇")</x:f>
        <x:v>1</x:v>
      </x:c>
      <x:c r="E31" s="104" t="n">
        <x:f>IF(F31=0,"",D31/F31)</x:f>
        <x:v>0.3333333333333333</x:v>
      </x:c>
      <x:c r="F31" s="94" t="n">
        <x:f>SUM('データ'!BF$5:BF$7)</x:f>
        <x:v>3</x:v>
      </x:c>
      <x:c r="G31" s="94" t="str">
        <x:v>単一回答</x:v>
      </x:c>
    </x:row>
    <x:row r="32">
      <x:c r="A32" s="94" t="str">
        <x:v>問6</x:v>
      </x:c>
      <x:c r="B32" s="94" t="str">
        <x:v>主たる障がい種別を1つ選ぶとすれば、どれにあたりますか</x:v>
      </x:c>
      <x:c r="C32" s="94" t="str">
        <x:v>知的障がい</x:v>
      </x:c>
      <x:c r="D32" s="94" t="n">
        <x:f>COUNTIF('データ'!AX$5:AX$7,"〇")</x:f>
        <x:v>1</x:v>
      </x:c>
      <x:c r="E32" s="104" t="n">
        <x:f>IF(F32=0,"",D32/F32)</x:f>
        <x:v>0.3333333333333333</x:v>
      </x:c>
      <x:c r="F32" s="94" t="n">
        <x:f>SUM('データ'!BF$5:BF$7)</x:f>
        <x:v>3</x:v>
      </x:c>
      <x:c r="G32" s="94" t="str">
        <x:v>単一回答</x:v>
      </x:c>
    </x:row>
    <x:row r="33">
      <x:c r="A33" s="94" t="str">
        <x:v>問6</x:v>
      </x:c>
      <x:c r="B33" s="94" t="str">
        <x:v>主たる障がい種別を1つ選ぶとすれば、どれにあたりますか</x:v>
      </x:c>
      <x:c r="C33" s="94" t="str">
        <x:v>精神障がい</x:v>
      </x:c>
      <x:c r="D33" s="94" t="n">
        <x:f>COUNTIF('データ'!AY$5:AY$7,"〇")</x:f>
        <x:v>0</x:v>
      </x:c>
      <x:c r="E33" s="104" t="n">
        <x:f>IF(F33=0,"",D33/F33)</x:f>
        <x:v>0</x:v>
      </x:c>
      <x:c r="F33" s="94" t="n">
        <x:f>SUM('データ'!BF$5:BF$7)</x:f>
        <x:v>3</x:v>
      </x:c>
      <x:c r="G33" s="94" t="str">
        <x:v>単一回答</x:v>
      </x:c>
    </x:row>
    <x:row r="34">
      <x:c r="A34" s="94" t="str">
        <x:v>問6</x:v>
      </x:c>
      <x:c r="B34" s="94" t="str">
        <x:v>主たる障がい種別を1つ選ぶとすれば、どれにあたりますか</x:v>
      </x:c>
      <x:c r="C34" s="94" t="str">
        <x:v>発達障がい</x:v>
      </x:c>
      <x:c r="D34" s="94" t="n">
        <x:f>COUNTIF('データ'!AZ$5:AZ$7,"〇")</x:f>
        <x:v>1</x:v>
      </x:c>
      <x:c r="E34" s="104" t="n">
        <x:f>IF(F34=0,"",D34/F34)</x:f>
        <x:v>0.3333333333333333</x:v>
      </x:c>
      <x:c r="F34" s="94" t="n">
        <x:f>SUM('データ'!BF$5:BF$7)</x:f>
        <x:v>3</x:v>
      </x:c>
      <x:c r="G34" s="94" t="str">
        <x:v>単一回答</x:v>
      </x:c>
    </x:row>
    <x:row r="35">
      <x:c r="A35" s="94" t="str">
        <x:v>問6</x:v>
      </x:c>
      <x:c r="B35" s="94" t="str">
        <x:v>主たる障がい種別を1つ選ぶとすれば、どれにあたりますか</x:v>
      </x:c>
      <x:c r="C35" s="94" t="str">
        <x:v>難病</x:v>
      </x:c>
      <x:c r="D35" s="94" t="n">
        <x:f>COUNTIF('データ'!BA$5:BA$7,"〇")</x:f>
        <x:v>0</x:v>
      </x:c>
      <x:c r="E35" s="104" t="n">
        <x:f>IF(F35=0,"",D35/F35)</x:f>
        <x:v>0</x:v>
      </x:c>
      <x:c r="F35" s="94" t="n">
        <x:f>SUM('データ'!BF$5:BF$7)</x:f>
        <x:v>3</x:v>
      </x:c>
      <x:c r="G35" s="94" t="str">
        <x:v>単一回答</x:v>
      </x:c>
    </x:row>
    <x:row r="36">
      <x:c r="A36" s="94" t="str">
        <x:v>問6</x:v>
      </x:c>
      <x:c r="B36" s="94" t="str">
        <x:v>主たる障がい種別を1つ選ぶとすれば、どれにあたりますか</x:v>
      </x:c>
      <x:c r="C36" s="94" t="str">
        <x:v>高次脳機能障がい</x:v>
      </x:c>
      <x:c r="D36" s="94" t="n">
        <x:f>COUNTIF('データ'!BB$5:BB$7,"〇")</x:f>
        <x:v>0</x:v>
      </x:c>
      <x:c r="E36" s="104" t="n">
        <x:f>IF(F36=0,"",D36/F36)</x:f>
        <x:v>0</x:v>
      </x:c>
      <x:c r="F36" s="94" t="n">
        <x:f>SUM('データ'!BF$5:BF$7)</x:f>
        <x:v>3</x:v>
      </x:c>
      <x:c r="G36" s="94" t="str">
        <x:v>単一回答</x:v>
      </x:c>
    </x:row>
    <x:row r="37">
      <x:c r="A37" s="94" t="str">
        <x:v>問6</x:v>
      </x:c>
      <x:c r="B37" s="94" t="str">
        <x:v>主たる障がい種別を1つ選ぶとすれば、どれにあたりますか</x:v>
      </x:c>
      <x:c r="C37" s="94" t="str">
        <x:v>重症心身障がい</x:v>
      </x:c>
      <x:c r="D37" s="94" t="n">
        <x:f>COUNTIF('データ'!BC$5:BC$7,"〇")</x:f>
        <x:v>0</x:v>
      </x:c>
      <x:c r="E37" s="104" t="n">
        <x:f>IF(F37=0,"",D37/F37)</x:f>
        <x:v>0</x:v>
      </x:c>
      <x:c r="F37" s="94" t="n">
        <x:f>SUM('データ'!BF$5:BF$7)</x:f>
        <x:v>3</x:v>
      </x:c>
      <x:c r="G37" s="94" t="str">
        <x:v>単一回答</x:v>
      </x:c>
    </x:row>
    <x:row r="38">
      <x:c r="A38" s="94" t="str">
        <x:v>問6</x:v>
      </x:c>
      <x:c r="B38" s="94" t="str">
        <x:v>主たる障がい種別を1つ選ぶとすれば、どれにあたりますか</x:v>
      </x:c>
      <x:c r="C38" s="94" t="str">
        <x:v>わからない・その他</x:v>
      </x:c>
      <x:c r="D38" s="94" t="n">
        <x:f>COUNTIF('データ'!BD$5:BD$7,"〇")</x:f>
        <x:v>0</x:v>
      </x:c>
      <x:c r="E38" s="104" t="n">
        <x:f>IF(F38=0,"",D38/F38)</x:f>
        <x:v>0</x:v>
      </x:c>
      <x:c r="F38" s="94" t="n">
        <x:f>SUM('データ'!BF$5:BF$7)</x:f>
        <x:v>3</x:v>
      </x:c>
      <x:c r="G38" s="94" t="str">
        <x:v>単一回答</x:v>
      </x:c>
    </x:row>
    <x:row r="39">
      <x:c r="A39" s="94" t="str">
        <x:v>問7</x:v>
      </x:c>
      <x:c r="B39" s="94" t="str">
        <x:v>障害児通所支援等の支給決定を受けていますか</x:v>
      </x:c>
      <x:c r="C39" s="94" t="str">
        <x:v>受けている</x:v>
      </x:c>
      <x:c r="D39" s="94" t="n">
        <x:f>COUNTIF('データ'!BG$5:BG$7,"〇")</x:f>
        <x:v>2</x:v>
      </x:c>
      <x:c r="E39" s="104" t="n">
        <x:f>IF(F39=0,"",D39/F39)</x:f>
        <x:v>0.6666666666666666</x:v>
      </x:c>
      <x:c r="F39" s="94" t="n">
        <x:f>SUM('データ'!BJ$5:BJ$7)</x:f>
        <x:v>3</x:v>
      </x:c>
      <x:c r="G39" s="94" t="str">
        <x:v>単一回答</x:v>
      </x:c>
    </x:row>
    <x:row r="40">
      <x:c r="A40" s="94" t="str">
        <x:v>問7</x:v>
      </x:c>
      <x:c r="B40" s="94" t="str">
        <x:v>障害児通所支援等の支給決定を受けていますか</x:v>
      </x:c>
      <x:c r="C40" s="94" t="str">
        <x:v>受けていない</x:v>
      </x:c>
      <x:c r="D40" s="94" t="n">
        <x:f>COUNTIF('データ'!BH$5:BH$7,"〇")</x:f>
        <x:v>1</x:v>
      </x:c>
      <x:c r="E40" s="104" t="n">
        <x:f>IF(F40=0,"",D40/F40)</x:f>
        <x:v>0.3333333333333333</x:v>
      </x:c>
      <x:c r="F40" s="94" t="n">
        <x:f>SUM('データ'!BJ$5:BJ$7)</x:f>
        <x:v>3</x:v>
      </x:c>
      <x:c r="G40" s="94" t="str">
        <x:v>単一回答</x:v>
      </x:c>
    </x:row>
    <x:row r="41">
      <x:c r="A41" s="94" t="str">
        <x:v>問7</x:v>
      </x:c>
      <x:c r="B41" s="94" t="str">
        <x:v>障害児通所支援等の支給決定を受けていますか</x:v>
      </x:c>
      <x:c r="C41" s="94" t="str">
        <x:v>わからない</x:v>
      </x:c>
      <x:c r="D41" s="94" t="n">
        <x:f>COUNTIF('データ'!BI$5:BI$7,"〇")</x:f>
        <x:v>0</x:v>
      </x:c>
      <x:c r="E41" s="104" t="n">
        <x:f>IF(F41=0,"",D41/F41)</x:f>
        <x:v>0</x:v>
      </x:c>
      <x:c r="F41" s="94" t="n">
        <x:f>SUM('データ'!BJ$5:BJ$7)</x:f>
        <x:v>3</x:v>
      </x:c>
      <x:c r="G41" s="94" t="str">
        <x:v>単一回答</x:v>
      </x:c>
    </x:row>
    <x:row r="42">
      <x:c r="A42" s="94" t="str">
        <x:v>問8</x:v>
      </x:c>
      <x:c r="B42" s="94" t="str">
        <x:v>日常生活でお子さんの主な支援・介助・見守りをしている方はどなたですか</x:v>
      </x:c>
      <x:c r="C42" s="94" t="str">
        <x:v>介助は必要ない</x:v>
      </x:c>
      <x:c r="D42" s="94" t="n">
        <x:f>COUNTIF('データ'!BK$5:BK$7,"〇")</x:f>
        <x:v>0</x:v>
      </x:c>
      <x:c r="E42" s="104" t="n">
        <x:f>IF(F42=0,"",D42/F42)</x:f>
        <x:v>0</x:v>
      </x:c>
      <x:c r="F42" s="94" t="n">
        <x:f>SUM('データ'!BU$5:BU$7)</x:f>
        <x:v>3</x:v>
      </x:c>
      <x:c r="G42" s="94" t="str">
        <x:v>単一回答</x:v>
      </x:c>
    </x:row>
    <x:row r="43">
      <x:c r="A43" s="94" t="str">
        <x:v>問8</x:v>
      </x:c>
      <x:c r="B43" s="94" t="str">
        <x:v>日常生活でお子さんの主な支援・介助・見守りをしている方はどなたですか</x:v>
      </x:c>
      <x:c r="C43" s="94" t="str">
        <x:v>親</x:v>
      </x:c>
      <x:c r="D43" s="94" t="n">
        <x:f>COUNTIF('データ'!BL$5:BL$7,"〇")</x:f>
        <x:v>3</x:v>
      </x:c>
      <x:c r="E43" s="104" t="n">
        <x:f>IF(F43=0,"",D43/F43)</x:f>
        <x:v>1</x:v>
      </x:c>
      <x:c r="F43" s="94" t="n">
        <x:f>SUM('データ'!BU$5:BU$7)</x:f>
        <x:v>3</x:v>
      </x:c>
      <x:c r="G43" s="94" t="str">
        <x:v>単一回答</x:v>
      </x:c>
    </x:row>
    <x:row r="44">
      <x:c r="A44" s="94" t="str">
        <x:v>問8</x:v>
      </x:c>
      <x:c r="B44" s="94" t="str">
        <x:v>日常生活でお子さんの主な支援・介助・見守りをしている方はどなたですか</x:v>
      </x:c>
      <x:c r="C44" s="94" t="str">
        <x:v>兄弟姉妹</x:v>
      </x:c>
      <x:c r="D44" s="94" t="n">
        <x:f>COUNTIF('データ'!BM$5:BM$7,"〇")</x:f>
        <x:v>0</x:v>
      </x:c>
      <x:c r="E44" s="104" t="n">
        <x:f>IF(F44=0,"",D44/F44)</x:f>
        <x:v>0</x:v>
      </x:c>
      <x:c r="F44" s="94" t="n">
        <x:f>SUM('データ'!BU$5:BU$7)</x:f>
        <x:v>3</x:v>
      </x:c>
      <x:c r="G44" s="94" t="str">
        <x:v>単一回答</x:v>
      </x:c>
    </x:row>
    <x:row r="45">
      <x:c r="A45" s="94" t="str">
        <x:v>問8</x:v>
      </x:c>
      <x:c r="B45" s="94" t="str">
        <x:v>日常生活でお子さんの主な支援・介助・見守りをしている方はどなたですか</x:v>
      </x:c>
      <x:c r="C45" s="94" t="str">
        <x:v>祖父母</x:v>
      </x:c>
      <x:c r="D45" s="94" t="n">
        <x:f>COUNTIF('データ'!BN$5:BN$7,"〇")</x:f>
        <x:v>0</x:v>
      </x:c>
      <x:c r="E45" s="104" t="n">
        <x:f>IF(F45=0,"",D45/F45)</x:f>
        <x:v>0</x:v>
      </x:c>
      <x:c r="F45" s="94" t="n">
        <x:f>SUM('データ'!BU$5:BU$7)</x:f>
        <x:v>3</x:v>
      </x:c>
      <x:c r="G45" s="94" t="str">
        <x:v>単一回答</x:v>
      </x:c>
    </x:row>
    <x:row r="46">
      <x:c r="A46" s="94" t="str">
        <x:v>問8</x:v>
      </x:c>
      <x:c r="B46" s="94" t="str">
        <x:v>日常生活でお子さんの主な支援・介助・見守りをしている方はどなたですか</x:v>
      </x:c>
      <x:c r="C46" s="94" t="str">
        <x:v>その他の親族</x:v>
      </x:c>
      <x:c r="D46" s="94" t="n">
        <x:f>COUNTIF('データ'!BO$5:BO$7,"〇")</x:f>
        <x:v>0</x:v>
      </x:c>
      <x:c r="E46" s="104" t="n">
        <x:f>IF(F46=0,"",D46/F46)</x:f>
        <x:v>0</x:v>
      </x:c>
      <x:c r="F46" s="94" t="n">
        <x:f>SUM('データ'!BU$5:BU$7)</x:f>
        <x:v>3</x:v>
      </x:c>
      <x:c r="G46" s="94" t="str">
        <x:v>単一回答</x:v>
      </x:c>
    </x:row>
    <x:row r="47">
      <x:c r="A47" s="94" t="str">
        <x:v>問8</x:v>
      </x:c>
      <x:c r="B47" s="94" t="str">
        <x:v>日常生活でお子さんの主な支援・介助・見守りをしている方はどなたですか</x:v>
      </x:c>
      <x:c r="C47" s="94" t="str">
        <x:v>ホームヘルパー等</x:v>
      </x:c>
      <x:c r="D47" s="94" t="n">
        <x:f>COUNTIF('データ'!BP$5:BP$7,"〇")</x:f>
        <x:v>0</x:v>
      </x:c>
      <x:c r="E47" s="104" t="n">
        <x:f>IF(F47=0,"",D47/F47)</x:f>
        <x:v>0</x:v>
      </x:c>
      <x:c r="F47" s="94" t="n">
        <x:f>SUM('データ'!BU$5:BU$7)</x:f>
        <x:v>3</x:v>
      </x:c>
      <x:c r="G47" s="94" t="str">
        <x:v>単一回答</x:v>
      </x:c>
    </x:row>
    <x:row r="48">
      <x:c r="A48" s="94" t="str">
        <x:v>問8</x:v>
      </x:c>
      <x:c r="B48" s="94" t="str">
        <x:v>日常生活でお子さんの主な支援・介助・見守りをしている方はどなたですか</x:v>
      </x:c>
      <x:c r="C48" s="94" t="str">
        <x:v>保育所・幼稚園・認定こども園・学校の職員</x:v>
      </x:c>
      <x:c r="D48" s="94" t="n">
        <x:f>COUNTIF('データ'!BQ$5:BQ$7,"〇")</x:f>
        <x:v>0</x:v>
      </x:c>
      <x:c r="E48" s="104" t="n">
        <x:f>IF(F48=0,"",D48/F48)</x:f>
        <x:v>0</x:v>
      </x:c>
      <x:c r="F48" s="94" t="n">
        <x:f>SUM('データ'!BU$5:BU$7)</x:f>
        <x:v>3</x:v>
      </x:c>
      <x:c r="G48" s="94" t="str">
        <x:v>単一回答</x:v>
      </x:c>
    </x:row>
    <x:row r="49">
      <x:c r="A49" s="94" t="str">
        <x:v>問8</x:v>
      </x:c>
      <x:c r="B49" s="94" t="str">
        <x:v>日常生活でお子さんの主な支援・介助・見守りをしている方はどなたですか</x:v>
      </x:c>
      <x:c r="C49" s="94" t="str">
        <x:v>障がい福祉サービス・障がい児通所支援事業所などの職員</x:v>
      </x:c>
      <x:c r="D49" s="94" t="n">
        <x:f>COUNTIF('データ'!BR$5:BR$7,"〇")</x:f>
        <x:v>0</x:v>
      </x:c>
      <x:c r="E49" s="104" t="n">
        <x:f>IF(F49=0,"",D49/F49)</x:f>
        <x:v>0</x:v>
      </x:c>
      <x:c r="F49" s="94" t="n">
        <x:f>SUM('データ'!BU$5:BU$7)</x:f>
        <x:v>3</x:v>
      </x:c>
      <x:c r="G49" s="94" t="str">
        <x:v>単一回答</x:v>
      </x:c>
    </x:row>
    <x:row r="50">
      <x:c r="A50" s="94" t="str">
        <x:v>問8</x:v>
      </x:c>
      <x:c r="B50" s="94" t="str">
        <x:v>日常生活でお子さんの主な支援・介助・見守りをしている方はどなたですか</x:v>
      </x:c>
      <x:c r="C50" s="94" t="str">
        <x:v>その他</x:v>
      </x:c>
      <x:c r="D50" s="94" t="n">
        <x:f>COUNTIF('データ'!BS$5:BS$7,"〇")</x:f>
        <x:v>0</x:v>
      </x:c>
      <x:c r="E50" s="104" t="n">
        <x:f>IF(F50=0,"",D50/F50)</x:f>
        <x:v>0</x:v>
      </x:c>
      <x:c r="F50" s="94" t="n">
        <x:f>SUM('データ'!BU$5:BU$7)</x:f>
        <x:v>3</x:v>
      </x:c>
      <x:c r="G50" s="94" t="str">
        <x:v>単一回答</x:v>
      </x:c>
    </x:row>
    <x:row r="51">
      <x:c r="A51" s="94" t="str">
        <x:v>問9</x:v>
      </x:c>
      <x:c r="B51" s="94" t="str">
        <x:v>お子さんは現在、どのように暮らしていますか（あてはまるものすべて）</x:v>
      </x:c>
      <x:c r="C51" s="94" t="str">
        <x:v>自宅で家族と暮らしている</x:v>
      </x:c>
      <x:c r="D51" s="94" t="n">
        <x:f>COUNTIF('データ'!BV$5:BV$7,"〇")</x:f>
        <x:v>3</x:v>
      </x:c>
      <x:c r="E51" s="104" t="n">
        <x:f>IF(F51=0,"",D51/F51)</x:f>
        <x:v>1</x:v>
      </x:c>
      <x:c r="F51" s="94" t="n">
        <x:f>SUM('データ'!BZ$5:BZ$7)</x:f>
        <x:v>3</x:v>
      </x:c>
      <x:c r="G51" s="94" t="str">
        <x:v>複数回答</x:v>
      </x:c>
    </x:row>
    <x:row r="52">
      <x:c r="A52" s="94" t="str">
        <x:v>問9</x:v>
      </x:c>
      <x:c r="B52" s="94" t="str">
        <x:v>お子さんは現在、どのように暮らしていますか（あてはまるものすべて）</x:v>
      </x:c>
      <x:c r="C52" s="94" t="str">
        <x:v>病院に入院中</x:v>
      </x:c>
      <x:c r="D52" s="94" t="n">
        <x:f>COUNTIF('データ'!BW$5:BW$7,"〇")</x:f>
        <x:v>0</x:v>
      </x:c>
      <x:c r="E52" s="104" t="n">
        <x:f>IF(F52=0,"",D52/F52)</x:f>
        <x:v>0</x:v>
      </x:c>
      <x:c r="F52" s="94" t="n">
        <x:f>SUM('データ'!BZ$5:BZ$7)</x:f>
        <x:v>3</x:v>
      </x:c>
      <x:c r="G52" s="94" t="str">
        <x:v>複数回答</x:v>
      </x:c>
    </x:row>
    <x:row r="53">
      <x:c r="A53" s="94" t="str">
        <x:v>問9</x:v>
      </x:c>
      <x:c r="B53" s="94" t="str">
        <x:v>お子さんは現在、どのように暮らしていますか（あてはまるものすべて）</x:v>
      </x:c>
      <x:c r="C53" s="94" t="str">
        <x:v>その他</x:v>
      </x:c>
      <x:c r="D53" s="94" t="n">
        <x:f>COUNTIF('データ'!BX$5:BX$7,"〇")</x:f>
        <x:v>0</x:v>
      </x:c>
      <x:c r="E53" s="104" t="n">
        <x:f>IF(F53=0,"",D53/F53)</x:f>
        <x:v>0</x:v>
      </x:c>
      <x:c r="F53" s="94" t="n">
        <x:f>SUM('データ'!BZ$5:BZ$7)</x:f>
        <x:v>3</x:v>
      </x:c>
      <x:c r="G53" s="94" t="str">
        <x:v>複数回答</x:v>
      </x:c>
    </x:row>
    <x:row r="54">
      <x:c r="A54" s="94" t="str">
        <x:v>問10</x:v>
      </x:c>
      <x:c r="B54" s="94" t="str">
        <x:v>日常生活で困っていることは何ですか（あてはまるものすべて）</x:v>
      </x:c>
      <x:c r="C54" s="94" t="str">
        <x:v>家事</x:v>
      </x:c>
      <x:c r="D54" s="94" t="n">
        <x:f>COUNTIF('データ'!CA$5:CA$7,"〇")</x:f>
        <x:v>1</x:v>
      </x:c>
      <x:c r="E54" s="104" t="n">
        <x:f>IF(F54=0,"",D54/F54)</x:f>
        <x:v>0.3333333333333333</x:v>
      </x:c>
      <x:c r="F54" s="94" t="n">
        <x:f>SUM('データ'!CP$5:CP$7)</x:f>
        <x:v>3</x:v>
      </x:c>
      <x:c r="G54" s="94" t="str">
        <x:v>複数回答</x:v>
      </x:c>
    </x:row>
    <x:row r="55">
      <x:c r="A55" s="94" t="str">
        <x:v>問10</x:v>
      </x:c>
      <x:c r="B55" s="94" t="str">
        <x:v>日常生活で困っていることは何ですか（あてはまるものすべて）</x:v>
      </x:c>
      <x:c r="C55" s="94" t="str">
        <x:v>食事</x:v>
      </x:c>
      <x:c r="D55" s="94" t="n">
        <x:f>COUNTIF('データ'!CB$5:CB$7,"〇")</x:f>
        <x:v>1</x:v>
      </x:c>
      <x:c r="E55" s="104" t="n">
        <x:f>IF(F55=0,"",D55/F55)</x:f>
        <x:v>0.3333333333333333</x:v>
      </x:c>
      <x:c r="F55" s="94" t="n">
        <x:f>SUM('データ'!CP$5:CP$7)</x:f>
        <x:v>3</x:v>
      </x:c>
      <x:c r="G55" s="94" t="str">
        <x:v>複数回答</x:v>
      </x:c>
    </x:row>
    <x:row r="56">
      <x:c r="A56" s="94" t="str">
        <x:v>問10</x:v>
      </x:c>
      <x:c r="B56" s="94" t="str">
        <x:v>日常生活で困っていることは何ですか（あてはまるものすべて）</x:v>
      </x:c>
      <x:c r="C56" s="94" t="str">
        <x:v>入浴</x:v>
      </x:c>
      <x:c r="D56" s="94" t="n">
        <x:f>COUNTIF('データ'!CC$5:CC$7,"〇")</x:f>
        <x:v>1</x:v>
      </x:c>
      <x:c r="E56" s="104" t="n">
        <x:f>IF(F56=0,"",D56/F56)</x:f>
        <x:v>0.3333333333333333</x:v>
      </x:c>
      <x:c r="F56" s="94" t="n">
        <x:f>SUM('データ'!CP$5:CP$7)</x:f>
        <x:v>3</x:v>
      </x:c>
      <x:c r="G56" s="94" t="str">
        <x:v>複数回答</x:v>
      </x:c>
    </x:row>
    <x:row r="57">
      <x:c r="A57" s="94" t="str">
        <x:v>問10</x:v>
      </x:c>
      <x:c r="B57" s="94" t="str">
        <x:v>日常生活で困っていることは何ですか（あてはまるものすべて）</x:v>
      </x:c>
      <x:c r="C57" s="94" t="str">
        <x:v>排せつ</x:v>
      </x:c>
      <x:c r="D57" s="94" t="n">
        <x:f>COUNTIF('データ'!CD$5:CD$7,"〇")</x:f>
        <x:v>1</x:v>
      </x:c>
      <x:c r="E57" s="104" t="n">
        <x:f>IF(F57=0,"",D57/F57)</x:f>
        <x:v>0.3333333333333333</x:v>
      </x:c>
      <x:c r="F57" s="94" t="n">
        <x:f>SUM('データ'!CP$5:CP$7)</x:f>
        <x:v>3</x:v>
      </x:c>
      <x:c r="G57" s="94" t="str">
        <x:v>複数回答</x:v>
      </x:c>
    </x:row>
    <x:row r="58">
      <x:c r="A58" s="94" t="str">
        <x:v>問10</x:v>
      </x:c>
      <x:c r="B58" s="94" t="str">
        <x:v>日常生活で困っていることは何ですか（あてはまるものすべて）</x:v>
      </x:c>
      <x:c r="C58" s="94" t="str">
        <x:v>服薬管理</x:v>
      </x:c>
      <x:c r="D58" s="94" t="n">
        <x:f>COUNTIF('データ'!CE$5:CE$7,"〇")</x:f>
        <x:v>1</x:v>
      </x:c>
      <x:c r="E58" s="104" t="n">
        <x:f>IF(F58=0,"",D58/F58)</x:f>
        <x:v>0.3333333333333333</x:v>
      </x:c>
      <x:c r="F58" s="94" t="n">
        <x:f>SUM('データ'!CP$5:CP$7)</x:f>
        <x:v>3</x:v>
      </x:c>
      <x:c r="G58" s="94" t="str">
        <x:v>複数回答</x:v>
      </x:c>
    </x:row>
    <x:row r="59">
      <x:c r="A59" s="94" t="str">
        <x:v>問10</x:v>
      </x:c>
      <x:c r="B59" s="94" t="str">
        <x:v>日常生活で困っていることは何ですか（あてはまるものすべて）</x:v>
      </x:c>
      <x:c r="C59" s="94" t="str">
        <x:v>金銭管理</x:v>
      </x:c>
      <x:c r="D59" s="94" t="n">
        <x:f>COUNTIF('データ'!CF$5:CF$7,"〇")</x:f>
        <x:v>1</x:v>
      </x:c>
      <x:c r="E59" s="104" t="n">
        <x:f>IF(F59=0,"",D59/F59)</x:f>
        <x:v>0.3333333333333333</x:v>
      </x:c>
      <x:c r="F59" s="94" t="n">
        <x:f>SUM('データ'!CP$5:CP$7)</x:f>
        <x:v>3</x:v>
      </x:c>
      <x:c r="G59" s="94" t="str">
        <x:v>複数回答</x:v>
      </x:c>
    </x:row>
    <x:row r="60">
      <x:c r="A60" s="94" t="str">
        <x:v>問10</x:v>
      </x:c>
      <x:c r="B60" s="94" t="str">
        <x:v>日常生活で困っていることは何ですか（あてはまるものすべて）</x:v>
      </x:c>
      <x:c r="C60" s="94" t="str">
        <x:v>通院</x:v>
      </x:c>
      <x:c r="D60" s="94" t="n">
        <x:f>COUNTIF('データ'!CG$5:CG$7,"〇")</x:f>
        <x:v>1</x:v>
      </x:c>
      <x:c r="E60" s="104" t="n">
        <x:f>IF(F60=0,"",D60/F60)</x:f>
        <x:v>0.3333333333333333</x:v>
      </x:c>
      <x:c r="F60" s="94" t="n">
        <x:f>SUM('データ'!CP$5:CP$7)</x:f>
        <x:v>3</x:v>
      </x:c>
      <x:c r="G60" s="94" t="str">
        <x:v>複数回答</x:v>
      </x:c>
    </x:row>
    <x:row r="61">
      <x:c r="A61" s="94" t="str">
        <x:v>問10</x:v>
      </x:c>
      <x:c r="B61" s="94" t="str">
        <x:v>日常生活で困っていることは何ですか（あてはまるものすべて）</x:v>
      </x:c>
      <x:c r="C61" s="94" t="str">
        <x:v>外出・移動</x:v>
      </x:c>
      <x:c r="D61" s="94" t="n">
        <x:f>COUNTIF('データ'!CH$5:CH$7,"〇")</x:f>
        <x:v>1</x:v>
      </x:c>
      <x:c r="E61" s="104" t="n">
        <x:f>IF(F61=0,"",D61/F61)</x:f>
        <x:v>0.3333333333333333</x:v>
      </x:c>
      <x:c r="F61" s="94" t="n">
        <x:f>SUM('データ'!CP$5:CP$7)</x:f>
        <x:v>3</x:v>
      </x:c>
      <x:c r="G61" s="94" t="str">
        <x:v>複数回答</x:v>
      </x:c>
    </x:row>
    <x:row r="62">
      <x:c r="A62" s="94" t="str">
        <x:v>問10</x:v>
      </x:c>
      <x:c r="B62" s="94" t="str">
        <x:v>日常生活で困っていることは何ですか（あてはまるものすべて）</x:v>
      </x:c>
      <x:c r="C62" s="94" t="str">
        <x:v>買い物</x:v>
      </x:c>
      <x:c r="D62" s="94" t="n">
        <x:f>COUNTIF('データ'!CI$5:CI$7,"〇")</x:f>
        <x:v>1</x:v>
      </x:c>
      <x:c r="E62" s="104" t="n">
        <x:f>IF(F62=0,"",D62/F62)</x:f>
        <x:v>0.3333333333333333</x:v>
      </x:c>
      <x:c r="F62" s="94" t="n">
        <x:f>SUM('データ'!CP$5:CP$7)</x:f>
        <x:v>3</x:v>
      </x:c>
      <x:c r="G62" s="94" t="str">
        <x:v>複数回答</x:v>
      </x:c>
    </x:row>
    <x:row r="63">
      <x:c r="A63" s="94" t="str">
        <x:v>問10</x:v>
      </x:c>
      <x:c r="B63" s="94" t="str">
        <x:v>日常生活で困っていることは何ですか（あてはまるものすべて）</x:v>
      </x:c>
      <x:c r="C63" s="94" t="str">
        <x:v>災害時の避難</x:v>
      </x:c>
      <x:c r="D63" s="94" t="n">
        <x:f>COUNTIF('データ'!CJ$5:CJ$7,"〇")</x:f>
        <x:v>1</x:v>
      </x:c>
      <x:c r="E63" s="104" t="n">
        <x:f>IF(F63=0,"",D63/F63)</x:f>
        <x:v>0.3333333333333333</x:v>
      </x:c>
      <x:c r="F63" s="94" t="n">
        <x:f>SUM('データ'!CP$5:CP$7)</x:f>
        <x:v>3</x:v>
      </x:c>
      <x:c r="G63" s="94" t="str">
        <x:v>複数回答</x:v>
      </x:c>
    </x:row>
    <x:row r="64">
      <x:c r="A64" s="94" t="str">
        <x:v>問10</x:v>
      </x:c>
      <x:c r="B64" s="94" t="str">
        <x:v>日常生活で困っていることは何ですか（あてはまるものすべて）</x:v>
      </x:c>
      <x:c r="C64" s="94" t="str">
        <x:v>相談先がない</x:v>
      </x:c>
      <x:c r="D64" s="94" t="n">
        <x:f>COUNTIF('データ'!CK$5:CK$7,"〇")</x:f>
        <x:v>0</x:v>
      </x:c>
      <x:c r="E64" s="104" t="n">
        <x:f>IF(F64=0,"",D64/F64)</x:f>
        <x:v>0</x:v>
      </x:c>
      <x:c r="F64" s="94" t="n">
        <x:f>SUM('データ'!CP$5:CP$7)</x:f>
        <x:v>3</x:v>
      </x:c>
      <x:c r="G64" s="94" t="str">
        <x:v>複数回答</x:v>
      </x:c>
    </x:row>
    <x:row r="65">
      <x:c r="A65" s="94" t="str">
        <x:v>問10</x:v>
      </x:c>
      <x:c r="B65" s="94" t="str">
        <x:v>日常生活で困っていることは何ですか（あてはまるものすべて）</x:v>
      </x:c>
      <x:c r="C65" s="94" t="str">
        <x:v>将来の生活</x:v>
      </x:c>
      <x:c r="D65" s="94" t="n">
        <x:f>COUNTIF('データ'!CL$5:CL$7,"〇")</x:f>
        <x:v>3</x:v>
      </x:c>
      <x:c r="E65" s="104" t="n">
        <x:f>IF(F65=0,"",D65/F65)</x:f>
        <x:v>1</x:v>
      </x:c>
      <x:c r="F65" s="94" t="n">
        <x:f>SUM('データ'!CP$5:CP$7)</x:f>
        <x:v>3</x:v>
      </x:c>
      <x:c r="G65" s="94" t="str">
        <x:v>複数回答</x:v>
      </x:c>
    </x:row>
    <x:row r="66">
      <x:c r="A66" s="94" t="str">
        <x:v>問10</x:v>
      </x:c>
      <x:c r="B66" s="94" t="str">
        <x:v>日常生活で困っていることは何ですか（あてはまるものすべて）</x:v>
      </x:c>
      <x:c r="C66" s="94" t="str">
        <x:v>特にない</x:v>
      </x:c>
      <x:c r="D66" s="94" t="n">
        <x:f>COUNTIF('データ'!CM$5:CM$7,"〇")</x:f>
        <x:v>0</x:v>
      </x:c>
      <x:c r="E66" s="104" t="n">
        <x:f>IF(F66=0,"",D66/F66)</x:f>
        <x:v>0</x:v>
      </x:c>
      <x:c r="F66" s="94" t="n">
        <x:f>SUM('データ'!CP$5:CP$7)</x:f>
        <x:v>3</x:v>
      </x:c>
      <x:c r="G66" s="94" t="str">
        <x:v>複数回答</x:v>
      </x:c>
    </x:row>
    <x:row r="67">
      <x:c r="A67" s="94" t="str">
        <x:v>問10</x:v>
      </x:c>
      <x:c r="B67" s="94" t="str">
        <x:v>日常生活で困っていることは何ですか（あてはまるものすべて）</x:v>
      </x:c>
      <x:c r="C67" s="94" t="str">
        <x:v>その他</x:v>
      </x:c>
      <x:c r="D67" s="94" t="n">
        <x:f>COUNTIF('データ'!CN$5:CN$7,"〇")</x:f>
        <x:v>1</x:v>
      </x:c>
      <x:c r="E67" s="104" t="n">
        <x:f>IF(F67=0,"",D67/F67)</x:f>
        <x:v>0.3333333333333333</x:v>
      </x:c>
      <x:c r="F67" s="94" t="n">
        <x:f>SUM('データ'!CP$5:CP$7)</x:f>
        <x:v>3</x:v>
      </x:c>
      <x:c r="G67" s="94" t="str">
        <x:v>複数回答</x:v>
      </x:c>
    </x:row>
    <x:row r="68">
      <x:c r="A68" s="94" t="str">
        <x:v>問10-2</x:v>
      </x:c>
      <x:c r="B68" s="94" t="str">
        <x:v>困っていることについて、自由に記入してください</x:v>
      </x:c>
      <x:c r="C68" s="94" t="str">
        <x:v>自由記述は「自由記述一覧」シート参照</x:v>
      </x:c>
      <x:c r="D68" s="94" t="str">
        <x:f>""</x:f>
      </x:c>
      <x:c r="E68" s="104" t="str">
        <x:f>""</x:f>
      </x:c>
      <x:c r="F68" s="94" t="str">
        <x:f>""</x:f>
      </x:c>
      <x:c r="G68" s="94" t="str">
        <x:v>自由記述（別シート参照）</x:v>
      </x:c>
    </x:row>
    <x:row r="69">
      <x:c r="A69" s="94" t="str">
        <x:v>問11</x:v>
      </x:c>
      <x:c r="B69" s="94" t="str">
        <x:v>18歳になったら、どのような暮らし方を希望しますか</x:v>
      </x:c>
      <x:c r="C69" s="94" t="str">
        <x:v>家族と一緒に暮らしたい</x:v>
      </x:c>
      <x:c r="D69" s="94" t="n">
        <x:f>COUNTIF('データ'!CS$5:CS$7,"〇")</x:f>
        <x:v>0</x:v>
      </x:c>
      <x:c r="E69" s="104" t="n">
        <x:f>IF(F69=0,"",D69/F69)</x:f>
        <x:v>0</x:v>
      </x:c>
      <x:c r="F69" s="94" t="n">
        <x:f>SUM('データ'!DA$5:DA$7)</x:f>
        <x:v>3</x:v>
      </x:c>
      <x:c r="G69" s="94" t="str">
        <x:v>単一回答</x:v>
      </x:c>
    </x:row>
    <x:row r="70">
      <x:c r="A70" s="94" t="str">
        <x:v>問11</x:v>
      </x:c>
      <x:c r="B70" s="94" t="str">
        <x:v>18歳になったら、どのような暮らし方を希望しますか</x:v>
      </x:c>
      <x:c r="C70" s="94" t="str">
        <x:v>一人暮らしをしたい</x:v>
      </x:c>
      <x:c r="D70" s="94" t="n">
        <x:f>COUNTIF('データ'!CT$5:CT$7,"〇")</x:f>
        <x:v>1</x:v>
      </x:c>
      <x:c r="E70" s="104" t="n">
        <x:f>IF(F70=0,"",D70/F70)</x:f>
        <x:v>0.3333333333333333</x:v>
      </x:c>
      <x:c r="F70" s="94" t="n">
        <x:f>SUM('データ'!DA$5:DA$7)</x:f>
        <x:v>3</x:v>
      </x:c>
      <x:c r="G70" s="94" t="str">
        <x:v>単一回答</x:v>
      </x:c>
    </x:row>
    <x:row r="71">
      <x:c r="A71" s="94" t="str">
        <x:v>問11</x:v>
      </x:c>
      <x:c r="B71" s="94" t="str">
        <x:v>18歳になったら、どのような暮らし方を希望しますか</x:v>
      </x:c>
      <x:c r="C71" s="94" t="str">
        <x:v>グループホームで暮らしたい</x:v>
      </x:c>
      <x:c r="D71" s="94" t="n">
        <x:f>COUNTIF('データ'!CU$5:CU$7,"〇")</x:f>
        <x:v>0</x:v>
      </x:c>
      <x:c r="E71" s="104" t="n">
        <x:f>IF(F71=0,"",D71/F71)</x:f>
        <x:v>0</x:v>
      </x:c>
      <x:c r="F71" s="94" t="n">
        <x:f>SUM('データ'!DA$5:DA$7)</x:f>
        <x:v>3</x:v>
      </x:c>
      <x:c r="G71" s="94" t="str">
        <x:v>単一回答</x:v>
      </x:c>
    </x:row>
    <x:row r="72">
      <x:c r="A72" s="94" t="str">
        <x:v>問11</x:v>
      </x:c>
      <x:c r="B72" s="94" t="str">
        <x:v>18歳になったら、どのような暮らし方を希望しますか</x:v>
      </x:c>
      <x:c r="C72" s="94" t="str">
        <x:v>障がい者支援施設等で暮らしたい</x:v>
      </x:c>
      <x:c r="D72" s="94" t="n">
        <x:f>COUNTIF('データ'!CV$5:CV$7,"〇")</x:f>
        <x:v>0</x:v>
      </x:c>
      <x:c r="E72" s="104" t="n">
        <x:f>IF(F72=0,"",D72/F72)</x:f>
        <x:v>0</x:v>
      </x:c>
      <x:c r="F72" s="94" t="n">
        <x:f>SUM('データ'!DA$5:DA$7)</x:f>
        <x:v>3</x:v>
      </x:c>
      <x:c r="G72" s="94" t="str">
        <x:v>単一回答</x:v>
      </x:c>
    </x:row>
    <x:row r="73">
      <x:c r="A73" s="94" t="str">
        <x:v>問11</x:v>
      </x:c>
      <x:c r="B73" s="94" t="str">
        <x:v>18歳になったら、どのような暮らし方を希望しますか</x:v>
      </x:c>
      <x:c r="C73" s="94" t="str">
        <x:v>病院・施設から地域で暮らしたい</x:v>
      </x:c>
      <x:c r="D73" s="94" t="n">
        <x:f>COUNTIF('データ'!CW$5:CW$7,"〇")</x:f>
        <x:v>0</x:v>
      </x:c>
      <x:c r="E73" s="104" t="n">
        <x:f>IF(F73=0,"",D73/F73)</x:f>
        <x:v>0</x:v>
      </x:c>
      <x:c r="F73" s="94" t="n">
        <x:f>SUM('データ'!DA$5:DA$7)</x:f>
        <x:v>3</x:v>
      </x:c>
      <x:c r="G73" s="94" t="str">
        <x:v>単一回答</x:v>
      </x:c>
    </x:row>
    <x:row r="74">
      <x:c r="A74" s="94" t="str">
        <x:v>問11</x:v>
      </x:c>
      <x:c r="B74" s="94" t="str">
        <x:v>18歳になったら、どのような暮らし方を希望しますか</x:v>
      </x:c>
      <x:c r="C74" s="94" t="str">
        <x:v>まだわからない</x:v>
      </x:c>
      <x:c r="D74" s="94" t="n">
        <x:f>COUNTIF('データ'!CX$5:CX$7,"〇")</x:f>
        <x:v>1</x:v>
      </x:c>
      <x:c r="E74" s="104" t="n">
        <x:f>IF(F74=0,"",D74/F74)</x:f>
        <x:v>0.3333333333333333</x:v>
      </x:c>
      <x:c r="F74" s="94" t="n">
        <x:f>SUM('データ'!DA$5:DA$7)</x:f>
        <x:v>3</x:v>
      </x:c>
      <x:c r="G74" s="94" t="str">
        <x:v>単一回答</x:v>
      </x:c>
    </x:row>
    <x:row r="75">
      <x:c r="A75" s="94" t="str">
        <x:v>問11</x:v>
      </x:c>
      <x:c r="B75" s="94" t="str">
        <x:v>18歳になったら、どのような暮らし方を希望しますか</x:v>
      </x:c>
      <x:c r="C75" s="94" t="str">
        <x:v>その他</x:v>
      </x:c>
      <x:c r="D75" s="94" t="n">
        <x:f>COUNTIF('データ'!CY$5:CY$7,"〇")</x:f>
        <x:v>1</x:v>
      </x:c>
      <x:c r="E75" s="104" t="n">
        <x:f>IF(F75=0,"",D75/F75)</x:f>
        <x:v>0.3333333333333333</x:v>
      </x:c>
      <x:c r="F75" s="94" t="n">
        <x:f>SUM('データ'!DA$5:DA$7)</x:f>
        <x:v>3</x:v>
      </x:c>
      <x:c r="G75" s="94" t="str">
        <x:v>単一回答</x:v>
      </x:c>
    </x:row>
    <x:row r="76">
      <x:c r="A76" s="94" t="str">
        <x:v>問12</x:v>
      </x:c>
      <x:c r="B76" s="94" t="str">
        <x:v>外出の頻度を教えてください</x:v>
      </x:c>
      <x:c r="C76" s="94" t="str">
        <x:v>ほぼ毎日</x:v>
      </x:c>
      <x:c r="D76" s="94" t="n">
        <x:f>COUNTIF('データ'!DB$5:DB$7,"〇")</x:f>
        <x:v>1</x:v>
      </x:c>
      <x:c r="E76" s="104" t="n">
        <x:f>IF(F76=0,"",D76/F76)</x:f>
        <x:v>0.3333333333333333</x:v>
      </x:c>
      <x:c r="F76" s="94" t="n">
        <x:f>SUM('データ'!DG$5:DG$7)</x:f>
        <x:v>3</x:v>
      </x:c>
      <x:c r="G76" s="94" t="str">
        <x:v>単一回答</x:v>
      </x:c>
    </x:row>
    <x:row r="77">
      <x:c r="A77" s="94" t="str">
        <x:v>問12</x:v>
      </x:c>
      <x:c r="B77" s="94" t="str">
        <x:v>外出の頻度を教えてください</x:v>
      </x:c>
      <x:c r="C77" s="94" t="str">
        <x:v>週に2～4回</x:v>
      </x:c>
      <x:c r="D77" s="94" t="n">
        <x:f>COUNTIF('データ'!DC$5:DC$7,"〇")</x:f>
        <x:v>1</x:v>
      </x:c>
      <x:c r="E77" s="104" t="n">
        <x:f>IF(F77=0,"",D77/F77)</x:f>
        <x:v>0.3333333333333333</x:v>
      </x:c>
      <x:c r="F77" s="94" t="n">
        <x:f>SUM('データ'!DG$5:DG$7)</x:f>
        <x:v>3</x:v>
      </x:c>
      <x:c r="G77" s="94" t="str">
        <x:v>単一回答</x:v>
      </x:c>
    </x:row>
    <x:row r="78">
      <x:c r="A78" s="94" t="str">
        <x:v>問12</x:v>
      </x:c>
      <x:c r="B78" s="94" t="str">
        <x:v>外出の頻度を教えてください</x:v>
      </x:c>
      <x:c r="C78" s="94" t="str">
        <x:v>週に1回程度</x:v>
      </x:c>
      <x:c r="D78" s="94" t="n">
        <x:f>COUNTIF('データ'!DD$5:DD$7,"〇")</x:f>
        <x:v>1</x:v>
      </x:c>
      <x:c r="E78" s="104" t="n">
        <x:f>IF(F78=0,"",D78/F78)</x:f>
        <x:v>0.3333333333333333</x:v>
      </x:c>
      <x:c r="F78" s="94" t="n">
        <x:f>SUM('データ'!DG$5:DG$7)</x:f>
        <x:v>3</x:v>
      </x:c>
      <x:c r="G78" s="94" t="str">
        <x:v>単一回答</x:v>
      </x:c>
    </x:row>
    <x:row r="79">
      <x:c r="A79" s="94" t="str">
        <x:v>問12</x:v>
      </x:c>
      <x:c r="B79" s="94" t="str">
        <x:v>外出の頻度を教えてください</x:v>
      </x:c>
      <x:c r="C79" s="94" t="str">
        <x:v>月に数回</x:v>
      </x:c>
      <x:c r="D79" s="94" t="n">
        <x:f>COUNTIF('データ'!DE$5:DE$7,"〇")</x:f>
        <x:v>0</x:v>
      </x:c>
      <x:c r="E79" s="104" t="n">
        <x:f>IF(F79=0,"",D79/F79)</x:f>
        <x:v>0</x:v>
      </x:c>
      <x:c r="F79" s="94" t="n">
        <x:f>SUM('データ'!DG$5:DG$7)</x:f>
        <x:v>3</x:v>
      </x:c>
      <x:c r="G79" s="94" t="str">
        <x:v>単一回答</x:v>
      </x:c>
    </x:row>
    <x:row r="80">
      <x:c r="A80" s="94" t="str">
        <x:v>問12</x:v>
      </x:c>
      <x:c r="B80" s="94" t="str">
        <x:v>外出の頻度を教えてください</x:v>
      </x:c>
      <x:c r="C80" s="94" t="str">
        <x:v>ほとんど外出しない</x:v>
      </x:c>
      <x:c r="D80" s="94" t="n">
        <x:f>COUNTIF('データ'!DF$5:DF$7,"〇")</x:f>
        <x:v>0</x:v>
      </x:c>
      <x:c r="E80" s="104" t="n">
        <x:f>IF(F80=0,"",D80/F80)</x:f>
        <x:v>0</x:v>
      </x:c>
      <x:c r="F80" s="94" t="n">
        <x:f>SUM('データ'!DG$5:DG$7)</x:f>
        <x:v>3</x:v>
      </x:c>
      <x:c r="G80" s="94" t="str">
        <x:v>単一回答</x:v>
      </x:c>
    </x:row>
    <x:row r="81">
      <x:c r="A81" s="94" t="str">
        <x:v>問13</x:v>
      </x:c>
      <x:c r="B81" s="94" t="str">
        <x:v>外出時の主な移動手段を教えてください（あてはまるものすべて）</x:v>
      </x:c>
      <x:c r="C81" s="94" t="str">
        <x:v>家族の送迎</x:v>
      </x:c>
      <x:c r="D81" s="94" t="n">
        <x:f>COUNTIF('データ'!DH$5:DH$7,"〇")</x:f>
        <x:v>3</x:v>
      </x:c>
      <x:c r="E81" s="104" t="n">
        <x:f>IF(F81=0,"",D81/F81)</x:f>
        <x:v>1</x:v>
      </x:c>
      <x:c r="F81" s="94" t="n">
        <x:f>SUM('データ'!DQ$5:DQ$7)</x:f>
        <x:v>3</x:v>
      </x:c>
      <x:c r="G81" s="94" t="str">
        <x:v>複数回答</x:v>
      </x:c>
    </x:row>
    <x:row r="82">
      <x:c r="A82" s="94" t="str">
        <x:v>問13</x:v>
      </x:c>
      <x:c r="B82" s="94" t="str">
        <x:v>外出時の主な移動手段を教えてください（あてはまるものすべて）</x:v>
      </x:c>
      <x:c r="C82" s="94" t="str">
        <x:v>徒歩</x:v>
      </x:c>
      <x:c r="D82" s="94" t="n">
        <x:f>COUNTIF('データ'!DI$5:DI$7,"〇")</x:f>
        <x:v>2</x:v>
      </x:c>
      <x:c r="E82" s="104" t="n">
        <x:f>IF(F82=0,"",D82/F82)</x:f>
        <x:v>0.6666666666666666</x:v>
      </x:c>
      <x:c r="F82" s="94" t="n">
        <x:f>SUM('データ'!DQ$5:DQ$7)</x:f>
        <x:v>3</x:v>
      </x:c>
      <x:c r="G82" s="94" t="str">
        <x:v>複数回答</x:v>
      </x:c>
    </x:row>
    <x:row r="83">
      <x:c r="A83" s="94" t="str">
        <x:v>問13</x:v>
      </x:c>
      <x:c r="B83" s="94" t="str">
        <x:v>外出時の主な移動手段を教えてください（あてはまるものすべて）</x:v>
      </x:c>
      <x:c r="C83" s="94" t="str">
        <x:v>自転車</x:v>
      </x:c>
      <x:c r="D83" s="94" t="n">
        <x:f>COUNTIF('データ'!DJ$5:DJ$7,"〇")</x:f>
        <x:v>1</x:v>
      </x:c>
      <x:c r="E83" s="104" t="n">
        <x:f>IF(F83=0,"",D83/F83)</x:f>
        <x:v>0.3333333333333333</x:v>
      </x:c>
      <x:c r="F83" s="94" t="n">
        <x:f>SUM('データ'!DQ$5:DQ$7)</x:f>
        <x:v>3</x:v>
      </x:c>
      <x:c r="G83" s="94" t="str">
        <x:v>複数回答</x:v>
      </x:c>
    </x:row>
    <x:row r="84">
      <x:c r="A84" s="94" t="str">
        <x:v>問13</x:v>
      </x:c>
      <x:c r="B84" s="94" t="str">
        <x:v>外出時の主な移動手段を教えてください（あてはまるものすべて）</x:v>
      </x:c>
      <x:c r="C84" s="94" t="str">
        <x:v>路線バス</x:v>
      </x:c>
      <x:c r="D84" s="94" t="n">
        <x:f>COUNTIF('データ'!DK$5:DK$7,"〇")</x:f>
        <x:v>1</x:v>
      </x:c>
      <x:c r="E84" s="104" t="n">
        <x:f>IF(F84=0,"",D84/F84)</x:f>
        <x:v>0.3333333333333333</x:v>
      </x:c>
      <x:c r="F84" s="94" t="n">
        <x:f>SUM('データ'!DQ$5:DQ$7)</x:f>
        <x:v>3</x:v>
      </x:c>
      <x:c r="G84" s="94" t="str">
        <x:v>複数回答</x:v>
      </x:c>
    </x:row>
    <x:row r="85">
      <x:c r="A85" s="94" t="str">
        <x:v>問13</x:v>
      </x:c>
      <x:c r="B85" s="94" t="str">
        <x:v>外出時の主な移動手段を教えてください（あてはまるものすべて）</x:v>
      </x:c>
      <x:c r="C85" s="94" t="str">
        <x:v>タクシー</x:v>
      </x:c>
      <x:c r="D85" s="94" t="n">
        <x:f>COUNTIF('データ'!DL$5:DL$7,"〇")</x:f>
        <x:v>0</x:v>
      </x:c>
      <x:c r="E85" s="104" t="n">
        <x:f>IF(F85=0,"",D85/F85)</x:f>
        <x:v>0</x:v>
      </x:c>
      <x:c r="F85" s="94" t="n">
        <x:f>SUM('データ'!DQ$5:DQ$7)</x:f>
        <x:v>3</x:v>
      </x:c>
      <x:c r="G85" s="94" t="str">
        <x:v>複数回答</x:v>
      </x:c>
    </x:row>
    <x:row r="86">
      <x:c r="A86" s="94" t="str">
        <x:v>問13</x:v>
      </x:c>
      <x:c r="B86" s="94" t="str">
        <x:v>外出時の主な移動手段を教えてください（あてはまるものすべて）</x:v>
      </x:c>
      <x:c r="C86" s="94" t="str">
        <x:v>福祉タクシー等</x:v>
      </x:c>
      <x:c r="D86" s="94" t="n">
        <x:f>COUNTIF('データ'!DM$5:DM$7,"〇")</x:f>
        <x:v>0</x:v>
      </x:c>
      <x:c r="E86" s="104" t="n">
        <x:f>IF(F86=0,"",D86/F86)</x:f>
        <x:v>0</x:v>
      </x:c>
      <x:c r="F86" s="94" t="n">
        <x:f>SUM('データ'!DQ$5:DQ$7)</x:f>
        <x:v>3</x:v>
      </x:c>
      <x:c r="G86" s="94" t="str">
        <x:v>複数回答</x:v>
      </x:c>
    </x:row>
    <x:row r="87">
      <x:c r="A87" s="94" t="str">
        <x:v>問13</x:v>
      </x:c>
      <x:c r="B87" s="94" t="str">
        <x:v>外出時の主な移動手段を教えてください（あてはまるものすべて）</x:v>
      </x:c>
      <x:c r="C87" s="94" t="str">
        <x:v>事業所・施設の送迎</x:v>
      </x:c>
      <x:c r="D87" s="94" t="n">
        <x:f>COUNTIF('データ'!DN$5:DN$7,"〇")</x:f>
        <x:v>0</x:v>
      </x:c>
      <x:c r="E87" s="104" t="n">
        <x:f>IF(F87=0,"",D87/F87)</x:f>
        <x:v>0</x:v>
      </x:c>
      <x:c r="F87" s="94" t="n">
        <x:f>SUM('データ'!DQ$5:DQ$7)</x:f>
        <x:v>3</x:v>
      </x:c>
      <x:c r="G87" s="94" t="str">
        <x:v>複数回答</x:v>
      </x:c>
    </x:row>
    <x:row r="88">
      <x:c r="A88" s="94" t="str">
        <x:v>問13</x:v>
      </x:c>
      <x:c r="B88" s="94" t="str">
        <x:v>外出時の主な移動手段を教えてください（あてはまるものすべて）</x:v>
      </x:c>
      <x:c r="C88" s="94" t="str">
        <x:v>その他</x:v>
      </x:c>
      <x:c r="D88" s="94" t="n">
        <x:f>COUNTIF('データ'!DO$5:DO$7,"〇")</x:f>
        <x:v>0</x:v>
      </x:c>
      <x:c r="E88" s="104" t="n">
        <x:f>IF(F88=0,"",D88/F88)</x:f>
        <x:v>0</x:v>
      </x:c>
      <x:c r="F88" s="94" t="n">
        <x:f>SUM('データ'!DQ$5:DQ$7)</x:f>
        <x:v>3</x:v>
      </x:c>
      <x:c r="G88" s="94" t="str">
        <x:v>複数回答</x:v>
      </x:c>
    </x:row>
    <x:row r="89">
      <x:c r="A89" s="94" t="str">
        <x:v>問14</x:v>
      </x:c>
      <x:c r="B89" s="94" t="str">
        <x:v>外出するときに困ることは何ですか（あてはまるものすべて）</x:v>
      </x:c>
      <x:c r="C89" s="94" t="str">
        <x:v>交通手段が少ない</x:v>
      </x:c>
      <x:c r="D89" s="94" t="n">
        <x:f>COUNTIF('データ'!DR$5:DR$7,"〇")</x:f>
        <x:v>2</x:v>
      </x:c>
      <x:c r="E89" s="104" t="n">
        <x:f>IF(F89=0,"",D89/F89)</x:f>
        <x:v>0.6666666666666666</x:v>
      </x:c>
      <x:c r="F89" s="94" t="n">
        <x:f>SUM('データ'!EC$5:EC$7)</x:f>
        <x:v>3</x:v>
      </x:c>
      <x:c r="G89" s="94" t="str">
        <x:v>複数回答</x:v>
      </x:c>
    </x:row>
    <x:row r="90">
      <x:c r="A90" s="94" t="str">
        <x:v>問14</x:v>
      </x:c>
      <x:c r="B90" s="94" t="str">
        <x:v>外出するときに困ることは何ですか（あてはまるものすべて）</x:v>
      </x:c>
      <x:c r="C90" s="94" t="str">
        <x:v>家族等の付き添いが必要</x:v>
      </x:c>
      <x:c r="D90" s="94" t="n">
        <x:f>COUNTIF('データ'!DS$5:DS$7,"〇")</x:f>
        <x:v>2</x:v>
      </x:c>
      <x:c r="E90" s="104" t="n">
        <x:f>IF(F90=0,"",D90/F90)</x:f>
        <x:v>0.6666666666666666</x:v>
      </x:c>
      <x:c r="F90" s="94" t="n">
        <x:f>SUM('データ'!EC$5:EC$7)</x:f>
        <x:v>3</x:v>
      </x:c>
      <x:c r="G90" s="94" t="str">
        <x:v>複数回答</x:v>
      </x:c>
    </x:row>
    <x:row r="91">
      <x:c r="A91" s="94" t="str">
        <x:v>問14</x:v>
      </x:c>
      <x:c r="B91" s="94" t="str">
        <x:v>外出するときに困ることは何ですか（あてはまるものすべて）</x:v>
      </x:c>
      <x:c r="C91" s="94" t="str">
        <x:v>送迎がない</x:v>
      </x:c>
      <x:c r="D91" s="94" t="n">
        <x:f>COUNTIF('データ'!DT$5:DT$7,"〇")</x:f>
        <x:v>1</x:v>
      </x:c>
      <x:c r="E91" s="104" t="n">
        <x:f>IF(F91=0,"",D91/F91)</x:f>
        <x:v>0.3333333333333333</x:v>
      </x:c>
      <x:c r="F91" s="94" t="n">
        <x:f>SUM('データ'!EC$5:EC$7)</x:f>
        <x:v>3</x:v>
      </x:c>
      <x:c r="G91" s="94" t="str">
        <x:v>複数回答</x:v>
      </x:c>
    </x:row>
    <x:row r="92">
      <x:c r="A92" s="94" t="str">
        <x:v>問14</x:v>
      </x:c>
      <x:c r="B92" s="94" t="str">
        <x:v>外出するときに困ることは何ですか（あてはまるものすべて）</x:v>
      </x:c>
      <x:c r="C92" s="94" t="str">
        <x:v>冬季・積雪時に外出しにくい</x:v>
      </x:c>
      <x:c r="D92" s="94" t="n">
        <x:f>COUNTIF('データ'!DU$5:DU$7,"〇")</x:f>
        <x:v>1</x:v>
      </x:c>
      <x:c r="E92" s="104" t="n">
        <x:f>IF(F92=0,"",D92/F92)</x:f>
        <x:v>0.3333333333333333</x:v>
      </x:c>
      <x:c r="F92" s="94" t="n">
        <x:f>SUM('データ'!EC$5:EC$7)</x:f>
        <x:v>3</x:v>
      </x:c>
      <x:c r="G92" s="94" t="str">
        <x:v>複数回答</x:v>
      </x:c>
    </x:row>
    <x:row r="93">
      <x:c r="A93" s="94" t="str">
        <x:v>問14</x:v>
      </x:c>
      <x:c r="B93" s="94" t="str">
        <x:v>外出するときに困ることは何ですか（あてはまるものすべて）</x:v>
      </x:c>
      <x:c r="C93" s="94" t="str">
        <x:v>道路・建物が利用しにくい</x:v>
      </x:c>
      <x:c r="D93" s="94" t="n">
        <x:f>COUNTIF('データ'!DV$5:DV$7,"〇")</x:f>
        <x:v>0</x:v>
      </x:c>
      <x:c r="E93" s="104" t="n">
        <x:f>IF(F93=0,"",D93/F93)</x:f>
        <x:v>0</x:v>
      </x:c>
      <x:c r="F93" s="94" t="n">
        <x:f>SUM('データ'!EC$5:EC$7)</x:f>
        <x:v>3</x:v>
      </x:c>
      <x:c r="G93" s="94" t="str">
        <x:v>複数回答</x:v>
      </x:c>
    </x:row>
    <x:row r="94">
      <x:c r="A94" s="94" t="str">
        <x:v>問14</x:v>
      </x:c>
      <x:c r="B94" s="94" t="str">
        <x:v>外出するときに困ることは何ですか（あてはまるものすべて）</x:v>
      </x:c>
      <x:c r="C94" s="94" t="str">
        <x:v>周囲の理解が不安</x:v>
      </x:c>
      <x:c r="D94" s="94" t="n">
        <x:f>COUNTIF('データ'!DW$5:DW$7,"〇")</x:f>
        <x:v>0</x:v>
      </x:c>
      <x:c r="E94" s="104" t="n">
        <x:f>IF(F94=0,"",D94/F94)</x:f>
        <x:v>0</x:v>
      </x:c>
      <x:c r="F94" s="94" t="n">
        <x:f>SUM('データ'!EC$5:EC$7)</x:f>
        <x:v>3</x:v>
      </x:c>
      <x:c r="G94" s="94" t="str">
        <x:v>複数回答</x:v>
      </x:c>
    </x:row>
    <x:row r="95">
      <x:c r="A95" s="94" t="str">
        <x:v>問14</x:v>
      </x:c>
      <x:c r="B95" s="94" t="str">
        <x:v>外出するときに困ることは何ですか（あてはまるものすべて）</x:v>
      </x:c>
      <x:c r="C95" s="94" t="str">
        <x:v>体調面が不安</x:v>
      </x:c>
      <x:c r="D95" s="94" t="n">
        <x:f>COUNTIF('データ'!DX$5:DX$7,"〇")</x:f>
        <x:v>1</x:v>
      </x:c>
      <x:c r="E95" s="104" t="n">
        <x:f>IF(F95=0,"",D95/F95)</x:f>
        <x:v>0.3333333333333333</x:v>
      </x:c>
      <x:c r="F95" s="94" t="n">
        <x:f>SUM('データ'!EC$5:EC$7)</x:f>
        <x:v>3</x:v>
      </x:c>
      <x:c r="G95" s="94" t="str">
        <x:v>複数回答</x:v>
      </x:c>
    </x:row>
    <x:row r="96">
      <x:c r="A96" s="94" t="str">
        <x:v>問14</x:v>
      </x:c>
      <x:c r="B96" s="94" t="str">
        <x:v>外出するときに困ることは何ですか（あてはまるものすべて）</x:v>
      </x:c>
      <x:c r="C96" s="94" t="str">
        <x:v>費用がかかる</x:v>
      </x:c>
      <x:c r="D96" s="94" t="n">
        <x:f>COUNTIF('データ'!DY$5:DY$7,"〇")</x:f>
        <x:v>1</x:v>
      </x:c>
      <x:c r="E96" s="104" t="n">
        <x:f>IF(F96=0,"",D96/F96)</x:f>
        <x:v>0.3333333333333333</x:v>
      </x:c>
      <x:c r="F96" s="94" t="n">
        <x:f>SUM('データ'!EC$5:EC$7)</x:f>
        <x:v>3</x:v>
      </x:c>
      <x:c r="G96" s="94" t="str">
        <x:v>複数回答</x:v>
      </x:c>
    </x:row>
    <x:row r="97">
      <x:c r="A97" s="94" t="str">
        <x:v>問14</x:v>
      </x:c>
      <x:c r="B97" s="94" t="str">
        <x:v>外出するときに困ることは何ですか（あてはまるものすべて）</x:v>
      </x:c>
      <x:c r="C97" s="94" t="str">
        <x:v>特に困らない</x:v>
      </x:c>
      <x:c r="D97" s="94" t="n">
        <x:f>COUNTIF('データ'!DZ$5:DZ$7,"〇")</x:f>
        <x:v>0</x:v>
      </x:c>
      <x:c r="E97" s="104" t="n">
        <x:f>IF(F97=0,"",D97/F97)</x:f>
        <x:v>0</x:v>
      </x:c>
      <x:c r="F97" s="94" t="n">
        <x:f>SUM('データ'!EC$5:EC$7)</x:f>
        <x:v>3</x:v>
      </x:c>
      <x:c r="G97" s="94" t="str">
        <x:v>複数回答</x:v>
      </x:c>
    </x:row>
    <x:row r="98">
      <x:c r="A98" s="94" t="str">
        <x:v>問14</x:v>
      </x:c>
      <x:c r="B98" s="94" t="str">
        <x:v>外出するときに困ることは何ですか（あてはまるものすべて）</x:v>
      </x:c>
      <x:c r="C98" s="94" t="str">
        <x:v>その他</x:v>
      </x:c>
      <x:c r="D98" s="94" t="n">
        <x:f>COUNTIF('データ'!EA$5:EA$7,"〇")</x:f>
        <x:v>1</x:v>
      </x:c>
      <x:c r="E98" s="104" t="n">
        <x:f>IF(F98=0,"",D98/F98)</x:f>
        <x:v>0.3333333333333333</x:v>
      </x:c>
      <x:c r="F98" s="94" t="n">
        <x:f>SUM('データ'!EC$5:EC$7)</x:f>
        <x:v>3</x:v>
      </x:c>
      <x:c r="G98" s="94" t="str">
        <x:v>複数回答</x:v>
      </x:c>
    </x:row>
    <x:row r="99">
      <x:c r="A99" s="94" t="str">
        <x:v>問15</x:v>
      </x:c>
      <x:c r="B99" s="94" t="str">
        <x:v>現在、定期的に通院していますか</x:v>
      </x:c>
      <x:c r="C99" s="94" t="str">
        <x:v>通院している</x:v>
      </x:c>
      <x:c r="D99" s="94" t="n">
        <x:f>COUNTIF('データ'!ED$5:ED$7,"〇")</x:f>
        <x:v>3</x:v>
      </x:c>
      <x:c r="E99" s="104" t="n">
        <x:f>IF(F99=0,"",D99/F99)</x:f>
        <x:v>1</x:v>
      </x:c>
      <x:c r="F99" s="94" t="n">
        <x:f>SUM('データ'!EH$5:EH$7)</x:f>
        <x:v>3</x:v>
      </x:c>
      <x:c r="G99" s="94" t="str">
        <x:v>単一回答</x:v>
      </x:c>
    </x:row>
    <x:row r="100">
      <x:c r="A100" s="94" t="str">
        <x:v>問15</x:v>
      </x:c>
      <x:c r="B100" s="94" t="str">
        <x:v>現在、定期的に通院していますか</x:v>
      </x:c>
      <x:c r="C100" s="94" t="str">
        <x:v>通院していない</x:v>
      </x:c>
      <x:c r="D100" s="94" t="n">
        <x:f>COUNTIF('データ'!EE$5:EE$7,"〇")</x:f>
        <x:v>0</x:v>
      </x:c>
      <x:c r="E100" s="104" t="n">
        <x:f>IF(F100=0,"",D100/F100)</x:f>
        <x:v>0</x:v>
      </x:c>
      <x:c r="F100" s="94" t="n">
        <x:f>SUM('データ'!EH$5:EH$7)</x:f>
        <x:v>3</x:v>
      </x:c>
      <x:c r="G100" s="94" t="str">
        <x:v>単一回答</x:v>
      </x:c>
    </x:row>
    <x:row r="101">
      <x:c r="A101" s="94" t="str">
        <x:v>問15</x:v>
      </x:c>
      <x:c r="B101" s="94" t="str">
        <x:v>現在、定期的に通院していますか</x:v>
      </x:c>
      <x:c r="C101" s="94" t="str">
        <x:v>訪問診療・往診を受けている</x:v>
      </x:c>
      <x:c r="D101" s="94" t="n">
        <x:f>COUNTIF('データ'!EF$5:EF$7,"〇")</x:f>
        <x:v>0</x:v>
      </x:c>
      <x:c r="E101" s="104" t="n">
        <x:f>IF(F101=0,"",D101/F101)</x:f>
        <x:v>0</x:v>
      </x:c>
      <x:c r="F101" s="94" t="n">
        <x:f>SUM('データ'!EH$5:EH$7)</x:f>
        <x:v>3</x:v>
      </x:c>
      <x:c r="G101" s="94" t="str">
        <x:v>単一回答</x:v>
      </x:c>
    </x:row>
    <x:row r="102">
      <x:c r="A102" s="94" t="str">
        <x:v>問15</x:v>
      </x:c>
      <x:c r="B102" s="94" t="str">
        <x:v>現在、定期的に通院していますか</x:v>
      </x:c>
      <x:c r="C102" s="94" t="str">
        <x:v>わからない</x:v>
      </x:c>
      <x:c r="D102" s="94" t="n">
        <x:f>COUNTIF('データ'!EG$5:EG$7,"〇")</x:f>
        <x:v>0</x:v>
      </x:c>
      <x:c r="E102" s="104" t="n">
        <x:f>IF(F102=0,"",D102/F102)</x:f>
        <x:v>0</x:v>
      </x:c>
      <x:c r="F102" s="94" t="n">
        <x:f>SUM('データ'!EH$5:EH$7)</x:f>
        <x:v>3</x:v>
      </x:c>
      <x:c r="G102" s="94" t="str">
        <x:v>単一回答</x:v>
      </x:c>
    </x:row>
    <x:row r="103">
      <x:c r="A103" s="94" t="str">
        <x:v>問16</x:v>
      </x:c>
      <x:c r="B103" s="94" t="str">
        <x:v>通院や医療で困っていることはありますか（あてはまるものすべて）</x:v>
      </x:c>
      <x:c r="C103" s="94" t="str">
        <x:v>専門医療機関が遠い</x:v>
      </x:c>
      <x:c r="D103" s="94" t="n">
        <x:f>COUNTIF('データ'!EI$5:EI$7,"〇")</x:f>
        <x:v>3</x:v>
      </x:c>
      <x:c r="E103" s="104" t="n">
        <x:f>IF(F103=0,"",D103/F103)</x:f>
        <x:v>1</x:v>
      </x:c>
      <x:c r="F103" s="94" t="n">
        <x:f>SUM('データ'!ER$5:ER$7)</x:f>
        <x:v>3</x:v>
      </x:c>
      <x:c r="G103" s="94" t="str">
        <x:v>複数回答</x:v>
      </x:c>
    </x:row>
    <x:row r="104">
      <x:c r="A104" s="94" t="str">
        <x:v>問16</x:v>
      </x:c>
      <x:c r="B104" s="94" t="str">
        <x:v>通院や医療で困っていることはありますか（あてはまるものすべて）</x:v>
      </x:c>
      <x:c r="C104" s="94" t="str">
        <x:v>通院の交通手段がない</x:v>
      </x:c>
      <x:c r="D104" s="94" t="n">
        <x:f>COUNTIF('データ'!EJ$5:EJ$7,"〇")</x:f>
        <x:v>1</x:v>
      </x:c>
      <x:c r="E104" s="104" t="n">
        <x:f>IF(F104=0,"",D104/F104)</x:f>
        <x:v>0.3333333333333333</x:v>
      </x:c>
      <x:c r="F104" s="94" t="n">
        <x:f>SUM('データ'!ER$5:ER$7)</x:f>
        <x:v>3</x:v>
      </x:c>
      <x:c r="G104" s="94" t="str">
        <x:v>複数回答</x:v>
      </x:c>
    </x:row>
    <x:row r="105">
      <x:c r="A105" s="94" t="str">
        <x:v>問16</x:v>
      </x:c>
      <x:c r="B105" s="94" t="str">
        <x:v>通院や医療で困っていることはありますか（あてはまるものすべて）</x:v>
      </x:c>
      <x:c r="C105" s="94" t="str">
        <x:v>付き添いが必要</x:v>
      </x:c>
      <x:c r="D105" s="94" t="n">
        <x:f>COUNTIF('データ'!EK$5:EK$7,"〇")</x:f>
        <x:v>3</x:v>
      </x:c>
      <x:c r="E105" s="104" t="n">
        <x:f>IF(F105=0,"",D105/F105)</x:f>
        <x:v>1</x:v>
      </x:c>
      <x:c r="F105" s="94" t="n">
        <x:f>SUM('データ'!ER$5:ER$7)</x:f>
        <x:v>3</x:v>
      </x:c>
      <x:c r="G105" s="94" t="str">
        <x:v>複数回答</x:v>
      </x:c>
    </x:row>
    <x:row r="106">
      <x:c r="A106" s="94" t="str">
        <x:v>問16</x:v>
      </x:c>
      <x:c r="B106" s="94" t="str">
        <x:v>通院や医療で困っていることはありますか（あてはまるものすべて）</x:v>
      </x:c>
      <x:c r="C106" s="94" t="str">
        <x:v>医療費や交通費の負担が大きい</x:v>
      </x:c>
      <x:c r="D106" s="94" t="n">
        <x:f>COUNTIF('データ'!EL$5:EL$7,"〇")</x:f>
        <x:v>1</x:v>
      </x:c>
      <x:c r="E106" s="104" t="n">
        <x:f>IF(F106=0,"",D106/F106)</x:f>
        <x:v>0.3333333333333333</x:v>
      </x:c>
      <x:c r="F106" s="94" t="n">
        <x:f>SUM('データ'!ER$5:ER$7)</x:f>
        <x:v>3</x:v>
      </x:c>
      <x:c r="G106" s="94" t="str">
        <x:v>複数回答</x:v>
      </x:c>
    </x:row>
    <x:row r="107">
      <x:c r="A107" s="94" t="str">
        <x:v>問16</x:v>
      </x:c>
      <x:c r="B107" s="94" t="str">
        <x:v>通院や医療で困っていることはありますか（あてはまるものすべて）</x:v>
      </x:c>
      <x:c r="C107" s="94" t="str">
        <x:v>予約・受診手続きが難しい</x:v>
      </x:c>
      <x:c r="D107" s="94" t="n">
        <x:f>COUNTIF('データ'!EM$5:EM$7,"〇")</x:f>
        <x:v>0</x:v>
      </x:c>
      <x:c r="E107" s="104" t="n">
        <x:f>IF(F107=0,"",D107/F107)</x:f>
        <x:v>0</x:v>
      </x:c>
      <x:c r="F107" s="94" t="n">
        <x:f>SUM('データ'!ER$5:ER$7)</x:f>
        <x:v>3</x:v>
      </x:c>
      <x:c r="G107" s="94" t="str">
        <x:v>複数回答</x:v>
      </x:c>
    </x:row>
    <x:row r="108">
      <x:c r="A108" s="94" t="str">
        <x:v>問16</x:v>
      </x:c>
      <x:c r="B108" s="94" t="str">
        <x:v>通院や医療で困っていることはありますか（あてはまるものすべて）</x:v>
      </x:c>
      <x:c r="C108" s="94" t="str">
        <x:v>緊急時の対応が不安</x:v>
      </x:c>
      <x:c r="D108" s="94" t="n">
        <x:f>COUNTIF('データ'!EN$5:EN$7,"〇")</x:f>
        <x:v>2</x:v>
      </x:c>
      <x:c r="E108" s="104" t="n">
        <x:f>IF(F108=0,"",D108/F108)</x:f>
        <x:v>0.6666666666666666</x:v>
      </x:c>
      <x:c r="F108" s="94" t="n">
        <x:f>SUM('データ'!ER$5:ER$7)</x:f>
        <x:v>3</x:v>
      </x:c>
      <x:c r="G108" s="94" t="str">
        <x:v>複数回答</x:v>
      </x:c>
    </x:row>
    <x:row r="109">
      <x:c r="A109" s="94" t="str">
        <x:v>問16</x:v>
      </x:c>
      <x:c r="B109" s="94" t="str">
        <x:v>通院や医療で困っていることはありますか（あてはまるものすべて）</x:v>
      </x:c>
      <x:c r="C109" s="94" t="str">
        <x:v>特に困っていない</x:v>
      </x:c>
      <x:c r="D109" s="94" t="n">
        <x:f>COUNTIF('データ'!EO$5:EO$7,"〇")</x:f>
        <x:v>0</x:v>
      </x:c>
      <x:c r="E109" s="104" t="n">
        <x:f>IF(F109=0,"",D109/F109)</x:f>
        <x:v>0</x:v>
      </x:c>
      <x:c r="F109" s="94" t="n">
        <x:f>SUM('データ'!ER$5:ER$7)</x:f>
        <x:v>3</x:v>
      </x:c>
      <x:c r="G109" s="94" t="str">
        <x:v>複数回答</x:v>
      </x:c>
    </x:row>
    <x:row r="110">
      <x:c r="A110" s="94" t="str">
        <x:v>問16</x:v>
      </x:c>
      <x:c r="B110" s="94" t="str">
        <x:v>通院や医療で困っていることはありますか（あてはまるものすべて）</x:v>
      </x:c>
      <x:c r="C110" s="94" t="str">
        <x:v>その他</x:v>
      </x:c>
      <x:c r="D110" s="94" t="n">
        <x:f>COUNTIF('データ'!EP$5:EP$7,"〇")</x:f>
        <x:v>1</x:v>
      </x:c>
      <x:c r="E110" s="104" t="n">
        <x:f>IF(F110=0,"",D110/F110)</x:f>
        <x:v>0.3333333333333333</x:v>
      </x:c>
      <x:c r="F110" s="94" t="n">
        <x:f>SUM('データ'!ER$5:ER$7)</x:f>
        <x:v>3</x:v>
      </x:c>
      <x:c r="G110" s="94" t="str">
        <x:v>複数回答</x:v>
      </x:c>
    </x:row>
    <x:row r="111">
      <x:c r="A111" s="94" t="str">
        <x:v>問17</x:v>
      </x:c>
      <x:c r="B111" s="94" t="str">
        <x:v>医療的ケアを必要としていますか（あてはまるものすべて）</x:v>
      </x:c>
      <x:c r="C111" s="94" t="str">
        <x:v>必要としていない</x:v>
      </x:c>
      <x:c r="D111" s="94" t="n">
        <x:f>COUNTIF('データ'!ES$5:ES$7,"〇")</x:f>
        <x:v>2</x:v>
      </x:c>
      <x:c r="E111" s="104" t="n">
        <x:f>IF(F111=0,"",D111/F111)</x:f>
        <x:v>0.6666666666666666</x:v>
      </x:c>
      <x:c r="F111" s="94" t="n">
        <x:f>SUM('データ'!FH$5:FH$7)</x:f>
        <x:v>3</x:v>
      </x:c>
      <x:c r="G111" s="94" t="str">
        <x:v>複数回答</x:v>
      </x:c>
    </x:row>
    <x:row r="112">
      <x:c r="A112" s="94" t="str">
        <x:v>問17</x:v>
      </x:c>
      <x:c r="B112" s="94" t="str">
        <x:v>医療的ケアを必要としていますか（あてはまるものすべて）</x:v>
      </x:c>
      <x:c r="C112" s="94" t="str">
        <x:v>吸引</x:v>
      </x:c>
      <x:c r="D112" s="94" t="n">
        <x:f>COUNTIF('データ'!ET$5:ET$7,"〇")</x:f>
        <x:v>0</x:v>
      </x:c>
      <x:c r="E112" s="104" t="n">
        <x:f>IF(F112=0,"",D112/F112)</x:f>
        <x:v>0</x:v>
      </x:c>
      <x:c r="F112" s="94" t="n">
        <x:f>SUM('データ'!FH$5:FH$7)</x:f>
        <x:v>3</x:v>
      </x:c>
      <x:c r="G112" s="94" t="str">
        <x:v>複数回答</x:v>
      </x:c>
    </x:row>
    <x:row r="113">
      <x:c r="A113" s="94" t="str">
        <x:v>問17</x:v>
      </x:c>
      <x:c r="B113" s="94" t="str">
        <x:v>医療的ケアを必要としていますか（あてはまるものすべて）</x:v>
      </x:c>
      <x:c r="C113" s="94" t="str">
        <x:v>酸素療法</x:v>
      </x:c>
      <x:c r="D113" s="94" t="n">
        <x:f>COUNTIF('データ'!EU$5:EU$7,"〇")</x:f>
        <x:v>1</x:v>
      </x:c>
      <x:c r="E113" s="104" t="n">
        <x:f>IF(F113=0,"",D113/F113)</x:f>
        <x:v>0.3333333333333333</x:v>
      </x:c>
      <x:c r="F113" s="94" t="n">
        <x:f>SUM('データ'!FH$5:FH$7)</x:f>
        <x:v>3</x:v>
      </x:c>
      <x:c r="G113" s="94" t="str">
        <x:v>複数回答</x:v>
      </x:c>
    </x:row>
    <x:row r="114">
      <x:c r="A114" s="94" t="str">
        <x:v>問17</x:v>
      </x:c>
      <x:c r="B114" s="94" t="str">
        <x:v>医療的ケアを必要としていますか（あてはまるものすべて）</x:v>
      </x:c>
      <x:c r="C114" s="94" t="str">
        <x:v>人工呼吸器（レスピレーター）</x:v>
      </x:c>
      <x:c r="D114" s="94" t="n">
        <x:f>COUNTIF('データ'!EV$5:EV$7,"〇")</x:f>
        <x:v>0</x:v>
      </x:c>
      <x:c r="E114" s="104" t="n">
        <x:f>IF(F114=0,"",D114/F114)</x:f>
        <x:v>0</x:v>
      </x:c>
      <x:c r="F114" s="94" t="n">
        <x:f>SUM('データ'!FH$5:FH$7)</x:f>
        <x:v>3</x:v>
      </x:c>
      <x:c r="G114" s="94" t="str">
        <x:v>複数回答</x:v>
      </x:c>
    </x:row>
    <x:row r="115">
      <x:c r="A115" s="94" t="str">
        <x:v>問17</x:v>
      </x:c>
      <x:c r="B115" s="94" t="str">
        <x:v>医療的ケアを必要としていますか（あてはまるものすべて）</x:v>
      </x:c>
      <x:c r="C115" s="94" t="str">
        <x:v>導尿</x:v>
      </x:c>
      <x:c r="D115" s="94" t="n">
        <x:f>COUNTIF('データ'!EW$5:EW$7,"〇")</x:f>
        <x:v>0</x:v>
      </x:c>
      <x:c r="E115" s="104" t="n">
        <x:f>IF(F115=0,"",D115/F115)</x:f>
        <x:v>0</x:v>
      </x:c>
      <x:c r="F115" s="94" t="n">
        <x:f>SUM('データ'!FH$5:FH$7)</x:f>
        <x:v>3</x:v>
      </x:c>
      <x:c r="G115" s="94" t="str">
        <x:v>複数回答</x:v>
      </x:c>
    </x:row>
    <x:row r="116">
      <x:c r="A116" s="94" t="str">
        <x:v>問17</x:v>
      </x:c>
      <x:c r="B116" s="94" t="str">
        <x:v>医療的ケアを必要としていますか（あてはまるものすべて）</x:v>
      </x:c>
      <x:c r="C116" s="94" t="str">
        <x:v>ストマ（人工肛門・人工膀胱）</x:v>
      </x:c>
      <x:c r="D116" s="94" t="n">
        <x:f>COUNTIF('データ'!EX$5:EX$7,"〇")</x:f>
        <x:v>0</x:v>
      </x:c>
      <x:c r="E116" s="104" t="n">
        <x:f>IF(F116=0,"",D116/F116)</x:f>
        <x:v>0</x:v>
      </x:c>
      <x:c r="F116" s="94" t="n">
        <x:f>SUM('データ'!FH$5:FH$7)</x:f>
        <x:v>3</x:v>
      </x:c>
      <x:c r="G116" s="94" t="str">
        <x:v>複数回答</x:v>
      </x:c>
    </x:row>
    <x:row r="117">
      <x:c r="A117" s="94" t="str">
        <x:v>問17</x:v>
      </x:c>
      <x:c r="B117" s="94" t="str">
        <x:v>医療的ケアを必要としていますか（あてはまるものすべて）</x:v>
      </x:c>
      <x:c r="C117" s="94" t="str">
        <x:v>服薬管理等の継続支援</x:v>
      </x:c>
      <x:c r="D117" s="94" t="n">
        <x:f>COUNTIF('データ'!EY$5:EY$7,"〇")</x:f>
        <x:v>1</x:v>
      </x:c>
      <x:c r="E117" s="104" t="n">
        <x:f>IF(F117=0,"",D117/F117)</x:f>
        <x:v>0.3333333333333333</x:v>
      </x:c>
      <x:c r="F117" s="94" t="n">
        <x:f>SUM('データ'!FH$5:FH$7)</x:f>
        <x:v>3</x:v>
      </x:c>
      <x:c r="G117" s="94" t="str">
        <x:v>複数回答</x:v>
      </x:c>
    </x:row>
    <x:row r="118">
      <x:c r="A118" s="94" t="str">
        <x:v>問17</x:v>
      </x:c>
      <x:c r="B118" s="94" t="str">
        <x:v>医療的ケアを必要としていますか（あてはまるものすべて）</x:v>
      </x:c>
      <x:c r="C118" s="94" t="str">
        <x:v>気管切開</x:v>
      </x:c>
      <x:c r="D118" s="94" t="n">
        <x:f>COUNTIF('データ'!EZ$5:EZ$7,"〇")</x:f>
        <x:v>0</x:v>
      </x:c>
      <x:c r="E118" s="104" t="n">
        <x:f>IF(F118=0,"",D118/F118)</x:f>
        <x:v>0</x:v>
      </x:c>
      <x:c r="F118" s="94" t="n">
        <x:f>SUM('データ'!FH$5:FH$7)</x:f>
        <x:v>3</x:v>
      </x:c>
      <x:c r="G118" s="94" t="str">
        <x:v>複数回答</x:v>
      </x:c>
    </x:row>
    <x:row r="119">
      <x:c r="A119" s="94" t="str">
        <x:v>問17</x:v>
      </x:c>
      <x:c r="B119" s="94" t="str">
        <x:v>医療的ケアを必要としていますか（あてはまるものすべて）</x:v>
      </x:c>
      <x:c r="C119" s="94" t="str">
        <x:v>胃ろう・腸ろう</x:v>
      </x:c>
      <x:c r="D119" s="94" t="n">
        <x:f>COUNTIF('データ'!FA$5:FA$7,"〇")</x:f>
        <x:v>1</x:v>
      </x:c>
      <x:c r="E119" s="104" t="n">
        <x:f>IF(F119=0,"",D119/F119)</x:f>
        <x:v>0.3333333333333333</x:v>
      </x:c>
      <x:c r="F119" s="94" t="n">
        <x:f>SUM('データ'!FH$5:FH$7)</x:f>
        <x:v>3</x:v>
      </x:c>
      <x:c r="G119" s="94" t="str">
        <x:v>複数回答</x:v>
      </x:c>
    </x:row>
    <x:row r="120">
      <x:c r="A120" s="94" t="str">
        <x:v>問17</x:v>
      </x:c>
      <x:c r="B120" s="94" t="str">
        <x:v>医療的ケアを必要としていますか（あてはまるものすべて）</x:v>
      </x:c>
      <x:c r="C120" s="94" t="str">
        <x:v>鼻腔管栄養</x:v>
      </x:c>
      <x:c r="D120" s="94" t="n">
        <x:f>COUNTIF('データ'!FB$5:FB$7,"〇")</x:f>
        <x:v>0</x:v>
      </x:c>
      <x:c r="E120" s="104" t="n">
        <x:f>IF(F120=0,"",D120/F120)</x:f>
        <x:v>0</x:v>
      </x:c>
      <x:c r="F120" s="94" t="n">
        <x:f>SUM('データ'!FH$5:FH$7)</x:f>
        <x:v>3</x:v>
      </x:c>
      <x:c r="G120" s="94" t="str">
        <x:v>複数回答</x:v>
      </x:c>
    </x:row>
    <x:row r="121">
      <x:c r="A121" s="94" t="str">
        <x:v>問17</x:v>
      </x:c>
      <x:c r="B121" s="94" t="str">
        <x:v>医療的ケアを必要としていますか（あてはまるものすべて）</x:v>
      </x:c>
      <x:c r="C121" s="94" t="str">
        <x:v>中心静脈栄養（IVH）</x:v>
      </x:c>
      <x:c r="D121" s="94" t="n">
        <x:f>COUNTIF('データ'!FC$5:FC$7,"〇")</x:f>
        <x:v>0</x:v>
      </x:c>
      <x:c r="E121" s="104" t="n">
        <x:f>IF(F121=0,"",D121/F121)</x:f>
        <x:v>0</x:v>
      </x:c>
      <x:c r="F121" s="94" t="n">
        <x:f>SUM('データ'!FH$5:FH$7)</x:f>
        <x:v>3</x:v>
      </x:c>
      <x:c r="G121" s="94" t="str">
        <x:v>複数回答</x:v>
      </x:c>
    </x:row>
    <x:row r="122">
      <x:c r="A122" s="94" t="str">
        <x:v>問17</x:v>
      </x:c>
      <x:c r="B122" s="94" t="str">
        <x:v>医療的ケアを必要としていますか（あてはまるものすべて）</x:v>
      </x:c>
      <x:c r="C122" s="94" t="str">
        <x:v>透析</x:v>
      </x:c>
      <x:c r="D122" s="94" t="n">
        <x:f>COUNTIF('データ'!FD$5:FD$7,"〇")</x:f>
        <x:v>0</x:v>
      </x:c>
      <x:c r="E122" s="104" t="n">
        <x:f>IF(F122=0,"",D122/F122)</x:f>
        <x:v>0</x:v>
      </x:c>
      <x:c r="F122" s="94" t="n">
        <x:f>SUM('データ'!FH$5:FH$7)</x:f>
        <x:v>3</x:v>
      </x:c>
      <x:c r="G122" s="94" t="str">
        <x:v>複数回答</x:v>
      </x:c>
    </x:row>
    <x:row r="123">
      <x:c r="A123" s="94" t="str">
        <x:v>問17</x:v>
      </x:c>
      <x:c r="B123" s="94" t="str">
        <x:v>医療的ケアを必要としていますか（あてはまるものすべて）</x:v>
      </x:c>
      <x:c r="C123" s="94" t="str">
        <x:v>カテーテル留置</x:v>
      </x:c>
      <x:c r="D123" s="94" t="n">
        <x:f>COUNTIF('データ'!FE$5:FE$7,"〇")</x:f>
        <x:v>0</x:v>
      </x:c>
      <x:c r="E123" s="104" t="n">
        <x:f>IF(F123=0,"",D123/F123)</x:f>
        <x:v>0</x:v>
      </x:c>
      <x:c r="F123" s="94" t="n">
        <x:f>SUM('データ'!FH$5:FH$7)</x:f>
        <x:v>3</x:v>
      </x:c>
      <x:c r="G123" s="94" t="str">
        <x:v>複数回答</x:v>
      </x:c>
    </x:row>
    <x:row r="124">
      <x:c r="A124" s="94" t="str">
        <x:v>問17</x:v>
      </x:c>
      <x:c r="B124" s="94" t="str">
        <x:v>医療的ケアを必要としていますか（あてはまるものすべて）</x:v>
      </x:c>
      <x:c r="C124" s="94" t="str">
        <x:v>その他</x:v>
      </x:c>
      <x:c r="D124" s="94" t="n">
        <x:f>COUNTIF('データ'!FF$5:FF$7,"〇")</x:f>
        <x:v>0</x:v>
      </x:c>
      <x:c r="E124" s="104" t="n">
        <x:f>IF(F124=0,"",D124/F124)</x:f>
        <x:v>0</x:v>
      </x:c>
      <x:c r="F124" s="94" t="n">
        <x:f>SUM('データ'!FH$5:FH$7)</x:f>
        <x:v>3</x:v>
      </x:c>
      <x:c r="G124" s="94" t="str">
        <x:v>複数回答</x:v>
      </x:c>
    </x:row>
    <x:row r="125">
      <x:c r="A125" s="94" t="str">
        <x:v>問18</x:v>
      </x:c>
      <x:c r="B125" s="94" t="str">
        <x:v>医療的ケアや重い障がいに関して、必要だと思う支援は何ですか（あてはまるものすべて）</x:v>
      </x:c>
      <x:c r="C125" s="94" t="str">
        <x:v>身近な相談先</x:v>
      </x:c>
      <x:c r="D125" s="94" t="n">
        <x:f>COUNTIF('データ'!FI$5:FI$7,"〇")</x:f>
        <x:v>1</x:v>
      </x:c>
      <x:c r="E125" s="104" t="n">
        <x:f>IF(F125=0,"",D125/F125)</x:f>
        <x:v>0.3333333333333333</x:v>
      </x:c>
      <x:c r="F125" s="94" t="n">
        <x:f>SUM('データ'!FR$5:FR$7)</x:f>
        <x:v>3</x:v>
      </x:c>
      <x:c r="G125" s="94" t="str">
        <x:v>複数回答</x:v>
      </x:c>
    </x:row>
    <x:row r="126">
      <x:c r="A126" s="94" t="str">
        <x:v>問18</x:v>
      </x:c>
      <x:c r="B126" s="94" t="str">
        <x:v>医療的ケアや重い障がいに関して、必要だと思う支援は何ですか（あてはまるものすべて）</x:v>
      </x:c>
      <x:c r="C126" s="94" t="str">
        <x:v>通所先での医療的ケア対応</x:v>
      </x:c>
      <x:c r="D126" s="94" t="n">
        <x:f>COUNTIF('データ'!FJ$5:FJ$7,"〇")</x:f>
        <x:v>1</x:v>
      </x:c>
      <x:c r="E126" s="104" t="n">
        <x:f>IF(F126=0,"",D126/F126)</x:f>
        <x:v>0.3333333333333333</x:v>
      </x:c>
      <x:c r="F126" s="94" t="n">
        <x:f>SUM('データ'!FR$5:FR$7)</x:f>
        <x:v>3</x:v>
      </x:c>
      <x:c r="G126" s="94" t="str">
        <x:v>複数回答</x:v>
      </x:c>
    </x:row>
    <x:row r="127">
      <x:c r="A127" s="94" t="str">
        <x:v>問18</x:v>
      </x:c>
      <x:c r="B127" s="94" t="str">
        <x:v>医療的ケアや重い障がいに関して、必要だと思う支援は何ですか（あてはまるものすべて）</x:v>
      </x:c>
      <x:c r="C127" s="94" t="str">
        <x:v>短期入所・レスパイトケア</x:v>
      </x:c>
      <x:c r="D127" s="94" t="n">
        <x:f>COUNTIF('データ'!FK$5:FK$7,"〇")</x:f>
        <x:v>1</x:v>
      </x:c>
      <x:c r="E127" s="104" t="n">
        <x:f>IF(F127=0,"",D127/F127)</x:f>
        <x:v>0.3333333333333333</x:v>
      </x:c>
      <x:c r="F127" s="94" t="n">
        <x:f>SUM('データ'!FR$5:FR$7)</x:f>
        <x:v>3</x:v>
      </x:c>
      <x:c r="G127" s="94" t="str">
        <x:v>複数回答</x:v>
      </x:c>
    </x:row>
    <x:row r="128">
      <x:c r="A128" s="94" t="str">
        <x:v>問18</x:v>
      </x:c>
      <x:c r="B128" s="94" t="str">
        <x:v>医療的ケアや重い障がいに関して、必要だと思う支援は何ですか（あてはまるものすべて）</x:v>
      </x:c>
      <x:c r="C128" s="94" t="str">
        <x:v>訪問看護等との連携</x:v>
      </x:c>
      <x:c r="D128" s="94" t="n">
        <x:f>COUNTIF('データ'!FL$5:FL$7,"〇")</x:f>
        <x:v>1</x:v>
      </x:c>
      <x:c r="E128" s="104" t="n">
        <x:f>IF(F128=0,"",D128/F128)</x:f>
        <x:v>0.3333333333333333</x:v>
      </x:c>
      <x:c r="F128" s="94" t="n">
        <x:f>SUM('データ'!FR$5:FR$7)</x:f>
        <x:v>3</x:v>
      </x:c>
      <x:c r="G128" s="94" t="str">
        <x:v>複数回答</x:v>
      </x:c>
    </x:row>
    <x:row r="129">
      <x:c r="A129" s="94" t="str">
        <x:v>問18</x:v>
      </x:c>
      <x:c r="B129" s="94" t="str">
        <x:v>医療的ケアや重い障がいに関して、必要だと思う支援は何ですか（あてはまるものすべて）</x:v>
      </x:c>
      <x:c r="C129" s="94" t="str">
        <x:v>災害時の電源・医療機器対応</x:v>
      </x:c>
      <x:c r="D129" s="94" t="n">
        <x:f>COUNTIF('データ'!FM$5:FM$7,"〇")</x:f>
        <x:v>0</x:v>
      </x:c>
      <x:c r="E129" s="104" t="n">
        <x:f>IF(F129=0,"",D129/F129)</x:f>
        <x:v>0</x:v>
      </x:c>
      <x:c r="F129" s="94" t="n">
        <x:f>SUM('データ'!FR$5:FR$7)</x:f>
        <x:v>3</x:v>
      </x:c>
      <x:c r="G129" s="94" t="str">
        <x:v>複数回答</x:v>
      </x:c>
    </x:row>
    <x:row r="130">
      <x:c r="A130" s="94" t="str">
        <x:v>問18</x:v>
      </x:c>
      <x:c r="B130" s="94" t="str">
        <x:v>医療的ケアや重い障がいに関して、必要だと思う支援は何ですか（あてはまるものすべて）</x:v>
      </x:c>
      <x:c r="C130" s="94" t="str">
        <x:v>家族の負担軽減</x:v>
      </x:c>
      <x:c r="D130" s="94" t="n">
        <x:f>COUNTIF('データ'!FN$5:FN$7,"〇")</x:f>
        <x:v>3</x:v>
      </x:c>
      <x:c r="E130" s="104" t="n">
        <x:f>IF(F130=0,"",D130/F130)</x:f>
        <x:v>1</x:v>
      </x:c>
      <x:c r="F130" s="94" t="n">
        <x:f>SUM('データ'!FR$5:FR$7)</x:f>
        <x:v>3</x:v>
      </x:c>
      <x:c r="G130" s="94" t="str">
        <x:v>複数回答</x:v>
      </x:c>
    </x:row>
    <x:row r="131">
      <x:c r="A131" s="94" t="str">
        <x:v>問18</x:v>
      </x:c>
      <x:c r="B131" s="94" t="str">
        <x:v>医療的ケアや重い障がいに関して、必要だと思う支援は何ですか（あてはまるものすべて）</x:v>
      </x:c>
      <x:c r="C131" s="94" t="str">
        <x:v>特にない</x:v>
      </x:c>
      <x:c r="D131" s="94" t="n">
        <x:f>COUNTIF('データ'!FO$5:FO$7,"〇")</x:f>
        <x:v>0</x:v>
      </x:c>
      <x:c r="E131" s="104" t="n">
        <x:f>IF(F131=0,"",D131/F131)</x:f>
        <x:v>0</x:v>
      </x:c>
      <x:c r="F131" s="94" t="n">
        <x:f>SUM('データ'!FR$5:FR$7)</x:f>
        <x:v>3</x:v>
      </x:c>
      <x:c r="G131" s="94" t="str">
        <x:v>複数回答</x:v>
      </x:c>
    </x:row>
    <x:row r="132">
      <x:c r="A132" s="94" t="str">
        <x:v>問18</x:v>
      </x:c>
      <x:c r="B132" s="94" t="str">
        <x:v>医療的ケアや重い障がいに関して、必要だと思う支援は何ですか（あてはまるものすべて）</x:v>
      </x:c>
      <x:c r="C132" s="94" t="str">
        <x:v>その他</x:v>
      </x:c>
      <x:c r="D132" s="94" t="n">
        <x:f>COUNTIF('データ'!FP$5:FP$7,"〇")</x:f>
        <x:v>1</x:v>
      </x:c>
      <x:c r="E132" s="104" t="n">
        <x:f>IF(F132=0,"",D132/F132)</x:f>
        <x:v>0.3333333333333333</x:v>
      </x:c>
      <x:c r="F132" s="94" t="n">
        <x:f>SUM('データ'!FR$5:FR$7)</x:f>
        <x:v>3</x:v>
      </x:c>
      <x:c r="G132" s="94" t="str">
        <x:v>複数回答</x:v>
      </x:c>
    </x:row>
    <x:row r="133">
      <x:c r="A133" s="94" t="str">
        <x:v>問19</x:v>
      </x:c>
      <x:c r="B133" s="94" t="str">
        <x:v>困ったときに相談する相手・場所はどこですか（あてはまるものすべて）</x:v>
      </x:c>
      <x:c r="C133" s="94" t="str">
        <x:v>家族・親族</x:v>
      </x:c>
      <x:c r="D133" s="94" t="n">
        <x:f>COUNTIF('データ'!FS$5:FS$7,"〇")</x:f>
        <x:v>3</x:v>
      </x:c>
      <x:c r="E133" s="104" t="n">
        <x:f>IF(F133=0,"",D133/F133)</x:f>
        <x:v>1</x:v>
      </x:c>
      <x:c r="F133" s="94" t="n">
        <x:f>SUM('データ'!GF$5:GF$7)</x:f>
        <x:v>3</x:v>
      </x:c>
      <x:c r="G133" s="94" t="str">
        <x:v>複数回答</x:v>
      </x:c>
    </x:row>
    <x:row r="134">
      <x:c r="A134" s="94" t="str">
        <x:v>問19</x:v>
      </x:c>
      <x:c r="B134" s="94" t="str">
        <x:v>困ったときに相談する相手・場所はどこですか（あてはまるものすべて）</x:v>
      </x:c>
      <x:c r="C134" s="94" t="str">
        <x:v>友人・知人</x:v>
      </x:c>
      <x:c r="D134" s="94" t="n">
        <x:f>COUNTIF('データ'!FT$5:FT$7,"〇")</x:f>
        <x:v>0</x:v>
      </x:c>
      <x:c r="E134" s="104" t="n">
        <x:f>IF(F134=0,"",D134/F134)</x:f>
        <x:v>0</x:v>
      </x:c>
      <x:c r="F134" s="94" t="n">
        <x:f>SUM('データ'!GF$5:GF$7)</x:f>
        <x:v>3</x:v>
      </x:c>
      <x:c r="G134" s="94" t="str">
        <x:v>複数回答</x:v>
      </x:c>
    </x:row>
    <x:row r="135">
      <x:c r="A135" s="94" t="str">
        <x:v>問19</x:v>
      </x:c>
      <x:c r="B135" s="94" t="str">
        <x:v>困ったときに相談する相手・場所はどこですか（あてはまるものすべて）</x:v>
      </x:c>
      <x:c r="C135" s="94" t="str">
        <x:v>村役場</x:v>
      </x:c>
      <x:c r="D135" s="94" t="n">
        <x:f>COUNTIF('データ'!FU$5:FU$7,"〇")</x:f>
        <x:v>0</x:v>
      </x:c>
      <x:c r="E135" s="104" t="n">
        <x:f>IF(F135=0,"",D135/F135)</x:f>
        <x:v>0</x:v>
      </x:c>
      <x:c r="F135" s="94" t="n">
        <x:f>SUM('データ'!GF$5:GF$7)</x:f>
        <x:v>3</x:v>
      </x:c>
      <x:c r="G135" s="94" t="str">
        <x:v>複数回答</x:v>
      </x:c>
    </x:row>
    <x:row r="136">
      <x:c r="A136" s="94" t="str">
        <x:v>問19</x:v>
      </x:c>
      <x:c r="B136" s="94" t="str">
        <x:v>困ったときに相談する相手・場所はどこですか（あてはまるものすべて）</x:v>
      </x:c>
      <x:c r="C136" s="94" t="str">
        <x:v>相談支援専門員</x:v>
      </x:c>
      <x:c r="D136" s="94" t="n">
        <x:f>COUNTIF('データ'!FV$5:FV$7,"〇")</x:f>
        <x:v>1</x:v>
      </x:c>
      <x:c r="E136" s="104" t="n">
        <x:f>IF(F136=0,"",D136/F136)</x:f>
        <x:v>0.3333333333333333</x:v>
      </x:c>
      <x:c r="F136" s="94" t="n">
        <x:f>SUM('データ'!GF$5:GF$7)</x:f>
        <x:v>3</x:v>
      </x:c>
      <x:c r="G136" s="94" t="str">
        <x:v>複数回答</x:v>
      </x:c>
    </x:row>
    <x:row r="137">
      <x:c r="A137" s="94" t="str">
        <x:v>問19</x:v>
      </x:c>
      <x:c r="B137" s="94" t="str">
        <x:v>困ったときに相談する相手・場所はどこですか（あてはまるものすべて）</x:v>
      </x:c>
      <x:c r="C137" s="94" t="str">
        <x:v>福祉サービス事業所</x:v>
      </x:c>
      <x:c r="D137" s="94" t="n">
        <x:f>COUNTIF('データ'!FW$5:FW$7,"〇")</x:f>
        <x:v>0</x:v>
      </x:c>
      <x:c r="E137" s="104" t="n">
        <x:f>IF(F137=0,"",D137/F137)</x:f>
        <x:v>0</x:v>
      </x:c>
      <x:c r="F137" s="94" t="n">
        <x:f>SUM('データ'!GF$5:GF$7)</x:f>
        <x:v>3</x:v>
      </x:c>
      <x:c r="G137" s="94" t="str">
        <x:v>複数回答</x:v>
      </x:c>
    </x:row>
    <x:row r="138">
      <x:c r="A138" s="94" t="str">
        <x:v>問19</x:v>
      </x:c>
      <x:c r="B138" s="94" t="str">
        <x:v>困ったときに相談する相手・場所はどこですか（あてはまるものすべて）</x:v>
      </x:c>
      <x:c r="C138" s="94" t="str">
        <x:v>医療機関</x:v>
      </x:c>
      <x:c r="D138" s="94" t="n">
        <x:f>COUNTIF('データ'!FX$5:FX$7,"〇")</x:f>
        <x:v>2</x:v>
      </x:c>
      <x:c r="E138" s="104" t="n">
        <x:f>IF(F138=0,"",D138/F138)</x:f>
        <x:v>0.6666666666666666</x:v>
      </x:c>
      <x:c r="F138" s="94" t="n">
        <x:f>SUM('データ'!GF$5:GF$7)</x:f>
        <x:v>3</x:v>
      </x:c>
      <x:c r="G138" s="94" t="str">
        <x:v>複数回答</x:v>
      </x:c>
    </x:row>
    <x:row r="139">
      <x:c r="A139" s="94" t="str">
        <x:v>問19</x:v>
      </x:c>
      <x:c r="B139" s="94" t="str">
        <x:v>困ったときに相談する相手・場所はどこですか（あてはまるものすべて）</x:v>
      </x:c>
      <x:c r="C139" s="94" t="str">
        <x:v>学校・保育所等</x:v>
      </x:c>
      <x:c r="D139" s="94" t="n">
        <x:f>COUNTIF('データ'!FY$5:FY$7,"〇")</x:f>
        <x:v>0</x:v>
      </x:c>
      <x:c r="E139" s="104" t="n">
        <x:f>IF(F139=0,"",D139/F139)</x:f>
        <x:v>0</x:v>
      </x:c>
      <x:c r="F139" s="94" t="n">
        <x:f>SUM('データ'!GF$5:GF$7)</x:f>
        <x:v>3</x:v>
      </x:c>
      <x:c r="G139" s="94" t="str">
        <x:v>複数回答</x:v>
      </x:c>
    </x:row>
    <x:row r="140">
      <x:c r="A140" s="94" t="str">
        <x:v>問19</x:v>
      </x:c>
      <x:c r="B140" s="94" t="str">
        <x:v>困ったときに相談する相手・場所はどこですか（あてはまるものすべて）</x:v>
      </x:c>
      <x:c r="C140" s="94" t="str">
        <x:v>SNS・インターネット・AI</x:v>
      </x:c>
      <x:c r="D140" s="94" t="n">
        <x:f>COUNTIF('データ'!FZ$5:FZ$7,"〇")</x:f>
        <x:v>0</x:v>
      </x:c>
      <x:c r="E140" s="104" t="n">
        <x:f>IF(F140=0,"",D140/F140)</x:f>
        <x:v>0</x:v>
      </x:c>
      <x:c r="F140" s="94" t="n">
        <x:f>SUM('データ'!GF$5:GF$7)</x:f>
        <x:v>3</x:v>
      </x:c>
      <x:c r="G140" s="94" t="str">
        <x:v>複数回答</x:v>
      </x:c>
    </x:row>
    <x:row r="141">
      <x:c r="A141" s="94" t="str">
        <x:v>問19</x:v>
      </x:c>
      <x:c r="B141" s="94" t="str">
        <x:v>困ったときに相談する相手・場所はどこですか（あてはまるものすべて）</x:v>
      </x:c>
      <x:c r="C141" s="94" t="str">
        <x:v>社会福祉協議会</x:v>
      </x:c>
      <x:c r="D141" s="94" t="n">
        <x:f>COUNTIF('データ'!GA$5:GA$7,"〇")</x:f>
        <x:v>0</x:v>
      </x:c>
      <x:c r="E141" s="104" t="n">
        <x:f>IF(F141=0,"",D141/F141)</x:f>
        <x:v>0</x:v>
      </x:c>
      <x:c r="F141" s="94" t="n">
        <x:f>SUM('データ'!GF$5:GF$7)</x:f>
        <x:v>3</x:v>
      </x:c>
      <x:c r="G141" s="94" t="str">
        <x:v>複数回答</x:v>
      </x:c>
    </x:row>
    <x:row r="142">
      <x:c r="A142" s="94" t="str">
        <x:v>問19</x:v>
      </x:c>
      <x:c r="B142" s="94" t="str">
        <x:v>困ったときに相談する相手・場所はどこですか（あてはまるものすべて）</x:v>
      </x:c>
      <x:c r="C142" s="94" t="str">
        <x:v>民生委員・児童委員</x:v>
      </x:c>
      <x:c r="D142" s="94" t="n">
        <x:f>COUNTIF('データ'!GB$5:GB$7,"〇")</x:f>
        <x:v>0</x:v>
      </x:c>
      <x:c r="E142" s="104" t="n">
        <x:f>IF(F142=0,"",D142/F142)</x:f>
        <x:v>0</x:v>
      </x:c>
      <x:c r="F142" s="94" t="n">
        <x:f>SUM('データ'!GF$5:GF$7)</x:f>
        <x:v>3</x:v>
      </x:c>
      <x:c r="G142" s="94" t="str">
        <x:v>複数回答</x:v>
      </x:c>
    </x:row>
    <x:row r="143">
      <x:c r="A143" s="94" t="str">
        <x:v>問19</x:v>
      </x:c>
      <x:c r="B143" s="94" t="str">
        <x:v>困ったときに相談する相手・場所はどこですか（あてはまるものすべて）</x:v>
      </x:c>
      <x:c r="C143" s="94" t="str">
        <x:v>相談する相手がいない</x:v>
      </x:c>
      <x:c r="D143" s="94" t="n">
        <x:f>COUNTIF('データ'!GC$5:GC$7,"〇")</x:f>
        <x:v>0</x:v>
      </x:c>
      <x:c r="E143" s="104" t="n">
        <x:f>IF(F143=0,"",D143/F143)</x:f>
        <x:v>0</x:v>
      </x:c>
      <x:c r="F143" s="94" t="n">
        <x:f>SUM('データ'!GF$5:GF$7)</x:f>
        <x:v>3</x:v>
      </x:c>
      <x:c r="G143" s="94" t="str">
        <x:v>複数回答</x:v>
      </x:c>
    </x:row>
    <x:row r="144">
      <x:c r="A144" s="94" t="str">
        <x:v>問19</x:v>
      </x:c>
      <x:c r="B144" s="94" t="str">
        <x:v>困ったときに相談する相手・場所はどこですか（あてはまるものすべて）</x:v>
      </x:c>
      <x:c r="C144" s="94" t="str">
        <x:v>その他</x:v>
      </x:c>
      <x:c r="D144" s="94" t="n">
        <x:f>COUNTIF('データ'!GD$5:GD$7,"〇")</x:f>
        <x:v>1</x:v>
      </x:c>
      <x:c r="E144" s="104" t="n">
        <x:f>IF(F144=0,"",D144/F144)</x:f>
        <x:v>0.3333333333333333</x:v>
      </x:c>
      <x:c r="F144" s="94" t="n">
        <x:f>SUM('データ'!GF$5:GF$7)</x:f>
        <x:v>3</x:v>
      </x:c>
      <x:c r="G144" s="94" t="str">
        <x:v>複数回答</x:v>
      </x:c>
    </x:row>
    <x:row r="145">
      <x:c r="A145" s="94" t="str">
        <x:v>問20</x:v>
      </x:c>
      <x:c r="B145" s="94" t="str">
        <x:v>相談しにくい、又は相談できない理由は何ですか（あてはまるものすべて）</x:v>
      </x:c>
      <x:c r="C145" s="94" t="str">
        <x:v>相談先がわからない</x:v>
      </x:c>
      <x:c r="D145" s="94" t="n">
        <x:f>COUNTIF('データ'!GG$5:GG$7,"〇")</x:f>
        <x:v>0</x:v>
      </x:c>
      <x:c r="E145" s="104" t="n">
        <x:f>IF(F145=0,"",D145/F145)</x:f>
        <x:v>0</x:v>
      </x:c>
      <x:c r="F145" s="94" t="n">
        <x:f>SUM('データ'!GQ$5:GQ$7)</x:f>
        <x:v>3</x:v>
      </x:c>
      <x:c r="G145" s="94" t="str">
        <x:v>複数回答</x:v>
      </x:c>
    </x:row>
    <x:row r="146">
      <x:c r="A146" s="94" t="str">
        <x:v>問20</x:v>
      </x:c>
      <x:c r="B146" s="94" t="str">
        <x:v>相談しにくい、又は相談できない理由は何ですか（あてはまるものすべて）</x:v>
      </x:c>
      <x:c r="C146" s="94" t="str">
        <x:v>身近に相談先がない</x:v>
      </x:c>
      <x:c r="D146" s="94" t="n">
        <x:f>COUNTIF('データ'!GH$5:GH$7,"〇")</x:f>
        <x:v>0</x:v>
      </x:c>
      <x:c r="E146" s="104" t="n">
        <x:f>IF(F146=0,"",D146/F146)</x:f>
        <x:v>0</x:v>
      </x:c>
      <x:c r="F146" s="94" t="n">
        <x:f>SUM('データ'!GQ$5:GQ$7)</x:f>
        <x:v>3</x:v>
      </x:c>
      <x:c r="G146" s="94" t="str">
        <x:v>複数回答</x:v>
      </x:c>
    </x:row>
    <x:row r="147">
      <x:c r="A147" s="94" t="str">
        <x:v>問20</x:v>
      </x:c>
      <x:c r="B147" s="94" t="str">
        <x:v>相談しにくい、又は相談できない理由は何ですか（あてはまるものすべて）</x:v>
      </x:c>
      <x:c r="C147" s="94" t="str">
        <x:v>何を相談してよいかわからない</x:v>
      </x:c>
      <x:c r="D147" s="94" t="n">
        <x:f>COUNTIF('データ'!GI$5:GI$7,"〇")</x:f>
        <x:v>0</x:v>
      </x:c>
      <x:c r="E147" s="104" t="n">
        <x:f>IF(F147=0,"",D147/F147)</x:f>
        <x:v>0</x:v>
      </x:c>
      <x:c r="F147" s="94" t="n">
        <x:f>SUM('データ'!GQ$5:GQ$7)</x:f>
        <x:v>3</x:v>
      </x:c>
      <x:c r="G147" s="94" t="str">
        <x:v>複数回答</x:v>
      </x:c>
    </x:row>
    <x:row r="148">
      <x:c r="A148" s="94" t="str">
        <x:v>問20</x:v>
      </x:c>
      <x:c r="B148" s="94" t="str">
        <x:v>相談しにくい、又は相談できない理由は何ですか（あてはまるものすべて）</x:v>
      </x:c>
      <x:c r="C148" s="94" t="str">
        <x:v>相談しても解決しないと思う</x:v>
      </x:c>
      <x:c r="D148" s="94" t="n">
        <x:f>COUNTIF('データ'!GJ$5:GJ$7,"〇")</x:f>
        <x:v>2</x:v>
      </x:c>
      <x:c r="E148" s="104" t="n">
        <x:f>IF(F148=0,"",D148/F148)</x:f>
        <x:v>0.6666666666666666</x:v>
      </x:c>
      <x:c r="F148" s="94" t="n">
        <x:f>SUM('データ'!GQ$5:GQ$7)</x:f>
        <x:v>3</x:v>
      </x:c>
      <x:c r="G148" s="94" t="str">
        <x:v>複数回答</x:v>
      </x:c>
    </x:row>
    <x:row r="149">
      <x:c r="A149" s="94" t="str">
        <x:v>問20</x:v>
      </x:c>
      <x:c r="B149" s="94" t="str">
        <x:v>相談しにくい、又は相談できない理由は何ですか（あてはまるものすべて）</x:v>
      </x:c>
      <x:c r="C149" s="94" t="str">
        <x:v>交通手段がない</x:v>
      </x:c>
      <x:c r="D149" s="94" t="n">
        <x:f>COUNTIF('データ'!GK$5:GK$7,"〇")</x:f>
        <x:v>0</x:v>
      </x:c>
      <x:c r="E149" s="104" t="n">
        <x:f>IF(F149=0,"",D149/F149)</x:f>
        <x:v>0</x:v>
      </x:c>
      <x:c r="F149" s="94" t="n">
        <x:f>SUM('データ'!GQ$5:GQ$7)</x:f>
        <x:v>3</x:v>
      </x:c>
      <x:c r="G149" s="94" t="str">
        <x:v>複数回答</x:v>
      </x:c>
    </x:row>
    <x:row r="150">
      <x:c r="A150" s="94" t="str">
        <x:v>問20</x:v>
      </x:c>
      <x:c r="B150" s="94" t="str">
        <x:v>相談しにくい、又は相談できない理由は何ですか（あてはまるものすべて）</x:v>
      </x:c>
      <x:c r="C150" s="94" t="str">
        <x:v>家族が対応している</x:v>
      </x:c>
      <x:c r="D150" s="94" t="n">
        <x:f>COUNTIF('データ'!GL$5:GL$7,"〇")</x:f>
        <x:v>1</x:v>
      </x:c>
      <x:c r="E150" s="104" t="n">
        <x:f>IF(F150=0,"",D150/F150)</x:f>
        <x:v>0.3333333333333333</x:v>
      </x:c>
      <x:c r="F150" s="94" t="n">
        <x:f>SUM('データ'!GQ$5:GQ$7)</x:f>
        <x:v>3</x:v>
      </x:c>
      <x:c r="G150" s="94" t="str">
        <x:v>複数回答</x:v>
      </x:c>
    </x:row>
    <x:row r="151">
      <x:c r="A151" s="94" t="str">
        <x:v>問20</x:v>
      </x:c>
      <x:c r="B151" s="94" t="str">
        <x:v>相談しにくい、又は相談できない理由は何ですか（あてはまるものすべて）</x:v>
      </x:c>
      <x:c r="C151" s="94" t="str">
        <x:v>プライバシーが不安</x:v>
      </x:c>
      <x:c r="D151" s="94" t="n">
        <x:f>COUNTIF('データ'!GM$5:GM$7,"〇")</x:f>
        <x:v>0</x:v>
      </x:c>
      <x:c r="E151" s="104" t="n">
        <x:f>IF(F151=0,"",D151/F151)</x:f>
        <x:v>0</x:v>
      </x:c>
      <x:c r="F151" s="94" t="n">
        <x:f>SUM('データ'!GQ$5:GQ$7)</x:f>
        <x:v>3</x:v>
      </x:c>
      <x:c r="G151" s="94" t="str">
        <x:v>複数回答</x:v>
      </x:c>
    </x:row>
    <x:row r="152">
      <x:c r="A152" s="94" t="str">
        <x:v>問20</x:v>
      </x:c>
      <x:c r="B152" s="94" t="str">
        <x:v>相談しにくい、又は相談できない理由は何ですか（あてはまるものすべて）</x:v>
      </x:c>
      <x:c r="C152" s="94" t="str">
        <x:v>特に困っていない</x:v>
      </x:c>
      <x:c r="D152" s="94" t="n">
        <x:f>COUNTIF('データ'!GN$5:GN$7,"〇")</x:f>
        <x:v>0</x:v>
      </x:c>
      <x:c r="E152" s="104" t="n">
        <x:f>IF(F152=0,"",D152/F152)</x:f>
        <x:v>0</x:v>
      </x:c>
      <x:c r="F152" s="94" t="n">
        <x:f>SUM('データ'!GQ$5:GQ$7)</x:f>
        <x:v>3</x:v>
      </x:c>
      <x:c r="G152" s="94" t="str">
        <x:v>複数回答</x:v>
      </x:c>
    </x:row>
    <x:row r="153">
      <x:c r="A153" s="94" t="str">
        <x:v>問20</x:v>
      </x:c>
      <x:c r="B153" s="94" t="str">
        <x:v>相談しにくい、又は相談できない理由は何ですか（あてはまるものすべて）</x:v>
      </x:c>
      <x:c r="C153" s="94" t="str">
        <x:v>その他</x:v>
      </x:c>
      <x:c r="D153" s="94" t="n">
        <x:f>COUNTIF('データ'!GO$5:GO$7,"〇")</x:f>
        <x:v>0</x:v>
      </x:c>
      <x:c r="E153" s="104" t="n">
        <x:f>IF(F153=0,"",D153/F153)</x:f>
        <x:v>0</x:v>
      </x:c>
      <x:c r="F153" s="94" t="n">
        <x:f>SUM('データ'!GQ$5:GQ$7)</x:f>
        <x:v>3</x:v>
      </x:c>
      <x:c r="G153" s="94" t="str">
        <x:v>複数回答</x:v>
      </x:c>
    </x:row>
    <x:row r="154">
      <x:c r="A154" s="94" t="str">
        <x:v>問21</x:v>
      </x:c>
      <x:c r="B154" s="94" t="str">
        <x:v>福祉に関する情報はどこから得ていますか（あてはまるものすべて）</x:v>
      </x:c>
      <x:c r="C154" s="94" t="str">
        <x:v>村広報・ホームページ</x:v>
      </x:c>
      <x:c r="D154" s="94" t="n">
        <x:f>COUNTIF('データ'!GR$5:GR$7,"〇")</x:f>
        <x:v>0</x:v>
      </x:c>
      <x:c r="E154" s="104" t="n">
        <x:f>IF(F154=0,"",D154/F154)</x:f>
        <x:v>0</x:v>
      </x:c>
      <x:c r="F154" s="94" t="n">
        <x:f>SUM('データ'!HC$5:HC$7)</x:f>
        <x:v>3</x:v>
      </x:c>
      <x:c r="G154" s="94" t="str">
        <x:v>複数回答</x:v>
      </x:c>
    </x:row>
    <x:row r="155">
      <x:c r="A155" s="94" t="str">
        <x:v>問21</x:v>
      </x:c>
      <x:c r="B155" s="94" t="str">
        <x:v>福祉に関する情報はどこから得ていますか（あてはまるものすべて）</x:v>
      </x:c>
      <x:c r="C155" s="94" t="str">
        <x:v>家族・知人</x:v>
      </x:c>
      <x:c r="D155" s="94" t="n">
        <x:f>COUNTIF('データ'!GS$5:GS$7,"〇")</x:f>
        <x:v>1</x:v>
      </x:c>
      <x:c r="E155" s="104" t="n">
        <x:f>IF(F155=0,"",D155/F155)</x:f>
        <x:v>0.3333333333333333</x:v>
      </x:c>
      <x:c r="F155" s="94" t="n">
        <x:f>SUM('データ'!HC$5:HC$7)</x:f>
        <x:v>3</x:v>
      </x:c>
      <x:c r="G155" s="94" t="str">
        <x:v>複数回答</x:v>
      </x:c>
    </x:row>
    <x:row r="156">
      <x:c r="A156" s="94" t="str">
        <x:v>問21</x:v>
      </x:c>
      <x:c r="B156" s="94" t="str">
        <x:v>福祉に関する情報はどこから得ていますか（あてはまるものすべて）</x:v>
      </x:c>
      <x:c r="C156" s="94" t="str">
        <x:v>相談支援専門員</x:v>
      </x:c>
      <x:c r="D156" s="94" t="n">
        <x:f>COUNTIF('データ'!GT$5:GT$7,"〇")</x:f>
        <x:v>0</x:v>
      </x:c>
      <x:c r="E156" s="104" t="n">
        <x:f>IF(F156=0,"",D156/F156)</x:f>
        <x:v>0</x:v>
      </x:c>
      <x:c r="F156" s="94" t="n">
        <x:f>SUM('データ'!HC$5:HC$7)</x:f>
        <x:v>3</x:v>
      </x:c>
      <x:c r="G156" s="94" t="str">
        <x:v>複数回答</x:v>
      </x:c>
    </x:row>
    <x:row r="157">
      <x:c r="A157" s="94" t="str">
        <x:v>問21</x:v>
      </x:c>
      <x:c r="B157" s="94" t="str">
        <x:v>福祉に関する情報はどこから得ていますか（あてはまるものすべて）</x:v>
      </x:c>
      <x:c r="C157" s="94" t="str">
        <x:v>福祉サービス事業所</x:v>
      </x:c>
      <x:c r="D157" s="94" t="n">
        <x:f>COUNTIF('データ'!GU$5:GU$7,"〇")</x:f>
        <x:v>0</x:v>
      </x:c>
      <x:c r="E157" s="104" t="n">
        <x:f>IF(F157=0,"",D157/F157)</x:f>
        <x:v>0</x:v>
      </x:c>
      <x:c r="F157" s="94" t="n">
        <x:f>SUM('データ'!HC$5:HC$7)</x:f>
        <x:v>3</x:v>
      </x:c>
      <x:c r="G157" s="94" t="str">
        <x:v>複数回答</x:v>
      </x:c>
    </x:row>
    <x:row r="158">
      <x:c r="A158" s="94" t="str">
        <x:v>問21</x:v>
      </x:c>
      <x:c r="B158" s="94" t="str">
        <x:v>福祉に関する情報はどこから得ていますか（あてはまるものすべて）</x:v>
      </x:c>
      <x:c r="C158" s="94" t="str">
        <x:v>医療機関</x:v>
      </x:c>
      <x:c r="D158" s="94" t="n">
        <x:f>COUNTIF('データ'!GV$5:GV$7,"〇")</x:f>
        <x:v>3</x:v>
      </x:c>
      <x:c r="E158" s="104" t="n">
        <x:f>IF(F158=0,"",D158/F158)</x:f>
        <x:v>1</x:v>
      </x:c>
      <x:c r="F158" s="94" t="n">
        <x:f>SUM('データ'!HC$5:HC$7)</x:f>
        <x:v>3</x:v>
      </x:c>
      <x:c r="G158" s="94" t="str">
        <x:v>複数回答</x:v>
      </x:c>
    </x:row>
    <x:row r="159">
      <x:c r="A159" s="94" t="str">
        <x:v>問21</x:v>
      </x:c>
      <x:c r="B159" s="94" t="str">
        <x:v>福祉に関する情報はどこから得ていますか（あてはまるものすべて）</x:v>
      </x:c>
      <x:c r="C159" s="94" t="str">
        <x:v>学校・保育所等</x:v>
      </x:c>
      <x:c r="D159" s="94" t="n">
        <x:f>COUNTIF('データ'!GW$5:GW$7,"〇")</x:f>
        <x:v>0</x:v>
      </x:c>
      <x:c r="E159" s="104" t="n">
        <x:f>IF(F159=0,"",D159/F159)</x:f>
        <x:v>0</x:v>
      </x:c>
      <x:c r="F159" s="94" t="n">
        <x:f>SUM('データ'!HC$5:HC$7)</x:f>
        <x:v>3</x:v>
      </x:c>
      <x:c r="G159" s="94" t="str">
        <x:v>複数回答</x:v>
      </x:c>
    </x:row>
    <x:row r="160">
      <x:c r="A160" s="94" t="str">
        <x:v>問21</x:v>
      </x:c>
      <x:c r="B160" s="94" t="str">
        <x:v>福祉に関する情報はどこから得ていますか（あてはまるものすべて）</x:v>
      </x:c>
      <x:c r="C160" s="94" t="str">
        <x:v>SNS・インターネット・AI</x:v>
      </x:c>
      <x:c r="D160" s="94" t="n">
        <x:f>COUNTIF('データ'!GX$5:GX$7,"〇")</x:f>
        <x:v>1</x:v>
      </x:c>
      <x:c r="E160" s="104" t="n">
        <x:f>IF(F160=0,"",D160/F160)</x:f>
        <x:v>0.3333333333333333</x:v>
      </x:c>
      <x:c r="F160" s="94" t="n">
        <x:f>SUM('データ'!HC$5:HC$7)</x:f>
        <x:v>3</x:v>
      </x:c>
      <x:c r="G160" s="94" t="str">
        <x:v>複数回答</x:v>
      </x:c>
    </x:row>
    <x:row r="161">
      <x:c r="A161" s="94" t="str">
        <x:v>問21</x:v>
      </x:c>
      <x:c r="B161" s="94" t="str">
        <x:v>福祉に関する情報はどこから得ていますか（あてはまるものすべて）</x:v>
      </x:c>
      <x:c r="C161" s="94" t="str">
        <x:v>新聞・テレビ</x:v>
      </x:c>
      <x:c r="D161" s="94" t="n">
        <x:f>COUNTIF('データ'!GY$5:GY$7,"〇")</x:f>
        <x:v>0</x:v>
      </x:c>
      <x:c r="E161" s="104" t="n">
        <x:f>IF(F161=0,"",D161/F161)</x:f>
        <x:v>0</x:v>
      </x:c>
      <x:c r="F161" s="94" t="n">
        <x:f>SUM('データ'!HC$5:HC$7)</x:f>
        <x:v>3</x:v>
      </x:c>
      <x:c r="G161" s="94" t="str">
        <x:v>複数回答</x:v>
      </x:c>
    </x:row>
    <x:row r="162">
      <x:c r="A162" s="94" t="str">
        <x:v>問21</x:v>
      </x:c>
      <x:c r="B162" s="94" t="str">
        <x:v>福祉に関する情報はどこから得ていますか（あてはまるものすべて）</x:v>
      </x:c>
      <x:c r="C162" s="94" t="str">
        <x:v>情報を得られていない</x:v>
      </x:c>
      <x:c r="D162" s="94" t="n">
        <x:f>COUNTIF('データ'!GZ$5:GZ$7,"〇")</x:f>
        <x:v>0</x:v>
      </x:c>
      <x:c r="E162" s="104" t="n">
        <x:f>IF(F162=0,"",D162/F162)</x:f>
        <x:v>0</x:v>
      </x:c>
      <x:c r="F162" s="94" t="n">
        <x:f>SUM('データ'!HC$5:HC$7)</x:f>
        <x:v>3</x:v>
      </x:c>
      <x:c r="G162" s="94" t="str">
        <x:v>複数回答</x:v>
      </x:c>
    </x:row>
    <x:row r="163">
      <x:c r="A163" s="94" t="str">
        <x:v>問21</x:v>
      </x:c>
      <x:c r="B163" s="94" t="str">
        <x:v>福祉に関する情報はどこから得ていますか（あてはまるものすべて）</x:v>
      </x:c>
      <x:c r="C163" s="94" t="str">
        <x:v>その他</x:v>
      </x:c>
      <x:c r="D163" s="94" t="n">
        <x:f>COUNTIF('データ'!HA$5:HA$7,"〇")</x:f>
        <x:v>0</x:v>
      </x:c>
      <x:c r="E163" s="104" t="n">
        <x:f>IF(F163=0,"",D163/F163)</x:f>
        <x:v>0</x:v>
      </x:c>
      <x:c r="F163" s="94" t="n">
        <x:f>SUM('データ'!HC$5:HC$7)</x:f>
        <x:v>3</x:v>
      </x:c>
      <x:c r="G163" s="94" t="str">
        <x:v>複数回答</x:v>
      </x:c>
    </x:row>
    <x:row r="164">
      <x:c r="A164" s="94" t="str">
        <x:v>問22</x:v>
      </x:c>
      <x:c r="B164" s="94" t="str">
        <x:v>相談支援に期待することは何ですか（あてはまるものすべて）</x:v>
      </x:c>
      <x:c r="C164" s="94" t="str">
        <x:v>サービス利用の相談</x:v>
      </x:c>
      <x:c r="D164" s="94" t="n">
        <x:f>COUNTIF('データ'!HD$5:HD$7,"〇")</x:f>
        <x:v>2</x:v>
      </x:c>
      <x:c r="E164" s="104" t="n">
        <x:f>IF(F164=0,"",D164/F164)</x:f>
        <x:v>0.6666666666666666</x:v>
      </x:c>
      <x:c r="F164" s="94" t="n">
        <x:f>SUM('データ'!HN$5:HN$7)</x:f>
        <x:v>3</x:v>
      </x:c>
      <x:c r="G164" s="94" t="str">
        <x:v>複数回答</x:v>
      </x:c>
    </x:row>
    <x:row r="165">
      <x:c r="A165" s="94" t="str">
        <x:v>問22</x:v>
      </x:c>
      <x:c r="B165" s="94" t="str">
        <x:v>相談支援に期待することは何ですか（あてはまるものすべて）</x:v>
      </x:c>
      <x:c r="C165" s="94" t="str">
        <x:v>将来の暮らしの相談</x:v>
      </x:c>
      <x:c r="D165" s="94" t="n">
        <x:f>COUNTIF('データ'!HE$5:HE$7,"〇")</x:f>
        <x:v>3</x:v>
      </x:c>
      <x:c r="E165" s="104" t="n">
        <x:f>IF(F165=0,"",D165/F165)</x:f>
        <x:v>1</x:v>
      </x:c>
      <x:c r="F165" s="94" t="n">
        <x:f>SUM('データ'!HN$5:HN$7)</x:f>
        <x:v>3</x:v>
      </x:c>
      <x:c r="G165" s="94" t="str">
        <x:v>複数回答</x:v>
      </x:c>
    </x:row>
    <x:row r="166">
      <x:c r="A166" s="94" t="str">
        <x:v>問22</x:v>
      </x:c>
      <x:c r="B166" s="94" t="str">
        <x:v>相談支援に期待することは何ですか（あてはまるものすべて）</x:v>
      </x:c>
      <x:c r="C166" s="94" t="str">
        <x:v>日中活動の相談</x:v>
      </x:c>
      <x:c r="D166" s="94" t="n">
        <x:f>COUNTIF('データ'!HF$5:HF$7,"〇")</x:f>
        <x:v>1</x:v>
      </x:c>
      <x:c r="E166" s="104" t="n">
        <x:f>IF(F166=0,"",D166/F166)</x:f>
        <x:v>0.3333333333333333</x:v>
      </x:c>
      <x:c r="F166" s="94" t="n">
        <x:f>SUM('データ'!HN$5:HN$7)</x:f>
        <x:v>3</x:v>
      </x:c>
      <x:c r="G166" s="94" t="str">
        <x:v>複数回答</x:v>
      </x:c>
    </x:row>
    <x:row r="167">
      <x:c r="A167" s="94" t="str">
        <x:v>問22</x:v>
      </x:c>
      <x:c r="B167" s="94" t="str">
        <x:v>相談支援に期待することは何ですか（あてはまるものすべて）</x:v>
      </x:c>
      <x:c r="C167" s="94" t="str">
        <x:v>障がい児・発達の相談</x:v>
      </x:c>
      <x:c r="D167" s="94" t="n">
        <x:f>COUNTIF('データ'!HG$5:HG$7,"〇")</x:f>
        <x:v>1</x:v>
      </x:c>
      <x:c r="E167" s="104" t="n">
        <x:f>IF(F167=0,"",D167/F167)</x:f>
        <x:v>0.3333333333333333</x:v>
      </x:c>
      <x:c r="F167" s="94" t="n">
        <x:f>SUM('データ'!HN$5:HN$7)</x:f>
        <x:v>3</x:v>
      </x:c>
      <x:c r="G167" s="94" t="str">
        <x:v>複数回答</x:v>
      </x:c>
    </x:row>
    <x:row r="168">
      <x:c r="A168" s="94" t="str">
        <x:v>問22</x:v>
      </x:c>
      <x:c r="B168" s="94" t="str">
        <x:v>相談支援に期待することは何ですか（あてはまるものすべて）</x:v>
      </x:c>
      <x:c r="C168" s="94" t="str">
        <x:v>医療・通院の相談</x:v>
      </x:c>
      <x:c r="D168" s="94" t="n">
        <x:f>COUNTIF('データ'!HH$5:HH$7,"〇")</x:f>
        <x:v>3</x:v>
      </x:c>
      <x:c r="E168" s="104" t="n">
        <x:f>IF(F168=0,"",D168/F168)</x:f>
        <x:v>1</x:v>
      </x:c>
      <x:c r="F168" s="94" t="n">
        <x:f>SUM('データ'!HN$5:HN$7)</x:f>
        <x:v>3</x:v>
      </x:c>
      <x:c r="G168" s="94" t="str">
        <x:v>複数回答</x:v>
      </x:c>
    </x:row>
    <x:row r="169">
      <x:c r="A169" s="94" t="str">
        <x:v>問22</x:v>
      </x:c>
      <x:c r="B169" s="94" t="str">
        <x:v>相談支援に期待することは何ですか（あてはまるものすべて）</x:v>
      </x:c>
      <x:c r="C169" s="94" t="str">
        <x:v>家族の負担軽減</x:v>
      </x:c>
      <x:c r="D169" s="94" t="n">
        <x:f>COUNTIF('データ'!HI$5:HI$7,"〇")</x:f>
        <x:v>2</x:v>
      </x:c>
      <x:c r="E169" s="104" t="n">
        <x:f>IF(F169=0,"",D169/F169)</x:f>
        <x:v>0.6666666666666666</x:v>
      </x:c>
      <x:c r="F169" s="94" t="n">
        <x:f>SUM('データ'!HN$5:HN$7)</x:f>
        <x:v>3</x:v>
      </x:c>
      <x:c r="G169" s="94" t="str">
        <x:v>複数回答</x:v>
      </x:c>
    </x:row>
    <x:row r="170">
      <x:c r="A170" s="94" t="str">
        <x:v>問22</x:v>
      </x:c>
      <x:c r="B170" s="94" t="str">
        <x:v>相談支援に期待することは何ですか（あてはまるものすべて）</x:v>
      </x:c>
      <x:c r="C170" s="94" t="str">
        <x:v>緊急時の相談</x:v>
      </x:c>
      <x:c r="D170" s="94" t="n">
        <x:f>COUNTIF('データ'!HJ$5:HJ$7,"〇")</x:f>
        <x:v>1</x:v>
      </x:c>
      <x:c r="E170" s="104" t="n">
        <x:f>IF(F170=0,"",D170/F170)</x:f>
        <x:v>0.3333333333333333</x:v>
      </x:c>
      <x:c r="F170" s="94" t="n">
        <x:f>SUM('データ'!HN$5:HN$7)</x:f>
        <x:v>3</x:v>
      </x:c>
      <x:c r="G170" s="94" t="str">
        <x:v>複数回答</x:v>
      </x:c>
    </x:row>
    <x:row r="171">
      <x:c r="A171" s="94" t="str">
        <x:v>問22</x:v>
      </x:c>
      <x:c r="B171" s="94" t="str">
        <x:v>相談支援に期待することは何ですか（あてはまるものすべて）</x:v>
      </x:c>
      <x:c r="C171" s="94" t="str">
        <x:v>わかりやすい情報提供</x:v>
      </x:c>
      <x:c r="D171" s="94" t="n">
        <x:f>COUNTIF('データ'!HK$5:HK$7,"〇")</x:f>
        <x:v>1</x:v>
      </x:c>
      <x:c r="E171" s="104" t="n">
        <x:f>IF(F171=0,"",D171/F171)</x:f>
        <x:v>0.3333333333333333</x:v>
      </x:c>
      <x:c r="F171" s="94" t="n">
        <x:f>SUM('データ'!HN$5:HN$7)</x:f>
        <x:v>3</x:v>
      </x:c>
      <x:c r="G171" s="94" t="str">
        <x:v>複数回答</x:v>
      </x:c>
    </x:row>
    <x:row r="172">
      <x:c r="A172" s="94" t="str">
        <x:v>問22</x:v>
      </x:c>
      <x:c r="B172" s="94" t="str">
        <x:v>相談支援に期待することは何ですか（あてはまるものすべて）</x:v>
      </x:c>
      <x:c r="C172" s="94" t="str">
        <x:v>その他</x:v>
      </x:c>
      <x:c r="D172" s="94" t="n">
        <x:f>COUNTIF('データ'!HL$5:HL$7,"〇")</x:f>
        <x:v>0</x:v>
      </x:c>
      <x:c r="E172" s="104" t="n">
        <x:f>IF(F172=0,"",D172/F172)</x:f>
        <x:v>0</x:v>
      </x:c>
      <x:c r="F172" s="94" t="n">
        <x:f>SUM('データ'!HN$5:HN$7)</x:f>
        <x:v>3</x:v>
      </x:c>
      <x:c r="G172" s="94" t="str">
        <x:v>複数回答</x:v>
      </x:c>
    </x:row>
    <x:row r="173">
      <x:c r="A173" s="94" t="str">
        <x:v>問23</x:v>
      </x:c>
      <x:c r="B173" s="94" t="str">
        <x:v>現在の通園・通学等の状況を教えてください</x:v>
      </x:c>
      <x:c r="C173" s="94" t="str">
        <x:v>保育所・幼稚園・認定こども園に通っている</x:v>
      </x:c>
      <x:c r="D173" s="94" t="n">
        <x:f>COUNTIF('データ'!HO$5:HO$7,"〇")</x:f>
        <x:v>0</x:v>
      </x:c>
      <x:c r="E173" s="104" t="n">
        <x:f>IF(F173=0,"",D173/F173)</x:f>
        <x:v>0</x:v>
      </x:c>
      <x:c r="F173" s="94" t="n">
        <x:f>SUM('データ'!HY$5:HY$7)</x:f>
        <x:v>3</x:v>
      </x:c>
      <x:c r="G173" s="94" t="str">
        <x:v>単一回答</x:v>
      </x:c>
    </x:row>
    <x:row r="174">
      <x:c r="A174" s="94" t="str">
        <x:v>問23</x:v>
      </x:c>
      <x:c r="B174" s="94" t="str">
        <x:v>現在の通園・通学等の状況を教えてください</x:v>
      </x:c>
      <x:c r="C174" s="94" t="str">
        <x:v>小学校に通っている</x:v>
      </x:c>
      <x:c r="D174" s="94" t="n">
        <x:f>COUNTIF('データ'!HP$5:HP$7,"〇")</x:f>
        <x:v>0</x:v>
      </x:c>
      <x:c r="E174" s="104" t="n">
        <x:f>IF(F174=0,"",D174/F174)</x:f>
        <x:v>0</x:v>
      </x:c>
      <x:c r="F174" s="94" t="n">
        <x:f>SUM('データ'!HY$5:HY$7)</x:f>
        <x:v>3</x:v>
      </x:c>
      <x:c r="G174" s="94" t="str">
        <x:v>単一回答</x:v>
      </x:c>
    </x:row>
    <x:row r="175">
      <x:c r="A175" s="94" t="str">
        <x:v>問23</x:v>
      </x:c>
      <x:c r="B175" s="94" t="str">
        <x:v>現在の通園・通学等の状況を教えてください</x:v>
      </x:c>
      <x:c r="C175" s="94" t="str">
        <x:v>中学校に通っている</x:v>
      </x:c>
      <x:c r="D175" s="94" t="n">
        <x:f>COUNTIF('データ'!HQ$5:HQ$7,"〇")</x:f>
        <x:v>1</x:v>
      </x:c>
      <x:c r="E175" s="104" t="n">
        <x:f>IF(F175=0,"",D175/F175)</x:f>
        <x:v>0.3333333333333333</x:v>
      </x:c>
      <x:c r="F175" s="94" t="n">
        <x:f>SUM('データ'!HY$5:HY$7)</x:f>
        <x:v>3</x:v>
      </x:c>
      <x:c r="G175" s="94" t="str">
        <x:v>単一回答</x:v>
      </x:c>
    </x:row>
    <x:row r="176">
      <x:c r="A176" s="94" t="str">
        <x:v>問23</x:v>
      </x:c>
      <x:c r="B176" s="94" t="str">
        <x:v>現在の通園・通学等の状況を教えてください</x:v>
      </x:c>
      <x:c r="C176" s="94" t="str">
        <x:v>高等学校等に通っている</x:v>
      </x:c>
      <x:c r="D176" s="94" t="n">
        <x:f>COUNTIF('データ'!HR$5:HR$7,"〇")</x:f>
        <x:v>1</x:v>
      </x:c>
      <x:c r="E176" s="104" t="n">
        <x:f>IF(F176=0,"",D176/F176)</x:f>
        <x:v>0.3333333333333333</x:v>
      </x:c>
      <x:c r="F176" s="94" t="n">
        <x:f>SUM('データ'!HY$5:HY$7)</x:f>
        <x:v>3</x:v>
      </x:c>
      <x:c r="G176" s="94" t="str">
        <x:v>単一回答</x:v>
      </x:c>
    </x:row>
    <x:row r="177">
      <x:c r="A177" s="94" t="str">
        <x:v>問23</x:v>
      </x:c>
      <x:c r="B177" s="94" t="str">
        <x:v>現在の通園・通学等の状況を教えてください</x:v>
      </x:c>
      <x:c r="C177" s="94" t="str">
        <x:v>特別支援学校に通っている</x:v>
      </x:c>
      <x:c r="D177" s="94" t="n">
        <x:f>COUNTIF('データ'!HS$5:HS$7,"〇")</x:f>
        <x:v>1</x:v>
      </x:c>
      <x:c r="E177" s="104" t="n">
        <x:f>IF(F177=0,"",D177/F177)</x:f>
        <x:v>0.3333333333333333</x:v>
      </x:c>
      <x:c r="F177" s="94" t="n">
        <x:f>SUM('データ'!HY$5:HY$7)</x:f>
        <x:v>3</x:v>
      </x:c>
      <x:c r="G177" s="94" t="str">
        <x:v>単一回答</x:v>
      </x:c>
    </x:row>
    <x:row r="178">
      <x:c r="A178" s="94" t="str">
        <x:v>問23</x:v>
      </x:c>
      <x:c r="B178" s="94" t="str">
        <x:v>現在の通園・通学等の状況を教えてください</x:v>
      </x:c>
      <x:c r="C178" s="94" t="str">
        <x:v>児童発達支援を利用している</x:v>
      </x:c>
      <x:c r="D178" s="94" t="n">
        <x:f>COUNTIF('データ'!HT$5:HT$7,"〇")</x:f>
        <x:v>0</x:v>
      </x:c>
      <x:c r="E178" s="104" t="n">
        <x:f>IF(F178=0,"",D178/F178)</x:f>
        <x:v>0</x:v>
      </x:c>
      <x:c r="F178" s="94" t="n">
        <x:f>SUM('データ'!HY$5:HY$7)</x:f>
        <x:v>3</x:v>
      </x:c>
      <x:c r="G178" s="94" t="str">
        <x:v>単一回答</x:v>
      </x:c>
    </x:row>
    <x:row r="179">
      <x:c r="A179" s="94" t="str">
        <x:v>問23</x:v>
      </x:c>
      <x:c r="B179" s="94" t="str">
        <x:v>現在の通園・通学等の状況を教えてください</x:v>
      </x:c>
      <x:c r="C179" s="94" t="str">
        <x:v>放課後等デイサービスを利用している</x:v>
      </x:c>
      <x:c r="D179" s="94" t="n">
        <x:f>COUNTIF('データ'!HU$5:HU$7,"〇")</x:f>
        <x:v>0</x:v>
      </x:c>
      <x:c r="E179" s="104" t="n">
        <x:f>IF(F179=0,"",D179/F179)</x:f>
        <x:v>0</x:v>
      </x:c>
      <x:c r="F179" s="94" t="n">
        <x:f>SUM('データ'!HY$5:HY$7)</x:f>
        <x:v>3</x:v>
      </x:c>
      <x:c r="G179" s="94" t="str">
        <x:v>単一回答</x:v>
      </x:c>
    </x:row>
    <x:row r="180">
      <x:c r="A180" s="94" t="str">
        <x:v>問23</x:v>
      </x:c>
      <x:c r="B180" s="94" t="str">
        <x:v>現在の通園・通学等の状況を教えてください</x:v>
      </x:c>
      <x:c r="C180" s="94" t="str">
        <x:v>在宅で過ごしていることが多い</x:v>
      </x:c>
      <x:c r="D180" s="94" t="n">
        <x:f>COUNTIF('データ'!HV$5:HV$7,"〇")</x:f>
        <x:v>0</x:v>
      </x:c>
      <x:c r="E180" s="104" t="n">
        <x:f>IF(F180=0,"",D180/F180)</x:f>
        <x:v>0</x:v>
      </x:c>
      <x:c r="F180" s="94" t="n">
        <x:f>SUM('データ'!HY$5:HY$7)</x:f>
        <x:v>3</x:v>
      </x:c>
      <x:c r="G180" s="94" t="str">
        <x:v>単一回答</x:v>
      </x:c>
    </x:row>
    <x:row r="181">
      <x:c r="A181" s="94" t="str">
        <x:v>問23</x:v>
      </x:c>
      <x:c r="B181" s="94" t="str">
        <x:v>現在の通園・通学等の状況を教えてください</x:v>
      </x:c>
      <x:c r="C181" s="94" t="str">
        <x:v>その他</x:v>
      </x:c>
      <x:c r="D181" s="94" t="n">
        <x:f>COUNTIF('データ'!HW$5:HW$7,"〇")</x:f>
        <x:v>0</x:v>
      </x:c>
      <x:c r="E181" s="104" t="n">
        <x:f>IF(F181=0,"",D181/F181)</x:f>
        <x:v>0</x:v>
      </x:c>
      <x:c r="F181" s="94" t="n">
        <x:f>SUM('データ'!HY$5:HY$7)</x:f>
        <x:v>3</x:v>
      </x:c>
      <x:c r="G181" s="94" t="str">
        <x:v>単一回答</x:v>
      </x:c>
    </x:row>
    <x:row r="182">
      <x:c r="A182" s="94" t="str">
        <x:v>問24</x:v>
      </x:c>
      <x:c r="B182" s="94" t="str">
        <x:v>通園・通学や事業所利用で困っていることはありますか（あてはまるものすべて）</x:v>
      </x:c>
      <x:c r="C182" s="94" t="str">
        <x:v>送迎・移動手段の確保が難しい</x:v>
      </x:c>
      <x:c r="D182" s="94" t="n">
        <x:f>COUNTIF('データ'!HZ$5:HZ$7,"〇")</x:f>
        <x:v>3</x:v>
      </x:c>
      <x:c r="E182" s="104" t="n">
        <x:f>IF(F182=0,"",D182/F182)</x:f>
        <x:v>1</x:v>
      </x:c>
      <x:c r="F182" s="94" t="n">
        <x:f>SUM('データ'!IK$5:IK$7)</x:f>
        <x:v>3</x:v>
      </x:c>
      <x:c r="G182" s="94" t="str">
        <x:v>複数回答</x:v>
      </x:c>
    </x:row>
    <x:row r="183">
      <x:c r="A183" s="94" t="str">
        <x:v>問24</x:v>
      </x:c>
      <x:c r="B183" s="94" t="str">
        <x:v>通園・通学や事業所利用で困っていることはありますか（あてはまるものすべて）</x:v>
      </x:c>
      <x:c r="C183" s="94" t="str">
        <x:v>冬季の通園・通学・通所が不安</x:v>
      </x:c>
      <x:c r="D183" s="94" t="n">
        <x:f>COUNTIF('データ'!IA$5:IA$7,"〇")</x:f>
        <x:v>1</x:v>
      </x:c>
      <x:c r="E183" s="104" t="n">
        <x:f>IF(F183=0,"",D183/F183)</x:f>
        <x:v>0.3333333333333333</x:v>
      </x:c>
      <x:c r="F183" s="94" t="n">
        <x:f>SUM('データ'!IK$5:IK$7)</x:f>
        <x:v>3</x:v>
      </x:c>
      <x:c r="G183" s="94" t="str">
        <x:v>複数回答</x:v>
      </x:c>
    </x:row>
    <x:row r="184">
      <x:c r="A184" s="94" t="str">
        <x:v>問24</x:v>
      </x:c>
      <x:c r="B184" s="94" t="str">
        <x:v>通園・通学や事業所利用で困っていることはありますか（あてはまるものすべて）</x:v>
      </x:c>
      <x:c r="C184" s="94" t="str">
        <x:v>付き添いなど家族の負担が大きい</x:v>
      </x:c>
      <x:c r="D184" s="94" t="n">
        <x:f>COUNTIF('データ'!IB$5:IB$7,"〇")</x:f>
        <x:v>3</x:v>
      </x:c>
      <x:c r="E184" s="104" t="n">
        <x:f>IF(F184=0,"",D184/F184)</x:f>
        <x:v>1</x:v>
      </x:c>
      <x:c r="F184" s="94" t="n">
        <x:f>SUM('データ'!IK$5:IK$7)</x:f>
        <x:v>3</x:v>
      </x:c>
      <x:c r="G184" s="94" t="str">
        <x:v>複数回答</x:v>
      </x:c>
    </x:row>
    <x:row r="185">
      <x:c r="A185" s="94" t="str">
        <x:v>問24</x:v>
      </x:c>
      <x:c r="B185" s="94" t="str">
        <x:v>通園・通学や事業所利用で困っていることはありますか（あてはまるものすべて）</x:v>
      </x:c>
      <x:c r="C185" s="94" t="str">
        <x:v>医療的ケアに対応できる場所が少ない</x:v>
      </x:c>
      <x:c r="D185" s="94" t="n">
        <x:f>COUNTIF('データ'!IC$5:IC$7,"〇")</x:f>
        <x:v>0</x:v>
      </x:c>
      <x:c r="E185" s="104" t="n">
        <x:f>IF(F185=0,"",D185/F185)</x:f>
        <x:v>0</x:v>
      </x:c>
      <x:c r="F185" s="94" t="n">
        <x:f>SUM('データ'!IK$5:IK$7)</x:f>
        <x:v>3</x:v>
      </x:c>
      <x:c r="G185" s="94" t="str">
        <x:v>複数回答</x:v>
      </x:c>
    </x:row>
    <x:row r="186">
      <x:c r="A186" s="94" t="str">
        <x:v>問24</x:v>
      </x:c>
      <x:c r="B186" s="94" t="str">
        <x:v>通園・通学や事業所利用で困っていることはありますか（あてはまるものすべて）</x:v>
      </x:c>
      <x:c r="C186" s="94" t="str">
        <x:v>本人に合う支援や配慮を受けにくい</x:v>
      </x:c>
      <x:c r="D186" s="94" t="n">
        <x:f>COUNTIF('データ'!ID$5:ID$7,"〇")</x:f>
        <x:v>0</x:v>
      </x:c>
      <x:c r="E186" s="104" t="n">
        <x:f>IF(F186=0,"",D186/F186)</x:f>
        <x:v>0</x:v>
      </x:c>
      <x:c r="F186" s="94" t="n">
        <x:f>SUM('データ'!IK$5:IK$7)</x:f>
        <x:v>3</x:v>
      </x:c>
      <x:c r="G186" s="94" t="str">
        <x:v>複数回答</x:v>
      </x:c>
    </x:row>
    <x:row r="187">
      <x:c r="A187" s="94" t="str">
        <x:v>問24</x:v>
      </x:c>
      <x:c r="B187" s="94" t="str">
        <x:v>通園・通学や事業所利用で困っていることはありますか（あてはまるものすべて）</x:v>
      </x:c>
      <x:c r="C187" s="94" t="str">
        <x:v>学校・園・事業所との情報共有が難しい</x:v>
      </x:c>
      <x:c r="D187" s="94" t="n">
        <x:f>COUNTIF('データ'!IE$5:IE$7,"〇")</x:f>
        <x:v>1</x:v>
      </x:c>
      <x:c r="E187" s="104" t="n">
        <x:f>IF(F187=0,"",D187/F187)</x:f>
        <x:v>0.3333333333333333</x:v>
      </x:c>
      <x:c r="F187" s="94" t="n">
        <x:f>SUM('データ'!IK$5:IK$7)</x:f>
        <x:v>3</x:v>
      </x:c>
      <x:c r="G187" s="94" t="str">
        <x:v>複数回答</x:v>
      </x:c>
    </x:row>
    <x:row r="188">
      <x:c r="A188" s="94" t="str">
        <x:v>問24</x:v>
      </x:c>
      <x:c r="B188" s="94" t="str">
        <x:v>通園・通学や事業所利用で困っていることはありますか（あてはまるものすべて）</x:v>
      </x:c>
      <x:c r="C188" s="94" t="str">
        <x:v>放課後や長期休暇の過ごし方に困る</x:v>
      </x:c>
      <x:c r="D188" s="94" t="n">
        <x:f>COUNTIF('データ'!IF$5:IF$7,"〇")</x:f>
        <x:v>0</x:v>
      </x:c>
      <x:c r="E188" s="104" t="n">
        <x:f>IF(F188=0,"",D188/F188)</x:f>
        <x:v>0</x:v>
      </x:c>
      <x:c r="F188" s="94" t="n">
        <x:f>SUM('データ'!IK$5:IK$7)</x:f>
        <x:v>3</x:v>
      </x:c>
      <x:c r="G188" s="94" t="str">
        <x:v>複数回答</x:v>
      </x:c>
    </x:row>
    <x:row r="189">
      <x:c r="A189" s="94" t="str">
        <x:v>問24</x:v>
      </x:c>
      <x:c r="B189" s="94" t="str">
        <x:v>通園・通学や事業所利用で困っていることはありますか（あてはまるものすべて）</x:v>
      </x:c>
      <x:c r="C189" s="94" t="str">
        <x:v>相談先がわからない</x:v>
      </x:c>
      <x:c r="D189" s="94" t="n">
        <x:f>COUNTIF('データ'!IG$5:IG$7,"〇")</x:f>
        <x:v>0</x:v>
      </x:c>
      <x:c r="E189" s="104" t="n">
        <x:f>IF(F189=0,"",D189/F189)</x:f>
        <x:v>0</x:v>
      </x:c>
      <x:c r="F189" s="94" t="n">
        <x:f>SUM('データ'!IK$5:IK$7)</x:f>
        <x:v>3</x:v>
      </x:c>
      <x:c r="G189" s="94" t="str">
        <x:v>複数回答</x:v>
      </x:c>
    </x:row>
    <x:row r="190">
      <x:c r="A190" s="94" t="str">
        <x:v>問24</x:v>
      </x:c>
      <x:c r="B190" s="94" t="str">
        <x:v>通園・通学や事業所利用で困っていることはありますか（あてはまるものすべて）</x:v>
      </x:c>
      <x:c r="C190" s="94" t="str">
        <x:v>特にない</x:v>
      </x:c>
      <x:c r="D190" s="94" t="n">
        <x:f>COUNTIF('データ'!IH$5:IH$7,"〇")</x:f>
        <x:v>0</x:v>
      </x:c>
      <x:c r="E190" s="104" t="n">
        <x:f>IF(F190=0,"",D190/F190)</x:f>
        <x:v>0</x:v>
      </x:c>
      <x:c r="F190" s="94" t="n">
        <x:f>SUM('データ'!IK$5:IK$7)</x:f>
        <x:v>3</x:v>
      </x:c>
      <x:c r="G190" s="94" t="str">
        <x:v>複数回答</x:v>
      </x:c>
    </x:row>
    <x:row r="191">
      <x:c r="A191" s="94" t="str">
        <x:v>問24</x:v>
      </x:c>
      <x:c r="B191" s="94" t="str">
        <x:v>通園・通学や事業所利用で困っていることはありますか（あてはまるものすべて）</x:v>
      </x:c>
      <x:c r="C191" s="94" t="str">
        <x:v>その他</x:v>
      </x:c>
      <x:c r="D191" s="94" t="n">
        <x:f>COUNTIF('データ'!II$5:II$7,"〇")</x:f>
        <x:v>1</x:v>
      </x:c>
      <x:c r="E191" s="104" t="n">
        <x:f>IF(F191=0,"",D191/F191)</x:f>
        <x:v>0.3333333333333333</x:v>
      </x:c>
      <x:c r="F191" s="94" t="n">
        <x:f>SUM('データ'!IK$5:IK$7)</x:f>
        <x:v>3</x:v>
      </x:c>
      <x:c r="G191" s="94" t="str">
        <x:v>複数回答</x:v>
      </x:c>
    </x:row>
    <x:row r="192">
      <x:c r="A192" s="94" t="str">
        <x:v>問25</x:v>
      </x:c>
      <x:c r="B192" s="94" t="str">
        <x:v>安心できる居場所</x:v>
      </x:c>
      <x:c r="C192" s="94" t="str">
        <x:v>そう思う</x:v>
      </x:c>
      <x:c r="D192" s="94" t="n">
        <x:f>COUNTIF('データ'!IL$5:IL$7,"〇")</x:f>
        <x:v>2</x:v>
      </x:c>
      <x:c r="E192" s="104" t="n">
        <x:f>IF(F192=0,"",D192/F192)</x:f>
        <x:v>0.6666666666666666</x:v>
      </x:c>
      <x:c r="F192" s="94" t="n">
        <x:f>SUM('データ'!IP$5:IP$7)</x:f>
        <x:v>3</x:v>
      </x:c>
      <x:c r="G192" s="94" t="str">
        <x:v>単一回答</x:v>
      </x:c>
    </x:row>
    <x:row r="193">
      <x:c r="A193" s="94" t="str">
        <x:v>問25</x:v>
      </x:c>
      <x:c r="B193" s="94" t="str">
        <x:v>安心できる居場所</x:v>
      </x:c>
      <x:c r="C193" s="94" t="str">
        <x:v>どちらかといえばそう思う</x:v>
      </x:c>
      <x:c r="D193" s="94" t="n">
        <x:f>COUNTIF('データ'!IM$5:IM$7,"〇")</x:f>
        <x:v>1</x:v>
      </x:c>
      <x:c r="E193" s="104" t="n">
        <x:f>IF(F193=0,"",D193/F193)</x:f>
        <x:v>0.3333333333333333</x:v>
      </x:c>
      <x:c r="F193" s="94" t="n">
        <x:f>SUM('データ'!IP$5:IP$7)</x:f>
        <x:v>3</x:v>
      </x:c>
      <x:c r="G193" s="94" t="str">
        <x:v>単一回答</x:v>
      </x:c>
    </x:row>
    <x:row r="194">
      <x:c r="A194" s="94" t="str">
        <x:v>問25</x:v>
      </x:c>
      <x:c r="B194" s="94" t="str">
        <x:v>安心できる居場所</x:v>
      </x:c>
      <x:c r="C194" s="94" t="str">
        <x:v>どちらかといえばそう思わない</x:v>
      </x:c>
      <x:c r="D194" s="94" t="n">
        <x:f>COUNTIF('データ'!IN$5:IN$7,"〇")</x:f>
        <x:v>0</x:v>
      </x:c>
      <x:c r="E194" s="104" t="n">
        <x:f>IF(F194=0,"",D194/F194)</x:f>
        <x:v>0</x:v>
      </x:c>
      <x:c r="F194" s="94" t="n">
        <x:f>SUM('データ'!IP$5:IP$7)</x:f>
        <x:v>3</x:v>
      </x:c>
      <x:c r="G194" s="94" t="str">
        <x:v>単一回答</x:v>
      </x:c>
    </x:row>
    <x:row r="195">
      <x:c r="A195" s="94" t="str">
        <x:v>問25</x:v>
      </x:c>
      <x:c r="B195" s="94" t="str">
        <x:v>安心できる居場所</x:v>
      </x:c>
      <x:c r="C195" s="94" t="str">
        <x:v>そう思わない・わからない</x:v>
      </x:c>
      <x:c r="D195" s="94" t="n">
        <x:f>COUNTIF('データ'!IO$5:IO$7,"〇")</x:f>
        <x:v>0</x:v>
      </x:c>
      <x:c r="E195" s="104" t="n">
        <x:f>IF(F195=0,"",D195/F195)</x:f>
        <x:v>0</x:v>
      </x:c>
      <x:c r="F195" s="94" t="n">
        <x:f>SUM('データ'!IP$5:IP$7)</x:f>
        <x:v>3</x:v>
      </x:c>
      <x:c r="G195" s="94" t="str">
        <x:v>単一回答</x:v>
      </x:c>
    </x:row>
    <x:row r="196">
      <x:c r="A196" s="94" t="str">
        <x:v>問25</x:v>
      </x:c>
      <x:c r="B196" s="94" t="str">
        <x:v>相談できる人</x:v>
      </x:c>
      <x:c r="C196" s="94" t="str">
        <x:v>そう思う</x:v>
      </x:c>
      <x:c r="D196" s="94" t="n">
        <x:f>COUNTIF('データ'!IQ$5:IQ$7,"〇")</x:f>
        <x:v>1</x:v>
      </x:c>
      <x:c r="E196" s="104" t="n">
        <x:f>IF(F196=0,"",D196/F196)</x:f>
        <x:v>0.3333333333333333</x:v>
      </x:c>
      <x:c r="F196" s="94" t="n">
        <x:f>SUM('データ'!IU$5:IU$7)</x:f>
        <x:v>3</x:v>
      </x:c>
      <x:c r="G196" s="94" t="str">
        <x:v>単一回答</x:v>
      </x:c>
    </x:row>
    <x:row r="197">
      <x:c r="A197" s="94" t="str">
        <x:v>問25</x:v>
      </x:c>
      <x:c r="B197" s="94" t="str">
        <x:v>相談できる人</x:v>
      </x:c>
      <x:c r="C197" s="94" t="str">
        <x:v>どちらかといえばそう思う</x:v>
      </x:c>
      <x:c r="D197" s="94" t="n">
        <x:f>COUNTIF('データ'!IR$5:IR$7,"〇")</x:f>
        <x:v>2</x:v>
      </x:c>
      <x:c r="E197" s="104" t="n">
        <x:f>IF(F197=0,"",D197/F197)</x:f>
        <x:v>0.6666666666666666</x:v>
      </x:c>
      <x:c r="F197" s="94" t="n">
        <x:f>SUM('データ'!IU$5:IU$7)</x:f>
        <x:v>3</x:v>
      </x:c>
      <x:c r="G197" s="94" t="str">
        <x:v>単一回答</x:v>
      </x:c>
    </x:row>
    <x:row r="198">
      <x:c r="A198" s="94" t="str">
        <x:v>問25</x:v>
      </x:c>
      <x:c r="B198" s="94" t="str">
        <x:v>相談できる人</x:v>
      </x:c>
      <x:c r="C198" s="94" t="str">
        <x:v>どちらかといえばそう思わない</x:v>
      </x:c>
      <x:c r="D198" s="94" t="n">
        <x:f>COUNTIF('データ'!IS$5:IS$7,"〇")</x:f>
        <x:v>0</x:v>
      </x:c>
      <x:c r="E198" s="104" t="n">
        <x:f>IF(F198=0,"",D198/F198)</x:f>
        <x:v>0</x:v>
      </x:c>
      <x:c r="F198" s="94" t="n">
        <x:f>SUM('データ'!IU$5:IU$7)</x:f>
        <x:v>3</x:v>
      </x:c>
      <x:c r="G198" s="94" t="str">
        <x:v>単一回答</x:v>
      </x:c>
    </x:row>
    <x:row r="199">
      <x:c r="A199" s="94" t="str">
        <x:v>問25</x:v>
      </x:c>
      <x:c r="B199" s="94" t="str">
        <x:v>相談できる人</x:v>
      </x:c>
      <x:c r="C199" s="94" t="str">
        <x:v>そう思わない・わからない</x:v>
      </x:c>
      <x:c r="D199" s="94" t="n">
        <x:f>COUNTIF('データ'!IT$5:IT$7,"〇")</x:f>
        <x:v>0</x:v>
      </x:c>
      <x:c r="E199" s="104" t="n">
        <x:f>IF(F199=0,"",D199/F199)</x:f>
        <x:v>0</x:v>
      </x:c>
      <x:c r="F199" s="94" t="n">
        <x:f>SUM('データ'!IU$5:IU$7)</x:f>
        <x:v>3</x:v>
      </x:c>
      <x:c r="G199" s="94" t="str">
        <x:v>単一回答</x:v>
      </x:c>
    </x:row>
    <x:row r="200">
      <x:c r="A200" s="94" t="str">
        <x:v>問25</x:v>
      </x:c>
      <x:c r="B200" s="94" t="str">
        <x:v>友人・地域との関わり</x:v>
      </x:c>
      <x:c r="C200" s="94" t="str">
        <x:v>そう思う</x:v>
      </x:c>
      <x:c r="D200" s="94" t="n">
        <x:f>COUNTIF('データ'!IV$5:IV$7,"〇")</x:f>
        <x:v>1</x:v>
      </x:c>
      <x:c r="E200" s="104" t="n">
        <x:f>IF(F200=0,"",D200/F200)</x:f>
        <x:v>0.3333333333333333</x:v>
      </x:c>
      <x:c r="F200" s="94" t="n">
        <x:f>SUM('データ'!IZ$5:IZ$7)</x:f>
        <x:v>3</x:v>
      </x:c>
      <x:c r="G200" s="94" t="str">
        <x:v>単一回答</x:v>
      </x:c>
    </x:row>
    <x:row r="201">
      <x:c r="A201" s="94" t="str">
        <x:v>問25</x:v>
      </x:c>
      <x:c r="B201" s="94" t="str">
        <x:v>友人・地域との関わり</x:v>
      </x:c>
      <x:c r="C201" s="94" t="str">
        <x:v>どちらかといえばそう思う</x:v>
      </x:c>
      <x:c r="D201" s="94" t="n">
        <x:f>COUNTIF('データ'!IW$5:IW$7,"〇")</x:f>
        <x:v>2</x:v>
      </x:c>
      <x:c r="E201" s="104" t="n">
        <x:f>IF(F201=0,"",D201/F201)</x:f>
        <x:v>0.6666666666666666</x:v>
      </x:c>
      <x:c r="F201" s="94" t="n">
        <x:f>SUM('データ'!IZ$5:IZ$7)</x:f>
        <x:v>3</x:v>
      </x:c>
      <x:c r="G201" s="94" t="str">
        <x:v>単一回答</x:v>
      </x:c>
    </x:row>
    <x:row r="202">
      <x:c r="A202" s="94" t="str">
        <x:v>問25</x:v>
      </x:c>
      <x:c r="B202" s="94" t="str">
        <x:v>友人・地域との関わり</x:v>
      </x:c>
      <x:c r="C202" s="94" t="str">
        <x:v>どちらかといえばそう思わない</x:v>
      </x:c>
      <x:c r="D202" s="94" t="n">
        <x:f>COUNTIF('データ'!IX$5:IX$7,"〇")</x:f>
        <x:v>0</x:v>
      </x:c>
      <x:c r="E202" s="104" t="n">
        <x:f>IF(F202=0,"",D202/F202)</x:f>
        <x:v>0</x:v>
      </x:c>
      <x:c r="F202" s="94" t="n">
        <x:f>SUM('データ'!IZ$5:IZ$7)</x:f>
        <x:v>3</x:v>
      </x:c>
      <x:c r="G202" s="94" t="str">
        <x:v>単一回答</x:v>
      </x:c>
    </x:row>
    <x:row r="203">
      <x:c r="A203" s="94" t="str">
        <x:v>問25</x:v>
      </x:c>
      <x:c r="B203" s="94" t="str">
        <x:v>友人・地域との関わり</x:v>
      </x:c>
      <x:c r="C203" s="94" t="str">
        <x:v>そう思わない・わからない</x:v>
      </x:c>
      <x:c r="D203" s="94" t="n">
        <x:f>COUNTIF('データ'!IY$5:IY$7,"〇")</x:f>
        <x:v>0</x:v>
      </x:c>
      <x:c r="E203" s="104" t="n">
        <x:f>IF(F203=0,"",D203/F203)</x:f>
        <x:v>0</x:v>
      </x:c>
      <x:c r="F203" s="94" t="n">
        <x:f>SUM('データ'!IZ$5:IZ$7)</x:f>
        <x:v>3</x:v>
      </x:c>
      <x:c r="G203" s="94" t="str">
        <x:v>単一回答</x:v>
      </x:c>
    </x:row>
    <x:row r="204">
      <x:c r="A204" s="94" t="str">
        <x:v>問25</x:v>
      </x:c>
      <x:c r="B204" s="94" t="str">
        <x:v>意思の尊重</x:v>
      </x:c>
      <x:c r="C204" s="94" t="str">
        <x:v>そう思う</x:v>
      </x:c>
      <x:c r="D204" s="94" t="n">
        <x:f>COUNTIF('データ'!JA$5:JA$7,"〇")</x:f>
        <x:v>0</x:v>
      </x:c>
      <x:c r="E204" s="104" t="n">
        <x:f>IF(F204=0,"",D204/F204)</x:f>
        <x:v>0</x:v>
      </x:c>
      <x:c r="F204" s="94" t="n">
        <x:f>SUM('データ'!JE$5:JE$7)</x:f>
        <x:v>3</x:v>
      </x:c>
      <x:c r="G204" s="94" t="str">
        <x:v>単一回答</x:v>
      </x:c>
    </x:row>
    <x:row r="205">
      <x:c r="A205" s="94" t="str">
        <x:v>問25</x:v>
      </x:c>
      <x:c r="B205" s="94" t="str">
        <x:v>意思の尊重</x:v>
      </x:c>
      <x:c r="C205" s="94" t="str">
        <x:v>どちらかといえばそう思う</x:v>
      </x:c>
      <x:c r="D205" s="94" t="n">
        <x:f>COUNTIF('データ'!JB$5:JB$7,"〇")</x:f>
        <x:v>2</x:v>
      </x:c>
      <x:c r="E205" s="104" t="n">
        <x:f>IF(F205=0,"",D205/F205)</x:f>
        <x:v>0.6666666666666666</x:v>
      </x:c>
      <x:c r="F205" s="94" t="n">
        <x:f>SUM('データ'!JE$5:JE$7)</x:f>
        <x:v>3</x:v>
      </x:c>
      <x:c r="G205" s="94" t="str">
        <x:v>単一回答</x:v>
      </x:c>
    </x:row>
    <x:row r="206">
      <x:c r="A206" s="94" t="str">
        <x:v>問25</x:v>
      </x:c>
      <x:c r="B206" s="94" t="str">
        <x:v>意思の尊重</x:v>
      </x:c>
      <x:c r="C206" s="94" t="str">
        <x:v>どちらかといえばそう思わない</x:v>
      </x:c>
      <x:c r="D206" s="94" t="n">
        <x:f>COUNTIF('データ'!JC$5:JC$7,"〇")</x:f>
        <x:v>1</x:v>
      </x:c>
      <x:c r="E206" s="104" t="n">
        <x:f>IF(F206=0,"",D206/F206)</x:f>
        <x:v>0.3333333333333333</x:v>
      </x:c>
      <x:c r="F206" s="94" t="n">
        <x:f>SUM('データ'!JE$5:JE$7)</x:f>
        <x:v>3</x:v>
      </x:c>
      <x:c r="G206" s="94" t="str">
        <x:v>単一回答</x:v>
      </x:c>
    </x:row>
    <x:row r="207">
      <x:c r="A207" s="94" t="str">
        <x:v>問25</x:v>
      </x:c>
      <x:c r="B207" s="94" t="str">
        <x:v>意思の尊重</x:v>
      </x:c>
      <x:c r="C207" s="94" t="str">
        <x:v>そう思わない・わからない</x:v>
      </x:c>
      <x:c r="D207" s="94" t="n">
        <x:f>COUNTIF('データ'!JD$5:JD$7,"〇")</x:f>
        <x:v>0</x:v>
      </x:c>
      <x:c r="E207" s="104" t="n">
        <x:f>IF(F207=0,"",D207/F207)</x:f>
        <x:v>0</x:v>
      </x:c>
      <x:c r="F207" s="94" t="n">
        <x:f>SUM('データ'!JE$5:JE$7)</x:f>
        <x:v>3</x:v>
      </x:c>
      <x:c r="G207" s="94" t="str">
        <x:v>単一回答</x:v>
      </x:c>
    </x:row>
    <x:row r="208">
      <x:c r="A208" s="94" t="str">
        <x:v>問25</x:v>
      </x:c>
      <x:c r="B208" s="94" t="str">
        <x:v>家族の負担感</x:v>
      </x:c>
      <x:c r="C208" s="94" t="str">
        <x:v>そう思う</x:v>
      </x:c>
      <x:c r="D208" s="94" t="n">
        <x:f>COUNTIF('データ'!JF$5:JF$7,"〇")</x:f>
        <x:v>3</x:v>
      </x:c>
      <x:c r="E208" s="104" t="n">
        <x:f>IF(F208=0,"",D208/F208)</x:f>
        <x:v>1</x:v>
      </x:c>
      <x:c r="F208" s="94" t="n">
        <x:f>SUM('データ'!JJ$5:JJ$7)</x:f>
        <x:v>3</x:v>
      </x:c>
      <x:c r="G208" s="94" t="str">
        <x:v>単一回答</x:v>
      </x:c>
    </x:row>
    <x:row r="209">
      <x:c r="A209" s="94" t="str">
        <x:v>問25</x:v>
      </x:c>
      <x:c r="B209" s="94" t="str">
        <x:v>家族の負担感</x:v>
      </x:c>
      <x:c r="C209" s="94" t="str">
        <x:v>どちらかといえばそう思う</x:v>
      </x:c>
      <x:c r="D209" s="94" t="n">
        <x:f>COUNTIF('データ'!JG$5:JG$7,"〇")</x:f>
        <x:v>0</x:v>
      </x:c>
      <x:c r="E209" s="104" t="n">
        <x:f>IF(F209=0,"",D209/F209)</x:f>
        <x:v>0</x:v>
      </x:c>
      <x:c r="F209" s="94" t="n">
        <x:f>SUM('データ'!JJ$5:JJ$7)</x:f>
        <x:v>3</x:v>
      </x:c>
      <x:c r="G209" s="94" t="str">
        <x:v>単一回答</x:v>
      </x:c>
    </x:row>
    <x:row r="210">
      <x:c r="A210" s="94" t="str">
        <x:v>問25</x:v>
      </x:c>
      <x:c r="B210" s="94" t="str">
        <x:v>家族の負担感</x:v>
      </x:c>
      <x:c r="C210" s="94" t="str">
        <x:v>どちらかといえばそう思わない</x:v>
      </x:c>
      <x:c r="D210" s="94" t="n">
        <x:f>COUNTIF('データ'!JH$5:JH$7,"〇")</x:f>
        <x:v>0</x:v>
      </x:c>
      <x:c r="E210" s="104" t="n">
        <x:f>IF(F210=0,"",D210/F210)</x:f>
        <x:v>0</x:v>
      </x:c>
      <x:c r="F210" s="94" t="n">
        <x:f>SUM('データ'!JJ$5:JJ$7)</x:f>
        <x:v>3</x:v>
      </x:c>
      <x:c r="G210" s="94" t="str">
        <x:v>単一回答</x:v>
      </x:c>
    </x:row>
    <x:row r="211">
      <x:c r="A211" s="94" t="str">
        <x:v>問25</x:v>
      </x:c>
      <x:c r="B211" s="94" t="str">
        <x:v>家族の負担感</x:v>
      </x:c>
      <x:c r="C211" s="94" t="str">
        <x:v>そう思わない・わからない</x:v>
      </x:c>
      <x:c r="D211" s="94" t="n">
        <x:f>COUNTIF('データ'!JI$5:JI$7,"〇")</x:f>
        <x:v>0</x:v>
      </x:c>
      <x:c r="E211" s="104" t="n">
        <x:f>IF(F211=0,"",D211/F211)</x:f>
        <x:v>0</x:v>
      </x:c>
      <x:c r="F211" s="94" t="n">
        <x:f>SUM('データ'!JJ$5:JJ$7)</x:f>
        <x:v>3</x:v>
      </x:c>
      <x:c r="G211" s="94" t="str">
        <x:v>単一回答</x:v>
      </x:c>
    </x:row>
    <x:row r="212">
      <x:c r="A212" s="94" t="str">
        <x:v>問26</x:v>
      </x:c>
      <x:c r="B212" s="94" t="str">
        <x:v>現在必要な医療的ケアや健康面の支援はありますか（あてはまるものすべて）</x:v>
      </x:c>
      <x:c r="C212" s="94" t="str">
        <x:v>経管栄養</x:v>
      </x:c>
      <x:c r="D212" s="94" t="n">
        <x:f>COUNTIF('データ'!JK$5:JK$7,"〇")</x:f>
        <x:v>1</x:v>
      </x:c>
      <x:c r="E212" s="104" t="n">
        <x:f>IF(F212=0,"",D212/F212)</x:f>
        <x:v>0.3333333333333333</x:v>
      </x:c>
      <x:c r="F212" s="94" t="n">
        <x:f>SUM('データ'!JW$5:JW$7)</x:f>
        <x:v>3</x:v>
      </x:c>
      <x:c r="G212" s="94" t="str">
        <x:v>複数回答</x:v>
      </x:c>
    </x:row>
    <x:row r="213">
      <x:c r="A213" s="94" t="str">
        <x:v>問26</x:v>
      </x:c>
      <x:c r="B213" s="94" t="str">
        <x:v>現在必要な医療的ケアや健康面の支援はありますか（あてはまるものすべて）</x:v>
      </x:c>
      <x:c r="C213" s="94" t="str">
        <x:v>たんの吸引</x:v>
      </x:c>
      <x:c r="D213" s="94" t="n">
        <x:f>COUNTIF('データ'!JL$5:JL$7,"〇")</x:f>
        <x:v>0</x:v>
      </x:c>
      <x:c r="E213" s="104" t="n">
        <x:f>IF(F213=0,"",D213/F213)</x:f>
        <x:v>0</x:v>
      </x:c>
      <x:c r="F213" s="94" t="n">
        <x:f>SUM('データ'!JW$5:JW$7)</x:f>
        <x:v>3</x:v>
      </x:c>
      <x:c r="G213" s="94" t="str">
        <x:v>複数回答</x:v>
      </x:c>
    </x:row>
    <x:row r="214">
      <x:c r="A214" s="94" t="str">
        <x:v>問26</x:v>
      </x:c>
      <x:c r="B214" s="94" t="str">
        <x:v>現在必要な医療的ケアや健康面の支援はありますか（あてはまるものすべて）</x:v>
      </x:c>
      <x:c r="C214" s="94" t="str">
        <x:v>酸素療法</x:v>
      </x:c>
      <x:c r="D214" s="94" t="n">
        <x:f>COUNTIF('データ'!JM$5:JM$7,"〇")</x:f>
        <x:v>1</x:v>
      </x:c>
      <x:c r="E214" s="104" t="n">
        <x:f>IF(F214=0,"",D214/F214)</x:f>
        <x:v>0.3333333333333333</x:v>
      </x:c>
      <x:c r="F214" s="94" t="n">
        <x:f>SUM('データ'!JW$5:JW$7)</x:f>
        <x:v>3</x:v>
      </x:c>
      <x:c r="G214" s="94" t="str">
        <x:v>複数回答</x:v>
      </x:c>
    </x:row>
    <x:row r="215">
      <x:c r="A215" s="94" t="str">
        <x:v>問26</x:v>
      </x:c>
      <x:c r="B215" s="94" t="str">
        <x:v>現在必要な医療的ケアや健康面の支援はありますか（あてはまるものすべて）</x:v>
      </x:c>
      <x:c r="C215" s="94" t="str">
        <x:v>人工呼吸器の管理</x:v>
      </x:c>
      <x:c r="D215" s="94" t="n">
        <x:f>COUNTIF('データ'!JN$5:JN$7,"〇")</x:f>
        <x:v>0</x:v>
      </x:c>
      <x:c r="E215" s="104" t="n">
        <x:f>IF(F215=0,"",D215/F215)</x:f>
        <x:v>0</x:v>
      </x:c>
      <x:c r="F215" s="94" t="n">
        <x:f>SUM('データ'!JW$5:JW$7)</x:f>
        <x:v>3</x:v>
      </x:c>
      <x:c r="G215" s="94" t="str">
        <x:v>複数回答</x:v>
      </x:c>
    </x:row>
    <x:row r="216">
      <x:c r="A216" s="94" t="str">
        <x:v>問26</x:v>
      </x:c>
      <x:c r="B216" s="94" t="str">
        <x:v>現在必要な医療的ケアや健康面の支援はありますか（あてはまるものすべて）</x:v>
      </x:c>
      <x:c r="C216" s="94" t="str">
        <x:v>気管切開部の管理</x:v>
      </x:c>
      <x:c r="D216" s="94" t="n">
        <x:f>COUNTIF('データ'!JO$5:JO$7,"〇")</x:f>
        <x:v>0</x:v>
      </x:c>
      <x:c r="E216" s="104" t="n">
        <x:f>IF(F216=0,"",D216/F216)</x:f>
        <x:v>0</x:v>
      </x:c>
      <x:c r="F216" s="94" t="n">
        <x:f>SUM('データ'!JW$5:JW$7)</x:f>
        <x:v>3</x:v>
      </x:c>
      <x:c r="G216" s="94" t="str">
        <x:v>複数回答</x:v>
      </x:c>
    </x:row>
    <x:row r="217">
      <x:c r="A217" s="94" t="str">
        <x:v>問26</x:v>
      </x:c>
      <x:c r="B217" s="94" t="str">
        <x:v>現在必要な医療的ケアや健康面の支援はありますか（あてはまるものすべて）</x:v>
      </x:c>
      <x:c r="C217" s="94" t="str">
        <x:v>導尿</x:v>
      </x:c>
      <x:c r="D217" s="94" t="n">
        <x:f>COUNTIF('データ'!JP$5:JP$7,"〇")</x:f>
        <x:v>0</x:v>
      </x:c>
      <x:c r="E217" s="104" t="n">
        <x:f>IF(F217=0,"",D217/F217)</x:f>
        <x:v>0</x:v>
      </x:c>
      <x:c r="F217" s="94" t="n">
        <x:f>SUM('データ'!JW$5:JW$7)</x:f>
        <x:v>3</x:v>
      </x:c>
      <x:c r="G217" s="94" t="str">
        <x:v>複数回答</x:v>
      </x:c>
    </x:row>
    <x:row r="218">
      <x:c r="A218" s="94" t="str">
        <x:v>問26</x:v>
      </x:c>
      <x:c r="B218" s="94" t="str">
        <x:v>現在必要な医療的ケアや健康面の支援はありますか（あてはまるものすべて）</x:v>
      </x:c>
      <x:c r="C218" s="94" t="str">
        <x:v>インスリン注射・血糖管理</x:v>
      </x:c>
      <x:c r="D218" s="94" t="n">
        <x:f>COUNTIF('データ'!JQ$5:JQ$7,"〇")</x:f>
        <x:v>0</x:v>
      </x:c>
      <x:c r="E218" s="104" t="n">
        <x:f>IF(F218=0,"",D218/F218)</x:f>
        <x:v>0</x:v>
      </x:c>
      <x:c r="F218" s="94" t="n">
        <x:f>SUM('データ'!JW$5:JW$7)</x:f>
        <x:v>3</x:v>
      </x:c>
      <x:c r="G218" s="94" t="str">
        <x:v>複数回答</x:v>
      </x:c>
    </x:row>
    <x:row r="219">
      <x:c r="A219" s="94" t="str">
        <x:v>問26</x:v>
      </x:c>
      <x:c r="B219" s="94" t="str">
        <x:v>現在必要な医療的ケアや健康面の支援はありますか（あてはまるものすべて）</x:v>
      </x:c>
      <x:c r="C219" s="94" t="str">
        <x:v>服薬管理</x:v>
      </x:c>
      <x:c r="D219" s="94" t="n">
        <x:f>COUNTIF('データ'!JR$5:JR$7,"〇")</x:f>
        <x:v>1</x:v>
      </x:c>
      <x:c r="E219" s="104" t="n">
        <x:f>IF(F219=0,"",D219/F219)</x:f>
        <x:v>0.3333333333333333</x:v>
      </x:c>
      <x:c r="F219" s="94" t="n">
        <x:f>SUM('データ'!JW$5:JW$7)</x:f>
        <x:v>3</x:v>
      </x:c>
      <x:c r="G219" s="94" t="str">
        <x:v>複数回答</x:v>
      </x:c>
    </x:row>
    <x:row r="220">
      <x:c r="A220" s="94" t="str">
        <x:v>問26</x:v>
      </x:c>
      <x:c r="B220" s="94" t="str">
        <x:v>現在必要な医療的ケアや健康面の支援はありますか（あてはまるものすべて）</x:v>
      </x:c>
      <x:c r="C220" s="94" t="str">
        <x:v>発作時の対応</x:v>
      </x:c>
      <x:c r="D220" s="94" t="n">
        <x:f>COUNTIF('データ'!JS$5:JS$7,"〇")</x:f>
        <x:v>2</x:v>
      </x:c>
      <x:c r="E220" s="104" t="n">
        <x:f>IF(F220=0,"",D220/F220)</x:f>
        <x:v>0.6666666666666666</x:v>
      </x:c>
      <x:c r="F220" s="94" t="n">
        <x:f>SUM('データ'!JW$5:JW$7)</x:f>
        <x:v>3</x:v>
      </x:c>
      <x:c r="G220" s="94" t="str">
        <x:v>複数回答</x:v>
      </x:c>
    </x:row>
    <x:row r="221">
      <x:c r="A221" s="94" t="str">
        <x:v>問26</x:v>
      </x:c>
      <x:c r="B221" s="94" t="str">
        <x:v>現在必要な医療的ケアや健康面の支援はありますか（あてはまるものすべて）</x:v>
      </x:c>
      <x:c r="C221" s="94" t="str">
        <x:v>医療的ケアは必要ない</x:v>
      </x:c>
      <x:c r="D221" s="94" t="n">
        <x:f>COUNTIF('データ'!JT$5:JT$7,"〇")</x:f>
        <x:v>1</x:v>
      </x:c>
      <x:c r="E221" s="104" t="n">
        <x:f>IF(F221=0,"",D221/F221)</x:f>
        <x:v>0.3333333333333333</x:v>
      </x:c>
      <x:c r="F221" s="94" t="n">
        <x:f>SUM('データ'!JW$5:JW$7)</x:f>
        <x:v>3</x:v>
      </x:c>
      <x:c r="G221" s="94" t="str">
        <x:v>複数回答</x:v>
      </x:c>
    </x:row>
    <x:row r="222">
      <x:c r="A222" s="94" t="str">
        <x:v>問26</x:v>
      </x:c>
      <x:c r="B222" s="94" t="str">
        <x:v>現在必要な医療的ケアや健康面の支援はありますか（あてはまるものすべて）</x:v>
      </x:c>
      <x:c r="C222" s="94" t="str">
        <x:v>その他の医療的ケア</x:v>
      </x:c>
      <x:c r="D222" s="94" t="n">
        <x:f>COUNTIF('データ'!JU$5:JU$7,"〇")</x:f>
        <x:v>0</x:v>
      </x:c>
      <x:c r="E222" s="104" t="n">
        <x:f>IF(F222=0,"",D222/F222)</x:f>
        <x:v>0</x:v>
      </x:c>
      <x:c r="F222" s="94" t="n">
        <x:f>SUM('データ'!JW$5:JW$7)</x:f>
        <x:v>3</x:v>
      </x:c>
      <x:c r="G222" s="94" t="str">
        <x:v>複数回答</x:v>
      </x:c>
    </x:row>
    <x:row r="223">
      <x:c r="A223" s="94" t="str">
        <x:v>問27</x:v>
      </x:c>
      <x:c r="B223" s="94" t="str">
        <x:v>現在利用しているサービスを選んでください（あてはまるものすべて）</x:v>
      </x:c>
      <x:c r="C223" s="94" t="str">
        <x:v>児童発達支援</x:v>
      </x:c>
      <x:c r="D223" s="94" t="n">
        <x:f>COUNTIF('データ'!JX$5:JX$7,"〇")</x:f>
        <x:v>0</x:v>
      </x:c>
      <x:c r="E223" s="104" t="n">
        <x:f>IF(F223=0,"",D223/F223)</x:f>
        <x:v>0</x:v>
      </x:c>
      <x:c r="F223" s="94" t="n">
        <x:f>SUM('データ'!KJ$5:KJ$7)</x:f>
        <x:v>3</x:v>
      </x:c>
      <x:c r="G223" s="94" t="str">
        <x:v>複数回答</x:v>
      </x:c>
    </x:row>
    <x:row r="224">
      <x:c r="A224" s="94" t="str">
        <x:v>問27</x:v>
      </x:c>
      <x:c r="B224" s="94" t="str">
        <x:v>現在利用しているサービスを選んでください（あてはまるものすべて）</x:v>
      </x:c>
      <x:c r="C224" s="94" t="str">
        <x:v>放課後等デイサービス</x:v>
      </x:c>
      <x:c r="D224" s="94" t="n">
        <x:f>COUNTIF('データ'!JY$5:JY$7,"〇")</x:f>
        <x:v>2</x:v>
      </x:c>
      <x:c r="E224" s="104" t="n">
        <x:f>IF(F224=0,"",D224/F224)</x:f>
        <x:v>0.6666666666666666</x:v>
      </x:c>
      <x:c r="F224" s="94" t="n">
        <x:f>SUM('データ'!KJ$5:KJ$7)</x:f>
        <x:v>3</x:v>
      </x:c>
      <x:c r="G224" s="94" t="str">
        <x:v>複数回答</x:v>
      </x:c>
    </x:row>
    <x:row r="225">
      <x:c r="A225" s="94" t="str">
        <x:v>問27</x:v>
      </x:c>
      <x:c r="B225" s="94" t="str">
        <x:v>現在利用しているサービスを選んでください（あてはまるものすべて）</x:v>
      </x:c>
      <x:c r="C225" s="94" t="str">
        <x:v>保育所等訪問支援</x:v>
      </x:c>
      <x:c r="D225" s="94" t="n">
        <x:f>COUNTIF('データ'!JZ$5:JZ$7,"〇")</x:f>
        <x:v>0</x:v>
      </x:c>
      <x:c r="E225" s="104" t="n">
        <x:f>IF(F225=0,"",D225/F225)</x:f>
        <x:v>0</x:v>
      </x:c>
      <x:c r="F225" s="94" t="n">
        <x:f>SUM('データ'!KJ$5:KJ$7)</x:f>
        <x:v>3</x:v>
      </x:c>
      <x:c r="G225" s="94" t="str">
        <x:v>複数回答</x:v>
      </x:c>
    </x:row>
    <x:row r="226">
      <x:c r="A226" s="94" t="str">
        <x:v>問27</x:v>
      </x:c>
      <x:c r="B226" s="94" t="str">
        <x:v>現在利用しているサービスを選んでください（あてはまるものすべて）</x:v>
      </x:c>
      <x:c r="C226" s="94" t="str">
        <x:v>居宅訪問型児童発達支援</x:v>
      </x:c>
      <x:c r="D226" s="94" t="n">
        <x:f>COUNTIF('データ'!KA$5:KA$7,"〇")</x:f>
        <x:v>0</x:v>
      </x:c>
      <x:c r="E226" s="104" t="n">
        <x:f>IF(F226=0,"",D226/F226)</x:f>
        <x:v>0</x:v>
      </x:c>
      <x:c r="F226" s="94" t="n">
        <x:f>SUM('データ'!KJ$5:KJ$7)</x:f>
        <x:v>3</x:v>
      </x:c>
      <x:c r="G226" s="94" t="str">
        <x:v>複数回答</x:v>
      </x:c>
    </x:row>
    <x:row r="227">
      <x:c r="A227" s="94" t="str">
        <x:v>問27</x:v>
      </x:c>
      <x:c r="B227" s="94" t="str">
        <x:v>現在利用しているサービスを選んでください（あてはまるものすべて）</x:v>
      </x:c>
      <x:c r="C227" s="94" t="str">
        <x:v>障がい児相談支援</x:v>
      </x:c>
      <x:c r="D227" s="94" t="n">
        <x:f>COUNTIF('データ'!KB$5:KB$7,"〇")</x:f>
        <x:v>1</x:v>
      </x:c>
      <x:c r="E227" s="104" t="n">
        <x:f>IF(F227=0,"",D227/F227)</x:f>
        <x:v>0.3333333333333333</x:v>
      </x:c>
      <x:c r="F227" s="94" t="n">
        <x:f>SUM('データ'!KJ$5:KJ$7)</x:f>
        <x:v>3</x:v>
      </x:c>
      <x:c r="G227" s="94" t="str">
        <x:v>複数回答</x:v>
      </x:c>
    </x:row>
    <x:row r="228">
      <x:c r="A228" s="94" t="str">
        <x:v>問27</x:v>
      </x:c>
      <x:c r="B228" s="94" t="str">
        <x:v>現在利用しているサービスを選んでください（あてはまるものすべて）</x:v>
      </x:c>
      <x:c r="C228" s="94" t="str">
        <x:v>短期入所（ショートステイ）</x:v>
      </x:c>
      <x:c r="D228" s="94" t="n">
        <x:f>COUNTIF('データ'!KC$5:KC$7,"〇")</x:f>
        <x:v>1</x:v>
      </x:c>
      <x:c r="E228" s="104" t="n">
        <x:f>IF(F228=0,"",D228/F228)</x:f>
        <x:v>0.3333333333333333</x:v>
      </x:c>
      <x:c r="F228" s="94" t="n">
        <x:f>SUM('データ'!KJ$5:KJ$7)</x:f>
        <x:v>3</x:v>
      </x:c>
      <x:c r="G228" s="94" t="str">
        <x:v>複数回答</x:v>
      </x:c>
    </x:row>
    <x:row r="229">
      <x:c r="A229" s="94" t="str">
        <x:v>問27</x:v>
      </x:c>
      <x:c r="B229" s="94" t="str">
        <x:v>現在利用しているサービスを選んでください（あてはまるものすべて）</x:v>
      </x:c>
      <x:c r="C229" s="94" t="str">
        <x:v>日中一時支援</x:v>
      </x:c>
      <x:c r="D229" s="94" t="n">
        <x:f>COUNTIF('データ'!KD$5:KD$7,"〇")</x:f>
        <x:v>0</x:v>
      </x:c>
      <x:c r="E229" s="104" t="n">
        <x:f>IF(F229=0,"",D229/F229)</x:f>
        <x:v>0</x:v>
      </x:c>
      <x:c r="F229" s="94" t="n">
        <x:f>SUM('データ'!KJ$5:KJ$7)</x:f>
        <x:v>3</x:v>
      </x:c>
      <x:c r="G229" s="94" t="str">
        <x:v>複数回答</x:v>
      </x:c>
    </x:row>
    <x:row r="230">
      <x:c r="A230" s="94" t="str">
        <x:v>問27</x:v>
      </x:c>
      <x:c r="B230" s="94" t="str">
        <x:v>現在利用しているサービスを選んでください（あてはまるものすべて）</x:v>
      </x:c>
      <x:c r="C230" s="94" t="str">
        <x:v>移動支援</x:v>
      </x:c>
      <x:c r="D230" s="94" t="n">
        <x:f>COUNTIF('データ'!KE$5:KE$7,"〇")</x:f>
        <x:v>0</x:v>
      </x:c>
      <x:c r="E230" s="104" t="n">
        <x:f>IF(F230=0,"",D230/F230)</x:f>
        <x:v>0</x:v>
      </x:c>
      <x:c r="F230" s="94" t="n">
        <x:f>SUM('データ'!KJ$5:KJ$7)</x:f>
        <x:v>3</x:v>
      </x:c>
      <x:c r="G230" s="94" t="str">
        <x:v>複数回答</x:v>
      </x:c>
    </x:row>
    <x:row r="231">
      <x:c r="A231" s="94" t="str">
        <x:v>問27</x:v>
      </x:c>
      <x:c r="B231" s="94" t="str">
        <x:v>現在利用しているサービスを選んでください（あてはまるものすべて）</x:v>
      </x:c>
      <x:c r="C231" s="94" t="str">
        <x:v>日常生活用具の給付</x:v>
      </x:c>
      <x:c r="D231" s="94" t="n">
        <x:f>COUNTIF('データ'!KF$5:KF$7,"〇")</x:f>
        <x:v>0</x:v>
      </x:c>
      <x:c r="E231" s="104" t="n">
        <x:f>IF(F231=0,"",D231/F231)</x:f>
        <x:v>0</x:v>
      </x:c>
      <x:c r="F231" s="94" t="n">
        <x:f>SUM('データ'!KJ$5:KJ$7)</x:f>
        <x:v>3</x:v>
      </x:c>
      <x:c r="G231" s="94" t="str">
        <x:v>複数回答</x:v>
      </x:c>
    </x:row>
    <x:row r="232">
      <x:c r="A232" s="94" t="str">
        <x:v>問27</x:v>
      </x:c>
      <x:c r="B232" s="94" t="str">
        <x:v>現在利用しているサービスを選んでください（あてはまるものすべて）</x:v>
      </x:c>
      <x:c r="C232" s="94" t="str">
        <x:v>現在利用しているサービスは特にない</x:v>
      </x:c>
      <x:c r="D232" s="94" t="n">
        <x:f>COUNTIF('データ'!KG$5:KG$7,"〇")</x:f>
        <x:v>1</x:v>
      </x:c>
      <x:c r="E232" s="104" t="n">
        <x:f>IF(F232=0,"",D232/F232)</x:f>
        <x:v>0.3333333333333333</x:v>
      </x:c>
      <x:c r="F232" s="94" t="n">
        <x:f>SUM('データ'!KJ$5:KJ$7)</x:f>
        <x:v>3</x:v>
      </x:c>
      <x:c r="G232" s="94" t="str">
        <x:v>複数回答</x:v>
      </x:c>
    </x:row>
    <x:row r="233">
      <x:c r="A233" s="94" t="str">
        <x:v>問27</x:v>
      </x:c>
      <x:c r="B233" s="94" t="str">
        <x:v>現在利用しているサービスを選んでください（あてはまるものすべて）</x:v>
      </x:c>
      <x:c r="C233" s="94" t="str">
        <x:v>その他</x:v>
      </x:c>
      <x:c r="D233" s="94" t="n">
        <x:f>COUNTIF('データ'!KH$5:KH$7,"〇")</x:f>
        <x:v>0</x:v>
      </x:c>
      <x:c r="E233" s="104" t="n">
        <x:f>IF(F233=0,"",D233/F233)</x:f>
        <x:v>0</x:v>
      </x:c>
      <x:c r="F233" s="94" t="n">
        <x:f>SUM('データ'!KJ$5:KJ$7)</x:f>
        <x:v>3</x:v>
      </x:c>
      <x:c r="G233" s="94" t="str">
        <x:v>複数回答</x:v>
      </x:c>
    </x:row>
    <x:row r="234">
      <x:c r="A234" s="94" t="str">
        <x:v>問28</x:v>
      </x:c>
      <x:c r="B234" s="94" t="str">
        <x:v>内容をよく知らないサービスがあれば選んでください（あてはまるものすべて）</x:v>
      </x:c>
      <x:c r="C234" s="94" t="str">
        <x:v>児童発達支援</x:v>
      </x:c>
      <x:c r="D234" s="94" t="n">
        <x:f>COUNTIF('データ'!KK$5:KK$7,"〇")</x:f>
        <x:v>1</x:v>
      </x:c>
      <x:c r="E234" s="104" t="n">
        <x:f>IF(F234=0,"",D234/F234)</x:f>
        <x:v>0.3333333333333333</x:v>
      </x:c>
      <x:c r="F234" s="94" t="n">
        <x:f>SUM('データ'!KU$5:KU$7)</x:f>
        <x:v>3</x:v>
      </x:c>
      <x:c r="G234" s="94" t="str">
        <x:v>複数回答</x:v>
      </x:c>
    </x:row>
    <x:row r="235">
      <x:c r="A235" s="94" t="str">
        <x:v>問28</x:v>
      </x:c>
      <x:c r="B235" s="94" t="str">
        <x:v>内容をよく知らないサービスがあれば選んでください（あてはまるものすべて）</x:v>
      </x:c>
      <x:c r="C235" s="94" t="str">
        <x:v>放課後等デイサービス</x:v>
      </x:c>
      <x:c r="D235" s="94" t="n">
        <x:f>COUNTIF('データ'!KL$5:KL$7,"〇")</x:f>
        <x:v>1</x:v>
      </x:c>
      <x:c r="E235" s="104" t="n">
        <x:f>IF(F235=0,"",D235/F235)</x:f>
        <x:v>0.3333333333333333</x:v>
      </x:c>
      <x:c r="F235" s="94" t="n">
        <x:f>SUM('データ'!KU$5:KU$7)</x:f>
        <x:v>3</x:v>
      </x:c>
      <x:c r="G235" s="94" t="str">
        <x:v>複数回答</x:v>
      </x:c>
    </x:row>
    <x:row r="236">
      <x:c r="A236" s="94" t="str">
        <x:v>問28</x:v>
      </x:c>
      <x:c r="B236" s="94" t="str">
        <x:v>内容をよく知らないサービスがあれば選んでください（あてはまるものすべて）</x:v>
      </x:c>
      <x:c r="C236" s="94" t="str">
        <x:v>保育所等訪問支援</x:v>
      </x:c>
      <x:c r="D236" s="94" t="n">
        <x:f>COUNTIF('データ'!KM$5:KM$7,"〇")</x:f>
        <x:v>1</x:v>
      </x:c>
      <x:c r="E236" s="104" t="n">
        <x:f>IF(F236=0,"",D236/F236)</x:f>
        <x:v>0.3333333333333333</x:v>
      </x:c>
      <x:c r="F236" s="94" t="n">
        <x:f>SUM('データ'!KU$5:KU$7)</x:f>
        <x:v>3</x:v>
      </x:c>
      <x:c r="G236" s="94" t="str">
        <x:v>複数回答</x:v>
      </x:c>
    </x:row>
    <x:row r="237">
      <x:c r="A237" s="94" t="str">
        <x:v>問28</x:v>
      </x:c>
      <x:c r="B237" s="94" t="str">
        <x:v>内容をよく知らないサービスがあれば選んでください（あてはまるものすべて）</x:v>
      </x:c>
      <x:c r="C237" s="94" t="str">
        <x:v>居宅訪問型児童発達支援</x:v>
      </x:c>
      <x:c r="D237" s="94" t="n">
        <x:f>COUNTIF('データ'!KN$5:KN$7,"〇")</x:f>
        <x:v>2</x:v>
      </x:c>
      <x:c r="E237" s="104" t="n">
        <x:f>IF(F237=0,"",D237/F237)</x:f>
        <x:v>0.6666666666666666</x:v>
      </x:c>
      <x:c r="F237" s="94" t="n">
        <x:f>SUM('データ'!KU$5:KU$7)</x:f>
        <x:v>3</x:v>
      </x:c>
      <x:c r="G237" s="94" t="str">
        <x:v>複数回答</x:v>
      </x:c>
    </x:row>
    <x:row r="238">
      <x:c r="A238" s="94" t="str">
        <x:v>問28</x:v>
      </x:c>
      <x:c r="B238" s="94" t="str">
        <x:v>内容をよく知らないサービスがあれば選んでください（あてはまるものすべて）</x:v>
      </x:c>
      <x:c r="C238" s="94" t="str">
        <x:v>障がい児相談支援</x:v>
      </x:c>
      <x:c r="D238" s="94" t="n">
        <x:f>COUNTIF('データ'!KO$5:KO$7,"〇")</x:f>
        <x:v>1</x:v>
      </x:c>
      <x:c r="E238" s="104" t="n">
        <x:f>IF(F238=0,"",D238/F238)</x:f>
        <x:v>0.3333333333333333</x:v>
      </x:c>
      <x:c r="F238" s="94" t="n">
        <x:f>SUM('データ'!KU$5:KU$7)</x:f>
        <x:v>3</x:v>
      </x:c>
      <x:c r="G238" s="94" t="str">
        <x:v>複数回答</x:v>
      </x:c>
    </x:row>
    <x:row r="239">
      <x:c r="A239" s="94" t="str">
        <x:v>問28</x:v>
      </x:c>
      <x:c r="B239" s="94" t="str">
        <x:v>内容をよく知らないサービスがあれば選んでください（あてはまるものすべて）</x:v>
      </x:c>
      <x:c r="C239" s="94" t="str">
        <x:v>短期入所（ショートステイ）</x:v>
      </x:c>
      <x:c r="D239" s="94" t="n">
        <x:f>COUNTIF('データ'!KP$5:KP$7,"〇")</x:f>
        <x:v>1</x:v>
      </x:c>
      <x:c r="E239" s="104" t="n">
        <x:f>IF(F239=0,"",D239/F239)</x:f>
        <x:v>0.3333333333333333</x:v>
      </x:c>
      <x:c r="F239" s="94" t="n">
        <x:f>SUM('データ'!KU$5:KU$7)</x:f>
        <x:v>3</x:v>
      </x:c>
      <x:c r="G239" s="94" t="str">
        <x:v>複数回答</x:v>
      </x:c>
    </x:row>
    <x:row r="240">
      <x:c r="A240" s="94" t="str">
        <x:v>問28</x:v>
      </x:c>
      <x:c r="B240" s="94" t="str">
        <x:v>内容をよく知らないサービスがあれば選んでください（あてはまるものすべて）</x:v>
      </x:c>
      <x:c r="C240" s="94" t="str">
        <x:v>日中一時支援</x:v>
      </x:c>
      <x:c r="D240" s="94" t="n">
        <x:f>COUNTIF('データ'!KQ$5:KQ$7,"〇")</x:f>
        <x:v>1</x:v>
      </x:c>
      <x:c r="E240" s="104" t="n">
        <x:f>IF(F240=0,"",D240/F240)</x:f>
        <x:v>0.3333333333333333</x:v>
      </x:c>
      <x:c r="F240" s="94" t="n">
        <x:f>SUM('データ'!KU$5:KU$7)</x:f>
        <x:v>3</x:v>
      </x:c>
      <x:c r="G240" s="94" t="str">
        <x:v>複数回答</x:v>
      </x:c>
    </x:row>
    <x:row r="241">
      <x:c r="A241" s="94" t="str">
        <x:v>問28</x:v>
      </x:c>
      <x:c r="B241" s="94" t="str">
        <x:v>内容をよく知らないサービスがあれば選んでください（あてはまるものすべて）</x:v>
      </x:c>
      <x:c r="C241" s="94" t="str">
        <x:v>移動支援</x:v>
      </x:c>
      <x:c r="D241" s="94" t="n">
        <x:f>COUNTIF('データ'!KR$5:KR$7,"〇")</x:f>
        <x:v>3</x:v>
      </x:c>
      <x:c r="E241" s="104" t="n">
        <x:f>IF(F241=0,"",D241/F241)</x:f>
        <x:v>1</x:v>
      </x:c>
      <x:c r="F241" s="94" t="n">
        <x:f>SUM('データ'!KU$5:KU$7)</x:f>
        <x:v>3</x:v>
      </x:c>
      <x:c r="G241" s="94" t="str">
        <x:v>複数回答</x:v>
      </x:c>
    </x:row>
    <x:row r="242">
      <x:c r="A242" s="94" t="str">
        <x:v>問28</x:v>
      </x:c>
      <x:c r="B242" s="94" t="str">
        <x:v>内容をよく知らないサービスがあれば選んでください（あてはまるものすべて）</x:v>
      </x:c>
      <x:c r="C242" s="94" t="str">
        <x:v>日常生活用具の給付</x:v>
      </x:c>
      <x:c r="D242" s="94" t="n">
        <x:f>COUNTIF('データ'!KS$5:KS$7,"〇")</x:f>
        <x:v>3</x:v>
      </x:c>
      <x:c r="E242" s="104" t="n">
        <x:f>IF(F242=0,"",D242/F242)</x:f>
        <x:v>1</x:v>
      </x:c>
      <x:c r="F242" s="94" t="n">
        <x:f>SUM('データ'!KU$5:KU$7)</x:f>
        <x:v>3</x:v>
      </x:c>
      <x:c r="G242" s="94" t="str">
        <x:v>複数回答</x:v>
      </x:c>
    </x:row>
    <x:row r="243">
      <x:c r="A243" s="94" t="str">
        <x:v>問28</x:v>
      </x:c>
      <x:c r="B243" s="94" t="str">
        <x:v>内容をよく知らないサービスがあれば選んでください（あてはまるものすべて）</x:v>
      </x:c>
      <x:c r="C243" s="94" t="str">
        <x:v>知っている</x:v>
      </x:c>
      <x:c r="D243" s="94" t="n">
        <x:f>COUNTIF('データ'!KT$5:KT$7,"〇")</x:f>
        <x:v>0</x:v>
      </x:c>
      <x:c r="E243" s="104" t="n">
        <x:f>IF(F243=0,"",D243/F243)</x:f>
        <x:v>0</x:v>
      </x:c>
      <x:c r="F243" s="94" t="n">
        <x:f>SUM('データ'!KU$5:KU$7)</x:f>
        <x:v>3</x:v>
      </x:c>
      <x:c r="G243" s="94" t="str">
        <x:v>複数回答</x:v>
      </x:c>
    </x:row>
    <x:row r="244">
      <x:c r="A244" s="94" t="str">
        <x:v>問29</x:v>
      </x:c>
      <x:c r="B244" s="94" t="str">
        <x:v>今後3年間で利用したい、または利用を続けたいサービスを選んでください（あてはまるものすべて）</x:v>
      </x:c>
      <x:c r="C244" s="94" t="str">
        <x:v>児童発達支援</x:v>
      </x:c>
      <x:c r="D244" s="94" t="n">
        <x:f>COUNTIF('データ'!KV$5:KV$7,"〇")</x:f>
        <x:v>0</x:v>
      </x:c>
      <x:c r="E244" s="104" t="n">
        <x:f>IF(F244=0,"",D244/F244)</x:f>
        <x:v>0</x:v>
      </x:c>
      <x:c r="F244" s="94" t="n">
        <x:f>SUM('データ'!LH$5:LH$7)</x:f>
        <x:v>3</x:v>
      </x:c>
      <x:c r="G244" s="94" t="str">
        <x:v>複数回答</x:v>
      </x:c>
    </x:row>
    <x:row r="245">
      <x:c r="A245" s="94" t="str">
        <x:v>問29</x:v>
      </x:c>
      <x:c r="B245" s="94" t="str">
        <x:v>今後3年間で利用したい、または利用を続けたいサービスを選んでください（あてはまるものすべて）</x:v>
      </x:c>
      <x:c r="C245" s="94" t="str">
        <x:v>放課後等デイサービス</x:v>
      </x:c>
      <x:c r="D245" s="94" t="n">
        <x:f>COUNTIF('データ'!KW$5:KW$7,"〇")</x:f>
        <x:v>1</x:v>
      </x:c>
      <x:c r="E245" s="104" t="n">
        <x:f>IF(F245=0,"",D245/F245)</x:f>
        <x:v>0.3333333333333333</x:v>
      </x:c>
      <x:c r="F245" s="94" t="n">
        <x:f>SUM('データ'!LH$5:LH$7)</x:f>
        <x:v>3</x:v>
      </x:c>
      <x:c r="G245" s="94" t="str">
        <x:v>複数回答</x:v>
      </x:c>
    </x:row>
    <x:row r="246">
      <x:c r="A246" s="94" t="str">
        <x:v>問29</x:v>
      </x:c>
      <x:c r="B246" s="94" t="str">
        <x:v>今後3年間で利用したい、または利用を続けたいサービスを選んでください（あてはまるものすべて）</x:v>
      </x:c>
      <x:c r="C246" s="94" t="str">
        <x:v>保育所等訪問支援</x:v>
      </x:c>
      <x:c r="D246" s="94" t="n">
        <x:f>COUNTIF('データ'!KX$5:KX$7,"〇")</x:f>
        <x:v>0</x:v>
      </x:c>
      <x:c r="E246" s="104" t="n">
        <x:f>IF(F246=0,"",D246/F246)</x:f>
        <x:v>0</x:v>
      </x:c>
      <x:c r="F246" s="94" t="n">
        <x:f>SUM('データ'!LH$5:LH$7)</x:f>
        <x:v>3</x:v>
      </x:c>
      <x:c r="G246" s="94" t="str">
        <x:v>複数回答</x:v>
      </x:c>
    </x:row>
    <x:row r="247">
      <x:c r="A247" s="94" t="str">
        <x:v>問29</x:v>
      </x:c>
      <x:c r="B247" s="94" t="str">
        <x:v>今後3年間で利用したい、または利用を続けたいサービスを選んでください（あてはまるものすべて）</x:v>
      </x:c>
      <x:c r="C247" s="94" t="str">
        <x:v>居宅訪問型児童発達支援</x:v>
      </x:c>
      <x:c r="D247" s="94" t="n">
        <x:f>COUNTIF('データ'!KY$5:KY$7,"〇")</x:f>
        <x:v>0</x:v>
      </x:c>
      <x:c r="E247" s="104" t="n">
        <x:f>IF(F247=0,"",D247/F247)</x:f>
        <x:v>0</x:v>
      </x:c>
      <x:c r="F247" s="94" t="n">
        <x:f>SUM('データ'!LH$5:LH$7)</x:f>
        <x:v>3</x:v>
      </x:c>
      <x:c r="G247" s="94" t="str">
        <x:v>複数回答</x:v>
      </x:c>
    </x:row>
    <x:row r="248">
      <x:c r="A248" s="94" t="str">
        <x:v>問29</x:v>
      </x:c>
      <x:c r="B248" s="94" t="str">
        <x:v>今後3年間で利用したい、または利用を続けたいサービスを選んでください（あてはまるものすべて）</x:v>
      </x:c>
      <x:c r="C248" s="94" t="str">
        <x:v>障がい児相談支援</x:v>
      </x:c>
      <x:c r="D248" s="94" t="n">
        <x:f>COUNTIF('データ'!KZ$5:KZ$7,"〇")</x:f>
        <x:v>2</x:v>
      </x:c>
      <x:c r="E248" s="104" t="n">
        <x:f>IF(F248=0,"",D248/F248)</x:f>
        <x:v>0.6666666666666666</x:v>
      </x:c>
      <x:c r="F248" s="94" t="n">
        <x:f>SUM('データ'!LH$5:LH$7)</x:f>
        <x:v>3</x:v>
      </x:c>
      <x:c r="G248" s="94" t="str">
        <x:v>複数回答</x:v>
      </x:c>
    </x:row>
    <x:row r="249">
      <x:c r="A249" s="94" t="str">
        <x:v>問29</x:v>
      </x:c>
      <x:c r="B249" s="94" t="str">
        <x:v>今後3年間で利用したい、または利用を続けたいサービスを選んでください（あてはまるものすべて）</x:v>
      </x:c>
      <x:c r="C249" s="94" t="str">
        <x:v>短期入所（ショートステイ）</x:v>
      </x:c>
      <x:c r="D249" s="94" t="n">
        <x:f>COUNTIF('データ'!LA$5:LA$7,"〇")</x:f>
        <x:v>1</x:v>
      </x:c>
      <x:c r="E249" s="104" t="n">
        <x:f>IF(F249=0,"",D249/F249)</x:f>
        <x:v>0.3333333333333333</x:v>
      </x:c>
      <x:c r="F249" s="94" t="n">
        <x:f>SUM('データ'!LH$5:LH$7)</x:f>
        <x:v>3</x:v>
      </x:c>
      <x:c r="G249" s="94" t="str">
        <x:v>複数回答</x:v>
      </x:c>
    </x:row>
    <x:row r="250">
      <x:c r="A250" s="94" t="str">
        <x:v>問29</x:v>
      </x:c>
      <x:c r="B250" s="94" t="str">
        <x:v>今後3年間で利用したい、または利用を続けたいサービスを選んでください（あてはまるものすべて）</x:v>
      </x:c>
      <x:c r="C250" s="94" t="str">
        <x:v>日中一時支援</x:v>
      </x:c>
      <x:c r="D250" s="94" t="n">
        <x:f>COUNTIF('データ'!LB$5:LB$7,"〇")</x:f>
        <x:v>0</x:v>
      </x:c>
      <x:c r="E250" s="104" t="n">
        <x:f>IF(F250=0,"",D250/F250)</x:f>
        <x:v>0</x:v>
      </x:c>
      <x:c r="F250" s="94" t="n">
        <x:f>SUM('データ'!LH$5:LH$7)</x:f>
        <x:v>3</x:v>
      </x:c>
      <x:c r="G250" s="94" t="str">
        <x:v>複数回答</x:v>
      </x:c>
    </x:row>
    <x:row r="251">
      <x:c r="A251" s="94" t="str">
        <x:v>問29</x:v>
      </x:c>
      <x:c r="B251" s="94" t="str">
        <x:v>今後3年間で利用したい、または利用を続けたいサービスを選んでください（あてはまるものすべて）</x:v>
      </x:c>
      <x:c r="C251" s="94" t="str">
        <x:v>移動支援</x:v>
      </x:c>
      <x:c r="D251" s="94" t="n">
        <x:f>COUNTIF('データ'!LC$5:LC$7,"〇")</x:f>
        <x:v>3</x:v>
      </x:c>
      <x:c r="E251" s="104" t="n">
        <x:f>IF(F251=0,"",D251/F251)</x:f>
        <x:v>1</x:v>
      </x:c>
      <x:c r="F251" s="94" t="n">
        <x:f>SUM('データ'!LH$5:LH$7)</x:f>
        <x:v>3</x:v>
      </x:c>
      <x:c r="G251" s="94" t="str">
        <x:v>複数回答</x:v>
      </x:c>
    </x:row>
    <x:row r="252">
      <x:c r="A252" s="94" t="str">
        <x:v>問29</x:v>
      </x:c>
      <x:c r="B252" s="94" t="str">
        <x:v>今後3年間で利用したい、または利用を続けたいサービスを選んでください（あてはまるものすべて）</x:v>
      </x:c>
      <x:c r="C252" s="94" t="str">
        <x:v>日常生活用具の給付</x:v>
      </x:c>
      <x:c r="D252" s="94" t="n">
        <x:f>COUNTIF('データ'!LD$5:LD$7,"〇")</x:f>
        <x:v>1</x:v>
      </x:c>
      <x:c r="E252" s="104" t="n">
        <x:f>IF(F252=0,"",D252/F252)</x:f>
        <x:v>0.3333333333333333</x:v>
      </x:c>
      <x:c r="F252" s="94" t="n">
        <x:f>SUM('データ'!LH$5:LH$7)</x:f>
        <x:v>3</x:v>
      </x:c>
      <x:c r="G252" s="94" t="str">
        <x:v>複数回答</x:v>
      </x:c>
    </x:row>
    <x:row r="253">
      <x:c r="A253" s="94" t="str">
        <x:v>問29</x:v>
      </x:c>
      <x:c r="B253" s="94" t="str">
        <x:v>今後3年間で利用したい、または利用を続けたいサービスを選んでください（あてはまるものすべて）</x:v>
      </x:c>
      <x:c r="C253" s="94" t="str">
        <x:v>利用したいサービスは特にない</x:v>
      </x:c>
      <x:c r="D253" s="94" t="n">
        <x:f>COUNTIF('データ'!LE$5:LE$7,"〇")</x:f>
        <x:v>0</x:v>
      </x:c>
      <x:c r="E253" s="104" t="n">
        <x:f>IF(F253=0,"",D253/F253)</x:f>
        <x:v>0</x:v>
      </x:c>
      <x:c r="F253" s="94" t="n">
        <x:f>SUM('データ'!LH$5:LH$7)</x:f>
        <x:v>3</x:v>
      </x:c>
      <x:c r="G253" s="94" t="str">
        <x:v>複数回答</x:v>
      </x:c>
    </x:row>
    <x:row r="254">
      <x:c r="A254" s="94" t="str">
        <x:v>問29</x:v>
      </x:c>
      <x:c r="B254" s="94" t="str">
        <x:v>今後3年間で利用したい、または利用を続けたいサービスを選んでください（あてはまるものすべて）</x:v>
      </x:c>
      <x:c r="C254" s="94" t="str">
        <x:v>その他</x:v>
      </x:c>
      <x:c r="D254" s="94" t="n">
        <x:f>COUNTIF('データ'!LF$5:LF$7,"〇")</x:f>
        <x:v>0</x:v>
      </x:c>
      <x:c r="E254" s="104" t="n">
        <x:f>IF(F254=0,"",D254/F254)</x:f>
        <x:v>0</x:v>
      </x:c>
      <x:c r="F254" s="94" t="n">
        <x:f>SUM('データ'!LH$5:LH$7)</x:f>
        <x:v>3</x:v>
      </x:c>
      <x:c r="G254" s="94" t="str">
        <x:v>複数回答</x:v>
      </x:c>
    </x:row>
    <x:row r="255">
      <x:c r="A255" s="94" t="str">
        <x:v>問30</x:v>
      </x:c>
      <x:c r="B255" s="94" t="str">
        <x:v>今利用している福祉サービスに満足していますか</x:v>
      </x:c>
      <x:c r="C255" s="94" t="str">
        <x:v>満足している</x:v>
      </x:c>
      <x:c r="D255" s="94" t="n">
        <x:f>COUNTIF('データ'!LI$5:LI$7,"〇")</x:f>
        <x:v>0</x:v>
      </x:c>
      <x:c r="E255" s="104" t="n">
        <x:f>IF(F255=0,"",D255/F255)</x:f>
        <x:v>0</x:v>
      </x:c>
      <x:c r="F255" s="94" t="n">
        <x:f>SUM('データ'!LP$5:LP$7)</x:f>
        <x:v>3</x:v>
      </x:c>
      <x:c r="G255" s="94" t="str">
        <x:v>単一回答</x:v>
      </x:c>
    </x:row>
    <x:row r="256">
      <x:c r="A256" s="94" t="str">
        <x:v>問30</x:v>
      </x:c>
      <x:c r="B256" s="94" t="str">
        <x:v>今利用している福祉サービスに満足していますか</x:v>
      </x:c>
      <x:c r="C256" s="94" t="str">
        <x:v>適切なサービスがわからない</x:v>
      </x:c>
      <x:c r="D256" s="94" t="n">
        <x:f>COUNTIF('データ'!LJ$5:LJ$7,"〇")</x:f>
        <x:v>0</x:v>
      </x:c>
      <x:c r="E256" s="104" t="n">
        <x:f>IF(F256=0,"",D256/F256)</x:f>
        <x:v>0</x:v>
      </x:c>
      <x:c r="F256" s="94" t="n">
        <x:f>SUM('データ'!LP$5:LP$7)</x:f>
        <x:v>3</x:v>
      </x:c>
      <x:c r="G256" s="94" t="str">
        <x:v>単一回答</x:v>
      </x:c>
    </x:row>
    <x:row r="257">
      <x:c r="A257" s="94" t="str">
        <x:v>問30</x:v>
      </x:c>
      <x:c r="B257" s="94" t="str">
        <x:v>今利用している福祉サービスに満足していますか</x:v>
      </x:c>
      <x:c r="C257" s="94" t="str">
        <x:v>サービスの量が足りない</x:v>
      </x:c>
      <x:c r="D257" s="94" t="n">
        <x:f>COUNTIF('データ'!LK$5:LK$7,"〇")</x:f>
        <x:v>1</x:v>
      </x:c>
      <x:c r="E257" s="104" t="n">
        <x:f>IF(F257=0,"",D257/F257)</x:f>
        <x:v>0.3333333333333333</x:v>
      </x:c>
      <x:c r="F257" s="94" t="n">
        <x:f>SUM('データ'!LP$5:LP$7)</x:f>
        <x:v>3</x:v>
      </x:c>
      <x:c r="G257" s="94" t="str">
        <x:v>単一回答</x:v>
      </x:c>
    </x:row>
    <x:row r="258">
      <x:c r="A258" s="94" t="str">
        <x:v>問30</x:v>
      </x:c>
      <x:c r="B258" s="94" t="str">
        <x:v>今利用している福祉サービスに満足していますか</x:v>
      </x:c>
      <x:c r="C258" s="94" t="str">
        <x:v>サービスの質がよくない</x:v>
      </x:c>
      <x:c r="D258" s="94" t="n">
        <x:f>COUNTIF('データ'!LL$5:LL$7,"〇")</x:f>
        <x:v>0</x:v>
      </x:c>
      <x:c r="E258" s="104" t="n">
        <x:f>IF(F258=0,"",D258/F258)</x:f>
        <x:v>0</x:v>
      </x:c>
      <x:c r="F258" s="94" t="n">
        <x:f>SUM('データ'!LP$5:LP$7)</x:f>
        <x:v>3</x:v>
      </x:c>
      <x:c r="G258" s="94" t="str">
        <x:v>単一回答</x:v>
      </x:c>
    </x:row>
    <x:row r="259">
      <x:c r="A259" s="94" t="str">
        <x:v>問30</x:v>
      </x:c>
      <x:c r="B259" s="94" t="str">
        <x:v>今利用している福祉サービスに満足していますか</x:v>
      </x:c>
      <x:c r="C259" s="94" t="str">
        <x:v>利用できる事業所が少ない</x:v>
      </x:c>
      <x:c r="D259" s="94" t="n">
        <x:f>COUNTIF('データ'!LM$5:LM$7,"〇")</x:f>
        <x:v>1</x:v>
      </x:c>
      <x:c r="E259" s="104" t="n">
        <x:f>IF(F259=0,"",D259/F259)</x:f>
        <x:v>0.3333333333333333</x:v>
      </x:c>
      <x:c r="F259" s="94" t="n">
        <x:f>SUM('データ'!LP$5:LP$7)</x:f>
        <x:v>3</x:v>
      </x:c>
      <x:c r="G259" s="94" t="str">
        <x:v>単一回答</x:v>
      </x:c>
    </x:row>
    <x:row r="260">
      <x:c r="A260" s="94" t="str">
        <x:v>問30</x:v>
      </x:c>
      <x:c r="B260" s="94" t="str">
        <x:v>今利用している福祉サービスに満足していますか</x:v>
      </x:c>
      <x:c r="C260" s="94" t="str">
        <x:v>サービスの使い方がわからない</x:v>
      </x:c>
      <x:c r="D260" s="94" t="n">
        <x:f>COUNTIF('データ'!LN$5:LN$7,"〇")</x:f>
        <x:v>0</x:v>
      </x:c>
      <x:c r="E260" s="104" t="n">
        <x:f>IF(F260=0,"",D260/F260)</x:f>
        <x:v>0</x:v>
      </x:c>
      <x:c r="F260" s="94" t="n">
        <x:f>SUM('データ'!LP$5:LP$7)</x:f>
        <x:v>3</x:v>
      </x:c>
      <x:c r="G260" s="94" t="str">
        <x:v>単一回答</x:v>
      </x:c>
    </x:row>
    <x:row r="261">
      <x:c r="A261" s="94" t="str">
        <x:v>問30</x:v>
      </x:c>
      <x:c r="B261" s="94" t="str">
        <x:v>今利用している福祉サービスに満足していますか</x:v>
      </x:c>
      <x:c r="C261" s="94" t="str">
        <x:v>利用していない</x:v>
      </x:c>
      <x:c r="D261" s="94" t="n">
        <x:f>COUNTIF('データ'!LO$5:LO$7,"〇")</x:f>
        <x:v>1</x:v>
      </x:c>
      <x:c r="E261" s="104" t="n">
        <x:f>IF(F261=0,"",D261/F261)</x:f>
        <x:v>0.3333333333333333</x:v>
      </x:c>
      <x:c r="F261" s="94" t="n">
        <x:f>SUM('データ'!LP$5:LP$7)</x:f>
        <x:v>3</x:v>
      </x:c>
      <x:c r="G261" s="94" t="str">
        <x:v>単一回答</x:v>
      </x:c>
    </x:row>
    <x:row r="262">
      <x:c r="A262" s="94" t="str">
        <x:v>問31</x:v>
      </x:c>
      <x:c r="B262" s="94" t="str">
        <x:v>放課後や長期休暇中の過ごし方で困っていることはありますか（あてはまるものすべて）</x:v>
      </x:c>
      <x:c r="C262" s="94" t="str">
        <x:v>利用できる場所が少ない</x:v>
      </x:c>
      <x:c r="D262" s="94" t="n">
        <x:f>COUNTIF('データ'!LQ$5:LQ$7,"〇")</x:f>
        <x:v>2</x:v>
      </x:c>
      <x:c r="E262" s="104" t="n">
        <x:f>IF(F262=0,"",D262/F262)</x:f>
        <x:v>0.6666666666666666</x:v>
      </x:c>
      <x:c r="F262" s="94" t="n">
        <x:f>SUM('データ'!MA$5:MA$7)</x:f>
        <x:v>3</x:v>
      </x:c>
      <x:c r="G262" s="94" t="str">
        <x:v>複数回答</x:v>
      </x:c>
    </x:row>
    <x:row r="263">
      <x:c r="A263" s="94" t="str">
        <x:v>問31</x:v>
      </x:c>
      <x:c r="B263" s="94" t="str">
        <x:v>放課後や長期休暇中の過ごし方で困っていることはありますか（あてはまるものすべて）</x:v>
      </x:c>
      <x:c r="C263" s="94" t="str">
        <x:v>送迎がない</x:v>
      </x:c>
      <x:c r="D263" s="94" t="n">
        <x:f>COUNTIF('データ'!LR$5:LR$7,"〇")</x:f>
        <x:v>2</x:v>
      </x:c>
      <x:c r="E263" s="104" t="n">
        <x:f>IF(F263=0,"",D263/F263)</x:f>
        <x:v>0.6666666666666666</x:v>
      </x:c>
      <x:c r="F263" s="94" t="n">
        <x:f>SUM('データ'!MA$5:MA$7)</x:f>
        <x:v>3</x:v>
      </x:c>
      <x:c r="G263" s="94" t="str">
        <x:v>複数回答</x:v>
      </x:c>
    </x:row>
    <x:row r="264">
      <x:c r="A264" s="94" t="str">
        <x:v>問31</x:v>
      </x:c>
      <x:c r="B264" s="94" t="str">
        <x:v>放課後や長期休暇中の過ごし方で困っていることはありますか（あてはまるものすべて）</x:v>
      </x:c>
      <x:c r="C264" s="94" t="str">
        <x:v>医療的ケアに対応できる場所が少ない</x:v>
      </x:c>
      <x:c r="D264" s="94" t="n">
        <x:f>COUNTIF('データ'!LS$5:LS$7,"〇")</x:f>
        <x:v>1</x:v>
      </x:c>
      <x:c r="E264" s="104" t="n">
        <x:f>IF(F264=0,"",D264/F264)</x:f>
        <x:v>0.3333333333333333</x:v>
      </x:c>
      <x:c r="F264" s="94" t="n">
        <x:f>SUM('データ'!MA$5:MA$7)</x:f>
        <x:v>3</x:v>
      </x:c>
      <x:c r="G264" s="94" t="str">
        <x:v>複数回答</x:v>
      </x:c>
    </x:row>
    <x:row r="265">
      <x:c r="A265" s="94" t="str">
        <x:v>問31</x:v>
      </x:c>
      <x:c r="B265" s="94" t="str">
        <x:v>放課後や長期休暇中の過ごし方で困っていることはありますか（あてはまるものすべて）</x:v>
      </x:c>
      <x:c r="C265" s="94" t="str">
        <x:v>長期休暇の過ごし方に困る</x:v>
      </x:c>
      <x:c r="D265" s="94" t="n">
        <x:f>COUNTIF('データ'!LT$5:LT$7,"〇")</x:f>
        <x:v>1</x:v>
      </x:c>
      <x:c r="E265" s="104" t="n">
        <x:f>IF(F265=0,"",D265/F265)</x:f>
        <x:v>0.3333333333333333</x:v>
      </x:c>
      <x:c r="F265" s="94" t="n">
        <x:f>SUM('データ'!MA$5:MA$7)</x:f>
        <x:v>3</x:v>
      </x:c>
      <x:c r="G265" s="94" t="str">
        <x:v>複数回答</x:v>
      </x:c>
    </x:row>
    <x:row r="266">
      <x:c r="A266" s="94" t="str">
        <x:v>問31</x:v>
      </x:c>
      <x:c r="B266" s="94" t="str">
        <x:v>放課後や長期休暇中の過ごし方で困っていることはありますか（あてはまるものすべて）</x:v>
      </x:c>
      <x:c r="C266" s="94" t="str">
        <x:v>家族への負担が大きい</x:v>
      </x:c>
      <x:c r="D266" s="94" t="n">
        <x:f>COUNTIF('データ'!LU$5:LU$7,"〇")</x:f>
        <x:v>1</x:v>
      </x:c>
      <x:c r="E266" s="104" t="n">
        <x:f>IF(F266=0,"",D266/F266)</x:f>
        <x:v>0.3333333333333333</x:v>
      </x:c>
      <x:c r="F266" s="94" t="n">
        <x:f>SUM('データ'!MA$5:MA$7)</x:f>
        <x:v>3</x:v>
      </x:c>
      <x:c r="G266" s="94" t="str">
        <x:v>複数回答</x:v>
      </x:c>
    </x:row>
    <x:row r="267">
      <x:c r="A267" s="94" t="str">
        <x:v>問31</x:v>
      </x:c>
      <x:c r="B267" s="94" t="str">
        <x:v>放課後や長期休暇中の過ごし方で困っていることはありますか（あてはまるものすべて）</x:v>
      </x:c>
      <x:c r="C267" s="94" t="str">
        <x:v>相談先がない</x:v>
      </x:c>
      <x:c r="D267" s="94" t="n">
        <x:f>COUNTIF('データ'!LV$5:LV$7,"〇")</x:f>
        <x:v>0</x:v>
      </x:c>
      <x:c r="E267" s="104" t="n">
        <x:f>IF(F267=0,"",D267/F267)</x:f>
        <x:v>0</x:v>
      </x:c>
      <x:c r="F267" s="94" t="n">
        <x:f>SUM('データ'!MA$5:MA$7)</x:f>
        <x:v>3</x:v>
      </x:c>
      <x:c r="G267" s="94" t="str">
        <x:v>複数回答</x:v>
      </x:c>
    </x:row>
    <x:row r="268">
      <x:c r="A268" s="94" t="str">
        <x:v>問31</x:v>
      </x:c>
      <x:c r="B268" s="94" t="str">
        <x:v>放課後や長期休暇中の過ごし方で困っていることはありますか（あてはまるものすべて）</x:v>
      </x:c>
      <x:c r="C268" s="94" t="str">
        <x:v>費用負担が心配</x:v>
      </x:c>
      <x:c r="D268" s="94" t="n">
        <x:f>COUNTIF('データ'!LW$5:LW$7,"〇")</x:f>
        <x:v>1</x:v>
      </x:c>
      <x:c r="E268" s="104" t="n">
        <x:f>IF(F268=0,"",D268/F268)</x:f>
        <x:v>0.3333333333333333</x:v>
      </x:c>
      <x:c r="F268" s="94" t="n">
        <x:f>SUM('データ'!MA$5:MA$7)</x:f>
        <x:v>3</x:v>
      </x:c>
      <x:c r="G268" s="94" t="str">
        <x:v>複数回答</x:v>
      </x:c>
    </x:row>
    <x:row r="269">
      <x:c r="A269" s="94" t="str">
        <x:v>問31</x:v>
      </x:c>
      <x:c r="B269" s="94" t="str">
        <x:v>放課後や長期休暇中の過ごし方で困っていることはありますか（あてはまるものすべて）</x:v>
      </x:c>
      <x:c r="C269" s="94" t="str">
        <x:v>特に困っていない</x:v>
      </x:c>
      <x:c r="D269" s="94" t="n">
        <x:f>COUNTIF('データ'!LX$5:LX$7,"〇")</x:f>
        <x:v>0</x:v>
      </x:c>
      <x:c r="E269" s="104" t="n">
        <x:f>IF(F269=0,"",D269/F269)</x:f>
        <x:v>0</x:v>
      </x:c>
      <x:c r="F269" s="94" t="n">
        <x:f>SUM('データ'!MA$5:MA$7)</x:f>
        <x:v>3</x:v>
      </x:c>
      <x:c r="G269" s="94" t="str">
        <x:v>複数回答</x:v>
      </x:c>
    </x:row>
    <x:row r="270">
      <x:c r="A270" s="94" t="str">
        <x:v>問31</x:v>
      </x:c>
      <x:c r="B270" s="94" t="str">
        <x:v>放課後や長期休暇中の過ごし方で困っていることはありますか（あてはまるものすべて）</x:v>
      </x:c>
      <x:c r="C270" s="94" t="str">
        <x:v>その他</x:v>
      </x:c>
      <x:c r="D270" s="94" t="n">
        <x:f>COUNTIF('データ'!LY$5:LY$7,"〇")</x:f>
        <x:v>0</x:v>
      </x:c>
      <x:c r="E270" s="104" t="n">
        <x:f>IF(F270=0,"",D270/F270)</x:f>
        <x:v>0</x:v>
      </x:c>
      <x:c r="F270" s="94" t="n">
        <x:f>SUM('データ'!MA$5:MA$7)</x:f>
        <x:v>3</x:v>
      </x:c>
      <x:c r="G270" s="94" t="str">
        <x:v>複数回答</x:v>
      </x:c>
    </x:row>
    <x:row r="271">
      <x:c r="A271" s="94" t="str">
        <x:v>問32</x:v>
      </x:c>
      <x:c r="B271" s="94" t="str">
        <x:v>18歳以降のことで不安なことはありますか（あてはまるものすべて）</x:v>
      </x:c>
      <x:c r="C271" s="94" t="str">
        <x:v>進学先・就労先</x:v>
      </x:c>
      <x:c r="D271" s="94" t="n">
        <x:f>COUNTIF('データ'!MB$5:MB$7,"〇")</x:f>
        <x:v>3</x:v>
      </x:c>
      <x:c r="E271" s="104" t="n">
        <x:f>IF(F271=0,"",D271/F271)</x:f>
        <x:v>1</x:v>
      </x:c>
      <x:c r="F271" s="94" t="n">
        <x:f>SUM('データ'!MO$5:MO$7)</x:f>
        <x:v>3</x:v>
      </x:c>
      <x:c r="G271" s="94" t="str">
        <x:v>複数回答</x:v>
      </x:c>
    </x:row>
    <x:row r="272">
      <x:c r="A272" s="94" t="str">
        <x:v>問32</x:v>
      </x:c>
      <x:c r="B272" s="94" t="str">
        <x:v>18歳以降のことで不安なことはありますか（あてはまるものすべて）</x:v>
      </x:c>
      <x:c r="C272" s="94" t="str">
        <x:v>生活介護や就労継続支援A型等の通所先</x:v>
      </x:c>
      <x:c r="D272" s="94" t="n">
        <x:f>COUNTIF('データ'!MC$5:MC$7,"〇")</x:f>
        <x:v>1</x:v>
      </x:c>
      <x:c r="E272" s="104" t="n">
        <x:f>IF(F272=0,"",D272/F272)</x:f>
        <x:v>0.3333333333333333</x:v>
      </x:c>
      <x:c r="F272" s="94" t="n">
        <x:f>SUM('データ'!MO$5:MO$7)</x:f>
        <x:v>3</x:v>
      </x:c>
      <x:c r="G272" s="94" t="str">
        <x:v>複数回答</x:v>
      </x:c>
    </x:row>
    <x:row r="273">
      <x:c r="A273" s="94" t="str">
        <x:v>問32</x:v>
      </x:c>
      <x:c r="B273" s="94" t="str">
        <x:v>18歳以降のことで不安なことはありますか（あてはまるものすべて）</x:v>
      </x:c>
      <x:c r="C273" s="94" t="str">
        <x:v>就労選択支援の利用</x:v>
      </x:c>
      <x:c r="D273" s="94" t="n">
        <x:f>COUNTIF('データ'!MD$5:MD$7,"〇")</x:f>
        <x:v>3</x:v>
      </x:c>
      <x:c r="E273" s="104" t="n">
        <x:f>IF(F273=0,"",D273/F273)</x:f>
        <x:v>1</x:v>
      </x:c>
      <x:c r="F273" s="94" t="n">
        <x:f>SUM('データ'!MO$5:MO$7)</x:f>
        <x:v>3</x:v>
      </x:c>
      <x:c r="G273" s="94" t="str">
        <x:v>複数回答</x:v>
      </x:c>
    </x:row>
    <x:row r="274">
      <x:c r="A274" s="94" t="str">
        <x:v>問32</x:v>
      </x:c>
      <x:c r="B274" s="94" t="str">
        <x:v>18歳以降のことで不安なことはありますか（あてはまるものすべて）</x:v>
      </x:c>
      <x:c r="C274" s="94" t="str">
        <x:v>相談支援の継続</x:v>
      </x:c>
      <x:c r="D274" s="94" t="n">
        <x:f>COUNTIF('データ'!ME$5:ME$7,"〇")</x:f>
        <x:v>1</x:v>
      </x:c>
      <x:c r="E274" s="104" t="n">
        <x:f>IF(F274=0,"",D274/F274)</x:f>
        <x:v>0.3333333333333333</x:v>
      </x:c>
      <x:c r="F274" s="94" t="n">
        <x:f>SUM('データ'!MO$5:MO$7)</x:f>
        <x:v>3</x:v>
      </x:c>
      <x:c r="G274" s="94" t="str">
        <x:v>複数回答</x:v>
      </x:c>
    </x:row>
    <x:row r="275">
      <x:c r="A275" s="94" t="str">
        <x:v>問32</x:v>
      </x:c>
      <x:c r="B275" s="94" t="str">
        <x:v>18歳以降のことで不安なことはありますか（あてはまるものすべて）</x:v>
      </x:c>
      <x:c r="C275" s="94" t="str">
        <x:v>医療・通院の継続</x:v>
      </x:c>
      <x:c r="D275" s="94" t="n">
        <x:f>COUNTIF('データ'!MF$5:MF$7,"〇")</x:f>
        <x:v>3</x:v>
      </x:c>
      <x:c r="E275" s="104" t="n">
        <x:f>IF(F275=0,"",D275/F275)</x:f>
        <x:v>1</x:v>
      </x:c>
      <x:c r="F275" s="94" t="n">
        <x:f>SUM('データ'!MO$5:MO$7)</x:f>
        <x:v>3</x:v>
      </x:c>
      <x:c r="G275" s="94" t="str">
        <x:v>複数回答</x:v>
      </x:c>
    </x:row>
    <x:row r="276">
      <x:c r="A276" s="94" t="str">
        <x:v>問32</x:v>
      </x:c>
      <x:c r="B276" s="94" t="str">
        <x:v>18歳以降のことで不安なことはありますか（あてはまるものすべて）</x:v>
      </x:c>
      <x:c r="C276" s="94" t="str">
        <x:v>送迎・移動手段</x:v>
      </x:c>
      <x:c r="D276" s="94" t="n">
        <x:f>COUNTIF('データ'!MG$5:MG$7,"〇")</x:f>
        <x:v>3</x:v>
      </x:c>
      <x:c r="E276" s="104" t="n">
        <x:f>IF(F276=0,"",D276/F276)</x:f>
        <x:v>1</x:v>
      </x:c>
      <x:c r="F276" s="94" t="n">
        <x:f>SUM('データ'!MO$5:MO$7)</x:f>
        <x:v>3</x:v>
      </x:c>
      <x:c r="G276" s="94" t="str">
        <x:v>複数回答</x:v>
      </x:c>
    </x:row>
    <x:row r="277">
      <x:c r="A277" s="94" t="str">
        <x:v>問32</x:v>
      </x:c>
      <x:c r="B277" s="94" t="str">
        <x:v>18歳以降のことで不安なことはありますか（あてはまるものすべて）</x:v>
      </x:c>
      <x:c r="C277" s="94" t="str">
        <x:v>本人の意思決定や将来の暮らし</x:v>
      </x:c>
      <x:c r="D277" s="94" t="n">
        <x:f>COUNTIF('データ'!MH$5:MH$7,"〇")</x:f>
        <x:v>3</x:v>
      </x:c>
      <x:c r="E277" s="104" t="n">
        <x:f>IF(F277=0,"",D277/F277)</x:f>
        <x:v>1</x:v>
      </x:c>
      <x:c r="F277" s="94" t="n">
        <x:f>SUM('データ'!MO$5:MO$7)</x:f>
        <x:v>3</x:v>
      </x:c>
      <x:c r="G277" s="94" t="str">
        <x:v>複数回答</x:v>
      </x:c>
    </x:row>
    <x:row r="278">
      <x:c r="A278" s="94" t="str">
        <x:v>問32</x:v>
      </x:c>
      <x:c r="B278" s="94" t="str">
        <x:v>18歳以降のことで不安なことはありますか（あてはまるものすべて）</x:v>
      </x:c>
      <x:c r="C278" s="94" t="str">
        <x:v>家族の負担</x:v>
      </x:c>
      <x:c r="D278" s="94" t="n">
        <x:f>COUNTIF('データ'!MI$5:MI$7,"〇")</x:f>
        <x:v>3</x:v>
      </x:c>
      <x:c r="E278" s="104" t="n">
        <x:f>IF(F278=0,"",D278/F278)</x:f>
        <x:v>1</x:v>
      </x:c>
      <x:c r="F278" s="94" t="n">
        <x:f>SUM('データ'!MO$5:MO$7)</x:f>
        <x:v>3</x:v>
      </x:c>
      <x:c r="G278" s="94" t="str">
        <x:v>複数回答</x:v>
      </x:c>
    </x:row>
    <x:row r="279">
      <x:c r="A279" s="94" t="str">
        <x:v>問32</x:v>
      </x:c>
      <x:c r="B279" s="94" t="str">
        <x:v>18歳以降のことで不安なことはありますか（あてはまるものすべて）</x:v>
      </x:c>
      <x:c r="C279" s="94" t="str">
        <x:v>親など家族が高齢になった後の生活</x:v>
      </x:c>
      <x:c r="D279" s="94" t="n">
        <x:f>COUNTIF('データ'!MJ$5:MJ$7,"〇")</x:f>
        <x:v>3</x:v>
      </x:c>
      <x:c r="E279" s="104" t="n">
        <x:f>IF(F279=0,"",D279/F279)</x:f>
        <x:v>1</x:v>
      </x:c>
      <x:c r="F279" s="94" t="n">
        <x:f>SUM('データ'!MO$5:MO$7)</x:f>
        <x:v>3</x:v>
      </x:c>
      <x:c r="G279" s="94" t="str">
        <x:v>複数回答</x:v>
      </x:c>
    </x:row>
    <x:row r="280">
      <x:c r="A280" s="94" t="str">
        <x:v>問32</x:v>
      </x:c>
      <x:c r="B280" s="94" t="str">
        <x:v>18歳以降のことで不安なことはありますか（あてはまるものすべて）</x:v>
      </x:c>
      <x:c r="C280" s="94" t="str">
        <x:v>経済的な負担</x:v>
      </x:c>
      <x:c r="D280" s="94" t="n">
        <x:f>COUNTIF('データ'!MK$5:MK$7,"〇")</x:f>
        <x:v>3</x:v>
      </x:c>
      <x:c r="E280" s="104" t="n">
        <x:f>IF(F280=0,"",D280/F280)</x:f>
        <x:v>1</x:v>
      </x:c>
      <x:c r="F280" s="94" t="n">
        <x:f>SUM('データ'!MO$5:MO$7)</x:f>
        <x:v>3</x:v>
      </x:c>
      <x:c r="G280" s="94" t="str">
        <x:v>複数回答</x:v>
      </x:c>
    </x:row>
    <x:row r="281">
      <x:c r="A281" s="94" t="str">
        <x:v>問32</x:v>
      </x:c>
      <x:c r="B281" s="94" t="str">
        <x:v>18歳以降のことで不安なことはありますか（あてはまるものすべて）</x:v>
      </x:c>
      <x:c r="C281" s="94" t="str">
        <x:v>まだ考えていない</x:v>
      </x:c>
      <x:c r="D281" s="94" t="n">
        <x:f>COUNTIF('データ'!ML$5:ML$7,"〇")</x:f>
        <x:v>0</x:v>
      </x:c>
      <x:c r="E281" s="104" t="n">
        <x:f>IF(F281=0,"",D281/F281)</x:f>
        <x:v>0</x:v>
      </x:c>
      <x:c r="F281" s="94" t="n">
        <x:f>SUM('データ'!MO$5:MO$7)</x:f>
        <x:v>3</x:v>
      </x:c>
      <x:c r="G281" s="94" t="str">
        <x:v>複数回答</x:v>
      </x:c>
    </x:row>
    <x:row r="282">
      <x:c r="A282" s="94" t="str">
        <x:v>問32</x:v>
      </x:c>
      <x:c r="B282" s="94" t="str">
        <x:v>18歳以降のことで不安なことはありますか（あてはまるものすべて）</x:v>
      </x:c>
      <x:c r="C282" s="94" t="str">
        <x:v>その他</x:v>
      </x:c>
      <x:c r="D282" s="94" t="n">
        <x:f>COUNTIF('データ'!MM$5:MM$7,"〇")</x:f>
        <x:v>1</x:v>
      </x:c>
      <x:c r="E282" s="104" t="n">
        <x:f>IF(F282=0,"",D282/F282)</x:f>
        <x:v>0.3333333333333333</x:v>
      </x:c>
      <x:c r="F282" s="94" t="n">
        <x:f>SUM('データ'!MO$5:MO$7)</x:f>
        <x:v>3</x:v>
      </x:c>
      <x:c r="G282" s="94" t="str">
        <x:v>複数回答</x:v>
      </x:c>
    </x:row>
    <x:row r="283">
      <x:c r="A283" s="94" t="str">
        <x:v>問32-1</x:v>
      </x:c>
      <x:c r="B283" s="94" t="str">
        <x:v>なぜそう思ったのか、自由に記入してください</x:v>
      </x:c>
      <x:c r="C283" s="94" t="str">
        <x:v>自由記述は「自由記述一覧」シート参照</x:v>
      </x:c>
      <x:c r="D283" s="94" t="str">
        <x:f>""</x:f>
      </x:c>
      <x:c r="E283" s="104" t="str">
        <x:f>""</x:f>
      </x:c>
      <x:c r="F283" s="94" t="str">
        <x:f>""</x:f>
      </x:c>
      <x:c r="G283" s="94" t="str">
        <x:v>自由記述（別シート参照）</x:v>
      </x:c>
    </x:row>
    <x:row r="284">
      <x:c r="A284" s="94" t="str">
        <x:v>問33</x:v>
      </x:c>
      <x:c r="B284" s="94" t="str">
        <x:v>障がいがあることで差別や偏見、不利益を感じたことはありますか</x:v>
      </x:c>
      <x:c r="C284" s="94" t="str">
        <x:v>週に１回程度</x:v>
      </x:c>
      <x:c r="D284" s="94" t="n">
        <x:f>COUNTIF('データ'!MR$5:MR$7,"〇")</x:f>
        <x:v>1</x:v>
      </x:c>
      <x:c r="E284" s="104" t="n">
        <x:f>IF(F284=0,"",D284/F284)</x:f>
        <x:v>0.3333333333333333</x:v>
      </x:c>
      <x:c r="F284" s="94" t="n">
        <x:f>SUM('データ'!MW$5:MW$7)</x:f>
        <x:v>3</x:v>
      </x:c>
      <x:c r="G284" s="94" t="str">
        <x:v>単一回答</x:v>
      </x:c>
    </x:row>
    <x:row r="285">
      <x:c r="A285" s="94" t="str">
        <x:v>問33</x:v>
      </x:c>
      <x:c r="B285" s="94" t="str">
        <x:v>障がいがあることで差別や偏見、不利益を感じたことはありますか</x:v>
      </x:c>
      <x:c r="C285" s="94" t="str">
        <x:v>月に１回程度</x:v>
      </x:c>
      <x:c r="D285" s="94" t="n">
        <x:f>COUNTIF('データ'!MS$5:MS$7,"〇")</x:f>
        <x:v>1</x:v>
      </x:c>
      <x:c r="E285" s="104" t="n">
        <x:f>IF(F285=0,"",D285/F285)</x:f>
        <x:v>0.3333333333333333</x:v>
      </x:c>
      <x:c r="F285" s="94" t="n">
        <x:f>SUM('データ'!MW$5:MW$7)</x:f>
        <x:v>3</x:v>
      </x:c>
      <x:c r="G285" s="94" t="str">
        <x:v>単一回答</x:v>
      </x:c>
    </x:row>
    <x:row r="286">
      <x:c r="A286" s="94" t="str">
        <x:v>問33</x:v>
      </x:c>
      <x:c r="B286" s="94" t="str">
        <x:v>障がいがあることで差別や偏見、不利益を感じたことはありますか</x:v>
      </x:c>
      <x:c r="C286" s="94" t="str">
        <x:v>年に１回程度</x:v>
      </x:c>
      <x:c r="D286" s="94" t="n">
        <x:f>COUNTIF('データ'!MT$5:MT$7,"〇")</x:f>
        <x:v>0</x:v>
      </x:c>
      <x:c r="E286" s="104" t="n">
        <x:f>IF(F286=0,"",D286/F286)</x:f>
        <x:v>0</x:v>
      </x:c>
      <x:c r="F286" s="94" t="n">
        <x:f>SUM('データ'!MW$5:MW$7)</x:f>
        <x:v>3</x:v>
      </x:c>
      <x:c r="G286" s="94" t="str">
        <x:v>単一回答</x:v>
      </x:c>
    </x:row>
    <x:row r="287">
      <x:c r="A287" s="94" t="str">
        <x:v>問33</x:v>
      </x:c>
      <x:c r="B287" s="94" t="str">
        <x:v>障がいがあることで差別や偏見、不利益を感じたことはありますか</x:v>
      </x:c>
      <x:c r="C287" s="94" t="str">
        <x:v>ない</x:v>
      </x:c>
      <x:c r="D287" s="94" t="n">
        <x:f>COUNTIF('データ'!MU$5:MU$7,"〇")</x:f>
        <x:v>1</x:v>
      </x:c>
      <x:c r="E287" s="104" t="n">
        <x:f>IF(F287=0,"",D287/F287)</x:f>
        <x:v>0.3333333333333333</x:v>
      </x:c>
      <x:c r="F287" s="94" t="n">
        <x:f>SUM('データ'!MW$5:MW$7)</x:f>
        <x:v>3</x:v>
      </x:c>
      <x:c r="G287" s="94" t="str">
        <x:v>単一回答</x:v>
      </x:c>
    </x:row>
    <x:row r="288">
      <x:c r="A288" s="94" t="str">
        <x:v>問33</x:v>
      </x:c>
      <x:c r="B288" s="94" t="str">
        <x:v>障がいがあることで差別や偏見、不利益を感じたことはありますか</x:v>
      </x:c>
      <x:c r="C288" s="94" t="str">
        <x:v>わからない</x:v>
      </x:c>
      <x:c r="D288" s="94" t="n">
        <x:f>COUNTIF('データ'!MV$5:MV$7,"〇")</x:f>
        <x:v>0</x:v>
      </x:c>
      <x:c r="E288" s="104" t="n">
        <x:f>IF(F288=0,"",D288/F288)</x:f>
        <x:v>0</x:v>
      </x:c>
      <x:c r="F288" s="94" t="n">
        <x:f>SUM('データ'!MW$5:MW$7)</x:f>
        <x:v>3</x:v>
      </x:c>
      <x:c r="G288" s="94" t="str">
        <x:v>単一回答</x:v>
      </x:c>
    </x:row>
    <x:row r="289">
      <x:c r="A289" s="94" t="str">
        <x:v>問34</x:v>
      </x:c>
      <x:c r="B289" s="94" t="str">
        <x:v>差別や偏見、不利益を感じた場面はどこですか（あてはまるものすべて）</x:v>
      </x:c>
      <x:c r="C289" s="94" t="str">
        <x:v>学校・保育所等</x:v>
      </x:c>
      <x:c r="D289" s="94" t="n">
        <x:f>COUNTIF('データ'!MX$5:MX$7,"〇")</x:f>
        <x:v>2</x:v>
      </x:c>
      <x:c r="E289" s="104" t="n">
        <x:f>IF(F289=0,"",D289/F289)</x:f>
        <x:v>0.6666666666666666</x:v>
      </x:c>
      <x:c r="F289" s="94" t="n">
        <x:f>SUM('データ'!NJ$5:NJ$7)</x:f>
        <x:v>3</x:v>
      </x:c>
      <x:c r="G289" s="94" t="str">
        <x:v>複数回答</x:v>
      </x:c>
    </x:row>
    <x:row r="290">
      <x:c r="A290" s="94" t="str">
        <x:v>問34</x:v>
      </x:c>
      <x:c r="B290" s="94" t="str">
        <x:v>差別や偏見、不利益を感じた場面はどこですか（あてはまるものすべて）</x:v>
      </x:c>
      <x:c r="C290" s="94" t="str">
        <x:v>アルバイト先・職場</x:v>
      </x:c>
      <x:c r="D290" s="94" t="n">
        <x:f>COUNTIF('データ'!MY$5:MY$7,"〇")</x:f>
        <x:v>0</x:v>
      </x:c>
      <x:c r="E290" s="104" t="n">
        <x:f>IF(F290=0,"",D290/F290)</x:f>
        <x:v>0</x:v>
      </x:c>
      <x:c r="F290" s="94" t="n">
        <x:f>SUM('データ'!NJ$5:NJ$7)</x:f>
        <x:v>3</x:v>
      </x:c>
      <x:c r="G290" s="94" t="str">
        <x:v>複数回答</x:v>
      </x:c>
    </x:row>
    <x:row r="291">
      <x:c r="A291" s="94" t="str">
        <x:v>問34</x:v>
      </x:c>
      <x:c r="B291" s="94" t="str">
        <x:v>差別や偏見、不利益を感じた場面はどこですか（あてはまるものすべて）</x:v>
      </x:c>
      <x:c r="C291" s="94" t="str">
        <x:v>医療機関</x:v>
      </x:c>
      <x:c r="D291" s="94" t="n">
        <x:f>COUNTIF('データ'!MZ$5:MZ$7,"〇")</x:f>
        <x:v>1</x:v>
      </x:c>
      <x:c r="E291" s="104" t="n">
        <x:f>IF(F291=0,"",D291/F291)</x:f>
        <x:v>0.3333333333333333</x:v>
      </x:c>
      <x:c r="F291" s="94" t="n">
        <x:f>SUM('データ'!NJ$5:NJ$7)</x:f>
        <x:v>3</x:v>
      </x:c>
      <x:c r="G291" s="94" t="str">
        <x:v>複数回答</x:v>
      </x:c>
    </x:row>
    <x:row r="292">
      <x:c r="A292" s="94" t="str">
        <x:v>問34</x:v>
      </x:c>
      <x:c r="B292" s="94" t="str">
        <x:v>差別や偏見、不利益を感じた場面はどこですか（あてはまるものすべて）</x:v>
      </x:c>
      <x:c r="C292" s="94" t="str">
        <x:v>福祉サービス事業所</x:v>
      </x:c>
      <x:c r="D292" s="94" t="n">
        <x:f>COUNTIF('データ'!NA$5:NA$7,"〇")</x:f>
        <x:v>0</x:v>
      </x:c>
      <x:c r="E292" s="104" t="n">
        <x:f>IF(F292=0,"",D292/F292)</x:f>
        <x:v>0</x:v>
      </x:c>
      <x:c r="F292" s="94" t="n">
        <x:f>SUM('データ'!NJ$5:NJ$7)</x:f>
        <x:v>3</x:v>
      </x:c>
      <x:c r="G292" s="94" t="str">
        <x:v>複数回答</x:v>
      </x:c>
    </x:row>
    <x:row r="293">
      <x:c r="A293" s="94" t="str">
        <x:v>問34</x:v>
      </x:c>
      <x:c r="B293" s="94" t="str">
        <x:v>差別や偏見、不利益を感じた場面はどこですか（あてはまるものすべて）</x:v>
      </x:c>
      <x:c r="C293" s="94" t="str">
        <x:v>役場・公共施設</x:v>
      </x:c>
      <x:c r="D293" s="94" t="n">
        <x:f>COUNTIF('データ'!NB$5:NB$7,"〇")</x:f>
        <x:v>0</x:v>
      </x:c>
      <x:c r="E293" s="104" t="n">
        <x:f>IF(F293=0,"",D293/F293)</x:f>
        <x:v>0</x:v>
      </x:c>
      <x:c r="F293" s="94" t="n">
        <x:f>SUM('データ'!NJ$5:NJ$7)</x:f>
        <x:v>3</x:v>
      </x:c>
      <x:c r="G293" s="94" t="str">
        <x:v>複数回答</x:v>
      </x:c>
    </x:row>
    <x:row r="294">
      <x:c r="A294" s="94" t="str">
        <x:v>問34</x:v>
      </x:c>
      <x:c r="B294" s="94" t="str">
        <x:v>差別や偏見、不利益を感じた場面はどこですか（あてはまるものすべて）</x:v>
      </x:c>
      <x:c r="C294" s="94" t="str">
        <x:v>地域活動・行事</x:v>
      </x:c>
      <x:c r="D294" s="94" t="n">
        <x:f>COUNTIF('データ'!NC$5:NC$7,"〇")</x:f>
        <x:v>1</x:v>
      </x:c>
      <x:c r="E294" s="104" t="n">
        <x:f>IF(F294=0,"",D294/F294)</x:f>
        <x:v>0.3333333333333333</x:v>
      </x:c>
      <x:c r="F294" s="94" t="n">
        <x:f>SUM('データ'!NJ$5:NJ$7)</x:f>
        <x:v>3</x:v>
      </x:c>
      <x:c r="G294" s="94" t="str">
        <x:v>複数回答</x:v>
      </x:c>
    </x:row>
    <x:row r="295">
      <x:c r="A295" s="94" t="str">
        <x:v>問34</x:v>
      </x:c>
      <x:c r="B295" s="94" t="str">
        <x:v>差別や偏見、不利益を感じた場面はどこですか（あてはまるものすべて）</x:v>
      </x:c>
      <x:c r="C295" s="94" t="str">
        <x:v>公共交通機関・飲食店・買い物等</x:v>
      </x:c>
      <x:c r="D295" s="94" t="n">
        <x:f>COUNTIF('データ'!ND$5:ND$7,"〇")</x:f>
        <x:v>2</x:v>
      </x:c>
      <x:c r="E295" s="104" t="n">
        <x:f>IF(F295=0,"",D295/F295)</x:f>
        <x:v>0.6666666666666666</x:v>
      </x:c>
      <x:c r="F295" s="94" t="n">
        <x:f>SUM('データ'!NJ$5:NJ$7)</x:f>
        <x:v>3</x:v>
      </x:c>
      <x:c r="G295" s="94" t="str">
        <x:v>複数回答</x:v>
      </x:c>
    </x:row>
    <x:row r="296">
      <x:c r="A296" s="94" t="str">
        <x:v>問34</x:v>
      </x:c>
      <x:c r="B296" s="94" t="str">
        <x:v>差別や偏見、不利益を感じた場面はどこですか（あてはまるものすべて）</x:v>
      </x:c>
      <x:c r="C296" s="94" t="str">
        <x:v>習い事</x:v>
      </x:c>
      <x:c r="D296" s="94" t="n">
        <x:f>COUNTIF('データ'!NE$5:NE$7,"〇")</x:f>
        <x:v>1</x:v>
      </x:c>
      <x:c r="E296" s="104" t="n">
        <x:f>IF(F296=0,"",D296/F296)</x:f>
        <x:v>0.3333333333333333</x:v>
      </x:c>
      <x:c r="F296" s="94" t="n">
        <x:f>SUM('データ'!NJ$5:NJ$7)</x:f>
        <x:v>3</x:v>
      </x:c>
      <x:c r="G296" s="94" t="str">
        <x:v>複数回答</x:v>
      </x:c>
    </x:row>
    <x:row r="297">
      <x:c r="A297" s="94" t="str">
        <x:v>問34</x:v>
      </x:c>
      <x:c r="B297" s="94" t="str">
        <x:v>差別や偏見、不利益を感じた場面はどこですか（あてはまるものすべて）</x:v>
      </x:c>
      <x:c r="C297" s="94" t="str">
        <x:v>インターネット・SNS</x:v>
      </x:c>
      <x:c r="D297" s="94" t="n">
        <x:f>COUNTIF('データ'!NF$5:NF$7,"〇")</x:f>
        <x:v>0</x:v>
      </x:c>
      <x:c r="E297" s="104" t="n">
        <x:f>IF(F297=0,"",D297/F297)</x:f>
        <x:v>0</x:v>
      </x:c>
      <x:c r="F297" s="94" t="n">
        <x:f>SUM('データ'!NJ$5:NJ$7)</x:f>
        <x:v>3</x:v>
      </x:c>
      <x:c r="G297" s="94" t="str">
        <x:v>複数回答</x:v>
      </x:c>
    </x:row>
    <x:row r="298">
      <x:c r="A298" s="94" t="str">
        <x:v>問34</x:v>
      </x:c>
      <x:c r="B298" s="94" t="str">
        <x:v>差別や偏見、不利益を感じた場面はどこですか（あてはまるものすべて）</x:v>
      </x:c>
      <x:c r="C298" s="94" t="str">
        <x:v>特にない</x:v>
      </x:c>
      <x:c r="D298" s="94" t="n">
        <x:f>COUNTIF('データ'!NG$5:NG$7,"〇")</x:f>
        <x:v>1</x:v>
      </x:c>
      <x:c r="E298" s="104" t="n">
        <x:f>IF(F298=0,"",D298/F298)</x:f>
        <x:v>0.3333333333333333</x:v>
      </x:c>
      <x:c r="F298" s="94" t="n">
        <x:f>SUM('データ'!NJ$5:NJ$7)</x:f>
        <x:v>3</x:v>
      </x:c>
      <x:c r="G298" s="94" t="str">
        <x:v>複数回答</x:v>
      </x:c>
    </x:row>
    <x:row r="299">
      <x:c r="A299" s="94" t="str">
        <x:v>問34</x:v>
      </x:c>
      <x:c r="B299" s="94" t="str">
        <x:v>差別や偏見、不利益を感じた場面はどこですか（あてはまるものすべて）</x:v>
      </x:c>
      <x:c r="C299" s="94" t="str">
        <x:v>その他</x:v>
      </x:c>
      <x:c r="D299" s="94" t="n">
        <x:f>COUNTIF('データ'!NH$5:NH$7,"〇")</x:f>
        <x:v>0</x:v>
      </x:c>
      <x:c r="E299" s="104" t="n">
        <x:f>IF(F299=0,"",D299/F299)</x:f>
        <x:v>0</x:v>
      </x:c>
      <x:c r="F299" s="94" t="n">
        <x:f>SUM('データ'!NJ$5:NJ$7)</x:f>
        <x:v>3</x:v>
      </x:c>
      <x:c r="G299" s="94" t="str">
        <x:v>複数回答</x:v>
      </x:c>
    </x:row>
    <x:row r="300">
      <x:c r="A300" s="94" t="str">
        <x:v>問35</x:v>
      </x:c>
      <x:c r="B300" s="94" t="str">
        <x:v>障がいのある人が利用しやすくするための配慮（合理的配慮）として必要だと思うことは何ですか（あてはまるものすべて）</x:v>
      </x:c>
      <x:c r="C300" s="94" t="str">
        <x:v>わかりやすい説明</x:v>
      </x:c>
      <x:c r="D300" s="94" t="n">
        <x:f>COUNTIF('データ'!NK$5:NK$7,"〇")</x:f>
        <x:v>3</x:v>
      </x:c>
      <x:c r="E300" s="104" t="n">
        <x:f>IF(F300=0,"",D300/F300)</x:f>
        <x:v>1</x:v>
      </x:c>
      <x:c r="F300" s="94" t="n">
        <x:f>SUM('データ'!NU$5:NU$7)</x:f>
        <x:v>3</x:v>
      </x:c>
      <x:c r="G300" s="94" t="str">
        <x:v>複数回答</x:v>
      </x:c>
    </x:row>
    <x:row r="301">
      <x:c r="A301" s="94" t="str">
        <x:v>問35</x:v>
      </x:c>
      <x:c r="B301" s="94" t="str">
        <x:v>障がいのある人が利用しやすくするための配慮（合理的配慮）として必要だと思うことは何ですか（あてはまるものすべて）</x:v>
      </x:c>
      <x:c r="C301" s="94" t="str">
        <x:v>筆談・手話・要約筆記・字幕等の意思疎通支援</x:v>
      </x:c>
      <x:c r="D301" s="94" t="n">
        <x:f>COUNTIF('データ'!NL$5:NL$7,"〇")</x:f>
        <x:v>1</x:v>
      </x:c>
      <x:c r="E301" s="104" t="n">
        <x:f>IF(F301=0,"",D301/F301)</x:f>
        <x:v>0.3333333333333333</x:v>
      </x:c>
      <x:c r="F301" s="94" t="n">
        <x:f>SUM('データ'!NU$5:NU$7)</x:f>
        <x:v>3</x:v>
      </x:c>
      <x:c r="G301" s="94" t="str">
        <x:v>複数回答</x:v>
      </x:c>
    </x:row>
    <x:row r="302">
      <x:c r="A302" s="94" t="str">
        <x:v>問35</x:v>
      </x:c>
      <x:c r="B302" s="94" t="str">
        <x:v>障がいのある人が利用しやすくするための配慮（合理的配慮）として必要だと思うことは何ですか（あてはまるものすべて）</x:v>
      </x:c>
      <x:c r="C302" s="94" t="str">
        <x:v>静かな場所での相談</x:v>
      </x:c>
      <x:c r="D302" s="94" t="n">
        <x:f>COUNTIF('データ'!NM$5:NM$7,"〇")</x:f>
        <x:v>1</x:v>
      </x:c>
      <x:c r="E302" s="104" t="n">
        <x:f>IF(F302=0,"",D302/F302)</x:f>
        <x:v>0.3333333333333333</x:v>
      </x:c>
      <x:c r="F302" s="94" t="n">
        <x:f>SUM('データ'!NU$5:NU$7)</x:f>
        <x:v>3</x:v>
      </x:c>
      <x:c r="G302" s="94" t="str">
        <x:v>複数回答</x:v>
      </x:c>
    </x:row>
    <x:row r="303">
      <x:c r="A303" s="94" t="str">
        <x:v>問35</x:v>
      </x:c>
      <x:c r="B303" s="94" t="str">
        <x:v>障がいのある人が利用しやすくするための配慮（合理的配慮）として必要だと思うことは何ですか（あてはまるものすべて）</x:v>
      </x:c>
      <x:c r="C303" s="94" t="str">
        <x:v>移動しやすい環境</x:v>
      </x:c>
      <x:c r="D303" s="94" t="n">
        <x:f>COUNTIF('データ'!NN$5:NN$7,"〇")</x:f>
        <x:v>1</x:v>
      </x:c>
      <x:c r="E303" s="104" t="n">
        <x:f>IF(F303=0,"",D303/F303)</x:f>
        <x:v>0.3333333333333333</x:v>
      </x:c>
      <x:c r="F303" s="94" t="n">
        <x:f>SUM('データ'!NU$5:NU$7)</x:f>
        <x:v>3</x:v>
      </x:c>
      <x:c r="G303" s="94" t="str">
        <x:v>複数回答</x:v>
      </x:c>
    </x:row>
    <x:row r="304">
      <x:c r="A304" s="94" t="str">
        <x:v>問35</x:v>
      </x:c>
      <x:c r="B304" s="94" t="str">
        <x:v>障がいのある人が利用しやすくするための配慮（合理的配慮）として必要だと思うことは何ですか（あてはまるものすべて）</x:v>
      </x:c>
      <x:c r="C304" s="94" t="str">
        <x:v>手続きの支援</x:v>
      </x:c>
      <x:c r="D304" s="94" t="n">
        <x:f>COUNTIF('データ'!NO$5:NO$7,"〇")</x:f>
        <x:v>2</x:v>
      </x:c>
      <x:c r="E304" s="104" t="n">
        <x:f>IF(F304=0,"",D304/F304)</x:f>
        <x:v>0.6666666666666666</x:v>
      </x:c>
      <x:c r="F304" s="94" t="n">
        <x:f>SUM('データ'!NU$5:NU$7)</x:f>
        <x:v>3</x:v>
      </x:c>
      <x:c r="G304" s="94" t="str">
        <x:v>複数回答</x:v>
      </x:c>
    </x:row>
    <x:row r="305">
      <x:c r="A305" s="94" t="str">
        <x:v>問35</x:v>
      </x:c>
      <x:c r="B305" s="94" t="str">
        <x:v>障がいのある人が利用しやすくするための配慮（合理的配慮）として必要だと思うことは何ですか（あてはまるものすべて）</x:v>
      </x:c>
      <x:c r="C305" s="94" t="str">
        <x:v>本人の意思確認を丁寧に行うこと</x:v>
      </x:c>
      <x:c r="D305" s="94" t="n">
        <x:f>COUNTIF('データ'!NP$5:NP$7,"〇")</x:f>
        <x:v>2</x:v>
      </x:c>
      <x:c r="E305" s="104" t="n">
        <x:f>IF(F305=0,"",D305/F305)</x:f>
        <x:v>0.6666666666666666</x:v>
      </x:c>
      <x:c r="F305" s="94" t="n">
        <x:f>SUM('データ'!NU$5:NU$7)</x:f>
        <x:v>3</x:v>
      </x:c>
      <x:c r="G305" s="94" t="str">
        <x:v>複数回答</x:v>
      </x:c>
    </x:row>
    <x:row r="306">
      <x:c r="A306" s="94" t="str">
        <x:v>問35</x:v>
      </x:c>
      <x:c r="B306" s="94" t="str">
        <x:v>障がいのある人が利用しやすくするための配慮（合理的配慮）として必要だと思うことは何ですか（あてはまるものすべて）</x:v>
      </x:c>
      <x:c r="C306" s="94" t="str">
        <x:v>職場・学校での配慮</x:v>
      </x:c>
      <x:c r="D306" s="94" t="n">
        <x:f>COUNTIF('データ'!NQ$5:NQ$7,"〇")</x:f>
        <x:v>3</x:v>
      </x:c>
      <x:c r="E306" s="104" t="n">
        <x:f>IF(F306=0,"",D306/F306)</x:f>
        <x:v>1</x:v>
      </x:c>
      <x:c r="F306" s="94" t="n">
        <x:f>SUM('データ'!NU$5:NU$7)</x:f>
        <x:v>3</x:v>
      </x:c>
      <x:c r="G306" s="94" t="str">
        <x:v>複数回答</x:v>
      </x:c>
    </x:row>
    <x:row r="307">
      <x:c r="A307" s="94" t="str">
        <x:v>問35</x:v>
      </x:c>
      <x:c r="B307" s="94" t="str">
        <x:v>障がいのある人が利用しやすくするための配慮（合理的配慮）として必要だと思うことは何ですか（あてはまるものすべて）</x:v>
      </x:c>
      <x:c r="C307" s="94" t="str">
        <x:v>特にない</x:v>
      </x:c>
      <x:c r="D307" s="94" t="n">
        <x:f>COUNTIF('データ'!NR$5:NR$7,"〇")</x:f>
        <x:v>0</x:v>
      </x:c>
      <x:c r="E307" s="104" t="n">
        <x:f>IF(F307=0,"",D307/F307)</x:f>
        <x:v>0</x:v>
      </x:c>
      <x:c r="F307" s="94" t="n">
        <x:f>SUM('データ'!NU$5:NU$7)</x:f>
        <x:v>3</x:v>
      </x:c>
      <x:c r="G307" s="94" t="str">
        <x:v>複数回答</x:v>
      </x:c>
    </x:row>
    <x:row r="308">
      <x:c r="A308" s="94" t="str">
        <x:v>問35</x:v>
      </x:c>
      <x:c r="B308" s="94" t="str">
        <x:v>障がいのある人が利用しやすくするための配慮（合理的配慮）として必要だと思うことは何ですか（あてはまるものすべて）</x:v>
      </x:c>
      <x:c r="C308" s="94" t="str">
        <x:v>その他</x:v>
      </x:c>
      <x:c r="D308" s="94" t="n">
        <x:f>COUNTIF('データ'!NS$5:NS$7,"〇")</x:f>
        <x:v>0</x:v>
      </x:c>
      <x:c r="E308" s="104" t="n">
        <x:f>IF(F308=0,"",D308/F308)</x:f>
        <x:v>0</x:v>
      </x:c>
      <x:c r="F308" s="94" t="n">
        <x:f>SUM('データ'!NU$5:NU$7)</x:f>
        <x:v>3</x:v>
      </x:c>
      <x:c r="G308" s="94" t="str">
        <x:v>複数回答</x:v>
      </x:c>
    </x:row>
    <x:row r="309">
      <x:c r="A309" s="94" t="str">
        <x:v>問36</x:v>
      </x:c>
      <x:c r="B309" s="94" t="str">
        <x:v>成年後見制度や権利擁護支援について知っていますか</x:v>
      </x:c>
      <x:c r="C309" s="94" t="str">
        <x:v>利用している</x:v>
      </x:c>
      <x:c r="D309" s="94" t="n">
        <x:f>COUNTIF('データ'!NV$5:NV$7,"〇")</x:f>
        <x:v>0</x:v>
      </x:c>
      <x:c r="E309" s="104" t="n">
        <x:f>IF(F309=0,"",D309/F309)</x:f>
        <x:v>0</x:v>
      </x:c>
      <x:c r="F309" s="94" t="n">
        <x:f>SUM('データ'!OA$5:OA$7)</x:f>
        <x:v>3</x:v>
      </x:c>
      <x:c r="G309" s="94" t="str">
        <x:v>単一回答</x:v>
      </x:c>
    </x:row>
    <x:row r="310">
      <x:c r="A310" s="94" t="str">
        <x:v>問36</x:v>
      </x:c>
      <x:c r="B310" s="94" t="str">
        <x:v>成年後見制度や権利擁護支援について知っていますか</x:v>
      </x:c>
      <x:c r="C310" s="94" t="str">
        <x:v>知っている</x:v>
      </x:c>
      <x:c r="D310" s="94" t="n">
        <x:f>COUNTIF('データ'!NW$5:NW$7,"〇")</x:f>
        <x:v>0</x:v>
      </x:c>
      <x:c r="E310" s="104" t="n">
        <x:f>IF(F310=0,"",D310/F310)</x:f>
        <x:v>0</x:v>
      </x:c>
      <x:c r="F310" s="94" t="n">
        <x:f>SUM('データ'!OA$5:OA$7)</x:f>
        <x:v>3</x:v>
      </x:c>
      <x:c r="G310" s="94" t="str">
        <x:v>単一回答</x:v>
      </x:c>
    </x:row>
    <x:row r="311">
      <x:c r="A311" s="94" t="str">
        <x:v>問36</x:v>
      </x:c>
      <x:c r="B311" s="94" t="str">
        <x:v>成年後見制度や権利擁護支援について知っていますか</x:v>
      </x:c>
      <x:c r="C311" s="94" t="str">
        <x:v>名前だけ聞いたことがある</x:v>
      </x:c>
      <x:c r="D311" s="94" t="n">
        <x:f>COUNTIF('データ'!NX$5:NX$7,"〇")</x:f>
        <x:v>0</x:v>
      </x:c>
      <x:c r="E311" s="104" t="n">
        <x:f>IF(F311=0,"",D311/F311)</x:f>
        <x:v>0</x:v>
      </x:c>
      <x:c r="F311" s="94" t="n">
        <x:f>SUM('データ'!OA$5:OA$7)</x:f>
        <x:v>3</x:v>
      </x:c>
      <x:c r="G311" s="94" t="str">
        <x:v>単一回答</x:v>
      </x:c>
    </x:row>
    <x:row r="312">
      <x:c r="A312" s="94" t="str">
        <x:v>問36</x:v>
      </x:c>
      <x:c r="B312" s="94" t="str">
        <x:v>成年後見制度や権利擁護支援について知っていますか</x:v>
      </x:c>
      <x:c r="C312" s="94" t="str">
        <x:v>利用したいが手続きがわからない</x:v>
      </x:c>
      <x:c r="D312" s="94" t="n">
        <x:f>COUNTIF('データ'!NY$5:NY$7,"〇")</x:f>
        <x:v>0</x:v>
      </x:c>
      <x:c r="E312" s="104" t="n">
        <x:f>IF(F312=0,"",D312/F312)</x:f>
        <x:v>0</x:v>
      </x:c>
      <x:c r="F312" s="94" t="n">
        <x:f>SUM('データ'!OA$5:OA$7)</x:f>
        <x:v>3</x:v>
      </x:c>
      <x:c r="G312" s="94" t="str">
        <x:v>単一回答</x:v>
      </x:c>
    </x:row>
    <x:row r="313">
      <x:c r="A313" s="94" t="str">
        <x:v>問36</x:v>
      </x:c>
      <x:c r="B313" s="94" t="str">
        <x:v>成年後見制度や権利擁護支援について知っていますか</x:v>
      </x:c>
      <x:c r="C313" s="94" t="str">
        <x:v>知らない</x:v>
      </x:c>
      <x:c r="D313" s="94" t="n">
        <x:f>COUNTIF('データ'!NZ$5:NZ$7,"〇")</x:f>
        <x:v>3</x:v>
      </x:c>
      <x:c r="E313" s="104" t="n">
        <x:f>IF(F313=0,"",D313/F313)</x:f>
        <x:v>1</x:v>
      </x:c>
      <x:c r="F313" s="94" t="n">
        <x:f>SUM('データ'!OA$5:OA$7)</x:f>
        <x:v>3</x:v>
      </x:c>
      <x:c r="G313" s="94" t="str">
        <x:v>単一回答</x:v>
      </x:c>
    </x:row>
    <x:row r="314">
      <x:c r="A314" s="94" t="str">
        <x:v>問37</x:v>
      </x:c>
      <x:c r="B314" s="94" t="str">
        <x:v>災害時に不安なことは何ですか（あてはまるものすべて）</x:v>
      </x:c>
      <x:c r="C314" s="94" t="str">
        <x:v>避難する方法</x:v>
      </x:c>
      <x:c r="D314" s="94" t="n">
        <x:f>COUNTIF('データ'!OB$5:OB$7,"〇")</x:f>
        <x:v>1</x:v>
      </x:c>
      <x:c r="E314" s="104" t="n">
        <x:f>IF(F314=0,"",D314/F314)</x:f>
        <x:v>0.3333333333333333</x:v>
      </x:c>
      <x:c r="F314" s="94" t="n">
        <x:f>SUM('データ'!OM$5:OM$7)</x:f>
        <x:v>3</x:v>
      </x:c>
      <x:c r="G314" s="94" t="str">
        <x:v>複数回答</x:v>
      </x:c>
    </x:row>
    <x:row r="315">
      <x:c r="A315" s="94" t="str">
        <x:v>問37</x:v>
      </x:c>
      <x:c r="B315" s="94" t="str">
        <x:v>災害時に不安なことは何ですか（あてはまるものすべて）</x:v>
      </x:c>
      <x:c r="C315" s="94" t="str">
        <x:v>避難先での生活</x:v>
      </x:c>
      <x:c r="D315" s="94" t="n">
        <x:f>COUNTIF('データ'!OC$5:OC$7,"〇")</x:f>
        <x:v>2</x:v>
      </x:c>
      <x:c r="E315" s="104" t="n">
        <x:f>IF(F315=0,"",D315/F315)</x:f>
        <x:v>0.6666666666666666</x:v>
      </x:c>
      <x:c r="F315" s="94" t="n">
        <x:f>SUM('データ'!OM$5:OM$7)</x:f>
        <x:v>3</x:v>
      </x:c>
      <x:c r="G315" s="94" t="str">
        <x:v>複数回答</x:v>
      </x:c>
    </x:row>
    <x:row r="316">
      <x:c r="A316" s="94" t="str">
        <x:v>問37</x:v>
      </x:c>
      <x:c r="B316" s="94" t="str">
        <x:v>災害時に不安なことは何ですか（あてはまるものすべて）</x:v>
      </x:c>
      <x:c r="C316" s="94" t="str">
        <x:v>薬・医療機器</x:v>
      </x:c>
      <x:c r="D316" s="94" t="n">
        <x:f>COUNTIF('データ'!OD$5:OD$7,"〇")</x:f>
        <x:v>2</x:v>
      </x:c>
      <x:c r="E316" s="104" t="n">
        <x:f>IF(F316=0,"",D316/F316)</x:f>
        <x:v>0.6666666666666666</x:v>
      </x:c>
      <x:c r="F316" s="94" t="n">
        <x:f>SUM('データ'!OM$5:OM$7)</x:f>
        <x:v>3</x:v>
      </x:c>
      <x:c r="G316" s="94" t="str">
        <x:v>複数回答</x:v>
      </x:c>
    </x:row>
    <x:row r="317">
      <x:c r="A317" s="94" t="str">
        <x:v>問37</x:v>
      </x:c>
      <x:c r="B317" s="94" t="str">
        <x:v>災害時に不安なことは何ですか（あてはまるものすべて）</x:v>
      </x:c>
      <x:c r="C317" s="94" t="str">
        <x:v>電源の確保</x:v>
      </x:c>
      <x:c r="D317" s="94" t="n">
        <x:f>COUNTIF('データ'!OE$5:OE$7,"〇")</x:f>
        <x:v>0</x:v>
      </x:c>
      <x:c r="E317" s="104" t="n">
        <x:f>IF(F317=0,"",D317/F317)</x:f>
        <x:v>0</x:v>
      </x:c>
      <x:c r="F317" s="94" t="n">
        <x:f>SUM('データ'!OM$5:OM$7)</x:f>
        <x:v>3</x:v>
      </x:c>
      <x:c r="G317" s="94" t="str">
        <x:v>複数回答</x:v>
      </x:c>
    </x:row>
    <x:row r="318">
      <x:c r="A318" s="94" t="str">
        <x:v>問37</x:v>
      </x:c>
      <x:c r="B318" s="94" t="str">
        <x:v>災害時に不安なことは何ですか（あてはまるものすべて）</x:v>
      </x:c>
      <x:c r="C318" s="94" t="str">
        <x:v>介助者がいないこと</x:v>
      </x:c>
      <x:c r="D318" s="94" t="n">
        <x:f>COUNTIF('データ'!OF$5:OF$7,"〇")</x:f>
        <x:v>0</x:v>
      </x:c>
      <x:c r="E318" s="104" t="n">
        <x:f>IF(F318=0,"",D318/F318)</x:f>
        <x:v>0</x:v>
      </x:c>
      <x:c r="F318" s="94" t="n">
        <x:f>SUM('データ'!OM$5:OM$7)</x:f>
        <x:v>3</x:v>
      </x:c>
      <x:c r="G318" s="94" t="str">
        <x:v>複数回答</x:v>
      </x:c>
    </x:row>
    <x:row r="319">
      <x:c r="A319" s="94" t="str">
        <x:v>問37</x:v>
      </x:c>
      <x:c r="B319" s="94" t="str">
        <x:v>災害時に不安なことは何ですか（あてはまるものすべて）</x:v>
      </x:c>
      <x:c r="C319" s="94" t="str">
        <x:v>情報が届かないこと</x:v>
      </x:c>
      <x:c r="D319" s="94" t="n">
        <x:f>COUNTIF('データ'!OG$5:OG$7,"〇")</x:f>
        <x:v>1</x:v>
      </x:c>
      <x:c r="E319" s="104" t="n">
        <x:f>IF(F319=0,"",D319/F319)</x:f>
        <x:v>0.3333333333333333</x:v>
      </x:c>
      <x:c r="F319" s="94" t="n">
        <x:f>SUM('データ'!OM$5:OM$7)</x:f>
        <x:v>3</x:v>
      </x:c>
      <x:c r="G319" s="94" t="str">
        <x:v>複数回答</x:v>
      </x:c>
    </x:row>
    <x:row r="320">
      <x:c r="A320" s="94" t="str">
        <x:v>問37</x:v>
      </x:c>
      <x:c r="B320" s="94" t="str">
        <x:v>災害時に不安なことは何ですか（あてはまるものすべて）</x:v>
      </x:c>
      <x:c r="C320" s="94" t="str">
        <x:v>冬季・積雪時の避難</x:v>
      </x:c>
      <x:c r="D320" s="94" t="n">
        <x:f>COUNTIF('データ'!OH$5:OH$7,"〇")</x:f>
        <x:v>2</x:v>
      </x:c>
      <x:c r="E320" s="104" t="n">
        <x:f>IF(F320=0,"",D320/F320)</x:f>
        <x:v>0.6666666666666666</x:v>
      </x:c>
      <x:c r="F320" s="94" t="n">
        <x:f>SUM('データ'!OM$5:OM$7)</x:f>
        <x:v>3</x:v>
      </x:c>
      <x:c r="G320" s="94" t="str">
        <x:v>複数回答</x:v>
      </x:c>
    </x:row>
    <x:row r="321">
      <x:c r="A321" s="94" t="str">
        <x:v>問37</x:v>
      </x:c>
      <x:c r="B321" s="94" t="str">
        <x:v>災害時に不安なことは何ですか（あてはまるものすべて）</x:v>
      </x:c>
      <x:c r="C321" s="94" t="str">
        <x:v>ペット・補助犬等</x:v>
      </x:c>
      <x:c r="D321" s="94" t="n">
        <x:f>COUNTIF('データ'!OI$5:OI$7,"〇")</x:f>
        <x:v>0</x:v>
      </x:c>
      <x:c r="E321" s="104" t="n">
        <x:f>IF(F321=0,"",D321/F321)</x:f>
        <x:v>0</x:v>
      </x:c>
      <x:c r="F321" s="94" t="n">
        <x:f>SUM('データ'!OM$5:OM$7)</x:f>
        <x:v>3</x:v>
      </x:c>
      <x:c r="G321" s="94" t="str">
        <x:v>複数回答</x:v>
      </x:c>
    </x:row>
    <x:row r="322">
      <x:c r="A322" s="94" t="str">
        <x:v>問37</x:v>
      </x:c>
      <x:c r="B322" s="94" t="str">
        <x:v>災害時に不安なことは何ですか（あてはまるものすべて）</x:v>
      </x:c>
      <x:c r="C322" s="94" t="str">
        <x:v>特に不安はない</x:v>
      </x:c>
      <x:c r="D322" s="94" t="n">
        <x:f>COUNTIF('データ'!OJ$5:OJ$7,"〇")</x:f>
        <x:v>0</x:v>
      </x:c>
      <x:c r="E322" s="104" t="n">
        <x:f>IF(F322=0,"",D322/F322)</x:f>
        <x:v>0</x:v>
      </x:c>
      <x:c r="F322" s="94" t="n">
        <x:f>SUM('データ'!OM$5:OM$7)</x:f>
        <x:v>3</x:v>
      </x:c>
      <x:c r="G322" s="94" t="str">
        <x:v>複数回答</x:v>
      </x:c>
    </x:row>
    <x:row r="323">
      <x:c r="A323" s="94" t="str">
        <x:v>問37</x:v>
      </x:c>
      <x:c r="B323" s="94" t="str">
        <x:v>災害時に不安なことは何ですか（あてはまるものすべて）</x:v>
      </x:c>
      <x:c r="C323" s="94" t="str">
        <x:v>その他</x:v>
      </x:c>
      <x:c r="D323" s="94" t="n">
        <x:f>COUNTIF('データ'!OK$5:OK$7,"〇")</x:f>
        <x:v>0</x:v>
      </x:c>
      <x:c r="E323" s="104" t="n">
        <x:f>IF(F323=0,"",D323/F323)</x:f>
        <x:v>0</x:v>
      </x:c>
      <x:c r="F323" s="94" t="n">
        <x:f>SUM('データ'!OM$5:OM$7)</x:f>
        <x:v>3</x:v>
      </x:c>
      <x:c r="G323" s="94" t="str">
        <x:v>複数回答</x:v>
      </x:c>
    </x:row>
    <x:row r="324">
      <x:c r="A324" s="94" t="str">
        <x:v>問38</x:v>
      </x:c>
      <x:c r="B324" s="94" t="str">
        <x:v>避難行動要支援者名簿や個別避難計画について知っていますか</x:v>
      </x:c>
      <x:c r="C324" s="94" t="str">
        <x:v>制度を知っており作成したい</x:v>
      </x:c>
      <x:c r="D324" s="94" t="n">
        <x:f>COUNTIF('データ'!ON$5:ON$7,"〇")</x:f>
        <x:v>0</x:v>
      </x:c>
      <x:c r="E324" s="104" t="n">
        <x:f>IF(F324=0,"",D324/F324)</x:f>
        <x:v>0</x:v>
      </x:c>
      <x:c r="F324" s="94" t="n">
        <x:f>SUM('データ'!OR$5:OR$7)</x:f>
        <x:v>3</x:v>
      </x:c>
      <x:c r="G324" s="94" t="str">
        <x:v>単一回答</x:v>
      </x:c>
    </x:row>
    <x:row r="325">
      <x:c r="A325" s="94" t="str">
        <x:v>問38</x:v>
      </x:c>
      <x:c r="B325" s="94" t="str">
        <x:v>避難行動要支援者名簿や個別避難計画について知っていますか</x:v>
      </x:c>
      <x:c r="C325" s="94" t="str">
        <x:v>名前だけ聞いたことがある</x:v>
      </x:c>
      <x:c r="D325" s="94" t="n">
        <x:f>COUNTIF('データ'!OO$5:OO$7,"〇")</x:f>
        <x:v>0</x:v>
      </x:c>
      <x:c r="E325" s="104" t="n">
        <x:f>IF(F325=0,"",D325/F325)</x:f>
        <x:v>0</x:v>
      </x:c>
      <x:c r="F325" s="94" t="n">
        <x:f>SUM('データ'!OR$5:OR$7)</x:f>
        <x:v>3</x:v>
      </x:c>
      <x:c r="G325" s="94" t="str">
        <x:v>単一回答</x:v>
      </x:c>
    </x:row>
    <x:row r="326">
      <x:c r="A326" s="94" t="str">
        <x:v>問38</x:v>
      </x:c>
      <x:c r="B326" s="94" t="str">
        <x:v>避難行動要支援者名簿や個別避難計画について知っていますか</x:v>
      </x:c>
      <x:c r="C326" s="94" t="str">
        <x:v>知らない</x:v>
      </x:c>
      <x:c r="D326" s="94" t="n">
        <x:f>COUNTIF('データ'!OP$5:OP$7,"〇")</x:f>
        <x:v>3</x:v>
      </x:c>
      <x:c r="E326" s="104" t="n">
        <x:f>IF(F326=0,"",D326/F326)</x:f>
        <x:v>1</x:v>
      </x:c>
      <x:c r="F326" s="94" t="n">
        <x:f>SUM('データ'!OR$5:OR$7)</x:f>
        <x:v>3</x:v>
      </x:c>
      <x:c r="G326" s="94" t="str">
        <x:v>単一回答</x:v>
      </x:c>
    </x:row>
    <x:row r="327">
      <x:c r="A327" s="94" t="str">
        <x:v>問38</x:v>
      </x:c>
      <x:c r="B327" s="94" t="str">
        <x:v>避難行動要支援者名簿や個別避難計画について知っていますか</x:v>
      </x:c>
      <x:c r="C327" s="94" t="str">
        <x:v>必要ない</x:v>
      </x:c>
      <x:c r="D327" s="94" t="n">
        <x:f>COUNTIF('データ'!OQ$5:OQ$7,"〇")</x:f>
        <x:v>0</x:v>
      </x:c>
      <x:c r="E327" s="104" t="n">
        <x:f>IF(F327=0,"",D327/F327)</x:f>
        <x:v>0</x:v>
      </x:c>
      <x:c r="F327" s="94" t="n">
        <x:f>SUM('データ'!OR$5:OR$7)</x:f>
        <x:v>3</x:v>
      </x:c>
      <x:c r="G327" s="94" t="str">
        <x:v>単一回答</x:v>
      </x:c>
    </x:row>
    <x:row r="328">
      <x:c r="A328" s="94" t="str">
        <x:v>問39</x:v>
      </x:c>
      <x:c r="B328" s="94" t="str">
        <x:v>災害時に支援してくれる人や機関はありますか（あてはまるものすべて）</x:v>
      </x:c>
      <x:c r="C328" s="94" t="str">
        <x:v>家族・親族</x:v>
      </x:c>
      <x:c r="D328" s="94" t="n">
        <x:f>COUNTIF('データ'!OS$5:OS$7,"〇")</x:f>
        <x:v>3</x:v>
      </x:c>
      <x:c r="E328" s="104" t="n">
        <x:f>IF(F328=0,"",D328/F328)</x:f>
        <x:v>1</x:v>
      </x:c>
      <x:c r="F328" s="94" t="n">
        <x:f>SUM('データ'!PF$5:PF$7)</x:f>
        <x:v>3</x:v>
      </x:c>
      <x:c r="G328" s="94" t="str">
        <x:v>複数回答</x:v>
      </x:c>
    </x:row>
    <x:row r="329">
      <x:c r="A329" s="94" t="str">
        <x:v>問39</x:v>
      </x:c>
      <x:c r="B329" s="94" t="str">
        <x:v>災害時に支援してくれる人や機関はありますか（あてはまるものすべて）</x:v>
      </x:c>
      <x:c r="C329" s="94" t="str">
        <x:v>友人・知人</x:v>
      </x:c>
      <x:c r="D329" s="94" t="n">
        <x:f>COUNTIF('データ'!OT$5:OT$7,"〇")</x:f>
        <x:v>0</x:v>
      </x:c>
      <x:c r="E329" s="104" t="n">
        <x:f>IF(F329=0,"",D329/F329)</x:f>
        <x:v>0</x:v>
      </x:c>
      <x:c r="F329" s="94" t="n">
        <x:f>SUM('データ'!PF$5:PF$7)</x:f>
        <x:v>3</x:v>
      </x:c>
      <x:c r="G329" s="94" t="str">
        <x:v>複数回答</x:v>
      </x:c>
    </x:row>
    <x:row r="330">
      <x:c r="A330" s="94" t="str">
        <x:v>問39</x:v>
      </x:c>
      <x:c r="B330" s="94" t="str">
        <x:v>災害時に支援してくれる人や機関はありますか（あてはまるものすべて）</x:v>
      </x:c>
      <x:c r="C330" s="94" t="str">
        <x:v>村役場</x:v>
      </x:c>
      <x:c r="D330" s="94" t="n">
        <x:f>COUNTIF('データ'!OU$5:OU$7,"〇")</x:f>
        <x:v>0</x:v>
      </x:c>
      <x:c r="E330" s="104" t="n">
        <x:f>IF(F330=0,"",D330/F330)</x:f>
        <x:v>0</x:v>
      </x:c>
      <x:c r="F330" s="94" t="n">
        <x:f>SUM('データ'!PF$5:PF$7)</x:f>
        <x:v>3</x:v>
      </x:c>
      <x:c r="G330" s="94" t="str">
        <x:v>複数回答</x:v>
      </x:c>
    </x:row>
    <x:row r="331">
      <x:c r="A331" s="94" t="str">
        <x:v>問39</x:v>
      </x:c>
      <x:c r="B331" s="94" t="str">
        <x:v>災害時に支援してくれる人や機関はありますか（あてはまるものすべて）</x:v>
      </x:c>
      <x:c r="C331" s="94" t="str">
        <x:v>相談支援専門員</x:v>
      </x:c>
      <x:c r="D331" s="94" t="n">
        <x:f>COUNTIF('データ'!OV$5:OV$7,"〇")</x:f>
        <x:v>0</x:v>
      </x:c>
      <x:c r="E331" s="104" t="n">
        <x:f>IF(F331=0,"",D331/F331)</x:f>
        <x:v>0</x:v>
      </x:c>
      <x:c r="F331" s="94" t="n">
        <x:f>SUM('データ'!PF$5:PF$7)</x:f>
        <x:v>3</x:v>
      </x:c>
      <x:c r="G331" s="94" t="str">
        <x:v>複数回答</x:v>
      </x:c>
    </x:row>
    <x:row r="332">
      <x:c r="A332" s="94" t="str">
        <x:v>問39</x:v>
      </x:c>
      <x:c r="B332" s="94" t="str">
        <x:v>災害時に支援してくれる人や機関はありますか（あてはまるものすべて）</x:v>
      </x:c>
      <x:c r="C332" s="94" t="str">
        <x:v>福祉サービス事業所</x:v>
      </x:c>
      <x:c r="D332" s="94" t="n">
        <x:f>COUNTIF('データ'!OW$5:OW$7,"〇")</x:f>
        <x:v>0</x:v>
      </x:c>
      <x:c r="E332" s="104" t="n">
        <x:f>IF(F332=0,"",D332/F332)</x:f>
        <x:v>0</x:v>
      </x:c>
      <x:c r="F332" s="94" t="n">
        <x:f>SUM('データ'!PF$5:PF$7)</x:f>
        <x:v>3</x:v>
      </x:c>
      <x:c r="G332" s="94" t="str">
        <x:v>複数回答</x:v>
      </x:c>
    </x:row>
    <x:row r="333">
      <x:c r="A333" s="94" t="str">
        <x:v>問39</x:v>
      </x:c>
      <x:c r="B333" s="94" t="str">
        <x:v>災害時に支援してくれる人や機関はありますか（あてはまるものすべて）</x:v>
      </x:c>
      <x:c r="C333" s="94" t="str">
        <x:v>医療機関</x:v>
      </x:c>
      <x:c r="D333" s="94" t="n">
        <x:f>COUNTIF('データ'!OX$5:OX$7,"〇")</x:f>
        <x:v>0</x:v>
      </x:c>
      <x:c r="E333" s="104" t="n">
        <x:f>IF(F333=0,"",D333/F333)</x:f>
        <x:v>0</x:v>
      </x:c>
      <x:c r="F333" s="94" t="n">
        <x:f>SUM('データ'!PF$5:PF$7)</x:f>
        <x:v>3</x:v>
      </x:c>
      <x:c r="G333" s="94" t="str">
        <x:v>複数回答</x:v>
      </x:c>
    </x:row>
    <x:row r="334">
      <x:c r="A334" s="94" t="str">
        <x:v>問39</x:v>
      </x:c>
      <x:c r="B334" s="94" t="str">
        <x:v>災害時に支援してくれる人や機関はありますか（あてはまるものすべて）</x:v>
      </x:c>
      <x:c r="C334" s="94" t="str">
        <x:v>学校・保育所等</x:v>
      </x:c>
      <x:c r="D334" s="94" t="n">
        <x:f>COUNTIF('データ'!OY$5:OY$7,"〇")</x:f>
        <x:v>0</x:v>
      </x:c>
      <x:c r="E334" s="104" t="n">
        <x:f>IF(F334=0,"",D334/F334)</x:f>
        <x:v>0</x:v>
      </x:c>
      <x:c r="F334" s="94" t="n">
        <x:f>SUM('データ'!PF$5:PF$7)</x:f>
        <x:v>3</x:v>
      </x:c>
      <x:c r="G334" s="94" t="str">
        <x:v>複数回答</x:v>
      </x:c>
    </x:row>
    <x:row r="335">
      <x:c r="A335" s="94" t="str">
        <x:v>問39</x:v>
      </x:c>
      <x:c r="B335" s="94" t="str">
        <x:v>災害時に支援してくれる人や機関はありますか（あてはまるものすべて）</x:v>
      </x:c>
      <x:c r="C335" s="94" t="str">
        <x:v>SNS・インターネット・AI</x:v>
      </x:c>
      <x:c r="D335" s="94" t="n">
        <x:f>COUNTIF('データ'!OZ$5:OZ$7,"〇")</x:f>
        <x:v>0</x:v>
      </x:c>
      <x:c r="E335" s="104" t="n">
        <x:f>IF(F335=0,"",D335/F335)</x:f>
        <x:v>0</x:v>
      </x:c>
      <x:c r="F335" s="94" t="n">
        <x:f>SUM('データ'!PF$5:PF$7)</x:f>
        <x:v>3</x:v>
      </x:c>
      <x:c r="G335" s="94" t="str">
        <x:v>複数回答</x:v>
      </x:c>
    </x:row>
    <x:row r="336">
      <x:c r="A336" s="94" t="str">
        <x:v>問39</x:v>
      </x:c>
      <x:c r="B336" s="94" t="str">
        <x:v>災害時に支援してくれる人や機関はありますか（あてはまるものすべて）</x:v>
      </x:c>
      <x:c r="C336" s="94" t="str">
        <x:v>社会福祉協議会</x:v>
      </x:c>
      <x:c r="D336" s="94" t="n">
        <x:f>COUNTIF('データ'!PA$5:PA$7,"〇")</x:f>
        <x:v>0</x:v>
      </x:c>
      <x:c r="E336" s="104" t="n">
        <x:f>IF(F336=0,"",D336/F336)</x:f>
        <x:v>0</x:v>
      </x:c>
      <x:c r="F336" s="94" t="n">
        <x:f>SUM('データ'!PF$5:PF$7)</x:f>
        <x:v>3</x:v>
      </x:c>
      <x:c r="G336" s="94" t="str">
        <x:v>複数回答</x:v>
      </x:c>
    </x:row>
    <x:row r="337">
      <x:c r="A337" s="94" t="str">
        <x:v>問39</x:v>
      </x:c>
      <x:c r="B337" s="94" t="str">
        <x:v>災害時に支援してくれる人や機関はありますか（あてはまるものすべて）</x:v>
      </x:c>
      <x:c r="C337" s="94" t="str">
        <x:v>民生委員・児童委員</x:v>
      </x:c>
      <x:c r="D337" s="94" t="n">
        <x:f>COUNTIF('データ'!PB$5:PB$7,"〇")</x:f>
        <x:v>0</x:v>
      </x:c>
      <x:c r="E337" s="104" t="n">
        <x:f>IF(F337=0,"",D337/F337)</x:f>
        <x:v>0</x:v>
      </x:c>
      <x:c r="F337" s="94" t="n">
        <x:f>SUM('データ'!PF$5:PF$7)</x:f>
        <x:v>3</x:v>
      </x:c>
      <x:c r="G337" s="94" t="str">
        <x:v>複数回答</x:v>
      </x:c>
    </x:row>
    <x:row r="338">
      <x:c r="A338" s="94" t="str">
        <x:v>問39</x:v>
      </x:c>
      <x:c r="B338" s="94" t="str">
        <x:v>災害時に支援してくれる人や機関はありますか（あてはまるものすべて）</x:v>
      </x:c>
      <x:c r="C338" s="94" t="str">
        <x:v>いない・わからない</x:v>
      </x:c>
      <x:c r="D338" s="94" t="n">
        <x:f>COUNTIF('データ'!PC$5:PC$7,"〇")</x:f>
        <x:v>0</x:v>
      </x:c>
      <x:c r="E338" s="104" t="n">
        <x:f>IF(F338=0,"",D338/F338)</x:f>
        <x:v>0</x:v>
      </x:c>
      <x:c r="F338" s="94" t="n">
        <x:f>SUM('データ'!PF$5:PF$7)</x:f>
        <x:v>3</x:v>
      </x:c>
      <x:c r="G338" s="94" t="str">
        <x:v>複数回答</x:v>
      </x:c>
    </x:row>
    <x:row r="339">
      <x:c r="A339" s="94" t="str">
        <x:v>問39</x:v>
      </x:c>
      <x:c r="B339" s="94" t="str">
        <x:v>災害時に支援してくれる人や機関はありますか（あてはまるものすべて）</x:v>
      </x:c>
      <x:c r="C339" s="94" t="str">
        <x:v>その他</x:v>
      </x:c>
      <x:c r="D339" s="94" t="n">
        <x:f>COUNTIF('データ'!PD$5:PD$7,"〇")</x:f>
        <x:v>0</x:v>
      </x:c>
      <x:c r="E339" s="104" t="n">
        <x:f>IF(F339=0,"",D339/F339)</x:f>
        <x:v>0</x:v>
      </x:c>
      <x:c r="F339" s="94" t="n">
        <x:f>SUM('データ'!PF$5:PF$7)</x:f>
        <x:v>3</x:v>
      </x:c>
      <x:c r="G339" s="94" t="str">
        <x:v>複数回答</x:v>
      </x:c>
    </x:row>
    <x:row r="340">
      <x:c r="A340" s="94" t="str">
        <x:v>問40</x:v>
      </x:c>
      <x:c r="B340" s="94" t="str">
        <x:v>災害時に必要だと思う支援は何ですか（あてはまるものすべて）</x:v>
      </x:c>
      <x:c r="C340" s="94" t="str">
        <x:v>個別避難計画の作成支援</x:v>
      </x:c>
      <x:c r="D340" s="94" t="n">
        <x:f>COUNTIF('データ'!PG$5:PG$7,"〇")</x:f>
        <x:v>0</x:v>
      </x:c>
      <x:c r="E340" s="104" t="n">
        <x:f>IF(F340=0,"",D340/F340)</x:f>
        <x:v>0</x:v>
      </x:c>
      <x:c r="F340" s="94" t="n">
        <x:f>SUM('データ'!PQ$5:PQ$7)</x:f>
        <x:v>3</x:v>
      </x:c>
      <x:c r="G340" s="94" t="str">
        <x:v>複数回答</x:v>
      </x:c>
    </x:row>
    <x:row r="341">
      <x:c r="A341" s="94" t="str">
        <x:v>問40</x:v>
      </x:c>
      <x:c r="B341" s="94" t="str">
        <x:v>災害時に必要だと思う支援は何ですか（あてはまるものすべて）</x:v>
      </x:c>
      <x:c r="C341" s="94" t="str">
        <x:v>避難訓練への参加支援</x:v>
      </x:c>
      <x:c r="D341" s="94" t="n">
        <x:f>COUNTIF('データ'!PH$5:PH$7,"〇")</x:f>
        <x:v>1</x:v>
      </x:c>
      <x:c r="E341" s="104" t="n">
        <x:f>IF(F341=0,"",D341/F341)</x:f>
        <x:v>0.3333333333333333</x:v>
      </x:c>
      <x:c r="F341" s="94" t="n">
        <x:f>SUM('データ'!PQ$5:PQ$7)</x:f>
        <x:v>3</x:v>
      </x:c>
      <x:c r="G341" s="94" t="str">
        <x:v>複数回答</x:v>
      </x:c>
    </x:row>
    <x:row r="342">
      <x:c r="A342" s="94" t="str">
        <x:v>問40</x:v>
      </x:c>
      <x:c r="B342" s="94" t="str">
        <x:v>災害時に必要だと思う支援は何ですか（あてはまるものすべて）</x:v>
      </x:c>
      <x:c r="C342" s="94" t="str">
        <x:v>福祉避難所の情報提供</x:v>
      </x:c>
      <x:c r="D342" s="94" t="n">
        <x:f>COUNTIF('データ'!PI$5:PI$7,"〇")</x:f>
        <x:v>0</x:v>
      </x:c>
      <x:c r="E342" s="104" t="n">
        <x:f>IF(F342=0,"",D342/F342)</x:f>
        <x:v>0</x:v>
      </x:c>
      <x:c r="F342" s="94" t="n">
        <x:f>SUM('データ'!PQ$5:PQ$7)</x:f>
        <x:v>3</x:v>
      </x:c>
      <x:c r="G342" s="94" t="str">
        <x:v>複数回答</x:v>
      </x:c>
    </x:row>
    <x:row r="343">
      <x:c r="A343" s="94" t="str">
        <x:v>問40</x:v>
      </x:c>
      <x:c r="B343" s="94" t="str">
        <x:v>災害時に必要だと思う支援は何ですか（あてはまるものすべて）</x:v>
      </x:c>
      <x:c r="C343" s="94" t="str">
        <x:v>薬・医療機器・電源の確保</x:v>
      </x:c>
      <x:c r="D343" s="94" t="n">
        <x:f>COUNTIF('データ'!PJ$5:PJ$7,"〇")</x:f>
        <x:v>2</x:v>
      </x:c>
      <x:c r="E343" s="104" t="n">
        <x:f>IF(F343=0,"",D343/F343)</x:f>
        <x:v>0.6666666666666666</x:v>
      </x:c>
      <x:c r="F343" s="94" t="n">
        <x:f>SUM('データ'!PQ$5:PQ$7)</x:f>
        <x:v>3</x:v>
      </x:c>
      <x:c r="G343" s="94" t="str">
        <x:v>複数回答</x:v>
      </x:c>
    </x:row>
    <x:row r="344">
      <x:c r="A344" s="94" t="str">
        <x:v>問40</x:v>
      </x:c>
      <x:c r="B344" s="94" t="str">
        <x:v>災害時に必要だと思う支援は何ですか（あてはまるものすべて）</x:v>
      </x:c>
      <x:c r="C344" s="94" t="str">
        <x:v>冬季避難の支援</x:v>
      </x:c>
      <x:c r="D344" s="94" t="n">
        <x:f>COUNTIF('データ'!PK$5:PK$7,"〇")</x:f>
        <x:v>2</x:v>
      </x:c>
      <x:c r="E344" s="104" t="n">
        <x:f>IF(F344=0,"",D344/F344)</x:f>
        <x:v>0.6666666666666666</x:v>
      </x:c>
      <x:c r="F344" s="94" t="n">
        <x:f>SUM('データ'!PQ$5:PQ$7)</x:f>
        <x:v>3</x:v>
      </x:c>
      <x:c r="G344" s="94" t="str">
        <x:v>複数回答</x:v>
      </x:c>
    </x:row>
    <x:row r="345">
      <x:c r="A345" s="94" t="str">
        <x:v>問40</x:v>
      </x:c>
      <x:c r="B345" s="94" t="str">
        <x:v>災害時に必要だと思う支援は何ですか（あてはまるものすべて）</x:v>
      </x:c>
      <x:c r="C345" s="94" t="str">
        <x:v>安否確認</x:v>
      </x:c>
      <x:c r="D345" s="94" t="n">
        <x:f>COUNTIF('データ'!PL$5:PL$7,"〇")</x:f>
        <x:v>1</x:v>
      </x:c>
      <x:c r="E345" s="104" t="n">
        <x:f>IF(F345=0,"",D345/F345)</x:f>
        <x:v>0.3333333333333333</x:v>
      </x:c>
      <x:c r="F345" s="94" t="n">
        <x:f>SUM('データ'!PQ$5:PQ$7)</x:f>
        <x:v>3</x:v>
      </x:c>
      <x:c r="G345" s="94" t="str">
        <x:v>複数回答</x:v>
      </x:c>
    </x:row>
    <x:row r="346">
      <x:c r="A346" s="94" t="str">
        <x:v>問40</x:v>
      </x:c>
      <x:c r="B346" s="94" t="str">
        <x:v>災害時に必要だと思う支援は何ですか（あてはまるものすべて）</x:v>
      </x:c>
      <x:c r="C346" s="94" t="str">
        <x:v>避難所での合理的配慮</x:v>
      </x:c>
      <x:c r="D346" s="94" t="n">
        <x:f>COUNTIF('データ'!PM$5:PM$7,"〇")</x:f>
        <x:v>2</x:v>
      </x:c>
      <x:c r="E346" s="104" t="n">
        <x:f>IF(F346=0,"",D346/F346)</x:f>
        <x:v>0.6666666666666666</x:v>
      </x:c>
      <x:c r="F346" s="94" t="n">
        <x:f>SUM('データ'!PQ$5:PQ$7)</x:f>
        <x:v>3</x:v>
      </x:c>
      <x:c r="G346" s="94" t="str">
        <x:v>複数回答</x:v>
      </x:c>
    </x:row>
    <x:row r="347">
      <x:c r="A347" s="94" t="str">
        <x:v>問40</x:v>
      </x:c>
      <x:c r="B347" s="94" t="str">
        <x:v>災害時に必要だと思う支援は何ですか（あてはまるものすべて）</x:v>
      </x:c>
      <x:c r="C347" s="94" t="str">
        <x:v>文字・掲示・字幕等の目で見てわかる災害情報</x:v>
      </x:c>
      <x:c r="D347" s="94" t="n">
        <x:f>COUNTIF('データ'!PN$5:PN$7,"〇")</x:f>
        <x:v>0</x:v>
      </x:c>
      <x:c r="E347" s="104" t="n">
        <x:f>IF(F347=0,"",D347/F347)</x:f>
        <x:v>0</x:v>
      </x:c>
      <x:c r="F347" s="94" t="n">
        <x:f>SUM('データ'!PQ$5:PQ$7)</x:f>
        <x:v>3</x:v>
      </x:c>
      <x:c r="G347" s="94" t="str">
        <x:v>複数回答</x:v>
      </x:c>
    </x:row>
    <x:row r="348">
      <x:c r="A348" s="94" t="str">
        <x:v>問40</x:v>
      </x:c>
      <x:c r="B348" s="94" t="str">
        <x:v>災害時に必要だと思う支援は何ですか（あてはまるものすべて）</x:v>
      </x:c>
      <x:c r="C348" s="94" t="str">
        <x:v>その他</x:v>
      </x:c>
      <x:c r="D348" s="94" t="n">
        <x:f>COUNTIF('データ'!PO$5:PO$7,"〇")</x:f>
        <x:v>0</x:v>
      </x:c>
      <x:c r="E348" s="104" t="n">
        <x:f>IF(F348=0,"",D348/F348)</x:f>
        <x:v>0</x:v>
      </x:c>
      <x:c r="F348" s="94" t="n">
        <x:f>SUM('データ'!PQ$5:PQ$7)</x:f>
        <x:v>3</x:v>
      </x:c>
      <x:c r="G348" s="94" t="str">
        <x:v>複数回答</x:v>
      </x:c>
    </x:row>
    <x:row r="349">
      <x:c r="A349" s="94" t="str">
        <x:v>問41</x:v>
      </x:c>
      <x:c r="B349" s="94" t="str">
        <x:v>地域活動や社会参加について、今後参加したいものはありますか（あてはまるものすべて）</x:v>
      </x:c>
      <x:c r="C349" s="94" t="str">
        <x:v>趣味・スポーツ</x:v>
      </x:c>
      <x:c r="D349" s="94" t="n">
        <x:f>COUNTIF('データ'!PR$5:PR$7,"〇")</x:f>
        <x:v>1</x:v>
      </x:c>
      <x:c r="E349" s="104" t="n">
        <x:f>IF(F349=0,"",D349/F349)</x:f>
        <x:v>0.3333333333333333</x:v>
      </x:c>
      <x:c r="F349" s="94" t="n">
        <x:f>SUM('データ'!QB$5:QB$7)</x:f>
        <x:v>3</x:v>
      </x:c>
      <x:c r="G349" s="94" t="str">
        <x:v>複数回答</x:v>
      </x:c>
    </x:row>
    <x:row r="350">
      <x:c r="A350" s="94" t="str">
        <x:v>問41</x:v>
      </x:c>
      <x:c r="B350" s="94" t="str">
        <x:v>地域活動や社会参加について、今後参加したいものはありますか（あてはまるものすべて）</x:v>
      </x:c>
      <x:c r="C350" s="94" t="str">
        <x:v>ボランティア</x:v>
      </x:c>
      <x:c r="D350" s="94" t="n">
        <x:f>COUNTIF('データ'!PS$5:PS$7,"〇")</x:f>
        <x:v>0</x:v>
      </x:c>
      <x:c r="E350" s="104" t="n">
        <x:f>IF(F350=0,"",D350/F350)</x:f>
        <x:v>0</x:v>
      </x:c>
      <x:c r="F350" s="94" t="n">
        <x:f>SUM('データ'!QB$5:QB$7)</x:f>
        <x:v>3</x:v>
      </x:c>
      <x:c r="G350" s="94" t="str">
        <x:v>複数回答</x:v>
      </x:c>
    </x:row>
    <x:row r="351">
      <x:c r="A351" s="94" t="str">
        <x:v>問41</x:v>
      </x:c>
      <x:c r="B351" s="94" t="str">
        <x:v>地域活動や社会参加について、今後参加したいものはありますか（あてはまるものすべて）</x:v>
      </x:c>
      <x:c r="C351" s="94" t="str">
        <x:v>地域行事</x:v>
      </x:c>
      <x:c r="D351" s="94" t="n">
        <x:f>COUNTIF('データ'!PT$5:PT$7,"〇")</x:f>
        <x:v>0</x:v>
      </x:c>
      <x:c r="E351" s="104" t="n">
        <x:f>IF(F351=0,"",D351/F351)</x:f>
        <x:v>0</x:v>
      </x:c>
      <x:c r="F351" s="94" t="n">
        <x:f>SUM('データ'!QB$5:QB$7)</x:f>
        <x:v>3</x:v>
      </x:c>
      <x:c r="G351" s="94" t="str">
        <x:v>複数回答</x:v>
      </x:c>
    </x:row>
    <x:row r="352">
      <x:c r="A352" s="94" t="str">
        <x:v>問41</x:v>
      </x:c>
      <x:c r="B352" s="94" t="str">
        <x:v>地域活動や社会参加について、今後参加したいものはありますか（あてはまるものすべて）</x:v>
      </x:c>
      <x:c r="C352" s="94" t="str">
        <x:v>障がい者団体・家族会</x:v>
      </x:c>
      <x:c r="D352" s="94" t="n">
        <x:f>COUNTIF('データ'!PU$5:PU$7,"〇")</x:f>
        <x:v>0</x:v>
      </x:c>
      <x:c r="E352" s="104" t="n">
        <x:f>IF(F352=0,"",D352/F352)</x:f>
        <x:v>0</x:v>
      </x:c>
      <x:c r="F352" s="94" t="n">
        <x:f>SUM('データ'!QB$5:QB$7)</x:f>
        <x:v>3</x:v>
      </x:c>
      <x:c r="G352" s="94" t="str">
        <x:v>複数回答</x:v>
      </x:c>
    </x:row>
    <x:row r="353">
      <x:c r="A353" s="94" t="str">
        <x:v>問41</x:v>
      </x:c>
      <x:c r="B353" s="94" t="str">
        <x:v>地域活動や社会参加について、今後参加したいものはありますか（あてはまるものすべて）</x:v>
      </x:c>
      <x:c r="C353" s="94" t="str">
        <x:v>就労・地域貢献</x:v>
      </x:c>
      <x:c r="D353" s="94" t="n">
        <x:f>COUNTIF('データ'!PV$5:PV$7,"〇")</x:f>
        <x:v>0</x:v>
      </x:c>
      <x:c r="E353" s="104" t="n">
        <x:f>IF(F353=0,"",D353/F353)</x:f>
        <x:v>0</x:v>
      </x:c>
      <x:c r="F353" s="94" t="n">
        <x:f>SUM('データ'!QB$5:QB$7)</x:f>
        <x:v>3</x:v>
      </x:c>
      <x:c r="G353" s="94" t="str">
        <x:v>複数回答</x:v>
      </x:c>
    </x:row>
    <x:row r="354">
      <x:c r="A354" s="94" t="str">
        <x:v>問41</x:v>
      </x:c>
      <x:c r="B354" s="94" t="str">
        <x:v>地域活動や社会参加について、今後参加したいものはありますか（あてはまるものすべて）</x:v>
      </x:c>
      <x:c r="C354" s="94" t="str">
        <x:v>学習・講座</x:v>
      </x:c>
      <x:c r="D354" s="94" t="n">
        <x:f>COUNTIF('データ'!PW$5:PW$7,"〇")</x:f>
        <x:v>0</x:v>
      </x:c>
      <x:c r="E354" s="104" t="n">
        <x:f>IF(F354=0,"",D354/F354)</x:f>
        <x:v>0</x:v>
      </x:c>
      <x:c r="F354" s="94" t="n">
        <x:f>SUM('データ'!QB$5:QB$7)</x:f>
        <x:v>3</x:v>
      </x:c>
      <x:c r="G354" s="94" t="str">
        <x:v>複数回答</x:v>
      </x:c>
    </x:row>
    <x:row r="355">
      <x:c r="A355" s="94" t="str">
        <x:v>問41</x:v>
      </x:c>
      <x:c r="B355" s="94" t="str">
        <x:v>地域活動や社会参加について、今後参加したいものはありますか（あてはまるものすべて）</x:v>
      </x:c>
      <x:c r="C355" s="94" t="str">
        <x:v>オンラインでの交流</x:v>
      </x:c>
      <x:c r="D355" s="94" t="n">
        <x:f>COUNTIF('データ'!PX$5:PX$7,"〇")</x:f>
        <x:v>0</x:v>
      </x:c>
      <x:c r="E355" s="104" t="n">
        <x:f>IF(F355=0,"",D355/F355)</x:f>
        <x:v>0</x:v>
      </x:c>
      <x:c r="F355" s="94" t="n">
        <x:f>SUM('データ'!QB$5:QB$7)</x:f>
        <x:v>3</x:v>
      </x:c>
      <x:c r="G355" s="94" t="str">
        <x:v>複数回答</x:v>
      </x:c>
    </x:row>
    <x:row r="356">
      <x:c r="A356" s="94" t="str">
        <x:v>問41</x:v>
      </x:c>
      <x:c r="B356" s="94" t="str">
        <x:v>地域活動や社会参加について、今後参加したいものはありますか（あてはまるものすべて）</x:v>
      </x:c>
      <x:c r="C356" s="94" t="str">
        <x:v>特にない</x:v>
      </x:c>
      <x:c r="D356" s="94" t="n">
        <x:f>COUNTIF('データ'!PY$5:PY$7,"〇")</x:f>
        <x:v>2</x:v>
      </x:c>
      <x:c r="E356" s="104" t="n">
        <x:f>IF(F356=0,"",D356/F356)</x:f>
        <x:v>0.6666666666666666</x:v>
      </x:c>
      <x:c r="F356" s="94" t="n">
        <x:f>SUM('データ'!QB$5:QB$7)</x:f>
        <x:v>3</x:v>
      </x:c>
      <x:c r="G356" s="94" t="str">
        <x:v>複数回答</x:v>
      </x:c>
    </x:row>
    <x:row r="357">
      <x:c r="A357" s="94" t="str">
        <x:v>問41</x:v>
      </x:c>
      <x:c r="B357" s="94" t="str">
        <x:v>地域活動や社会参加について、今後参加したいものはありますか（あてはまるものすべて）</x:v>
      </x:c>
      <x:c r="C357" s="94" t="str">
        <x:v>その他</x:v>
      </x:c>
      <x:c r="D357" s="94" t="n">
        <x:f>COUNTIF('データ'!PZ$5:PZ$7,"〇")</x:f>
        <x:v>0</x:v>
      </x:c>
      <x:c r="E357" s="104" t="n">
        <x:f>IF(F357=0,"",D357/F357)</x:f>
        <x:v>0</x:v>
      </x:c>
      <x:c r="F357" s="94" t="n">
        <x:f>SUM('データ'!QB$5:QB$7)</x:f>
        <x:v>3</x:v>
      </x:c>
      <x:c r="G357" s="94" t="str">
        <x:v>複数回答</x:v>
      </x:c>
    </x:row>
    <x:row r="358">
      <x:c r="A358" s="94" t="str">
        <x:v>問42</x:v>
      </x:c>
      <x:c r="B358" s="94" t="str">
        <x:v>障がいへの理解を深めるために必要だと思う取組は何ですか（あてはまるものすべて）</x:v>
      </x:c>
      <x:c r="C358" s="94" t="str">
        <x:v>学校での福祉教育</x:v>
      </x:c>
      <x:c r="D358" s="94" t="n">
        <x:f>COUNTIF('データ'!QC$5:QC$7,"〇")</x:f>
        <x:v>3</x:v>
      </x:c>
      <x:c r="E358" s="104" t="n">
        <x:f>IF(F358=0,"",D358/F358)</x:f>
        <x:v>1</x:v>
      </x:c>
      <x:c r="F358" s="94" t="n">
        <x:f>SUM('データ'!QL$5:QL$7)</x:f>
        <x:v>3</x:v>
      </x:c>
      <x:c r="G358" s="94" t="str">
        <x:v>複数回答</x:v>
      </x:c>
    </x:row>
    <x:row r="359">
      <x:c r="A359" s="94" t="str">
        <x:v>問42</x:v>
      </x:c>
      <x:c r="B359" s="94" t="str">
        <x:v>障がいへの理解を深めるために必要だと思う取組は何ですか（あてはまるものすべて）</x:v>
      </x:c>
      <x:c r="C359" s="94" t="str">
        <x:v>地域住民向けの講座</x:v>
      </x:c>
      <x:c r="D359" s="94" t="n">
        <x:f>COUNTIF('データ'!QD$5:QD$7,"〇")</x:f>
        <x:v>1</x:v>
      </x:c>
      <x:c r="E359" s="104" t="n">
        <x:f>IF(F359=0,"",D359/F359)</x:f>
        <x:v>0.3333333333333333</x:v>
      </x:c>
      <x:c r="F359" s="94" t="n">
        <x:f>SUM('データ'!QL$5:QL$7)</x:f>
        <x:v>3</x:v>
      </x:c>
      <x:c r="G359" s="94" t="str">
        <x:v>複数回答</x:v>
      </x:c>
    </x:row>
    <x:row r="360">
      <x:c r="A360" s="94" t="str">
        <x:v>問42</x:v>
      </x:c>
      <x:c r="B360" s="94" t="str">
        <x:v>障がいへの理解を深めるために必要だと思う取組は何ですか（あてはまるものすべて）</x:v>
      </x:c>
      <x:c r="C360" s="94" t="str">
        <x:v>事業所・企業への啓発</x:v>
      </x:c>
      <x:c r="D360" s="94" t="n">
        <x:f>COUNTIF('データ'!QE$5:QE$7,"〇")</x:f>
        <x:v>1</x:v>
      </x:c>
      <x:c r="E360" s="104" t="n">
        <x:f>IF(F360=0,"",D360/F360)</x:f>
        <x:v>0.3333333333333333</x:v>
      </x:c>
      <x:c r="F360" s="94" t="n">
        <x:f>SUM('データ'!QL$5:QL$7)</x:f>
        <x:v>3</x:v>
      </x:c>
      <x:c r="G360" s="94" t="str">
        <x:v>複数回答</x:v>
      </x:c>
    </x:row>
    <x:row r="361">
      <x:c r="A361" s="94" t="str">
        <x:v>問42</x:v>
      </x:c>
      <x:c r="B361" s="94" t="str">
        <x:v>障がいへの理解を深めるために必要だと思う取組は何ですか（あてはまるものすべて）</x:v>
      </x:c>
      <x:c r="C361" s="94" t="str">
        <x:v>広報・ホームページでの情報発信</x:v>
      </x:c>
      <x:c r="D361" s="94" t="n">
        <x:f>COUNTIF('データ'!QF$5:QF$7,"〇")</x:f>
        <x:v>0</x:v>
      </x:c>
      <x:c r="E361" s="104" t="n">
        <x:f>IF(F361=0,"",D361/F361)</x:f>
        <x:v>0</x:v>
      </x:c>
      <x:c r="F361" s="94" t="n">
        <x:f>SUM('データ'!QL$5:QL$7)</x:f>
        <x:v>3</x:v>
      </x:c>
      <x:c r="G361" s="94" t="str">
        <x:v>複数回答</x:v>
      </x:c>
    </x:row>
    <x:row r="362">
      <x:c r="A362" s="94" t="str">
        <x:v>問42</x:v>
      </x:c>
      <x:c r="B362" s="94" t="str">
        <x:v>障がいへの理解を深めるために必要だと思う取組は何ですか（あてはまるものすべて）</x:v>
      </x:c>
      <x:c r="C362" s="94" t="str">
        <x:v>交流の場づくり</x:v>
      </x:c>
      <x:c r="D362" s="94" t="n">
        <x:f>COUNTIF('データ'!QG$5:QG$7,"〇")</x:f>
        <x:v>0</x:v>
      </x:c>
      <x:c r="E362" s="104" t="n">
        <x:f>IF(F362=0,"",D362/F362)</x:f>
        <x:v>0</x:v>
      </x:c>
      <x:c r="F362" s="94" t="n">
        <x:f>SUM('データ'!QL$5:QL$7)</x:f>
        <x:v>3</x:v>
      </x:c>
      <x:c r="G362" s="94" t="str">
        <x:v>複数回答</x:v>
      </x:c>
    </x:row>
    <x:row r="363">
      <x:c r="A363" s="94" t="str">
        <x:v>問42</x:v>
      </x:c>
      <x:c r="B363" s="94" t="str">
        <x:v>障がいへの理解を深めるために必要だと思う取組は何ですか（あてはまるものすべて）</x:v>
      </x:c>
      <x:c r="C363" s="94" t="str">
        <x:v>障がい当事者の意見発信</x:v>
      </x:c>
      <x:c r="D363" s="94" t="n">
        <x:f>COUNTIF('データ'!QH$5:QH$7,"〇")</x:f>
        <x:v>0</x:v>
      </x:c>
      <x:c r="E363" s="104" t="n">
        <x:f>IF(F363=0,"",D363/F363)</x:f>
        <x:v>0</x:v>
      </x:c>
      <x:c r="F363" s="94" t="n">
        <x:f>SUM('データ'!QL$5:QL$7)</x:f>
        <x:v>3</x:v>
      </x:c>
      <x:c r="G363" s="94" t="str">
        <x:v>複数回答</x:v>
      </x:c>
    </x:row>
    <x:row r="364">
      <x:c r="A364" s="94" t="str">
        <x:v>問42</x:v>
      </x:c>
      <x:c r="B364" s="94" t="str">
        <x:v>障がいへの理解を深めるために必要だと思う取組は何ですか（あてはまるものすべて）</x:v>
      </x:c>
      <x:c r="C364" s="94" t="str">
        <x:v>特にない</x:v>
      </x:c>
      <x:c r="D364" s="94" t="n">
        <x:f>COUNTIF('データ'!QI$5:QI$7,"〇")</x:f>
        <x:v>0</x:v>
      </x:c>
      <x:c r="E364" s="104" t="n">
        <x:f>IF(F364=0,"",D364/F364)</x:f>
        <x:v>0</x:v>
      </x:c>
      <x:c r="F364" s="94" t="n">
        <x:f>SUM('データ'!QL$5:QL$7)</x:f>
        <x:v>3</x:v>
      </x:c>
      <x:c r="G364" s="94" t="str">
        <x:v>複数回答</x:v>
      </x:c>
    </x:row>
    <x:row r="365">
      <x:c r="A365" s="94" t="str">
        <x:v>問42</x:v>
      </x:c>
      <x:c r="B365" s="94" t="str">
        <x:v>障がいへの理解を深めるために必要だと思う取組は何ですか（あてはまるものすべて）</x:v>
      </x:c>
      <x:c r="C365" s="94" t="str">
        <x:v>その他</x:v>
      </x:c>
      <x:c r="D365" s="94" t="n">
        <x:f>COUNTIF('データ'!QJ$5:QJ$7,"〇")</x:f>
        <x:v>0</x:v>
      </x:c>
      <x:c r="E365" s="104" t="n">
        <x:f>IF(F365=0,"",D365/F365)</x:f>
        <x:v>0</x:v>
      </x:c>
      <x:c r="F365" s="94" t="n">
        <x:f>SUM('データ'!QL$5:QL$7)</x:f>
        <x:v>3</x:v>
      </x:c>
      <x:c r="G365" s="94" t="str">
        <x:v>複数回答</x:v>
      </x:c>
    </x:row>
    <x:row r="366">
      <x:c r="A366" s="94" t="str">
        <x:v>問43</x:v>
      </x:c>
      <x:c r="B366" s="94" t="str">
        <x:v>今後、村が特に力を入れるべきことは何ですか（3つまで）</x:v>
      </x:c>
      <x:c r="C366" s="94" t="str">
        <x:v>相談支援体制</x:v>
      </x:c>
      <x:c r="D366" s="94" t="n">
        <x:f>COUNTIF('データ'!QM$5:QM$7,"〇")</x:f>
        <x:v>1</x:v>
      </x:c>
      <x:c r="E366" s="104" t="n">
        <x:f>IF(F366=0,"",D366/F366)</x:f>
        <x:v>0.3333333333333333</x:v>
      </x:c>
      <x:c r="F366" s="94" t="n">
        <x:f>SUM('データ'!QZ$5:QZ$7)</x:f>
        <x:v>3</x:v>
      </x:c>
      <x:c r="G366" s="94" t="str">
        <x:v>複数回答</x:v>
      </x:c>
    </x:row>
    <x:row r="367">
      <x:c r="A367" s="94" t="str">
        <x:v>問43</x:v>
      </x:c>
      <x:c r="B367" s="94" t="str">
        <x:v>今後、村が特に力を入れるべきことは何ですか（3つまで）</x:v>
      </x:c>
      <x:c r="C367" s="94" t="str">
        <x:v>在宅生活支援</x:v>
      </x:c>
      <x:c r="D367" s="94" t="n">
        <x:f>COUNTIF('データ'!QN$5:QN$7,"〇")</x:f>
        <x:v>0</x:v>
      </x:c>
      <x:c r="E367" s="104" t="n">
        <x:f>IF(F367=0,"",D367/F367)</x:f>
        <x:v>0</x:v>
      </x:c>
      <x:c r="F367" s="94" t="n">
        <x:f>SUM('データ'!QZ$5:QZ$7)</x:f>
        <x:v>3</x:v>
      </x:c>
      <x:c r="G367" s="94" t="str">
        <x:v>複数回答</x:v>
      </x:c>
    </x:row>
    <x:row r="368">
      <x:c r="A368" s="94" t="str">
        <x:v>問43</x:v>
      </x:c>
      <x:c r="B368" s="94" t="str">
        <x:v>今後、村が特に力を入れるべきことは何ですか（3つまで）</x:v>
      </x:c>
      <x:c r="C368" s="94" t="str">
        <x:v>移動支援</x:v>
      </x:c>
      <x:c r="D368" s="94" t="n">
        <x:f>COUNTIF('データ'!QO$5:QO$7,"〇")</x:f>
        <x:v>2</x:v>
      </x:c>
      <x:c r="E368" s="104" t="n">
        <x:f>IF(F368=0,"",D368/F368)</x:f>
        <x:v>0.6666666666666666</x:v>
      </x:c>
      <x:c r="F368" s="94" t="n">
        <x:f>SUM('データ'!QZ$5:QZ$7)</x:f>
        <x:v>3</x:v>
      </x:c>
      <x:c r="G368" s="94" t="str">
        <x:v>複数回答</x:v>
      </x:c>
    </x:row>
    <x:row r="369">
      <x:c r="A369" s="94" t="str">
        <x:v>問43</x:v>
      </x:c>
      <x:c r="B369" s="94" t="str">
        <x:v>今後、村が特に力を入れるべきことは何ですか（3つまで）</x:v>
      </x:c>
      <x:c r="C369" s="94" t="str">
        <x:v>就労支援</x:v>
      </x:c>
      <x:c r="D369" s="94" t="n">
        <x:f>COUNTIF('データ'!QP$5:QP$7,"〇")</x:f>
        <x:v>2</x:v>
      </x:c>
      <x:c r="E369" s="104" t="n">
        <x:f>IF(F369=0,"",D369/F369)</x:f>
        <x:v>0.6666666666666666</x:v>
      </x:c>
      <x:c r="F369" s="94" t="n">
        <x:f>SUM('データ'!QZ$5:QZ$7)</x:f>
        <x:v>3</x:v>
      </x:c>
      <x:c r="G369" s="94" t="str">
        <x:v>複数回答</x:v>
      </x:c>
    </x:row>
    <x:row r="370">
      <x:c r="A370" s="94" t="str">
        <x:v>問43</x:v>
      </x:c>
      <x:c r="B370" s="94" t="str">
        <x:v>今後、村が特に力を入れるべきことは何ですか（3つまで）</x:v>
      </x:c>
      <x:c r="C370" s="94" t="str">
        <x:v>障がい児支援</x:v>
      </x:c>
      <x:c r="D370" s="94" t="n">
        <x:f>COUNTIF('データ'!QQ$5:QQ$7,"〇")</x:f>
        <x:v>0</x:v>
      </x:c>
      <x:c r="E370" s="104" t="n">
        <x:f>IF(F370=0,"",D370/F370)</x:f>
        <x:v>0</x:v>
      </x:c>
      <x:c r="F370" s="94" t="n">
        <x:f>SUM('データ'!QZ$5:QZ$7)</x:f>
        <x:v>3</x:v>
      </x:c>
      <x:c r="G370" s="94" t="str">
        <x:v>複数回答</x:v>
      </x:c>
    </x:row>
    <x:row r="371">
      <x:c r="A371" s="94" t="str">
        <x:v>問43</x:v>
      </x:c>
      <x:c r="B371" s="94" t="str">
        <x:v>今後、村が特に力を入れるべきことは何ですか（3つまで）</x:v>
      </x:c>
      <x:c r="C371" s="94" t="str">
        <x:v>医療的ケア児等支援</x:v>
      </x:c>
      <x:c r="D371" s="94" t="n">
        <x:f>COUNTIF('データ'!QR$5:QR$7,"〇")</x:f>
        <x:v>1</x:v>
      </x:c>
      <x:c r="E371" s="104" t="n">
        <x:f>IF(F371=0,"",D371/F371)</x:f>
        <x:v>0.3333333333333333</x:v>
      </x:c>
      <x:c r="F371" s="94" t="n">
        <x:f>SUM('データ'!QZ$5:QZ$7)</x:f>
        <x:v>3</x:v>
      </x:c>
      <x:c r="G371" s="94" t="str">
        <x:v>複数回答</x:v>
      </x:c>
    </x:row>
    <x:row r="372">
      <x:c r="A372" s="94" t="str">
        <x:v>問43</x:v>
      </x:c>
      <x:c r="B372" s="94" t="str">
        <x:v>今後、村が特に力を入れるべきことは何ですか（3つまで）</x:v>
      </x:c>
      <x:c r="C372" s="94" t="str">
        <x:v>災害時支援</x:v>
      </x:c>
      <x:c r="D372" s="94" t="n">
        <x:f>COUNTIF('データ'!QS$5:QS$7,"〇")</x:f>
        <x:v>1</x:v>
      </x:c>
      <x:c r="E372" s="104" t="n">
        <x:f>IF(F372=0,"",D372/F372)</x:f>
        <x:v>0.3333333333333333</x:v>
      </x:c>
      <x:c r="F372" s="94" t="n">
        <x:f>SUM('データ'!QZ$5:QZ$7)</x:f>
        <x:v>3</x:v>
      </x:c>
      <x:c r="G372" s="94" t="str">
        <x:v>複数回答</x:v>
      </x:c>
    </x:row>
    <x:row r="373">
      <x:c r="A373" s="94" t="str">
        <x:v>問43</x:v>
      </x:c>
      <x:c r="B373" s="94" t="str">
        <x:v>今後、村が特に力を入れるべきことは何ですか（3つまで）</x:v>
      </x:c>
      <x:c r="C373" s="94" t="str">
        <x:v>差別解消・権利擁護</x:v>
      </x:c>
      <x:c r="D373" s="94" t="n">
        <x:f>COUNTIF('データ'!QT$5:QT$7,"〇")</x:f>
        <x:v>1</x:v>
      </x:c>
      <x:c r="E373" s="104" t="n">
        <x:f>IF(F373=0,"",D373/F373)</x:f>
        <x:v>0.3333333333333333</x:v>
      </x:c>
      <x:c r="F373" s="94" t="n">
        <x:f>SUM('データ'!QZ$5:QZ$7)</x:f>
        <x:v>3</x:v>
      </x:c>
      <x:c r="G373" s="94" t="str">
        <x:v>複数回答</x:v>
      </x:c>
    </x:row>
    <x:row r="374">
      <x:c r="A374" s="94" t="str">
        <x:v>問43</x:v>
      </x:c>
      <x:c r="B374" s="94" t="str">
        <x:v>今後、村が特に力を入れるべきことは何ですか（3つまで）</x:v>
      </x:c>
      <x:c r="C374" s="94" t="str">
        <x:v>家族支援</x:v>
      </x:c>
      <x:c r="D374" s="94" t="n">
        <x:f>COUNTIF('データ'!QU$5:QU$7,"〇")</x:f>
        <x:v>0</x:v>
      </x:c>
      <x:c r="E374" s="104" t="n">
        <x:f>IF(F374=0,"",D374/F374)</x:f>
        <x:v>0</x:v>
      </x:c>
      <x:c r="F374" s="94" t="n">
        <x:f>SUM('データ'!QZ$5:QZ$7)</x:f>
        <x:v>3</x:v>
      </x:c>
      <x:c r="G374" s="94" t="str">
        <x:v>複数回答</x:v>
      </x:c>
    </x:row>
    <x:row r="375">
      <x:c r="A375" s="94" t="str">
        <x:v>問43</x:v>
      </x:c>
      <x:c r="B375" s="94" t="str">
        <x:v>今後、村が特に力を入れるべきことは何ですか（3つまで）</x:v>
      </x:c>
      <x:c r="C375" s="94" t="str">
        <x:v>サービス事業所の確保</x:v>
      </x:c>
      <x:c r="D375" s="94" t="n">
        <x:f>COUNTIF('データ'!QV$5:QV$7,"〇")</x:f>
        <x:v>1</x:v>
      </x:c>
      <x:c r="E375" s="104" t="n">
        <x:f>IF(F375=0,"",D375/F375)</x:f>
        <x:v>0.3333333333333333</x:v>
      </x:c>
      <x:c r="F375" s="94" t="n">
        <x:f>SUM('データ'!QZ$5:QZ$7)</x:f>
        <x:v>3</x:v>
      </x:c>
      <x:c r="G375" s="94" t="str">
        <x:v>複数回答</x:v>
      </x:c>
    </x:row>
    <x:row r="376">
      <x:c r="A376" s="94" t="str">
        <x:v>問43</x:v>
      </x:c>
      <x:c r="B376" s="94" t="str">
        <x:v>今後、村が特に力を入れるべきことは何ですか（3つまで）</x:v>
      </x:c>
      <x:c r="C376" s="94" t="str">
        <x:v>同じ立場の保護者や経験者に相談できる場の設定</x:v>
      </x:c>
      <x:c r="D376" s="94" t="n">
        <x:f>COUNTIF('データ'!QW$5:QW$7,"〇")</x:f>
        <x:v>0</x:v>
      </x:c>
      <x:c r="E376" s="104" t="n">
        <x:f>IF(F376=0,"",D376/F376)</x:f>
        <x:v>0</x:v>
      </x:c>
      <x:c r="F376" s="94" t="n">
        <x:f>SUM('データ'!QZ$5:QZ$7)</x:f>
        <x:v>3</x:v>
      </x:c>
      <x:c r="G376" s="94" t="str">
        <x:v>複数回答</x:v>
      </x:c>
    </x:row>
    <x:row r="377">
      <x:c r="A377" s="94" t="str">
        <x:v>問43</x:v>
      </x:c>
      <x:c r="B377" s="94" t="str">
        <x:v>今後、村が特に力を入れるべきことは何ですか（3つまで）</x:v>
      </x:c>
      <x:c r="C377" s="94" t="str">
        <x:v>その他</x:v>
      </x:c>
      <x:c r="D377" s="94" t="n">
        <x:f>COUNTIF('データ'!QX$5:QX$7,"〇")</x:f>
        <x:v>0</x:v>
      </x:c>
      <x:c r="E377" s="104" t="n">
        <x:f>IF(F377=0,"",D377/F377)</x:f>
        <x:v>0</x:v>
      </x:c>
      <x:c r="F377" s="94" t="n">
        <x:f>SUM('データ'!QZ$5:QZ$7)</x:f>
        <x:v>3</x:v>
      </x:c>
      <x:c r="G377" s="94" t="str">
        <x:v>複数回答</x:v>
      </x:c>
    </x:row>
    <x:row r="378">
      <x:c r="A378" s="94" t="str">
        <x:v>問44</x:v>
      </x:c>
      <x:c r="B378" s="94" t="str">
        <x:v>障がい福祉や暮らしについて、ご意見・ご要望があれば自由に記入してください</x:v>
      </x:c>
      <x:c r="C378" s="94" t="str">
        <x:v>自由記述は「自由記述一覧」シート参照</x:v>
      </x:c>
      <x:c r="D378" s="94" t="str">
        <x:f>""</x:f>
      </x:c>
      <x:c r="E378" s="104" t="str">
        <x:f>""</x:f>
      </x:c>
      <x:c r="F378" s="94" t="str">
        <x:f>""</x:f>
      </x:c>
      <x:c r="G378" s="94" t="str">
        <x:v>自由記述（別シート参照）</x:v>
      </x:c>
    </x:row>
  </x:sheetData>
  <x:mergeCells>
    <x:mergeCell ref="A1:G1"/>
  </x:mergeCells>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55" hidden="0" customWidth="1"/>
    <x:col min="3" max="3" width="12" hidden="0" customWidth="1"/>
    <x:col min="4" max="4" width="95" hidden="0" customWidth="1"/>
  </x:cols>
  <x:sheetData>
    <x:row r="1" ht="28" customHeight="1">
      <x:c r="A1" s="78" t="str">
        <x:v>自由記述一覧</x:v>
      </x:c>
      <x:c r="B1" s="78"/>
      <x:c r="C1" s="78"/>
      <x:c r="D1" s="78"/>
    </x:row>
    <x:row r="2">
      <x:c r="A2" s="115" t="str">
        <x:v>「その他」の具体的記述、自由回答設問（問10-2・問32-1・問44）等を回答NOごとに整理しています。</x:v>
      </x:c>
      <x:c r="B2" s="115"/>
      <x:c r="C2" s="115"/>
      <x:c r="D2" s="115"/>
    </x:row>
    <x:row r="3">
      <x:c r="A3" s="86" t="str">
        <x:v>設問番号</x:v>
      </x:c>
      <x:c r="B3" s="86" t="str">
        <x:v>設問</x:v>
      </x:c>
      <x:c r="C3" s="86" t="str">
        <x:v>回答NO</x:v>
      </x:c>
      <x:c r="D3" s="86" t="str">
        <x:v>自由記述</x:v>
      </x:c>
    </x:row>
    <x:row r="4">
      <x:c r="A4" s="94" t="str">
        <x:v>問10</x:v>
      </x:c>
      <x:c r="B4" s="94" t="str">
        <x:v>日常生活で困っていることは何ですか（あてはまるものすべて）</x:v>
      </x:c>
      <x:c r="C4" s="94" t="str">
        <x:v>2</x:v>
      </x:c>
      <x:c r="D4" s="94" t="str">
        <x:v>学校や放課後デイなど遠方への送迎</x:v>
      </x:c>
    </x:row>
    <x:row r="5">
      <x:c r="A5" s="94" t="str">
        <x:v>問10-2</x:v>
      </x:c>
      <x:c r="B5" s="94" t="str">
        <x:v>困っていることについて、自由に記入してください</x:v>
      </x:c>
      <x:c r="C5" s="94" t="str">
        <x:v>5</x:v>
      </x:c>
      <x:c r="D5" s="94" t="str">
        <x:v>学問に対しての不安が強く、将来への不安がある</x:v>
      </x:c>
    </x:row>
    <x:row r="6">
      <x:c r="A6" s="94" t="str">
        <x:v>問10-2</x:v>
      </x:c>
      <x:c r="B6" s="94" t="str">
        <x:v>困っていることについて、自由に記入してください</x:v>
      </x:c>
      <x:c r="C6" s="94" t="str">
        <x:v>2</x:v>
      </x:c>
      <x:c r="D6" s="94" t="str">
        <x:v>全介助です。サービス業なので土日祝日など預かってもらえるところが無かったり、遠方で送り迎えで4時間かかったりで片親の私が働けないです。支援学校への送り迎えも毎日大変ですし、猪苗代支援学校から裏磐梯の児童クラブへ私が送迎しないといけません。仕事を抜けての送迎は死活問題です。教育委員会に何度も頼んできましたが何も進展はありません。</x:v>
      </x:c>
    </x:row>
    <x:row r="7">
      <x:c r="A7" s="94" t="str">
        <x:v>問14</x:v>
      </x:c>
      <x:c r="B7" s="94" t="str">
        <x:v>外出するときに困ることは何ですか（あてはまるものすべて）</x:v>
      </x:c>
      <x:c r="C7" s="94" t="str">
        <x:v>2</x:v>
      </x:c>
      <x:c r="D7" s="94" t="str">
        <x:v>自閉症の癇癪を起こす為、外出が難しいです。</x:v>
      </x:c>
    </x:row>
    <x:row r="8">
      <x:c r="A8" s="94" t="str">
        <x:v>問16</x:v>
      </x:c>
      <x:c r="B8" s="94" t="str">
        <x:v>通院や医療で困っていることはありますか（あてはまるものすべて）</x:v>
      </x:c>
      <x:c r="C8" s="94" t="str">
        <x:v>2</x:v>
      </x:c>
      <x:c r="D8" s="94" t="str">
        <x:v>待つことが難しい為、受診時の待ち時間時に癇癪を起こして暴れるのでとても大変です。</x:v>
      </x:c>
    </x:row>
    <x:row r="9">
      <x:c r="A9" s="94" t="str">
        <x:v>問18</x:v>
      </x:c>
      <x:c r="B9" s="94" t="str">
        <x:v>医療的ケアや重い障がいに関して、必要だと思う支援は何ですか（あてはまるものすべて）</x:v>
      </x:c>
      <x:c r="C9" s="94" t="str">
        <x:v>2</x:v>
      </x:c>
      <x:c r="D9" s="94" t="str">
        <x:v>通所への送迎</x:v>
      </x:c>
    </x:row>
    <x:row r="10">
      <x:c r="A10" s="94" t="str">
        <x:v>問19</x:v>
      </x:c>
      <x:c r="B10" s="94" t="str">
        <x:v>困ったときに相談する相手・場所はどこですか（あてはまるものすべて）</x:v>
      </x:c>
      <x:c r="C10" s="94" t="str">
        <x:v>1</x:v>
      </x:c>
      <x:c r="D10" s="94" t="str">
        <x:v>地域生活支援センター</x:v>
      </x:c>
    </x:row>
    <x:row r="11">
      <x:c r="A11" s="94" t="str">
        <x:v>問24</x:v>
      </x:c>
      <x:c r="B11" s="94" t="str">
        <x:v>通園・通学や事業所利用で困っていることはありますか（あてはまるものすべて）</x:v>
      </x:c>
      <x:c r="C11" s="94" t="str">
        <x:v>2</x:v>
      </x:c>
      <x:c r="D11" s="94" t="str">
        <x:v>何年も前から送迎のことを相談しているが話が進まないこと</x:v>
      </x:c>
    </x:row>
    <x:row r="12">
      <x:c r="A12" s="94" t="str">
        <x:v>問32</x:v>
      </x:c>
      <x:c r="B12" s="94" t="str">
        <x:v>18歳以降のことで不安なことはありますか（あてはまるものすべて）</x:v>
      </x:c>
      <x:c r="C12" s="94" t="str">
        <x:v>2</x:v>
      </x:c>
      <x:c r="D12" s="94" t="str">
        <x:v>１人で生きていけないので心配です</x:v>
      </x:c>
    </x:row>
    <x:row r="13">
      <x:c r="A13" s="94" t="str">
        <x:v>問32-1</x:v>
      </x:c>
      <x:c r="B13" s="94" t="str">
        <x:v>なぜそう思ったのか、自由に記入してください</x:v>
      </x:c>
      <x:c r="C13" s="94" t="str">
        <x:v>5</x:v>
      </x:c>
      <x:c r="D13" s="94" t="str">
        <x:v>1</x:v>
      </x:c>
    </x:row>
    <x:row r="14">
      <x:c r="A14" s="94" t="str">
        <x:v>問32-1</x:v>
      </x:c>
      <x:c r="B14" s="94" t="str">
        <x:v>なぜそう思ったのか、自由に記入してください</x:v>
      </x:c>
      <x:c r="C14" s="94" t="str">
        <x:v>2</x:v>
      </x:c>
      <x:c r="D14" s="94" t="str">
        <x:v>意思疎通が取れないし、生活全て介助が必要です。片親なので私が歳をとったら面倒を見れるのか不安です。</x:v>
      </x:c>
    </x:row>
    <x:row r="15">
      <x:c r="A15" s="94" t="str">
        <x:v>問44</x:v>
      </x:c>
      <x:c r="B15" s="94" t="str">
        <x:v>障がい福祉や暮らしについて、ご意見・ご要望があれば自由に記入してください</x:v>
      </x:c>
      <x:c r="C15" s="94" t="str">
        <x:v>2</x:v>
      </x:c>
      <x:c r="D15" s="94" t="str">
        <x:v>送迎の支援、オムツ券の発行、サービス事業所の村内への建設、拡大を本当にお願いします。</x:v>
      </x:c>
    </x:row>
  </x:sheetData>
  <x:mergeCells>
    <x:mergeCell ref="A1:D1"/>
    <x:mergeCell ref="A2:D2"/>
  </x:mergeCells>
  <x:pageMargins left="0.7" right="0.7" top="0.75" bottom="0.75" header="0.3" footer="0.3"/>
</x:worksheet>
</file>

<file path=xl/worksheets/sheet6.xml><?xml version="1.0" encoding="utf-8"?>
<x:worksheet xmlns:x="http://schemas.openxmlformats.org/spreadsheetml/2006/main">
  <x:sheetFormatPr defaultRowHeight="15"/>
  <x:cols>
    <x:col min="1" max="1" width="34" hidden="0" customWidth="1"/>
    <x:col min="2" max="2" width="9"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s>
  <x:sheetData>
    <x:row r="1" ht="28" customHeight="1">
      <x:c r="A1" s="78" t="str">
        <x:v>問6 × 問29 クロス分析</x:v>
      </x:c>
      <x:c r="B1" s="78"/>
      <x:c r="C1" s="78"/>
      <x:c r="D1" s="78"/>
      <x:c r="E1" s="78"/>
      <x:c r="F1" s="78"/>
      <x:c r="G1" s="78"/>
      <x:c r="H1" s="78"/>
      <x:c r="I1" s="78"/>
      <x:c r="J1" s="78"/>
      <x:c r="K1" s="78"/>
      <x:c r="L1" s="78"/>
      <x:c r="M1" s="78"/>
    </x:row>
    <x:row r="3">
      <x:c r="A3" s="100" t="str">
        <x:v>障がい種別ごとの今後の障がい児サービス利用ニーズ</x:v>
      </x:c>
      <x:c r="B3" s="100"/>
      <x:c r="C3" s="100"/>
      <x:c r="D3" s="100"/>
      <x:c r="E3" s="100"/>
      <x:c r="F3" s="100"/>
      <x:c r="G3" s="100"/>
      <x:c r="H3" s="100"/>
      <x:c r="I3" s="100"/>
      <x:c r="J3" s="100"/>
      <x:c r="K3" s="100"/>
      <x:c r="L3" s="100"/>
      <x:c r="M3" s="100"/>
    </x:row>
    <x:row r="4" ht="42" customHeight="1">
      <x:c r="A4" s="108" t="str">
        <x:v>行：問6「主たる障がい種別を1つ選ぶとすれば、どれにあたりますか」／列：問29「今後3年間で利用したい、または利用を続けたいサービスを選んでください（あてはまるものすべて）」。件数表のnは行カテゴリ該当者数、行％はそのnを分母としています。複数回答設問では行％合計が100％にならない場合があります。nが5未満の区分は参考値です。</x:v>
      </x:c>
      <x:c r="B4" s="108"/>
      <x:c r="C4" s="108"/>
      <x:c r="D4" s="108"/>
      <x:c r="E4" s="108"/>
      <x:c r="F4" s="108"/>
      <x:c r="G4" s="108"/>
      <x:c r="H4" s="108"/>
      <x:c r="I4" s="108"/>
      <x:c r="J4" s="108"/>
      <x:c r="K4" s="108"/>
      <x:c r="L4" s="108"/>
      <x:c r="M4" s="108"/>
    </x:row>
    <x:row r="6">
      <x:c r="A6" s="86" t="str">
        <x:v>行区分</x:v>
      </x:c>
      <x:c r="B6" s="86" t="str">
        <x:v>n</x:v>
      </x:c>
      <x:c r="C6" s="86" t="str">
        <x:v>児童発達支援</x:v>
      </x:c>
      <x:c r="D6" s="86" t="str">
        <x:v>放課後等デイサービス</x:v>
      </x:c>
      <x:c r="E6" s="86" t="str">
        <x:v>保育所等訪問支援</x:v>
      </x:c>
      <x:c r="F6" s="86" t="str">
        <x:v>居宅訪問型児童発達支援</x:v>
      </x:c>
      <x:c r="G6" s="86" t="str">
        <x:v>障がい児相談支援</x:v>
      </x:c>
      <x:c r="H6" s="86" t="str">
        <x:v>短期入所（ショートステイ）</x:v>
      </x:c>
      <x:c r="I6" s="86" t="str">
        <x:v>日中一時支援</x:v>
      </x:c>
      <x:c r="J6" s="86" t="str">
        <x:v>移動支援</x:v>
      </x:c>
      <x:c r="K6" s="86" t="str">
        <x:v>日常生活用具の給付</x:v>
      </x:c>
      <x:c r="L6" s="86" t="str">
        <x:v>利用したいサービスは特にない</x:v>
      </x:c>
      <x:c r="M6" s="86" t="str">
        <x:v>その他</x:v>
      </x:c>
    </x:row>
    <x:row r="7">
      <x:c r="A7" s="94" t="str">
        <x:v>身体障がい</x:v>
      </x:c>
      <x:c r="B7" s="109" t="n">
        <x:f>COUNTIF('データ'!AW$5:AW$7,"〇")</x:f>
        <x:v>1</x:v>
      </x:c>
      <x:c r="C7" s="94" t="n">
        <x:f>COUNTIFS('データ'!AW$5:AW$7,"〇",'データ'!KV$5:KV$7,"〇")</x:f>
        <x:v>0</x:v>
      </x:c>
      <x:c r="D7" s="94" t="n">
        <x:f>COUNTIFS('データ'!AW$5:AW$7,"〇",'データ'!KW$5:KW$7,"〇")</x:f>
        <x:v>0</x:v>
      </x:c>
      <x:c r="E7" s="94" t="n">
        <x:f>COUNTIFS('データ'!AW$5:AW$7,"〇",'データ'!KX$5:KX$7,"〇")</x:f>
        <x:v>0</x:v>
      </x:c>
      <x:c r="F7" s="94" t="n">
        <x:f>COUNTIFS('データ'!AW$5:AW$7,"〇",'データ'!KY$5:KY$7,"〇")</x:f>
        <x:v>0</x:v>
      </x:c>
      <x:c r="G7" s="94" t="n">
        <x:f>COUNTIFS('データ'!AW$5:AW$7,"〇",'データ'!KZ$5:KZ$7,"〇")</x:f>
        <x:v>0</x:v>
      </x:c>
      <x:c r="H7" s="94" t="n">
        <x:f>COUNTIFS('データ'!AW$5:AW$7,"〇",'データ'!LA$5:LA$7,"〇")</x:f>
        <x:v>0</x:v>
      </x:c>
      <x:c r="I7" s="94" t="n">
        <x:f>COUNTIFS('データ'!AW$5:AW$7,"〇",'データ'!LB$5:LB$7,"〇")</x:f>
        <x:v>0</x:v>
      </x:c>
      <x:c r="J7" s="94" t="n">
        <x:f>COUNTIFS('データ'!AW$5:AW$7,"〇",'データ'!LC$5:LC$7,"〇")</x:f>
        <x:v>1</x:v>
      </x:c>
      <x:c r="K7" s="94" t="n">
        <x:f>COUNTIFS('データ'!AW$5:AW$7,"〇",'データ'!LD$5:LD$7,"〇")</x:f>
        <x:v>0</x:v>
      </x:c>
      <x:c r="L7" s="94" t="n">
        <x:f>COUNTIFS('データ'!AW$5:AW$7,"〇",'データ'!LE$5:LE$7,"〇")</x:f>
        <x:v>0</x:v>
      </x:c>
      <x:c r="M7" s="94" t="n">
        <x:f>COUNTIFS('データ'!AW$5:AW$7,"〇",'データ'!LF$5:LF$7,"〇")</x:f>
        <x:v>0</x:v>
      </x:c>
    </x:row>
    <x:row r="8">
      <x:c r="A8" s="94" t="str">
        <x:v>知的障がい</x:v>
      </x:c>
      <x:c r="B8" s="109" t="n">
        <x:f>COUNTIF('データ'!AX$5:AX$7,"〇")</x:f>
        <x:v>1</x:v>
      </x:c>
      <x:c r="C8" s="94" t="n">
        <x:f>COUNTIFS('データ'!AX$5:AX$7,"〇",'データ'!KV$5:KV$7,"〇")</x:f>
        <x:v>0</x:v>
      </x:c>
      <x:c r="D8" s="94" t="n">
        <x:f>COUNTIFS('データ'!AX$5:AX$7,"〇",'データ'!KW$5:KW$7,"〇")</x:f>
        <x:v>1</x:v>
      </x:c>
      <x:c r="E8" s="94" t="n">
        <x:f>COUNTIFS('データ'!AX$5:AX$7,"〇",'データ'!KX$5:KX$7,"〇")</x:f>
        <x:v>0</x:v>
      </x:c>
      <x:c r="F8" s="94" t="n">
        <x:f>COUNTIFS('データ'!AX$5:AX$7,"〇",'データ'!KY$5:KY$7,"〇")</x:f>
        <x:v>0</x:v>
      </x:c>
      <x:c r="G8" s="94" t="n">
        <x:f>COUNTIFS('データ'!AX$5:AX$7,"〇",'データ'!KZ$5:KZ$7,"〇")</x:f>
        <x:v>1</x:v>
      </x:c>
      <x:c r="H8" s="94" t="n">
        <x:f>COUNTIFS('データ'!AX$5:AX$7,"〇",'データ'!LA$5:LA$7,"〇")</x:f>
        <x:v>1</x:v>
      </x:c>
      <x:c r="I8" s="94" t="n">
        <x:f>COUNTIFS('データ'!AX$5:AX$7,"〇",'データ'!LB$5:LB$7,"〇")</x:f>
        <x:v>0</x:v>
      </x:c>
      <x:c r="J8" s="94" t="n">
        <x:f>COUNTIFS('データ'!AX$5:AX$7,"〇",'データ'!LC$5:LC$7,"〇")</x:f>
        <x:v>1</x:v>
      </x:c>
      <x:c r="K8" s="94" t="n">
        <x:f>COUNTIFS('データ'!AX$5:AX$7,"〇",'データ'!LD$5:LD$7,"〇")</x:f>
        <x:v>1</x:v>
      </x:c>
      <x:c r="L8" s="94" t="n">
        <x:f>COUNTIFS('データ'!AX$5:AX$7,"〇",'データ'!LE$5:LE$7,"〇")</x:f>
        <x:v>0</x:v>
      </x:c>
      <x:c r="M8" s="94" t="n">
        <x:f>COUNTIFS('データ'!AX$5:AX$7,"〇",'データ'!LF$5:LF$7,"〇")</x:f>
        <x:v>0</x:v>
      </x:c>
    </x:row>
    <x:row r="9">
      <x:c r="A9" s="94" t="str">
        <x:v>精神障がい</x:v>
      </x:c>
      <x:c r="B9" s="109" t="n">
        <x:f>COUNTIF('データ'!AY$5:AY$7,"〇")</x:f>
        <x:v>0</x:v>
      </x:c>
      <x:c r="C9" s="94" t="n">
        <x:f>COUNTIFS('データ'!AY$5:AY$7,"〇",'データ'!KV$5:KV$7,"〇")</x:f>
        <x:v>0</x:v>
      </x:c>
      <x:c r="D9" s="94" t="n">
        <x:f>COUNTIFS('データ'!AY$5:AY$7,"〇",'データ'!KW$5:KW$7,"〇")</x:f>
        <x:v>0</x:v>
      </x:c>
      <x:c r="E9" s="94" t="n">
        <x:f>COUNTIFS('データ'!AY$5:AY$7,"〇",'データ'!KX$5:KX$7,"〇")</x:f>
        <x:v>0</x:v>
      </x:c>
      <x:c r="F9" s="94" t="n">
        <x:f>COUNTIFS('データ'!AY$5:AY$7,"〇",'データ'!KY$5:KY$7,"〇")</x:f>
        <x:v>0</x:v>
      </x:c>
      <x:c r="G9" s="94" t="n">
        <x:f>COUNTIFS('データ'!AY$5:AY$7,"〇",'データ'!KZ$5:KZ$7,"〇")</x:f>
        <x:v>0</x:v>
      </x:c>
      <x:c r="H9" s="94" t="n">
        <x:f>COUNTIFS('データ'!AY$5:AY$7,"〇",'データ'!LA$5:LA$7,"〇")</x:f>
        <x:v>0</x:v>
      </x:c>
      <x:c r="I9" s="94" t="n">
        <x:f>COUNTIFS('データ'!AY$5:AY$7,"〇",'データ'!LB$5:LB$7,"〇")</x:f>
        <x:v>0</x:v>
      </x:c>
      <x:c r="J9" s="94" t="n">
        <x:f>COUNTIFS('データ'!AY$5:AY$7,"〇",'データ'!LC$5:LC$7,"〇")</x:f>
        <x:v>0</x:v>
      </x:c>
      <x:c r="K9" s="94" t="n">
        <x:f>COUNTIFS('データ'!AY$5:AY$7,"〇",'データ'!LD$5:LD$7,"〇")</x:f>
        <x:v>0</x:v>
      </x:c>
      <x:c r="L9" s="94" t="n">
        <x:f>COUNTIFS('データ'!AY$5:AY$7,"〇",'データ'!LE$5:LE$7,"〇")</x:f>
        <x:v>0</x:v>
      </x:c>
      <x:c r="M9" s="94" t="n">
        <x:f>COUNTIFS('データ'!AY$5:AY$7,"〇",'データ'!LF$5:LF$7,"〇")</x:f>
        <x:v>0</x:v>
      </x:c>
    </x:row>
    <x:row r="10">
      <x:c r="A10" s="94" t="str">
        <x:v>発達障がい</x:v>
      </x:c>
      <x:c r="B10" s="109" t="n">
        <x:f>COUNTIF('データ'!AZ$5:AZ$7,"〇")</x:f>
        <x:v>1</x:v>
      </x:c>
      <x:c r="C10" s="94" t="n">
        <x:f>COUNTIFS('データ'!AZ$5:AZ$7,"〇",'データ'!KV$5:KV$7,"〇")</x:f>
        <x:v>0</x:v>
      </x:c>
      <x:c r="D10" s="94" t="n">
        <x:f>COUNTIFS('データ'!AZ$5:AZ$7,"〇",'データ'!KW$5:KW$7,"〇")</x:f>
        <x:v>0</x:v>
      </x:c>
      <x:c r="E10" s="94" t="n">
        <x:f>COUNTIFS('データ'!AZ$5:AZ$7,"〇",'データ'!KX$5:KX$7,"〇")</x:f>
        <x:v>0</x:v>
      </x:c>
      <x:c r="F10" s="94" t="n">
        <x:f>COUNTIFS('データ'!AZ$5:AZ$7,"〇",'データ'!KY$5:KY$7,"〇")</x:f>
        <x:v>0</x:v>
      </x:c>
      <x:c r="G10" s="94" t="n">
        <x:f>COUNTIFS('データ'!AZ$5:AZ$7,"〇",'データ'!KZ$5:KZ$7,"〇")</x:f>
        <x:v>1</x:v>
      </x:c>
      <x:c r="H10" s="94" t="n">
        <x:f>COUNTIFS('データ'!AZ$5:AZ$7,"〇",'データ'!LA$5:LA$7,"〇")</x:f>
        <x:v>0</x:v>
      </x:c>
      <x:c r="I10" s="94" t="n">
        <x:f>COUNTIFS('データ'!AZ$5:AZ$7,"〇",'データ'!LB$5:LB$7,"〇")</x:f>
        <x:v>0</x:v>
      </x:c>
      <x:c r="J10" s="94" t="n">
        <x:f>COUNTIFS('データ'!AZ$5:AZ$7,"〇",'データ'!LC$5:LC$7,"〇")</x:f>
        <x:v>1</x:v>
      </x:c>
      <x:c r="K10" s="94" t="n">
        <x:f>COUNTIFS('データ'!AZ$5:AZ$7,"〇",'データ'!LD$5:LD$7,"〇")</x:f>
        <x:v>0</x:v>
      </x:c>
      <x:c r="L10" s="94" t="n">
        <x:f>COUNTIFS('データ'!AZ$5:AZ$7,"〇",'データ'!LE$5:LE$7,"〇")</x:f>
        <x:v>0</x:v>
      </x:c>
      <x:c r="M10" s="94" t="n">
        <x:f>COUNTIFS('データ'!AZ$5:AZ$7,"〇",'データ'!LF$5:LF$7,"〇")</x:f>
        <x:v>0</x:v>
      </x:c>
    </x:row>
    <x:row r="11">
      <x:c r="A11" s="94" t="str">
        <x:v>難病</x:v>
      </x:c>
      <x:c r="B11" s="109" t="n">
        <x:f>COUNTIF('データ'!BA$5:BA$7,"〇")</x:f>
        <x:v>0</x:v>
      </x:c>
      <x:c r="C11" s="94" t="n">
        <x:f>COUNTIFS('データ'!BA$5:BA$7,"〇",'データ'!KV$5:KV$7,"〇")</x:f>
        <x:v>0</x:v>
      </x:c>
      <x:c r="D11" s="94" t="n">
        <x:f>COUNTIFS('データ'!BA$5:BA$7,"〇",'データ'!KW$5:KW$7,"〇")</x:f>
        <x:v>0</x:v>
      </x:c>
      <x:c r="E11" s="94" t="n">
        <x:f>COUNTIFS('データ'!BA$5:BA$7,"〇",'データ'!KX$5:KX$7,"〇")</x:f>
        <x:v>0</x:v>
      </x:c>
      <x:c r="F11" s="94" t="n">
        <x:f>COUNTIFS('データ'!BA$5:BA$7,"〇",'データ'!KY$5:KY$7,"〇")</x:f>
        <x:v>0</x:v>
      </x:c>
      <x:c r="G11" s="94" t="n">
        <x:f>COUNTIFS('データ'!BA$5:BA$7,"〇",'データ'!KZ$5:KZ$7,"〇")</x:f>
        <x:v>0</x:v>
      </x:c>
      <x:c r="H11" s="94" t="n">
        <x:f>COUNTIFS('データ'!BA$5:BA$7,"〇",'データ'!LA$5:LA$7,"〇")</x:f>
        <x:v>0</x:v>
      </x:c>
      <x:c r="I11" s="94" t="n">
        <x:f>COUNTIFS('データ'!BA$5:BA$7,"〇",'データ'!LB$5:LB$7,"〇")</x:f>
        <x:v>0</x:v>
      </x:c>
      <x:c r="J11" s="94" t="n">
        <x:f>COUNTIFS('データ'!BA$5:BA$7,"〇",'データ'!LC$5:LC$7,"〇")</x:f>
        <x:v>0</x:v>
      </x:c>
      <x:c r="K11" s="94" t="n">
        <x:f>COUNTIFS('データ'!BA$5:BA$7,"〇",'データ'!LD$5:LD$7,"〇")</x:f>
        <x:v>0</x:v>
      </x:c>
      <x:c r="L11" s="94" t="n">
        <x:f>COUNTIFS('データ'!BA$5:BA$7,"〇",'データ'!LE$5:LE$7,"〇")</x:f>
        <x:v>0</x:v>
      </x:c>
      <x:c r="M11" s="94" t="n">
        <x:f>COUNTIFS('データ'!BA$5:BA$7,"〇",'データ'!LF$5:LF$7,"〇")</x:f>
        <x:v>0</x:v>
      </x:c>
    </x:row>
    <x:row r="12">
      <x:c r="A12" s="94" t="str">
        <x:v>高次脳機能障がい</x:v>
      </x:c>
      <x:c r="B12" s="109" t="n">
        <x:f>COUNTIF('データ'!BB$5:BB$7,"〇")</x:f>
        <x:v>0</x:v>
      </x:c>
      <x:c r="C12" s="94" t="n">
        <x:f>COUNTIFS('データ'!BB$5:BB$7,"〇",'データ'!KV$5:KV$7,"〇")</x:f>
        <x:v>0</x:v>
      </x:c>
      <x:c r="D12" s="94" t="n">
        <x:f>COUNTIFS('データ'!BB$5:BB$7,"〇",'データ'!KW$5:KW$7,"〇")</x:f>
        <x:v>0</x:v>
      </x:c>
      <x:c r="E12" s="94" t="n">
        <x:f>COUNTIFS('データ'!BB$5:BB$7,"〇",'データ'!KX$5:KX$7,"〇")</x:f>
        <x:v>0</x:v>
      </x:c>
      <x:c r="F12" s="94" t="n">
        <x:f>COUNTIFS('データ'!BB$5:BB$7,"〇",'データ'!KY$5:KY$7,"〇")</x:f>
        <x:v>0</x:v>
      </x:c>
      <x:c r="G12" s="94" t="n">
        <x:f>COUNTIFS('データ'!BB$5:BB$7,"〇",'データ'!KZ$5:KZ$7,"〇")</x:f>
        <x:v>0</x:v>
      </x:c>
      <x:c r="H12" s="94" t="n">
        <x:f>COUNTIFS('データ'!BB$5:BB$7,"〇",'データ'!LA$5:LA$7,"〇")</x:f>
        <x:v>0</x:v>
      </x:c>
      <x:c r="I12" s="94" t="n">
        <x:f>COUNTIFS('データ'!BB$5:BB$7,"〇",'データ'!LB$5:LB$7,"〇")</x:f>
        <x:v>0</x:v>
      </x:c>
      <x:c r="J12" s="94" t="n">
        <x:f>COUNTIFS('データ'!BB$5:BB$7,"〇",'データ'!LC$5:LC$7,"〇")</x:f>
        <x:v>0</x:v>
      </x:c>
      <x:c r="K12" s="94" t="n">
        <x:f>COUNTIFS('データ'!BB$5:BB$7,"〇",'データ'!LD$5:LD$7,"〇")</x:f>
        <x:v>0</x:v>
      </x:c>
      <x:c r="L12" s="94" t="n">
        <x:f>COUNTIFS('データ'!BB$5:BB$7,"〇",'データ'!LE$5:LE$7,"〇")</x:f>
        <x:v>0</x:v>
      </x:c>
      <x:c r="M12" s="94" t="n">
        <x:f>COUNTIFS('データ'!BB$5:BB$7,"〇",'データ'!LF$5:LF$7,"〇")</x:f>
        <x:v>0</x:v>
      </x:c>
    </x:row>
    <x:row r="13">
      <x:c r="A13" s="94" t="str">
        <x:v>重症心身障がい</x:v>
      </x:c>
      <x:c r="B13" s="109" t="n">
        <x:f>COUNTIF('データ'!BC$5:BC$7,"〇")</x:f>
        <x:v>0</x:v>
      </x:c>
      <x:c r="C13" s="94" t="n">
        <x:f>COUNTIFS('データ'!BC$5:BC$7,"〇",'データ'!KV$5:KV$7,"〇")</x:f>
        <x:v>0</x:v>
      </x:c>
      <x:c r="D13" s="94" t="n">
        <x:f>COUNTIFS('データ'!BC$5:BC$7,"〇",'データ'!KW$5:KW$7,"〇")</x:f>
        <x:v>0</x:v>
      </x:c>
      <x:c r="E13" s="94" t="n">
        <x:f>COUNTIFS('データ'!BC$5:BC$7,"〇",'データ'!KX$5:KX$7,"〇")</x:f>
        <x:v>0</x:v>
      </x:c>
      <x:c r="F13" s="94" t="n">
        <x:f>COUNTIFS('データ'!BC$5:BC$7,"〇",'データ'!KY$5:KY$7,"〇")</x:f>
        <x:v>0</x:v>
      </x:c>
      <x:c r="G13" s="94" t="n">
        <x:f>COUNTIFS('データ'!BC$5:BC$7,"〇",'データ'!KZ$5:KZ$7,"〇")</x:f>
        <x:v>0</x:v>
      </x:c>
      <x:c r="H13" s="94" t="n">
        <x:f>COUNTIFS('データ'!BC$5:BC$7,"〇",'データ'!LA$5:LA$7,"〇")</x:f>
        <x:v>0</x:v>
      </x:c>
      <x:c r="I13" s="94" t="n">
        <x:f>COUNTIFS('データ'!BC$5:BC$7,"〇",'データ'!LB$5:LB$7,"〇")</x:f>
        <x:v>0</x:v>
      </x:c>
      <x:c r="J13" s="94" t="n">
        <x:f>COUNTIFS('データ'!BC$5:BC$7,"〇",'データ'!LC$5:LC$7,"〇")</x:f>
        <x:v>0</x:v>
      </x:c>
      <x:c r="K13" s="94" t="n">
        <x:f>COUNTIFS('データ'!BC$5:BC$7,"〇",'データ'!LD$5:LD$7,"〇")</x:f>
        <x:v>0</x:v>
      </x:c>
      <x:c r="L13" s="94" t="n">
        <x:f>COUNTIFS('データ'!BC$5:BC$7,"〇",'データ'!LE$5:LE$7,"〇")</x:f>
        <x:v>0</x:v>
      </x:c>
      <x:c r="M13" s="94" t="n">
        <x:f>COUNTIFS('データ'!BC$5:BC$7,"〇",'データ'!LF$5:LF$7,"〇")</x:f>
        <x:v>0</x:v>
      </x:c>
    </x:row>
    <x:row r="14">
      <x:c r="A14" s="94" t="str">
        <x:v>わからない・その他</x:v>
      </x:c>
      <x:c r="B14" s="109" t="n">
        <x:f>COUNTIF('データ'!BD$5:BD$7,"〇")</x:f>
        <x:v>0</x:v>
      </x:c>
      <x:c r="C14" s="94" t="n">
        <x:f>COUNTIFS('データ'!BD$5:BD$7,"〇",'データ'!KV$5:KV$7,"〇")</x:f>
        <x:v>0</x:v>
      </x:c>
      <x:c r="D14" s="94" t="n">
        <x:f>COUNTIFS('データ'!BD$5:BD$7,"〇",'データ'!KW$5:KW$7,"〇")</x:f>
        <x:v>0</x:v>
      </x:c>
      <x:c r="E14" s="94" t="n">
        <x:f>COUNTIFS('データ'!BD$5:BD$7,"〇",'データ'!KX$5:KX$7,"〇")</x:f>
        <x:v>0</x:v>
      </x:c>
      <x:c r="F14" s="94" t="n">
        <x:f>COUNTIFS('データ'!BD$5:BD$7,"〇",'データ'!KY$5:KY$7,"〇")</x:f>
        <x:v>0</x:v>
      </x:c>
      <x:c r="G14" s="94" t="n">
        <x:f>COUNTIFS('データ'!BD$5:BD$7,"〇",'データ'!KZ$5:KZ$7,"〇")</x:f>
        <x:v>0</x:v>
      </x:c>
      <x:c r="H14" s="94" t="n">
        <x:f>COUNTIFS('データ'!BD$5:BD$7,"〇",'データ'!LA$5:LA$7,"〇")</x:f>
        <x:v>0</x:v>
      </x:c>
      <x:c r="I14" s="94" t="n">
        <x:f>COUNTIFS('データ'!BD$5:BD$7,"〇",'データ'!LB$5:LB$7,"〇")</x:f>
        <x:v>0</x:v>
      </x:c>
      <x:c r="J14" s="94" t="n">
        <x:f>COUNTIFS('データ'!BD$5:BD$7,"〇",'データ'!LC$5:LC$7,"〇")</x:f>
        <x:v>0</x:v>
      </x:c>
      <x:c r="K14" s="94" t="n">
        <x:f>COUNTIFS('データ'!BD$5:BD$7,"〇",'データ'!LD$5:LD$7,"〇")</x:f>
        <x:v>0</x:v>
      </x:c>
      <x:c r="L14" s="94" t="n">
        <x:f>COUNTIFS('データ'!BD$5:BD$7,"〇",'データ'!LE$5:LE$7,"〇")</x:f>
        <x:v>0</x:v>
      </x:c>
      <x:c r="M14" s="94" t="n">
        <x:f>COUNTIFS('データ'!BD$5:BD$7,"〇",'データ'!LF$5:LF$7,"〇")</x:f>
        <x:v>0</x:v>
      </x:c>
    </x:row>
    <x:row r="17">
      <x:c r="A17" s="99" t="str">
        <x:v>行％（各行のnを100％とした割合）</x:v>
      </x:c>
      <x:c r="B17" s="99"/>
      <x:c r="C17" s="99"/>
      <x:c r="D17" s="99"/>
      <x:c r="E17" s="99"/>
      <x:c r="F17" s="99"/>
      <x:c r="G17" s="99"/>
      <x:c r="H17" s="99"/>
      <x:c r="I17" s="99"/>
      <x:c r="J17" s="99"/>
      <x:c r="K17" s="99"/>
      <x:c r="L17" s="99"/>
      <x:c r="M17" s="99"/>
    </x:row>
    <x:row r="18">
      <x:c r="A18" s="86" t="str">
        <x:v>行区分</x:v>
      </x:c>
      <x:c r="B18" s="86" t="str">
        <x:v>n</x:v>
      </x:c>
      <x:c r="C18" s="86" t="str">
        <x:v>児童発達支援</x:v>
      </x:c>
      <x:c r="D18" s="86" t="str">
        <x:v>放課後等デイサービス</x:v>
      </x:c>
      <x:c r="E18" s="86" t="str">
        <x:v>保育所等訪問支援</x:v>
      </x:c>
      <x:c r="F18" s="86" t="str">
        <x:v>居宅訪問型児童発達支援</x:v>
      </x:c>
      <x:c r="G18" s="86" t="str">
        <x:v>障がい児相談支援</x:v>
      </x:c>
      <x:c r="H18" s="86" t="str">
        <x:v>短期入所（ショートステイ）</x:v>
      </x:c>
      <x:c r="I18" s="86" t="str">
        <x:v>日中一時支援</x:v>
      </x:c>
      <x:c r="J18" s="86" t="str">
        <x:v>移動支援</x:v>
      </x:c>
      <x:c r="K18" s="86" t="str">
        <x:v>日常生活用具の給付</x:v>
      </x:c>
      <x:c r="L18" s="86" t="str">
        <x:v>利用したいサービスは特にない</x:v>
      </x:c>
      <x:c r="M18" s="86" t="str">
        <x:v>その他</x:v>
      </x:c>
    </x:row>
    <x:row r="19">
      <x:c r="A19" s="94" t="str">
        <x:v>身体障がい</x:v>
      </x:c>
      <x:c r="B19" s="109" t="n">
        <x:f>B7</x:f>
        <x:v>1</x:v>
      </x:c>
      <x:c r="C19" s="104" t="n">
        <x:f>IF(B7=0,"",C7/B7)</x:f>
        <x:v>0</x:v>
      </x:c>
      <x:c r="D19" s="104" t="n">
        <x:f>IF(B7=0,"",D7/B7)</x:f>
        <x:v>0</x:v>
      </x:c>
      <x:c r="E19" s="104" t="n">
        <x:f>IF(B7=0,"",E7/B7)</x:f>
        <x:v>0</x:v>
      </x:c>
      <x:c r="F19" s="104" t="n">
        <x:f>IF(B7=0,"",F7/B7)</x:f>
        <x:v>0</x:v>
      </x:c>
      <x:c r="G19" s="104" t="n">
        <x:f>IF(B7=0,"",G7/B7)</x:f>
        <x:v>0</x:v>
      </x:c>
      <x:c r="H19" s="104" t="n">
        <x:f>IF(B7=0,"",H7/B7)</x:f>
        <x:v>0</x:v>
      </x:c>
      <x:c r="I19" s="104" t="n">
        <x:f>IF(B7=0,"",I7/B7)</x:f>
        <x:v>0</x:v>
      </x:c>
      <x:c r="J19" s="104" t="n">
        <x:f>IF(B7=0,"",J7/B7)</x:f>
        <x:v>1</x:v>
      </x:c>
      <x:c r="K19" s="104" t="n">
        <x:f>IF(B7=0,"",K7/B7)</x:f>
        <x:v>0</x:v>
      </x:c>
      <x:c r="L19" s="104" t="n">
        <x:f>IF(B7=0,"",L7/B7)</x:f>
        <x:v>0</x:v>
      </x:c>
      <x:c r="M19" s="104" t="n">
        <x:f>IF(B7=0,"",M7/B7)</x:f>
        <x:v>0</x:v>
      </x:c>
    </x:row>
    <x:row r="20">
      <x:c r="A20" s="94" t="str">
        <x:v>知的障がい</x:v>
      </x:c>
      <x:c r="B20" s="109" t="n">
        <x:f>B8</x:f>
        <x:v>1</x:v>
      </x:c>
      <x:c r="C20" s="104" t="n">
        <x:f>IF(B8=0,"",C8/B8)</x:f>
        <x:v>0</x:v>
      </x:c>
      <x:c r="D20" s="104" t="n">
        <x:f>IF(B8=0,"",D8/B8)</x:f>
        <x:v>1</x:v>
      </x:c>
      <x:c r="E20" s="104" t="n">
        <x:f>IF(B8=0,"",E8/B8)</x:f>
        <x:v>0</x:v>
      </x:c>
      <x:c r="F20" s="104" t="n">
        <x:f>IF(B8=0,"",F8/B8)</x:f>
        <x:v>0</x:v>
      </x:c>
      <x:c r="G20" s="104" t="n">
        <x:f>IF(B8=0,"",G8/B8)</x:f>
        <x:v>1</x:v>
      </x:c>
      <x:c r="H20" s="104" t="n">
        <x:f>IF(B8=0,"",H8/B8)</x:f>
        <x:v>1</x:v>
      </x:c>
      <x:c r="I20" s="104" t="n">
        <x:f>IF(B8=0,"",I8/B8)</x:f>
        <x:v>0</x:v>
      </x:c>
      <x:c r="J20" s="104" t="n">
        <x:f>IF(B8=0,"",J8/B8)</x:f>
        <x:v>1</x:v>
      </x:c>
      <x:c r="K20" s="104" t="n">
        <x:f>IF(B8=0,"",K8/B8)</x:f>
        <x:v>1</x:v>
      </x:c>
      <x:c r="L20" s="104" t="n">
        <x:f>IF(B8=0,"",L8/B8)</x:f>
        <x:v>0</x:v>
      </x:c>
      <x:c r="M20" s="104" t="n">
        <x:f>IF(B8=0,"",M8/B8)</x:f>
        <x:v>0</x:v>
      </x:c>
    </x:row>
    <x:row r="21">
      <x:c r="A21" s="94" t="str">
        <x:v>精神障がい</x:v>
      </x:c>
      <x:c r="B21" s="109" t="n">
        <x:f>B9</x:f>
        <x:v>0</x:v>
      </x:c>
      <x:c r="C21" s="104" t="str">
        <x:f>IF(B9=0,"",C9/B9)</x:f>
      </x:c>
      <x:c r="D21" s="104" t="str">
        <x:f>IF(B9=0,"",D9/B9)</x:f>
      </x:c>
      <x:c r="E21" s="104" t="str">
        <x:f>IF(B9=0,"",E9/B9)</x:f>
      </x:c>
      <x:c r="F21" s="104" t="str">
        <x:f>IF(B9=0,"",F9/B9)</x:f>
      </x:c>
      <x:c r="G21" s="104" t="str">
        <x:f>IF(B9=0,"",G9/B9)</x:f>
      </x:c>
      <x:c r="H21" s="104" t="str">
        <x:f>IF(B9=0,"",H9/B9)</x:f>
      </x:c>
      <x:c r="I21" s="104" t="str">
        <x:f>IF(B9=0,"",I9/B9)</x:f>
      </x:c>
      <x:c r="J21" s="104" t="str">
        <x:f>IF(B9=0,"",J9/B9)</x:f>
      </x:c>
      <x:c r="K21" s="104" t="str">
        <x:f>IF(B9=0,"",K9/B9)</x:f>
      </x:c>
      <x:c r="L21" s="104" t="str">
        <x:f>IF(B9=0,"",L9/B9)</x:f>
      </x:c>
      <x:c r="M21" s="104" t="str">
        <x:f>IF(B9=0,"",M9/B9)</x:f>
      </x:c>
    </x:row>
    <x:row r="22">
      <x:c r="A22" s="94" t="str">
        <x:v>発達障がい</x:v>
      </x:c>
      <x:c r="B22" s="109" t="n">
        <x:f>B10</x:f>
        <x:v>1</x:v>
      </x:c>
      <x:c r="C22" s="104" t="n">
        <x:f>IF(B10=0,"",C10/B10)</x:f>
        <x:v>0</x:v>
      </x:c>
      <x:c r="D22" s="104" t="n">
        <x:f>IF(B10=0,"",D10/B10)</x:f>
        <x:v>0</x:v>
      </x:c>
      <x:c r="E22" s="104" t="n">
        <x:f>IF(B10=0,"",E10/B10)</x:f>
        <x:v>0</x:v>
      </x:c>
      <x:c r="F22" s="104" t="n">
        <x:f>IF(B10=0,"",F10/B10)</x:f>
        <x:v>0</x:v>
      </x:c>
      <x:c r="G22" s="104" t="n">
        <x:f>IF(B10=0,"",G10/B10)</x:f>
        <x:v>1</x:v>
      </x:c>
      <x:c r="H22" s="104" t="n">
        <x:f>IF(B10=0,"",H10/B10)</x:f>
        <x:v>0</x:v>
      </x:c>
      <x:c r="I22" s="104" t="n">
        <x:f>IF(B10=0,"",I10/B10)</x:f>
        <x:v>0</x:v>
      </x:c>
      <x:c r="J22" s="104" t="n">
        <x:f>IF(B10=0,"",J10/B10)</x:f>
        <x:v>1</x:v>
      </x:c>
      <x:c r="K22" s="104" t="n">
        <x:f>IF(B10=0,"",K10/B10)</x:f>
        <x:v>0</x:v>
      </x:c>
      <x:c r="L22" s="104" t="n">
        <x:f>IF(B10=0,"",L10/B10)</x:f>
        <x:v>0</x:v>
      </x:c>
      <x:c r="M22" s="104" t="n">
        <x:f>IF(B10=0,"",M10/B10)</x:f>
        <x:v>0</x:v>
      </x:c>
    </x:row>
    <x:row r="23">
      <x:c r="A23" s="94" t="str">
        <x:v>難病</x:v>
      </x:c>
      <x:c r="B23" s="109" t="n">
        <x:f>B11</x:f>
        <x:v>0</x:v>
      </x:c>
      <x:c r="C23" s="104" t="str">
        <x:f>IF(B11=0,"",C11/B11)</x:f>
      </x:c>
      <x:c r="D23" s="104" t="str">
        <x:f>IF(B11=0,"",D11/B11)</x:f>
      </x:c>
      <x:c r="E23" s="104" t="str">
        <x:f>IF(B11=0,"",E11/B11)</x:f>
      </x:c>
      <x:c r="F23" s="104" t="str">
        <x:f>IF(B11=0,"",F11/B11)</x:f>
      </x:c>
      <x:c r="G23" s="104" t="str">
        <x:f>IF(B11=0,"",G11/B11)</x:f>
      </x:c>
      <x:c r="H23" s="104" t="str">
        <x:f>IF(B11=0,"",H11/B11)</x:f>
      </x:c>
      <x:c r="I23" s="104" t="str">
        <x:f>IF(B11=0,"",I11/B11)</x:f>
      </x:c>
      <x:c r="J23" s="104" t="str">
        <x:f>IF(B11=0,"",J11/B11)</x:f>
      </x:c>
      <x:c r="K23" s="104" t="str">
        <x:f>IF(B11=0,"",K11/B11)</x:f>
      </x:c>
      <x:c r="L23" s="104" t="str">
        <x:f>IF(B11=0,"",L11/B11)</x:f>
      </x:c>
      <x:c r="M23" s="104" t="str">
        <x:f>IF(B11=0,"",M11/B11)</x:f>
      </x:c>
    </x:row>
    <x:row r="24">
      <x:c r="A24" s="94" t="str">
        <x:v>高次脳機能障がい</x:v>
      </x:c>
      <x:c r="B24" s="109" t="n">
        <x:f>B12</x:f>
        <x:v>0</x:v>
      </x:c>
      <x:c r="C24" s="104" t="str">
        <x:f>IF(B12=0,"",C12/B12)</x:f>
      </x:c>
      <x:c r="D24" s="104" t="str">
        <x:f>IF(B12=0,"",D12/B12)</x:f>
      </x:c>
      <x:c r="E24" s="104" t="str">
        <x:f>IF(B12=0,"",E12/B12)</x:f>
      </x:c>
      <x:c r="F24" s="104" t="str">
        <x:f>IF(B12=0,"",F12/B12)</x:f>
      </x:c>
      <x:c r="G24" s="104" t="str">
        <x:f>IF(B12=0,"",G12/B12)</x:f>
      </x:c>
      <x:c r="H24" s="104" t="str">
        <x:f>IF(B12=0,"",H12/B12)</x:f>
      </x:c>
      <x:c r="I24" s="104" t="str">
        <x:f>IF(B12=0,"",I12/B12)</x:f>
      </x:c>
      <x:c r="J24" s="104" t="str">
        <x:f>IF(B12=0,"",J12/B12)</x:f>
      </x:c>
      <x:c r="K24" s="104" t="str">
        <x:f>IF(B12=0,"",K12/B12)</x:f>
      </x:c>
      <x:c r="L24" s="104" t="str">
        <x:f>IF(B12=0,"",L12/B12)</x:f>
      </x:c>
      <x:c r="M24" s="104" t="str">
        <x:f>IF(B12=0,"",M12/B12)</x:f>
      </x:c>
    </x:row>
    <x:row r="25">
      <x:c r="A25" s="94" t="str">
        <x:v>重症心身障がい</x:v>
      </x:c>
      <x:c r="B25" s="109" t="n">
        <x:f>B13</x:f>
        <x:v>0</x:v>
      </x:c>
      <x:c r="C25" s="104" t="str">
        <x:f>IF(B13=0,"",C13/B13)</x:f>
      </x:c>
      <x:c r="D25" s="104" t="str">
        <x:f>IF(B13=0,"",D13/B13)</x:f>
      </x:c>
      <x:c r="E25" s="104" t="str">
        <x:f>IF(B13=0,"",E13/B13)</x:f>
      </x:c>
      <x:c r="F25" s="104" t="str">
        <x:f>IF(B13=0,"",F13/B13)</x:f>
      </x:c>
      <x:c r="G25" s="104" t="str">
        <x:f>IF(B13=0,"",G13/B13)</x:f>
      </x:c>
      <x:c r="H25" s="104" t="str">
        <x:f>IF(B13=0,"",H13/B13)</x:f>
      </x:c>
      <x:c r="I25" s="104" t="str">
        <x:f>IF(B13=0,"",I13/B13)</x:f>
      </x:c>
      <x:c r="J25" s="104" t="str">
        <x:f>IF(B13=0,"",J13/B13)</x:f>
      </x:c>
      <x:c r="K25" s="104" t="str">
        <x:f>IF(B13=0,"",K13/B13)</x:f>
      </x:c>
      <x:c r="L25" s="104" t="str">
        <x:f>IF(B13=0,"",L13/B13)</x:f>
      </x:c>
      <x:c r="M25" s="104" t="str">
        <x:f>IF(B13=0,"",M13/B13)</x:f>
      </x:c>
    </x:row>
    <x:row r="26">
      <x:c r="A26" s="94" t="str">
        <x:v>わからない・その他</x:v>
      </x:c>
      <x:c r="B26" s="109" t="n">
        <x:f>B14</x:f>
        <x:v>0</x:v>
      </x:c>
      <x:c r="C26" s="104" t="str">
        <x:f>IF(B14=0,"",C14/B14)</x:f>
      </x:c>
      <x:c r="D26" s="104" t="str">
        <x:f>IF(B14=0,"",D14/B14)</x:f>
      </x:c>
      <x:c r="E26" s="104" t="str">
        <x:f>IF(B14=0,"",E14/B14)</x:f>
      </x:c>
      <x:c r="F26" s="104" t="str">
        <x:f>IF(B14=0,"",F14/B14)</x:f>
      </x:c>
      <x:c r="G26" s="104" t="str">
        <x:f>IF(B14=0,"",G14/B14)</x:f>
      </x:c>
      <x:c r="H26" s="104" t="str">
        <x:f>IF(B14=0,"",H14/B14)</x:f>
      </x:c>
      <x:c r="I26" s="104" t="str">
        <x:f>IF(B14=0,"",I14/B14)</x:f>
      </x:c>
      <x:c r="J26" s="104" t="str">
        <x:f>IF(B14=0,"",J14/B14)</x:f>
      </x:c>
      <x:c r="K26" s="104" t="str">
        <x:f>IF(B14=0,"",K14/B14)</x:f>
      </x:c>
      <x:c r="L26" s="104" t="str">
        <x:f>IF(B14=0,"",L14/B14)</x:f>
      </x:c>
      <x:c r="M26" s="104" t="str">
        <x:f>IF(B14=0,"",M14/B14)</x:f>
      </x:c>
    </x:row>
  </x:sheetData>
  <x:mergeCells>
    <x:mergeCell ref="A1:M1"/>
    <x:mergeCell ref="A3:M3"/>
    <x:mergeCell ref="A4:M4"/>
    <x:mergeCell ref="A17:M17"/>
  </x:mergeCells>
  <x:pageMargins left="0.7" right="0.7" top="0.75" bottom="0.75" header="0.3" footer="0.3"/>
</x:worksheet>
</file>

<file path=xl/worksheets/sheet7.xml><?xml version="1.0" encoding="utf-8"?>
<x:worksheet xmlns:x="http://schemas.openxmlformats.org/spreadsheetml/2006/main">
  <x:sheetFormatPr defaultRowHeight="15"/>
  <x:cols>
    <x:col min="1" max="1" width="34" hidden="0" customWidth="1"/>
    <x:col min="2" max="2" width="9"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s>
  <x:sheetData>
    <x:row r="1" ht="28" customHeight="1">
      <x:c r="A1" s="78" t="str">
        <x:v>問3 × 問14 クロス分析</x:v>
      </x:c>
      <x:c r="B1" s="78"/>
      <x:c r="C1" s="78"/>
      <x:c r="D1" s="78"/>
      <x:c r="E1" s="78"/>
      <x:c r="F1" s="78"/>
      <x:c r="G1" s="78"/>
      <x:c r="H1" s="78"/>
      <x:c r="I1" s="78"/>
      <x:c r="J1" s="78"/>
      <x:c r="K1" s="78"/>
      <x:c r="L1" s="78"/>
    </x:row>
    <x:row r="3">
      <x:c r="A3" s="100" t="str">
        <x:v>地区別の外出・交通上の課題</x:v>
      </x:c>
      <x:c r="B3" s="100"/>
      <x:c r="C3" s="100"/>
      <x:c r="D3" s="100"/>
      <x:c r="E3" s="100"/>
      <x:c r="F3" s="100"/>
      <x:c r="G3" s="100"/>
      <x:c r="H3" s="100"/>
      <x:c r="I3" s="100"/>
      <x:c r="J3" s="100"/>
      <x:c r="K3" s="100"/>
      <x:c r="L3" s="100"/>
    </x:row>
    <x:row r="4" ht="42" customHeight="1">
      <x:c r="A4" s="108" t="str">
        <x:v>行：問3「あなたのお住まいの地区を教えてください」／列：問14「外出するときに困ることは何ですか（あてはまるものすべて）」。件数表のnは行カテゴリ該当者数、行％はそのnを分母としています。複数回答設問では行％合計が100％にならない場合があります。nが5未満の区分は参考値です。</x:v>
      </x:c>
      <x:c r="B4" s="108"/>
      <x:c r="C4" s="108"/>
      <x:c r="D4" s="108"/>
      <x:c r="E4" s="108"/>
      <x:c r="F4" s="108"/>
      <x:c r="G4" s="108"/>
      <x:c r="H4" s="108"/>
      <x:c r="I4" s="108"/>
      <x:c r="J4" s="108"/>
      <x:c r="K4" s="108"/>
      <x:c r="L4" s="108"/>
    </x:row>
    <x:row r="6">
      <x:c r="A6" s="86" t="str">
        <x:v>行区分</x:v>
      </x:c>
      <x:c r="B6" s="86" t="str">
        <x:v>n</x:v>
      </x:c>
      <x:c r="C6" s="86" t="str">
        <x:v>交通手段が少ない</x:v>
      </x:c>
      <x:c r="D6" s="86" t="str">
        <x:v>家族等の付き添いが必要</x:v>
      </x:c>
      <x:c r="E6" s="86" t="str">
        <x:v>送迎がない</x:v>
      </x:c>
      <x:c r="F6" s="86" t="str">
        <x:v>冬季・積雪時に外出しにくい</x:v>
      </x:c>
      <x:c r="G6" s="86" t="str">
        <x:v>道路・建物が利用しにくい</x:v>
      </x:c>
      <x:c r="H6" s="86" t="str">
        <x:v>周囲の理解が不安</x:v>
      </x:c>
      <x:c r="I6" s="86" t="str">
        <x:v>体調面が不安</x:v>
      </x:c>
      <x:c r="J6" s="86" t="str">
        <x:v>費用がかかる</x:v>
      </x:c>
      <x:c r="K6" s="86" t="str">
        <x:v>特に困らない</x:v>
      </x:c>
      <x:c r="L6" s="86" t="str">
        <x:v>その他</x:v>
      </x:c>
    </x:row>
    <x:row r="7">
      <x:c r="A7" s="94" t="str">
        <x:v>北山地区</x:v>
      </x:c>
      <x:c r="B7" s="109" t="n">
        <x:f>COUNTIF('データ'!AD$5:AD$7,"〇")</x:f>
        <x:v>2</x:v>
      </x:c>
      <x:c r="C7" s="94" t="n">
        <x:f>COUNTIFS('データ'!AD$5:AD$7,"〇",'データ'!DR$5:DR$7,"〇")</x:f>
        <x:v>2</x:v>
      </x:c>
      <x:c r="D7" s="94" t="n">
        <x:f>COUNTIFS('データ'!AD$5:AD$7,"〇",'データ'!DS$5:DS$7,"〇")</x:f>
        <x:v>1</x:v>
      </x:c>
      <x:c r="E7" s="94" t="n">
        <x:f>COUNTIFS('データ'!AD$5:AD$7,"〇",'データ'!DT$5:DT$7,"〇")</x:f>
        <x:v>1</x:v>
      </x:c>
      <x:c r="F7" s="94" t="n">
        <x:f>COUNTIFS('データ'!AD$5:AD$7,"〇",'データ'!DU$5:DU$7,"〇")</x:f>
        <x:v>1</x:v>
      </x:c>
      <x:c r="G7" s="94" t="n">
        <x:f>COUNTIFS('データ'!AD$5:AD$7,"〇",'データ'!DV$5:DV$7,"〇")</x:f>
        <x:v>0</x:v>
      </x:c>
      <x:c r="H7" s="94" t="n">
        <x:f>COUNTIFS('データ'!AD$5:AD$7,"〇",'データ'!DW$5:DW$7,"〇")</x:f>
        <x:v>0</x:v>
      </x:c>
      <x:c r="I7" s="94" t="n">
        <x:f>COUNTIFS('データ'!AD$5:AD$7,"〇",'データ'!DX$5:DX$7,"〇")</x:f>
        <x:v>1</x:v>
      </x:c>
      <x:c r="J7" s="94" t="n">
        <x:f>COUNTIFS('データ'!AD$5:AD$7,"〇",'データ'!DY$5:DY$7,"〇")</x:f>
        <x:v>1</x:v>
      </x:c>
      <x:c r="K7" s="94" t="n">
        <x:f>COUNTIFS('データ'!AD$5:AD$7,"〇",'データ'!DZ$5:DZ$7,"〇")</x:f>
        <x:v>0</x:v>
      </x:c>
      <x:c r="L7" s="94" t="n">
        <x:f>COUNTIFS('データ'!AD$5:AD$7,"〇",'データ'!EA$5:EA$7,"〇")</x:f>
        <x:v>0</x:v>
      </x:c>
    </x:row>
    <x:row r="8">
      <x:c r="A8" s="94" t="str">
        <x:v>大塩地区</x:v>
      </x:c>
      <x:c r="B8" s="109" t="n">
        <x:f>COUNTIF('データ'!AE$5:AE$7,"〇")</x:f>
        <x:v>0</x:v>
      </x:c>
      <x:c r="C8" s="94" t="n">
        <x:f>COUNTIFS('データ'!AE$5:AE$7,"〇",'データ'!DR$5:DR$7,"〇")</x:f>
        <x:v>0</x:v>
      </x:c>
      <x:c r="D8" s="94" t="n">
        <x:f>COUNTIFS('データ'!AE$5:AE$7,"〇",'データ'!DS$5:DS$7,"〇")</x:f>
        <x:v>0</x:v>
      </x:c>
      <x:c r="E8" s="94" t="n">
        <x:f>COUNTIFS('データ'!AE$5:AE$7,"〇",'データ'!DT$5:DT$7,"〇")</x:f>
        <x:v>0</x:v>
      </x:c>
      <x:c r="F8" s="94" t="n">
        <x:f>COUNTIFS('データ'!AE$5:AE$7,"〇",'データ'!DU$5:DU$7,"〇")</x:f>
        <x:v>0</x:v>
      </x:c>
      <x:c r="G8" s="94" t="n">
        <x:f>COUNTIFS('データ'!AE$5:AE$7,"〇",'データ'!DV$5:DV$7,"〇")</x:f>
        <x:v>0</x:v>
      </x:c>
      <x:c r="H8" s="94" t="n">
        <x:f>COUNTIFS('データ'!AE$5:AE$7,"〇",'データ'!DW$5:DW$7,"〇")</x:f>
        <x:v>0</x:v>
      </x:c>
      <x:c r="I8" s="94" t="n">
        <x:f>COUNTIFS('データ'!AE$5:AE$7,"〇",'データ'!DX$5:DX$7,"〇")</x:f>
        <x:v>0</x:v>
      </x:c>
      <x:c r="J8" s="94" t="n">
        <x:f>COUNTIFS('データ'!AE$5:AE$7,"〇",'データ'!DY$5:DY$7,"〇")</x:f>
        <x:v>0</x:v>
      </x:c>
      <x:c r="K8" s="94" t="n">
        <x:f>COUNTIFS('データ'!AE$5:AE$7,"〇",'データ'!DZ$5:DZ$7,"〇")</x:f>
        <x:v>0</x:v>
      </x:c>
      <x:c r="L8" s="94" t="n">
        <x:f>COUNTIFS('データ'!AE$5:AE$7,"〇",'データ'!EA$5:EA$7,"〇")</x:f>
        <x:v>0</x:v>
      </x:c>
    </x:row>
    <x:row r="9">
      <x:c r="A9" s="94" t="str">
        <x:v>桧原地区</x:v>
      </x:c>
      <x:c r="B9" s="109" t="n">
        <x:f>COUNTIF('データ'!AF$5:AF$7,"〇")</x:f>
        <x:v>0</x:v>
      </x:c>
      <x:c r="C9" s="94" t="n">
        <x:f>COUNTIFS('データ'!AF$5:AF$7,"〇",'データ'!DR$5:DR$7,"〇")</x:f>
        <x:v>0</x:v>
      </x:c>
      <x:c r="D9" s="94" t="n">
        <x:f>COUNTIFS('データ'!AF$5:AF$7,"〇",'データ'!DS$5:DS$7,"〇")</x:f>
        <x:v>0</x:v>
      </x:c>
      <x:c r="E9" s="94" t="n">
        <x:f>COUNTIFS('データ'!AF$5:AF$7,"〇",'データ'!DT$5:DT$7,"〇")</x:f>
        <x:v>0</x:v>
      </x:c>
      <x:c r="F9" s="94" t="n">
        <x:f>COUNTIFS('データ'!AF$5:AF$7,"〇",'データ'!DU$5:DU$7,"〇")</x:f>
        <x:v>0</x:v>
      </x:c>
      <x:c r="G9" s="94" t="n">
        <x:f>COUNTIFS('データ'!AF$5:AF$7,"〇",'データ'!DV$5:DV$7,"〇")</x:f>
        <x:v>0</x:v>
      </x:c>
      <x:c r="H9" s="94" t="n">
        <x:f>COUNTIFS('データ'!AF$5:AF$7,"〇",'データ'!DW$5:DW$7,"〇")</x:f>
        <x:v>0</x:v>
      </x:c>
      <x:c r="I9" s="94" t="n">
        <x:f>COUNTIFS('データ'!AF$5:AF$7,"〇",'データ'!DX$5:DX$7,"〇")</x:f>
        <x:v>0</x:v>
      </x:c>
      <x:c r="J9" s="94" t="n">
        <x:f>COUNTIFS('データ'!AF$5:AF$7,"〇",'データ'!DY$5:DY$7,"〇")</x:f>
        <x:v>0</x:v>
      </x:c>
      <x:c r="K9" s="94" t="n">
        <x:f>COUNTIFS('データ'!AF$5:AF$7,"〇",'データ'!DZ$5:DZ$7,"〇")</x:f>
        <x:v>0</x:v>
      </x:c>
      <x:c r="L9" s="94" t="n">
        <x:f>COUNTIFS('データ'!AF$5:AF$7,"〇",'データ'!EA$5:EA$7,"〇")</x:f>
        <x:v>0</x:v>
      </x:c>
    </x:row>
    <x:row r="10">
      <x:c r="A10" s="94" t="str">
        <x:v>裏磐梯地区</x:v>
      </x:c>
      <x:c r="B10" s="109" t="n">
        <x:f>COUNTIF('データ'!AG$5:AG$7,"〇")</x:f>
        <x:v>1</x:v>
      </x:c>
      <x:c r="C10" s="94" t="n">
        <x:f>COUNTIFS('データ'!AG$5:AG$7,"〇",'データ'!DR$5:DR$7,"〇")</x:f>
        <x:v>0</x:v>
      </x:c>
      <x:c r="D10" s="94" t="n">
        <x:f>COUNTIFS('データ'!AG$5:AG$7,"〇",'データ'!DS$5:DS$7,"〇")</x:f>
        <x:v>1</x:v>
      </x:c>
      <x:c r="E10" s="94" t="n">
        <x:f>COUNTIFS('データ'!AG$5:AG$7,"〇",'データ'!DT$5:DT$7,"〇")</x:f>
        <x:v>0</x:v>
      </x:c>
      <x:c r="F10" s="94" t="n">
        <x:f>COUNTIFS('データ'!AG$5:AG$7,"〇",'データ'!DU$5:DU$7,"〇")</x:f>
        <x:v>0</x:v>
      </x:c>
      <x:c r="G10" s="94" t="n">
        <x:f>COUNTIFS('データ'!AG$5:AG$7,"〇",'データ'!DV$5:DV$7,"〇")</x:f>
        <x:v>0</x:v>
      </x:c>
      <x:c r="H10" s="94" t="n">
        <x:f>COUNTIFS('データ'!AG$5:AG$7,"〇",'データ'!DW$5:DW$7,"〇")</x:f>
        <x:v>0</x:v>
      </x:c>
      <x:c r="I10" s="94" t="n">
        <x:f>COUNTIFS('データ'!AG$5:AG$7,"〇",'データ'!DX$5:DX$7,"〇")</x:f>
        <x:v>0</x:v>
      </x:c>
      <x:c r="J10" s="94" t="n">
        <x:f>COUNTIFS('データ'!AG$5:AG$7,"〇",'データ'!DY$5:DY$7,"〇")</x:f>
        <x:v>0</x:v>
      </x:c>
      <x:c r="K10" s="94" t="n">
        <x:f>COUNTIFS('データ'!AG$5:AG$7,"〇",'データ'!DZ$5:DZ$7,"〇")</x:f>
        <x:v>0</x:v>
      </x:c>
      <x:c r="L10" s="94" t="n">
        <x:f>COUNTIFS('データ'!AG$5:AG$7,"〇",'データ'!EA$5:EA$7,"〇")</x:f>
        <x:v>1</x:v>
      </x:c>
    </x:row>
    <x:row r="11">
      <x:c r="A11" s="94" t="str">
        <x:v>その他</x:v>
      </x:c>
      <x:c r="B11" s="109" t="n">
        <x:f>COUNTIF('データ'!AH$5:AH$7,"〇")</x:f>
        <x:v>0</x:v>
      </x:c>
      <x:c r="C11" s="94" t="n">
        <x:f>COUNTIFS('データ'!AH$5:AH$7,"〇",'データ'!DR$5:DR$7,"〇")</x:f>
        <x:v>0</x:v>
      </x:c>
      <x:c r="D11" s="94" t="n">
        <x:f>COUNTIFS('データ'!AH$5:AH$7,"〇",'データ'!DS$5:DS$7,"〇")</x:f>
        <x:v>0</x:v>
      </x:c>
      <x:c r="E11" s="94" t="n">
        <x:f>COUNTIFS('データ'!AH$5:AH$7,"〇",'データ'!DT$5:DT$7,"〇")</x:f>
        <x:v>0</x:v>
      </x:c>
      <x:c r="F11" s="94" t="n">
        <x:f>COUNTIFS('データ'!AH$5:AH$7,"〇",'データ'!DU$5:DU$7,"〇")</x:f>
        <x:v>0</x:v>
      </x:c>
      <x:c r="G11" s="94" t="n">
        <x:f>COUNTIFS('データ'!AH$5:AH$7,"〇",'データ'!DV$5:DV$7,"〇")</x:f>
        <x:v>0</x:v>
      </x:c>
      <x:c r="H11" s="94" t="n">
        <x:f>COUNTIFS('データ'!AH$5:AH$7,"〇",'データ'!DW$5:DW$7,"〇")</x:f>
        <x:v>0</x:v>
      </x:c>
      <x:c r="I11" s="94" t="n">
        <x:f>COUNTIFS('データ'!AH$5:AH$7,"〇",'データ'!DX$5:DX$7,"〇")</x:f>
        <x:v>0</x:v>
      </x:c>
      <x:c r="J11" s="94" t="n">
        <x:f>COUNTIFS('データ'!AH$5:AH$7,"〇",'データ'!DY$5:DY$7,"〇")</x:f>
        <x:v>0</x:v>
      </x:c>
      <x:c r="K11" s="94" t="n">
        <x:f>COUNTIFS('データ'!AH$5:AH$7,"〇",'データ'!DZ$5:DZ$7,"〇")</x:f>
        <x:v>0</x:v>
      </x:c>
      <x:c r="L11" s="94" t="n">
        <x:f>COUNTIFS('データ'!AH$5:AH$7,"〇",'データ'!EA$5:EA$7,"〇")</x:f>
        <x:v>0</x:v>
      </x:c>
    </x:row>
    <x:row r="14">
      <x:c r="A14" s="99" t="str">
        <x:v>行％（各行のnを100％とした割合）</x:v>
      </x:c>
      <x:c r="B14" s="99"/>
      <x:c r="C14" s="99"/>
      <x:c r="D14" s="99"/>
      <x:c r="E14" s="99"/>
      <x:c r="F14" s="99"/>
      <x:c r="G14" s="99"/>
      <x:c r="H14" s="99"/>
      <x:c r="I14" s="99"/>
      <x:c r="J14" s="99"/>
      <x:c r="K14" s="99"/>
      <x:c r="L14" s="99"/>
    </x:row>
    <x:row r="15">
      <x:c r="A15" s="86" t="str">
        <x:v>行区分</x:v>
      </x:c>
      <x:c r="B15" s="86" t="str">
        <x:v>n</x:v>
      </x:c>
      <x:c r="C15" s="86" t="str">
        <x:v>交通手段が少ない</x:v>
      </x:c>
      <x:c r="D15" s="86" t="str">
        <x:v>家族等の付き添いが必要</x:v>
      </x:c>
      <x:c r="E15" s="86" t="str">
        <x:v>送迎がない</x:v>
      </x:c>
      <x:c r="F15" s="86" t="str">
        <x:v>冬季・積雪時に外出しにくい</x:v>
      </x:c>
      <x:c r="G15" s="86" t="str">
        <x:v>道路・建物が利用しにくい</x:v>
      </x:c>
      <x:c r="H15" s="86" t="str">
        <x:v>周囲の理解が不安</x:v>
      </x:c>
      <x:c r="I15" s="86" t="str">
        <x:v>体調面が不安</x:v>
      </x:c>
      <x:c r="J15" s="86" t="str">
        <x:v>費用がかかる</x:v>
      </x:c>
      <x:c r="K15" s="86" t="str">
        <x:v>特に困らない</x:v>
      </x:c>
      <x:c r="L15" s="86" t="str">
        <x:v>その他</x:v>
      </x:c>
    </x:row>
    <x:row r="16">
      <x:c r="A16" s="94" t="str">
        <x:v>北山地区</x:v>
      </x:c>
      <x:c r="B16" s="109" t="n">
        <x:f>B7</x:f>
        <x:v>2</x:v>
      </x:c>
      <x:c r="C16" s="104" t="n">
        <x:f>IF(B7=0,"",C7/B7)</x:f>
        <x:v>1</x:v>
      </x:c>
      <x:c r="D16" s="104" t="n">
        <x:f>IF(B7=0,"",D7/B7)</x:f>
        <x:v>0.5</x:v>
      </x:c>
      <x:c r="E16" s="104" t="n">
        <x:f>IF(B7=0,"",E7/B7)</x:f>
        <x:v>0.5</x:v>
      </x:c>
      <x:c r="F16" s="104" t="n">
        <x:f>IF(B7=0,"",F7/B7)</x:f>
        <x:v>0.5</x:v>
      </x:c>
      <x:c r="G16" s="104" t="n">
        <x:f>IF(B7=0,"",G7/B7)</x:f>
        <x:v>0</x:v>
      </x:c>
      <x:c r="H16" s="104" t="n">
        <x:f>IF(B7=0,"",H7/B7)</x:f>
        <x:v>0</x:v>
      </x:c>
      <x:c r="I16" s="104" t="n">
        <x:f>IF(B7=0,"",I7/B7)</x:f>
        <x:v>0.5</x:v>
      </x:c>
      <x:c r="J16" s="104" t="n">
        <x:f>IF(B7=0,"",J7/B7)</x:f>
        <x:v>0.5</x:v>
      </x:c>
      <x:c r="K16" s="104" t="n">
        <x:f>IF(B7=0,"",K7/B7)</x:f>
        <x:v>0</x:v>
      </x:c>
      <x:c r="L16" s="104" t="n">
        <x:f>IF(B7=0,"",L7/B7)</x:f>
        <x:v>0</x:v>
      </x:c>
    </x:row>
    <x:row r="17">
      <x:c r="A17" s="94" t="str">
        <x:v>大塩地区</x:v>
      </x:c>
      <x:c r="B17" s="109" t="n">
        <x:f>B8</x:f>
        <x:v>0</x:v>
      </x:c>
      <x:c r="C17" s="104" t="str">
        <x:f>IF(B8=0,"",C8/B8)</x:f>
      </x:c>
      <x:c r="D17" s="104" t="str">
        <x:f>IF(B8=0,"",D8/B8)</x:f>
      </x:c>
      <x:c r="E17" s="104" t="str">
        <x:f>IF(B8=0,"",E8/B8)</x:f>
      </x:c>
      <x:c r="F17" s="104" t="str">
        <x:f>IF(B8=0,"",F8/B8)</x:f>
      </x:c>
      <x:c r="G17" s="104" t="str">
        <x:f>IF(B8=0,"",G8/B8)</x:f>
      </x:c>
      <x:c r="H17" s="104" t="str">
        <x:f>IF(B8=0,"",H8/B8)</x:f>
      </x:c>
      <x:c r="I17" s="104" t="str">
        <x:f>IF(B8=0,"",I8/B8)</x:f>
      </x:c>
      <x:c r="J17" s="104" t="str">
        <x:f>IF(B8=0,"",J8/B8)</x:f>
      </x:c>
      <x:c r="K17" s="104" t="str">
        <x:f>IF(B8=0,"",K8/B8)</x:f>
      </x:c>
      <x:c r="L17" s="104" t="str">
        <x:f>IF(B8=0,"",L8/B8)</x:f>
      </x:c>
    </x:row>
    <x:row r="18">
      <x:c r="A18" s="94" t="str">
        <x:v>桧原地区</x:v>
      </x:c>
      <x:c r="B18" s="109" t="n">
        <x:f>B9</x:f>
        <x:v>0</x:v>
      </x:c>
      <x:c r="C18" s="104" t="str">
        <x:f>IF(B9=0,"",C9/B9)</x:f>
      </x:c>
      <x:c r="D18" s="104" t="str">
        <x:f>IF(B9=0,"",D9/B9)</x:f>
      </x:c>
      <x:c r="E18" s="104" t="str">
        <x:f>IF(B9=0,"",E9/B9)</x:f>
      </x:c>
      <x:c r="F18" s="104" t="str">
        <x:f>IF(B9=0,"",F9/B9)</x:f>
      </x:c>
      <x:c r="G18" s="104" t="str">
        <x:f>IF(B9=0,"",G9/B9)</x:f>
      </x:c>
      <x:c r="H18" s="104" t="str">
        <x:f>IF(B9=0,"",H9/B9)</x:f>
      </x:c>
      <x:c r="I18" s="104" t="str">
        <x:f>IF(B9=0,"",I9/B9)</x:f>
      </x:c>
      <x:c r="J18" s="104" t="str">
        <x:f>IF(B9=0,"",J9/B9)</x:f>
      </x:c>
      <x:c r="K18" s="104" t="str">
        <x:f>IF(B9=0,"",K9/B9)</x:f>
      </x:c>
      <x:c r="L18" s="104" t="str">
        <x:f>IF(B9=0,"",L9/B9)</x:f>
      </x:c>
    </x:row>
    <x:row r="19">
      <x:c r="A19" s="94" t="str">
        <x:v>裏磐梯地区</x:v>
      </x:c>
      <x:c r="B19" s="109" t="n">
        <x:f>B10</x:f>
        <x:v>1</x:v>
      </x:c>
      <x:c r="C19" s="104" t="n">
        <x:f>IF(B10=0,"",C10/B10)</x:f>
        <x:v>0</x:v>
      </x:c>
      <x:c r="D19" s="104" t="n">
        <x:f>IF(B10=0,"",D10/B10)</x:f>
        <x:v>1</x:v>
      </x:c>
      <x:c r="E19" s="104" t="n">
        <x:f>IF(B10=0,"",E10/B10)</x:f>
        <x:v>0</x:v>
      </x:c>
      <x:c r="F19" s="104" t="n">
        <x:f>IF(B10=0,"",F10/B10)</x:f>
        <x:v>0</x:v>
      </x:c>
      <x:c r="G19" s="104" t="n">
        <x:f>IF(B10=0,"",G10/B10)</x:f>
        <x:v>0</x:v>
      </x:c>
      <x:c r="H19" s="104" t="n">
        <x:f>IF(B10=0,"",H10/B10)</x:f>
        <x:v>0</x:v>
      </x:c>
      <x:c r="I19" s="104" t="n">
        <x:f>IF(B10=0,"",I10/B10)</x:f>
        <x:v>0</x:v>
      </x:c>
      <x:c r="J19" s="104" t="n">
        <x:f>IF(B10=0,"",J10/B10)</x:f>
        <x:v>0</x:v>
      </x:c>
      <x:c r="K19" s="104" t="n">
        <x:f>IF(B10=0,"",K10/B10)</x:f>
        <x:v>0</x:v>
      </x:c>
      <x:c r="L19" s="104" t="n">
        <x:f>IF(B10=0,"",L10/B10)</x:f>
        <x:v>1</x:v>
      </x:c>
    </x:row>
    <x:row r="20">
      <x:c r="A20" s="94" t="str">
        <x:v>その他</x:v>
      </x:c>
      <x:c r="B20" s="109" t="n">
        <x:f>B11</x:f>
        <x:v>0</x:v>
      </x:c>
      <x:c r="C20" s="104" t="str">
        <x:f>IF(B11=0,"",C11/B11)</x:f>
      </x:c>
      <x:c r="D20" s="104" t="str">
        <x:f>IF(B11=0,"",D11/B11)</x:f>
      </x:c>
      <x:c r="E20" s="104" t="str">
        <x:f>IF(B11=0,"",E11/B11)</x:f>
      </x:c>
      <x:c r="F20" s="104" t="str">
        <x:f>IF(B11=0,"",F11/B11)</x:f>
      </x:c>
      <x:c r="G20" s="104" t="str">
        <x:f>IF(B11=0,"",G11/B11)</x:f>
      </x:c>
      <x:c r="H20" s="104" t="str">
        <x:f>IF(B11=0,"",H11/B11)</x:f>
      </x:c>
      <x:c r="I20" s="104" t="str">
        <x:f>IF(B11=0,"",I11/B11)</x:f>
      </x:c>
      <x:c r="J20" s="104" t="str">
        <x:f>IF(B11=0,"",J11/B11)</x:f>
      </x:c>
      <x:c r="K20" s="104" t="str">
        <x:f>IF(B11=0,"",K11/B11)</x:f>
      </x:c>
      <x:c r="L20" s="104" t="str">
        <x:f>IF(B11=0,"",L11/B11)</x:f>
      </x:c>
    </x:row>
  </x:sheetData>
  <x:mergeCells>
    <x:mergeCell ref="A1:L1"/>
    <x:mergeCell ref="A3:L3"/>
    <x:mergeCell ref="A4:L4"/>
    <x:mergeCell ref="A14:L14"/>
  </x:mergeCells>
  <x:pageMargins left="0.7" right="0.7" top="0.75" bottom="0.75" header="0.3" footer="0.3"/>
</x:worksheet>
</file>

<file path=xl/worksheets/sheet8.xml><?xml version="1.0" encoding="utf-8"?>
<x:worksheet xmlns:x="http://schemas.openxmlformats.org/spreadsheetml/2006/main">
  <x:sheetFormatPr defaultRowHeight="15"/>
  <x:cols>
    <x:col min="1" max="1" width="34" hidden="0" customWidth="1"/>
    <x:col min="2" max="2" width="9"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s>
  <x:sheetData>
    <x:row r="1" ht="28" customHeight="1">
      <x:c r="A1" s="78" t="str">
        <x:v>問3 × 問24 クロス分析</x:v>
      </x:c>
      <x:c r="B1" s="78"/>
      <x:c r="C1" s="78"/>
      <x:c r="D1" s="78"/>
      <x:c r="E1" s="78"/>
      <x:c r="F1" s="78"/>
      <x:c r="G1" s="78"/>
      <x:c r="H1" s="78"/>
      <x:c r="I1" s="78"/>
      <x:c r="J1" s="78"/>
      <x:c r="K1" s="78"/>
      <x:c r="L1" s="78"/>
    </x:row>
    <x:row r="3">
      <x:c r="A3" s="100" t="str">
        <x:v>地区別の通園・通学・事業所利用上の課題</x:v>
      </x:c>
      <x:c r="B3" s="100"/>
      <x:c r="C3" s="100"/>
      <x:c r="D3" s="100"/>
      <x:c r="E3" s="100"/>
      <x:c r="F3" s="100"/>
      <x:c r="G3" s="100"/>
      <x:c r="H3" s="100"/>
      <x:c r="I3" s="100"/>
      <x:c r="J3" s="100"/>
      <x:c r="K3" s="100"/>
      <x:c r="L3" s="100"/>
    </x:row>
    <x:row r="4" ht="42" customHeight="1">
      <x:c r="A4" s="108" t="str">
        <x:v>行：問3「あなたのお住まいの地区を教えてください」／列：問24「通園・通学や事業所利用で困っていることはありますか（あてはまるものすべて）」。件数表のnは行カテゴリ該当者数、行％はそのnを分母としています。複数回答設問では行％合計が100％にならない場合があります。nが5未満の区分は参考値です。</x:v>
      </x:c>
      <x:c r="B4" s="108"/>
      <x:c r="C4" s="108"/>
      <x:c r="D4" s="108"/>
      <x:c r="E4" s="108"/>
      <x:c r="F4" s="108"/>
      <x:c r="G4" s="108"/>
      <x:c r="H4" s="108"/>
      <x:c r="I4" s="108"/>
      <x:c r="J4" s="108"/>
      <x:c r="K4" s="108"/>
      <x:c r="L4" s="108"/>
    </x:row>
    <x:row r="6">
      <x:c r="A6" s="86" t="str">
        <x:v>行区分</x:v>
      </x:c>
      <x:c r="B6" s="86" t="str">
        <x:v>n</x:v>
      </x:c>
      <x:c r="C6" s="86" t="str">
        <x:v>送迎・移動手段の確保が難しい</x:v>
      </x:c>
      <x:c r="D6" s="86" t="str">
        <x:v>冬季の通園・通学・通所が不安</x:v>
      </x:c>
      <x:c r="E6" s="86" t="str">
        <x:v>付き添いなど家族の負担が大きい</x:v>
      </x:c>
      <x:c r="F6" s="86" t="str">
        <x:v>医療的ケアに対応できる場所が少ない</x:v>
      </x:c>
      <x:c r="G6" s="86" t="str">
        <x:v>本人に合う支援や配慮を受けにくい</x:v>
      </x:c>
      <x:c r="H6" s="86" t="str">
        <x:v>学校・園・事業所との情報共有が難しい</x:v>
      </x:c>
      <x:c r="I6" s="86" t="str">
        <x:v>放課後や長期休暇の過ごし方に困る</x:v>
      </x:c>
      <x:c r="J6" s="86" t="str">
        <x:v>相談先がわからない</x:v>
      </x:c>
      <x:c r="K6" s="86" t="str">
        <x:v>特にない</x:v>
      </x:c>
      <x:c r="L6" s="86" t="str">
        <x:v>その他</x:v>
      </x:c>
    </x:row>
    <x:row r="7">
      <x:c r="A7" s="94" t="str">
        <x:v>北山地区</x:v>
      </x:c>
      <x:c r="B7" s="109" t="n">
        <x:f>COUNTIF('データ'!AD$5:AD$7,"〇")</x:f>
        <x:v>2</x:v>
      </x:c>
      <x:c r="C7" s="94" t="n">
        <x:f>COUNTIFS('データ'!AD$5:AD$7,"〇",'データ'!HZ$5:HZ$7,"〇")</x:f>
        <x:v>2</x:v>
      </x:c>
      <x:c r="D7" s="94" t="n">
        <x:f>COUNTIFS('データ'!AD$5:AD$7,"〇",'データ'!IA$5:IA$7,"〇")</x:f>
        <x:v>0</x:v>
      </x:c>
      <x:c r="E7" s="94" t="n">
        <x:f>COUNTIFS('データ'!AD$5:AD$7,"〇",'データ'!IB$5:IB$7,"〇")</x:f>
        <x:v>2</x:v>
      </x:c>
      <x:c r="F7" s="94" t="n">
        <x:f>COUNTIFS('データ'!AD$5:AD$7,"〇",'データ'!IC$5:IC$7,"〇")</x:f>
        <x:v>0</x:v>
      </x:c>
      <x:c r="G7" s="94" t="n">
        <x:f>COUNTIFS('データ'!AD$5:AD$7,"〇",'データ'!ID$5:ID$7,"〇")</x:f>
        <x:v>0</x:v>
      </x:c>
      <x:c r="H7" s="94" t="n">
        <x:f>COUNTIFS('データ'!AD$5:AD$7,"〇",'データ'!IE$5:IE$7,"〇")</x:f>
        <x:v>0</x:v>
      </x:c>
      <x:c r="I7" s="94" t="n">
        <x:f>COUNTIFS('データ'!AD$5:AD$7,"〇",'データ'!IF$5:IF$7,"〇")</x:f>
        <x:v>0</x:v>
      </x:c>
      <x:c r="J7" s="94" t="n">
        <x:f>COUNTIFS('データ'!AD$5:AD$7,"〇",'データ'!IG$5:IG$7,"〇")</x:f>
        <x:v>0</x:v>
      </x:c>
      <x:c r="K7" s="94" t="n">
        <x:f>COUNTIFS('データ'!AD$5:AD$7,"〇",'データ'!IH$5:IH$7,"〇")</x:f>
        <x:v>0</x:v>
      </x:c>
      <x:c r="L7" s="94" t="n">
        <x:f>COUNTIFS('データ'!AD$5:AD$7,"〇",'データ'!II$5:II$7,"〇")</x:f>
        <x:v>0</x:v>
      </x:c>
    </x:row>
    <x:row r="8">
      <x:c r="A8" s="94" t="str">
        <x:v>大塩地区</x:v>
      </x:c>
      <x:c r="B8" s="109" t="n">
        <x:f>COUNTIF('データ'!AE$5:AE$7,"〇")</x:f>
        <x:v>0</x:v>
      </x:c>
      <x:c r="C8" s="94" t="n">
        <x:f>COUNTIFS('データ'!AE$5:AE$7,"〇",'データ'!HZ$5:HZ$7,"〇")</x:f>
        <x:v>0</x:v>
      </x:c>
      <x:c r="D8" s="94" t="n">
        <x:f>COUNTIFS('データ'!AE$5:AE$7,"〇",'データ'!IA$5:IA$7,"〇")</x:f>
        <x:v>0</x:v>
      </x:c>
      <x:c r="E8" s="94" t="n">
        <x:f>COUNTIFS('データ'!AE$5:AE$7,"〇",'データ'!IB$5:IB$7,"〇")</x:f>
        <x:v>0</x:v>
      </x:c>
      <x:c r="F8" s="94" t="n">
        <x:f>COUNTIFS('データ'!AE$5:AE$7,"〇",'データ'!IC$5:IC$7,"〇")</x:f>
        <x:v>0</x:v>
      </x:c>
      <x:c r="G8" s="94" t="n">
        <x:f>COUNTIFS('データ'!AE$5:AE$7,"〇",'データ'!ID$5:ID$7,"〇")</x:f>
        <x:v>0</x:v>
      </x:c>
      <x:c r="H8" s="94" t="n">
        <x:f>COUNTIFS('データ'!AE$5:AE$7,"〇",'データ'!IE$5:IE$7,"〇")</x:f>
        <x:v>0</x:v>
      </x:c>
      <x:c r="I8" s="94" t="n">
        <x:f>COUNTIFS('データ'!AE$5:AE$7,"〇",'データ'!IF$5:IF$7,"〇")</x:f>
        <x:v>0</x:v>
      </x:c>
      <x:c r="J8" s="94" t="n">
        <x:f>COUNTIFS('データ'!AE$5:AE$7,"〇",'データ'!IG$5:IG$7,"〇")</x:f>
        <x:v>0</x:v>
      </x:c>
      <x:c r="K8" s="94" t="n">
        <x:f>COUNTIFS('データ'!AE$5:AE$7,"〇",'データ'!IH$5:IH$7,"〇")</x:f>
        <x:v>0</x:v>
      </x:c>
      <x:c r="L8" s="94" t="n">
        <x:f>COUNTIFS('データ'!AE$5:AE$7,"〇",'データ'!II$5:II$7,"〇")</x:f>
        <x:v>0</x:v>
      </x:c>
    </x:row>
    <x:row r="9">
      <x:c r="A9" s="94" t="str">
        <x:v>桧原地区</x:v>
      </x:c>
      <x:c r="B9" s="109" t="n">
        <x:f>COUNTIF('データ'!AF$5:AF$7,"〇")</x:f>
        <x:v>0</x:v>
      </x:c>
      <x:c r="C9" s="94" t="n">
        <x:f>COUNTIFS('データ'!AF$5:AF$7,"〇",'データ'!HZ$5:HZ$7,"〇")</x:f>
        <x:v>0</x:v>
      </x:c>
      <x:c r="D9" s="94" t="n">
        <x:f>COUNTIFS('データ'!AF$5:AF$7,"〇",'データ'!IA$5:IA$7,"〇")</x:f>
        <x:v>0</x:v>
      </x:c>
      <x:c r="E9" s="94" t="n">
        <x:f>COUNTIFS('データ'!AF$5:AF$7,"〇",'データ'!IB$5:IB$7,"〇")</x:f>
        <x:v>0</x:v>
      </x:c>
      <x:c r="F9" s="94" t="n">
        <x:f>COUNTIFS('データ'!AF$5:AF$7,"〇",'データ'!IC$5:IC$7,"〇")</x:f>
        <x:v>0</x:v>
      </x:c>
      <x:c r="G9" s="94" t="n">
        <x:f>COUNTIFS('データ'!AF$5:AF$7,"〇",'データ'!ID$5:ID$7,"〇")</x:f>
        <x:v>0</x:v>
      </x:c>
      <x:c r="H9" s="94" t="n">
        <x:f>COUNTIFS('データ'!AF$5:AF$7,"〇",'データ'!IE$5:IE$7,"〇")</x:f>
        <x:v>0</x:v>
      </x:c>
      <x:c r="I9" s="94" t="n">
        <x:f>COUNTIFS('データ'!AF$5:AF$7,"〇",'データ'!IF$5:IF$7,"〇")</x:f>
        <x:v>0</x:v>
      </x:c>
      <x:c r="J9" s="94" t="n">
        <x:f>COUNTIFS('データ'!AF$5:AF$7,"〇",'データ'!IG$5:IG$7,"〇")</x:f>
        <x:v>0</x:v>
      </x:c>
      <x:c r="K9" s="94" t="n">
        <x:f>COUNTIFS('データ'!AF$5:AF$7,"〇",'データ'!IH$5:IH$7,"〇")</x:f>
        <x:v>0</x:v>
      </x:c>
      <x:c r="L9" s="94" t="n">
        <x:f>COUNTIFS('データ'!AF$5:AF$7,"〇",'データ'!II$5:II$7,"〇")</x:f>
        <x:v>0</x:v>
      </x:c>
    </x:row>
    <x:row r="10">
      <x:c r="A10" s="94" t="str">
        <x:v>裏磐梯地区</x:v>
      </x:c>
      <x:c r="B10" s="109" t="n">
        <x:f>COUNTIF('データ'!AG$5:AG$7,"〇")</x:f>
        <x:v>1</x:v>
      </x:c>
      <x:c r="C10" s="94" t="n">
        <x:f>COUNTIFS('データ'!AG$5:AG$7,"〇",'データ'!HZ$5:HZ$7,"〇")</x:f>
        <x:v>1</x:v>
      </x:c>
      <x:c r="D10" s="94" t="n">
        <x:f>COUNTIFS('データ'!AG$5:AG$7,"〇",'データ'!IA$5:IA$7,"〇")</x:f>
        <x:v>1</x:v>
      </x:c>
      <x:c r="E10" s="94" t="n">
        <x:f>COUNTIFS('データ'!AG$5:AG$7,"〇",'データ'!IB$5:IB$7,"〇")</x:f>
        <x:v>1</x:v>
      </x:c>
      <x:c r="F10" s="94" t="n">
        <x:f>COUNTIFS('データ'!AG$5:AG$7,"〇",'データ'!IC$5:IC$7,"〇")</x:f>
        <x:v>0</x:v>
      </x:c>
      <x:c r="G10" s="94" t="n">
        <x:f>COUNTIFS('データ'!AG$5:AG$7,"〇",'データ'!ID$5:ID$7,"〇")</x:f>
        <x:v>0</x:v>
      </x:c>
      <x:c r="H10" s="94" t="n">
        <x:f>COUNTIFS('データ'!AG$5:AG$7,"〇",'データ'!IE$5:IE$7,"〇")</x:f>
        <x:v>1</x:v>
      </x:c>
      <x:c r="I10" s="94" t="n">
        <x:f>COUNTIFS('データ'!AG$5:AG$7,"〇",'データ'!IF$5:IF$7,"〇")</x:f>
        <x:v>0</x:v>
      </x:c>
      <x:c r="J10" s="94" t="n">
        <x:f>COUNTIFS('データ'!AG$5:AG$7,"〇",'データ'!IG$5:IG$7,"〇")</x:f>
        <x:v>0</x:v>
      </x:c>
      <x:c r="K10" s="94" t="n">
        <x:f>COUNTIFS('データ'!AG$5:AG$7,"〇",'データ'!IH$5:IH$7,"〇")</x:f>
        <x:v>0</x:v>
      </x:c>
      <x:c r="L10" s="94" t="n">
        <x:f>COUNTIFS('データ'!AG$5:AG$7,"〇",'データ'!II$5:II$7,"〇")</x:f>
        <x:v>1</x:v>
      </x:c>
    </x:row>
    <x:row r="11">
      <x:c r="A11" s="94" t="str">
        <x:v>その他</x:v>
      </x:c>
      <x:c r="B11" s="109" t="n">
        <x:f>COUNTIF('データ'!AH$5:AH$7,"〇")</x:f>
        <x:v>0</x:v>
      </x:c>
      <x:c r="C11" s="94" t="n">
        <x:f>COUNTIFS('データ'!AH$5:AH$7,"〇",'データ'!HZ$5:HZ$7,"〇")</x:f>
        <x:v>0</x:v>
      </x:c>
      <x:c r="D11" s="94" t="n">
        <x:f>COUNTIFS('データ'!AH$5:AH$7,"〇",'データ'!IA$5:IA$7,"〇")</x:f>
        <x:v>0</x:v>
      </x:c>
      <x:c r="E11" s="94" t="n">
        <x:f>COUNTIFS('データ'!AH$5:AH$7,"〇",'データ'!IB$5:IB$7,"〇")</x:f>
        <x:v>0</x:v>
      </x:c>
      <x:c r="F11" s="94" t="n">
        <x:f>COUNTIFS('データ'!AH$5:AH$7,"〇",'データ'!IC$5:IC$7,"〇")</x:f>
        <x:v>0</x:v>
      </x:c>
      <x:c r="G11" s="94" t="n">
        <x:f>COUNTIFS('データ'!AH$5:AH$7,"〇",'データ'!ID$5:ID$7,"〇")</x:f>
        <x:v>0</x:v>
      </x:c>
      <x:c r="H11" s="94" t="n">
        <x:f>COUNTIFS('データ'!AH$5:AH$7,"〇",'データ'!IE$5:IE$7,"〇")</x:f>
        <x:v>0</x:v>
      </x:c>
      <x:c r="I11" s="94" t="n">
        <x:f>COUNTIFS('データ'!AH$5:AH$7,"〇",'データ'!IF$5:IF$7,"〇")</x:f>
        <x:v>0</x:v>
      </x:c>
      <x:c r="J11" s="94" t="n">
        <x:f>COUNTIFS('データ'!AH$5:AH$7,"〇",'データ'!IG$5:IG$7,"〇")</x:f>
        <x:v>0</x:v>
      </x:c>
      <x:c r="K11" s="94" t="n">
        <x:f>COUNTIFS('データ'!AH$5:AH$7,"〇",'データ'!IH$5:IH$7,"〇")</x:f>
        <x:v>0</x:v>
      </x:c>
      <x:c r="L11" s="94" t="n">
        <x:f>COUNTIFS('データ'!AH$5:AH$7,"〇",'データ'!II$5:II$7,"〇")</x:f>
        <x:v>0</x:v>
      </x:c>
    </x:row>
    <x:row r="14">
      <x:c r="A14" s="99" t="str">
        <x:v>行％（各行のnを100％とした割合）</x:v>
      </x:c>
      <x:c r="B14" s="99"/>
      <x:c r="C14" s="99"/>
      <x:c r="D14" s="99"/>
      <x:c r="E14" s="99"/>
      <x:c r="F14" s="99"/>
      <x:c r="G14" s="99"/>
      <x:c r="H14" s="99"/>
      <x:c r="I14" s="99"/>
      <x:c r="J14" s="99"/>
      <x:c r="K14" s="99"/>
      <x:c r="L14" s="99"/>
    </x:row>
    <x:row r="15">
      <x:c r="A15" s="86" t="str">
        <x:v>行区分</x:v>
      </x:c>
      <x:c r="B15" s="86" t="str">
        <x:v>n</x:v>
      </x:c>
      <x:c r="C15" s="86" t="str">
        <x:v>送迎・移動手段の確保が難しい</x:v>
      </x:c>
      <x:c r="D15" s="86" t="str">
        <x:v>冬季の通園・通学・通所が不安</x:v>
      </x:c>
      <x:c r="E15" s="86" t="str">
        <x:v>付き添いなど家族の負担が大きい</x:v>
      </x:c>
      <x:c r="F15" s="86" t="str">
        <x:v>医療的ケアに対応できる場所が少ない</x:v>
      </x:c>
      <x:c r="G15" s="86" t="str">
        <x:v>本人に合う支援や配慮を受けにくい</x:v>
      </x:c>
      <x:c r="H15" s="86" t="str">
        <x:v>学校・園・事業所との情報共有が難しい</x:v>
      </x:c>
      <x:c r="I15" s="86" t="str">
        <x:v>放課後や長期休暇の過ごし方に困る</x:v>
      </x:c>
      <x:c r="J15" s="86" t="str">
        <x:v>相談先がわからない</x:v>
      </x:c>
      <x:c r="K15" s="86" t="str">
        <x:v>特にない</x:v>
      </x:c>
      <x:c r="L15" s="86" t="str">
        <x:v>その他</x:v>
      </x:c>
    </x:row>
    <x:row r="16">
      <x:c r="A16" s="94" t="str">
        <x:v>北山地区</x:v>
      </x:c>
      <x:c r="B16" s="109" t="n">
        <x:f>B7</x:f>
        <x:v>2</x:v>
      </x:c>
      <x:c r="C16" s="104" t="n">
        <x:f>IF(B7=0,"",C7/B7)</x:f>
        <x:v>1</x:v>
      </x:c>
      <x:c r="D16" s="104" t="n">
        <x:f>IF(B7=0,"",D7/B7)</x:f>
        <x:v>0</x:v>
      </x:c>
      <x:c r="E16" s="104" t="n">
        <x:f>IF(B7=0,"",E7/B7)</x:f>
        <x:v>1</x:v>
      </x:c>
      <x:c r="F16" s="104" t="n">
        <x:f>IF(B7=0,"",F7/B7)</x:f>
        <x:v>0</x:v>
      </x:c>
      <x:c r="G16" s="104" t="n">
        <x:f>IF(B7=0,"",G7/B7)</x:f>
        <x:v>0</x:v>
      </x:c>
      <x:c r="H16" s="104" t="n">
        <x:f>IF(B7=0,"",H7/B7)</x:f>
        <x:v>0</x:v>
      </x:c>
      <x:c r="I16" s="104" t="n">
        <x:f>IF(B7=0,"",I7/B7)</x:f>
        <x:v>0</x:v>
      </x:c>
      <x:c r="J16" s="104" t="n">
        <x:f>IF(B7=0,"",J7/B7)</x:f>
        <x:v>0</x:v>
      </x:c>
      <x:c r="K16" s="104" t="n">
        <x:f>IF(B7=0,"",K7/B7)</x:f>
        <x:v>0</x:v>
      </x:c>
      <x:c r="L16" s="104" t="n">
        <x:f>IF(B7=0,"",L7/B7)</x:f>
        <x:v>0</x:v>
      </x:c>
    </x:row>
    <x:row r="17">
      <x:c r="A17" s="94" t="str">
        <x:v>大塩地区</x:v>
      </x:c>
      <x:c r="B17" s="109" t="n">
        <x:f>B8</x:f>
        <x:v>0</x:v>
      </x:c>
      <x:c r="C17" s="104" t="str">
        <x:f>IF(B8=0,"",C8/B8)</x:f>
      </x:c>
      <x:c r="D17" s="104" t="str">
        <x:f>IF(B8=0,"",D8/B8)</x:f>
      </x:c>
      <x:c r="E17" s="104" t="str">
        <x:f>IF(B8=0,"",E8/B8)</x:f>
      </x:c>
      <x:c r="F17" s="104" t="str">
        <x:f>IF(B8=0,"",F8/B8)</x:f>
      </x:c>
      <x:c r="G17" s="104" t="str">
        <x:f>IF(B8=0,"",G8/B8)</x:f>
      </x:c>
      <x:c r="H17" s="104" t="str">
        <x:f>IF(B8=0,"",H8/B8)</x:f>
      </x:c>
      <x:c r="I17" s="104" t="str">
        <x:f>IF(B8=0,"",I8/B8)</x:f>
      </x:c>
      <x:c r="J17" s="104" t="str">
        <x:f>IF(B8=0,"",J8/B8)</x:f>
      </x:c>
      <x:c r="K17" s="104" t="str">
        <x:f>IF(B8=0,"",K8/B8)</x:f>
      </x:c>
      <x:c r="L17" s="104" t="str">
        <x:f>IF(B8=0,"",L8/B8)</x:f>
      </x:c>
    </x:row>
    <x:row r="18">
      <x:c r="A18" s="94" t="str">
        <x:v>桧原地区</x:v>
      </x:c>
      <x:c r="B18" s="109" t="n">
        <x:f>B9</x:f>
        <x:v>0</x:v>
      </x:c>
      <x:c r="C18" s="104" t="str">
        <x:f>IF(B9=0,"",C9/B9)</x:f>
      </x:c>
      <x:c r="D18" s="104" t="str">
        <x:f>IF(B9=0,"",D9/B9)</x:f>
      </x:c>
      <x:c r="E18" s="104" t="str">
        <x:f>IF(B9=0,"",E9/B9)</x:f>
      </x:c>
      <x:c r="F18" s="104" t="str">
        <x:f>IF(B9=0,"",F9/B9)</x:f>
      </x:c>
      <x:c r="G18" s="104" t="str">
        <x:f>IF(B9=0,"",G9/B9)</x:f>
      </x:c>
      <x:c r="H18" s="104" t="str">
        <x:f>IF(B9=0,"",H9/B9)</x:f>
      </x:c>
      <x:c r="I18" s="104" t="str">
        <x:f>IF(B9=0,"",I9/B9)</x:f>
      </x:c>
      <x:c r="J18" s="104" t="str">
        <x:f>IF(B9=0,"",J9/B9)</x:f>
      </x:c>
      <x:c r="K18" s="104" t="str">
        <x:f>IF(B9=0,"",K9/B9)</x:f>
      </x:c>
      <x:c r="L18" s="104" t="str">
        <x:f>IF(B9=0,"",L9/B9)</x:f>
      </x:c>
    </x:row>
    <x:row r="19">
      <x:c r="A19" s="94" t="str">
        <x:v>裏磐梯地区</x:v>
      </x:c>
      <x:c r="B19" s="109" t="n">
        <x:f>B10</x:f>
        <x:v>1</x:v>
      </x:c>
      <x:c r="C19" s="104" t="n">
        <x:f>IF(B10=0,"",C10/B10)</x:f>
        <x:v>1</x:v>
      </x:c>
      <x:c r="D19" s="104" t="n">
        <x:f>IF(B10=0,"",D10/B10)</x:f>
        <x:v>1</x:v>
      </x:c>
      <x:c r="E19" s="104" t="n">
        <x:f>IF(B10=0,"",E10/B10)</x:f>
        <x:v>1</x:v>
      </x:c>
      <x:c r="F19" s="104" t="n">
        <x:f>IF(B10=0,"",F10/B10)</x:f>
        <x:v>0</x:v>
      </x:c>
      <x:c r="G19" s="104" t="n">
        <x:f>IF(B10=0,"",G10/B10)</x:f>
        <x:v>0</x:v>
      </x:c>
      <x:c r="H19" s="104" t="n">
        <x:f>IF(B10=0,"",H10/B10)</x:f>
        <x:v>1</x:v>
      </x:c>
      <x:c r="I19" s="104" t="n">
        <x:f>IF(B10=0,"",I10/B10)</x:f>
        <x:v>0</x:v>
      </x:c>
      <x:c r="J19" s="104" t="n">
        <x:f>IF(B10=0,"",J10/B10)</x:f>
        <x:v>0</x:v>
      </x:c>
      <x:c r="K19" s="104" t="n">
        <x:f>IF(B10=0,"",K10/B10)</x:f>
        <x:v>0</x:v>
      </x:c>
      <x:c r="L19" s="104" t="n">
        <x:f>IF(B10=0,"",L10/B10)</x:f>
        <x:v>1</x:v>
      </x:c>
    </x:row>
    <x:row r="20">
      <x:c r="A20" s="94" t="str">
        <x:v>その他</x:v>
      </x:c>
      <x:c r="B20" s="109" t="n">
        <x:f>B11</x:f>
        <x:v>0</x:v>
      </x:c>
      <x:c r="C20" s="104" t="str">
        <x:f>IF(B11=0,"",C11/B11)</x:f>
      </x:c>
      <x:c r="D20" s="104" t="str">
        <x:f>IF(B11=0,"",D11/B11)</x:f>
      </x:c>
      <x:c r="E20" s="104" t="str">
        <x:f>IF(B11=0,"",E11/B11)</x:f>
      </x:c>
      <x:c r="F20" s="104" t="str">
        <x:f>IF(B11=0,"",F11/B11)</x:f>
      </x:c>
      <x:c r="G20" s="104" t="str">
        <x:f>IF(B11=0,"",G11/B11)</x:f>
      </x:c>
      <x:c r="H20" s="104" t="str">
        <x:f>IF(B11=0,"",H11/B11)</x:f>
      </x:c>
      <x:c r="I20" s="104" t="str">
        <x:f>IF(B11=0,"",I11/B11)</x:f>
      </x:c>
      <x:c r="J20" s="104" t="str">
        <x:f>IF(B11=0,"",J11/B11)</x:f>
      </x:c>
      <x:c r="K20" s="104" t="str">
        <x:f>IF(B11=0,"",K11/B11)</x:f>
      </x:c>
      <x:c r="L20" s="104" t="str">
        <x:f>IF(B11=0,"",L11/B11)</x:f>
      </x:c>
    </x:row>
  </x:sheetData>
  <x:mergeCells>
    <x:mergeCell ref="A1:L1"/>
    <x:mergeCell ref="A3:L3"/>
    <x:mergeCell ref="A4:L4"/>
    <x:mergeCell ref="A14:L14"/>
  </x:mergeCells>
  <x:pageMargins left="0.7" right="0.7" top="0.75" bottom="0.75" header="0.3" footer="0.3"/>
</x:worksheet>
</file>

<file path=xl/worksheets/sheet9.xml><?xml version="1.0" encoding="utf-8"?>
<x:worksheet xmlns:x="http://schemas.openxmlformats.org/spreadsheetml/2006/main">
  <x:sheetFormatPr defaultRowHeight="15"/>
  <x:cols>
    <x:col min="1" max="1" width="34" hidden="0" customWidth="1"/>
    <x:col min="2" max="2" width="9"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s>
  <x:sheetData>
    <x:row r="1" ht="28" customHeight="1">
      <x:c r="A1" s="78" t="str">
        <x:v>問2 × 問11 クロス分析</x:v>
      </x:c>
      <x:c r="B1" s="78"/>
      <x:c r="C1" s="78"/>
      <x:c r="D1" s="78"/>
      <x:c r="E1" s="78"/>
      <x:c r="F1" s="78"/>
      <x:c r="G1" s="78"/>
      <x:c r="H1" s="78"/>
      <x:c r="I1" s="78"/>
    </x:row>
    <x:row r="3">
      <x:c r="A3" s="100" t="str">
        <x:v>年齢別の18歳以降の希望する暮らし</x:v>
      </x:c>
      <x:c r="B3" s="100"/>
      <x:c r="C3" s="100"/>
      <x:c r="D3" s="100"/>
      <x:c r="E3" s="100"/>
      <x:c r="F3" s="100"/>
      <x:c r="G3" s="100"/>
      <x:c r="H3" s="100"/>
      <x:c r="I3" s="100"/>
    </x:row>
    <x:row r="4" ht="42" customHeight="1">
      <x:c r="A4" s="108" t="str">
        <x:v>行：問2「お子さん（宛名の方）の年齢を教えてください」／列：問11「18歳になったら、どのような暮らし方を希望しますか」。件数表のnは行カテゴリ該当者数、行％はそのnを分母としています。複数回答設問では行％合計が100％にならない場合があります。nが5未満の区分は参考値です。</x:v>
      </x:c>
      <x:c r="B4" s="108"/>
      <x:c r="C4" s="108"/>
      <x:c r="D4" s="108"/>
      <x:c r="E4" s="108"/>
      <x:c r="F4" s="108"/>
      <x:c r="G4" s="108"/>
      <x:c r="H4" s="108"/>
      <x:c r="I4" s="108"/>
    </x:row>
    <x:row r="6">
      <x:c r="A6" s="86" t="str">
        <x:v>行区分</x:v>
      </x:c>
      <x:c r="B6" s="86" t="str">
        <x:v>n</x:v>
      </x:c>
      <x:c r="C6" s="86" t="str">
        <x:v>家族と一緒に暮らしたい</x:v>
      </x:c>
      <x:c r="D6" s="86" t="str">
        <x:v>一人暮らしをしたい</x:v>
      </x:c>
      <x:c r="E6" s="86" t="str">
        <x:v>グループホームで暮らしたい</x:v>
      </x:c>
      <x:c r="F6" s="86" t="str">
        <x:v>障がい者支援施設等で暮らしたい</x:v>
      </x:c>
      <x:c r="G6" s="86" t="str">
        <x:v>病院・施設から地域で暮らしたい</x:v>
      </x:c>
      <x:c r="H6" s="86" t="str">
        <x:v>まだわからない</x:v>
      </x:c>
      <x:c r="I6" s="86" t="str">
        <x:v>その他</x:v>
      </x:c>
    </x:row>
    <x:row r="7">
      <x:c r="A7" s="94" t="str">
        <x:v>0～5歳</x:v>
      </x:c>
      <x:c r="B7" s="109" t="n">
        <x:f>COUNTIF('データ'!Y$5:Y$7,"〇")</x:f>
        <x:v>0</x:v>
      </x:c>
      <x:c r="C7" s="94" t="n">
        <x:f>COUNTIFS('データ'!Y$5:Y$7,"〇",'データ'!CS$5:CS$7,"〇")</x:f>
        <x:v>0</x:v>
      </x:c>
      <x:c r="D7" s="94" t="n">
        <x:f>COUNTIFS('データ'!Y$5:Y$7,"〇",'データ'!CT$5:CT$7,"〇")</x:f>
        <x:v>0</x:v>
      </x:c>
      <x:c r="E7" s="94" t="n">
        <x:f>COUNTIFS('データ'!Y$5:Y$7,"〇",'データ'!CU$5:CU$7,"〇")</x:f>
        <x:v>0</x:v>
      </x:c>
      <x:c r="F7" s="94" t="n">
        <x:f>COUNTIFS('データ'!Y$5:Y$7,"〇",'データ'!CV$5:CV$7,"〇")</x:f>
        <x:v>0</x:v>
      </x:c>
      <x:c r="G7" s="94" t="n">
        <x:f>COUNTIFS('データ'!Y$5:Y$7,"〇",'データ'!CW$5:CW$7,"〇")</x:f>
        <x:v>0</x:v>
      </x:c>
      <x:c r="H7" s="94" t="n">
        <x:f>COUNTIFS('データ'!Y$5:Y$7,"〇",'データ'!CX$5:CX$7,"〇")</x:f>
        <x:v>0</x:v>
      </x:c>
      <x:c r="I7" s="94" t="n">
        <x:f>COUNTIFS('データ'!Y$5:Y$7,"〇",'データ'!CY$5:CY$7,"〇")</x:f>
        <x:v>0</x:v>
      </x:c>
    </x:row>
    <x:row r="8">
      <x:c r="A8" s="94" t="str">
        <x:v>6～11歳</x:v>
      </x:c>
      <x:c r="B8" s="109" t="n">
        <x:f>COUNTIF('データ'!Z$5:Z$7,"〇")</x:f>
        <x:v>1</x:v>
      </x:c>
      <x:c r="C8" s="94" t="n">
        <x:f>COUNTIFS('データ'!Z$5:Z$7,"〇",'データ'!CS$5:CS$7,"〇")</x:f>
        <x:v>0</x:v>
      </x:c>
      <x:c r="D8" s="94" t="n">
        <x:f>COUNTIFS('データ'!Z$5:Z$7,"〇",'データ'!CT$5:CT$7,"〇")</x:f>
        <x:v>0</x:v>
      </x:c>
      <x:c r="E8" s="94" t="n">
        <x:f>COUNTIFS('データ'!Z$5:Z$7,"〇",'データ'!CU$5:CU$7,"〇")</x:f>
        <x:v>0</x:v>
      </x:c>
      <x:c r="F8" s="94" t="n">
        <x:f>COUNTIFS('データ'!Z$5:Z$7,"〇",'データ'!CV$5:CV$7,"〇")</x:f>
        <x:v>0</x:v>
      </x:c>
      <x:c r="G8" s="94" t="n">
        <x:f>COUNTIFS('データ'!Z$5:Z$7,"〇",'データ'!CW$5:CW$7,"〇")</x:f>
        <x:v>0</x:v>
      </x:c>
      <x:c r="H8" s="94" t="n">
        <x:f>COUNTIFS('データ'!Z$5:Z$7,"〇",'データ'!CX$5:CX$7,"〇")</x:f>
        <x:v>1</x:v>
      </x:c>
      <x:c r="I8" s="94" t="n">
        <x:f>COUNTIFS('データ'!Z$5:Z$7,"〇",'データ'!CY$5:CY$7,"〇")</x:f>
        <x:v>0</x:v>
      </x:c>
    </x:row>
    <x:row r="9">
      <x:c r="A9" s="94" t="str">
        <x:v>12～14歳</x:v>
      </x:c>
      <x:c r="B9" s="109" t="n">
        <x:f>COUNTIF('データ'!AA$5:AA$7,"〇")</x:f>
        <x:v>1</x:v>
      </x:c>
      <x:c r="C9" s="94" t="n">
        <x:f>COUNTIFS('データ'!AA$5:AA$7,"〇",'データ'!CS$5:CS$7,"〇")</x:f>
        <x:v>0</x:v>
      </x:c>
      <x:c r="D9" s="94" t="n">
        <x:f>COUNTIFS('データ'!AA$5:AA$7,"〇",'データ'!CT$5:CT$7,"〇")</x:f>
        <x:v>1</x:v>
      </x:c>
      <x:c r="E9" s="94" t="n">
        <x:f>COUNTIFS('データ'!AA$5:AA$7,"〇",'データ'!CU$5:CU$7,"〇")</x:f>
        <x:v>0</x:v>
      </x:c>
      <x:c r="F9" s="94" t="n">
        <x:f>COUNTIFS('データ'!AA$5:AA$7,"〇",'データ'!CV$5:CV$7,"〇")</x:f>
        <x:v>0</x:v>
      </x:c>
      <x:c r="G9" s="94" t="n">
        <x:f>COUNTIFS('データ'!AA$5:AA$7,"〇",'データ'!CW$5:CW$7,"〇")</x:f>
        <x:v>0</x:v>
      </x:c>
      <x:c r="H9" s="94" t="n">
        <x:f>COUNTIFS('データ'!AA$5:AA$7,"〇",'データ'!CX$5:CX$7,"〇")</x:f>
        <x:v>0</x:v>
      </x:c>
      <x:c r="I9" s="94" t="n">
        <x:f>COUNTIFS('データ'!AA$5:AA$7,"〇",'データ'!CY$5:CY$7,"〇")</x:f>
        <x:v>0</x:v>
      </x:c>
    </x:row>
    <x:row r="10">
      <x:c r="A10" s="94" t="str">
        <x:v>15～17歳</x:v>
      </x:c>
      <x:c r="B10" s="109" t="n">
        <x:f>COUNTIF('データ'!AB$5:AB$7,"〇")</x:f>
        <x:v>1</x:v>
      </x:c>
      <x:c r="C10" s="94" t="n">
        <x:f>COUNTIFS('データ'!AB$5:AB$7,"〇",'データ'!CS$5:CS$7,"〇")</x:f>
        <x:v>0</x:v>
      </x:c>
      <x:c r="D10" s="94" t="n">
        <x:f>COUNTIFS('データ'!AB$5:AB$7,"〇",'データ'!CT$5:CT$7,"〇")</x:f>
        <x:v>0</x:v>
      </x:c>
      <x:c r="E10" s="94" t="n">
        <x:f>COUNTIFS('データ'!AB$5:AB$7,"〇",'データ'!CU$5:CU$7,"〇")</x:f>
        <x:v>0</x:v>
      </x:c>
      <x:c r="F10" s="94" t="n">
        <x:f>COUNTIFS('データ'!AB$5:AB$7,"〇",'データ'!CV$5:CV$7,"〇")</x:f>
        <x:v>0</x:v>
      </x:c>
      <x:c r="G10" s="94" t="n">
        <x:f>COUNTIFS('データ'!AB$5:AB$7,"〇",'データ'!CW$5:CW$7,"〇")</x:f>
        <x:v>0</x:v>
      </x:c>
      <x:c r="H10" s="94" t="n">
        <x:f>COUNTIFS('データ'!AB$5:AB$7,"〇",'データ'!CX$5:CX$7,"〇")</x:f>
        <x:v>0</x:v>
      </x:c>
      <x:c r="I10" s="94" t="n">
        <x:f>COUNTIFS('データ'!AB$5:AB$7,"〇",'データ'!CY$5:CY$7,"〇")</x:f>
        <x:v>1</x:v>
      </x:c>
    </x:row>
    <x:row r="13">
      <x:c r="A13" s="99" t="str">
        <x:v>行％（各行のnを100％とした割合）</x:v>
      </x:c>
      <x:c r="B13" s="99"/>
      <x:c r="C13" s="99"/>
      <x:c r="D13" s="99"/>
      <x:c r="E13" s="99"/>
      <x:c r="F13" s="99"/>
      <x:c r="G13" s="99"/>
      <x:c r="H13" s="99"/>
      <x:c r="I13" s="99"/>
    </x:row>
    <x:row r="14">
      <x:c r="A14" s="86" t="str">
        <x:v>行区分</x:v>
      </x:c>
      <x:c r="B14" s="86" t="str">
        <x:v>n</x:v>
      </x:c>
      <x:c r="C14" s="86" t="str">
        <x:v>家族と一緒に暮らしたい</x:v>
      </x:c>
      <x:c r="D14" s="86" t="str">
        <x:v>一人暮らしをしたい</x:v>
      </x:c>
      <x:c r="E14" s="86" t="str">
        <x:v>グループホームで暮らしたい</x:v>
      </x:c>
      <x:c r="F14" s="86" t="str">
        <x:v>障がい者支援施設等で暮らしたい</x:v>
      </x:c>
      <x:c r="G14" s="86" t="str">
        <x:v>病院・施設から地域で暮らしたい</x:v>
      </x:c>
      <x:c r="H14" s="86" t="str">
        <x:v>まだわからない</x:v>
      </x:c>
      <x:c r="I14" s="86" t="str">
        <x:v>その他</x:v>
      </x:c>
    </x:row>
    <x:row r="15">
      <x:c r="A15" s="94" t="str">
        <x:v>0～5歳</x:v>
      </x:c>
      <x:c r="B15" s="109" t="n">
        <x:f>B7</x:f>
        <x:v>0</x:v>
      </x:c>
      <x:c r="C15" s="104" t="str">
        <x:f>IF(B7=0,"",C7/B7)</x:f>
      </x:c>
      <x:c r="D15" s="104" t="str">
        <x:f>IF(B7=0,"",D7/B7)</x:f>
      </x:c>
      <x:c r="E15" s="104" t="str">
        <x:f>IF(B7=0,"",E7/B7)</x:f>
      </x:c>
      <x:c r="F15" s="104" t="str">
        <x:f>IF(B7=0,"",F7/B7)</x:f>
      </x:c>
      <x:c r="G15" s="104" t="str">
        <x:f>IF(B7=0,"",G7/B7)</x:f>
      </x:c>
      <x:c r="H15" s="104" t="str">
        <x:f>IF(B7=0,"",H7/B7)</x:f>
      </x:c>
      <x:c r="I15" s="104" t="str">
        <x:f>IF(B7=0,"",I7/B7)</x:f>
      </x:c>
    </x:row>
    <x:row r="16">
      <x:c r="A16" s="94" t="str">
        <x:v>6～11歳</x:v>
      </x:c>
      <x:c r="B16" s="109" t="n">
        <x:f>B8</x:f>
        <x:v>1</x:v>
      </x:c>
      <x:c r="C16" s="104" t="n">
        <x:f>IF(B8=0,"",C8/B8)</x:f>
        <x:v>0</x:v>
      </x:c>
      <x:c r="D16" s="104" t="n">
        <x:f>IF(B8=0,"",D8/B8)</x:f>
        <x:v>0</x:v>
      </x:c>
      <x:c r="E16" s="104" t="n">
        <x:f>IF(B8=0,"",E8/B8)</x:f>
        <x:v>0</x:v>
      </x:c>
      <x:c r="F16" s="104" t="n">
        <x:f>IF(B8=0,"",F8/B8)</x:f>
        <x:v>0</x:v>
      </x:c>
      <x:c r="G16" s="104" t="n">
        <x:f>IF(B8=0,"",G8/B8)</x:f>
        <x:v>0</x:v>
      </x:c>
      <x:c r="H16" s="104" t="n">
        <x:f>IF(B8=0,"",H8/B8)</x:f>
        <x:v>1</x:v>
      </x:c>
      <x:c r="I16" s="104" t="n">
        <x:f>IF(B8=0,"",I8/B8)</x:f>
        <x:v>0</x:v>
      </x:c>
    </x:row>
    <x:row r="17">
      <x:c r="A17" s="94" t="str">
        <x:v>12～14歳</x:v>
      </x:c>
      <x:c r="B17" s="109" t="n">
        <x:f>B9</x:f>
        <x:v>1</x:v>
      </x:c>
      <x:c r="C17" s="104" t="n">
        <x:f>IF(B9=0,"",C9/B9)</x:f>
        <x:v>0</x:v>
      </x:c>
      <x:c r="D17" s="104" t="n">
        <x:f>IF(B9=0,"",D9/B9)</x:f>
        <x:v>1</x:v>
      </x:c>
      <x:c r="E17" s="104" t="n">
        <x:f>IF(B9=0,"",E9/B9)</x:f>
        <x:v>0</x:v>
      </x:c>
      <x:c r="F17" s="104" t="n">
        <x:f>IF(B9=0,"",F9/B9)</x:f>
        <x:v>0</x:v>
      </x:c>
      <x:c r="G17" s="104" t="n">
        <x:f>IF(B9=0,"",G9/B9)</x:f>
        <x:v>0</x:v>
      </x:c>
      <x:c r="H17" s="104" t="n">
        <x:f>IF(B9=0,"",H9/B9)</x:f>
        <x:v>0</x:v>
      </x:c>
      <x:c r="I17" s="104" t="n">
        <x:f>IF(B9=0,"",I9/B9)</x:f>
        <x:v>0</x:v>
      </x:c>
    </x:row>
    <x:row r="18">
      <x:c r="A18" s="94" t="str">
        <x:v>15～17歳</x:v>
      </x:c>
      <x:c r="B18" s="109" t="n">
        <x:f>B10</x:f>
        <x:v>1</x:v>
      </x:c>
      <x:c r="C18" s="104" t="n">
        <x:f>IF(B10=0,"",C10/B10)</x:f>
        <x:v>0</x:v>
      </x:c>
      <x:c r="D18" s="104" t="n">
        <x:f>IF(B10=0,"",D10/B10)</x:f>
        <x:v>0</x:v>
      </x:c>
      <x:c r="E18" s="104" t="n">
        <x:f>IF(B10=0,"",E10/B10)</x:f>
        <x:v>0</x:v>
      </x:c>
      <x:c r="F18" s="104" t="n">
        <x:f>IF(B10=0,"",F10/B10)</x:f>
        <x:v>0</x:v>
      </x:c>
      <x:c r="G18" s="104" t="n">
        <x:f>IF(B10=0,"",G10/B10)</x:f>
        <x:v>0</x:v>
      </x:c>
      <x:c r="H18" s="104" t="n">
        <x:f>IF(B10=0,"",H10/B10)</x:f>
        <x:v>0</x:v>
      </x:c>
      <x:c r="I18" s="104" t="n">
        <x:f>IF(B10=0,"",I10/B10)</x:f>
        <x:v>1</x:v>
      </x:c>
    </x:row>
  </x:sheetData>
  <x:mergeCells>
    <x:mergeCell ref="A1:I1"/>
    <x:mergeCell ref="A3:I3"/>
    <x:mergeCell ref="A4:I4"/>
    <x:mergeCell ref="A13:I13"/>
  </x:mergeCells>
  <x:pageMargins left="0.7" right="0.7" top="0.75" bottom="0.75" header="0.3" footer="0.3"/>
</x:worksheet>
</file>

<file path=xl/worksheets/sheet10.xml><?xml version="1.0" encoding="utf-8"?>
<x:worksheet xmlns:x="http://schemas.openxmlformats.org/spreadsheetml/2006/main">
  <x:sheetFormatPr defaultRowHeight="15"/>
  <x:cols>
    <x:col min="1" max="1" width="34" hidden="0" customWidth="1"/>
    <x:col min="2" max="2" width="9"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s>
  <x:sheetData>
    <x:row r="1" ht="28" customHeight="1">
      <x:c r="A1" s="78" t="str">
        <x:v>問2 × 問10 クロス分析</x:v>
      </x:c>
      <x:c r="B1" s="78"/>
      <x:c r="C1" s="78"/>
      <x:c r="D1" s="78"/>
      <x:c r="E1" s="78"/>
      <x:c r="F1" s="78"/>
      <x:c r="G1" s="78"/>
      <x:c r="H1" s="78"/>
      <x:c r="I1" s="78"/>
      <x:c r="J1" s="78"/>
      <x:c r="K1" s="78"/>
      <x:c r="L1" s="78"/>
      <x:c r="M1" s="78"/>
      <x:c r="N1" s="78"/>
      <x:c r="O1" s="78"/>
      <x:c r="P1" s="78"/>
    </x:row>
    <x:row r="3">
      <x:c r="A3" s="100" t="str">
        <x:v>年齢別の日常生活上の困りごと</x:v>
      </x:c>
      <x:c r="B3" s="100"/>
      <x:c r="C3" s="100"/>
      <x:c r="D3" s="100"/>
      <x:c r="E3" s="100"/>
      <x:c r="F3" s="100"/>
      <x:c r="G3" s="100"/>
      <x:c r="H3" s="100"/>
      <x:c r="I3" s="100"/>
      <x:c r="J3" s="100"/>
      <x:c r="K3" s="100"/>
      <x:c r="L3" s="100"/>
      <x:c r="M3" s="100"/>
      <x:c r="N3" s="100"/>
      <x:c r="O3" s="100"/>
      <x:c r="P3" s="100"/>
    </x:row>
    <x:row r="4" ht="42" customHeight="1">
      <x:c r="A4" s="108" t="str">
        <x:v>行：問2「お子さん（宛名の方）の年齢を教えてください」／列：問10「日常生活で困っていることは何ですか（あてはまるものすべて）」。件数表のnは行カテゴリ該当者数、行％はそのnを分母としています。複数回答設問では行％合計が100％にならない場合があります。nが5未満の区分は参考値です。</x:v>
      </x:c>
      <x:c r="B4" s="108"/>
      <x:c r="C4" s="108"/>
      <x:c r="D4" s="108"/>
      <x:c r="E4" s="108"/>
      <x:c r="F4" s="108"/>
      <x:c r="G4" s="108"/>
      <x:c r="H4" s="108"/>
      <x:c r="I4" s="108"/>
      <x:c r="J4" s="108"/>
      <x:c r="K4" s="108"/>
      <x:c r="L4" s="108"/>
      <x:c r="M4" s="108"/>
      <x:c r="N4" s="108"/>
      <x:c r="O4" s="108"/>
      <x:c r="P4" s="108"/>
    </x:row>
    <x:row r="6">
      <x:c r="A6" s="86" t="str">
        <x:v>行区分</x:v>
      </x:c>
      <x:c r="B6" s="86" t="str">
        <x:v>n</x:v>
      </x:c>
      <x:c r="C6" s="86" t="str">
        <x:v>家事</x:v>
      </x:c>
      <x:c r="D6" s="86" t="str">
        <x:v>食事</x:v>
      </x:c>
      <x:c r="E6" s="86" t="str">
        <x:v>入浴</x:v>
      </x:c>
      <x:c r="F6" s="86" t="str">
        <x:v>排せつ</x:v>
      </x:c>
      <x:c r="G6" s="86" t="str">
        <x:v>服薬管理</x:v>
      </x:c>
      <x:c r="H6" s="86" t="str">
        <x:v>金銭管理</x:v>
      </x:c>
      <x:c r="I6" s="86" t="str">
        <x:v>通院</x:v>
      </x:c>
      <x:c r="J6" s="86" t="str">
        <x:v>外出・移動</x:v>
      </x:c>
      <x:c r="K6" s="86" t="str">
        <x:v>買い物</x:v>
      </x:c>
      <x:c r="L6" s="86" t="str">
        <x:v>災害時の避難</x:v>
      </x:c>
      <x:c r="M6" s="86" t="str">
        <x:v>相談先がない</x:v>
      </x:c>
      <x:c r="N6" s="86" t="str">
        <x:v>将来の生活</x:v>
      </x:c>
      <x:c r="O6" s="86" t="str">
        <x:v>特にない</x:v>
      </x:c>
      <x:c r="P6" s="86" t="str">
        <x:v>その他</x:v>
      </x:c>
    </x:row>
    <x:row r="7">
      <x:c r="A7" s="94" t="str">
        <x:v>0～5歳</x:v>
      </x:c>
      <x:c r="B7" s="109" t="n">
        <x:f>COUNTIF('データ'!Y$5:Y$7,"〇")</x:f>
        <x:v>0</x:v>
      </x:c>
      <x:c r="C7" s="94" t="n">
        <x:f>COUNTIFS('データ'!Y$5:Y$7,"〇",'データ'!CA$5:CA$7,"〇")</x:f>
        <x:v>0</x:v>
      </x:c>
      <x:c r="D7" s="94" t="n">
        <x:f>COUNTIFS('データ'!Y$5:Y$7,"〇",'データ'!CB$5:CB$7,"〇")</x:f>
        <x:v>0</x:v>
      </x:c>
      <x:c r="E7" s="94" t="n">
        <x:f>COUNTIFS('データ'!Y$5:Y$7,"〇",'データ'!CC$5:CC$7,"〇")</x:f>
        <x:v>0</x:v>
      </x:c>
      <x:c r="F7" s="94" t="n">
        <x:f>COUNTIFS('データ'!Y$5:Y$7,"〇",'データ'!CD$5:CD$7,"〇")</x:f>
        <x:v>0</x:v>
      </x:c>
      <x:c r="G7" s="94" t="n">
        <x:f>COUNTIFS('データ'!Y$5:Y$7,"〇",'データ'!CE$5:CE$7,"〇")</x:f>
        <x:v>0</x:v>
      </x:c>
      <x:c r="H7" s="94" t="n">
        <x:f>COUNTIFS('データ'!Y$5:Y$7,"〇",'データ'!CF$5:CF$7,"〇")</x:f>
        <x:v>0</x:v>
      </x:c>
      <x:c r="I7" s="94" t="n">
        <x:f>COUNTIFS('データ'!Y$5:Y$7,"〇",'データ'!CG$5:CG$7,"〇")</x:f>
        <x:v>0</x:v>
      </x:c>
      <x:c r="J7" s="94" t="n">
        <x:f>COUNTIFS('データ'!Y$5:Y$7,"〇",'データ'!CH$5:CH$7,"〇")</x:f>
        <x:v>0</x:v>
      </x:c>
      <x:c r="K7" s="94" t="n">
        <x:f>COUNTIFS('データ'!Y$5:Y$7,"〇",'データ'!CI$5:CI$7,"〇")</x:f>
        <x:v>0</x:v>
      </x:c>
      <x:c r="L7" s="94" t="n">
        <x:f>COUNTIFS('データ'!Y$5:Y$7,"〇",'データ'!CJ$5:CJ$7,"〇")</x:f>
        <x:v>0</x:v>
      </x:c>
      <x:c r="M7" s="94" t="n">
        <x:f>COUNTIFS('データ'!Y$5:Y$7,"〇",'データ'!CK$5:CK$7,"〇")</x:f>
        <x:v>0</x:v>
      </x:c>
      <x:c r="N7" s="94" t="n">
        <x:f>COUNTIFS('データ'!Y$5:Y$7,"〇",'データ'!CL$5:CL$7,"〇")</x:f>
        <x:v>0</x:v>
      </x:c>
      <x:c r="O7" s="94" t="n">
        <x:f>COUNTIFS('データ'!Y$5:Y$7,"〇",'データ'!CM$5:CM$7,"〇")</x:f>
        <x:v>0</x:v>
      </x:c>
      <x:c r="P7" s="94" t="n">
        <x:f>COUNTIFS('データ'!Y$5:Y$7,"〇",'データ'!CN$5:CN$7,"〇")</x:f>
        <x:v>0</x:v>
      </x:c>
    </x:row>
    <x:row r="8">
      <x:c r="A8" s="94" t="str">
        <x:v>6～11歳</x:v>
      </x:c>
      <x:c r="B8" s="109" t="n">
        <x:f>COUNTIF('データ'!Z$5:Z$7,"〇")</x:f>
        <x:v>1</x:v>
      </x:c>
      <x:c r="C8" s="94" t="n">
        <x:f>COUNTIFS('データ'!Z$5:Z$7,"〇",'データ'!CA$5:CA$7,"〇")</x:f>
        <x:v>1</x:v>
      </x:c>
      <x:c r="D8" s="94" t="n">
        <x:f>COUNTIFS('データ'!Z$5:Z$7,"〇",'データ'!CB$5:CB$7,"〇")</x:f>
        <x:v>1</x:v>
      </x:c>
      <x:c r="E8" s="94" t="n">
        <x:f>COUNTIFS('データ'!Z$5:Z$7,"〇",'データ'!CC$5:CC$7,"〇")</x:f>
        <x:v>1</x:v>
      </x:c>
      <x:c r="F8" s="94" t="n">
        <x:f>COUNTIFS('データ'!Z$5:Z$7,"〇",'データ'!CD$5:CD$7,"〇")</x:f>
        <x:v>1</x:v>
      </x:c>
      <x:c r="G8" s="94" t="n">
        <x:f>COUNTIFS('データ'!Z$5:Z$7,"〇",'データ'!CE$5:CE$7,"〇")</x:f>
        <x:v>1</x:v>
      </x:c>
      <x:c r="H8" s="94" t="n">
        <x:f>COUNTIFS('データ'!Z$5:Z$7,"〇",'データ'!CF$5:CF$7,"〇")</x:f>
        <x:v>0</x:v>
      </x:c>
      <x:c r="I8" s="94" t="n">
        <x:f>COUNTIFS('データ'!Z$5:Z$7,"〇",'データ'!CG$5:CG$7,"〇")</x:f>
        <x:v>1</x:v>
      </x:c>
      <x:c r="J8" s="94" t="n">
        <x:f>COUNTIFS('データ'!Z$5:Z$7,"〇",'データ'!CH$5:CH$7,"〇")</x:f>
        <x:v>1</x:v>
      </x:c>
      <x:c r="K8" s="94" t="n">
        <x:f>COUNTIFS('データ'!Z$5:Z$7,"〇",'データ'!CI$5:CI$7,"〇")</x:f>
        <x:v>1</x:v>
      </x:c>
      <x:c r="L8" s="94" t="n">
        <x:f>COUNTIFS('データ'!Z$5:Z$7,"〇",'データ'!CJ$5:CJ$7,"〇")</x:f>
        <x:v>1</x:v>
      </x:c>
      <x:c r="M8" s="94" t="n">
        <x:f>COUNTIFS('データ'!Z$5:Z$7,"〇",'データ'!CK$5:CK$7,"〇")</x:f>
        <x:v>0</x:v>
      </x:c>
      <x:c r="N8" s="94" t="n">
        <x:f>COUNTIFS('データ'!Z$5:Z$7,"〇",'データ'!CL$5:CL$7,"〇")</x:f>
        <x:v>1</x:v>
      </x:c>
      <x:c r="O8" s="94" t="n">
        <x:f>COUNTIFS('データ'!Z$5:Z$7,"〇",'データ'!CM$5:CM$7,"〇")</x:f>
        <x:v>0</x:v>
      </x:c>
      <x:c r="P8" s="94" t="n">
        <x:f>COUNTIFS('データ'!Z$5:Z$7,"〇",'データ'!CN$5:CN$7,"〇")</x:f>
        <x:v>1</x:v>
      </x:c>
    </x:row>
    <x:row r="9">
      <x:c r="A9" s="94" t="str">
        <x:v>12～14歳</x:v>
      </x:c>
      <x:c r="B9" s="109" t="n">
        <x:f>COUNTIF('データ'!AA$5:AA$7,"〇")</x:f>
        <x:v>1</x:v>
      </x:c>
      <x:c r="C9" s="94" t="n">
        <x:f>COUNTIFS('データ'!AA$5:AA$7,"〇",'データ'!CA$5:CA$7,"〇")</x:f>
        <x:v>0</x:v>
      </x:c>
      <x:c r="D9" s="94" t="n">
        <x:f>COUNTIFS('データ'!AA$5:AA$7,"〇",'データ'!CB$5:CB$7,"〇")</x:f>
        <x:v>0</x:v>
      </x:c>
      <x:c r="E9" s="94" t="n">
        <x:f>COUNTIFS('データ'!AA$5:AA$7,"〇",'データ'!CC$5:CC$7,"〇")</x:f>
        <x:v>0</x:v>
      </x:c>
      <x:c r="F9" s="94" t="n">
        <x:f>COUNTIFS('データ'!AA$5:AA$7,"〇",'データ'!CD$5:CD$7,"〇")</x:f>
        <x:v>0</x:v>
      </x:c>
      <x:c r="G9" s="94" t="n">
        <x:f>COUNTIFS('データ'!AA$5:AA$7,"〇",'データ'!CE$5:CE$7,"〇")</x:f>
        <x:v>0</x:v>
      </x:c>
      <x:c r="H9" s="94" t="n">
        <x:f>COUNTIFS('データ'!AA$5:AA$7,"〇",'データ'!CF$5:CF$7,"〇")</x:f>
        <x:v>1</x:v>
      </x:c>
      <x:c r="I9" s="94" t="n">
        <x:f>COUNTIFS('データ'!AA$5:AA$7,"〇",'データ'!CG$5:CG$7,"〇")</x:f>
        <x:v>0</x:v>
      </x:c>
      <x:c r="J9" s="94" t="n">
        <x:f>COUNTIFS('データ'!AA$5:AA$7,"〇",'データ'!CH$5:CH$7,"〇")</x:f>
        <x:v>0</x:v>
      </x:c>
      <x:c r="K9" s="94" t="n">
        <x:f>COUNTIFS('データ'!AA$5:AA$7,"〇",'データ'!CI$5:CI$7,"〇")</x:f>
        <x:v>0</x:v>
      </x:c>
      <x:c r="L9" s="94" t="n">
        <x:f>COUNTIFS('データ'!AA$5:AA$7,"〇",'データ'!CJ$5:CJ$7,"〇")</x:f>
        <x:v>0</x:v>
      </x:c>
      <x:c r="M9" s="94" t="n">
        <x:f>COUNTIFS('データ'!AA$5:AA$7,"〇",'データ'!CK$5:CK$7,"〇")</x:f>
        <x:v>0</x:v>
      </x:c>
      <x:c r="N9" s="94" t="n">
        <x:f>COUNTIFS('データ'!AA$5:AA$7,"〇",'データ'!CL$5:CL$7,"〇")</x:f>
        <x:v>1</x:v>
      </x:c>
      <x:c r="O9" s="94" t="n">
        <x:f>COUNTIFS('データ'!AA$5:AA$7,"〇",'データ'!CM$5:CM$7,"〇")</x:f>
        <x:v>0</x:v>
      </x:c>
      <x:c r="P9" s="94" t="n">
        <x:f>COUNTIFS('データ'!AA$5:AA$7,"〇",'データ'!CN$5:CN$7,"〇")</x:f>
        <x:v>0</x:v>
      </x:c>
    </x:row>
    <x:row r="10">
      <x:c r="A10" s="94" t="str">
        <x:v>15～17歳</x:v>
      </x:c>
      <x:c r="B10" s="109" t="n">
        <x:f>COUNTIF('データ'!AB$5:AB$7,"〇")</x:f>
        <x:v>1</x:v>
      </x:c>
      <x:c r="C10" s="94" t="n">
        <x:f>COUNTIFS('データ'!AB$5:AB$7,"〇",'データ'!CA$5:CA$7,"〇")</x:f>
        <x:v>0</x:v>
      </x:c>
      <x:c r="D10" s="94" t="n">
        <x:f>COUNTIFS('データ'!AB$5:AB$7,"〇",'データ'!CB$5:CB$7,"〇")</x:f>
        <x:v>0</x:v>
      </x:c>
      <x:c r="E10" s="94" t="n">
        <x:f>COUNTIFS('データ'!AB$5:AB$7,"〇",'データ'!CC$5:CC$7,"〇")</x:f>
        <x:v>0</x:v>
      </x:c>
      <x:c r="F10" s="94" t="n">
        <x:f>COUNTIFS('データ'!AB$5:AB$7,"〇",'データ'!CD$5:CD$7,"〇")</x:f>
        <x:v>0</x:v>
      </x:c>
      <x:c r="G10" s="94" t="n">
        <x:f>COUNTIFS('データ'!AB$5:AB$7,"〇",'データ'!CE$5:CE$7,"〇")</x:f>
        <x:v>0</x:v>
      </x:c>
      <x:c r="H10" s="94" t="n">
        <x:f>COUNTIFS('データ'!AB$5:AB$7,"〇",'データ'!CF$5:CF$7,"〇")</x:f>
        <x:v>0</x:v>
      </x:c>
      <x:c r="I10" s="94" t="n">
        <x:f>COUNTIFS('データ'!AB$5:AB$7,"〇",'データ'!CG$5:CG$7,"〇")</x:f>
        <x:v>0</x:v>
      </x:c>
      <x:c r="J10" s="94" t="n">
        <x:f>COUNTIFS('データ'!AB$5:AB$7,"〇",'データ'!CH$5:CH$7,"〇")</x:f>
        <x:v>0</x:v>
      </x:c>
      <x:c r="K10" s="94" t="n">
        <x:f>COUNTIFS('データ'!AB$5:AB$7,"〇",'データ'!CI$5:CI$7,"〇")</x:f>
        <x:v>0</x:v>
      </x:c>
      <x:c r="L10" s="94" t="n">
        <x:f>COUNTIFS('データ'!AB$5:AB$7,"〇",'データ'!CJ$5:CJ$7,"〇")</x:f>
        <x:v>0</x:v>
      </x:c>
      <x:c r="M10" s="94" t="n">
        <x:f>COUNTIFS('データ'!AB$5:AB$7,"〇",'データ'!CK$5:CK$7,"〇")</x:f>
        <x:v>0</x:v>
      </x:c>
      <x:c r="N10" s="94" t="n">
        <x:f>COUNTIFS('データ'!AB$5:AB$7,"〇",'データ'!CL$5:CL$7,"〇")</x:f>
        <x:v>1</x:v>
      </x:c>
      <x:c r="O10" s="94" t="n">
        <x:f>COUNTIFS('データ'!AB$5:AB$7,"〇",'データ'!CM$5:CM$7,"〇")</x:f>
        <x:v>0</x:v>
      </x:c>
      <x:c r="P10" s="94" t="n">
        <x:f>COUNTIFS('データ'!AB$5:AB$7,"〇",'データ'!CN$5:CN$7,"〇")</x:f>
        <x:v>0</x:v>
      </x:c>
    </x:row>
    <x:row r="13">
      <x:c r="A13" s="99" t="str">
        <x:v>行％（各行のnを100％とした割合）</x:v>
      </x:c>
      <x:c r="B13" s="99"/>
      <x:c r="C13" s="99"/>
      <x:c r="D13" s="99"/>
      <x:c r="E13" s="99"/>
      <x:c r="F13" s="99"/>
      <x:c r="G13" s="99"/>
      <x:c r="H13" s="99"/>
      <x:c r="I13" s="99"/>
      <x:c r="J13" s="99"/>
      <x:c r="K13" s="99"/>
      <x:c r="L13" s="99"/>
      <x:c r="M13" s="99"/>
      <x:c r="N13" s="99"/>
      <x:c r="O13" s="99"/>
      <x:c r="P13" s="99"/>
    </x:row>
    <x:row r="14">
      <x:c r="A14" s="86" t="str">
        <x:v>行区分</x:v>
      </x:c>
      <x:c r="B14" s="86" t="str">
        <x:v>n</x:v>
      </x:c>
      <x:c r="C14" s="86" t="str">
        <x:v>家事</x:v>
      </x:c>
      <x:c r="D14" s="86" t="str">
        <x:v>食事</x:v>
      </x:c>
      <x:c r="E14" s="86" t="str">
        <x:v>入浴</x:v>
      </x:c>
      <x:c r="F14" s="86" t="str">
        <x:v>排せつ</x:v>
      </x:c>
      <x:c r="G14" s="86" t="str">
        <x:v>服薬管理</x:v>
      </x:c>
      <x:c r="H14" s="86" t="str">
        <x:v>金銭管理</x:v>
      </x:c>
      <x:c r="I14" s="86" t="str">
        <x:v>通院</x:v>
      </x:c>
      <x:c r="J14" s="86" t="str">
        <x:v>外出・移動</x:v>
      </x:c>
      <x:c r="K14" s="86" t="str">
        <x:v>買い物</x:v>
      </x:c>
      <x:c r="L14" s="86" t="str">
        <x:v>災害時の避難</x:v>
      </x:c>
      <x:c r="M14" s="86" t="str">
        <x:v>相談先がない</x:v>
      </x:c>
      <x:c r="N14" s="86" t="str">
        <x:v>将来の生活</x:v>
      </x:c>
      <x:c r="O14" s="86" t="str">
        <x:v>特にない</x:v>
      </x:c>
      <x:c r="P14" s="86" t="str">
        <x:v>その他</x:v>
      </x:c>
    </x:row>
    <x:row r="15">
      <x:c r="A15" s="94" t="str">
        <x:v>0～5歳</x:v>
      </x:c>
      <x:c r="B15" s="109" t="n">
        <x:f>B7</x:f>
        <x:v>0</x:v>
      </x:c>
      <x:c r="C15" s="104" t="str">
        <x:f>IF(B7=0,"",C7/B7)</x:f>
      </x:c>
      <x:c r="D15" s="104" t="str">
        <x:f>IF(B7=0,"",D7/B7)</x:f>
      </x:c>
      <x:c r="E15" s="104" t="str">
        <x:f>IF(B7=0,"",E7/B7)</x:f>
      </x:c>
      <x:c r="F15" s="104" t="str">
        <x:f>IF(B7=0,"",F7/B7)</x:f>
      </x:c>
      <x:c r="G15" s="104" t="str">
        <x:f>IF(B7=0,"",G7/B7)</x:f>
      </x:c>
      <x:c r="H15" s="104" t="str">
        <x:f>IF(B7=0,"",H7/B7)</x:f>
      </x:c>
      <x:c r="I15" s="104" t="str">
        <x:f>IF(B7=0,"",I7/B7)</x:f>
      </x:c>
      <x:c r="J15" s="104" t="str">
        <x:f>IF(B7=0,"",J7/B7)</x:f>
      </x:c>
      <x:c r="K15" s="104" t="str">
        <x:f>IF(B7=0,"",K7/B7)</x:f>
      </x:c>
      <x:c r="L15" s="104" t="str">
        <x:f>IF(B7=0,"",L7/B7)</x:f>
      </x:c>
      <x:c r="M15" s="104" t="str">
        <x:f>IF(B7=0,"",M7/B7)</x:f>
      </x:c>
      <x:c r="N15" s="104" t="str">
        <x:f>IF(B7=0,"",N7/B7)</x:f>
      </x:c>
      <x:c r="O15" s="104" t="str">
        <x:f>IF(B7=0,"",O7/B7)</x:f>
      </x:c>
      <x:c r="P15" s="104" t="str">
        <x:f>IF(B7=0,"",P7/B7)</x:f>
      </x:c>
    </x:row>
    <x:row r="16">
      <x:c r="A16" s="94" t="str">
        <x:v>6～11歳</x:v>
      </x:c>
      <x:c r="B16" s="109" t="n">
        <x:f>B8</x:f>
        <x:v>1</x:v>
      </x:c>
      <x:c r="C16" s="104" t="n">
        <x:f>IF(B8=0,"",C8/B8)</x:f>
        <x:v>1</x:v>
      </x:c>
      <x:c r="D16" s="104" t="n">
        <x:f>IF(B8=0,"",D8/B8)</x:f>
        <x:v>1</x:v>
      </x:c>
      <x:c r="E16" s="104" t="n">
        <x:f>IF(B8=0,"",E8/B8)</x:f>
        <x:v>1</x:v>
      </x:c>
      <x:c r="F16" s="104" t="n">
        <x:f>IF(B8=0,"",F8/B8)</x:f>
        <x:v>1</x:v>
      </x:c>
      <x:c r="G16" s="104" t="n">
        <x:f>IF(B8=0,"",G8/B8)</x:f>
        <x:v>1</x:v>
      </x:c>
      <x:c r="H16" s="104" t="n">
        <x:f>IF(B8=0,"",H8/B8)</x:f>
        <x:v>0</x:v>
      </x:c>
      <x:c r="I16" s="104" t="n">
        <x:f>IF(B8=0,"",I8/B8)</x:f>
        <x:v>1</x:v>
      </x:c>
      <x:c r="J16" s="104" t="n">
        <x:f>IF(B8=0,"",J8/B8)</x:f>
        <x:v>1</x:v>
      </x:c>
      <x:c r="K16" s="104" t="n">
        <x:f>IF(B8=0,"",K8/B8)</x:f>
        <x:v>1</x:v>
      </x:c>
      <x:c r="L16" s="104" t="n">
        <x:f>IF(B8=0,"",L8/B8)</x:f>
        <x:v>1</x:v>
      </x:c>
      <x:c r="M16" s="104" t="n">
        <x:f>IF(B8=0,"",M8/B8)</x:f>
        <x:v>0</x:v>
      </x:c>
      <x:c r="N16" s="104" t="n">
        <x:f>IF(B8=0,"",N8/B8)</x:f>
        <x:v>1</x:v>
      </x:c>
      <x:c r="O16" s="104" t="n">
        <x:f>IF(B8=0,"",O8/B8)</x:f>
        <x:v>0</x:v>
      </x:c>
      <x:c r="P16" s="104" t="n">
        <x:f>IF(B8=0,"",P8/B8)</x:f>
        <x:v>1</x:v>
      </x:c>
    </x:row>
    <x:row r="17">
      <x:c r="A17" s="94" t="str">
        <x:v>12～14歳</x:v>
      </x:c>
      <x:c r="B17" s="109" t="n">
        <x:f>B9</x:f>
        <x:v>1</x:v>
      </x:c>
      <x:c r="C17" s="104" t="n">
        <x:f>IF(B9=0,"",C9/B9)</x:f>
        <x:v>0</x:v>
      </x:c>
      <x:c r="D17" s="104" t="n">
        <x:f>IF(B9=0,"",D9/B9)</x:f>
        <x:v>0</x:v>
      </x:c>
      <x:c r="E17" s="104" t="n">
        <x:f>IF(B9=0,"",E9/B9)</x:f>
        <x:v>0</x:v>
      </x:c>
      <x:c r="F17" s="104" t="n">
        <x:f>IF(B9=0,"",F9/B9)</x:f>
        <x:v>0</x:v>
      </x:c>
      <x:c r="G17" s="104" t="n">
        <x:f>IF(B9=0,"",G9/B9)</x:f>
        <x:v>0</x:v>
      </x:c>
      <x:c r="H17" s="104" t="n">
        <x:f>IF(B9=0,"",H9/B9)</x:f>
        <x:v>1</x:v>
      </x:c>
      <x:c r="I17" s="104" t="n">
        <x:f>IF(B9=0,"",I9/B9)</x:f>
        <x:v>0</x:v>
      </x:c>
      <x:c r="J17" s="104" t="n">
        <x:f>IF(B9=0,"",J9/B9)</x:f>
        <x:v>0</x:v>
      </x:c>
      <x:c r="K17" s="104" t="n">
        <x:f>IF(B9=0,"",K9/B9)</x:f>
        <x:v>0</x:v>
      </x:c>
      <x:c r="L17" s="104" t="n">
        <x:f>IF(B9=0,"",L9/B9)</x:f>
        <x:v>0</x:v>
      </x:c>
      <x:c r="M17" s="104" t="n">
        <x:f>IF(B9=0,"",M9/B9)</x:f>
        <x:v>0</x:v>
      </x:c>
      <x:c r="N17" s="104" t="n">
        <x:f>IF(B9=0,"",N9/B9)</x:f>
        <x:v>1</x:v>
      </x:c>
      <x:c r="O17" s="104" t="n">
        <x:f>IF(B9=0,"",O9/B9)</x:f>
        <x:v>0</x:v>
      </x:c>
      <x:c r="P17" s="104" t="n">
        <x:f>IF(B9=0,"",P9/B9)</x:f>
        <x:v>0</x:v>
      </x:c>
    </x:row>
    <x:row r="18">
      <x:c r="A18" s="94" t="str">
        <x:v>15～17歳</x:v>
      </x:c>
      <x:c r="B18" s="109" t="n">
        <x:f>B10</x:f>
        <x:v>1</x:v>
      </x:c>
      <x:c r="C18" s="104" t="n">
        <x:f>IF(B10=0,"",C10/B10)</x:f>
        <x:v>0</x:v>
      </x:c>
      <x:c r="D18" s="104" t="n">
        <x:f>IF(B10=0,"",D10/B10)</x:f>
        <x:v>0</x:v>
      </x:c>
      <x:c r="E18" s="104" t="n">
        <x:f>IF(B10=0,"",E10/B10)</x:f>
        <x:v>0</x:v>
      </x:c>
      <x:c r="F18" s="104" t="n">
        <x:f>IF(B10=0,"",F10/B10)</x:f>
        <x:v>0</x:v>
      </x:c>
      <x:c r="G18" s="104" t="n">
        <x:f>IF(B10=0,"",G10/B10)</x:f>
        <x:v>0</x:v>
      </x:c>
      <x:c r="H18" s="104" t="n">
        <x:f>IF(B10=0,"",H10/B10)</x:f>
        <x:v>0</x:v>
      </x:c>
      <x:c r="I18" s="104" t="n">
        <x:f>IF(B10=0,"",I10/B10)</x:f>
        <x:v>0</x:v>
      </x:c>
      <x:c r="J18" s="104" t="n">
        <x:f>IF(B10=0,"",J10/B10)</x:f>
        <x:v>0</x:v>
      </x:c>
      <x:c r="K18" s="104" t="n">
        <x:f>IF(B10=0,"",K10/B10)</x:f>
        <x:v>0</x:v>
      </x:c>
      <x:c r="L18" s="104" t="n">
        <x:f>IF(B10=0,"",L10/B10)</x:f>
        <x:v>0</x:v>
      </x:c>
      <x:c r="M18" s="104" t="n">
        <x:f>IF(B10=0,"",M10/B10)</x:f>
        <x:v>0</x:v>
      </x:c>
      <x:c r="N18" s="104" t="n">
        <x:f>IF(B10=0,"",N10/B10)</x:f>
        <x:v>1</x:v>
      </x:c>
      <x:c r="O18" s="104" t="n">
        <x:f>IF(B10=0,"",O10/B10)</x:f>
        <x:v>0</x:v>
      </x:c>
      <x:c r="P18" s="104" t="n">
        <x:f>IF(B10=0,"",P10/B10)</x:f>
        <x:v>0</x:v>
      </x:c>
    </x:row>
  </x:sheetData>
  <x:mergeCells>
    <x:mergeCell ref="A1:P1"/>
    <x:mergeCell ref="A3:P3"/>
    <x:mergeCell ref="A4:P4"/>
    <x:mergeCell ref="A13:P13"/>
  </x:mergeCells>
  <x:pageMargins left="0.7" right="0.7" top="0.75" bottom="0.75" header="0.3" footer="0.3"/>
</x:worksheet>
</file>

<file path=xl/worksheets/sheet11.xml><?xml version="1.0" encoding="utf-8"?>
<x:worksheet xmlns:x="http://schemas.openxmlformats.org/spreadsheetml/2006/main">
  <x:sheetFormatPr defaultRowHeight="15"/>
  <x:cols>
    <x:col min="1" max="1" width="34" hidden="0" customWidth="1"/>
    <x:col min="2" max="2" width="9"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s>
  <x:sheetData>
    <x:row r="1" ht="28" customHeight="1">
      <x:c r="A1" s="78" t="str">
        <x:v>問27 × 問29 クロス分析</x:v>
      </x:c>
      <x:c r="B1" s="78"/>
      <x:c r="C1" s="78"/>
      <x:c r="D1" s="78"/>
      <x:c r="E1" s="78"/>
      <x:c r="F1" s="78"/>
      <x:c r="G1" s="78"/>
      <x:c r="H1" s="78"/>
      <x:c r="I1" s="78"/>
      <x:c r="J1" s="78"/>
      <x:c r="K1" s="78"/>
      <x:c r="L1" s="78"/>
      <x:c r="M1" s="78"/>
    </x:row>
    <x:row r="3">
      <x:c r="A3" s="100" t="str">
        <x:v>現在利用サービスと今後利用したいサービスの関係</x:v>
      </x:c>
      <x:c r="B3" s="100"/>
      <x:c r="C3" s="100"/>
      <x:c r="D3" s="100"/>
      <x:c r="E3" s="100"/>
      <x:c r="F3" s="100"/>
      <x:c r="G3" s="100"/>
      <x:c r="H3" s="100"/>
      <x:c r="I3" s="100"/>
      <x:c r="J3" s="100"/>
      <x:c r="K3" s="100"/>
      <x:c r="L3" s="100"/>
      <x:c r="M3" s="100"/>
    </x:row>
    <x:row r="4" ht="42" customHeight="1">
      <x:c r="A4" s="108" t="str">
        <x:v>行：問27「現在利用しているサービスを選んでください（あてはまるものすべて）」／列：問29「今後3年間で利用したい、または利用を続けたいサービスを選んでください（あてはまるものすべて）」。件数表のnは行カテゴリ該当者数、行％はそのnを分母としています。複数回答設問では行％合計が100％にならない場合があります。nが5未満の区分は参考値です。</x:v>
      </x:c>
      <x:c r="B4" s="108"/>
      <x:c r="C4" s="108"/>
      <x:c r="D4" s="108"/>
      <x:c r="E4" s="108"/>
      <x:c r="F4" s="108"/>
      <x:c r="G4" s="108"/>
      <x:c r="H4" s="108"/>
      <x:c r="I4" s="108"/>
      <x:c r="J4" s="108"/>
      <x:c r="K4" s="108"/>
      <x:c r="L4" s="108"/>
      <x:c r="M4" s="108"/>
    </x:row>
    <x:row r="6">
      <x:c r="A6" s="86" t="str">
        <x:v>行区分</x:v>
      </x:c>
      <x:c r="B6" s="86" t="str">
        <x:v>n</x:v>
      </x:c>
      <x:c r="C6" s="86" t="str">
        <x:v>児童発達支援</x:v>
      </x:c>
      <x:c r="D6" s="86" t="str">
        <x:v>放課後等デイサービス</x:v>
      </x:c>
      <x:c r="E6" s="86" t="str">
        <x:v>保育所等訪問支援</x:v>
      </x:c>
      <x:c r="F6" s="86" t="str">
        <x:v>居宅訪問型児童発達支援</x:v>
      </x:c>
      <x:c r="G6" s="86" t="str">
        <x:v>障がい児相談支援</x:v>
      </x:c>
      <x:c r="H6" s="86" t="str">
        <x:v>短期入所（ショートステイ）</x:v>
      </x:c>
      <x:c r="I6" s="86" t="str">
        <x:v>日中一時支援</x:v>
      </x:c>
      <x:c r="J6" s="86" t="str">
        <x:v>移動支援</x:v>
      </x:c>
      <x:c r="K6" s="86" t="str">
        <x:v>日常生活用具の給付</x:v>
      </x:c>
      <x:c r="L6" s="86" t="str">
        <x:v>利用したいサービスは特にない</x:v>
      </x:c>
      <x:c r="M6" s="86" t="str">
        <x:v>その他</x:v>
      </x:c>
    </x:row>
    <x:row r="7">
      <x:c r="A7" s="94" t="str">
        <x:v>児童発達支援</x:v>
      </x:c>
      <x:c r="B7" s="109" t="n">
        <x:f>COUNTIF('データ'!JX$5:JX$7,"〇")</x:f>
        <x:v>0</x:v>
      </x:c>
      <x:c r="C7" s="94" t="n">
        <x:f>COUNTIFS('データ'!JX$5:JX$7,"〇",'データ'!KV$5:KV$7,"〇")</x:f>
        <x:v>0</x:v>
      </x:c>
      <x:c r="D7" s="94" t="n">
        <x:f>COUNTIFS('データ'!JX$5:JX$7,"〇",'データ'!KW$5:KW$7,"〇")</x:f>
        <x:v>0</x:v>
      </x:c>
      <x:c r="E7" s="94" t="n">
        <x:f>COUNTIFS('データ'!JX$5:JX$7,"〇",'データ'!KX$5:KX$7,"〇")</x:f>
        <x:v>0</x:v>
      </x:c>
      <x:c r="F7" s="94" t="n">
        <x:f>COUNTIFS('データ'!JX$5:JX$7,"〇",'データ'!KY$5:KY$7,"〇")</x:f>
        <x:v>0</x:v>
      </x:c>
      <x:c r="G7" s="94" t="n">
        <x:f>COUNTIFS('データ'!JX$5:JX$7,"〇",'データ'!KZ$5:KZ$7,"〇")</x:f>
        <x:v>0</x:v>
      </x:c>
      <x:c r="H7" s="94" t="n">
        <x:f>COUNTIFS('データ'!JX$5:JX$7,"〇",'データ'!LA$5:LA$7,"〇")</x:f>
        <x:v>0</x:v>
      </x:c>
      <x:c r="I7" s="94" t="n">
        <x:f>COUNTIFS('データ'!JX$5:JX$7,"〇",'データ'!LB$5:LB$7,"〇")</x:f>
        <x:v>0</x:v>
      </x:c>
      <x:c r="J7" s="94" t="n">
        <x:f>COUNTIFS('データ'!JX$5:JX$7,"〇",'データ'!LC$5:LC$7,"〇")</x:f>
        <x:v>0</x:v>
      </x:c>
      <x:c r="K7" s="94" t="n">
        <x:f>COUNTIFS('データ'!JX$5:JX$7,"〇",'データ'!LD$5:LD$7,"〇")</x:f>
        <x:v>0</x:v>
      </x:c>
      <x:c r="L7" s="94" t="n">
        <x:f>COUNTIFS('データ'!JX$5:JX$7,"〇",'データ'!LE$5:LE$7,"〇")</x:f>
        <x:v>0</x:v>
      </x:c>
      <x:c r="M7" s="94" t="n">
        <x:f>COUNTIFS('データ'!JX$5:JX$7,"〇",'データ'!LF$5:LF$7,"〇")</x:f>
        <x:v>0</x:v>
      </x:c>
    </x:row>
    <x:row r="8">
      <x:c r="A8" s="94" t="str">
        <x:v>放課後等デイサービス</x:v>
      </x:c>
      <x:c r="B8" s="109" t="n">
        <x:f>COUNTIF('データ'!JY$5:JY$7,"〇")</x:f>
        <x:v>2</x:v>
      </x:c>
      <x:c r="C8" s="94" t="n">
        <x:f>COUNTIFS('データ'!JY$5:JY$7,"〇",'データ'!KV$5:KV$7,"〇")</x:f>
        <x:v>0</x:v>
      </x:c>
      <x:c r="D8" s="94" t="n">
        <x:f>COUNTIFS('データ'!JY$5:JY$7,"〇",'データ'!KW$5:KW$7,"〇")</x:f>
        <x:v>1</x:v>
      </x:c>
      <x:c r="E8" s="94" t="n">
        <x:f>COUNTIFS('データ'!JY$5:JY$7,"〇",'データ'!KX$5:KX$7,"〇")</x:f>
        <x:v>0</x:v>
      </x:c>
      <x:c r="F8" s="94" t="n">
        <x:f>COUNTIFS('データ'!JY$5:JY$7,"〇",'データ'!KY$5:KY$7,"〇")</x:f>
        <x:v>0</x:v>
      </x:c>
      <x:c r="G8" s="94" t="n">
        <x:f>COUNTIFS('データ'!JY$5:JY$7,"〇",'データ'!KZ$5:KZ$7,"〇")</x:f>
        <x:v>2</x:v>
      </x:c>
      <x:c r="H8" s="94" t="n">
        <x:f>COUNTIFS('データ'!JY$5:JY$7,"〇",'データ'!LA$5:LA$7,"〇")</x:f>
        <x:v>1</x:v>
      </x:c>
      <x:c r="I8" s="94" t="n">
        <x:f>COUNTIFS('データ'!JY$5:JY$7,"〇",'データ'!LB$5:LB$7,"〇")</x:f>
        <x:v>0</x:v>
      </x:c>
      <x:c r="J8" s="94" t="n">
        <x:f>COUNTIFS('データ'!JY$5:JY$7,"〇",'データ'!LC$5:LC$7,"〇")</x:f>
        <x:v>2</x:v>
      </x:c>
      <x:c r="K8" s="94" t="n">
        <x:f>COUNTIFS('データ'!JY$5:JY$7,"〇",'データ'!LD$5:LD$7,"〇")</x:f>
        <x:v>1</x:v>
      </x:c>
      <x:c r="L8" s="94" t="n">
        <x:f>COUNTIFS('データ'!JY$5:JY$7,"〇",'データ'!LE$5:LE$7,"〇")</x:f>
        <x:v>0</x:v>
      </x:c>
      <x:c r="M8" s="94" t="n">
        <x:f>COUNTIFS('データ'!JY$5:JY$7,"〇",'データ'!LF$5:LF$7,"〇")</x:f>
        <x:v>0</x:v>
      </x:c>
    </x:row>
    <x:row r="9">
      <x:c r="A9" s="94" t="str">
        <x:v>保育所等訪問支援</x:v>
      </x:c>
      <x:c r="B9" s="109" t="n">
        <x:f>COUNTIF('データ'!JZ$5:JZ$7,"〇")</x:f>
        <x:v>0</x:v>
      </x:c>
      <x:c r="C9" s="94" t="n">
        <x:f>COUNTIFS('データ'!JZ$5:JZ$7,"〇",'データ'!KV$5:KV$7,"〇")</x:f>
        <x:v>0</x:v>
      </x:c>
      <x:c r="D9" s="94" t="n">
        <x:f>COUNTIFS('データ'!JZ$5:JZ$7,"〇",'データ'!KW$5:KW$7,"〇")</x:f>
        <x:v>0</x:v>
      </x:c>
      <x:c r="E9" s="94" t="n">
        <x:f>COUNTIFS('データ'!JZ$5:JZ$7,"〇",'データ'!KX$5:KX$7,"〇")</x:f>
        <x:v>0</x:v>
      </x:c>
      <x:c r="F9" s="94" t="n">
        <x:f>COUNTIFS('データ'!JZ$5:JZ$7,"〇",'データ'!KY$5:KY$7,"〇")</x:f>
        <x:v>0</x:v>
      </x:c>
      <x:c r="G9" s="94" t="n">
        <x:f>COUNTIFS('データ'!JZ$5:JZ$7,"〇",'データ'!KZ$5:KZ$7,"〇")</x:f>
        <x:v>0</x:v>
      </x:c>
      <x:c r="H9" s="94" t="n">
        <x:f>COUNTIFS('データ'!JZ$5:JZ$7,"〇",'データ'!LA$5:LA$7,"〇")</x:f>
        <x:v>0</x:v>
      </x:c>
      <x:c r="I9" s="94" t="n">
        <x:f>COUNTIFS('データ'!JZ$5:JZ$7,"〇",'データ'!LB$5:LB$7,"〇")</x:f>
        <x:v>0</x:v>
      </x:c>
      <x:c r="J9" s="94" t="n">
        <x:f>COUNTIFS('データ'!JZ$5:JZ$7,"〇",'データ'!LC$5:LC$7,"〇")</x:f>
        <x:v>0</x:v>
      </x:c>
      <x:c r="K9" s="94" t="n">
        <x:f>COUNTIFS('データ'!JZ$5:JZ$7,"〇",'データ'!LD$5:LD$7,"〇")</x:f>
        <x:v>0</x:v>
      </x:c>
      <x:c r="L9" s="94" t="n">
        <x:f>COUNTIFS('データ'!JZ$5:JZ$7,"〇",'データ'!LE$5:LE$7,"〇")</x:f>
        <x:v>0</x:v>
      </x:c>
      <x:c r="M9" s="94" t="n">
        <x:f>COUNTIFS('データ'!JZ$5:JZ$7,"〇",'データ'!LF$5:LF$7,"〇")</x:f>
        <x:v>0</x:v>
      </x:c>
    </x:row>
    <x:row r="10">
      <x:c r="A10" s="94" t="str">
        <x:v>居宅訪問型児童発達支援</x:v>
      </x:c>
      <x:c r="B10" s="109" t="n">
        <x:f>COUNTIF('データ'!KA$5:KA$7,"〇")</x:f>
        <x:v>0</x:v>
      </x:c>
      <x:c r="C10" s="94" t="n">
        <x:f>COUNTIFS('データ'!KA$5:KA$7,"〇",'データ'!KV$5:KV$7,"〇")</x:f>
        <x:v>0</x:v>
      </x:c>
      <x:c r="D10" s="94" t="n">
        <x:f>COUNTIFS('データ'!KA$5:KA$7,"〇",'データ'!KW$5:KW$7,"〇")</x:f>
        <x:v>0</x:v>
      </x:c>
      <x:c r="E10" s="94" t="n">
        <x:f>COUNTIFS('データ'!KA$5:KA$7,"〇",'データ'!KX$5:KX$7,"〇")</x:f>
        <x:v>0</x:v>
      </x:c>
      <x:c r="F10" s="94" t="n">
        <x:f>COUNTIFS('データ'!KA$5:KA$7,"〇",'データ'!KY$5:KY$7,"〇")</x:f>
        <x:v>0</x:v>
      </x:c>
      <x:c r="G10" s="94" t="n">
        <x:f>COUNTIFS('データ'!KA$5:KA$7,"〇",'データ'!KZ$5:KZ$7,"〇")</x:f>
        <x:v>0</x:v>
      </x:c>
      <x:c r="H10" s="94" t="n">
        <x:f>COUNTIFS('データ'!KA$5:KA$7,"〇",'データ'!LA$5:LA$7,"〇")</x:f>
        <x:v>0</x:v>
      </x:c>
      <x:c r="I10" s="94" t="n">
        <x:f>COUNTIFS('データ'!KA$5:KA$7,"〇",'データ'!LB$5:LB$7,"〇")</x:f>
        <x:v>0</x:v>
      </x:c>
      <x:c r="J10" s="94" t="n">
        <x:f>COUNTIFS('データ'!KA$5:KA$7,"〇",'データ'!LC$5:LC$7,"〇")</x:f>
        <x:v>0</x:v>
      </x:c>
      <x:c r="K10" s="94" t="n">
        <x:f>COUNTIFS('データ'!KA$5:KA$7,"〇",'データ'!LD$5:LD$7,"〇")</x:f>
        <x:v>0</x:v>
      </x:c>
      <x:c r="L10" s="94" t="n">
        <x:f>COUNTIFS('データ'!KA$5:KA$7,"〇",'データ'!LE$5:LE$7,"〇")</x:f>
        <x:v>0</x:v>
      </x:c>
      <x:c r="M10" s="94" t="n">
        <x:f>COUNTIFS('データ'!KA$5:KA$7,"〇",'データ'!LF$5:LF$7,"〇")</x:f>
        <x:v>0</x:v>
      </x:c>
    </x:row>
    <x:row r="11">
      <x:c r="A11" s="94" t="str">
        <x:v>障がい児相談支援</x:v>
      </x:c>
      <x:c r="B11" s="109" t="n">
        <x:f>COUNTIF('データ'!KB$5:KB$7,"〇")</x:f>
        <x:v>1</x:v>
      </x:c>
      <x:c r="C11" s="94" t="n">
        <x:f>COUNTIFS('データ'!KB$5:KB$7,"〇",'データ'!KV$5:KV$7,"〇")</x:f>
        <x:v>0</x:v>
      </x:c>
      <x:c r="D11" s="94" t="n">
        <x:f>COUNTIFS('データ'!KB$5:KB$7,"〇",'データ'!KW$5:KW$7,"〇")</x:f>
        <x:v>1</x:v>
      </x:c>
      <x:c r="E11" s="94" t="n">
        <x:f>COUNTIFS('データ'!KB$5:KB$7,"〇",'データ'!KX$5:KX$7,"〇")</x:f>
        <x:v>0</x:v>
      </x:c>
      <x:c r="F11" s="94" t="n">
        <x:f>COUNTIFS('データ'!KB$5:KB$7,"〇",'データ'!KY$5:KY$7,"〇")</x:f>
        <x:v>0</x:v>
      </x:c>
      <x:c r="G11" s="94" t="n">
        <x:f>COUNTIFS('データ'!KB$5:KB$7,"〇",'データ'!KZ$5:KZ$7,"〇")</x:f>
        <x:v>1</x:v>
      </x:c>
      <x:c r="H11" s="94" t="n">
        <x:f>COUNTIFS('データ'!KB$5:KB$7,"〇",'データ'!LA$5:LA$7,"〇")</x:f>
        <x:v>1</x:v>
      </x:c>
      <x:c r="I11" s="94" t="n">
        <x:f>COUNTIFS('データ'!KB$5:KB$7,"〇",'データ'!LB$5:LB$7,"〇")</x:f>
        <x:v>0</x:v>
      </x:c>
      <x:c r="J11" s="94" t="n">
        <x:f>COUNTIFS('データ'!KB$5:KB$7,"〇",'データ'!LC$5:LC$7,"〇")</x:f>
        <x:v>1</x:v>
      </x:c>
      <x:c r="K11" s="94" t="n">
        <x:f>COUNTIFS('データ'!KB$5:KB$7,"〇",'データ'!LD$5:LD$7,"〇")</x:f>
        <x:v>1</x:v>
      </x:c>
      <x:c r="L11" s="94" t="n">
        <x:f>COUNTIFS('データ'!KB$5:KB$7,"〇",'データ'!LE$5:LE$7,"〇")</x:f>
        <x:v>0</x:v>
      </x:c>
      <x:c r="M11" s="94" t="n">
        <x:f>COUNTIFS('データ'!KB$5:KB$7,"〇",'データ'!LF$5:LF$7,"〇")</x:f>
        <x:v>0</x:v>
      </x:c>
    </x:row>
    <x:row r="12">
      <x:c r="A12" s="94" t="str">
        <x:v>短期入所（ショートステイ）</x:v>
      </x:c>
      <x:c r="B12" s="109" t="n">
        <x:f>COUNTIF('データ'!KC$5:KC$7,"〇")</x:f>
        <x:v>1</x:v>
      </x:c>
      <x:c r="C12" s="94" t="n">
        <x:f>COUNTIFS('データ'!KC$5:KC$7,"〇",'データ'!KV$5:KV$7,"〇")</x:f>
        <x:v>0</x:v>
      </x:c>
      <x:c r="D12" s="94" t="n">
        <x:f>COUNTIFS('データ'!KC$5:KC$7,"〇",'データ'!KW$5:KW$7,"〇")</x:f>
        <x:v>1</x:v>
      </x:c>
      <x:c r="E12" s="94" t="n">
        <x:f>COUNTIFS('データ'!KC$5:KC$7,"〇",'データ'!KX$5:KX$7,"〇")</x:f>
        <x:v>0</x:v>
      </x:c>
      <x:c r="F12" s="94" t="n">
        <x:f>COUNTIFS('データ'!KC$5:KC$7,"〇",'データ'!KY$5:KY$7,"〇")</x:f>
        <x:v>0</x:v>
      </x:c>
      <x:c r="G12" s="94" t="n">
        <x:f>COUNTIFS('データ'!KC$5:KC$7,"〇",'データ'!KZ$5:KZ$7,"〇")</x:f>
        <x:v>1</x:v>
      </x:c>
      <x:c r="H12" s="94" t="n">
        <x:f>COUNTIFS('データ'!KC$5:KC$7,"〇",'データ'!LA$5:LA$7,"〇")</x:f>
        <x:v>1</x:v>
      </x:c>
      <x:c r="I12" s="94" t="n">
        <x:f>COUNTIFS('データ'!KC$5:KC$7,"〇",'データ'!LB$5:LB$7,"〇")</x:f>
        <x:v>0</x:v>
      </x:c>
      <x:c r="J12" s="94" t="n">
        <x:f>COUNTIFS('データ'!KC$5:KC$7,"〇",'データ'!LC$5:LC$7,"〇")</x:f>
        <x:v>1</x:v>
      </x:c>
      <x:c r="K12" s="94" t="n">
        <x:f>COUNTIFS('データ'!KC$5:KC$7,"〇",'データ'!LD$5:LD$7,"〇")</x:f>
        <x:v>1</x:v>
      </x:c>
      <x:c r="L12" s="94" t="n">
        <x:f>COUNTIFS('データ'!KC$5:KC$7,"〇",'データ'!LE$5:LE$7,"〇")</x:f>
        <x:v>0</x:v>
      </x:c>
      <x:c r="M12" s="94" t="n">
        <x:f>COUNTIFS('データ'!KC$5:KC$7,"〇",'データ'!LF$5:LF$7,"〇")</x:f>
        <x:v>0</x:v>
      </x:c>
    </x:row>
    <x:row r="13">
      <x:c r="A13" s="94" t="str">
        <x:v>日中一時支援</x:v>
      </x:c>
      <x:c r="B13" s="109" t="n">
        <x:f>COUNTIF('データ'!KD$5:KD$7,"〇")</x:f>
        <x:v>0</x:v>
      </x:c>
      <x:c r="C13" s="94" t="n">
        <x:f>COUNTIFS('データ'!KD$5:KD$7,"〇",'データ'!KV$5:KV$7,"〇")</x:f>
        <x:v>0</x:v>
      </x:c>
      <x:c r="D13" s="94" t="n">
        <x:f>COUNTIFS('データ'!KD$5:KD$7,"〇",'データ'!KW$5:KW$7,"〇")</x:f>
        <x:v>0</x:v>
      </x:c>
      <x:c r="E13" s="94" t="n">
        <x:f>COUNTIFS('データ'!KD$5:KD$7,"〇",'データ'!KX$5:KX$7,"〇")</x:f>
        <x:v>0</x:v>
      </x:c>
      <x:c r="F13" s="94" t="n">
        <x:f>COUNTIFS('データ'!KD$5:KD$7,"〇",'データ'!KY$5:KY$7,"〇")</x:f>
        <x:v>0</x:v>
      </x:c>
      <x:c r="G13" s="94" t="n">
        <x:f>COUNTIFS('データ'!KD$5:KD$7,"〇",'データ'!KZ$5:KZ$7,"〇")</x:f>
        <x:v>0</x:v>
      </x:c>
      <x:c r="H13" s="94" t="n">
        <x:f>COUNTIFS('データ'!KD$5:KD$7,"〇",'データ'!LA$5:LA$7,"〇")</x:f>
        <x:v>0</x:v>
      </x:c>
      <x:c r="I13" s="94" t="n">
        <x:f>COUNTIFS('データ'!KD$5:KD$7,"〇",'データ'!LB$5:LB$7,"〇")</x:f>
        <x:v>0</x:v>
      </x:c>
      <x:c r="J13" s="94" t="n">
        <x:f>COUNTIFS('データ'!KD$5:KD$7,"〇",'データ'!LC$5:LC$7,"〇")</x:f>
        <x:v>0</x:v>
      </x:c>
      <x:c r="K13" s="94" t="n">
        <x:f>COUNTIFS('データ'!KD$5:KD$7,"〇",'データ'!LD$5:LD$7,"〇")</x:f>
        <x:v>0</x:v>
      </x:c>
      <x:c r="L13" s="94" t="n">
        <x:f>COUNTIFS('データ'!KD$5:KD$7,"〇",'データ'!LE$5:LE$7,"〇")</x:f>
        <x:v>0</x:v>
      </x:c>
      <x:c r="M13" s="94" t="n">
        <x:f>COUNTIFS('データ'!KD$5:KD$7,"〇",'データ'!LF$5:LF$7,"〇")</x:f>
        <x:v>0</x:v>
      </x:c>
    </x:row>
    <x:row r="14">
      <x:c r="A14" s="94" t="str">
        <x:v>移動支援</x:v>
      </x:c>
      <x:c r="B14" s="109" t="n">
        <x:f>COUNTIF('データ'!KE$5:KE$7,"〇")</x:f>
        <x:v>0</x:v>
      </x:c>
      <x:c r="C14" s="94" t="n">
        <x:f>COUNTIFS('データ'!KE$5:KE$7,"〇",'データ'!KV$5:KV$7,"〇")</x:f>
        <x:v>0</x:v>
      </x:c>
      <x:c r="D14" s="94" t="n">
        <x:f>COUNTIFS('データ'!KE$5:KE$7,"〇",'データ'!KW$5:KW$7,"〇")</x:f>
        <x:v>0</x:v>
      </x:c>
      <x:c r="E14" s="94" t="n">
        <x:f>COUNTIFS('データ'!KE$5:KE$7,"〇",'データ'!KX$5:KX$7,"〇")</x:f>
        <x:v>0</x:v>
      </x:c>
      <x:c r="F14" s="94" t="n">
        <x:f>COUNTIFS('データ'!KE$5:KE$7,"〇",'データ'!KY$5:KY$7,"〇")</x:f>
        <x:v>0</x:v>
      </x:c>
      <x:c r="G14" s="94" t="n">
        <x:f>COUNTIFS('データ'!KE$5:KE$7,"〇",'データ'!KZ$5:KZ$7,"〇")</x:f>
        <x:v>0</x:v>
      </x:c>
      <x:c r="H14" s="94" t="n">
        <x:f>COUNTIFS('データ'!KE$5:KE$7,"〇",'データ'!LA$5:LA$7,"〇")</x:f>
        <x:v>0</x:v>
      </x:c>
      <x:c r="I14" s="94" t="n">
        <x:f>COUNTIFS('データ'!KE$5:KE$7,"〇",'データ'!LB$5:LB$7,"〇")</x:f>
        <x:v>0</x:v>
      </x:c>
      <x:c r="J14" s="94" t="n">
        <x:f>COUNTIFS('データ'!KE$5:KE$7,"〇",'データ'!LC$5:LC$7,"〇")</x:f>
        <x:v>0</x:v>
      </x:c>
      <x:c r="K14" s="94" t="n">
        <x:f>COUNTIFS('データ'!KE$5:KE$7,"〇",'データ'!LD$5:LD$7,"〇")</x:f>
        <x:v>0</x:v>
      </x:c>
      <x:c r="L14" s="94" t="n">
        <x:f>COUNTIFS('データ'!KE$5:KE$7,"〇",'データ'!LE$5:LE$7,"〇")</x:f>
        <x:v>0</x:v>
      </x:c>
      <x:c r="M14" s="94" t="n">
        <x:f>COUNTIFS('データ'!KE$5:KE$7,"〇",'データ'!LF$5:LF$7,"〇")</x:f>
        <x:v>0</x:v>
      </x:c>
    </x:row>
    <x:row r="15">
      <x:c r="A15" s="94" t="str">
        <x:v>日常生活用具の給付</x:v>
      </x:c>
      <x:c r="B15" s="109" t="n">
        <x:f>COUNTIF('データ'!KF$5:KF$7,"〇")</x:f>
        <x:v>0</x:v>
      </x:c>
      <x:c r="C15" s="94" t="n">
        <x:f>COUNTIFS('データ'!KF$5:KF$7,"〇",'データ'!KV$5:KV$7,"〇")</x:f>
        <x:v>0</x:v>
      </x:c>
      <x:c r="D15" s="94" t="n">
        <x:f>COUNTIFS('データ'!KF$5:KF$7,"〇",'データ'!KW$5:KW$7,"〇")</x:f>
        <x:v>0</x:v>
      </x:c>
      <x:c r="E15" s="94" t="n">
        <x:f>COUNTIFS('データ'!KF$5:KF$7,"〇",'データ'!KX$5:KX$7,"〇")</x:f>
        <x:v>0</x:v>
      </x:c>
      <x:c r="F15" s="94" t="n">
        <x:f>COUNTIFS('データ'!KF$5:KF$7,"〇",'データ'!KY$5:KY$7,"〇")</x:f>
        <x:v>0</x:v>
      </x:c>
      <x:c r="G15" s="94" t="n">
        <x:f>COUNTIFS('データ'!KF$5:KF$7,"〇",'データ'!KZ$5:KZ$7,"〇")</x:f>
        <x:v>0</x:v>
      </x:c>
      <x:c r="H15" s="94" t="n">
        <x:f>COUNTIFS('データ'!KF$5:KF$7,"〇",'データ'!LA$5:LA$7,"〇")</x:f>
        <x:v>0</x:v>
      </x:c>
      <x:c r="I15" s="94" t="n">
        <x:f>COUNTIFS('データ'!KF$5:KF$7,"〇",'データ'!LB$5:LB$7,"〇")</x:f>
        <x:v>0</x:v>
      </x:c>
      <x:c r="J15" s="94" t="n">
        <x:f>COUNTIFS('データ'!KF$5:KF$7,"〇",'データ'!LC$5:LC$7,"〇")</x:f>
        <x:v>0</x:v>
      </x:c>
      <x:c r="K15" s="94" t="n">
        <x:f>COUNTIFS('データ'!KF$5:KF$7,"〇",'データ'!LD$5:LD$7,"〇")</x:f>
        <x:v>0</x:v>
      </x:c>
      <x:c r="L15" s="94" t="n">
        <x:f>COUNTIFS('データ'!KF$5:KF$7,"〇",'データ'!LE$5:LE$7,"〇")</x:f>
        <x:v>0</x:v>
      </x:c>
      <x:c r="M15" s="94" t="n">
        <x:f>COUNTIFS('データ'!KF$5:KF$7,"〇",'データ'!LF$5:LF$7,"〇")</x:f>
        <x:v>0</x:v>
      </x:c>
    </x:row>
    <x:row r="16">
      <x:c r="A16" s="94" t="str">
        <x:v>現在利用しているサービスは特にない</x:v>
      </x:c>
      <x:c r="B16" s="109" t="n">
        <x:f>COUNTIF('データ'!KG$5:KG$7,"〇")</x:f>
        <x:v>1</x:v>
      </x:c>
      <x:c r="C16" s="94" t="n">
        <x:f>COUNTIFS('データ'!KG$5:KG$7,"〇",'データ'!KV$5:KV$7,"〇")</x:f>
        <x:v>0</x:v>
      </x:c>
      <x:c r="D16" s="94" t="n">
        <x:f>COUNTIFS('データ'!KG$5:KG$7,"〇",'データ'!KW$5:KW$7,"〇")</x:f>
        <x:v>0</x:v>
      </x:c>
      <x:c r="E16" s="94" t="n">
        <x:f>COUNTIFS('データ'!KG$5:KG$7,"〇",'データ'!KX$5:KX$7,"〇")</x:f>
        <x:v>0</x:v>
      </x:c>
      <x:c r="F16" s="94" t="n">
        <x:f>COUNTIFS('データ'!KG$5:KG$7,"〇",'データ'!KY$5:KY$7,"〇")</x:f>
        <x:v>0</x:v>
      </x:c>
      <x:c r="G16" s="94" t="n">
        <x:f>COUNTIFS('データ'!KG$5:KG$7,"〇",'データ'!KZ$5:KZ$7,"〇")</x:f>
        <x:v>0</x:v>
      </x:c>
      <x:c r="H16" s="94" t="n">
        <x:f>COUNTIFS('データ'!KG$5:KG$7,"〇",'データ'!LA$5:LA$7,"〇")</x:f>
        <x:v>0</x:v>
      </x:c>
      <x:c r="I16" s="94" t="n">
        <x:f>COUNTIFS('データ'!KG$5:KG$7,"〇",'データ'!LB$5:LB$7,"〇")</x:f>
        <x:v>0</x:v>
      </x:c>
      <x:c r="J16" s="94" t="n">
        <x:f>COUNTIFS('データ'!KG$5:KG$7,"〇",'データ'!LC$5:LC$7,"〇")</x:f>
        <x:v>1</x:v>
      </x:c>
      <x:c r="K16" s="94" t="n">
        <x:f>COUNTIFS('データ'!KG$5:KG$7,"〇",'データ'!LD$5:LD$7,"〇")</x:f>
        <x:v>0</x:v>
      </x:c>
      <x:c r="L16" s="94" t="n">
        <x:f>COUNTIFS('データ'!KG$5:KG$7,"〇",'データ'!LE$5:LE$7,"〇")</x:f>
        <x:v>0</x:v>
      </x:c>
      <x:c r="M16" s="94" t="n">
        <x:f>COUNTIFS('データ'!KG$5:KG$7,"〇",'データ'!LF$5:LF$7,"〇")</x:f>
        <x:v>0</x:v>
      </x:c>
    </x:row>
    <x:row r="17">
      <x:c r="A17" s="94" t="str">
        <x:v>その他</x:v>
      </x:c>
      <x:c r="B17" s="109" t="n">
        <x:f>COUNTIF('データ'!KH$5:KH$7,"〇")</x:f>
        <x:v>0</x:v>
      </x:c>
      <x:c r="C17" s="94" t="n">
        <x:f>COUNTIFS('データ'!KH$5:KH$7,"〇",'データ'!KV$5:KV$7,"〇")</x:f>
        <x:v>0</x:v>
      </x:c>
      <x:c r="D17" s="94" t="n">
        <x:f>COUNTIFS('データ'!KH$5:KH$7,"〇",'データ'!KW$5:KW$7,"〇")</x:f>
        <x:v>0</x:v>
      </x:c>
      <x:c r="E17" s="94" t="n">
        <x:f>COUNTIFS('データ'!KH$5:KH$7,"〇",'データ'!KX$5:KX$7,"〇")</x:f>
        <x:v>0</x:v>
      </x:c>
      <x:c r="F17" s="94" t="n">
        <x:f>COUNTIFS('データ'!KH$5:KH$7,"〇",'データ'!KY$5:KY$7,"〇")</x:f>
        <x:v>0</x:v>
      </x:c>
      <x:c r="G17" s="94" t="n">
        <x:f>COUNTIFS('データ'!KH$5:KH$7,"〇",'データ'!KZ$5:KZ$7,"〇")</x:f>
        <x:v>0</x:v>
      </x:c>
      <x:c r="H17" s="94" t="n">
        <x:f>COUNTIFS('データ'!KH$5:KH$7,"〇",'データ'!LA$5:LA$7,"〇")</x:f>
        <x:v>0</x:v>
      </x:c>
      <x:c r="I17" s="94" t="n">
        <x:f>COUNTIFS('データ'!KH$5:KH$7,"〇",'データ'!LB$5:LB$7,"〇")</x:f>
        <x:v>0</x:v>
      </x:c>
      <x:c r="J17" s="94" t="n">
        <x:f>COUNTIFS('データ'!KH$5:KH$7,"〇",'データ'!LC$5:LC$7,"〇")</x:f>
        <x:v>0</x:v>
      </x:c>
      <x:c r="K17" s="94" t="n">
        <x:f>COUNTIFS('データ'!KH$5:KH$7,"〇",'データ'!LD$5:LD$7,"〇")</x:f>
        <x:v>0</x:v>
      </x:c>
      <x:c r="L17" s="94" t="n">
        <x:f>COUNTIFS('データ'!KH$5:KH$7,"〇",'データ'!LE$5:LE$7,"〇")</x:f>
        <x:v>0</x:v>
      </x:c>
      <x:c r="M17" s="94" t="n">
        <x:f>COUNTIFS('データ'!KH$5:KH$7,"〇",'データ'!LF$5:LF$7,"〇")</x:f>
        <x:v>0</x:v>
      </x:c>
    </x:row>
    <x:row r="20">
      <x:c r="A20" s="99" t="str">
        <x:v>行％（各行のnを100％とした割合）</x:v>
      </x:c>
      <x:c r="B20" s="99"/>
      <x:c r="C20" s="99"/>
      <x:c r="D20" s="99"/>
      <x:c r="E20" s="99"/>
      <x:c r="F20" s="99"/>
      <x:c r="G20" s="99"/>
      <x:c r="H20" s="99"/>
      <x:c r="I20" s="99"/>
      <x:c r="J20" s="99"/>
      <x:c r="K20" s="99"/>
      <x:c r="L20" s="99"/>
      <x:c r="M20" s="99"/>
    </x:row>
    <x:row r="21">
      <x:c r="A21" s="86" t="str">
        <x:v>行区分</x:v>
      </x:c>
      <x:c r="B21" s="86" t="str">
        <x:v>n</x:v>
      </x:c>
      <x:c r="C21" s="86" t="str">
        <x:v>児童発達支援</x:v>
      </x:c>
      <x:c r="D21" s="86" t="str">
        <x:v>放課後等デイサービス</x:v>
      </x:c>
      <x:c r="E21" s="86" t="str">
        <x:v>保育所等訪問支援</x:v>
      </x:c>
      <x:c r="F21" s="86" t="str">
        <x:v>居宅訪問型児童発達支援</x:v>
      </x:c>
      <x:c r="G21" s="86" t="str">
        <x:v>障がい児相談支援</x:v>
      </x:c>
      <x:c r="H21" s="86" t="str">
        <x:v>短期入所（ショートステイ）</x:v>
      </x:c>
      <x:c r="I21" s="86" t="str">
        <x:v>日中一時支援</x:v>
      </x:c>
      <x:c r="J21" s="86" t="str">
        <x:v>移動支援</x:v>
      </x:c>
      <x:c r="K21" s="86" t="str">
        <x:v>日常生活用具の給付</x:v>
      </x:c>
      <x:c r="L21" s="86" t="str">
        <x:v>利用したいサービスは特にない</x:v>
      </x:c>
      <x:c r="M21" s="86" t="str">
        <x:v>その他</x:v>
      </x:c>
    </x:row>
    <x:row r="22">
      <x:c r="A22" s="94" t="str">
        <x:v>児童発達支援</x:v>
      </x:c>
      <x:c r="B22" s="109" t="n">
        <x:f>B7</x:f>
        <x:v>0</x:v>
      </x:c>
      <x:c r="C22" s="104" t="str">
        <x:f>IF(B7=0,"",C7/B7)</x:f>
      </x:c>
      <x:c r="D22" s="104" t="str">
        <x:f>IF(B7=0,"",D7/B7)</x:f>
      </x:c>
      <x:c r="E22" s="104" t="str">
        <x:f>IF(B7=0,"",E7/B7)</x:f>
      </x:c>
      <x:c r="F22" s="104" t="str">
        <x:f>IF(B7=0,"",F7/B7)</x:f>
      </x:c>
      <x:c r="G22" s="104" t="str">
        <x:f>IF(B7=0,"",G7/B7)</x:f>
      </x:c>
      <x:c r="H22" s="104" t="str">
        <x:f>IF(B7=0,"",H7/B7)</x:f>
      </x:c>
      <x:c r="I22" s="104" t="str">
        <x:f>IF(B7=0,"",I7/B7)</x:f>
      </x:c>
      <x:c r="J22" s="104" t="str">
        <x:f>IF(B7=0,"",J7/B7)</x:f>
      </x:c>
      <x:c r="K22" s="104" t="str">
        <x:f>IF(B7=0,"",K7/B7)</x:f>
      </x:c>
      <x:c r="L22" s="104" t="str">
        <x:f>IF(B7=0,"",L7/B7)</x:f>
      </x:c>
      <x:c r="M22" s="104" t="str">
        <x:f>IF(B7=0,"",M7/B7)</x:f>
      </x:c>
    </x:row>
    <x:row r="23">
      <x:c r="A23" s="94" t="str">
        <x:v>放課後等デイサービス</x:v>
      </x:c>
      <x:c r="B23" s="109" t="n">
        <x:f>B8</x:f>
        <x:v>2</x:v>
      </x:c>
      <x:c r="C23" s="104" t="n">
        <x:f>IF(B8=0,"",C8/B8)</x:f>
        <x:v>0</x:v>
      </x:c>
      <x:c r="D23" s="104" t="n">
        <x:f>IF(B8=0,"",D8/B8)</x:f>
        <x:v>0.5</x:v>
      </x:c>
      <x:c r="E23" s="104" t="n">
        <x:f>IF(B8=0,"",E8/B8)</x:f>
        <x:v>0</x:v>
      </x:c>
      <x:c r="F23" s="104" t="n">
        <x:f>IF(B8=0,"",F8/B8)</x:f>
        <x:v>0</x:v>
      </x:c>
      <x:c r="G23" s="104" t="n">
        <x:f>IF(B8=0,"",G8/B8)</x:f>
        <x:v>1</x:v>
      </x:c>
      <x:c r="H23" s="104" t="n">
        <x:f>IF(B8=0,"",H8/B8)</x:f>
        <x:v>0.5</x:v>
      </x:c>
      <x:c r="I23" s="104" t="n">
        <x:f>IF(B8=0,"",I8/B8)</x:f>
        <x:v>0</x:v>
      </x:c>
      <x:c r="J23" s="104" t="n">
        <x:f>IF(B8=0,"",J8/B8)</x:f>
        <x:v>1</x:v>
      </x:c>
      <x:c r="K23" s="104" t="n">
        <x:f>IF(B8=0,"",K8/B8)</x:f>
        <x:v>0.5</x:v>
      </x:c>
      <x:c r="L23" s="104" t="n">
        <x:f>IF(B8=0,"",L8/B8)</x:f>
        <x:v>0</x:v>
      </x:c>
      <x:c r="M23" s="104" t="n">
        <x:f>IF(B8=0,"",M8/B8)</x:f>
        <x:v>0</x:v>
      </x:c>
    </x:row>
    <x:row r="24">
      <x:c r="A24" s="94" t="str">
        <x:v>保育所等訪問支援</x:v>
      </x:c>
      <x:c r="B24" s="109" t="n">
        <x:f>B9</x:f>
        <x:v>0</x:v>
      </x:c>
      <x:c r="C24" s="104" t="str">
        <x:f>IF(B9=0,"",C9/B9)</x:f>
      </x:c>
      <x:c r="D24" s="104" t="str">
        <x:f>IF(B9=0,"",D9/B9)</x:f>
      </x:c>
      <x:c r="E24" s="104" t="str">
        <x:f>IF(B9=0,"",E9/B9)</x:f>
      </x:c>
      <x:c r="F24" s="104" t="str">
        <x:f>IF(B9=0,"",F9/B9)</x:f>
      </x:c>
      <x:c r="G24" s="104" t="str">
        <x:f>IF(B9=0,"",G9/B9)</x:f>
      </x:c>
      <x:c r="H24" s="104" t="str">
        <x:f>IF(B9=0,"",H9/B9)</x:f>
      </x:c>
      <x:c r="I24" s="104" t="str">
        <x:f>IF(B9=0,"",I9/B9)</x:f>
      </x:c>
      <x:c r="J24" s="104" t="str">
        <x:f>IF(B9=0,"",J9/B9)</x:f>
      </x:c>
      <x:c r="K24" s="104" t="str">
        <x:f>IF(B9=0,"",K9/B9)</x:f>
      </x:c>
      <x:c r="L24" s="104" t="str">
        <x:f>IF(B9=0,"",L9/B9)</x:f>
      </x:c>
      <x:c r="M24" s="104" t="str">
        <x:f>IF(B9=0,"",M9/B9)</x:f>
      </x:c>
    </x:row>
    <x:row r="25">
      <x:c r="A25" s="94" t="str">
        <x:v>居宅訪問型児童発達支援</x:v>
      </x:c>
      <x:c r="B25" s="109" t="n">
        <x:f>B10</x:f>
        <x:v>0</x:v>
      </x:c>
      <x:c r="C25" s="104" t="str">
        <x:f>IF(B10=0,"",C10/B10)</x:f>
      </x:c>
      <x:c r="D25" s="104" t="str">
        <x:f>IF(B10=0,"",D10/B10)</x:f>
      </x:c>
      <x:c r="E25" s="104" t="str">
        <x:f>IF(B10=0,"",E10/B10)</x:f>
      </x:c>
      <x:c r="F25" s="104" t="str">
        <x:f>IF(B10=0,"",F10/B10)</x:f>
      </x:c>
      <x:c r="G25" s="104" t="str">
        <x:f>IF(B10=0,"",G10/B10)</x:f>
      </x:c>
      <x:c r="H25" s="104" t="str">
        <x:f>IF(B10=0,"",H10/B10)</x:f>
      </x:c>
      <x:c r="I25" s="104" t="str">
        <x:f>IF(B10=0,"",I10/B10)</x:f>
      </x:c>
      <x:c r="J25" s="104" t="str">
        <x:f>IF(B10=0,"",J10/B10)</x:f>
      </x:c>
      <x:c r="K25" s="104" t="str">
        <x:f>IF(B10=0,"",K10/B10)</x:f>
      </x:c>
      <x:c r="L25" s="104" t="str">
        <x:f>IF(B10=0,"",L10/B10)</x:f>
      </x:c>
      <x:c r="M25" s="104" t="str">
        <x:f>IF(B10=0,"",M10/B10)</x:f>
      </x:c>
    </x:row>
    <x:row r="26">
      <x:c r="A26" s="94" t="str">
        <x:v>障がい児相談支援</x:v>
      </x:c>
      <x:c r="B26" s="109" t="n">
        <x:f>B11</x:f>
        <x:v>1</x:v>
      </x:c>
      <x:c r="C26" s="104" t="n">
        <x:f>IF(B11=0,"",C11/B11)</x:f>
        <x:v>0</x:v>
      </x:c>
      <x:c r="D26" s="104" t="n">
        <x:f>IF(B11=0,"",D11/B11)</x:f>
        <x:v>1</x:v>
      </x:c>
      <x:c r="E26" s="104" t="n">
        <x:f>IF(B11=0,"",E11/B11)</x:f>
        <x:v>0</x:v>
      </x:c>
      <x:c r="F26" s="104" t="n">
        <x:f>IF(B11=0,"",F11/B11)</x:f>
        <x:v>0</x:v>
      </x:c>
      <x:c r="G26" s="104" t="n">
        <x:f>IF(B11=0,"",G11/B11)</x:f>
        <x:v>1</x:v>
      </x:c>
      <x:c r="H26" s="104" t="n">
        <x:f>IF(B11=0,"",H11/B11)</x:f>
        <x:v>1</x:v>
      </x:c>
      <x:c r="I26" s="104" t="n">
        <x:f>IF(B11=0,"",I11/B11)</x:f>
        <x:v>0</x:v>
      </x:c>
      <x:c r="J26" s="104" t="n">
        <x:f>IF(B11=0,"",J11/B11)</x:f>
        <x:v>1</x:v>
      </x:c>
      <x:c r="K26" s="104" t="n">
        <x:f>IF(B11=0,"",K11/B11)</x:f>
        <x:v>1</x:v>
      </x:c>
      <x:c r="L26" s="104" t="n">
        <x:f>IF(B11=0,"",L11/B11)</x:f>
        <x:v>0</x:v>
      </x:c>
      <x:c r="M26" s="104" t="n">
        <x:f>IF(B11=0,"",M11/B11)</x:f>
        <x:v>0</x:v>
      </x:c>
    </x:row>
    <x:row r="27">
      <x:c r="A27" s="94" t="str">
        <x:v>短期入所（ショートステイ）</x:v>
      </x:c>
      <x:c r="B27" s="109" t="n">
        <x:f>B12</x:f>
        <x:v>1</x:v>
      </x:c>
      <x:c r="C27" s="104" t="n">
        <x:f>IF(B12=0,"",C12/B12)</x:f>
        <x:v>0</x:v>
      </x:c>
      <x:c r="D27" s="104" t="n">
        <x:f>IF(B12=0,"",D12/B12)</x:f>
        <x:v>1</x:v>
      </x:c>
      <x:c r="E27" s="104" t="n">
        <x:f>IF(B12=0,"",E12/B12)</x:f>
        <x:v>0</x:v>
      </x:c>
      <x:c r="F27" s="104" t="n">
        <x:f>IF(B12=0,"",F12/B12)</x:f>
        <x:v>0</x:v>
      </x:c>
      <x:c r="G27" s="104" t="n">
        <x:f>IF(B12=0,"",G12/B12)</x:f>
        <x:v>1</x:v>
      </x:c>
      <x:c r="H27" s="104" t="n">
        <x:f>IF(B12=0,"",H12/B12)</x:f>
        <x:v>1</x:v>
      </x:c>
      <x:c r="I27" s="104" t="n">
        <x:f>IF(B12=0,"",I12/B12)</x:f>
        <x:v>0</x:v>
      </x:c>
      <x:c r="J27" s="104" t="n">
        <x:f>IF(B12=0,"",J12/B12)</x:f>
        <x:v>1</x:v>
      </x:c>
      <x:c r="K27" s="104" t="n">
        <x:f>IF(B12=0,"",K12/B12)</x:f>
        <x:v>1</x:v>
      </x:c>
      <x:c r="L27" s="104" t="n">
        <x:f>IF(B12=0,"",L12/B12)</x:f>
        <x:v>0</x:v>
      </x:c>
      <x:c r="M27" s="104" t="n">
        <x:f>IF(B12=0,"",M12/B12)</x:f>
        <x:v>0</x:v>
      </x:c>
    </x:row>
    <x:row r="28">
      <x:c r="A28" s="94" t="str">
        <x:v>日中一時支援</x:v>
      </x:c>
      <x:c r="B28" s="109" t="n">
        <x:f>B13</x:f>
        <x:v>0</x:v>
      </x:c>
      <x:c r="C28" s="104" t="str">
        <x:f>IF(B13=0,"",C13/B13)</x:f>
      </x:c>
      <x:c r="D28" s="104" t="str">
        <x:f>IF(B13=0,"",D13/B13)</x:f>
      </x:c>
      <x:c r="E28" s="104" t="str">
        <x:f>IF(B13=0,"",E13/B13)</x:f>
      </x:c>
      <x:c r="F28" s="104" t="str">
        <x:f>IF(B13=0,"",F13/B13)</x:f>
      </x:c>
      <x:c r="G28" s="104" t="str">
        <x:f>IF(B13=0,"",G13/B13)</x:f>
      </x:c>
      <x:c r="H28" s="104" t="str">
        <x:f>IF(B13=0,"",H13/B13)</x:f>
      </x:c>
      <x:c r="I28" s="104" t="str">
        <x:f>IF(B13=0,"",I13/B13)</x:f>
      </x:c>
      <x:c r="J28" s="104" t="str">
        <x:f>IF(B13=0,"",J13/B13)</x:f>
      </x:c>
      <x:c r="K28" s="104" t="str">
        <x:f>IF(B13=0,"",K13/B13)</x:f>
      </x:c>
      <x:c r="L28" s="104" t="str">
        <x:f>IF(B13=0,"",L13/B13)</x:f>
      </x:c>
      <x:c r="M28" s="104" t="str">
        <x:f>IF(B13=0,"",M13/B13)</x:f>
      </x:c>
    </x:row>
    <x:row r="29">
      <x:c r="A29" s="94" t="str">
        <x:v>移動支援</x:v>
      </x:c>
      <x:c r="B29" s="109" t="n">
        <x:f>B14</x:f>
        <x:v>0</x:v>
      </x:c>
      <x:c r="C29" s="104" t="str">
        <x:f>IF(B14=0,"",C14/B14)</x:f>
      </x:c>
      <x:c r="D29" s="104" t="str">
        <x:f>IF(B14=0,"",D14/B14)</x:f>
      </x:c>
      <x:c r="E29" s="104" t="str">
        <x:f>IF(B14=0,"",E14/B14)</x:f>
      </x:c>
      <x:c r="F29" s="104" t="str">
        <x:f>IF(B14=0,"",F14/B14)</x:f>
      </x:c>
      <x:c r="G29" s="104" t="str">
        <x:f>IF(B14=0,"",G14/B14)</x:f>
      </x:c>
      <x:c r="H29" s="104" t="str">
        <x:f>IF(B14=0,"",H14/B14)</x:f>
      </x:c>
      <x:c r="I29" s="104" t="str">
        <x:f>IF(B14=0,"",I14/B14)</x:f>
      </x:c>
      <x:c r="J29" s="104" t="str">
        <x:f>IF(B14=0,"",J14/B14)</x:f>
      </x:c>
      <x:c r="K29" s="104" t="str">
        <x:f>IF(B14=0,"",K14/B14)</x:f>
      </x:c>
      <x:c r="L29" s="104" t="str">
        <x:f>IF(B14=0,"",L14/B14)</x:f>
      </x:c>
      <x:c r="M29" s="104" t="str">
        <x:f>IF(B14=0,"",M14/B14)</x:f>
      </x:c>
    </x:row>
    <x:row r="30">
      <x:c r="A30" s="94" t="str">
        <x:v>日常生活用具の給付</x:v>
      </x:c>
      <x:c r="B30" s="109" t="n">
        <x:f>B15</x:f>
        <x:v>0</x:v>
      </x:c>
      <x:c r="C30" s="104" t="str">
        <x:f>IF(B15=0,"",C15/B15)</x:f>
      </x:c>
      <x:c r="D30" s="104" t="str">
        <x:f>IF(B15=0,"",D15/B15)</x:f>
      </x:c>
      <x:c r="E30" s="104" t="str">
        <x:f>IF(B15=0,"",E15/B15)</x:f>
      </x:c>
      <x:c r="F30" s="104" t="str">
        <x:f>IF(B15=0,"",F15/B15)</x:f>
      </x:c>
      <x:c r="G30" s="104" t="str">
        <x:f>IF(B15=0,"",G15/B15)</x:f>
      </x:c>
      <x:c r="H30" s="104" t="str">
        <x:f>IF(B15=0,"",H15/B15)</x:f>
      </x:c>
      <x:c r="I30" s="104" t="str">
        <x:f>IF(B15=0,"",I15/B15)</x:f>
      </x:c>
      <x:c r="J30" s="104" t="str">
        <x:f>IF(B15=0,"",J15/B15)</x:f>
      </x:c>
      <x:c r="K30" s="104" t="str">
        <x:f>IF(B15=0,"",K15/B15)</x:f>
      </x:c>
      <x:c r="L30" s="104" t="str">
        <x:f>IF(B15=0,"",L15/B15)</x:f>
      </x:c>
      <x:c r="M30" s="104" t="str">
        <x:f>IF(B15=0,"",M15/B15)</x:f>
      </x:c>
    </x:row>
    <x:row r="31">
      <x:c r="A31" s="94" t="str">
        <x:v>現在利用しているサービスは特にない</x:v>
      </x:c>
      <x:c r="B31" s="109" t="n">
        <x:f>B16</x:f>
        <x:v>1</x:v>
      </x:c>
      <x:c r="C31" s="104" t="n">
        <x:f>IF(B16=0,"",C16/B16)</x:f>
        <x:v>0</x:v>
      </x:c>
      <x:c r="D31" s="104" t="n">
        <x:f>IF(B16=0,"",D16/B16)</x:f>
        <x:v>0</x:v>
      </x:c>
      <x:c r="E31" s="104" t="n">
        <x:f>IF(B16=0,"",E16/B16)</x:f>
        <x:v>0</x:v>
      </x:c>
      <x:c r="F31" s="104" t="n">
        <x:f>IF(B16=0,"",F16/B16)</x:f>
        <x:v>0</x:v>
      </x:c>
      <x:c r="G31" s="104" t="n">
        <x:f>IF(B16=0,"",G16/B16)</x:f>
        <x:v>0</x:v>
      </x:c>
      <x:c r="H31" s="104" t="n">
        <x:f>IF(B16=0,"",H16/B16)</x:f>
        <x:v>0</x:v>
      </x:c>
      <x:c r="I31" s="104" t="n">
        <x:f>IF(B16=0,"",I16/B16)</x:f>
        <x:v>0</x:v>
      </x:c>
      <x:c r="J31" s="104" t="n">
        <x:f>IF(B16=0,"",J16/B16)</x:f>
        <x:v>1</x:v>
      </x:c>
      <x:c r="K31" s="104" t="n">
        <x:f>IF(B16=0,"",K16/B16)</x:f>
        <x:v>0</x:v>
      </x:c>
      <x:c r="L31" s="104" t="n">
        <x:f>IF(B16=0,"",L16/B16)</x:f>
        <x:v>0</x:v>
      </x:c>
      <x:c r="M31" s="104" t="n">
        <x:f>IF(B16=0,"",M16/B16)</x:f>
        <x:v>0</x:v>
      </x:c>
    </x:row>
    <x:row r="32">
      <x:c r="A32" s="94" t="str">
        <x:v>その他</x:v>
      </x:c>
      <x:c r="B32" s="109" t="n">
        <x:f>B17</x:f>
        <x:v>0</x:v>
      </x:c>
      <x:c r="C32" s="104" t="str">
        <x:f>IF(B17=0,"",C17/B17)</x:f>
      </x:c>
      <x:c r="D32" s="104" t="str">
        <x:f>IF(B17=0,"",D17/B17)</x:f>
      </x:c>
      <x:c r="E32" s="104" t="str">
        <x:f>IF(B17=0,"",E17/B17)</x:f>
      </x:c>
      <x:c r="F32" s="104" t="str">
        <x:f>IF(B17=0,"",F17/B17)</x:f>
      </x:c>
      <x:c r="G32" s="104" t="str">
        <x:f>IF(B17=0,"",G17/B17)</x:f>
      </x:c>
      <x:c r="H32" s="104" t="str">
        <x:f>IF(B17=0,"",H17/B17)</x:f>
      </x:c>
      <x:c r="I32" s="104" t="str">
        <x:f>IF(B17=0,"",I17/B17)</x:f>
      </x:c>
      <x:c r="J32" s="104" t="str">
        <x:f>IF(B17=0,"",J17/B17)</x:f>
      </x:c>
      <x:c r="K32" s="104" t="str">
        <x:f>IF(B17=0,"",K17/B17)</x:f>
      </x:c>
      <x:c r="L32" s="104" t="str">
        <x:f>IF(B17=0,"",L17/B17)</x:f>
      </x:c>
      <x:c r="M32" s="104" t="str">
        <x:f>IF(B17=0,"",M17/B17)</x:f>
      </x:c>
    </x:row>
  </x:sheetData>
  <x:mergeCells>
    <x:mergeCell ref="A1:M1"/>
    <x:mergeCell ref="A3:M3"/>
    <x:mergeCell ref="A4:M4"/>
    <x:mergeCell ref="A20:M20"/>
  </x:mergeCells>
  <x:pageMargins left="0.7" right="0.7" top="0.75" bottom="0.75" header="0.3" footer="0.3"/>
</x:worksheet>
</file>

<file path=xl/worksheets/sheet12.xml><?xml version="1.0" encoding="utf-8"?>
<x:worksheet xmlns:x="http://schemas.openxmlformats.org/spreadsheetml/2006/main">
  <x:sheetFormatPr defaultRowHeight="15"/>
  <x:cols>
    <x:col min="1" max="1" width="34" hidden="0" customWidth="1"/>
    <x:col min="2" max="2" width="9"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s>
  <x:sheetData>
    <x:row r="1" ht="28" customHeight="1">
      <x:c r="A1" s="78" t="str">
        <x:v>問38 × 問37 クロス分析</x:v>
      </x:c>
      <x:c r="B1" s="78"/>
      <x:c r="C1" s="78"/>
      <x:c r="D1" s="78"/>
      <x:c r="E1" s="78"/>
      <x:c r="F1" s="78"/>
      <x:c r="G1" s="78"/>
      <x:c r="H1" s="78"/>
      <x:c r="I1" s="78"/>
      <x:c r="J1" s="78"/>
      <x:c r="K1" s="78"/>
      <x:c r="L1" s="78"/>
    </x:row>
    <x:row r="3">
      <x:c r="A3" s="100" t="str">
        <x:v>個別避難計画の認知と災害時の不安</x:v>
      </x:c>
      <x:c r="B3" s="100"/>
      <x:c r="C3" s="100"/>
      <x:c r="D3" s="100"/>
      <x:c r="E3" s="100"/>
      <x:c r="F3" s="100"/>
      <x:c r="G3" s="100"/>
      <x:c r="H3" s="100"/>
      <x:c r="I3" s="100"/>
      <x:c r="J3" s="100"/>
      <x:c r="K3" s="100"/>
      <x:c r="L3" s="100"/>
    </x:row>
    <x:row r="4" ht="42" customHeight="1">
      <x:c r="A4" s="108" t="str">
        <x:v>行：問38「避難行動要支援者名簿や個別避難計画について知っていますか」／列：問37「災害時に不安なことは何ですか（あてはまるものすべて）」。件数表のnは行カテゴリ該当者数、行％はそのnを分母としています。複数回答設問では行％合計が100％にならない場合があります。nが5未満の区分は参考値です。</x:v>
      </x:c>
      <x:c r="B4" s="108"/>
      <x:c r="C4" s="108"/>
      <x:c r="D4" s="108"/>
      <x:c r="E4" s="108"/>
      <x:c r="F4" s="108"/>
      <x:c r="G4" s="108"/>
      <x:c r="H4" s="108"/>
      <x:c r="I4" s="108"/>
      <x:c r="J4" s="108"/>
      <x:c r="K4" s="108"/>
      <x:c r="L4" s="108"/>
    </x:row>
    <x:row r="6">
      <x:c r="A6" s="86" t="str">
        <x:v>行区分</x:v>
      </x:c>
      <x:c r="B6" s="86" t="str">
        <x:v>n</x:v>
      </x:c>
      <x:c r="C6" s="86" t="str">
        <x:v>避難する方法</x:v>
      </x:c>
      <x:c r="D6" s="86" t="str">
        <x:v>避難先での生活</x:v>
      </x:c>
      <x:c r="E6" s="86" t="str">
        <x:v>薬・医療機器</x:v>
      </x:c>
      <x:c r="F6" s="86" t="str">
        <x:v>電源の確保</x:v>
      </x:c>
      <x:c r="G6" s="86" t="str">
        <x:v>介助者がいないこと</x:v>
      </x:c>
      <x:c r="H6" s="86" t="str">
        <x:v>情報が届かないこと</x:v>
      </x:c>
      <x:c r="I6" s="86" t="str">
        <x:v>冬季・積雪時の避難</x:v>
      </x:c>
      <x:c r="J6" s="86" t="str">
        <x:v>ペット・補助犬等</x:v>
      </x:c>
      <x:c r="K6" s="86" t="str">
        <x:v>特に不安はない</x:v>
      </x:c>
      <x:c r="L6" s="86" t="str">
        <x:v>その他</x:v>
      </x:c>
    </x:row>
    <x:row r="7">
      <x:c r="A7" s="94" t="str">
        <x:v>制度を知っており作成したい</x:v>
      </x:c>
      <x:c r="B7" s="109" t="n">
        <x:f>COUNTIF('データ'!ON$5:ON$7,"〇")</x:f>
        <x:v>0</x:v>
      </x:c>
      <x:c r="C7" s="94" t="n">
        <x:f>COUNTIFS('データ'!ON$5:ON$7,"〇",'データ'!OB$5:OB$7,"〇")</x:f>
        <x:v>0</x:v>
      </x:c>
      <x:c r="D7" s="94" t="n">
        <x:f>COUNTIFS('データ'!ON$5:ON$7,"〇",'データ'!OC$5:OC$7,"〇")</x:f>
        <x:v>0</x:v>
      </x:c>
      <x:c r="E7" s="94" t="n">
        <x:f>COUNTIFS('データ'!ON$5:ON$7,"〇",'データ'!OD$5:OD$7,"〇")</x:f>
        <x:v>0</x:v>
      </x:c>
      <x:c r="F7" s="94" t="n">
        <x:f>COUNTIFS('データ'!ON$5:ON$7,"〇",'データ'!OE$5:OE$7,"〇")</x:f>
        <x:v>0</x:v>
      </x:c>
      <x:c r="G7" s="94" t="n">
        <x:f>COUNTIFS('データ'!ON$5:ON$7,"〇",'データ'!OF$5:OF$7,"〇")</x:f>
        <x:v>0</x:v>
      </x:c>
      <x:c r="H7" s="94" t="n">
        <x:f>COUNTIFS('データ'!ON$5:ON$7,"〇",'データ'!OG$5:OG$7,"〇")</x:f>
        <x:v>0</x:v>
      </x:c>
      <x:c r="I7" s="94" t="n">
        <x:f>COUNTIFS('データ'!ON$5:ON$7,"〇",'データ'!OH$5:OH$7,"〇")</x:f>
        <x:v>0</x:v>
      </x:c>
      <x:c r="J7" s="94" t="n">
        <x:f>COUNTIFS('データ'!ON$5:ON$7,"〇",'データ'!OI$5:OI$7,"〇")</x:f>
        <x:v>0</x:v>
      </x:c>
      <x:c r="K7" s="94" t="n">
        <x:f>COUNTIFS('データ'!ON$5:ON$7,"〇",'データ'!OJ$5:OJ$7,"〇")</x:f>
        <x:v>0</x:v>
      </x:c>
      <x:c r="L7" s="94" t="n">
        <x:f>COUNTIFS('データ'!ON$5:ON$7,"〇",'データ'!OK$5:OK$7,"〇")</x:f>
        <x:v>0</x:v>
      </x:c>
    </x:row>
    <x:row r="8">
      <x:c r="A8" s="94" t="str">
        <x:v>名前だけ聞いたことがある</x:v>
      </x:c>
      <x:c r="B8" s="109" t="n">
        <x:f>COUNTIF('データ'!OO$5:OO$7,"〇")</x:f>
        <x:v>0</x:v>
      </x:c>
      <x:c r="C8" s="94" t="n">
        <x:f>COUNTIFS('データ'!OO$5:OO$7,"〇",'データ'!OB$5:OB$7,"〇")</x:f>
        <x:v>0</x:v>
      </x:c>
      <x:c r="D8" s="94" t="n">
        <x:f>COUNTIFS('データ'!OO$5:OO$7,"〇",'データ'!OC$5:OC$7,"〇")</x:f>
        <x:v>0</x:v>
      </x:c>
      <x:c r="E8" s="94" t="n">
        <x:f>COUNTIFS('データ'!OO$5:OO$7,"〇",'データ'!OD$5:OD$7,"〇")</x:f>
        <x:v>0</x:v>
      </x:c>
      <x:c r="F8" s="94" t="n">
        <x:f>COUNTIFS('データ'!OO$5:OO$7,"〇",'データ'!OE$5:OE$7,"〇")</x:f>
        <x:v>0</x:v>
      </x:c>
      <x:c r="G8" s="94" t="n">
        <x:f>COUNTIFS('データ'!OO$5:OO$7,"〇",'データ'!OF$5:OF$7,"〇")</x:f>
        <x:v>0</x:v>
      </x:c>
      <x:c r="H8" s="94" t="n">
        <x:f>COUNTIFS('データ'!OO$5:OO$7,"〇",'データ'!OG$5:OG$7,"〇")</x:f>
        <x:v>0</x:v>
      </x:c>
      <x:c r="I8" s="94" t="n">
        <x:f>COUNTIFS('データ'!OO$5:OO$7,"〇",'データ'!OH$5:OH$7,"〇")</x:f>
        <x:v>0</x:v>
      </x:c>
      <x:c r="J8" s="94" t="n">
        <x:f>COUNTIFS('データ'!OO$5:OO$7,"〇",'データ'!OI$5:OI$7,"〇")</x:f>
        <x:v>0</x:v>
      </x:c>
      <x:c r="K8" s="94" t="n">
        <x:f>COUNTIFS('データ'!OO$5:OO$7,"〇",'データ'!OJ$5:OJ$7,"〇")</x:f>
        <x:v>0</x:v>
      </x:c>
      <x:c r="L8" s="94" t="n">
        <x:f>COUNTIFS('データ'!OO$5:OO$7,"〇",'データ'!OK$5:OK$7,"〇")</x:f>
        <x:v>0</x:v>
      </x:c>
    </x:row>
    <x:row r="9">
      <x:c r="A9" s="94" t="str">
        <x:v>知らない</x:v>
      </x:c>
      <x:c r="B9" s="109" t="n">
        <x:f>COUNTIF('データ'!OP$5:OP$7,"〇")</x:f>
        <x:v>3</x:v>
      </x:c>
      <x:c r="C9" s="94" t="n">
        <x:f>COUNTIFS('データ'!OP$5:OP$7,"〇",'データ'!OB$5:OB$7,"〇")</x:f>
        <x:v>1</x:v>
      </x:c>
      <x:c r="D9" s="94" t="n">
        <x:f>COUNTIFS('データ'!OP$5:OP$7,"〇",'データ'!OC$5:OC$7,"〇")</x:f>
        <x:v>2</x:v>
      </x:c>
      <x:c r="E9" s="94" t="n">
        <x:f>COUNTIFS('データ'!OP$5:OP$7,"〇",'データ'!OD$5:OD$7,"〇")</x:f>
        <x:v>2</x:v>
      </x:c>
      <x:c r="F9" s="94" t="n">
        <x:f>COUNTIFS('データ'!OP$5:OP$7,"〇",'データ'!OE$5:OE$7,"〇")</x:f>
        <x:v>0</x:v>
      </x:c>
      <x:c r="G9" s="94" t="n">
        <x:f>COUNTIFS('データ'!OP$5:OP$7,"〇",'データ'!OF$5:OF$7,"〇")</x:f>
        <x:v>0</x:v>
      </x:c>
      <x:c r="H9" s="94" t="n">
        <x:f>COUNTIFS('データ'!OP$5:OP$7,"〇",'データ'!OG$5:OG$7,"〇")</x:f>
        <x:v>1</x:v>
      </x:c>
      <x:c r="I9" s="94" t="n">
        <x:f>COUNTIFS('データ'!OP$5:OP$7,"〇",'データ'!OH$5:OH$7,"〇")</x:f>
        <x:v>2</x:v>
      </x:c>
      <x:c r="J9" s="94" t="n">
        <x:f>COUNTIFS('データ'!OP$5:OP$7,"〇",'データ'!OI$5:OI$7,"〇")</x:f>
        <x:v>0</x:v>
      </x:c>
      <x:c r="K9" s="94" t="n">
        <x:f>COUNTIFS('データ'!OP$5:OP$7,"〇",'データ'!OJ$5:OJ$7,"〇")</x:f>
        <x:v>0</x:v>
      </x:c>
      <x:c r="L9" s="94" t="n">
        <x:f>COUNTIFS('データ'!OP$5:OP$7,"〇",'データ'!OK$5:OK$7,"〇")</x:f>
        <x:v>0</x:v>
      </x:c>
    </x:row>
    <x:row r="10">
      <x:c r="A10" s="94" t="str">
        <x:v>必要ない</x:v>
      </x:c>
      <x:c r="B10" s="109" t="n">
        <x:f>COUNTIF('データ'!OQ$5:OQ$7,"〇")</x:f>
        <x:v>0</x:v>
      </x:c>
      <x:c r="C10" s="94" t="n">
        <x:f>COUNTIFS('データ'!OQ$5:OQ$7,"〇",'データ'!OB$5:OB$7,"〇")</x:f>
        <x:v>0</x:v>
      </x:c>
      <x:c r="D10" s="94" t="n">
        <x:f>COUNTIFS('データ'!OQ$5:OQ$7,"〇",'データ'!OC$5:OC$7,"〇")</x:f>
        <x:v>0</x:v>
      </x:c>
      <x:c r="E10" s="94" t="n">
        <x:f>COUNTIFS('データ'!OQ$5:OQ$7,"〇",'データ'!OD$5:OD$7,"〇")</x:f>
        <x:v>0</x:v>
      </x:c>
      <x:c r="F10" s="94" t="n">
        <x:f>COUNTIFS('データ'!OQ$5:OQ$7,"〇",'データ'!OE$5:OE$7,"〇")</x:f>
        <x:v>0</x:v>
      </x:c>
      <x:c r="G10" s="94" t="n">
        <x:f>COUNTIFS('データ'!OQ$5:OQ$7,"〇",'データ'!OF$5:OF$7,"〇")</x:f>
        <x:v>0</x:v>
      </x:c>
      <x:c r="H10" s="94" t="n">
        <x:f>COUNTIFS('データ'!OQ$5:OQ$7,"〇",'データ'!OG$5:OG$7,"〇")</x:f>
        <x:v>0</x:v>
      </x:c>
      <x:c r="I10" s="94" t="n">
        <x:f>COUNTIFS('データ'!OQ$5:OQ$7,"〇",'データ'!OH$5:OH$7,"〇")</x:f>
        <x:v>0</x:v>
      </x:c>
      <x:c r="J10" s="94" t="n">
        <x:f>COUNTIFS('データ'!OQ$5:OQ$7,"〇",'データ'!OI$5:OI$7,"〇")</x:f>
        <x:v>0</x:v>
      </x:c>
      <x:c r="K10" s="94" t="n">
        <x:f>COUNTIFS('データ'!OQ$5:OQ$7,"〇",'データ'!OJ$5:OJ$7,"〇")</x:f>
        <x:v>0</x:v>
      </x:c>
      <x:c r="L10" s="94" t="n">
        <x:f>COUNTIFS('データ'!OQ$5:OQ$7,"〇",'データ'!OK$5:OK$7,"〇")</x:f>
        <x:v>0</x:v>
      </x:c>
    </x:row>
    <x:row r="13">
      <x:c r="A13" s="99" t="str">
        <x:v>行％（各行のnを100％とした割合）</x:v>
      </x:c>
      <x:c r="B13" s="99"/>
      <x:c r="C13" s="99"/>
      <x:c r="D13" s="99"/>
      <x:c r="E13" s="99"/>
      <x:c r="F13" s="99"/>
      <x:c r="G13" s="99"/>
      <x:c r="H13" s="99"/>
      <x:c r="I13" s="99"/>
      <x:c r="J13" s="99"/>
      <x:c r="K13" s="99"/>
      <x:c r="L13" s="99"/>
    </x:row>
    <x:row r="14">
      <x:c r="A14" s="86" t="str">
        <x:v>行区分</x:v>
      </x:c>
      <x:c r="B14" s="86" t="str">
        <x:v>n</x:v>
      </x:c>
      <x:c r="C14" s="86" t="str">
        <x:v>避難する方法</x:v>
      </x:c>
      <x:c r="D14" s="86" t="str">
        <x:v>避難先での生活</x:v>
      </x:c>
      <x:c r="E14" s="86" t="str">
        <x:v>薬・医療機器</x:v>
      </x:c>
      <x:c r="F14" s="86" t="str">
        <x:v>電源の確保</x:v>
      </x:c>
      <x:c r="G14" s="86" t="str">
        <x:v>介助者がいないこと</x:v>
      </x:c>
      <x:c r="H14" s="86" t="str">
        <x:v>情報が届かないこと</x:v>
      </x:c>
      <x:c r="I14" s="86" t="str">
        <x:v>冬季・積雪時の避難</x:v>
      </x:c>
      <x:c r="J14" s="86" t="str">
        <x:v>ペット・補助犬等</x:v>
      </x:c>
      <x:c r="K14" s="86" t="str">
        <x:v>特に不安はない</x:v>
      </x:c>
      <x:c r="L14" s="86" t="str">
        <x:v>その他</x:v>
      </x:c>
    </x:row>
    <x:row r="15">
      <x:c r="A15" s="94" t="str">
        <x:v>制度を知っており作成したい</x:v>
      </x:c>
      <x:c r="B15" s="109" t="n">
        <x:f>B7</x:f>
        <x:v>0</x:v>
      </x:c>
      <x:c r="C15" s="104" t="str">
        <x:f>IF(B7=0,"",C7/B7)</x:f>
      </x:c>
      <x:c r="D15" s="104" t="str">
        <x:f>IF(B7=0,"",D7/B7)</x:f>
      </x:c>
      <x:c r="E15" s="104" t="str">
        <x:f>IF(B7=0,"",E7/B7)</x:f>
      </x:c>
      <x:c r="F15" s="104" t="str">
        <x:f>IF(B7=0,"",F7/B7)</x:f>
      </x:c>
      <x:c r="G15" s="104" t="str">
        <x:f>IF(B7=0,"",G7/B7)</x:f>
      </x:c>
      <x:c r="H15" s="104" t="str">
        <x:f>IF(B7=0,"",H7/B7)</x:f>
      </x:c>
      <x:c r="I15" s="104" t="str">
        <x:f>IF(B7=0,"",I7/B7)</x:f>
      </x:c>
      <x:c r="J15" s="104" t="str">
        <x:f>IF(B7=0,"",J7/B7)</x:f>
      </x:c>
      <x:c r="K15" s="104" t="str">
        <x:f>IF(B7=0,"",K7/B7)</x:f>
      </x:c>
      <x:c r="L15" s="104" t="str">
        <x:f>IF(B7=0,"",L7/B7)</x:f>
      </x:c>
    </x:row>
    <x:row r="16">
      <x:c r="A16" s="94" t="str">
        <x:v>名前だけ聞いたことがある</x:v>
      </x:c>
      <x:c r="B16" s="109" t="n">
        <x:f>B8</x:f>
        <x:v>0</x:v>
      </x:c>
      <x:c r="C16" s="104" t="str">
        <x:f>IF(B8=0,"",C8/B8)</x:f>
      </x:c>
      <x:c r="D16" s="104" t="str">
        <x:f>IF(B8=0,"",D8/B8)</x:f>
      </x:c>
      <x:c r="E16" s="104" t="str">
        <x:f>IF(B8=0,"",E8/B8)</x:f>
      </x:c>
      <x:c r="F16" s="104" t="str">
        <x:f>IF(B8=0,"",F8/B8)</x:f>
      </x:c>
      <x:c r="G16" s="104" t="str">
        <x:f>IF(B8=0,"",G8/B8)</x:f>
      </x:c>
      <x:c r="H16" s="104" t="str">
        <x:f>IF(B8=0,"",H8/B8)</x:f>
      </x:c>
      <x:c r="I16" s="104" t="str">
        <x:f>IF(B8=0,"",I8/B8)</x:f>
      </x:c>
      <x:c r="J16" s="104" t="str">
        <x:f>IF(B8=0,"",J8/B8)</x:f>
      </x:c>
      <x:c r="K16" s="104" t="str">
        <x:f>IF(B8=0,"",K8/B8)</x:f>
      </x:c>
      <x:c r="L16" s="104" t="str">
        <x:f>IF(B8=0,"",L8/B8)</x:f>
      </x:c>
    </x:row>
    <x:row r="17">
      <x:c r="A17" s="94" t="str">
        <x:v>知らない</x:v>
      </x:c>
      <x:c r="B17" s="109" t="n">
        <x:f>B9</x:f>
        <x:v>3</x:v>
      </x:c>
      <x:c r="C17" s="104" t="n">
        <x:f>IF(B9=0,"",C9/B9)</x:f>
        <x:v>0.3333333333333333</x:v>
      </x:c>
      <x:c r="D17" s="104" t="n">
        <x:f>IF(B9=0,"",D9/B9)</x:f>
        <x:v>0.6666666666666666</x:v>
      </x:c>
      <x:c r="E17" s="104" t="n">
        <x:f>IF(B9=0,"",E9/B9)</x:f>
        <x:v>0.6666666666666666</x:v>
      </x:c>
      <x:c r="F17" s="104" t="n">
        <x:f>IF(B9=0,"",F9/B9)</x:f>
        <x:v>0</x:v>
      </x:c>
      <x:c r="G17" s="104" t="n">
        <x:f>IF(B9=0,"",G9/B9)</x:f>
        <x:v>0</x:v>
      </x:c>
      <x:c r="H17" s="104" t="n">
        <x:f>IF(B9=0,"",H9/B9)</x:f>
        <x:v>0.3333333333333333</x:v>
      </x:c>
      <x:c r="I17" s="104" t="n">
        <x:f>IF(B9=0,"",I9/B9)</x:f>
        <x:v>0.6666666666666666</x:v>
      </x:c>
      <x:c r="J17" s="104" t="n">
        <x:f>IF(B9=0,"",J9/B9)</x:f>
        <x:v>0</x:v>
      </x:c>
      <x:c r="K17" s="104" t="n">
        <x:f>IF(B9=0,"",K9/B9)</x:f>
        <x:v>0</x:v>
      </x:c>
      <x:c r="L17" s="104" t="n">
        <x:f>IF(B9=0,"",L9/B9)</x:f>
        <x:v>0</x:v>
      </x:c>
    </x:row>
    <x:row r="18">
      <x:c r="A18" s="94" t="str">
        <x:v>必要ない</x:v>
      </x:c>
      <x:c r="B18" s="109" t="n">
        <x:f>B10</x:f>
        <x:v>0</x:v>
      </x:c>
      <x:c r="C18" s="104" t="str">
        <x:f>IF(B10=0,"",C10/B10)</x:f>
      </x:c>
      <x:c r="D18" s="104" t="str">
        <x:f>IF(B10=0,"",D10/B10)</x:f>
      </x:c>
      <x:c r="E18" s="104" t="str">
        <x:f>IF(B10=0,"",E10/B10)</x:f>
      </x:c>
      <x:c r="F18" s="104" t="str">
        <x:f>IF(B10=0,"",F10/B10)</x:f>
      </x:c>
      <x:c r="G18" s="104" t="str">
        <x:f>IF(B10=0,"",G10/B10)</x:f>
      </x:c>
      <x:c r="H18" s="104" t="str">
        <x:f>IF(B10=0,"",H10/B10)</x:f>
      </x:c>
      <x:c r="I18" s="104" t="str">
        <x:f>IF(B10=0,"",I10/B10)</x:f>
      </x:c>
      <x:c r="J18" s="104" t="str">
        <x:f>IF(B10=0,"",J10/B10)</x:f>
      </x:c>
      <x:c r="K18" s="104" t="str">
        <x:f>IF(B10=0,"",K10/B10)</x:f>
      </x:c>
      <x:c r="L18" s="104" t="str">
        <x:f>IF(B10=0,"",L10/B10)</x:f>
      </x:c>
    </x:row>
  </x:sheetData>
  <x:mergeCells>
    <x:mergeCell ref="A1:L1"/>
    <x:mergeCell ref="A3:L3"/>
    <x:mergeCell ref="A4:L4"/>
    <x:mergeCell ref="A13:L13"/>
  </x:mergeCells>
  <x:pageMargins left="0.7" right="0.7" top="0.75" bottom="0.75" header="0.3" footer="0.3"/>
</x:worksheet>
</file>

<file path=xl/worksheets/sheet13.xml><?xml version="1.0" encoding="utf-8"?>
<x:worksheet xmlns:x="http://schemas.openxmlformats.org/spreadsheetml/2006/main">
  <x:sheetFormatPr defaultRowHeight="15"/>
  <x:cols>
    <x:col min="1" max="1" width="34" hidden="0" customWidth="1"/>
    <x:col min="2" max="2" width="9"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s>
  <x:sheetData>
    <x:row r="1" ht="28" customHeight="1">
      <x:c r="A1" s="78" t="str">
        <x:v>問6 × 問35 クロス分析</x:v>
      </x:c>
      <x:c r="B1" s="78"/>
      <x:c r="C1" s="78"/>
      <x:c r="D1" s="78"/>
      <x:c r="E1" s="78"/>
      <x:c r="F1" s="78"/>
      <x:c r="G1" s="78"/>
      <x:c r="H1" s="78"/>
      <x:c r="I1" s="78"/>
      <x:c r="J1" s="78"/>
      <x:c r="K1" s="78"/>
    </x:row>
    <x:row r="3">
      <x:c r="A3" s="100" t="str">
        <x:v>障がい種別ごとに必要な合理的配慮</x:v>
      </x:c>
      <x:c r="B3" s="100"/>
      <x:c r="C3" s="100"/>
      <x:c r="D3" s="100"/>
      <x:c r="E3" s="100"/>
      <x:c r="F3" s="100"/>
      <x:c r="G3" s="100"/>
      <x:c r="H3" s="100"/>
      <x:c r="I3" s="100"/>
      <x:c r="J3" s="100"/>
      <x:c r="K3" s="100"/>
    </x:row>
    <x:row r="4" ht="42" customHeight="1">
      <x:c r="A4" s="108" t="str">
        <x:v>行：問6「主たる障がい種別を1つ選ぶとすれば、どれにあたりますか」／列：問35「障がいのある人が利用しやすくするための配慮（合理的配慮）として必要だと思うことは何ですか（あてはまるものすべて）」。件数表のnは行カテゴリ該当者数、行％はそのnを分母としています。複数回答設問では行％合計が100％にならない場合があります。nが5未満の区分は参考値です。</x:v>
      </x:c>
      <x:c r="B4" s="108"/>
      <x:c r="C4" s="108"/>
      <x:c r="D4" s="108"/>
      <x:c r="E4" s="108"/>
      <x:c r="F4" s="108"/>
      <x:c r="G4" s="108"/>
      <x:c r="H4" s="108"/>
      <x:c r="I4" s="108"/>
      <x:c r="J4" s="108"/>
      <x:c r="K4" s="108"/>
    </x:row>
    <x:row r="6">
      <x:c r="A6" s="86" t="str">
        <x:v>行区分</x:v>
      </x:c>
      <x:c r="B6" s="86" t="str">
        <x:v>n</x:v>
      </x:c>
      <x:c r="C6" s="86" t="str">
        <x:v>わかりやすい説明</x:v>
      </x:c>
      <x:c r="D6" s="86" t="str">
        <x:v>筆談・手話・要約筆記・字幕等の意思疎通支援</x:v>
      </x:c>
      <x:c r="E6" s="86" t="str">
        <x:v>静かな場所での相談</x:v>
      </x:c>
      <x:c r="F6" s="86" t="str">
        <x:v>移動しやすい環境</x:v>
      </x:c>
      <x:c r="G6" s="86" t="str">
        <x:v>手続きの支援</x:v>
      </x:c>
      <x:c r="H6" s="86" t="str">
        <x:v>本人の意思確認を丁寧に行うこと</x:v>
      </x:c>
      <x:c r="I6" s="86" t="str">
        <x:v>職場・学校での配慮</x:v>
      </x:c>
      <x:c r="J6" s="86" t="str">
        <x:v>特にない</x:v>
      </x:c>
      <x:c r="K6" s="86" t="str">
        <x:v>その他</x:v>
      </x:c>
    </x:row>
    <x:row r="7">
      <x:c r="A7" s="94" t="str">
        <x:v>身体障がい</x:v>
      </x:c>
      <x:c r="B7" s="109" t="n">
        <x:f>COUNTIF('データ'!AW$5:AW$7,"〇")</x:f>
        <x:v>1</x:v>
      </x:c>
      <x:c r="C7" s="94" t="n">
        <x:f>COUNTIFS('データ'!AW$5:AW$7,"〇",'データ'!NK$5:NK$7,"〇")</x:f>
        <x:v>1</x:v>
      </x:c>
      <x:c r="D7" s="94" t="n">
        <x:f>COUNTIFS('データ'!AW$5:AW$7,"〇",'データ'!NL$5:NL$7,"〇")</x:f>
        <x:v>0</x:v>
      </x:c>
      <x:c r="E7" s="94" t="n">
        <x:f>COUNTIFS('データ'!AW$5:AW$7,"〇",'データ'!NM$5:NM$7,"〇")</x:f>
        <x:v>0</x:v>
      </x:c>
      <x:c r="F7" s="94" t="n">
        <x:f>COUNTIFS('データ'!AW$5:AW$7,"〇",'データ'!NN$5:NN$7,"〇")</x:f>
        <x:v>0</x:v>
      </x:c>
      <x:c r="G7" s="94" t="n">
        <x:f>COUNTIFS('データ'!AW$5:AW$7,"〇",'データ'!NO$5:NO$7,"〇")</x:f>
        <x:v>0</x:v>
      </x:c>
      <x:c r="H7" s="94" t="n">
        <x:f>COUNTIFS('データ'!AW$5:AW$7,"〇",'データ'!NP$5:NP$7,"〇")</x:f>
        <x:v>0</x:v>
      </x:c>
      <x:c r="I7" s="94" t="n">
        <x:f>COUNTIFS('データ'!AW$5:AW$7,"〇",'データ'!NQ$5:NQ$7,"〇")</x:f>
        <x:v>1</x:v>
      </x:c>
      <x:c r="J7" s="94" t="n">
        <x:f>COUNTIFS('データ'!AW$5:AW$7,"〇",'データ'!NR$5:NR$7,"〇")</x:f>
        <x:v>0</x:v>
      </x:c>
      <x:c r="K7" s="94" t="n">
        <x:f>COUNTIFS('データ'!AW$5:AW$7,"〇",'データ'!NS$5:NS$7,"〇")</x:f>
        <x:v>0</x:v>
      </x:c>
    </x:row>
    <x:row r="8">
      <x:c r="A8" s="94" t="str">
        <x:v>知的障がい</x:v>
      </x:c>
      <x:c r="B8" s="109" t="n">
        <x:f>COUNTIF('データ'!AX$5:AX$7,"〇")</x:f>
        <x:v>1</x:v>
      </x:c>
      <x:c r="C8" s="94" t="n">
        <x:f>COUNTIFS('データ'!AX$5:AX$7,"〇",'データ'!NK$5:NK$7,"〇")</x:f>
        <x:v>1</x:v>
      </x:c>
      <x:c r="D8" s="94" t="n">
        <x:f>COUNTIFS('データ'!AX$5:AX$7,"〇",'データ'!NL$5:NL$7,"〇")</x:f>
        <x:v>1</x:v>
      </x:c>
      <x:c r="E8" s="94" t="n">
        <x:f>COUNTIFS('データ'!AX$5:AX$7,"〇",'データ'!NM$5:NM$7,"〇")</x:f>
        <x:v>1</x:v>
      </x:c>
      <x:c r="F8" s="94" t="n">
        <x:f>COUNTIFS('データ'!AX$5:AX$7,"〇",'データ'!NN$5:NN$7,"〇")</x:f>
        <x:v>1</x:v>
      </x:c>
      <x:c r="G8" s="94" t="n">
        <x:f>COUNTIFS('データ'!AX$5:AX$7,"〇",'データ'!NO$5:NO$7,"〇")</x:f>
        <x:v>1</x:v>
      </x:c>
      <x:c r="H8" s="94" t="n">
        <x:f>COUNTIFS('データ'!AX$5:AX$7,"〇",'データ'!NP$5:NP$7,"〇")</x:f>
        <x:v>1</x:v>
      </x:c>
      <x:c r="I8" s="94" t="n">
        <x:f>COUNTIFS('データ'!AX$5:AX$7,"〇",'データ'!NQ$5:NQ$7,"〇")</x:f>
        <x:v>1</x:v>
      </x:c>
      <x:c r="J8" s="94" t="n">
        <x:f>COUNTIFS('データ'!AX$5:AX$7,"〇",'データ'!NR$5:NR$7,"〇")</x:f>
        <x:v>0</x:v>
      </x:c>
      <x:c r="K8" s="94" t="n">
        <x:f>COUNTIFS('データ'!AX$5:AX$7,"〇",'データ'!NS$5:NS$7,"〇")</x:f>
        <x:v>0</x:v>
      </x:c>
    </x:row>
    <x:row r="9">
      <x:c r="A9" s="94" t="str">
        <x:v>精神障がい</x:v>
      </x:c>
      <x:c r="B9" s="109" t="n">
        <x:f>COUNTIF('データ'!AY$5:AY$7,"〇")</x:f>
        <x:v>0</x:v>
      </x:c>
      <x:c r="C9" s="94" t="n">
        <x:f>COUNTIFS('データ'!AY$5:AY$7,"〇",'データ'!NK$5:NK$7,"〇")</x:f>
        <x:v>0</x:v>
      </x:c>
      <x:c r="D9" s="94" t="n">
        <x:f>COUNTIFS('データ'!AY$5:AY$7,"〇",'データ'!NL$5:NL$7,"〇")</x:f>
        <x:v>0</x:v>
      </x:c>
      <x:c r="E9" s="94" t="n">
        <x:f>COUNTIFS('データ'!AY$5:AY$7,"〇",'データ'!NM$5:NM$7,"〇")</x:f>
        <x:v>0</x:v>
      </x:c>
      <x:c r="F9" s="94" t="n">
        <x:f>COUNTIFS('データ'!AY$5:AY$7,"〇",'データ'!NN$5:NN$7,"〇")</x:f>
        <x:v>0</x:v>
      </x:c>
      <x:c r="G9" s="94" t="n">
        <x:f>COUNTIFS('データ'!AY$5:AY$7,"〇",'データ'!NO$5:NO$7,"〇")</x:f>
        <x:v>0</x:v>
      </x:c>
      <x:c r="H9" s="94" t="n">
        <x:f>COUNTIFS('データ'!AY$5:AY$7,"〇",'データ'!NP$5:NP$7,"〇")</x:f>
        <x:v>0</x:v>
      </x:c>
      <x:c r="I9" s="94" t="n">
        <x:f>COUNTIFS('データ'!AY$5:AY$7,"〇",'データ'!NQ$5:NQ$7,"〇")</x:f>
        <x:v>0</x:v>
      </x:c>
      <x:c r="J9" s="94" t="n">
        <x:f>COUNTIFS('データ'!AY$5:AY$7,"〇",'データ'!NR$5:NR$7,"〇")</x:f>
        <x:v>0</x:v>
      </x:c>
      <x:c r="K9" s="94" t="n">
        <x:f>COUNTIFS('データ'!AY$5:AY$7,"〇",'データ'!NS$5:NS$7,"〇")</x:f>
        <x:v>0</x:v>
      </x:c>
    </x:row>
    <x:row r="10">
      <x:c r="A10" s="94" t="str">
        <x:v>発達障がい</x:v>
      </x:c>
      <x:c r="B10" s="109" t="n">
        <x:f>COUNTIF('データ'!AZ$5:AZ$7,"〇")</x:f>
        <x:v>1</x:v>
      </x:c>
      <x:c r="C10" s="94" t="n">
        <x:f>COUNTIFS('データ'!AZ$5:AZ$7,"〇",'データ'!NK$5:NK$7,"〇")</x:f>
        <x:v>1</x:v>
      </x:c>
      <x:c r="D10" s="94" t="n">
        <x:f>COUNTIFS('データ'!AZ$5:AZ$7,"〇",'データ'!NL$5:NL$7,"〇")</x:f>
        <x:v>0</x:v>
      </x:c>
      <x:c r="E10" s="94" t="n">
        <x:f>COUNTIFS('データ'!AZ$5:AZ$7,"〇",'データ'!NM$5:NM$7,"〇")</x:f>
        <x:v>0</x:v>
      </x:c>
      <x:c r="F10" s="94" t="n">
        <x:f>COUNTIFS('データ'!AZ$5:AZ$7,"〇",'データ'!NN$5:NN$7,"〇")</x:f>
        <x:v>0</x:v>
      </x:c>
      <x:c r="G10" s="94" t="n">
        <x:f>COUNTIFS('データ'!AZ$5:AZ$7,"〇",'データ'!NO$5:NO$7,"〇")</x:f>
        <x:v>1</x:v>
      </x:c>
      <x:c r="H10" s="94" t="n">
        <x:f>COUNTIFS('データ'!AZ$5:AZ$7,"〇",'データ'!NP$5:NP$7,"〇")</x:f>
        <x:v>1</x:v>
      </x:c>
      <x:c r="I10" s="94" t="n">
        <x:f>COUNTIFS('データ'!AZ$5:AZ$7,"〇",'データ'!NQ$5:NQ$7,"〇")</x:f>
        <x:v>1</x:v>
      </x:c>
      <x:c r="J10" s="94" t="n">
        <x:f>COUNTIFS('データ'!AZ$5:AZ$7,"〇",'データ'!NR$5:NR$7,"〇")</x:f>
        <x:v>0</x:v>
      </x:c>
      <x:c r="K10" s="94" t="n">
        <x:f>COUNTIFS('データ'!AZ$5:AZ$7,"〇",'データ'!NS$5:NS$7,"〇")</x:f>
        <x:v>0</x:v>
      </x:c>
    </x:row>
    <x:row r="11">
      <x:c r="A11" s="94" t="str">
        <x:v>難病</x:v>
      </x:c>
      <x:c r="B11" s="109" t="n">
        <x:f>COUNTIF('データ'!BA$5:BA$7,"〇")</x:f>
        <x:v>0</x:v>
      </x:c>
      <x:c r="C11" s="94" t="n">
        <x:f>COUNTIFS('データ'!BA$5:BA$7,"〇",'データ'!NK$5:NK$7,"〇")</x:f>
        <x:v>0</x:v>
      </x:c>
      <x:c r="D11" s="94" t="n">
        <x:f>COUNTIFS('データ'!BA$5:BA$7,"〇",'データ'!NL$5:NL$7,"〇")</x:f>
        <x:v>0</x:v>
      </x:c>
      <x:c r="E11" s="94" t="n">
        <x:f>COUNTIFS('データ'!BA$5:BA$7,"〇",'データ'!NM$5:NM$7,"〇")</x:f>
        <x:v>0</x:v>
      </x:c>
      <x:c r="F11" s="94" t="n">
        <x:f>COUNTIFS('データ'!BA$5:BA$7,"〇",'データ'!NN$5:NN$7,"〇")</x:f>
        <x:v>0</x:v>
      </x:c>
      <x:c r="G11" s="94" t="n">
        <x:f>COUNTIFS('データ'!BA$5:BA$7,"〇",'データ'!NO$5:NO$7,"〇")</x:f>
        <x:v>0</x:v>
      </x:c>
      <x:c r="H11" s="94" t="n">
        <x:f>COUNTIFS('データ'!BA$5:BA$7,"〇",'データ'!NP$5:NP$7,"〇")</x:f>
        <x:v>0</x:v>
      </x:c>
      <x:c r="I11" s="94" t="n">
        <x:f>COUNTIFS('データ'!BA$5:BA$7,"〇",'データ'!NQ$5:NQ$7,"〇")</x:f>
        <x:v>0</x:v>
      </x:c>
      <x:c r="J11" s="94" t="n">
        <x:f>COUNTIFS('データ'!BA$5:BA$7,"〇",'データ'!NR$5:NR$7,"〇")</x:f>
        <x:v>0</x:v>
      </x:c>
      <x:c r="K11" s="94" t="n">
        <x:f>COUNTIFS('データ'!BA$5:BA$7,"〇",'データ'!NS$5:NS$7,"〇")</x:f>
        <x:v>0</x:v>
      </x:c>
    </x:row>
    <x:row r="12">
      <x:c r="A12" s="94" t="str">
        <x:v>高次脳機能障がい</x:v>
      </x:c>
      <x:c r="B12" s="109" t="n">
        <x:f>COUNTIF('データ'!BB$5:BB$7,"〇")</x:f>
        <x:v>0</x:v>
      </x:c>
      <x:c r="C12" s="94" t="n">
        <x:f>COUNTIFS('データ'!BB$5:BB$7,"〇",'データ'!NK$5:NK$7,"〇")</x:f>
        <x:v>0</x:v>
      </x:c>
      <x:c r="D12" s="94" t="n">
        <x:f>COUNTIFS('データ'!BB$5:BB$7,"〇",'データ'!NL$5:NL$7,"〇")</x:f>
        <x:v>0</x:v>
      </x:c>
      <x:c r="E12" s="94" t="n">
        <x:f>COUNTIFS('データ'!BB$5:BB$7,"〇",'データ'!NM$5:NM$7,"〇")</x:f>
        <x:v>0</x:v>
      </x:c>
      <x:c r="F12" s="94" t="n">
        <x:f>COUNTIFS('データ'!BB$5:BB$7,"〇",'データ'!NN$5:NN$7,"〇")</x:f>
        <x:v>0</x:v>
      </x:c>
      <x:c r="G12" s="94" t="n">
        <x:f>COUNTIFS('データ'!BB$5:BB$7,"〇",'データ'!NO$5:NO$7,"〇")</x:f>
        <x:v>0</x:v>
      </x:c>
      <x:c r="H12" s="94" t="n">
        <x:f>COUNTIFS('データ'!BB$5:BB$7,"〇",'データ'!NP$5:NP$7,"〇")</x:f>
        <x:v>0</x:v>
      </x:c>
      <x:c r="I12" s="94" t="n">
        <x:f>COUNTIFS('データ'!BB$5:BB$7,"〇",'データ'!NQ$5:NQ$7,"〇")</x:f>
        <x:v>0</x:v>
      </x:c>
      <x:c r="J12" s="94" t="n">
        <x:f>COUNTIFS('データ'!BB$5:BB$7,"〇",'データ'!NR$5:NR$7,"〇")</x:f>
        <x:v>0</x:v>
      </x:c>
      <x:c r="K12" s="94" t="n">
        <x:f>COUNTIFS('データ'!BB$5:BB$7,"〇",'データ'!NS$5:NS$7,"〇")</x:f>
        <x:v>0</x:v>
      </x:c>
    </x:row>
    <x:row r="13">
      <x:c r="A13" s="94" t="str">
        <x:v>重症心身障がい</x:v>
      </x:c>
      <x:c r="B13" s="109" t="n">
        <x:f>COUNTIF('データ'!BC$5:BC$7,"〇")</x:f>
        <x:v>0</x:v>
      </x:c>
      <x:c r="C13" s="94" t="n">
        <x:f>COUNTIFS('データ'!BC$5:BC$7,"〇",'データ'!NK$5:NK$7,"〇")</x:f>
        <x:v>0</x:v>
      </x:c>
      <x:c r="D13" s="94" t="n">
        <x:f>COUNTIFS('データ'!BC$5:BC$7,"〇",'データ'!NL$5:NL$7,"〇")</x:f>
        <x:v>0</x:v>
      </x:c>
      <x:c r="E13" s="94" t="n">
        <x:f>COUNTIFS('データ'!BC$5:BC$7,"〇",'データ'!NM$5:NM$7,"〇")</x:f>
        <x:v>0</x:v>
      </x:c>
      <x:c r="F13" s="94" t="n">
        <x:f>COUNTIFS('データ'!BC$5:BC$7,"〇",'データ'!NN$5:NN$7,"〇")</x:f>
        <x:v>0</x:v>
      </x:c>
      <x:c r="G13" s="94" t="n">
        <x:f>COUNTIFS('データ'!BC$5:BC$7,"〇",'データ'!NO$5:NO$7,"〇")</x:f>
        <x:v>0</x:v>
      </x:c>
      <x:c r="H13" s="94" t="n">
        <x:f>COUNTIFS('データ'!BC$5:BC$7,"〇",'データ'!NP$5:NP$7,"〇")</x:f>
        <x:v>0</x:v>
      </x:c>
      <x:c r="I13" s="94" t="n">
        <x:f>COUNTIFS('データ'!BC$5:BC$7,"〇",'データ'!NQ$5:NQ$7,"〇")</x:f>
        <x:v>0</x:v>
      </x:c>
      <x:c r="J13" s="94" t="n">
        <x:f>COUNTIFS('データ'!BC$5:BC$7,"〇",'データ'!NR$5:NR$7,"〇")</x:f>
        <x:v>0</x:v>
      </x:c>
      <x:c r="K13" s="94" t="n">
        <x:f>COUNTIFS('データ'!BC$5:BC$7,"〇",'データ'!NS$5:NS$7,"〇")</x:f>
        <x:v>0</x:v>
      </x:c>
    </x:row>
    <x:row r="14">
      <x:c r="A14" s="94" t="str">
        <x:v>わからない・その他</x:v>
      </x:c>
      <x:c r="B14" s="109" t="n">
        <x:f>COUNTIF('データ'!BD$5:BD$7,"〇")</x:f>
        <x:v>0</x:v>
      </x:c>
      <x:c r="C14" s="94" t="n">
        <x:f>COUNTIFS('データ'!BD$5:BD$7,"〇",'データ'!NK$5:NK$7,"〇")</x:f>
        <x:v>0</x:v>
      </x:c>
      <x:c r="D14" s="94" t="n">
        <x:f>COUNTIFS('データ'!BD$5:BD$7,"〇",'データ'!NL$5:NL$7,"〇")</x:f>
        <x:v>0</x:v>
      </x:c>
      <x:c r="E14" s="94" t="n">
        <x:f>COUNTIFS('データ'!BD$5:BD$7,"〇",'データ'!NM$5:NM$7,"〇")</x:f>
        <x:v>0</x:v>
      </x:c>
      <x:c r="F14" s="94" t="n">
        <x:f>COUNTIFS('データ'!BD$5:BD$7,"〇",'データ'!NN$5:NN$7,"〇")</x:f>
        <x:v>0</x:v>
      </x:c>
      <x:c r="G14" s="94" t="n">
        <x:f>COUNTIFS('データ'!BD$5:BD$7,"〇",'データ'!NO$5:NO$7,"〇")</x:f>
        <x:v>0</x:v>
      </x:c>
      <x:c r="H14" s="94" t="n">
        <x:f>COUNTIFS('データ'!BD$5:BD$7,"〇",'データ'!NP$5:NP$7,"〇")</x:f>
        <x:v>0</x:v>
      </x:c>
      <x:c r="I14" s="94" t="n">
        <x:f>COUNTIFS('データ'!BD$5:BD$7,"〇",'データ'!NQ$5:NQ$7,"〇")</x:f>
        <x:v>0</x:v>
      </x:c>
      <x:c r="J14" s="94" t="n">
        <x:f>COUNTIFS('データ'!BD$5:BD$7,"〇",'データ'!NR$5:NR$7,"〇")</x:f>
        <x:v>0</x:v>
      </x:c>
      <x:c r="K14" s="94" t="n">
        <x:f>COUNTIFS('データ'!BD$5:BD$7,"〇",'データ'!NS$5:NS$7,"〇")</x:f>
        <x:v>0</x:v>
      </x:c>
    </x:row>
    <x:row r="17">
      <x:c r="A17" s="99" t="str">
        <x:v>行％（各行のnを100％とした割合）</x:v>
      </x:c>
      <x:c r="B17" s="99"/>
      <x:c r="C17" s="99"/>
      <x:c r="D17" s="99"/>
      <x:c r="E17" s="99"/>
      <x:c r="F17" s="99"/>
      <x:c r="G17" s="99"/>
      <x:c r="H17" s="99"/>
      <x:c r="I17" s="99"/>
      <x:c r="J17" s="99"/>
      <x:c r="K17" s="99"/>
    </x:row>
    <x:row r="18">
      <x:c r="A18" s="86" t="str">
        <x:v>行区分</x:v>
      </x:c>
      <x:c r="B18" s="86" t="str">
        <x:v>n</x:v>
      </x:c>
      <x:c r="C18" s="86" t="str">
        <x:v>わかりやすい説明</x:v>
      </x:c>
      <x:c r="D18" s="86" t="str">
        <x:v>筆談・手話・要約筆記・字幕等の意思疎通支援</x:v>
      </x:c>
      <x:c r="E18" s="86" t="str">
        <x:v>静かな場所での相談</x:v>
      </x:c>
      <x:c r="F18" s="86" t="str">
        <x:v>移動しやすい環境</x:v>
      </x:c>
      <x:c r="G18" s="86" t="str">
        <x:v>手続きの支援</x:v>
      </x:c>
      <x:c r="H18" s="86" t="str">
        <x:v>本人の意思確認を丁寧に行うこと</x:v>
      </x:c>
      <x:c r="I18" s="86" t="str">
        <x:v>職場・学校での配慮</x:v>
      </x:c>
      <x:c r="J18" s="86" t="str">
        <x:v>特にない</x:v>
      </x:c>
      <x:c r="K18" s="86" t="str">
        <x:v>その他</x:v>
      </x:c>
    </x:row>
    <x:row r="19">
      <x:c r="A19" s="94" t="str">
        <x:v>身体障がい</x:v>
      </x:c>
      <x:c r="B19" s="109" t="n">
        <x:f>B7</x:f>
        <x:v>1</x:v>
      </x:c>
      <x:c r="C19" s="104" t="n">
        <x:f>IF(B7=0,"",C7/B7)</x:f>
        <x:v>1</x:v>
      </x:c>
      <x:c r="D19" s="104" t="n">
        <x:f>IF(B7=0,"",D7/B7)</x:f>
        <x:v>0</x:v>
      </x:c>
      <x:c r="E19" s="104" t="n">
        <x:f>IF(B7=0,"",E7/B7)</x:f>
        <x:v>0</x:v>
      </x:c>
      <x:c r="F19" s="104" t="n">
        <x:f>IF(B7=0,"",F7/B7)</x:f>
        <x:v>0</x:v>
      </x:c>
      <x:c r="G19" s="104" t="n">
        <x:f>IF(B7=0,"",G7/B7)</x:f>
        <x:v>0</x:v>
      </x:c>
      <x:c r="H19" s="104" t="n">
        <x:f>IF(B7=0,"",H7/B7)</x:f>
        <x:v>0</x:v>
      </x:c>
      <x:c r="I19" s="104" t="n">
        <x:f>IF(B7=0,"",I7/B7)</x:f>
        <x:v>1</x:v>
      </x:c>
      <x:c r="J19" s="104" t="n">
        <x:f>IF(B7=0,"",J7/B7)</x:f>
        <x:v>0</x:v>
      </x:c>
      <x:c r="K19" s="104" t="n">
        <x:f>IF(B7=0,"",K7/B7)</x:f>
        <x:v>0</x:v>
      </x:c>
    </x:row>
    <x:row r="20">
      <x:c r="A20" s="94" t="str">
        <x:v>知的障がい</x:v>
      </x:c>
      <x:c r="B20" s="109" t="n">
        <x:f>B8</x:f>
        <x:v>1</x:v>
      </x:c>
      <x:c r="C20" s="104" t="n">
        <x:f>IF(B8=0,"",C8/B8)</x:f>
        <x:v>1</x:v>
      </x:c>
      <x:c r="D20" s="104" t="n">
        <x:f>IF(B8=0,"",D8/B8)</x:f>
        <x:v>1</x:v>
      </x:c>
      <x:c r="E20" s="104" t="n">
        <x:f>IF(B8=0,"",E8/B8)</x:f>
        <x:v>1</x:v>
      </x:c>
      <x:c r="F20" s="104" t="n">
        <x:f>IF(B8=0,"",F8/B8)</x:f>
        <x:v>1</x:v>
      </x:c>
      <x:c r="G20" s="104" t="n">
        <x:f>IF(B8=0,"",G8/B8)</x:f>
        <x:v>1</x:v>
      </x:c>
      <x:c r="H20" s="104" t="n">
        <x:f>IF(B8=0,"",H8/B8)</x:f>
        <x:v>1</x:v>
      </x:c>
      <x:c r="I20" s="104" t="n">
        <x:f>IF(B8=0,"",I8/B8)</x:f>
        <x:v>1</x:v>
      </x:c>
      <x:c r="J20" s="104" t="n">
        <x:f>IF(B8=0,"",J8/B8)</x:f>
        <x:v>0</x:v>
      </x:c>
      <x:c r="K20" s="104" t="n">
        <x:f>IF(B8=0,"",K8/B8)</x:f>
        <x:v>0</x:v>
      </x:c>
    </x:row>
    <x:row r="21">
      <x:c r="A21" s="94" t="str">
        <x:v>精神障がい</x:v>
      </x:c>
      <x:c r="B21" s="109" t="n">
        <x:f>B9</x:f>
        <x:v>0</x:v>
      </x:c>
      <x:c r="C21" s="104" t="str">
        <x:f>IF(B9=0,"",C9/B9)</x:f>
      </x:c>
      <x:c r="D21" s="104" t="str">
        <x:f>IF(B9=0,"",D9/B9)</x:f>
      </x:c>
      <x:c r="E21" s="104" t="str">
        <x:f>IF(B9=0,"",E9/B9)</x:f>
      </x:c>
      <x:c r="F21" s="104" t="str">
        <x:f>IF(B9=0,"",F9/B9)</x:f>
      </x:c>
      <x:c r="G21" s="104" t="str">
        <x:f>IF(B9=0,"",G9/B9)</x:f>
      </x:c>
      <x:c r="H21" s="104" t="str">
        <x:f>IF(B9=0,"",H9/B9)</x:f>
      </x:c>
      <x:c r="I21" s="104" t="str">
        <x:f>IF(B9=0,"",I9/B9)</x:f>
      </x:c>
      <x:c r="J21" s="104" t="str">
        <x:f>IF(B9=0,"",J9/B9)</x:f>
      </x:c>
      <x:c r="K21" s="104" t="str">
        <x:f>IF(B9=0,"",K9/B9)</x:f>
      </x:c>
    </x:row>
    <x:row r="22">
      <x:c r="A22" s="94" t="str">
        <x:v>発達障がい</x:v>
      </x:c>
      <x:c r="B22" s="109" t="n">
        <x:f>B10</x:f>
        <x:v>1</x:v>
      </x:c>
      <x:c r="C22" s="104" t="n">
        <x:f>IF(B10=0,"",C10/B10)</x:f>
        <x:v>1</x:v>
      </x:c>
      <x:c r="D22" s="104" t="n">
        <x:f>IF(B10=0,"",D10/B10)</x:f>
        <x:v>0</x:v>
      </x:c>
      <x:c r="E22" s="104" t="n">
        <x:f>IF(B10=0,"",E10/B10)</x:f>
        <x:v>0</x:v>
      </x:c>
      <x:c r="F22" s="104" t="n">
        <x:f>IF(B10=0,"",F10/B10)</x:f>
        <x:v>0</x:v>
      </x:c>
      <x:c r="G22" s="104" t="n">
        <x:f>IF(B10=0,"",G10/B10)</x:f>
        <x:v>1</x:v>
      </x:c>
      <x:c r="H22" s="104" t="n">
        <x:f>IF(B10=0,"",H10/B10)</x:f>
        <x:v>1</x:v>
      </x:c>
      <x:c r="I22" s="104" t="n">
        <x:f>IF(B10=0,"",I10/B10)</x:f>
        <x:v>1</x:v>
      </x:c>
      <x:c r="J22" s="104" t="n">
        <x:f>IF(B10=0,"",J10/B10)</x:f>
        <x:v>0</x:v>
      </x:c>
      <x:c r="K22" s="104" t="n">
        <x:f>IF(B10=0,"",K10/B10)</x:f>
        <x:v>0</x:v>
      </x:c>
    </x:row>
    <x:row r="23">
      <x:c r="A23" s="94" t="str">
        <x:v>難病</x:v>
      </x:c>
      <x:c r="B23" s="109" t="n">
        <x:f>B11</x:f>
        <x:v>0</x:v>
      </x:c>
      <x:c r="C23" s="104" t="str">
        <x:f>IF(B11=0,"",C11/B11)</x:f>
      </x:c>
      <x:c r="D23" s="104" t="str">
        <x:f>IF(B11=0,"",D11/B11)</x:f>
      </x:c>
      <x:c r="E23" s="104" t="str">
        <x:f>IF(B11=0,"",E11/B11)</x:f>
      </x:c>
      <x:c r="F23" s="104" t="str">
        <x:f>IF(B11=0,"",F11/B11)</x:f>
      </x:c>
      <x:c r="G23" s="104" t="str">
        <x:f>IF(B11=0,"",G11/B11)</x:f>
      </x:c>
      <x:c r="H23" s="104" t="str">
        <x:f>IF(B11=0,"",H11/B11)</x:f>
      </x:c>
      <x:c r="I23" s="104" t="str">
        <x:f>IF(B11=0,"",I11/B11)</x:f>
      </x:c>
      <x:c r="J23" s="104" t="str">
        <x:f>IF(B11=0,"",J11/B11)</x:f>
      </x:c>
      <x:c r="K23" s="104" t="str">
        <x:f>IF(B11=0,"",K11/B11)</x:f>
      </x:c>
    </x:row>
    <x:row r="24">
      <x:c r="A24" s="94" t="str">
        <x:v>高次脳機能障がい</x:v>
      </x:c>
      <x:c r="B24" s="109" t="n">
        <x:f>B12</x:f>
        <x:v>0</x:v>
      </x:c>
      <x:c r="C24" s="104" t="str">
        <x:f>IF(B12=0,"",C12/B12)</x:f>
      </x:c>
      <x:c r="D24" s="104" t="str">
        <x:f>IF(B12=0,"",D12/B12)</x:f>
      </x:c>
      <x:c r="E24" s="104" t="str">
        <x:f>IF(B12=0,"",E12/B12)</x:f>
      </x:c>
      <x:c r="F24" s="104" t="str">
        <x:f>IF(B12=0,"",F12/B12)</x:f>
      </x:c>
      <x:c r="G24" s="104" t="str">
        <x:f>IF(B12=0,"",G12/B12)</x:f>
      </x:c>
      <x:c r="H24" s="104" t="str">
        <x:f>IF(B12=0,"",H12/B12)</x:f>
      </x:c>
      <x:c r="I24" s="104" t="str">
        <x:f>IF(B12=0,"",I12/B12)</x:f>
      </x:c>
      <x:c r="J24" s="104" t="str">
        <x:f>IF(B12=0,"",J12/B12)</x:f>
      </x:c>
      <x:c r="K24" s="104" t="str">
        <x:f>IF(B12=0,"",K12/B12)</x:f>
      </x:c>
    </x:row>
    <x:row r="25">
      <x:c r="A25" s="94" t="str">
        <x:v>重症心身障がい</x:v>
      </x:c>
      <x:c r="B25" s="109" t="n">
        <x:f>B13</x:f>
        <x:v>0</x:v>
      </x:c>
      <x:c r="C25" s="104" t="str">
        <x:f>IF(B13=0,"",C13/B13)</x:f>
      </x:c>
      <x:c r="D25" s="104" t="str">
        <x:f>IF(B13=0,"",D13/B13)</x:f>
      </x:c>
      <x:c r="E25" s="104" t="str">
        <x:f>IF(B13=0,"",E13/B13)</x:f>
      </x:c>
      <x:c r="F25" s="104" t="str">
        <x:f>IF(B13=0,"",F13/B13)</x:f>
      </x:c>
      <x:c r="G25" s="104" t="str">
        <x:f>IF(B13=0,"",G13/B13)</x:f>
      </x:c>
      <x:c r="H25" s="104" t="str">
        <x:f>IF(B13=0,"",H13/B13)</x:f>
      </x:c>
      <x:c r="I25" s="104" t="str">
        <x:f>IF(B13=0,"",I13/B13)</x:f>
      </x:c>
      <x:c r="J25" s="104" t="str">
        <x:f>IF(B13=0,"",J13/B13)</x:f>
      </x:c>
      <x:c r="K25" s="104" t="str">
        <x:f>IF(B13=0,"",K13/B13)</x:f>
      </x:c>
    </x:row>
    <x:row r="26">
      <x:c r="A26" s="94" t="str">
        <x:v>わからない・その他</x:v>
      </x:c>
      <x:c r="B26" s="109" t="n">
        <x:f>B14</x:f>
        <x:v>0</x:v>
      </x:c>
      <x:c r="C26" s="104" t="str">
        <x:f>IF(B14=0,"",C14/B14)</x:f>
      </x:c>
      <x:c r="D26" s="104" t="str">
        <x:f>IF(B14=0,"",D14/B14)</x:f>
      </x:c>
      <x:c r="E26" s="104" t="str">
        <x:f>IF(B14=0,"",E14/B14)</x:f>
      </x:c>
      <x:c r="F26" s="104" t="str">
        <x:f>IF(B14=0,"",F14/B14)</x:f>
      </x:c>
      <x:c r="G26" s="104" t="str">
        <x:f>IF(B14=0,"",G14/B14)</x:f>
      </x:c>
      <x:c r="H26" s="104" t="str">
        <x:f>IF(B14=0,"",H14/B14)</x:f>
      </x:c>
      <x:c r="I26" s="104" t="str">
        <x:f>IF(B14=0,"",I14/B14)</x:f>
      </x:c>
      <x:c r="J26" s="104" t="str">
        <x:f>IF(B14=0,"",J14/B14)</x:f>
      </x:c>
      <x:c r="K26" s="104" t="str">
        <x:f>IF(B14=0,"",K14/B14)</x:f>
      </x:c>
    </x:row>
  </x:sheetData>
  <x:mergeCells>
    <x:mergeCell ref="A1:K1"/>
    <x:mergeCell ref="A3:K3"/>
    <x:mergeCell ref="A4:K4"/>
    <x:mergeCell ref="A17:K17"/>
  </x:mergeCells>
  <x:pageMargins left="0.7" right="0.7" top="0.75" bottom="0.75" header="0.3" footer="0.3"/>
</x:worksheet>
</file>

<file path=xl/worksheets/sheet14.xml><?xml version="1.0" encoding="utf-8"?>
<x:worksheet xmlns:x="http://schemas.openxmlformats.org/spreadsheetml/2006/main">
  <x:sheetFormatPr defaultRowHeight="15"/>
  <x:cols>
    <x:col min="1" max="1" width="34" hidden="0" customWidth="1"/>
    <x:col min="2" max="2" width="9"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s>
  <x:sheetData>
    <x:row r="1" ht="28" customHeight="1">
      <x:c r="A1" s="78" t="str">
        <x:v>問19 × 問22 クロス分析</x:v>
      </x:c>
      <x:c r="B1" s="78"/>
      <x:c r="C1" s="78"/>
      <x:c r="D1" s="78"/>
      <x:c r="E1" s="78"/>
      <x:c r="F1" s="78"/>
      <x:c r="G1" s="78"/>
      <x:c r="H1" s="78"/>
      <x:c r="I1" s="78"/>
      <x:c r="J1" s="78"/>
      <x:c r="K1" s="78"/>
    </x:row>
    <x:row r="3">
      <x:c r="A3" s="100" t="str">
        <x:v>現在の相談先別の相談支援への期待</x:v>
      </x:c>
      <x:c r="B3" s="100"/>
      <x:c r="C3" s="100"/>
      <x:c r="D3" s="100"/>
      <x:c r="E3" s="100"/>
      <x:c r="F3" s="100"/>
      <x:c r="G3" s="100"/>
      <x:c r="H3" s="100"/>
      <x:c r="I3" s="100"/>
      <x:c r="J3" s="100"/>
      <x:c r="K3" s="100"/>
    </x:row>
    <x:row r="4" ht="42" customHeight="1">
      <x:c r="A4" s="108" t="str">
        <x:v>行：問19「困ったときに相談する相手・場所はどこですか（あてはまるものすべて）」／列：問22「相談支援に期待することは何ですか（あてはまるものすべて）」。件数表のnは行カテゴリ該当者数、行％はそのnを分母としています。複数回答設問では行％合計が100％にならない場合があります。nが5未満の区分は参考値です。</x:v>
      </x:c>
      <x:c r="B4" s="108"/>
      <x:c r="C4" s="108"/>
      <x:c r="D4" s="108"/>
      <x:c r="E4" s="108"/>
      <x:c r="F4" s="108"/>
      <x:c r="G4" s="108"/>
      <x:c r="H4" s="108"/>
      <x:c r="I4" s="108"/>
      <x:c r="J4" s="108"/>
      <x:c r="K4" s="108"/>
    </x:row>
    <x:row r="6">
      <x:c r="A6" s="86" t="str">
        <x:v>行区分</x:v>
      </x:c>
      <x:c r="B6" s="86" t="str">
        <x:v>n</x:v>
      </x:c>
      <x:c r="C6" s="86" t="str">
        <x:v>サービス利用の相談</x:v>
      </x:c>
      <x:c r="D6" s="86" t="str">
        <x:v>将来の暮らしの相談</x:v>
      </x:c>
      <x:c r="E6" s="86" t="str">
        <x:v>日中活動の相談</x:v>
      </x:c>
      <x:c r="F6" s="86" t="str">
        <x:v>障がい児・発達の相談</x:v>
      </x:c>
      <x:c r="G6" s="86" t="str">
        <x:v>医療・通院の相談</x:v>
      </x:c>
      <x:c r="H6" s="86" t="str">
        <x:v>家族の負担軽減</x:v>
      </x:c>
      <x:c r="I6" s="86" t="str">
        <x:v>緊急時の相談</x:v>
      </x:c>
      <x:c r="J6" s="86" t="str">
        <x:v>わかりやすい情報提供</x:v>
      </x:c>
      <x:c r="K6" s="86" t="str">
        <x:v>その他</x:v>
      </x:c>
    </x:row>
    <x:row r="7">
      <x:c r="A7" s="94" t="str">
        <x:v>家族・親族</x:v>
      </x:c>
      <x:c r="B7" s="109" t="n">
        <x:f>COUNTIF('データ'!FS$5:FS$7,"〇")</x:f>
        <x:v>3</x:v>
      </x:c>
      <x:c r="C7" s="94" t="n">
        <x:f>COUNTIFS('データ'!FS$5:FS$7,"〇",'データ'!HD$5:HD$7,"〇")</x:f>
        <x:v>2</x:v>
      </x:c>
      <x:c r="D7" s="94" t="n">
        <x:f>COUNTIFS('データ'!FS$5:FS$7,"〇",'データ'!HE$5:HE$7,"〇")</x:f>
        <x:v>3</x:v>
      </x:c>
      <x:c r="E7" s="94" t="n">
        <x:f>COUNTIFS('データ'!FS$5:FS$7,"〇",'データ'!HF$5:HF$7,"〇")</x:f>
        <x:v>1</x:v>
      </x:c>
      <x:c r="F7" s="94" t="n">
        <x:f>COUNTIFS('データ'!FS$5:FS$7,"〇",'データ'!HG$5:HG$7,"〇")</x:f>
        <x:v>1</x:v>
      </x:c>
      <x:c r="G7" s="94" t="n">
        <x:f>COUNTIFS('データ'!FS$5:FS$7,"〇",'データ'!HH$5:HH$7,"〇")</x:f>
        <x:v>3</x:v>
      </x:c>
      <x:c r="H7" s="94" t="n">
        <x:f>COUNTIFS('データ'!FS$5:FS$7,"〇",'データ'!HI$5:HI$7,"〇")</x:f>
        <x:v>2</x:v>
      </x:c>
      <x:c r="I7" s="94" t="n">
        <x:f>COUNTIFS('データ'!FS$5:FS$7,"〇",'データ'!HJ$5:HJ$7,"〇")</x:f>
        <x:v>1</x:v>
      </x:c>
      <x:c r="J7" s="94" t="n">
        <x:f>COUNTIFS('データ'!FS$5:FS$7,"〇",'データ'!HK$5:HK$7,"〇")</x:f>
        <x:v>1</x:v>
      </x:c>
      <x:c r="K7" s="94" t="n">
        <x:f>COUNTIFS('データ'!FS$5:FS$7,"〇",'データ'!HL$5:HL$7,"〇")</x:f>
        <x:v>0</x:v>
      </x:c>
    </x:row>
    <x:row r="8">
      <x:c r="A8" s="94" t="str">
        <x:v>友人・知人</x:v>
      </x:c>
      <x:c r="B8" s="109" t="n">
        <x:f>COUNTIF('データ'!FT$5:FT$7,"〇")</x:f>
        <x:v>0</x:v>
      </x:c>
      <x:c r="C8" s="94" t="n">
        <x:f>COUNTIFS('データ'!FT$5:FT$7,"〇",'データ'!HD$5:HD$7,"〇")</x:f>
        <x:v>0</x:v>
      </x:c>
      <x:c r="D8" s="94" t="n">
        <x:f>COUNTIFS('データ'!FT$5:FT$7,"〇",'データ'!HE$5:HE$7,"〇")</x:f>
        <x:v>0</x:v>
      </x:c>
      <x:c r="E8" s="94" t="n">
        <x:f>COUNTIFS('データ'!FT$5:FT$7,"〇",'データ'!HF$5:HF$7,"〇")</x:f>
        <x:v>0</x:v>
      </x:c>
      <x:c r="F8" s="94" t="n">
        <x:f>COUNTIFS('データ'!FT$5:FT$7,"〇",'データ'!HG$5:HG$7,"〇")</x:f>
        <x:v>0</x:v>
      </x:c>
      <x:c r="G8" s="94" t="n">
        <x:f>COUNTIFS('データ'!FT$5:FT$7,"〇",'データ'!HH$5:HH$7,"〇")</x:f>
        <x:v>0</x:v>
      </x:c>
      <x:c r="H8" s="94" t="n">
        <x:f>COUNTIFS('データ'!FT$5:FT$7,"〇",'データ'!HI$5:HI$7,"〇")</x:f>
        <x:v>0</x:v>
      </x:c>
      <x:c r="I8" s="94" t="n">
        <x:f>COUNTIFS('データ'!FT$5:FT$7,"〇",'データ'!HJ$5:HJ$7,"〇")</x:f>
        <x:v>0</x:v>
      </x:c>
      <x:c r="J8" s="94" t="n">
        <x:f>COUNTIFS('データ'!FT$5:FT$7,"〇",'データ'!HK$5:HK$7,"〇")</x:f>
        <x:v>0</x:v>
      </x:c>
      <x:c r="K8" s="94" t="n">
        <x:f>COUNTIFS('データ'!FT$5:FT$7,"〇",'データ'!HL$5:HL$7,"〇")</x:f>
        <x:v>0</x:v>
      </x:c>
    </x:row>
    <x:row r="9">
      <x:c r="A9" s="94" t="str">
        <x:v>村役場</x:v>
      </x:c>
      <x:c r="B9" s="109" t="n">
        <x:f>COUNTIF('データ'!FU$5:FU$7,"〇")</x:f>
        <x:v>0</x:v>
      </x:c>
      <x:c r="C9" s="94" t="n">
        <x:f>COUNTIFS('データ'!FU$5:FU$7,"〇",'データ'!HD$5:HD$7,"〇")</x:f>
        <x:v>0</x:v>
      </x:c>
      <x:c r="D9" s="94" t="n">
        <x:f>COUNTIFS('データ'!FU$5:FU$7,"〇",'データ'!HE$5:HE$7,"〇")</x:f>
        <x:v>0</x:v>
      </x:c>
      <x:c r="E9" s="94" t="n">
        <x:f>COUNTIFS('データ'!FU$5:FU$7,"〇",'データ'!HF$5:HF$7,"〇")</x:f>
        <x:v>0</x:v>
      </x:c>
      <x:c r="F9" s="94" t="n">
        <x:f>COUNTIFS('データ'!FU$5:FU$7,"〇",'データ'!HG$5:HG$7,"〇")</x:f>
        <x:v>0</x:v>
      </x:c>
      <x:c r="G9" s="94" t="n">
        <x:f>COUNTIFS('データ'!FU$5:FU$7,"〇",'データ'!HH$5:HH$7,"〇")</x:f>
        <x:v>0</x:v>
      </x:c>
      <x:c r="H9" s="94" t="n">
        <x:f>COUNTIFS('データ'!FU$5:FU$7,"〇",'データ'!HI$5:HI$7,"〇")</x:f>
        <x:v>0</x:v>
      </x:c>
      <x:c r="I9" s="94" t="n">
        <x:f>COUNTIFS('データ'!FU$5:FU$7,"〇",'データ'!HJ$5:HJ$7,"〇")</x:f>
        <x:v>0</x:v>
      </x:c>
      <x:c r="J9" s="94" t="n">
        <x:f>COUNTIFS('データ'!FU$5:FU$7,"〇",'データ'!HK$5:HK$7,"〇")</x:f>
        <x:v>0</x:v>
      </x:c>
      <x:c r="K9" s="94" t="n">
        <x:f>COUNTIFS('データ'!FU$5:FU$7,"〇",'データ'!HL$5:HL$7,"〇")</x:f>
        <x:v>0</x:v>
      </x:c>
    </x:row>
    <x:row r="10">
      <x:c r="A10" s="94" t="str">
        <x:v>相談支援専門員</x:v>
      </x:c>
      <x:c r="B10" s="109" t="n">
        <x:f>COUNTIF('データ'!FV$5:FV$7,"〇")</x:f>
        <x:v>1</x:v>
      </x:c>
      <x:c r="C10" s="94" t="n">
        <x:f>COUNTIFS('データ'!FV$5:FV$7,"〇",'データ'!HD$5:HD$7,"〇")</x:f>
        <x:v>0</x:v>
      </x:c>
      <x:c r="D10" s="94" t="n">
        <x:f>COUNTIFS('データ'!FV$5:FV$7,"〇",'データ'!HE$5:HE$7,"〇")</x:f>
        <x:v>1</x:v>
      </x:c>
      <x:c r="E10" s="94" t="n">
        <x:f>COUNTIFS('データ'!FV$5:FV$7,"〇",'データ'!HF$5:HF$7,"〇")</x:f>
        <x:v>0</x:v>
      </x:c>
      <x:c r="F10" s="94" t="n">
        <x:f>COUNTIFS('データ'!FV$5:FV$7,"〇",'データ'!HG$5:HG$7,"〇")</x:f>
        <x:v>0</x:v>
      </x:c>
      <x:c r="G10" s="94" t="n">
        <x:f>COUNTIFS('データ'!FV$5:FV$7,"〇",'データ'!HH$5:HH$7,"〇")</x:f>
        <x:v>1</x:v>
      </x:c>
      <x:c r="H10" s="94" t="n">
        <x:f>COUNTIFS('データ'!FV$5:FV$7,"〇",'データ'!HI$5:HI$7,"〇")</x:f>
        <x:v>0</x:v>
      </x:c>
      <x:c r="I10" s="94" t="n">
        <x:f>COUNTIFS('データ'!FV$5:FV$7,"〇",'データ'!HJ$5:HJ$7,"〇")</x:f>
        <x:v>0</x:v>
      </x:c>
      <x:c r="J10" s="94" t="n">
        <x:f>COUNTIFS('データ'!FV$5:FV$7,"〇",'データ'!HK$5:HK$7,"〇")</x:f>
        <x:v>0</x:v>
      </x:c>
      <x:c r="K10" s="94" t="n">
        <x:f>COUNTIFS('データ'!FV$5:FV$7,"〇",'データ'!HL$5:HL$7,"〇")</x:f>
        <x:v>0</x:v>
      </x:c>
    </x:row>
    <x:row r="11">
      <x:c r="A11" s="94" t="str">
        <x:v>福祉サービス事業所</x:v>
      </x:c>
      <x:c r="B11" s="109" t="n">
        <x:f>COUNTIF('データ'!FW$5:FW$7,"〇")</x:f>
        <x:v>0</x:v>
      </x:c>
      <x:c r="C11" s="94" t="n">
        <x:f>COUNTIFS('データ'!FW$5:FW$7,"〇",'データ'!HD$5:HD$7,"〇")</x:f>
        <x:v>0</x:v>
      </x:c>
      <x:c r="D11" s="94" t="n">
        <x:f>COUNTIFS('データ'!FW$5:FW$7,"〇",'データ'!HE$5:HE$7,"〇")</x:f>
        <x:v>0</x:v>
      </x:c>
      <x:c r="E11" s="94" t="n">
        <x:f>COUNTIFS('データ'!FW$5:FW$7,"〇",'データ'!HF$5:HF$7,"〇")</x:f>
        <x:v>0</x:v>
      </x:c>
      <x:c r="F11" s="94" t="n">
        <x:f>COUNTIFS('データ'!FW$5:FW$7,"〇",'データ'!HG$5:HG$7,"〇")</x:f>
        <x:v>0</x:v>
      </x:c>
      <x:c r="G11" s="94" t="n">
        <x:f>COUNTIFS('データ'!FW$5:FW$7,"〇",'データ'!HH$5:HH$7,"〇")</x:f>
        <x:v>0</x:v>
      </x:c>
      <x:c r="H11" s="94" t="n">
        <x:f>COUNTIFS('データ'!FW$5:FW$7,"〇",'データ'!HI$5:HI$7,"〇")</x:f>
        <x:v>0</x:v>
      </x:c>
      <x:c r="I11" s="94" t="n">
        <x:f>COUNTIFS('データ'!FW$5:FW$7,"〇",'データ'!HJ$5:HJ$7,"〇")</x:f>
        <x:v>0</x:v>
      </x:c>
      <x:c r="J11" s="94" t="n">
        <x:f>COUNTIFS('データ'!FW$5:FW$7,"〇",'データ'!HK$5:HK$7,"〇")</x:f>
        <x:v>0</x:v>
      </x:c>
      <x:c r="K11" s="94" t="n">
        <x:f>COUNTIFS('データ'!FW$5:FW$7,"〇",'データ'!HL$5:HL$7,"〇")</x:f>
        <x:v>0</x:v>
      </x:c>
    </x:row>
    <x:row r="12">
      <x:c r="A12" s="94" t="str">
        <x:v>医療機関</x:v>
      </x:c>
      <x:c r="B12" s="109" t="n">
        <x:f>COUNTIF('データ'!FX$5:FX$7,"〇")</x:f>
        <x:v>2</x:v>
      </x:c>
      <x:c r="C12" s="94" t="n">
        <x:f>COUNTIFS('データ'!FX$5:FX$7,"〇",'データ'!HD$5:HD$7,"〇")</x:f>
        <x:v>1</x:v>
      </x:c>
      <x:c r="D12" s="94" t="n">
        <x:f>COUNTIFS('データ'!FX$5:FX$7,"〇",'データ'!HE$5:HE$7,"〇")</x:f>
        <x:v>2</x:v>
      </x:c>
      <x:c r="E12" s="94" t="n">
        <x:f>COUNTIFS('データ'!FX$5:FX$7,"〇",'データ'!HF$5:HF$7,"〇")</x:f>
        <x:v>0</x:v>
      </x:c>
      <x:c r="F12" s="94" t="n">
        <x:f>COUNTIFS('データ'!FX$5:FX$7,"〇",'データ'!HG$5:HG$7,"〇")</x:f>
        <x:v>0</x:v>
      </x:c>
      <x:c r="G12" s="94" t="n">
        <x:f>COUNTIFS('データ'!FX$5:FX$7,"〇",'データ'!HH$5:HH$7,"〇")</x:f>
        <x:v>2</x:v>
      </x:c>
      <x:c r="H12" s="94" t="n">
        <x:f>COUNTIFS('データ'!FX$5:FX$7,"〇",'データ'!HI$5:HI$7,"〇")</x:f>
        <x:v>1</x:v>
      </x:c>
      <x:c r="I12" s="94" t="n">
        <x:f>COUNTIFS('データ'!FX$5:FX$7,"〇",'データ'!HJ$5:HJ$7,"〇")</x:f>
        <x:v>0</x:v>
      </x:c>
      <x:c r="J12" s="94" t="n">
        <x:f>COUNTIFS('データ'!FX$5:FX$7,"〇",'データ'!HK$5:HK$7,"〇")</x:f>
        <x:v>0</x:v>
      </x:c>
      <x:c r="K12" s="94" t="n">
        <x:f>COUNTIFS('データ'!FX$5:FX$7,"〇",'データ'!HL$5:HL$7,"〇")</x:f>
        <x:v>0</x:v>
      </x:c>
    </x:row>
    <x:row r="13">
      <x:c r="A13" s="94" t="str">
        <x:v>学校・保育所等</x:v>
      </x:c>
      <x:c r="B13" s="109" t="n">
        <x:f>COUNTIF('データ'!FY$5:FY$7,"〇")</x:f>
        <x:v>0</x:v>
      </x:c>
      <x:c r="C13" s="94" t="n">
        <x:f>COUNTIFS('データ'!FY$5:FY$7,"〇",'データ'!HD$5:HD$7,"〇")</x:f>
        <x:v>0</x:v>
      </x:c>
      <x:c r="D13" s="94" t="n">
        <x:f>COUNTIFS('データ'!FY$5:FY$7,"〇",'データ'!HE$5:HE$7,"〇")</x:f>
        <x:v>0</x:v>
      </x:c>
      <x:c r="E13" s="94" t="n">
        <x:f>COUNTIFS('データ'!FY$5:FY$7,"〇",'データ'!HF$5:HF$7,"〇")</x:f>
        <x:v>0</x:v>
      </x:c>
      <x:c r="F13" s="94" t="n">
        <x:f>COUNTIFS('データ'!FY$5:FY$7,"〇",'データ'!HG$5:HG$7,"〇")</x:f>
        <x:v>0</x:v>
      </x:c>
      <x:c r="G13" s="94" t="n">
        <x:f>COUNTIFS('データ'!FY$5:FY$7,"〇",'データ'!HH$5:HH$7,"〇")</x:f>
        <x:v>0</x:v>
      </x:c>
      <x:c r="H13" s="94" t="n">
        <x:f>COUNTIFS('データ'!FY$5:FY$7,"〇",'データ'!HI$5:HI$7,"〇")</x:f>
        <x:v>0</x:v>
      </x:c>
      <x:c r="I13" s="94" t="n">
        <x:f>COUNTIFS('データ'!FY$5:FY$7,"〇",'データ'!HJ$5:HJ$7,"〇")</x:f>
        <x:v>0</x:v>
      </x:c>
      <x:c r="J13" s="94" t="n">
        <x:f>COUNTIFS('データ'!FY$5:FY$7,"〇",'データ'!HK$5:HK$7,"〇")</x:f>
        <x:v>0</x:v>
      </x:c>
      <x:c r="K13" s="94" t="n">
        <x:f>COUNTIFS('データ'!FY$5:FY$7,"〇",'データ'!HL$5:HL$7,"〇")</x:f>
        <x:v>0</x:v>
      </x:c>
    </x:row>
    <x:row r="14">
      <x:c r="A14" s="94" t="str">
        <x:v>SNS・インターネット・AI</x:v>
      </x:c>
      <x:c r="B14" s="109" t="n">
        <x:f>COUNTIF('データ'!FZ$5:FZ$7,"〇")</x:f>
        <x:v>0</x:v>
      </x:c>
      <x:c r="C14" s="94" t="n">
        <x:f>COUNTIFS('データ'!FZ$5:FZ$7,"〇",'データ'!HD$5:HD$7,"〇")</x:f>
        <x:v>0</x:v>
      </x:c>
      <x:c r="D14" s="94" t="n">
        <x:f>COUNTIFS('データ'!FZ$5:FZ$7,"〇",'データ'!HE$5:HE$7,"〇")</x:f>
        <x:v>0</x:v>
      </x:c>
      <x:c r="E14" s="94" t="n">
        <x:f>COUNTIFS('データ'!FZ$5:FZ$7,"〇",'データ'!HF$5:HF$7,"〇")</x:f>
        <x:v>0</x:v>
      </x:c>
      <x:c r="F14" s="94" t="n">
        <x:f>COUNTIFS('データ'!FZ$5:FZ$7,"〇",'データ'!HG$5:HG$7,"〇")</x:f>
        <x:v>0</x:v>
      </x:c>
      <x:c r="G14" s="94" t="n">
        <x:f>COUNTIFS('データ'!FZ$5:FZ$7,"〇",'データ'!HH$5:HH$7,"〇")</x:f>
        <x:v>0</x:v>
      </x:c>
      <x:c r="H14" s="94" t="n">
        <x:f>COUNTIFS('データ'!FZ$5:FZ$7,"〇",'データ'!HI$5:HI$7,"〇")</x:f>
        <x:v>0</x:v>
      </x:c>
      <x:c r="I14" s="94" t="n">
        <x:f>COUNTIFS('データ'!FZ$5:FZ$7,"〇",'データ'!HJ$5:HJ$7,"〇")</x:f>
        <x:v>0</x:v>
      </x:c>
      <x:c r="J14" s="94" t="n">
        <x:f>COUNTIFS('データ'!FZ$5:FZ$7,"〇",'データ'!HK$5:HK$7,"〇")</x:f>
        <x:v>0</x:v>
      </x:c>
      <x:c r="K14" s="94" t="n">
        <x:f>COUNTIFS('データ'!FZ$5:FZ$7,"〇",'データ'!HL$5:HL$7,"〇")</x:f>
        <x:v>0</x:v>
      </x:c>
    </x:row>
    <x:row r="15">
      <x:c r="A15" s="94" t="str">
        <x:v>社会福祉協議会</x:v>
      </x:c>
      <x:c r="B15" s="109" t="n">
        <x:f>COUNTIF('データ'!GA$5:GA$7,"〇")</x:f>
        <x:v>0</x:v>
      </x:c>
      <x:c r="C15" s="94" t="n">
        <x:f>COUNTIFS('データ'!GA$5:GA$7,"〇",'データ'!HD$5:HD$7,"〇")</x:f>
        <x:v>0</x:v>
      </x:c>
      <x:c r="D15" s="94" t="n">
        <x:f>COUNTIFS('データ'!GA$5:GA$7,"〇",'データ'!HE$5:HE$7,"〇")</x:f>
        <x:v>0</x:v>
      </x:c>
      <x:c r="E15" s="94" t="n">
        <x:f>COUNTIFS('データ'!GA$5:GA$7,"〇",'データ'!HF$5:HF$7,"〇")</x:f>
        <x:v>0</x:v>
      </x:c>
      <x:c r="F15" s="94" t="n">
        <x:f>COUNTIFS('データ'!GA$5:GA$7,"〇",'データ'!HG$5:HG$7,"〇")</x:f>
        <x:v>0</x:v>
      </x:c>
      <x:c r="G15" s="94" t="n">
        <x:f>COUNTIFS('データ'!GA$5:GA$7,"〇",'データ'!HH$5:HH$7,"〇")</x:f>
        <x:v>0</x:v>
      </x:c>
      <x:c r="H15" s="94" t="n">
        <x:f>COUNTIFS('データ'!GA$5:GA$7,"〇",'データ'!HI$5:HI$7,"〇")</x:f>
        <x:v>0</x:v>
      </x:c>
      <x:c r="I15" s="94" t="n">
        <x:f>COUNTIFS('データ'!GA$5:GA$7,"〇",'データ'!HJ$5:HJ$7,"〇")</x:f>
        <x:v>0</x:v>
      </x:c>
      <x:c r="J15" s="94" t="n">
        <x:f>COUNTIFS('データ'!GA$5:GA$7,"〇",'データ'!HK$5:HK$7,"〇")</x:f>
        <x:v>0</x:v>
      </x:c>
      <x:c r="K15" s="94" t="n">
        <x:f>COUNTIFS('データ'!GA$5:GA$7,"〇",'データ'!HL$5:HL$7,"〇")</x:f>
        <x:v>0</x:v>
      </x:c>
    </x:row>
    <x:row r="16">
      <x:c r="A16" s="94" t="str">
        <x:v>民生委員・児童委員</x:v>
      </x:c>
      <x:c r="B16" s="109" t="n">
        <x:f>COUNTIF('データ'!GB$5:GB$7,"〇")</x:f>
        <x:v>0</x:v>
      </x:c>
      <x:c r="C16" s="94" t="n">
        <x:f>COUNTIFS('データ'!GB$5:GB$7,"〇",'データ'!HD$5:HD$7,"〇")</x:f>
        <x:v>0</x:v>
      </x:c>
      <x:c r="D16" s="94" t="n">
        <x:f>COUNTIFS('データ'!GB$5:GB$7,"〇",'データ'!HE$5:HE$7,"〇")</x:f>
        <x:v>0</x:v>
      </x:c>
      <x:c r="E16" s="94" t="n">
        <x:f>COUNTIFS('データ'!GB$5:GB$7,"〇",'データ'!HF$5:HF$7,"〇")</x:f>
        <x:v>0</x:v>
      </x:c>
      <x:c r="F16" s="94" t="n">
        <x:f>COUNTIFS('データ'!GB$5:GB$7,"〇",'データ'!HG$5:HG$7,"〇")</x:f>
        <x:v>0</x:v>
      </x:c>
      <x:c r="G16" s="94" t="n">
        <x:f>COUNTIFS('データ'!GB$5:GB$7,"〇",'データ'!HH$5:HH$7,"〇")</x:f>
        <x:v>0</x:v>
      </x:c>
      <x:c r="H16" s="94" t="n">
        <x:f>COUNTIFS('データ'!GB$5:GB$7,"〇",'データ'!HI$5:HI$7,"〇")</x:f>
        <x:v>0</x:v>
      </x:c>
      <x:c r="I16" s="94" t="n">
        <x:f>COUNTIFS('データ'!GB$5:GB$7,"〇",'データ'!HJ$5:HJ$7,"〇")</x:f>
        <x:v>0</x:v>
      </x:c>
      <x:c r="J16" s="94" t="n">
        <x:f>COUNTIFS('データ'!GB$5:GB$7,"〇",'データ'!HK$5:HK$7,"〇")</x:f>
        <x:v>0</x:v>
      </x:c>
      <x:c r="K16" s="94" t="n">
        <x:f>COUNTIFS('データ'!GB$5:GB$7,"〇",'データ'!HL$5:HL$7,"〇")</x:f>
        <x:v>0</x:v>
      </x:c>
    </x:row>
    <x:row r="17">
      <x:c r="A17" s="94" t="str">
        <x:v>相談する相手がいない</x:v>
      </x:c>
      <x:c r="B17" s="109" t="n">
        <x:f>COUNTIF('データ'!GC$5:GC$7,"〇")</x:f>
        <x:v>0</x:v>
      </x:c>
      <x:c r="C17" s="94" t="n">
        <x:f>COUNTIFS('データ'!GC$5:GC$7,"〇",'データ'!HD$5:HD$7,"〇")</x:f>
        <x:v>0</x:v>
      </x:c>
      <x:c r="D17" s="94" t="n">
        <x:f>COUNTIFS('データ'!GC$5:GC$7,"〇",'データ'!HE$5:HE$7,"〇")</x:f>
        <x:v>0</x:v>
      </x:c>
      <x:c r="E17" s="94" t="n">
        <x:f>COUNTIFS('データ'!GC$5:GC$7,"〇",'データ'!HF$5:HF$7,"〇")</x:f>
        <x:v>0</x:v>
      </x:c>
      <x:c r="F17" s="94" t="n">
        <x:f>COUNTIFS('データ'!GC$5:GC$7,"〇",'データ'!HG$5:HG$7,"〇")</x:f>
        <x:v>0</x:v>
      </x:c>
      <x:c r="G17" s="94" t="n">
        <x:f>COUNTIFS('データ'!GC$5:GC$7,"〇",'データ'!HH$5:HH$7,"〇")</x:f>
        <x:v>0</x:v>
      </x:c>
      <x:c r="H17" s="94" t="n">
        <x:f>COUNTIFS('データ'!GC$5:GC$7,"〇",'データ'!HI$5:HI$7,"〇")</x:f>
        <x:v>0</x:v>
      </x:c>
      <x:c r="I17" s="94" t="n">
        <x:f>COUNTIFS('データ'!GC$5:GC$7,"〇",'データ'!HJ$5:HJ$7,"〇")</x:f>
        <x:v>0</x:v>
      </x:c>
      <x:c r="J17" s="94" t="n">
        <x:f>COUNTIFS('データ'!GC$5:GC$7,"〇",'データ'!HK$5:HK$7,"〇")</x:f>
        <x:v>0</x:v>
      </x:c>
      <x:c r="K17" s="94" t="n">
        <x:f>COUNTIFS('データ'!GC$5:GC$7,"〇",'データ'!HL$5:HL$7,"〇")</x:f>
        <x:v>0</x:v>
      </x:c>
    </x:row>
    <x:row r="18">
      <x:c r="A18" s="94" t="str">
        <x:v>その他</x:v>
      </x:c>
      <x:c r="B18" s="109" t="n">
        <x:f>COUNTIF('データ'!GD$5:GD$7,"〇")</x:f>
        <x:v>1</x:v>
      </x:c>
      <x:c r="C18" s="94" t="n">
        <x:f>COUNTIFS('データ'!GD$5:GD$7,"〇",'データ'!HD$5:HD$7,"〇")</x:f>
        <x:v>1</x:v>
      </x:c>
      <x:c r="D18" s="94" t="n">
        <x:f>COUNTIFS('データ'!GD$5:GD$7,"〇",'データ'!HE$5:HE$7,"〇")</x:f>
        <x:v>1</x:v>
      </x:c>
      <x:c r="E18" s="94" t="n">
        <x:f>COUNTIFS('データ'!GD$5:GD$7,"〇",'データ'!HF$5:HF$7,"〇")</x:f>
        <x:v>0</x:v>
      </x:c>
      <x:c r="F18" s="94" t="n">
        <x:f>COUNTIFS('データ'!GD$5:GD$7,"〇",'データ'!HG$5:HG$7,"〇")</x:f>
        <x:v>0</x:v>
      </x:c>
      <x:c r="G18" s="94" t="n">
        <x:f>COUNTIFS('データ'!GD$5:GD$7,"〇",'データ'!HH$5:HH$7,"〇")</x:f>
        <x:v>1</x:v>
      </x:c>
      <x:c r="H18" s="94" t="n">
        <x:f>COUNTIFS('データ'!GD$5:GD$7,"〇",'データ'!HI$5:HI$7,"〇")</x:f>
        <x:v>1</x:v>
      </x:c>
      <x:c r="I18" s="94" t="n">
        <x:f>COUNTIFS('データ'!GD$5:GD$7,"〇",'データ'!HJ$5:HJ$7,"〇")</x:f>
        <x:v>0</x:v>
      </x:c>
      <x:c r="J18" s="94" t="n">
        <x:f>COUNTIFS('データ'!GD$5:GD$7,"〇",'データ'!HK$5:HK$7,"〇")</x:f>
        <x:v>0</x:v>
      </x:c>
      <x:c r="K18" s="94" t="n">
        <x:f>COUNTIFS('データ'!GD$5:GD$7,"〇",'データ'!HL$5:HL$7,"〇")</x:f>
        <x:v>0</x:v>
      </x:c>
    </x:row>
    <x:row r="21">
      <x:c r="A21" s="99" t="str">
        <x:v>行％（各行のnを100％とした割合）</x:v>
      </x:c>
      <x:c r="B21" s="99"/>
      <x:c r="C21" s="99"/>
      <x:c r="D21" s="99"/>
      <x:c r="E21" s="99"/>
      <x:c r="F21" s="99"/>
      <x:c r="G21" s="99"/>
      <x:c r="H21" s="99"/>
      <x:c r="I21" s="99"/>
      <x:c r="J21" s="99"/>
      <x:c r="K21" s="99"/>
    </x:row>
    <x:row r="22">
      <x:c r="A22" s="86" t="str">
        <x:v>行区分</x:v>
      </x:c>
      <x:c r="B22" s="86" t="str">
        <x:v>n</x:v>
      </x:c>
      <x:c r="C22" s="86" t="str">
        <x:v>サービス利用の相談</x:v>
      </x:c>
      <x:c r="D22" s="86" t="str">
        <x:v>将来の暮らしの相談</x:v>
      </x:c>
      <x:c r="E22" s="86" t="str">
        <x:v>日中活動の相談</x:v>
      </x:c>
      <x:c r="F22" s="86" t="str">
        <x:v>障がい児・発達の相談</x:v>
      </x:c>
      <x:c r="G22" s="86" t="str">
        <x:v>医療・通院の相談</x:v>
      </x:c>
      <x:c r="H22" s="86" t="str">
        <x:v>家族の負担軽減</x:v>
      </x:c>
      <x:c r="I22" s="86" t="str">
        <x:v>緊急時の相談</x:v>
      </x:c>
      <x:c r="J22" s="86" t="str">
        <x:v>わかりやすい情報提供</x:v>
      </x:c>
      <x:c r="K22" s="86" t="str">
        <x:v>その他</x:v>
      </x:c>
    </x:row>
    <x:row r="23">
      <x:c r="A23" s="94" t="str">
        <x:v>家族・親族</x:v>
      </x:c>
      <x:c r="B23" s="109" t="n">
        <x:f>B7</x:f>
        <x:v>3</x:v>
      </x:c>
      <x:c r="C23" s="104" t="n">
        <x:f>IF(B7=0,"",C7/B7)</x:f>
        <x:v>0.6666666666666666</x:v>
      </x:c>
      <x:c r="D23" s="104" t="n">
        <x:f>IF(B7=0,"",D7/B7)</x:f>
        <x:v>1</x:v>
      </x:c>
      <x:c r="E23" s="104" t="n">
        <x:f>IF(B7=0,"",E7/B7)</x:f>
        <x:v>0.3333333333333333</x:v>
      </x:c>
      <x:c r="F23" s="104" t="n">
        <x:f>IF(B7=0,"",F7/B7)</x:f>
        <x:v>0.3333333333333333</x:v>
      </x:c>
      <x:c r="G23" s="104" t="n">
        <x:f>IF(B7=0,"",G7/B7)</x:f>
        <x:v>1</x:v>
      </x:c>
      <x:c r="H23" s="104" t="n">
        <x:f>IF(B7=0,"",H7/B7)</x:f>
        <x:v>0.6666666666666666</x:v>
      </x:c>
      <x:c r="I23" s="104" t="n">
        <x:f>IF(B7=0,"",I7/B7)</x:f>
        <x:v>0.3333333333333333</x:v>
      </x:c>
      <x:c r="J23" s="104" t="n">
        <x:f>IF(B7=0,"",J7/B7)</x:f>
        <x:v>0.3333333333333333</x:v>
      </x:c>
      <x:c r="K23" s="104" t="n">
        <x:f>IF(B7=0,"",K7/B7)</x:f>
        <x:v>0</x:v>
      </x:c>
    </x:row>
    <x:row r="24">
      <x:c r="A24" s="94" t="str">
        <x:v>友人・知人</x:v>
      </x:c>
      <x:c r="B24" s="109" t="n">
        <x:f>B8</x:f>
        <x:v>0</x:v>
      </x:c>
      <x:c r="C24" s="104" t="str">
        <x:f>IF(B8=0,"",C8/B8)</x:f>
      </x:c>
      <x:c r="D24" s="104" t="str">
        <x:f>IF(B8=0,"",D8/B8)</x:f>
      </x:c>
      <x:c r="E24" s="104" t="str">
        <x:f>IF(B8=0,"",E8/B8)</x:f>
      </x:c>
      <x:c r="F24" s="104" t="str">
        <x:f>IF(B8=0,"",F8/B8)</x:f>
      </x:c>
      <x:c r="G24" s="104" t="str">
        <x:f>IF(B8=0,"",G8/B8)</x:f>
      </x:c>
      <x:c r="H24" s="104" t="str">
        <x:f>IF(B8=0,"",H8/B8)</x:f>
      </x:c>
      <x:c r="I24" s="104" t="str">
        <x:f>IF(B8=0,"",I8/B8)</x:f>
      </x:c>
      <x:c r="J24" s="104" t="str">
        <x:f>IF(B8=0,"",J8/B8)</x:f>
      </x:c>
      <x:c r="K24" s="104" t="str">
        <x:f>IF(B8=0,"",K8/B8)</x:f>
      </x:c>
    </x:row>
    <x:row r="25">
      <x:c r="A25" s="94" t="str">
        <x:v>村役場</x:v>
      </x:c>
      <x:c r="B25" s="109" t="n">
        <x:f>B9</x:f>
        <x:v>0</x:v>
      </x:c>
      <x:c r="C25" s="104" t="str">
        <x:f>IF(B9=0,"",C9/B9)</x:f>
      </x:c>
      <x:c r="D25" s="104" t="str">
        <x:f>IF(B9=0,"",D9/B9)</x:f>
      </x:c>
      <x:c r="E25" s="104" t="str">
        <x:f>IF(B9=0,"",E9/B9)</x:f>
      </x:c>
      <x:c r="F25" s="104" t="str">
        <x:f>IF(B9=0,"",F9/B9)</x:f>
      </x:c>
      <x:c r="G25" s="104" t="str">
        <x:f>IF(B9=0,"",G9/B9)</x:f>
      </x:c>
      <x:c r="H25" s="104" t="str">
        <x:f>IF(B9=0,"",H9/B9)</x:f>
      </x:c>
      <x:c r="I25" s="104" t="str">
        <x:f>IF(B9=0,"",I9/B9)</x:f>
      </x:c>
      <x:c r="J25" s="104" t="str">
        <x:f>IF(B9=0,"",J9/B9)</x:f>
      </x:c>
      <x:c r="K25" s="104" t="str">
        <x:f>IF(B9=0,"",K9/B9)</x:f>
      </x:c>
    </x:row>
    <x:row r="26">
      <x:c r="A26" s="94" t="str">
        <x:v>相談支援専門員</x:v>
      </x:c>
      <x:c r="B26" s="109" t="n">
        <x:f>B10</x:f>
        <x:v>1</x:v>
      </x:c>
      <x:c r="C26" s="104" t="n">
        <x:f>IF(B10=0,"",C10/B10)</x:f>
        <x:v>0</x:v>
      </x:c>
      <x:c r="D26" s="104" t="n">
        <x:f>IF(B10=0,"",D10/B10)</x:f>
        <x:v>1</x:v>
      </x:c>
      <x:c r="E26" s="104" t="n">
        <x:f>IF(B10=0,"",E10/B10)</x:f>
        <x:v>0</x:v>
      </x:c>
      <x:c r="F26" s="104" t="n">
        <x:f>IF(B10=0,"",F10/B10)</x:f>
        <x:v>0</x:v>
      </x:c>
      <x:c r="G26" s="104" t="n">
        <x:f>IF(B10=0,"",G10/B10)</x:f>
        <x:v>1</x:v>
      </x:c>
      <x:c r="H26" s="104" t="n">
        <x:f>IF(B10=0,"",H10/B10)</x:f>
        <x:v>0</x:v>
      </x:c>
      <x:c r="I26" s="104" t="n">
        <x:f>IF(B10=0,"",I10/B10)</x:f>
        <x:v>0</x:v>
      </x:c>
      <x:c r="J26" s="104" t="n">
        <x:f>IF(B10=0,"",J10/B10)</x:f>
        <x:v>0</x:v>
      </x:c>
      <x:c r="K26" s="104" t="n">
        <x:f>IF(B10=0,"",K10/B10)</x:f>
        <x:v>0</x:v>
      </x:c>
    </x:row>
    <x:row r="27">
      <x:c r="A27" s="94" t="str">
        <x:v>福祉サービス事業所</x:v>
      </x:c>
      <x:c r="B27" s="109" t="n">
        <x:f>B11</x:f>
        <x:v>0</x:v>
      </x:c>
      <x:c r="C27" s="104" t="str">
        <x:f>IF(B11=0,"",C11/B11)</x:f>
      </x:c>
      <x:c r="D27" s="104" t="str">
        <x:f>IF(B11=0,"",D11/B11)</x:f>
      </x:c>
      <x:c r="E27" s="104" t="str">
        <x:f>IF(B11=0,"",E11/B11)</x:f>
      </x:c>
      <x:c r="F27" s="104" t="str">
        <x:f>IF(B11=0,"",F11/B11)</x:f>
      </x:c>
      <x:c r="G27" s="104" t="str">
        <x:f>IF(B11=0,"",G11/B11)</x:f>
      </x:c>
      <x:c r="H27" s="104" t="str">
        <x:f>IF(B11=0,"",H11/B11)</x:f>
      </x:c>
      <x:c r="I27" s="104" t="str">
        <x:f>IF(B11=0,"",I11/B11)</x:f>
      </x:c>
      <x:c r="J27" s="104" t="str">
        <x:f>IF(B11=0,"",J11/B11)</x:f>
      </x:c>
      <x:c r="K27" s="104" t="str">
        <x:f>IF(B11=0,"",K11/B11)</x:f>
      </x:c>
    </x:row>
    <x:row r="28">
      <x:c r="A28" s="94" t="str">
        <x:v>医療機関</x:v>
      </x:c>
      <x:c r="B28" s="109" t="n">
        <x:f>B12</x:f>
        <x:v>2</x:v>
      </x:c>
      <x:c r="C28" s="104" t="n">
        <x:f>IF(B12=0,"",C12/B12)</x:f>
        <x:v>0.5</x:v>
      </x:c>
      <x:c r="D28" s="104" t="n">
        <x:f>IF(B12=0,"",D12/B12)</x:f>
        <x:v>1</x:v>
      </x:c>
      <x:c r="E28" s="104" t="n">
        <x:f>IF(B12=0,"",E12/B12)</x:f>
        <x:v>0</x:v>
      </x:c>
      <x:c r="F28" s="104" t="n">
        <x:f>IF(B12=0,"",F12/B12)</x:f>
        <x:v>0</x:v>
      </x:c>
      <x:c r="G28" s="104" t="n">
        <x:f>IF(B12=0,"",G12/B12)</x:f>
        <x:v>1</x:v>
      </x:c>
      <x:c r="H28" s="104" t="n">
        <x:f>IF(B12=0,"",H12/B12)</x:f>
        <x:v>0.5</x:v>
      </x:c>
      <x:c r="I28" s="104" t="n">
        <x:f>IF(B12=0,"",I12/B12)</x:f>
        <x:v>0</x:v>
      </x:c>
      <x:c r="J28" s="104" t="n">
        <x:f>IF(B12=0,"",J12/B12)</x:f>
        <x:v>0</x:v>
      </x:c>
      <x:c r="K28" s="104" t="n">
        <x:f>IF(B12=0,"",K12/B12)</x:f>
        <x:v>0</x:v>
      </x:c>
    </x:row>
    <x:row r="29">
      <x:c r="A29" s="94" t="str">
        <x:v>学校・保育所等</x:v>
      </x:c>
      <x:c r="B29" s="109" t="n">
        <x:f>B13</x:f>
        <x:v>0</x:v>
      </x:c>
      <x:c r="C29" s="104" t="str">
        <x:f>IF(B13=0,"",C13/B13)</x:f>
      </x:c>
      <x:c r="D29" s="104" t="str">
        <x:f>IF(B13=0,"",D13/B13)</x:f>
      </x:c>
      <x:c r="E29" s="104" t="str">
        <x:f>IF(B13=0,"",E13/B13)</x:f>
      </x:c>
      <x:c r="F29" s="104" t="str">
        <x:f>IF(B13=0,"",F13/B13)</x:f>
      </x:c>
      <x:c r="G29" s="104" t="str">
        <x:f>IF(B13=0,"",G13/B13)</x:f>
      </x:c>
      <x:c r="H29" s="104" t="str">
        <x:f>IF(B13=0,"",H13/B13)</x:f>
      </x:c>
      <x:c r="I29" s="104" t="str">
        <x:f>IF(B13=0,"",I13/B13)</x:f>
      </x:c>
      <x:c r="J29" s="104" t="str">
        <x:f>IF(B13=0,"",J13/B13)</x:f>
      </x:c>
      <x:c r="K29" s="104" t="str">
        <x:f>IF(B13=0,"",K13/B13)</x:f>
      </x:c>
    </x:row>
    <x:row r="30">
      <x:c r="A30" s="94" t="str">
        <x:v>SNS・インターネット・AI</x:v>
      </x:c>
      <x:c r="B30" s="109" t="n">
        <x:f>B14</x:f>
        <x:v>0</x:v>
      </x:c>
      <x:c r="C30" s="104" t="str">
        <x:f>IF(B14=0,"",C14/B14)</x:f>
      </x:c>
      <x:c r="D30" s="104" t="str">
        <x:f>IF(B14=0,"",D14/B14)</x:f>
      </x:c>
      <x:c r="E30" s="104" t="str">
        <x:f>IF(B14=0,"",E14/B14)</x:f>
      </x:c>
      <x:c r="F30" s="104" t="str">
        <x:f>IF(B14=0,"",F14/B14)</x:f>
      </x:c>
      <x:c r="G30" s="104" t="str">
        <x:f>IF(B14=0,"",G14/B14)</x:f>
      </x:c>
      <x:c r="H30" s="104" t="str">
        <x:f>IF(B14=0,"",H14/B14)</x:f>
      </x:c>
      <x:c r="I30" s="104" t="str">
        <x:f>IF(B14=0,"",I14/B14)</x:f>
      </x:c>
      <x:c r="J30" s="104" t="str">
        <x:f>IF(B14=0,"",J14/B14)</x:f>
      </x:c>
      <x:c r="K30" s="104" t="str">
        <x:f>IF(B14=0,"",K14/B14)</x:f>
      </x:c>
    </x:row>
    <x:row r="31">
      <x:c r="A31" s="94" t="str">
        <x:v>社会福祉協議会</x:v>
      </x:c>
      <x:c r="B31" s="109" t="n">
        <x:f>B15</x:f>
        <x:v>0</x:v>
      </x:c>
      <x:c r="C31" s="104" t="str">
        <x:f>IF(B15=0,"",C15/B15)</x:f>
      </x:c>
      <x:c r="D31" s="104" t="str">
        <x:f>IF(B15=0,"",D15/B15)</x:f>
      </x:c>
      <x:c r="E31" s="104" t="str">
        <x:f>IF(B15=0,"",E15/B15)</x:f>
      </x:c>
      <x:c r="F31" s="104" t="str">
        <x:f>IF(B15=0,"",F15/B15)</x:f>
      </x:c>
      <x:c r="G31" s="104" t="str">
        <x:f>IF(B15=0,"",G15/B15)</x:f>
      </x:c>
      <x:c r="H31" s="104" t="str">
        <x:f>IF(B15=0,"",H15/B15)</x:f>
      </x:c>
      <x:c r="I31" s="104" t="str">
        <x:f>IF(B15=0,"",I15/B15)</x:f>
      </x:c>
      <x:c r="J31" s="104" t="str">
        <x:f>IF(B15=0,"",J15/B15)</x:f>
      </x:c>
      <x:c r="K31" s="104" t="str">
        <x:f>IF(B15=0,"",K15/B15)</x:f>
      </x:c>
    </x:row>
    <x:row r="32">
      <x:c r="A32" s="94" t="str">
        <x:v>民生委員・児童委員</x:v>
      </x:c>
      <x:c r="B32" s="109" t="n">
        <x:f>B16</x:f>
        <x:v>0</x:v>
      </x:c>
      <x:c r="C32" s="104" t="str">
        <x:f>IF(B16=0,"",C16/B16)</x:f>
      </x:c>
      <x:c r="D32" s="104" t="str">
        <x:f>IF(B16=0,"",D16/B16)</x:f>
      </x:c>
      <x:c r="E32" s="104" t="str">
        <x:f>IF(B16=0,"",E16/B16)</x:f>
      </x:c>
      <x:c r="F32" s="104" t="str">
        <x:f>IF(B16=0,"",F16/B16)</x:f>
      </x:c>
      <x:c r="G32" s="104" t="str">
        <x:f>IF(B16=0,"",G16/B16)</x:f>
      </x:c>
      <x:c r="H32" s="104" t="str">
        <x:f>IF(B16=0,"",H16/B16)</x:f>
      </x:c>
      <x:c r="I32" s="104" t="str">
        <x:f>IF(B16=0,"",I16/B16)</x:f>
      </x:c>
      <x:c r="J32" s="104" t="str">
        <x:f>IF(B16=0,"",J16/B16)</x:f>
      </x:c>
      <x:c r="K32" s="104" t="str">
        <x:f>IF(B16=0,"",K16/B16)</x:f>
      </x:c>
    </x:row>
    <x:row r="33">
      <x:c r="A33" s="94" t="str">
        <x:v>相談する相手がいない</x:v>
      </x:c>
      <x:c r="B33" s="109" t="n">
        <x:f>B17</x:f>
        <x:v>0</x:v>
      </x:c>
      <x:c r="C33" s="104" t="str">
        <x:f>IF(B17=0,"",C17/B17)</x:f>
      </x:c>
      <x:c r="D33" s="104" t="str">
        <x:f>IF(B17=0,"",D17/B17)</x:f>
      </x:c>
      <x:c r="E33" s="104" t="str">
        <x:f>IF(B17=0,"",E17/B17)</x:f>
      </x:c>
      <x:c r="F33" s="104" t="str">
        <x:f>IF(B17=0,"",F17/B17)</x:f>
      </x:c>
      <x:c r="G33" s="104" t="str">
        <x:f>IF(B17=0,"",G17/B17)</x:f>
      </x:c>
      <x:c r="H33" s="104" t="str">
        <x:f>IF(B17=0,"",H17/B17)</x:f>
      </x:c>
      <x:c r="I33" s="104" t="str">
        <x:f>IF(B17=0,"",I17/B17)</x:f>
      </x:c>
      <x:c r="J33" s="104" t="str">
        <x:f>IF(B17=0,"",J17/B17)</x:f>
      </x:c>
      <x:c r="K33" s="104" t="str">
        <x:f>IF(B17=0,"",K17/B17)</x:f>
      </x:c>
    </x:row>
    <x:row r="34">
      <x:c r="A34" s="94" t="str">
        <x:v>その他</x:v>
      </x:c>
      <x:c r="B34" s="109" t="n">
        <x:f>B18</x:f>
        <x:v>1</x:v>
      </x:c>
      <x:c r="C34" s="104" t="n">
        <x:f>IF(B18=0,"",C18/B18)</x:f>
        <x:v>1</x:v>
      </x:c>
      <x:c r="D34" s="104" t="n">
        <x:f>IF(B18=0,"",D18/B18)</x:f>
        <x:v>1</x:v>
      </x:c>
      <x:c r="E34" s="104" t="n">
        <x:f>IF(B18=0,"",E18/B18)</x:f>
        <x:v>0</x:v>
      </x:c>
      <x:c r="F34" s="104" t="n">
        <x:f>IF(B18=0,"",F18/B18)</x:f>
        <x:v>0</x:v>
      </x:c>
      <x:c r="G34" s="104" t="n">
        <x:f>IF(B18=0,"",G18/B18)</x:f>
        <x:v>1</x:v>
      </x:c>
      <x:c r="H34" s="104" t="n">
        <x:f>IF(B18=0,"",H18/B18)</x:f>
        <x:v>1</x:v>
      </x:c>
      <x:c r="I34" s="104" t="n">
        <x:f>IF(B18=0,"",I18/B18)</x:f>
        <x:v>0</x:v>
      </x:c>
      <x:c r="J34" s="104" t="n">
        <x:f>IF(B18=0,"",J18/B18)</x:f>
        <x:v>0</x:v>
      </x:c>
      <x:c r="K34" s="104" t="n">
        <x:f>IF(B18=0,"",K18/B18)</x:f>
        <x:v>0</x:v>
      </x:c>
    </x:row>
  </x:sheetData>
  <x:mergeCells>
    <x:mergeCell ref="A1:K1"/>
    <x:mergeCell ref="A3:K3"/>
    <x:mergeCell ref="A4:K4"/>
    <x:mergeCell ref="A21:K21"/>
  </x:mergeCells>
  <x:pageMargins left="0.7" right="0.7" top="0.75" bottom="0.75" header="0.3" footer="0.3"/>
</x:worksheet>
</file>

<file path=xl/worksheets/sheet15.xml><?xml version="1.0" encoding="utf-8"?>
<x:worksheet xmlns:x="http://schemas.openxmlformats.org/spreadsheetml/2006/main">
  <x:sheetFormatPr defaultRowHeight="15"/>
  <x:cols>
    <x:col min="1" max="1" width="34" hidden="0" customWidth="1"/>
    <x:col min="2" max="2" width="9"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s>
  <x:sheetData>
    <x:row r="1" ht="28" customHeight="1">
      <x:c r="A1" s="78" t="str">
        <x:v>問8 × 問32 クロス分析</x:v>
      </x:c>
      <x:c r="B1" s="78"/>
      <x:c r="C1" s="78"/>
      <x:c r="D1" s="78"/>
      <x:c r="E1" s="78"/>
      <x:c r="F1" s="78"/>
      <x:c r="G1" s="78"/>
      <x:c r="H1" s="78"/>
      <x:c r="I1" s="78"/>
      <x:c r="J1" s="78"/>
      <x:c r="K1" s="78"/>
      <x:c r="L1" s="78"/>
      <x:c r="M1" s="78"/>
      <x:c r="N1" s="78"/>
    </x:row>
    <x:row r="3">
      <x:c r="A3" s="100" t="str">
        <x:v>主な支援・介助者別の18歳以降の不安</x:v>
      </x:c>
      <x:c r="B3" s="100"/>
      <x:c r="C3" s="100"/>
      <x:c r="D3" s="100"/>
      <x:c r="E3" s="100"/>
      <x:c r="F3" s="100"/>
      <x:c r="G3" s="100"/>
      <x:c r="H3" s="100"/>
      <x:c r="I3" s="100"/>
      <x:c r="J3" s="100"/>
      <x:c r="K3" s="100"/>
      <x:c r="L3" s="100"/>
      <x:c r="M3" s="100"/>
      <x:c r="N3" s="100"/>
    </x:row>
    <x:row r="4" ht="42" customHeight="1">
      <x:c r="A4" s="108" t="str">
        <x:v>行：問8「日常生活でお子さんの主な支援・介助・見守りをしている方はどなたですか」／列：問32「18歳以降のことで不安なことはありますか（あてはまるものすべて）」。件数表のnは行カテゴリ該当者数、行％はそのnを分母としています。複数回答設問では行％合計が100％にならない場合があります。nが5未満の区分は参考値です。</x:v>
      </x:c>
      <x:c r="B4" s="108"/>
      <x:c r="C4" s="108"/>
      <x:c r="D4" s="108"/>
      <x:c r="E4" s="108"/>
      <x:c r="F4" s="108"/>
      <x:c r="G4" s="108"/>
      <x:c r="H4" s="108"/>
      <x:c r="I4" s="108"/>
      <x:c r="J4" s="108"/>
      <x:c r="K4" s="108"/>
      <x:c r="L4" s="108"/>
      <x:c r="M4" s="108"/>
      <x:c r="N4" s="108"/>
    </x:row>
    <x:row r="6">
      <x:c r="A6" s="86" t="str">
        <x:v>行区分</x:v>
      </x:c>
      <x:c r="B6" s="86" t="str">
        <x:v>n</x:v>
      </x:c>
      <x:c r="C6" s="86" t="str">
        <x:v>進学先・就労先</x:v>
      </x:c>
      <x:c r="D6" s="86" t="str">
        <x:v>生活介護や就労継続支援A型等の通所先</x:v>
      </x:c>
      <x:c r="E6" s="86" t="str">
        <x:v>就労選択支援の利用</x:v>
      </x:c>
      <x:c r="F6" s="86" t="str">
        <x:v>相談支援の継続</x:v>
      </x:c>
      <x:c r="G6" s="86" t="str">
        <x:v>医療・通院の継続</x:v>
      </x:c>
      <x:c r="H6" s="86" t="str">
        <x:v>送迎・移動手段</x:v>
      </x:c>
      <x:c r="I6" s="86" t="str">
        <x:v>本人の意思決定や将来の暮らし</x:v>
      </x:c>
      <x:c r="J6" s="86" t="str">
        <x:v>家族の負担</x:v>
      </x:c>
      <x:c r="K6" s="86" t="str">
        <x:v>親など家族が高齢になった後の生活</x:v>
      </x:c>
      <x:c r="L6" s="86" t="str">
        <x:v>経済的な負担</x:v>
      </x:c>
      <x:c r="M6" s="86" t="str">
        <x:v>まだ考えていない</x:v>
      </x:c>
      <x:c r="N6" s="86" t="str">
        <x:v>その他</x:v>
      </x:c>
    </x:row>
    <x:row r="7">
      <x:c r="A7" s="94" t="str">
        <x:v>介助は必要ない</x:v>
      </x:c>
      <x:c r="B7" s="109" t="n">
        <x:f>COUNTIF('データ'!BK$5:BK$7,"〇")</x:f>
        <x:v>0</x:v>
      </x:c>
      <x:c r="C7" s="94" t="n">
        <x:f>COUNTIFS('データ'!BK$5:BK$7,"〇",'データ'!MB$5:MB$7,"〇")</x:f>
        <x:v>0</x:v>
      </x:c>
      <x:c r="D7" s="94" t="n">
        <x:f>COUNTIFS('データ'!BK$5:BK$7,"〇",'データ'!MC$5:MC$7,"〇")</x:f>
        <x:v>0</x:v>
      </x:c>
      <x:c r="E7" s="94" t="n">
        <x:f>COUNTIFS('データ'!BK$5:BK$7,"〇",'データ'!MD$5:MD$7,"〇")</x:f>
        <x:v>0</x:v>
      </x:c>
      <x:c r="F7" s="94" t="n">
        <x:f>COUNTIFS('データ'!BK$5:BK$7,"〇",'データ'!ME$5:ME$7,"〇")</x:f>
        <x:v>0</x:v>
      </x:c>
      <x:c r="G7" s="94" t="n">
        <x:f>COUNTIFS('データ'!BK$5:BK$7,"〇",'データ'!MF$5:MF$7,"〇")</x:f>
        <x:v>0</x:v>
      </x:c>
      <x:c r="H7" s="94" t="n">
        <x:f>COUNTIFS('データ'!BK$5:BK$7,"〇",'データ'!MG$5:MG$7,"〇")</x:f>
        <x:v>0</x:v>
      </x:c>
      <x:c r="I7" s="94" t="n">
        <x:f>COUNTIFS('データ'!BK$5:BK$7,"〇",'データ'!MH$5:MH$7,"〇")</x:f>
        <x:v>0</x:v>
      </x:c>
      <x:c r="J7" s="94" t="n">
        <x:f>COUNTIFS('データ'!BK$5:BK$7,"〇",'データ'!MI$5:MI$7,"〇")</x:f>
        <x:v>0</x:v>
      </x:c>
      <x:c r="K7" s="94" t="n">
        <x:f>COUNTIFS('データ'!BK$5:BK$7,"〇",'データ'!MJ$5:MJ$7,"〇")</x:f>
        <x:v>0</x:v>
      </x:c>
      <x:c r="L7" s="94" t="n">
        <x:f>COUNTIFS('データ'!BK$5:BK$7,"〇",'データ'!MK$5:MK$7,"〇")</x:f>
        <x:v>0</x:v>
      </x:c>
      <x:c r="M7" s="94" t="n">
        <x:f>COUNTIFS('データ'!BK$5:BK$7,"〇",'データ'!ML$5:ML$7,"〇")</x:f>
        <x:v>0</x:v>
      </x:c>
      <x:c r="N7" s="94" t="n">
        <x:f>COUNTIFS('データ'!BK$5:BK$7,"〇",'データ'!MM$5:MM$7,"〇")</x:f>
        <x:v>0</x:v>
      </x:c>
    </x:row>
    <x:row r="8">
      <x:c r="A8" s="94" t="str">
        <x:v>親</x:v>
      </x:c>
      <x:c r="B8" s="109" t="n">
        <x:f>COUNTIF('データ'!BL$5:BL$7,"〇")</x:f>
        <x:v>3</x:v>
      </x:c>
      <x:c r="C8" s="94" t="n">
        <x:f>COUNTIFS('データ'!BL$5:BL$7,"〇",'データ'!MB$5:MB$7,"〇")</x:f>
        <x:v>3</x:v>
      </x:c>
      <x:c r="D8" s="94" t="n">
        <x:f>COUNTIFS('データ'!BL$5:BL$7,"〇",'データ'!MC$5:MC$7,"〇")</x:f>
        <x:v>1</x:v>
      </x:c>
      <x:c r="E8" s="94" t="n">
        <x:f>COUNTIFS('データ'!BL$5:BL$7,"〇",'データ'!MD$5:MD$7,"〇")</x:f>
        <x:v>3</x:v>
      </x:c>
      <x:c r="F8" s="94" t="n">
        <x:f>COUNTIFS('データ'!BL$5:BL$7,"〇",'データ'!ME$5:ME$7,"〇")</x:f>
        <x:v>1</x:v>
      </x:c>
      <x:c r="G8" s="94" t="n">
        <x:f>COUNTIFS('データ'!BL$5:BL$7,"〇",'データ'!MF$5:MF$7,"〇")</x:f>
        <x:v>3</x:v>
      </x:c>
      <x:c r="H8" s="94" t="n">
        <x:f>COUNTIFS('データ'!BL$5:BL$7,"〇",'データ'!MG$5:MG$7,"〇")</x:f>
        <x:v>3</x:v>
      </x:c>
      <x:c r="I8" s="94" t="n">
        <x:f>COUNTIFS('データ'!BL$5:BL$7,"〇",'データ'!MH$5:MH$7,"〇")</x:f>
        <x:v>3</x:v>
      </x:c>
      <x:c r="J8" s="94" t="n">
        <x:f>COUNTIFS('データ'!BL$5:BL$7,"〇",'データ'!MI$5:MI$7,"〇")</x:f>
        <x:v>3</x:v>
      </x:c>
      <x:c r="K8" s="94" t="n">
        <x:f>COUNTIFS('データ'!BL$5:BL$7,"〇",'データ'!MJ$5:MJ$7,"〇")</x:f>
        <x:v>3</x:v>
      </x:c>
      <x:c r="L8" s="94" t="n">
        <x:f>COUNTIFS('データ'!BL$5:BL$7,"〇",'データ'!MK$5:MK$7,"〇")</x:f>
        <x:v>3</x:v>
      </x:c>
      <x:c r="M8" s="94" t="n">
        <x:f>COUNTIFS('データ'!BL$5:BL$7,"〇",'データ'!ML$5:ML$7,"〇")</x:f>
        <x:v>0</x:v>
      </x:c>
      <x:c r="N8" s="94" t="n">
        <x:f>COUNTIFS('データ'!BL$5:BL$7,"〇",'データ'!MM$5:MM$7,"〇")</x:f>
        <x:v>1</x:v>
      </x:c>
    </x:row>
    <x:row r="9">
      <x:c r="A9" s="94" t="str">
        <x:v>兄弟姉妹</x:v>
      </x:c>
      <x:c r="B9" s="109" t="n">
        <x:f>COUNTIF('データ'!BM$5:BM$7,"〇")</x:f>
        <x:v>0</x:v>
      </x:c>
      <x:c r="C9" s="94" t="n">
        <x:f>COUNTIFS('データ'!BM$5:BM$7,"〇",'データ'!MB$5:MB$7,"〇")</x:f>
        <x:v>0</x:v>
      </x:c>
      <x:c r="D9" s="94" t="n">
        <x:f>COUNTIFS('データ'!BM$5:BM$7,"〇",'データ'!MC$5:MC$7,"〇")</x:f>
        <x:v>0</x:v>
      </x:c>
      <x:c r="E9" s="94" t="n">
        <x:f>COUNTIFS('データ'!BM$5:BM$7,"〇",'データ'!MD$5:MD$7,"〇")</x:f>
        <x:v>0</x:v>
      </x:c>
      <x:c r="F9" s="94" t="n">
        <x:f>COUNTIFS('データ'!BM$5:BM$7,"〇",'データ'!ME$5:ME$7,"〇")</x:f>
        <x:v>0</x:v>
      </x:c>
      <x:c r="G9" s="94" t="n">
        <x:f>COUNTIFS('データ'!BM$5:BM$7,"〇",'データ'!MF$5:MF$7,"〇")</x:f>
        <x:v>0</x:v>
      </x:c>
      <x:c r="H9" s="94" t="n">
        <x:f>COUNTIFS('データ'!BM$5:BM$7,"〇",'データ'!MG$5:MG$7,"〇")</x:f>
        <x:v>0</x:v>
      </x:c>
      <x:c r="I9" s="94" t="n">
        <x:f>COUNTIFS('データ'!BM$5:BM$7,"〇",'データ'!MH$5:MH$7,"〇")</x:f>
        <x:v>0</x:v>
      </x:c>
      <x:c r="J9" s="94" t="n">
        <x:f>COUNTIFS('データ'!BM$5:BM$7,"〇",'データ'!MI$5:MI$7,"〇")</x:f>
        <x:v>0</x:v>
      </x:c>
      <x:c r="K9" s="94" t="n">
        <x:f>COUNTIFS('データ'!BM$5:BM$7,"〇",'データ'!MJ$5:MJ$7,"〇")</x:f>
        <x:v>0</x:v>
      </x:c>
      <x:c r="L9" s="94" t="n">
        <x:f>COUNTIFS('データ'!BM$5:BM$7,"〇",'データ'!MK$5:MK$7,"〇")</x:f>
        <x:v>0</x:v>
      </x:c>
      <x:c r="M9" s="94" t="n">
        <x:f>COUNTIFS('データ'!BM$5:BM$7,"〇",'データ'!ML$5:ML$7,"〇")</x:f>
        <x:v>0</x:v>
      </x:c>
      <x:c r="N9" s="94" t="n">
        <x:f>COUNTIFS('データ'!BM$5:BM$7,"〇",'データ'!MM$5:MM$7,"〇")</x:f>
        <x:v>0</x:v>
      </x:c>
    </x:row>
    <x:row r="10">
      <x:c r="A10" s="94" t="str">
        <x:v>祖父母</x:v>
      </x:c>
      <x:c r="B10" s="109" t="n">
        <x:f>COUNTIF('データ'!BN$5:BN$7,"〇")</x:f>
        <x:v>0</x:v>
      </x:c>
      <x:c r="C10" s="94" t="n">
        <x:f>COUNTIFS('データ'!BN$5:BN$7,"〇",'データ'!MB$5:MB$7,"〇")</x:f>
        <x:v>0</x:v>
      </x:c>
      <x:c r="D10" s="94" t="n">
        <x:f>COUNTIFS('データ'!BN$5:BN$7,"〇",'データ'!MC$5:MC$7,"〇")</x:f>
        <x:v>0</x:v>
      </x:c>
      <x:c r="E10" s="94" t="n">
        <x:f>COUNTIFS('データ'!BN$5:BN$7,"〇",'データ'!MD$5:MD$7,"〇")</x:f>
        <x:v>0</x:v>
      </x:c>
      <x:c r="F10" s="94" t="n">
        <x:f>COUNTIFS('データ'!BN$5:BN$7,"〇",'データ'!ME$5:ME$7,"〇")</x:f>
        <x:v>0</x:v>
      </x:c>
      <x:c r="G10" s="94" t="n">
        <x:f>COUNTIFS('データ'!BN$5:BN$7,"〇",'データ'!MF$5:MF$7,"〇")</x:f>
        <x:v>0</x:v>
      </x:c>
      <x:c r="H10" s="94" t="n">
        <x:f>COUNTIFS('データ'!BN$5:BN$7,"〇",'データ'!MG$5:MG$7,"〇")</x:f>
        <x:v>0</x:v>
      </x:c>
      <x:c r="I10" s="94" t="n">
        <x:f>COUNTIFS('データ'!BN$5:BN$7,"〇",'データ'!MH$5:MH$7,"〇")</x:f>
        <x:v>0</x:v>
      </x:c>
      <x:c r="J10" s="94" t="n">
        <x:f>COUNTIFS('データ'!BN$5:BN$7,"〇",'データ'!MI$5:MI$7,"〇")</x:f>
        <x:v>0</x:v>
      </x:c>
      <x:c r="K10" s="94" t="n">
        <x:f>COUNTIFS('データ'!BN$5:BN$7,"〇",'データ'!MJ$5:MJ$7,"〇")</x:f>
        <x:v>0</x:v>
      </x:c>
      <x:c r="L10" s="94" t="n">
        <x:f>COUNTIFS('データ'!BN$5:BN$7,"〇",'データ'!MK$5:MK$7,"〇")</x:f>
        <x:v>0</x:v>
      </x:c>
      <x:c r="M10" s="94" t="n">
        <x:f>COUNTIFS('データ'!BN$5:BN$7,"〇",'データ'!ML$5:ML$7,"〇")</x:f>
        <x:v>0</x:v>
      </x:c>
      <x:c r="N10" s="94" t="n">
        <x:f>COUNTIFS('データ'!BN$5:BN$7,"〇",'データ'!MM$5:MM$7,"〇")</x:f>
        <x:v>0</x:v>
      </x:c>
    </x:row>
    <x:row r="11">
      <x:c r="A11" s="94" t="str">
        <x:v>その他の親族</x:v>
      </x:c>
      <x:c r="B11" s="109" t="n">
        <x:f>COUNTIF('データ'!BO$5:BO$7,"〇")</x:f>
        <x:v>0</x:v>
      </x:c>
      <x:c r="C11" s="94" t="n">
        <x:f>COUNTIFS('データ'!BO$5:BO$7,"〇",'データ'!MB$5:MB$7,"〇")</x:f>
        <x:v>0</x:v>
      </x:c>
      <x:c r="D11" s="94" t="n">
        <x:f>COUNTIFS('データ'!BO$5:BO$7,"〇",'データ'!MC$5:MC$7,"〇")</x:f>
        <x:v>0</x:v>
      </x:c>
      <x:c r="E11" s="94" t="n">
        <x:f>COUNTIFS('データ'!BO$5:BO$7,"〇",'データ'!MD$5:MD$7,"〇")</x:f>
        <x:v>0</x:v>
      </x:c>
      <x:c r="F11" s="94" t="n">
        <x:f>COUNTIFS('データ'!BO$5:BO$7,"〇",'データ'!ME$5:ME$7,"〇")</x:f>
        <x:v>0</x:v>
      </x:c>
      <x:c r="G11" s="94" t="n">
        <x:f>COUNTIFS('データ'!BO$5:BO$7,"〇",'データ'!MF$5:MF$7,"〇")</x:f>
        <x:v>0</x:v>
      </x:c>
      <x:c r="H11" s="94" t="n">
        <x:f>COUNTIFS('データ'!BO$5:BO$7,"〇",'データ'!MG$5:MG$7,"〇")</x:f>
        <x:v>0</x:v>
      </x:c>
      <x:c r="I11" s="94" t="n">
        <x:f>COUNTIFS('データ'!BO$5:BO$7,"〇",'データ'!MH$5:MH$7,"〇")</x:f>
        <x:v>0</x:v>
      </x:c>
      <x:c r="J11" s="94" t="n">
        <x:f>COUNTIFS('データ'!BO$5:BO$7,"〇",'データ'!MI$5:MI$7,"〇")</x:f>
        <x:v>0</x:v>
      </x:c>
      <x:c r="K11" s="94" t="n">
        <x:f>COUNTIFS('データ'!BO$5:BO$7,"〇",'データ'!MJ$5:MJ$7,"〇")</x:f>
        <x:v>0</x:v>
      </x:c>
      <x:c r="L11" s="94" t="n">
        <x:f>COUNTIFS('データ'!BO$5:BO$7,"〇",'データ'!MK$5:MK$7,"〇")</x:f>
        <x:v>0</x:v>
      </x:c>
      <x:c r="M11" s="94" t="n">
        <x:f>COUNTIFS('データ'!BO$5:BO$7,"〇",'データ'!ML$5:ML$7,"〇")</x:f>
        <x:v>0</x:v>
      </x:c>
      <x:c r="N11" s="94" t="n">
        <x:f>COUNTIFS('データ'!BO$5:BO$7,"〇",'データ'!MM$5:MM$7,"〇")</x:f>
        <x:v>0</x:v>
      </x:c>
    </x:row>
    <x:row r="12">
      <x:c r="A12" s="94" t="str">
        <x:v>ホームヘルパー等</x:v>
      </x:c>
      <x:c r="B12" s="109" t="n">
        <x:f>COUNTIF('データ'!BP$5:BP$7,"〇")</x:f>
        <x:v>0</x:v>
      </x:c>
      <x:c r="C12" s="94" t="n">
        <x:f>COUNTIFS('データ'!BP$5:BP$7,"〇",'データ'!MB$5:MB$7,"〇")</x:f>
        <x:v>0</x:v>
      </x:c>
      <x:c r="D12" s="94" t="n">
        <x:f>COUNTIFS('データ'!BP$5:BP$7,"〇",'データ'!MC$5:MC$7,"〇")</x:f>
        <x:v>0</x:v>
      </x:c>
      <x:c r="E12" s="94" t="n">
        <x:f>COUNTIFS('データ'!BP$5:BP$7,"〇",'データ'!MD$5:MD$7,"〇")</x:f>
        <x:v>0</x:v>
      </x:c>
      <x:c r="F12" s="94" t="n">
        <x:f>COUNTIFS('データ'!BP$5:BP$7,"〇",'データ'!ME$5:ME$7,"〇")</x:f>
        <x:v>0</x:v>
      </x:c>
      <x:c r="G12" s="94" t="n">
        <x:f>COUNTIFS('データ'!BP$5:BP$7,"〇",'データ'!MF$5:MF$7,"〇")</x:f>
        <x:v>0</x:v>
      </x:c>
      <x:c r="H12" s="94" t="n">
        <x:f>COUNTIFS('データ'!BP$5:BP$7,"〇",'データ'!MG$5:MG$7,"〇")</x:f>
        <x:v>0</x:v>
      </x:c>
      <x:c r="I12" s="94" t="n">
        <x:f>COUNTIFS('データ'!BP$5:BP$7,"〇",'データ'!MH$5:MH$7,"〇")</x:f>
        <x:v>0</x:v>
      </x:c>
      <x:c r="J12" s="94" t="n">
        <x:f>COUNTIFS('データ'!BP$5:BP$7,"〇",'データ'!MI$5:MI$7,"〇")</x:f>
        <x:v>0</x:v>
      </x:c>
      <x:c r="K12" s="94" t="n">
        <x:f>COUNTIFS('データ'!BP$5:BP$7,"〇",'データ'!MJ$5:MJ$7,"〇")</x:f>
        <x:v>0</x:v>
      </x:c>
      <x:c r="L12" s="94" t="n">
        <x:f>COUNTIFS('データ'!BP$5:BP$7,"〇",'データ'!MK$5:MK$7,"〇")</x:f>
        <x:v>0</x:v>
      </x:c>
      <x:c r="M12" s="94" t="n">
        <x:f>COUNTIFS('データ'!BP$5:BP$7,"〇",'データ'!ML$5:ML$7,"〇")</x:f>
        <x:v>0</x:v>
      </x:c>
      <x:c r="N12" s="94" t="n">
        <x:f>COUNTIFS('データ'!BP$5:BP$7,"〇",'データ'!MM$5:MM$7,"〇")</x:f>
        <x:v>0</x:v>
      </x:c>
    </x:row>
    <x:row r="13">
      <x:c r="A13" s="94" t="str">
        <x:v>保育所・幼稚園・認定こども園・学校の職員</x:v>
      </x:c>
      <x:c r="B13" s="109" t="n">
        <x:f>COUNTIF('データ'!BQ$5:BQ$7,"〇")</x:f>
        <x:v>0</x:v>
      </x:c>
      <x:c r="C13" s="94" t="n">
        <x:f>COUNTIFS('データ'!BQ$5:BQ$7,"〇",'データ'!MB$5:MB$7,"〇")</x:f>
        <x:v>0</x:v>
      </x:c>
      <x:c r="D13" s="94" t="n">
        <x:f>COUNTIFS('データ'!BQ$5:BQ$7,"〇",'データ'!MC$5:MC$7,"〇")</x:f>
        <x:v>0</x:v>
      </x:c>
      <x:c r="E13" s="94" t="n">
        <x:f>COUNTIFS('データ'!BQ$5:BQ$7,"〇",'データ'!MD$5:MD$7,"〇")</x:f>
        <x:v>0</x:v>
      </x:c>
      <x:c r="F13" s="94" t="n">
        <x:f>COUNTIFS('データ'!BQ$5:BQ$7,"〇",'データ'!ME$5:ME$7,"〇")</x:f>
        <x:v>0</x:v>
      </x:c>
      <x:c r="G13" s="94" t="n">
        <x:f>COUNTIFS('データ'!BQ$5:BQ$7,"〇",'データ'!MF$5:MF$7,"〇")</x:f>
        <x:v>0</x:v>
      </x:c>
      <x:c r="H13" s="94" t="n">
        <x:f>COUNTIFS('データ'!BQ$5:BQ$7,"〇",'データ'!MG$5:MG$7,"〇")</x:f>
        <x:v>0</x:v>
      </x:c>
      <x:c r="I13" s="94" t="n">
        <x:f>COUNTIFS('データ'!BQ$5:BQ$7,"〇",'データ'!MH$5:MH$7,"〇")</x:f>
        <x:v>0</x:v>
      </x:c>
      <x:c r="J13" s="94" t="n">
        <x:f>COUNTIFS('データ'!BQ$5:BQ$7,"〇",'データ'!MI$5:MI$7,"〇")</x:f>
        <x:v>0</x:v>
      </x:c>
      <x:c r="K13" s="94" t="n">
        <x:f>COUNTIFS('データ'!BQ$5:BQ$7,"〇",'データ'!MJ$5:MJ$7,"〇")</x:f>
        <x:v>0</x:v>
      </x:c>
      <x:c r="L13" s="94" t="n">
        <x:f>COUNTIFS('データ'!BQ$5:BQ$7,"〇",'データ'!MK$5:MK$7,"〇")</x:f>
        <x:v>0</x:v>
      </x:c>
      <x:c r="M13" s="94" t="n">
        <x:f>COUNTIFS('データ'!BQ$5:BQ$7,"〇",'データ'!ML$5:ML$7,"〇")</x:f>
        <x:v>0</x:v>
      </x:c>
      <x:c r="N13" s="94" t="n">
        <x:f>COUNTIFS('データ'!BQ$5:BQ$7,"〇",'データ'!MM$5:MM$7,"〇")</x:f>
        <x:v>0</x:v>
      </x:c>
    </x:row>
    <x:row r="14">
      <x:c r="A14" s="94" t="str">
        <x:v>障がい福祉サービス・障がい児通所支援事業所などの職員</x:v>
      </x:c>
      <x:c r="B14" s="109" t="n">
        <x:f>COUNTIF('データ'!BR$5:BR$7,"〇")</x:f>
        <x:v>0</x:v>
      </x:c>
      <x:c r="C14" s="94" t="n">
        <x:f>COUNTIFS('データ'!BR$5:BR$7,"〇",'データ'!MB$5:MB$7,"〇")</x:f>
        <x:v>0</x:v>
      </x:c>
      <x:c r="D14" s="94" t="n">
        <x:f>COUNTIFS('データ'!BR$5:BR$7,"〇",'データ'!MC$5:MC$7,"〇")</x:f>
        <x:v>0</x:v>
      </x:c>
      <x:c r="E14" s="94" t="n">
        <x:f>COUNTIFS('データ'!BR$5:BR$7,"〇",'データ'!MD$5:MD$7,"〇")</x:f>
        <x:v>0</x:v>
      </x:c>
      <x:c r="F14" s="94" t="n">
        <x:f>COUNTIFS('データ'!BR$5:BR$7,"〇",'データ'!ME$5:ME$7,"〇")</x:f>
        <x:v>0</x:v>
      </x:c>
      <x:c r="G14" s="94" t="n">
        <x:f>COUNTIFS('データ'!BR$5:BR$7,"〇",'データ'!MF$5:MF$7,"〇")</x:f>
        <x:v>0</x:v>
      </x:c>
      <x:c r="H14" s="94" t="n">
        <x:f>COUNTIFS('データ'!BR$5:BR$7,"〇",'データ'!MG$5:MG$7,"〇")</x:f>
        <x:v>0</x:v>
      </x:c>
      <x:c r="I14" s="94" t="n">
        <x:f>COUNTIFS('データ'!BR$5:BR$7,"〇",'データ'!MH$5:MH$7,"〇")</x:f>
        <x:v>0</x:v>
      </x:c>
      <x:c r="J14" s="94" t="n">
        <x:f>COUNTIFS('データ'!BR$5:BR$7,"〇",'データ'!MI$5:MI$7,"〇")</x:f>
        <x:v>0</x:v>
      </x:c>
      <x:c r="K14" s="94" t="n">
        <x:f>COUNTIFS('データ'!BR$5:BR$7,"〇",'データ'!MJ$5:MJ$7,"〇")</x:f>
        <x:v>0</x:v>
      </x:c>
      <x:c r="L14" s="94" t="n">
        <x:f>COUNTIFS('データ'!BR$5:BR$7,"〇",'データ'!MK$5:MK$7,"〇")</x:f>
        <x:v>0</x:v>
      </x:c>
      <x:c r="M14" s="94" t="n">
        <x:f>COUNTIFS('データ'!BR$5:BR$7,"〇",'データ'!ML$5:ML$7,"〇")</x:f>
        <x:v>0</x:v>
      </x:c>
      <x:c r="N14" s="94" t="n">
        <x:f>COUNTIFS('データ'!BR$5:BR$7,"〇",'データ'!MM$5:MM$7,"〇")</x:f>
        <x:v>0</x:v>
      </x:c>
    </x:row>
    <x:row r="15">
      <x:c r="A15" s="94" t="str">
        <x:v>その他</x:v>
      </x:c>
      <x:c r="B15" s="109" t="n">
        <x:f>COUNTIF('データ'!BS$5:BS$7,"〇")</x:f>
        <x:v>0</x:v>
      </x:c>
      <x:c r="C15" s="94" t="n">
        <x:f>COUNTIFS('データ'!BS$5:BS$7,"〇",'データ'!MB$5:MB$7,"〇")</x:f>
        <x:v>0</x:v>
      </x:c>
      <x:c r="D15" s="94" t="n">
        <x:f>COUNTIFS('データ'!BS$5:BS$7,"〇",'データ'!MC$5:MC$7,"〇")</x:f>
        <x:v>0</x:v>
      </x:c>
      <x:c r="E15" s="94" t="n">
        <x:f>COUNTIFS('データ'!BS$5:BS$7,"〇",'データ'!MD$5:MD$7,"〇")</x:f>
        <x:v>0</x:v>
      </x:c>
      <x:c r="F15" s="94" t="n">
        <x:f>COUNTIFS('データ'!BS$5:BS$7,"〇",'データ'!ME$5:ME$7,"〇")</x:f>
        <x:v>0</x:v>
      </x:c>
      <x:c r="G15" s="94" t="n">
        <x:f>COUNTIFS('データ'!BS$5:BS$7,"〇",'データ'!MF$5:MF$7,"〇")</x:f>
        <x:v>0</x:v>
      </x:c>
      <x:c r="H15" s="94" t="n">
        <x:f>COUNTIFS('データ'!BS$5:BS$7,"〇",'データ'!MG$5:MG$7,"〇")</x:f>
        <x:v>0</x:v>
      </x:c>
      <x:c r="I15" s="94" t="n">
        <x:f>COUNTIFS('データ'!BS$5:BS$7,"〇",'データ'!MH$5:MH$7,"〇")</x:f>
        <x:v>0</x:v>
      </x:c>
      <x:c r="J15" s="94" t="n">
        <x:f>COUNTIFS('データ'!BS$5:BS$7,"〇",'データ'!MI$5:MI$7,"〇")</x:f>
        <x:v>0</x:v>
      </x:c>
      <x:c r="K15" s="94" t="n">
        <x:f>COUNTIFS('データ'!BS$5:BS$7,"〇",'データ'!MJ$5:MJ$7,"〇")</x:f>
        <x:v>0</x:v>
      </x:c>
      <x:c r="L15" s="94" t="n">
        <x:f>COUNTIFS('データ'!BS$5:BS$7,"〇",'データ'!MK$5:MK$7,"〇")</x:f>
        <x:v>0</x:v>
      </x:c>
      <x:c r="M15" s="94" t="n">
        <x:f>COUNTIFS('データ'!BS$5:BS$7,"〇",'データ'!ML$5:ML$7,"〇")</x:f>
        <x:v>0</x:v>
      </x:c>
      <x:c r="N15" s="94" t="n">
        <x:f>COUNTIFS('データ'!BS$5:BS$7,"〇",'データ'!MM$5:MM$7,"〇")</x:f>
        <x:v>0</x:v>
      </x:c>
    </x:row>
    <x:row r="18">
      <x:c r="A18" s="99" t="str">
        <x:v>行％（各行のnを100％とした割合）</x:v>
      </x:c>
      <x:c r="B18" s="99"/>
      <x:c r="C18" s="99"/>
      <x:c r="D18" s="99"/>
      <x:c r="E18" s="99"/>
      <x:c r="F18" s="99"/>
      <x:c r="G18" s="99"/>
      <x:c r="H18" s="99"/>
      <x:c r="I18" s="99"/>
      <x:c r="J18" s="99"/>
      <x:c r="K18" s="99"/>
      <x:c r="L18" s="99"/>
      <x:c r="M18" s="99"/>
      <x:c r="N18" s="99"/>
    </x:row>
    <x:row r="19">
      <x:c r="A19" s="86" t="str">
        <x:v>行区分</x:v>
      </x:c>
      <x:c r="B19" s="86" t="str">
        <x:v>n</x:v>
      </x:c>
      <x:c r="C19" s="86" t="str">
        <x:v>進学先・就労先</x:v>
      </x:c>
      <x:c r="D19" s="86" t="str">
        <x:v>生活介護や就労継続支援A型等の通所先</x:v>
      </x:c>
      <x:c r="E19" s="86" t="str">
        <x:v>就労選択支援の利用</x:v>
      </x:c>
      <x:c r="F19" s="86" t="str">
        <x:v>相談支援の継続</x:v>
      </x:c>
      <x:c r="G19" s="86" t="str">
        <x:v>医療・通院の継続</x:v>
      </x:c>
      <x:c r="H19" s="86" t="str">
        <x:v>送迎・移動手段</x:v>
      </x:c>
      <x:c r="I19" s="86" t="str">
        <x:v>本人の意思決定や将来の暮らし</x:v>
      </x:c>
      <x:c r="J19" s="86" t="str">
        <x:v>家族の負担</x:v>
      </x:c>
      <x:c r="K19" s="86" t="str">
        <x:v>親など家族が高齢になった後の生活</x:v>
      </x:c>
      <x:c r="L19" s="86" t="str">
        <x:v>経済的な負担</x:v>
      </x:c>
      <x:c r="M19" s="86" t="str">
        <x:v>まだ考えていない</x:v>
      </x:c>
      <x:c r="N19" s="86" t="str">
        <x:v>その他</x:v>
      </x:c>
    </x:row>
    <x:row r="20">
      <x:c r="A20" s="94" t="str">
        <x:v>介助は必要ない</x:v>
      </x:c>
      <x:c r="B20" s="109" t="n">
        <x:f>B7</x:f>
        <x:v>0</x:v>
      </x:c>
      <x:c r="C20" s="104" t="str">
        <x:f>IF(B7=0,"",C7/B7)</x:f>
      </x:c>
      <x:c r="D20" s="104" t="str">
        <x:f>IF(B7=0,"",D7/B7)</x:f>
      </x:c>
      <x:c r="E20" s="104" t="str">
        <x:f>IF(B7=0,"",E7/B7)</x:f>
      </x:c>
      <x:c r="F20" s="104" t="str">
        <x:f>IF(B7=0,"",F7/B7)</x:f>
      </x:c>
      <x:c r="G20" s="104" t="str">
        <x:f>IF(B7=0,"",G7/B7)</x:f>
      </x:c>
      <x:c r="H20" s="104" t="str">
        <x:f>IF(B7=0,"",H7/B7)</x:f>
      </x:c>
      <x:c r="I20" s="104" t="str">
        <x:f>IF(B7=0,"",I7/B7)</x:f>
      </x:c>
      <x:c r="J20" s="104" t="str">
        <x:f>IF(B7=0,"",J7/B7)</x:f>
      </x:c>
      <x:c r="K20" s="104" t="str">
        <x:f>IF(B7=0,"",K7/B7)</x:f>
      </x:c>
      <x:c r="L20" s="104" t="str">
        <x:f>IF(B7=0,"",L7/B7)</x:f>
      </x:c>
      <x:c r="M20" s="104" t="str">
        <x:f>IF(B7=0,"",M7/B7)</x:f>
      </x:c>
      <x:c r="N20" s="104" t="str">
        <x:f>IF(B7=0,"",N7/B7)</x:f>
      </x:c>
    </x:row>
    <x:row r="21">
      <x:c r="A21" s="94" t="str">
        <x:v>親</x:v>
      </x:c>
      <x:c r="B21" s="109" t="n">
        <x:f>B8</x:f>
        <x:v>3</x:v>
      </x:c>
      <x:c r="C21" s="104" t="n">
        <x:f>IF(B8=0,"",C8/B8)</x:f>
        <x:v>1</x:v>
      </x:c>
      <x:c r="D21" s="104" t="n">
        <x:f>IF(B8=0,"",D8/B8)</x:f>
        <x:v>0.3333333333333333</x:v>
      </x:c>
      <x:c r="E21" s="104" t="n">
        <x:f>IF(B8=0,"",E8/B8)</x:f>
        <x:v>1</x:v>
      </x:c>
      <x:c r="F21" s="104" t="n">
        <x:f>IF(B8=0,"",F8/B8)</x:f>
        <x:v>0.3333333333333333</x:v>
      </x:c>
      <x:c r="G21" s="104" t="n">
        <x:f>IF(B8=0,"",G8/B8)</x:f>
        <x:v>1</x:v>
      </x:c>
      <x:c r="H21" s="104" t="n">
        <x:f>IF(B8=0,"",H8/B8)</x:f>
        <x:v>1</x:v>
      </x:c>
      <x:c r="I21" s="104" t="n">
        <x:f>IF(B8=0,"",I8/B8)</x:f>
        <x:v>1</x:v>
      </x:c>
      <x:c r="J21" s="104" t="n">
        <x:f>IF(B8=0,"",J8/B8)</x:f>
        <x:v>1</x:v>
      </x:c>
      <x:c r="K21" s="104" t="n">
        <x:f>IF(B8=0,"",K8/B8)</x:f>
        <x:v>1</x:v>
      </x:c>
      <x:c r="L21" s="104" t="n">
        <x:f>IF(B8=0,"",L8/B8)</x:f>
        <x:v>1</x:v>
      </x:c>
      <x:c r="M21" s="104" t="n">
        <x:f>IF(B8=0,"",M8/B8)</x:f>
        <x:v>0</x:v>
      </x:c>
      <x:c r="N21" s="104" t="n">
        <x:f>IF(B8=0,"",N8/B8)</x:f>
        <x:v>0.3333333333333333</x:v>
      </x:c>
    </x:row>
    <x:row r="22">
      <x:c r="A22" s="94" t="str">
        <x:v>兄弟姉妹</x:v>
      </x:c>
      <x:c r="B22" s="109" t="n">
        <x:f>B9</x:f>
        <x:v>0</x:v>
      </x:c>
      <x:c r="C22" s="104" t="str">
        <x:f>IF(B9=0,"",C9/B9)</x:f>
      </x:c>
      <x:c r="D22" s="104" t="str">
        <x:f>IF(B9=0,"",D9/B9)</x:f>
      </x:c>
      <x:c r="E22" s="104" t="str">
        <x:f>IF(B9=0,"",E9/B9)</x:f>
      </x:c>
      <x:c r="F22" s="104" t="str">
        <x:f>IF(B9=0,"",F9/B9)</x:f>
      </x:c>
      <x:c r="G22" s="104" t="str">
        <x:f>IF(B9=0,"",G9/B9)</x:f>
      </x:c>
      <x:c r="H22" s="104" t="str">
        <x:f>IF(B9=0,"",H9/B9)</x:f>
      </x:c>
      <x:c r="I22" s="104" t="str">
        <x:f>IF(B9=0,"",I9/B9)</x:f>
      </x:c>
      <x:c r="J22" s="104" t="str">
        <x:f>IF(B9=0,"",J9/B9)</x:f>
      </x:c>
      <x:c r="K22" s="104" t="str">
        <x:f>IF(B9=0,"",K9/B9)</x:f>
      </x:c>
      <x:c r="L22" s="104" t="str">
        <x:f>IF(B9=0,"",L9/B9)</x:f>
      </x:c>
      <x:c r="M22" s="104" t="str">
        <x:f>IF(B9=0,"",M9/B9)</x:f>
      </x:c>
      <x:c r="N22" s="104" t="str">
        <x:f>IF(B9=0,"",N9/B9)</x:f>
      </x:c>
    </x:row>
    <x:row r="23">
      <x:c r="A23" s="94" t="str">
        <x:v>祖父母</x:v>
      </x:c>
      <x:c r="B23" s="109" t="n">
        <x:f>B10</x:f>
        <x:v>0</x:v>
      </x:c>
      <x:c r="C23" s="104" t="str">
        <x:f>IF(B10=0,"",C10/B10)</x:f>
      </x:c>
      <x:c r="D23" s="104" t="str">
        <x:f>IF(B10=0,"",D10/B10)</x:f>
      </x:c>
      <x:c r="E23" s="104" t="str">
        <x:f>IF(B10=0,"",E10/B10)</x:f>
      </x:c>
      <x:c r="F23" s="104" t="str">
        <x:f>IF(B10=0,"",F10/B10)</x:f>
      </x:c>
      <x:c r="G23" s="104" t="str">
        <x:f>IF(B10=0,"",G10/B10)</x:f>
      </x:c>
      <x:c r="H23" s="104" t="str">
        <x:f>IF(B10=0,"",H10/B10)</x:f>
      </x:c>
      <x:c r="I23" s="104" t="str">
        <x:f>IF(B10=0,"",I10/B10)</x:f>
      </x:c>
      <x:c r="J23" s="104" t="str">
        <x:f>IF(B10=0,"",J10/B10)</x:f>
      </x:c>
      <x:c r="K23" s="104" t="str">
        <x:f>IF(B10=0,"",K10/B10)</x:f>
      </x:c>
      <x:c r="L23" s="104" t="str">
        <x:f>IF(B10=0,"",L10/B10)</x:f>
      </x:c>
      <x:c r="M23" s="104" t="str">
        <x:f>IF(B10=0,"",M10/B10)</x:f>
      </x:c>
      <x:c r="N23" s="104" t="str">
        <x:f>IF(B10=0,"",N10/B10)</x:f>
      </x:c>
    </x:row>
    <x:row r="24">
      <x:c r="A24" s="94" t="str">
        <x:v>その他の親族</x:v>
      </x:c>
      <x:c r="B24" s="109" t="n">
        <x:f>B11</x:f>
        <x:v>0</x:v>
      </x:c>
      <x:c r="C24" s="104" t="str">
        <x:f>IF(B11=0,"",C11/B11)</x:f>
      </x:c>
      <x:c r="D24" s="104" t="str">
        <x:f>IF(B11=0,"",D11/B11)</x:f>
      </x:c>
      <x:c r="E24" s="104" t="str">
        <x:f>IF(B11=0,"",E11/B11)</x:f>
      </x:c>
      <x:c r="F24" s="104" t="str">
        <x:f>IF(B11=0,"",F11/B11)</x:f>
      </x:c>
      <x:c r="G24" s="104" t="str">
        <x:f>IF(B11=0,"",G11/B11)</x:f>
      </x:c>
      <x:c r="H24" s="104" t="str">
        <x:f>IF(B11=0,"",H11/B11)</x:f>
      </x:c>
      <x:c r="I24" s="104" t="str">
        <x:f>IF(B11=0,"",I11/B11)</x:f>
      </x:c>
      <x:c r="J24" s="104" t="str">
        <x:f>IF(B11=0,"",J11/B11)</x:f>
      </x:c>
      <x:c r="K24" s="104" t="str">
        <x:f>IF(B11=0,"",K11/B11)</x:f>
      </x:c>
      <x:c r="L24" s="104" t="str">
        <x:f>IF(B11=0,"",L11/B11)</x:f>
      </x:c>
      <x:c r="M24" s="104" t="str">
        <x:f>IF(B11=0,"",M11/B11)</x:f>
      </x:c>
      <x:c r="N24" s="104" t="str">
        <x:f>IF(B11=0,"",N11/B11)</x:f>
      </x:c>
    </x:row>
    <x:row r="25">
      <x:c r="A25" s="94" t="str">
        <x:v>ホームヘルパー等</x:v>
      </x:c>
      <x:c r="B25" s="109" t="n">
        <x:f>B12</x:f>
        <x:v>0</x:v>
      </x:c>
      <x:c r="C25" s="104" t="str">
        <x:f>IF(B12=0,"",C12/B12)</x:f>
      </x:c>
      <x:c r="D25" s="104" t="str">
        <x:f>IF(B12=0,"",D12/B12)</x:f>
      </x:c>
      <x:c r="E25" s="104" t="str">
        <x:f>IF(B12=0,"",E12/B12)</x:f>
      </x:c>
      <x:c r="F25" s="104" t="str">
        <x:f>IF(B12=0,"",F12/B12)</x:f>
      </x:c>
      <x:c r="G25" s="104" t="str">
        <x:f>IF(B12=0,"",G12/B12)</x:f>
      </x:c>
      <x:c r="H25" s="104" t="str">
        <x:f>IF(B12=0,"",H12/B12)</x:f>
      </x:c>
      <x:c r="I25" s="104" t="str">
        <x:f>IF(B12=0,"",I12/B12)</x:f>
      </x:c>
      <x:c r="J25" s="104" t="str">
        <x:f>IF(B12=0,"",J12/B12)</x:f>
      </x:c>
      <x:c r="K25" s="104" t="str">
        <x:f>IF(B12=0,"",K12/B12)</x:f>
      </x:c>
      <x:c r="L25" s="104" t="str">
        <x:f>IF(B12=0,"",L12/B12)</x:f>
      </x:c>
      <x:c r="M25" s="104" t="str">
        <x:f>IF(B12=0,"",M12/B12)</x:f>
      </x:c>
      <x:c r="N25" s="104" t="str">
        <x:f>IF(B12=0,"",N12/B12)</x:f>
      </x:c>
    </x:row>
    <x:row r="26">
      <x:c r="A26" s="94" t="str">
        <x:v>保育所・幼稚園・認定こども園・学校の職員</x:v>
      </x:c>
      <x:c r="B26" s="109" t="n">
        <x:f>B13</x:f>
        <x:v>0</x:v>
      </x:c>
      <x:c r="C26" s="104" t="str">
        <x:f>IF(B13=0,"",C13/B13)</x:f>
      </x:c>
      <x:c r="D26" s="104" t="str">
        <x:f>IF(B13=0,"",D13/B13)</x:f>
      </x:c>
      <x:c r="E26" s="104" t="str">
        <x:f>IF(B13=0,"",E13/B13)</x:f>
      </x:c>
      <x:c r="F26" s="104" t="str">
        <x:f>IF(B13=0,"",F13/B13)</x:f>
      </x:c>
      <x:c r="G26" s="104" t="str">
        <x:f>IF(B13=0,"",G13/B13)</x:f>
      </x:c>
      <x:c r="H26" s="104" t="str">
        <x:f>IF(B13=0,"",H13/B13)</x:f>
      </x:c>
      <x:c r="I26" s="104" t="str">
        <x:f>IF(B13=0,"",I13/B13)</x:f>
      </x:c>
      <x:c r="J26" s="104" t="str">
        <x:f>IF(B13=0,"",J13/B13)</x:f>
      </x:c>
      <x:c r="K26" s="104" t="str">
        <x:f>IF(B13=0,"",K13/B13)</x:f>
      </x:c>
      <x:c r="L26" s="104" t="str">
        <x:f>IF(B13=0,"",L13/B13)</x:f>
      </x:c>
      <x:c r="M26" s="104" t="str">
        <x:f>IF(B13=0,"",M13/B13)</x:f>
      </x:c>
      <x:c r="N26" s="104" t="str">
        <x:f>IF(B13=0,"",N13/B13)</x:f>
      </x:c>
    </x:row>
    <x:row r="27">
      <x:c r="A27" s="94" t="str">
        <x:v>障がい福祉サービス・障がい児通所支援事業所などの職員</x:v>
      </x:c>
      <x:c r="B27" s="109" t="n">
        <x:f>B14</x:f>
        <x:v>0</x:v>
      </x:c>
      <x:c r="C27" s="104" t="str">
        <x:f>IF(B14=0,"",C14/B14)</x:f>
      </x:c>
      <x:c r="D27" s="104" t="str">
        <x:f>IF(B14=0,"",D14/B14)</x:f>
      </x:c>
      <x:c r="E27" s="104" t="str">
        <x:f>IF(B14=0,"",E14/B14)</x:f>
      </x:c>
      <x:c r="F27" s="104" t="str">
        <x:f>IF(B14=0,"",F14/B14)</x:f>
      </x:c>
      <x:c r="G27" s="104" t="str">
        <x:f>IF(B14=0,"",G14/B14)</x:f>
      </x:c>
      <x:c r="H27" s="104" t="str">
        <x:f>IF(B14=0,"",H14/B14)</x:f>
      </x:c>
      <x:c r="I27" s="104" t="str">
        <x:f>IF(B14=0,"",I14/B14)</x:f>
      </x:c>
      <x:c r="J27" s="104" t="str">
        <x:f>IF(B14=0,"",J14/B14)</x:f>
      </x:c>
      <x:c r="K27" s="104" t="str">
        <x:f>IF(B14=0,"",K14/B14)</x:f>
      </x:c>
      <x:c r="L27" s="104" t="str">
        <x:f>IF(B14=0,"",L14/B14)</x:f>
      </x:c>
      <x:c r="M27" s="104" t="str">
        <x:f>IF(B14=0,"",M14/B14)</x:f>
      </x:c>
      <x:c r="N27" s="104" t="str">
        <x:f>IF(B14=0,"",N14/B14)</x:f>
      </x:c>
    </x:row>
    <x:row r="28">
      <x:c r="A28" s="94" t="str">
        <x:v>その他</x:v>
      </x:c>
      <x:c r="B28" s="109" t="n">
        <x:f>B15</x:f>
        <x:v>0</x:v>
      </x:c>
      <x:c r="C28" s="104" t="str">
        <x:f>IF(B15=0,"",C15/B15)</x:f>
      </x:c>
      <x:c r="D28" s="104" t="str">
        <x:f>IF(B15=0,"",D15/B15)</x:f>
      </x:c>
      <x:c r="E28" s="104" t="str">
        <x:f>IF(B15=0,"",E15/B15)</x:f>
      </x:c>
      <x:c r="F28" s="104" t="str">
        <x:f>IF(B15=0,"",F15/B15)</x:f>
      </x:c>
      <x:c r="G28" s="104" t="str">
        <x:f>IF(B15=0,"",G15/B15)</x:f>
      </x:c>
      <x:c r="H28" s="104" t="str">
        <x:f>IF(B15=0,"",H15/B15)</x:f>
      </x:c>
      <x:c r="I28" s="104" t="str">
        <x:f>IF(B15=0,"",I15/B15)</x:f>
      </x:c>
      <x:c r="J28" s="104" t="str">
        <x:f>IF(B15=0,"",J15/B15)</x:f>
      </x:c>
      <x:c r="K28" s="104" t="str">
        <x:f>IF(B15=0,"",K15/B15)</x:f>
      </x:c>
      <x:c r="L28" s="104" t="str">
        <x:f>IF(B15=0,"",L15/B15)</x:f>
      </x:c>
      <x:c r="M28" s="104" t="str">
        <x:f>IF(B15=0,"",M15/B15)</x:f>
      </x:c>
      <x:c r="N28" s="104" t="str">
        <x:f>IF(B15=0,"",N15/B15)</x:f>
      </x:c>
    </x:row>
  </x:sheetData>
  <x:mergeCells>
    <x:mergeCell ref="A1:N1"/>
    <x:mergeCell ref="A3:N3"/>
    <x:mergeCell ref="A4:N4"/>
    <x:mergeCell ref="A18:N18"/>
  </x:mergeCells>
  <x:pageMargins left="0.7" right="0.7" top="0.75" bottom="0.75" header="0.3" footer="0.3"/>
</x:worksheet>
</file>