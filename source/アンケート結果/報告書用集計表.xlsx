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drawings/drawing5.xml" ContentType="application/vnd.openxmlformats-officedocument.drawing+xml"/>
  <Override PartName="/xl/worksheets/sheet8.xml" ContentType="application/vnd.openxmlformats-officedocument.spreadsheetml.worksheet+xml"/>
  <Override PartName="/xl/drawings/drawing6.xml" ContentType="application/vnd.openxmlformats-officedocument.drawing+xml"/>
  <Override PartName="/xl/worksheets/sheet9.xml" ContentType="application/vnd.openxmlformats-officedocument.spreadsheetml.worksheet+xml"/>
  <Override PartName="/xl/drawings/drawing7.xml" ContentType="application/vnd.openxmlformats-officedocument.drawing+xml"/>
  <Override PartName="/xl/worksheets/sheet10.xml" ContentType="application/vnd.openxmlformats-officedocument.spreadsheetml.worksheet+xml"/>
  <Override PartName="/xl/drawings/drawing8.xml" ContentType="application/vnd.openxmlformats-officedocument.drawing+xml"/>
  <Override PartName="/xl/worksheets/sheet11.xml" ContentType="application/vnd.openxmlformats-officedocument.spreadsheetml.worksheet+xml"/>
  <Override PartName="/xl/drawings/drawing9.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目次" sheetId="1" state="visible" r:id="rId1"/>
    <sheet xmlns:r="http://schemas.openxmlformats.org/officeDocument/2006/relationships" name="1-2章_概要・要点" sheetId="2" state="visible" r:id="rId2"/>
    <sheet xmlns:r="http://schemas.openxmlformats.org/officeDocument/2006/relationships" name="3章_1属性" sheetId="3" state="visible" r:id="rId3"/>
    <sheet xmlns:r="http://schemas.openxmlformats.org/officeDocument/2006/relationships" name="3章_2生活・外出" sheetId="4" state="visible" r:id="rId4"/>
    <sheet xmlns:r="http://schemas.openxmlformats.org/officeDocument/2006/relationships" name="3章_3医療" sheetId="5" state="visible" r:id="rId5"/>
    <sheet xmlns:r="http://schemas.openxmlformats.org/officeDocument/2006/relationships" name="3章_4相談・情報" sheetId="6" state="visible" r:id="rId6"/>
    <sheet xmlns:r="http://schemas.openxmlformats.org/officeDocument/2006/relationships" name="3章_5サービス" sheetId="7" state="visible" r:id="rId7"/>
    <sheet xmlns:r="http://schemas.openxmlformats.org/officeDocument/2006/relationships" name="3章_6日中・権利" sheetId="8" state="visible" r:id="rId8"/>
    <sheet xmlns:r="http://schemas.openxmlformats.org/officeDocument/2006/relationships" name="3章_7災害・施策" sheetId="9" state="visible" r:id="rId9"/>
    <sheet xmlns:r="http://schemas.openxmlformats.org/officeDocument/2006/relationships" name="4章_クロス集計" sheetId="10" state="visible" r:id="rId10"/>
    <sheet xmlns:r="http://schemas.openxmlformats.org/officeDocument/2006/relationships" name="5章_障がい児" sheetId="11" state="visible" r:id="rId11"/>
    <sheet xmlns:r="http://schemas.openxmlformats.org/officeDocument/2006/relationships" name="6章_課題" sheetId="12" state="visible" r:id="rId12"/>
    <sheet xmlns:r="http://schemas.openxmlformats.org/officeDocument/2006/relationships" name="集計_障がい者" sheetId="13" state="visible" r:id="rId13"/>
    <sheet xmlns:r="http://schemas.openxmlformats.org/officeDocument/2006/relationships" name="集計_障がい児" sheetId="14" state="visible" r:id="rId14"/>
  </sheets>
  <definedNames>
    <definedName name="_xlnm._FilterDatabase" localSheetId="12" hidden="1">'集計_障がい者'!$A$4:$G$402</definedName>
    <definedName name="_xlnm._FilterDatabase" localSheetId="13" hidden="1">'集計_障がい児'!$A$4:$G$376</definedName>
  </definedNames>
  <calcPr calcId="124519" fullCalcOnLoad="1"/>
</workbook>
</file>

<file path=xl/styles.xml><?xml version="1.0" encoding="utf-8"?>
<styleSheet xmlns="http://schemas.openxmlformats.org/spreadsheetml/2006/main">
  <numFmts count="5">
    <numFmt numFmtId="164" formatCode="0.0%"/>
    <numFmt numFmtId="165" formatCode="+0.0;-0.0;&quot;－&quot;"/>
    <numFmt numFmtId="166" formatCode="0.0%;-0.0%;&quot;－&quot;"/>
    <numFmt numFmtId="167" formatCode="0&quot;件&quot;;-0&quot;件&quot;;&quot;－&quot;"/>
    <numFmt numFmtId="168" formatCode="0&quot;件&quot;"/>
  </numFmts>
  <fonts count="14">
    <font>
      <name val="Calibri"/>
      <family val="2"/>
      <color theme="1"/>
      <sz val="11"/>
      <scheme val="minor"/>
    </font>
    <font>
      <name val="BIZ UDPゴシック"/>
      <b val="1"/>
      <color rgb="001F4E79"/>
      <sz val="12"/>
    </font>
    <font>
      <name val="BIZ UDPゴシック"/>
      <color rgb="00595959"/>
      <sz val="9"/>
    </font>
    <font>
      <name val="BIZ UDPゴシック"/>
      <b val="1"/>
      <color rgb="00FFFFFF"/>
      <sz val="9.5"/>
    </font>
    <font>
      <name val="BIZ UDPゴシック"/>
      <color rgb="00262626"/>
      <sz val="9.5"/>
    </font>
    <font>
      <name val="BIZ UDPゴシック"/>
      <color rgb="000000FF"/>
      <sz val="9.5"/>
    </font>
    <font>
      <name val="BIZ UDPゴシック"/>
      <b val="1"/>
      <color rgb="001F4E79"/>
      <sz val="11"/>
    </font>
    <font>
      <name val="BIZ UDPゴシック"/>
      <b val="1"/>
      <color rgb="00262626"/>
      <sz val="9.5"/>
    </font>
    <font>
      <name val="BIZ UDPゴシック"/>
      <color rgb="00595959"/>
      <sz val="8.5"/>
    </font>
    <font>
      <name val="BIZ UDPゴシック"/>
      <b val="1"/>
      <color rgb="00595959"/>
      <sz val="9"/>
    </font>
    <font>
      <name val="BIZ UDPゴシック"/>
      <b val="1"/>
      <color rgb="001F4E79"/>
      <sz val="14"/>
    </font>
    <font>
      <name val="BIZ UDPゴシック"/>
      <color rgb="00262626"/>
      <sz val="10"/>
    </font>
    <font>
      <name val="BIZ UDPゴシック"/>
      <color rgb="000563C1"/>
      <sz val="9.5"/>
    </font>
    <font>
      <name val="BIZ UDPゴシック"/>
      <color rgb="000563C1"/>
      <sz val="9.5"/>
      <u val="single"/>
    </font>
  </fonts>
  <fills count="6">
    <fill>
      <patternFill/>
    </fill>
    <fill>
      <patternFill patternType="gray125"/>
    </fill>
    <fill>
      <patternFill patternType="solid">
        <fgColor rgb="001F4E79"/>
      </patternFill>
    </fill>
    <fill>
      <patternFill patternType="solid">
        <fgColor rgb="00F2F2F2"/>
      </patternFill>
    </fill>
    <fill>
      <patternFill patternType="solid">
        <fgColor rgb="00FFFF00"/>
      </patternFill>
    </fill>
    <fill>
      <patternFill patternType="solid">
        <fgColor rgb="00F3F7FB"/>
      </patternFill>
    </fill>
  </fills>
  <borders count="9">
    <border>
      <left/>
      <right/>
      <top/>
      <bottom/>
      <diagonal/>
    </border>
    <border>
      <left style="thin">
        <color rgb="009FB3CC"/>
      </left>
      <right style="thin">
        <color rgb="009FB3CC"/>
      </right>
      <top style="thin">
        <color rgb="009FB3CC"/>
      </top>
      <bottom style="thin">
        <color rgb="009FB3CC"/>
      </bottom>
    </border>
    <border>
      <left/>
      <right/>
      <top style="thin">
        <color rgb="009FB3CC"/>
      </top>
      <bottom/>
      <diagonal/>
    </border>
    <border>
      <left/>
      <right style="thin">
        <color rgb="009FB3CC"/>
      </right>
      <top style="thin">
        <color rgb="009FB3CC"/>
      </top>
      <bottom/>
      <diagonal/>
    </border>
    <border>
      <left/>
      <right/>
      <top style="thin">
        <color rgb="009FB3CC"/>
      </top>
      <bottom style="thin">
        <color rgb="009FB3CC"/>
      </bottom>
      <diagonal/>
    </border>
    <border>
      <left/>
      <right style="thin">
        <color rgb="009FB3CC"/>
      </right>
      <top style="thin">
        <color rgb="009FB3CC"/>
      </top>
      <bottom style="thin">
        <color rgb="009FB3CC"/>
      </bottom>
      <diagonal/>
    </border>
    <border>
      <left style="thin">
        <color rgb="009FB3CC"/>
      </left>
      <right/>
      <top/>
      <bottom/>
      <diagonal/>
    </border>
    <border>
      <left style="thin">
        <color rgb="009FB3CC"/>
      </left>
      <right style="thin">
        <color rgb="009FB3CC"/>
      </right>
      <top/>
      <bottom/>
      <diagonal/>
    </border>
    <border>
      <left style="thin">
        <color rgb="009FB3CC"/>
      </left>
      <right style="thin">
        <color rgb="009FB3CC"/>
      </right>
      <top/>
      <bottom style="thin">
        <color rgb="009FB3CC"/>
      </bottom>
      <diagonal/>
    </border>
  </borders>
  <cellStyleXfs count="1">
    <xf numFmtId="0" fontId="0" fillId="0" borderId="0"/>
  </cellStyleXfs>
  <cellXfs count="33">
    <xf numFmtId="0" fontId="0" fillId="0" borderId="0" pivotButton="0" quotePrefix="0" xfId="0"/>
    <xf numFmtId="0" fontId="10" fillId="0" borderId="0" pivotButton="0" quotePrefix="0" xfId="0"/>
    <xf numFmtId="0" fontId="11"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13" fillId="0" borderId="1" applyAlignment="1" pivotButton="0" quotePrefix="0" xfId="0">
      <alignment horizontal="center" vertical="center" wrapText="1"/>
    </xf>
    <xf numFmtId="0" fontId="6" fillId="0" borderId="0" pivotButton="0" quotePrefix="0" xfId="0"/>
    <xf numFmtId="0" fontId="0" fillId="0" borderId="4" pivotButton="0" quotePrefix="0" xfId="0"/>
    <xf numFmtId="0" fontId="0" fillId="0" borderId="5" pivotButton="0" quotePrefix="0" xfId="0"/>
    <xf numFmtId="0" fontId="7" fillId="3" borderId="1" applyAlignment="1" pivotButton="0" quotePrefix="0" xfId="0">
      <alignment horizontal="center" vertical="center" wrapText="1"/>
    </xf>
    <xf numFmtId="0" fontId="4" fillId="4" borderId="1" applyAlignment="1" pivotButton="0" quotePrefix="0" xfId="0">
      <alignment horizontal="left" vertical="center" wrapText="1"/>
    </xf>
    <xf numFmtId="0" fontId="8" fillId="0" borderId="0" applyAlignment="1" pivotButton="0" quotePrefix="0" xfId="0">
      <alignment vertical="top" wrapText="1"/>
    </xf>
    <xf numFmtId="0" fontId="4" fillId="5" borderId="1" applyAlignment="1" pivotButton="0" quotePrefix="0" xfId="0">
      <alignment horizontal="left" vertical="center" wrapText="1"/>
    </xf>
    <xf numFmtId="0" fontId="4" fillId="5" borderId="1" applyAlignment="1" pivotButton="0" quotePrefix="0" xfId="0">
      <alignment horizontal="center" vertical="center" wrapText="1"/>
    </xf>
    <xf numFmtId="164" fontId="7" fillId="0" borderId="1" applyAlignment="1" pivotButton="0" quotePrefix="0" xfId="0">
      <alignment horizontal="center" vertical="center" wrapText="1"/>
    </xf>
    <xf numFmtId="0" fontId="2" fillId="0" borderId="0" pivotButton="0" quotePrefix="0" xfId="0"/>
    <xf numFmtId="1" fontId="4" fillId="0" borderId="1" applyAlignment="1" pivotButton="0" quotePrefix="0" xfId="0">
      <alignment horizontal="center" vertical="center" wrapText="1"/>
    </xf>
    <xf numFmtId="164" fontId="4" fillId="0" borderId="1" applyAlignment="1" pivotButton="0" quotePrefix="0" xfId="0">
      <alignment horizontal="center" vertical="center" wrapText="1"/>
    </xf>
    <xf numFmtId="0" fontId="0" fillId="0" borderId="8" pivotButton="0" quotePrefix="0" xfId="0"/>
    <xf numFmtId="0" fontId="7" fillId="3" borderId="1" applyAlignment="1" pivotButton="0" quotePrefix="0" xfId="0">
      <alignment horizontal="left" vertical="center" wrapText="1"/>
    </xf>
    <xf numFmtId="1" fontId="4" fillId="3" borderId="1" applyAlignment="1" pivotButton="0" quotePrefix="0" xfId="0">
      <alignment horizontal="center" vertical="center" wrapText="1"/>
    </xf>
    <xf numFmtId="0" fontId="4" fillId="3" borderId="1" applyAlignment="1" pivotButton="0" quotePrefix="0" xfId="0">
      <alignment horizontal="left" vertical="center" wrapText="1"/>
    </xf>
    <xf numFmtId="165" fontId="4" fillId="0" borderId="1" applyAlignment="1" pivotButton="0" quotePrefix="0" xfId="0">
      <alignment horizontal="center" vertical="center" wrapText="1"/>
    </xf>
    <xf numFmtId="0" fontId="9" fillId="0" borderId="0" pivotButton="0" quotePrefix="0" xfId="0"/>
    <xf numFmtId="1" fontId="5" fillId="3" borderId="1" applyAlignment="1" pivotButton="0" quotePrefix="0" xfId="0">
      <alignment horizontal="center" vertical="center" wrapText="1"/>
    </xf>
    <xf numFmtId="1" fontId="5" fillId="0" borderId="1" applyAlignment="1" pivotButton="0" quotePrefix="0" xfId="0">
      <alignment horizontal="center" vertical="center" wrapText="1"/>
    </xf>
    <xf numFmtId="166" fontId="4" fillId="0" borderId="1" applyAlignment="1" pivotButton="0" quotePrefix="0" xfId="0">
      <alignment horizontal="center" vertical="center" wrapText="1"/>
    </xf>
    <xf numFmtId="0" fontId="7" fillId="0" borderId="1" applyAlignment="1" pivotButton="0" quotePrefix="0" xfId="0">
      <alignment horizontal="left" vertical="center" wrapText="1"/>
    </xf>
    <xf numFmtId="0" fontId="7" fillId="5" borderId="1" applyAlignment="1" pivotButton="0" quotePrefix="0" xfId="0">
      <alignment horizontal="left" vertical="center" wrapText="1"/>
    </xf>
    <xf numFmtId="167" fontId="4" fillId="0" borderId="1" applyAlignment="1" pivotButton="0" quotePrefix="0" xfId="0">
      <alignment horizontal="center" vertical="center" wrapText="1"/>
    </xf>
    <xf numFmtId="168" fontId="4" fillId="0" borderId="1" applyAlignment="1" pivotButton="0" quotePrefix="0" xfId="0">
      <alignment horizontal="center" vertical="center" wrapText="1"/>
    </xf>
    <xf numFmtId="0" fontId="1" fillId="0" borderId="0" pivotButton="0" quotePrefix="0" xfId="0"/>
  </cellXfs>
  <cellStyles count="1">
    <cellStyle name="Normal" xfId="0" builtinId="0" hidden="0"/>
  </cellStyles>
  <dxfs count="2">
    <dxf>
      <font>
        <b val="1"/>
        <color rgb="00C00000"/>
      </font>
    </dxf>
    <dxf>
      <font>
        <b val="1"/>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plotArea>
      <barChart>
        <barDir val="bar"/>
        <grouping val="percentStacked"/>
        <varyColors val="0"/>
        <ser>
          <idx val="0"/>
          <order val="0"/>
          <tx>
            <strRef>
              <f>'3章_1属性'!$B$5</f>
            </strRef>
          </tx>
          <spPr>
            <a:solidFill xmlns:a="http://schemas.openxmlformats.org/drawingml/2006/main">
              <a:srgbClr val="2B6CB0"/>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800" b="0">
                    <a:solidFill>
                      <a:srgbClr val="FFFFFF"/>
                    </a:solidFill>
                    <a:latin typeface="BIZ UDPゴシック"/>
                    <a:ea typeface="BIZ UDPゴシック"/>
                  </a:defRPr>
                </a:pPr>
                <a:r>
                  <a:t/>
                </a:r>
                <a:endParaRPr sz="800" b="0">
                  <a:solidFill>
                    <a:srgbClr val="FFFFFF"/>
                  </a:solidFill>
                  <a:latin typeface="BIZ UDPゴシック"/>
                  <a:ea typeface="BIZ UDPゴシック"/>
                </a:endParaRPr>
              </a:p>
            </txPr>
            <dLblPos val="ctr"/>
            <showLegendKey val="0"/>
            <showVal val="1"/>
            <showCatName val="0"/>
            <showSerName val="0"/>
            <showPercent val="0"/>
            <showBubbleSize val="0"/>
          </dLbls>
          <val>
            <numRef>
              <f>'3章_1属性'!$D$5</f>
            </numRef>
          </val>
        </ser>
        <ser>
          <idx val="1"/>
          <order val="1"/>
          <tx>
            <strRef>
              <f>'3章_1属性'!$B$6</f>
            </strRef>
          </tx>
          <spPr>
            <a:solidFill xmlns:a="http://schemas.openxmlformats.org/drawingml/2006/main">
              <a:srgbClr val="6FA0D8"/>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800" b="0">
                    <a:solidFill>
                      <a:srgbClr val="262626"/>
                    </a:solidFill>
                    <a:latin typeface="BIZ UDPゴシック"/>
                    <a:ea typeface="BIZ UDPゴシック"/>
                  </a:defRPr>
                </a:pPr>
                <a:r>
                  <a:t/>
                </a:r>
                <a:endParaRPr sz="800" b="0">
                  <a:solidFill>
                    <a:srgbClr val="262626"/>
                  </a:solidFill>
                  <a:latin typeface="BIZ UDPゴシック"/>
                  <a:ea typeface="BIZ UDPゴシック"/>
                </a:endParaRPr>
              </a:p>
            </txPr>
            <dLblPos val="ctr"/>
            <showLegendKey val="0"/>
            <showVal val="1"/>
            <showCatName val="0"/>
            <showSerName val="0"/>
            <showPercent val="0"/>
            <showBubbleSize val="0"/>
          </dLbls>
          <val>
            <numRef>
              <f>'3章_1属性'!$D$6</f>
            </numRef>
          </val>
        </ser>
        <ser>
          <idx val="2"/>
          <order val="2"/>
          <tx>
            <strRef>
              <f>'3章_1属性'!$B$7</f>
            </strRef>
          </tx>
          <spPr>
            <a:solidFill xmlns:a="http://schemas.openxmlformats.org/drawingml/2006/main">
              <a:srgbClr val="4E9F6E"/>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800" b="0">
                    <a:solidFill>
                      <a:srgbClr val="FFFFFF"/>
                    </a:solidFill>
                    <a:latin typeface="BIZ UDPゴシック"/>
                    <a:ea typeface="BIZ UDPゴシック"/>
                  </a:defRPr>
                </a:pPr>
                <a:r>
                  <a:t/>
                </a:r>
                <a:endParaRPr sz="800" b="0">
                  <a:solidFill>
                    <a:srgbClr val="FFFFFF"/>
                  </a:solidFill>
                  <a:latin typeface="BIZ UDPゴシック"/>
                  <a:ea typeface="BIZ UDPゴシック"/>
                </a:endParaRPr>
              </a:p>
            </txPr>
            <dLblPos val="ctr"/>
            <showLegendKey val="0"/>
            <showVal val="1"/>
            <showCatName val="0"/>
            <showSerName val="0"/>
            <showPercent val="0"/>
            <showBubbleSize val="0"/>
          </dLbls>
          <val>
            <numRef>
              <f>'3章_1属性'!$D$7</f>
            </numRef>
          </val>
        </ser>
        <ser>
          <idx val="3"/>
          <order val="3"/>
          <tx>
            <strRef>
              <f>'3章_1属性'!$B$8</f>
            </strRef>
          </tx>
          <spPr>
            <a:solidFill xmlns:a="http://schemas.openxmlformats.org/drawingml/2006/main">
              <a:srgbClr val="BFBFBF"/>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800" b="0">
                    <a:solidFill>
                      <a:srgbClr val="262626"/>
                    </a:solidFill>
                    <a:latin typeface="BIZ UDPゴシック"/>
                    <a:ea typeface="BIZ UDPゴシック"/>
                  </a:defRPr>
                </a:pPr>
                <a:r>
                  <a:t/>
                </a:r>
                <a:endParaRPr sz="800" b="0">
                  <a:solidFill>
                    <a:srgbClr val="262626"/>
                  </a:solidFill>
                  <a:latin typeface="BIZ UDPゴシック"/>
                  <a:ea typeface="BIZ UDPゴシック"/>
                </a:endParaRPr>
              </a:p>
            </txPr>
            <dLblPos val="ctr"/>
            <showLegendKey val="0"/>
            <showVal val="1"/>
            <showCatName val="0"/>
            <showSerName val="0"/>
            <showPercent val="0"/>
            <showBubbleSize val="0"/>
          </dLbls>
          <val>
            <numRef>
              <f>'3章_1属性'!$D$8</f>
            </numRef>
          </val>
        </ser>
        <gapWidth val="120"/>
        <overlap val="100"/>
        <axId val="10"/>
        <axId val="100"/>
      </barChart>
      <catAx>
        <axId val="10"/>
        <scaling>
          <orientation val="maxMin"/>
        </scaling>
        <delete val="1"/>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2.xml><?xml version="1.0" encoding="utf-8"?>
<chartSpace xmlns="http://schemas.openxmlformats.org/drawingml/2006/chart">
  <chart>
    <plotArea>
      <barChart>
        <barDir val="bar"/>
        <grouping val="clustered"/>
        <varyColors val="0"/>
        <ser>
          <idx val="0"/>
          <order val="0"/>
          <spPr>
            <a:solidFill xmlns:a="http://schemas.openxmlformats.org/drawingml/2006/main">
              <a:srgbClr val="2B6CB0"/>
            </a:solidFill>
            <a:ln xmlns:a="http://schemas.openxmlformats.org/drawingml/2006/main">
              <a:noFill/>
              <a:prstDash val="solid"/>
            </a:ln>
          </spPr>
          <dPt>
            <idx val="4"/>
            <spPr>
              <a:solidFill xmlns:a="http://schemas.openxmlformats.org/drawingml/2006/main">
                <a:srgbClr val="A3AAB5"/>
              </a:solidFill>
              <a:ln xmlns:a="http://schemas.openxmlformats.org/drawingml/2006/main">
                <a:no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'3章_1属性'!$B$16:$B$20</f>
            </numRef>
          </cat>
          <val>
            <numRef>
              <f>'3章_1属性'!$D$16:$D$20</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8"/>
          <min val="0"/>
        </scaling>
        <delete val="1"/>
        <axPos val="l"/>
        <majorTickMark val="none"/>
        <minorTickMark val="none"/>
        <crossAx val="10"/>
      </valAx>
    </plotArea>
    <plotVisOnly val="1"/>
    <dispBlanksAs val="gap"/>
  </chart>
</chartSpace>
</file>

<file path=xl/charts/chart3.xml><?xml version="1.0" encoding="utf-8"?>
<chartSpace xmlns="http://schemas.openxmlformats.org/drawingml/2006/chart">
  <chart>
    <plotArea>
      <barChart>
        <barDir val="bar"/>
        <grouping val="percentStacked"/>
        <varyColors val="0"/>
        <ser>
          <idx val="0"/>
          <order val="0"/>
          <tx>
            <strRef>
              <f>'3章_1属性'!$B$26</f>
            </strRef>
          </tx>
          <spPr>
            <a:solidFill xmlns:a="http://schemas.openxmlformats.org/drawingml/2006/main">
              <a:srgbClr val="DCE9F7"/>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800" b="0">
                    <a:solidFill>
                      <a:srgbClr val="262626"/>
                    </a:solidFill>
                    <a:latin typeface="BIZ UDPゴシック"/>
                    <a:ea typeface="BIZ UDPゴシック"/>
                  </a:defRPr>
                </a:pPr>
                <a:r>
                  <a:t/>
                </a:r>
                <a:endParaRPr sz="800" b="0">
                  <a:solidFill>
                    <a:srgbClr val="262626"/>
                  </a:solidFill>
                  <a:latin typeface="BIZ UDPゴシック"/>
                  <a:ea typeface="BIZ UDPゴシック"/>
                </a:endParaRPr>
              </a:p>
            </txPr>
            <dLblPos val="ctr"/>
            <showLegendKey val="0"/>
            <showVal val="1"/>
            <showCatName val="0"/>
            <showSerName val="0"/>
            <showPercent val="0"/>
            <showBubbleSize val="0"/>
          </dLbls>
          <val>
            <numRef>
              <f>'3章_1属性'!$D$26</f>
            </numRef>
          </val>
        </ser>
        <ser>
          <idx val="1"/>
          <order val="1"/>
          <tx>
            <strRef>
              <f>'3章_1属性'!$B$27</f>
            </strRef>
          </tx>
          <spPr>
            <a:solidFill xmlns:a="http://schemas.openxmlformats.org/drawingml/2006/main">
              <a:srgbClr val="B4CFEE"/>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800" b="0">
                    <a:solidFill>
                      <a:srgbClr val="262626"/>
                    </a:solidFill>
                    <a:latin typeface="BIZ UDPゴシック"/>
                    <a:ea typeface="BIZ UDPゴシック"/>
                  </a:defRPr>
                </a:pPr>
                <a:r>
                  <a:t/>
                </a:r>
                <a:endParaRPr sz="800" b="0">
                  <a:solidFill>
                    <a:srgbClr val="262626"/>
                  </a:solidFill>
                  <a:latin typeface="BIZ UDPゴシック"/>
                  <a:ea typeface="BIZ UDPゴシック"/>
                </a:endParaRPr>
              </a:p>
            </txPr>
            <dLblPos val="ctr"/>
            <showLegendKey val="0"/>
            <showVal val="1"/>
            <showCatName val="0"/>
            <showSerName val="0"/>
            <showPercent val="0"/>
            <showBubbleSize val="0"/>
          </dLbls>
          <val>
            <numRef>
              <f>'3章_1属性'!$D$27</f>
            </numRef>
          </val>
        </ser>
        <ser>
          <idx val="2"/>
          <order val="2"/>
          <tx>
            <strRef>
              <f>'3章_1属性'!$B$28</f>
            </strRef>
          </tx>
          <spPr>
            <a:solidFill xmlns:a="http://schemas.openxmlformats.org/drawingml/2006/main">
              <a:srgbClr val="6FA0D8"/>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800" b="0">
                    <a:solidFill>
                      <a:srgbClr val="262626"/>
                    </a:solidFill>
                    <a:latin typeface="BIZ UDPゴシック"/>
                    <a:ea typeface="BIZ UDPゴシック"/>
                  </a:defRPr>
                </a:pPr>
                <a:r>
                  <a:t/>
                </a:r>
                <a:endParaRPr sz="800" b="0">
                  <a:solidFill>
                    <a:srgbClr val="262626"/>
                  </a:solidFill>
                  <a:latin typeface="BIZ UDPゴシック"/>
                  <a:ea typeface="BIZ UDPゴシック"/>
                </a:endParaRPr>
              </a:p>
            </txPr>
            <dLblPos val="ctr"/>
            <showLegendKey val="0"/>
            <showVal val="1"/>
            <showCatName val="0"/>
            <showSerName val="0"/>
            <showPercent val="0"/>
            <showBubbleSize val="0"/>
          </dLbls>
          <val>
            <numRef>
              <f>'3章_1属性'!$D$28</f>
            </numRef>
          </val>
        </ser>
        <ser>
          <idx val="3"/>
          <order val="3"/>
          <tx>
            <strRef>
              <f>'3章_1属性'!$B$29</f>
            </strRef>
          </tx>
          <spPr>
            <a:solidFill xmlns:a="http://schemas.openxmlformats.org/drawingml/2006/main">
              <a:srgbClr val="2B6CB0"/>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800" b="0">
                    <a:solidFill>
                      <a:srgbClr val="FFFFFF"/>
                    </a:solidFill>
                    <a:latin typeface="BIZ UDPゴシック"/>
                    <a:ea typeface="BIZ UDPゴシック"/>
                  </a:defRPr>
                </a:pPr>
                <a:r>
                  <a:t/>
                </a:r>
                <a:endParaRPr sz="800" b="0">
                  <a:solidFill>
                    <a:srgbClr val="FFFFFF"/>
                  </a:solidFill>
                  <a:latin typeface="BIZ UDPゴシック"/>
                  <a:ea typeface="BIZ UDPゴシック"/>
                </a:endParaRPr>
              </a:p>
            </txPr>
            <dLblPos val="ctr"/>
            <showLegendKey val="0"/>
            <showVal val="1"/>
            <showCatName val="0"/>
            <showSerName val="0"/>
            <showPercent val="0"/>
            <showBubbleSize val="0"/>
          </dLbls>
          <val>
            <numRef>
              <f>'3章_1属性'!$D$29</f>
            </numRef>
          </val>
        </ser>
        <ser>
          <idx val="4"/>
          <order val="4"/>
          <tx>
            <strRef>
              <f>'3章_1属性'!$B$30</f>
            </strRef>
          </tx>
          <spPr>
            <a:solidFill xmlns:a="http://schemas.openxmlformats.org/drawingml/2006/main">
              <a:srgbClr val="1F4E79"/>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800" b="0">
                    <a:solidFill>
                      <a:srgbClr val="FFFFFF"/>
                    </a:solidFill>
                    <a:latin typeface="BIZ UDPゴシック"/>
                    <a:ea typeface="BIZ UDPゴシック"/>
                  </a:defRPr>
                </a:pPr>
                <a:r>
                  <a:t/>
                </a:r>
                <a:endParaRPr sz="800" b="0">
                  <a:solidFill>
                    <a:srgbClr val="FFFFFF"/>
                  </a:solidFill>
                  <a:latin typeface="BIZ UDPゴシック"/>
                  <a:ea typeface="BIZ UDPゴシック"/>
                </a:endParaRPr>
              </a:p>
            </txPr>
            <dLblPos val="ctr"/>
            <showLegendKey val="0"/>
            <showVal val="1"/>
            <showCatName val="0"/>
            <showSerName val="0"/>
            <showPercent val="0"/>
            <showBubbleSize val="0"/>
          </dLbls>
          <val>
            <numRef>
              <f>'3章_1属性'!$D$30</f>
            </numRef>
          </val>
        </ser>
        <gapWidth val="120"/>
        <overlap val="100"/>
        <axId val="10"/>
        <axId val="100"/>
      </barChart>
      <catAx>
        <axId val="10"/>
        <scaling>
          <orientation val="maxMin"/>
        </scaling>
        <delete val="1"/>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4.xml><?xml version="1.0" encoding="utf-8"?>
<chartSpace xmlns="http://schemas.openxmlformats.org/drawingml/2006/chart">
  <chart>
    <plotArea>
      <barChart>
        <barDir val="bar"/>
        <grouping val="percentStacked"/>
        <varyColors val="0"/>
        <ser>
          <idx val="0"/>
          <order val="0"/>
          <tx>
            <strRef>
              <f>'3章_1属性'!$B$37</f>
            </strRef>
          </tx>
          <spPr>
            <a:solidFill xmlns:a="http://schemas.openxmlformats.org/drawingml/2006/main">
              <a:srgbClr val="2B6CB0"/>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800" b="0">
                    <a:solidFill>
                      <a:srgbClr val="FFFFFF"/>
                    </a:solidFill>
                    <a:latin typeface="BIZ UDPゴシック"/>
                    <a:ea typeface="BIZ UDPゴシック"/>
                  </a:defRPr>
                </a:pPr>
                <a:r>
                  <a:t/>
                </a:r>
                <a:endParaRPr sz="800" b="0">
                  <a:solidFill>
                    <a:srgbClr val="FFFFFF"/>
                  </a:solidFill>
                  <a:latin typeface="BIZ UDPゴシック"/>
                  <a:ea typeface="BIZ UDPゴシック"/>
                </a:endParaRPr>
              </a:p>
            </txPr>
            <dLblPos val="ctr"/>
            <showLegendKey val="0"/>
            <showVal val="1"/>
            <showCatName val="0"/>
            <showSerName val="0"/>
            <showPercent val="0"/>
            <showBubbleSize val="0"/>
          </dLbls>
          <val>
            <numRef>
              <f>'3章_1属性'!$D$37</f>
            </numRef>
          </val>
        </ser>
        <ser>
          <idx val="1"/>
          <order val="1"/>
          <tx>
            <strRef>
              <f>'3章_1属性'!$B$38</f>
            </strRef>
          </tx>
          <spPr>
            <a:solidFill xmlns:a="http://schemas.openxmlformats.org/drawingml/2006/main">
              <a:srgbClr val="4E9F6E"/>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800" b="0">
                    <a:solidFill>
                      <a:srgbClr val="FFFFFF"/>
                    </a:solidFill>
                    <a:latin typeface="BIZ UDPゴシック"/>
                    <a:ea typeface="BIZ UDPゴシック"/>
                  </a:defRPr>
                </a:pPr>
                <a:r>
                  <a:t/>
                </a:r>
                <a:endParaRPr sz="800" b="0">
                  <a:solidFill>
                    <a:srgbClr val="FFFFFF"/>
                  </a:solidFill>
                  <a:latin typeface="BIZ UDPゴシック"/>
                  <a:ea typeface="BIZ UDPゴシック"/>
                </a:endParaRPr>
              </a:p>
            </txPr>
            <dLblPos val="ctr"/>
            <showLegendKey val="0"/>
            <showVal val="1"/>
            <showCatName val="0"/>
            <showSerName val="0"/>
            <showPercent val="0"/>
            <showBubbleSize val="0"/>
          </dLbls>
          <val>
            <numRef>
              <f>'3章_1属性'!$D$38</f>
            </numRef>
          </val>
        </ser>
        <ser>
          <idx val="2"/>
          <order val="2"/>
          <tx>
            <strRef>
              <f>'3章_1属性'!$B$39</f>
            </strRef>
          </tx>
          <spPr>
            <a:solidFill xmlns:a="http://schemas.openxmlformats.org/drawingml/2006/main">
              <a:srgbClr val="C9A227"/>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800" b="0">
                    <a:solidFill>
                      <a:srgbClr val="262626"/>
                    </a:solidFill>
                    <a:latin typeface="BIZ UDPゴシック"/>
                    <a:ea typeface="BIZ UDPゴシック"/>
                  </a:defRPr>
                </a:pPr>
                <a:r>
                  <a:t/>
                </a:r>
                <a:endParaRPr sz="800" b="0">
                  <a:solidFill>
                    <a:srgbClr val="262626"/>
                  </a:solidFill>
                  <a:latin typeface="BIZ UDPゴシック"/>
                  <a:ea typeface="BIZ UDPゴシック"/>
                </a:endParaRPr>
              </a:p>
            </txPr>
            <dLblPos val="ctr"/>
            <showLegendKey val="0"/>
            <showVal val="1"/>
            <showCatName val="0"/>
            <showSerName val="0"/>
            <showPercent val="0"/>
            <showBubbleSize val="0"/>
          </dLbls>
          <val>
            <numRef>
              <f>'3章_1属性'!$D$39</f>
            </numRef>
          </val>
        </ser>
        <ser>
          <idx val="3"/>
          <order val="3"/>
          <tx>
            <strRef>
              <f>'3章_1属性'!$B$40</f>
            </strRef>
          </tx>
          <spPr>
            <a:solidFill xmlns:a="http://schemas.openxmlformats.org/drawingml/2006/main">
              <a:srgbClr val="E07B39"/>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800" b="0">
                    <a:solidFill>
                      <a:srgbClr val="FFFFFF"/>
                    </a:solidFill>
                    <a:latin typeface="BIZ UDPゴシック"/>
                    <a:ea typeface="BIZ UDPゴシック"/>
                  </a:defRPr>
                </a:pPr>
                <a:r>
                  <a:t/>
                </a:r>
                <a:endParaRPr sz="800" b="0">
                  <a:solidFill>
                    <a:srgbClr val="FFFFFF"/>
                  </a:solidFill>
                  <a:latin typeface="BIZ UDPゴシック"/>
                  <a:ea typeface="BIZ UDPゴシック"/>
                </a:endParaRPr>
              </a:p>
            </txPr>
            <dLblPos val="ctr"/>
            <showLegendKey val="0"/>
            <showVal val="1"/>
            <showCatName val="0"/>
            <showSerName val="0"/>
            <showPercent val="0"/>
            <showBubbleSize val="0"/>
          </dLbls>
          <val>
            <numRef>
              <f>'3章_1属性'!$D$40</f>
            </numRef>
          </val>
        </ser>
        <ser>
          <idx val="4"/>
          <order val="4"/>
          <tx>
            <strRef>
              <f>'3章_1属性'!$B$41</f>
            </strRef>
          </tx>
          <spPr>
            <a:solidFill xmlns:a="http://schemas.openxmlformats.org/drawingml/2006/main">
              <a:srgbClr val="BFBFBF"/>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800" b="0">
                    <a:solidFill>
                      <a:srgbClr val="262626"/>
                    </a:solidFill>
                    <a:latin typeface="BIZ UDPゴシック"/>
                    <a:ea typeface="BIZ UDPゴシック"/>
                  </a:defRPr>
                </a:pPr>
                <a:r>
                  <a:t/>
                </a:r>
                <a:endParaRPr sz="800" b="0">
                  <a:solidFill>
                    <a:srgbClr val="262626"/>
                  </a:solidFill>
                  <a:latin typeface="BIZ UDPゴシック"/>
                  <a:ea typeface="BIZ UDPゴシック"/>
                </a:endParaRPr>
              </a:p>
            </txPr>
            <dLblPos val="ctr"/>
            <showLegendKey val="0"/>
            <showVal val="1"/>
            <showCatName val="0"/>
            <showSerName val="0"/>
            <showPercent val="0"/>
            <showBubbleSize val="0"/>
          </dLbls>
          <val>
            <numRef>
              <f>'3章_1属性'!$D$41</f>
            </numRef>
          </val>
        </ser>
        <gapWidth val="120"/>
        <overlap val="100"/>
        <axId val="10"/>
        <axId val="100"/>
      </barChart>
      <catAx>
        <axId val="10"/>
        <scaling>
          <orientation val="maxMin"/>
        </scaling>
        <delete val="1"/>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5.xml><?xml version="1.0" encoding="utf-8"?>
<chartSpace xmlns="http://schemas.openxmlformats.org/drawingml/2006/chart">
  <chart>
    <plotArea>
      <barChart>
        <barDir val="bar"/>
        <grouping val="percentStacked"/>
        <varyColors val="0"/>
        <ser>
          <idx val="0"/>
          <order val="0"/>
          <tx>
            <strRef>
              <f>'3章_1属性'!$B$48</f>
            </strRef>
          </tx>
          <spPr>
            <a:solidFill xmlns:a="http://schemas.openxmlformats.org/drawingml/2006/main">
              <a:srgbClr val="2B6CB0"/>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800" b="0">
                    <a:solidFill>
                      <a:srgbClr val="FFFFFF"/>
                    </a:solidFill>
                    <a:latin typeface="BIZ UDPゴシック"/>
                    <a:ea typeface="BIZ UDPゴシック"/>
                  </a:defRPr>
                </a:pPr>
                <a:r>
                  <a:t/>
                </a:r>
                <a:endParaRPr sz="800" b="0">
                  <a:solidFill>
                    <a:srgbClr val="FFFFFF"/>
                  </a:solidFill>
                  <a:latin typeface="BIZ UDPゴシック"/>
                  <a:ea typeface="BIZ UDPゴシック"/>
                </a:endParaRPr>
              </a:p>
            </txPr>
            <dLblPos val="ctr"/>
            <showLegendKey val="0"/>
            <showVal val="1"/>
            <showCatName val="0"/>
            <showSerName val="0"/>
            <showPercent val="0"/>
            <showBubbleSize val="0"/>
          </dLbls>
          <val>
            <numRef>
              <f>'3章_1属性'!$D$48</f>
            </numRef>
          </val>
        </ser>
        <ser>
          <idx val="1"/>
          <order val="1"/>
          <tx>
            <strRef>
              <f>'3章_1属性'!$B$49</f>
            </strRef>
          </tx>
          <spPr>
            <a:solidFill xmlns:a="http://schemas.openxmlformats.org/drawingml/2006/main">
              <a:srgbClr val="E07B39"/>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800" b="0">
                    <a:solidFill>
                      <a:srgbClr val="FFFFFF"/>
                    </a:solidFill>
                    <a:latin typeface="BIZ UDPゴシック"/>
                    <a:ea typeface="BIZ UDPゴシック"/>
                  </a:defRPr>
                </a:pPr>
                <a:r>
                  <a:t/>
                </a:r>
                <a:endParaRPr sz="800" b="0">
                  <a:solidFill>
                    <a:srgbClr val="FFFFFF"/>
                  </a:solidFill>
                  <a:latin typeface="BIZ UDPゴシック"/>
                  <a:ea typeface="BIZ UDPゴシック"/>
                </a:endParaRPr>
              </a:p>
            </txPr>
            <dLblPos val="ctr"/>
            <showLegendKey val="0"/>
            <showVal val="1"/>
            <showCatName val="0"/>
            <showSerName val="0"/>
            <showPercent val="0"/>
            <showBubbleSize val="0"/>
          </dLbls>
          <val>
            <numRef>
              <f>'3章_1属性'!$D$49</f>
            </numRef>
          </val>
        </ser>
        <ser>
          <idx val="2"/>
          <order val="2"/>
          <tx>
            <strRef>
              <f>'3章_1属性'!$B$50</f>
            </strRef>
          </tx>
          <spPr>
            <a:solidFill xmlns:a="http://schemas.openxmlformats.org/drawingml/2006/main">
              <a:srgbClr val="BFBFBF"/>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800" b="0">
                    <a:solidFill>
                      <a:srgbClr val="262626"/>
                    </a:solidFill>
                    <a:latin typeface="BIZ UDPゴシック"/>
                    <a:ea typeface="BIZ UDPゴシック"/>
                  </a:defRPr>
                </a:pPr>
                <a:r>
                  <a:t/>
                </a:r>
                <a:endParaRPr sz="800" b="0">
                  <a:solidFill>
                    <a:srgbClr val="262626"/>
                  </a:solidFill>
                  <a:latin typeface="BIZ UDPゴシック"/>
                  <a:ea typeface="BIZ UDPゴシック"/>
                </a:endParaRPr>
              </a:p>
            </txPr>
            <dLblPos val="ctr"/>
            <showLegendKey val="0"/>
            <showVal val="1"/>
            <showCatName val="0"/>
            <showSerName val="0"/>
            <showPercent val="0"/>
            <showBubbleSize val="0"/>
          </dLbls>
          <val>
            <numRef>
              <f>'3章_1属性'!$D$50</f>
            </numRef>
          </val>
        </ser>
        <gapWidth val="120"/>
        <overlap val="100"/>
        <axId val="10"/>
        <axId val="100"/>
      </barChart>
      <catAx>
        <axId val="10"/>
        <scaling>
          <orientation val="maxMin"/>
        </scaling>
        <delete val="1"/>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6.xml><?xml version="1.0" encoding="utf-8"?>
<chartSpace xmlns="http://schemas.openxmlformats.org/drawingml/2006/chart">
  <chart>
    <plotArea>
      <barChart>
        <barDir val="bar"/>
        <grouping val="clustered"/>
        <varyColors val="0"/>
        <ser>
          <idx val="0"/>
          <order val="0"/>
          <spPr>
            <a:solidFill xmlns:a="http://schemas.openxmlformats.org/drawingml/2006/main">
              <a:srgbClr val="2B6CB0"/>
            </a:solidFill>
            <a:ln xmlns:a="http://schemas.openxmlformats.org/drawingml/2006/main">
              <a:noFill/>
              <a:prstDash val="solid"/>
            </a:ln>
          </spPr>
          <dPt>
            <idx val="6"/>
            <spPr>
              <a:solidFill xmlns:a="http://schemas.openxmlformats.org/drawingml/2006/main">
                <a:srgbClr val="A3AAB5"/>
              </a:solidFill>
              <a:ln xmlns:a="http://schemas.openxmlformats.org/drawingml/2006/main">
                <a:no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'3章_1属性'!$B$60:$B$66</f>
            </numRef>
          </cat>
          <val>
            <numRef>
              <f>'3章_1属性'!$D$60:$D$66</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1.1"/>
          <min val="0"/>
        </scaling>
        <delete val="1"/>
        <axPos val="l"/>
        <majorTickMark val="none"/>
        <minorTickMark val="none"/>
        <crossAx val="10"/>
      </valAx>
    </plotArea>
    <plotVisOnly val="1"/>
    <dispBlanksAs val="gap"/>
  </chart>
</chartSpace>
</file>

<file path=xl/charts/chart7.xml><?xml version="1.0" encoding="utf-8"?>
<chartSpace xmlns="http://schemas.openxmlformats.org/drawingml/2006/chart">
  <chart>
    <plotArea>
      <barChart>
        <barDir val="bar"/>
        <grouping val="clustered"/>
        <varyColors val="0"/>
        <ser>
          <idx val="0"/>
          <order val="0"/>
          <spPr>
            <a:solidFill xmlns:a="http://schemas.openxmlformats.org/drawingml/2006/main">
              <a:srgbClr val="2B6CB0"/>
            </a:solidFill>
            <a:ln xmlns:a="http://schemas.openxmlformats.org/drawingml/2006/main">
              <a:noFill/>
              <a:prstDash val="solid"/>
            </a:ln>
          </spPr>
          <dPt>
            <idx val="7"/>
            <spPr>
              <a:solidFill xmlns:a="http://schemas.openxmlformats.org/drawingml/2006/main">
                <a:srgbClr val="A3AAB5"/>
              </a:solidFill>
              <a:ln xmlns:a="http://schemas.openxmlformats.org/drawingml/2006/main">
                <a:no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'3章_1属性'!$B$73:$B$80</f>
            </numRef>
          </cat>
          <val>
            <numRef>
              <f>'3章_1属性'!$D$73:$D$80</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1"/>
          <min val="0"/>
        </scaling>
        <delete val="1"/>
        <axPos val="l"/>
        <majorTickMark val="none"/>
        <minorTickMark val="none"/>
        <crossAx val="10"/>
      </valAx>
    </plotArea>
    <plotVisOnly val="1"/>
    <dispBlanksAs val="gap"/>
  </chart>
</chartSpace>
</file>

<file path=xl/charts/chart8.xml><?xml version="1.0" encoding="utf-8"?>
<chartSpace xmlns="http://schemas.openxmlformats.org/drawingml/2006/chart">
  <chart>
    <plotArea>
      <barChart>
        <barDir val="bar"/>
        <grouping val="clustered"/>
        <varyColors val="0"/>
        <ser>
          <idx val="0"/>
          <order val="0"/>
          <spPr>
            <a:solidFill xmlns:a="http://schemas.openxmlformats.org/drawingml/2006/main">
              <a:srgbClr val="2B6CB0"/>
            </a:solidFill>
            <a:ln xmlns:a="http://schemas.openxmlformats.org/drawingml/2006/main">
              <a:noFill/>
              <a:prstDash val="solid"/>
            </a:ln>
          </spPr>
          <dPt>
            <idx val="6"/>
            <spPr>
              <a:solidFill xmlns:a="http://schemas.openxmlformats.org/drawingml/2006/main">
                <a:srgbClr val="A3AAB5"/>
              </a:solidFill>
              <a:ln xmlns:a="http://schemas.openxmlformats.org/drawingml/2006/main">
                <a:no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'3章_1属性'!$B$87:$B$93</f>
            </numRef>
          </cat>
          <val>
            <numRef>
              <f>'3章_1属性'!$D$87:$D$93</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9"/>
          <min val="0"/>
        </scaling>
        <delete val="1"/>
        <axPos val="l"/>
        <majorTickMark val="none"/>
        <minorTickMark val="none"/>
        <crossAx val="10"/>
      </valAx>
    </plotArea>
    <plotVisOnly val="1"/>
    <dispBlanksAs val="gap"/>
  </chart>
</chartSpace>
</file>

<file path=xl/charts/chart9.xml><?xml version="1.0" encoding="utf-8"?>
<chartSpace xmlns="http://schemas.openxmlformats.org/drawingml/2006/chart">
  <chart>
    <plotArea>
      <barChart>
        <barDir val="bar"/>
        <grouping val="clustered"/>
        <varyColors val="0"/>
        <ser>
          <idx val="0"/>
          <order val="0"/>
          <spPr>
            <a:solidFill xmlns:a="http://schemas.openxmlformats.org/drawingml/2006/main">
              <a:srgbClr val="2B6CB0"/>
            </a:solidFill>
            <a:ln xmlns:a="http://schemas.openxmlformats.org/drawingml/2006/main">
              <a:noFill/>
              <a:prstDash val="solid"/>
            </a:ln>
          </spPr>
          <dPt>
            <idx val="6"/>
            <spPr>
              <a:solidFill xmlns:a="http://schemas.openxmlformats.org/drawingml/2006/main">
                <a:srgbClr val="A3AAB5"/>
              </a:solidFill>
              <a:ln xmlns:a="http://schemas.openxmlformats.org/drawingml/2006/main">
                <a:no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'3章_1属性'!$B$100:$B$106</f>
            </numRef>
          </cat>
          <val>
            <numRef>
              <f>'3章_1属性'!$D$100:$D$106</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6"/>
          <min val="0"/>
        </scaling>
        <delete val="1"/>
        <axPos val="l"/>
        <majorTickMark val="none"/>
        <minorTickMark val="none"/>
        <crossAx val="10"/>
      </valAx>
    </plotArea>
    <plotVisOnly val="1"/>
    <dispBlanksAs val="gap"/>
  </chart>
</chartSpace>
</file>

<file path=xl/charts/chart10.xml><?xml version="1.0" encoding="utf-8"?>
<chartSpace xmlns="http://schemas.openxmlformats.org/drawingml/2006/chart">
  <chart>
    <plotArea>
      <barChart>
        <barDir val="bar"/>
        <grouping val="clustered"/>
        <varyColors val="0"/>
        <ser>
          <idx val="0"/>
          <order val="0"/>
          <spPr>
            <a:solidFill xmlns:a="http://schemas.openxmlformats.org/drawingml/2006/main">
              <a:srgbClr val="2B6CB0"/>
            </a:solidFill>
            <a:ln xmlns:a="http://schemas.openxmlformats.org/drawingml/2006/main">
              <a:noFill/>
              <a:prstDash val="solid"/>
            </a:ln>
          </spPr>
          <dPt>
            <idx val="0"/>
            <spPr>
              <a:solidFill xmlns:a="http://schemas.openxmlformats.org/drawingml/2006/main">
                <a:srgbClr val="A3AAB5"/>
              </a:solidFill>
              <a:ln xmlns:a="http://schemas.openxmlformats.org/drawingml/2006/main">
                <a:noFill/>
                <a:prstDash val="solid"/>
              </a:ln>
            </spPr>
          </dPt>
          <dPt>
            <idx val="9"/>
            <spPr>
              <a:solidFill xmlns:a="http://schemas.openxmlformats.org/drawingml/2006/main">
                <a:srgbClr val="A3AAB5"/>
              </a:solidFill>
              <a:ln xmlns:a="http://schemas.openxmlformats.org/drawingml/2006/main">
                <a:no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'3章_1属性'!$B$113:$B$122</f>
            </numRef>
          </cat>
          <val>
            <numRef>
              <f>'3章_1属性'!$D$113:$D$122</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7"/>
          <min val="0"/>
        </scaling>
        <delete val="1"/>
        <axPos val="l"/>
        <majorTickMark val="none"/>
        <minorTickMark val="none"/>
        <crossAx val="10"/>
      </valAx>
    </plotArea>
    <plotVisOnly val="1"/>
    <dispBlanksAs val="gap"/>
  </chart>
</chartSpace>
</file>

<file path=xl/charts/chart11.xml><?xml version="1.0" encoding="utf-8"?>
<chartSpace xmlns="http://schemas.openxmlformats.org/drawingml/2006/chart">
  <chart>
    <plotArea>
      <barChart>
        <barDir val="bar"/>
        <grouping val="clustered"/>
        <varyColors val="0"/>
        <ser>
          <idx val="0"/>
          <order val="0"/>
          <spPr>
            <a:solidFill xmlns:a="http://schemas.openxmlformats.org/drawingml/2006/main">
              <a:srgbClr val="2B6CB0"/>
            </a:solidFill>
            <a:ln xmlns:a="http://schemas.openxmlformats.org/drawingml/2006/main">
              <a:noFill/>
              <a:prstDash val="solid"/>
            </a:ln>
          </spPr>
          <dPt>
            <idx val="12"/>
            <spPr>
              <a:solidFill xmlns:a="http://schemas.openxmlformats.org/drawingml/2006/main">
                <a:srgbClr val="A3AAB5"/>
              </a:solidFill>
              <a:ln xmlns:a="http://schemas.openxmlformats.org/drawingml/2006/main">
                <a:noFill/>
                <a:prstDash val="solid"/>
              </a:ln>
            </spPr>
          </dPt>
          <dPt>
            <idx val="13"/>
            <spPr>
              <a:solidFill xmlns:a="http://schemas.openxmlformats.org/drawingml/2006/main">
                <a:srgbClr val="A3AAB5"/>
              </a:solidFill>
              <a:ln xmlns:a="http://schemas.openxmlformats.org/drawingml/2006/main">
                <a:no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'3章_2生活・外出'!$B$5:$B$18</f>
            </numRef>
          </cat>
          <val>
            <numRef>
              <f>'3章_2生活・外出'!$D$5:$D$18</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6"/>
          <min val="0"/>
        </scaling>
        <delete val="1"/>
        <axPos val="l"/>
        <majorTickMark val="none"/>
        <minorTickMark val="none"/>
        <crossAx val="10"/>
      </valAx>
    </plotArea>
    <plotVisOnly val="1"/>
    <dispBlanksAs val="gap"/>
  </chart>
</chartSpace>
</file>

<file path=xl/charts/chart12.xml><?xml version="1.0" encoding="utf-8"?>
<chartSpace xmlns="http://schemas.openxmlformats.org/drawingml/2006/chart">
  <chart>
    <plotArea>
      <barChart>
        <barDir val="bar"/>
        <grouping val="clustered"/>
        <varyColors val="0"/>
        <ser>
          <idx val="0"/>
          <order val="0"/>
          <spPr>
            <a:solidFill xmlns:a="http://schemas.openxmlformats.org/drawingml/2006/main">
              <a:srgbClr val="2B6CB0"/>
            </a:solidFill>
            <a:ln xmlns:a="http://schemas.openxmlformats.org/drawingml/2006/main">
              <a:noFill/>
              <a:prstDash val="solid"/>
            </a:ln>
          </spPr>
          <dPt>
            <idx val="6"/>
            <spPr>
              <a:solidFill xmlns:a="http://schemas.openxmlformats.org/drawingml/2006/main">
                <a:srgbClr val="A3AAB5"/>
              </a:solidFill>
              <a:ln xmlns:a="http://schemas.openxmlformats.org/drawingml/2006/main">
                <a:noFill/>
                <a:prstDash val="solid"/>
              </a:ln>
            </spPr>
          </dPt>
          <dPt>
            <idx val="7"/>
            <spPr>
              <a:solidFill xmlns:a="http://schemas.openxmlformats.org/drawingml/2006/main">
                <a:srgbClr val="A3AAB5"/>
              </a:solidFill>
              <a:ln xmlns:a="http://schemas.openxmlformats.org/drawingml/2006/main">
                <a:no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'3章_2生活・外出'!$B$25:$B$32</f>
            </numRef>
          </cat>
          <val>
            <numRef>
              <f>'3章_2生活・外出'!$D$25:$D$32</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6"/>
          <min val="0"/>
        </scaling>
        <delete val="1"/>
        <axPos val="l"/>
        <majorTickMark val="none"/>
        <minorTickMark val="none"/>
        <crossAx val="10"/>
      </valAx>
    </plotArea>
    <plotVisOnly val="1"/>
    <dispBlanksAs val="gap"/>
  </chart>
</chartSpace>
</file>

<file path=xl/charts/chart13.xml><?xml version="1.0" encoding="utf-8"?>
<chartSpace xmlns="http://schemas.openxmlformats.org/drawingml/2006/chart">
  <chart>
    <plotArea>
      <barChart>
        <barDir val="bar"/>
        <grouping val="percentStacked"/>
        <varyColors val="0"/>
        <ser>
          <idx val="0"/>
          <order val="0"/>
          <tx>
            <strRef>
              <f>'3章_2生活・外出'!$B$39</f>
            </strRef>
          </tx>
          <spPr>
            <a:solidFill xmlns:a="http://schemas.openxmlformats.org/drawingml/2006/main">
              <a:srgbClr val="1F4E79"/>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800" b="0">
                    <a:solidFill>
                      <a:srgbClr val="FFFFFF"/>
                    </a:solidFill>
                    <a:latin typeface="BIZ UDPゴシック"/>
                    <a:ea typeface="BIZ UDPゴシック"/>
                  </a:defRPr>
                </a:pPr>
                <a:r>
                  <a:t/>
                </a:r>
                <a:endParaRPr sz="800" b="0">
                  <a:solidFill>
                    <a:srgbClr val="FFFFFF"/>
                  </a:solidFill>
                  <a:latin typeface="BIZ UDPゴシック"/>
                  <a:ea typeface="BIZ UDPゴシック"/>
                </a:endParaRPr>
              </a:p>
            </txPr>
            <dLblPos val="ctr"/>
            <showLegendKey val="0"/>
            <showVal val="1"/>
            <showCatName val="0"/>
            <showSerName val="0"/>
            <showPercent val="0"/>
            <showBubbleSize val="0"/>
          </dLbls>
          <val>
            <numRef>
              <f>'3章_2生活・外出'!$D$39</f>
            </numRef>
          </val>
        </ser>
        <ser>
          <idx val="1"/>
          <order val="1"/>
          <tx>
            <strRef>
              <f>'3章_2生活・外出'!$B$40</f>
            </strRef>
          </tx>
          <spPr>
            <a:solidFill xmlns:a="http://schemas.openxmlformats.org/drawingml/2006/main">
              <a:srgbClr val="2B6CB0"/>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800" b="0">
                    <a:solidFill>
                      <a:srgbClr val="FFFFFF"/>
                    </a:solidFill>
                    <a:latin typeface="BIZ UDPゴシック"/>
                    <a:ea typeface="BIZ UDPゴシック"/>
                  </a:defRPr>
                </a:pPr>
                <a:r>
                  <a:t/>
                </a:r>
                <a:endParaRPr sz="800" b="0">
                  <a:solidFill>
                    <a:srgbClr val="FFFFFF"/>
                  </a:solidFill>
                  <a:latin typeface="BIZ UDPゴシック"/>
                  <a:ea typeface="BIZ UDPゴシック"/>
                </a:endParaRPr>
              </a:p>
            </txPr>
            <dLblPos val="ctr"/>
            <showLegendKey val="0"/>
            <showVal val="1"/>
            <showCatName val="0"/>
            <showSerName val="0"/>
            <showPercent val="0"/>
            <showBubbleSize val="0"/>
          </dLbls>
          <val>
            <numRef>
              <f>'3章_2生活・外出'!$D$40</f>
            </numRef>
          </val>
        </ser>
        <ser>
          <idx val="2"/>
          <order val="2"/>
          <tx>
            <strRef>
              <f>'3章_2生活・外出'!$B$41</f>
            </strRef>
          </tx>
          <spPr>
            <a:solidFill xmlns:a="http://schemas.openxmlformats.org/drawingml/2006/main">
              <a:srgbClr val="6FA0D8"/>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800" b="0">
                    <a:solidFill>
                      <a:srgbClr val="262626"/>
                    </a:solidFill>
                    <a:latin typeface="BIZ UDPゴシック"/>
                    <a:ea typeface="BIZ UDPゴシック"/>
                  </a:defRPr>
                </a:pPr>
                <a:r>
                  <a:t/>
                </a:r>
                <a:endParaRPr sz="800" b="0">
                  <a:solidFill>
                    <a:srgbClr val="262626"/>
                  </a:solidFill>
                  <a:latin typeface="BIZ UDPゴシック"/>
                  <a:ea typeface="BIZ UDPゴシック"/>
                </a:endParaRPr>
              </a:p>
            </txPr>
            <dLblPos val="ctr"/>
            <showLegendKey val="0"/>
            <showVal val="1"/>
            <showCatName val="0"/>
            <showSerName val="0"/>
            <showPercent val="0"/>
            <showBubbleSize val="0"/>
          </dLbls>
          <val>
            <numRef>
              <f>'3章_2生活・外出'!$D$41</f>
            </numRef>
          </val>
        </ser>
        <ser>
          <idx val="3"/>
          <order val="3"/>
          <tx>
            <strRef>
              <f>'3章_2生活・外出'!$B$42</f>
            </strRef>
          </tx>
          <spPr>
            <a:solidFill xmlns:a="http://schemas.openxmlformats.org/drawingml/2006/main">
              <a:srgbClr val="B4CFEE"/>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800" b="0">
                    <a:solidFill>
                      <a:srgbClr val="262626"/>
                    </a:solidFill>
                    <a:latin typeface="BIZ UDPゴシック"/>
                    <a:ea typeface="BIZ UDPゴシック"/>
                  </a:defRPr>
                </a:pPr>
                <a:r>
                  <a:t/>
                </a:r>
                <a:endParaRPr sz="800" b="0">
                  <a:solidFill>
                    <a:srgbClr val="262626"/>
                  </a:solidFill>
                  <a:latin typeface="BIZ UDPゴシック"/>
                  <a:ea typeface="BIZ UDPゴシック"/>
                </a:endParaRPr>
              </a:p>
            </txPr>
            <dLblPos val="ctr"/>
            <showLegendKey val="0"/>
            <showVal val="1"/>
            <showCatName val="0"/>
            <showSerName val="0"/>
            <showPercent val="0"/>
            <showBubbleSize val="0"/>
          </dLbls>
          <val>
            <numRef>
              <f>'3章_2生活・外出'!$D$42</f>
            </numRef>
          </val>
        </ser>
        <ser>
          <idx val="4"/>
          <order val="4"/>
          <tx>
            <strRef>
              <f>'3章_2生活・外出'!$B$43</f>
            </strRef>
          </tx>
          <spPr>
            <a:solidFill xmlns:a="http://schemas.openxmlformats.org/drawingml/2006/main">
              <a:srgbClr val="F4B183"/>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800" b="0">
                    <a:solidFill>
                      <a:srgbClr val="262626"/>
                    </a:solidFill>
                    <a:latin typeface="BIZ UDPゴシック"/>
                    <a:ea typeface="BIZ UDPゴシック"/>
                  </a:defRPr>
                </a:pPr>
                <a:r>
                  <a:t/>
                </a:r>
                <a:endParaRPr sz="800" b="0">
                  <a:solidFill>
                    <a:srgbClr val="262626"/>
                  </a:solidFill>
                  <a:latin typeface="BIZ UDPゴシック"/>
                  <a:ea typeface="BIZ UDPゴシック"/>
                </a:endParaRPr>
              </a:p>
            </txPr>
            <dLblPos val="ctr"/>
            <showLegendKey val="0"/>
            <showVal val="1"/>
            <showCatName val="0"/>
            <showSerName val="0"/>
            <showPercent val="0"/>
            <showBubbleSize val="0"/>
          </dLbls>
          <val>
            <numRef>
              <f>'3章_2生活・外出'!$D$43</f>
            </numRef>
          </val>
        </ser>
        <gapWidth val="120"/>
        <overlap val="100"/>
        <axId val="10"/>
        <axId val="100"/>
      </barChart>
      <catAx>
        <axId val="10"/>
        <scaling>
          <orientation val="maxMin"/>
        </scaling>
        <delete val="1"/>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14.xml><?xml version="1.0" encoding="utf-8"?>
<chartSpace xmlns="http://schemas.openxmlformats.org/drawingml/2006/chart">
  <chart>
    <plotArea>
      <barChart>
        <barDir val="bar"/>
        <grouping val="clustered"/>
        <varyColors val="0"/>
        <ser>
          <idx val="0"/>
          <order val="0"/>
          <spPr>
            <a:solidFill xmlns:a="http://schemas.openxmlformats.org/drawingml/2006/main">
              <a:srgbClr val="2B6CB0"/>
            </a:solidFill>
            <a:ln xmlns:a="http://schemas.openxmlformats.org/drawingml/2006/main">
              <a:noFill/>
              <a:prstDash val="solid"/>
            </a:ln>
          </spPr>
          <dPt>
            <idx val="8"/>
            <spPr>
              <a:solidFill xmlns:a="http://schemas.openxmlformats.org/drawingml/2006/main">
                <a:srgbClr val="A3AAB5"/>
              </a:solidFill>
              <a:ln xmlns:a="http://schemas.openxmlformats.org/drawingml/2006/main">
                <a:no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'3章_2生活・外出'!$B$50:$B$58</f>
            </numRef>
          </cat>
          <val>
            <numRef>
              <f>'3章_2生活・外出'!$D$50:$D$58</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7"/>
          <min val="0"/>
        </scaling>
        <delete val="1"/>
        <axPos val="l"/>
        <majorTickMark val="none"/>
        <minorTickMark val="none"/>
        <crossAx val="10"/>
      </valAx>
    </plotArea>
    <plotVisOnly val="1"/>
    <dispBlanksAs val="gap"/>
  </chart>
</chartSpace>
</file>

<file path=xl/charts/chart15.xml><?xml version="1.0" encoding="utf-8"?>
<chartSpace xmlns="http://schemas.openxmlformats.org/drawingml/2006/chart">
  <chart>
    <plotArea>
      <barChart>
        <barDir val="bar"/>
        <grouping val="clustered"/>
        <varyColors val="0"/>
        <ser>
          <idx val="0"/>
          <order val="0"/>
          <spPr>
            <a:solidFill xmlns:a="http://schemas.openxmlformats.org/drawingml/2006/main">
              <a:srgbClr val="2B6CB0"/>
            </a:solidFill>
            <a:ln xmlns:a="http://schemas.openxmlformats.org/drawingml/2006/main">
              <a:noFill/>
              <a:prstDash val="solid"/>
            </a:ln>
          </spPr>
          <dPt>
            <idx val="8"/>
            <spPr>
              <a:solidFill xmlns:a="http://schemas.openxmlformats.org/drawingml/2006/main">
                <a:srgbClr val="A3AAB5"/>
              </a:solidFill>
              <a:ln xmlns:a="http://schemas.openxmlformats.org/drawingml/2006/main">
                <a:noFill/>
                <a:prstDash val="solid"/>
              </a:ln>
            </spPr>
          </dPt>
          <dPt>
            <idx val="9"/>
            <spPr>
              <a:solidFill xmlns:a="http://schemas.openxmlformats.org/drawingml/2006/main">
                <a:srgbClr val="A3AAB5"/>
              </a:solidFill>
              <a:ln xmlns:a="http://schemas.openxmlformats.org/drawingml/2006/main">
                <a:no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'3章_2生活・外出'!$B$65:$B$74</f>
            </numRef>
          </cat>
          <val>
            <numRef>
              <f>'3章_2生活・外出'!$D$65:$D$74</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6"/>
          <min val="0"/>
        </scaling>
        <delete val="1"/>
        <axPos val="l"/>
        <majorTickMark val="none"/>
        <minorTickMark val="none"/>
        <crossAx val="10"/>
      </valAx>
    </plotArea>
    <plotVisOnly val="1"/>
    <dispBlanksAs val="gap"/>
  </chart>
</chartSpace>
</file>

<file path=xl/charts/chart16.xml><?xml version="1.0" encoding="utf-8"?>
<chartSpace xmlns="http://schemas.openxmlformats.org/drawingml/2006/chart">
  <chart>
    <plotArea>
      <barChart>
        <barDir val="bar"/>
        <grouping val="percentStacked"/>
        <varyColors val="0"/>
        <ser>
          <idx val="0"/>
          <order val="0"/>
          <tx>
            <strRef>
              <f>'3章_3医療'!$B$5</f>
            </strRef>
          </tx>
          <spPr>
            <a:solidFill xmlns:a="http://schemas.openxmlformats.org/drawingml/2006/main">
              <a:srgbClr val="2B6CB0"/>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800" b="0">
                    <a:solidFill>
                      <a:srgbClr val="FFFFFF"/>
                    </a:solidFill>
                    <a:latin typeface="BIZ UDPゴシック"/>
                    <a:ea typeface="BIZ UDPゴシック"/>
                  </a:defRPr>
                </a:pPr>
                <a:r>
                  <a:t/>
                </a:r>
                <a:endParaRPr sz="800" b="0">
                  <a:solidFill>
                    <a:srgbClr val="FFFFFF"/>
                  </a:solidFill>
                  <a:latin typeface="BIZ UDPゴシック"/>
                  <a:ea typeface="BIZ UDPゴシック"/>
                </a:endParaRPr>
              </a:p>
            </txPr>
            <dLblPos val="ctr"/>
            <showLegendKey val="0"/>
            <showVal val="1"/>
            <showCatName val="0"/>
            <showSerName val="0"/>
            <showPercent val="0"/>
            <showBubbleSize val="0"/>
          </dLbls>
          <val>
            <numRef>
              <f>'3章_3医療'!$D$5</f>
            </numRef>
          </val>
        </ser>
        <ser>
          <idx val="1"/>
          <order val="1"/>
          <tx>
            <strRef>
              <f>'3章_3医療'!$B$6</f>
            </strRef>
          </tx>
          <spPr>
            <a:solidFill xmlns:a="http://schemas.openxmlformats.org/drawingml/2006/main">
              <a:srgbClr val="F4B183"/>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800" b="0">
                    <a:solidFill>
                      <a:srgbClr val="262626"/>
                    </a:solidFill>
                    <a:latin typeface="BIZ UDPゴシック"/>
                    <a:ea typeface="BIZ UDPゴシック"/>
                  </a:defRPr>
                </a:pPr>
                <a:r>
                  <a:t/>
                </a:r>
                <a:endParaRPr sz="800" b="0">
                  <a:solidFill>
                    <a:srgbClr val="262626"/>
                  </a:solidFill>
                  <a:latin typeface="BIZ UDPゴシック"/>
                  <a:ea typeface="BIZ UDPゴシック"/>
                </a:endParaRPr>
              </a:p>
            </txPr>
            <dLblPos val="ctr"/>
            <showLegendKey val="0"/>
            <showVal val="1"/>
            <showCatName val="0"/>
            <showSerName val="0"/>
            <showPercent val="0"/>
            <showBubbleSize val="0"/>
          </dLbls>
          <val>
            <numRef>
              <f>'3章_3医療'!$D$6</f>
            </numRef>
          </val>
        </ser>
        <ser>
          <idx val="2"/>
          <order val="2"/>
          <tx>
            <strRef>
              <f>'3章_3医療'!$B$7</f>
            </strRef>
          </tx>
          <spPr>
            <a:solidFill xmlns:a="http://schemas.openxmlformats.org/drawingml/2006/main">
              <a:srgbClr val="6FA0D8"/>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800" b="0">
                    <a:solidFill>
                      <a:srgbClr val="262626"/>
                    </a:solidFill>
                    <a:latin typeface="BIZ UDPゴシック"/>
                    <a:ea typeface="BIZ UDPゴシック"/>
                  </a:defRPr>
                </a:pPr>
                <a:r>
                  <a:t/>
                </a:r>
                <a:endParaRPr sz="800" b="0">
                  <a:solidFill>
                    <a:srgbClr val="262626"/>
                  </a:solidFill>
                  <a:latin typeface="BIZ UDPゴシック"/>
                  <a:ea typeface="BIZ UDPゴシック"/>
                </a:endParaRPr>
              </a:p>
            </txPr>
            <dLblPos val="ctr"/>
            <showLegendKey val="0"/>
            <showVal val="1"/>
            <showCatName val="0"/>
            <showSerName val="0"/>
            <showPercent val="0"/>
            <showBubbleSize val="0"/>
          </dLbls>
          <val>
            <numRef>
              <f>'3章_3医療'!$D$7</f>
            </numRef>
          </val>
        </ser>
        <ser>
          <idx val="3"/>
          <order val="3"/>
          <tx>
            <strRef>
              <f>'3章_3医療'!$B$8</f>
            </strRef>
          </tx>
          <spPr>
            <a:solidFill xmlns:a="http://schemas.openxmlformats.org/drawingml/2006/main">
              <a:srgbClr val="BFBFBF"/>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800" b="0">
                    <a:solidFill>
                      <a:srgbClr val="262626"/>
                    </a:solidFill>
                    <a:latin typeface="BIZ UDPゴシック"/>
                    <a:ea typeface="BIZ UDPゴシック"/>
                  </a:defRPr>
                </a:pPr>
                <a:r>
                  <a:t/>
                </a:r>
                <a:endParaRPr sz="800" b="0">
                  <a:solidFill>
                    <a:srgbClr val="262626"/>
                  </a:solidFill>
                  <a:latin typeface="BIZ UDPゴシック"/>
                  <a:ea typeface="BIZ UDPゴシック"/>
                </a:endParaRPr>
              </a:p>
            </txPr>
            <dLblPos val="ctr"/>
            <showLegendKey val="0"/>
            <showVal val="1"/>
            <showCatName val="0"/>
            <showSerName val="0"/>
            <showPercent val="0"/>
            <showBubbleSize val="0"/>
          </dLbls>
          <val>
            <numRef>
              <f>'3章_3医療'!$D$8</f>
            </numRef>
          </val>
        </ser>
        <gapWidth val="120"/>
        <overlap val="100"/>
        <axId val="10"/>
        <axId val="100"/>
      </barChart>
      <catAx>
        <axId val="10"/>
        <scaling>
          <orientation val="maxMin"/>
        </scaling>
        <delete val="1"/>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17.xml><?xml version="1.0" encoding="utf-8"?>
<chartSpace xmlns="http://schemas.openxmlformats.org/drawingml/2006/chart">
  <chart>
    <plotArea>
      <barChart>
        <barDir val="bar"/>
        <grouping val="clustered"/>
        <varyColors val="0"/>
        <ser>
          <idx val="0"/>
          <order val="0"/>
          <spPr>
            <a:solidFill xmlns:a="http://schemas.openxmlformats.org/drawingml/2006/main">
              <a:srgbClr val="2B6CB0"/>
            </a:solidFill>
            <a:ln xmlns:a="http://schemas.openxmlformats.org/drawingml/2006/main">
              <a:noFill/>
              <a:prstDash val="solid"/>
            </a:ln>
          </spPr>
          <dPt>
            <idx val="6"/>
            <spPr>
              <a:solidFill xmlns:a="http://schemas.openxmlformats.org/drawingml/2006/main">
                <a:srgbClr val="A3AAB5"/>
              </a:solidFill>
              <a:ln xmlns:a="http://schemas.openxmlformats.org/drawingml/2006/main">
                <a:noFill/>
                <a:prstDash val="solid"/>
              </a:ln>
            </spPr>
          </dPt>
          <dPt>
            <idx val="7"/>
            <spPr>
              <a:solidFill xmlns:a="http://schemas.openxmlformats.org/drawingml/2006/main">
                <a:srgbClr val="A3AAB5"/>
              </a:solidFill>
              <a:ln xmlns:a="http://schemas.openxmlformats.org/drawingml/2006/main">
                <a:no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'3章_3医療'!$B$16:$B$23</f>
            </numRef>
          </cat>
          <val>
            <numRef>
              <f>'3章_3医療'!$D$16:$D$23</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7"/>
          <min val="0"/>
        </scaling>
        <delete val="1"/>
        <axPos val="l"/>
        <majorTickMark val="none"/>
        <minorTickMark val="none"/>
        <crossAx val="10"/>
      </valAx>
    </plotArea>
    <plotVisOnly val="1"/>
    <dispBlanksAs val="gap"/>
  </chart>
</chartSpace>
</file>

<file path=xl/charts/chart18.xml><?xml version="1.0" encoding="utf-8"?>
<chartSpace xmlns="http://schemas.openxmlformats.org/drawingml/2006/chart">
  <chart>
    <plotArea>
      <barChart>
        <barDir val="bar"/>
        <grouping val="clustered"/>
        <varyColors val="0"/>
        <ser>
          <idx val="0"/>
          <order val="0"/>
          <spPr>
            <a:solidFill xmlns:a="http://schemas.openxmlformats.org/drawingml/2006/main">
              <a:srgbClr val="2B6CB0"/>
            </a:solidFill>
            <a:ln xmlns:a="http://schemas.openxmlformats.org/drawingml/2006/main">
              <a:noFill/>
              <a:prstDash val="solid"/>
            </a:ln>
          </spPr>
          <dPt>
            <idx val="0"/>
            <spPr>
              <a:solidFill xmlns:a="http://schemas.openxmlformats.org/drawingml/2006/main">
                <a:srgbClr val="A3AAB5"/>
              </a:solidFill>
              <a:ln xmlns:a="http://schemas.openxmlformats.org/drawingml/2006/main">
                <a:noFill/>
                <a:prstDash val="solid"/>
              </a:ln>
            </spPr>
          </dPt>
          <dPt>
            <idx val="13"/>
            <spPr>
              <a:solidFill xmlns:a="http://schemas.openxmlformats.org/drawingml/2006/main">
                <a:srgbClr val="A3AAB5"/>
              </a:solidFill>
              <a:ln xmlns:a="http://schemas.openxmlformats.org/drawingml/2006/main">
                <a:no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'3章_3医療'!$B$30:$B$43</f>
            </numRef>
          </cat>
          <val>
            <numRef>
              <f>'3章_3医療'!$D$30:$D$43</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1.2"/>
          <min val="0"/>
        </scaling>
        <delete val="1"/>
        <axPos val="l"/>
        <majorTickMark val="none"/>
        <minorTickMark val="none"/>
        <crossAx val="10"/>
      </valAx>
    </plotArea>
    <plotVisOnly val="1"/>
    <dispBlanksAs val="gap"/>
  </chart>
</chartSpace>
</file>

<file path=xl/charts/chart19.xml><?xml version="1.0" encoding="utf-8"?>
<chartSpace xmlns="http://schemas.openxmlformats.org/drawingml/2006/chart">
  <chart>
    <plotArea>
      <barChart>
        <barDir val="bar"/>
        <grouping val="clustered"/>
        <varyColors val="0"/>
        <ser>
          <idx val="0"/>
          <order val="0"/>
          <spPr>
            <a:solidFill xmlns:a="http://schemas.openxmlformats.org/drawingml/2006/main">
              <a:srgbClr val="2B6CB0"/>
            </a:solidFill>
            <a:ln xmlns:a="http://schemas.openxmlformats.org/drawingml/2006/main">
              <a:noFill/>
              <a:prstDash val="solid"/>
            </a:ln>
          </spPr>
          <dPt>
            <idx val="6"/>
            <spPr>
              <a:solidFill xmlns:a="http://schemas.openxmlformats.org/drawingml/2006/main">
                <a:srgbClr val="A3AAB5"/>
              </a:solidFill>
              <a:ln xmlns:a="http://schemas.openxmlformats.org/drawingml/2006/main">
                <a:noFill/>
                <a:prstDash val="solid"/>
              </a:ln>
            </spPr>
          </dPt>
          <dPt>
            <idx val="7"/>
            <spPr>
              <a:solidFill xmlns:a="http://schemas.openxmlformats.org/drawingml/2006/main">
                <a:srgbClr val="A3AAB5"/>
              </a:solidFill>
              <a:ln xmlns:a="http://schemas.openxmlformats.org/drawingml/2006/main">
                <a:no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'3章_3医療'!$B$50:$B$57</f>
            </numRef>
          </cat>
          <val>
            <numRef>
              <f>'3章_3医療'!$D$50:$D$57</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9"/>
          <min val="0"/>
        </scaling>
        <delete val="1"/>
        <axPos val="l"/>
        <majorTickMark val="none"/>
        <minorTickMark val="none"/>
        <crossAx val="10"/>
      </valAx>
    </plotArea>
    <plotVisOnly val="1"/>
    <dispBlanksAs val="gap"/>
  </chart>
</chartSpace>
</file>

<file path=xl/charts/chart20.xml><?xml version="1.0" encoding="utf-8"?>
<chartSpace xmlns="http://schemas.openxmlformats.org/drawingml/2006/chart">
  <chart>
    <plotArea>
      <barChart>
        <barDir val="bar"/>
        <grouping val="clustered"/>
        <varyColors val="0"/>
        <ser>
          <idx val="0"/>
          <order val="0"/>
          <spPr>
            <a:solidFill xmlns:a="http://schemas.openxmlformats.org/drawingml/2006/main">
              <a:srgbClr val="2B6CB0"/>
            </a:solidFill>
            <a:ln xmlns:a="http://schemas.openxmlformats.org/drawingml/2006/main">
              <a:noFill/>
              <a:prstDash val="solid"/>
            </a:ln>
          </spPr>
          <dPt>
            <idx val="5"/>
            <spPr>
              <a:solidFill xmlns:a="http://schemas.openxmlformats.org/drawingml/2006/main">
                <a:srgbClr val="A3AAB5"/>
              </a:solidFill>
              <a:ln xmlns:a="http://schemas.openxmlformats.org/drawingml/2006/main">
                <a:no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'3章_3医療'!$B$64:$B$69</f>
            </numRef>
          </cat>
          <val>
            <numRef>
              <f>'3章_3医療'!$D$64:$D$69</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9"/>
          <min val="0"/>
        </scaling>
        <delete val="1"/>
        <axPos val="l"/>
        <majorTickMark val="none"/>
        <minorTickMark val="none"/>
        <crossAx val="10"/>
      </valAx>
    </plotArea>
    <plotVisOnly val="1"/>
    <dispBlanksAs val="gap"/>
  </chart>
</chartSpace>
</file>

<file path=xl/charts/chart21.xml><?xml version="1.0" encoding="utf-8"?>
<chartSpace xmlns="http://schemas.openxmlformats.org/drawingml/2006/chart">
  <chart>
    <plotArea>
      <barChart>
        <barDir val="bar"/>
        <grouping val="clustered"/>
        <varyColors val="0"/>
        <ser>
          <idx val="0"/>
          <order val="0"/>
          <spPr>
            <a:solidFill xmlns:a="http://schemas.openxmlformats.org/drawingml/2006/main">
              <a:srgbClr val="2B6CB0"/>
            </a:solidFill>
            <a:ln xmlns:a="http://schemas.openxmlformats.org/drawingml/2006/main">
              <a:noFill/>
              <a:prstDash val="solid"/>
            </a:ln>
          </spPr>
          <dPt>
            <idx val="5"/>
            <spPr>
              <a:solidFill xmlns:a="http://schemas.openxmlformats.org/drawingml/2006/main">
                <a:srgbClr val="A3AAB5"/>
              </a:solidFill>
              <a:ln xmlns:a="http://schemas.openxmlformats.org/drawingml/2006/main">
                <a:no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'3章_3医療'!$B$75:$B$80</f>
            </numRef>
          </cat>
          <val>
            <numRef>
              <f>'3章_3医療'!$D$75:$D$80</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9"/>
          <min val="0"/>
        </scaling>
        <delete val="1"/>
        <axPos val="l"/>
        <majorTickMark val="none"/>
        <minorTickMark val="none"/>
        <crossAx val="10"/>
      </valAx>
    </plotArea>
    <plotVisOnly val="1"/>
    <dispBlanksAs val="gap"/>
  </chart>
</chartSpace>
</file>

<file path=xl/charts/chart22.xml><?xml version="1.0" encoding="utf-8"?>
<chartSpace xmlns="http://schemas.openxmlformats.org/drawingml/2006/chart">
  <chart>
    <plotArea>
      <barChart>
        <barDir val="bar"/>
        <grouping val="clustered"/>
        <varyColors val="0"/>
        <ser>
          <idx val="0"/>
          <order val="0"/>
          <spPr>
            <a:solidFill xmlns:a="http://schemas.openxmlformats.org/drawingml/2006/main">
              <a:srgbClr val="2B6CB0"/>
            </a:solidFill>
            <a:ln xmlns:a="http://schemas.openxmlformats.org/drawingml/2006/main">
              <a:noFill/>
              <a:prstDash val="solid"/>
            </a:ln>
          </spPr>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'3章_4相談・情報'!$B$5:$B$8</f>
            </numRef>
          </cat>
          <val>
            <numRef>
              <f>'3章_4相談・情報'!$D$5:$D$8</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6"/>
          <min val="0"/>
        </scaling>
        <delete val="1"/>
        <axPos val="l"/>
        <majorTickMark val="none"/>
        <minorTickMark val="none"/>
        <crossAx val="10"/>
      </valAx>
    </plotArea>
    <plotVisOnly val="1"/>
    <dispBlanksAs val="gap"/>
  </chart>
</chartSpace>
</file>

<file path=xl/charts/chart23.xml><?xml version="1.0" encoding="utf-8"?>
<chartSpace xmlns="http://schemas.openxmlformats.org/drawingml/2006/chart">
  <chart>
    <plotArea>
      <barChart>
        <barDir val="bar"/>
        <grouping val="clustered"/>
        <varyColors val="0"/>
        <ser>
          <idx val="0"/>
          <order val="0"/>
          <spPr>
            <a:solidFill xmlns:a="http://schemas.openxmlformats.org/drawingml/2006/main">
              <a:srgbClr val="2B6CB0"/>
            </a:solidFill>
            <a:ln xmlns:a="http://schemas.openxmlformats.org/drawingml/2006/main">
              <a:noFill/>
              <a:prstDash val="solid"/>
            </a:ln>
          </spPr>
          <dPt>
            <idx val="10"/>
            <spPr>
              <a:solidFill xmlns:a="http://schemas.openxmlformats.org/drawingml/2006/main">
                <a:srgbClr val="A3AAB5"/>
              </a:solidFill>
              <a:ln xmlns:a="http://schemas.openxmlformats.org/drawingml/2006/main">
                <a:no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'3章_4相談・情報'!$B$14:$B$24</f>
            </numRef>
          </cat>
          <val>
            <numRef>
              <f>'3章_4相談・情報'!$D$14:$D$24</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1.1"/>
          <min val="0"/>
        </scaling>
        <delete val="1"/>
        <axPos val="l"/>
        <majorTickMark val="none"/>
        <minorTickMark val="none"/>
        <crossAx val="10"/>
      </valAx>
    </plotArea>
    <plotVisOnly val="1"/>
    <dispBlanksAs val="gap"/>
  </chart>
</chartSpace>
</file>

<file path=xl/charts/chart24.xml><?xml version="1.0" encoding="utf-8"?>
<chartSpace xmlns="http://schemas.openxmlformats.org/drawingml/2006/chart">
  <chart>
    <plotArea>
      <barChart>
        <barDir val="bar"/>
        <grouping val="clustered"/>
        <varyColors val="0"/>
        <ser>
          <idx val="0"/>
          <order val="0"/>
          <spPr>
            <a:solidFill xmlns:a="http://schemas.openxmlformats.org/drawingml/2006/main">
              <a:srgbClr val="2B6CB0"/>
            </a:solidFill>
            <a:ln xmlns:a="http://schemas.openxmlformats.org/drawingml/2006/main">
              <a:noFill/>
              <a:prstDash val="solid"/>
            </a:ln>
          </spPr>
          <dPt>
            <idx val="7"/>
            <spPr>
              <a:solidFill xmlns:a="http://schemas.openxmlformats.org/drawingml/2006/main">
                <a:srgbClr val="A3AAB5"/>
              </a:solidFill>
              <a:ln xmlns:a="http://schemas.openxmlformats.org/drawingml/2006/main">
                <a:noFill/>
                <a:prstDash val="solid"/>
              </a:ln>
            </spPr>
          </dPt>
          <dPt>
            <idx val="8"/>
            <spPr>
              <a:solidFill xmlns:a="http://schemas.openxmlformats.org/drawingml/2006/main">
                <a:srgbClr val="A3AAB5"/>
              </a:solidFill>
              <a:ln xmlns:a="http://schemas.openxmlformats.org/drawingml/2006/main">
                <a:no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'3章_4相談・情報'!$B$31:$B$39</f>
            </numRef>
          </cat>
          <val>
            <numRef>
              <f>'3章_4相談・情報'!$D$31:$D$39</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7"/>
          <min val="0"/>
        </scaling>
        <delete val="1"/>
        <axPos val="l"/>
        <majorTickMark val="none"/>
        <minorTickMark val="none"/>
        <crossAx val="10"/>
      </valAx>
    </plotArea>
    <plotVisOnly val="1"/>
    <dispBlanksAs val="gap"/>
  </chart>
</chartSpace>
</file>

<file path=xl/charts/chart25.xml><?xml version="1.0" encoding="utf-8"?>
<chartSpace xmlns="http://schemas.openxmlformats.org/drawingml/2006/chart">
  <chart>
    <plotArea>
      <barChart>
        <barDir val="bar"/>
        <grouping val="percentStacked"/>
        <varyColors val="0"/>
        <ser>
          <idx val="0"/>
          <order val="0"/>
          <tx>
            <strRef>
              <f>'3章_4相談・情報'!$B$46</f>
            </strRef>
          </tx>
          <spPr>
            <a:solidFill xmlns:a="http://schemas.openxmlformats.org/drawingml/2006/main">
              <a:srgbClr val="1F4E79"/>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800" b="0">
                    <a:solidFill>
                      <a:srgbClr val="FFFFFF"/>
                    </a:solidFill>
                    <a:latin typeface="BIZ UDPゴシック"/>
                    <a:ea typeface="BIZ UDPゴシック"/>
                  </a:defRPr>
                </a:pPr>
                <a:r>
                  <a:t/>
                </a:r>
                <a:endParaRPr sz="800" b="0">
                  <a:solidFill>
                    <a:srgbClr val="FFFFFF"/>
                  </a:solidFill>
                  <a:latin typeface="BIZ UDPゴシック"/>
                  <a:ea typeface="BIZ UDPゴシック"/>
                </a:endParaRPr>
              </a:p>
            </txPr>
            <dLblPos val="ctr"/>
            <showLegendKey val="0"/>
            <showVal val="1"/>
            <showCatName val="0"/>
            <showSerName val="0"/>
            <showPercent val="0"/>
            <showBubbleSize val="0"/>
          </dLbls>
          <val>
            <numRef>
              <f>'3章_4相談・情報'!$D$46</f>
            </numRef>
          </val>
        </ser>
        <ser>
          <idx val="1"/>
          <order val="1"/>
          <tx>
            <strRef>
              <f>'3章_4相談・情報'!$B$47</f>
            </strRef>
          </tx>
          <spPr>
            <a:solidFill xmlns:a="http://schemas.openxmlformats.org/drawingml/2006/main">
              <a:srgbClr val="6FA0D8"/>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800" b="0">
                    <a:solidFill>
                      <a:srgbClr val="262626"/>
                    </a:solidFill>
                    <a:latin typeface="BIZ UDPゴシック"/>
                    <a:ea typeface="BIZ UDPゴシック"/>
                  </a:defRPr>
                </a:pPr>
                <a:r>
                  <a:t/>
                </a:r>
                <a:endParaRPr sz="800" b="0">
                  <a:solidFill>
                    <a:srgbClr val="262626"/>
                  </a:solidFill>
                  <a:latin typeface="BIZ UDPゴシック"/>
                  <a:ea typeface="BIZ UDPゴシック"/>
                </a:endParaRPr>
              </a:p>
            </txPr>
            <dLblPos val="ctr"/>
            <showLegendKey val="0"/>
            <showVal val="1"/>
            <showCatName val="0"/>
            <showSerName val="0"/>
            <showPercent val="0"/>
            <showBubbleSize val="0"/>
          </dLbls>
          <val>
            <numRef>
              <f>'3章_4相談・情報'!$D$47</f>
            </numRef>
          </val>
        </ser>
        <ser>
          <idx val="2"/>
          <order val="2"/>
          <tx>
            <strRef>
              <f>'3章_4相談・情報'!$B$48</f>
            </strRef>
          </tx>
          <spPr>
            <a:solidFill xmlns:a="http://schemas.openxmlformats.org/drawingml/2006/main">
              <a:srgbClr val="F4B183"/>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800" b="0">
                    <a:solidFill>
                      <a:srgbClr val="262626"/>
                    </a:solidFill>
                    <a:latin typeface="BIZ UDPゴシック"/>
                    <a:ea typeface="BIZ UDPゴシック"/>
                  </a:defRPr>
                </a:pPr>
                <a:r>
                  <a:t/>
                </a:r>
                <a:endParaRPr sz="800" b="0">
                  <a:solidFill>
                    <a:srgbClr val="262626"/>
                  </a:solidFill>
                  <a:latin typeface="BIZ UDPゴシック"/>
                  <a:ea typeface="BIZ UDPゴシック"/>
                </a:endParaRPr>
              </a:p>
            </txPr>
            <dLblPos val="ctr"/>
            <showLegendKey val="0"/>
            <showVal val="1"/>
            <showCatName val="0"/>
            <showSerName val="0"/>
            <showPercent val="0"/>
            <showBubbleSize val="0"/>
          </dLbls>
          <val>
            <numRef>
              <f>'3章_4相談・情報'!$D$48</f>
            </numRef>
          </val>
        </ser>
        <ser>
          <idx val="3"/>
          <order val="3"/>
          <tx>
            <strRef>
              <f>'3章_4相談・情報'!$B$49</f>
            </strRef>
          </tx>
          <spPr>
            <a:solidFill xmlns:a="http://schemas.openxmlformats.org/drawingml/2006/main">
              <a:srgbClr val="E07B39"/>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800" b="0">
                    <a:solidFill>
                      <a:srgbClr val="FFFFFF"/>
                    </a:solidFill>
                    <a:latin typeface="BIZ UDPゴシック"/>
                    <a:ea typeface="BIZ UDPゴシック"/>
                  </a:defRPr>
                </a:pPr>
                <a:r>
                  <a:t/>
                </a:r>
                <a:endParaRPr sz="800" b="0">
                  <a:solidFill>
                    <a:srgbClr val="FFFFFF"/>
                  </a:solidFill>
                  <a:latin typeface="BIZ UDPゴシック"/>
                  <a:ea typeface="BIZ UDPゴシック"/>
                </a:endParaRPr>
              </a:p>
            </txPr>
            <dLblPos val="ctr"/>
            <showLegendKey val="0"/>
            <showVal val="1"/>
            <showCatName val="0"/>
            <showSerName val="0"/>
            <showPercent val="0"/>
            <showBubbleSize val="0"/>
          </dLbls>
          <val>
            <numRef>
              <f>'3章_4相談・情報'!$D$49</f>
            </numRef>
          </val>
        </ser>
        <ser>
          <idx val="4"/>
          <order val="4"/>
          <tx>
            <strRef>
              <f>'3章_4相談・情報'!$B$50</f>
            </strRef>
          </tx>
          <spPr>
            <a:solidFill xmlns:a="http://schemas.openxmlformats.org/drawingml/2006/main">
              <a:srgbClr val="BFBFBF"/>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800" b="0">
                    <a:solidFill>
                      <a:srgbClr val="262626"/>
                    </a:solidFill>
                    <a:latin typeface="BIZ UDPゴシック"/>
                    <a:ea typeface="BIZ UDPゴシック"/>
                  </a:defRPr>
                </a:pPr>
                <a:r>
                  <a:t/>
                </a:r>
                <a:endParaRPr sz="800" b="0">
                  <a:solidFill>
                    <a:srgbClr val="262626"/>
                  </a:solidFill>
                  <a:latin typeface="BIZ UDPゴシック"/>
                  <a:ea typeface="BIZ UDPゴシック"/>
                </a:endParaRPr>
              </a:p>
            </txPr>
            <dLblPos val="ctr"/>
            <showLegendKey val="0"/>
            <showVal val="1"/>
            <showCatName val="0"/>
            <showSerName val="0"/>
            <showPercent val="0"/>
            <showBubbleSize val="0"/>
          </dLbls>
          <val>
            <numRef>
              <f>'3章_4相談・情報'!$D$50</f>
            </numRef>
          </val>
        </ser>
        <gapWidth val="120"/>
        <overlap val="100"/>
        <axId val="10"/>
        <axId val="100"/>
      </barChart>
      <catAx>
        <axId val="10"/>
        <scaling>
          <orientation val="maxMin"/>
        </scaling>
        <delete val="1"/>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26.xml><?xml version="1.0" encoding="utf-8"?>
<chartSpace xmlns="http://schemas.openxmlformats.org/drawingml/2006/chart">
  <chart>
    <plotArea>
      <barChart>
        <barDir val="bar"/>
        <grouping val="clustered"/>
        <varyColors val="0"/>
        <ser>
          <idx val="0"/>
          <order val="0"/>
          <spPr>
            <a:solidFill xmlns:a="http://schemas.openxmlformats.org/drawingml/2006/main">
              <a:srgbClr val="2B6CB0"/>
            </a:solidFill>
            <a:ln xmlns:a="http://schemas.openxmlformats.org/drawingml/2006/main">
              <a:noFill/>
              <a:prstDash val="solid"/>
            </a:ln>
          </spPr>
          <dPt>
            <idx val="9"/>
            <spPr>
              <a:solidFill xmlns:a="http://schemas.openxmlformats.org/drawingml/2006/main">
                <a:srgbClr val="A3AAB5"/>
              </a:solidFill>
              <a:ln xmlns:a="http://schemas.openxmlformats.org/drawingml/2006/main">
                <a:no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'3章_4相談・情報'!$B$58:$B$67</f>
            </numRef>
          </cat>
          <val>
            <numRef>
              <f>'3章_4相談・情報'!$D$58:$D$67</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7"/>
          <min val="0"/>
        </scaling>
        <delete val="1"/>
        <axPos val="l"/>
        <majorTickMark val="none"/>
        <minorTickMark val="none"/>
        <crossAx val="10"/>
      </valAx>
    </plotArea>
    <plotVisOnly val="1"/>
    <dispBlanksAs val="gap"/>
  </chart>
</chartSpace>
</file>

<file path=xl/charts/chart27.xml><?xml version="1.0" encoding="utf-8"?>
<chartSpace xmlns="http://schemas.openxmlformats.org/drawingml/2006/chart">
  <chart>
    <plotArea>
      <barChart>
        <barDir val="bar"/>
        <grouping val="clustered"/>
        <varyColors val="0"/>
        <ser>
          <idx val="0"/>
          <order val="0"/>
          <spPr>
            <a:solidFill xmlns:a="http://schemas.openxmlformats.org/drawingml/2006/main">
              <a:srgbClr val="2B6CB0"/>
            </a:solidFill>
            <a:ln xmlns:a="http://schemas.openxmlformats.org/drawingml/2006/main">
              <a:noFill/>
              <a:prstDash val="solid"/>
            </a:ln>
          </spPr>
          <dPt>
            <idx val="7"/>
            <spPr>
              <a:solidFill xmlns:a="http://schemas.openxmlformats.org/drawingml/2006/main">
                <a:srgbClr val="A3AAB5"/>
              </a:solidFill>
              <a:ln xmlns:a="http://schemas.openxmlformats.org/drawingml/2006/main">
                <a:no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'3章_4相談・情報'!$B$74:$B$81</f>
            </numRef>
          </cat>
          <val>
            <numRef>
              <f>'3章_4相談・情報'!$D$74:$D$81</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7"/>
          <min val="0"/>
        </scaling>
        <delete val="1"/>
        <axPos val="l"/>
        <majorTickMark val="none"/>
        <minorTickMark val="none"/>
        <crossAx val="10"/>
      </valAx>
    </plotArea>
    <plotVisOnly val="1"/>
    <dispBlanksAs val="gap"/>
  </chart>
</chartSpace>
</file>

<file path=xl/charts/chart28.xml><?xml version="1.0" encoding="utf-8"?>
<chartSpace xmlns="http://schemas.openxmlformats.org/drawingml/2006/chart">
  <chart>
    <plotArea>
      <barChart>
        <barDir val="bar"/>
        <grouping val="clustered"/>
        <varyColors val="0"/>
        <ser>
          <idx val="0"/>
          <order val="0"/>
          <tx>
            <strRef>
              <f>'3章_5サービス'!C29</f>
            </strRef>
          </tx>
          <spPr>
            <a:solidFill xmlns:a="http://schemas.openxmlformats.org/drawingml/2006/main">
              <a:srgbClr val="9DB9DE"/>
            </a:solidFill>
            <a:ln xmlns:a="http://schemas.openxmlformats.org/drawingml/2006/main">
              <a:no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'3章_5サービス'!$B$30:$B$44</f>
            </numRef>
          </cat>
          <val>
            <numRef>
              <f>'3章_5サービス'!$C$30:$C$44</f>
            </numRef>
          </val>
        </ser>
        <ser>
          <idx val="1"/>
          <order val="1"/>
          <tx>
            <strRef>
              <f>'3章_5サービス'!D29</f>
            </strRef>
          </tx>
          <spPr>
            <a:solidFill xmlns:a="http://schemas.openxmlformats.org/drawingml/2006/main">
              <a:srgbClr val="1F4E79"/>
            </a:solidFill>
            <a:ln xmlns:a="http://schemas.openxmlformats.org/drawingml/2006/main">
              <a:no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'3章_5サービス'!$B$30:$B$44</f>
            </numRef>
          </cat>
          <val>
            <numRef>
              <f>'3章_5サービス'!$D$30:$D$44</f>
            </numRef>
          </val>
        </ser>
        <gapWidth val="5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29.xml><?xml version="1.0" encoding="utf-8"?>
<chartSpace xmlns="http://schemas.openxmlformats.org/drawingml/2006/chart">
  <chart>
    <plotArea>
      <barChart>
        <barDir val="bar"/>
        <grouping val="clustered"/>
        <varyColors val="0"/>
        <ser>
          <idx val="0"/>
          <order val="0"/>
          <spPr>
            <a:solidFill xmlns:a="http://schemas.openxmlformats.org/drawingml/2006/main">
              <a:srgbClr val="2B6CB0"/>
            </a:solidFill>
            <a:ln xmlns:a="http://schemas.openxmlformats.org/drawingml/2006/main">
              <a:noFill/>
              <a:prstDash val="solid"/>
            </a:ln>
          </spPr>
          <dPt>
            <idx val="18"/>
            <spPr>
              <a:solidFill xmlns:a="http://schemas.openxmlformats.org/drawingml/2006/main">
                <a:srgbClr val="A3AAB5"/>
              </a:solidFill>
              <a:ln xmlns:a="http://schemas.openxmlformats.org/drawingml/2006/main">
                <a:no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'3章_5サービス'!$B$63:$B$81</f>
            </numRef>
          </cat>
          <val>
            <numRef>
              <f>'3章_5サービス'!$D$63:$D$81</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6"/>
          <min val="0"/>
        </scaling>
        <delete val="1"/>
        <axPos val="l"/>
        <majorTickMark val="none"/>
        <minorTickMark val="none"/>
        <crossAx val="10"/>
      </valAx>
    </plotArea>
    <plotVisOnly val="1"/>
    <dispBlanksAs val="gap"/>
  </chart>
</chartSpace>
</file>

<file path=xl/charts/chart30.xml><?xml version="1.0" encoding="utf-8"?>
<chartSpace xmlns="http://schemas.openxmlformats.org/drawingml/2006/chart">
  <chart>
    <plotArea>
      <barChart>
        <barDir val="bar"/>
        <grouping val="clustered"/>
        <varyColors val="0"/>
        <ser>
          <idx val="0"/>
          <order val="0"/>
          <spPr>
            <a:solidFill xmlns:a="http://schemas.openxmlformats.org/drawingml/2006/main">
              <a:srgbClr val="2B6CB0"/>
            </a:solidFill>
            <a:ln xmlns:a="http://schemas.openxmlformats.org/drawingml/2006/main">
              <a:noFill/>
              <a:prstDash val="solid"/>
            </a:ln>
          </spPr>
          <dPt>
            <idx val="8"/>
            <spPr>
              <a:solidFill xmlns:a="http://schemas.openxmlformats.org/drawingml/2006/main">
                <a:srgbClr val="A3AAB5"/>
              </a:solidFill>
              <a:ln xmlns:a="http://schemas.openxmlformats.org/drawingml/2006/main">
                <a:no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'3章_5サービス'!$B$88:$B$96</f>
            </numRef>
          </cat>
          <val>
            <numRef>
              <f>'3章_5サービス'!$D$88:$D$96</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7"/>
          <min val="0"/>
        </scaling>
        <delete val="1"/>
        <axPos val="l"/>
        <majorTickMark val="none"/>
        <minorTickMark val="none"/>
        <crossAx val="10"/>
      </valAx>
    </plotArea>
    <plotVisOnly val="1"/>
    <dispBlanksAs val="gap"/>
  </chart>
</chartSpace>
</file>

<file path=xl/charts/chart31.xml><?xml version="1.0" encoding="utf-8"?>
<chartSpace xmlns="http://schemas.openxmlformats.org/drawingml/2006/chart">
  <chart>
    <plotArea>
      <barChart>
        <barDir val="bar"/>
        <grouping val="clustered"/>
        <varyColors val="0"/>
        <ser>
          <idx val="0"/>
          <order val="0"/>
          <spPr>
            <a:solidFill xmlns:a="http://schemas.openxmlformats.org/drawingml/2006/main">
              <a:srgbClr val="2B6CB0"/>
            </a:solidFill>
            <a:ln xmlns:a="http://schemas.openxmlformats.org/drawingml/2006/main">
              <a:noFill/>
              <a:prstDash val="solid"/>
            </a:ln>
          </spPr>
          <dPt>
            <idx val="6"/>
            <spPr>
              <a:solidFill xmlns:a="http://schemas.openxmlformats.org/drawingml/2006/main">
                <a:srgbClr val="A3AAB5"/>
              </a:solidFill>
              <a:ln xmlns:a="http://schemas.openxmlformats.org/drawingml/2006/main">
                <a:noFill/>
                <a:prstDash val="solid"/>
              </a:ln>
            </spPr>
          </dPt>
          <dPt>
            <idx val="7"/>
            <spPr>
              <a:solidFill xmlns:a="http://schemas.openxmlformats.org/drawingml/2006/main">
                <a:srgbClr val="A3AAB5"/>
              </a:solidFill>
              <a:ln xmlns:a="http://schemas.openxmlformats.org/drawingml/2006/main">
                <a:noFill/>
                <a:prstDash val="solid"/>
              </a:ln>
            </spPr>
          </dPt>
          <dPt>
            <idx val="8"/>
            <spPr>
              <a:solidFill xmlns:a="http://schemas.openxmlformats.org/drawingml/2006/main">
                <a:srgbClr val="A3AAB5"/>
              </a:solidFill>
              <a:ln xmlns:a="http://schemas.openxmlformats.org/drawingml/2006/main">
                <a:no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'3章_5サービス'!$B$103:$B$111</f>
            </numRef>
          </cat>
          <val>
            <numRef>
              <f>'3章_5サービス'!$D$103:$D$111</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6"/>
          <min val="0"/>
        </scaling>
        <delete val="1"/>
        <axPos val="l"/>
        <majorTickMark val="none"/>
        <minorTickMark val="none"/>
        <crossAx val="10"/>
      </valAx>
    </plotArea>
    <plotVisOnly val="1"/>
    <dispBlanksAs val="gap"/>
  </chart>
</chartSpace>
</file>

<file path=xl/charts/chart32.xml><?xml version="1.0" encoding="utf-8"?>
<chartSpace xmlns="http://schemas.openxmlformats.org/drawingml/2006/chart">
  <chart>
    <plotArea>
      <barChart>
        <barDir val="bar"/>
        <grouping val="clustered"/>
        <varyColors val="0"/>
        <ser>
          <idx val="0"/>
          <order val="0"/>
          <spPr>
            <a:solidFill xmlns:a="http://schemas.openxmlformats.org/drawingml/2006/main">
              <a:srgbClr val="2B6CB0"/>
            </a:solidFill>
            <a:ln xmlns:a="http://schemas.openxmlformats.org/drawingml/2006/main">
              <a:noFill/>
              <a:prstDash val="solid"/>
            </a:ln>
          </spPr>
          <dPt>
            <idx val="6"/>
            <spPr>
              <a:solidFill xmlns:a="http://schemas.openxmlformats.org/drawingml/2006/main">
                <a:srgbClr val="A3AAB5"/>
              </a:solidFill>
              <a:ln xmlns:a="http://schemas.openxmlformats.org/drawingml/2006/main">
                <a:no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'3章_5サービス'!$B$118:$B$124</f>
            </numRef>
          </cat>
          <val>
            <numRef>
              <f>'3章_5サービス'!$D$118:$D$124</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6"/>
          <min val="0"/>
        </scaling>
        <delete val="1"/>
        <axPos val="l"/>
        <majorTickMark val="none"/>
        <minorTickMark val="none"/>
        <crossAx val="10"/>
      </valAx>
    </plotArea>
    <plotVisOnly val="1"/>
    <dispBlanksAs val="gap"/>
  </chart>
</chartSpace>
</file>

<file path=xl/charts/chart33.xml><?xml version="1.0" encoding="utf-8"?>
<chartSpace xmlns="http://schemas.openxmlformats.org/drawingml/2006/chart">
  <chart>
    <plotArea>
      <barChart>
        <barDir val="bar"/>
        <grouping val="clustered"/>
        <varyColors val="0"/>
        <ser>
          <idx val="0"/>
          <order val="0"/>
          <spPr>
            <a:solidFill xmlns:a="http://schemas.openxmlformats.org/drawingml/2006/main">
              <a:srgbClr val="2B6CB0"/>
            </a:solidFill>
            <a:ln xmlns:a="http://schemas.openxmlformats.org/drawingml/2006/main">
              <a:noFill/>
              <a:prstDash val="solid"/>
            </a:ln>
          </spPr>
          <dPt>
            <idx val="8"/>
            <spPr>
              <a:solidFill xmlns:a="http://schemas.openxmlformats.org/drawingml/2006/main">
                <a:srgbClr val="A3AAB5"/>
              </a:solidFill>
              <a:ln xmlns:a="http://schemas.openxmlformats.org/drawingml/2006/main">
                <a:no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'3章_6日中・権利'!$B$5:$B$13</f>
            </numRef>
          </cat>
          <val>
            <numRef>
              <f>'3章_6日中・権利'!$D$5:$D$13</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6"/>
          <min val="0"/>
        </scaling>
        <delete val="1"/>
        <axPos val="l"/>
        <majorTickMark val="none"/>
        <minorTickMark val="none"/>
        <crossAx val="10"/>
      </valAx>
    </plotArea>
    <plotVisOnly val="1"/>
    <dispBlanksAs val="gap"/>
  </chart>
</chartSpace>
</file>

<file path=xl/charts/chart34.xml><?xml version="1.0" encoding="utf-8"?>
<chartSpace xmlns="http://schemas.openxmlformats.org/drawingml/2006/chart">
  <chart>
    <plotArea>
      <barChart>
        <barDir val="bar"/>
        <grouping val="clustered"/>
        <varyColors val="0"/>
        <ser>
          <idx val="0"/>
          <order val="0"/>
          <spPr>
            <a:solidFill xmlns:a="http://schemas.openxmlformats.org/drawingml/2006/main">
              <a:srgbClr val="2B6CB0"/>
            </a:solidFill>
            <a:ln xmlns:a="http://schemas.openxmlformats.org/drawingml/2006/main">
              <a:noFill/>
              <a:prstDash val="solid"/>
            </a:ln>
          </spPr>
          <dPt>
            <idx val="7"/>
            <spPr>
              <a:solidFill xmlns:a="http://schemas.openxmlformats.org/drawingml/2006/main">
                <a:srgbClr val="A3AAB5"/>
              </a:solidFill>
              <a:ln xmlns:a="http://schemas.openxmlformats.org/drawingml/2006/main">
                <a:noFill/>
                <a:prstDash val="solid"/>
              </a:ln>
            </spPr>
          </dPt>
          <dPt>
            <idx val="8"/>
            <spPr>
              <a:solidFill xmlns:a="http://schemas.openxmlformats.org/drawingml/2006/main">
                <a:srgbClr val="A3AAB5"/>
              </a:solidFill>
              <a:ln xmlns:a="http://schemas.openxmlformats.org/drawingml/2006/main">
                <a:no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'3章_6日中・権利'!$B$20:$B$28</f>
            </numRef>
          </cat>
          <val>
            <numRef>
              <f>'3章_6日中・権利'!$D$20:$D$28</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9"/>
          <min val="0"/>
        </scaling>
        <delete val="1"/>
        <axPos val="l"/>
        <majorTickMark val="none"/>
        <minorTickMark val="none"/>
        <crossAx val="10"/>
      </valAx>
    </plotArea>
    <plotVisOnly val="1"/>
    <dispBlanksAs val="gap"/>
  </chart>
</chartSpace>
</file>

<file path=xl/charts/chart35.xml><?xml version="1.0" encoding="utf-8"?>
<chartSpace xmlns="http://schemas.openxmlformats.org/drawingml/2006/chart">
  <chart>
    <plotArea>
      <barChart>
        <barDir val="bar"/>
        <grouping val="clustered"/>
        <varyColors val="0"/>
        <ser>
          <idx val="0"/>
          <order val="0"/>
          <spPr>
            <a:solidFill xmlns:a="http://schemas.openxmlformats.org/drawingml/2006/main">
              <a:srgbClr val="2B6CB0"/>
            </a:solidFill>
            <a:ln xmlns:a="http://schemas.openxmlformats.org/drawingml/2006/main">
              <a:noFill/>
              <a:prstDash val="solid"/>
            </a:ln>
          </spPr>
          <dPt>
            <idx val="8"/>
            <spPr>
              <a:solidFill xmlns:a="http://schemas.openxmlformats.org/drawingml/2006/main">
                <a:srgbClr val="A3AAB5"/>
              </a:solidFill>
              <a:ln xmlns:a="http://schemas.openxmlformats.org/drawingml/2006/main">
                <a:noFill/>
                <a:prstDash val="solid"/>
              </a:ln>
            </spPr>
          </dPt>
          <dPt>
            <idx val="9"/>
            <spPr>
              <a:solidFill xmlns:a="http://schemas.openxmlformats.org/drawingml/2006/main">
                <a:srgbClr val="A3AAB5"/>
              </a:solidFill>
              <a:ln xmlns:a="http://schemas.openxmlformats.org/drawingml/2006/main">
                <a:no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'3章_6日中・権利'!$B$35:$B$44</f>
            </numRef>
          </cat>
          <val>
            <numRef>
              <f>'3章_6日中・権利'!$D$35:$D$44</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9"/>
          <min val="0"/>
        </scaling>
        <delete val="1"/>
        <axPos val="l"/>
        <majorTickMark val="none"/>
        <minorTickMark val="none"/>
        <crossAx val="10"/>
      </valAx>
    </plotArea>
    <plotVisOnly val="1"/>
    <dispBlanksAs val="gap"/>
  </chart>
</chartSpace>
</file>

<file path=xl/charts/chart36.xml><?xml version="1.0" encoding="utf-8"?>
<chartSpace xmlns="http://schemas.openxmlformats.org/drawingml/2006/chart">
  <chart>
    <plotArea>
      <barChart>
        <barDir val="bar"/>
        <grouping val="percentStacked"/>
        <varyColors val="0"/>
        <ser>
          <idx val="0"/>
          <order val="0"/>
          <tx>
            <strRef>
              <f>'3章_6日中・権利'!$B$51</f>
            </strRef>
          </tx>
          <spPr>
            <a:solidFill xmlns:a="http://schemas.openxmlformats.org/drawingml/2006/main">
              <a:srgbClr val="C0504D"/>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800" b="0">
                    <a:solidFill>
                      <a:srgbClr val="FFFFFF"/>
                    </a:solidFill>
                    <a:latin typeface="BIZ UDPゴシック"/>
                    <a:ea typeface="BIZ UDPゴシック"/>
                  </a:defRPr>
                </a:pPr>
                <a:r>
                  <a:t/>
                </a:r>
                <a:endParaRPr sz="800" b="0">
                  <a:solidFill>
                    <a:srgbClr val="FFFFFF"/>
                  </a:solidFill>
                  <a:latin typeface="BIZ UDPゴシック"/>
                  <a:ea typeface="BIZ UDPゴシック"/>
                </a:endParaRPr>
              </a:p>
            </txPr>
            <dLblPos val="ctr"/>
            <showLegendKey val="0"/>
            <showVal val="1"/>
            <showCatName val="0"/>
            <showSerName val="0"/>
            <showPercent val="0"/>
            <showBubbleSize val="0"/>
          </dLbls>
          <val>
            <numRef>
              <f>'3章_6日中・権利'!$D$51</f>
            </numRef>
          </val>
        </ser>
        <ser>
          <idx val="1"/>
          <order val="1"/>
          <tx>
            <strRef>
              <f>'3章_6日中・権利'!$B$52</f>
            </strRef>
          </tx>
          <spPr>
            <a:solidFill xmlns:a="http://schemas.openxmlformats.org/drawingml/2006/main">
              <a:srgbClr val="E07B39"/>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800" b="0">
                    <a:solidFill>
                      <a:srgbClr val="FFFFFF"/>
                    </a:solidFill>
                    <a:latin typeface="BIZ UDPゴシック"/>
                    <a:ea typeface="BIZ UDPゴシック"/>
                  </a:defRPr>
                </a:pPr>
                <a:r>
                  <a:t/>
                </a:r>
                <a:endParaRPr sz="800" b="0">
                  <a:solidFill>
                    <a:srgbClr val="FFFFFF"/>
                  </a:solidFill>
                  <a:latin typeface="BIZ UDPゴシック"/>
                  <a:ea typeface="BIZ UDPゴシック"/>
                </a:endParaRPr>
              </a:p>
            </txPr>
            <dLblPos val="ctr"/>
            <showLegendKey val="0"/>
            <showVal val="1"/>
            <showCatName val="0"/>
            <showSerName val="0"/>
            <showPercent val="0"/>
            <showBubbleSize val="0"/>
          </dLbls>
          <val>
            <numRef>
              <f>'3章_6日中・権利'!$D$52</f>
            </numRef>
          </val>
        </ser>
        <ser>
          <idx val="2"/>
          <order val="2"/>
          <tx>
            <strRef>
              <f>'3章_6日中・権利'!$B$53</f>
            </strRef>
          </tx>
          <spPr>
            <a:solidFill xmlns:a="http://schemas.openxmlformats.org/drawingml/2006/main">
              <a:srgbClr val="F4B183"/>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800" b="0">
                    <a:solidFill>
                      <a:srgbClr val="262626"/>
                    </a:solidFill>
                    <a:latin typeface="BIZ UDPゴシック"/>
                    <a:ea typeface="BIZ UDPゴシック"/>
                  </a:defRPr>
                </a:pPr>
                <a:r>
                  <a:t/>
                </a:r>
                <a:endParaRPr sz="800" b="0">
                  <a:solidFill>
                    <a:srgbClr val="262626"/>
                  </a:solidFill>
                  <a:latin typeface="BIZ UDPゴシック"/>
                  <a:ea typeface="BIZ UDPゴシック"/>
                </a:endParaRPr>
              </a:p>
            </txPr>
            <dLblPos val="ctr"/>
            <showLegendKey val="0"/>
            <showVal val="1"/>
            <showCatName val="0"/>
            <showSerName val="0"/>
            <showPercent val="0"/>
            <showBubbleSize val="0"/>
          </dLbls>
          <val>
            <numRef>
              <f>'3章_6日中・権利'!$D$53</f>
            </numRef>
          </val>
        </ser>
        <ser>
          <idx val="3"/>
          <order val="3"/>
          <tx>
            <strRef>
              <f>'3章_6日中・権利'!$B$54</f>
            </strRef>
          </tx>
          <spPr>
            <a:solidFill xmlns:a="http://schemas.openxmlformats.org/drawingml/2006/main">
              <a:srgbClr val="6FA0D8"/>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800" b="0">
                    <a:solidFill>
                      <a:srgbClr val="262626"/>
                    </a:solidFill>
                    <a:latin typeface="BIZ UDPゴシック"/>
                    <a:ea typeface="BIZ UDPゴシック"/>
                  </a:defRPr>
                </a:pPr>
                <a:r>
                  <a:t/>
                </a:r>
                <a:endParaRPr sz="800" b="0">
                  <a:solidFill>
                    <a:srgbClr val="262626"/>
                  </a:solidFill>
                  <a:latin typeface="BIZ UDPゴシック"/>
                  <a:ea typeface="BIZ UDPゴシック"/>
                </a:endParaRPr>
              </a:p>
            </txPr>
            <dLblPos val="ctr"/>
            <showLegendKey val="0"/>
            <showVal val="1"/>
            <showCatName val="0"/>
            <showSerName val="0"/>
            <showPercent val="0"/>
            <showBubbleSize val="0"/>
          </dLbls>
          <val>
            <numRef>
              <f>'3章_6日中・権利'!$D$54</f>
            </numRef>
          </val>
        </ser>
        <ser>
          <idx val="4"/>
          <order val="4"/>
          <tx>
            <strRef>
              <f>'3章_6日中・権利'!$B$55</f>
            </strRef>
          </tx>
          <spPr>
            <a:solidFill xmlns:a="http://schemas.openxmlformats.org/drawingml/2006/main">
              <a:srgbClr val="BFBFBF"/>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800" b="0">
                    <a:solidFill>
                      <a:srgbClr val="262626"/>
                    </a:solidFill>
                    <a:latin typeface="BIZ UDPゴシック"/>
                    <a:ea typeface="BIZ UDPゴシック"/>
                  </a:defRPr>
                </a:pPr>
                <a:r>
                  <a:t/>
                </a:r>
                <a:endParaRPr sz="800" b="0">
                  <a:solidFill>
                    <a:srgbClr val="262626"/>
                  </a:solidFill>
                  <a:latin typeface="BIZ UDPゴシック"/>
                  <a:ea typeface="BIZ UDPゴシック"/>
                </a:endParaRPr>
              </a:p>
            </txPr>
            <dLblPos val="ctr"/>
            <showLegendKey val="0"/>
            <showVal val="1"/>
            <showCatName val="0"/>
            <showSerName val="0"/>
            <showPercent val="0"/>
            <showBubbleSize val="0"/>
          </dLbls>
          <val>
            <numRef>
              <f>'3章_6日中・権利'!$D$55</f>
            </numRef>
          </val>
        </ser>
        <gapWidth val="120"/>
        <overlap val="100"/>
        <axId val="10"/>
        <axId val="100"/>
      </barChart>
      <catAx>
        <axId val="10"/>
        <scaling>
          <orientation val="maxMin"/>
        </scaling>
        <delete val="1"/>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37.xml><?xml version="1.0" encoding="utf-8"?>
<chartSpace xmlns="http://schemas.openxmlformats.org/drawingml/2006/chart">
  <chart>
    <plotArea>
      <barChart>
        <barDir val="bar"/>
        <grouping val="clustered"/>
        <varyColors val="0"/>
        <ser>
          <idx val="0"/>
          <order val="0"/>
          <spPr>
            <a:solidFill xmlns:a="http://schemas.openxmlformats.org/drawingml/2006/main">
              <a:srgbClr val="2B6CB0"/>
            </a:solidFill>
            <a:ln xmlns:a="http://schemas.openxmlformats.org/drawingml/2006/main">
              <a:noFill/>
              <a:prstDash val="solid"/>
            </a:ln>
          </spPr>
          <dPt>
            <idx val="9"/>
            <spPr>
              <a:solidFill xmlns:a="http://schemas.openxmlformats.org/drawingml/2006/main">
                <a:srgbClr val="A3AAB5"/>
              </a:solidFill>
              <a:ln xmlns:a="http://schemas.openxmlformats.org/drawingml/2006/main">
                <a:noFill/>
                <a:prstDash val="solid"/>
              </a:ln>
            </spPr>
          </dPt>
          <dPt>
            <idx val="10"/>
            <spPr>
              <a:solidFill xmlns:a="http://schemas.openxmlformats.org/drawingml/2006/main">
                <a:srgbClr val="A3AAB5"/>
              </a:solidFill>
              <a:ln xmlns:a="http://schemas.openxmlformats.org/drawingml/2006/main">
                <a:no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'3章_6日中・権利'!$B$62:$B$72</f>
            </numRef>
          </cat>
          <val>
            <numRef>
              <f>'3章_6日中・権利'!$D$62:$D$72</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9"/>
          <min val="0"/>
        </scaling>
        <delete val="1"/>
        <axPos val="l"/>
        <majorTickMark val="none"/>
        <minorTickMark val="none"/>
        <crossAx val="10"/>
      </valAx>
    </plotArea>
    <plotVisOnly val="1"/>
    <dispBlanksAs val="gap"/>
  </chart>
</chartSpace>
</file>

<file path=xl/charts/chart38.xml><?xml version="1.0" encoding="utf-8"?>
<chartSpace xmlns="http://schemas.openxmlformats.org/drawingml/2006/chart">
  <chart>
    <plotArea>
      <barChart>
        <barDir val="bar"/>
        <grouping val="clustered"/>
        <varyColors val="0"/>
        <ser>
          <idx val="0"/>
          <order val="0"/>
          <spPr>
            <a:solidFill xmlns:a="http://schemas.openxmlformats.org/drawingml/2006/main">
              <a:srgbClr val="2B6CB0"/>
            </a:solidFill>
            <a:ln xmlns:a="http://schemas.openxmlformats.org/drawingml/2006/main">
              <a:noFill/>
              <a:prstDash val="solid"/>
            </a:ln>
          </spPr>
          <dPt>
            <idx val="7"/>
            <spPr>
              <a:solidFill xmlns:a="http://schemas.openxmlformats.org/drawingml/2006/main">
                <a:srgbClr val="A3AAB5"/>
              </a:solidFill>
              <a:ln xmlns:a="http://schemas.openxmlformats.org/drawingml/2006/main">
                <a:noFill/>
                <a:prstDash val="solid"/>
              </a:ln>
            </spPr>
          </dPt>
          <dPt>
            <idx val="8"/>
            <spPr>
              <a:solidFill xmlns:a="http://schemas.openxmlformats.org/drawingml/2006/main">
                <a:srgbClr val="A3AAB5"/>
              </a:solidFill>
              <a:ln xmlns:a="http://schemas.openxmlformats.org/drawingml/2006/main">
                <a:no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'3章_6日中・権利'!$B$79:$B$87</f>
            </numRef>
          </cat>
          <val>
            <numRef>
              <f>'3章_6日中・権利'!$D$79:$D$87</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7"/>
          <min val="0"/>
        </scaling>
        <delete val="1"/>
        <axPos val="l"/>
        <majorTickMark val="none"/>
        <minorTickMark val="none"/>
        <crossAx val="10"/>
      </valAx>
    </plotArea>
    <plotVisOnly val="1"/>
    <dispBlanksAs val="gap"/>
  </chart>
</chartSpace>
</file>

<file path=xl/charts/chart39.xml><?xml version="1.0" encoding="utf-8"?>
<chartSpace xmlns="http://schemas.openxmlformats.org/drawingml/2006/chart">
  <chart>
    <plotArea>
      <barChart>
        <barDir val="bar"/>
        <grouping val="percentStacked"/>
        <varyColors val="0"/>
        <ser>
          <idx val="0"/>
          <order val="0"/>
          <tx>
            <strRef>
              <f>'3章_6日中・権利'!$B$94</f>
            </strRef>
          </tx>
          <spPr>
            <a:solidFill xmlns:a="http://schemas.openxmlformats.org/drawingml/2006/main">
              <a:srgbClr val="1F4E79"/>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800" b="0">
                    <a:solidFill>
                      <a:srgbClr val="FFFFFF"/>
                    </a:solidFill>
                    <a:latin typeface="BIZ UDPゴシック"/>
                    <a:ea typeface="BIZ UDPゴシック"/>
                  </a:defRPr>
                </a:pPr>
                <a:r>
                  <a:t/>
                </a:r>
                <a:endParaRPr sz="800" b="0">
                  <a:solidFill>
                    <a:srgbClr val="FFFFFF"/>
                  </a:solidFill>
                  <a:latin typeface="BIZ UDPゴシック"/>
                  <a:ea typeface="BIZ UDPゴシック"/>
                </a:endParaRPr>
              </a:p>
            </txPr>
            <dLblPos val="ctr"/>
            <showLegendKey val="0"/>
            <showVal val="1"/>
            <showCatName val="0"/>
            <showSerName val="0"/>
            <showPercent val="0"/>
            <showBubbleSize val="0"/>
          </dLbls>
          <val>
            <numRef>
              <f>'3章_6日中・権利'!$D$94</f>
            </numRef>
          </val>
        </ser>
        <ser>
          <idx val="1"/>
          <order val="1"/>
          <tx>
            <strRef>
              <f>'3章_6日中・権利'!$B$95</f>
            </strRef>
          </tx>
          <spPr>
            <a:solidFill xmlns:a="http://schemas.openxmlformats.org/drawingml/2006/main">
              <a:srgbClr val="2B6CB0"/>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800" b="0">
                    <a:solidFill>
                      <a:srgbClr val="FFFFFF"/>
                    </a:solidFill>
                    <a:latin typeface="BIZ UDPゴシック"/>
                    <a:ea typeface="BIZ UDPゴシック"/>
                  </a:defRPr>
                </a:pPr>
                <a:r>
                  <a:t/>
                </a:r>
                <a:endParaRPr sz="800" b="0">
                  <a:solidFill>
                    <a:srgbClr val="FFFFFF"/>
                  </a:solidFill>
                  <a:latin typeface="BIZ UDPゴシック"/>
                  <a:ea typeface="BIZ UDPゴシック"/>
                </a:endParaRPr>
              </a:p>
            </txPr>
            <dLblPos val="ctr"/>
            <showLegendKey val="0"/>
            <showVal val="1"/>
            <showCatName val="0"/>
            <showSerName val="0"/>
            <showPercent val="0"/>
            <showBubbleSize val="0"/>
          </dLbls>
          <val>
            <numRef>
              <f>'3章_6日中・権利'!$D$95</f>
            </numRef>
          </val>
        </ser>
        <ser>
          <idx val="2"/>
          <order val="2"/>
          <tx>
            <strRef>
              <f>'3章_6日中・権利'!$B$96</f>
            </strRef>
          </tx>
          <spPr>
            <a:solidFill xmlns:a="http://schemas.openxmlformats.org/drawingml/2006/main">
              <a:srgbClr val="B4CFEE"/>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800" b="0">
                    <a:solidFill>
                      <a:srgbClr val="262626"/>
                    </a:solidFill>
                    <a:latin typeface="BIZ UDPゴシック"/>
                    <a:ea typeface="BIZ UDPゴシック"/>
                  </a:defRPr>
                </a:pPr>
                <a:r>
                  <a:t/>
                </a:r>
                <a:endParaRPr sz="800" b="0">
                  <a:solidFill>
                    <a:srgbClr val="262626"/>
                  </a:solidFill>
                  <a:latin typeface="BIZ UDPゴシック"/>
                  <a:ea typeface="BIZ UDPゴシック"/>
                </a:endParaRPr>
              </a:p>
            </txPr>
            <dLblPos val="ctr"/>
            <showLegendKey val="0"/>
            <showVal val="1"/>
            <showCatName val="0"/>
            <showSerName val="0"/>
            <showPercent val="0"/>
            <showBubbleSize val="0"/>
          </dLbls>
          <val>
            <numRef>
              <f>'3章_6日中・権利'!$D$96</f>
            </numRef>
          </val>
        </ser>
        <ser>
          <idx val="3"/>
          <order val="3"/>
          <tx>
            <strRef>
              <f>'3章_6日中・権利'!$B$97</f>
            </strRef>
          </tx>
          <spPr>
            <a:solidFill xmlns:a="http://schemas.openxmlformats.org/drawingml/2006/main">
              <a:srgbClr val="F4B183"/>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800" b="0">
                    <a:solidFill>
                      <a:srgbClr val="262626"/>
                    </a:solidFill>
                    <a:latin typeface="BIZ UDPゴシック"/>
                    <a:ea typeface="BIZ UDPゴシック"/>
                  </a:defRPr>
                </a:pPr>
                <a:r>
                  <a:t/>
                </a:r>
                <a:endParaRPr sz="800" b="0">
                  <a:solidFill>
                    <a:srgbClr val="262626"/>
                  </a:solidFill>
                  <a:latin typeface="BIZ UDPゴシック"/>
                  <a:ea typeface="BIZ UDPゴシック"/>
                </a:endParaRPr>
              </a:p>
            </txPr>
            <dLblPos val="ctr"/>
            <showLegendKey val="0"/>
            <showVal val="1"/>
            <showCatName val="0"/>
            <showSerName val="0"/>
            <showPercent val="0"/>
            <showBubbleSize val="0"/>
          </dLbls>
          <val>
            <numRef>
              <f>'3章_6日中・権利'!$D$97</f>
            </numRef>
          </val>
        </ser>
        <ser>
          <idx val="4"/>
          <order val="4"/>
          <tx>
            <strRef>
              <f>'3章_6日中・権利'!$B$98</f>
            </strRef>
          </tx>
          <spPr>
            <a:solidFill xmlns:a="http://schemas.openxmlformats.org/drawingml/2006/main">
              <a:srgbClr val="E07B39"/>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800" b="0">
                    <a:solidFill>
                      <a:srgbClr val="FFFFFF"/>
                    </a:solidFill>
                    <a:latin typeface="BIZ UDPゴシック"/>
                    <a:ea typeface="BIZ UDPゴシック"/>
                  </a:defRPr>
                </a:pPr>
                <a:r>
                  <a:t/>
                </a:r>
                <a:endParaRPr sz="800" b="0">
                  <a:solidFill>
                    <a:srgbClr val="FFFFFF"/>
                  </a:solidFill>
                  <a:latin typeface="BIZ UDPゴシック"/>
                  <a:ea typeface="BIZ UDPゴシック"/>
                </a:endParaRPr>
              </a:p>
            </txPr>
            <dLblPos val="ctr"/>
            <showLegendKey val="0"/>
            <showVal val="1"/>
            <showCatName val="0"/>
            <showSerName val="0"/>
            <showPercent val="0"/>
            <showBubbleSize val="0"/>
          </dLbls>
          <val>
            <numRef>
              <f>'3章_6日中・権利'!$D$98</f>
            </numRef>
          </val>
        </ser>
        <gapWidth val="120"/>
        <overlap val="100"/>
        <axId val="10"/>
        <axId val="100"/>
      </barChart>
      <catAx>
        <axId val="10"/>
        <scaling>
          <orientation val="maxMin"/>
        </scaling>
        <delete val="1"/>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40.xml><?xml version="1.0" encoding="utf-8"?>
<chartSpace xmlns="http://schemas.openxmlformats.org/drawingml/2006/chart">
  <chart>
    <plotArea>
      <barChart>
        <barDir val="bar"/>
        <grouping val="clustered"/>
        <varyColors val="0"/>
        <ser>
          <idx val="0"/>
          <order val="0"/>
          <spPr>
            <a:solidFill xmlns:a="http://schemas.openxmlformats.org/drawingml/2006/main">
              <a:srgbClr val="2B6CB0"/>
            </a:solidFill>
            <a:ln xmlns:a="http://schemas.openxmlformats.org/drawingml/2006/main">
              <a:noFill/>
              <a:prstDash val="solid"/>
            </a:ln>
          </spPr>
          <dPt>
            <idx val="8"/>
            <spPr>
              <a:solidFill xmlns:a="http://schemas.openxmlformats.org/drawingml/2006/main">
                <a:srgbClr val="A3AAB5"/>
              </a:solidFill>
              <a:ln xmlns:a="http://schemas.openxmlformats.org/drawingml/2006/main">
                <a:noFill/>
                <a:prstDash val="solid"/>
              </a:ln>
            </spPr>
          </dPt>
          <dPt>
            <idx val="9"/>
            <spPr>
              <a:solidFill xmlns:a="http://schemas.openxmlformats.org/drawingml/2006/main">
                <a:srgbClr val="A3AAB5"/>
              </a:solidFill>
              <a:ln xmlns:a="http://schemas.openxmlformats.org/drawingml/2006/main">
                <a:no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'3章_7災害・施策'!$B$5:$B$14</f>
            </numRef>
          </cat>
          <val>
            <numRef>
              <f>'3章_7災害・施策'!$D$5:$D$14</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1"/>
          <min val="0"/>
        </scaling>
        <delete val="1"/>
        <axPos val="l"/>
        <majorTickMark val="none"/>
        <minorTickMark val="none"/>
        <crossAx val="10"/>
      </valAx>
    </plotArea>
    <plotVisOnly val="1"/>
    <dispBlanksAs val="gap"/>
  </chart>
</chartSpace>
</file>

<file path=xl/charts/chart41.xml><?xml version="1.0" encoding="utf-8"?>
<chartSpace xmlns="http://schemas.openxmlformats.org/drawingml/2006/chart">
  <chart>
    <plotArea>
      <barChart>
        <barDir val="bar"/>
        <grouping val="percentStacked"/>
        <varyColors val="0"/>
        <ser>
          <idx val="0"/>
          <order val="0"/>
          <tx>
            <strRef>
              <f>'3章_7災害・施策'!$B$21</f>
            </strRef>
          </tx>
          <spPr>
            <a:solidFill xmlns:a="http://schemas.openxmlformats.org/drawingml/2006/main">
              <a:srgbClr val="2B6CB0"/>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800" b="0">
                    <a:solidFill>
                      <a:srgbClr val="FFFFFF"/>
                    </a:solidFill>
                    <a:latin typeface="BIZ UDPゴシック"/>
                    <a:ea typeface="BIZ UDPゴシック"/>
                  </a:defRPr>
                </a:pPr>
                <a:r>
                  <a:t/>
                </a:r>
                <a:endParaRPr sz="800" b="0">
                  <a:solidFill>
                    <a:srgbClr val="FFFFFF"/>
                  </a:solidFill>
                  <a:latin typeface="BIZ UDPゴシック"/>
                  <a:ea typeface="BIZ UDPゴシック"/>
                </a:endParaRPr>
              </a:p>
            </txPr>
            <dLblPos val="ctr"/>
            <showLegendKey val="0"/>
            <showVal val="1"/>
            <showCatName val="0"/>
            <showSerName val="0"/>
            <showPercent val="0"/>
            <showBubbleSize val="0"/>
          </dLbls>
          <val>
            <numRef>
              <f>'3章_7災害・施策'!$D$21</f>
            </numRef>
          </val>
        </ser>
        <ser>
          <idx val="1"/>
          <order val="1"/>
          <tx>
            <strRef>
              <f>'3章_7災害・施策'!$B$22</f>
            </strRef>
          </tx>
          <spPr>
            <a:solidFill xmlns:a="http://schemas.openxmlformats.org/drawingml/2006/main">
              <a:srgbClr val="B4CFEE"/>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800" b="0">
                    <a:solidFill>
                      <a:srgbClr val="262626"/>
                    </a:solidFill>
                    <a:latin typeface="BIZ UDPゴシック"/>
                    <a:ea typeface="BIZ UDPゴシック"/>
                  </a:defRPr>
                </a:pPr>
                <a:r>
                  <a:t/>
                </a:r>
                <a:endParaRPr sz="800" b="0">
                  <a:solidFill>
                    <a:srgbClr val="262626"/>
                  </a:solidFill>
                  <a:latin typeface="BIZ UDPゴシック"/>
                  <a:ea typeface="BIZ UDPゴシック"/>
                </a:endParaRPr>
              </a:p>
            </txPr>
            <dLblPos val="ctr"/>
            <showLegendKey val="0"/>
            <showVal val="1"/>
            <showCatName val="0"/>
            <showSerName val="0"/>
            <showPercent val="0"/>
            <showBubbleSize val="0"/>
          </dLbls>
          <val>
            <numRef>
              <f>'3章_7災害・施策'!$D$22</f>
            </numRef>
          </val>
        </ser>
        <ser>
          <idx val="2"/>
          <order val="2"/>
          <tx>
            <strRef>
              <f>'3章_7災害・施策'!$B$23</f>
            </strRef>
          </tx>
          <spPr>
            <a:solidFill xmlns:a="http://schemas.openxmlformats.org/drawingml/2006/main">
              <a:srgbClr val="E07B39"/>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800" b="0">
                    <a:solidFill>
                      <a:srgbClr val="FFFFFF"/>
                    </a:solidFill>
                    <a:latin typeface="BIZ UDPゴシック"/>
                    <a:ea typeface="BIZ UDPゴシック"/>
                  </a:defRPr>
                </a:pPr>
                <a:r>
                  <a:t/>
                </a:r>
                <a:endParaRPr sz="800" b="0">
                  <a:solidFill>
                    <a:srgbClr val="FFFFFF"/>
                  </a:solidFill>
                  <a:latin typeface="BIZ UDPゴシック"/>
                  <a:ea typeface="BIZ UDPゴシック"/>
                </a:endParaRPr>
              </a:p>
            </txPr>
            <dLblPos val="ctr"/>
            <showLegendKey val="0"/>
            <showVal val="1"/>
            <showCatName val="0"/>
            <showSerName val="0"/>
            <showPercent val="0"/>
            <showBubbleSize val="0"/>
          </dLbls>
          <val>
            <numRef>
              <f>'3章_7災害・施策'!$D$23</f>
            </numRef>
          </val>
        </ser>
        <ser>
          <idx val="3"/>
          <order val="3"/>
          <tx>
            <strRef>
              <f>'3章_7災害・施策'!$B$24</f>
            </strRef>
          </tx>
          <spPr>
            <a:solidFill xmlns:a="http://schemas.openxmlformats.org/drawingml/2006/main">
              <a:srgbClr val="BFBFBF"/>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800" b="0">
                    <a:solidFill>
                      <a:srgbClr val="262626"/>
                    </a:solidFill>
                    <a:latin typeface="BIZ UDPゴシック"/>
                    <a:ea typeface="BIZ UDPゴシック"/>
                  </a:defRPr>
                </a:pPr>
                <a:r>
                  <a:t/>
                </a:r>
                <a:endParaRPr sz="800" b="0">
                  <a:solidFill>
                    <a:srgbClr val="262626"/>
                  </a:solidFill>
                  <a:latin typeface="BIZ UDPゴシック"/>
                  <a:ea typeface="BIZ UDPゴシック"/>
                </a:endParaRPr>
              </a:p>
            </txPr>
            <dLblPos val="ctr"/>
            <showLegendKey val="0"/>
            <showVal val="1"/>
            <showCatName val="0"/>
            <showSerName val="0"/>
            <showPercent val="0"/>
            <showBubbleSize val="0"/>
          </dLbls>
          <val>
            <numRef>
              <f>'3章_7災害・施策'!$D$24</f>
            </numRef>
          </val>
        </ser>
        <gapWidth val="120"/>
        <overlap val="100"/>
        <axId val="10"/>
        <axId val="100"/>
      </barChart>
      <catAx>
        <axId val="10"/>
        <scaling>
          <orientation val="maxMin"/>
        </scaling>
        <delete val="1"/>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42.xml><?xml version="1.0" encoding="utf-8"?>
<chartSpace xmlns="http://schemas.openxmlformats.org/drawingml/2006/chart">
  <chart>
    <plotArea>
      <barChart>
        <barDir val="bar"/>
        <grouping val="clustered"/>
        <varyColors val="0"/>
        <ser>
          <idx val="0"/>
          <order val="0"/>
          <spPr>
            <a:solidFill xmlns:a="http://schemas.openxmlformats.org/drawingml/2006/main">
              <a:srgbClr val="2B6CB0"/>
            </a:solidFill>
            <a:ln xmlns:a="http://schemas.openxmlformats.org/drawingml/2006/main">
              <a:noFill/>
              <a:prstDash val="solid"/>
            </a:ln>
          </spPr>
          <dPt>
            <idx val="7"/>
            <spPr>
              <a:solidFill xmlns:a="http://schemas.openxmlformats.org/drawingml/2006/main">
                <a:srgbClr val="A3AAB5"/>
              </a:solidFill>
              <a:ln xmlns:a="http://schemas.openxmlformats.org/drawingml/2006/main">
                <a:noFill/>
                <a:prstDash val="solid"/>
              </a:ln>
            </spPr>
          </dPt>
          <dPt>
            <idx val="8"/>
            <spPr>
              <a:solidFill xmlns:a="http://schemas.openxmlformats.org/drawingml/2006/main">
                <a:srgbClr val="A3AAB5"/>
              </a:solidFill>
              <a:ln xmlns:a="http://schemas.openxmlformats.org/drawingml/2006/main">
                <a:no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'3章_7災害・施策'!$B$32:$B$40</f>
            </numRef>
          </cat>
          <val>
            <numRef>
              <f>'3章_7災害・施策'!$D$32:$D$40</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9"/>
          <min val="0"/>
        </scaling>
        <delete val="1"/>
        <axPos val="l"/>
        <majorTickMark val="none"/>
        <minorTickMark val="none"/>
        <crossAx val="10"/>
      </valAx>
    </plotArea>
    <plotVisOnly val="1"/>
    <dispBlanksAs val="gap"/>
  </chart>
</chartSpace>
</file>

<file path=xl/charts/chart43.xml><?xml version="1.0" encoding="utf-8"?>
<chartSpace xmlns="http://schemas.openxmlformats.org/drawingml/2006/chart">
  <chart>
    <plotArea>
      <barChart>
        <barDir val="bar"/>
        <grouping val="clustered"/>
        <varyColors val="0"/>
        <ser>
          <idx val="0"/>
          <order val="0"/>
          <spPr>
            <a:solidFill xmlns:a="http://schemas.openxmlformats.org/drawingml/2006/main">
              <a:srgbClr val="2B6CB0"/>
            </a:solidFill>
            <a:ln xmlns:a="http://schemas.openxmlformats.org/drawingml/2006/main">
              <a:noFill/>
              <a:prstDash val="solid"/>
            </a:ln>
          </spPr>
          <dPt>
            <idx val="8"/>
            <spPr>
              <a:solidFill xmlns:a="http://schemas.openxmlformats.org/drawingml/2006/main">
                <a:srgbClr val="A3AAB5"/>
              </a:solidFill>
              <a:ln xmlns:a="http://schemas.openxmlformats.org/drawingml/2006/main">
                <a:no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'3章_7災害・施策'!$B$47:$B$55</f>
            </numRef>
          </cat>
          <val>
            <numRef>
              <f>'3章_7災害・施策'!$D$47:$D$55</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9"/>
          <min val="0"/>
        </scaling>
        <delete val="1"/>
        <axPos val="l"/>
        <majorTickMark val="none"/>
        <minorTickMark val="none"/>
        <crossAx val="10"/>
      </valAx>
    </plotArea>
    <plotVisOnly val="1"/>
    <dispBlanksAs val="gap"/>
  </chart>
</chartSpace>
</file>

<file path=xl/charts/chart44.xml><?xml version="1.0" encoding="utf-8"?>
<chartSpace xmlns="http://schemas.openxmlformats.org/drawingml/2006/chart">
  <chart>
    <plotArea>
      <barChart>
        <barDir val="bar"/>
        <grouping val="clustered"/>
        <varyColors val="0"/>
        <ser>
          <idx val="0"/>
          <order val="0"/>
          <spPr>
            <a:solidFill xmlns:a="http://schemas.openxmlformats.org/drawingml/2006/main">
              <a:srgbClr val="2B6CB0"/>
            </a:solidFill>
            <a:ln xmlns:a="http://schemas.openxmlformats.org/drawingml/2006/main">
              <a:noFill/>
              <a:prstDash val="solid"/>
            </a:ln>
          </spPr>
          <dPt>
            <idx val="7"/>
            <spPr>
              <a:solidFill xmlns:a="http://schemas.openxmlformats.org/drawingml/2006/main">
                <a:srgbClr val="A3AAB5"/>
              </a:solidFill>
              <a:ln xmlns:a="http://schemas.openxmlformats.org/drawingml/2006/main">
                <a:noFill/>
                <a:prstDash val="solid"/>
              </a:ln>
            </spPr>
          </dPt>
          <dPt>
            <idx val="8"/>
            <spPr>
              <a:solidFill xmlns:a="http://schemas.openxmlformats.org/drawingml/2006/main">
                <a:srgbClr val="A3AAB5"/>
              </a:solidFill>
              <a:ln xmlns:a="http://schemas.openxmlformats.org/drawingml/2006/main">
                <a:no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'3章_7災害・施策'!$B$62:$B$70</f>
            </numRef>
          </cat>
          <val>
            <numRef>
              <f>'3章_7災害・施策'!$D$62:$D$70</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9"/>
          <min val="0"/>
        </scaling>
        <delete val="1"/>
        <axPos val="l"/>
        <majorTickMark val="none"/>
        <minorTickMark val="none"/>
        <crossAx val="10"/>
      </valAx>
    </plotArea>
    <plotVisOnly val="1"/>
    <dispBlanksAs val="gap"/>
  </chart>
</chartSpace>
</file>

<file path=xl/charts/chart45.xml><?xml version="1.0" encoding="utf-8"?>
<chartSpace xmlns="http://schemas.openxmlformats.org/drawingml/2006/chart">
  <chart>
    <plotArea>
      <barChart>
        <barDir val="bar"/>
        <grouping val="clustered"/>
        <varyColors val="0"/>
        <ser>
          <idx val="0"/>
          <order val="0"/>
          <spPr>
            <a:solidFill xmlns:a="http://schemas.openxmlformats.org/drawingml/2006/main">
              <a:srgbClr val="2B6CB0"/>
            </a:solidFill>
            <a:ln xmlns:a="http://schemas.openxmlformats.org/drawingml/2006/main">
              <a:noFill/>
              <a:prstDash val="solid"/>
            </a:ln>
          </spPr>
          <dPt>
            <idx val="6"/>
            <spPr>
              <a:solidFill xmlns:a="http://schemas.openxmlformats.org/drawingml/2006/main">
                <a:srgbClr val="A3AAB5"/>
              </a:solidFill>
              <a:ln xmlns:a="http://schemas.openxmlformats.org/drawingml/2006/main">
                <a:noFill/>
                <a:prstDash val="solid"/>
              </a:ln>
            </spPr>
          </dPt>
          <dPt>
            <idx val="7"/>
            <spPr>
              <a:solidFill xmlns:a="http://schemas.openxmlformats.org/drawingml/2006/main">
                <a:srgbClr val="A3AAB5"/>
              </a:solidFill>
              <a:ln xmlns:a="http://schemas.openxmlformats.org/drawingml/2006/main">
                <a:no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'3章_7災害・施策'!$B$77:$B$84</f>
            </numRef>
          </cat>
          <val>
            <numRef>
              <f>'3章_7災害・施策'!$D$77:$D$84</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6"/>
          <min val="0"/>
        </scaling>
        <delete val="1"/>
        <axPos val="l"/>
        <majorTickMark val="none"/>
        <minorTickMark val="none"/>
        <crossAx val="10"/>
      </valAx>
    </plotArea>
    <plotVisOnly val="1"/>
    <dispBlanksAs val="gap"/>
  </chart>
</chartSpace>
</file>

<file path=xl/charts/chart46.xml><?xml version="1.0" encoding="utf-8"?>
<chartSpace xmlns="http://schemas.openxmlformats.org/drawingml/2006/chart">
  <chart>
    <plotArea>
      <barChart>
        <barDir val="bar"/>
        <grouping val="clustered"/>
        <varyColors val="0"/>
        <ser>
          <idx val="0"/>
          <order val="0"/>
          <spPr>
            <a:solidFill xmlns:a="http://schemas.openxmlformats.org/drawingml/2006/main">
              <a:srgbClr val="2B6CB0"/>
            </a:solidFill>
            <a:ln xmlns:a="http://schemas.openxmlformats.org/drawingml/2006/main">
              <a:noFill/>
              <a:prstDash val="solid"/>
            </a:ln>
          </spPr>
          <dPt>
            <idx val="0"/>
            <spPr>
              <a:solidFill xmlns:a="http://schemas.openxmlformats.org/drawingml/2006/main">
                <a:srgbClr val="1F4E79"/>
              </a:solidFill>
              <a:ln xmlns:a="http://schemas.openxmlformats.org/drawingml/2006/main">
                <a:noFill/>
                <a:prstDash val="solid"/>
              </a:ln>
            </spPr>
          </dPt>
          <dPt>
            <idx val="1"/>
            <spPr>
              <a:solidFill xmlns:a="http://schemas.openxmlformats.org/drawingml/2006/main">
                <a:srgbClr val="1F4E79"/>
              </a:solidFill>
              <a:ln xmlns:a="http://schemas.openxmlformats.org/drawingml/2006/main">
                <a:noFill/>
                <a:prstDash val="solid"/>
              </a:ln>
            </spPr>
          </dPt>
          <dPt>
            <idx val="8"/>
            <spPr>
              <a:solidFill xmlns:a="http://schemas.openxmlformats.org/drawingml/2006/main">
                <a:srgbClr val="A3AAB5"/>
              </a:solidFill>
              <a:ln xmlns:a="http://schemas.openxmlformats.org/drawingml/2006/main">
                <a:noFill/>
                <a:prstDash val="solid"/>
              </a:ln>
            </spPr>
          </dPt>
          <dLbls>
            <numFmt formatCode="0.0%"/>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'3章_7災害・施策'!$B$91:$B$99</f>
            </numRef>
          </cat>
          <val>
            <numRef>
              <f>'3章_7災害・施策'!$D$91:$D$99</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0.6"/>
          <min val="0"/>
        </scaling>
        <delete val="1"/>
        <axPos val="l"/>
        <majorTickMark val="none"/>
        <minorTickMark val="none"/>
        <crossAx val="10"/>
      </valAx>
    </plotArea>
    <plotVisOnly val="1"/>
    <dispBlanksAs val="gap"/>
  </chart>
</chartSpace>
</file>

<file path=xl/charts/chart47.xml><?xml version="1.0" encoding="utf-8"?>
<chartSpace xmlns="http://schemas.openxmlformats.org/drawingml/2006/chart">
  <chart>
    <plotArea>
      <barChart>
        <barDir val="bar"/>
        <grouping val="clustered"/>
        <varyColors val="0"/>
        <ser>
          <idx val="0"/>
          <order val="0"/>
          <tx>
            <strRef>
              <f>'4章_クロス集計'!C81</f>
            </strRef>
          </tx>
          <spPr>
            <a:solidFill xmlns:a="http://schemas.openxmlformats.org/drawingml/2006/main">
              <a:srgbClr val="2B6CB0"/>
            </a:solidFill>
            <a:ln xmlns:a="http://schemas.openxmlformats.org/drawingml/2006/main">
              <a:no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'4章_クロス集計'!$B$82:$B$88</f>
            </numRef>
          </cat>
          <val>
            <numRef>
              <f>'4章_クロス集計'!$C$82:$C$88</f>
            </numRef>
          </val>
        </ser>
        <ser>
          <idx val="1"/>
          <order val="1"/>
          <tx>
            <strRef>
              <f>'4章_クロス集計'!D81</f>
            </strRef>
          </tx>
          <spPr>
            <a:solidFill xmlns:a="http://schemas.openxmlformats.org/drawingml/2006/main">
              <a:srgbClr val="4E9F6E"/>
            </a:solidFill>
            <a:ln xmlns:a="http://schemas.openxmlformats.org/drawingml/2006/main">
              <a:no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'4章_クロス集計'!$B$82:$B$88</f>
            </numRef>
          </cat>
          <val>
            <numRef>
              <f>'4章_クロス集計'!$D$82:$D$88</f>
            </numRef>
          </val>
        </ser>
        <ser>
          <idx val="2"/>
          <order val="2"/>
          <tx>
            <strRef>
              <f>'4章_クロス集計'!E81</f>
            </strRef>
          </tx>
          <spPr>
            <a:solidFill xmlns:a="http://schemas.openxmlformats.org/drawingml/2006/main">
              <a:srgbClr val="E07B39"/>
            </a:solidFill>
            <a:ln xmlns:a="http://schemas.openxmlformats.org/drawingml/2006/main">
              <a:no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'4章_クロス集計'!$B$82:$B$88</f>
            </numRef>
          </cat>
          <val>
            <numRef>
              <f>'4章_クロス集計'!$E$82:$E$88</f>
            </numRef>
          </val>
        </ser>
        <gapWidth val="5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48.xml><?xml version="1.0" encoding="utf-8"?>
<chartSpace xmlns="http://schemas.openxmlformats.org/drawingml/2006/chart">
  <chart>
    <plotArea>
      <barChart>
        <barDir val="bar"/>
        <grouping val="percentStacked"/>
        <varyColors val="0"/>
        <ser>
          <idx val="0"/>
          <order val="0"/>
          <tx>
            <strRef>
              <f>'4章_クロス集計'!C158</f>
            </strRef>
          </tx>
          <spPr>
            <a:solidFill xmlns:a="http://schemas.openxmlformats.org/drawingml/2006/main">
              <a:srgbClr val="1F4E79"/>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750" b="0">
                    <a:solidFill>
                      <a:srgbClr val="FFFFFF"/>
                    </a:solidFill>
                    <a:latin typeface="BIZ UDPゴシック"/>
                    <a:ea typeface="BIZ UDPゴシック"/>
                  </a:defRPr>
                </a:pPr>
                <a:r>
                  <a:t/>
                </a:r>
                <a:endParaRPr sz="750" b="0">
                  <a:solidFill>
                    <a:srgbClr val="FFFFFF"/>
                  </a:solidFill>
                  <a:latin typeface="BIZ UDPゴシック"/>
                  <a:ea typeface="BIZ UDPゴシック"/>
                </a:endParaRPr>
              </a:p>
            </txPr>
            <dLblPos val="ctr"/>
            <showLegendKey val="0"/>
            <showVal val="1"/>
            <showCatName val="0"/>
            <showSerName val="0"/>
            <showPercent val="0"/>
            <showBubbleSize val="0"/>
          </dLbls>
          <cat>
            <numRef>
              <f>'4章_クロス集計'!$B$159:$B$162</f>
            </numRef>
          </cat>
          <val>
            <numRef>
              <f>'4章_クロス集計'!$C$159:$C$162</f>
            </numRef>
          </val>
        </ser>
        <ser>
          <idx val="1"/>
          <order val="1"/>
          <tx>
            <strRef>
              <f>'4章_クロス集計'!D158</f>
            </strRef>
          </tx>
          <spPr>
            <a:solidFill xmlns:a="http://schemas.openxmlformats.org/drawingml/2006/main">
              <a:srgbClr val="2B6CB0"/>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750" b="0">
                    <a:solidFill>
                      <a:srgbClr val="FFFFFF"/>
                    </a:solidFill>
                    <a:latin typeface="BIZ UDPゴシック"/>
                    <a:ea typeface="BIZ UDPゴシック"/>
                  </a:defRPr>
                </a:pPr>
                <a:r>
                  <a:t/>
                </a:r>
                <a:endParaRPr sz="750" b="0">
                  <a:solidFill>
                    <a:srgbClr val="FFFFFF"/>
                  </a:solidFill>
                  <a:latin typeface="BIZ UDPゴシック"/>
                  <a:ea typeface="BIZ UDPゴシック"/>
                </a:endParaRPr>
              </a:p>
            </txPr>
            <dLblPos val="ctr"/>
            <showLegendKey val="0"/>
            <showVal val="1"/>
            <showCatName val="0"/>
            <showSerName val="0"/>
            <showPercent val="0"/>
            <showBubbleSize val="0"/>
          </dLbls>
          <cat>
            <numRef>
              <f>'4章_クロス集計'!$B$159:$B$162</f>
            </numRef>
          </cat>
          <val>
            <numRef>
              <f>'4章_クロス集計'!$D$159:$D$162</f>
            </numRef>
          </val>
        </ser>
        <ser>
          <idx val="2"/>
          <order val="2"/>
          <tx>
            <strRef>
              <f>'4章_クロス集計'!E158</f>
            </strRef>
          </tx>
          <spPr>
            <a:solidFill xmlns:a="http://schemas.openxmlformats.org/drawingml/2006/main">
              <a:srgbClr val="6FA0D8"/>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750" b="0">
                    <a:solidFill>
                      <a:srgbClr val="262626"/>
                    </a:solidFill>
                    <a:latin typeface="BIZ UDPゴシック"/>
                    <a:ea typeface="BIZ UDPゴシック"/>
                  </a:defRPr>
                </a:pPr>
                <a:r>
                  <a:t/>
                </a:r>
                <a:endParaRPr sz="750" b="0">
                  <a:solidFill>
                    <a:srgbClr val="262626"/>
                  </a:solidFill>
                  <a:latin typeface="BIZ UDPゴシック"/>
                  <a:ea typeface="BIZ UDPゴシック"/>
                </a:endParaRPr>
              </a:p>
            </txPr>
            <dLblPos val="ctr"/>
            <showLegendKey val="0"/>
            <showVal val="1"/>
            <showCatName val="0"/>
            <showSerName val="0"/>
            <showPercent val="0"/>
            <showBubbleSize val="0"/>
          </dLbls>
          <cat>
            <numRef>
              <f>'4章_クロス集計'!$B$159:$B$162</f>
            </numRef>
          </cat>
          <val>
            <numRef>
              <f>'4章_クロス集計'!$E$159:$E$162</f>
            </numRef>
          </val>
        </ser>
        <ser>
          <idx val="3"/>
          <order val="3"/>
          <tx>
            <strRef>
              <f>'4章_クロス集計'!F158</f>
            </strRef>
          </tx>
          <spPr>
            <a:solidFill xmlns:a="http://schemas.openxmlformats.org/drawingml/2006/main">
              <a:srgbClr val="4E9F6E"/>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750" b="0">
                    <a:solidFill>
                      <a:srgbClr val="FFFFFF"/>
                    </a:solidFill>
                    <a:latin typeface="BIZ UDPゴシック"/>
                    <a:ea typeface="BIZ UDPゴシック"/>
                  </a:defRPr>
                </a:pPr>
                <a:r>
                  <a:t/>
                </a:r>
                <a:endParaRPr sz="750" b="0">
                  <a:solidFill>
                    <a:srgbClr val="FFFFFF"/>
                  </a:solidFill>
                  <a:latin typeface="BIZ UDPゴシック"/>
                  <a:ea typeface="BIZ UDPゴシック"/>
                </a:endParaRPr>
              </a:p>
            </txPr>
            <dLblPos val="ctr"/>
            <showLegendKey val="0"/>
            <showVal val="1"/>
            <showCatName val="0"/>
            <showSerName val="0"/>
            <showPercent val="0"/>
            <showBubbleSize val="0"/>
          </dLbls>
          <cat>
            <numRef>
              <f>'4章_クロス集計'!$B$159:$B$162</f>
            </numRef>
          </cat>
          <val>
            <numRef>
              <f>'4章_クロス集計'!$F$159:$F$162</f>
            </numRef>
          </val>
        </ser>
        <ser>
          <idx val="4"/>
          <order val="4"/>
          <tx>
            <strRef>
              <f>'4章_クロス集計'!G158</f>
            </strRef>
          </tx>
          <spPr>
            <a:solidFill xmlns:a="http://schemas.openxmlformats.org/drawingml/2006/main">
              <a:srgbClr val="E07B39"/>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750" b="0">
                    <a:solidFill>
                      <a:srgbClr val="FFFFFF"/>
                    </a:solidFill>
                    <a:latin typeface="BIZ UDPゴシック"/>
                    <a:ea typeface="BIZ UDPゴシック"/>
                  </a:defRPr>
                </a:pPr>
                <a:r>
                  <a:t/>
                </a:r>
                <a:endParaRPr sz="750" b="0">
                  <a:solidFill>
                    <a:srgbClr val="FFFFFF"/>
                  </a:solidFill>
                  <a:latin typeface="BIZ UDPゴシック"/>
                  <a:ea typeface="BIZ UDPゴシック"/>
                </a:endParaRPr>
              </a:p>
            </txPr>
            <dLblPos val="ctr"/>
            <showLegendKey val="0"/>
            <showVal val="1"/>
            <showCatName val="0"/>
            <showSerName val="0"/>
            <showPercent val="0"/>
            <showBubbleSize val="0"/>
          </dLbls>
          <cat>
            <numRef>
              <f>'4章_クロス集計'!$B$159:$B$162</f>
            </numRef>
          </cat>
          <val>
            <numRef>
              <f>'4章_クロス集計'!$G$159:$G$162</f>
            </numRef>
          </val>
        </ser>
        <ser>
          <idx val="5"/>
          <order val="5"/>
          <tx>
            <strRef>
              <f>'4章_クロス集計'!H158</f>
            </strRef>
          </tx>
          <spPr>
            <a:solidFill xmlns:a="http://schemas.openxmlformats.org/drawingml/2006/main">
              <a:srgbClr val="C9A227"/>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750" b="0">
                    <a:solidFill>
                      <a:srgbClr val="262626"/>
                    </a:solidFill>
                    <a:latin typeface="BIZ UDPゴシック"/>
                    <a:ea typeface="BIZ UDPゴシック"/>
                  </a:defRPr>
                </a:pPr>
                <a:r>
                  <a:t/>
                </a:r>
                <a:endParaRPr sz="750" b="0">
                  <a:solidFill>
                    <a:srgbClr val="262626"/>
                  </a:solidFill>
                  <a:latin typeface="BIZ UDPゴシック"/>
                  <a:ea typeface="BIZ UDPゴシック"/>
                </a:endParaRPr>
              </a:p>
            </txPr>
            <dLblPos val="ctr"/>
            <showLegendKey val="0"/>
            <showVal val="1"/>
            <showCatName val="0"/>
            <showSerName val="0"/>
            <showPercent val="0"/>
            <showBubbleSize val="0"/>
          </dLbls>
          <cat>
            <numRef>
              <f>'4章_クロス集計'!$B$159:$B$162</f>
            </numRef>
          </cat>
          <val>
            <numRef>
              <f>'4章_クロス集計'!$H$159:$H$162</f>
            </numRef>
          </val>
        </ser>
        <ser>
          <idx val="6"/>
          <order val="6"/>
          <tx>
            <strRef>
              <f>'4章_クロス集計'!I158</f>
            </strRef>
          </tx>
          <spPr>
            <a:solidFill xmlns:a="http://schemas.openxmlformats.org/drawingml/2006/main">
              <a:srgbClr val="BFBFBF"/>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750" b="0">
                    <a:solidFill>
                      <a:srgbClr val="262626"/>
                    </a:solidFill>
                    <a:latin typeface="BIZ UDPゴシック"/>
                    <a:ea typeface="BIZ UDPゴシック"/>
                  </a:defRPr>
                </a:pPr>
                <a:r>
                  <a:t/>
                </a:r>
                <a:endParaRPr sz="750" b="0">
                  <a:solidFill>
                    <a:srgbClr val="262626"/>
                  </a:solidFill>
                  <a:latin typeface="BIZ UDPゴシック"/>
                  <a:ea typeface="BIZ UDPゴシック"/>
                </a:endParaRPr>
              </a:p>
            </txPr>
            <dLblPos val="ctr"/>
            <showLegendKey val="0"/>
            <showVal val="1"/>
            <showCatName val="0"/>
            <showSerName val="0"/>
            <showPercent val="0"/>
            <showBubbleSize val="0"/>
          </dLbls>
          <cat>
            <numRef>
              <f>'4章_クロス集計'!$B$159:$B$162</f>
            </numRef>
          </cat>
          <val>
            <numRef>
              <f>'4章_クロス集計'!$I$159:$I$162</f>
            </numRef>
          </val>
        </ser>
        <ser>
          <idx val="7"/>
          <order val="7"/>
          <tx>
            <strRef>
              <f>'4章_クロス集計'!J158</f>
            </strRef>
          </tx>
          <spPr>
            <a:solidFill xmlns:a="http://schemas.openxmlformats.org/drawingml/2006/main">
              <a:srgbClr val="8C8C8C"/>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750" b="0">
                    <a:solidFill>
                      <a:srgbClr val="FFFFFF"/>
                    </a:solidFill>
                    <a:latin typeface="BIZ UDPゴシック"/>
                    <a:ea typeface="BIZ UDPゴシック"/>
                  </a:defRPr>
                </a:pPr>
                <a:r>
                  <a:t/>
                </a:r>
                <a:endParaRPr sz="750" b="0">
                  <a:solidFill>
                    <a:srgbClr val="FFFFFF"/>
                  </a:solidFill>
                  <a:latin typeface="BIZ UDPゴシック"/>
                  <a:ea typeface="BIZ UDPゴシック"/>
                </a:endParaRPr>
              </a:p>
            </txPr>
            <dLblPos val="ctr"/>
            <showLegendKey val="0"/>
            <showVal val="1"/>
            <showCatName val="0"/>
            <showSerName val="0"/>
            <showPercent val="0"/>
            <showBubbleSize val="0"/>
          </dLbls>
          <cat>
            <numRef>
              <f>'4章_クロス集計'!$B$159:$B$162</f>
            </numRef>
          </cat>
          <val>
            <numRef>
              <f>'4章_クロス集計'!$J$159:$J$162</f>
            </numRef>
          </val>
        </ser>
        <ser>
          <idx val="8"/>
          <order val="8"/>
          <tx>
            <strRef>
              <f>'4章_クロス集計'!K158</f>
            </strRef>
          </tx>
          <spPr>
            <a:solidFill xmlns:a="http://schemas.openxmlformats.org/drawingml/2006/main">
              <a:srgbClr val="E7E6E6"/>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750" b="0">
                    <a:solidFill>
                      <a:srgbClr val="262626"/>
                    </a:solidFill>
                    <a:latin typeface="BIZ UDPゴシック"/>
                    <a:ea typeface="BIZ UDPゴシック"/>
                  </a:defRPr>
                </a:pPr>
                <a:r>
                  <a:t/>
                </a:r>
                <a:endParaRPr sz="750" b="0">
                  <a:solidFill>
                    <a:srgbClr val="262626"/>
                  </a:solidFill>
                  <a:latin typeface="BIZ UDPゴシック"/>
                  <a:ea typeface="BIZ UDPゴシック"/>
                </a:endParaRPr>
              </a:p>
            </txPr>
            <dLblPos val="ctr"/>
            <showLegendKey val="0"/>
            <showVal val="1"/>
            <showCatName val="0"/>
            <showSerName val="0"/>
            <showPercent val="0"/>
            <showBubbleSize val="0"/>
          </dLbls>
          <cat>
            <numRef>
              <f>'4章_クロス集計'!$B$159:$B$162</f>
            </numRef>
          </cat>
          <val>
            <numRef>
              <f>'4章_クロス集計'!$K$159:$K$162</f>
            </numRef>
          </val>
        </ser>
        <gapWidth val="60"/>
        <overlap val="10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49.xml><?xml version="1.0" encoding="utf-8"?>
<chartSpace xmlns="http://schemas.openxmlformats.org/drawingml/2006/chart">
  <chart>
    <plotArea>
      <barChart>
        <barDir val="bar"/>
        <grouping val="clustered"/>
        <varyColors val="0"/>
        <ser>
          <idx val="0"/>
          <order val="0"/>
          <tx>
            <strRef>
              <f>'4章_クロス集計'!C208</f>
            </strRef>
          </tx>
          <spPr>
            <a:solidFill xmlns:a="http://schemas.openxmlformats.org/drawingml/2006/main">
              <a:srgbClr val="E07B39"/>
            </a:solidFill>
            <a:ln xmlns:a="http://schemas.openxmlformats.org/drawingml/2006/main">
              <a:no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'4章_クロス集計'!$B$209:$B$218</f>
            </numRef>
          </cat>
          <val>
            <numRef>
              <f>'4章_クロス集計'!$C$209:$C$218</f>
            </numRef>
          </val>
        </ser>
        <ser>
          <idx val="1"/>
          <order val="1"/>
          <tx>
            <strRef>
              <f>'4章_クロス集計'!D208</f>
            </strRef>
          </tx>
          <spPr>
            <a:solidFill xmlns:a="http://schemas.openxmlformats.org/drawingml/2006/main">
              <a:srgbClr val="2B6CB0"/>
            </a:solidFill>
            <a:ln xmlns:a="http://schemas.openxmlformats.org/drawingml/2006/main">
              <a:noFill/>
              <a:prstDash val="solid"/>
            </a:ln>
          </spPr>
          <dLbls>
            <numFmt formatCode="0.0%;;"/>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'4章_クロス集計'!$B$209:$B$218</f>
            </numRef>
          </cat>
          <val>
            <numRef>
              <f>'4章_クロス集計'!$D$209:$D$218</f>
            </numRef>
          </val>
        </ser>
        <gapWidth val="5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50.xml><?xml version="1.0" encoding="utf-8"?>
<chartSpace xmlns="http://schemas.openxmlformats.org/drawingml/2006/chart">
  <chart>
    <plotArea>
      <barChart>
        <barDir val="bar"/>
        <grouping val="clustered"/>
        <varyColors val="0"/>
        <ser>
          <idx val="0"/>
          <order val="0"/>
          <spPr>
            <a:solidFill xmlns:a="http://schemas.openxmlformats.org/drawingml/2006/main">
              <a:srgbClr val="2B6CB0"/>
            </a:solidFill>
            <a:ln xmlns:a="http://schemas.openxmlformats.org/drawingml/2006/main">
              <a:noFill/>
              <a:prstDash val="solid"/>
            </a:ln>
          </spPr>
          <dPt>
            <idx val="12"/>
            <spPr>
              <a:solidFill xmlns:a="http://schemas.openxmlformats.org/drawingml/2006/main">
                <a:srgbClr val="A3AAB5"/>
              </a:solidFill>
              <a:ln xmlns:a="http://schemas.openxmlformats.org/drawingml/2006/main">
                <a:noFill/>
                <a:prstDash val="solid"/>
              </a:ln>
            </spPr>
          </dPt>
          <dPt>
            <idx val="13"/>
            <spPr>
              <a:solidFill xmlns:a="http://schemas.openxmlformats.org/drawingml/2006/main">
                <a:srgbClr val="A3AAB5"/>
              </a:solidFill>
              <a:ln xmlns:a="http://schemas.openxmlformats.org/drawingml/2006/main">
                <a:noFill/>
                <a:prstDash val="solid"/>
              </a:ln>
            </spPr>
          </dPt>
          <dLbls>
            <numFmt formatCode="0&quot;件&quot;"/>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'5章_障がい児'!$B$18:$B$31</f>
            </numRef>
          </cat>
          <val>
            <numRef>
              <f>'5章_障がい児'!$C$18:$C$31</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4.050000000000001"/>
          <min val="0"/>
        </scaling>
        <delete val="1"/>
        <axPos val="l"/>
        <majorTickMark val="none"/>
        <minorTickMark val="none"/>
        <crossAx val="10"/>
      </valAx>
    </plotArea>
    <plotVisOnly val="1"/>
    <dispBlanksAs val="gap"/>
  </chart>
</chartSpace>
</file>

<file path=xl/charts/chart51.xml><?xml version="1.0" encoding="utf-8"?>
<chartSpace xmlns="http://schemas.openxmlformats.org/drawingml/2006/chart">
  <chart>
    <plotArea>
      <barChart>
        <barDir val="bar"/>
        <grouping val="clustered"/>
        <varyColors val="0"/>
        <ser>
          <idx val="0"/>
          <order val="0"/>
          <spPr>
            <a:solidFill xmlns:a="http://schemas.openxmlformats.org/drawingml/2006/main">
              <a:srgbClr val="2B6CB0"/>
            </a:solidFill>
            <a:ln xmlns:a="http://schemas.openxmlformats.org/drawingml/2006/main">
              <a:noFill/>
              <a:prstDash val="solid"/>
            </a:ln>
          </spPr>
          <dPt>
            <idx val="6"/>
            <spPr>
              <a:solidFill xmlns:a="http://schemas.openxmlformats.org/drawingml/2006/main">
                <a:srgbClr val="A3AAB5"/>
              </a:solidFill>
              <a:ln xmlns:a="http://schemas.openxmlformats.org/drawingml/2006/main">
                <a:noFill/>
                <a:prstDash val="solid"/>
              </a:ln>
            </spPr>
          </dPt>
          <dLbls>
            <numFmt formatCode="0&quot;件&quot;"/>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'5章_障がい児'!$B$38:$B$44</f>
            </numRef>
          </cat>
          <val>
            <numRef>
              <f>'5章_障がい児'!$C$38:$C$44</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4.050000000000001"/>
          <min val="0"/>
        </scaling>
        <delete val="1"/>
        <axPos val="l"/>
        <majorTickMark val="none"/>
        <minorTickMark val="none"/>
        <crossAx val="10"/>
      </valAx>
    </plotArea>
    <plotVisOnly val="1"/>
    <dispBlanksAs val="gap"/>
  </chart>
</chartSpace>
</file>

<file path=xl/charts/chart52.xml><?xml version="1.0" encoding="utf-8"?>
<chartSpace xmlns="http://schemas.openxmlformats.org/drawingml/2006/chart">
  <chart>
    <plotArea>
      <barChart>
        <barDir val="bar"/>
        <grouping val="clustered"/>
        <varyColors val="0"/>
        <ser>
          <idx val="0"/>
          <order val="0"/>
          <spPr>
            <a:solidFill xmlns:a="http://schemas.openxmlformats.org/drawingml/2006/main">
              <a:srgbClr val="2B6CB0"/>
            </a:solidFill>
            <a:ln xmlns:a="http://schemas.openxmlformats.org/drawingml/2006/main">
              <a:noFill/>
              <a:prstDash val="solid"/>
            </a:ln>
          </spPr>
          <dPt>
            <idx val="5"/>
            <spPr>
              <a:solidFill xmlns:a="http://schemas.openxmlformats.org/drawingml/2006/main">
                <a:srgbClr val="A3AAB5"/>
              </a:solidFill>
              <a:ln xmlns:a="http://schemas.openxmlformats.org/drawingml/2006/main">
                <a:noFill/>
                <a:prstDash val="solid"/>
              </a:ln>
            </spPr>
          </dPt>
          <dLbls>
            <numFmt formatCode="0&quot;件&quot;"/>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'5章_障がい児'!$B$51:$B$56</f>
            </numRef>
          </cat>
          <val>
            <numRef>
              <f>'5章_障がい児'!$C$51:$C$56</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4.050000000000001"/>
          <min val="0"/>
        </scaling>
        <delete val="1"/>
        <axPos val="l"/>
        <majorTickMark val="none"/>
        <minorTickMark val="none"/>
        <crossAx val="10"/>
      </valAx>
    </plotArea>
    <plotVisOnly val="1"/>
    <dispBlanksAs val="gap"/>
  </chart>
</chartSpace>
</file>

<file path=xl/charts/chart53.xml><?xml version="1.0" encoding="utf-8"?>
<chartSpace xmlns="http://schemas.openxmlformats.org/drawingml/2006/chart">
  <chart>
    <plotArea>
      <barChart>
        <barDir val="bar"/>
        <grouping val="clustered"/>
        <varyColors val="0"/>
        <ser>
          <idx val="0"/>
          <order val="0"/>
          <spPr>
            <a:solidFill xmlns:a="http://schemas.openxmlformats.org/drawingml/2006/main">
              <a:srgbClr val="2B6CB0"/>
            </a:solidFill>
            <a:ln xmlns:a="http://schemas.openxmlformats.org/drawingml/2006/main">
              <a:noFill/>
              <a:prstDash val="solid"/>
            </a:ln>
          </spPr>
          <dPt>
            <idx val="5"/>
            <spPr>
              <a:solidFill xmlns:a="http://schemas.openxmlformats.org/drawingml/2006/main">
                <a:srgbClr val="A3AAB5"/>
              </a:solidFill>
              <a:ln xmlns:a="http://schemas.openxmlformats.org/drawingml/2006/main">
                <a:noFill/>
                <a:prstDash val="solid"/>
              </a:ln>
            </spPr>
          </dPt>
          <dLbls>
            <numFmt formatCode="0&quot;件&quot;"/>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'5章_障がい児'!$B$63:$B$68</f>
            </numRef>
          </cat>
          <val>
            <numRef>
              <f>'5章_障がい児'!$C$63:$C$68</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4.050000000000001"/>
          <min val="0"/>
        </scaling>
        <delete val="1"/>
        <axPos val="l"/>
        <majorTickMark val="none"/>
        <minorTickMark val="none"/>
        <crossAx val="10"/>
      </valAx>
    </plotArea>
    <plotVisOnly val="1"/>
    <dispBlanksAs val="gap"/>
  </chart>
</chartSpace>
</file>

<file path=xl/charts/chart54.xml><?xml version="1.0" encoding="utf-8"?>
<chartSpace xmlns="http://schemas.openxmlformats.org/drawingml/2006/chart">
  <chart>
    <plotArea>
      <barChart>
        <barDir val="bar"/>
        <grouping val="clustered"/>
        <varyColors val="0"/>
        <ser>
          <idx val="0"/>
          <order val="0"/>
          <spPr>
            <a:solidFill xmlns:a="http://schemas.openxmlformats.org/drawingml/2006/main">
              <a:srgbClr val="2B6CB0"/>
            </a:solidFill>
            <a:ln xmlns:a="http://schemas.openxmlformats.org/drawingml/2006/main">
              <a:noFill/>
              <a:prstDash val="solid"/>
            </a:ln>
          </spPr>
          <dLbls>
            <numFmt formatCode="0&quot;件&quot;"/>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'5章_障がい児'!$B$75:$B$82</f>
            </numRef>
          </cat>
          <val>
            <numRef>
              <f>'5章_障がい児'!$C$75:$C$82</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4.050000000000001"/>
          <min val="0"/>
        </scaling>
        <delete val="1"/>
        <axPos val="l"/>
        <majorTickMark val="none"/>
        <minorTickMark val="none"/>
        <crossAx val="10"/>
      </valAx>
    </plotArea>
    <plotVisOnly val="1"/>
    <dispBlanksAs val="gap"/>
  </chart>
</chartSpace>
</file>

<file path=xl/charts/chart55.xml><?xml version="1.0" encoding="utf-8"?>
<chartSpace xmlns="http://schemas.openxmlformats.org/drawingml/2006/chart">
  <chart>
    <plotArea>
      <barChart>
        <barDir val="bar"/>
        <grouping val="clustered"/>
        <varyColors val="0"/>
        <ser>
          <idx val="0"/>
          <order val="0"/>
          <spPr>
            <a:solidFill xmlns:a="http://schemas.openxmlformats.org/drawingml/2006/main">
              <a:srgbClr val="2B6CB0"/>
            </a:solidFill>
            <a:ln xmlns:a="http://schemas.openxmlformats.org/drawingml/2006/main">
              <a:noFill/>
              <a:prstDash val="solid"/>
            </a:ln>
          </spPr>
          <dPt>
            <idx val="4"/>
            <spPr>
              <a:solidFill xmlns:a="http://schemas.openxmlformats.org/drawingml/2006/main">
                <a:srgbClr val="A3AAB5"/>
              </a:solidFill>
              <a:ln xmlns:a="http://schemas.openxmlformats.org/drawingml/2006/main">
                <a:noFill/>
                <a:prstDash val="solid"/>
              </a:ln>
            </spPr>
          </dPt>
          <dLbls>
            <numFmt formatCode="0&quot;件&quot;"/>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'5章_障がい児'!$B$89:$B$93</f>
            </numRef>
          </cat>
          <val>
            <numRef>
              <f>'5章_障がい児'!$C$89:$C$93</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4.050000000000001"/>
          <min val="0"/>
        </scaling>
        <delete val="1"/>
        <axPos val="l"/>
        <majorTickMark val="none"/>
        <minorTickMark val="none"/>
        <crossAx val="10"/>
      </valAx>
    </plotArea>
    <plotVisOnly val="1"/>
    <dispBlanksAs val="gap"/>
  </chart>
</chartSpace>
</file>

<file path=xl/charts/chart56.xml><?xml version="1.0" encoding="utf-8"?>
<chartSpace xmlns="http://schemas.openxmlformats.org/drawingml/2006/chart">
  <chart>
    <plotArea>
      <barChart>
        <barDir val="bar"/>
        <grouping val="percentStacked"/>
        <varyColors val="0"/>
        <ser>
          <idx val="0"/>
          <order val="0"/>
          <tx>
            <strRef>
              <f>'5章_障がい児'!C99</f>
            </strRef>
          </tx>
          <spPr>
            <a:solidFill xmlns:a="http://schemas.openxmlformats.org/drawingml/2006/main">
              <a:srgbClr val="1F4E79"/>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750" b="0">
                    <a:solidFill>
                      <a:srgbClr val="FFFFFF"/>
                    </a:solidFill>
                    <a:latin typeface="BIZ UDPゴシック"/>
                    <a:ea typeface="BIZ UDPゴシック"/>
                  </a:defRPr>
                </a:pPr>
                <a:r>
                  <a:t/>
                </a:r>
                <a:endParaRPr sz="750" b="0">
                  <a:solidFill>
                    <a:srgbClr val="FFFFFF"/>
                  </a:solidFill>
                  <a:latin typeface="BIZ UDPゴシック"/>
                  <a:ea typeface="BIZ UDPゴシック"/>
                </a:endParaRPr>
              </a:p>
            </txPr>
            <dLblPos val="ctr"/>
            <showLegendKey val="0"/>
            <showVal val="1"/>
            <showCatName val="0"/>
            <showSerName val="0"/>
            <showPercent val="0"/>
            <showBubbleSize val="0"/>
          </dLbls>
          <cat>
            <numRef>
              <f>'5章_障がい児'!$B$100:$B$104</f>
            </numRef>
          </cat>
          <val>
            <numRef>
              <f>'5章_障がい児'!$C$100:$C$104</f>
            </numRef>
          </val>
        </ser>
        <ser>
          <idx val="1"/>
          <order val="1"/>
          <tx>
            <strRef>
              <f>'5章_障がい児'!D99</f>
            </strRef>
          </tx>
          <spPr>
            <a:solidFill xmlns:a="http://schemas.openxmlformats.org/drawingml/2006/main">
              <a:srgbClr val="6FA0D8"/>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750" b="0">
                    <a:solidFill>
                      <a:srgbClr val="262626"/>
                    </a:solidFill>
                    <a:latin typeface="BIZ UDPゴシック"/>
                    <a:ea typeface="BIZ UDPゴシック"/>
                  </a:defRPr>
                </a:pPr>
                <a:r>
                  <a:t/>
                </a:r>
                <a:endParaRPr sz="750" b="0">
                  <a:solidFill>
                    <a:srgbClr val="262626"/>
                  </a:solidFill>
                  <a:latin typeface="BIZ UDPゴシック"/>
                  <a:ea typeface="BIZ UDPゴシック"/>
                </a:endParaRPr>
              </a:p>
            </txPr>
            <dLblPos val="ctr"/>
            <showLegendKey val="0"/>
            <showVal val="1"/>
            <showCatName val="0"/>
            <showSerName val="0"/>
            <showPercent val="0"/>
            <showBubbleSize val="0"/>
          </dLbls>
          <cat>
            <numRef>
              <f>'5章_障がい児'!$B$100:$B$104</f>
            </numRef>
          </cat>
          <val>
            <numRef>
              <f>'5章_障がい児'!$D$100:$D$104</f>
            </numRef>
          </val>
        </ser>
        <ser>
          <idx val="2"/>
          <order val="2"/>
          <tx>
            <strRef>
              <f>'5章_障がい児'!E99</f>
            </strRef>
          </tx>
          <spPr>
            <a:solidFill xmlns:a="http://schemas.openxmlformats.org/drawingml/2006/main">
              <a:srgbClr val="F4B183"/>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750" b="0">
                    <a:solidFill>
                      <a:srgbClr val="262626"/>
                    </a:solidFill>
                    <a:latin typeface="BIZ UDPゴシック"/>
                    <a:ea typeface="BIZ UDPゴシック"/>
                  </a:defRPr>
                </a:pPr>
                <a:r>
                  <a:t/>
                </a:r>
                <a:endParaRPr sz="750" b="0">
                  <a:solidFill>
                    <a:srgbClr val="262626"/>
                  </a:solidFill>
                  <a:latin typeface="BIZ UDPゴシック"/>
                  <a:ea typeface="BIZ UDPゴシック"/>
                </a:endParaRPr>
              </a:p>
            </txPr>
            <dLblPos val="ctr"/>
            <showLegendKey val="0"/>
            <showVal val="1"/>
            <showCatName val="0"/>
            <showSerName val="0"/>
            <showPercent val="0"/>
            <showBubbleSize val="0"/>
          </dLbls>
          <cat>
            <numRef>
              <f>'5章_障がい児'!$B$100:$B$104</f>
            </numRef>
          </cat>
          <val>
            <numRef>
              <f>'5章_障がい児'!$E$100:$E$104</f>
            </numRef>
          </val>
        </ser>
        <ser>
          <idx val="3"/>
          <order val="3"/>
          <tx>
            <strRef>
              <f>'5章_障がい児'!F99</f>
            </strRef>
          </tx>
          <spPr>
            <a:solidFill xmlns:a="http://schemas.openxmlformats.org/drawingml/2006/main">
              <a:srgbClr val="BFBFBF"/>
            </a:solidFill>
            <a:ln xmlns:a="http://schemas.openxmlformats.org/drawingml/2006/main">
              <a:solidFill>
                <a:srgbClr val="FFFFFF"/>
              </a:solidFill>
              <a:prstDash val="solid"/>
            </a:ln>
          </spPr>
          <dLbls>
            <numFmt formatCode="0.0%;;"/>
            <txPr>
              <a:bodyPr xmlns:a="http://schemas.openxmlformats.org/drawingml/2006/main"/>
              <a:p xmlns:a="http://schemas.openxmlformats.org/drawingml/2006/main">
                <a:pPr>
                  <a:defRPr sz="750" b="0">
                    <a:solidFill>
                      <a:srgbClr val="262626"/>
                    </a:solidFill>
                    <a:latin typeface="BIZ UDPゴシック"/>
                    <a:ea typeface="BIZ UDPゴシック"/>
                  </a:defRPr>
                </a:pPr>
                <a:r>
                  <a:t/>
                </a:r>
                <a:endParaRPr sz="750" b="0">
                  <a:solidFill>
                    <a:srgbClr val="262626"/>
                  </a:solidFill>
                  <a:latin typeface="BIZ UDPゴシック"/>
                  <a:ea typeface="BIZ UDPゴシック"/>
                </a:endParaRPr>
              </a:p>
            </txPr>
            <dLblPos val="ctr"/>
            <showLegendKey val="0"/>
            <showVal val="1"/>
            <showCatName val="0"/>
            <showSerName val="0"/>
            <showPercent val="0"/>
            <showBubbleSize val="0"/>
          </dLbls>
          <cat>
            <numRef>
              <f>'5章_障がい児'!$B$100:$B$104</f>
            </numRef>
          </cat>
          <val>
            <numRef>
              <f>'5章_障がい児'!$F$100:$F$104</f>
            </numRef>
          </val>
        </ser>
        <gapWidth val="60"/>
        <overlap val="10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57.xml><?xml version="1.0" encoding="utf-8"?>
<chartSpace xmlns="http://schemas.openxmlformats.org/drawingml/2006/chart">
  <chart>
    <plotArea>
      <barChart>
        <barDir val="bar"/>
        <grouping val="clustered"/>
        <varyColors val="0"/>
        <ser>
          <idx val="0"/>
          <order val="0"/>
          <spPr>
            <a:solidFill xmlns:a="http://schemas.openxmlformats.org/drawingml/2006/main">
              <a:srgbClr val="2B6CB0"/>
            </a:solidFill>
            <a:ln xmlns:a="http://schemas.openxmlformats.org/drawingml/2006/main">
              <a:noFill/>
              <a:prstDash val="solid"/>
            </a:ln>
          </spPr>
          <dLbls>
            <numFmt formatCode="0&quot;件&quot;"/>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'5章_障がい児'!$B$115:$B$120</f>
            </numRef>
          </cat>
          <val>
            <numRef>
              <f>'5章_障がい児'!$C$115:$C$120</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4.050000000000001"/>
          <min val="0"/>
        </scaling>
        <delete val="1"/>
        <axPos val="l"/>
        <majorTickMark val="none"/>
        <minorTickMark val="none"/>
        <crossAx val="10"/>
      </valAx>
    </plotArea>
    <plotVisOnly val="1"/>
    <dispBlanksAs val="gap"/>
  </chart>
</chartSpace>
</file>

<file path=xl/charts/chart58.xml><?xml version="1.0" encoding="utf-8"?>
<chartSpace xmlns="http://schemas.openxmlformats.org/drawingml/2006/chart">
  <chart>
    <plotArea>
      <barChart>
        <barDir val="bar"/>
        <grouping val="clustered"/>
        <varyColors val="0"/>
        <ser>
          <idx val="0"/>
          <order val="0"/>
          <tx>
            <strRef>
              <f>'5章_障がい児'!C141</f>
            </strRef>
          </tx>
          <spPr>
            <a:solidFill xmlns:a="http://schemas.openxmlformats.org/drawingml/2006/main">
              <a:srgbClr val="9DB9DE"/>
            </a:solidFill>
            <a:ln xmlns:a="http://schemas.openxmlformats.org/drawingml/2006/main">
              <a:noFill/>
              <a:prstDash val="solid"/>
            </a:ln>
          </spPr>
          <dLbls>
            <numFmt formatCode="0&quot;件&quot;;;"/>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'5章_障がい児'!$B$142:$B$150</f>
            </numRef>
          </cat>
          <val>
            <numRef>
              <f>'5章_障がい児'!$C$142:$C$150</f>
            </numRef>
          </val>
        </ser>
        <ser>
          <idx val="1"/>
          <order val="1"/>
          <tx>
            <strRef>
              <f>'5章_障がい児'!D141</f>
            </strRef>
          </tx>
          <spPr>
            <a:solidFill xmlns:a="http://schemas.openxmlformats.org/drawingml/2006/main">
              <a:srgbClr val="BFBFBF"/>
            </a:solidFill>
            <a:ln xmlns:a="http://schemas.openxmlformats.org/drawingml/2006/main">
              <a:noFill/>
              <a:prstDash val="solid"/>
            </a:ln>
          </spPr>
          <dLbls>
            <numFmt formatCode="0&quot;件&quot;;;"/>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'5章_障がい児'!$B$142:$B$150</f>
            </numRef>
          </cat>
          <val>
            <numRef>
              <f>'5章_障がい児'!$D$142:$D$150</f>
            </numRef>
          </val>
        </ser>
        <ser>
          <idx val="2"/>
          <order val="2"/>
          <tx>
            <strRef>
              <f>'5章_障がい児'!E141</f>
            </strRef>
          </tx>
          <spPr>
            <a:solidFill xmlns:a="http://schemas.openxmlformats.org/drawingml/2006/main">
              <a:srgbClr val="1F4E79"/>
            </a:solidFill>
            <a:ln xmlns:a="http://schemas.openxmlformats.org/drawingml/2006/main">
              <a:noFill/>
              <a:prstDash val="solid"/>
            </a:ln>
          </spPr>
          <dLbls>
            <numFmt formatCode="0&quot;件&quot;;;"/>
            <txPr>
              <a:bodyPr xmlns:a="http://schemas.openxmlformats.org/drawingml/2006/main"/>
              <a:p xmlns:a="http://schemas.openxmlformats.org/drawingml/2006/main">
                <a:pPr>
                  <a:defRPr sz="750" b="0">
                    <a:latin typeface="BIZ UDPゴシック"/>
                    <a:ea typeface="BIZ UDPゴシック"/>
                  </a:defRPr>
                </a:pPr>
                <a:r>
                  <a:t/>
                </a:r>
                <a:endParaRPr sz="750" b="0">
                  <a:latin typeface="BIZ UDPゴシック"/>
                  <a:ea typeface="BIZ UDPゴシック"/>
                </a:endParaRPr>
              </a:p>
            </txPr>
            <dLblPos val="outEnd"/>
            <showLegendKey val="0"/>
            <showVal val="1"/>
            <showCatName val="0"/>
            <showSerName val="0"/>
            <showPercent val="0"/>
            <showBubbleSize val="0"/>
          </dLbls>
          <cat>
            <numRef>
              <f>'5章_障がい児'!$B$142:$B$150</f>
            </numRef>
          </cat>
          <val>
            <numRef>
              <f>'5章_障がい児'!$E$142:$E$150</f>
            </numRef>
          </val>
        </ser>
        <gapWidth val="5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in val="0"/>
        </scaling>
        <delete val="1"/>
        <axPos val="l"/>
        <majorTickMark val="none"/>
        <minorTickMark val="none"/>
        <crossAx val="10"/>
      </valAx>
    </plotArea>
    <legend>
      <legendPos val="t"/>
      <txPr>
        <a:bodyPr xmlns:a="http://schemas.openxmlformats.org/drawingml/2006/main"/>
        <a:p xmlns:a="http://schemas.openxmlformats.org/drawingml/2006/main">
          <a:pPr>
            <a:defRPr sz="850" b="0">
              <a:latin typeface="BIZ UDPゴシック"/>
              <a:ea typeface="BIZ UDPゴシック"/>
            </a:defRPr>
          </a:pPr>
          <a:r>
            <a:t/>
          </a:r>
          <a:endParaRPr sz="850" b="0">
            <a:latin typeface="BIZ UDPゴシック"/>
            <a:ea typeface="BIZ UDPゴシック"/>
          </a:endParaRPr>
        </a:p>
      </txPr>
    </legend>
    <plotVisOnly val="1"/>
    <dispBlanksAs val="gap"/>
  </chart>
</chartSpace>
</file>

<file path=xl/charts/chart59.xml><?xml version="1.0" encoding="utf-8"?>
<chartSpace xmlns="http://schemas.openxmlformats.org/drawingml/2006/chart">
  <chart>
    <plotArea>
      <barChart>
        <barDir val="bar"/>
        <grouping val="clustered"/>
        <varyColors val="0"/>
        <ser>
          <idx val="0"/>
          <order val="0"/>
          <spPr>
            <a:solidFill xmlns:a="http://schemas.openxmlformats.org/drawingml/2006/main">
              <a:srgbClr val="2B6CB0"/>
            </a:solidFill>
            <a:ln xmlns:a="http://schemas.openxmlformats.org/drawingml/2006/main">
              <a:noFill/>
              <a:prstDash val="solid"/>
            </a:ln>
          </spPr>
          <dPt>
            <idx val="10"/>
            <spPr>
              <a:solidFill xmlns:a="http://schemas.openxmlformats.org/drawingml/2006/main">
                <a:srgbClr val="A3AAB5"/>
              </a:solidFill>
              <a:ln xmlns:a="http://schemas.openxmlformats.org/drawingml/2006/main">
                <a:noFill/>
                <a:prstDash val="solid"/>
              </a:ln>
            </spPr>
          </dPt>
          <dLbls>
            <numFmt formatCode="0&quot;件&quot;"/>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'5章_障がい児'!$B$172:$B$182</f>
            </numRef>
          </cat>
          <val>
            <numRef>
              <f>'5章_障がい児'!$C$172:$C$182</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4.050000000000001"/>
          <min val="0"/>
        </scaling>
        <delete val="1"/>
        <axPos val="l"/>
        <majorTickMark val="none"/>
        <minorTickMark val="none"/>
        <crossAx val="10"/>
      </valAx>
    </plotArea>
    <plotVisOnly val="1"/>
    <dispBlanksAs val="gap"/>
  </chart>
</chartSpace>
</file>

<file path=xl/charts/chart60.xml><?xml version="1.0" encoding="utf-8"?>
<chartSpace xmlns="http://schemas.openxmlformats.org/drawingml/2006/chart">
  <chart>
    <plotArea>
      <barChart>
        <barDir val="bar"/>
        <grouping val="clustered"/>
        <varyColors val="0"/>
        <ser>
          <idx val="0"/>
          <order val="0"/>
          <spPr>
            <a:solidFill xmlns:a="http://schemas.openxmlformats.org/drawingml/2006/main">
              <a:srgbClr val="2B6CB0"/>
            </a:solidFill>
            <a:ln xmlns:a="http://schemas.openxmlformats.org/drawingml/2006/main">
              <a:noFill/>
              <a:prstDash val="solid"/>
            </a:ln>
          </spPr>
          <dLbls>
            <numFmt formatCode="0&quot;件&quot;"/>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'5章_障がい児'!$B$189:$B$195</f>
            </numRef>
          </cat>
          <val>
            <numRef>
              <f>'5章_障がい児'!$C$189:$C$195</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4.050000000000001"/>
          <min val="0"/>
        </scaling>
        <delete val="1"/>
        <axPos val="l"/>
        <majorTickMark val="none"/>
        <minorTickMark val="none"/>
        <crossAx val="10"/>
      </valAx>
    </plotArea>
    <plotVisOnly val="1"/>
    <dispBlanksAs val="gap"/>
  </chart>
</chartSpace>
</file>

<file path=xl/charts/chart61.xml><?xml version="1.0" encoding="utf-8"?>
<chartSpace xmlns="http://schemas.openxmlformats.org/drawingml/2006/chart">
  <chart>
    <plotArea>
      <barChart>
        <barDir val="bar"/>
        <grouping val="clustered"/>
        <varyColors val="0"/>
        <ser>
          <idx val="0"/>
          <order val="0"/>
          <spPr>
            <a:solidFill xmlns:a="http://schemas.openxmlformats.org/drawingml/2006/main">
              <a:srgbClr val="2B6CB0"/>
            </a:solidFill>
            <a:ln xmlns:a="http://schemas.openxmlformats.org/drawingml/2006/main">
              <a:noFill/>
              <a:prstDash val="solid"/>
            </a:ln>
          </spPr>
          <dLbls>
            <numFmt formatCode="0&quot;件&quot;"/>
            <txPr>
              <a:bodyPr xmlns:a="http://schemas.openxmlformats.org/drawingml/2006/main"/>
              <a:p xmlns:a="http://schemas.openxmlformats.org/drawingml/2006/main">
                <a:pPr>
                  <a:defRPr sz="800" b="0">
                    <a:latin typeface="BIZ UDPゴシック"/>
                    <a:ea typeface="BIZ UDPゴシック"/>
                  </a:defRPr>
                </a:pPr>
                <a:r>
                  <a:t/>
                </a:r>
                <a:endParaRPr sz="800" b="0">
                  <a:latin typeface="BIZ UDPゴシック"/>
                  <a:ea typeface="BIZ UDPゴシック"/>
                </a:endParaRPr>
              </a:p>
            </txPr>
            <dLblPos val="outEnd"/>
            <showLegendKey val="0"/>
            <showVal val="1"/>
            <showCatName val="0"/>
            <showSerName val="0"/>
            <showPercent val="0"/>
            <showBubbleSize val="0"/>
          </dLbls>
          <cat>
            <numRef>
              <f>'5章_障がい児'!$B$210:$B$216</f>
            </numRef>
          </cat>
          <val>
            <numRef>
              <f>'5章_障がい児'!$C$210:$C$216</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latin typeface="BIZ UDPゴシック"/>
                <a:ea typeface="BIZ UDPゴシック"/>
              </a:defRPr>
            </a:pPr>
            <a:r>
              <a:t/>
            </a:r>
            <a:endParaRPr sz="900" b="0">
              <a:latin typeface="BIZ UDPゴシック"/>
              <a:ea typeface="BIZ UDPゴシック"/>
            </a:endParaRPr>
          </a:p>
        </txPr>
        <crossAx val="100"/>
        <lblOffset val="100"/>
        <tickLblSkip val="1"/>
      </catAx>
      <valAx>
        <axId val="100"/>
        <scaling>
          <orientation val="minMax"/>
          <max val="4.050000000000001"/>
          <min val="0"/>
        </scaling>
        <delete val="1"/>
        <axPos val="l"/>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chart" Target="/xl/charts/chart10.xml" Id="rId10"/></Relationships>
</file>

<file path=xl/drawings/_rels/drawing2.xml.rels><Relationships xmlns="http://schemas.openxmlformats.org/package/2006/relationships"><Relationship Type="http://schemas.openxmlformats.org/officeDocument/2006/relationships/chart" Target="/xl/charts/chart11.xml" Id="rId1"/><Relationship Type="http://schemas.openxmlformats.org/officeDocument/2006/relationships/chart" Target="/xl/charts/chart12.xml" Id="rId2"/><Relationship Type="http://schemas.openxmlformats.org/officeDocument/2006/relationships/chart" Target="/xl/charts/chart13.xml" Id="rId3"/><Relationship Type="http://schemas.openxmlformats.org/officeDocument/2006/relationships/chart" Target="/xl/charts/chart14.xml" Id="rId4"/><Relationship Type="http://schemas.openxmlformats.org/officeDocument/2006/relationships/chart" Target="/xl/charts/chart15.xml" Id="rId5"/></Relationships>
</file>

<file path=xl/drawings/_rels/drawing3.xml.rels><Relationships xmlns="http://schemas.openxmlformats.org/package/2006/relationships"><Relationship Type="http://schemas.openxmlformats.org/officeDocument/2006/relationships/chart" Target="/xl/charts/chart16.xml" Id="rId1"/><Relationship Type="http://schemas.openxmlformats.org/officeDocument/2006/relationships/chart" Target="/xl/charts/chart17.xml" Id="rId2"/><Relationship Type="http://schemas.openxmlformats.org/officeDocument/2006/relationships/chart" Target="/xl/charts/chart18.xml" Id="rId3"/><Relationship Type="http://schemas.openxmlformats.org/officeDocument/2006/relationships/chart" Target="/xl/charts/chart19.xml" Id="rId4"/><Relationship Type="http://schemas.openxmlformats.org/officeDocument/2006/relationships/chart" Target="/xl/charts/chart20.xml" Id="rId5"/><Relationship Type="http://schemas.openxmlformats.org/officeDocument/2006/relationships/chart" Target="/xl/charts/chart21.xml" Id="rId6"/></Relationships>
</file>

<file path=xl/drawings/_rels/drawing4.xml.rels><Relationships xmlns="http://schemas.openxmlformats.org/package/2006/relationships"><Relationship Type="http://schemas.openxmlformats.org/officeDocument/2006/relationships/chart" Target="/xl/charts/chart22.xml" Id="rId1"/><Relationship Type="http://schemas.openxmlformats.org/officeDocument/2006/relationships/chart" Target="/xl/charts/chart23.xml" Id="rId2"/><Relationship Type="http://schemas.openxmlformats.org/officeDocument/2006/relationships/chart" Target="/xl/charts/chart24.xml" Id="rId3"/><Relationship Type="http://schemas.openxmlformats.org/officeDocument/2006/relationships/chart" Target="/xl/charts/chart25.xml" Id="rId4"/><Relationship Type="http://schemas.openxmlformats.org/officeDocument/2006/relationships/chart" Target="/xl/charts/chart26.xml" Id="rId5"/><Relationship Type="http://schemas.openxmlformats.org/officeDocument/2006/relationships/chart" Target="/xl/charts/chart27.xml" Id="rId6"/></Relationships>
</file>

<file path=xl/drawings/_rels/drawing5.xml.rels><Relationships xmlns="http://schemas.openxmlformats.org/package/2006/relationships"><Relationship Type="http://schemas.openxmlformats.org/officeDocument/2006/relationships/chart" Target="/xl/charts/chart28.xml" Id="rId1"/><Relationship Type="http://schemas.openxmlformats.org/officeDocument/2006/relationships/chart" Target="/xl/charts/chart29.xml" Id="rId2"/><Relationship Type="http://schemas.openxmlformats.org/officeDocument/2006/relationships/chart" Target="/xl/charts/chart30.xml" Id="rId3"/><Relationship Type="http://schemas.openxmlformats.org/officeDocument/2006/relationships/chart" Target="/xl/charts/chart31.xml" Id="rId4"/><Relationship Type="http://schemas.openxmlformats.org/officeDocument/2006/relationships/chart" Target="/xl/charts/chart32.xml" Id="rId5"/></Relationships>
</file>

<file path=xl/drawings/_rels/drawing6.xml.rels><Relationships xmlns="http://schemas.openxmlformats.org/package/2006/relationships"><Relationship Type="http://schemas.openxmlformats.org/officeDocument/2006/relationships/chart" Target="/xl/charts/chart33.xml" Id="rId1"/><Relationship Type="http://schemas.openxmlformats.org/officeDocument/2006/relationships/chart" Target="/xl/charts/chart34.xml" Id="rId2"/><Relationship Type="http://schemas.openxmlformats.org/officeDocument/2006/relationships/chart" Target="/xl/charts/chart35.xml" Id="rId3"/><Relationship Type="http://schemas.openxmlformats.org/officeDocument/2006/relationships/chart" Target="/xl/charts/chart36.xml" Id="rId4"/><Relationship Type="http://schemas.openxmlformats.org/officeDocument/2006/relationships/chart" Target="/xl/charts/chart37.xml" Id="rId5"/><Relationship Type="http://schemas.openxmlformats.org/officeDocument/2006/relationships/chart" Target="/xl/charts/chart38.xml" Id="rId6"/><Relationship Type="http://schemas.openxmlformats.org/officeDocument/2006/relationships/chart" Target="/xl/charts/chart39.xml" Id="rId7"/></Relationships>
</file>

<file path=xl/drawings/_rels/drawing7.xml.rels><Relationships xmlns="http://schemas.openxmlformats.org/package/2006/relationships"><Relationship Type="http://schemas.openxmlformats.org/officeDocument/2006/relationships/chart" Target="/xl/charts/chart40.xml" Id="rId1"/><Relationship Type="http://schemas.openxmlformats.org/officeDocument/2006/relationships/chart" Target="/xl/charts/chart41.xml" Id="rId2"/><Relationship Type="http://schemas.openxmlformats.org/officeDocument/2006/relationships/chart" Target="/xl/charts/chart42.xml" Id="rId3"/><Relationship Type="http://schemas.openxmlformats.org/officeDocument/2006/relationships/chart" Target="/xl/charts/chart43.xml" Id="rId4"/><Relationship Type="http://schemas.openxmlformats.org/officeDocument/2006/relationships/chart" Target="/xl/charts/chart44.xml" Id="rId5"/><Relationship Type="http://schemas.openxmlformats.org/officeDocument/2006/relationships/chart" Target="/xl/charts/chart45.xml" Id="rId6"/><Relationship Type="http://schemas.openxmlformats.org/officeDocument/2006/relationships/chart" Target="/xl/charts/chart46.xml" Id="rId7"/></Relationships>
</file>

<file path=xl/drawings/_rels/drawing8.xml.rels><Relationships xmlns="http://schemas.openxmlformats.org/package/2006/relationships"><Relationship Type="http://schemas.openxmlformats.org/officeDocument/2006/relationships/chart" Target="/xl/charts/chart47.xml" Id="rId1"/><Relationship Type="http://schemas.openxmlformats.org/officeDocument/2006/relationships/chart" Target="/xl/charts/chart48.xml" Id="rId2"/><Relationship Type="http://schemas.openxmlformats.org/officeDocument/2006/relationships/chart" Target="/xl/charts/chart49.xml" Id="rId3"/></Relationships>
</file>

<file path=xl/drawings/_rels/drawing9.xml.rels><Relationships xmlns="http://schemas.openxmlformats.org/package/2006/relationships"><Relationship Type="http://schemas.openxmlformats.org/officeDocument/2006/relationships/chart" Target="/xl/charts/chart50.xml" Id="rId1"/><Relationship Type="http://schemas.openxmlformats.org/officeDocument/2006/relationships/chart" Target="/xl/charts/chart51.xml" Id="rId2"/><Relationship Type="http://schemas.openxmlformats.org/officeDocument/2006/relationships/chart" Target="/xl/charts/chart52.xml" Id="rId3"/><Relationship Type="http://schemas.openxmlformats.org/officeDocument/2006/relationships/chart" Target="/xl/charts/chart53.xml" Id="rId4"/><Relationship Type="http://schemas.openxmlformats.org/officeDocument/2006/relationships/chart" Target="/xl/charts/chart54.xml" Id="rId5"/><Relationship Type="http://schemas.openxmlformats.org/officeDocument/2006/relationships/chart" Target="/xl/charts/chart55.xml" Id="rId6"/><Relationship Type="http://schemas.openxmlformats.org/officeDocument/2006/relationships/chart" Target="/xl/charts/chart56.xml" Id="rId7"/><Relationship Type="http://schemas.openxmlformats.org/officeDocument/2006/relationships/chart" Target="/xl/charts/chart57.xml" Id="rId8"/><Relationship Type="http://schemas.openxmlformats.org/officeDocument/2006/relationships/chart" Target="/xl/charts/chart58.xml" Id="rId9"/><Relationship Type="http://schemas.openxmlformats.org/officeDocument/2006/relationships/chart" Target="/xl/charts/chart59.xml" Id="rId10"/><Relationship Type="http://schemas.openxmlformats.org/officeDocument/2006/relationships/chart" Target="/xl/charts/chart60.xml" Id="rId11"/><Relationship Type="http://schemas.openxmlformats.org/officeDocument/2006/relationships/chart" Target="/xl/charts/chart61.xml" Id="rId12"/></Relationships>
</file>

<file path=xl/drawings/drawing1.xml><?xml version="1.0" encoding="utf-8"?>
<wsDr xmlns="http://schemas.openxmlformats.org/drawingml/2006/spreadsheetDrawing">
  <oneCellAnchor>
    <from>
      <col>5</col>
      <colOff>0</colOff>
      <row>2</row>
      <rowOff>0</rowOff>
    </from>
    <ext cx="5940000" cy="1655999"/>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13</row>
      <rowOff>0</rowOff>
    </from>
    <ext cx="5940000" cy="1763999"/>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5</col>
      <colOff>0</colOff>
      <row>23</row>
      <rowOff>0</rowOff>
    </from>
    <ext cx="5940000" cy="1655999"/>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5</col>
      <colOff>0</colOff>
      <row>34</row>
      <rowOff>0</rowOff>
    </from>
    <ext cx="5940000" cy="1655999"/>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5</col>
      <colOff>0</colOff>
      <row>45</row>
      <rowOff>0</rowOff>
    </from>
    <ext cx="5940000" cy="1655999"/>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5</col>
      <colOff>0</colOff>
      <row>57</row>
      <rowOff>0</rowOff>
    </from>
    <ext cx="5940000" cy="21024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5</col>
      <colOff>0</colOff>
      <row>70</row>
      <rowOff>0</rowOff>
    </from>
    <ext cx="5940000" cy="22176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5</col>
      <colOff>0</colOff>
      <row>84</row>
      <rowOff>0</rowOff>
    </from>
    <ext cx="5940000" cy="19944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5</col>
      <colOff>0</colOff>
      <row>97</row>
      <rowOff>0</rowOff>
    </from>
    <ext cx="5940000" cy="19944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5</col>
      <colOff>0</colOff>
      <row>110</row>
      <rowOff>0</rowOff>
    </from>
    <ext cx="5940000" cy="2664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wsDr>
</file>

<file path=xl/drawings/drawing2.xml><?xml version="1.0" encoding="utf-8"?>
<wsDr xmlns="http://schemas.openxmlformats.org/drawingml/2006/spreadsheetDrawing">
  <oneCellAnchor>
    <from>
      <col>5</col>
      <colOff>0</colOff>
      <row>2</row>
      <rowOff>0</rowOff>
    </from>
    <ext cx="5940000" cy="3556799"/>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22</row>
      <rowOff>0</rowOff>
    </from>
    <ext cx="5940000" cy="22176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5</col>
      <colOff>0</colOff>
      <row>36</row>
      <rowOff>0</rowOff>
    </from>
    <ext cx="5940000" cy="1655999"/>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5</col>
      <colOff>0</colOff>
      <row>47</row>
      <rowOff>0</rowOff>
    </from>
    <ext cx="5940000" cy="24408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5</col>
      <colOff>0</colOff>
      <row>62</row>
      <rowOff>0</rowOff>
    </from>
    <ext cx="5940000" cy="2664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drawings/drawing3.xml><?xml version="1.0" encoding="utf-8"?>
<wsDr xmlns="http://schemas.openxmlformats.org/drawingml/2006/spreadsheetDrawing">
  <oneCellAnchor>
    <from>
      <col>5</col>
      <colOff>0</colOff>
      <row>2</row>
      <rowOff>0</rowOff>
    </from>
    <ext cx="5940000" cy="1655999"/>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13</row>
      <rowOff>0</rowOff>
    </from>
    <ext cx="5940000" cy="22176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5</col>
      <colOff>0</colOff>
      <row>27</row>
      <rowOff>0</rowOff>
    </from>
    <ext cx="5940000" cy="3556799"/>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5</col>
      <colOff>0</colOff>
      <row>47</row>
      <rowOff>0</rowOff>
    </from>
    <ext cx="5940000" cy="22176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5</col>
      <colOff>0</colOff>
      <row>61</row>
      <rowOff>0</rowOff>
    </from>
    <ext cx="5940000" cy="22032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5</col>
      <colOff>0</colOff>
      <row>72</row>
      <rowOff>0</rowOff>
    </from>
    <ext cx="5940000" cy="22032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wsDr>
</file>

<file path=xl/drawings/drawing4.xml><?xml version="1.0" encoding="utf-8"?>
<wsDr xmlns="http://schemas.openxmlformats.org/drawingml/2006/spreadsheetDrawing">
  <oneCellAnchor>
    <from>
      <col>5</col>
      <colOff>0</colOff>
      <row>2</row>
      <rowOff>0</rowOff>
    </from>
    <ext cx="5940000" cy="17568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11</row>
      <rowOff>0</rowOff>
    </from>
    <ext cx="5940000" cy="28872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5</col>
      <colOff>0</colOff>
      <row>28</row>
      <rowOff>0</rowOff>
    </from>
    <ext cx="5940000" cy="24408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5</col>
      <colOff>0</colOff>
      <row>43</row>
      <rowOff>0</rowOff>
    </from>
    <ext cx="5940000" cy="1871999"/>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5</col>
      <colOff>0</colOff>
      <row>55</row>
      <rowOff>0</rowOff>
    </from>
    <ext cx="5940000" cy="2664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5</col>
      <colOff>0</colOff>
      <row>71</row>
      <rowOff>0</rowOff>
    </from>
    <ext cx="5940000" cy="22176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wsDr>
</file>

<file path=xl/drawings/drawing5.xml><?xml version="1.0" encoding="utf-8"?>
<wsDr xmlns="http://schemas.openxmlformats.org/drawingml/2006/spreadsheetDrawing">
  <oneCellAnchor>
    <from>
      <col>5</col>
      <colOff>0</colOff>
      <row>27</row>
      <rowOff>0</rowOff>
    </from>
    <ext cx="6120000" cy="6768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60</row>
      <rowOff>0</rowOff>
    </from>
    <ext cx="5940000" cy="4672799"/>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5</col>
      <colOff>0</colOff>
      <row>85</row>
      <rowOff>0</rowOff>
    </from>
    <ext cx="5940000" cy="24408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5</col>
      <colOff>0</colOff>
      <row>100</row>
      <rowOff>0</rowOff>
    </from>
    <ext cx="5940000" cy="24408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5</col>
      <colOff>0</colOff>
      <row>115</row>
      <rowOff>0</rowOff>
    </from>
    <ext cx="5940000" cy="19944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drawings/drawing6.xml><?xml version="1.0" encoding="utf-8"?>
<wsDr xmlns="http://schemas.openxmlformats.org/drawingml/2006/spreadsheetDrawing">
  <oneCellAnchor>
    <from>
      <col>5</col>
      <colOff>0</colOff>
      <row>2</row>
      <rowOff>0</rowOff>
    </from>
    <ext cx="5940000" cy="24408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17</row>
      <rowOff>0</rowOff>
    </from>
    <ext cx="5940000" cy="24408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5</col>
      <colOff>0</colOff>
      <row>32</row>
      <rowOff>0</rowOff>
    </from>
    <ext cx="5940000" cy="2664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5</col>
      <colOff>0</colOff>
      <row>48</row>
      <rowOff>0</rowOff>
    </from>
    <ext cx="5940000" cy="1655999"/>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5</col>
      <colOff>0</colOff>
      <row>59</row>
      <rowOff>0</rowOff>
    </from>
    <ext cx="5940000" cy="28872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5</col>
      <colOff>0</colOff>
      <row>76</row>
      <rowOff>0</rowOff>
    </from>
    <ext cx="5940000" cy="25488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5</col>
      <colOff>0</colOff>
      <row>91</row>
      <rowOff>0</rowOff>
    </from>
    <ext cx="5940000" cy="1871999"/>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wsDr>
</file>

<file path=xl/drawings/drawing7.xml><?xml version="1.0" encoding="utf-8"?>
<wsDr xmlns="http://schemas.openxmlformats.org/drawingml/2006/spreadsheetDrawing">
  <oneCellAnchor>
    <from>
      <col>5</col>
      <colOff>0</colOff>
      <row>2</row>
      <rowOff>0</rowOff>
    </from>
    <ext cx="5940000" cy="26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18</row>
      <rowOff>0</rowOff>
    </from>
    <ext cx="5940000" cy="1655999"/>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5</col>
      <colOff>0</colOff>
      <row>29</row>
      <rowOff>0</rowOff>
    </from>
    <ext cx="5940000" cy="24408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5</col>
      <colOff>0</colOff>
      <row>44</row>
      <rowOff>0</rowOff>
    </from>
    <ext cx="5940000" cy="25488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5</col>
      <colOff>0</colOff>
      <row>59</row>
      <rowOff>0</rowOff>
    </from>
    <ext cx="5940000" cy="24408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5</col>
      <colOff>0</colOff>
      <row>74</row>
      <rowOff>0</rowOff>
    </from>
    <ext cx="5940000" cy="22176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5</col>
      <colOff>0</colOff>
      <row>88</row>
      <rowOff>0</rowOff>
    </from>
    <ext cx="5940000" cy="24408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wsDr>
</file>

<file path=xl/drawings/drawing8.xml><?xml version="1.0" encoding="utf-8"?>
<wsDr xmlns="http://schemas.openxmlformats.org/drawingml/2006/spreadsheetDrawing">
  <oneCellAnchor>
    <from>
      <col>6</col>
      <colOff>0</colOff>
      <row>79</row>
      <rowOff>0</rowOff>
    </from>
    <ext cx="6120000" cy="45504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12</col>
      <colOff>0</colOff>
      <row>156</row>
      <rowOff>0</rowOff>
    </from>
    <ext cx="6120000" cy="2304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5</col>
      <colOff>0</colOff>
      <row>206</row>
      <rowOff>0</rowOff>
    </from>
    <ext cx="6120000" cy="4752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9.xml><?xml version="1.0" encoding="utf-8"?>
<wsDr xmlns="http://schemas.openxmlformats.org/drawingml/2006/spreadsheetDrawing">
  <oneCellAnchor>
    <from>
      <col>5</col>
      <colOff>0</colOff>
      <row>15</row>
      <rowOff>0</rowOff>
    </from>
    <ext cx="5940000" cy="3556799"/>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35</row>
      <rowOff>0</rowOff>
    </from>
    <ext cx="5940000" cy="19944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5</col>
      <colOff>0</colOff>
      <row>48</row>
      <rowOff>0</rowOff>
    </from>
    <ext cx="5940000" cy="17712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5</col>
      <colOff>0</colOff>
      <row>60</row>
      <rowOff>0</rowOff>
    </from>
    <ext cx="5940000" cy="17712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5</col>
      <colOff>0</colOff>
      <row>72</row>
      <rowOff>0</rowOff>
    </from>
    <ext cx="5940000" cy="22176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5</col>
      <colOff>0</colOff>
      <row>86</row>
      <rowOff>0</rowOff>
    </from>
    <ext cx="5940000" cy="1548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7</col>
      <colOff>0</colOff>
      <row>97</row>
      <rowOff>0</rowOff>
    </from>
    <ext cx="6120000" cy="2646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5</col>
      <colOff>0</colOff>
      <row>112</row>
      <rowOff>0</rowOff>
    </from>
    <ext cx="5940000" cy="17712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6</col>
      <colOff>0</colOff>
      <row>139</row>
      <rowOff>0</rowOff>
    </from>
    <ext cx="6120000" cy="56448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5</col>
      <colOff>0</colOff>
      <row>169</row>
      <rowOff>0</rowOff>
    </from>
    <ext cx="5940000" cy="28872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5</col>
      <colOff>0</colOff>
      <row>186</row>
      <rowOff>0</rowOff>
    </from>
    <ext cx="5940000" cy="21024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5</col>
      <colOff>0</colOff>
      <row>207</row>
      <rowOff>0</rowOff>
    </from>
    <ext cx="5940000" cy="19944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1-2&#31456;_&#27010;&#35201;&#12539;&#35201;&#28857;'!B2" TargetMode="External" Id="rId1"/><Relationship Type="http://schemas.openxmlformats.org/officeDocument/2006/relationships/hyperlink" Target="#'1-2&#31456;_&#27010;&#35201;&#12539;&#35201;&#28857;'!B12" TargetMode="External" Id="rId2"/><Relationship Type="http://schemas.openxmlformats.org/officeDocument/2006/relationships/hyperlink" Target="#'1-2&#31456;_&#27010;&#35201;&#12539;&#35201;&#28857;'!B28" TargetMode="External" Id="rId3"/><Relationship Type="http://schemas.openxmlformats.org/officeDocument/2006/relationships/hyperlink" Target="#'3&#31456;_1&#23646;&#24615;'!B2" TargetMode="External" Id="rId4"/><Relationship Type="http://schemas.openxmlformats.org/officeDocument/2006/relationships/hyperlink" Target="#'3&#31456;_1&#23646;&#24615;'!B13" TargetMode="External" Id="rId5"/><Relationship Type="http://schemas.openxmlformats.org/officeDocument/2006/relationships/hyperlink" Target="#'3&#31456;_1&#23646;&#24615;'!B23" TargetMode="External" Id="rId6"/><Relationship Type="http://schemas.openxmlformats.org/officeDocument/2006/relationships/hyperlink" Target="#'3&#31456;_1&#23646;&#24615;'!B34" TargetMode="External" Id="rId7"/><Relationship Type="http://schemas.openxmlformats.org/officeDocument/2006/relationships/hyperlink" Target="#'3&#31456;_1&#23646;&#24615;'!B45" TargetMode="External" Id="rId8"/><Relationship Type="http://schemas.openxmlformats.org/officeDocument/2006/relationships/hyperlink" Target="#'3&#31456;_1&#23646;&#24615;'!B57" TargetMode="External" Id="rId9"/><Relationship Type="http://schemas.openxmlformats.org/officeDocument/2006/relationships/hyperlink" Target="#'3&#31456;_1&#23646;&#24615;'!B70" TargetMode="External" Id="rId10"/><Relationship Type="http://schemas.openxmlformats.org/officeDocument/2006/relationships/hyperlink" Target="#'3&#31456;_1&#23646;&#24615;'!B84" TargetMode="External" Id="rId11"/><Relationship Type="http://schemas.openxmlformats.org/officeDocument/2006/relationships/hyperlink" Target="#'3&#31456;_1&#23646;&#24615;'!B97" TargetMode="External" Id="rId12"/><Relationship Type="http://schemas.openxmlformats.org/officeDocument/2006/relationships/hyperlink" Target="#'3&#31456;_1&#23646;&#24615;'!B110" TargetMode="External" Id="rId13"/><Relationship Type="http://schemas.openxmlformats.org/officeDocument/2006/relationships/hyperlink" Target="#'3&#31456;_2&#29983;&#27963;&#12539;&#22806;&#20986;'!B2" TargetMode="External" Id="rId14"/><Relationship Type="http://schemas.openxmlformats.org/officeDocument/2006/relationships/hyperlink" Target="#'3&#31456;_2&#29983;&#27963;&#12539;&#22806;&#20986;'!B22" TargetMode="External" Id="rId15"/><Relationship Type="http://schemas.openxmlformats.org/officeDocument/2006/relationships/hyperlink" Target="#'3&#31456;_2&#29983;&#27963;&#12539;&#22806;&#20986;'!B36" TargetMode="External" Id="rId16"/><Relationship Type="http://schemas.openxmlformats.org/officeDocument/2006/relationships/hyperlink" Target="#'3&#31456;_2&#29983;&#27963;&#12539;&#22806;&#20986;'!B47" TargetMode="External" Id="rId17"/><Relationship Type="http://schemas.openxmlformats.org/officeDocument/2006/relationships/hyperlink" Target="#'3&#31456;_2&#29983;&#27963;&#12539;&#22806;&#20986;'!B62" TargetMode="External" Id="rId18"/><Relationship Type="http://schemas.openxmlformats.org/officeDocument/2006/relationships/hyperlink" Target="#'3&#31456;_3&#21307;&#30274;'!B2" TargetMode="External" Id="rId19"/><Relationship Type="http://schemas.openxmlformats.org/officeDocument/2006/relationships/hyperlink" Target="#'3&#31456;_3&#21307;&#30274;'!B13" TargetMode="External" Id="rId20"/><Relationship Type="http://schemas.openxmlformats.org/officeDocument/2006/relationships/hyperlink" Target="#'3&#31456;_3&#21307;&#30274;'!B27" TargetMode="External" Id="rId21"/><Relationship Type="http://schemas.openxmlformats.org/officeDocument/2006/relationships/hyperlink" Target="#'3&#31456;_3&#21307;&#30274;'!B47" TargetMode="External" Id="rId22"/><Relationship Type="http://schemas.openxmlformats.org/officeDocument/2006/relationships/hyperlink" Target="#'3&#31456;_3&#21307;&#30274;'!B61" TargetMode="External" Id="rId23"/><Relationship Type="http://schemas.openxmlformats.org/officeDocument/2006/relationships/hyperlink" Target="#'3&#31456;_3&#21307;&#30274;'!B72" TargetMode="External" Id="rId24"/><Relationship Type="http://schemas.openxmlformats.org/officeDocument/2006/relationships/hyperlink" Target="#'3&#31456;_4&#30456;&#35527;&#12539;&#24773;&#22577;'!B2" TargetMode="External" Id="rId25"/><Relationship Type="http://schemas.openxmlformats.org/officeDocument/2006/relationships/hyperlink" Target="#'3&#31456;_4&#30456;&#35527;&#12539;&#24773;&#22577;'!B11" TargetMode="External" Id="rId26"/><Relationship Type="http://schemas.openxmlformats.org/officeDocument/2006/relationships/hyperlink" Target="#'3&#31456;_4&#30456;&#35527;&#12539;&#24773;&#22577;'!B28" TargetMode="External" Id="rId27"/><Relationship Type="http://schemas.openxmlformats.org/officeDocument/2006/relationships/hyperlink" Target="#'3&#31456;_4&#30456;&#35527;&#12539;&#24773;&#22577;'!B43" TargetMode="External" Id="rId28"/><Relationship Type="http://schemas.openxmlformats.org/officeDocument/2006/relationships/hyperlink" Target="#'3&#31456;_4&#30456;&#35527;&#12539;&#24773;&#22577;'!B55" TargetMode="External" Id="rId29"/><Relationship Type="http://schemas.openxmlformats.org/officeDocument/2006/relationships/hyperlink" Target="#'3&#31456;_4&#30456;&#35527;&#12539;&#24773;&#22577;'!B71" TargetMode="External" Id="rId30"/><Relationship Type="http://schemas.openxmlformats.org/officeDocument/2006/relationships/hyperlink" Target="#'3&#31456;_5&#12469;&#12540;&#12499;&#12473;'!B2" TargetMode="External" Id="rId31"/><Relationship Type="http://schemas.openxmlformats.org/officeDocument/2006/relationships/hyperlink" Target="#'3&#31456;_5&#12469;&#12540;&#12499;&#12473;'!B27" TargetMode="External" Id="rId32"/><Relationship Type="http://schemas.openxmlformats.org/officeDocument/2006/relationships/hyperlink" Target="#'3&#31456;_5&#12469;&#12540;&#12499;&#12473;'!B60" TargetMode="External" Id="rId33"/><Relationship Type="http://schemas.openxmlformats.org/officeDocument/2006/relationships/hyperlink" Target="#'3&#31456;_5&#12469;&#12540;&#12499;&#12473;'!B85" TargetMode="External" Id="rId34"/><Relationship Type="http://schemas.openxmlformats.org/officeDocument/2006/relationships/hyperlink" Target="#'3&#31456;_5&#12469;&#12540;&#12499;&#12473;'!B100" TargetMode="External" Id="rId35"/><Relationship Type="http://schemas.openxmlformats.org/officeDocument/2006/relationships/hyperlink" Target="#'3&#31456;_5&#12469;&#12540;&#12499;&#12473;'!B115" TargetMode="External" Id="rId36"/><Relationship Type="http://schemas.openxmlformats.org/officeDocument/2006/relationships/hyperlink" Target="#'3&#31456;_6&#26085;&#20013;&#12539;&#27177;&#21033;'!B2" TargetMode="External" Id="rId37"/><Relationship Type="http://schemas.openxmlformats.org/officeDocument/2006/relationships/hyperlink" Target="#'3&#31456;_6&#26085;&#20013;&#12539;&#27177;&#21033;'!B17" TargetMode="External" Id="rId38"/><Relationship Type="http://schemas.openxmlformats.org/officeDocument/2006/relationships/hyperlink" Target="#'3&#31456;_6&#26085;&#20013;&#12539;&#27177;&#21033;'!B32" TargetMode="External" Id="rId39"/><Relationship Type="http://schemas.openxmlformats.org/officeDocument/2006/relationships/hyperlink" Target="#'3&#31456;_6&#26085;&#20013;&#12539;&#27177;&#21033;'!B48" TargetMode="External" Id="rId40"/><Relationship Type="http://schemas.openxmlformats.org/officeDocument/2006/relationships/hyperlink" Target="#'3&#31456;_6&#26085;&#20013;&#12539;&#27177;&#21033;'!B59" TargetMode="External" Id="rId41"/><Relationship Type="http://schemas.openxmlformats.org/officeDocument/2006/relationships/hyperlink" Target="#'3&#31456;_6&#26085;&#20013;&#12539;&#27177;&#21033;'!B76" TargetMode="External" Id="rId42"/><Relationship Type="http://schemas.openxmlformats.org/officeDocument/2006/relationships/hyperlink" Target="#'3&#31456;_6&#26085;&#20013;&#12539;&#27177;&#21033;'!B91" TargetMode="External" Id="rId43"/><Relationship Type="http://schemas.openxmlformats.org/officeDocument/2006/relationships/hyperlink" Target="#'3&#31456;_7&#28797;&#23475;&#12539;&#26045;&#31574;'!B2" TargetMode="External" Id="rId44"/><Relationship Type="http://schemas.openxmlformats.org/officeDocument/2006/relationships/hyperlink" Target="#'3&#31456;_7&#28797;&#23475;&#12539;&#26045;&#31574;'!B18" TargetMode="External" Id="rId45"/><Relationship Type="http://schemas.openxmlformats.org/officeDocument/2006/relationships/hyperlink" Target="#'3&#31456;_7&#28797;&#23475;&#12539;&#26045;&#31574;'!B29" TargetMode="External" Id="rId46"/><Relationship Type="http://schemas.openxmlformats.org/officeDocument/2006/relationships/hyperlink" Target="#'3&#31456;_7&#28797;&#23475;&#12539;&#26045;&#31574;'!B44" TargetMode="External" Id="rId47"/><Relationship Type="http://schemas.openxmlformats.org/officeDocument/2006/relationships/hyperlink" Target="#'3&#31456;_7&#28797;&#23475;&#12539;&#26045;&#31574;'!B59" TargetMode="External" Id="rId48"/><Relationship Type="http://schemas.openxmlformats.org/officeDocument/2006/relationships/hyperlink" Target="#'3&#31456;_7&#28797;&#23475;&#12539;&#26045;&#31574;'!B74" TargetMode="External" Id="rId49"/><Relationship Type="http://schemas.openxmlformats.org/officeDocument/2006/relationships/hyperlink" Target="#'3&#31456;_7&#28797;&#23475;&#12539;&#26045;&#31574;'!B88" TargetMode="External" Id="rId50"/><Relationship Type="http://schemas.openxmlformats.org/officeDocument/2006/relationships/hyperlink" Target="#'3&#31456;_7&#28797;&#23475;&#12539;&#26045;&#31574;'!B103" TargetMode="External" Id="rId51"/><Relationship Type="http://schemas.openxmlformats.org/officeDocument/2006/relationships/hyperlink" Target="#'4&#31456;_&#12463;&#12525;&#12473;&#38598;&#35336;'!B2" TargetMode="External" Id="rId52"/><Relationship Type="http://schemas.openxmlformats.org/officeDocument/2006/relationships/hyperlink" Target="#'4&#31456;_&#12463;&#12525;&#12473;&#38598;&#35336;'!B15" TargetMode="External" Id="rId53"/><Relationship Type="http://schemas.openxmlformats.org/officeDocument/2006/relationships/hyperlink" Target="#'4&#31456;_&#12463;&#12525;&#12473;&#38598;&#35336;'!B52" TargetMode="External" Id="rId54"/><Relationship Type="http://schemas.openxmlformats.org/officeDocument/2006/relationships/hyperlink" Target="#'4&#31456;_&#12463;&#12525;&#12473;&#38598;&#35336;'!B79" TargetMode="External" Id="rId55"/><Relationship Type="http://schemas.openxmlformats.org/officeDocument/2006/relationships/hyperlink" Target="#'4&#31456;_&#12463;&#12525;&#12473;&#38598;&#35336;'!B104" TargetMode="External" Id="rId56"/><Relationship Type="http://schemas.openxmlformats.org/officeDocument/2006/relationships/hyperlink" Target="#'4&#31456;_&#12463;&#12525;&#12473;&#38598;&#35336;'!B131" TargetMode="External" Id="rId57"/><Relationship Type="http://schemas.openxmlformats.org/officeDocument/2006/relationships/hyperlink" Target="#'4&#31456;_&#12463;&#12525;&#12473;&#38598;&#35336;'!B156" TargetMode="External" Id="rId58"/><Relationship Type="http://schemas.openxmlformats.org/officeDocument/2006/relationships/hyperlink" Target="#'4&#31456;_&#12463;&#12525;&#12473;&#38598;&#35336;'!B169" TargetMode="External" Id="rId59"/><Relationship Type="http://schemas.openxmlformats.org/officeDocument/2006/relationships/hyperlink" Target="#'4&#31456;_&#12463;&#12525;&#12473;&#38598;&#35336;'!B206" TargetMode="External" Id="rId60"/><Relationship Type="http://schemas.openxmlformats.org/officeDocument/2006/relationships/hyperlink" Target="#'4&#31456;_&#12463;&#12525;&#12473;&#38598;&#35336;'!B232" TargetMode="External" Id="rId61"/><Relationship Type="http://schemas.openxmlformats.org/officeDocument/2006/relationships/hyperlink" Target="#'4&#31456;_&#12463;&#12525;&#12473;&#38598;&#35336;'!B255" TargetMode="External" Id="rId62"/><Relationship Type="http://schemas.openxmlformats.org/officeDocument/2006/relationships/hyperlink" Target="#'4&#31456;_&#12463;&#12525;&#12473;&#38598;&#35336;'!B280" TargetMode="External" Id="rId63"/><Relationship Type="http://schemas.openxmlformats.org/officeDocument/2006/relationships/hyperlink" Target="#'4&#31456;_&#12463;&#12525;&#12473;&#38598;&#35336;'!B305" TargetMode="External" Id="rId64"/><Relationship Type="http://schemas.openxmlformats.org/officeDocument/2006/relationships/hyperlink" Target="#'4&#31456;_&#12463;&#12525;&#12473;&#38598;&#35336;'!B330" TargetMode="External" Id="rId65"/><Relationship Type="http://schemas.openxmlformats.org/officeDocument/2006/relationships/hyperlink" Target="#'5&#31456;_&#38556;&#12364;&#12356;&#20816;'!B2" TargetMode="External" Id="rId66"/><Relationship Type="http://schemas.openxmlformats.org/officeDocument/2006/relationships/hyperlink" Target="#'5&#31456;_&#38556;&#12364;&#12356;&#20816;'!B15" TargetMode="External" Id="rId67"/><Relationship Type="http://schemas.openxmlformats.org/officeDocument/2006/relationships/hyperlink" Target="#'5&#31456;_&#38556;&#12364;&#12356;&#20816;'!B35" TargetMode="External" Id="rId68"/><Relationship Type="http://schemas.openxmlformats.org/officeDocument/2006/relationships/hyperlink" Target="#'5&#31456;_&#38556;&#12364;&#12356;&#20816;'!B48" TargetMode="External" Id="rId69"/><Relationship Type="http://schemas.openxmlformats.org/officeDocument/2006/relationships/hyperlink" Target="#'5&#31456;_&#38556;&#12364;&#12356;&#20816;'!B60" TargetMode="External" Id="rId70"/><Relationship Type="http://schemas.openxmlformats.org/officeDocument/2006/relationships/hyperlink" Target="#'5&#31456;_&#38556;&#12364;&#12356;&#20816;'!B72" TargetMode="External" Id="rId71"/><Relationship Type="http://schemas.openxmlformats.org/officeDocument/2006/relationships/hyperlink" Target="#'5&#31456;_&#38556;&#12364;&#12356;&#20816;'!B86" TargetMode="External" Id="rId72"/><Relationship Type="http://schemas.openxmlformats.org/officeDocument/2006/relationships/hyperlink" Target="#'5&#31456;_&#38556;&#12364;&#12356;&#20816;'!B97" TargetMode="External" Id="rId73"/><Relationship Type="http://schemas.openxmlformats.org/officeDocument/2006/relationships/hyperlink" Target="#'5&#31456;_&#38556;&#12364;&#12356;&#20816;'!B112" TargetMode="External" Id="rId74"/><Relationship Type="http://schemas.openxmlformats.org/officeDocument/2006/relationships/hyperlink" Target="#'5&#31456;_&#38556;&#12364;&#12356;&#20816;'!B124" TargetMode="External" Id="rId75"/><Relationship Type="http://schemas.openxmlformats.org/officeDocument/2006/relationships/hyperlink" Target="#'5&#31456;_&#38556;&#12364;&#12356;&#20816;'!B139" TargetMode="External" Id="rId76"/><Relationship Type="http://schemas.openxmlformats.org/officeDocument/2006/relationships/hyperlink" Target="#'5&#31456;_&#38556;&#12364;&#12356;&#20816;'!B169" TargetMode="External" Id="rId77"/><Relationship Type="http://schemas.openxmlformats.org/officeDocument/2006/relationships/hyperlink" Target="#'5&#31456;_&#38556;&#12364;&#12356;&#20816;'!B186" TargetMode="External" Id="rId78"/><Relationship Type="http://schemas.openxmlformats.org/officeDocument/2006/relationships/hyperlink" Target="#'5&#31456;_&#38556;&#12364;&#12356;&#20816;'!B199" TargetMode="External" Id="rId79"/><Relationship Type="http://schemas.openxmlformats.org/officeDocument/2006/relationships/hyperlink" Target="#'5&#31456;_&#38556;&#12364;&#12356;&#20816;'!B207" TargetMode="External" Id="rId80"/><Relationship Type="http://schemas.openxmlformats.org/officeDocument/2006/relationships/hyperlink" Target="#'5&#31456;_&#38556;&#12364;&#12356;&#20816;'!B220" TargetMode="External" Id="rId81"/><Relationship Type="http://schemas.openxmlformats.org/officeDocument/2006/relationships/hyperlink" Target="#'5&#31456;_&#38556;&#12364;&#12356;&#20816;'!B233" TargetMode="External" Id="rId82"/><Relationship Type="http://schemas.openxmlformats.org/officeDocument/2006/relationships/hyperlink" Target="#'5&#31456;_&#38556;&#12364;&#12356;&#20816;'!B250" TargetMode="External" Id="rId83"/><Relationship Type="http://schemas.openxmlformats.org/officeDocument/2006/relationships/hyperlink" Target="#'6&#31456;_&#35506;&#38988;'!B2" TargetMode="External" Id="rId84"/><Relationship Type="http://schemas.openxmlformats.org/officeDocument/2006/relationships/hyperlink" Target="#'&#38598;&#35336;_&#38556;&#12364;&#12356;&#32773;'!B4" TargetMode="External" Id="rId85"/><Relationship Type="http://schemas.openxmlformats.org/officeDocument/2006/relationships/hyperlink" Target="#'&#38598;&#35336;_&#38556;&#12364;&#12356;&#20816;'!B4" TargetMode="External" Id="rId86"/></Relationships>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5.xml.rels><Relationships xmlns="http://schemas.openxmlformats.org/package/2006/relationships"><Relationship Type="http://schemas.openxmlformats.org/officeDocument/2006/relationships/drawing" Target="/xl/drawings/drawing3.xml" Id="rId1"/></Relationships>
</file>

<file path=xl/worksheets/_rels/sheet6.xml.rels><Relationships xmlns="http://schemas.openxmlformats.org/package/2006/relationships"><Relationship Type="http://schemas.openxmlformats.org/officeDocument/2006/relationships/drawing" Target="/xl/drawings/drawing4.xml" Id="rId1"/></Relationships>
</file>

<file path=xl/worksheets/_rels/sheet7.xml.rels><Relationships xmlns="http://schemas.openxmlformats.org/package/2006/relationships"><Relationship Type="http://schemas.openxmlformats.org/officeDocument/2006/relationships/drawing" Target="/xl/drawings/drawing5.xml" Id="rId1"/></Relationships>
</file>

<file path=xl/worksheets/_rels/sheet8.xml.rels><Relationships xmlns="http://schemas.openxmlformats.org/package/2006/relationships"><Relationship Type="http://schemas.openxmlformats.org/officeDocument/2006/relationships/drawing" Target="/xl/drawings/drawing6.xml" Id="rId1"/></Relationships>
</file>

<file path=xl/worksheets/_rels/sheet9.xml.rels><Relationships xmlns="http://schemas.openxmlformats.org/package/2006/relationships"><Relationship Type="http://schemas.openxmlformats.org/officeDocument/2006/relationships/drawing" Target="/xl/drawings/drawing7.xml" Id="rId1"/></Relationships>
</file>

<file path=xl/worksheets/_rels/sheet10.xml.rels><Relationships xmlns="http://schemas.openxmlformats.org/package/2006/relationships"><Relationship Type="http://schemas.openxmlformats.org/officeDocument/2006/relationships/drawing" Target="/xl/drawings/drawing8.xml" Id="rId1"/></Relationships>
</file>

<file path=xl/worksheets/_rels/sheet11.xml.rels><Relationships xmlns="http://schemas.openxmlformats.org/package/2006/relationships"><Relationship Type="http://schemas.openxmlformats.org/officeDocument/2006/relationships/drawing" Target="/xl/drawings/drawing9.xml" Id="rId1"/></Relationships>
</file>

<file path=xl/worksheets/sheet1.xml><?xml version="1.0" encoding="utf-8"?>
<worksheet xmlns="http://schemas.openxmlformats.org/spreadsheetml/2006/main">
  <sheetPr>
    <outlinePr summaryBelow="1" summaryRight="1"/>
    <pageSetUpPr fitToPage="1"/>
  </sheetPr>
  <dimension ref="B1:E96"/>
  <sheetViews>
    <sheetView showGridLines="0" workbookViewId="0">
      <selection activeCell="A1" sqref="A1"/>
    </sheetView>
  </sheetViews>
  <sheetFormatPr baseColWidth="8" defaultRowHeight="15"/>
  <cols>
    <col width="2" customWidth="1" min="1" max="1"/>
    <col width="12" customWidth="1" min="2" max="2"/>
    <col width="70" customWidth="1" min="3" max="3"/>
    <col width="22" customWidth="1" min="4" max="4"/>
    <col width="10" customWidth="1" min="5" max="5"/>
    <col width="2" customWidth="1" min="6" max="6"/>
  </cols>
  <sheetData>
    <row r="1" ht="26" customHeight="1">
      <c r="B1" s="1" t="inlineStr">
        <is>
          <t>北塩原村　障がい福祉に関するアンケート調査　分析報告書　図表データ集（編集用）</t>
        </is>
      </c>
    </row>
    <row r="3" ht="31" customHeight="1">
      <c r="B3" s="2" t="inlineStr">
        <is>
          <t>・このブックは、分析報告書に掲載した図表（図61点・表23点）を、Excelで編集できる形式で収録したものです。図表番号は報告書と対応しています。</t>
        </is>
      </c>
    </row>
    <row r="4" ht="31" customHeight="1">
      <c r="B4" s="2" t="inlineStr">
        <is>
          <t>・グラフはすべてExcelのグラフ機能で作成しています。色・フォント・ラベル・サイズ等を通常どおり編集でき、そのままWordに貼り付けて使用できます。</t>
        </is>
      </c>
    </row>
    <row r="5" ht="31" customHeight="1">
      <c r="B5" s="2" t="inlineStr">
        <is>
          <t>・青字のセルが入力値（件数・回答者数）、黒字のセルは計算式です。「集計_障がい者」「集計_障がい児」シートの件数を修正すると、各章シートの表とグラフに自動で反映されます。</t>
        </is>
      </c>
    </row>
    <row r="6" ht="17.5" customHeight="1">
      <c r="B6" s="2" t="inlineStr">
        <is>
          <t>・第4章のクロス集計は、各表の【件数】欄（青字）が入力値で、【割合】欄は計算式です。</t>
        </is>
      </c>
    </row>
    <row r="7" ht="17.5" customHeight="1">
      <c r="B7" s="2" t="inlineStr">
        <is>
          <t>・割合は表示上、小数点第2位を四捨五入しています。グラフの項目の並び順は、報告書作成時点の件数順で固定しています。</t>
        </is>
      </c>
    </row>
    <row r="8" ht="31" customHeight="1">
      <c r="B8" s="2" t="inlineStr">
        <is>
          <t>・出典：北塩原村_障がい福祉アンケート_単純集計_クロス分析.xlsx、北塩原村_障がい児福祉アンケート_単純集計_クロス分析.xlsx（いずれも単純集計・クロス分析シート）</t>
        </is>
      </c>
    </row>
    <row r="10">
      <c r="B10" s="3" t="inlineStr">
        <is>
          <t>図表番号</t>
        </is>
      </c>
      <c r="C10" s="3" t="inlineStr">
        <is>
          <t>タイトル</t>
        </is>
      </c>
      <c r="D10" s="3" t="inlineStr">
        <is>
          <t>収録シート</t>
        </is>
      </c>
      <c r="E10" s="3" t="inlineStr">
        <is>
          <t>移動</t>
        </is>
      </c>
    </row>
    <row r="11" ht="17" customHeight="1">
      <c r="B11" s="4" t="inlineStr">
        <is>
          <t>表1-1</t>
        </is>
      </c>
      <c r="C11" s="5" t="inlineStr">
        <is>
          <t>調査の概要</t>
        </is>
      </c>
      <c r="D11" s="4" t="inlineStr">
        <is>
          <t>1-2章_概要・要点</t>
        </is>
      </c>
      <c r="E11" s="6" t="inlineStr">
        <is>
          <t>→ 表示</t>
        </is>
      </c>
    </row>
    <row r="12" ht="17" customHeight="1">
      <c r="B12" s="4" t="inlineStr">
        <is>
          <t>表1-2</t>
        </is>
      </c>
      <c r="C12" s="5" t="inlineStr">
        <is>
          <t>調査項目の構成</t>
        </is>
      </c>
      <c r="D12" s="4" t="inlineStr">
        <is>
          <t>1-2章_概要・要点</t>
        </is>
      </c>
      <c r="E12" s="6" t="inlineStr">
        <is>
          <t>→ 表示</t>
        </is>
      </c>
    </row>
    <row r="13" ht="17" customHeight="1">
      <c r="B13" s="4" t="inlineStr">
        <is>
          <t>表2-1</t>
        </is>
      </c>
      <c r="C13" s="5" t="inlineStr">
        <is>
          <t>障がい者調査の主要指標</t>
        </is>
      </c>
      <c r="D13" s="4" t="inlineStr">
        <is>
          <t>1-2章_概要・要点</t>
        </is>
      </c>
      <c r="E13" s="6" t="inlineStr">
        <is>
          <t>→ 表示</t>
        </is>
      </c>
    </row>
    <row r="14" ht="17" customHeight="1">
      <c r="B14" s="4" t="inlineStr">
        <is>
          <t>図3-1</t>
        </is>
      </c>
      <c r="C14" s="5" t="inlineStr">
        <is>
          <t>調査票の記入者（問1）</t>
        </is>
      </c>
      <c r="D14" s="4" t="inlineStr">
        <is>
          <t>3章_1属性</t>
        </is>
      </c>
      <c r="E14" s="6" t="inlineStr">
        <is>
          <t>→ 表示</t>
        </is>
      </c>
    </row>
    <row r="15" ht="17" customHeight="1">
      <c r="B15" s="4" t="inlineStr">
        <is>
          <t>図3-2</t>
        </is>
      </c>
      <c r="C15" s="5" t="inlineStr">
        <is>
          <t>回答への本人意向の反映（問1-2）</t>
        </is>
      </c>
      <c r="D15" s="4" t="inlineStr">
        <is>
          <t>3章_1属性</t>
        </is>
      </c>
      <c r="E15" s="6" t="inlineStr">
        <is>
          <t>→ 表示</t>
        </is>
      </c>
    </row>
    <row r="16" ht="17" customHeight="1">
      <c r="B16" s="4" t="inlineStr">
        <is>
          <t>図3-3</t>
        </is>
      </c>
      <c r="C16" s="5" t="inlineStr">
        <is>
          <t>年齢（問2）</t>
        </is>
      </c>
      <c r="D16" s="4" t="inlineStr">
        <is>
          <t>3章_1属性</t>
        </is>
      </c>
      <c r="E16" s="6" t="inlineStr">
        <is>
          <t>→ 表示</t>
        </is>
      </c>
    </row>
    <row r="17" ht="17" customHeight="1">
      <c r="B17" s="4" t="inlineStr">
        <is>
          <t>図3-4</t>
        </is>
      </c>
      <c r="C17" s="5" t="inlineStr">
        <is>
          <t>お住まいの地区（問3）</t>
        </is>
      </c>
      <c r="D17" s="4" t="inlineStr">
        <is>
          <t>3章_1属性</t>
        </is>
      </c>
      <c r="E17" s="6" t="inlineStr">
        <is>
          <t>→ 表示</t>
        </is>
      </c>
    </row>
    <row r="18" ht="17" customHeight="1">
      <c r="B18" s="4" t="inlineStr">
        <is>
          <t>図3-5</t>
        </is>
      </c>
      <c r="C18" s="5" t="inlineStr">
        <is>
          <t>性別（問4）</t>
        </is>
      </c>
      <c r="D18" s="4" t="inlineStr">
        <is>
          <t>3章_1属性</t>
        </is>
      </c>
      <c r="E18" s="6" t="inlineStr">
        <is>
          <t>→ 表示</t>
        </is>
      </c>
    </row>
    <row r="19" ht="17" customHeight="1">
      <c r="B19" s="4" t="inlineStr">
        <is>
          <t>図3-6</t>
        </is>
      </c>
      <c r="C19" s="5" t="inlineStr">
        <is>
          <t>所持している手帳等（問5）</t>
        </is>
      </c>
      <c r="D19" s="4" t="inlineStr">
        <is>
          <t>3章_1属性</t>
        </is>
      </c>
      <c r="E19" s="6" t="inlineStr">
        <is>
          <t>→ 表示</t>
        </is>
      </c>
    </row>
    <row r="20" ht="17" customHeight="1">
      <c r="B20" s="4" t="inlineStr">
        <is>
          <t>図3-7</t>
        </is>
      </c>
      <c r="C20" s="5" t="inlineStr">
        <is>
          <t>主たる障がい種別（問6）</t>
        </is>
      </c>
      <c r="D20" s="4" t="inlineStr">
        <is>
          <t>3章_1属性</t>
        </is>
      </c>
      <c r="E20" s="6" t="inlineStr">
        <is>
          <t>→ 表示</t>
        </is>
      </c>
    </row>
    <row r="21" ht="17" customHeight="1">
      <c r="B21" s="4" t="inlineStr">
        <is>
          <t>図3-8</t>
        </is>
      </c>
      <c r="C21" s="5" t="inlineStr">
        <is>
          <t>現在の暮らしの場（問7）</t>
        </is>
      </c>
      <c r="D21" s="4" t="inlineStr">
        <is>
          <t>3章_1属性</t>
        </is>
      </c>
      <c r="E21" s="6" t="inlineStr">
        <is>
          <t>→ 表示</t>
        </is>
      </c>
    </row>
    <row r="22" ht="17" customHeight="1">
      <c r="B22" s="4" t="inlineStr">
        <is>
          <t>図3-9</t>
        </is>
      </c>
      <c r="C22" s="5" t="inlineStr">
        <is>
          <t>現在一緒に暮らしている方（問8）</t>
        </is>
      </c>
      <c r="D22" s="4" t="inlineStr">
        <is>
          <t>3章_1属性</t>
        </is>
      </c>
      <c r="E22" s="6" t="inlineStr">
        <is>
          <t>→ 表示</t>
        </is>
      </c>
    </row>
    <row r="23" ht="17" customHeight="1">
      <c r="B23" s="4" t="inlineStr">
        <is>
          <t>図3-10</t>
        </is>
      </c>
      <c r="C23" s="5" t="inlineStr">
        <is>
          <t>日常生活の主な支援者（問9）</t>
        </is>
      </c>
      <c r="D23" s="4" t="inlineStr">
        <is>
          <t>3章_1属性</t>
        </is>
      </c>
      <c r="E23" s="6" t="inlineStr">
        <is>
          <t>→ 表示</t>
        </is>
      </c>
    </row>
    <row r="24" ht="17" customHeight="1">
      <c r="B24" s="4" t="inlineStr">
        <is>
          <t>図3-11</t>
        </is>
      </c>
      <c r="C24" s="5" t="inlineStr">
        <is>
          <t>日常生活で困っていること（問10）</t>
        </is>
      </c>
      <c r="D24" s="4" t="inlineStr">
        <is>
          <t>3章_2生活・外出</t>
        </is>
      </c>
      <c r="E24" s="6" t="inlineStr">
        <is>
          <t>→ 表示</t>
        </is>
      </c>
    </row>
    <row r="25" ht="17" customHeight="1">
      <c r="B25" s="4" t="inlineStr">
        <is>
          <t>図3-12</t>
        </is>
      </c>
      <c r="C25" s="5" t="inlineStr">
        <is>
          <t>将来希望する暮らし方（問11）</t>
        </is>
      </c>
      <c r="D25" s="4" t="inlineStr">
        <is>
          <t>3章_2生活・外出</t>
        </is>
      </c>
      <c r="E25" s="6" t="inlineStr">
        <is>
          <t>→ 表示</t>
        </is>
      </c>
    </row>
    <row r="26" ht="17" customHeight="1">
      <c r="B26" s="4" t="inlineStr">
        <is>
          <t>図3-13</t>
        </is>
      </c>
      <c r="C26" s="5" t="inlineStr">
        <is>
          <t>外出の頻度（問12）</t>
        </is>
      </c>
      <c r="D26" s="4" t="inlineStr">
        <is>
          <t>3章_2生活・外出</t>
        </is>
      </c>
      <c r="E26" s="6" t="inlineStr">
        <is>
          <t>→ 表示</t>
        </is>
      </c>
    </row>
    <row r="27" ht="17" customHeight="1">
      <c r="B27" s="4" t="inlineStr">
        <is>
          <t>図3-14</t>
        </is>
      </c>
      <c r="C27" s="5" t="inlineStr">
        <is>
          <t>外出時の主な移動手段（問13）</t>
        </is>
      </c>
      <c r="D27" s="4" t="inlineStr">
        <is>
          <t>3章_2生活・外出</t>
        </is>
      </c>
      <c r="E27" s="6" t="inlineStr">
        <is>
          <t>→ 表示</t>
        </is>
      </c>
    </row>
    <row r="28" ht="17" customHeight="1">
      <c r="B28" s="4" t="inlineStr">
        <is>
          <t>図3-15</t>
        </is>
      </c>
      <c r="C28" s="5" t="inlineStr">
        <is>
          <t>外出するときに困ること（問14）</t>
        </is>
      </c>
      <c r="D28" s="4" t="inlineStr">
        <is>
          <t>3章_2生活・外出</t>
        </is>
      </c>
      <c r="E28" s="6" t="inlineStr">
        <is>
          <t>→ 表示</t>
        </is>
      </c>
    </row>
    <row r="29" ht="17" customHeight="1">
      <c r="B29" s="4" t="inlineStr">
        <is>
          <t>図3-16</t>
        </is>
      </c>
      <c r="C29" s="5" t="inlineStr">
        <is>
          <t>定期的な通院（問15）</t>
        </is>
      </c>
      <c r="D29" s="4" t="inlineStr">
        <is>
          <t>3章_3医療</t>
        </is>
      </c>
      <c r="E29" s="6" t="inlineStr">
        <is>
          <t>→ 表示</t>
        </is>
      </c>
    </row>
    <row r="30" ht="17" customHeight="1">
      <c r="B30" s="4" t="inlineStr">
        <is>
          <t>図3-17</t>
        </is>
      </c>
      <c r="C30" s="5" t="inlineStr">
        <is>
          <t>通院や医療で困っていること（問16）</t>
        </is>
      </c>
      <c r="D30" s="4" t="inlineStr">
        <is>
          <t>3章_3医療</t>
        </is>
      </c>
      <c r="E30" s="6" t="inlineStr">
        <is>
          <t>→ 表示</t>
        </is>
      </c>
    </row>
    <row r="31" ht="17" customHeight="1">
      <c r="B31" s="4" t="inlineStr">
        <is>
          <t>図3-18</t>
        </is>
      </c>
      <c r="C31" s="5" t="inlineStr">
        <is>
          <t>医療的ケアの必要性（問17）</t>
        </is>
      </c>
      <c r="D31" s="4" t="inlineStr">
        <is>
          <t>3章_3医療</t>
        </is>
      </c>
      <c r="E31" s="6" t="inlineStr">
        <is>
          <t>→ 表示</t>
        </is>
      </c>
    </row>
    <row r="32" ht="17" customHeight="1">
      <c r="B32" s="4" t="inlineStr">
        <is>
          <t>図3-19</t>
        </is>
      </c>
      <c r="C32" s="5" t="inlineStr">
        <is>
          <t>医療的ケアや重い障がいに関して必要な支援（問18）</t>
        </is>
      </c>
      <c r="D32" s="4" t="inlineStr">
        <is>
          <t>3章_3医療</t>
        </is>
      </c>
      <c r="E32" s="6" t="inlineStr">
        <is>
          <t>→ 表示</t>
        </is>
      </c>
    </row>
    <row r="33" ht="17" customHeight="1">
      <c r="B33" s="4" t="inlineStr">
        <is>
          <t>図3-20</t>
        </is>
      </c>
      <c r="C33" s="5" t="inlineStr">
        <is>
          <t>強度行動障がい支援に関して必要な支援（問19）</t>
        </is>
      </c>
      <c r="D33" s="4" t="inlineStr">
        <is>
          <t>3章_3医療</t>
        </is>
      </c>
      <c r="E33" s="6" t="inlineStr">
        <is>
          <t>→ 表示</t>
        </is>
      </c>
    </row>
    <row r="34" ht="17" customHeight="1">
      <c r="B34" s="4" t="inlineStr">
        <is>
          <t>図3-21</t>
        </is>
      </c>
      <c r="C34" s="5" t="inlineStr">
        <is>
          <t>高次脳機能障がい支援に関して必要な支援（問20）</t>
        </is>
      </c>
      <c r="D34" s="4" t="inlineStr">
        <is>
          <t>3章_3医療</t>
        </is>
      </c>
      <c r="E34" s="6" t="inlineStr">
        <is>
          <t>→ 表示</t>
        </is>
      </c>
    </row>
    <row r="35" ht="17" customHeight="1">
      <c r="B35" s="4" t="inlineStr">
        <is>
          <t>図3-22</t>
        </is>
      </c>
      <c r="C35" s="5" t="inlineStr">
        <is>
          <t>意思決定支援の必要性（問21）</t>
        </is>
      </c>
      <c r="D35" s="4" t="inlineStr">
        <is>
          <t>3章_4相談・情報</t>
        </is>
      </c>
      <c r="E35" s="6" t="inlineStr">
        <is>
          <t>→ 表示</t>
        </is>
      </c>
    </row>
    <row r="36" ht="17" customHeight="1">
      <c r="B36" s="4" t="inlineStr">
        <is>
          <t>図3-23</t>
        </is>
      </c>
      <c r="C36" s="5" t="inlineStr">
        <is>
          <t>困ったときの相談相手・場所（問22）</t>
        </is>
      </c>
      <c r="D36" s="4" t="inlineStr">
        <is>
          <t>3章_4相談・情報</t>
        </is>
      </c>
      <c r="E36" s="6" t="inlineStr">
        <is>
          <t>→ 表示</t>
        </is>
      </c>
    </row>
    <row r="37" ht="17" customHeight="1">
      <c r="B37" s="4" t="inlineStr">
        <is>
          <t>図3-24</t>
        </is>
      </c>
      <c r="C37" s="5" t="inlineStr">
        <is>
          <t>相談しにくい・相談できない理由（問23）</t>
        </is>
      </c>
      <c r="D37" s="4" t="inlineStr">
        <is>
          <t>3章_4相談・情報</t>
        </is>
      </c>
      <c r="E37" s="6" t="inlineStr">
        <is>
          <t>→ 表示</t>
        </is>
      </c>
    </row>
    <row r="38" ht="17" customHeight="1">
      <c r="B38" s="4" t="inlineStr">
        <is>
          <t>図3-25</t>
        </is>
      </c>
      <c r="C38" s="5" t="inlineStr">
        <is>
          <t>同じ障がいのある人（ピアサポーター）への相談意向（問24）</t>
        </is>
      </c>
      <c r="D38" s="4" t="inlineStr">
        <is>
          <t>3章_4相談・情報</t>
        </is>
      </c>
      <c r="E38" s="6" t="inlineStr">
        <is>
          <t>→ 表示</t>
        </is>
      </c>
    </row>
    <row r="39" ht="17" customHeight="1">
      <c r="B39" s="4" t="inlineStr">
        <is>
          <t>図3-26</t>
        </is>
      </c>
      <c r="C39" s="5" t="inlineStr">
        <is>
          <t>福祉に関する情報の入手先（問25）</t>
        </is>
      </c>
      <c r="D39" s="4" t="inlineStr">
        <is>
          <t>3章_4相談・情報</t>
        </is>
      </c>
      <c r="E39" s="6" t="inlineStr">
        <is>
          <t>→ 表示</t>
        </is>
      </c>
    </row>
    <row r="40" ht="17" customHeight="1">
      <c r="B40" s="4" t="inlineStr">
        <is>
          <t>図3-27</t>
        </is>
      </c>
      <c r="C40" s="5" t="inlineStr">
        <is>
          <t>相談支援に期待すること（問26）</t>
        </is>
      </c>
      <c r="D40" s="4" t="inlineStr">
        <is>
          <t>3章_4相談・情報</t>
        </is>
      </c>
      <c r="E40" s="6" t="inlineStr">
        <is>
          <t>→ 表示</t>
        </is>
      </c>
    </row>
    <row r="41" ht="17" customHeight="1">
      <c r="B41" s="4" t="inlineStr">
        <is>
          <t>表3-1</t>
        </is>
      </c>
      <c r="C41" s="5" t="inlineStr">
        <is>
          <t>サービス別の利用状況・認知度・今後の利用意向</t>
        </is>
      </c>
      <c r="D41" s="4" t="inlineStr">
        <is>
          <t>3章_5サービス</t>
        </is>
      </c>
      <c r="E41" s="6" t="inlineStr">
        <is>
          <t>→ 表示</t>
        </is>
      </c>
    </row>
    <row r="42" ht="17" customHeight="1">
      <c r="B42" s="4" t="inlineStr">
        <is>
          <t>図3-28</t>
        </is>
      </c>
      <c r="C42" s="5" t="inlineStr">
        <is>
          <t>現在利用しているサービスと今後3年間で利用したいサービス（問27-1・問27-3）</t>
        </is>
      </c>
      <c r="D42" s="4" t="inlineStr">
        <is>
          <t>3章_5サービス</t>
        </is>
      </c>
      <c r="E42" s="6" t="inlineStr">
        <is>
          <t>→ 表示</t>
        </is>
      </c>
    </row>
    <row r="43" ht="17" customHeight="1">
      <c r="B43" s="4" t="inlineStr">
        <is>
          <t>図3-29</t>
        </is>
      </c>
      <c r="C43" s="5" t="inlineStr">
        <is>
          <t>内容をよく知らないサービス（問27-2）</t>
        </is>
      </c>
      <c r="D43" s="4" t="inlineStr">
        <is>
          <t>3章_5サービス</t>
        </is>
      </c>
      <c r="E43" s="6" t="inlineStr">
        <is>
          <t>→ 表示</t>
        </is>
      </c>
    </row>
    <row r="44" ht="17" customHeight="1">
      <c r="B44" s="4" t="inlineStr">
        <is>
          <t>図3-30</t>
        </is>
      </c>
      <c r="C44" s="5" t="inlineStr">
        <is>
          <t>サービスを利用したいが利用できない理由（問28）</t>
        </is>
      </c>
      <c r="D44" s="4" t="inlineStr">
        <is>
          <t>3章_5サービス</t>
        </is>
      </c>
      <c r="E44" s="6" t="inlineStr">
        <is>
          <t>→ 表示</t>
        </is>
      </c>
    </row>
    <row r="45" ht="17" customHeight="1">
      <c r="B45" s="4" t="inlineStr">
        <is>
          <t>図3-31</t>
        </is>
      </c>
      <c r="C45" s="5" t="inlineStr">
        <is>
          <t>地域生活支援拠点等に期待する機能（問29）</t>
        </is>
      </c>
      <c r="D45" s="4" t="inlineStr">
        <is>
          <t>3章_5サービス</t>
        </is>
      </c>
      <c r="E45" s="6" t="inlineStr">
        <is>
          <t>→ 表示</t>
        </is>
      </c>
    </row>
    <row r="46" ht="17" customHeight="1">
      <c r="B46" s="4" t="inlineStr">
        <is>
          <t>図3-32</t>
        </is>
      </c>
      <c r="C46" s="5" t="inlineStr">
        <is>
          <t>福祉サービスの満足度（問30）</t>
        </is>
      </c>
      <c r="D46" s="4" t="inlineStr">
        <is>
          <t>3章_5サービス</t>
        </is>
      </c>
      <c r="E46" s="6" t="inlineStr">
        <is>
          <t>→ 表示</t>
        </is>
      </c>
    </row>
    <row r="47" ht="17" customHeight="1">
      <c r="B47" s="4" t="inlineStr">
        <is>
          <t>図3-33</t>
        </is>
      </c>
      <c r="C47" s="5" t="inlineStr">
        <is>
          <t>現在の日中の過ごし方（問31）</t>
        </is>
      </c>
      <c r="D47" s="4" t="inlineStr">
        <is>
          <t>3章_6日中・権利</t>
        </is>
      </c>
      <c r="E47" s="6" t="inlineStr">
        <is>
          <t>→ 表示</t>
        </is>
      </c>
    </row>
    <row r="48" ht="17" customHeight="1">
      <c r="B48" s="4" t="inlineStr">
        <is>
          <t>図3-34</t>
        </is>
      </c>
      <c r="C48" s="5" t="inlineStr">
        <is>
          <t>今後希望する日中活動・働き方（問32）</t>
        </is>
      </c>
      <c r="D48" s="4" t="inlineStr">
        <is>
          <t>3章_6日中・権利</t>
        </is>
      </c>
      <c r="E48" s="6" t="inlineStr">
        <is>
          <t>→ 表示</t>
        </is>
      </c>
    </row>
    <row r="49" ht="17" customHeight="1">
      <c r="B49" s="4" t="inlineStr">
        <is>
          <t>図3-35</t>
        </is>
      </c>
      <c r="C49" s="5" t="inlineStr">
        <is>
          <t>働くため・日中活動を続けるために必要な支援（問33）</t>
        </is>
      </c>
      <c r="D49" s="4" t="inlineStr">
        <is>
          <t>3章_6日中・権利</t>
        </is>
      </c>
      <c r="E49" s="6" t="inlineStr">
        <is>
          <t>→ 表示</t>
        </is>
      </c>
    </row>
    <row r="50" ht="17" customHeight="1">
      <c r="B50" s="4" t="inlineStr">
        <is>
          <t>図3-36</t>
        </is>
      </c>
      <c r="C50" s="5" t="inlineStr">
        <is>
          <t>差別や偏見、不利益を感じた経験（問34）</t>
        </is>
      </c>
      <c r="D50" s="4" t="inlineStr">
        <is>
          <t>3章_6日中・権利</t>
        </is>
      </c>
      <c r="E50" s="6" t="inlineStr">
        <is>
          <t>→ 表示</t>
        </is>
      </c>
    </row>
    <row r="51" ht="17" customHeight="1">
      <c r="B51" s="4" t="inlineStr">
        <is>
          <t>図3-37</t>
        </is>
      </c>
      <c r="C51" s="5" t="inlineStr">
        <is>
          <t>差別や偏見、不利益を感じた場面（問35）</t>
        </is>
      </c>
      <c r="D51" s="4" t="inlineStr">
        <is>
          <t>3章_6日中・権利</t>
        </is>
      </c>
      <c r="E51" s="6" t="inlineStr">
        <is>
          <t>→ 表示</t>
        </is>
      </c>
    </row>
    <row r="52" ht="17" customHeight="1">
      <c r="B52" s="4" t="inlineStr">
        <is>
          <t>図3-38</t>
        </is>
      </c>
      <c r="C52" s="5" t="inlineStr">
        <is>
          <t>必要だと思う合理的配慮（問36）</t>
        </is>
      </c>
      <c r="D52" s="4" t="inlineStr">
        <is>
          <t>3章_6日中・権利</t>
        </is>
      </c>
      <c r="E52" s="6" t="inlineStr">
        <is>
          <t>→ 表示</t>
        </is>
      </c>
    </row>
    <row r="53" ht="17" customHeight="1">
      <c r="B53" s="4" t="inlineStr">
        <is>
          <t>図3-39</t>
        </is>
      </c>
      <c r="C53" s="5" t="inlineStr">
        <is>
          <t>成年後見制度や権利擁護支援の認知（問37）</t>
        </is>
      </c>
      <c r="D53" s="4" t="inlineStr">
        <is>
          <t>3章_6日中・権利</t>
        </is>
      </c>
      <c r="E53" s="6" t="inlineStr">
        <is>
          <t>→ 表示</t>
        </is>
      </c>
    </row>
    <row r="54" ht="17" customHeight="1">
      <c r="B54" s="4" t="inlineStr">
        <is>
          <t>図3-40</t>
        </is>
      </c>
      <c r="C54" s="5" t="inlineStr">
        <is>
          <t>災害時に不安なこと（問38）</t>
        </is>
      </c>
      <c r="D54" s="4" t="inlineStr">
        <is>
          <t>3章_7災害・施策</t>
        </is>
      </c>
      <c r="E54" s="6" t="inlineStr">
        <is>
          <t>→ 表示</t>
        </is>
      </c>
    </row>
    <row r="55" ht="17" customHeight="1">
      <c r="B55" s="4" t="inlineStr">
        <is>
          <t>図3-41</t>
        </is>
      </c>
      <c r="C55" s="5" t="inlineStr">
        <is>
          <t>避難行動要支援者名簿・個別避難計画の認知（問39）</t>
        </is>
      </c>
      <c r="D55" s="4" t="inlineStr">
        <is>
          <t>3章_7災害・施策</t>
        </is>
      </c>
      <c r="E55" s="6" t="inlineStr">
        <is>
          <t>→ 表示</t>
        </is>
      </c>
    </row>
    <row r="56" ht="17" customHeight="1">
      <c r="B56" s="4" t="inlineStr">
        <is>
          <t>図3-42</t>
        </is>
      </c>
      <c r="C56" s="5" t="inlineStr">
        <is>
          <t>災害時に支援してくれる人や機関（問40）</t>
        </is>
      </c>
      <c r="D56" s="4" t="inlineStr">
        <is>
          <t>3章_7災害・施策</t>
        </is>
      </c>
      <c r="E56" s="6" t="inlineStr">
        <is>
          <t>→ 表示</t>
        </is>
      </c>
    </row>
    <row r="57" ht="17" customHeight="1">
      <c r="B57" s="4" t="inlineStr">
        <is>
          <t>図3-43</t>
        </is>
      </c>
      <c r="C57" s="5" t="inlineStr">
        <is>
          <t>災害時に必要だと思う支援（問41）</t>
        </is>
      </c>
      <c r="D57" s="4" t="inlineStr">
        <is>
          <t>3章_7災害・施策</t>
        </is>
      </c>
      <c r="E57" s="6" t="inlineStr">
        <is>
          <t>→ 表示</t>
        </is>
      </c>
    </row>
    <row r="58" ht="17" customHeight="1">
      <c r="B58" s="4" t="inlineStr">
        <is>
          <t>図3-44</t>
        </is>
      </c>
      <c r="C58" s="5" t="inlineStr">
        <is>
          <t>今後参加したい地域活動・社会参加（問42）</t>
        </is>
      </c>
      <c r="D58" s="4" t="inlineStr">
        <is>
          <t>3章_7災害・施策</t>
        </is>
      </c>
      <c r="E58" s="6" t="inlineStr">
        <is>
          <t>→ 表示</t>
        </is>
      </c>
    </row>
    <row r="59" ht="17" customHeight="1">
      <c r="B59" s="4" t="inlineStr">
        <is>
          <t>図3-45</t>
        </is>
      </c>
      <c r="C59" s="5" t="inlineStr">
        <is>
          <t>障がいへの理解を深めるために必要な取組（問43）</t>
        </is>
      </c>
      <c r="D59" s="4" t="inlineStr">
        <is>
          <t>3章_7災害・施策</t>
        </is>
      </c>
      <c r="E59" s="6" t="inlineStr">
        <is>
          <t>→ 表示</t>
        </is>
      </c>
    </row>
    <row r="60" ht="17" customHeight="1">
      <c r="B60" s="4" t="inlineStr">
        <is>
          <t>図3-46</t>
        </is>
      </c>
      <c r="C60" s="5" t="inlineStr">
        <is>
          <t>今後、村が特に力を入れるべきこと（3つまで）（問44）</t>
        </is>
      </c>
      <c r="D60" s="4" t="inlineStr">
        <is>
          <t>3章_7災害・施策</t>
        </is>
      </c>
      <c r="E60" s="6" t="inlineStr">
        <is>
          <t>→ 表示</t>
        </is>
      </c>
    </row>
    <row r="61" ht="17" customHeight="1">
      <c r="B61" s="4" t="inlineStr">
        <is>
          <t>表3-2</t>
        </is>
      </c>
      <c r="C61" s="5" t="inlineStr">
        <is>
          <t>自由記述にみる主な意見（障がい者調査）</t>
        </is>
      </c>
      <c r="D61" s="4" t="inlineStr">
        <is>
          <t>3章_7災害・施策</t>
        </is>
      </c>
      <c r="E61" s="6" t="inlineStr">
        <is>
          <t>→ 表示</t>
        </is>
      </c>
    </row>
    <row r="62" ht="17" customHeight="1">
      <c r="B62" s="4" t="inlineStr">
        <is>
          <t>表4-1</t>
        </is>
      </c>
      <c r="C62" s="5" t="inlineStr">
        <is>
          <t>クロス集計の分析テーマ</t>
        </is>
      </c>
      <c r="D62" s="4" t="inlineStr">
        <is>
          <t>4章_クロス集計</t>
        </is>
      </c>
      <c r="E62" s="6" t="inlineStr">
        <is>
          <t>→ 表示</t>
        </is>
      </c>
    </row>
    <row r="63" ht="17" customHeight="1">
      <c r="B63" s="4" t="inlineStr">
        <is>
          <t>表4-2</t>
        </is>
      </c>
      <c r="C63" s="5" t="inlineStr">
        <is>
          <t>障がい種別 × 今後3年間で利用したいサービス（問6×問27-3）</t>
        </is>
      </c>
      <c r="D63" s="4" t="inlineStr">
        <is>
          <t>4章_クロス集計</t>
        </is>
      </c>
      <c r="E63" s="6" t="inlineStr">
        <is>
          <t>→ 表示</t>
        </is>
      </c>
    </row>
    <row r="64" ht="17" customHeight="1">
      <c r="B64" s="4" t="inlineStr">
        <is>
          <t>表4-3</t>
        </is>
      </c>
      <c r="C64" s="5" t="inlineStr">
        <is>
          <t>地区 × 外出するときに困ること（問3×問14）</t>
        </is>
      </c>
      <c r="D64" s="4" t="inlineStr">
        <is>
          <t>4章_クロス集計</t>
        </is>
      </c>
      <c r="E64" s="6" t="inlineStr">
        <is>
          <t>→ 表示</t>
        </is>
      </c>
    </row>
    <row r="65" ht="17" customHeight="1">
      <c r="B65" s="4" t="inlineStr">
        <is>
          <t>図4-1</t>
        </is>
      </c>
      <c r="C65" s="5" t="inlineStr">
        <is>
          <t>主な地区別の外出するときに困ること（問3×問14）</t>
        </is>
      </c>
      <c r="D65" s="4" t="inlineStr">
        <is>
          <t>4章_クロス集計</t>
        </is>
      </c>
      <c r="E65" s="6" t="inlineStr">
        <is>
          <t>→ 表示</t>
        </is>
      </c>
    </row>
    <row r="66" ht="17" customHeight="1">
      <c r="B66" s="4" t="inlineStr">
        <is>
          <t>表4-4</t>
        </is>
      </c>
      <c r="C66" s="5" t="inlineStr">
        <is>
          <t>地区 × サービスを利用したいが利用できない理由（問3×問28）</t>
        </is>
      </c>
      <c r="D66" s="4" t="inlineStr">
        <is>
          <t>4章_クロス集計</t>
        </is>
      </c>
      <c r="E66" s="6" t="inlineStr">
        <is>
          <t>→ 表示</t>
        </is>
      </c>
    </row>
    <row r="67" ht="17" customHeight="1">
      <c r="B67" s="4" t="inlineStr">
        <is>
          <t>表4-5</t>
        </is>
      </c>
      <c r="C67" s="5" t="inlineStr">
        <is>
          <t>現在の暮らしの場 × 将来希望する暮らし方（問7×問11）</t>
        </is>
      </c>
      <c r="D67" s="4" t="inlineStr">
        <is>
          <t>4章_クロス集計</t>
        </is>
      </c>
      <c r="E67" s="6" t="inlineStr">
        <is>
          <t>→ 表示</t>
        </is>
      </c>
    </row>
    <row r="68" ht="17" customHeight="1">
      <c r="B68" s="4" t="inlineStr">
        <is>
          <t>図4-2</t>
        </is>
      </c>
      <c r="C68" s="5" t="inlineStr">
        <is>
          <t>現在の暮らしの場別にみた将来希望する暮らし方（問7×問11）</t>
        </is>
      </c>
      <c r="D68" s="4" t="inlineStr">
        <is>
          <t>4章_クロス集計</t>
        </is>
      </c>
      <c r="E68" s="6" t="inlineStr">
        <is>
          <t>→ 表示</t>
        </is>
      </c>
    </row>
    <row r="69" ht="17" customHeight="1">
      <c r="B69" s="4" t="inlineStr">
        <is>
          <t>表4-6</t>
        </is>
      </c>
      <c r="C69" s="5" t="inlineStr">
        <is>
          <t>年齢 × 日常生活で困っていること（問2×問10）</t>
        </is>
      </c>
      <c r="D69" s="4" t="inlineStr">
        <is>
          <t>4章_クロス集計</t>
        </is>
      </c>
      <c r="E69" s="6" t="inlineStr">
        <is>
          <t>→ 表示</t>
        </is>
      </c>
    </row>
    <row r="70" ht="17" customHeight="1">
      <c r="B70" s="4" t="inlineStr">
        <is>
          <t>図4-3</t>
        </is>
      </c>
      <c r="C70" s="5" t="inlineStr">
        <is>
          <t>65歳未満・65歳以上別にみた日常生活で困っていること（問2×問10）</t>
        </is>
      </c>
      <c r="D70" s="4" t="inlineStr">
        <is>
          <t>4章_クロス集計</t>
        </is>
      </c>
      <c r="E70" s="6" t="inlineStr">
        <is>
          <t>→ 表示</t>
        </is>
      </c>
    </row>
    <row r="71" ht="17" customHeight="1">
      <c r="B71" s="4" t="inlineStr">
        <is>
          <t>表4-7</t>
        </is>
      </c>
      <c r="C71" s="5" t="inlineStr">
        <is>
          <t>現在の日中の過ごし方 × 今後希望する日中活動・働き方（問31×問32）</t>
        </is>
      </c>
      <c r="D71" s="4" t="inlineStr">
        <is>
          <t>4章_クロス集計</t>
        </is>
      </c>
      <c r="E71" s="6" t="inlineStr">
        <is>
          <t>→ 表示</t>
        </is>
      </c>
    </row>
    <row r="72" ht="30" customHeight="1">
      <c r="B72" s="4" t="inlineStr">
        <is>
          <t>表4-8</t>
        </is>
      </c>
      <c r="C72" s="5" t="inlineStr">
        <is>
          <t>避難行動要支援者名簿・個別避難計画の認知 × 災害時に不安なこと（問39×問38）</t>
        </is>
      </c>
      <c r="D72" s="4" t="inlineStr">
        <is>
          <t>4章_クロス集計</t>
        </is>
      </c>
      <c r="E72" s="6" t="inlineStr">
        <is>
          <t>→ 表示</t>
        </is>
      </c>
    </row>
    <row r="73" ht="17" customHeight="1">
      <c r="B73" s="4" t="inlineStr">
        <is>
          <t>表4-9</t>
        </is>
      </c>
      <c r="C73" s="5" t="inlineStr">
        <is>
          <t>障がい種別 × 必要だと思う合理的配慮（問6×問36）</t>
        </is>
      </c>
      <c r="D73" s="4" t="inlineStr">
        <is>
          <t>4章_クロス集計</t>
        </is>
      </c>
      <c r="E73" s="6" t="inlineStr">
        <is>
          <t>→ 表示</t>
        </is>
      </c>
    </row>
    <row r="74" ht="17" customHeight="1">
      <c r="B74" s="4" t="inlineStr">
        <is>
          <t>表4-10</t>
        </is>
      </c>
      <c r="C74" s="5" t="inlineStr">
        <is>
          <t>困ったときの相談先 × 相談支援に期待すること（問22×問26）</t>
        </is>
      </c>
      <c r="D74" s="4" t="inlineStr">
        <is>
          <t>4章_クロス集計</t>
        </is>
      </c>
      <c r="E74" s="6" t="inlineStr">
        <is>
          <t>→ 表示</t>
        </is>
      </c>
    </row>
    <row r="75" ht="17" customHeight="1">
      <c r="B75" s="4" t="inlineStr">
        <is>
          <t>表4-11</t>
        </is>
      </c>
      <c r="C75" s="5" t="inlineStr">
        <is>
          <t>主な介助者 × 地域生活支援拠点等に期待する機能（問9×問29）</t>
        </is>
      </c>
      <c r="D75" s="4" t="inlineStr">
        <is>
          <t>4章_クロス集計</t>
        </is>
      </c>
      <c r="E75" s="6" t="inlineStr">
        <is>
          <t>→ 表示</t>
        </is>
      </c>
    </row>
    <row r="76" ht="17" customHeight="1">
      <c r="B76" s="4" t="inlineStr">
        <is>
          <t>表5-1</t>
        </is>
      </c>
      <c r="C76" s="5" t="inlineStr">
        <is>
          <t>回答者の属性（障がい児調査）</t>
        </is>
      </c>
      <c r="D76" s="4" t="inlineStr">
        <is>
          <t>5章_障がい児</t>
        </is>
      </c>
      <c r="E76" s="6" t="inlineStr">
        <is>
          <t>→ 表示</t>
        </is>
      </c>
    </row>
    <row r="77" ht="17" customHeight="1">
      <c r="B77" s="4" t="inlineStr">
        <is>
          <t>図5-1</t>
        </is>
      </c>
      <c r="C77" s="5" t="inlineStr">
        <is>
          <t>日常生活で困っていること（問10）</t>
        </is>
      </c>
      <c r="D77" s="4" t="inlineStr">
        <is>
          <t>5章_障がい児</t>
        </is>
      </c>
      <c r="E77" s="6" t="inlineStr">
        <is>
          <t>→ 表示</t>
        </is>
      </c>
    </row>
    <row r="78" ht="17" customHeight="1">
      <c r="B78" s="4" t="inlineStr">
        <is>
          <t>図5-2</t>
        </is>
      </c>
      <c r="C78" s="5" t="inlineStr">
        <is>
          <t>外出するときに困ること（問14）</t>
        </is>
      </c>
      <c r="D78" s="4" t="inlineStr">
        <is>
          <t>5章_障がい児</t>
        </is>
      </c>
      <c r="E78" s="6" t="inlineStr">
        <is>
          <t>→ 表示</t>
        </is>
      </c>
    </row>
    <row r="79" ht="17" customHeight="1">
      <c r="B79" s="4" t="inlineStr">
        <is>
          <t>図5-3</t>
        </is>
      </c>
      <c r="C79" s="5" t="inlineStr">
        <is>
          <t>通院や医療で困っていること（問16）</t>
        </is>
      </c>
      <c r="D79" s="4" t="inlineStr">
        <is>
          <t>5章_障がい児</t>
        </is>
      </c>
      <c r="E79" s="6" t="inlineStr">
        <is>
          <t>→ 表示</t>
        </is>
      </c>
    </row>
    <row r="80" ht="17" customHeight="1">
      <c r="B80" s="4" t="inlineStr">
        <is>
          <t>図5-4</t>
        </is>
      </c>
      <c r="C80" s="5" t="inlineStr">
        <is>
          <t>医療的ケアや重い障がいに関して必要な支援（問18）</t>
        </is>
      </c>
      <c r="D80" s="4" t="inlineStr">
        <is>
          <t>5章_障がい児</t>
        </is>
      </c>
      <c r="E80" s="6" t="inlineStr">
        <is>
          <t>→ 表示</t>
        </is>
      </c>
    </row>
    <row r="81" ht="17" customHeight="1">
      <c r="B81" s="4" t="inlineStr">
        <is>
          <t>図5-5</t>
        </is>
      </c>
      <c r="C81" s="5" t="inlineStr">
        <is>
          <t>相談支援に期待すること（問22）</t>
        </is>
      </c>
      <c r="D81" s="4" t="inlineStr">
        <is>
          <t>5章_障がい児</t>
        </is>
      </c>
      <c r="E81" s="6" t="inlineStr">
        <is>
          <t>→ 表示</t>
        </is>
      </c>
    </row>
    <row r="82" ht="17" customHeight="1">
      <c r="B82" s="4" t="inlineStr">
        <is>
          <t>図5-6</t>
        </is>
      </c>
      <c r="C82" s="5" t="inlineStr">
        <is>
          <t>通園・通学や事業所利用で困っていること（問24）</t>
        </is>
      </c>
      <c r="D82" s="4" t="inlineStr">
        <is>
          <t>5章_障がい児</t>
        </is>
      </c>
      <c r="E82" s="6" t="inlineStr">
        <is>
          <t>→ 表示</t>
        </is>
      </c>
    </row>
    <row r="83" ht="17" customHeight="1">
      <c r="B83" s="4" t="inlineStr">
        <is>
          <t>図5-7</t>
        </is>
      </c>
      <c r="C83" s="5" t="inlineStr">
        <is>
          <t>日頃の暮らしに関する評価（問25）</t>
        </is>
      </c>
      <c r="D83" s="4" t="inlineStr">
        <is>
          <t>5章_障がい児</t>
        </is>
      </c>
      <c r="E83" s="6" t="inlineStr">
        <is>
          <t>→ 表示</t>
        </is>
      </c>
    </row>
    <row r="84" ht="17" customHeight="1">
      <c r="B84" s="4" t="inlineStr">
        <is>
          <t>図5-8</t>
        </is>
      </c>
      <c r="C84" s="5" t="inlineStr">
        <is>
          <t>放課後や長期休暇中の過ごし方で困っていること（問31）</t>
        </is>
      </c>
      <c r="D84" s="4" t="inlineStr">
        <is>
          <t>5章_障がい児</t>
        </is>
      </c>
      <c r="E84" s="6" t="inlineStr">
        <is>
          <t>→ 表示</t>
        </is>
      </c>
    </row>
    <row r="85" ht="17" customHeight="1">
      <c r="B85" s="4" t="inlineStr">
        <is>
          <t>表5-2</t>
        </is>
      </c>
      <c r="C85" s="5" t="inlineStr">
        <is>
          <t>サービス別の利用状況・認知度・今後の利用意向（障がい児調査）</t>
        </is>
      </c>
      <c r="D85" s="4" t="inlineStr">
        <is>
          <t>5章_障がい児</t>
        </is>
      </c>
      <c r="E85" s="6" t="inlineStr">
        <is>
          <t>→ 表示</t>
        </is>
      </c>
    </row>
    <row r="86" ht="17" customHeight="1">
      <c r="B86" s="4" t="inlineStr">
        <is>
          <t>図5-9</t>
        </is>
      </c>
      <c r="C86" s="5" t="inlineStr">
        <is>
          <t>サービス別の利用状況・認知度・今後の利用意向（問27～問29）</t>
        </is>
      </c>
      <c r="D86" s="4" t="inlineStr">
        <is>
          <t>5章_障がい児</t>
        </is>
      </c>
      <c r="E86" s="6" t="inlineStr">
        <is>
          <t>→ 表示</t>
        </is>
      </c>
    </row>
    <row r="87" ht="17" customHeight="1">
      <c r="B87" s="4" t="inlineStr">
        <is>
          <t>図5-10</t>
        </is>
      </c>
      <c r="C87" s="5" t="inlineStr">
        <is>
          <t>18歳以降のことで不安なこと（問32）</t>
        </is>
      </c>
      <c r="D87" s="4" t="inlineStr">
        <is>
          <t>5章_障がい児</t>
        </is>
      </c>
      <c r="E87" s="6" t="inlineStr">
        <is>
          <t>→ 表示</t>
        </is>
      </c>
    </row>
    <row r="88" ht="17" customHeight="1">
      <c r="B88" s="4" t="inlineStr">
        <is>
          <t>図5-11</t>
        </is>
      </c>
      <c r="C88" s="5" t="inlineStr">
        <is>
          <t>必要だと思う合理的配慮（問35）</t>
        </is>
      </c>
      <c r="D88" s="4" t="inlineStr">
        <is>
          <t>5章_障がい児</t>
        </is>
      </c>
      <c r="E88" s="6" t="inlineStr">
        <is>
          <t>→ 表示</t>
        </is>
      </c>
    </row>
    <row r="89" ht="17" customHeight="1">
      <c r="B89" s="4" t="inlineStr">
        <is>
          <t>表5-3</t>
        </is>
      </c>
      <c r="C89" s="5" t="inlineStr">
        <is>
          <t>災害時の対応に関する回答（障がい児調査）</t>
        </is>
      </c>
      <c r="D89" s="4" t="inlineStr">
        <is>
          <t>5章_障がい児</t>
        </is>
      </c>
      <c r="E89" s="6" t="inlineStr">
        <is>
          <t>→ 表示</t>
        </is>
      </c>
    </row>
    <row r="90" ht="17" customHeight="1">
      <c r="B90" s="4" t="inlineStr">
        <is>
          <t>図5-12</t>
        </is>
      </c>
      <c r="C90" s="5" t="inlineStr">
        <is>
          <t>今後、村が特に力を入れるべきこと（3つまで）（問43）</t>
        </is>
      </c>
      <c r="D90" s="4" t="inlineStr">
        <is>
          <t>5章_障がい児</t>
        </is>
      </c>
      <c r="E90" s="6" t="inlineStr">
        <is>
          <t>→ 表示</t>
        </is>
      </c>
    </row>
    <row r="91" ht="17" customHeight="1">
      <c r="B91" s="4" t="inlineStr">
        <is>
          <t>表5-4</t>
        </is>
      </c>
      <c r="C91" s="5" t="inlineStr">
        <is>
          <t>クロス集計の主な傾向（障がい児調査・参考）</t>
        </is>
      </c>
      <c r="D91" s="4" t="inlineStr">
        <is>
          <t>5章_障がい児</t>
        </is>
      </c>
      <c r="E91" s="6" t="inlineStr">
        <is>
          <t>→ 表示</t>
        </is>
      </c>
    </row>
    <row r="92" ht="17" customHeight="1">
      <c r="B92" s="4" t="inlineStr">
        <is>
          <t>表5-5</t>
        </is>
      </c>
      <c r="C92" s="5" t="inlineStr">
        <is>
          <t>共通設問の比較</t>
        </is>
      </c>
      <c r="D92" s="4" t="inlineStr">
        <is>
          <t>5章_障がい児</t>
        </is>
      </c>
      <c r="E92" s="6" t="inlineStr">
        <is>
          <t>→ 表示</t>
        </is>
      </c>
    </row>
    <row r="93" ht="17" customHeight="1">
      <c r="B93" s="4" t="inlineStr">
        <is>
          <t>表5-6</t>
        </is>
      </c>
      <c r="C93" s="5" t="inlineStr">
        <is>
          <t>自由記述にみる主な意見（障がい児調査）</t>
        </is>
      </c>
      <c r="D93" s="4" t="inlineStr">
        <is>
          <t>5章_障がい児</t>
        </is>
      </c>
      <c r="E93" s="6" t="inlineStr">
        <is>
          <t>→ 表示</t>
        </is>
      </c>
    </row>
    <row r="94" ht="17" customHeight="1">
      <c r="B94" s="4" t="inlineStr">
        <is>
          <t>表6-1</t>
        </is>
      </c>
      <c r="C94" s="5" t="inlineStr">
        <is>
          <t>課題と計画上の主な取組・指標の関係</t>
        </is>
      </c>
      <c r="D94" s="4" t="inlineStr">
        <is>
          <t>6章_課題</t>
        </is>
      </c>
      <c r="E94" s="6" t="inlineStr">
        <is>
          <t>→ 表示</t>
        </is>
      </c>
    </row>
    <row r="95" ht="17" customHeight="1">
      <c r="B95" s="4" t="inlineStr">
        <is>
          <t>入力データ</t>
        </is>
      </c>
      <c r="C95" s="5" t="inlineStr">
        <is>
          <t>障がい者調査 単純集計（入力用）</t>
        </is>
      </c>
      <c r="D95" s="4" t="inlineStr">
        <is>
          <t>集計_障がい者</t>
        </is>
      </c>
      <c r="E95" s="6" t="inlineStr">
        <is>
          <t>→ 表示</t>
        </is>
      </c>
    </row>
    <row r="96" ht="17" customHeight="1">
      <c r="B96" s="4" t="inlineStr">
        <is>
          <t>入力データ</t>
        </is>
      </c>
      <c r="C96" s="5" t="inlineStr">
        <is>
          <t>障がい児調査 単純集計（入力用）</t>
        </is>
      </c>
      <c r="D96" s="4" t="inlineStr">
        <is>
          <t>集計_障がい児</t>
        </is>
      </c>
      <c r="E96" s="6" t="inlineStr">
        <is>
          <t>→ 表示</t>
        </is>
      </c>
    </row>
  </sheetData>
  <mergeCells count="6">
    <mergeCell ref="B8:E8"/>
    <mergeCell ref="B4:E4"/>
    <mergeCell ref="B6:E6"/>
    <mergeCell ref="B7:E7"/>
    <mergeCell ref="B3:E3"/>
    <mergeCell ref="B5:E5"/>
  </mergeCells>
  <hyperlinks>
    <hyperlink xmlns:r="http://schemas.openxmlformats.org/officeDocument/2006/relationships" ref="E11" r:id="rId1"/>
    <hyperlink xmlns:r="http://schemas.openxmlformats.org/officeDocument/2006/relationships" ref="E12" r:id="rId2"/>
    <hyperlink xmlns:r="http://schemas.openxmlformats.org/officeDocument/2006/relationships" ref="E13" r:id="rId3"/>
    <hyperlink xmlns:r="http://schemas.openxmlformats.org/officeDocument/2006/relationships" ref="E14" r:id="rId4"/>
    <hyperlink xmlns:r="http://schemas.openxmlformats.org/officeDocument/2006/relationships" ref="E15" r:id="rId5"/>
    <hyperlink xmlns:r="http://schemas.openxmlformats.org/officeDocument/2006/relationships" ref="E16" r:id="rId6"/>
    <hyperlink xmlns:r="http://schemas.openxmlformats.org/officeDocument/2006/relationships" ref="E17" r:id="rId7"/>
    <hyperlink xmlns:r="http://schemas.openxmlformats.org/officeDocument/2006/relationships" ref="E18" r:id="rId8"/>
    <hyperlink xmlns:r="http://schemas.openxmlformats.org/officeDocument/2006/relationships" ref="E19" r:id="rId9"/>
    <hyperlink xmlns:r="http://schemas.openxmlformats.org/officeDocument/2006/relationships" ref="E20" r:id="rId10"/>
    <hyperlink xmlns:r="http://schemas.openxmlformats.org/officeDocument/2006/relationships" ref="E21" r:id="rId11"/>
    <hyperlink xmlns:r="http://schemas.openxmlformats.org/officeDocument/2006/relationships" ref="E22" r:id="rId12"/>
    <hyperlink xmlns:r="http://schemas.openxmlformats.org/officeDocument/2006/relationships" ref="E23" r:id="rId13"/>
    <hyperlink xmlns:r="http://schemas.openxmlformats.org/officeDocument/2006/relationships" ref="E24" r:id="rId14"/>
    <hyperlink xmlns:r="http://schemas.openxmlformats.org/officeDocument/2006/relationships" ref="E25" r:id="rId15"/>
    <hyperlink xmlns:r="http://schemas.openxmlformats.org/officeDocument/2006/relationships" ref="E26" r:id="rId16"/>
    <hyperlink xmlns:r="http://schemas.openxmlformats.org/officeDocument/2006/relationships" ref="E27" r:id="rId17"/>
    <hyperlink xmlns:r="http://schemas.openxmlformats.org/officeDocument/2006/relationships" ref="E28" r:id="rId18"/>
    <hyperlink xmlns:r="http://schemas.openxmlformats.org/officeDocument/2006/relationships" ref="E29" r:id="rId19"/>
    <hyperlink xmlns:r="http://schemas.openxmlformats.org/officeDocument/2006/relationships" ref="E30" r:id="rId20"/>
    <hyperlink xmlns:r="http://schemas.openxmlformats.org/officeDocument/2006/relationships" ref="E31" r:id="rId21"/>
    <hyperlink xmlns:r="http://schemas.openxmlformats.org/officeDocument/2006/relationships" ref="E32" r:id="rId22"/>
    <hyperlink xmlns:r="http://schemas.openxmlformats.org/officeDocument/2006/relationships" ref="E33" r:id="rId23"/>
    <hyperlink xmlns:r="http://schemas.openxmlformats.org/officeDocument/2006/relationships" ref="E34" r:id="rId24"/>
    <hyperlink xmlns:r="http://schemas.openxmlformats.org/officeDocument/2006/relationships" ref="E35" r:id="rId25"/>
    <hyperlink xmlns:r="http://schemas.openxmlformats.org/officeDocument/2006/relationships" ref="E36" r:id="rId26"/>
    <hyperlink xmlns:r="http://schemas.openxmlformats.org/officeDocument/2006/relationships" ref="E37" r:id="rId27"/>
    <hyperlink xmlns:r="http://schemas.openxmlformats.org/officeDocument/2006/relationships" ref="E38" r:id="rId28"/>
    <hyperlink xmlns:r="http://schemas.openxmlformats.org/officeDocument/2006/relationships" ref="E39" r:id="rId29"/>
    <hyperlink xmlns:r="http://schemas.openxmlformats.org/officeDocument/2006/relationships" ref="E40" r:id="rId30"/>
    <hyperlink xmlns:r="http://schemas.openxmlformats.org/officeDocument/2006/relationships" ref="E41" r:id="rId31"/>
    <hyperlink xmlns:r="http://schemas.openxmlformats.org/officeDocument/2006/relationships" ref="E42" r:id="rId32"/>
    <hyperlink xmlns:r="http://schemas.openxmlformats.org/officeDocument/2006/relationships" ref="E43" r:id="rId33"/>
    <hyperlink xmlns:r="http://schemas.openxmlformats.org/officeDocument/2006/relationships" ref="E44" r:id="rId34"/>
    <hyperlink xmlns:r="http://schemas.openxmlformats.org/officeDocument/2006/relationships" ref="E45" r:id="rId35"/>
    <hyperlink xmlns:r="http://schemas.openxmlformats.org/officeDocument/2006/relationships" ref="E46" r:id="rId36"/>
    <hyperlink xmlns:r="http://schemas.openxmlformats.org/officeDocument/2006/relationships" ref="E47" r:id="rId37"/>
    <hyperlink xmlns:r="http://schemas.openxmlformats.org/officeDocument/2006/relationships" ref="E48" r:id="rId38"/>
    <hyperlink xmlns:r="http://schemas.openxmlformats.org/officeDocument/2006/relationships" ref="E49" r:id="rId39"/>
    <hyperlink xmlns:r="http://schemas.openxmlformats.org/officeDocument/2006/relationships" ref="E50" r:id="rId40"/>
    <hyperlink xmlns:r="http://schemas.openxmlformats.org/officeDocument/2006/relationships" ref="E51" r:id="rId41"/>
    <hyperlink xmlns:r="http://schemas.openxmlformats.org/officeDocument/2006/relationships" ref="E52" r:id="rId42"/>
    <hyperlink xmlns:r="http://schemas.openxmlformats.org/officeDocument/2006/relationships" ref="E53" r:id="rId43"/>
    <hyperlink xmlns:r="http://schemas.openxmlformats.org/officeDocument/2006/relationships" ref="E54" r:id="rId44"/>
    <hyperlink xmlns:r="http://schemas.openxmlformats.org/officeDocument/2006/relationships" ref="E55" r:id="rId45"/>
    <hyperlink xmlns:r="http://schemas.openxmlformats.org/officeDocument/2006/relationships" ref="E56" r:id="rId46"/>
    <hyperlink xmlns:r="http://schemas.openxmlformats.org/officeDocument/2006/relationships" ref="E57" r:id="rId47"/>
    <hyperlink xmlns:r="http://schemas.openxmlformats.org/officeDocument/2006/relationships" ref="E58" r:id="rId48"/>
    <hyperlink xmlns:r="http://schemas.openxmlformats.org/officeDocument/2006/relationships" ref="E59" r:id="rId49"/>
    <hyperlink xmlns:r="http://schemas.openxmlformats.org/officeDocument/2006/relationships" ref="E60" r:id="rId50"/>
    <hyperlink xmlns:r="http://schemas.openxmlformats.org/officeDocument/2006/relationships" ref="E61" r:id="rId51"/>
    <hyperlink xmlns:r="http://schemas.openxmlformats.org/officeDocument/2006/relationships" ref="E62" r:id="rId52"/>
    <hyperlink xmlns:r="http://schemas.openxmlformats.org/officeDocument/2006/relationships" ref="E63" r:id="rId53"/>
    <hyperlink xmlns:r="http://schemas.openxmlformats.org/officeDocument/2006/relationships" ref="E64" r:id="rId54"/>
    <hyperlink xmlns:r="http://schemas.openxmlformats.org/officeDocument/2006/relationships" ref="E65" r:id="rId55"/>
    <hyperlink xmlns:r="http://schemas.openxmlformats.org/officeDocument/2006/relationships" ref="E66" r:id="rId56"/>
    <hyperlink xmlns:r="http://schemas.openxmlformats.org/officeDocument/2006/relationships" ref="E67" r:id="rId57"/>
    <hyperlink xmlns:r="http://schemas.openxmlformats.org/officeDocument/2006/relationships" ref="E68" r:id="rId58"/>
    <hyperlink xmlns:r="http://schemas.openxmlformats.org/officeDocument/2006/relationships" ref="E69" r:id="rId59"/>
    <hyperlink xmlns:r="http://schemas.openxmlformats.org/officeDocument/2006/relationships" ref="E70" r:id="rId60"/>
    <hyperlink xmlns:r="http://schemas.openxmlformats.org/officeDocument/2006/relationships" ref="E71" r:id="rId61"/>
    <hyperlink xmlns:r="http://schemas.openxmlformats.org/officeDocument/2006/relationships" ref="E72" r:id="rId62"/>
    <hyperlink xmlns:r="http://schemas.openxmlformats.org/officeDocument/2006/relationships" ref="E73" r:id="rId63"/>
    <hyperlink xmlns:r="http://schemas.openxmlformats.org/officeDocument/2006/relationships" ref="E74" r:id="rId64"/>
    <hyperlink xmlns:r="http://schemas.openxmlformats.org/officeDocument/2006/relationships" ref="E75" r:id="rId65"/>
    <hyperlink xmlns:r="http://schemas.openxmlformats.org/officeDocument/2006/relationships" ref="E76" r:id="rId66"/>
    <hyperlink xmlns:r="http://schemas.openxmlformats.org/officeDocument/2006/relationships" ref="E77" r:id="rId67"/>
    <hyperlink xmlns:r="http://schemas.openxmlformats.org/officeDocument/2006/relationships" ref="E78" r:id="rId68"/>
    <hyperlink xmlns:r="http://schemas.openxmlformats.org/officeDocument/2006/relationships" ref="E79" r:id="rId69"/>
    <hyperlink xmlns:r="http://schemas.openxmlformats.org/officeDocument/2006/relationships" ref="E80" r:id="rId70"/>
    <hyperlink xmlns:r="http://schemas.openxmlformats.org/officeDocument/2006/relationships" ref="E81" r:id="rId71"/>
    <hyperlink xmlns:r="http://schemas.openxmlformats.org/officeDocument/2006/relationships" ref="E82" r:id="rId72"/>
    <hyperlink xmlns:r="http://schemas.openxmlformats.org/officeDocument/2006/relationships" ref="E83" r:id="rId73"/>
    <hyperlink xmlns:r="http://schemas.openxmlformats.org/officeDocument/2006/relationships" ref="E84" r:id="rId74"/>
    <hyperlink xmlns:r="http://schemas.openxmlformats.org/officeDocument/2006/relationships" ref="E85" r:id="rId75"/>
    <hyperlink xmlns:r="http://schemas.openxmlformats.org/officeDocument/2006/relationships" ref="E86" r:id="rId76"/>
    <hyperlink xmlns:r="http://schemas.openxmlformats.org/officeDocument/2006/relationships" ref="E87" r:id="rId77"/>
    <hyperlink xmlns:r="http://schemas.openxmlformats.org/officeDocument/2006/relationships" ref="E88" r:id="rId78"/>
    <hyperlink xmlns:r="http://schemas.openxmlformats.org/officeDocument/2006/relationships" ref="E89" r:id="rId79"/>
    <hyperlink xmlns:r="http://schemas.openxmlformats.org/officeDocument/2006/relationships" ref="E90" r:id="rId80"/>
    <hyperlink xmlns:r="http://schemas.openxmlformats.org/officeDocument/2006/relationships" ref="E91" r:id="rId81"/>
    <hyperlink xmlns:r="http://schemas.openxmlformats.org/officeDocument/2006/relationships" ref="E92" r:id="rId82"/>
    <hyperlink xmlns:r="http://schemas.openxmlformats.org/officeDocument/2006/relationships" ref="E93" r:id="rId83"/>
    <hyperlink xmlns:r="http://schemas.openxmlformats.org/officeDocument/2006/relationships" ref="E94" r:id="rId84"/>
    <hyperlink xmlns:r="http://schemas.openxmlformats.org/officeDocument/2006/relationships" ref="E95" r:id="rId85"/>
    <hyperlink xmlns:r="http://schemas.openxmlformats.org/officeDocument/2006/relationships" ref="E96" r:id="rId86"/>
  </hyperlinks>
  <pageMargins left="0.75" right="0.75" top="1" bottom="1" header="0.5" footer="0.5"/>
  <pageSetup orientation="portrait" paperSize="9" fitToHeight="0" fitToWidth="1"/>
</worksheet>
</file>

<file path=xl/worksheets/sheet2.xml><?xml version="1.0" encoding="utf-8"?>
<worksheet xmlns="http://schemas.openxmlformats.org/spreadsheetml/2006/main">
  <sheetPr>
    <outlinePr summaryBelow="1" summaryRight="1"/>
    <pageSetUpPr fitToPage="1"/>
  </sheetPr>
  <dimension ref="B2:J46"/>
  <sheetViews>
    <sheetView showGridLines="0" workbookViewId="0">
      <selection activeCell="A1" sqref="A1"/>
    </sheetView>
  </sheetViews>
  <sheetFormatPr baseColWidth="8" defaultRowHeight="15"/>
  <cols>
    <col width="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s>
  <sheetData>
    <row r="2" ht="21" customHeight="1">
      <c r="B2" s="7" t="inlineStr">
        <is>
          <t>表1-1　調査の概要</t>
        </is>
      </c>
    </row>
    <row r="3" ht="17" customHeight="1">
      <c r="B3" s="3" t="inlineStr">
        <is>
          <t>項目</t>
        </is>
      </c>
      <c r="C3" s="3" t="inlineStr">
        <is>
          <t>障がい者調査</t>
        </is>
      </c>
      <c r="D3" s="8" t="n"/>
      <c r="E3" s="8" t="n"/>
      <c r="F3" s="9" t="n"/>
      <c r="G3" s="3" t="inlineStr">
        <is>
          <t>障がい児調査</t>
        </is>
      </c>
      <c r="H3" s="8" t="n"/>
      <c r="I3" s="8" t="n"/>
      <c r="J3" s="9" t="n"/>
    </row>
    <row r="4" ht="30" customHeight="1">
      <c r="B4" s="10" t="inlineStr">
        <is>
          <t>調査対象</t>
        </is>
      </c>
      <c r="C4" s="11" t="inlineStr">
        <is>
          <t>村内在住の18歳以上の障がいのある方 【対象要件を記入】</t>
        </is>
      </c>
      <c r="D4" s="8" t="n"/>
      <c r="E4" s="8" t="n"/>
      <c r="F4" s="9" t="n"/>
      <c r="G4" s="11" t="inlineStr">
        <is>
          <t>村内在住の18歳未満の障がいのある児童とその保護者 【対象要件を記入】</t>
        </is>
      </c>
      <c r="H4" s="8" t="n"/>
      <c r="I4" s="8" t="n"/>
      <c r="J4" s="9" t="n"/>
    </row>
    <row r="5" ht="17" customHeight="1">
      <c r="B5" s="10" t="inlineStr">
        <is>
          <t>調査方法</t>
        </is>
      </c>
      <c r="C5" s="11" t="inlineStr">
        <is>
          <t>【例：郵送配布・郵送回収】</t>
        </is>
      </c>
      <c r="D5" s="8" t="n"/>
      <c r="E5" s="8" t="n"/>
      <c r="F5" s="9" t="n"/>
      <c r="G5" s="11" t="inlineStr">
        <is>
          <t>【例：郵送配布・郵送回収】</t>
        </is>
      </c>
      <c r="H5" s="8" t="n"/>
      <c r="I5" s="8" t="n"/>
      <c r="J5" s="9" t="n"/>
    </row>
    <row r="6" ht="17" customHeight="1">
      <c r="B6" s="10" t="inlineStr">
        <is>
          <t>調査期間</t>
        </is>
      </c>
      <c r="C6" s="11" t="inlineStr">
        <is>
          <t>令和8年○月○日～令和8年○月○日</t>
        </is>
      </c>
      <c r="D6" s="8" t="n"/>
      <c r="E6" s="8" t="n"/>
      <c r="F6" s="9" t="n"/>
      <c r="G6" s="11" t="inlineStr">
        <is>
          <t>令和8年○月○日～令和8年○月○日</t>
        </is>
      </c>
      <c r="H6" s="8" t="n"/>
      <c r="I6" s="8" t="n"/>
      <c r="J6" s="9" t="n"/>
    </row>
    <row r="7" ht="17" customHeight="1">
      <c r="B7" s="10" t="inlineStr">
        <is>
          <t>配布数</t>
        </is>
      </c>
      <c r="C7" s="11" t="inlineStr">
        <is>
          <t>○○件</t>
        </is>
      </c>
      <c r="D7" s="8" t="n"/>
      <c r="E7" s="8" t="n"/>
      <c r="F7" s="9" t="n"/>
      <c r="G7" s="11" t="inlineStr">
        <is>
          <t>○○件</t>
        </is>
      </c>
      <c r="H7" s="8" t="n"/>
      <c r="I7" s="8" t="n"/>
      <c r="J7" s="9" t="n"/>
    </row>
    <row r="8" ht="17" customHeight="1">
      <c r="B8" s="10" t="inlineStr">
        <is>
          <t>有効回答数</t>
        </is>
      </c>
      <c r="C8" s="5" t="inlineStr">
        <is>
          <t>38件</t>
        </is>
      </c>
      <c r="D8" s="8" t="n"/>
      <c r="E8" s="8" t="n"/>
      <c r="F8" s="9" t="n"/>
      <c r="G8" s="5" t="inlineStr">
        <is>
          <t>3件</t>
        </is>
      </c>
      <c r="H8" s="8" t="n"/>
      <c r="I8" s="8" t="n"/>
      <c r="J8" s="9" t="n"/>
    </row>
    <row r="9" ht="17" customHeight="1">
      <c r="B9" s="10" t="inlineStr">
        <is>
          <t>有効回答率</t>
        </is>
      </c>
      <c r="C9" s="11" t="inlineStr">
        <is>
          <t>○○.○％</t>
        </is>
      </c>
      <c r="D9" s="8" t="n"/>
      <c r="E9" s="8" t="n"/>
      <c r="F9" s="9" t="n"/>
      <c r="G9" s="11" t="inlineStr">
        <is>
          <t>○○.○％</t>
        </is>
      </c>
      <c r="H9" s="8" t="n"/>
      <c r="I9" s="8" t="n"/>
      <c r="J9" s="9" t="n"/>
    </row>
    <row r="10" ht="15" customHeight="1">
      <c r="B10" s="12" t="inlineStr">
        <is>
          <t>※黄色の網掛け部分は、集計データに含まれていないため、実施状況に合わせて記入してください。</t>
        </is>
      </c>
    </row>
    <row r="12" ht="21" customHeight="1">
      <c r="B12" s="7" t="inlineStr">
        <is>
          <t>表1-2　調査項目の構成</t>
        </is>
      </c>
    </row>
    <row r="13" ht="17" customHeight="1">
      <c r="B13" s="3" t="inlineStr">
        <is>
          <t>分野</t>
        </is>
      </c>
      <c r="C13" s="3" t="inlineStr">
        <is>
          <t>障がい者調査</t>
        </is>
      </c>
      <c r="D13" s="8" t="n"/>
      <c r="E13" s="9" t="n"/>
      <c r="F13" s="3" t="inlineStr">
        <is>
          <t>障がい児調査</t>
        </is>
      </c>
      <c r="G13" s="8" t="n"/>
      <c r="H13" s="9" t="n"/>
    </row>
    <row r="14" ht="17" customHeight="1">
      <c r="B14" s="5" t="inlineStr">
        <is>
          <t>回答者の属性</t>
        </is>
      </c>
      <c r="C14" s="4" t="inlineStr">
        <is>
          <t>問1～問9</t>
        </is>
      </c>
      <c r="D14" s="8" t="n"/>
      <c r="E14" s="9" t="n"/>
      <c r="F14" s="4" t="inlineStr">
        <is>
          <t>問1～問9</t>
        </is>
      </c>
      <c r="G14" s="8" t="n"/>
      <c r="H14" s="9" t="n"/>
    </row>
    <row r="15" ht="17" customHeight="1">
      <c r="B15" s="13" t="inlineStr">
        <is>
          <t>日常生活と将来の暮らし</t>
        </is>
      </c>
      <c r="C15" s="14" t="inlineStr">
        <is>
          <t>問10～問11</t>
        </is>
      </c>
      <c r="D15" s="8" t="n"/>
      <c r="E15" s="9" t="n"/>
      <c r="F15" s="14" t="inlineStr">
        <is>
          <t>問10～問11</t>
        </is>
      </c>
      <c r="G15" s="8" t="n"/>
      <c r="H15" s="9" t="n"/>
    </row>
    <row r="16" ht="17" customHeight="1">
      <c r="B16" s="5" t="inlineStr">
        <is>
          <t>外出・移動</t>
        </is>
      </c>
      <c r="C16" s="4" t="inlineStr">
        <is>
          <t>問12～問14</t>
        </is>
      </c>
      <c r="D16" s="8" t="n"/>
      <c r="E16" s="9" t="n"/>
      <c r="F16" s="4" t="inlineStr">
        <is>
          <t>問12～問14</t>
        </is>
      </c>
      <c r="G16" s="8" t="n"/>
      <c r="H16" s="9" t="n"/>
    </row>
    <row r="17" ht="17" customHeight="1">
      <c r="B17" s="13" t="inlineStr">
        <is>
          <t>医療・医療的ケア等</t>
        </is>
      </c>
      <c r="C17" s="14" t="inlineStr">
        <is>
          <t>問15～問20</t>
        </is>
      </c>
      <c r="D17" s="8" t="n"/>
      <c r="E17" s="9" t="n"/>
      <c r="F17" s="14" t="inlineStr">
        <is>
          <t>問15～問18、問26</t>
        </is>
      </c>
      <c r="G17" s="8" t="n"/>
      <c r="H17" s="9" t="n"/>
    </row>
    <row r="18" ht="17" customHeight="1">
      <c r="B18" s="5" t="inlineStr">
        <is>
          <t>意思決定支援・相談・情報</t>
        </is>
      </c>
      <c r="C18" s="4" t="inlineStr">
        <is>
          <t>問21～問26</t>
        </is>
      </c>
      <c r="D18" s="8" t="n"/>
      <c r="E18" s="9" t="n"/>
      <c r="F18" s="4" t="inlineStr">
        <is>
          <t>問19～問22</t>
        </is>
      </c>
      <c r="G18" s="8" t="n"/>
      <c r="H18" s="9" t="n"/>
    </row>
    <row r="19" ht="17" customHeight="1">
      <c r="B19" s="13" t="inlineStr">
        <is>
          <t>通園・通学、放課後の過ごし方</t>
        </is>
      </c>
      <c r="C19" s="14" t="inlineStr">
        <is>
          <t>―</t>
        </is>
      </c>
      <c r="D19" s="8" t="n"/>
      <c r="E19" s="9" t="n"/>
      <c r="F19" s="14" t="inlineStr">
        <is>
          <t>問23～問25、問31</t>
        </is>
      </c>
      <c r="G19" s="8" t="n"/>
      <c r="H19" s="9" t="n"/>
    </row>
    <row r="20" ht="17" customHeight="1">
      <c r="B20" s="5" t="inlineStr">
        <is>
          <t>福祉サービスの利用</t>
        </is>
      </c>
      <c r="C20" s="4" t="inlineStr">
        <is>
          <t>問27～問30</t>
        </is>
      </c>
      <c r="D20" s="8" t="n"/>
      <c r="E20" s="9" t="n"/>
      <c r="F20" s="4" t="inlineStr">
        <is>
          <t>問27～問30</t>
        </is>
      </c>
      <c r="G20" s="8" t="n"/>
      <c r="H20" s="9" t="n"/>
    </row>
    <row r="21" ht="17" customHeight="1">
      <c r="B21" s="13" t="inlineStr">
        <is>
          <t>日中活動・就労</t>
        </is>
      </c>
      <c r="C21" s="14" t="inlineStr">
        <is>
          <t>問31～問33</t>
        </is>
      </c>
      <c r="D21" s="8" t="n"/>
      <c r="E21" s="9" t="n"/>
      <c r="F21" s="14" t="inlineStr">
        <is>
          <t>―</t>
        </is>
      </c>
      <c r="G21" s="8" t="n"/>
      <c r="H21" s="9" t="n"/>
    </row>
    <row r="22" ht="17" customHeight="1">
      <c r="B22" s="5" t="inlineStr">
        <is>
          <t>18歳以降の生活</t>
        </is>
      </c>
      <c r="C22" s="4" t="inlineStr">
        <is>
          <t>―</t>
        </is>
      </c>
      <c r="D22" s="8" t="n"/>
      <c r="E22" s="9" t="n"/>
      <c r="F22" s="4" t="inlineStr">
        <is>
          <t>問32</t>
        </is>
      </c>
      <c r="G22" s="8" t="n"/>
      <c r="H22" s="9" t="n"/>
    </row>
    <row r="23" ht="17" customHeight="1">
      <c r="B23" s="13" t="inlineStr">
        <is>
          <t>差別解消・権利擁護</t>
        </is>
      </c>
      <c r="C23" s="14" t="inlineStr">
        <is>
          <t>問34～問37</t>
        </is>
      </c>
      <c r="D23" s="8" t="n"/>
      <c r="E23" s="9" t="n"/>
      <c r="F23" s="14" t="inlineStr">
        <is>
          <t>問33～問36</t>
        </is>
      </c>
      <c r="G23" s="8" t="n"/>
      <c r="H23" s="9" t="n"/>
    </row>
    <row r="24" ht="17" customHeight="1">
      <c r="B24" s="5" t="inlineStr">
        <is>
          <t>災害時の対応</t>
        </is>
      </c>
      <c r="C24" s="4" t="inlineStr">
        <is>
          <t>問38～問41</t>
        </is>
      </c>
      <c r="D24" s="8" t="n"/>
      <c r="E24" s="9" t="n"/>
      <c r="F24" s="4" t="inlineStr">
        <is>
          <t>問37～問40</t>
        </is>
      </c>
      <c r="G24" s="8" t="n"/>
      <c r="H24" s="9" t="n"/>
    </row>
    <row r="25" ht="17" customHeight="1">
      <c r="B25" s="13" t="inlineStr">
        <is>
          <t>社会参加・理解促進・村の施策</t>
        </is>
      </c>
      <c r="C25" s="14" t="inlineStr">
        <is>
          <t>問42～問44</t>
        </is>
      </c>
      <c r="D25" s="8" t="n"/>
      <c r="E25" s="9" t="n"/>
      <c r="F25" s="14" t="inlineStr">
        <is>
          <t>問41～問43</t>
        </is>
      </c>
      <c r="G25" s="8" t="n"/>
      <c r="H25" s="9" t="n"/>
    </row>
    <row r="26" ht="17" customHeight="1">
      <c r="B26" s="5" t="inlineStr">
        <is>
          <t>自由意見</t>
        </is>
      </c>
      <c r="C26" s="4" t="inlineStr">
        <is>
          <t>問10-2、問45</t>
        </is>
      </c>
      <c r="D26" s="8" t="n"/>
      <c r="E26" s="9" t="n"/>
      <c r="F26" s="4" t="inlineStr">
        <is>
          <t>問10-2、問32-1、問44</t>
        </is>
      </c>
      <c r="G26" s="8" t="n"/>
      <c r="H26" s="9" t="n"/>
    </row>
    <row r="28" ht="21" customHeight="1">
      <c r="B28" s="7" t="inlineStr">
        <is>
          <t>表2-1　障がい者調査の主要指標</t>
        </is>
      </c>
    </row>
    <row r="29" ht="18" customHeight="1">
      <c r="B29" s="3" t="inlineStr">
        <is>
          <t>分野</t>
        </is>
      </c>
      <c r="C29" s="3" t="inlineStr">
        <is>
          <t>指標</t>
        </is>
      </c>
      <c r="D29" s="8" t="n"/>
      <c r="E29" s="8" t="n"/>
      <c r="F29" s="8" t="n"/>
      <c r="G29" s="9" t="n"/>
      <c r="H29" s="3" t="inlineStr">
        <is>
          <t>結果</t>
        </is>
      </c>
      <c r="I29" s="3" t="inlineStr">
        <is>
          <t>設問</t>
        </is>
      </c>
    </row>
    <row r="30" ht="17" customHeight="1">
      <c r="B30" s="4" t="inlineStr">
        <is>
          <t>回答者</t>
        </is>
      </c>
      <c r="C30" s="5" t="inlineStr">
        <is>
          <t>65歳以上の割合</t>
        </is>
      </c>
      <c r="D30" s="8" t="n"/>
      <c r="E30" s="8" t="n"/>
      <c r="F30" s="8" t="n"/>
      <c r="G30" s="9" t="n"/>
      <c r="H30" s="15">
        <f>IF('集計_障がい者'!$F$18=0,0,SUM('集計_障がい者'!$D$18)/'集計_障がい者'!$F$18)</f>
        <v>0.675675675675676</v>
      </c>
      <c r="I30" s="4" t="inlineStr">
        <is>
          <t>問2</t>
        </is>
      </c>
    </row>
    <row r="31" ht="17" customHeight="1">
      <c r="B31" s="4" t="inlineStr">
        <is>
          <t>回答者</t>
        </is>
      </c>
      <c r="C31" s="5" t="inlineStr">
        <is>
          <t>主たる障がいが「身体障がい」</t>
        </is>
      </c>
      <c r="D31" s="8" t="n"/>
      <c r="E31" s="8" t="n"/>
      <c r="F31" s="8" t="n"/>
      <c r="G31" s="9" t="n"/>
      <c r="H31" s="15">
        <f>IF('集計_障がい者'!$F$34=0,0,SUM('集計_障がい者'!$D$34)/'集計_障がい者'!$F$34)</f>
        <v>0.702702702702703</v>
      </c>
      <c r="I31" s="4" t="inlineStr">
        <is>
          <t>問6</t>
        </is>
      </c>
    </row>
    <row r="32" ht="17" customHeight="1">
      <c r="B32" s="4" t="inlineStr">
        <is>
          <t>日常生活</t>
        </is>
      </c>
      <c r="C32" s="5" t="inlineStr">
        <is>
          <t>困っていること「将来の生活」（「特にない」を除き第1位）</t>
        </is>
      </c>
      <c r="D32" s="8" t="n"/>
      <c r="E32" s="8" t="n"/>
      <c r="F32" s="8" t="n"/>
      <c r="G32" s="9" t="n"/>
      <c r="H32" s="15">
        <f>IF('集計_障がい者'!$F$77=0,0,SUM('集計_障がい者'!$D$77)/'集計_障がい者'!$F$77)</f>
        <v>0.305555555555556</v>
      </c>
      <c r="I32" s="4" t="inlineStr">
        <is>
          <t>問10</t>
        </is>
      </c>
    </row>
    <row r="33" ht="17" customHeight="1">
      <c r="B33" s="4" t="inlineStr">
        <is>
          <t>将来の暮らし</t>
        </is>
      </c>
      <c r="C33" s="5" t="inlineStr">
        <is>
          <t>「今の自宅で暮らしたい」</t>
        </is>
      </c>
      <c r="D33" s="8" t="n"/>
      <c r="E33" s="8" t="n"/>
      <c r="F33" s="8" t="n"/>
      <c r="G33" s="9" t="n"/>
      <c r="H33" s="15">
        <f>IF('集計_障がい者'!$F$80=0,0,SUM('集計_障がい者'!$D$80)/'集計_障がい者'!$F$80)</f>
        <v>0.416666666666667</v>
      </c>
      <c r="I33" s="4" t="inlineStr">
        <is>
          <t>問11</t>
        </is>
      </c>
    </row>
    <row r="34" ht="17" customHeight="1">
      <c r="B34" s="4" t="inlineStr">
        <is>
          <t>外出・移動</t>
        </is>
      </c>
      <c r="C34" s="5" t="inlineStr">
        <is>
          <t>外出時に困ること「冬季・積雪時に外出しにくい」</t>
        </is>
      </c>
      <c r="D34" s="8" t="n"/>
      <c r="E34" s="8" t="n"/>
      <c r="F34" s="8" t="n"/>
      <c r="G34" s="9" t="n"/>
      <c r="H34" s="15">
        <f>IF('集計_障がい者'!$F$105=0,0,SUM('集計_障がい者'!$D$105)/'集計_障がい者'!$F$105)</f>
        <v>0.382352941176471</v>
      </c>
      <c r="I34" s="4" t="inlineStr">
        <is>
          <t>問14</t>
        </is>
      </c>
    </row>
    <row r="35" ht="17" customHeight="1">
      <c r="B35" s="4" t="inlineStr">
        <is>
          <t>相談</t>
        </is>
      </c>
      <c r="C35" s="5" t="inlineStr">
        <is>
          <t>困ったときの相談相手「家族・親族」</t>
        </is>
      </c>
      <c r="D35" s="8" t="n"/>
      <c r="E35" s="8" t="n"/>
      <c r="F35" s="8" t="n"/>
      <c r="G35" s="9" t="n"/>
      <c r="H35" s="15">
        <f>IF('集計_障がい者'!$F$162=0,0,SUM('集計_障がい者'!$D$162)/'集計_障がい者'!$F$162)</f>
        <v>0.783783783783784</v>
      </c>
      <c r="I35" s="4" t="inlineStr">
        <is>
          <t>問22</t>
        </is>
      </c>
    </row>
    <row r="36" ht="17" customHeight="1">
      <c r="B36" s="4" t="inlineStr">
        <is>
          <t>相談</t>
        </is>
      </c>
      <c r="C36" s="5" t="inlineStr">
        <is>
          <t>相談支援への期待「わかりやすい情報提供」</t>
        </is>
      </c>
      <c r="D36" s="8" t="n"/>
      <c r="E36" s="8" t="n"/>
      <c r="F36" s="8" t="n"/>
      <c r="G36" s="9" t="n"/>
      <c r="H36" s="15">
        <f>IF('集計_障がい者'!$F$203=0,0,SUM('集計_障がい者'!$D$203)/'集計_障がい者'!$F$203)</f>
        <v>0.482758620689655</v>
      </c>
      <c r="I36" s="4" t="inlineStr">
        <is>
          <t>問26</t>
        </is>
      </c>
    </row>
    <row r="37" ht="17" customHeight="1">
      <c r="B37" s="4" t="inlineStr">
        <is>
          <t>意思決定支援</t>
        </is>
      </c>
      <c r="C37" s="5" t="inlineStr">
        <is>
          <t>「必要である」＋「将来的には必要になると思う」</t>
        </is>
      </c>
      <c r="D37" s="8" t="n"/>
      <c r="E37" s="8" t="n"/>
      <c r="F37" s="8" t="n"/>
      <c r="G37" s="9" t="n"/>
      <c r="H37" s="15">
        <f>IF('集計_障がい者'!$F$158=0,0,SUM('集計_障がい者'!$D$158,'集計_障がい者'!$D$159)/'集計_障がい者'!$F$158)</f>
        <v>0.606060606060606</v>
      </c>
      <c r="I37" s="4" t="inlineStr">
        <is>
          <t>問21</t>
        </is>
      </c>
    </row>
    <row r="38" ht="17" customHeight="1">
      <c r="B38" s="4" t="inlineStr">
        <is>
          <t>サービス</t>
        </is>
      </c>
      <c r="C38" s="5" t="inlineStr">
        <is>
          <t>現在利用しているサービスは「特にない」</t>
        </is>
      </c>
      <c r="D38" s="8" t="n"/>
      <c r="E38" s="8" t="n"/>
      <c r="F38" s="8" t="n"/>
      <c r="G38" s="9" t="n"/>
      <c r="H38" s="15">
        <f>IF('集計_障がい者'!$F$223=0,0,SUM('集計_障がい者'!$D$223)/'集計_障がい者'!$F$223)</f>
        <v>0.566666666666667</v>
      </c>
      <c r="I38" s="4" t="inlineStr">
        <is>
          <t>問27-1</t>
        </is>
      </c>
    </row>
    <row r="39" ht="17" customHeight="1">
      <c r="B39" s="4" t="inlineStr">
        <is>
          <t>サービス</t>
        </is>
      </c>
      <c r="C39" s="5" t="inlineStr">
        <is>
          <t>今後3年間で「施設入所支援」を利用したい</t>
        </is>
      </c>
      <c r="D39" s="8" t="n"/>
      <c r="E39" s="8" t="n"/>
      <c r="F39" s="8" t="n"/>
      <c r="G39" s="9" t="n"/>
      <c r="H39" s="15">
        <f>IF('集計_障がい者'!$F$255=0,0,SUM('集計_障がい者'!$D$255)/'集計_障がい者'!$F$255)</f>
        <v>0.321428571428571</v>
      </c>
      <c r="I39" s="4" t="inlineStr">
        <is>
          <t>問27-3</t>
        </is>
      </c>
    </row>
    <row r="40" ht="17" customHeight="1">
      <c r="B40" s="4" t="inlineStr">
        <is>
          <t>地域生活支援拠点</t>
        </is>
      </c>
      <c r="C40" s="5" t="inlineStr">
        <is>
          <t>期待する機能「緊急時の受入れ」</t>
        </is>
      </c>
      <c r="D40" s="8" t="n"/>
      <c r="E40" s="8" t="n"/>
      <c r="F40" s="8" t="n"/>
      <c r="G40" s="9" t="n"/>
      <c r="H40" s="15">
        <f>IF('集計_障がい者'!$F$272=0,0,SUM('集計_障がい者'!$D$272)/'集計_障がい者'!$F$272)</f>
        <v>0.419354838709677</v>
      </c>
      <c r="I40" s="4" t="inlineStr">
        <is>
          <t>問29</t>
        </is>
      </c>
    </row>
    <row r="41" ht="17" customHeight="1">
      <c r="B41" s="4" t="inlineStr">
        <is>
          <t>権利擁護</t>
        </is>
      </c>
      <c r="C41" s="5" t="inlineStr">
        <is>
          <t>差別・偏見・不利益を感じたことがある</t>
        </is>
      </c>
      <c r="D41" s="8" t="n"/>
      <c r="E41" s="8" t="n"/>
      <c r="F41" s="8" t="n"/>
      <c r="G41" s="9" t="n"/>
      <c r="H41" s="15">
        <f>IF('集計_障がい者'!$F$315=0,0,SUM('集計_障がい者'!$D$315,'集計_障がい者'!$D$316,'集計_障がい者'!$D$317)/'集計_障がい者'!$F$315)</f>
        <v>0.290322580645161</v>
      </c>
      <c r="I41" s="4" t="inlineStr">
        <is>
          <t>問34</t>
        </is>
      </c>
    </row>
    <row r="42" ht="17" customHeight="1">
      <c r="B42" s="4" t="inlineStr">
        <is>
          <t>権利擁護</t>
        </is>
      </c>
      <c r="C42" s="5" t="inlineStr">
        <is>
          <t>成年後見制度等を「知らない」</t>
        </is>
      </c>
      <c r="D42" s="8" t="n"/>
      <c r="E42" s="8" t="n"/>
      <c r="F42" s="8" t="n"/>
      <c r="G42" s="9" t="n"/>
      <c r="H42" s="15">
        <f>IF('集計_障がい者'!$F$344=0,0,SUM('集計_障がい者'!$D$344)/'集計_障がい者'!$F$344)</f>
        <v>0.424242424242424</v>
      </c>
      <c r="I42" s="4" t="inlineStr">
        <is>
          <t>問37</t>
        </is>
      </c>
    </row>
    <row r="43" ht="17" customHeight="1">
      <c r="B43" s="4" t="inlineStr">
        <is>
          <t>災害</t>
        </is>
      </c>
      <c r="C43" s="5" t="inlineStr">
        <is>
          <t>避難行動要支援者名簿・個別避難計画を「知らない」</t>
        </is>
      </c>
      <c r="D43" s="8" t="n"/>
      <c r="E43" s="8" t="n"/>
      <c r="F43" s="8" t="n"/>
      <c r="G43" s="9" t="n"/>
      <c r="H43" s="15">
        <f>IF('集計_障がい者'!$F$357=0,0,SUM('集計_障がい者'!$D$357)/'集計_障がい者'!$F$357)</f>
        <v>0.764705882352941</v>
      </c>
      <c r="I43" s="4" t="inlineStr">
        <is>
          <t>問39</t>
        </is>
      </c>
    </row>
    <row r="44" ht="17" customHeight="1">
      <c r="B44" s="4" t="inlineStr">
        <is>
          <t>災害</t>
        </is>
      </c>
      <c r="C44" s="5" t="inlineStr">
        <is>
          <t>災害時の不安「避難先での生活」</t>
        </is>
      </c>
      <c r="D44" s="8" t="n"/>
      <c r="E44" s="8" t="n"/>
      <c r="F44" s="8" t="n"/>
      <c r="G44" s="9" t="n"/>
      <c r="H44" s="15">
        <f>IF('集計_障がい者'!$F$346=0,0,SUM('集計_障がい者'!$D$346)/'集計_障がい者'!$F$346)</f>
        <v>0.705882352941177</v>
      </c>
      <c r="I44" s="4" t="inlineStr">
        <is>
          <t>問38</t>
        </is>
      </c>
    </row>
    <row r="45" ht="17" customHeight="1">
      <c r="B45" s="4" t="inlineStr">
        <is>
          <t>村の施策</t>
        </is>
      </c>
      <c r="C45" s="5" t="inlineStr">
        <is>
          <t>力を入れるべきこと「相談支援体制」「災害時支援」</t>
        </is>
      </c>
      <c r="D45" s="8" t="n"/>
      <c r="E45" s="8" t="n"/>
      <c r="F45" s="8" t="n"/>
      <c r="G45" s="9" t="n"/>
      <c r="H45" s="15">
        <f>IF('集計_障がい者'!$F$394=0,0,SUM('集計_障がい者'!$D$394)/'集計_障がい者'!$F$394)</f>
        <v>0.419354838709677</v>
      </c>
      <c r="I45" s="4" t="inlineStr">
        <is>
          <t>問44</t>
        </is>
      </c>
    </row>
    <row r="46" ht="27" customHeight="1">
      <c r="B46" s="12" t="inlineStr">
        <is>
          <t>※意思決定支援は問21の「必要である」と「今は必要ないが、将来的には必要になると思う」の合計、差別・偏見は問34の「週に１回程度」「月に１回程度」「年に１回程度」の合計です。</t>
        </is>
      </c>
    </row>
  </sheetData>
  <mergeCells count="61">
    <mergeCell ref="C16:E16"/>
    <mergeCell ref="F20:H20"/>
    <mergeCell ref="C30:G30"/>
    <mergeCell ref="C34:G34"/>
    <mergeCell ref="C20:E20"/>
    <mergeCell ref="F21:H21"/>
    <mergeCell ref="C8:F8"/>
    <mergeCell ref="F18:H18"/>
    <mergeCell ref="C42:G42"/>
    <mergeCell ref="G4:J4"/>
    <mergeCell ref="C22:E22"/>
    <mergeCell ref="C33:G33"/>
    <mergeCell ref="C7:F7"/>
    <mergeCell ref="F26:H26"/>
    <mergeCell ref="F17:H17"/>
    <mergeCell ref="C45:G45"/>
    <mergeCell ref="C21:E21"/>
    <mergeCell ref="B46:I46"/>
    <mergeCell ref="F23:H23"/>
    <mergeCell ref="C29:G29"/>
    <mergeCell ref="C35:G35"/>
    <mergeCell ref="G9:J9"/>
    <mergeCell ref="C3:F3"/>
    <mergeCell ref="F22:H22"/>
    <mergeCell ref="B10:J10"/>
    <mergeCell ref="F13:H13"/>
    <mergeCell ref="C23:E23"/>
    <mergeCell ref="C6:F6"/>
    <mergeCell ref="C41:G41"/>
    <mergeCell ref="C44:G44"/>
    <mergeCell ref="C17:E17"/>
    <mergeCell ref="C31:G31"/>
    <mergeCell ref="C5:F5"/>
    <mergeCell ref="C40:G40"/>
    <mergeCell ref="C43:G43"/>
    <mergeCell ref="C13:E13"/>
    <mergeCell ref="F14:H14"/>
    <mergeCell ref="C19:E19"/>
    <mergeCell ref="C4:F4"/>
    <mergeCell ref="G8:J8"/>
    <mergeCell ref="C18:E18"/>
    <mergeCell ref="G7:J7"/>
    <mergeCell ref="C36:G36"/>
    <mergeCell ref="C39:G39"/>
    <mergeCell ref="C15:E15"/>
    <mergeCell ref="C24:E24"/>
    <mergeCell ref="F25:H25"/>
    <mergeCell ref="G6:J6"/>
    <mergeCell ref="C9:F9"/>
    <mergeCell ref="F16:H16"/>
    <mergeCell ref="C14:E14"/>
    <mergeCell ref="F19:H19"/>
    <mergeCell ref="G3:J3"/>
    <mergeCell ref="C32:G32"/>
    <mergeCell ref="C38:G38"/>
    <mergeCell ref="C26:E26"/>
    <mergeCell ref="C37:G37"/>
    <mergeCell ref="F15:H15"/>
    <mergeCell ref="G5:J5"/>
    <mergeCell ref="C25:E25"/>
    <mergeCell ref="F24:H24"/>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B2:D122"/>
  <sheetViews>
    <sheetView showGridLines="0" workbookViewId="0">
      <selection activeCell="A1" sqref="A1"/>
    </sheetView>
  </sheetViews>
  <sheetFormatPr baseColWidth="8" defaultRowHeight="15"/>
  <cols>
    <col width="2" customWidth="1" min="1" max="1"/>
    <col width="4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s>
  <sheetData>
    <row r="2" ht="21" customHeight="1">
      <c r="B2" s="7" t="inlineStr">
        <is>
          <t>図3-1　調査票の記入者（問1）</t>
        </is>
      </c>
    </row>
    <row r="3">
      <c r="B3" s="16" t="str">
        <f>"n="&amp;'集計_障がい者'!$F$5&amp;"（単一回答）"</f>
        <v>n=38（単一回答）</v>
      </c>
    </row>
    <row r="4" ht="18" customHeight="1">
      <c r="B4" s="3" t="inlineStr">
        <is>
          <t>選択肢</t>
        </is>
      </c>
      <c r="C4" s="3" t="inlineStr">
        <is>
          <t>件数</t>
        </is>
      </c>
      <c r="D4" s="3" t="inlineStr">
        <is>
          <t>割合</t>
        </is>
      </c>
    </row>
    <row r="5" ht="17" customHeight="1">
      <c r="B5" s="5" t="inlineStr">
        <is>
          <t>宛名のご本人</t>
        </is>
      </c>
      <c r="C5" s="17">
        <f>'集計_障がい者'!$D$5</f>
        <v>24</v>
      </c>
      <c r="D5" s="18">
        <f>'集計_障がい者'!$E$5</f>
        <v>0.631578947368421</v>
      </c>
    </row>
    <row r="6" ht="17" customHeight="1">
      <c r="B6" s="5" t="inlineStr">
        <is>
          <t>ご家族</t>
        </is>
      </c>
      <c r="C6" s="17">
        <f>'集計_障がい者'!$D$6</f>
        <v>9</v>
      </c>
      <c r="D6" s="18">
        <f>'集計_障がい者'!$E$6</f>
        <v>0.236842105263158</v>
      </c>
    </row>
    <row r="7" ht="17" customHeight="1">
      <c r="B7" s="5" t="inlineStr">
        <is>
          <t>支援者・事業所職員</t>
        </is>
      </c>
      <c r="C7" s="17">
        <f>'集計_障がい者'!$D$7</f>
        <v>4</v>
      </c>
      <c r="D7" s="18">
        <f>'集計_障がい者'!$E$7</f>
        <v>0.105263157894737</v>
      </c>
    </row>
    <row r="8" ht="17" customHeight="1">
      <c r="B8" s="5" t="inlineStr">
        <is>
          <t>その他</t>
        </is>
      </c>
      <c r="C8" s="17">
        <f>'集計_障がい者'!$D$8</f>
        <v>1</v>
      </c>
      <c r="D8" s="18">
        <f>'集計_障がい者'!$E$8</f>
        <v>0.0263157894736842</v>
      </c>
    </row>
    <row r="9"/>
    <row r="10"/>
    <row r="13" ht="21" customHeight="1">
      <c r="B13" s="7" t="inlineStr">
        <is>
          <t>図3-2　回答への本人意向の反映（問1-2）</t>
        </is>
      </c>
    </row>
    <row r="14">
      <c r="B14" s="16" t="str">
        <f>"n="&amp;'集計_障がい者'!$F$9&amp;"（単一回答）"</f>
        <v>n=38（単一回答）</v>
      </c>
    </row>
    <row r="15" ht="18" customHeight="1">
      <c r="B15" s="3" t="inlineStr">
        <is>
          <t>選択肢</t>
        </is>
      </c>
      <c r="C15" s="3" t="inlineStr">
        <is>
          <t>件数</t>
        </is>
      </c>
      <c r="D15" s="3" t="inlineStr">
        <is>
          <t>割合</t>
        </is>
      </c>
    </row>
    <row r="16" ht="17" customHeight="1">
      <c r="B16" s="5" t="inlineStr">
        <is>
          <t>本人が回答した</t>
        </is>
      </c>
      <c r="C16" s="17">
        <f>'集計_障がい者'!$D$9</f>
        <v>22</v>
      </c>
      <c r="D16" s="18">
        <f>'集計_障がい者'!$E$9</f>
        <v>0.578947368421053</v>
      </c>
    </row>
    <row r="17" ht="17" customHeight="1">
      <c r="B17" s="5" t="inlineStr">
        <is>
          <t>本人に確認して代理記入した</t>
        </is>
      </c>
      <c r="C17" s="17">
        <f>'集計_障がい者'!$D$10</f>
        <v>8</v>
      </c>
      <c r="D17" s="18">
        <f>'集計_障がい者'!$E$10</f>
        <v>0.210526315789474</v>
      </c>
    </row>
    <row r="18" ht="30" customHeight="1">
      <c r="B18" s="5" t="inlineStr">
        <is>
          <t>本人の様子や日頃の意向を踏まえて代理記入した</t>
        </is>
      </c>
      <c r="C18" s="17">
        <f>'集計_障がい者'!$D$11</f>
        <v>2</v>
      </c>
      <c r="D18" s="18">
        <f>'集計_障がい者'!$E$11</f>
        <v>0.0526315789473684</v>
      </c>
    </row>
    <row r="19" ht="30" customHeight="1">
      <c r="B19" s="5" t="inlineStr">
        <is>
          <t>本人に確認することが難しく、家族・支援者の判断で記入した</t>
        </is>
      </c>
      <c r="C19" s="17">
        <f>'集計_障がい者'!$D$12</f>
        <v>6</v>
      </c>
      <c r="D19" s="18">
        <f>'集計_障がい者'!$E$12</f>
        <v>0.157894736842105</v>
      </c>
    </row>
    <row r="20" ht="17" customHeight="1">
      <c r="B20" s="5" t="inlineStr">
        <is>
          <t>その他</t>
        </is>
      </c>
      <c r="C20" s="17">
        <f>'集計_障がい者'!$D$13</f>
        <v>0</v>
      </c>
      <c r="D20" s="18">
        <f>'集計_障がい者'!$E$13</f>
        <v>0</v>
      </c>
    </row>
    <row r="23" ht="21" customHeight="1">
      <c r="B23" s="7" t="inlineStr">
        <is>
          <t>図3-3　年齢（問2）</t>
        </is>
      </c>
    </row>
    <row r="24">
      <c r="B24" s="16" t="str">
        <f>"n="&amp;'集計_障がい者'!$F$14&amp;"（単一回答）"</f>
        <v>n=37（単一回答）</v>
      </c>
    </row>
    <row r="25" ht="18" customHeight="1">
      <c r="B25" s="3" t="inlineStr">
        <is>
          <t>選択肢</t>
        </is>
      </c>
      <c r="C25" s="3" t="inlineStr">
        <is>
          <t>件数</t>
        </is>
      </c>
      <c r="D25" s="3" t="inlineStr">
        <is>
          <t>割合</t>
        </is>
      </c>
    </row>
    <row r="26" ht="17" customHeight="1">
      <c r="B26" s="5" t="inlineStr">
        <is>
          <t>18～29歳</t>
        </is>
      </c>
      <c r="C26" s="17">
        <f>'集計_障がい者'!$D$14</f>
        <v>0</v>
      </c>
      <c r="D26" s="18">
        <f>'集計_障がい者'!$E$14</f>
        <v>0</v>
      </c>
    </row>
    <row r="27" ht="17" customHeight="1">
      <c r="B27" s="5" t="inlineStr">
        <is>
          <t>30～39歳</t>
        </is>
      </c>
      <c r="C27" s="17">
        <f>'集計_障がい者'!$D$15</f>
        <v>3</v>
      </c>
      <c r="D27" s="18">
        <f>'集計_障がい者'!$E$15</f>
        <v>0.0810810810810811</v>
      </c>
    </row>
    <row r="28" ht="17" customHeight="1">
      <c r="B28" s="5" t="inlineStr">
        <is>
          <t>40～49歳</t>
        </is>
      </c>
      <c r="C28" s="17">
        <f>'集計_障がい者'!$D$16</f>
        <v>2</v>
      </c>
      <c r="D28" s="18">
        <f>'集計_障がい者'!$E$16</f>
        <v>0.0540540540540541</v>
      </c>
    </row>
    <row r="29" ht="17" customHeight="1">
      <c r="B29" s="5" t="inlineStr">
        <is>
          <t>50～64歳</t>
        </is>
      </c>
      <c r="C29" s="17">
        <f>'集計_障がい者'!$D$17</f>
        <v>7</v>
      </c>
      <c r="D29" s="18">
        <f>'集計_障がい者'!$E$17</f>
        <v>0.189189189189189</v>
      </c>
    </row>
    <row r="30" ht="17" customHeight="1">
      <c r="B30" s="5" t="inlineStr">
        <is>
          <t>65歳以上</t>
        </is>
      </c>
      <c r="C30" s="17">
        <f>'集計_障がい者'!$D$18</f>
        <v>25</v>
      </c>
      <c r="D30" s="18">
        <f>'集計_障がい者'!$E$18</f>
        <v>0.675675675675676</v>
      </c>
    </row>
    <row r="31"/>
    <row r="34" ht="21" customHeight="1">
      <c r="B34" s="7" t="inlineStr">
        <is>
          <t>図3-4　お住まいの地区（問3）</t>
        </is>
      </c>
    </row>
    <row r="35">
      <c r="B35" s="16" t="str">
        <f>"n="&amp;'集計_障がい者'!$F$19&amp;"（単一回答）"</f>
        <v>n=38（単一回答）</v>
      </c>
    </row>
    <row r="36" ht="18" customHeight="1">
      <c r="B36" s="3" t="inlineStr">
        <is>
          <t>選択肢</t>
        </is>
      </c>
      <c r="C36" s="3" t="inlineStr">
        <is>
          <t>件数</t>
        </is>
      </c>
      <c r="D36" s="3" t="inlineStr">
        <is>
          <t>割合</t>
        </is>
      </c>
    </row>
    <row r="37" ht="17" customHeight="1">
      <c r="B37" s="5" t="inlineStr">
        <is>
          <t>北山地区</t>
        </is>
      </c>
      <c r="C37" s="17">
        <f>'集計_障がい者'!$D$19</f>
        <v>17</v>
      </c>
      <c r="D37" s="18">
        <f>'集計_障がい者'!$E$19</f>
        <v>0.447368421052632</v>
      </c>
    </row>
    <row r="38" ht="17" customHeight="1">
      <c r="B38" s="5" t="inlineStr">
        <is>
          <t>大塩地区</t>
        </is>
      </c>
      <c r="C38" s="17">
        <f>'集計_障がい者'!$D$20</f>
        <v>7</v>
      </c>
      <c r="D38" s="18">
        <f>'集計_障がい者'!$E$20</f>
        <v>0.184210526315789</v>
      </c>
    </row>
    <row r="39" ht="17" customHeight="1">
      <c r="B39" s="5" t="inlineStr">
        <is>
          <t>桧原地区</t>
        </is>
      </c>
      <c r="C39" s="17">
        <f>'集計_障がい者'!$D$21</f>
        <v>3</v>
      </c>
      <c r="D39" s="18">
        <f>'集計_障がい者'!$E$21</f>
        <v>0.0789473684210526</v>
      </c>
    </row>
    <row r="40" ht="17" customHeight="1">
      <c r="B40" s="5" t="inlineStr">
        <is>
          <t>裏磐梯地区</t>
        </is>
      </c>
      <c r="C40" s="17">
        <f>'集計_障がい者'!$D$22</f>
        <v>10</v>
      </c>
      <c r="D40" s="18">
        <f>'集計_障がい者'!$E$22</f>
        <v>0.263157894736842</v>
      </c>
    </row>
    <row r="41" ht="17" customHeight="1">
      <c r="B41" s="5" t="inlineStr">
        <is>
          <t>その他</t>
        </is>
      </c>
      <c r="C41" s="17">
        <f>'集計_障がい者'!$D$23</f>
        <v>1</v>
      </c>
      <c r="D41" s="18">
        <f>'集計_障がい者'!$E$23</f>
        <v>0.0263157894736842</v>
      </c>
    </row>
    <row r="42"/>
    <row r="45" ht="21" customHeight="1">
      <c r="B45" s="7" t="inlineStr">
        <is>
          <t>図3-5　性別（問4）</t>
        </is>
      </c>
    </row>
    <row r="46">
      <c r="B46" s="16" t="str">
        <f>"n="&amp;'集計_障がい者'!$F$24&amp;"（単一回答）"</f>
        <v>n=38（単一回答）</v>
      </c>
    </row>
    <row r="47" ht="18" customHeight="1">
      <c r="B47" s="3" t="inlineStr">
        <is>
          <t>選択肢</t>
        </is>
      </c>
      <c r="C47" s="3" t="inlineStr">
        <is>
          <t>件数</t>
        </is>
      </c>
      <c r="D47" s="3" t="inlineStr">
        <is>
          <t>割合</t>
        </is>
      </c>
    </row>
    <row r="48" ht="17" customHeight="1">
      <c r="B48" s="5" t="inlineStr">
        <is>
          <t>男性</t>
        </is>
      </c>
      <c r="C48" s="17">
        <f>'集計_障がい者'!$D$24</f>
        <v>16</v>
      </c>
      <c r="D48" s="18">
        <f>'集計_障がい者'!$E$24</f>
        <v>0.421052631578947</v>
      </c>
    </row>
    <row r="49" ht="17" customHeight="1">
      <c r="B49" s="5" t="inlineStr">
        <is>
          <t>女性</t>
        </is>
      </c>
      <c r="C49" s="17">
        <f>'集計_障がい者'!$D$25</f>
        <v>22</v>
      </c>
      <c r="D49" s="18">
        <f>'集計_障がい者'!$E$25</f>
        <v>0.578947368421053</v>
      </c>
    </row>
    <row r="50" ht="17" customHeight="1">
      <c r="B50" s="5" t="inlineStr">
        <is>
          <t>回答しない</t>
        </is>
      </c>
      <c r="C50" s="17">
        <f>'集計_障がい者'!$D$26</f>
        <v>0</v>
      </c>
      <c r="D50" s="18">
        <f>'集計_障がい者'!$E$26</f>
        <v>0</v>
      </c>
    </row>
    <row r="51"/>
    <row r="52"/>
    <row r="53"/>
    <row r="54"/>
    <row r="57" ht="21" customHeight="1">
      <c r="B57" s="7" t="inlineStr">
        <is>
          <t>図3-6　所持している手帳等（問5）</t>
        </is>
      </c>
    </row>
    <row r="58">
      <c r="B58" s="16" t="str">
        <f>"n="&amp;'集計_障がい者'!$F$27&amp;"（複数回答）"</f>
        <v>n=37（複数回答）</v>
      </c>
    </row>
    <row r="59" ht="18" customHeight="1">
      <c r="B59" s="3" t="inlineStr">
        <is>
          <t>選択肢</t>
        </is>
      </c>
      <c r="C59" s="3" t="inlineStr">
        <is>
          <t>件数</t>
        </is>
      </c>
      <c r="D59" s="3" t="inlineStr">
        <is>
          <t>割合</t>
        </is>
      </c>
    </row>
    <row r="60" ht="17" customHeight="1">
      <c r="B60" s="5" t="inlineStr">
        <is>
          <t>身体障がい者手帳</t>
        </is>
      </c>
      <c r="C60" s="17">
        <f>'集計_障がい者'!$D$27</f>
        <v>29</v>
      </c>
      <c r="D60" s="18">
        <f>'集計_障がい者'!$E$27</f>
        <v>0.783783783783784</v>
      </c>
    </row>
    <row r="61" ht="17" customHeight="1">
      <c r="B61" s="5" t="inlineStr">
        <is>
          <t>療育手帳</t>
        </is>
      </c>
      <c r="C61" s="17">
        <f>'集計_障がい者'!$D$28</f>
        <v>2</v>
      </c>
      <c r="D61" s="18">
        <f>'集計_障がい者'!$E$28</f>
        <v>0.0540540540540541</v>
      </c>
    </row>
    <row r="62" ht="17" customHeight="1">
      <c r="B62" s="5" t="inlineStr">
        <is>
          <t>精神障がい者保健福祉手帳</t>
        </is>
      </c>
      <c r="C62" s="17">
        <f>'集計_障がい者'!$D$29</f>
        <v>6</v>
      </c>
      <c r="D62" s="18">
        <f>'集計_障がい者'!$E$29</f>
        <v>0.162162162162162</v>
      </c>
    </row>
    <row r="63" ht="17" customHeight="1">
      <c r="B63" s="5" t="inlineStr">
        <is>
          <t>自立支援医療受給者証</t>
        </is>
      </c>
      <c r="C63" s="17">
        <f>'集計_障がい者'!$D$30</f>
        <v>4</v>
      </c>
      <c r="D63" s="18">
        <f>'集計_障がい者'!$E$30</f>
        <v>0.108108108108108</v>
      </c>
    </row>
    <row r="64" ht="17" customHeight="1">
      <c r="B64" s="5" t="inlineStr">
        <is>
          <t>難病に関する医療受給者証等</t>
        </is>
      </c>
      <c r="C64" s="17">
        <f>'集計_障がい者'!$D$31</f>
        <v>0</v>
      </c>
      <c r="D64" s="18">
        <f>'集計_障がい者'!$E$31</f>
        <v>0</v>
      </c>
    </row>
    <row r="65" ht="30" customHeight="1">
      <c r="B65" s="5" t="inlineStr">
        <is>
          <t>手帳等は持っていないが障がい福祉サービスを利用している</t>
        </is>
      </c>
      <c r="C65" s="17">
        <f>'集計_障がい者'!$D$32</f>
        <v>0</v>
      </c>
      <c r="D65" s="18">
        <f>'集計_障がい者'!$E$32</f>
        <v>0</v>
      </c>
    </row>
    <row r="66" ht="17" customHeight="1">
      <c r="B66" s="5" t="inlineStr">
        <is>
          <t>その他</t>
        </is>
      </c>
      <c r="C66" s="17">
        <f>'集計_障がい者'!$D$33</f>
        <v>2</v>
      </c>
      <c r="D66" s="18">
        <f>'集計_障がい者'!$E$33</f>
        <v>0.0540540540540541</v>
      </c>
    </row>
    <row r="67"/>
    <row r="70" ht="21" customHeight="1">
      <c r="B70" s="7" t="inlineStr">
        <is>
          <t>図3-7　主たる障がい種別（問6）</t>
        </is>
      </c>
    </row>
    <row r="71">
      <c r="B71" s="16" t="str">
        <f>"n="&amp;'集計_障がい者'!$F$34&amp;"（単一回答）"</f>
        <v>n=37（単一回答）</v>
      </c>
    </row>
    <row r="72" ht="18" customHeight="1">
      <c r="B72" s="3" t="inlineStr">
        <is>
          <t>選択肢</t>
        </is>
      </c>
      <c r="C72" s="3" t="inlineStr">
        <is>
          <t>件数</t>
        </is>
      </c>
      <c r="D72" s="3" t="inlineStr">
        <is>
          <t>割合</t>
        </is>
      </c>
    </row>
    <row r="73" ht="17" customHeight="1">
      <c r="B73" s="5" t="inlineStr">
        <is>
          <t>身体障がい</t>
        </is>
      </c>
      <c r="C73" s="17">
        <f>'集計_障がい者'!$D$34</f>
        <v>26</v>
      </c>
      <c r="D73" s="18">
        <f>'集計_障がい者'!$E$34</f>
        <v>0.702702702702703</v>
      </c>
    </row>
    <row r="74" ht="17" customHeight="1">
      <c r="B74" s="5" t="inlineStr">
        <is>
          <t>知的障がい</t>
        </is>
      </c>
      <c r="C74" s="17">
        <f>'集計_障がい者'!$D$35</f>
        <v>2</v>
      </c>
      <c r="D74" s="18">
        <f>'集計_障がい者'!$E$35</f>
        <v>0.0540540540540541</v>
      </c>
    </row>
    <row r="75" ht="17" customHeight="1">
      <c r="B75" s="5" t="inlineStr">
        <is>
          <t>精神障がい</t>
        </is>
      </c>
      <c r="C75" s="17">
        <f>'集計_障がい者'!$D$36</f>
        <v>4</v>
      </c>
      <c r="D75" s="18">
        <f>'集計_障がい者'!$E$36</f>
        <v>0.108108108108108</v>
      </c>
    </row>
    <row r="76" ht="17" customHeight="1">
      <c r="B76" s="5" t="inlineStr">
        <is>
          <t>発達障がい</t>
        </is>
      </c>
      <c r="C76" s="17">
        <f>'集計_障がい者'!$D$37</f>
        <v>3</v>
      </c>
      <c r="D76" s="18">
        <f>'集計_障がい者'!$E$37</f>
        <v>0.0810810810810811</v>
      </c>
    </row>
    <row r="77" ht="17" customHeight="1">
      <c r="B77" s="5" t="inlineStr">
        <is>
          <t>難病</t>
        </is>
      </c>
      <c r="C77" s="17">
        <f>'集計_障がい者'!$D$38</f>
        <v>0</v>
      </c>
      <c r="D77" s="18">
        <f>'集計_障がい者'!$E$38</f>
        <v>0</v>
      </c>
    </row>
    <row r="78" ht="17" customHeight="1">
      <c r="B78" s="5" t="inlineStr">
        <is>
          <t>高次脳機能障がい</t>
        </is>
      </c>
      <c r="C78" s="17">
        <f>'集計_障がい者'!$D$39</f>
        <v>0</v>
      </c>
      <c r="D78" s="18">
        <f>'集計_障がい者'!$E$39</f>
        <v>0</v>
      </c>
    </row>
    <row r="79" ht="17" customHeight="1">
      <c r="B79" s="5" t="inlineStr">
        <is>
          <t>重症心身障がい</t>
        </is>
      </c>
      <c r="C79" s="17">
        <f>'集計_障がい者'!$D$40</f>
        <v>0</v>
      </c>
      <c r="D79" s="18">
        <f>'集計_障がい者'!$E$40</f>
        <v>0</v>
      </c>
    </row>
    <row r="80" ht="17" customHeight="1">
      <c r="B80" s="5" t="inlineStr">
        <is>
          <t>わからない・その他</t>
        </is>
      </c>
      <c r="C80" s="17">
        <f>'集計_障がい者'!$D$41</f>
        <v>2</v>
      </c>
      <c r="D80" s="18">
        <f>'集計_障がい者'!$E$41</f>
        <v>0.0540540540540541</v>
      </c>
    </row>
    <row r="81"/>
    <row r="84" ht="21" customHeight="1">
      <c r="B84" s="7" t="inlineStr">
        <is>
          <t>図3-8　現在の暮らしの場（問7）</t>
        </is>
      </c>
    </row>
    <row r="85">
      <c r="B85" s="16" t="str">
        <f>"n="&amp;'集計_障がい者'!$F$42&amp;"（単一回答）"</f>
        <v>n=37（単一回答）</v>
      </c>
    </row>
    <row r="86" ht="18" customHeight="1">
      <c r="B86" s="3" t="inlineStr">
        <is>
          <t>選択肢</t>
        </is>
      </c>
      <c r="C86" s="3" t="inlineStr">
        <is>
          <t>件数</t>
        </is>
      </c>
      <c r="D86" s="3" t="inlineStr">
        <is>
          <t>割合</t>
        </is>
      </c>
    </row>
    <row r="87" ht="17" customHeight="1">
      <c r="B87" s="5" t="inlineStr">
        <is>
          <t>自宅で家族と暮らしている</t>
        </is>
      </c>
      <c r="C87" s="17">
        <f>'集計_障がい者'!$D$42</f>
        <v>24</v>
      </c>
      <c r="D87" s="18">
        <f>'集計_障がい者'!$E$42</f>
        <v>0.648648648648649</v>
      </c>
    </row>
    <row r="88" ht="17" customHeight="1">
      <c r="B88" s="5" t="inlineStr">
        <is>
          <t>自宅で一人暮らし</t>
        </is>
      </c>
      <c r="C88" s="17">
        <f>'集計_障がい者'!$D$43</f>
        <v>6</v>
      </c>
      <c r="D88" s="18">
        <f>'集計_障がい者'!$E$43</f>
        <v>0.162162162162162</v>
      </c>
    </row>
    <row r="89" ht="17" customHeight="1">
      <c r="B89" s="5" t="inlineStr">
        <is>
          <t>グループホーム</t>
        </is>
      </c>
      <c r="C89" s="17">
        <f>'集計_障がい者'!$D$44</f>
        <v>3</v>
      </c>
      <c r="D89" s="18">
        <f>'集計_障がい者'!$E$44</f>
        <v>0.0810810810810811</v>
      </c>
    </row>
    <row r="90" ht="17" customHeight="1">
      <c r="B90" s="5" t="inlineStr">
        <is>
          <t>障がい者支援施設</t>
        </is>
      </c>
      <c r="C90" s="17">
        <f>'集計_障がい者'!$D$45</f>
        <v>2</v>
      </c>
      <c r="D90" s="18">
        <f>'集計_障がい者'!$E$45</f>
        <v>0.0540540540540541</v>
      </c>
    </row>
    <row r="91" ht="17" customHeight="1">
      <c r="B91" s="5" t="inlineStr">
        <is>
          <t>病院に入院中</t>
        </is>
      </c>
      <c r="C91" s="17">
        <f>'集計_障がい者'!$D$46</f>
        <v>1</v>
      </c>
      <c r="D91" s="18">
        <f>'集計_障がい者'!$E$46</f>
        <v>0.027027027027027</v>
      </c>
    </row>
    <row r="92" ht="17" customHeight="1">
      <c r="B92" s="5" t="inlineStr">
        <is>
          <t>高齢者施設等</t>
        </is>
      </c>
      <c r="C92" s="17">
        <f>'集計_障がい者'!$D$47</f>
        <v>1</v>
      </c>
      <c r="D92" s="18">
        <f>'集計_障がい者'!$E$47</f>
        <v>0.027027027027027</v>
      </c>
    </row>
    <row r="93" ht="17" customHeight="1">
      <c r="B93" s="5" t="inlineStr">
        <is>
          <t>その他</t>
        </is>
      </c>
      <c r="C93" s="17">
        <f>'集計_障がい者'!$D$48</f>
        <v>0</v>
      </c>
      <c r="D93" s="18">
        <f>'集計_障がい者'!$E$48</f>
        <v>0</v>
      </c>
    </row>
    <row r="94"/>
    <row r="97" ht="21" customHeight="1">
      <c r="B97" s="7" t="inlineStr">
        <is>
          <t>図3-9　現在一緒に暮らしている方（問8）</t>
        </is>
      </c>
    </row>
    <row r="98">
      <c r="B98" s="16" t="str">
        <f>"n="&amp;'集計_障がい者'!$F$49&amp;"（複数回答）"</f>
        <v>n=34（複数回答）</v>
      </c>
    </row>
    <row r="99" ht="18" customHeight="1">
      <c r="B99" s="3" t="inlineStr">
        <is>
          <t>選択肢</t>
        </is>
      </c>
      <c r="C99" s="3" t="inlineStr">
        <is>
          <t>件数</t>
        </is>
      </c>
      <c r="D99" s="3" t="inlineStr">
        <is>
          <t>割合</t>
        </is>
      </c>
    </row>
    <row r="100" ht="17" customHeight="1">
      <c r="B100" s="5" t="inlineStr">
        <is>
          <t>一人暮らし</t>
        </is>
      </c>
      <c r="C100" s="17">
        <f>'集計_障がい者'!$D$49</f>
        <v>5</v>
      </c>
      <c r="D100" s="18">
        <f>'集計_障がい者'!$E$49</f>
        <v>0.147058823529412</v>
      </c>
    </row>
    <row r="101" ht="17" customHeight="1">
      <c r="B101" s="5" t="inlineStr">
        <is>
          <t>配偶者</t>
        </is>
      </c>
      <c r="C101" s="17">
        <f>'集計_障がい者'!$D$50</f>
        <v>14</v>
      </c>
      <c r="D101" s="18">
        <f>'集計_障がい者'!$E$50</f>
        <v>0.411764705882353</v>
      </c>
    </row>
    <row r="102" ht="17" customHeight="1">
      <c r="B102" s="5" t="inlineStr">
        <is>
          <t>親</t>
        </is>
      </c>
      <c r="C102" s="17">
        <f>'集計_障がい者'!$D$51</f>
        <v>7</v>
      </c>
      <c r="D102" s="18">
        <f>'集計_障がい者'!$E$51</f>
        <v>0.205882352941176</v>
      </c>
    </row>
    <row r="103" ht="17" customHeight="1">
      <c r="B103" s="5" t="inlineStr">
        <is>
          <t>子ども</t>
        </is>
      </c>
      <c r="C103" s="17">
        <f>'集計_障がい者'!$D$52</f>
        <v>11</v>
      </c>
      <c r="D103" s="18">
        <f>'集計_障がい者'!$E$52</f>
        <v>0.323529411764706</v>
      </c>
    </row>
    <row r="104" ht="17" customHeight="1">
      <c r="B104" s="5" t="inlineStr">
        <is>
          <t>兄弟姉妹</t>
        </is>
      </c>
      <c r="C104" s="17">
        <f>'集計_障がい者'!$D$53</f>
        <v>2</v>
      </c>
      <c r="D104" s="18">
        <f>'集計_障がい者'!$E$53</f>
        <v>0.0588235294117647</v>
      </c>
    </row>
    <row r="105" ht="17" customHeight="1">
      <c r="B105" s="5" t="inlineStr">
        <is>
          <t>祖父母</t>
        </is>
      </c>
      <c r="C105" s="17">
        <f>'集計_障がい者'!$D$54</f>
        <v>1</v>
      </c>
      <c r="D105" s="18">
        <f>'集計_障がい者'!$E$54</f>
        <v>0.0294117647058824</v>
      </c>
    </row>
    <row r="106" ht="17" customHeight="1">
      <c r="B106" s="5" t="inlineStr">
        <is>
          <t>その他</t>
        </is>
      </c>
      <c r="C106" s="17">
        <f>'集計_障がい者'!$D$55</f>
        <v>3</v>
      </c>
      <c r="D106" s="18">
        <f>'集計_障がい者'!$E$55</f>
        <v>0.0882352941176471</v>
      </c>
    </row>
    <row r="107"/>
    <row r="110" ht="21" customHeight="1">
      <c r="B110" s="7" t="inlineStr">
        <is>
          <t>図3-10　日常生活の主な支援者（問9）</t>
        </is>
      </c>
    </row>
    <row r="111">
      <c r="B111" s="16" t="str">
        <f>"n="&amp;'集計_障がい者'!$F$56&amp;"（複数回答）"</f>
        <v>n=37（複数回答）</v>
      </c>
    </row>
    <row r="112" ht="18" customHeight="1">
      <c r="B112" s="3" t="inlineStr">
        <is>
          <t>選択肢</t>
        </is>
      </c>
      <c r="C112" s="3" t="inlineStr">
        <is>
          <t>件数</t>
        </is>
      </c>
      <c r="D112" s="3" t="inlineStr">
        <is>
          <t>割合</t>
        </is>
      </c>
    </row>
    <row r="113" ht="17" customHeight="1">
      <c r="B113" s="5" t="inlineStr">
        <is>
          <t>介助は必要ない</t>
        </is>
      </c>
      <c r="C113" s="17">
        <f>'集計_障がい者'!$D$56</f>
        <v>17</v>
      </c>
      <c r="D113" s="18">
        <f>'集計_障がい者'!$E$56</f>
        <v>0.45945945945946</v>
      </c>
    </row>
    <row r="114" ht="17" customHeight="1">
      <c r="B114" s="5" t="inlineStr">
        <is>
          <t>親</t>
        </is>
      </c>
      <c r="C114" s="17">
        <f>'集計_障がい者'!$D$57</f>
        <v>5</v>
      </c>
      <c r="D114" s="18">
        <f>'集計_障がい者'!$E$57</f>
        <v>0.135135135135135</v>
      </c>
    </row>
    <row r="115" ht="17" customHeight="1">
      <c r="B115" s="5" t="inlineStr">
        <is>
          <t>配偶者</t>
        </is>
      </c>
      <c r="C115" s="17">
        <f>'集計_障がい者'!$D$58</f>
        <v>6</v>
      </c>
      <c r="D115" s="18">
        <f>'集計_障がい者'!$E$58</f>
        <v>0.162162162162162</v>
      </c>
    </row>
    <row r="116" ht="17" customHeight="1">
      <c r="B116" s="5" t="inlineStr">
        <is>
          <t>子ども</t>
        </is>
      </c>
      <c r="C116" s="17">
        <f>'集計_障がい者'!$D$59</f>
        <v>9</v>
      </c>
      <c r="D116" s="18">
        <f>'集計_障がい者'!$E$59</f>
        <v>0.243243243243243</v>
      </c>
    </row>
    <row r="117" ht="17" customHeight="1">
      <c r="B117" s="5" t="inlineStr">
        <is>
          <t>兄弟姉妹</t>
        </is>
      </c>
      <c r="C117" s="17">
        <f>'集計_障がい者'!$D$60</f>
        <v>0</v>
      </c>
      <c r="D117" s="18">
        <f>'集計_障がい者'!$E$60</f>
        <v>0</v>
      </c>
    </row>
    <row r="118" ht="17" customHeight="1">
      <c r="B118" s="5" t="inlineStr">
        <is>
          <t>その他の親族</t>
        </is>
      </c>
      <c r="C118" s="17">
        <f>'集計_障がい者'!$D$61</f>
        <v>1</v>
      </c>
      <c r="D118" s="18">
        <f>'集計_障がい者'!$E$61</f>
        <v>0.027027027027027</v>
      </c>
    </row>
    <row r="119" ht="17" customHeight="1">
      <c r="B119" s="5" t="inlineStr">
        <is>
          <t>ホームヘルパー等</t>
        </is>
      </c>
      <c r="C119" s="17">
        <f>'集計_障がい者'!$D$62</f>
        <v>2</v>
      </c>
      <c r="D119" s="18">
        <f>'集計_障がい者'!$E$62</f>
        <v>0.0540540540540541</v>
      </c>
    </row>
    <row r="120" ht="17" customHeight="1">
      <c r="B120" s="5" t="inlineStr">
        <is>
          <t>施設・事業所職員</t>
        </is>
      </c>
      <c r="C120" s="17">
        <f>'集計_障がい者'!$D$63</f>
        <v>7</v>
      </c>
      <c r="D120" s="18">
        <f>'集計_障がい者'!$E$63</f>
        <v>0.189189189189189</v>
      </c>
    </row>
    <row r="121" ht="17" customHeight="1">
      <c r="B121" s="5" t="inlineStr">
        <is>
          <t>主な支援者はいない</t>
        </is>
      </c>
      <c r="C121" s="17">
        <f>'集計_障がい者'!$D$64</f>
        <v>1</v>
      </c>
      <c r="D121" s="18">
        <f>'集計_障がい者'!$E$64</f>
        <v>0.027027027027027</v>
      </c>
    </row>
    <row r="122" ht="17" customHeight="1">
      <c r="B122" s="5" t="inlineStr">
        <is>
          <t>その他</t>
        </is>
      </c>
      <c r="C122" s="17">
        <f>'集計_障がい者'!$D$65</f>
        <v>0</v>
      </c>
      <c r="D122" s="18">
        <f>'集計_障がい者'!$E$65</f>
        <v>0</v>
      </c>
    </row>
    <row r="123"/>
  </sheetData>
  <pageMargins left="0.75" right="0.75" top="1" bottom="1" header="0.5" footer="0.5"/>
  <pageSetup orientation="landscape" paperSize="9" fitToHeight="0" fitToWidth="1"/>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B2:D74"/>
  <sheetViews>
    <sheetView showGridLines="0" workbookViewId="0">
      <selection activeCell="A1" sqref="A1"/>
    </sheetView>
  </sheetViews>
  <sheetFormatPr baseColWidth="8" defaultRowHeight="15"/>
  <cols>
    <col width="2" customWidth="1" min="1" max="1"/>
    <col width="4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s>
  <sheetData>
    <row r="2" ht="21" customHeight="1">
      <c r="B2" s="7" t="inlineStr">
        <is>
          <t>図3-11　日常生活で困っていること（問10）</t>
        </is>
      </c>
    </row>
    <row r="3">
      <c r="B3" s="16" t="str">
        <f>"n="&amp;'集計_障がい者'!$F$77&amp;"（複数回答）"</f>
        <v>n=36（複数回答）</v>
      </c>
    </row>
    <row r="4" ht="18" customHeight="1">
      <c r="B4" s="3" t="inlineStr">
        <is>
          <t>選択肢</t>
        </is>
      </c>
      <c r="C4" s="3" t="inlineStr">
        <is>
          <t>件数</t>
        </is>
      </c>
      <c r="D4" s="3" t="inlineStr">
        <is>
          <t>割合</t>
        </is>
      </c>
    </row>
    <row r="5" ht="17" customHeight="1">
      <c r="B5" s="5" t="inlineStr">
        <is>
          <t>将来の生活</t>
        </is>
      </c>
      <c r="C5" s="17">
        <f>'集計_障がい者'!$D$77</f>
        <v>11</v>
      </c>
      <c r="D5" s="18">
        <f>'集計_障がい者'!$E$77</f>
        <v>0.305555555555556</v>
      </c>
    </row>
    <row r="6" ht="17" customHeight="1">
      <c r="B6" s="5" t="inlineStr">
        <is>
          <t>外出・移動</t>
        </is>
      </c>
      <c r="C6" s="17">
        <f>'集計_障がい者'!$D$73</f>
        <v>10</v>
      </c>
      <c r="D6" s="18">
        <f>'集計_障がい者'!$E$73</f>
        <v>0.277777777777778</v>
      </c>
    </row>
    <row r="7" ht="17" customHeight="1">
      <c r="B7" s="5" t="inlineStr">
        <is>
          <t>災害時の避難</t>
        </is>
      </c>
      <c r="C7" s="17">
        <f>'集計_障がい者'!$D$75</f>
        <v>10</v>
      </c>
      <c r="D7" s="18">
        <f>'集計_障がい者'!$E$75</f>
        <v>0.277777777777778</v>
      </c>
    </row>
    <row r="8" ht="17" customHeight="1">
      <c r="B8" s="5" t="inlineStr">
        <is>
          <t>通院</t>
        </is>
      </c>
      <c r="C8" s="17">
        <f>'集計_障がい者'!$D$72</f>
        <v>7</v>
      </c>
      <c r="D8" s="18">
        <f>'集計_障がい者'!$E$72</f>
        <v>0.194444444444444</v>
      </c>
    </row>
    <row r="9" ht="17" customHeight="1">
      <c r="B9" s="5" t="inlineStr">
        <is>
          <t>服薬管理</t>
        </is>
      </c>
      <c r="C9" s="17">
        <f>'集計_障がい者'!$D$70</f>
        <v>5</v>
      </c>
      <c r="D9" s="18">
        <f>'集計_障がい者'!$E$70</f>
        <v>0.138888888888889</v>
      </c>
    </row>
    <row r="10" ht="17" customHeight="1">
      <c r="B10" s="5" t="inlineStr">
        <is>
          <t>買い物</t>
        </is>
      </c>
      <c r="C10" s="17">
        <f>'集計_障がい者'!$D$74</f>
        <v>5</v>
      </c>
      <c r="D10" s="18">
        <f>'集計_障がい者'!$E$74</f>
        <v>0.138888888888889</v>
      </c>
    </row>
    <row r="11" ht="17" customHeight="1">
      <c r="B11" s="5" t="inlineStr">
        <is>
          <t>食事</t>
        </is>
      </c>
      <c r="C11" s="17">
        <f>'集計_障がい者'!$D$67</f>
        <v>4</v>
      </c>
      <c r="D11" s="18">
        <f>'集計_障がい者'!$E$67</f>
        <v>0.111111111111111</v>
      </c>
    </row>
    <row r="12" ht="17" customHeight="1">
      <c r="B12" s="5" t="inlineStr">
        <is>
          <t>入浴</t>
        </is>
      </c>
      <c r="C12" s="17">
        <f>'集計_障がい者'!$D$68</f>
        <v>4</v>
      </c>
      <c r="D12" s="18">
        <f>'集計_障がい者'!$E$68</f>
        <v>0.111111111111111</v>
      </c>
    </row>
    <row r="13" ht="17" customHeight="1">
      <c r="B13" s="5" t="inlineStr">
        <is>
          <t>金銭管理</t>
        </is>
      </c>
      <c r="C13" s="17">
        <f>'集計_障がい者'!$D$71</f>
        <v>4</v>
      </c>
      <c r="D13" s="18">
        <f>'集計_障がい者'!$E$71</f>
        <v>0.111111111111111</v>
      </c>
    </row>
    <row r="14" ht="17" customHeight="1">
      <c r="B14" s="5" t="inlineStr">
        <is>
          <t>排せつ</t>
        </is>
      </c>
      <c r="C14" s="17">
        <f>'集計_障がい者'!$D$69</f>
        <v>2</v>
      </c>
      <c r="D14" s="18">
        <f>'集計_障がい者'!$E$69</f>
        <v>0.0555555555555556</v>
      </c>
    </row>
    <row r="15" ht="17" customHeight="1">
      <c r="B15" s="5" t="inlineStr">
        <is>
          <t>家事</t>
        </is>
      </c>
      <c r="C15" s="17">
        <f>'集計_障がい者'!$D$66</f>
        <v>1</v>
      </c>
      <c r="D15" s="18">
        <f>'集計_障がい者'!$E$66</f>
        <v>0.0277777777777778</v>
      </c>
    </row>
    <row r="16" ht="17" customHeight="1">
      <c r="B16" s="5" t="inlineStr">
        <is>
          <t>相談先がない</t>
        </is>
      </c>
      <c r="C16" s="17">
        <f>'集計_障がい者'!$D$76</f>
        <v>1</v>
      </c>
      <c r="D16" s="18">
        <f>'集計_障がい者'!$E$76</f>
        <v>0.0277777777777778</v>
      </c>
    </row>
    <row r="17" ht="17" customHeight="1">
      <c r="B17" s="5" t="inlineStr">
        <is>
          <t>特にない</t>
        </is>
      </c>
      <c r="C17" s="17">
        <f>'集計_障がい者'!$D$78</f>
        <v>13</v>
      </c>
      <c r="D17" s="18">
        <f>'集計_障がい者'!$E$78</f>
        <v>0.361111111111111</v>
      </c>
    </row>
    <row r="18" ht="17" customHeight="1">
      <c r="B18" s="5" t="inlineStr">
        <is>
          <t>その他</t>
        </is>
      </c>
      <c r="C18" s="17">
        <f>'集計_障がい者'!$D$79</f>
        <v>1</v>
      </c>
      <c r="D18" s="18">
        <f>'集計_障がい者'!$E$79</f>
        <v>0.0277777777777778</v>
      </c>
    </row>
    <row r="19"/>
    <row r="22" ht="21" customHeight="1">
      <c r="B22" s="7" t="inlineStr">
        <is>
          <t>図3-12　将来希望する暮らし方（問11）</t>
        </is>
      </c>
    </row>
    <row r="23">
      <c r="B23" s="16" t="str">
        <f>"n="&amp;'集計_障がい者'!$F$80&amp;"（単一回答）"</f>
        <v>n=36（単一回答）</v>
      </c>
    </row>
    <row r="24" ht="18" customHeight="1">
      <c r="B24" s="3" t="inlineStr">
        <is>
          <t>選択肢</t>
        </is>
      </c>
      <c r="C24" s="3" t="inlineStr">
        <is>
          <t>件数</t>
        </is>
      </c>
      <c r="D24" s="3" t="inlineStr">
        <is>
          <t>割合</t>
        </is>
      </c>
    </row>
    <row r="25" ht="17" customHeight="1">
      <c r="B25" s="5" t="inlineStr">
        <is>
          <t>今の自宅で暮らしたい</t>
        </is>
      </c>
      <c r="C25" s="17">
        <f>'集計_障がい者'!$D$80</f>
        <v>15</v>
      </c>
      <c r="D25" s="18">
        <f>'集計_障がい者'!$E$80</f>
        <v>0.416666666666667</v>
      </c>
    </row>
    <row r="26" ht="17" customHeight="1">
      <c r="B26" s="5" t="inlineStr">
        <is>
          <t>家族と一緒に暮らしたい</t>
        </is>
      </c>
      <c r="C26" s="17">
        <f>'集計_障がい者'!$D$81</f>
        <v>6</v>
      </c>
      <c r="D26" s="18">
        <f>'集計_障がい者'!$E$81</f>
        <v>0.166666666666667</v>
      </c>
    </row>
    <row r="27" ht="17" customHeight="1">
      <c r="B27" s="5" t="inlineStr">
        <is>
          <t>一人暮らしをしたい</t>
        </is>
      </c>
      <c r="C27" s="17">
        <f>'集計_障がい者'!$D$82</f>
        <v>2</v>
      </c>
      <c r="D27" s="18">
        <f>'集計_障がい者'!$E$82</f>
        <v>0.0555555555555556</v>
      </c>
    </row>
    <row r="28" ht="17" customHeight="1">
      <c r="B28" s="5" t="inlineStr">
        <is>
          <t>グループホームで暮らしたい</t>
        </is>
      </c>
      <c r="C28" s="17">
        <f>'集計_障がい者'!$D$83</f>
        <v>2</v>
      </c>
      <c r="D28" s="18">
        <f>'集計_障がい者'!$E$83</f>
        <v>0.0555555555555556</v>
      </c>
    </row>
    <row r="29" ht="17" customHeight="1">
      <c r="B29" s="5" t="inlineStr">
        <is>
          <t>施設で暮らしたい</t>
        </is>
      </c>
      <c r="C29" s="17">
        <f>'集計_障がい者'!$D$84</f>
        <v>4</v>
      </c>
      <c r="D29" s="18">
        <f>'集計_障がい者'!$E$84</f>
        <v>0.111111111111111</v>
      </c>
    </row>
    <row r="30" ht="17" customHeight="1">
      <c r="B30" s="5" t="inlineStr">
        <is>
          <t>病院・施設から地域で暮らしたい</t>
        </is>
      </c>
      <c r="C30" s="17">
        <f>'集計_障がい者'!$D$85</f>
        <v>0</v>
      </c>
      <c r="D30" s="18">
        <f>'集計_障がい者'!$E$85</f>
        <v>0</v>
      </c>
    </row>
    <row r="31" ht="17" customHeight="1">
      <c r="B31" s="5" t="inlineStr">
        <is>
          <t>まだわからない</t>
        </is>
      </c>
      <c r="C31" s="17">
        <f>'集計_障がい者'!$D$86</f>
        <v>6</v>
      </c>
      <c r="D31" s="18">
        <f>'集計_障がい者'!$E$86</f>
        <v>0.166666666666667</v>
      </c>
    </row>
    <row r="32" ht="17" customHeight="1">
      <c r="B32" s="5" t="inlineStr">
        <is>
          <t>その他</t>
        </is>
      </c>
      <c r="C32" s="17">
        <f>'集計_障がい者'!$D$87</f>
        <v>1</v>
      </c>
      <c r="D32" s="18">
        <f>'集計_障がい者'!$E$87</f>
        <v>0.0277777777777778</v>
      </c>
    </row>
    <row r="33"/>
    <row r="36" ht="21" customHeight="1">
      <c r="B36" s="7" t="inlineStr">
        <is>
          <t>図3-13　外出の頻度（問12）</t>
        </is>
      </c>
    </row>
    <row r="37">
      <c r="B37" s="16" t="str">
        <f>"n="&amp;'集計_障がい者'!$F$88&amp;"（単一回答）"</f>
        <v>n=37（単一回答）</v>
      </c>
    </row>
    <row r="38" ht="18" customHeight="1">
      <c r="B38" s="3" t="inlineStr">
        <is>
          <t>選択肢</t>
        </is>
      </c>
      <c r="C38" s="3" t="inlineStr">
        <is>
          <t>件数</t>
        </is>
      </c>
      <c r="D38" s="3" t="inlineStr">
        <is>
          <t>割合</t>
        </is>
      </c>
    </row>
    <row r="39" ht="17" customHeight="1">
      <c r="B39" s="5" t="inlineStr">
        <is>
          <t>ほぼ毎日</t>
        </is>
      </c>
      <c r="C39" s="17">
        <f>'集計_障がい者'!$D$88</f>
        <v>11</v>
      </c>
      <c r="D39" s="18">
        <f>'集計_障がい者'!$E$88</f>
        <v>0.297297297297297</v>
      </c>
    </row>
    <row r="40" ht="17" customHeight="1">
      <c r="B40" s="5" t="inlineStr">
        <is>
          <t>週に2～4回</t>
        </is>
      </c>
      <c r="C40" s="17">
        <f>'集計_障がい者'!$D$89</f>
        <v>6</v>
      </c>
      <c r="D40" s="18">
        <f>'集計_障がい者'!$E$89</f>
        <v>0.162162162162162</v>
      </c>
    </row>
    <row r="41" ht="17" customHeight="1">
      <c r="B41" s="5" t="inlineStr">
        <is>
          <t>週に1回程度</t>
        </is>
      </c>
      <c r="C41" s="17">
        <f>'集計_障がい者'!$D$90</f>
        <v>6</v>
      </c>
      <c r="D41" s="18">
        <f>'集計_障がい者'!$E$90</f>
        <v>0.162162162162162</v>
      </c>
    </row>
    <row r="42" ht="17" customHeight="1">
      <c r="B42" s="5" t="inlineStr">
        <is>
          <t>月に数回</t>
        </is>
      </c>
      <c r="C42" s="17">
        <f>'集計_障がい者'!$D$91</f>
        <v>6</v>
      </c>
      <c r="D42" s="18">
        <f>'集計_障がい者'!$E$91</f>
        <v>0.162162162162162</v>
      </c>
    </row>
    <row r="43" ht="17" customHeight="1">
      <c r="B43" s="5" t="inlineStr">
        <is>
          <t>ほとんど外出しない</t>
        </is>
      </c>
      <c r="C43" s="17">
        <f>'集計_障がい者'!$D$92</f>
        <v>8</v>
      </c>
      <c r="D43" s="18">
        <f>'集計_障がい者'!$E$92</f>
        <v>0.216216216216216</v>
      </c>
    </row>
    <row r="44"/>
    <row r="47" ht="21" customHeight="1">
      <c r="B47" s="7" t="inlineStr">
        <is>
          <t>図3-14　外出時の主な移動手段（問13）</t>
        </is>
      </c>
    </row>
    <row r="48">
      <c r="B48" s="16" t="str">
        <f>"n="&amp;'集計_障がい者'!$F$93&amp;"（複数回答）"</f>
        <v>n=34（複数回答）</v>
      </c>
    </row>
    <row r="49" ht="18" customHeight="1">
      <c r="B49" s="3" t="inlineStr">
        <is>
          <t>選択肢</t>
        </is>
      </c>
      <c r="C49" s="3" t="inlineStr">
        <is>
          <t>件数</t>
        </is>
      </c>
      <c r="D49" s="3" t="inlineStr">
        <is>
          <t>割合</t>
        </is>
      </c>
    </row>
    <row r="50" ht="17" customHeight="1">
      <c r="B50" s="5" t="inlineStr">
        <is>
          <t>自分で運転</t>
        </is>
      </c>
      <c r="C50" s="17">
        <f>'集計_障がい者'!$D$93</f>
        <v>17</v>
      </c>
      <c r="D50" s="18">
        <f>'集計_障がい者'!$E$93</f>
        <v>0.5</v>
      </c>
    </row>
    <row r="51" ht="17" customHeight="1">
      <c r="B51" s="5" t="inlineStr">
        <is>
          <t>家族・知人の送迎</t>
        </is>
      </c>
      <c r="C51" s="17">
        <f>'集計_障がい者'!$D$94</f>
        <v>14</v>
      </c>
      <c r="D51" s="18">
        <f>'集計_障がい者'!$E$94</f>
        <v>0.411764705882353</v>
      </c>
    </row>
    <row r="52" ht="17" customHeight="1">
      <c r="B52" s="5" t="inlineStr">
        <is>
          <t>事業所・施設の送迎</t>
        </is>
      </c>
      <c r="C52" s="17">
        <f>'集計_障がい者'!$D$100</f>
        <v>8</v>
      </c>
      <c r="D52" s="18">
        <f>'集計_障がい者'!$E$100</f>
        <v>0.235294117647059</v>
      </c>
    </row>
    <row r="53" ht="17" customHeight="1">
      <c r="B53" s="5" t="inlineStr">
        <is>
          <t>徒歩</t>
        </is>
      </c>
      <c r="C53" s="17">
        <f>'集計_障がい者'!$D$95</f>
        <v>3</v>
      </c>
      <c r="D53" s="18">
        <f>'集計_障がい者'!$E$95</f>
        <v>0.0882352941176471</v>
      </c>
    </row>
    <row r="54" ht="17" customHeight="1">
      <c r="B54" s="5" t="inlineStr">
        <is>
          <t>路線バス</t>
        </is>
      </c>
      <c r="C54" s="17">
        <f>'集計_障がい者'!$D$97</f>
        <v>3</v>
      </c>
      <c r="D54" s="18">
        <f>'集計_障がい者'!$E$97</f>
        <v>0.0882352941176471</v>
      </c>
    </row>
    <row r="55" ht="17" customHeight="1">
      <c r="B55" s="5" t="inlineStr">
        <is>
          <t>タクシー</t>
        </is>
      </c>
      <c r="C55" s="17">
        <f>'集計_障がい者'!$D$98</f>
        <v>2</v>
      </c>
      <c r="D55" s="18">
        <f>'集計_障がい者'!$E$98</f>
        <v>0.0588235294117647</v>
      </c>
    </row>
    <row r="56" ht="17" customHeight="1">
      <c r="B56" s="5" t="inlineStr">
        <is>
          <t>自転車</t>
        </is>
      </c>
      <c r="C56" s="17">
        <f>'集計_障がい者'!$D$96</f>
        <v>1</v>
      </c>
      <c r="D56" s="18">
        <f>'集計_障がい者'!$E$96</f>
        <v>0.0294117647058824</v>
      </c>
    </row>
    <row r="57" ht="17" customHeight="1">
      <c r="B57" s="5" t="inlineStr">
        <is>
          <t>福祉タクシー等</t>
        </is>
      </c>
      <c r="C57" s="17">
        <f>'集計_障がい者'!$D$99</f>
        <v>0</v>
      </c>
      <c r="D57" s="18">
        <f>'集計_障がい者'!$E$99</f>
        <v>0</v>
      </c>
    </row>
    <row r="58" ht="17" customHeight="1">
      <c r="B58" s="5" t="inlineStr">
        <is>
          <t>その他</t>
        </is>
      </c>
      <c r="C58" s="17">
        <f>'集計_障がい者'!$D$101</f>
        <v>2</v>
      </c>
      <c r="D58" s="18">
        <f>'集計_障がい者'!$E$101</f>
        <v>0.0588235294117647</v>
      </c>
    </row>
    <row r="59"/>
    <row r="62" ht="21" customHeight="1">
      <c r="B62" s="7" t="inlineStr">
        <is>
          <t>図3-15　外出するときに困ること（問14）</t>
        </is>
      </c>
    </row>
    <row r="63">
      <c r="B63" s="16" t="str">
        <f>"n="&amp;'集計_障がい者'!$F$105&amp;"（複数回答）"</f>
        <v>n=34（複数回答）</v>
      </c>
    </row>
    <row r="64" ht="18" customHeight="1">
      <c r="B64" s="3" t="inlineStr">
        <is>
          <t>選択肢</t>
        </is>
      </c>
      <c r="C64" s="3" t="inlineStr">
        <is>
          <t>件数</t>
        </is>
      </c>
      <c r="D64" s="3" t="inlineStr">
        <is>
          <t>割合</t>
        </is>
      </c>
    </row>
    <row r="65" ht="17" customHeight="1">
      <c r="B65" s="5" t="inlineStr">
        <is>
          <t>冬季・積雪時に外出しにくい</t>
        </is>
      </c>
      <c r="C65" s="17">
        <f>'集計_障がい者'!$D$105</f>
        <v>13</v>
      </c>
      <c r="D65" s="18">
        <f>'集計_障がい者'!$E$105</f>
        <v>0.382352941176471</v>
      </c>
    </row>
    <row r="66" ht="17" customHeight="1">
      <c r="B66" s="5" t="inlineStr">
        <is>
          <t>体調面が不安</t>
        </is>
      </c>
      <c r="C66" s="17">
        <f>'集計_障がい者'!$D$108</f>
        <v>8</v>
      </c>
      <c r="D66" s="18">
        <f>'集計_障がい者'!$E$108</f>
        <v>0.235294117647059</v>
      </c>
    </row>
    <row r="67" ht="17" customHeight="1">
      <c r="B67" s="5" t="inlineStr">
        <is>
          <t>家族等の付き添いが必要</t>
        </is>
      </c>
      <c r="C67" s="17">
        <f>'集計_障がい者'!$D$103</f>
        <v>7</v>
      </c>
      <c r="D67" s="18">
        <f>'集計_障がい者'!$E$103</f>
        <v>0.205882352941176</v>
      </c>
    </row>
    <row r="68" ht="17" customHeight="1">
      <c r="B68" s="5" t="inlineStr">
        <is>
          <t>交通手段が少ない</t>
        </is>
      </c>
      <c r="C68" s="17">
        <f>'集計_障がい者'!$D$102</f>
        <v>6</v>
      </c>
      <c r="D68" s="18">
        <f>'集計_障がい者'!$E$102</f>
        <v>0.176470588235294</v>
      </c>
    </row>
    <row r="69" ht="17" customHeight="1">
      <c r="B69" s="5" t="inlineStr">
        <is>
          <t>送迎がない</t>
        </is>
      </c>
      <c r="C69" s="17">
        <f>'集計_障がい者'!$D$104</f>
        <v>5</v>
      </c>
      <c r="D69" s="18">
        <f>'集計_障がい者'!$E$104</f>
        <v>0.147058823529412</v>
      </c>
    </row>
    <row r="70" ht="17" customHeight="1">
      <c r="B70" s="5" t="inlineStr">
        <is>
          <t>費用がかかる</t>
        </is>
      </c>
      <c r="C70" s="17">
        <f>'集計_障がい者'!$D$109</f>
        <v>5</v>
      </c>
      <c r="D70" s="18">
        <f>'集計_障がい者'!$E$109</f>
        <v>0.147058823529412</v>
      </c>
    </row>
    <row r="71" ht="17" customHeight="1">
      <c r="B71" s="5" t="inlineStr">
        <is>
          <t>周囲の理解が不安</t>
        </is>
      </c>
      <c r="C71" s="17">
        <f>'集計_障がい者'!$D$107</f>
        <v>2</v>
      </c>
      <c r="D71" s="18">
        <f>'集計_障がい者'!$E$107</f>
        <v>0.0588235294117647</v>
      </c>
    </row>
    <row r="72" ht="17" customHeight="1">
      <c r="B72" s="5" t="inlineStr">
        <is>
          <t>道路・建物が利用しにくい</t>
        </is>
      </c>
      <c r="C72" s="17">
        <f>'集計_障がい者'!$D$106</f>
        <v>0</v>
      </c>
      <c r="D72" s="18">
        <f>'集計_障がい者'!$E$106</f>
        <v>0</v>
      </c>
    </row>
    <row r="73" ht="17" customHeight="1">
      <c r="B73" s="5" t="inlineStr">
        <is>
          <t>特に困らない</t>
        </is>
      </c>
      <c r="C73" s="17">
        <f>'集計_障がい者'!$D$110</f>
        <v>11</v>
      </c>
      <c r="D73" s="18">
        <f>'集計_障がい者'!$E$110</f>
        <v>0.323529411764706</v>
      </c>
    </row>
    <row r="74" ht="17" customHeight="1">
      <c r="B74" s="5" t="inlineStr">
        <is>
          <t>その他</t>
        </is>
      </c>
      <c r="C74" s="17">
        <f>'集計_障がい者'!$D$111</f>
        <v>1</v>
      </c>
      <c r="D74" s="18">
        <f>'集計_障がい者'!$E$111</f>
        <v>0.0294117647058824</v>
      </c>
    </row>
    <row r="75"/>
  </sheetData>
  <pageMargins left="0.75" right="0.75" top="1" bottom="1" header="0.5" footer="0.5"/>
  <pageSetup orientation="landscape" paperSize="9" fitToHeight="0" fitToWidth="1"/>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B2:D80"/>
  <sheetViews>
    <sheetView showGridLines="0" workbookViewId="0">
      <selection activeCell="A1" sqref="A1"/>
    </sheetView>
  </sheetViews>
  <sheetFormatPr baseColWidth="8" defaultRowHeight="15"/>
  <cols>
    <col width="2" customWidth="1" min="1" max="1"/>
    <col width="4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s>
  <sheetData>
    <row r="2" ht="21" customHeight="1">
      <c r="B2" s="7" t="inlineStr">
        <is>
          <t>図3-16　定期的な通院（問15）</t>
        </is>
      </c>
    </row>
    <row r="3">
      <c r="B3" s="16" t="str">
        <f>"n="&amp;'集計_障がい者'!$F$112&amp;"（単一回答）"</f>
        <v>n=36（単一回答）</v>
      </c>
    </row>
    <row r="4" ht="18" customHeight="1">
      <c r="B4" s="3" t="inlineStr">
        <is>
          <t>選択肢</t>
        </is>
      </c>
      <c r="C4" s="3" t="inlineStr">
        <is>
          <t>件数</t>
        </is>
      </c>
      <c r="D4" s="3" t="inlineStr">
        <is>
          <t>割合</t>
        </is>
      </c>
    </row>
    <row r="5" ht="17" customHeight="1">
      <c r="B5" s="5" t="inlineStr">
        <is>
          <t>通院している</t>
        </is>
      </c>
      <c r="C5" s="17">
        <f>'集計_障がい者'!$D$112</f>
        <v>27</v>
      </c>
      <c r="D5" s="18">
        <f>'集計_障がい者'!$E$112</f>
        <v>0.75</v>
      </c>
    </row>
    <row r="6" ht="17" customHeight="1">
      <c r="B6" s="5" t="inlineStr">
        <is>
          <t>通院していない</t>
        </is>
      </c>
      <c r="C6" s="17">
        <f>'集計_障がい者'!$D$113</f>
        <v>4</v>
      </c>
      <c r="D6" s="18">
        <f>'集計_障がい者'!$E$113</f>
        <v>0.111111111111111</v>
      </c>
    </row>
    <row r="7" ht="17" customHeight="1">
      <c r="B7" s="5" t="inlineStr">
        <is>
          <t>訪問診療・往診を受けている</t>
        </is>
      </c>
      <c r="C7" s="17">
        <f>'集計_障がい者'!$D$114</f>
        <v>3</v>
      </c>
      <c r="D7" s="18">
        <f>'集計_障がい者'!$E$114</f>
        <v>0.0833333333333333</v>
      </c>
    </row>
    <row r="8" ht="17" customHeight="1">
      <c r="B8" s="5" t="inlineStr">
        <is>
          <t>わからない</t>
        </is>
      </c>
      <c r="C8" s="17">
        <f>'集計_障がい者'!$D$115</f>
        <v>2</v>
      </c>
      <c r="D8" s="18">
        <f>'集計_障がい者'!$E$115</f>
        <v>0.0555555555555556</v>
      </c>
    </row>
    <row r="9"/>
    <row r="10"/>
    <row r="13" ht="21" customHeight="1">
      <c r="B13" s="7" t="inlineStr">
        <is>
          <t>図3-17　通院や医療で困っていること（問16）</t>
        </is>
      </c>
    </row>
    <row r="14">
      <c r="B14" s="16" t="str">
        <f>"n="&amp;'集計_障がい者'!$F$116&amp;"（複数回答）"</f>
        <v>n=36（複数回答）</v>
      </c>
    </row>
    <row r="15" ht="18" customHeight="1">
      <c r="B15" s="3" t="inlineStr">
        <is>
          <t>選択肢</t>
        </is>
      </c>
      <c r="C15" s="3" t="inlineStr">
        <is>
          <t>件数</t>
        </is>
      </c>
      <c r="D15" s="3" t="inlineStr">
        <is>
          <t>割合</t>
        </is>
      </c>
    </row>
    <row r="16" ht="17" customHeight="1">
      <c r="B16" s="5" t="inlineStr">
        <is>
          <t>専門医療機関が遠い</t>
        </is>
      </c>
      <c r="C16" s="17">
        <f>'集計_障がい者'!$D$116</f>
        <v>8</v>
      </c>
      <c r="D16" s="18">
        <f>'集計_障がい者'!$E$116</f>
        <v>0.222222222222222</v>
      </c>
    </row>
    <row r="17" ht="17" customHeight="1">
      <c r="B17" s="5" t="inlineStr">
        <is>
          <t>付き添いが必要</t>
        </is>
      </c>
      <c r="C17" s="17">
        <f>'集計_障がい者'!$D$118</f>
        <v>8</v>
      </c>
      <c r="D17" s="18">
        <f>'集計_障がい者'!$E$118</f>
        <v>0.222222222222222</v>
      </c>
    </row>
    <row r="18" ht="17" customHeight="1">
      <c r="B18" s="5" t="inlineStr">
        <is>
          <t>医療費や交通費の負担が大きい</t>
        </is>
      </c>
      <c r="C18" s="17">
        <f>'集計_障がい者'!$D$119</f>
        <v>6</v>
      </c>
      <c r="D18" s="18">
        <f>'集計_障がい者'!$E$119</f>
        <v>0.166666666666667</v>
      </c>
    </row>
    <row r="19" ht="17" customHeight="1">
      <c r="B19" s="5" t="inlineStr">
        <is>
          <t>緊急時の対応が不安</t>
        </is>
      </c>
      <c r="C19" s="17">
        <f>'集計_障がい者'!$D$121</f>
        <v>6</v>
      </c>
      <c r="D19" s="18">
        <f>'集計_障がい者'!$E$121</f>
        <v>0.166666666666667</v>
      </c>
    </row>
    <row r="20" ht="17" customHeight="1">
      <c r="B20" s="5" t="inlineStr">
        <is>
          <t>通院の交通手段がない</t>
        </is>
      </c>
      <c r="C20" s="17">
        <f>'集計_障がい者'!$D$117</f>
        <v>3</v>
      </c>
      <c r="D20" s="18">
        <f>'集計_障がい者'!$E$117</f>
        <v>0.0833333333333333</v>
      </c>
    </row>
    <row r="21" ht="17" customHeight="1">
      <c r="B21" s="5" t="inlineStr">
        <is>
          <t>予約・受診手続きが難しい</t>
        </is>
      </c>
      <c r="C21" s="17">
        <f>'集計_障がい者'!$D$120</f>
        <v>2</v>
      </c>
      <c r="D21" s="18">
        <f>'集計_障がい者'!$E$120</f>
        <v>0.0555555555555556</v>
      </c>
    </row>
    <row r="22" ht="17" customHeight="1">
      <c r="B22" s="5" t="inlineStr">
        <is>
          <t>特に困っていない</t>
        </is>
      </c>
      <c r="C22" s="17">
        <f>'集計_障がい者'!$D$122</f>
        <v>16</v>
      </c>
      <c r="D22" s="18">
        <f>'集計_障がい者'!$E$122</f>
        <v>0.444444444444444</v>
      </c>
    </row>
    <row r="23" ht="17" customHeight="1">
      <c r="B23" s="5" t="inlineStr">
        <is>
          <t>その他</t>
        </is>
      </c>
      <c r="C23" s="17">
        <f>'集計_障がい者'!$D$123</f>
        <v>0</v>
      </c>
      <c r="D23" s="18">
        <f>'集計_障がい者'!$E$123</f>
        <v>0</v>
      </c>
    </row>
    <row r="24"/>
    <row r="27" ht="21" customHeight="1">
      <c r="B27" s="7" t="inlineStr">
        <is>
          <t>図3-18　医療的ケアの必要性（問17）</t>
        </is>
      </c>
    </row>
    <row r="28">
      <c r="B28" s="16" t="str">
        <f>"n="&amp;'集計_障がい者'!$F$124&amp;"（複数回答）"</f>
        <v>n=35（複数回答）</v>
      </c>
    </row>
    <row r="29" ht="18" customHeight="1">
      <c r="B29" s="3" t="inlineStr">
        <is>
          <t>選択肢</t>
        </is>
      </c>
      <c r="C29" s="3" t="inlineStr">
        <is>
          <t>件数</t>
        </is>
      </c>
      <c r="D29" s="3" t="inlineStr">
        <is>
          <t>割合</t>
        </is>
      </c>
    </row>
    <row r="30" ht="17" customHeight="1">
      <c r="B30" s="5" t="inlineStr">
        <is>
          <t>必要としていない</t>
        </is>
      </c>
      <c r="C30" s="17">
        <f>'集計_障がい者'!$D$124</f>
        <v>29</v>
      </c>
      <c r="D30" s="18">
        <f>'集計_障がい者'!$E$124</f>
        <v>0.828571428571429</v>
      </c>
    </row>
    <row r="31" ht="17" customHeight="1">
      <c r="B31" s="5" t="inlineStr">
        <is>
          <t>吸引</t>
        </is>
      </c>
      <c r="C31" s="17">
        <f>'集計_障がい者'!$D$125</f>
        <v>1</v>
      </c>
      <c r="D31" s="18">
        <f>'集計_障がい者'!$E$125</f>
        <v>0.0285714285714286</v>
      </c>
    </row>
    <row r="32" ht="17" customHeight="1">
      <c r="B32" s="5" t="inlineStr">
        <is>
          <t>酸素療法</t>
        </is>
      </c>
      <c r="C32" s="17">
        <f>'集計_障がい者'!$D$126</f>
        <v>1</v>
      </c>
      <c r="D32" s="18">
        <f>'集計_障がい者'!$E$126</f>
        <v>0.0285714285714286</v>
      </c>
    </row>
    <row r="33" ht="17" customHeight="1">
      <c r="B33" s="5" t="inlineStr">
        <is>
          <t>人工呼吸器（レスピレーター）</t>
        </is>
      </c>
      <c r="C33" s="17">
        <f>'集計_障がい者'!$D$127</f>
        <v>0</v>
      </c>
      <c r="D33" s="18">
        <f>'集計_障がい者'!$E$127</f>
        <v>0</v>
      </c>
    </row>
    <row r="34" ht="17" customHeight="1">
      <c r="B34" s="5" t="inlineStr">
        <is>
          <t>導尿</t>
        </is>
      </c>
      <c r="C34" s="17">
        <f>'集計_障がい者'!$D$128</f>
        <v>1</v>
      </c>
      <c r="D34" s="18">
        <f>'集計_障がい者'!$E$128</f>
        <v>0.0285714285714286</v>
      </c>
    </row>
    <row r="35" ht="17" customHeight="1">
      <c r="B35" s="5" t="inlineStr">
        <is>
          <t>ストマ（人工肛門・人工膀胱）</t>
        </is>
      </c>
      <c r="C35" s="17">
        <f>'集計_障がい者'!$D$129</f>
        <v>0</v>
      </c>
      <c r="D35" s="18">
        <f>'集計_障がい者'!$E$129</f>
        <v>0</v>
      </c>
    </row>
    <row r="36" ht="17" customHeight="1">
      <c r="B36" s="5" t="inlineStr">
        <is>
          <t>服薬管理等の継続支援</t>
        </is>
      </c>
      <c r="C36" s="17">
        <f>'集計_障がい者'!$D$130</f>
        <v>3</v>
      </c>
      <c r="D36" s="18">
        <f>'集計_障がい者'!$E$130</f>
        <v>0.0857142857142857</v>
      </c>
    </row>
    <row r="37" ht="17" customHeight="1">
      <c r="B37" s="5" t="inlineStr">
        <is>
          <t>気管切開</t>
        </is>
      </c>
      <c r="C37" s="17">
        <f>'集計_障がい者'!$D$131</f>
        <v>0</v>
      </c>
      <c r="D37" s="18">
        <f>'集計_障がい者'!$E$131</f>
        <v>0</v>
      </c>
    </row>
    <row r="38" ht="17" customHeight="1">
      <c r="B38" s="5" t="inlineStr">
        <is>
          <t>胃ろう・腸ろう</t>
        </is>
      </c>
      <c r="C38" s="17">
        <f>'集計_障がい者'!$D$132</f>
        <v>1</v>
      </c>
      <c r="D38" s="18">
        <f>'集計_障がい者'!$E$132</f>
        <v>0.0285714285714286</v>
      </c>
    </row>
    <row r="39" ht="17" customHeight="1">
      <c r="B39" s="5" t="inlineStr">
        <is>
          <t>鼻腔管栄養</t>
        </is>
      </c>
      <c r="C39" s="17">
        <f>'集計_障がい者'!$D$133</f>
        <v>0</v>
      </c>
      <c r="D39" s="18">
        <f>'集計_障がい者'!$E$133</f>
        <v>0</v>
      </c>
    </row>
    <row r="40" ht="17" customHeight="1">
      <c r="B40" s="5" t="inlineStr">
        <is>
          <t>中心静脈栄養（IVH）</t>
        </is>
      </c>
      <c r="C40" s="17">
        <f>'集計_障がい者'!$D$134</f>
        <v>0</v>
      </c>
      <c r="D40" s="18">
        <f>'集計_障がい者'!$E$134</f>
        <v>0</v>
      </c>
    </row>
    <row r="41" ht="17" customHeight="1">
      <c r="B41" s="5" t="inlineStr">
        <is>
          <t>透析</t>
        </is>
      </c>
      <c r="C41" s="17">
        <f>'集計_障がい者'!$D$135</f>
        <v>0</v>
      </c>
      <c r="D41" s="18">
        <f>'集計_障がい者'!$E$135</f>
        <v>0</v>
      </c>
    </row>
    <row r="42" ht="17" customHeight="1">
      <c r="B42" s="5" t="inlineStr">
        <is>
          <t>カテーテル留置</t>
        </is>
      </c>
      <c r="C42" s="17">
        <f>'集計_障がい者'!$D$136</f>
        <v>0</v>
      </c>
      <c r="D42" s="18">
        <f>'集計_障がい者'!$E$136</f>
        <v>0</v>
      </c>
    </row>
    <row r="43" ht="17" customHeight="1">
      <c r="B43" s="5" t="inlineStr">
        <is>
          <t>その他</t>
        </is>
      </c>
      <c r="C43" s="17">
        <f>'集計_障がい者'!$D$137</f>
        <v>0</v>
      </c>
      <c r="D43" s="18">
        <f>'集計_障がい者'!$E$137</f>
        <v>0</v>
      </c>
    </row>
    <row r="44"/>
    <row r="47" ht="21" customHeight="1">
      <c r="B47" s="7" t="inlineStr">
        <is>
          <t>図3-19　医療的ケアや重い障がいに関して必要な支援（問18）</t>
        </is>
      </c>
    </row>
    <row r="48">
      <c r="B48" s="16" t="str">
        <f>"n="&amp;'集計_障がい者'!$F$143&amp;"（複数回答）"</f>
        <v>n=33（複数回答）</v>
      </c>
    </row>
    <row r="49" ht="18" customHeight="1">
      <c r="B49" s="3" t="inlineStr">
        <is>
          <t>選択肢</t>
        </is>
      </c>
      <c r="C49" s="3" t="inlineStr">
        <is>
          <t>件数</t>
        </is>
      </c>
      <c r="D49" s="3" t="inlineStr">
        <is>
          <t>割合</t>
        </is>
      </c>
    </row>
    <row r="50" ht="17" customHeight="1">
      <c r="B50" s="5" t="inlineStr">
        <is>
          <t>家族の負担軽減</t>
        </is>
      </c>
      <c r="C50" s="17">
        <f>'集計_障がい者'!$D$143</f>
        <v>8</v>
      </c>
      <c r="D50" s="18">
        <f>'集計_障がい者'!$E$143</f>
        <v>0.242424242424242</v>
      </c>
    </row>
    <row r="51" ht="17" customHeight="1">
      <c r="B51" s="5" t="inlineStr">
        <is>
          <t>身近な相談先</t>
        </is>
      </c>
      <c r="C51" s="17">
        <f>'集計_障がい者'!$D$138</f>
        <v>5</v>
      </c>
      <c r="D51" s="18">
        <f>'集計_障がい者'!$E$138</f>
        <v>0.151515151515152</v>
      </c>
    </row>
    <row r="52" ht="17" customHeight="1">
      <c r="B52" s="5" t="inlineStr">
        <is>
          <t>訪問看護等との連携</t>
        </is>
      </c>
      <c r="C52" s="17">
        <f>'集計_障がい者'!$D$141</f>
        <v>3</v>
      </c>
      <c r="D52" s="18">
        <f>'集計_障がい者'!$E$141</f>
        <v>0.0909090909090909</v>
      </c>
    </row>
    <row r="53" ht="17" customHeight="1">
      <c r="B53" s="5" t="inlineStr">
        <is>
          <t>通所先での医療的ケア対応</t>
        </is>
      </c>
      <c r="C53" s="17">
        <f>'集計_障がい者'!$D$139</f>
        <v>2</v>
      </c>
      <c r="D53" s="18">
        <f>'集計_障がい者'!$E$139</f>
        <v>0.0606060606060606</v>
      </c>
    </row>
    <row r="54" ht="17" customHeight="1">
      <c r="B54" s="5" t="inlineStr">
        <is>
          <t>短期入所・レスパイトケア</t>
        </is>
      </c>
      <c r="C54" s="17">
        <f>'集計_障がい者'!$D$140</f>
        <v>1</v>
      </c>
      <c r="D54" s="18">
        <f>'集計_障がい者'!$E$140</f>
        <v>0.0303030303030303</v>
      </c>
    </row>
    <row r="55" ht="17" customHeight="1">
      <c r="B55" s="5" t="inlineStr">
        <is>
          <t>災害時の電源・医療機器対応</t>
        </is>
      </c>
      <c r="C55" s="17">
        <f>'集計_障がい者'!$D$142</f>
        <v>1</v>
      </c>
      <c r="D55" s="18">
        <f>'集計_障がい者'!$E$142</f>
        <v>0.0303030303030303</v>
      </c>
    </row>
    <row r="56" ht="17" customHeight="1">
      <c r="B56" s="5" t="inlineStr">
        <is>
          <t>特にない</t>
        </is>
      </c>
      <c r="C56" s="17">
        <f>'集計_障がい者'!$D$144</f>
        <v>21</v>
      </c>
      <c r="D56" s="18">
        <f>'集計_障がい者'!$E$144</f>
        <v>0.636363636363636</v>
      </c>
    </row>
    <row r="57" ht="17" customHeight="1">
      <c r="B57" s="5" t="inlineStr">
        <is>
          <t>その他</t>
        </is>
      </c>
      <c r="C57" s="17">
        <f>'集計_障がい者'!$D$145</f>
        <v>0</v>
      </c>
      <c r="D57" s="18">
        <f>'集計_障がい者'!$E$145</f>
        <v>0</v>
      </c>
    </row>
    <row r="58"/>
    <row r="61" ht="21" customHeight="1">
      <c r="B61" s="7" t="inlineStr">
        <is>
          <t>図3-20　強度行動障がい支援に関して必要な支援（問19）</t>
        </is>
      </c>
    </row>
    <row r="62">
      <c r="B62" s="16" t="str">
        <f>"n="&amp;'集計_障がい者'!$F$147&amp;"（複数回答）"</f>
        <v>n=31（複数回答）</v>
      </c>
    </row>
    <row r="63" ht="18" customHeight="1">
      <c r="B63" s="3" t="inlineStr">
        <is>
          <t>選択肢</t>
        </is>
      </c>
      <c r="C63" s="3" t="inlineStr">
        <is>
          <t>件数</t>
        </is>
      </c>
      <c r="D63" s="3" t="inlineStr">
        <is>
          <t>割合</t>
        </is>
      </c>
    </row>
    <row r="64" ht="30" customHeight="1">
      <c r="B64" s="5" t="inlineStr">
        <is>
          <t>パニック時や緊急時に一時的に受け入れてくれる施設の整備</t>
        </is>
      </c>
      <c r="C64" s="17">
        <f>'集計_障がい者'!$D$147</f>
        <v>7</v>
      </c>
      <c r="D64" s="18">
        <f>'集計_障がい者'!$E$147</f>
        <v>0.225806451612903</v>
      </c>
    </row>
    <row r="65" ht="30" customHeight="1">
      <c r="B65" s="5" t="inlineStr">
        <is>
          <t>自宅以外で落ち着いて過ごせる居場所や日中活動の場の確保</t>
        </is>
      </c>
      <c r="C65" s="17">
        <f>'集計_障がい者'!$D$148</f>
        <v>6</v>
      </c>
      <c r="D65" s="18">
        <f>'集計_障がい者'!$E$148</f>
        <v>0.193548387096774</v>
      </c>
    </row>
    <row r="66" ht="17" customHeight="1">
      <c r="B66" s="5" t="inlineStr">
        <is>
          <t>ヘルパーやスタッフの派遣・増員</t>
        </is>
      </c>
      <c r="C66" s="17">
        <f>'集計_障がい者'!$D$146</f>
        <v>4</v>
      </c>
      <c r="D66" s="18">
        <f>'集計_障がい者'!$E$146</f>
        <v>0.129032258064516</v>
      </c>
    </row>
    <row r="67" ht="30" customHeight="1">
      <c r="B67" s="5" t="inlineStr">
        <is>
          <t>医療機関や発達障害支援センターなどの専門機関との連携強化</t>
        </is>
      </c>
      <c r="C67" s="17">
        <f>'集計_障がい者'!$D$149</f>
        <v>4</v>
      </c>
      <c r="D67" s="18">
        <f>'集計_障がい者'!$E$149</f>
        <v>0.129032258064516</v>
      </c>
    </row>
    <row r="68" ht="30" customHeight="1">
      <c r="B68" s="5" t="inlineStr">
        <is>
          <t>家族（介護者）が対応方法を学ぶための研修や、悩みを相談できる機会の提供</t>
        </is>
      </c>
      <c r="C68" s="17">
        <f>'集計_障がい者'!$D$150</f>
        <v>1</v>
      </c>
      <c r="D68" s="18">
        <f>'集計_障がい者'!$E$150</f>
        <v>0.032258064516129</v>
      </c>
    </row>
    <row r="69" ht="17" customHeight="1">
      <c r="B69" s="5" t="inlineStr">
        <is>
          <t>特にない</t>
        </is>
      </c>
      <c r="C69" s="17">
        <f>'集計_障がい者'!$D$151</f>
        <v>19</v>
      </c>
      <c r="D69" s="18">
        <f>'集計_障がい者'!$E$151</f>
        <v>0.612903225806452</v>
      </c>
    </row>
    <row r="72" ht="21" customHeight="1">
      <c r="B72" s="7" t="inlineStr">
        <is>
          <t>図3-21　高次脳機能障がい支援に関して必要な支援（問20）</t>
        </is>
      </c>
    </row>
    <row r="73">
      <c r="B73" s="16" t="str">
        <f>"n="&amp;'集計_障がい者'!$F$155&amp;"（複数回答）"</f>
        <v>n=28（複数回答）</v>
      </c>
    </row>
    <row r="74" ht="18" customHeight="1">
      <c r="B74" s="3" t="inlineStr">
        <is>
          <t>選択肢</t>
        </is>
      </c>
      <c r="C74" s="3" t="inlineStr">
        <is>
          <t>件数</t>
        </is>
      </c>
      <c r="D74" s="3" t="inlineStr">
        <is>
          <t>割合</t>
        </is>
      </c>
    </row>
    <row r="75" ht="30" customHeight="1">
      <c r="B75" s="5" t="inlineStr">
        <is>
          <t>医療機関や発達障害支援センターなどの専門機関との連携強化</t>
        </is>
      </c>
      <c r="C75" s="17">
        <f>'集計_障がい者'!$D$155</f>
        <v>6</v>
      </c>
      <c r="D75" s="18">
        <f>'集計_障がい者'!$E$155</f>
        <v>0.214285714285714</v>
      </c>
    </row>
    <row r="76" ht="30" customHeight="1">
      <c r="B76" s="5" t="inlineStr">
        <is>
          <t>パニック時や緊急時に一時的に受け入れてくれる施設の整備</t>
        </is>
      </c>
      <c r="C76" s="17">
        <f>'集計_障がい者'!$D$153</f>
        <v>5</v>
      </c>
      <c r="D76" s="18">
        <f>'集計_障がい者'!$E$153</f>
        <v>0.178571428571429</v>
      </c>
    </row>
    <row r="77" ht="30" customHeight="1">
      <c r="B77" s="5" t="inlineStr">
        <is>
          <t>自宅以外で落ち着いて過ごせる居場所や日中活動の場の確保</t>
        </is>
      </c>
      <c r="C77" s="17">
        <f>'集計_障がい者'!$D$154</f>
        <v>5</v>
      </c>
      <c r="D77" s="18">
        <f>'集計_障がい者'!$E$154</f>
        <v>0.178571428571429</v>
      </c>
    </row>
    <row r="78" ht="17" customHeight="1">
      <c r="B78" s="5" t="inlineStr">
        <is>
          <t>ヘルパーやスタッフの派遣・増員</t>
        </is>
      </c>
      <c r="C78" s="17">
        <f>'集計_障がい者'!$D$152</f>
        <v>3</v>
      </c>
      <c r="D78" s="18">
        <f>'集計_障がい者'!$E$152</f>
        <v>0.107142857142857</v>
      </c>
    </row>
    <row r="79" ht="30" customHeight="1">
      <c r="B79" s="5" t="inlineStr">
        <is>
          <t>家族（介護者）が対応方法を学ぶための研修や、悩みを相談できる機会の提供</t>
        </is>
      </c>
      <c r="C79" s="17">
        <f>'集計_障がい者'!$D$156</f>
        <v>3</v>
      </c>
      <c r="D79" s="18">
        <f>'集計_障がい者'!$E$156</f>
        <v>0.107142857142857</v>
      </c>
    </row>
    <row r="80" ht="17" customHeight="1">
      <c r="B80" s="5" t="inlineStr">
        <is>
          <t>特にない</t>
        </is>
      </c>
      <c r="C80" s="17">
        <f>'集計_障がい者'!$D$157</f>
        <v>18</v>
      </c>
      <c r="D80" s="18">
        <f>'集計_障がい者'!$E$157</f>
        <v>0.642857142857143</v>
      </c>
    </row>
  </sheetData>
  <pageMargins left="0.75" right="0.75" top="1" bottom="1" header="0.5" footer="0.5"/>
  <pageSetup orientation="landscape" paperSize="9" fitToHeight="0" fitToWidth="1"/>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B2:D81"/>
  <sheetViews>
    <sheetView showGridLines="0" workbookViewId="0">
      <selection activeCell="A1" sqref="A1"/>
    </sheetView>
  </sheetViews>
  <sheetFormatPr baseColWidth="8" defaultRowHeight="15"/>
  <cols>
    <col width="2" customWidth="1" min="1" max="1"/>
    <col width="4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s>
  <sheetData>
    <row r="2" ht="21" customHeight="1">
      <c r="B2" s="7" t="inlineStr">
        <is>
          <t>図3-22　意思決定支援の必要性（問21）</t>
        </is>
      </c>
    </row>
    <row r="3">
      <c r="B3" s="16" t="str">
        <f>"n="&amp;'集計_障がい者'!$F$158&amp;"（単一回答）"</f>
        <v>n=33（単一回答）</v>
      </c>
    </row>
    <row r="4" ht="18" customHeight="1">
      <c r="B4" s="3" t="inlineStr">
        <is>
          <t>選択肢</t>
        </is>
      </c>
      <c r="C4" s="3" t="inlineStr">
        <is>
          <t>件数</t>
        </is>
      </c>
      <c r="D4" s="3" t="inlineStr">
        <is>
          <t>割合</t>
        </is>
      </c>
    </row>
    <row r="5" ht="30" customHeight="1">
      <c r="B5" s="5" t="inlineStr">
        <is>
          <t>必要である（現在すでに支援を受けている、または今後受けたい）</t>
        </is>
      </c>
      <c r="C5" s="17">
        <f>'集計_障がい者'!$D$158</f>
        <v>8</v>
      </c>
      <c r="D5" s="18">
        <f>'集計_障がい者'!$E$158</f>
        <v>0.242424242424242</v>
      </c>
    </row>
    <row r="6" ht="17" customHeight="1">
      <c r="B6" s="5" t="inlineStr">
        <is>
          <t>今は必要ないが、将来的には必要になると思う</t>
        </is>
      </c>
      <c r="C6" s="17">
        <f>'集計_障がい者'!$D$159</f>
        <v>12</v>
      </c>
      <c r="D6" s="18">
        <f>'集計_障がい者'!$E$159</f>
        <v>0.363636363636364</v>
      </c>
    </row>
    <row r="7" ht="30" customHeight="1">
      <c r="B7" s="5" t="inlineStr">
        <is>
          <t>必要ない（自分や家族等と相談して意思決定ができる）</t>
        </is>
      </c>
      <c r="C7" s="17">
        <f>'集計_障がい者'!$D$160</f>
        <v>8</v>
      </c>
      <c r="D7" s="18">
        <f>'集計_障がい者'!$E$160</f>
        <v>0.242424242424242</v>
      </c>
    </row>
    <row r="8" ht="30" customHeight="1">
      <c r="B8" s="5" t="inlineStr">
        <is>
          <t>わからない（意思決定支援がどのようなものか知らない）</t>
        </is>
      </c>
      <c r="C8" s="17">
        <f>'集計_障がい者'!$D$161</f>
        <v>5</v>
      </c>
      <c r="D8" s="18">
        <f>'集計_障がい者'!$E$161</f>
        <v>0.151515151515152</v>
      </c>
    </row>
    <row r="11" ht="21" customHeight="1">
      <c r="B11" s="7" t="inlineStr">
        <is>
          <t>図3-23　困ったときの相談相手・場所（問22）</t>
        </is>
      </c>
    </row>
    <row r="12">
      <c r="B12" s="16" t="str">
        <f>"n="&amp;'集計_障がい者'!$F$162&amp;"（複数回答）"</f>
        <v>n=37（複数回答）</v>
      </c>
    </row>
    <row r="13" ht="18" customHeight="1">
      <c r="B13" s="3" t="inlineStr">
        <is>
          <t>選択肢</t>
        </is>
      </c>
      <c r="C13" s="3" t="inlineStr">
        <is>
          <t>件数</t>
        </is>
      </c>
      <c r="D13" s="3" t="inlineStr">
        <is>
          <t>割合</t>
        </is>
      </c>
    </row>
    <row r="14" ht="17" customHeight="1">
      <c r="B14" s="5" t="inlineStr">
        <is>
          <t>家族・親族</t>
        </is>
      </c>
      <c r="C14" s="17">
        <f>'集計_障がい者'!$D$162</f>
        <v>29</v>
      </c>
      <c r="D14" s="18">
        <f>'集計_障がい者'!$E$162</f>
        <v>0.783783783783784</v>
      </c>
    </row>
    <row r="15" ht="17" customHeight="1">
      <c r="B15" s="5" t="inlineStr">
        <is>
          <t>医療機関</t>
        </is>
      </c>
      <c r="C15" s="17">
        <f>'集計_障がい者'!$D$167</f>
        <v>12</v>
      </c>
      <c r="D15" s="18">
        <f>'集計_障がい者'!$E$167</f>
        <v>0.324324324324324</v>
      </c>
    </row>
    <row r="16" ht="17" customHeight="1">
      <c r="B16" s="5" t="inlineStr">
        <is>
          <t>相談支援専門員</t>
        </is>
      </c>
      <c r="C16" s="17">
        <f>'集計_障がい者'!$D$165</f>
        <v>9</v>
      </c>
      <c r="D16" s="18">
        <f>'集計_障がい者'!$E$165</f>
        <v>0.243243243243243</v>
      </c>
    </row>
    <row r="17" ht="17" customHeight="1">
      <c r="B17" s="5" t="inlineStr">
        <is>
          <t>友人・知人</t>
        </is>
      </c>
      <c r="C17" s="17">
        <f>'集計_障がい者'!$D$163</f>
        <v>6</v>
      </c>
      <c r="D17" s="18">
        <f>'集計_障がい者'!$E$163</f>
        <v>0.162162162162162</v>
      </c>
    </row>
    <row r="18" ht="17" customHeight="1">
      <c r="B18" s="5" t="inlineStr">
        <is>
          <t>村役場</t>
        </is>
      </c>
      <c r="C18" s="17">
        <f>'集計_障がい者'!$D$164</f>
        <v>5</v>
      </c>
      <c r="D18" s="18">
        <f>'集計_障がい者'!$E$164</f>
        <v>0.135135135135135</v>
      </c>
    </row>
    <row r="19" ht="17" customHeight="1">
      <c r="B19" s="5" t="inlineStr">
        <is>
          <t>福祉サービス事業所</t>
        </is>
      </c>
      <c r="C19" s="17">
        <f>'集計_障がい者'!$D$166</f>
        <v>5</v>
      </c>
      <c r="D19" s="18">
        <f>'集計_障がい者'!$E$166</f>
        <v>0.135135135135135</v>
      </c>
    </row>
    <row r="20" ht="17" customHeight="1">
      <c r="B20" s="5" t="inlineStr">
        <is>
          <t>社会福祉協議会</t>
        </is>
      </c>
      <c r="C20" s="17">
        <f>'集計_障がい者'!$D$169</f>
        <v>4</v>
      </c>
      <c r="D20" s="18">
        <f>'集計_障がい者'!$E$169</f>
        <v>0.108108108108108</v>
      </c>
    </row>
    <row r="21" ht="17" customHeight="1">
      <c r="B21" s="5" t="inlineStr">
        <is>
          <t>SNS・インターネット・AI</t>
        </is>
      </c>
      <c r="C21" s="17">
        <f>'集計_障がい者'!$D$168</f>
        <v>1</v>
      </c>
      <c r="D21" s="18">
        <f>'集計_障がい者'!$E$168</f>
        <v>0.027027027027027</v>
      </c>
    </row>
    <row r="22" ht="17" customHeight="1">
      <c r="B22" s="5" t="inlineStr">
        <is>
          <t>民生委員・児童委員</t>
        </is>
      </c>
      <c r="C22" s="17">
        <f>'集計_障がい者'!$D$170</f>
        <v>1</v>
      </c>
      <c r="D22" s="18">
        <f>'集計_障がい者'!$E$170</f>
        <v>0.027027027027027</v>
      </c>
    </row>
    <row r="23" ht="17" customHeight="1">
      <c r="B23" s="5" t="inlineStr">
        <is>
          <t>相談する相手がいない</t>
        </is>
      </c>
      <c r="C23" s="17">
        <f>'集計_障がい者'!$D$171</f>
        <v>1</v>
      </c>
      <c r="D23" s="18">
        <f>'集計_障がい者'!$E$171</f>
        <v>0.027027027027027</v>
      </c>
    </row>
    <row r="24" ht="17" customHeight="1">
      <c r="B24" s="5" t="inlineStr">
        <is>
          <t>その他</t>
        </is>
      </c>
      <c r="C24" s="17">
        <f>'集計_障がい者'!$D$172</f>
        <v>1</v>
      </c>
      <c r="D24" s="18">
        <f>'集計_障がい者'!$E$172</f>
        <v>0.027027027027027</v>
      </c>
    </row>
    <row r="25"/>
    <row r="28" ht="21" customHeight="1">
      <c r="B28" s="7" t="inlineStr">
        <is>
          <t>図3-24　相談しにくい・相談できない理由（問23）</t>
        </is>
      </c>
    </row>
    <row r="29">
      <c r="B29" s="16" t="str">
        <f>"n="&amp;'集計_障がい者'!$F$178&amp;"（複数回答）"</f>
        <v>n=31（複数回答）</v>
      </c>
    </row>
    <row r="30" ht="18" customHeight="1">
      <c r="B30" s="3" t="inlineStr">
        <is>
          <t>選択肢</t>
        </is>
      </c>
      <c r="C30" s="3" t="inlineStr">
        <is>
          <t>件数</t>
        </is>
      </c>
      <c r="D30" s="3" t="inlineStr">
        <is>
          <t>割合</t>
        </is>
      </c>
    </row>
    <row r="31" ht="17" customHeight="1">
      <c r="B31" s="5" t="inlineStr">
        <is>
          <t>家族が対応している</t>
        </is>
      </c>
      <c r="C31" s="17">
        <f>'集計_障がい者'!$D$178</f>
        <v>8</v>
      </c>
      <c r="D31" s="18">
        <f>'集計_障がい者'!$E$178</f>
        <v>0.258064516129032</v>
      </c>
    </row>
    <row r="32" ht="17" customHeight="1">
      <c r="B32" s="5" t="inlineStr">
        <is>
          <t>相談しても解決しないと思う</t>
        </is>
      </c>
      <c r="C32" s="17">
        <f>'集計_障がい者'!$D$176</f>
        <v>6</v>
      </c>
      <c r="D32" s="18">
        <f>'集計_障がい者'!$E$176</f>
        <v>0.193548387096774</v>
      </c>
    </row>
    <row r="33" ht="17" customHeight="1">
      <c r="B33" s="5" t="inlineStr">
        <is>
          <t>何を相談してよいかわからない</t>
        </is>
      </c>
      <c r="C33" s="17">
        <f>'集計_障がい者'!$D$175</f>
        <v>4</v>
      </c>
      <c r="D33" s="18">
        <f>'集計_障がい者'!$E$175</f>
        <v>0.129032258064516</v>
      </c>
    </row>
    <row r="34" ht="17" customHeight="1">
      <c r="B34" s="5" t="inlineStr">
        <is>
          <t>プライバシーが不安</t>
        </is>
      </c>
      <c r="C34" s="17">
        <f>'集計_障がい者'!$D$179</f>
        <v>4</v>
      </c>
      <c r="D34" s="18">
        <f>'集計_障がい者'!$E$179</f>
        <v>0.129032258064516</v>
      </c>
    </row>
    <row r="35" ht="17" customHeight="1">
      <c r="B35" s="5" t="inlineStr">
        <is>
          <t>身近に相談先がない</t>
        </is>
      </c>
      <c r="C35" s="17">
        <f>'集計_障がい者'!$D$174</f>
        <v>1</v>
      </c>
      <c r="D35" s="18">
        <f>'集計_障がい者'!$E$174</f>
        <v>0.032258064516129</v>
      </c>
    </row>
    <row r="36" ht="17" customHeight="1">
      <c r="B36" s="5" t="inlineStr">
        <is>
          <t>交通手段がない</t>
        </is>
      </c>
      <c r="C36" s="17">
        <f>'集計_障がい者'!$D$177</f>
        <v>1</v>
      </c>
      <c r="D36" s="18">
        <f>'集計_障がい者'!$E$177</f>
        <v>0.032258064516129</v>
      </c>
    </row>
    <row r="37" ht="17" customHeight="1">
      <c r="B37" s="5" t="inlineStr">
        <is>
          <t>相談先がわからない</t>
        </is>
      </c>
      <c r="C37" s="17">
        <f>'集計_障がい者'!$D$173</f>
        <v>0</v>
      </c>
      <c r="D37" s="18">
        <f>'集計_障がい者'!$E$173</f>
        <v>0</v>
      </c>
    </row>
    <row r="38" ht="17" customHeight="1">
      <c r="B38" s="5" t="inlineStr">
        <is>
          <t>特に困っていない</t>
        </is>
      </c>
      <c r="C38" s="17">
        <f>'集計_障がい者'!$D$180</f>
        <v>15</v>
      </c>
      <c r="D38" s="18">
        <f>'集計_障がい者'!$E$180</f>
        <v>0.483870967741936</v>
      </c>
    </row>
    <row r="39" ht="17" customHeight="1">
      <c r="B39" s="5" t="inlineStr">
        <is>
          <t>その他</t>
        </is>
      </c>
      <c r="C39" s="17">
        <f>'集計_障がい者'!$D$181</f>
        <v>0</v>
      </c>
      <c r="D39" s="18">
        <f>'集計_障がい者'!$E$181</f>
        <v>0</v>
      </c>
    </row>
    <row r="40"/>
    <row r="43" ht="21" customHeight="1">
      <c r="B43" s="7" t="inlineStr">
        <is>
          <t>図3-25　同じ障がいのある人（ピアサポーター）への相談意向（問24）</t>
        </is>
      </c>
    </row>
    <row r="44">
      <c r="B44" s="16" t="str">
        <f>"n="&amp;'集計_障がい者'!$F$182&amp;"（単一回答）"</f>
        <v>n=34（単一回答）</v>
      </c>
    </row>
    <row r="45" ht="18" customHeight="1">
      <c r="B45" s="3" t="inlineStr">
        <is>
          <t>選択肢</t>
        </is>
      </c>
      <c r="C45" s="3" t="inlineStr">
        <is>
          <t>件数</t>
        </is>
      </c>
      <c r="D45" s="3" t="inlineStr">
        <is>
          <t>割合</t>
        </is>
      </c>
    </row>
    <row r="46" ht="17" customHeight="1">
      <c r="B46" s="5" t="inlineStr">
        <is>
          <t>相談したい（現在も相談している）</t>
        </is>
      </c>
      <c r="C46" s="17">
        <f>'集計_障がい者'!$D$182</f>
        <v>0</v>
      </c>
      <c r="D46" s="18">
        <f>'集計_障がい者'!$E$182</f>
        <v>0</v>
      </c>
    </row>
    <row r="47" ht="17" customHeight="1">
      <c r="B47" s="5" t="inlineStr">
        <is>
          <t>機会があれば相談してみたい</t>
        </is>
      </c>
      <c r="C47" s="17">
        <f>'集計_障がい者'!$D$183</f>
        <v>12</v>
      </c>
      <c r="D47" s="18">
        <f>'集計_障がい者'!$E$183</f>
        <v>0.352941176470588</v>
      </c>
    </row>
    <row r="48" ht="17" customHeight="1">
      <c r="B48" s="5" t="inlineStr">
        <is>
          <t>あまり相談したいとは思わない</t>
        </is>
      </c>
      <c r="C48" s="17">
        <f>'集計_障がい者'!$D$184</f>
        <v>9</v>
      </c>
      <c r="D48" s="18">
        <f>'集計_障がい者'!$E$184</f>
        <v>0.264705882352941</v>
      </c>
    </row>
    <row r="49" ht="17" customHeight="1">
      <c r="B49" s="5" t="inlineStr">
        <is>
          <t>まったく相談したいとは思わない</t>
        </is>
      </c>
      <c r="C49" s="17">
        <f>'集計_障がい者'!$D$185</f>
        <v>6</v>
      </c>
      <c r="D49" s="18">
        <f>'集計_障がい者'!$E$185</f>
        <v>0.176470588235294</v>
      </c>
    </row>
    <row r="50" ht="17" customHeight="1">
      <c r="B50" s="5" t="inlineStr">
        <is>
          <t>わからない</t>
        </is>
      </c>
      <c r="C50" s="17">
        <f>'集計_障がい者'!$D$186</f>
        <v>7</v>
      </c>
      <c r="D50" s="18">
        <f>'集計_障がい者'!$E$186</f>
        <v>0.205882352941176</v>
      </c>
    </row>
    <row r="51"/>
    <row r="52"/>
    <row r="55" ht="21" customHeight="1">
      <c r="B55" s="7" t="inlineStr">
        <is>
          <t>図3-26　福祉に関する情報の入手先（問25）</t>
        </is>
      </c>
    </row>
    <row r="56">
      <c r="B56" s="16" t="str">
        <f>"n="&amp;'集計_障がい者'!$F$187&amp;"（複数回答）"</f>
        <v>n=36（複数回答）</v>
      </c>
    </row>
    <row r="57" ht="18" customHeight="1">
      <c r="B57" s="3" t="inlineStr">
        <is>
          <t>選択肢</t>
        </is>
      </c>
      <c r="C57" s="3" t="inlineStr">
        <is>
          <t>件数</t>
        </is>
      </c>
      <c r="D57" s="3" t="inlineStr">
        <is>
          <t>割合</t>
        </is>
      </c>
    </row>
    <row r="58" ht="17" customHeight="1">
      <c r="B58" s="5" t="inlineStr">
        <is>
          <t>村広報・ホームページ</t>
        </is>
      </c>
      <c r="C58" s="17">
        <f>'集計_障がい者'!$D$187</f>
        <v>16</v>
      </c>
      <c r="D58" s="18">
        <f>'集計_障がい者'!$E$187</f>
        <v>0.444444444444444</v>
      </c>
    </row>
    <row r="59" ht="17" customHeight="1">
      <c r="B59" s="5" t="inlineStr">
        <is>
          <t>相談支援専門員</t>
        </is>
      </c>
      <c r="C59" s="17">
        <f>'集計_障がい者'!$D$189</f>
        <v>13</v>
      </c>
      <c r="D59" s="18">
        <f>'集計_障がい者'!$E$189</f>
        <v>0.361111111111111</v>
      </c>
    </row>
    <row r="60" ht="17" customHeight="1">
      <c r="B60" s="5" t="inlineStr">
        <is>
          <t>新聞・テレビ</t>
        </is>
      </c>
      <c r="C60" s="17">
        <f>'集計_障がい者'!$D$194</f>
        <v>13</v>
      </c>
      <c r="D60" s="18">
        <f>'集計_障がい者'!$E$194</f>
        <v>0.361111111111111</v>
      </c>
    </row>
    <row r="61" ht="17" customHeight="1">
      <c r="B61" s="5" t="inlineStr">
        <is>
          <t>福祉サービス事業所</t>
        </is>
      </c>
      <c r="C61" s="17">
        <f>'集計_障がい者'!$D$190</f>
        <v>9</v>
      </c>
      <c r="D61" s="18">
        <f>'集計_障がい者'!$E$190</f>
        <v>0.25</v>
      </c>
    </row>
    <row r="62" ht="17" customHeight="1">
      <c r="B62" s="5" t="inlineStr">
        <is>
          <t>家族・知人</t>
        </is>
      </c>
      <c r="C62" s="17">
        <f>'集計_障がい者'!$D$188</f>
        <v>8</v>
      </c>
      <c r="D62" s="18">
        <f>'集計_障がい者'!$E$188</f>
        <v>0.222222222222222</v>
      </c>
    </row>
    <row r="63" ht="17" customHeight="1">
      <c r="B63" s="5" t="inlineStr">
        <is>
          <t>医療機関</t>
        </is>
      </c>
      <c r="C63" s="17">
        <f>'集計_障がい者'!$D$191</f>
        <v>8</v>
      </c>
      <c r="D63" s="18">
        <f>'集計_障がい者'!$E$191</f>
        <v>0.222222222222222</v>
      </c>
    </row>
    <row r="64" ht="17" customHeight="1">
      <c r="B64" s="5" t="inlineStr">
        <is>
          <t>SNS・インターネット・AI</t>
        </is>
      </c>
      <c r="C64" s="17">
        <f>'集計_障がい者'!$D$193</f>
        <v>4</v>
      </c>
      <c r="D64" s="18">
        <f>'集計_障がい者'!$E$193</f>
        <v>0.111111111111111</v>
      </c>
    </row>
    <row r="65" ht="17" customHeight="1">
      <c r="B65" s="5" t="inlineStr">
        <is>
          <t>情報を得られていない</t>
        </is>
      </c>
      <c r="C65" s="17">
        <f>'集計_障がい者'!$D$195</f>
        <v>1</v>
      </c>
      <c r="D65" s="18">
        <f>'集計_障がい者'!$E$195</f>
        <v>0.0277777777777778</v>
      </c>
    </row>
    <row r="66" ht="17" customHeight="1">
      <c r="B66" s="5" t="inlineStr">
        <is>
          <t>学校</t>
        </is>
      </c>
      <c r="C66" s="17">
        <f>'集計_障がい者'!$D$192</f>
        <v>0</v>
      </c>
      <c r="D66" s="18">
        <f>'集計_障がい者'!$E$192</f>
        <v>0</v>
      </c>
    </row>
    <row r="67" ht="17" customHeight="1">
      <c r="B67" s="5" t="inlineStr">
        <is>
          <t>その他</t>
        </is>
      </c>
      <c r="C67" s="17">
        <f>'集計_障がい者'!$D$196</f>
        <v>0</v>
      </c>
      <c r="D67" s="18">
        <f>'集計_障がい者'!$E$196</f>
        <v>0</v>
      </c>
    </row>
    <row r="68"/>
    <row r="71" ht="21" customHeight="1">
      <c r="B71" s="7" t="inlineStr">
        <is>
          <t>図3-27　相談支援に期待すること（問26）</t>
        </is>
      </c>
    </row>
    <row r="72">
      <c r="B72" s="16" t="str">
        <f>"n="&amp;'集計_障がい者'!$F$203&amp;"（複数回答）"</f>
        <v>n=29（複数回答）</v>
      </c>
    </row>
    <row r="73" ht="18" customHeight="1">
      <c r="B73" s="3" t="inlineStr">
        <is>
          <t>選択肢</t>
        </is>
      </c>
      <c r="C73" s="3" t="inlineStr">
        <is>
          <t>件数</t>
        </is>
      </c>
      <c r="D73" s="3" t="inlineStr">
        <is>
          <t>割合</t>
        </is>
      </c>
    </row>
    <row r="74" ht="17" customHeight="1">
      <c r="B74" s="5" t="inlineStr">
        <is>
          <t>わかりやすい情報提供</t>
        </is>
      </c>
      <c r="C74" s="17">
        <f>'集計_障がい者'!$D$203</f>
        <v>14</v>
      </c>
      <c r="D74" s="18">
        <f>'集計_障がい者'!$E$203</f>
        <v>0.482758620689655</v>
      </c>
    </row>
    <row r="75" ht="17" customHeight="1">
      <c r="B75" s="5" t="inlineStr">
        <is>
          <t>サービス利用の相談</t>
        </is>
      </c>
      <c r="C75" s="17">
        <f>'集計_障がい者'!$D$197</f>
        <v>13</v>
      </c>
      <c r="D75" s="18">
        <f>'集計_障がい者'!$E$197</f>
        <v>0.448275862068966</v>
      </c>
    </row>
    <row r="76" ht="17" customHeight="1">
      <c r="B76" s="5" t="inlineStr">
        <is>
          <t>将来の暮らしの相談</t>
        </is>
      </c>
      <c r="C76" s="17">
        <f>'集計_障がい者'!$D$198</f>
        <v>12</v>
      </c>
      <c r="D76" s="18">
        <f>'集計_障がい者'!$E$198</f>
        <v>0.413793103448276</v>
      </c>
    </row>
    <row r="77" ht="17" customHeight="1">
      <c r="B77" s="5" t="inlineStr">
        <is>
          <t>緊急時の相談</t>
        </is>
      </c>
      <c r="C77" s="17">
        <f>'集計_障がい者'!$D$202</f>
        <v>9</v>
      </c>
      <c r="D77" s="18">
        <f>'集計_障がい者'!$E$202</f>
        <v>0.310344827586207</v>
      </c>
    </row>
    <row r="78" ht="17" customHeight="1">
      <c r="B78" s="5" t="inlineStr">
        <is>
          <t>医療・通院の相談</t>
        </is>
      </c>
      <c r="C78" s="17">
        <f>'集計_障がい者'!$D$200</f>
        <v>7</v>
      </c>
      <c r="D78" s="18">
        <f>'集計_障がい者'!$E$200</f>
        <v>0.241379310344828</v>
      </c>
    </row>
    <row r="79" ht="17" customHeight="1">
      <c r="B79" s="5" t="inlineStr">
        <is>
          <t>家族の負担軽減</t>
        </is>
      </c>
      <c r="C79" s="17">
        <f>'集計_障がい者'!$D$201</f>
        <v>3</v>
      </c>
      <c r="D79" s="18">
        <f>'集計_障がい者'!$E$201</f>
        <v>0.103448275862069</v>
      </c>
    </row>
    <row r="80" ht="17" customHeight="1">
      <c r="B80" s="5" t="inlineStr">
        <is>
          <t>就労・日中活動の相談</t>
        </is>
      </c>
      <c r="C80" s="17">
        <f>'集計_障がい者'!$D$199</f>
        <v>1</v>
      </c>
      <c r="D80" s="18">
        <f>'集計_障がい者'!$E$199</f>
        <v>0.0344827586206897</v>
      </c>
    </row>
    <row r="81" ht="17" customHeight="1">
      <c r="B81" s="5" t="inlineStr">
        <is>
          <t>その他</t>
        </is>
      </c>
      <c r="C81" s="17">
        <f>'集計_障がい者'!$D$204</f>
        <v>1</v>
      </c>
      <c r="D81" s="18">
        <f>'集計_障がい者'!$E$204</f>
        <v>0.0344827586206897</v>
      </c>
    </row>
    <row r="82"/>
  </sheetData>
  <pageMargins left="0.75" right="0.75" top="1" bottom="1" header="0.5" footer="0.5"/>
  <pageSetup orientation="landscape" paperSize="9" fitToHeight="0" fitToWidth="1"/>
  <drawing xmlns:r="http://schemas.openxmlformats.org/officeDocument/2006/relationships" r:id="rId1"/>
</worksheet>
</file>

<file path=xl/worksheets/sheet7.xml><?xml version="1.0" encoding="utf-8"?>
<worksheet xmlns="http://schemas.openxmlformats.org/spreadsheetml/2006/main">
  <sheetPr>
    <outlinePr summaryBelow="1" summaryRight="1"/>
    <pageSetUpPr fitToPage="1"/>
  </sheetPr>
  <dimension ref="B2:I124"/>
  <sheetViews>
    <sheetView showGridLines="0" workbookViewId="0">
      <selection activeCell="A1" sqref="A1"/>
    </sheetView>
  </sheetViews>
  <sheetFormatPr baseColWidth="8" defaultRowHeight="15"/>
  <cols>
    <col width="2" customWidth="1" min="1" max="1"/>
    <col width="4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s>
  <sheetData>
    <row r="2" ht="21" customHeight="1">
      <c r="B2" s="7" t="inlineStr">
        <is>
          <t>表3-1　サービス別の利用状況・認知度・今後の利用意向</t>
        </is>
      </c>
    </row>
    <row r="3" ht="30" customHeight="1">
      <c r="B3" s="3" t="inlineStr">
        <is>
          <t>サービス</t>
        </is>
      </c>
      <c r="C3" s="3" t="inlineStr">
        <is>
          <t>現在利用している（問27-1）</t>
        </is>
      </c>
      <c r="D3" s="9" t="n"/>
      <c r="E3" s="3" t="inlineStr">
        <is>
          <t>内容をよく知らない（問27-2）</t>
        </is>
      </c>
      <c r="F3" s="9" t="n"/>
      <c r="G3" s="3" t="inlineStr">
        <is>
          <t>今後3年間で利用したい（問27-3）</t>
        </is>
      </c>
      <c r="H3" s="9" t="n"/>
      <c r="I3" s="3" t="inlineStr">
        <is>
          <t>差（今後－現在）
ポイント</t>
        </is>
      </c>
    </row>
    <row r="4">
      <c r="B4" s="19" t="n"/>
      <c r="C4" s="3" t="inlineStr">
        <is>
          <t>件数</t>
        </is>
      </c>
      <c r="D4" s="3" t="inlineStr">
        <is>
          <t>割合</t>
        </is>
      </c>
      <c r="E4" s="3" t="inlineStr">
        <is>
          <t>件数</t>
        </is>
      </c>
      <c r="F4" s="3" t="inlineStr">
        <is>
          <t>割合</t>
        </is>
      </c>
      <c r="G4" s="3" t="inlineStr">
        <is>
          <t>件数</t>
        </is>
      </c>
      <c r="H4" s="3" t="inlineStr">
        <is>
          <t>割合</t>
        </is>
      </c>
      <c r="I4" s="19" t="n"/>
    </row>
    <row r="5">
      <c r="B5" s="20" t="inlineStr">
        <is>
          <t>回答者数（n）</t>
        </is>
      </c>
      <c r="C5" s="21">
        <f>'集計_障がい者'!$F$205</f>
        <v>30</v>
      </c>
      <c r="D5" s="22" t="inlineStr"/>
      <c r="E5" s="21">
        <f>'集計_障がい者'!$F$224</f>
        <v>24</v>
      </c>
      <c r="F5" s="22" t="inlineStr"/>
      <c r="G5" s="21">
        <f>'集計_障がい者'!$F$243</f>
        <v>28</v>
      </c>
      <c r="H5" s="22" t="inlineStr"/>
      <c r="I5" s="22" t="inlineStr"/>
    </row>
    <row r="6" ht="17" customHeight="1">
      <c r="B6" s="5" t="inlineStr">
        <is>
          <t>居宅介護（ホームヘルプ）</t>
        </is>
      </c>
      <c r="C6" s="17">
        <f>'集計_障がい者'!$D$205</f>
        <v>1</v>
      </c>
      <c r="D6" s="18">
        <f>'集計_障がい者'!$E$205</f>
        <v>0.0333333333333333</v>
      </c>
      <c r="E6" s="17">
        <f>'集計_障がい者'!$D$224</f>
        <v>6</v>
      </c>
      <c r="F6" s="18">
        <f>'集計_障がい者'!$E$224</f>
        <v>0.25</v>
      </c>
      <c r="G6" s="17">
        <f>'集計_障がい者'!$D$243</f>
        <v>3</v>
      </c>
      <c r="H6" s="18">
        <f>'集計_障がい者'!$E$243</f>
        <v>0.107142857142857</v>
      </c>
      <c r="I6" s="23">
        <f>ROUND(H6*100,1)-ROUND(D6*100,1)</f>
        <v>7.4</v>
      </c>
    </row>
    <row r="7" ht="17" customHeight="1">
      <c r="B7" s="5" t="inlineStr">
        <is>
          <t>重度訪問介護</t>
        </is>
      </c>
      <c r="C7" s="17">
        <f>'集計_障がい者'!$D$206</f>
        <v>0</v>
      </c>
      <c r="D7" s="18">
        <f>'集計_障がい者'!$E$206</f>
        <v>0</v>
      </c>
      <c r="E7" s="17">
        <f>'集計_障がい者'!$D$225</f>
        <v>9</v>
      </c>
      <c r="F7" s="18">
        <f>'集計_障がい者'!$E$225</f>
        <v>0.375</v>
      </c>
      <c r="G7" s="17">
        <f>'集計_障がい者'!$D$244</f>
        <v>0</v>
      </c>
      <c r="H7" s="18">
        <f>'集計_障がい者'!$E$244</f>
        <v>0</v>
      </c>
      <c r="I7" s="23">
        <f>ROUND(H7*100,1)-ROUND(D7*100,1)</f>
        <v>0</v>
      </c>
    </row>
    <row r="8" ht="17" customHeight="1">
      <c r="B8" s="5" t="inlineStr">
        <is>
          <t>同行援護・行動援護</t>
        </is>
      </c>
      <c r="C8" s="17">
        <f>'集計_障がい者'!$D$207</f>
        <v>1</v>
      </c>
      <c r="D8" s="18">
        <f>'集計_障がい者'!$E$207</f>
        <v>0.0333333333333333</v>
      </c>
      <c r="E8" s="17">
        <f>'集計_障がい者'!$D$226</f>
        <v>9</v>
      </c>
      <c r="F8" s="18">
        <f>'集計_障がい者'!$E$226</f>
        <v>0.375</v>
      </c>
      <c r="G8" s="17">
        <f>'集計_障がい者'!$D$245</f>
        <v>1</v>
      </c>
      <c r="H8" s="18">
        <f>'集計_障がい者'!$E$245</f>
        <v>0.0357142857142857</v>
      </c>
      <c r="I8" s="23">
        <f>ROUND(H8*100,1)-ROUND(D8*100,1)</f>
        <v>0.3</v>
      </c>
    </row>
    <row r="9" ht="17" customHeight="1">
      <c r="B9" s="5" t="inlineStr">
        <is>
          <t>生活介護</t>
        </is>
      </c>
      <c r="C9" s="17">
        <f>'集計_障がい者'!$D$208</f>
        <v>4</v>
      </c>
      <c r="D9" s="18">
        <f>'集計_障がい者'!$E$208</f>
        <v>0.133333333333333</v>
      </c>
      <c r="E9" s="17">
        <f>'集計_障がい者'!$D$227</f>
        <v>6</v>
      </c>
      <c r="F9" s="18">
        <f>'集計_障がい者'!$E$227</f>
        <v>0.25</v>
      </c>
      <c r="G9" s="17">
        <f>'集計_障がい者'!$D$246</f>
        <v>3</v>
      </c>
      <c r="H9" s="18">
        <f>'集計_障がい者'!$E$246</f>
        <v>0.107142857142857</v>
      </c>
      <c r="I9" s="23">
        <f>ROUND(H9*100,1)-ROUND(D9*100,1)</f>
        <v>-2.6</v>
      </c>
    </row>
    <row r="10" ht="17" customHeight="1">
      <c r="B10" s="5" t="inlineStr">
        <is>
          <t>自立訓練</t>
        </is>
      </c>
      <c r="C10" s="17">
        <f>'集計_障がい者'!$D$209</f>
        <v>2</v>
      </c>
      <c r="D10" s="18">
        <f>'集計_障がい者'!$E$209</f>
        <v>0.0666666666666667</v>
      </c>
      <c r="E10" s="17">
        <f>'集計_障がい者'!$D$228</f>
        <v>8</v>
      </c>
      <c r="F10" s="18">
        <f>'集計_障がい者'!$E$228</f>
        <v>0.333333333333333</v>
      </c>
      <c r="G10" s="17">
        <f>'集計_障がい者'!$D$247</f>
        <v>2</v>
      </c>
      <c r="H10" s="18">
        <f>'集計_障がい者'!$E$247</f>
        <v>0.0714285714285714</v>
      </c>
      <c r="I10" s="23">
        <f>ROUND(H10*100,1)-ROUND(D10*100,1)</f>
        <v>0.399999999999999</v>
      </c>
    </row>
    <row r="11" ht="17" customHeight="1">
      <c r="B11" s="5" t="inlineStr">
        <is>
          <t>就労移行支援</t>
        </is>
      </c>
      <c r="C11" s="17">
        <f>'集計_障がい者'!$D$210</f>
        <v>0</v>
      </c>
      <c r="D11" s="18">
        <f>'集計_障がい者'!$E$210</f>
        <v>0</v>
      </c>
      <c r="E11" s="17">
        <f>'集計_障がい者'!$D$229</f>
        <v>8</v>
      </c>
      <c r="F11" s="18">
        <f>'集計_障がい者'!$E$229</f>
        <v>0.333333333333333</v>
      </c>
      <c r="G11" s="17">
        <f>'集計_障がい者'!$D$248</f>
        <v>1</v>
      </c>
      <c r="H11" s="18">
        <f>'集計_障がい者'!$E$248</f>
        <v>0.0357142857142857</v>
      </c>
      <c r="I11" s="23">
        <f>ROUND(H11*100,1)-ROUND(D11*100,1)</f>
        <v>3.6</v>
      </c>
    </row>
    <row r="12" ht="17" customHeight="1">
      <c r="B12" s="5" t="inlineStr">
        <is>
          <t>就労継続支援A型</t>
        </is>
      </c>
      <c r="C12" s="17">
        <f>'集計_障がい者'!$D$211</f>
        <v>1</v>
      </c>
      <c r="D12" s="18">
        <f>'集計_障がい者'!$E$211</f>
        <v>0.0333333333333333</v>
      </c>
      <c r="E12" s="17">
        <f>'集計_障がい者'!$D$230</f>
        <v>8</v>
      </c>
      <c r="F12" s="18">
        <f>'集計_障がい者'!$E$230</f>
        <v>0.333333333333333</v>
      </c>
      <c r="G12" s="17">
        <f>'集計_障がい者'!$D$249</f>
        <v>0</v>
      </c>
      <c r="H12" s="18">
        <f>'集計_障がい者'!$E$249</f>
        <v>0</v>
      </c>
      <c r="I12" s="23">
        <f>ROUND(H12*100,1)-ROUND(D12*100,1)</f>
        <v>-3.3</v>
      </c>
    </row>
    <row r="13" ht="17" customHeight="1">
      <c r="B13" s="5" t="inlineStr">
        <is>
          <t>就労継続支援B型</t>
        </is>
      </c>
      <c r="C13" s="17">
        <f>'集計_障がい者'!$D$212</f>
        <v>2</v>
      </c>
      <c r="D13" s="18">
        <f>'集計_障がい者'!$E$212</f>
        <v>0.0666666666666667</v>
      </c>
      <c r="E13" s="17">
        <f>'集計_障がい者'!$D$231</f>
        <v>8</v>
      </c>
      <c r="F13" s="18">
        <f>'集計_障がい者'!$E$231</f>
        <v>0.333333333333333</v>
      </c>
      <c r="G13" s="17">
        <f>'集計_障がい者'!$D$250</f>
        <v>1</v>
      </c>
      <c r="H13" s="18">
        <f>'集計_障がい者'!$E$250</f>
        <v>0.0357142857142857</v>
      </c>
      <c r="I13" s="23">
        <f>ROUND(H13*100,1)-ROUND(D13*100,1)</f>
        <v>-3.1</v>
      </c>
    </row>
    <row r="14" ht="17" customHeight="1">
      <c r="B14" s="5" t="inlineStr">
        <is>
          <t>就労選択支援</t>
        </is>
      </c>
      <c r="C14" s="17">
        <f>'集計_障がい者'!$D$213</f>
        <v>1</v>
      </c>
      <c r="D14" s="18">
        <f>'集計_障がい者'!$E$213</f>
        <v>0.0333333333333333</v>
      </c>
      <c r="E14" s="17">
        <f>'集計_障がい者'!$D$232</f>
        <v>9</v>
      </c>
      <c r="F14" s="18">
        <f>'集計_障がい者'!$E$232</f>
        <v>0.375</v>
      </c>
      <c r="G14" s="17">
        <f>'集計_障がい者'!$D$251</f>
        <v>0</v>
      </c>
      <c r="H14" s="18">
        <f>'集計_障がい者'!$E$251</f>
        <v>0</v>
      </c>
      <c r="I14" s="23">
        <f>ROUND(H14*100,1)-ROUND(D14*100,1)</f>
        <v>-3.3</v>
      </c>
    </row>
    <row r="15" ht="17" customHeight="1">
      <c r="B15" s="5" t="inlineStr">
        <is>
          <t>就労定着支援</t>
        </is>
      </c>
      <c r="C15" s="17">
        <f>'集計_障がい者'!$D$214</f>
        <v>0</v>
      </c>
      <c r="D15" s="18">
        <f>'集計_障がい者'!$E$214</f>
        <v>0</v>
      </c>
      <c r="E15" s="17">
        <f>'集計_障がい者'!$D$233</f>
        <v>8</v>
      </c>
      <c r="F15" s="18">
        <f>'集計_障がい者'!$E$233</f>
        <v>0.333333333333333</v>
      </c>
      <c r="G15" s="17">
        <f>'集計_障がい者'!$D$252</f>
        <v>0</v>
      </c>
      <c r="H15" s="18">
        <f>'集計_障がい者'!$E$252</f>
        <v>0</v>
      </c>
      <c r="I15" s="23">
        <f>ROUND(H15*100,1)-ROUND(D15*100,1)</f>
        <v>0</v>
      </c>
    </row>
    <row r="16" ht="17" customHeight="1">
      <c r="B16" s="5" t="inlineStr">
        <is>
          <t>短期入所（ショートステイ）</t>
        </is>
      </c>
      <c r="C16" s="17">
        <f>'集計_障がい者'!$D$215</f>
        <v>2</v>
      </c>
      <c r="D16" s="18">
        <f>'集計_障がい者'!$E$215</f>
        <v>0.0666666666666667</v>
      </c>
      <c r="E16" s="17">
        <f>'集計_障がい者'!$D$234</f>
        <v>4</v>
      </c>
      <c r="F16" s="18">
        <f>'集計_障がい者'!$E$234</f>
        <v>0.166666666666667</v>
      </c>
      <c r="G16" s="17">
        <f>'集計_障がい者'!$D$253</f>
        <v>4</v>
      </c>
      <c r="H16" s="18">
        <f>'集計_障がい者'!$E$253</f>
        <v>0.142857142857143</v>
      </c>
      <c r="I16" s="23">
        <f>ROUND(H16*100,1)-ROUND(D16*100,1)</f>
        <v>7.6</v>
      </c>
    </row>
    <row r="17" ht="17" customHeight="1">
      <c r="B17" s="5" t="inlineStr">
        <is>
          <t>グループホーム</t>
        </is>
      </c>
      <c r="C17" s="17">
        <f>'集計_障がい者'!$D$216</f>
        <v>3</v>
      </c>
      <c r="D17" s="18">
        <f>'集計_障がい者'!$E$216</f>
        <v>0.1</v>
      </c>
      <c r="E17" s="17">
        <f>'集計_障がい者'!$D$235</f>
        <v>5</v>
      </c>
      <c r="F17" s="18">
        <f>'集計_障がい者'!$E$235</f>
        <v>0.208333333333333</v>
      </c>
      <c r="G17" s="17">
        <f>'集計_障がい者'!$D$254</f>
        <v>5</v>
      </c>
      <c r="H17" s="18">
        <f>'集計_障がい者'!$E$254</f>
        <v>0.178571428571429</v>
      </c>
      <c r="I17" s="23">
        <f>ROUND(H17*100,1)-ROUND(D17*100,1)</f>
        <v>7.9</v>
      </c>
    </row>
    <row r="18" ht="17" customHeight="1">
      <c r="B18" s="5" t="inlineStr">
        <is>
          <t>施設入所支援</t>
        </is>
      </c>
      <c r="C18" s="17">
        <f>'集計_障がい者'!$D$217</f>
        <v>5</v>
      </c>
      <c r="D18" s="18">
        <f>'集計_障がい者'!$E$217</f>
        <v>0.166666666666667</v>
      </c>
      <c r="E18" s="17">
        <f>'集計_障がい者'!$D$236</f>
        <v>6</v>
      </c>
      <c r="F18" s="18">
        <f>'集計_障がい者'!$E$236</f>
        <v>0.25</v>
      </c>
      <c r="G18" s="17">
        <f>'集計_障がい者'!$D$255</f>
        <v>9</v>
      </c>
      <c r="H18" s="18">
        <f>'集計_障がい者'!$E$255</f>
        <v>0.321428571428571</v>
      </c>
      <c r="I18" s="23">
        <f>ROUND(H18*100,1)-ROUND(D18*100,1)</f>
        <v>15.4</v>
      </c>
    </row>
    <row r="19" ht="17" customHeight="1">
      <c r="B19" s="5" t="inlineStr">
        <is>
          <t>計画相談支援</t>
        </is>
      </c>
      <c r="C19" s="17">
        <f>'集計_障がい者'!$D$218</f>
        <v>2</v>
      </c>
      <c r="D19" s="18">
        <f>'集計_障がい者'!$E$218</f>
        <v>0.0666666666666667</v>
      </c>
      <c r="E19" s="17">
        <f>'集計_障がい者'!$D$237</f>
        <v>7</v>
      </c>
      <c r="F19" s="18">
        <f>'集計_障がい者'!$E$237</f>
        <v>0.291666666666667</v>
      </c>
      <c r="G19" s="17">
        <f>'集計_障がい者'!$D$256</f>
        <v>3</v>
      </c>
      <c r="H19" s="18">
        <f>'集計_障がい者'!$E$256</f>
        <v>0.107142857142857</v>
      </c>
      <c r="I19" s="23">
        <f>ROUND(H19*100,1)-ROUND(D19*100,1)</f>
        <v>4</v>
      </c>
    </row>
    <row r="20" ht="17" customHeight="1">
      <c r="B20" s="5" t="inlineStr">
        <is>
          <t>移動支援</t>
        </is>
      </c>
      <c r="C20" s="17">
        <f>'集計_障がい者'!$D$219</f>
        <v>1</v>
      </c>
      <c r="D20" s="18">
        <f>'集計_障がい者'!$E$219</f>
        <v>0.0333333333333333</v>
      </c>
      <c r="E20" s="17">
        <f>'集計_障がい者'!$D$238</f>
        <v>9</v>
      </c>
      <c r="F20" s="18">
        <f>'集計_障がい者'!$E$238</f>
        <v>0.375</v>
      </c>
      <c r="G20" s="17">
        <f>'集計_障がい者'!$D$257</f>
        <v>2</v>
      </c>
      <c r="H20" s="18">
        <f>'集計_障がい者'!$E$257</f>
        <v>0.0714285714285714</v>
      </c>
      <c r="I20" s="23">
        <f>ROUND(H20*100,1)-ROUND(D20*100,1)</f>
        <v>3.8</v>
      </c>
    </row>
    <row r="21" ht="17" customHeight="1">
      <c r="B21" s="5" t="inlineStr">
        <is>
          <t>日中一時支援</t>
        </is>
      </c>
      <c r="C21" s="17">
        <f>'集計_障がい者'!$D$220</f>
        <v>1</v>
      </c>
      <c r="D21" s="18">
        <f>'集計_障がい者'!$E$220</f>
        <v>0.0333333333333333</v>
      </c>
      <c r="E21" s="17">
        <f>'集計_障がい者'!$D$239</f>
        <v>8</v>
      </c>
      <c r="F21" s="18">
        <f>'集計_障がい者'!$E$239</f>
        <v>0.333333333333333</v>
      </c>
      <c r="G21" s="17">
        <f>'集計_障がい者'!$D$258</f>
        <v>1</v>
      </c>
      <c r="H21" s="18">
        <f>'集計_障がい者'!$E$258</f>
        <v>0.0357142857142857</v>
      </c>
      <c r="I21" s="23">
        <f>ROUND(H21*100,1)-ROUND(D21*100,1)</f>
        <v>0.3</v>
      </c>
    </row>
    <row r="22" ht="17" customHeight="1">
      <c r="B22" s="5" t="inlineStr">
        <is>
          <t>日常生活用具</t>
        </is>
      </c>
      <c r="C22" s="17">
        <f>'集計_障がい者'!$D$221</f>
        <v>1</v>
      </c>
      <c r="D22" s="18">
        <f>'集計_障がい者'!$E$221</f>
        <v>0.0333333333333333</v>
      </c>
      <c r="E22" s="17">
        <f>'集計_障がい者'!$D$240</f>
        <v>6</v>
      </c>
      <c r="F22" s="18">
        <f>'集計_障がい者'!$E$240</f>
        <v>0.25</v>
      </c>
      <c r="G22" s="17">
        <f>'集計_障がい者'!$D$259</f>
        <v>1</v>
      </c>
      <c r="H22" s="18">
        <f>'集計_障がい者'!$E$259</f>
        <v>0.0357142857142857</v>
      </c>
      <c r="I22" s="23">
        <f>ROUND(H22*100,1)-ROUND(D22*100,1)</f>
        <v>0.3</v>
      </c>
    </row>
    <row r="23" ht="17" customHeight="1">
      <c r="B23" s="5" t="inlineStr">
        <is>
          <t>訪問入浴</t>
        </is>
      </c>
      <c r="C23" s="17">
        <f>'集計_障がい者'!$D$222</f>
        <v>0</v>
      </c>
      <c r="D23" s="18">
        <f>'集計_障がい者'!$E$222</f>
        <v>0</v>
      </c>
      <c r="E23" s="17">
        <f>'集計_障がい者'!$D$241</f>
        <v>5</v>
      </c>
      <c r="F23" s="18">
        <f>'集計_障がい者'!$E$241</f>
        <v>0.208333333333333</v>
      </c>
      <c r="G23" s="17">
        <f>'集計_障がい者'!$D$260</f>
        <v>0</v>
      </c>
      <c r="H23" s="18">
        <f>'集計_障がい者'!$E$260</f>
        <v>0</v>
      </c>
      <c r="I23" s="23">
        <f>ROUND(H23*100,1)-ROUND(D23*100,1)</f>
        <v>0</v>
      </c>
    </row>
    <row r="24" ht="17" customHeight="1">
      <c r="B24" s="5" t="inlineStr">
        <is>
          <t>特にない（各設問）</t>
        </is>
      </c>
      <c r="C24" s="17">
        <f>'集計_障がい者'!$D$223</f>
        <v>17</v>
      </c>
      <c r="D24" s="18">
        <f>'集計_障がい者'!$E$223</f>
        <v>0.566666666666667</v>
      </c>
      <c r="E24" s="17">
        <f>'集計_障がい者'!$D$242</f>
        <v>7</v>
      </c>
      <c r="F24" s="18">
        <f>'集計_障がい者'!$E$242</f>
        <v>0.291666666666667</v>
      </c>
      <c r="G24" s="17">
        <f>'集計_障がい者'!$D$261</f>
        <v>12</v>
      </c>
      <c r="H24" s="18">
        <f>'集計_障がい者'!$E$261</f>
        <v>0.428571428571429</v>
      </c>
      <c r="I24" s="4" t="inlineStr"/>
    </row>
    <row r="25" ht="27" customHeight="1">
      <c r="B25" s="12" t="inlineStr">
        <is>
          <t>※割合はいずれも複数回答。「差」は今後の利用意向（問27-3）と現在の利用（問27-1）の割合の差（ポイント）で、5ポイント以上の増加を赤字で示しています。（ ）内は件数です。 差は割合を小数点第1位に四捨五入したうえでの差です。</t>
        </is>
      </c>
    </row>
    <row r="27" ht="21" customHeight="1">
      <c r="B27" s="7" t="inlineStr">
        <is>
          <t>図3-28　現在利用しているサービスと今後3年間で利用したいサービス（問27-1・問27-3）</t>
        </is>
      </c>
    </row>
    <row r="28"/>
    <row r="29" ht="57" customHeight="1">
      <c r="B29" s="3" t="inlineStr">
        <is>
          <t>サービス</t>
        </is>
      </c>
      <c r="C29" s="3" t="inlineStr">
        <is>
          <t>現在利用している（問27-1）</t>
        </is>
      </c>
      <c r="D29" s="3" t="inlineStr">
        <is>
          <t>今後3年間で利用したい（問27-3）</t>
        </is>
      </c>
    </row>
    <row r="30" ht="17" customHeight="1">
      <c r="B30" s="5" t="inlineStr">
        <is>
          <t>居宅介護（ホームヘルプ）</t>
        </is>
      </c>
      <c r="C30" s="18">
        <f>'集計_障がい者'!$E$205</f>
        <v>0.0333333333333333</v>
      </c>
      <c r="D30" s="18">
        <f>'集計_障がい者'!$E$243</f>
        <v>0.107142857142857</v>
      </c>
    </row>
    <row r="31" ht="17" customHeight="1">
      <c r="B31" s="5" t="inlineStr">
        <is>
          <t>同行援護・行動援護</t>
        </is>
      </c>
      <c r="C31" s="18">
        <f>'集計_障がい者'!$E$207</f>
        <v>0.0333333333333333</v>
      </c>
      <c r="D31" s="18">
        <f>'集計_障がい者'!$E$245</f>
        <v>0.0357142857142857</v>
      </c>
    </row>
    <row r="32" ht="17" customHeight="1">
      <c r="B32" s="5" t="inlineStr">
        <is>
          <t>生活介護</t>
        </is>
      </c>
      <c r="C32" s="18">
        <f>'集計_障がい者'!$E$208</f>
        <v>0.133333333333333</v>
      </c>
      <c r="D32" s="18">
        <f>'集計_障がい者'!$E$246</f>
        <v>0.107142857142857</v>
      </c>
    </row>
    <row r="33" ht="17" customHeight="1">
      <c r="B33" s="5" t="inlineStr">
        <is>
          <t>自立訓練</t>
        </is>
      </c>
      <c r="C33" s="18">
        <f>'集計_障がい者'!$E$209</f>
        <v>0.0666666666666667</v>
      </c>
      <c r="D33" s="18">
        <f>'集計_障がい者'!$E$247</f>
        <v>0.0714285714285714</v>
      </c>
    </row>
    <row r="34" ht="17" customHeight="1">
      <c r="B34" s="5" t="inlineStr">
        <is>
          <t>就労移行支援</t>
        </is>
      </c>
      <c r="C34" s="18">
        <f>'集計_障がい者'!$E$210</f>
        <v>0</v>
      </c>
      <c r="D34" s="18">
        <f>'集計_障がい者'!$E$248</f>
        <v>0.0357142857142857</v>
      </c>
    </row>
    <row r="35" ht="17" customHeight="1">
      <c r="B35" s="5" t="inlineStr">
        <is>
          <t>就労継続支援A型</t>
        </is>
      </c>
      <c r="C35" s="18">
        <f>'集計_障がい者'!$E$211</f>
        <v>0.0333333333333333</v>
      </c>
      <c r="D35" s="18">
        <f>'集計_障がい者'!$E$249</f>
        <v>0</v>
      </c>
    </row>
    <row r="36" ht="17" customHeight="1">
      <c r="B36" s="5" t="inlineStr">
        <is>
          <t>就労継続支援B型</t>
        </is>
      </c>
      <c r="C36" s="18">
        <f>'集計_障がい者'!$E$212</f>
        <v>0.0666666666666667</v>
      </c>
      <c r="D36" s="18">
        <f>'集計_障がい者'!$E$250</f>
        <v>0.0357142857142857</v>
      </c>
    </row>
    <row r="37" ht="17" customHeight="1">
      <c r="B37" s="5" t="inlineStr">
        <is>
          <t>就労選択支援</t>
        </is>
      </c>
      <c r="C37" s="18">
        <f>'集計_障がい者'!$E$213</f>
        <v>0.0333333333333333</v>
      </c>
      <c r="D37" s="18">
        <f>'集計_障がい者'!$E$251</f>
        <v>0</v>
      </c>
    </row>
    <row r="38" ht="17" customHeight="1">
      <c r="B38" s="5" t="inlineStr">
        <is>
          <t>短期入所（ショートステイ）</t>
        </is>
      </c>
      <c r="C38" s="18">
        <f>'集計_障がい者'!$E$215</f>
        <v>0.0666666666666667</v>
      </c>
      <c r="D38" s="18">
        <f>'集計_障がい者'!$E$253</f>
        <v>0.142857142857143</v>
      </c>
    </row>
    <row r="39" ht="17" customHeight="1">
      <c r="B39" s="5" t="inlineStr">
        <is>
          <t>グループホーム</t>
        </is>
      </c>
      <c r="C39" s="18">
        <f>'集計_障がい者'!$E$216</f>
        <v>0.1</v>
      </c>
      <c r="D39" s="18">
        <f>'集計_障がい者'!$E$254</f>
        <v>0.178571428571429</v>
      </c>
    </row>
    <row r="40" ht="17" customHeight="1">
      <c r="B40" s="5" t="inlineStr">
        <is>
          <t>施設入所支援</t>
        </is>
      </c>
      <c r="C40" s="18">
        <f>'集計_障がい者'!$E$217</f>
        <v>0.166666666666667</v>
      </c>
      <c r="D40" s="18">
        <f>'集計_障がい者'!$E$255</f>
        <v>0.321428571428571</v>
      </c>
    </row>
    <row r="41" ht="17" customHeight="1">
      <c r="B41" s="5" t="inlineStr">
        <is>
          <t>計画相談支援</t>
        </is>
      </c>
      <c r="C41" s="18">
        <f>'集計_障がい者'!$E$218</f>
        <v>0.0666666666666667</v>
      </c>
      <c r="D41" s="18">
        <f>'集計_障がい者'!$E$256</f>
        <v>0.107142857142857</v>
      </c>
    </row>
    <row r="42" ht="17" customHeight="1">
      <c r="B42" s="5" t="inlineStr">
        <is>
          <t>移動支援</t>
        </is>
      </c>
      <c r="C42" s="18">
        <f>'集計_障がい者'!$E$219</f>
        <v>0.0333333333333333</v>
      </c>
      <c r="D42" s="18">
        <f>'集計_障がい者'!$E$257</f>
        <v>0.0714285714285714</v>
      </c>
    </row>
    <row r="43" ht="17" customHeight="1">
      <c r="B43" s="5" t="inlineStr">
        <is>
          <t>日中一時支援</t>
        </is>
      </c>
      <c r="C43" s="18">
        <f>'集計_障がい者'!$E$220</f>
        <v>0.0333333333333333</v>
      </c>
      <c r="D43" s="18">
        <f>'集計_障がい者'!$E$258</f>
        <v>0.0357142857142857</v>
      </c>
    </row>
    <row r="44" ht="17" customHeight="1">
      <c r="B44" s="5" t="inlineStr">
        <is>
          <t>日常生活用具</t>
        </is>
      </c>
      <c r="C44" s="18">
        <f>'集計_障がい者'!$E$221</f>
        <v>0.0333333333333333</v>
      </c>
      <c r="D44" s="18">
        <f>'集計_障がい者'!$E$259</f>
        <v>0.0357142857142857</v>
      </c>
    </row>
    <row r="45" ht="27" customHeight="1">
      <c r="B45" s="12" t="inlineStr">
        <is>
          <t>※いずれの設問でも回答がなかった「重度訪問介護」「就労定着支援」「訪問入浴」は省略しています。</t>
        </is>
      </c>
    </row>
    <row r="46"/>
    <row r="47"/>
    <row r="48"/>
    <row r="49"/>
    <row r="50"/>
    <row r="51"/>
    <row r="52"/>
    <row r="53"/>
    <row r="54"/>
    <row r="55"/>
    <row r="56"/>
    <row r="57"/>
    <row r="60" ht="21" customHeight="1">
      <c r="B60" s="7" t="inlineStr">
        <is>
          <t>図3-29　内容をよく知らないサービス（問27-2）</t>
        </is>
      </c>
    </row>
    <row r="61">
      <c r="B61" s="16" t="str">
        <f>"n="&amp;'集計_障がい者'!$F$225&amp;"（複数回答）"</f>
        <v>n=24（複数回答）</v>
      </c>
    </row>
    <row r="62" ht="18" customHeight="1">
      <c r="B62" s="3" t="inlineStr">
        <is>
          <t>選択肢</t>
        </is>
      </c>
      <c r="C62" s="3" t="inlineStr">
        <is>
          <t>件数</t>
        </is>
      </c>
      <c r="D62" s="3" t="inlineStr">
        <is>
          <t>割合</t>
        </is>
      </c>
    </row>
    <row r="63" ht="17" customHeight="1">
      <c r="B63" s="5" t="inlineStr">
        <is>
          <t>重度訪問介護</t>
        </is>
      </c>
      <c r="C63" s="17">
        <f>'集計_障がい者'!$D$225</f>
        <v>9</v>
      </c>
      <c r="D63" s="18">
        <f>'集計_障がい者'!$E$225</f>
        <v>0.375</v>
      </c>
    </row>
    <row r="64" ht="17" customHeight="1">
      <c r="B64" s="5" t="inlineStr">
        <is>
          <t>同行援護・行動援護</t>
        </is>
      </c>
      <c r="C64" s="17">
        <f>'集計_障がい者'!$D$226</f>
        <v>9</v>
      </c>
      <c r="D64" s="18">
        <f>'集計_障がい者'!$E$226</f>
        <v>0.375</v>
      </c>
    </row>
    <row r="65" ht="17" customHeight="1">
      <c r="B65" s="5" t="inlineStr">
        <is>
          <t>就労選択支援</t>
        </is>
      </c>
      <c r="C65" s="17">
        <f>'集計_障がい者'!$D$232</f>
        <v>9</v>
      </c>
      <c r="D65" s="18">
        <f>'集計_障がい者'!$E$232</f>
        <v>0.375</v>
      </c>
    </row>
    <row r="66" ht="17" customHeight="1">
      <c r="B66" s="5" t="inlineStr">
        <is>
          <t>移動支援</t>
        </is>
      </c>
      <c r="C66" s="17">
        <f>'集計_障がい者'!$D$238</f>
        <v>9</v>
      </c>
      <c r="D66" s="18">
        <f>'集計_障がい者'!$E$238</f>
        <v>0.375</v>
      </c>
    </row>
    <row r="67" ht="17" customHeight="1">
      <c r="B67" s="5" t="inlineStr">
        <is>
          <t>自立訓練</t>
        </is>
      </c>
      <c r="C67" s="17">
        <f>'集計_障がい者'!$D$228</f>
        <v>8</v>
      </c>
      <c r="D67" s="18">
        <f>'集計_障がい者'!$E$228</f>
        <v>0.333333333333333</v>
      </c>
    </row>
    <row r="68" ht="17" customHeight="1">
      <c r="B68" s="5" t="inlineStr">
        <is>
          <t>就労移行支援</t>
        </is>
      </c>
      <c r="C68" s="17">
        <f>'集計_障がい者'!$D$229</f>
        <v>8</v>
      </c>
      <c r="D68" s="18">
        <f>'集計_障がい者'!$E$229</f>
        <v>0.333333333333333</v>
      </c>
    </row>
    <row r="69" ht="17" customHeight="1">
      <c r="B69" s="5" t="inlineStr">
        <is>
          <t>就労継続支援A型</t>
        </is>
      </c>
      <c r="C69" s="17">
        <f>'集計_障がい者'!$D$230</f>
        <v>8</v>
      </c>
      <c r="D69" s="18">
        <f>'集計_障がい者'!$E$230</f>
        <v>0.333333333333333</v>
      </c>
    </row>
    <row r="70" ht="17" customHeight="1">
      <c r="B70" s="5" t="inlineStr">
        <is>
          <t>就労継続支援B型</t>
        </is>
      </c>
      <c r="C70" s="17">
        <f>'集計_障がい者'!$D$231</f>
        <v>8</v>
      </c>
      <c r="D70" s="18">
        <f>'集計_障がい者'!$E$231</f>
        <v>0.333333333333333</v>
      </c>
    </row>
    <row r="71" ht="17" customHeight="1">
      <c r="B71" s="5" t="inlineStr">
        <is>
          <t>就労定着支援</t>
        </is>
      </c>
      <c r="C71" s="17">
        <f>'集計_障がい者'!$D$233</f>
        <v>8</v>
      </c>
      <c r="D71" s="18">
        <f>'集計_障がい者'!$E$233</f>
        <v>0.333333333333333</v>
      </c>
    </row>
    <row r="72" ht="17" customHeight="1">
      <c r="B72" s="5" t="inlineStr">
        <is>
          <t>日中一時支援</t>
        </is>
      </c>
      <c r="C72" s="17">
        <f>'集計_障がい者'!$D$239</f>
        <v>8</v>
      </c>
      <c r="D72" s="18">
        <f>'集計_障がい者'!$E$239</f>
        <v>0.333333333333333</v>
      </c>
    </row>
    <row r="73" ht="17" customHeight="1">
      <c r="B73" s="5" t="inlineStr">
        <is>
          <t>計画相談支援</t>
        </is>
      </c>
      <c r="C73" s="17">
        <f>'集計_障がい者'!$D$237</f>
        <v>7</v>
      </c>
      <c r="D73" s="18">
        <f>'集計_障がい者'!$E$237</f>
        <v>0.291666666666667</v>
      </c>
    </row>
    <row r="74" ht="17" customHeight="1">
      <c r="B74" s="5" t="inlineStr">
        <is>
          <t>居宅介護（ホームヘルプ）</t>
        </is>
      </c>
      <c r="C74" s="17">
        <f>'集計_障がい者'!$D$224</f>
        <v>6</v>
      </c>
      <c r="D74" s="18">
        <f>'集計_障がい者'!$E$224</f>
        <v>0.25</v>
      </c>
    </row>
    <row r="75" ht="17" customHeight="1">
      <c r="B75" s="5" t="inlineStr">
        <is>
          <t>生活介護</t>
        </is>
      </c>
      <c r="C75" s="17">
        <f>'集計_障がい者'!$D$227</f>
        <v>6</v>
      </c>
      <c r="D75" s="18">
        <f>'集計_障がい者'!$E$227</f>
        <v>0.25</v>
      </c>
    </row>
    <row r="76" ht="17" customHeight="1">
      <c r="B76" s="5" t="inlineStr">
        <is>
          <t>施設入所支援</t>
        </is>
      </c>
      <c r="C76" s="17">
        <f>'集計_障がい者'!$D$236</f>
        <v>6</v>
      </c>
      <c r="D76" s="18">
        <f>'集計_障がい者'!$E$236</f>
        <v>0.25</v>
      </c>
    </row>
    <row r="77" ht="17" customHeight="1">
      <c r="B77" s="5" t="inlineStr">
        <is>
          <t>日常生活用具</t>
        </is>
      </c>
      <c r="C77" s="17">
        <f>'集計_障がい者'!$D$240</f>
        <v>6</v>
      </c>
      <c r="D77" s="18">
        <f>'集計_障がい者'!$E$240</f>
        <v>0.25</v>
      </c>
    </row>
    <row r="78" ht="17" customHeight="1">
      <c r="B78" s="5" t="inlineStr">
        <is>
          <t>グループホーム</t>
        </is>
      </c>
      <c r="C78" s="17">
        <f>'集計_障がい者'!$D$235</f>
        <v>5</v>
      </c>
      <c r="D78" s="18">
        <f>'集計_障がい者'!$E$235</f>
        <v>0.208333333333333</v>
      </c>
    </row>
    <row r="79" ht="17" customHeight="1">
      <c r="B79" s="5" t="inlineStr">
        <is>
          <t>訪問入浴</t>
        </is>
      </c>
      <c r="C79" s="17">
        <f>'集計_障がい者'!$D$241</f>
        <v>5</v>
      </c>
      <c r="D79" s="18">
        <f>'集計_障がい者'!$E$241</f>
        <v>0.208333333333333</v>
      </c>
    </row>
    <row r="80" ht="17" customHeight="1">
      <c r="B80" s="5" t="inlineStr">
        <is>
          <t>短期入所（ショートステイ）</t>
        </is>
      </c>
      <c r="C80" s="17">
        <f>'集計_障がい者'!$D$234</f>
        <v>4</v>
      </c>
      <c r="D80" s="18">
        <f>'集計_障がい者'!$E$234</f>
        <v>0.166666666666667</v>
      </c>
    </row>
    <row r="81" ht="17" customHeight="1">
      <c r="B81" s="5" t="inlineStr">
        <is>
          <t>知らないサービスは特にない</t>
        </is>
      </c>
      <c r="C81" s="17">
        <f>'集計_障がい者'!$D$242</f>
        <v>7</v>
      </c>
      <c r="D81" s="18">
        <f>'集計_障がい者'!$E$242</f>
        <v>0.291666666666667</v>
      </c>
    </row>
    <row r="82"/>
    <row r="85" ht="21" customHeight="1">
      <c r="B85" s="7" t="inlineStr">
        <is>
          <t>図3-30　サービスを利用したいが利用できない理由（問28）</t>
        </is>
      </c>
    </row>
    <row r="86">
      <c r="B86" s="16" t="str">
        <f>"n="&amp;'集計_障がい者'!$F$269&amp;"（複数回答）"</f>
        <v>n=25（複数回答）</v>
      </c>
    </row>
    <row r="87" ht="18" customHeight="1">
      <c r="B87" s="3" t="inlineStr">
        <is>
          <t>選択肢</t>
        </is>
      </c>
      <c r="C87" s="3" t="inlineStr">
        <is>
          <t>件数</t>
        </is>
      </c>
      <c r="D87" s="3" t="inlineStr">
        <is>
          <t>割合</t>
        </is>
      </c>
    </row>
    <row r="88" ht="17" customHeight="1">
      <c r="B88" s="5" t="inlineStr">
        <is>
          <t>必要性を感じない</t>
        </is>
      </c>
      <c r="C88" s="17">
        <f>'集計_障がい者'!$D$269</f>
        <v>11</v>
      </c>
      <c r="D88" s="18">
        <f>'集計_障がい者'!$E$269</f>
        <v>0.44</v>
      </c>
    </row>
    <row r="89" ht="17" customHeight="1">
      <c r="B89" s="5" t="inlineStr">
        <is>
          <t>家族が対応している</t>
        </is>
      </c>
      <c r="C89" s="17">
        <f>'集計_障がい者'!$D$268</f>
        <v>6</v>
      </c>
      <c r="D89" s="18">
        <f>'集計_障がい者'!$E$268</f>
        <v>0.24</v>
      </c>
    </row>
    <row r="90" ht="17" customHeight="1">
      <c r="B90" s="5" t="inlineStr">
        <is>
          <t>費用が心配</t>
        </is>
      </c>
      <c r="C90" s="17">
        <f>'集計_障がい者'!$D$266</f>
        <v>4</v>
      </c>
      <c r="D90" s="18">
        <f>'集計_障がい者'!$E$266</f>
        <v>0.16</v>
      </c>
    </row>
    <row r="91" ht="17" customHeight="1">
      <c r="B91" s="5" t="inlineStr">
        <is>
          <t>近くに事業所がない</t>
        </is>
      </c>
      <c r="C91" s="17">
        <f>'集計_障がい者'!$D$262</f>
        <v>3</v>
      </c>
      <c r="D91" s="18">
        <f>'集計_障がい者'!$E$262</f>
        <v>0.12</v>
      </c>
    </row>
    <row r="92" ht="17" customHeight="1">
      <c r="B92" s="5" t="inlineStr">
        <is>
          <t>利用方法がわからない</t>
        </is>
      </c>
      <c r="C92" s="17">
        <f>'集計_障がい者'!$D$265</f>
        <v>3</v>
      </c>
      <c r="D92" s="18">
        <f>'集計_障がい者'!$E$265</f>
        <v>0.12</v>
      </c>
    </row>
    <row r="93" ht="17" customHeight="1">
      <c r="B93" s="5" t="inlineStr">
        <is>
          <t>空きがない</t>
        </is>
      </c>
      <c r="C93" s="17">
        <f>'集計_障がい者'!$D$263</f>
        <v>1</v>
      </c>
      <c r="D93" s="18">
        <f>'集計_障がい者'!$E$263</f>
        <v>0.04</v>
      </c>
    </row>
    <row r="94" ht="17" customHeight="1">
      <c r="B94" s="5" t="inlineStr">
        <is>
          <t>送迎がない</t>
        </is>
      </c>
      <c r="C94" s="17">
        <f>'集計_障がい者'!$D$264</f>
        <v>1</v>
      </c>
      <c r="D94" s="18">
        <f>'集計_障がい者'!$E$264</f>
        <v>0.04</v>
      </c>
    </row>
    <row r="95" ht="17" customHeight="1">
      <c r="B95" s="5" t="inlineStr">
        <is>
          <t>本人に合うサービスがない</t>
        </is>
      </c>
      <c r="C95" s="17">
        <f>'集計_障がい者'!$D$267</f>
        <v>1</v>
      </c>
      <c r="D95" s="18">
        <f>'集計_障がい者'!$E$267</f>
        <v>0.04</v>
      </c>
    </row>
    <row r="96" ht="17" customHeight="1">
      <c r="B96" s="5" t="inlineStr">
        <is>
          <t>その他</t>
        </is>
      </c>
      <c r="C96" s="17">
        <f>'集計_障がい者'!$D$270</f>
        <v>1</v>
      </c>
      <c r="D96" s="18">
        <f>'集計_障がい者'!$E$270</f>
        <v>0.04</v>
      </c>
    </row>
    <row r="97"/>
    <row r="100" ht="21" customHeight="1">
      <c r="B100" s="7" t="inlineStr">
        <is>
          <t>図3-31　地域生活支援拠点等に期待する機能（問29）</t>
        </is>
      </c>
    </row>
    <row r="101">
      <c r="B101" s="16" t="str">
        <f>"n="&amp;'集計_障がい者'!$F$272&amp;"（複数回答）"</f>
        <v>n=31（複数回答）</v>
      </c>
    </row>
    <row r="102" ht="18" customHeight="1">
      <c r="B102" s="3" t="inlineStr">
        <is>
          <t>選択肢</t>
        </is>
      </c>
      <c r="C102" s="3" t="inlineStr">
        <is>
          <t>件数</t>
        </is>
      </c>
      <c r="D102" s="3" t="inlineStr">
        <is>
          <t>割合</t>
        </is>
      </c>
    </row>
    <row r="103" ht="17" customHeight="1">
      <c r="B103" s="5" t="inlineStr">
        <is>
          <t>緊急時の受入れ</t>
        </is>
      </c>
      <c r="C103" s="17">
        <f>'集計_障がい者'!$D$272</f>
        <v>13</v>
      </c>
      <c r="D103" s="18">
        <f>'集計_障がい者'!$E$272</f>
        <v>0.419354838709677</v>
      </c>
    </row>
    <row r="104" ht="17" customHeight="1">
      <c r="B104" s="5" t="inlineStr">
        <is>
          <t>緊急時の相談</t>
        </is>
      </c>
      <c r="C104" s="17">
        <f>'集計_障がい者'!$D$271</f>
        <v>12</v>
      </c>
      <c r="D104" s="18">
        <f>'集計_障がい者'!$E$271</f>
        <v>0.387096774193548</v>
      </c>
    </row>
    <row r="105" ht="17" customHeight="1">
      <c r="B105" s="5" t="inlineStr">
        <is>
          <t>地域の事業所との連携</t>
        </is>
      </c>
      <c r="C105" s="17">
        <f>'集計_障がい者'!$D$276</f>
        <v>7</v>
      </c>
      <c r="D105" s="18">
        <f>'集計_障がい者'!$E$276</f>
        <v>0.225806451612903</v>
      </c>
    </row>
    <row r="106" ht="17" customHeight="1">
      <c r="B106" s="5" t="inlineStr">
        <is>
          <t>専門的人材の確保</t>
        </is>
      </c>
      <c r="C106" s="17">
        <f>'集計_障がい者'!$D$275</f>
        <v>4</v>
      </c>
      <c r="D106" s="18">
        <f>'集計_障がい者'!$E$275</f>
        <v>0.129032258064516</v>
      </c>
    </row>
    <row r="107" ht="17" customHeight="1">
      <c r="B107" s="5" t="inlineStr">
        <is>
          <t>短期入所の確保</t>
        </is>
      </c>
      <c r="C107" s="17">
        <f>'集計_障がい者'!$D$273</f>
        <v>3</v>
      </c>
      <c r="D107" s="18">
        <f>'集計_障がい者'!$E$273</f>
        <v>0.0967741935483871</v>
      </c>
    </row>
    <row r="108" ht="17" customHeight="1">
      <c r="B108" s="5" t="inlineStr">
        <is>
          <t>一人暮らし・グループホーム体験</t>
        </is>
      </c>
      <c r="C108" s="17">
        <f>'集計_障がい者'!$D$274</f>
        <v>1</v>
      </c>
      <c r="D108" s="18">
        <f>'集計_障がい者'!$E$274</f>
        <v>0.032258064516129</v>
      </c>
    </row>
    <row r="109" ht="17" customHeight="1">
      <c r="B109" s="5" t="inlineStr">
        <is>
          <t>制度を知らない</t>
        </is>
      </c>
      <c r="C109" s="17">
        <f>'集計_障がい者'!$D$277</f>
        <v>7</v>
      </c>
      <c r="D109" s="18">
        <f>'集計_障がい者'!$E$277</f>
        <v>0.225806451612903</v>
      </c>
    </row>
    <row r="110" ht="17" customHeight="1">
      <c r="B110" s="5" t="inlineStr">
        <is>
          <t>特にない</t>
        </is>
      </c>
      <c r="C110" s="17">
        <f>'集計_障がい者'!$D$278</f>
        <v>5</v>
      </c>
      <c r="D110" s="18">
        <f>'集計_障がい者'!$E$278</f>
        <v>0.161290322580645</v>
      </c>
    </row>
    <row r="111" ht="17" customHeight="1">
      <c r="B111" s="5" t="inlineStr">
        <is>
          <t>その他</t>
        </is>
      </c>
      <c r="C111" s="17">
        <f>'集計_障がい者'!$D$279</f>
        <v>0</v>
      </c>
      <c r="D111" s="18">
        <f>'集計_障がい者'!$E$279</f>
        <v>0</v>
      </c>
    </row>
    <row r="112"/>
    <row r="115" ht="21" customHeight="1">
      <c r="B115" s="7" t="inlineStr">
        <is>
          <t>図3-32　福祉サービスの満足度（問30）</t>
        </is>
      </c>
    </row>
    <row r="116">
      <c r="B116" s="16" t="str">
        <f>"n="&amp;'集計_障がい者'!$F$280&amp;"（単一回答）"</f>
        <v>n=33（単一回答）</v>
      </c>
    </row>
    <row r="117" ht="18" customHeight="1">
      <c r="B117" s="3" t="inlineStr">
        <is>
          <t>選択肢</t>
        </is>
      </c>
      <c r="C117" s="3" t="inlineStr">
        <is>
          <t>件数</t>
        </is>
      </c>
      <c r="D117" s="3" t="inlineStr">
        <is>
          <t>割合</t>
        </is>
      </c>
    </row>
    <row r="118" ht="17" customHeight="1">
      <c r="B118" s="5" t="inlineStr">
        <is>
          <t>満足している</t>
        </is>
      </c>
      <c r="C118" s="17">
        <f>'集計_障がい者'!$D$280</f>
        <v>13</v>
      </c>
      <c r="D118" s="18">
        <f>'集計_障がい者'!$E$280</f>
        <v>0.393939393939394</v>
      </c>
    </row>
    <row r="119" ht="17" customHeight="1">
      <c r="B119" s="5" t="inlineStr">
        <is>
          <t>適切なサービスがわからない</t>
        </is>
      </c>
      <c r="C119" s="17">
        <f>'集計_障がい者'!$D$281</f>
        <v>3</v>
      </c>
      <c r="D119" s="18">
        <f>'集計_障がい者'!$E$281</f>
        <v>0.0909090909090909</v>
      </c>
    </row>
    <row r="120" ht="17" customHeight="1">
      <c r="B120" s="5" t="inlineStr">
        <is>
          <t>サービスの量が足りない</t>
        </is>
      </c>
      <c r="C120" s="17">
        <f>'集計_障がい者'!$D$282</f>
        <v>1</v>
      </c>
      <c r="D120" s="18">
        <f>'集計_障がい者'!$E$282</f>
        <v>0.0303030303030303</v>
      </c>
    </row>
    <row r="121" ht="17" customHeight="1">
      <c r="B121" s="5" t="inlineStr">
        <is>
          <t>サービスの質がよくない</t>
        </is>
      </c>
      <c r="C121" s="17">
        <f>'集計_障がい者'!$D$283</f>
        <v>0</v>
      </c>
      <c r="D121" s="18">
        <f>'集計_障がい者'!$E$283</f>
        <v>0</v>
      </c>
    </row>
    <row r="122" ht="17" customHeight="1">
      <c r="B122" s="5" t="inlineStr">
        <is>
          <t>利用できる事業所が少ない</t>
        </is>
      </c>
      <c r="C122" s="17">
        <f>'集計_障がい者'!$D$284</f>
        <v>1</v>
      </c>
      <c r="D122" s="18">
        <f>'集計_障がい者'!$E$284</f>
        <v>0.0303030303030303</v>
      </c>
    </row>
    <row r="123" ht="17" customHeight="1">
      <c r="B123" s="5" t="inlineStr">
        <is>
          <t>サービスの使い方がわからない</t>
        </is>
      </c>
      <c r="C123" s="17">
        <f>'集計_障がい者'!$D$285</f>
        <v>3</v>
      </c>
      <c r="D123" s="18">
        <f>'集計_障がい者'!$E$285</f>
        <v>0.0909090909090909</v>
      </c>
    </row>
    <row r="124" ht="17" customHeight="1">
      <c r="B124" s="5" t="inlineStr">
        <is>
          <t>利用していない</t>
        </is>
      </c>
      <c r="C124" s="17">
        <f>'集計_障がい者'!$D$286</f>
        <v>12</v>
      </c>
      <c r="D124" s="18">
        <f>'集計_障がい者'!$E$286</f>
        <v>0.363636363636364</v>
      </c>
    </row>
    <row r="125"/>
  </sheetData>
  <mergeCells count="7">
    <mergeCell ref="B45:D45"/>
    <mergeCell ref="B25:I25"/>
    <mergeCell ref="B3:B4"/>
    <mergeCell ref="I3:I4"/>
    <mergeCell ref="C3:D3"/>
    <mergeCell ref="G3:H3"/>
    <mergeCell ref="E3:F3"/>
  </mergeCells>
  <conditionalFormatting sqref="I6:I23">
    <cfRule type="cellIs" priority="1" operator="greaterThanOrEqual" dxfId="0">
      <formula>5</formula>
    </cfRule>
  </conditionalFormatting>
  <pageMargins left="0.75" right="0.75" top="1" bottom="1" header="0.5" footer="0.5"/>
  <pageSetup orientation="landscape" paperSize="9" fitToHeight="0" fitToWidth="1"/>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B2:D98"/>
  <sheetViews>
    <sheetView showGridLines="0" workbookViewId="0">
      <selection activeCell="A1" sqref="A1"/>
    </sheetView>
  </sheetViews>
  <sheetFormatPr baseColWidth="8" defaultRowHeight="15"/>
  <cols>
    <col width="2" customWidth="1" min="1" max="1"/>
    <col width="4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s>
  <sheetData>
    <row r="2" ht="21" customHeight="1">
      <c r="B2" s="7" t="inlineStr">
        <is>
          <t>図3-33　現在の日中の過ごし方（問31）</t>
        </is>
      </c>
    </row>
    <row r="3">
      <c r="B3" s="16" t="str">
        <f>"n="&amp;'集計_障がい者'!$F$287&amp;"（単一回答）"</f>
        <v>n=34（単一回答）</v>
      </c>
    </row>
    <row r="4" ht="18" customHeight="1">
      <c r="B4" s="3" t="inlineStr">
        <is>
          <t>選択肢</t>
        </is>
      </c>
      <c r="C4" s="3" t="inlineStr">
        <is>
          <t>件数</t>
        </is>
      </c>
      <c r="D4" s="3" t="inlineStr">
        <is>
          <t>割合</t>
        </is>
      </c>
    </row>
    <row r="5" ht="17" customHeight="1">
      <c r="B5" s="5" t="inlineStr">
        <is>
          <t>一般企業等で働いている</t>
        </is>
      </c>
      <c r="C5" s="17">
        <f>'集計_障がい者'!$D$287</f>
        <v>2</v>
      </c>
      <c r="D5" s="18">
        <f>'集計_障がい者'!$E$287</f>
        <v>0.0588235294117647</v>
      </c>
    </row>
    <row r="6" ht="17" customHeight="1">
      <c r="B6" s="5" t="inlineStr">
        <is>
          <t>自営業・農業等をしている</t>
        </is>
      </c>
      <c r="C6" s="17">
        <f>'集計_障がい者'!$D$288</f>
        <v>4</v>
      </c>
      <c r="D6" s="18">
        <f>'集計_障がい者'!$E$288</f>
        <v>0.117647058823529</v>
      </c>
    </row>
    <row r="7" ht="17" customHeight="1">
      <c r="B7" s="5" t="inlineStr">
        <is>
          <t>就労継続支援A型を利用</t>
        </is>
      </c>
      <c r="C7" s="17">
        <f>'集計_障がい者'!$D$289</f>
        <v>0</v>
      </c>
      <c r="D7" s="18">
        <f>'集計_障がい者'!$E$289</f>
        <v>0</v>
      </c>
    </row>
    <row r="8" ht="17" customHeight="1">
      <c r="B8" s="5" t="inlineStr">
        <is>
          <t>就労継続支援B型を利用</t>
        </is>
      </c>
      <c r="C8" s="17">
        <f>'集計_障がい者'!$D$290</f>
        <v>2</v>
      </c>
      <c r="D8" s="18">
        <f>'集計_障がい者'!$E$290</f>
        <v>0.0588235294117647</v>
      </c>
    </row>
    <row r="9" ht="17" customHeight="1">
      <c r="B9" s="5" t="inlineStr">
        <is>
          <t>生活介護を利用</t>
        </is>
      </c>
      <c r="C9" s="17">
        <f>'集計_障がい者'!$D$291</f>
        <v>2</v>
      </c>
      <c r="D9" s="18">
        <f>'集計_障がい者'!$E$291</f>
        <v>0.0588235294117647</v>
      </c>
    </row>
    <row r="10" ht="17" customHeight="1">
      <c r="B10" s="5" t="inlineStr">
        <is>
          <t>学校に通っている</t>
        </is>
      </c>
      <c r="C10" s="17">
        <f>'集計_障がい者'!$D$292</f>
        <v>0</v>
      </c>
      <c r="D10" s="18">
        <f>'集計_障がい者'!$E$292</f>
        <v>0</v>
      </c>
    </row>
    <row r="11" ht="17" customHeight="1">
      <c r="B11" s="5" t="inlineStr">
        <is>
          <t>自宅で過ごすことが多い</t>
        </is>
      </c>
      <c r="C11" s="17">
        <f>'集計_障がい者'!$D$293</f>
        <v>14</v>
      </c>
      <c r="D11" s="18">
        <f>'集計_障がい者'!$E$293</f>
        <v>0.411764705882353</v>
      </c>
    </row>
    <row r="12" ht="17" customHeight="1">
      <c r="B12" s="5" t="inlineStr">
        <is>
          <t>入院・入所中</t>
        </is>
      </c>
      <c r="C12" s="17">
        <f>'集計_障がい者'!$D$294</f>
        <v>5</v>
      </c>
      <c r="D12" s="18">
        <f>'集計_障がい者'!$E$294</f>
        <v>0.147058823529412</v>
      </c>
    </row>
    <row r="13" ht="17" customHeight="1">
      <c r="B13" s="5" t="inlineStr">
        <is>
          <t>その他</t>
        </is>
      </c>
      <c r="C13" s="17">
        <f>'集計_障がい者'!$D$295</f>
        <v>5</v>
      </c>
      <c r="D13" s="18">
        <f>'集計_障がい者'!$E$295</f>
        <v>0.147058823529412</v>
      </c>
    </row>
    <row r="14"/>
    <row r="17" ht="21" customHeight="1">
      <c r="B17" s="7" t="inlineStr">
        <is>
          <t>図3-34　今後希望する日中活動・働き方（問32）</t>
        </is>
      </c>
    </row>
    <row r="18">
      <c r="B18" s="16" t="str">
        <f>"n="&amp;'集計_障がい者'!$F$296&amp;"（単一回答）"</f>
        <v>n=32（単一回答）</v>
      </c>
    </row>
    <row r="19" ht="18" customHeight="1">
      <c r="B19" s="3" t="inlineStr">
        <is>
          <t>選択肢</t>
        </is>
      </c>
      <c r="C19" s="3" t="inlineStr">
        <is>
          <t>件数</t>
        </is>
      </c>
      <c r="D19" s="3" t="inlineStr">
        <is>
          <t>割合</t>
        </is>
      </c>
    </row>
    <row r="20" ht="17" customHeight="1">
      <c r="B20" s="5" t="inlineStr">
        <is>
          <t>一般企業等で働きたい</t>
        </is>
      </c>
      <c r="C20" s="17">
        <f>'集計_障がい者'!$D$296</f>
        <v>1</v>
      </c>
      <c r="D20" s="18">
        <f>'集計_障がい者'!$E$296</f>
        <v>0.03125</v>
      </c>
    </row>
    <row r="21" ht="17" customHeight="1">
      <c r="B21" s="5" t="inlineStr">
        <is>
          <t>短時間・体調に合わせて働きたい</t>
        </is>
      </c>
      <c r="C21" s="17">
        <f>'集計_障がい者'!$D$297</f>
        <v>3</v>
      </c>
      <c r="D21" s="18">
        <f>'集計_障がい者'!$E$297</f>
        <v>0.09375</v>
      </c>
    </row>
    <row r="22" ht="17" customHeight="1">
      <c r="B22" s="5" t="inlineStr">
        <is>
          <t>就労継続支援A型を利用したい</t>
        </is>
      </c>
      <c r="C22" s="17">
        <f>'集計_障がい者'!$D$298</f>
        <v>0</v>
      </c>
      <c r="D22" s="18">
        <f>'集計_障がい者'!$E$298</f>
        <v>0</v>
      </c>
    </row>
    <row r="23" ht="17" customHeight="1">
      <c r="B23" s="5" t="inlineStr">
        <is>
          <t>就労継続支援B型を利用したい</t>
        </is>
      </c>
      <c r="C23" s="17">
        <f>'集計_障がい者'!$D$299</f>
        <v>1</v>
      </c>
      <c r="D23" s="18">
        <f>'集計_障がい者'!$E$299</f>
        <v>0.03125</v>
      </c>
    </row>
    <row r="24" ht="17" customHeight="1">
      <c r="B24" s="5" t="inlineStr">
        <is>
          <t>生活介護を利用したい</t>
        </is>
      </c>
      <c r="C24" s="17">
        <f>'集計_障がい者'!$D$300</f>
        <v>1</v>
      </c>
      <c r="D24" s="18">
        <f>'集計_障がい者'!$E$300</f>
        <v>0.03125</v>
      </c>
    </row>
    <row r="25" ht="17" customHeight="1">
      <c r="B25" s="5" t="inlineStr">
        <is>
          <t>訓練を受けたい</t>
        </is>
      </c>
      <c r="C25" s="17">
        <f>'集計_障がい者'!$D$301</f>
        <v>0</v>
      </c>
      <c r="D25" s="18">
        <f>'集計_障がい者'!$E$301</f>
        <v>0</v>
      </c>
    </row>
    <row r="26" ht="17" customHeight="1">
      <c r="B26" s="5" t="inlineStr">
        <is>
          <t>今のままでよい</t>
        </is>
      </c>
      <c r="C26" s="17">
        <f>'集計_障がい者'!$D$302</f>
        <v>21</v>
      </c>
      <c r="D26" s="18">
        <f>'集計_障がい者'!$E$302</f>
        <v>0.65625</v>
      </c>
    </row>
    <row r="27" ht="17" customHeight="1">
      <c r="B27" s="5" t="inlineStr">
        <is>
          <t>まだわからない</t>
        </is>
      </c>
      <c r="C27" s="17">
        <f>'集計_障がい者'!$D$303</f>
        <v>3</v>
      </c>
      <c r="D27" s="18">
        <f>'集計_障がい者'!$E$303</f>
        <v>0.09375</v>
      </c>
    </row>
    <row r="28" ht="17" customHeight="1">
      <c r="B28" s="5" t="inlineStr">
        <is>
          <t>その他</t>
        </is>
      </c>
      <c r="C28" s="17">
        <f>'集計_障がい者'!$D$304</f>
        <v>2</v>
      </c>
      <c r="D28" s="18">
        <f>'集計_障がい者'!$E$304</f>
        <v>0.0625</v>
      </c>
    </row>
    <row r="29"/>
    <row r="32" ht="21" customHeight="1">
      <c r="B32" s="7" t="inlineStr">
        <is>
          <t>図3-35　働くため・日中活動を続けるために必要な支援（問33）</t>
        </is>
      </c>
    </row>
    <row r="33">
      <c r="B33" s="16" t="str">
        <f>"n="&amp;'集計_障がい者'!$F$309&amp;"（複数回答）"</f>
        <v>n=31（複数回答）</v>
      </c>
    </row>
    <row r="34" ht="18" customHeight="1">
      <c r="B34" s="3" t="inlineStr">
        <is>
          <t>選択肢</t>
        </is>
      </c>
      <c r="C34" s="3" t="inlineStr">
        <is>
          <t>件数</t>
        </is>
      </c>
      <c r="D34" s="3" t="inlineStr">
        <is>
          <t>割合</t>
        </is>
      </c>
    </row>
    <row r="35" ht="17" customHeight="1">
      <c r="B35" s="5" t="inlineStr">
        <is>
          <t>職場の障がい理解</t>
        </is>
      </c>
      <c r="C35" s="17">
        <f>'集計_障がい者'!$D$309</f>
        <v>7</v>
      </c>
      <c r="D35" s="18">
        <f>'集計_障がい者'!$E$309</f>
        <v>0.225806451612903</v>
      </c>
    </row>
    <row r="36" ht="17" customHeight="1">
      <c r="B36" s="5" t="inlineStr">
        <is>
          <t>体調に合わせた勤務</t>
        </is>
      </c>
      <c r="C36" s="17">
        <f>'集計_障がい者'!$D$308</f>
        <v>6</v>
      </c>
      <c r="D36" s="18">
        <f>'集計_障がい者'!$E$308</f>
        <v>0.193548387096774</v>
      </c>
    </row>
    <row r="37" ht="17" customHeight="1">
      <c r="B37" s="5" t="inlineStr">
        <is>
          <t>通勤・通所の支援</t>
        </is>
      </c>
      <c r="C37" s="17">
        <f>'集計_障がい者'!$D$307</f>
        <v>5</v>
      </c>
      <c r="D37" s="18">
        <f>'集計_障がい者'!$E$307</f>
        <v>0.161290322580645</v>
      </c>
    </row>
    <row r="38" ht="17" customHeight="1">
      <c r="B38" s="5" t="inlineStr">
        <is>
          <t>職場・作業内容の体験</t>
        </is>
      </c>
      <c r="C38" s="17">
        <f>'集計_障がい者'!$D$305</f>
        <v>4</v>
      </c>
      <c r="D38" s="18">
        <f>'集計_障がい者'!$E$305</f>
        <v>0.129032258064516</v>
      </c>
    </row>
    <row r="39" ht="17" customHeight="1">
      <c r="B39" s="5" t="inlineStr">
        <is>
          <t>就労に向けた相談</t>
        </is>
      </c>
      <c r="C39" s="17">
        <f>'集計_障がい者'!$D$306</f>
        <v>4</v>
      </c>
      <c r="D39" s="18">
        <f>'集計_障がい者'!$E$306</f>
        <v>0.129032258064516</v>
      </c>
    </row>
    <row r="40" ht="17" customHeight="1">
      <c r="B40" s="5" t="inlineStr">
        <is>
          <t>生活リズムの支援</t>
        </is>
      </c>
      <c r="C40" s="17">
        <f>'集計_障がい者'!$D$311</f>
        <v>4</v>
      </c>
      <c r="D40" s="18">
        <f>'集計_障がい者'!$E$311</f>
        <v>0.129032258064516</v>
      </c>
    </row>
    <row r="41" ht="17" customHeight="1">
      <c r="B41" s="5" t="inlineStr">
        <is>
          <t>仕事後の相談・定着支援</t>
        </is>
      </c>
      <c r="C41" s="17">
        <f>'集計_障がい者'!$D$310</f>
        <v>2</v>
      </c>
      <c r="D41" s="18">
        <f>'集計_障がい者'!$E$310</f>
        <v>0.0645161290322581</v>
      </c>
    </row>
    <row r="42" ht="17" customHeight="1">
      <c r="B42" s="5" t="inlineStr">
        <is>
          <t>家族への説明</t>
        </is>
      </c>
      <c r="C42" s="17">
        <f>'集計_障がい者'!$D$312</f>
        <v>0</v>
      </c>
      <c r="D42" s="18">
        <f>'集計_障がい者'!$E$312</f>
        <v>0</v>
      </c>
    </row>
    <row r="43" ht="17" customHeight="1">
      <c r="B43" s="5" t="inlineStr">
        <is>
          <t>特にない</t>
        </is>
      </c>
      <c r="C43" s="17">
        <f>'集計_障がい者'!$D$313</f>
        <v>19</v>
      </c>
      <c r="D43" s="18">
        <f>'集計_障がい者'!$E$313</f>
        <v>0.612903225806452</v>
      </c>
    </row>
    <row r="44" ht="17" customHeight="1">
      <c r="B44" s="5" t="inlineStr">
        <is>
          <t>その他</t>
        </is>
      </c>
      <c r="C44" s="17">
        <f>'集計_障がい者'!$D$314</f>
        <v>0</v>
      </c>
      <c r="D44" s="18">
        <f>'集計_障がい者'!$E$314</f>
        <v>0</v>
      </c>
    </row>
    <row r="45"/>
    <row r="48" ht="21" customHeight="1">
      <c r="B48" s="7" t="inlineStr">
        <is>
          <t>図3-36　差別や偏見、不利益を感じた経験（問34）</t>
        </is>
      </c>
    </row>
    <row r="49">
      <c r="B49" s="16" t="str">
        <f>"n="&amp;'集計_障がい者'!$F$315&amp;"（単一回答）"</f>
        <v>n=31（単一回答）</v>
      </c>
    </row>
    <row r="50" ht="18" customHeight="1">
      <c r="B50" s="3" t="inlineStr">
        <is>
          <t>選択肢</t>
        </is>
      </c>
      <c r="C50" s="3" t="inlineStr">
        <is>
          <t>件数</t>
        </is>
      </c>
      <c r="D50" s="3" t="inlineStr">
        <is>
          <t>割合</t>
        </is>
      </c>
    </row>
    <row r="51" ht="17" customHeight="1">
      <c r="B51" s="5" t="inlineStr">
        <is>
          <t>週に１回程度</t>
        </is>
      </c>
      <c r="C51" s="17">
        <f>'集計_障がい者'!$D$315</f>
        <v>3</v>
      </c>
      <c r="D51" s="18">
        <f>'集計_障がい者'!$E$315</f>
        <v>0.0967741935483871</v>
      </c>
    </row>
    <row r="52" ht="17" customHeight="1">
      <c r="B52" s="5" t="inlineStr">
        <is>
          <t>月に１回程度</t>
        </is>
      </c>
      <c r="C52" s="17">
        <f>'集計_障がい者'!$D$316</f>
        <v>3</v>
      </c>
      <c r="D52" s="18">
        <f>'集計_障がい者'!$E$316</f>
        <v>0.0967741935483871</v>
      </c>
    </row>
    <row r="53" ht="17" customHeight="1">
      <c r="B53" s="5" t="inlineStr">
        <is>
          <t>年に１回程度</t>
        </is>
      </c>
      <c r="C53" s="17">
        <f>'集計_障がい者'!$D$317</f>
        <v>3</v>
      </c>
      <c r="D53" s="18">
        <f>'集計_障がい者'!$E$317</f>
        <v>0.0967741935483871</v>
      </c>
    </row>
    <row r="54" ht="17" customHeight="1">
      <c r="B54" s="5" t="inlineStr">
        <is>
          <t>ない</t>
        </is>
      </c>
      <c r="C54" s="17">
        <f>'集計_障がい者'!$D$318</f>
        <v>12</v>
      </c>
      <c r="D54" s="18">
        <f>'集計_障がい者'!$E$318</f>
        <v>0.387096774193548</v>
      </c>
    </row>
    <row r="55" ht="17" customHeight="1">
      <c r="B55" s="5" t="inlineStr">
        <is>
          <t>わからない</t>
        </is>
      </c>
      <c r="C55" s="17">
        <f>'集計_障がい者'!$D$319</f>
        <v>10</v>
      </c>
      <c r="D55" s="18">
        <f>'集計_障がい者'!$E$319</f>
        <v>0.32258064516129</v>
      </c>
    </row>
    <row r="56"/>
    <row r="59" ht="21" customHeight="1">
      <c r="B59" s="7" t="inlineStr">
        <is>
          <t>図3-37　差別や偏見、不利益を感じた場面（問35）</t>
        </is>
      </c>
    </row>
    <row r="60">
      <c r="B60" s="16" t="str">
        <f>"n="&amp;'集計_障がい者'!$F$321&amp;"（複数回答）"</f>
        <v>n=30（複数回答）</v>
      </c>
    </row>
    <row r="61" ht="18" customHeight="1">
      <c r="B61" s="3" t="inlineStr">
        <is>
          <t>選択肢</t>
        </is>
      </c>
      <c r="C61" s="3" t="inlineStr">
        <is>
          <t>件数</t>
        </is>
      </c>
      <c r="D61" s="3" t="inlineStr">
        <is>
          <t>割合</t>
        </is>
      </c>
    </row>
    <row r="62" ht="17" customHeight="1">
      <c r="B62" s="5" t="inlineStr">
        <is>
          <t>アルバイト先・職場</t>
        </is>
      </c>
      <c r="C62" s="17">
        <f>'集計_障がい者'!$D$321</f>
        <v>3</v>
      </c>
      <c r="D62" s="18">
        <f>'集計_障がい者'!$E$321</f>
        <v>0.1</v>
      </c>
    </row>
    <row r="63" ht="17" customHeight="1">
      <c r="B63" s="5" t="inlineStr">
        <is>
          <t>地域活動・行事</t>
        </is>
      </c>
      <c r="C63" s="17">
        <f>'集計_障がい者'!$D$325</f>
        <v>3</v>
      </c>
      <c r="D63" s="18">
        <f>'集計_障がい者'!$E$325</f>
        <v>0.1</v>
      </c>
    </row>
    <row r="64" ht="17" customHeight="1">
      <c r="B64" s="5" t="inlineStr">
        <is>
          <t>医療機関</t>
        </is>
      </c>
      <c r="C64" s="17">
        <f>'集計_障がい者'!$D$322</f>
        <v>2</v>
      </c>
      <c r="D64" s="18">
        <f>'集計_障がい者'!$E$322</f>
        <v>0.0666666666666667</v>
      </c>
    </row>
    <row r="65" ht="17" customHeight="1">
      <c r="B65" s="5" t="inlineStr">
        <is>
          <t>公共交通機関・飲食店・買い物等</t>
        </is>
      </c>
      <c r="C65" s="17">
        <f>'集計_障がい者'!$D$326</f>
        <v>2</v>
      </c>
      <c r="D65" s="18">
        <f>'集計_障がい者'!$E$326</f>
        <v>0.0666666666666667</v>
      </c>
    </row>
    <row r="66" ht="17" customHeight="1">
      <c r="B66" s="5" t="inlineStr">
        <is>
          <t>趣味・余暇活動</t>
        </is>
      </c>
      <c r="C66" s="17">
        <f>'集計_障がい者'!$D$327</f>
        <v>2</v>
      </c>
      <c r="D66" s="18">
        <f>'集計_障がい者'!$E$327</f>
        <v>0.0666666666666667</v>
      </c>
    </row>
    <row r="67" ht="17" customHeight="1">
      <c r="B67" s="5" t="inlineStr">
        <is>
          <t>学校等</t>
        </is>
      </c>
      <c r="C67" s="17">
        <f>'集計_障がい者'!$D$320</f>
        <v>0</v>
      </c>
      <c r="D67" s="18">
        <f>'集計_障がい者'!$E$320</f>
        <v>0</v>
      </c>
    </row>
    <row r="68" ht="17" customHeight="1">
      <c r="B68" s="5" t="inlineStr">
        <is>
          <t>福祉サービス事業所</t>
        </is>
      </c>
      <c r="C68" s="17">
        <f>'集計_障がい者'!$D$323</f>
        <v>0</v>
      </c>
      <c r="D68" s="18">
        <f>'集計_障がい者'!$E$323</f>
        <v>0</v>
      </c>
    </row>
    <row r="69" ht="17" customHeight="1">
      <c r="B69" s="5" t="inlineStr">
        <is>
          <t>役場・公共施設</t>
        </is>
      </c>
      <c r="C69" s="17">
        <f>'集計_障がい者'!$D$324</f>
        <v>0</v>
      </c>
      <c r="D69" s="18">
        <f>'集計_障がい者'!$E$324</f>
        <v>0</v>
      </c>
    </row>
    <row r="70" ht="17" customHeight="1">
      <c r="B70" s="5" t="inlineStr">
        <is>
          <t>インターネット・SNS・AI</t>
        </is>
      </c>
      <c r="C70" s="17">
        <f>'集計_障がい者'!$D$328</f>
        <v>0</v>
      </c>
      <c r="D70" s="18">
        <f>'集計_障がい者'!$E$328</f>
        <v>0</v>
      </c>
    </row>
    <row r="71" ht="17" customHeight="1">
      <c r="B71" s="5" t="inlineStr">
        <is>
          <t>特にない</t>
        </is>
      </c>
      <c r="C71" s="17">
        <f>'集計_障がい者'!$D$329</f>
        <v>19</v>
      </c>
      <c r="D71" s="18">
        <f>'集計_障がい者'!$E$329</f>
        <v>0.633333333333333</v>
      </c>
    </row>
    <row r="72" ht="17" customHeight="1">
      <c r="B72" s="5" t="inlineStr">
        <is>
          <t>その他</t>
        </is>
      </c>
      <c r="C72" s="17">
        <f>'集計_障がい者'!$D$330</f>
        <v>3</v>
      </c>
      <c r="D72" s="18">
        <f>'集計_障がい者'!$E$330</f>
        <v>0.1</v>
      </c>
    </row>
    <row r="73"/>
    <row r="76" ht="21" customHeight="1">
      <c r="B76" s="7" t="inlineStr">
        <is>
          <t>図3-38　必要だと思う合理的配慮（問36）</t>
        </is>
      </c>
    </row>
    <row r="77">
      <c r="B77" s="16" t="str">
        <f>"n="&amp;'集計_障がい者'!$F$331&amp;"（複数回答）"</f>
        <v>n=32（複数回答）</v>
      </c>
    </row>
    <row r="78" ht="18" customHeight="1">
      <c r="B78" s="3" t="inlineStr">
        <is>
          <t>選択肢</t>
        </is>
      </c>
      <c r="C78" s="3" t="inlineStr">
        <is>
          <t>件数</t>
        </is>
      </c>
      <c r="D78" s="3" t="inlineStr">
        <is>
          <t>割合</t>
        </is>
      </c>
    </row>
    <row r="79" ht="17" customHeight="1">
      <c r="B79" s="5" t="inlineStr">
        <is>
          <t>わかりやすい説明</t>
        </is>
      </c>
      <c r="C79" s="17">
        <f>'集計_障がい者'!$D$331</f>
        <v>16</v>
      </c>
      <c r="D79" s="18">
        <f>'集計_障がい者'!$E$331</f>
        <v>0.5</v>
      </c>
    </row>
    <row r="80" ht="17" customHeight="1">
      <c r="B80" s="5" t="inlineStr">
        <is>
          <t>手続きの支援</t>
        </is>
      </c>
      <c r="C80" s="17">
        <f>'集計_障がい者'!$D$335</f>
        <v>15</v>
      </c>
      <c r="D80" s="18">
        <f>'集計_障がい者'!$E$335</f>
        <v>0.46875</v>
      </c>
    </row>
    <row r="81" ht="17" customHeight="1">
      <c r="B81" s="5" t="inlineStr">
        <is>
          <t>本人の意思確認を丁寧に行うこと</t>
        </is>
      </c>
      <c r="C81" s="17">
        <f>'集計_障がい者'!$D$336</f>
        <v>12</v>
      </c>
      <c r="D81" s="18">
        <f>'集計_障がい者'!$E$336</f>
        <v>0.375</v>
      </c>
    </row>
    <row r="82" ht="17" customHeight="1">
      <c r="B82" s="5" t="inlineStr">
        <is>
          <t>筆談・手話・要約筆記・字幕等の意思疎通支援</t>
        </is>
      </c>
      <c r="C82" s="17">
        <f>'集計_障がい者'!$D$332</f>
        <v>9</v>
      </c>
      <c r="D82" s="18">
        <f>'集計_障がい者'!$E$332</f>
        <v>0.28125</v>
      </c>
    </row>
    <row r="83" ht="17" customHeight="1">
      <c r="B83" s="5" t="inlineStr">
        <is>
          <t>移動しやすい環境</t>
        </is>
      </c>
      <c r="C83" s="17">
        <f>'集計_障がい者'!$D$334</f>
        <v>9</v>
      </c>
      <c r="D83" s="18">
        <f>'集計_障がい者'!$E$334</f>
        <v>0.28125</v>
      </c>
    </row>
    <row r="84" ht="17" customHeight="1">
      <c r="B84" s="5" t="inlineStr">
        <is>
          <t>職場・学校での配慮</t>
        </is>
      </c>
      <c r="C84" s="17">
        <f>'集計_障がい者'!$D$337</f>
        <v>3</v>
      </c>
      <c r="D84" s="18">
        <f>'集計_障がい者'!$E$337</f>
        <v>0.09375</v>
      </c>
    </row>
    <row r="85" ht="17" customHeight="1">
      <c r="B85" s="5" t="inlineStr">
        <is>
          <t>静かな場所での相談</t>
        </is>
      </c>
      <c r="C85" s="17">
        <f>'集計_障がい者'!$D$333</f>
        <v>2</v>
      </c>
      <c r="D85" s="18">
        <f>'集計_障がい者'!$E$333</f>
        <v>0.0625</v>
      </c>
    </row>
    <row r="86" ht="17" customHeight="1">
      <c r="B86" s="5" t="inlineStr">
        <is>
          <t>特にない</t>
        </is>
      </c>
      <c r="C86" s="17">
        <f>'集計_障がい者'!$D$338</f>
        <v>6</v>
      </c>
      <c r="D86" s="18">
        <f>'集計_障がい者'!$E$338</f>
        <v>0.1875</v>
      </c>
    </row>
    <row r="87" ht="17" customHeight="1">
      <c r="B87" s="5" t="inlineStr">
        <is>
          <t>その他</t>
        </is>
      </c>
      <c r="C87" s="17">
        <f>'集計_障がい者'!$D$339</f>
        <v>0</v>
      </c>
      <c r="D87" s="18">
        <f>'集計_障がい者'!$E$339</f>
        <v>0</v>
      </c>
    </row>
    <row r="88"/>
    <row r="91" ht="21" customHeight="1">
      <c r="B91" s="7" t="inlineStr">
        <is>
          <t>図3-39　成年後見制度や権利擁護支援の認知（問37）</t>
        </is>
      </c>
    </row>
    <row r="92">
      <c r="B92" s="16" t="str">
        <f>"n="&amp;'集計_障がい者'!$F$340&amp;"（単一回答）"</f>
        <v>n=33（単一回答）</v>
      </c>
    </row>
    <row r="93" ht="18" customHeight="1">
      <c r="B93" s="3" t="inlineStr">
        <is>
          <t>選択肢</t>
        </is>
      </c>
      <c r="C93" s="3" t="inlineStr">
        <is>
          <t>件数</t>
        </is>
      </c>
      <c r="D93" s="3" t="inlineStr">
        <is>
          <t>割合</t>
        </is>
      </c>
    </row>
    <row r="94" ht="17" customHeight="1">
      <c r="B94" s="5" t="inlineStr">
        <is>
          <t>利用している</t>
        </is>
      </c>
      <c r="C94" s="17">
        <f>'集計_障がい者'!$D$340</f>
        <v>2</v>
      </c>
      <c r="D94" s="18">
        <f>'集計_障がい者'!$E$340</f>
        <v>0.0606060606060606</v>
      </c>
    </row>
    <row r="95" ht="17" customHeight="1">
      <c r="B95" s="5" t="inlineStr">
        <is>
          <t>知っている</t>
        </is>
      </c>
      <c r="C95" s="17">
        <f>'集計_障がい者'!$D$341</f>
        <v>9</v>
      </c>
      <c r="D95" s="18">
        <f>'集計_障がい者'!$E$341</f>
        <v>0.272727272727273</v>
      </c>
    </row>
    <row r="96" ht="17" customHeight="1">
      <c r="B96" s="5" t="inlineStr">
        <is>
          <t>名前だけ聞いたことがある</t>
        </is>
      </c>
      <c r="C96" s="17">
        <f>'集計_障がい者'!$D$342</f>
        <v>8</v>
      </c>
      <c r="D96" s="18">
        <f>'集計_障がい者'!$E$342</f>
        <v>0.242424242424242</v>
      </c>
    </row>
    <row r="97" ht="17" customHeight="1">
      <c r="B97" s="5" t="inlineStr">
        <is>
          <t>利用したいが手続きがわからない</t>
        </is>
      </c>
      <c r="C97" s="17">
        <f>'集計_障がい者'!$D$343</f>
        <v>0</v>
      </c>
      <c r="D97" s="18">
        <f>'集計_障がい者'!$E$343</f>
        <v>0</v>
      </c>
    </row>
    <row r="98" ht="17" customHeight="1">
      <c r="B98" s="5" t="inlineStr">
        <is>
          <t>知らない</t>
        </is>
      </c>
      <c r="C98" s="17">
        <f>'集計_障がい者'!$D$344</f>
        <v>14</v>
      </c>
      <c r="D98" s="18">
        <f>'集計_障がい者'!$E$344</f>
        <v>0.424242424242424</v>
      </c>
    </row>
    <row r="99"/>
    <row r="100"/>
  </sheetData>
  <pageMargins left="0.75" right="0.75" top="1" bottom="1" header="0.5" footer="0.5"/>
  <pageSetup orientation="landscape" paperSize="9" fitToHeight="0" fitToWidth="1"/>
  <drawing xmlns:r="http://schemas.openxmlformats.org/officeDocument/2006/relationships" r:id="rId1"/>
</worksheet>
</file>

<file path=xl/worksheets/sheet9.xml><?xml version="1.0" encoding="utf-8"?>
<worksheet xmlns="http://schemas.openxmlformats.org/spreadsheetml/2006/main">
  <sheetPr>
    <outlinePr summaryBelow="1" summaryRight="1"/>
    <pageSetUpPr fitToPage="1"/>
  </sheetPr>
  <dimension ref="B2:I119"/>
  <sheetViews>
    <sheetView showGridLines="0" workbookViewId="0">
      <selection activeCell="A1" sqref="A1"/>
    </sheetView>
  </sheetViews>
  <sheetFormatPr baseColWidth="8" defaultRowHeight="15"/>
  <cols>
    <col width="2" customWidth="1" min="1" max="1"/>
    <col width="4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s>
  <sheetData>
    <row r="2" ht="21" customHeight="1">
      <c r="B2" s="7" t="inlineStr">
        <is>
          <t>図3-40　災害時に不安なこと（問38）</t>
        </is>
      </c>
    </row>
    <row r="3">
      <c r="B3" s="16" t="str">
        <f>"n="&amp;'集計_障がい者'!$F$346&amp;"（複数回答）"</f>
        <v>n=34（複数回答）</v>
      </c>
    </row>
    <row r="4" ht="18" customHeight="1">
      <c r="B4" s="3" t="inlineStr">
        <is>
          <t>選択肢</t>
        </is>
      </c>
      <c r="C4" s="3" t="inlineStr">
        <is>
          <t>件数</t>
        </is>
      </c>
      <c r="D4" s="3" t="inlineStr">
        <is>
          <t>割合</t>
        </is>
      </c>
    </row>
    <row r="5" ht="17" customHeight="1">
      <c r="B5" s="5" t="inlineStr">
        <is>
          <t>避難先での生活</t>
        </is>
      </c>
      <c r="C5" s="17">
        <f>'集計_障がい者'!$D$346</f>
        <v>24</v>
      </c>
      <c r="D5" s="18">
        <f>'集計_障がい者'!$E$346</f>
        <v>0.705882352941177</v>
      </c>
    </row>
    <row r="6" ht="17" customHeight="1">
      <c r="B6" s="5" t="inlineStr">
        <is>
          <t>薬・医療機器</t>
        </is>
      </c>
      <c r="C6" s="17">
        <f>'集計_障がい者'!$D$347</f>
        <v>17</v>
      </c>
      <c r="D6" s="18">
        <f>'集計_障がい者'!$E$347</f>
        <v>0.5</v>
      </c>
    </row>
    <row r="7" ht="17" customHeight="1">
      <c r="B7" s="5" t="inlineStr">
        <is>
          <t>冬季・積雪時の避難</t>
        </is>
      </c>
      <c r="C7" s="17">
        <f>'集計_障がい者'!$D$351</f>
        <v>16</v>
      </c>
      <c r="D7" s="18">
        <f>'集計_障がい者'!$E$351</f>
        <v>0.470588235294118</v>
      </c>
    </row>
    <row r="8" ht="17" customHeight="1">
      <c r="B8" s="5" t="inlineStr">
        <is>
          <t>避難する方法</t>
        </is>
      </c>
      <c r="C8" s="17">
        <f>'集計_障がい者'!$D$345</f>
        <v>13</v>
      </c>
      <c r="D8" s="18">
        <f>'集計_障がい者'!$E$345</f>
        <v>0.382352941176471</v>
      </c>
    </row>
    <row r="9" ht="17" customHeight="1">
      <c r="B9" s="5" t="inlineStr">
        <is>
          <t>電源の確保</t>
        </is>
      </c>
      <c r="C9" s="17">
        <f>'集計_障がい者'!$D$348</f>
        <v>6</v>
      </c>
      <c r="D9" s="18">
        <f>'集計_障がい者'!$E$348</f>
        <v>0.176470588235294</v>
      </c>
    </row>
    <row r="10" ht="17" customHeight="1">
      <c r="B10" s="5" t="inlineStr">
        <is>
          <t>情報が届かないこと</t>
        </is>
      </c>
      <c r="C10" s="17">
        <f>'集計_障がい者'!$D$350</f>
        <v>5</v>
      </c>
      <c r="D10" s="18">
        <f>'集計_障がい者'!$E$350</f>
        <v>0.147058823529412</v>
      </c>
    </row>
    <row r="11" ht="17" customHeight="1">
      <c r="B11" s="5" t="inlineStr">
        <is>
          <t>介助者がいないこと</t>
        </is>
      </c>
      <c r="C11" s="17">
        <f>'集計_障がい者'!$D$349</f>
        <v>3</v>
      </c>
      <c r="D11" s="18">
        <f>'集計_障がい者'!$E$349</f>
        <v>0.0882352941176471</v>
      </c>
    </row>
    <row r="12" ht="17" customHeight="1">
      <c r="B12" s="5" t="inlineStr">
        <is>
          <t>ペット・補助犬等</t>
        </is>
      </c>
      <c r="C12" s="17">
        <f>'集計_障がい者'!$D$352</f>
        <v>0</v>
      </c>
      <c r="D12" s="18">
        <f>'集計_障がい者'!$E$352</f>
        <v>0</v>
      </c>
    </row>
    <row r="13" ht="17" customHeight="1">
      <c r="B13" s="5" t="inlineStr">
        <is>
          <t>特に不安はない</t>
        </is>
      </c>
      <c r="C13" s="17">
        <f>'集計_障がい者'!$D$353</f>
        <v>3</v>
      </c>
      <c r="D13" s="18">
        <f>'集計_障がい者'!$E$353</f>
        <v>0.0882352941176471</v>
      </c>
    </row>
    <row r="14" ht="17" customHeight="1">
      <c r="B14" s="5" t="inlineStr">
        <is>
          <t>その他</t>
        </is>
      </c>
      <c r="C14" s="17">
        <f>'集計_障がい者'!$D$354</f>
        <v>0</v>
      </c>
      <c r="D14" s="18">
        <f>'集計_障がい者'!$E$354</f>
        <v>0</v>
      </c>
    </row>
    <row r="15"/>
    <row r="18" ht="21" customHeight="1">
      <c r="B18" s="7" t="inlineStr">
        <is>
          <t>図3-41　避難行動要支援者名簿・個別避難計画の認知（問39）</t>
        </is>
      </c>
    </row>
    <row r="19">
      <c r="B19" s="16" t="str">
        <f>"n="&amp;'集計_障がい者'!$F$355&amp;"（単一回答）"</f>
        <v>n=34（単一回答）</v>
      </c>
    </row>
    <row r="20" ht="18" customHeight="1">
      <c r="B20" s="3" t="inlineStr">
        <is>
          <t>選択肢</t>
        </is>
      </c>
      <c r="C20" s="3" t="inlineStr">
        <is>
          <t>件数</t>
        </is>
      </c>
      <c r="D20" s="3" t="inlineStr">
        <is>
          <t>割合</t>
        </is>
      </c>
    </row>
    <row r="21" ht="17" customHeight="1">
      <c r="B21" s="5" t="inlineStr">
        <is>
          <t>制度を知っており作成したい</t>
        </is>
      </c>
      <c r="C21" s="17">
        <f>'集計_障がい者'!$D$355</f>
        <v>2</v>
      </c>
      <c r="D21" s="18">
        <f>'集計_障がい者'!$E$355</f>
        <v>0.0588235294117647</v>
      </c>
    </row>
    <row r="22" ht="17" customHeight="1">
      <c r="B22" s="5" t="inlineStr">
        <is>
          <t>名前だけ聞いたことがある</t>
        </is>
      </c>
      <c r="C22" s="17">
        <f>'集計_障がい者'!$D$356</f>
        <v>5</v>
      </c>
      <c r="D22" s="18">
        <f>'集計_障がい者'!$E$356</f>
        <v>0.147058823529412</v>
      </c>
    </row>
    <row r="23" ht="17" customHeight="1">
      <c r="B23" s="5" t="inlineStr">
        <is>
          <t>知らない</t>
        </is>
      </c>
      <c r="C23" s="17">
        <f>'集計_障がい者'!$D$357</f>
        <v>26</v>
      </c>
      <c r="D23" s="18">
        <f>'集計_障がい者'!$E$357</f>
        <v>0.764705882352941</v>
      </c>
    </row>
    <row r="24" ht="17" customHeight="1">
      <c r="B24" s="5" t="inlineStr">
        <is>
          <t>必要ない</t>
        </is>
      </c>
      <c r="C24" s="17">
        <f>'集計_障がい者'!$D$358</f>
        <v>1</v>
      </c>
      <c r="D24" s="18">
        <f>'集計_障がい者'!$E$358</f>
        <v>0.0294117647058824</v>
      </c>
    </row>
    <row r="25"/>
    <row r="26"/>
    <row r="29" ht="21" customHeight="1">
      <c r="B29" s="7" t="inlineStr">
        <is>
          <t>図3-42　災害時に支援してくれる人や機関（問40）</t>
        </is>
      </c>
    </row>
    <row r="30">
      <c r="B30" s="16" t="str">
        <f>"n="&amp;'集計_障がい者'!$F$359&amp;"（複数回答）"</f>
        <v>n=35（複数回答）</v>
      </c>
    </row>
    <row r="31" ht="18" customHeight="1">
      <c r="B31" s="3" t="inlineStr">
        <is>
          <t>選択肢</t>
        </is>
      </c>
      <c r="C31" s="3" t="inlineStr">
        <is>
          <t>件数</t>
        </is>
      </c>
      <c r="D31" s="3" t="inlineStr">
        <is>
          <t>割合</t>
        </is>
      </c>
    </row>
    <row r="32" ht="17" customHeight="1">
      <c r="B32" s="5" t="inlineStr">
        <is>
          <t>同居家族</t>
        </is>
      </c>
      <c r="C32" s="17">
        <f>'集計_障がい者'!$D$359</f>
        <v>23</v>
      </c>
      <c r="D32" s="18">
        <f>'集計_障がい者'!$E$359</f>
        <v>0.657142857142857</v>
      </c>
    </row>
    <row r="33" ht="17" customHeight="1">
      <c r="B33" s="5" t="inlineStr">
        <is>
          <t>別居家族・親族</t>
        </is>
      </c>
      <c r="C33" s="17">
        <f>'集計_障がい者'!$D$360</f>
        <v>10</v>
      </c>
      <c r="D33" s="18">
        <f>'集計_障がい者'!$E$360</f>
        <v>0.285714285714286</v>
      </c>
    </row>
    <row r="34" ht="17" customHeight="1">
      <c r="B34" s="5" t="inlineStr">
        <is>
          <t>近所の人</t>
        </is>
      </c>
      <c r="C34" s="17">
        <f>'集計_障がい者'!$D$361</f>
        <v>6</v>
      </c>
      <c r="D34" s="18">
        <f>'集計_障がい者'!$E$361</f>
        <v>0.171428571428571</v>
      </c>
    </row>
    <row r="35" ht="17" customHeight="1">
      <c r="B35" s="5" t="inlineStr">
        <is>
          <t>福祉サービス事業所</t>
        </is>
      </c>
      <c r="C35" s="17">
        <f>'集計_障がい者'!$D$363</f>
        <v>6</v>
      </c>
      <c r="D35" s="18">
        <f>'集計_障がい者'!$E$363</f>
        <v>0.171428571428571</v>
      </c>
    </row>
    <row r="36" ht="17" customHeight="1">
      <c r="B36" s="5" t="inlineStr">
        <is>
          <t>医療機関</t>
        </is>
      </c>
      <c r="C36" s="17">
        <f>'集計_障がい者'!$D$364</f>
        <v>4</v>
      </c>
      <c r="D36" s="18">
        <f>'集計_障がい者'!$E$364</f>
        <v>0.114285714285714</v>
      </c>
    </row>
    <row r="37" ht="17" customHeight="1">
      <c r="B37" s="5" t="inlineStr">
        <is>
          <t>消防・警察</t>
        </is>
      </c>
      <c r="C37" s="17">
        <f>'集計_障がい者'!$D$365</f>
        <v>4</v>
      </c>
      <c r="D37" s="18">
        <f>'集計_障がい者'!$E$365</f>
        <v>0.114285714285714</v>
      </c>
    </row>
    <row r="38" ht="17" customHeight="1">
      <c r="B38" s="5" t="inlineStr">
        <is>
          <t>民生委員・児童委員</t>
        </is>
      </c>
      <c r="C38" s="17">
        <f>'集計_障がい者'!$D$362</f>
        <v>3</v>
      </c>
      <c r="D38" s="18">
        <f>'集計_障がい者'!$E$362</f>
        <v>0.0857142857142857</v>
      </c>
    </row>
    <row r="39" ht="17" customHeight="1">
      <c r="B39" s="5" t="inlineStr">
        <is>
          <t>いない・わからない</t>
        </is>
      </c>
      <c r="C39" s="17">
        <f>'集計_障がい者'!$D$366</f>
        <v>1</v>
      </c>
      <c r="D39" s="18">
        <f>'集計_障がい者'!$E$366</f>
        <v>0.0285714285714286</v>
      </c>
    </row>
    <row r="40" ht="17" customHeight="1">
      <c r="B40" s="5" t="inlineStr">
        <is>
          <t>その他</t>
        </is>
      </c>
      <c r="C40" s="17">
        <f>'集計_障がい者'!$D$367</f>
        <v>1</v>
      </c>
      <c r="D40" s="18">
        <f>'集計_障がい者'!$E$367</f>
        <v>0.0285714285714286</v>
      </c>
    </row>
    <row r="41"/>
    <row r="44" ht="21" customHeight="1">
      <c r="B44" s="7" t="inlineStr">
        <is>
          <t>図3-43　災害時に必要だと思う支援（問41）</t>
        </is>
      </c>
    </row>
    <row r="45">
      <c r="B45" s="16" t="str">
        <f>"n="&amp;'集計_障がい者'!$F$371&amp;"（複数回答）"</f>
        <v>n=33（複数回答）</v>
      </c>
    </row>
    <row r="46" ht="18" customHeight="1">
      <c r="B46" s="3" t="inlineStr">
        <is>
          <t>選択肢</t>
        </is>
      </c>
      <c r="C46" s="3" t="inlineStr">
        <is>
          <t>件数</t>
        </is>
      </c>
      <c r="D46" s="3" t="inlineStr">
        <is>
          <t>割合</t>
        </is>
      </c>
    </row>
    <row r="47" ht="17" customHeight="1">
      <c r="B47" s="5" t="inlineStr">
        <is>
          <t>薬・医療機器・電源の確保</t>
        </is>
      </c>
      <c r="C47" s="17">
        <f>'集計_障がい者'!$D$371</f>
        <v>21</v>
      </c>
      <c r="D47" s="18">
        <f>'集計_障がい者'!$E$371</f>
        <v>0.636363636363636</v>
      </c>
    </row>
    <row r="48" ht="17" customHeight="1">
      <c r="B48" s="5" t="inlineStr">
        <is>
          <t>福祉避難所の情報提供</t>
        </is>
      </c>
      <c r="C48" s="17">
        <f>'集計_障がい者'!$D$370</f>
        <v>12</v>
      </c>
      <c r="D48" s="18">
        <f>'集計_障がい者'!$E$370</f>
        <v>0.363636363636364</v>
      </c>
    </row>
    <row r="49" ht="17" customHeight="1">
      <c r="B49" s="5" t="inlineStr">
        <is>
          <t>冬季避難の支援</t>
        </is>
      </c>
      <c r="C49" s="17">
        <f>'集計_障がい者'!$D$372</f>
        <v>12</v>
      </c>
      <c r="D49" s="18">
        <f>'集計_障がい者'!$E$372</f>
        <v>0.363636363636364</v>
      </c>
    </row>
    <row r="50" ht="17" customHeight="1">
      <c r="B50" s="5" t="inlineStr">
        <is>
          <t>安否確認</t>
        </is>
      </c>
      <c r="C50" s="17">
        <f>'集計_障がい者'!$D$373</f>
        <v>12</v>
      </c>
      <c r="D50" s="18">
        <f>'集計_障がい者'!$E$373</f>
        <v>0.363636363636364</v>
      </c>
    </row>
    <row r="51" ht="17" customHeight="1">
      <c r="B51" s="5" t="inlineStr">
        <is>
          <t>文字・掲示・字幕等の目で見てわかる災害情報</t>
        </is>
      </c>
      <c r="C51" s="17">
        <f>'集計_障がい者'!$D$375</f>
        <v>12</v>
      </c>
      <c r="D51" s="18">
        <f>'集計_障がい者'!$E$375</f>
        <v>0.363636363636364</v>
      </c>
    </row>
    <row r="52" ht="17" customHeight="1">
      <c r="B52" s="5" t="inlineStr">
        <is>
          <t>避難所での合理的配慮</t>
        </is>
      </c>
      <c r="C52" s="17">
        <f>'集計_障がい者'!$D$374</f>
        <v>11</v>
      </c>
      <c r="D52" s="18">
        <f>'集計_障がい者'!$E$374</f>
        <v>0.333333333333333</v>
      </c>
    </row>
    <row r="53" ht="17" customHeight="1">
      <c r="B53" s="5" t="inlineStr">
        <is>
          <t>個別避難計画の作成支援</t>
        </is>
      </c>
      <c r="C53" s="17">
        <f>'集計_障がい者'!$D$368</f>
        <v>6</v>
      </c>
      <c r="D53" s="18">
        <f>'集計_障がい者'!$E$368</f>
        <v>0.181818181818182</v>
      </c>
    </row>
    <row r="54" ht="17" customHeight="1">
      <c r="B54" s="5" t="inlineStr">
        <is>
          <t>避難訓練への参加支援</t>
        </is>
      </c>
      <c r="C54" s="17">
        <f>'集計_障がい者'!$D$369</f>
        <v>5</v>
      </c>
      <c r="D54" s="18">
        <f>'集計_障がい者'!$E$369</f>
        <v>0.151515151515152</v>
      </c>
    </row>
    <row r="55" ht="17" customHeight="1">
      <c r="B55" s="5" t="inlineStr">
        <is>
          <t>その他</t>
        </is>
      </c>
      <c r="C55" s="17">
        <f>'集計_障がい者'!$D$376</f>
        <v>1</v>
      </c>
      <c r="D55" s="18">
        <f>'集計_障がい者'!$E$376</f>
        <v>0.0303030303030303</v>
      </c>
    </row>
    <row r="56"/>
    <row r="59" ht="21" customHeight="1">
      <c r="B59" s="7" t="inlineStr">
        <is>
          <t>図3-44　今後参加したい地域活動・社会参加（問42）</t>
        </is>
      </c>
    </row>
    <row r="60">
      <c r="B60" s="16" t="str">
        <f>"n="&amp;'集計_障がい者'!$F$377&amp;"（複数回答）"</f>
        <v>n=30（複数回答）</v>
      </c>
    </row>
    <row r="61" ht="18" customHeight="1">
      <c r="B61" s="3" t="inlineStr">
        <is>
          <t>選択肢</t>
        </is>
      </c>
      <c r="C61" s="3" t="inlineStr">
        <is>
          <t>件数</t>
        </is>
      </c>
      <c r="D61" s="3" t="inlineStr">
        <is>
          <t>割合</t>
        </is>
      </c>
    </row>
    <row r="62" ht="17" customHeight="1">
      <c r="B62" s="5" t="inlineStr">
        <is>
          <t>趣味・スポーツ</t>
        </is>
      </c>
      <c r="C62" s="17">
        <f>'集計_障がい者'!$D$377</f>
        <v>7</v>
      </c>
      <c r="D62" s="18">
        <f>'集計_障がい者'!$E$377</f>
        <v>0.233333333333333</v>
      </c>
    </row>
    <row r="63" ht="17" customHeight="1">
      <c r="B63" s="5" t="inlineStr">
        <is>
          <t>地域行事</t>
        </is>
      </c>
      <c r="C63" s="17">
        <f>'集計_障がい者'!$D$379</f>
        <v>6</v>
      </c>
      <c r="D63" s="18">
        <f>'集計_障がい者'!$E$379</f>
        <v>0.2</v>
      </c>
    </row>
    <row r="64" ht="17" customHeight="1">
      <c r="B64" s="5" t="inlineStr">
        <is>
          <t>障がい者団体・家族会</t>
        </is>
      </c>
      <c r="C64" s="17">
        <f>'集計_障がい者'!$D$380</f>
        <v>3</v>
      </c>
      <c r="D64" s="18">
        <f>'集計_障がい者'!$E$380</f>
        <v>0.1</v>
      </c>
    </row>
    <row r="65" ht="17" customHeight="1">
      <c r="B65" s="5" t="inlineStr">
        <is>
          <t>就労・地域貢献</t>
        </is>
      </c>
      <c r="C65" s="17">
        <f>'集計_障がい者'!$D$381</f>
        <v>3</v>
      </c>
      <c r="D65" s="18">
        <f>'集計_障がい者'!$E$381</f>
        <v>0.1</v>
      </c>
    </row>
    <row r="66" ht="17" customHeight="1">
      <c r="B66" s="5" t="inlineStr">
        <is>
          <t>学習・講座</t>
        </is>
      </c>
      <c r="C66" s="17">
        <f>'集計_障がい者'!$D$382</f>
        <v>3</v>
      </c>
      <c r="D66" s="18">
        <f>'集計_障がい者'!$E$382</f>
        <v>0.1</v>
      </c>
    </row>
    <row r="67" ht="17" customHeight="1">
      <c r="B67" s="5" t="inlineStr">
        <is>
          <t>ボランティア</t>
        </is>
      </c>
      <c r="C67" s="17">
        <f>'集計_障がい者'!$D$378</f>
        <v>2</v>
      </c>
      <c r="D67" s="18">
        <f>'集計_障がい者'!$E$378</f>
        <v>0.0666666666666667</v>
      </c>
    </row>
    <row r="68" ht="17" customHeight="1">
      <c r="B68" s="5" t="inlineStr">
        <is>
          <t>オンラインでの交流</t>
        </is>
      </c>
      <c r="C68" s="17">
        <f>'集計_障がい者'!$D$383</f>
        <v>0</v>
      </c>
      <c r="D68" s="18">
        <f>'集計_障がい者'!$E$383</f>
        <v>0</v>
      </c>
    </row>
    <row r="69" ht="17" customHeight="1">
      <c r="B69" s="5" t="inlineStr">
        <is>
          <t>特にない</t>
        </is>
      </c>
      <c r="C69" s="17">
        <f>'集計_障がい者'!$D$384</f>
        <v>19</v>
      </c>
      <c r="D69" s="18">
        <f>'集計_障がい者'!$E$384</f>
        <v>0.633333333333333</v>
      </c>
    </row>
    <row r="70" ht="17" customHeight="1">
      <c r="B70" s="5" t="inlineStr">
        <is>
          <t>その他</t>
        </is>
      </c>
      <c r="C70" s="17">
        <f>'集計_障がい者'!$D$385</f>
        <v>0</v>
      </c>
      <c r="D70" s="18">
        <f>'集計_障がい者'!$E$385</f>
        <v>0</v>
      </c>
    </row>
    <row r="71"/>
    <row r="74" ht="21" customHeight="1">
      <c r="B74" s="7" t="inlineStr">
        <is>
          <t>図3-45　障がいへの理解を深めるために必要な取組（問43）</t>
        </is>
      </c>
    </row>
    <row r="75">
      <c r="B75" s="16" t="str">
        <f>"n="&amp;'集計_障がい者'!$F$389&amp;"（複数回答）"</f>
        <v>n=31（複数回答）</v>
      </c>
    </row>
    <row r="76" ht="18" customHeight="1">
      <c r="B76" s="3" t="inlineStr">
        <is>
          <t>選択肢</t>
        </is>
      </c>
      <c r="C76" s="3" t="inlineStr">
        <is>
          <t>件数</t>
        </is>
      </c>
      <c r="D76" s="3" t="inlineStr">
        <is>
          <t>割合</t>
        </is>
      </c>
    </row>
    <row r="77" ht="17" customHeight="1">
      <c r="B77" s="5" t="inlineStr">
        <is>
          <t>広報・ホームページでの情報発信</t>
        </is>
      </c>
      <c r="C77" s="17">
        <f>'集計_障がい者'!$D$389</f>
        <v>12</v>
      </c>
      <c r="D77" s="18">
        <f>'集計_障がい者'!$E$389</f>
        <v>0.387096774193548</v>
      </c>
    </row>
    <row r="78" ht="17" customHeight="1">
      <c r="B78" s="5" t="inlineStr">
        <is>
          <t>交流の場づくり</t>
        </is>
      </c>
      <c r="C78" s="17">
        <f>'集計_障がい者'!$D$390</f>
        <v>10</v>
      </c>
      <c r="D78" s="18">
        <f>'集計_障がい者'!$E$390</f>
        <v>0.32258064516129</v>
      </c>
    </row>
    <row r="79" ht="17" customHeight="1">
      <c r="B79" s="5" t="inlineStr">
        <is>
          <t>学校での福祉教育</t>
        </is>
      </c>
      <c r="C79" s="17">
        <f>'集計_障がい者'!$D$386</f>
        <v>9</v>
      </c>
      <c r="D79" s="18">
        <f>'集計_障がい者'!$E$386</f>
        <v>0.290322580645161</v>
      </c>
    </row>
    <row r="80" ht="17" customHeight="1">
      <c r="B80" s="5" t="inlineStr">
        <is>
          <t>地域住民向けの講座</t>
        </is>
      </c>
      <c r="C80" s="17">
        <f>'集計_障がい者'!$D$387</f>
        <v>6</v>
      </c>
      <c r="D80" s="18">
        <f>'集計_障がい者'!$E$387</f>
        <v>0.193548387096774</v>
      </c>
    </row>
    <row r="81" ht="17" customHeight="1">
      <c r="B81" s="5" t="inlineStr">
        <is>
          <t>事業所・企業への啓発</t>
        </is>
      </c>
      <c r="C81" s="17">
        <f>'集計_障がい者'!$D$388</f>
        <v>5</v>
      </c>
      <c r="D81" s="18">
        <f>'集計_障がい者'!$E$388</f>
        <v>0.161290322580645</v>
      </c>
    </row>
    <row r="82" ht="17" customHeight="1">
      <c r="B82" s="5" t="inlineStr">
        <is>
          <t>障がい当事者の意見発信</t>
        </is>
      </c>
      <c r="C82" s="17">
        <f>'集計_障がい者'!$D$391</f>
        <v>5</v>
      </c>
      <c r="D82" s="18">
        <f>'集計_障がい者'!$E$391</f>
        <v>0.161290322580645</v>
      </c>
    </row>
    <row r="83" ht="17" customHeight="1">
      <c r="B83" s="5" t="inlineStr">
        <is>
          <t>特にない</t>
        </is>
      </c>
      <c r="C83" s="17">
        <f>'集計_障がい者'!$D$392</f>
        <v>7</v>
      </c>
      <c r="D83" s="18">
        <f>'集計_障がい者'!$E$392</f>
        <v>0.225806451612903</v>
      </c>
    </row>
    <row r="84" ht="17" customHeight="1">
      <c r="B84" s="5" t="inlineStr">
        <is>
          <t>その他</t>
        </is>
      </c>
      <c r="C84" s="17">
        <f>'集計_障がい者'!$D$393</f>
        <v>0</v>
      </c>
      <c r="D84" s="18">
        <f>'集計_障がい者'!$E$393</f>
        <v>0</v>
      </c>
    </row>
    <row r="85"/>
    <row r="88" ht="21" customHeight="1">
      <c r="B88" s="7" t="inlineStr">
        <is>
          <t>図3-46　今後、村が特に力を入れるべきこと（3つまで）（問44）</t>
        </is>
      </c>
    </row>
    <row r="89">
      <c r="B89" s="16" t="str">
        <f>"n="&amp;'集計_障がい者'!$F$394&amp;"（複数回答）"</f>
        <v>n=31（複数回答）</v>
      </c>
    </row>
    <row r="90" ht="18" customHeight="1">
      <c r="B90" s="3" t="inlineStr">
        <is>
          <t>選択肢</t>
        </is>
      </c>
      <c r="C90" s="3" t="inlineStr">
        <is>
          <t>件数</t>
        </is>
      </c>
      <c r="D90" s="3" t="inlineStr">
        <is>
          <t>割合</t>
        </is>
      </c>
    </row>
    <row r="91" ht="17" customHeight="1">
      <c r="B91" s="5" t="inlineStr">
        <is>
          <t>相談支援体制</t>
        </is>
      </c>
      <c r="C91" s="17">
        <f>'集計_障がい者'!$D$394</f>
        <v>13</v>
      </c>
      <c r="D91" s="18">
        <f>'集計_障がい者'!$E$394</f>
        <v>0.419354838709677</v>
      </c>
    </row>
    <row r="92" ht="17" customHeight="1">
      <c r="B92" s="5" t="inlineStr">
        <is>
          <t>災害時支援</t>
        </is>
      </c>
      <c r="C92" s="17">
        <f>'集計_障がい者'!$D$398</f>
        <v>13</v>
      </c>
      <c r="D92" s="18">
        <f>'集計_障がい者'!$E$398</f>
        <v>0.419354838709677</v>
      </c>
    </row>
    <row r="93" ht="17" customHeight="1">
      <c r="B93" s="5" t="inlineStr">
        <is>
          <t>在宅生活支援</t>
        </is>
      </c>
      <c r="C93" s="17">
        <f>'集計_障がい者'!$D$395</f>
        <v>10</v>
      </c>
      <c r="D93" s="18">
        <f>'集計_障がい者'!$E$395</f>
        <v>0.32258064516129</v>
      </c>
    </row>
    <row r="94" ht="17" customHeight="1">
      <c r="B94" s="5" t="inlineStr">
        <is>
          <t>移動支援</t>
        </is>
      </c>
      <c r="C94" s="17">
        <f>'集計_障がい者'!$D$396</f>
        <v>10</v>
      </c>
      <c r="D94" s="18">
        <f>'集計_障がい者'!$E$396</f>
        <v>0.32258064516129</v>
      </c>
    </row>
    <row r="95" ht="17" customHeight="1">
      <c r="B95" s="5" t="inlineStr">
        <is>
          <t>サービス事業所の確保</t>
        </is>
      </c>
      <c r="C95" s="17">
        <f>'集計_障がい者'!$D$401</f>
        <v>10</v>
      </c>
      <c r="D95" s="18">
        <f>'集計_障がい者'!$E$401</f>
        <v>0.32258064516129</v>
      </c>
    </row>
    <row r="96" ht="17" customHeight="1">
      <c r="B96" s="5" t="inlineStr">
        <is>
          <t>家族支援</t>
        </is>
      </c>
      <c r="C96" s="17">
        <f>'集計_障がい者'!$D$400</f>
        <v>8</v>
      </c>
      <c r="D96" s="18">
        <f>'集計_障がい者'!$E$400</f>
        <v>0.258064516129032</v>
      </c>
    </row>
    <row r="97" ht="17" customHeight="1">
      <c r="B97" s="5" t="inlineStr">
        <is>
          <t>差別解消・権利擁護</t>
        </is>
      </c>
      <c r="C97" s="17">
        <f>'集計_障がい者'!$D$399</f>
        <v>5</v>
      </c>
      <c r="D97" s="18">
        <f>'集計_障がい者'!$E$399</f>
        <v>0.161290322580645</v>
      </c>
    </row>
    <row r="98" ht="17" customHeight="1">
      <c r="B98" s="5" t="inlineStr">
        <is>
          <t>就労支援</t>
        </is>
      </c>
      <c r="C98" s="17">
        <f>'集計_障がい者'!$D$397</f>
        <v>3</v>
      </c>
      <c r="D98" s="18">
        <f>'集計_障がい者'!$E$397</f>
        <v>0.0967741935483871</v>
      </c>
    </row>
    <row r="99" ht="17" customHeight="1">
      <c r="B99" s="5" t="inlineStr">
        <is>
          <t>その他</t>
        </is>
      </c>
      <c r="C99" s="17">
        <f>'集計_障がい者'!$D$402</f>
        <v>0</v>
      </c>
      <c r="D99" s="18">
        <f>'集計_障がい者'!$E$402</f>
        <v>0</v>
      </c>
    </row>
    <row r="100"/>
    <row r="103" ht="21" customHeight="1">
      <c r="B103" s="7" t="inlineStr">
        <is>
          <t>表3-2　自由記述にみる主な意見（障がい者調査）</t>
        </is>
      </c>
    </row>
    <row r="104" ht="17" customHeight="1">
      <c r="B104" s="3" t="inlineStr">
        <is>
          <t>分野</t>
        </is>
      </c>
      <c r="C104" s="3" t="inlineStr">
        <is>
          <t>主な意見（要旨）</t>
        </is>
      </c>
      <c r="D104" s="8" t="n"/>
      <c r="E104" s="8" t="n"/>
      <c r="F104" s="8" t="n"/>
      <c r="G104" s="8" t="n"/>
      <c r="H104" s="9" t="n"/>
      <c r="I104" s="3" t="inlineStr">
        <is>
          <t>設問</t>
        </is>
      </c>
    </row>
    <row r="105" ht="30" customHeight="1">
      <c r="B105" s="20" t="inlineStr">
        <is>
          <t>意思疎通・情報保障</t>
        </is>
      </c>
      <c r="C105" s="5" t="inlineStr">
        <is>
          <t>意思疎通できる相手が少なく、理解してもらえないため筆談でやり取りしている。</t>
        </is>
      </c>
      <c r="D105" s="8" t="n"/>
      <c r="E105" s="8" t="n"/>
      <c r="F105" s="8" t="n"/>
      <c r="G105" s="8" t="n"/>
      <c r="H105" s="9" t="n"/>
      <c r="I105" s="4" t="inlineStr">
        <is>
          <t>問10-2</t>
        </is>
      </c>
    </row>
    <row r="106" ht="30" customHeight="1">
      <c r="B106" s="20" t="inlineStr"/>
      <c r="C106" s="5" t="inlineStr">
        <is>
          <t>村役場に手話通訳者を継続して配置してほしい。聴覚障がいのある人への理解を深めてほしい。</t>
        </is>
      </c>
      <c r="D106" s="8" t="n"/>
      <c r="E106" s="8" t="n"/>
      <c r="F106" s="8" t="n"/>
      <c r="G106" s="8" t="n"/>
      <c r="H106" s="9" t="n"/>
      <c r="I106" s="4" t="inlineStr">
        <is>
          <t>問45</t>
        </is>
      </c>
    </row>
    <row r="107" ht="30" customHeight="1">
      <c r="B107" s="20" t="inlineStr"/>
      <c r="C107" s="5" t="inlineStr">
        <is>
          <t>村外への通院時の手話通訳者・付き添いは事前の予約が必要であり、緊急時にも対応できるようにしてほしい。</t>
        </is>
      </c>
      <c r="D107" s="8" t="n"/>
      <c r="E107" s="8" t="n"/>
      <c r="F107" s="8" t="n"/>
      <c r="G107" s="8" t="n"/>
      <c r="H107" s="9" t="n"/>
      <c r="I107" s="4" t="inlineStr">
        <is>
          <t>問45</t>
        </is>
      </c>
    </row>
    <row r="108" ht="30" customHeight="1">
      <c r="B108" s="20" t="inlineStr">
        <is>
          <t>日常生活・介助</t>
        </is>
      </c>
      <c r="C108" s="5" t="inlineStr">
        <is>
          <t>視力の低下により細かな作業ができない。一人では服薬管理や通院ができない。</t>
        </is>
      </c>
      <c r="D108" s="8" t="n"/>
      <c r="E108" s="8" t="n"/>
      <c r="F108" s="8" t="n"/>
      <c r="G108" s="8" t="n"/>
      <c r="H108" s="9" t="n"/>
      <c r="I108" s="4" t="inlineStr">
        <is>
          <t>問10-2</t>
        </is>
      </c>
    </row>
    <row r="109" ht="30" customHeight="1">
      <c r="B109" s="20" t="inlineStr"/>
      <c r="C109" s="5" t="inlineStr">
        <is>
          <t>日常生活全般において、家族や介助者の支援がないと難しい場面がある。（同趣旨2件）</t>
        </is>
      </c>
      <c r="D109" s="8" t="n"/>
      <c r="E109" s="8" t="n"/>
      <c r="F109" s="8" t="n"/>
      <c r="G109" s="8" t="n"/>
      <c r="H109" s="9" t="n"/>
      <c r="I109" s="4" t="inlineStr">
        <is>
          <t>問10-2</t>
        </is>
      </c>
    </row>
    <row r="110" ht="17" customHeight="1">
      <c r="B110" s="20" t="inlineStr"/>
      <c r="C110" s="5" t="inlineStr">
        <is>
          <t>経管栄養を行っているが、口から食べたいという思いがある。</t>
        </is>
      </c>
      <c r="D110" s="8" t="n"/>
      <c r="E110" s="8" t="n"/>
      <c r="F110" s="8" t="n"/>
      <c r="G110" s="8" t="n"/>
      <c r="H110" s="9" t="n"/>
      <c r="I110" s="4" t="inlineStr">
        <is>
          <t>問10-2</t>
        </is>
      </c>
    </row>
    <row r="111" ht="30" customHeight="1">
      <c r="B111" s="20" t="inlineStr">
        <is>
          <t>外出・移動</t>
        </is>
      </c>
      <c r="C111" s="5" t="inlineStr">
        <is>
          <t>足腰の痛み等により、誰かの手を借りないと外出できない。外出時のトイレも心配である。</t>
        </is>
      </c>
      <c r="D111" s="8" t="n"/>
      <c r="E111" s="8" t="n"/>
      <c r="F111" s="8" t="n"/>
      <c r="G111" s="8" t="n"/>
      <c r="H111" s="9" t="n"/>
      <c r="I111" s="4" t="inlineStr">
        <is>
          <t>問10-2・問14</t>
        </is>
      </c>
    </row>
    <row r="112" ht="30" customHeight="1">
      <c r="B112" s="20" t="inlineStr"/>
      <c r="C112" s="5" t="inlineStr">
        <is>
          <t>膝が不自由なため、車の運転ができなくなったときの移動や災害時、生活全般が不安である。</t>
        </is>
      </c>
      <c r="D112" s="8" t="n"/>
      <c r="E112" s="8" t="n"/>
      <c r="F112" s="8" t="n"/>
      <c r="G112" s="8" t="n"/>
      <c r="H112" s="9" t="n"/>
      <c r="I112" s="4" t="inlineStr">
        <is>
          <t>問45</t>
        </is>
      </c>
    </row>
    <row r="113" ht="30" customHeight="1">
      <c r="B113" s="20" t="inlineStr"/>
      <c r="C113" s="5" t="inlineStr">
        <is>
          <t>町へ出かける際の福祉サービス施設の車両の利用回数が限られており、もう少し利用しやすくしてほしい。</t>
        </is>
      </c>
      <c r="D113" s="8" t="n"/>
      <c r="E113" s="8" t="n"/>
      <c r="F113" s="8" t="n"/>
      <c r="G113" s="8" t="n"/>
      <c r="H113" s="9" t="n"/>
      <c r="I113" s="4" t="inlineStr">
        <is>
          <t>問45</t>
        </is>
      </c>
    </row>
    <row r="114" ht="17" customHeight="1">
      <c r="B114" s="20" t="inlineStr"/>
      <c r="C114" s="5" t="inlineStr">
        <is>
          <t>災害時に、かかりつけ医までの移動手段を確保してほしい。</t>
        </is>
      </c>
      <c r="D114" s="8" t="n"/>
      <c r="E114" s="8" t="n"/>
      <c r="F114" s="8" t="n"/>
      <c r="G114" s="8" t="n"/>
      <c r="H114" s="9" t="n"/>
      <c r="I114" s="4" t="inlineStr">
        <is>
          <t>問41</t>
        </is>
      </c>
    </row>
    <row r="115" ht="30" customHeight="1">
      <c r="B115" s="20" t="inlineStr">
        <is>
          <t>相談・情報</t>
        </is>
      </c>
      <c r="C115" s="5" t="inlineStr">
        <is>
          <t>家族が突然障がいを負った際、相談後の対応に時間がかかり、十分な支援を受けられないまま終わってしまった。</t>
        </is>
      </c>
      <c r="D115" s="8" t="n"/>
      <c r="E115" s="8" t="n"/>
      <c r="F115" s="8" t="n"/>
      <c r="G115" s="8" t="n"/>
      <c r="H115" s="9" t="n"/>
      <c r="I115" s="4" t="inlineStr">
        <is>
          <t>問45</t>
        </is>
      </c>
    </row>
    <row r="116" ht="30" customHeight="1">
      <c r="B116" s="20" t="inlineStr"/>
      <c r="C116" s="5" t="inlineStr">
        <is>
          <t>相談や支援を受ける方法がわからない。民生委員・児童委員の役割がわからない。</t>
        </is>
      </c>
      <c r="D116" s="8" t="n"/>
      <c r="E116" s="8" t="n"/>
      <c r="F116" s="8" t="n"/>
      <c r="G116" s="8" t="n"/>
      <c r="H116" s="9" t="n"/>
      <c r="I116" s="4" t="inlineStr">
        <is>
          <t>問45・問40</t>
        </is>
      </c>
    </row>
    <row r="117" ht="17" customHeight="1">
      <c r="B117" s="20" t="inlineStr"/>
      <c r="C117" s="5" t="inlineStr">
        <is>
          <t>身体障がい者手帳の更新が必要かどうかわからない。</t>
        </is>
      </c>
      <c r="D117" s="8" t="n"/>
      <c r="E117" s="8" t="n"/>
      <c r="F117" s="8" t="n"/>
      <c r="G117" s="8" t="n"/>
      <c r="H117" s="9" t="n"/>
      <c r="I117" s="4" t="inlineStr">
        <is>
          <t>問5</t>
        </is>
      </c>
    </row>
    <row r="118" ht="17" customHeight="1">
      <c r="B118" s="20" t="inlineStr">
        <is>
          <t>暮らし全般</t>
        </is>
      </c>
      <c r="C118" s="5" t="inlineStr">
        <is>
          <t>本人及び家族が穏やかに生活できる環境を確保してほしい。</t>
        </is>
      </c>
      <c r="D118" s="8" t="n"/>
      <c r="E118" s="8" t="n"/>
      <c r="F118" s="8" t="n"/>
      <c r="G118" s="8" t="n"/>
      <c r="H118" s="9" t="n"/>
      <c r="I118" s="4" t="inlineStr">
        <is>
          <t>問45</t>
        </is>
      </c>
    </row>
    <row r="119" ht="15" customHeight="1">
      <c r="B119" s="12" t="inlineStr">
        <is>
          <t>※個人が特定されることのないよう、趣旨を損なわない範囲で要約・一部修正しています。</t>
        </is>
      </c>
    </row>
  </sheetData>
  <mergeCells count="16">
    <mergeCell ref="C108:H108"/>
    <mergeCell ref="C109:H109"/>
    <mergeCell ref="B119:I119"/>
    <mergeCell ref="C115:H115"/>
    <mergeCell ref="C117:H117"/>
    <mergeCell ref="C107:H107"/>
    <mergeCell ref="C104:H104"/>
    <mergeCell ref="C116:H116"/>
    <mergeCell ref="C110:H110"/>
    <mergeCell ref="C118:H118"/>
    <mergeCell ref="C111:H111"/>
    <mergeCell ref="C106:H106"/>
    <mergeCell ref="C114:H114"/>
    <mergeCell ref="C105:H105"/>
    <mergeCell ref="C113:H113"/>
    <mergeCell ref="C112:H112"/>
  </mergeCells>
  <pageMargins left="0.75" right="0.75" top="1" bottom="1" header="0.5" footer="0.5"/>
  <pageSetup orientation="landscape" paperSize="9" fitToHeight="0" fitToWidth="1"/>
  <drawing xmlns:r="http://schemas.openxmlformats.org/officeDocument/2006/relationships" r:id="rId1"/>
</worksheet>
</file>

<file path=xl/worksheets/sheet10.xml><?xml version="1.0" encoding="utf-8"?>
<worksheet xmlns="http://schemas.openxmlformats.org/spreadsheetml/2006/main">
  <sheetPr>
    <outlinePr summaryBelow="1" summaryRight="1"/>
    <pageSetUpPr fitToPage="1"/>
  </sheetPr>
  <dimension ref="B2:K353"/>
  <sheetViews>
    <sheetView showGridLines="0" workbookViewId="0">
      <selection activeCell="A1" sqref="A1"/>
    </sheetView>
  </sheetViews>
  <sheetFormatPr baseColWidth="8" defaultRowHeight="15"/>
  <cols>
    <col width="2" customWidth="1" min="1" max="1"/>
    <col width="34"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s>
  <sheetData>
    <row r="2" ht="21" customHeight="1">
      <c r="B2" s="7" t="inlineStr">
        <is>
          <t>表4-1　クロス集計の分析テーマ</t>
        </is>
      </c>
    </row>
    <row r="3" ht="17" customHeight="1">
      <c r="B3" s="3" t="inlineStr">
        <is>
          <t>No.</t>
        </is>
      </c>
      <c r="C3" s="3" t="inlineStr">
        <is>
          <t>分析テーマ</t>
        </is>
      </c>
      <c r="D3" s="8" t="n"/>
      <c r="E3" s="8" t="n"/>
      <c r="F3" s="8" t="n"/>
      <c r="G3" s="9" t="n"/>
      <c r="H3" s="3" t="inlineStr">
        <is>
          <t>クロス軸（区分 × 集計項目）</t>
        </is>
      </c>
      <c r="I3" s="8" t="n"/>
      <c r="J3" s="9" t="n"/>
    </row>
    <row r="4" ht="17" customHeight="1">
      <c r="B4" s="4" t="inlineStr">
        <is>
          <t>C01</t>
        </is>
      </c>
      <c r="C4" s="5" t="inlineStr">
        <is>
          <t>障がい種別ごとの今後のサービス利用ニーズ</t>
        </is>
      </c>
      <c r="D4" s="8" t="n"/>
      <c r="E4" s="8" t="n"/>
      <c r="F4" s="8" t="n"/>
      <c r="G4" s="9" t="n"/>
      <c r="H4" s="4" t="inlineStr">
        <is>
          <t>問6 × 問27-3</t>
        </is>
      </c>
      <c r="I4" s="8" t="n"/>
      <c r="J4" s="9" t="n"/>
    </row>
    <row r="5" ht="17" customHeight="1">
      <c r="B5" s="14" t="inlineStr">
        <is>
          <t>C02</t>
        </is>
      </c>
      <c r="C5" s="13" t="inlineStr">
        <is>
          <t>地区別の外出・交通上の課題</t>
        </is>
      </c>
      <c r="D5" s="8" t="n"/>
      <c r="E5" s="8" t="n"/>
      <c r="F5" s="8" t="n"/>
      <c r="G5" s="9" t="n"/>
      <c r="H5" s="14" t="inlineStr">
        <is>
          <t>問3 × 問14</t>
        </is>
      </c>
      <c r="I5" s="8" t="n"/>
      <c r="J5" s="9" t="n"/>
    </row>
    <row r="6" ht="17" customHeight="1">
      <c r="B6" s="4" t="inlineStr">
        <is>
          <t>C03</t>
        </is>
      </c>
      <c r="C6" s="5" t="inlineStr">
        <is>
          <t>地区別のサービス利用阻害要因</t>
        </is>
      </c>
      <c r="D6" s="8" t="n"/>
      <c r="E6" s="8" t="n"/>
      <c r="F6" s="8" t="n"/>
      <c r="G6" s="9" t="n"/>
      <c r="H6" s="4" t="inlineStr">
        <is>
          <t>問3 × 問28</t>
        </is>
      </c>
      <c r="I6" s="8" t="n"/>
      <c r="J6" s="9" t="n"/>
    </row>
    <row r="7" ht="17" customHeight="1">
      <c r="B7" s="14" t="inlineStr">
        <is>
          <t>C04</t>
        </is>
      </c>
      <c r="C7" s="13" t="inlineStr">
        <is>
          <t>現在の暮らしと将来希望のギャップ</t>
        </is>
      </c>
      <c r="D7" s="8" t="n"/>
      <c r="E7" s="8" t="n"/>
      <c r="F7" s="8" t="n"/>
      <c r="G7" s="9" t="n"/>
      <c r="H7" s="14" t="inlineStr">
        <is>
          <t>問7 × 問11</t>
        </is>
      </c>
      <c r="I7" s="8" t="n"/>
      <c r="J7" s="9" t="n"/>
    </row>
    <row r="8" ht="17" customHeight="1">
      <c r="B8" s="4" t="inlineStr">
        <is>
          <t>C05</t>
        </is>
      </c>
      <c r="C8" s="5" t="inlineStr">
        <is>
          <t>年齢別の日常生活上の困りごと</t>
        </is>
      </c>
      <c r="D8" s="8" t="n"/>
      <c r="E8" s="8" t="n"/>
      <c r="F8" s="8" t="n"/>
      <c r="G8" s="9" t="n"/>
      <c r="H8" s="4" t="inlineStr">
        <is>
          <t>問2 × 問10</t>
        </is>
      </c>
      <c r="I8" s="8" t="n"/>
      <c r="J8" s="9" t="n"/>
    </row>
    <row r="9" ht="17" customHeight="1">
      <c r="B9" s="14" t="inlineStr">
        <is>
          <t>C06</t>
        </is>
      </c>
      <c r="C9" s="13" t="inlineStr">
        <is>
          <t>現在の日中活動と希望する働き方・活動</t>
        </is>
      </c>
      <c r="D9" s="8" t="n"/>
      <c r="E9" s="8" t="n"/>
      <c r="F9" s="8" t="n"/>
      <c r="G9" s="9" t="n"/>
      <c r="H9" s="14" t="inlineStr">
        <is>
          <t>問31 × 問32</t>
        </is>
      </c>
      <c r="I9" s="8" t="n"/>
      <c r="J9" s="9" t="n"/>
    </row>
    <row r="10" ht="17" customHeight="1">
      <c r="B10" s="4" t="inlineStr">
        <is>
          <t>C07</t>
        </is>
      </c>
      <c r="C10" s="5" t="inlineStr">
        <is>
          <t>個別避難計画の認知と災害時不安</t>
        </is>
      </c>
      <c r="D10" s="8" t="n"/>
      <c r="E10" s="8" t="n"/>
      <c r="F10" s="8" t="n"/>
      <c r="G10" s="9" t="n"/>
      <c r="H10" s="4" t="inlineStr">
        <is>
          <t>問39 × 問38</t>
        </is>
      </c>
      <c r="I10" s="8" t="n"/>
      <c r="J10" s="9" t="n"/>
    </row>
    <row r="11" ht="17" customHeight="1">
      <c r="B11" s="14" t="inlineStr">
        <is>
          <t>C08</t>
        </is>
      </c>
      <c r="C11" s="13" t="inlineStr">
        <is>
          <t>障がい種別ごとに必要な合理的配慮</t>
        </is>
      </c>
      <c r="D11" s="8" t="n"/>
      <c r="E11" s="8" t="n"/>
      <c r="F11" s="8" t="n"/>
      <c r="G11" s="9" t="n"/>
      <c r="H11" s="14" t="inlineStr">
        <is>
          <t>問6 × 問36</t>
        </is>
      </c>
      <c r="I11" s="8" t="n"/>
      <c r="J11" s="9" t="n"/>
    </row>
    <row r="12" ht="17" customHeight="1">
      <c r="B12" s="4" t="inlineStr">
        <is>
          <t>C09</t>
        </is>
      </c>
      <c r="C12" s="5" t="inlineStr">
        <is>
          <t>相談先別の相談支援への期待</t>
        </is>
      </c>
      <c r="D12" s="8" t="n"/>
      <c r="E12" s="8" t="n"/>
      <c r="F12" s="8" t="n"/>
      <c r="G12" s="9" t="n"/>
      <c r="H12" s="4" t="inlineStr">
        <is>
          <t>問22 × 問26</t>
        </is>
      </c>
      <c r="I12" s="8" t="n"/>
      <c r="J12" s="9" t="n"/>
    </row>
    <row r="13" ht="17" customHeight="1">
      <c r="B13" s="14" t="inlineStr">
        <is>
          <t>C10</t>
        </is>
      </c>
      <c r="C13" s="13" t="inlineStr">
        <is>
          <t>主な介助者別の地域生活支援拠点への期待</t>
        </is>
      </c>
      <c r="D13" s="8" t="n"/>
      <c r="E13" s="8" t="n"/>
      <c r="F13" s="8" t="n"/>
      <c r="G13" s="9" t="n"/>
      <c r="H13" s="14" t="inlineStr">
        <is>
          <t>問9 × 問29</t>
        </is>
      </c>
      <c r="I13" s="8" t="n"/>
      <c r="J13" s="9" t="n"/>
    </row>
    <row r="15" ht="21" customHeight="1">
      <c r="B15" s="7" t="inlineStr">
        <is>
          <t>表4-2　障がい種別 × 今後3年間で利用したいサービス（問6×問27-3）</t>
        </is>
      </c>
    </row>
    <row r="16">
      <c r="B16" s="24" t="inlineStr">
        <is>
          <t>【件数】青字のセルが入力値です</t>
        </is>
      </c>
    </row>
    <row r="17" ht="31" customHeight="1">
      <c r="B17" s="3" t="inlineStr">
        <is>
          <t>区分</t>
        </is>
      </c>
      <c r="C17" s="3" t="inlineStr">
        <is>
          <t>身体障がい</t>
        </is>
      </c>
      <c r="D17" s="3" t="inlineStr">
        <is>
          <t>知的障がい</t>
        </is>
      </c>
      <c r="E17" s="3" t="inlineStr">
        <is>
          <t>精神障がい</t>
        </is>
      </c>
      <c r="F17" s="3" t="inlineStr">
        <is>
          <t>発達障がい</t>
        </is>
      </c>
      <c r="G17" s="3" t="inlineStr">
        <is>
          <t>わからない・その他</t>
        </is>
      </c>
    </row>
    <row r="18">
      <c r="B18" s="20" t="inlineStr">
        <is>
          <t>回答者数（n）</t>
        </is>
      </c>
      <c r="C18" s="25" t="n">
        <v>26</v>
      </c>
      <c r="D18" s="25" t="n">
        <v>2</v>
      </c>
      <c r="E18" s="25" t="n">
        <v>4</v>
      </c>
      <c r="F18" s="25" t="n">
        <v>3</v>
      </c>
      <c r="G18" s="25" t="n">
        <v>2</v>
      </c>
    </row>
    <row r="19" ht="17" customHeight="1">
      <c r="B19" s="5" t="inlineStr">
        <is>
          <t>居宅介護（ホームヘルプ）</t>
        </is>
      </c>
      <c r="C19" s="26" t="n">
        <v>3</v>
      </c>
      <c r="D19" s="26" t="n">
        <v>0</v>
      </c>
      <c r="E19" s="26" t="n">
        <v>0</v>
      </c>
      <c r="F19" s="26" t="n">
        <v>0</v>
      </c>
      <c r="G19" s="26" t="n">
        <v>0</v>
      </c>
    </row>
    <row r="20" ht="17" customHeight="1">
      <c r="B20" s="5" t="inlineStr">
        <is>
          <t>同行援護・行動援護</t>
        </is>
      </c>
      <c r="C20" s="26" t="n">
        <v>1</v>
      </c>
      <c r="D20" s="26" t="n">
        <v>0</v>
      </c>
      <c r="E20" s="26" t="n">
        <v>0</v>
      </c>
      <c r="F20" s="26" t="n">
        <v>0</v>
      </c>
      <c r="G20" s="26" t="n">
        <v>0</v>
      </c>
    </row>
    <row r="21" ht="17" customHeight="1">
      <c r="B21" s="5" t="inlineStr">
        <is>
          <t>生活介護</t>
        </is>
      </c>
      <c r="C21" s="26" t="n">
        <v>0</v>
      </c>
      <c r="D21" s="26" t="n">
        <v>2</v>
      </c>
      <c r="E21" s="26" t="n">
        <v>1</v>
      </c>
      <c r="F21" s="26" t="n">
        <v>0</v>
      </c>
      <c r="G21" s="26" t="n">
        <v>0</v>
      </c>
    </row>
    <row r="22" ht="17" customHeight="1">
      <c r="B22" s="5" t="inlineStr">
        <is>
          <t>自立訓練</t>
        </is>
      </c>
      <c r="C22" s="26" t="n">
        <v>1</v>
      </c>
      <c r="D22" s="26" t="n">
        <v>0</v>
      </c>
      <c r="E22" s="26" t="n">
        <v>0</v>
      </c>
      <c r="F22" s="26" t="n">
        <v>0</v>
      </c>
      <c r="G22" s="26" t="n">
        <v>1</v>
      </c>
    </row>
    <row r="23" ht="17" customHeight="1">
      <c r="B23" s="5" t="inlineStr">
        <is>
          <t>就労移行支援</t>
        </is>
      </c>
      <c r="C23" s="26" t="n">
        <v>0</v>
      </c>
      <c r="D23" s="26" t="n">
        <v>0</v>
      </c>
      <c r="E23" s="26" t="n">
        <v>0</v>
      </c>
      <c r="F23" s="26" t="n">
        <v>1</v>
      </c>
      <c r="G23" s="26" t="n">
        <v>0</v>
      </c>
    </row>
    <row r="24" ht="17" customHeight="1">
      <c r="B24" s="5" t="inlineStr">
        <is>
          <t>就労継続支援B型</t>
        </is>
      </c>
      <c r="C24" s="26" t="n">
        <v>0</v>
      </c>
      <c r="D24" s="26" t="n">
        <v>0</v>
      </c>
      <c r="E24" s="26" t="n">
        <v>0</v>
      </c>
      <c r="F24" s="26" t="n">
        <v>0</v>
      </c>
      <c r="G24" s="26" t="n">
        <v>1</v>
      </c>
    </row>
    <row r="25" ht="17" customHeight="1">
      <c r="B25" s="5" t="inlineStr">
        <is>
          <t>短期入所（ショートステイ）</t>
        </is>
      </c>
      <c r="C25" s="26" t="n">
        <v>3</v>
      </c>
      <c r="D25" s="26" t="n">
        <v>0</v>
      </c>
      <c r="E25" s="26" t="n">
        <v>0</v>
      </c>
      <c r="F25" s="26" t="n">
        <v>0</v>
      </c>
      <c r="G25" s="26" t="n">
        <v>1</v>
      </c>
    </row>
    <row r="26" ht="17" customHeight="1">
      <c r="B26" s="5" t="inlineStr">
        <is>
          <t>グループホーム</t>
        </is>
      </c>
      <c r="C26" s="26" t="n">
        <v>3</v>
      </c>
      <c r="D26" s="26" t="n">
        <v>0</v>
      </c>
      <c r="E26" s="26" t="n">
        <v>1</v>
      </c>
      <c r="F26" s="26" t="n">
        <v>0</v>
      </c>
      <c r="G26" s="26" t="n">
        <v>1</v>
      </c>
    </row>
    <row r="27" ht="17" customHeight="1">
      <c r="B27" s="5" t="inlineStr">
        <is>
          <t>施設入所支援</t>
        </is>
      </c>
      <c r="C27" s="26" t="n">
        <v>5</v>
      </c>
      <c r="D27" s="26" t="n">
        <v>2</v>
      </c>
      <c r="E27" s="26" t="n">
        <v>1</v>
      </c>
      <c r="F27" s="26" t="n">
        <v>0</v>
      </c>
      <c r="G27" s="26" t="n">
        <v>1</v>
      </c>
    </row>
    <row r="28" ht="17" customHeight="1">
      <c r="B28" s="5" t="inlineStr">
        <is>
          <t>計画相談支援</t>
        </is>
      </c>
      <c r="C28" s="26" t="n">
        <v>1</v>
      </c>
      <c r="D28" s="26" t="n">
        <v>1</v>
      </c>
      <c r="E28" s="26" t="n">
        <v>0</v>
      </c>
      <c r="F28" s="26" t="n">
        <v>0</v>
      </c>
      <c r="G28" s="26" t="n">
        <v>1</v>
      </c>
    </row>
    <row r="29" ht="17" customHeight="1">
      <c r="B29" s="5" t="inlineStr">
        <is>
          <t>移動支援</t>
        </is>
      </c>
      <c r="C29" s="26" t="n">
        <v>0</v>
      </c>
      <c r="D29" s="26" t="n">
        <v>0</v>
      </c>
      <c r="E29" s="26" t="n">
        <v>2</v>
      </c>
      <c r="F29" s="26" t="n">
        <v>0</v>
      </c>
      <c r="G29" s="26" t="n">
        <v>0</v>
      </c>
    </row>
    <row r="30" ht="17" customHeight="1">
      <c r="B30" s="5" t="inlineStr">
        <is>
          <t>日中一時支援</t>
        </is>
      </c>
      <c r="C30" s="26" t="n">
        <v>1</v>
      </c>
      <c r="D30" s="26" t="n">
        <v>0</v>
      </c>
      <c r="E30" s="26" t="n">
        <v>0</v>
      </c>
      <c r="F30" s="26" t="n">
        <v>0</v>
      </c>
      <c r="G30" s="26" t="n">
        <v>0</v>
      </c>
    </row>
    <row r="31" ht="17" customHeight="1">
      <c r="B31" s="5" t="inlineStr">
        <is>
          <t>日常生活用具</t>
        </is>
      </c>
      <c r="C31" s="26" t="n">
        <v>1</v>
      </c>
      <c r="D31" s="26" t="n">
        <v>0</v>
      </c>
      <c r="E31" s="26" t="n">
        <v>0</v>
      </c>
      <c r="F31" s="26" t="n">
        <v>0</v>
      </c>
      <c r="G31" s="26" t="n">
        <v>0</v>
      </c>
    </row>
    <row r="32" ht="17" customHeight="1">
      <c r="B32" s="5" t="inlineStr">
        <is>
          <t>利用したいサービスは特にない</t>
        </is>
      </c>
      <c r="C32" s="26" t="n">
        <v>9</v>
      </c>
      <c r="D32" s="26" t="n">
        <v>0</v>
      </c>
      <c r="E32" s="26" t="n">
        <v>2</v>
      </c>
      <c r="F32" s="26" t="n">
        <v>1</v>
      </c>
      <c r="G32" s="26" t="n">
        <v>0</v>
      </c>
    </row>
    <row r="34">
      <c r="B34" s="24" t="inlineStr">
        <is>
          <t>【割合】各区分の回答者数（n）に占める割合（計算式）</t>
        </is>
      </c>
    </row>
    <row r="35" ht="31" customHeight="1">
      <c r="B35" s="3" t="inlineStr">
        <is>
          <t>区分</t>
        </is>
      </c>
      <c r="C35" s="3" t="inlineStr">
        <is>
          <t>身体障がい</t>
        </is>
      </c>
      <c r="D35" s="3" t="inlineStr">
        <is>
          <t>知的障がい</t>
        </is>
      </c>
      <c r="E35" s="3" t="inlineStr">
        <is>
          <t>精神障がい</t>
        </is>
      </c>
      <c r="F35" s="3" t="inlineStr">
        <is>
          <t>発達障がい</t>
        </is>
      </c>
      <c r="G35" s="3" t="inlineStr">
        <is>
          <t>わからない・その他</t>
        </is>
      </c>
    </row>
    <row r="36" ht="17" customHeight="1">
      <c r="B36" s="5" t="inlineStr">
        <is>
          <t>居宅介護（ホームヘルプ）</t>
        </is>
      </c>
      <c r="C36" s="27">
        <f>IF($C$18=0,0,$C$19/$C$18)</f>
        <v>0.115384615384615</v>
      </c>
      <c r="D36" s="27">
        <f>IF($D$18=0,0,$D$19/$D$18)</f>
        <v>0</v>
      </c>
      <c r="E36" s="27">
        <f>IF($E$18=0,0,$E$19/$E$18)</f>
        <v>0</v>
      </c>
      <c r="F36" s="27">
        <f>IF($F$18=0,0,$F$19/$F$18)</f>
        <v>0</v>
      </c>
      <c r="G36" s="27">
        <f>IF($G$18=0,0,$G$19/$G$18)</f>
        <v>0</v>
      </c>
    </row>
    <row r="37" ht="17" customHeight="1">
      <c r="B37" s="5" t="inlineStr">
        <is>
          <t>同行援護・行動援護</t>
        </is>
      </c>
      <c r="C37" s="27">
        <f>IF($C$18=0,0,$C$20/$C$18)</f>
        <v>0.0384615384615385</v>
      </c>
      <c r="D37" s="27">
        <f>IF($D$18=0,0,$D$20/$D$18)</f>
        <v>0</v>
      </c>
      <c r="E37" s="27">
        <f>IF($E$18=0,0,$E$20/$E$18)</f>
        <v>0</v>
      </c>
      <c r="F37" s="27">
        <f>IF($F$18=0,0,$F$20/$F$18)</f>
        <v>0</v>
      </c>
      <c r="G37" s="27">
        <f>IF($G$18=0,0,$G$20/$G$18)</f>
        <v>0</v>
      </c>
    </row>
    <row r="38" ht="17" customHeight="1">
      <c r="B38" s="5" t="inlineStr">
        <is>
          <t>生活介護</t>
        </is>
      </c>
      <c r="C38" s="27">
        <f>IF($C$18=0,0,$C$21/$C$18)</f>
        <v>0</v>
      </c>
      <c r="D38" s="27">
        <f>IF($D$18=0,0,$D$21/$D$18)</f>
        <v>1</v>
      </c>
      <c r="E38" s="27">
        <f>IF($E$18=0,0,$E$21/$E$18)</f>
        <v>0.25</v>
      </c>
      <c r="F38" s="27">
        <f>IF($F$18=0,0,$F$21/$F$18)</f>
        <v>0</v>
      </c>
      <c r="G38" s="27">
        <f>IF($G$18=0,0,$G$21/$G$18)</f>
        <v>0</v>
      </c>
    </row>
    <row r="39" ht="17" customHeight="1">
      <c r="B39" s="5" t="inlineStr">
        <is>
          <t>自立訓練</t>
        </is>
      </c>
      <c r="C39" s="27">
        <f>IF($C$18=0,0,$C$22/$C$18)</f>
        <v>0.0384615384615385</v>
      </c>
      <c r="D39" s="27">
        <f>IF($D$18=0,0,$D$22/$D$18)</f>
        <v>0</v>
      </c>
      <c r="E39" s="27">
        <f>IF($E$18=0,0,$E$22/$E$18)</f>
        <v>0</v>
      </c>
      <c r="F39" s="27">
        <f>IF($F$18=0,0,$F$22/$F$18)</f>
        <v>0</v>
      </c>
      <c r="G39" s="27">
        <f>IF($G$18=0,0,$G$22/$G$18)</f>
        <v>0.5</v>
      </c>
    </row>
    <row r="40" ht="17" customHeight="1">
      <c r="B40" s="5" t="inlineStr">
        <is>
          <t>就労移行支援</t>
        </is>
      </c>
      <c r="C40" s="27">
        <f>IF($C$18=0,0,$C$23/$C$18)</f>
        <v>0</v>
      </c>
      <c r="D40" s="27">
        <f>IF($D$18=0,0,$D$23/$D$18)</f>
        <v>0</v>
      </c>
      <c r="E40" s="27">
        <f>IF($E$18=0,0,$E$23/$E$18)</f>
        <v>0</v>
      </c>
      <c r="F40" s="27">
        <f>IF($F$18=0,0,$F$23/$F$18)</f>
        <v>0.333333333333333</v>
      </c>
      <c r="G40" s="27">
        <f>IF($G$18=0,0,$G$23/$G$18)</f>
        <v>0</v>
      </c>
    </row>
    <row r="41" ht="17" customHeight="1">
      <c r="B41" s="5" t="inlineStr">
        <is>
          <t>就労継続支援B型</t>
        </is>
      </c>
      <c r="C41" s="27">
        <f>IF($C$18=0,0,$C$24/$C$18)</f>
        <v>0</v>
      </c>
      <c r="D41" s="27">
        <f>IF($D$18=0,0,$D$24/$D$18)</f>
        <v>0</v>
      </c>
      <c r="E41" s="27">
        <f>IF($E$18=0,0,$E$24/$E$18)</f>
        <v>0</v>
      </c>
      <c r="F41" s="27">
        <f>IF($F$18=0,0,$F$24/$F$18)</f>
        <v>0</v>
      </c>
      <c r="G41" s="27">
        <f>IF($G$18=0,0,$G$24/$G$18)</f>
        <v>0.5</v>
      </c>
    </row>
    <row r="42" ht="17" customHeight="1">
      <c r="B42" s="5" t="inlineStr">
        <is>
          <t>短期入所（ショートステイ）</t>
        </is>
      </c>
      <c r="C42" s="27">
        <f>IF($C$18=0,0,$C$25/$C$18)</f>
        <v>0.115384615384615</v>
      </c>
      <c r="D42" s="27">
        <f>IF($D$18=0,0,$D$25/$D$18)</f>
        <v>0</v>
      </c>
      <c r="E42" s="27">
        <f>IF($E$18=0,0,$E$25/$E$18)</f>
        <v>0</v>
      </c>
      <c r="F42" s="27">
        <f>IF($F$18=0,0,$F$25/$F$18)</f>
        <v>0</v>
      </c>
      <c r="G42" s="27">
        <f>IF($G$18=0,0,$G$25/$G$18)</f>
        <v>0.5</v>
      </c>
    </row>
    <row r="43" ht="17" customHeight="1">
      <c r="B43" s="5" t="inlineStr">
        <is>
          <t>グループホーム</t>
        </is>
      </c>
      <c r="C43" s="27">
        <f>IF($C$18=0,0,$C$26/$C$18)</f>
        <v>0.115384615384615</v>
      </c>
      <c r="D43" s="27">
        <f>IF($D$18=0,0,$D$26/$D$18)</f>
        <v>0</v>
      </c>
      <c r="E43" s="27">
        <f>IF($E$18=0,0,$E$26/$E$18)</f>
        <v>0.25</v>
      </c>
      <c r="F43" s="27">
        <f>IF($F$18=0,0,$F$26/$F$18)</f>
        <v>0</v>
      </c>
      <c r="G43" s="27">
        <f>IF($G$18=0,0,$G$26/$G$18)</f>
        <v>0.5</v>
      </c>
    </row>
    <row r="44" ht="17" customHeight="1">
      <c r="B44" s="5" t="inlineStr">
        <is>
          <t>施設入所支援</t>
        </is>
      </c>
      <c r="C44" s="27">
        <f>IF($C$18=0,0,$C$27/$C$18)</f>
        <v>0.192307692307692</v>
      </c>
      <c r="D44" s="27">
        <f>IF($D$18=0,0,$D$27/$D$18)</f>
        <v>1</v>
      </c>
      <c r="E44" s="27">
        <f>IF($E$18=0,0,$E$27/$E$18)</f>
        <v>0.25</v>
      </c>
      <c r="F44" s="27">
        <f>IF($F$18=0,0,$F$27/$F$18)</f>
        <v>0</v>
      </c>
      <c r="G44" s="27">
        <f>IF($G$18=0,0,$G$27/$G$18)</f>
        <v>0.5</v>
      </c>
    </row>
    <row r="45" ht="17" customHeight="1">
      <c r="B45" s="5" t="inlineStr">
        <is>
          <t>計画相談支援</t>
        </is>
      </c>
      <c r="C45" s="27">
        <f>IF($C$18=0,0,$C$28/$C$18)</f>
        <v>0.0384615384615385</v>
      </c>
      <c r="D45" s="27">
        <f>IF($D$18=0,0,$D$28/$D$18)</f>
        <v>0.5</v>
      </c>
      <c r="E45" s="27">
        <f>IF($E$18=0,0,$E$28/$E$18)</f>
        <v>0</v>
      </c>
      <c r="F45" s="27">
        <f>IF($F$18=0,0,$F$28/$F$18)</f>
        <v>0</v>
      </c>
      <c r="G45" s="27">
        <f>IF($G$18=0,0,$G$28/$G$18)</f>
        <v>0.5</v>
      </c>
    </row>
    <row r="46" ht="17" customHeight="1">
      <c r="B46" s="5" t="inlineStr">
        <is>
          <t>移動支援</t>
        </is>
      </c>
      <c r="C46" s="27">
        <f>IF($C$18=0,0,$C$29/$C$18)</f>
        <v>0</v>
      </c>
      <c r="D46" s="27">
        <f>IF($D$18=0,0,$D$29/$D$18)</f>
        <v>0</v>
      </c>
      <c r="E46" s="27">
        <f>IF($E$18=0,0,$E$29/$E$18)</f>
        <v>0.5</v>
      </c>
      <c r="F46" s="27">
        <f>IF($F$18=0,0,$F$29/$F$18)</f>
        <v>0</v>
      </c>
      <c r="G46" s="27">
        <f>IF($G$18=0,0,$G$29/$G$18)</f>
        <v>0</v>
      </c>
    </row>
    <row r="47" ht="17" customHeight="1">
      <c r="B47" s="5" t="inlineStr">
        <is>
          <t>日中一時支援</t>
        </is>
      </c>
      <c r="C47" s="27">
        <f>IF($C$18=0,0,$C$30/$C$18)</f>
        <v>0.0384615384615385</v>
      </c>
      <c r="D47" s="27">
        <f>IF($D$18=0,0,$D$30/$D$18)</f>
        <v>0</v>
      </c>
      <c r="E47" s="27">
        <f>IF($E$18=0,0,$E$30/$E$18)</f>
        <v>0</v>
      </c>
      <c r="F47" s="27">
        <f>IF($F$18=0,0,$F$30/$F$18)</f>
        <v>0</v>
      </c>
      <c r="G47" s="27">
        <f>IF($G$18=0,0,$G$30/$G$18)</f>
        <v>0</v>
      </c>
    </row>
    <row r="48" ht="17" customHeight="1">
      <c r="B48" s="5" t="inlineStr">
        <is>
          <t>日常生活用具</t>
        </is>
      </c>
      <c r="C48" s="27">
        <f>IF($C$18=0,0,$C$31/$C$18)</f>
        <v>0.0384615384615385</v>
      </c>
      <c r="D48" s="27">
        <f>IF($D$18=0,0,$D$31/$D$18)</f>
        <v>0</v>
      </c>
      <c r="E48" s="27">
        <f>IF($E$18=0,0,$E$31/$E$18)</f>
        <v>0</v>
      </c>
      <c r="F48" s="27">
        <f>IF($F$18=0,0,$F$31/$F$18)</f>
        <v>0</v>
      </c>
      <c r="G48" s="27">
        <f>IF($G$18=0,0,$G$31/$G$18)</f>
        <v>0</v>
      </c>
    </row>
    <row r="49" ht="17" customHeight="1">
      <c r="B49" s="5" t="inlineStr">
        <is>
          <t>利用したいサービスは特にない</t>
        </is>
      </c>
      <c r="C49" s="27">
        <f>IF($C$18=0,0,$C$32/$C$18)</f>
        <v>0.346153846153846</v>
      </c>
      <c r="D49" s="27">
        <f>IF($D$18=0,0,$D$32/$D$18)</f>
        <v>0</v>
      </c>
      <c r="E49" s="27">
        <f>IF($E$18=0,0,$E$32/$E$18)</f>
        <v>0.5</v>
      </c>
      <c r="F49" s="27">
        <f>IF($F$18=0,0,$F$32/$F$18)</f>
        <v>0.333333333333333</v>
      </c>
      <c r="G49" s="27">
        <f>IF($G$18=0,0,$G$32/$G$18)</f>
        <v>0</v>
      </c>
    </row>
    <row r="50" ht="27" customHeight="1">
      <c r="B50" s="12" t="inlineStr">
        <is>
          <t>※色が濃いほど割合が高く、太字は各区分で最も割合が高い項目です（条件付き書式）。回答者のいない障がい種別（難病、高次脳機能障がい、重症心身障がい）及び回答のなかったサービスは省略しています。</t>
        </is>
      </c>
    </row>
    <row r="52" ht="21" customHeight="1">
      <c r="B52" s="7" t="inlineStr">
        <is>
          <t>表4-3　地区 × 外出するときに困ること（問3×問14）</t>
        </is>
      </c>
    </row>
    <row r="53">
      <c r="B53" s="24" t="inlineStr">
        <is>
          <t>【件数】青字のセルが入力値です</t>
        </is>
      </c>
    </row>
    <row r="54" ht="18" customHeight="1">
      <c r="B54" s="3" t="inlineStr">
        <is>
          <t>区分</t>
        </is>
      </c>
      <c r="C54" s="3" t="inlineStr">
        <is>
          <t>北山地区</t>
        </is>
      </c>
      <c r="D54" s="3" t="inlineStr">
        <is>
          <t>大塩地区</t>
        </is>
      </c>
      <c r="E54" s="3" t="inlineStr">
        <is>
          <t>桧原地区</t>
        </is>
      </c>
      <c r="F54" s="3" t="inlineStr">
        <is>
          <t>裏磐梯地区</t>
        </is>
      </c>
      <c r="G54" s="3" t="inlineStr">
        <is>
          <t>その他</t>
        </is>
      </c>
    </row>
    <row r="55">
      <c r="B55" s="20" t="inlineStr">
        <is>
          <t>回答者数（n）</t>
        </is>
      </c>
      <c r="C55" s="25" t="n">
        <v>17</v>
      </c>
      <c r="D55" s="25" t="n">
        <v>7</v>
      </c>
      <c r="E55" s="25" t="n">
        <v>3</v>
      </c>
      <c r="F55" s="25" t="n">
        <v>10</v>
      </c>
      <c r="G55" s="25" t="n">
        <v>1</v>
      </c>
    </row>
    <row r="56" ht="17" customHeight="1">
      <c r="B56" s="5" t="inlineStr">
        <is>
          <t>交通手段が少ない</t>
        </is>
      </c>
      <c r="C56" s="26" t="n">
        <v>2</v>
      </c>
      <c r="D56" s="26" t="n">
        <v>0</v>
      </c>
      <c r="E56" s="26" t="n">
        <v>1</v>
      </c>
      <c r="F56" s="26" t="n">
        <v>2</v>
      </c>
      <c r="G56" s="26" t="n">
        <v>1</v>
      </c>
    </row>
    <row r="57" ht="17" customHeight="1">
      <c r="B57" s="5" t="inlineStr">
        <is>
          <t>家族等の付き添いが必要</t>
        </is>
      </c>
      <c r="C57" s="26" t="n">
        <v>3</v>
      </c>
      <c r="D57" s="26" t="n">
        <v>1</v>
      </c>
      <c r="E57" s="26" t="n">
        <v>0</v>
      </c>
      <c r="F57" s="26" t="n">
        <v>3</v>
      </c>
      <c r="G57" s="26" t="n">
        <v>0</v>
      </c>
    </row>
    <row r="58" ht="17" customHeight="1">
      <c r="B58" s="5" t="inlineStr">
        <is>
          <t>送迎がない</t>
        </is>
      </c>
      <c r="C58" s="26" t="n">
        <v>3</v>
      </c>
      <c r="D58" s="26" t="n">
        <v>1</v>
      </c>
      <c r="E58" s="26" t="n">
        <v>0</v>
      </c>
      <c r="F58" s="26" t="n">
        <v>1</v>
      </c>
      <c r="G58" s="26" t="n">
        <v>0</v>
      </c>
    </row>
    <row r="59" ht="17" customHeight="1">
      <c r="B59" s="5" t="inlineStr">
        <is>
          <t>冬季・積雪時に外出しにくい</t>
        </is>
      </c>
      <c r="C59" s="26" t="n">
        <v>4</v>
      </c>
      <c r="D59" s="26" t="n">
        <v>2</v>
      </c>
      <c r="E59" s="26" t="n">
        <v>1</v>
      </c>
      <c r="F59" s="26" t="n">
        <v>5</v>
      </c>
      <c r="G59" s="26" t="n">
        <v>1</v>
      </c>
    </row>
    <row r="60" ht="17" customHeight="1">
      <c r="B60" s="5" t="inlineStr">
        <is>
          <t>周囲の理解が不安</t>
        </is>
      </c>
      <c r="C60" s="26" t="n">
        <v>1</v>
      </c>
      <c r="D60" s="26" t="n">
        <v>0</v>
      </c>
      <c r="E60" s="26" t="n">
        <v>0</v>
      </c>
      <c r="F60" s="26" t="n">
        <v>1</v>
      </c>
      <c r="G60" s="26" t="n">
        <v>0</v>
      </c>
    </row>
    <row r="61" ht="17" customHeight="1">
      <c r="B61" s="5" t="inlineStr">
        <is>
          <t>体調面が不安</t>
        </is>
      </c>
      <c r="C61" s="26" t="n">
        <v>5</v>
      </c>
      <c r="D61" s="26" t="n">
        <v>2</v>
      </c>
      <c r="E61" s="26" t="n">
        <v>0</v>
      </c>
      <c r="F61" s="26" t="n">
        <v>1</v>
      </c>
      <c r="G61" s="26" t="n">
        <v>0</v>
      </c>
    </row>
    <row r="62" ht="17" customHeight="1">
      <c r="B62" s="5" t="inlineStr">
        <is>
          <t>費用がかかる</t>
        </is>
      </c>
      <c r="C62" s="26" t="n">
        <v>4</v>
      </c>
      <c r="D62" s="26" t="n">
        <v>0</v>
      </c>
      <c r="E62" s="26" t="n">
        <v>0</v>
      </c>
      <c r="F62" s="26" t="n">
        <v>1</v>
      </c>
      <c r="G62" s="26" t="n">
        <v>0</v>
      </c>
    </row>
    <row r="63" ht="17" customHeight="1">
      <c r="B63" s="5" t="inlineStr">
        <is>
          <t>特に困らない</t>
        </is>
      </c>
      <c r="C63" s="26" t="n">
        <v>6</v>
      </c>
      <c r="D63" s="26" t="n">
        <v>3</v>
      </c>
      <c r="E63" s="26" t="n">
        <v>1</v>
      </c>
      <c r="F63" s="26" t="n">
        <v>1</v>
      </c>
      <c r="G63" s="26" t="n">
        <v>0</v>
      </c>
    </row>
    <row r="64" ht="17" customHeight="1">
      <c r="B64" s="5" t="inlineStr">
        <is>
          <t>その他</t>
        </is>
      </c>
      <c r="C64" s="26" t="n">
        <v>0</v>
      </c>
      <c r="D64" s="26" t="n">
        <v>0</v>
      </c>
      <c r="E64" s="26" t="n">
        <v>0</v>
      </c>
      <c r="F64" s="26" t="n">
        <v>1</v>
      </c>
      <c r="G64" s="26" t="n">
        <v>0</v>
      </c>
    </row>
    <row r="66">
      <c r="B66" s="24" t="inlineStr">
        <is>
          <t>【割合】各区分の回答者数（n）に占める割合（計算式）</t>
        </is>
      </c>
    </row>
    <row r="67" ht="18" customHeight="1">
      <c r="B67" s="3" t="inlineStr">
        <is>
          <t>区分</t>
        </is>
      </c>
      <c r="C67" s="3" t="inlineStr">
        <is>
          <t>北山地区</t>
        </is>
      </c>
      <c r="D67" s="3" t="inlineStr">
        <is>
          <t>大塩地区</t>
        </is>
      </c>
      <c r="E67" s="3" t="inlineStr">
        <is>
          <t>桧原地区</t>
        </is>
      </c>
      <c r="F67" s="3" t="inlineStr">
        <is>
          <t>裏磐梯地区</t>
        </is>
      </c>
      <c r="G67" s="3" t="inlineStr">
        <is>
          <t>その他</t>
        </is>
      </c>
    </row>
    <row r="68" ht="17" customHeight="1">
      <c r="B68" s="5" t="inlineStr">
        <is>
          <t>交通手段が少ない</t>
        </is>
      </c>
      <c r="C68" s="27">
        <f>IF($C$55=0,0,$C$56/$C$55)</f>
        <v>0.117647058823529</v>
      </c>
      <c r="D68" s="27">
        <f>IF($D$55=0,0,$D$56/$D$55)</f>
        <v>0</v>
      </c>
      <c r="E68" s="27">
        <f>IF($E$55=0,0,$E$56/$E$55)</f>
        <v>0.333333333333333</v>
      </c>
      <c r="F68" s="27">
        <f>IF($F$55=0,0,$F$56/$F$55)</f>
        <v>0.2</v>
      </c>
      <c r="G68" s="27">
        <f>IF($G$55=0,0,$G$56/$G$55)</f>
        <v>1</v>
      </c>
    </row>
    <row r="69" ht="17" customHeight="1">
      <c r="B69" s="5" t="inlineStr">
        <is>
          <t>家族等の付き添いが必要</t>
        </is>
      </c>
      <c r="C69" s="27">
        <f>IF($C$55=0,0,$C$57/$C$55)</f>
        <v>0.176470588235294</v>
      </c>
      <c r="D69" s="27">
        <f>IF($D$55=0,0,$D$57/$D$55)</f>
        <v>0.142857142857143</v>
      </c>
      <c r="E69" s="27">
        <f>IF($E$55=0,0,$E$57/$E$55)</f>
        <v>0</v>
      </c>
      <c r="F69" s="27">
        <f>IF($F$55=0,0,$F$57/$F$55)</f>
        <v>0.3</v>
      </c>
      <c r="G69" s="27">
        <f>IF($G$55=0,0,$G$57/$G$55)</f>
        <v>0</v>
      </c>
    </row>
    <row r="70" ht="17" customHeight="1">
      <c r="B70" s="5" t="inlineStr">
        <is>
          <t>送迎がない</t>
        </is>
      </c>
      <c r="C70" s="27">
        <f>IF($C$55=0,0,$C$58/$C$55)</f>
        <v>0.176470588235294</v>
      </c>
      <c r="D70" s="27">
        <f>IF($D$55=0,0,$D$58/$D$55)</f>
        <v>0.142857142857143</v>
      </c>
      <c r="E70" s="27">
        <f>IF($E$55=0,0,$E$58/$E$55)</f>
        <v>0</v>
      </c>
      <c r="F70" s="27">
        <f>IF($F$55=0,0,$F$58/$F$55)</f>
        <v>0.1</v>
      </c>
      <c r="G70" s="27">
        <f>IF($G$55=0,0,$G$58/$G$55)</f>
        <v>0</v>
      </c>
    </row>
    <row r="71" ht="17" customHeight="1">
      <c r="B71" s="5" t="inlineStr">
        <is>
          <t>冬季・積雪時に外出しにくい</t>
        </is>
      </c>
      <c r="C71" s="27">
        <f>IF($C$55=0,0,$C$59/$C$55)</f>
        <v>0.235294117647059</v>
      </c>
      <c r="D71" s="27">
        <f>IF($D$55=0,0,$D$59/$D$55)</f>
        <v>0.285714285714286</v>
      </c>
      <c r="E71" s="27">
        <f>IF($E$55=0,0,$E$59/$E$55)</f>
        <v>0.333333333333333</v>
      </c>
      <c r="F71" s="27">
        <f>IF($F$55=0,0,$F$59/$F$55)</f>
        <v>0.5</v>
      </c>
      <c r="G71" s="27">
        <f>IF($G$55=0,0,$G$59/$G$55)</f>
        <v>1</v>
      </c>
    </row>
    <row r="72" ht="17" customHeight="1">
      <c r="B72" s="5" t="inlineStr">
        <is>
          <t>周囲の理解が不安</t>
        </is>
      </c>
      <c r="C72" s="27">
        <f>IF($C$55=0,0,$C$60/$C$55)</f>
        <v>0.0588235294117647</v>
      </c>
      <c r="D72" s="27">
        <f>IF($D$55=0,0,$D$60/$D$55)</f>
        <v>0</v>
      </c>
      <c r="E72" s="27">
        <f>IF($E$55=0,0,$E$60/$E$55)</f>
        <v>0</v>
      </c>
      <c r="F72" s="27">
        <f>IF($F$55=0,0,$F$60/$F$55)</f>
        <v>0.1</v>
      </c>
      <c r="G72" s="27">
        <f>IF($G$55=0,0,$G$60/$G$55)</f>
        <v>0</v>
      </c>
    </row>
    <row r="73" ht="17" customHeight="1">
      <c r="B73" s="5" t="inlineStr">
        <is>
          <t>体調面が不安</t>
        </is>
      </c>
      <c r="C73" s="27">
        <f>IF($C$55=0,0,$C$61/$C$55)</f>
        <v>0.294117647058824</v>
      </c>
      <c r="D73" s="27">
        <f>IF($D$55=0,0,$D$61/$D$55)</f>
        <v>0.285714285714286</v>
      </c>
      <c r="E73" s="27">
        <f>IF($E$55=0,0,$E$61/$E$55)</f>
        <v>0</v>
      </c>
      <c r="F73" s="27">
        <f>IF($F$55=0,0,$F$61/$F$55)</f>
        <v>0.1</v>
      </c>
      <c r="G73" s="27">
        <f>IF($G$55=0,0,$G$61/$G$55)</f>
        <v>0</v>
      </c>
    </row>
    <row r="74" ht="17" customHeight="1">
      <c r="B74" s="5" t="inlineStr">
        <is>
          <t>費用がかかる</t>
        </is>
      </c>
      <c r="C74" s="27">
        <f>IF($C$55=0,0,$C$62/$C$55)</f>
        <v>0.235294117647059</v>
      </c>
      <c r="D74" s="27">
        <f>IF($D$55=0,0,$D$62/$D$55)</f>
        <v>0</v>
      </c>
      <c r="E74" s="27">
        <f>IF($E$55=0,0,$E$62/$E$55)</f>
        <v>0</v>
      </c>
      <c r="F74" s="27">
        <f>IF($F$55=0,0,$F$62/$F$55)</f>
        <v>0.1</v>
      </c>
      <c r="G74" s="27">
        <f>IF($G$55=0,0,$G$62/$G$55)</f>
        <v>0</v>
      </c>
    </row>
    <row r="75" ht="17" customHeight="1">
      <c r="B75" s="5" t="inlineStr">
        <is>
          <t>特に困らない</t>
        </is>
      </c>
      <c r="C75" s="27">
        <f>IF($C$55=0,0,$C$63/$C$55)</f>
        <v>0.352941176470588</v>
      </c>
      <c r="D75" s="27">
        <f>IF($D$55=0,0,$D$63/$D$55)</f>
        <v>0.428571428571429</v>
      </c>
      <c r="E75" s="27">
        <f>IF($E$55=0,0,$E$63/$E$55)</f>
        <v>0.333333333333333</v>
      </c>
      <c r="F75" s="27">
        <f>IF($F$55=0,0,$F$63/$F$55)</f>
        <v>0.1</v>
      </c>
      <c r="G75" s="27">
        <f>IF($G$55=0,0,$G$63/$G$55)</f>
        <v>0</v>
      </c>
    </row>
    <row r="76" ht="17" customHeight="1">
      <c r="B76" s="5" t="inlineStr">
        <is>
          <t>その他</t>
        </is>
      </c>
      <c r="C76" s="27">
        <f>IF($C$55=0,0,$C$64/$C$55)</f>
        <v>0</v>
      </c>
      <c r="D76" s="27">
        <f>IF($D$55=0,0,$D$64/$D$55)</f>
        <v>0</v>
      </c>
      <c r="E76" s="27">
        <f>IF($E$55=0,0,$E$64/$E$55)</f>
        <v>0</v>
      </c>
      <c r="F76" s="27">
        <f>IF($F$55=0,0,$F$64/$F$55)</f>
        <v>0.1</v>
      </c>
      <c r="G76" s="27">
        <f>IF($G$55=0,0,$G$64/$G$55)</f>
        <v>0</v>
      </c>
    </row>
    <row r="77" ht="27" customHeight="1">
      <c r="B77" s="12" t="inlineStr">
        <is>
          <t>※色が濃いほど割合が高く、太字は各区分で最も割合が高い項目です（条件付き書式）。全ての地区で回答のなかった「道路・建物が利用しにくい」は省略しています。</t>
        </is>
      </c>
    </row>
    <row r="79" ht="21" customHeight="1">
      <c r="B79" s="7" t="inlineStr">
        <is>
          <t>図4-1　主な地区別の外出するときに困ること（問3×問14）</t>
        </is>
      </c>
    </row>
    <row r="80"/>
    <row r="81" ht="18" customHeight="1">
      <c r="B81" s="3" t="inlineStr">
        <is>
          <t>区分</t>
        </is>
      </c>
      <c r="C81" s="3" t="str">
        <f>"北山地区（n="&amp;$C$55&amp;"）"</f>
        <v>北山地区（n=17）</v>
      </c>
      <c r="D81" s="3" t="str">
        <f>"大塩地区（n="&amp;$D$55&amp;"）"</f>
        <v>大塩地区（n=7）</v>
      </c>
      <c r="E81" s="3" t="str">
        <f>"裏磐梯地区（n="&amp;$F$55&amp;"）"</f>
        <v>裏磐梯地区（n=10）</v>
      </c>
    </row>
    <row r="82" ht="17" customHeight="1">
      <c r="B82" s="5" t="inlineStr">
        <is>
          <t>冬季・積雪時に外出しにくい</t>
        </is>
      </c>
      <c r="C82" s="18">
        <f>$C$71</f>
        <v>0.235294117647059</v>
      </c>
      <c r="D82" s="18">
        <f>$D$71</f>
        <v>0.285714285714286</v>
      </c>
      <c r="E82" s="18">
        <f>$F$71</f>
        <v>0.5</v>
      </c>
    </row>
    <row r="83" ht="17" customHeight="1">
      <c r="B83" s="5" t="inlineStr">
        <is>
          <t>体調面が不安</t>
        </is>
      </c>
      <c r="C83" s="18">
        <f>$C$73</f>
        <v>0.294117647058824</v>
      </c>
      <c r="D83" s="18">
        <f>$D$73</f>
        <v>0.285714285714286</v>
      </c>
      <c r="E83" s="18">
        <f>$F$73</f>
        <v>0.1</v>
      </c>
    </row>
    <row r="84" ht="17" customHeight="1">
      <c r="B84" s="5" t="inlineStr">
        <is>
          <t>家族等の付き添いが必要</t>
        </is>
      </c>
      <c r="C84" s="18">
        <f>$C$69</f>
        <v>0.176470588235294</v>
      </c>
      <c r="D84" s="18">
        <f>$D$69</f>
        <v>0.142857142857143</v>
      </c>
      <c r="E84" s="18">
        <f>$F$69</f>
        <v>0.3</v>
      </c>
    </row>
    <row r="85" ht="17" customHeight="1">
      <c r="B85" s="5" t="inlineStr">
        <is>
          <t>交通手段が少ない</t>
        </is>
      </c>
      <c r="C85" s="18">
        <f>$C$68</f>
        <v>0.117647058823529</v>
      </c>
      <c r="D85" s="18">
        <f>$D$68</f>
        <v>0</v>
      </c>
      <c r="E85" s="18">
        <f>$F$68</f>
        <v>0.2</v>
      </c>
    </row>
    <row r="86" ht="17" customHeight="1">
      <c r="B86" s="5" t="inlineStr">
        <is>
          <t>送迎がない</t>
        </is>
      </c>
      <c r="C86" s="18">
        <f>$C$70</f>
        <v>0.176470588235294</v>
      </c>
      <c r="D86" s="18">
        <f>$D$70</f>
        <v>0.142857142857143</v>
      </c>
      <c r="E86" s="18">
        <f>$F$70</f>
        <v>0.1</v>
      </c>
    </row>
    <row r="87" ht="17" customHeight="1">
      <c r="B87" s="5" t="inlineStr">
        <is>
          <t>費用がかかる</t>
        </is>
      </c>
      <c r="C87" s="18">
        <f>$C$74</f>
        <v>0.235294117647059</v>
      </c>
      <c r="D87" s="18">
        <f>$D$74</f>
        <v>0</v>
      </c>
      <c r="E87" s="18">
        <f>$F$74</f>
        <v>0.1</v>
      </c>
    </row>
    <row r="88" ht="17" customHeight="1">
      <c r="B88" s="5" t="inlineStr">
        <is>
          <t>特に困らない</t>
        </is>
      </c>
      <c r="C88" s="18">
        <f>$C$75</f>
        <v>0.352941176470588</v>
      </c>
      <c r="D88" s="18">
        <f>$D$75</f>
        <v>0.428571428571429</v>
      </c>
      <c r="E88" s="18">
        <f>$F$75</f>
        <v>0.1</v>
      </c>
    </row>
    <row r="89" ht="27" customHeight="1">
      <c r="B89" s="12" t="inlineStr">
        <is>
          <t>※回答者数の少ない桧原地区（n=3）、その他（n=1）はグラフから省略しています。</t>
        </is>
      </c>
    </row>
    <row r="90"/>
    <row r="91"/>
    <row r="92"/>
    <row r="93"/>
    <row r="94"/>
    <row r="95"/>
    <row r="96"/>
    <row r="97"/>
    <row r="98"/>
    <row r="99"/>
    <row r="100"/>
    <row r="101"/>
    <row r="104" ht="21" customHeight="1">
      <c r="B104" s="7" t="inlineStr">
        <is>
          <t>表4-4　地区 × サービスを利用したいが利用できない理由（問3×問28）</t>
        </is>
      </c>
    </row>
    <row r="105">
      <c r="B105" s="24" t="inlineStr">
        <is>
          <t>【件数】青字のセルが入力値です</t>
        </is>
      </c>
    </row>
    <row r="106" ht="18" customHeight="1">
      <c r="B106" s="3" t="inlineStr">
        <is>
          <t>区分</t>
        </is>
      </c>
      <c r="C106" s="3" t="inlineStr">
        <is>
          <t>北山地区</t>
        </is>
      </c>
      <c r="D106" s="3" t="inlineStr">
        <is>
          <t>大塩地区</t>
        </is>
      </c>
      <c r="E106" s="3" t="inlineStr">
        <is>
          <t>桧原地区</t>
        </is>
      </c>
      <c r="F106" s="3" t="inlineStr">
        <is>
          <t>裏磐梯地区</t>
        </is>
      </c>
      <c r="G106" s="3" t="inlineStr">
        <is>
          <t>その他</t>
        </is>
      </c>
    </row>
    <row r="107">
      <c r="B107" s="20" t="inlineStr">
        <is>
          <t>回答者数（n）</t>
        </is>
      </c>
      <c r="C107" s="25" t="n">
        <v>17</v>
      </c>
      <c r="D107" s="25" t="n">
        <v>7</v>
      </c>
      <c r="E107" s="25" t="n">
        <v>3</v>
      </c>
      <c r="F107" s="25" t="n">
        <v>10</v>
      </c>
      <c r="G107" s="25" t="n">
        <v>1</v>
      </c>
    </row>
    <row r="108" ht="17" customHeight="1">
      <c r="B108" s="5" t="inlineStr">
        <is>
          <t>近くに事業所がない</t>
        </is>
      </c>
      <c r="C108" s="26" t="n">
        <v>2</v>
      </c>
      <c r="D108" s="26" t="n">
        <v>0</v>
      </c>
      <c r="E108" s="26" t="n">
        <v>0</v>
      </c>
      <c r="F108" s="26" t="n">
        <v>1</v>
      </c>
      <c r="G108" s="26" t="n">
        <v>0</v>
      </c>
    </row>
    <row r="109" ht="17" customHeight="1">
      <c r="B109" s="5" t="inlineStr">
        <is>
          <t>空きがない</t>
        </is>
      </c>
      <c r="C109" s="26" t="n">
        <v>1</v>
      </c>
      <c r="D109" s="26" t="n">
        <v>0</v>
      </c>
      <c r="E109" s="26" t="n">
        <v>0</v>
      </c>
      <c r="F109" s="26" t="n">
        <v>0</v>
      </c>
      <c r="G109" s="26" t="n">
        <v>0</v>
      </c>
    </row>
    <row r="110" ht="17" customHeight="1">
      <c r="B110" s="5" t="inlineStr">
        <is>
          <t>送迎がない</t>
        </is>
      </c>
      <c r="C110" s="26" t="n">
        <v>0</v>
      </c>
      <c r="D110" s="26" t="n">
        <v>0</v>
      </c>
      <c r="E110" s="26" t="n">
        <v>0</v>
      </c>
      <c r="F110" s="26" t="n">
        <v>1</v>
      </c>
      <c r="G110" s="26" t="n">
        <v>0</v>
      </c>
    </row>
    <row r="111" ht="17" customHeight="1">
      <c r="B111" s="5" t="inlineStr">
        <is>
          <t>利用方法がわからない</t>
        </is>
      </c>
      <c r="C111" s="26" t="n">
        <v>2</v>
      </c>
      <c r="D111" s="26" t="n">
        <v>1</v>
      </c>
      <c r="E111" s="26" t="n">
        <v>0</v>
      </c>
      <c r="F111" s="26" t="n">
        <v>0</v>
      </c>
      <c r="G111" s="26" t="n">
        <v>0</v>
      </c>
    </row>
    <row r="112" ht="17" customHeight="1">
      <c r="B112" s="5" t="inlineStr">
        <is>
          <t>費用が心配</t>
        </is>
      </c>
      <c r="C112" s="26" t="n">
        <v>2</v>
      </c>
      <c r="D112" s="26" t="n">
        <v>1</v>
      </c>
      <c r="E112" s="26" t="n">
        <v>1</v>
      </c>
      <c r="F112" s="26" t="n">
        <v>0</v>
      </c>
      <c r="G112" s="26" t="n">
        <v>0</v>
      </c>
    </row>
    <row r="113" ht="17" customHeight="1">
      <c r="B113" s="5" t="inlineStr">
        <is>
          <t>本人に合うサービスがない</t>
        </is>
      </c>
      <c r="C113" s="26" t="n">
        <v>0</v>
      </c>
      <c r="D113" s="26" t="n">
        <v>0</v>
      </c>
      <c r="E113" s="26" t="n">
        <v>0</v>
      </c>
      <c r="F113" s="26" t="n">
        <v>1</v>
      </c>
      <c r="G113" s="26" t="n">
        <v>0</v>
      </c>
    </row>
    <row r="114" ht="17" customHeight="1">
      <c r="B114" s="5" t="inlineStr">
        <is>
          <t>家族が対応している</t>
        </is>
      </c>
      <c r="C114" s="26" t="n">
        <v>3</v>
      </c>
      <c r="D114" s="26" t="n">
        <v>2</v>
      </c>
      <c r="E114" s="26" t="n">
        <v>0</v>
      </c>
      <c r="F114" s="26" t="n">
        <v>1</v>
      </c>
      <c r="G114" s="26" t="n">
        <v>0</v>
      </c>
    </row>
    <row r="115" ht="17" customHeight="1">
      <c r="B115" s="5" t="inlineStr">
        <is>
          <t>必要性を感じない</t>
        </is>
      </c>
      <c r="C115" s="26" t="n">
        <v>7</v>
      </c>
      <c r="D115" s="26" t="n">
        <v>2</v>
      </c>
      <c r="E115" s="26" t="n">
        <v>0</v>
      </c>
      <c r="F115" s="26" t="n">
        <v>1</v>
      </c>
      <c r="G115" s="26" t="n">
        <v>1</v>
      </c>
    </row>
    <row r="116" ht="17" customHeight="1">
      <c r="B116" s="5" t="inlineStr">
        <is>
          <t>その他</t>
        </is>
      </c>
      <c r="C116" s="26" t="n">
        <v>0</v>
      </c>
      <c r="D116" s="26" t="n">
        <v>0</v>
      </c>
      <c r="E116" s="26" t="n">
        <v>0</v>
      </c>
      <c r="F116" s="26" t="n">
        <v>1</v>
      </c>
      <c r="G116" s="26" t="n">
        <v>0</v>
      </c>
    </row>
    <row r="118">
      <c r="B118" s="24" t="inlineStr">
        <is>
          <t>【割合】各区分の回答者数（n）に占める割合（計算式）</t>
        </is>
      </c>
    </row>
    <row r="119" ht="18" customHeight="1">
      <c r="B119" s="3" t="inlineStr">
        <is>
          <t>区分</t>
        </is>
      </c>
      <c r="C119" s="3" t="inlineStr">
        <is>
          <t>北山地区</t>
        </is>
      </c>
      <c r="D119" s="3" t="inlineStr">
        <is>
          <t>大塩地区</t>
        </is>
      </c>
      <c r="E119" s="3" t="inlineStr">
        <is>
          <t>桧原地区</t>
        </is>
      </c>
      <c r="F119" s="3" t="inlineStr">
        <is>
          <t>裏磐梯地区</t>
        </is>
      </c>
      <c r="G119" s="3" t="inlineStr">
        <is>
          <t>その他</t>
        </is>
      </c>
    </row>
    <row r="120" ht="17" customHeight="1">
      <c r="B120" s="5" t="inlineStr">
        <is>
          <t>近くに事業所がない</t>
        </is>
      </c>
      <c r="C120" s="27">
        <f>IF($C$107=0,0,$C$108/$C$107)</f>
        <v>0.117647058823529</v>
      </c>
      <c r="D120" s="27">
        <f>IF($D$107=0,0,$D$108/$D$107)</f>
        <v>0</v>
      </c>
      <c r="E120" s="27">
        <f>IF($E$107=0,0,$E$108/$E$107)</f>
        <v>0</v>
      </c>
      <c r="F120" s="27">
        <f>IF($F$107=0,0,$F$108/$F$107)</f>
        <v>0.1</v>
      </c>
      <c r="G120" s="27">
        <f>IF($G$107=0,0,$G$108/$G$107)</f>
        <v>0</v>
      </c>
    </row>
    <row r="121" ht="17" customHeight="1">
      <c r="B121" s="5" t="inlineStr">
        <is>
          <t>空きがない</t>
        </is>
      </c>
      <c r="C121" s="27">
        <f>IF($C$107=0,0,$C$109/$C$107)</f>
        <v>0.0588235294117647</v>
      </c>
      <c r="D121" s="27">
        <f>IF($D$107=0,0,$D$109/$D$107)</f>
        <v>0</v>
      </c>
      <c r="E121" s="27">
        <f>IF($E$107=0,0,$E$109/$E$107)</f>
        <v>0</v>
      </c>
      <c r="F121" s="27">
        <f>IF($F$107=0,0,$F$109/$F$107)</f>
        <v>0</v>
      </c>
      <c r="G121" s="27">
        <f>IF($G$107=0,0,$G$109/$G$107)</f>
        <v>0</v>
      </c>
    </row>
    <row r="122" ht="17" customHeight="1">
      <c r="B122" s="5" t="inlineStr">
        <is>
          <t>送迎がない</t>
        </is>
      </c>
      <c r="C122" s="27">
        <f>IF($C$107=0,0,$C$110/$C$107)</f>
        <v>0</v>
      </c>
      <c r="D122" s="27">
        <f>IF($D$107=0,0,$D$110/$D$107)</f>
        <v>0</v>
      </c>
      <c r="E122" s="27">
        <f>IF($E$107=0,0,$E$110/$E$107)</f>
        <v>0</v>
      </c>
      <c r="F122" s="27">
        <f>IF($F$107=0,0,$F$110/$F$107)</f>
        <v>0.1</v>
      </c>
      <c r="G122" s="27">
        <f>IF($G$107=0,0,$G$110/$G$107)</f>
        <v>0</v>
      </c>
    </row>
    <row r="123" ht="17" customHeight="1">
      <c r="B123" s="5" t="inlineStr">
        <is>
          <t>利用方法がわからない</t>
        </is>
      </c>
      <c r="C123" s="27">
        <f>IF($C$107=0,0,$C$111/$C$107)</f>
        <v>0.117647058823529</v>
      </c>
      <c r="D123" s="27">
        <f>IF($D$107=0,0,$D$111/$D$107)</f>
        <v>0.142857142857143</v>
      </c>
      <c r="E123" s="27">
        <f>IF($E$107=0,0,$E$111/$E$107)</f>
        <v>0</v>
      </c>
      <c r="F123" s="27">
        <f>IF($F$107=0,0,$F$111/$F$107)</f>
        <v>0</v>
      </c>
      <c r="G123" s="27">
        <f>IF($G$107=0,0,$G$111/$G$107)</f>
        <v>0</v>
      </c>
    </row>
    <row r="124" ht="17" customHeight="1">
      <c r="B124" s="5" t="inlineStr">
        <is>
          <t>費用が心配</t>
        </is>
      </c>
      <c r="C124" s="27">
        <f>IF($C$107=0,0,$C$112/$C$107)</f>
        <v>0.117647058823529</v>
      </c>
      <c r="D124" s="27">
        <f>IF($D$107=0,0,$D$112/$D$107)</f>
        <v>0.142857142857143</v>
      </c>
      <c r="E124" s="27">
        <f>IF($E$107=0,0,$E$112/$E$107)</f>
        <v>0.333333333333333</v>
      </c>
      <c r="F124" s="27">
        <f>IF($F$107=0,0,$F$112/$F$107)</f>
        <v>0</v>
      </c>
      <c r="G124" s="27">
        <f>IF($G$107=0,0,$G$112/$G$107)</f>
        <v>0</v>
      </c>
    </row>
    <row r="125" ht="17" customHeight="1">
      <c r="B125" s="5" t="inlineStr">
        <is>
          <t>本人に合うサービスがない</t>
        </is>
      </c>
      <c r="C125" s="27">
        <f>IF($C$107=0,0,$C$113/$C$107)</f>
        <v>0</v>
      </c>
      <c r="D125" s="27">
        <f>IF($D$107=0,0,$D$113/$D$107)</f>
        <v>0</v>
      </c>
      <c r="E125" s="27">
        <f>IF($E$107=0,0,$E$113/$E$107)</f>
        <v>0</v>
      </c>
      <c r="F125" s="27">
        <f>IF($F$107=0,0,$F$113/$F$107)</f>
        <v>0.1</v>
      </c>
      <c r="G125" s="27">
        <f>IF($G$107=0,0,$G$113/$G$107)</f>
        <v>0</v>
      </c>
    </row>
    <row r="126" ht="17" customHeight="1">
      <c r="B126" s="5" t="inlineStr">
        <is>
          <t>家族が対応している</t>
        </is>
      </c>
      <c r="C126" s="27">
        <f>IF($C$107=0,0,$C$114/$C$107)</f>
        <v>0.176470588235294</v>
      </c>
      <c r="D126" s="27">
        <f>IF($D$107=0,0,$D$114/$D$107)</f>
        <v>0.285714285714286</v>
      </c>
      <c r="E126" s="27">
        <f>IF($E$107=0,0,$E$114/$E$107)</f>
        <v>0</v>
      </c>
      <c r="F126" s="27">
        <f>IF($F$107=0,0,$F$114/$F$107)</f>
        <v>0.1</v>
      </c>
      <c r="G126" s="27">
        <f>IF($G$107=0,0,$G$114/$G$107)</f>
        <v>0</v>
      </c>
    </row>
    <row r="127" ht="17" customHeight="1">
      <c r="B127" s="5" t="inlineStr">
        <is>
          <t>必要性を感じない</t>
        </is>
      </c>
      <c r="C127" s="27">
        <f>IF($C$107=0,0,$C$115/$C$107)</f>
        <v>0.411764705882353</v>
      </c>
      <c r="D127" s="27">
        <f>IF($D$107=0,0,$D$115/$D$107)</f>
        <v>0.285714285714286</v>
      </c>
      <c r="E127" s="27">
        <f>IF($E$107=0,0,$E$115/$E$107)</f>
        <v>0</v>
      </c>
      <c r="F127" s="27">
        <f>IF($F$107=0,0,$F$115/$F$107)</f>
        <v>0.1</v>
      </c>
      <c r="G127" s="27">
        <f>IF($G$107=0,0,$G$115/$G$107)</f>
        <v>1</v>
      </c>
    </row>
    <row r="128" ht="17" customHeight="1">
      <c r="B128" s="5" t="inlineStr">
        <is>
          <t>その他</t>
        </is>
      </c>
      <c r="C128" s="27">
        <f>IF($C$107=0,0,$C$116/$C$107)</f>
        <v>0</v>
      </c>
      <c r="D128" s="27">
        <f>IF($D$107=0,0,$D$116/$D$107)</f>
        <v>0</v>
      </c>
      <c r="E128" s="27">
        <f>IF($E$107=0,0,$E$116/$E$107)</f>
        <v>0</v>
      </c>
      <c r="F128" s="27">
        <f>IF($F$107=0,0,$F$116/$F$107)</f>
        <v>0.1</v>
      </c>
      <c r="G128" s="27">
        <f>IF($G$107=0,0,$G$116/$G$107)</f>
        <v>0</v>
      </c>
    </row>
    <row r="129" ht="15" customHeight="1">
      <c r="B129" s="12" t="inlineStr">
        <is>
          <t>※色が濃いほど割合が高く、太字は各区分で最も割合が高い項目です（条件付き書式）。</t>
        </is>
      </c>
    </row>
    <row r="131" ht="21" customHeight="1">
      <c r="B131" s="7" t="inlineStr">
        <is>
          <t>表4-5　現在の暮らしの場 × 将来希望する暮らし方（問7×問11）</t>
        </is>
      </c>
    </row>
    <row r="132">
      <c r="B132" s="24" t="inlineStr">
        <is>
          <t>【件数】青字のセルが入力値です</t>
        </is>
      </c>
    </row>
    <row r="133" ht="44" customHeight="1">
      <c r="B133" s="3" t="inlineStr">
        <is>
          <t>区分</t>
        </is>
      </c>
      <c r="C133" s="3" t="inlineStr">
        <is>
          <t>自宅
（家族と同居）</t>
        </is>
      </c>
      <c r="D133" s="3" t="inlineStr">
        <is>
          <t>自宅
（一人暮らし）</t>
        </is>
      </c>
      <c r="E133" s="3" t="inlineStr">
        <is>
          <t>グループ
ホーム</t>
        </is>
      </c>
      <c r="F133" s="3" t="inlineStr">
        <is>
          <t>障がい者
支援施設</t>
        </is>
      </c>
      <c r="G133" s="3" t="inlineStr">
        <is>
          <t>病院に
入院中</t>
        </is>
      </c>
      <c r="H133" s="3" t="inlineStr">
        <is>
          <t>高齢者
施設等</t>
        </is>
      </c>
    </row>
    <row r="134">
      <c r="B134" s="20" t="inlineStr">
        <is>
          <t>回答者数（n）</t>
        </is>
      </c>
      <c r="C134" s="25" t="n">
        <v>24</v>
      </c>
      <c r="D134" s="25" t="n">
        <v>6</v>
      </c>
      <c r="E134" s="25" t="n">
        <v>3</v>
      </c>
      <c r="F134" s="25" t="n">
        <v>2</v>
      </c>
      <c r="G134" s="25" t="n">
        <v>1</v>
      </c>
      <c r="H134" s="25" t="n">
        <v>1</v>
      </c>
    </row>
    <row r="135" ht="17" customHeight="1">
      <c r="B135" s="5" t="inlineStr">
        <is>
          <t>今の自宅で暮らしたい</t>
        </is>
      </c>
      <c r="C135" s="26" t="n">
        <v>13</v>
      </c>
      <c r="D135" s="26" t="n">
        <v>2</v>
      </c>
      <c r="E135" s="26" t="n">
        <v>0</v>
      </c>
      <c r="F135" s="26" t="n">
        <v>0</v>
      </c>
      <c r="G135" s="26" t="n">
        <v>0</v>
      </c>
      <c r="H135" s="26" t="n">
        <v>0</v>
      </c>
    </row>
    <row r="136" ht="17" customHeight="1">
      <c r="B136" s="5" t="inlineStr">
        <is>
          <t>家族と一緒に暮らしたい</t>
        </is>
      </c>
      <c r="C136" s="26" t="n">
        <v>4</v>
      </c>
      <c r="D136" s="26" t="n">
        <v>0</v>
      </c>
      <c r="E136" s="26" t="n">
        <v>1</v>
      </c>
      <c r="F136" s="26" t="n">
        <v>0</v>
      </c>
      <c r="G136" s="26" t="n">
        <v>0</v>
      </c>
      <c r="H136" s="26" t="n">
        <v>0</v>
      </c>
    </row>
    <row r="137" ht="17" customHeight="1">
      <c r="B137" s="5" t="inlineStr">
        <is>
          <t>一人暮らしをしたい</t>
        </is>
      </c>
      <c r="C137" s="26" t="n">
        <v>1</v>
      </c>
      <c r="D137" s="26" t="n">
        <v>1</v>
      </c>
      <c r="E137" s="26" t="n">
        <v>0</v>
      </c>
      <c r="F137" s="26" t="n">
        <v>0</v>
      </c>
      <c r="G137" s="26" t="n">
        <v>0</v>
      </c>
      <c r="H137" s="26" t="n">
        <v>0</v>
      </c>
    </row>
    <row r="138" ht="17" customHeight="1">
      <c r="B138" s="5" t="inlineStr">
        <is>
          <t>グループホームで暮らしたい</t>
        </is>
      </c>
      <c r="C138" s="26" t="n">
        <v>0</v>
      </c>
      <c r="D138" s="26" t="n">
        <v>0</v>
      </c>
      <c r="E138" s="26" t="n">
        <v>2</v>
      </c>
      <c r="F138" s="26" t="n">
        <v>0</v>
      </c>
      <c r="G138" s="26" t="n">
        <v>0</v>
      </c>
      <c r="H138" s="26" t="n">
        <v>0</v>
      </c>
    </row>
    <row r="139" ht="17" customHeight="1">
      <c r="B139" s="5" t="inlineStr">
        <is>
          <t>施設で暮らしたい</t>
        </is>
      </c>
      <c r="C139" s="26" t="n">
        <v>0</v>
      </c>
      <c r="D139" s="26" t="n">
        <v>1</v>
      </c>
      <c r="E139" s="26" t="n">
        <v>0</v>
      </c>
      <c r="F139" s="26" t="n">
        <v>1</v>
      </c>
      <c r="G139" s="26" t="n">
        <v>1</v>
      </c>
      <c r="H139" s="26" t="n">
        <v>1</v>
      </c>
    </row>
    <row r="140" ht="17" customHeight="1">
      <c r="B140" s="5" t="inlineStr">
        <is>
          <t>病院・施設から地域で暮らしたい</t>
        </is>
      </c>
      <c r="C140" s="26" t="n">
        <v>0</v>
      </c>
      <c r="D140" s="26" t="n">
        <v>0</v>
      </c>
      <c r="E140" s="26" t="n">
        <v>0</v>
      </c>
      <c r="F140" s="26" t="n">
        <v>0</v>
      </c>
      <c r="G140" s="26" t="n">
        <v>0</v>
      </c>
      <c r="H140" s="26" t="n">
        <v>0</v>
      </c>
    </row>
    <row r="141" ht="17" customHeight="1">
      <c r="B141" s="5" t="inlineStr">
        <is>
          <t>まだわからない</t>
        </is>
      </c>
      <c r="C141" s="26" t="n">
        <v>4</v>
      </c>
      <c r="D141" s="26" t="n">
        <v>1</v>
      </c>
      <c r="E141" s="26" t="n">
        <v>0</v>
      </c>
      <c r="F141" s="26" t="n">
        <v>1</v>
      </c>
      <c r="G141" s="26" t="n">
        <v>0</v>
      </c>
      <c r="H141" s="26" t="n">
        <v>0</v>
      </c>
    </row>
    <row r="142" ht="17" customHeight="1">
      <c r="B142" s="5" t="inlineStr">
        <is>
          <t>その他</t>
        </is>
      </c>
      <c r="C142" s="26" t="n">
        <v>1</v>
      </c>
      <c r="D142" s="26" t="n">
        <v>0</v>
      </c>
      <c r="E142" s="26" t="n">
        <v>0</v>
      </c>
      <c r="F142" s="26" t="n">
        <v>0</v>
      </c>
      <c r="G142" s="26" t="n">
        <v>0</v>
      </c>
      <c r="H142" s="26" t="n">
        <v>0</v>
      </c>
    </row>
    <row r="144">
      <c r="B144" s="24" t="inlineStr">
        <is>
          <t>【割合】各区分の回答者数（n）に占める割合（計算式）</t>
        </is>
      </c>
    </row>
    <row r="145" ht="44" customHeight="1">
      <c r="B145" s="3" t="inlineStr">
        <is>
          <t>区分</t>
        </is>
      </c>
      <c r="C145" s="3" t="inlineStr">
        <is>
          <t>自宅
（家族と同居）</t>
        </is>
      </c>
      <c r="D145" s="3" t="inlineStr">
        <is>
          <t>自宅
（一人暮らし）</t>
        </is>
      </c>
      <c r="E145" s="3" t="inlineStr">
        <is>
          <t>グループ
ホーム</t>
        </is>
      </c>
      <c r="F145" s="3" t="inlineStr">
        <is>
          <t>障がい者
支援施設</t>
        </is>
      </c>
      <c r="G145" s="3" t="inlineStr">
        <is>
          <t>病院に
入院中</t>
        </is>
      </c>
      <c r="H145" s="3" t="inlineStr">
        <is>
          <t>高齢者
施設等</t>
        </is>
      </c>
    </row>
    <row r="146" ht="17" customHeight="1">
      <c r="B146" s="5" t="inlineStr">
        <is>
          <t>今の自宅で暮らしたい</t>
        </is>
      </c>
      <c r="C146" s="27">
        <f>IF($C$134=0,0,$C$135/$C$134)</f>
        <v>0.541666666666667</v>
      </c>
      <c r="D146" s="27">
        <f>IF($D$134=0,0,$D$135/$D$134)</f>
        <v>0.333333333333333</v>
      </c>
      <c r="E146" s="27">
        <f>IF($E$134=0,0,$E$135/$E$134)</f>
        <v>0</v>
      </c>
      <c r="F146" s="27">
        <f>IF($F$134=0,0,$F$135/$F$134)</f>
        <v>0</v>
      </c>
      <c r="G146" s="27">
        <f>IF($G$134=0,0,$G$135/$G$134)</f>
        <v>0</v>
      </c>
      <c r="H146" s="27">
        <f>IF($H$134=0,0,$H$135/$H$134)</f>
        <v>0</v>
      </c>
    </row>
    <row r="147" ht="17" customHeight="1">
      <c r="B147" s="5" t="inlineStr">
        <is>
          <t>家族と一緒に暮らしたい</t>
        </is>
      </c>
      <c r="C147" s="27">
        <f>IF($C$134=0,0,$C$136/$C$134)</f>
        <v>0.166666666666667</v>
      </c>
      <c r="D147" s="27">
        <f>IF($D$134=0,0,$D$136/$D$134)</f>
        <v>0</v>
      </c>
      <c r="E147" s="27">
        <f>IF($E$134=0,0,$E$136/$E$134)</f>
        <v>0.333333333333333</v>
      </c>
      <c r="F147" s="27">
        <f>IF($F$134=0,0,$F$136/$F$134)</f>
        <v>0</v>
      </c>
      <c r="G147" s="27">
        <f>IF($G$134=0,0,$G$136/$G$134)</f>
        <v>0</v>
      </c>
      <c r="H147" s="27">
        <f>IF($H$134=0,0,$H$136/$H$134)</f>
        <v>0</v>
      </c>
    </row>
    <row r="148" ht="17" customHeight="1">
      <c r="B148" s="5" t="inlineStr">
        <is>
          <t>一人暮らしをしたい</t>
        </is>
      </c>
      <c r="C148" s="27">
        <f>IF($C$134=0,0,$C$137/$C$134)</f>
        <v>0.0416666666666667</v>
      </c>
      <c r="D148" s="27">
        <f>IF($D$134=0,0,$D$137/$D$134)</f>
        <v>0.166666666666667</v>
      </c>
      <c r="E148" s="27">
        <f>IF($E$134=0,0,$E$137/$E$134)</f>
        <v>0</v>
      </c>
      <c r="F148" s="27">
        <f>IF($F$134=0,0,$F$137/$F$134)</f>
        <v>0</v>
      </c>
      <c r="G148" s="27">
        <f>IF($G$134=0,0,$G$137/$G$134)</f>
        <v>0</v>
      </c>
      <c r="H148" s="27">
        <f>IF($H$134=0,0,$H$137/$H$134)</f>
        <v>0</v>
      </c>
    </row>
    <row r="149" ht="17" customHeight="1">
      <c r="B149" s="5" t="inlineStr">
        <is>
          <t>グループホームで暮らしたい</t>
        </is>
      </c>
      <c r="C149" s="27">
        <f>IF($C$134=0,0,$C$138/$C$134)</f>
        <v>0</v>
      </c>
      <c r="D149" s="27">
        <f>IF($D$134=0,0,$D$138/$D$134)</f>
        <v>0</v>
      </c>
      <c r="E149" s="27">
        <f>IF($E$134=0,0,$E$138/$E$134)</f>
        <v>0.666666666666667</v>
      </c>
      <c r="F149" s="27">
        <f>IF($F$134=0,0,$F$138/$F$134)</f>
        <v>0</v>
      </c>
      <c r="G149" s="27">
        <f>IF($G$134=0,0,$G$138/$G$134)</f>
        <v>0</v>
      </c>
      <c r="H149" s="27">
        <f>IF($H$134=0,0,$H$138/$H$134)</f>
        <v>0</v>
      </c>
    </row>
    <row r="150" ht="17" customHeight="1">
      <c r="B150" s="5" t="inlineStr">
        <is>
          <t>施設で暮らしたい</t>
        </is>
      </c>
      <c r="C150" s="27">
        <f>IF($C$134=0,0,$C$139/$C$134)</f>
        <v>0</v>
      </c>
      <c r="D150" s="27">
        <f>IF($D$134=0,0,$D$139/$D$134)</f>
        <v>0.166666666666667</v>
      </c>
      <c r="E150" s="27">
        <f>IF($E$134=0,0,$E$139/$E$134)</f>
        <v>0</v>
      </c>
      <c r="F150" s="27">
        <f>IF($F$134=0,0,$F$139/$F$134)</f>
        <v>0.5</v>
      </c>
      <c r="G150" s="27">
        <f>IF($G$134=0,0,$G$139/$G$134)</f>
        <v>1</v>
      </c>
      <c r="H150" s="27">
        <f>IF($H$134=0,0,$H$139/$H$134)</f>
        <v>1</v>
      </c>
    </row>
    <row r="151" ht="17" customHeight="1">
      <c r="B151" s="5" t="inlineStr">
        <is>
          <t>病院・施設から地域で暮らしたい</t>
        </is>
      </c>
      <c r="C151" s="27">
        <f>IF($C$134=0,0,$C$140/$C$134)</f>
        <v>0</v>
      </c>
      <c r="D151" s="27">
        <f>IF($D$134=0,0,$D$140/$D$134)</f>
        <v>0</v>
      </c>
      <c r="E151" s="27">
        <f>IF($E$134=0,0,$E$140/$E$134)</f>
        <v>0</v>
      </c>
      <c r="F151" s="27">
        <f>IF($F$134=0,0,$F$140/$F$134)</f>
        <v>0</v>
      </c>
      <c r="G151" s="27">
        <f>IF($G$134=0,0,$G$140/$G$134)</f>
        <v>0</v>
      </c>
      <c r="H151" s="27">
        <f>IF($H$134=0,0,$H$140/$H$134)</f>
        <v>0</v>
      </c>
    </row>
    <row r="152" ht="17" customHeight="1">
      <c r="B152" s="5" t="inlineStr">
        <is>
          <t>まだわからない</t>
        </is>
      </c>
      <c r="C152" s="27">
        <f>IF($C$134=0,0,$C$141/$C$134)</f>
        <v>0.166666666666667</v>
      </c>
      <c r="D152" s="27">
        <f>IF($D$134=0,0,$D$141/$D$134)</f>
        <v>0.166666666666667</v>
      </c>
      <c r="E152" s="27">
        <f>IF($E$134=0,0,$E$141/$E$134)</f>
        <v>0</v>
      </c>
      <c r="F152" s="27">
        <f>IF($F$134=0,0,$F$141/$F$134)</f>
        <v>0.5</v>
      </c>
      <c r="G152" s="27">
        <f>IF($G$134=0,0,$G$141/$G$134)</f>
        <v>0</v>
      </c>
      <c r="H152" s="27">
        <f>IF($H$134=0,0,$H$141/$H$134)</f>
        <v>0</v>
      </c>
    </row>
    <row r="153" ht="17" customHeight="1">
      <c r="B153" s="5" t="inlineStr">
        <is>
          <t>その他</t>
        </is>
      </c>
      <c r="C153" s="27">
        <f>IF($C$134=0,0,$C$142/$C$134)</f>
        <v>0.0416666666666667</v>
      </c>
      <c r="D153" s="27">
        <f>IF($D$134=0,0,$D$142/$D$134)</f>
        <v>0</v>
      </c>
      <c r="E153" s="27">
        <f>IF($E$134=0,0,$E$142/$E$134)</f>
        <v>0</v>
      </c>
      <c r="F153" s="27">
        <f>IF($F$134=0,0,$F$142/$F$134)</f>
        <v>0</v>
      </c>
      <c r="G153" s="27">
        <f>IF($G$134=0,0,$G$142/$G$134)</f>
        <v>0</v>
      </c>
      <c r="H153" s="27">
        <f>IF($H$134=0,0,$H$142/$H$134)</f>
        <v>0</v>
      </c>
    </row>
    <row r="154" ht="27" customHeight="1">
      <c r="B154" s="12" t="inlineStr">
        <is>
          <t>※色が濃いほど割合が高く、太字は各区分で最も割合が高い項目です（条件付き書式）。無回答があるため、各区分の割合の合計は100％にならない場合があります。</t>
        </is>
      </c>
    </row>
    <row r="156" ht="21" customHeight="1">
      <c r="B156" s="7" t="inlineStr">
        <is>
          <t>図4-2　現在の暮らしの場別にみた将来希望する暮らし方（問7×問11）</t>
        </is>
      </c>
    </row>
    <row r="157"/>
    <row r="158" ht="44" customHeight="1">
      <c r="B158" s="3" t="inlineStr">
        <is>
          <t>区分</t>
        </is>
      </c>
      <c r="C158" s="3" t="inlineStr">
        <is>
          <t>今の自宅で暮らしたい</t>
        </is>
      </c>
      <c r="D158" s="3" t="inlineStr">
        <is>
          <t>家族と一緒に暮らしたい</t>
        </is>
      </c>
      <c r="E158" s="3" t="inlineStr">
        <is>
          <t>一人暮らしをしたい</t>
        </is>
      </c>
      <c r="F158" s="3" t="inlineStr">
        <is>
          <t>グループホームで暮らしたい</t>
        </is>
      </c>
      <c r="G158" s="3" t="inlineStr">
        <is>
          <t>施設で暮らしたい</t>
        </is>
      </c>
      <c r="H158" s="3" t="inlineStr">
        <is>
          <t>病院・施設から地域で暮らしたい</t>
        </is>
      </c>
      <c r="I158" s="3" t="inlineStr">
        <is>
          <t>まだわからない</t>
        </is>
      </c>
      <c r="J158" s="3" t="inlineStr">
        <is>
          <t>その他</t>
        </is>
      </c>
      <c r="K158" s="3" t="inlineStr">
        <is>
          <t>無回答</t>
        </is>
      </c>
    </row>
    <row r="159" ht="17" customHeight="1">
      <c r="B159" s="5" t="inlineStr">
        <is>
          <t>自宅で家族と暮らしている</t>
        </is>
      </c>
      <c r="C159" s="18">
        <f>IF(($C$134)=0,0,($C$135)/($C$134))</f>
        <v>0.541666666666667</v>
      </c>
      <c r="D159" s="18">
        <f>IF(($C$134)=0,0,($C$136)/($C$134))</f>
        <v>0.166666666666667</v>
      </c>
      <c r="E159" s="18">
        <f>IF(($C$134)=0,0,($C$137)/($C$134))</f>
        <v>0.0416666666666667</v>
      </c>
      <c r="F159" s="18">
        <f>IF(($C$134)=0,0,($C$138)/($C$134))</f>
        <v>0</v>
      </c>
      <c r="G159" s="18">
        <f>IF(($C$134)=0,0,($C$139)/($C$134))</f>
        <v>0</v>
      </c>
      <c r="H159" s="18">
        <f>IF(($C$134)=0,0,($C$140)/($C$134))</f>
        <v>0</v>
      </c>
      <c r="I159" s="18">
        <f>IF(($C$134)=0,0,($C$141)/($C$134))</f>
        <v>0.166666666666667</v>
      </c>
      <c r="J159" s="18">
        <f>IF(($C$134)=0,0,($C$142)/($C$134))</f>
        <v>0.0416666666666667</v>
      </c>
      <c r="K159" s="18">
        <f>MAX(0,1-SUM(C159:J159))</f>
        <v>0.0416666666666667</v>
      </c>
    </row>
    <row r="160" ht="17" customHeight="1">
      <c r="B160" s="5" t="inlineStr">
        <is>
          <t>自宅で一人暮らし</t>
        </is>
      </c>
      <c r="C160" s="18">
        <f>IF(($D$134)=0,0,($D$135)/($D$134))</f>
        <v>0.333333333333333</v>
      </c>
      <c r="D160" s="18">
        <f>IF(($D$134)=0,0,($D$136)/($D$134))</f>
        <v>0</v>
      </c>
      <c r="E160" s="18">
        <f>IF(($D$134)=0,0,($D$137)/($D$134))</f>
        <v>0.166666666666667</v>
      </c>
      <c r="F160" s="18">
        <f>IF(($D$134)=0,0,($D$138)/($D$134))</f>
        <v>0</v>
      </c>
      <c r="G160" s="18">
        <f>IF(($D$134)=0,0,($D$139)/($D$134))</f>
        <v>0.166666666666667</v>
      </c>
      <c r="H160" s="18">
        <f>IF(($D$134)=0,0,($D$140)/($D$134))</f>
        <v>0</v>
      </c>
      <c r="I160" s="18">
        <f>IF(($D$134)=0,0,($D$141)/($D$134))</f>
        <v>0.166666666666667</v>
      </c>
      <c r="J160" s="18">
        <f>IF(($D$134)=0,0,($D$142)/($D$134))</f>
        <v>0</v>
      </c>
      <c r="K160" s="18">
        <f>MAX(0,1-SUM(C160:J160))</f>
        <v>0.166666666666667</v>
      </c>
    </row>
    <row r="161" ht="17" customHeight="1">
      <c r="B161" s="5" t="inlineStr">
        <is>
          <t>グループホーム</t>
        </is>
      </c>
      <c r="C161" s="18">
        <f>IF(($E$134)=0,0,($E$135)/($E$134))</f>
        <v>0</v>
      </c>
      <c r="D161" s="18">
        <f>IF(($E$134)=0,0,($E$136)/($E$134))</f>
        <v>0.333333333333333</v>
      </c>
      <c r="E161" s="18">
        <f>IF(($E$134)=0,0,($E$137)/($E$134))</f>
        <v>0</v>
      </c>
      <c r="F161" s="18">
        <f>IF(($E$134)=0,0,($E$138)/($E$134))</f>
        <v>0.666666666666667</v>
      </c>
      <c r="G161" s="18">
        <f>IF(($E$134)=0,0,($E$139)/($E$134))</f>
        <v>0</v>
      </c>
      <c r="H161" s="18">
        <f>IF(($E$134)=0,0,($E$140)/($E$134))</f>
        <v>0</v>
      </c>
      <c r="I161" s="18">
        <f>IF(($E$134)=0,0,($E$141)/($E$134))</f>
        <v>0</v>
      </c>
      <c r="J161" s="18">
        <f>IF(($E$134)=0,0,($E$142)/($E$134))</f>
        <v>0</v>
      </c>
      <c r="K161" s="18">
        <f>MAX(0,1-SUM(C161:J161))</f>
        <v>0</v>
      </c>
    </row>
    <row r="162" ht="17" customHeight="1">
      <c r="B162" s="5" t="inlineStr">
        <is>
          <t>施設・病院等</t>
        </is>
      </c>
      <c r="C162" s="18">
        <f>IF(($F$134+$G$134+$H$134)=0,0,($F$135+$G$135+$H$135)/($F$134+$G$134+$H$134))</f>
        <v>0</v>
      </c>
      <c r="D162" s="18">
        <f>IF(($F$134+$G$134+$H$134)=0,0,($F$136+$G$136+$H$136)/($F$134+$G$134+$H$134))</f>
        <v>0</v>
      </c>
      <c r="E162" s="18">
        <f>IF(($F$134+$G$134+$H$134)=0,0,($F$137+$G$137+$H$137)/($F$134+$G$134+$H$134))</f>
        <v>0</v>
      </c>
      <c r="F162" s="18">
        <f>IF(($F$134+$G$134+$H$134)=0,0,($F$138+$G$138+$H$138)/($F$134+$G$134+$H$134))</f>
        <v>0</v>
      </c>
      <c r="G162" s="18">
        <f>IF(($F$134+$G$134+$H$134)=0,0,($F$139+$G$139+$H$139)/($F$134+$G$134+$H$134))</f>
        <v>0.75</v>
      </c>
      <c r="H162" s="18">
        <f>IF(($F$134+$G$134+$H$134)=0,0,($F$140+$G$140+$H$140)/($F$134+$G$134+$H$134))</f>
        <v>0</v>
      </c>
      <c r="I162" s="18">
        <f>IF(($F$134+$G$134+$H$134)=0,0,($F$141+$G$141+$H$141)/($F$134+$G$134+$H$134))</f>
        <v>0.25</v>
      </c>
      <c r="J162" s="18">
        <f>IF(($F$134+$G$134+$H$134)=0,0,($F$142+$G$142+$H$142)/($F$134+$G$134+$H$134))</f>
        <v>0</v>
      </c>
      <c r="K162" s="18">
        <f>MAX(0,1-SUM(C162:J162))</f>
        <v>0</v>
      </c>
    </row>
    <row r="163" ht="15" customHeight="1">
      <c r="B163" s="12" t="inlineStr">
        <is>
          <t>※「施設・病院等」は、障がい者支援施設（2件）、病院に入院中（1件）、高齢者施設等（1件）を合算しています。</t>
        </is>
      </c>
    </row>
    <row r="164"/>
    <row r="165"/>
    <row r="166"/>
    <row r="169" ht="21" customHeight="1">
      <c r="B169" s="7" t="inlineStr">
        <is>
          <t>表4-6　年齢 × 日常生活で困っていること（問2×問10）</t>
        </is>
      </c>
    </row>
    <row r="170">
      <c r="B170" s="24" t="inlineStr">
        <is>
          <t>【件数】青字のセルが入力値です</t>
        </is>
      </c>
    </row>
    <row r="171" ht="18" customHeight="1">
      <c r="B171" s="3" t="inlineStr">
        <is>
          <t>区分</t>
        </is>
      </c>
      <c r="C171" s="3" t="inlineStr">
        <is>
          <t>30～39歳</t>
        </is>
      </c>
      <c r="D171" s="3" t="inlineStr">
        <is>
          <t>40～49歳</t>
        </is>
      </c>
      <c r="E171" s="3" t="inlineStr">
        <is>
          <t>50～64歳</t>
        </is>
      </c>
      <c r="F171" s="3" t="inlineStr">
        <is>
          <t>65歳以上</t>
        </is>
      </c>
    </row>
    <row r="172">
      <c r="B172" s="20" t="inlineStr">
        <is>
          <t>回答者数（n）</t>
        </is>
      </c>
      <c r="C172" s="25" t="n">
        <v>3</v>
      </c>
      <c r="D172" s="25" t="n">
        <v>2</v>
      </c>
      <c r="E172" s="25" t="n">
        <v>7</v>
      </c>
      <c r="F172" s="25" t="n">
        <v>25</v>
      </c>
    </row>
    <row r="173" ht="17" customHeight="1">
      <c r="B173" s="5" t="inlineStr">
        <is>
          <t>家事</t>
        </is>
      </c>
      <c r="C173" s="26" t="n">
        <v>0</v>
      </c>
      <c r="D173" s="26" t="n">
        <v>0</v>
      </c>
      <c r="E173" s="26" t="n">
        <v>0</v>
      </c>
      <c r="F173" s="26" t="n">
        <v>1</v>
      </c>
    </row>
    <row r="174" ht="17" customHeight="1">
      <c r="B174" s="5" t="inlineStr">
        <is>
          <t>食事</t>
        </is>
      </c>
      <c r="C174" s="26" t="n">
        <v>0</v>
      </c>
      <c r="D174" s="26" t="n">
        <v>0</v>
      </c>
      <c r="E174" s="26" t="n">
        <v>0</v>
      </c>
      <c r="F174" s="26" t="n">
        <v>4</v>
      </c>
    </row>
    <row r="175" ht="17" customHeight="1">
      <c r="B175" s="5" t="inlineStr">
        <is>
          <t>入浴</t>
        </is>
      </c>
      <c r="C175" s="26" t="n">
        <v>0</v>
      </c>
      <c r="D175" s="26" t="n">
        <v>0</v>
      </c>
      <c r="E175" s="26" t="n">
        <v>0</v>
      </c>
      <c r="F175" s="26" t="n">
        <v>4</v>
      </c>
    </row>
    <row r="176" ht="17" customHeight="1">
      <c r="B176" s="5" t="inlineStr">
        <is>
          <t>排せつ</t>
        </is>
      </c>
      <c r="C176" s="26" t="n">
        <v>0</v>
      </c>
      <c r="D176" s="26" t="n">
        <v>0</v>
      </c>
      <c r="E176" s="26" t="n">
        <v>0</v>
      </c>
      <c r="F176" s="26" t="n">
        <v>2</v>
      </c>
    </row>
    <row r="177" ht="17" customHeight="1">
      <c r="B177" s="5" t="inlineStr">
        <is>
          <t>服薬管理</t>
        </is>
      </c>
      <c r="C177" s="26" t="n">
        <v>0</v>
      </c>
      <c r="D177" s="26" t="n">
        <v>0</v>
      </c>
      <c r="E177" s="26" t="n">
        <v>0</v>
      </c>
      <c r="F177" s="26" t="n">
        <v>5</v>
      </c>
    </row>
    <row r="178" ht="17" customHeight="1">
      <c r="B178" s="5" t="inlineStr">
        <is>
          <t>金銭管理</t>
        </is>
      </c>
      <c r="C178" s="26" t="n">
        <v>1</v>
      </c>
      <c r="D178" s="26" t="n">
        <v>1</v>
      </c>
      <c r="E178" s="26" t="n">
        <v>1</v>
      </c>
      <c r="F178" s="26" t="n">
        <v>1</v>
      </c>
    </row>
    <row r="179" ht="17" customHeight="1">
      <c r="B179" s="5" t="inlineStr">
        <is>
          <t>通院</t>
        </is>
      </c>
      <c r="C179" s="26" t="n">
        <v>0</v>
      </c>
      <c r="D179" s="26" t="n">
        <v>1</v>
      </c>
      <c r="E179" s="26" t="n">
        <v>0</v>
      </c>
      <c r="F179" s="26" t="n">
        <v>5</v>
      </c>
    </row>
    <row r="180" ht="17" customHeight="1">
      <c r="B180" s="5" t="inlineStr">
        <is>
          <t>外出・移動</t>
        </is>
      </c>
      <c r="C180" s="26" t="n">
        <v>0</v>
      </c>
      <c r="D180" s="26" t="n">
        <v>2</v>
      </c>
      <c r="E180" s="26" t="n">
        <v>1</v>
      </c>
      <c r="F180" s="26" t="n">
        <v>7</v>
      </c>
    </row>
    <row r="181" ht="17" customHeight="1">
      <c r="B181" s="5" t="inlineStr">
        <is>
          <t>買い物</t>
        </is>
      </c>
      <c r="C181" s="26" t="n">
        <v>0</v>
      </c>
      <c r="D181" s="26" t="n">
        <v>1</v>
      </c>
      <c r="E181" s="26" t="n">
        <v>0</v>
      </c>
      <c r="F181" s="26" t="n">
        <v>4</v>
      </c>
    </row>
    <row r="182" ht="17" customHeight="1">
      <c r="B182" s="5" t="inlineStr">
        <is>
          <t>災害時の避難</t>
        </is>
      </c>
      <c r="C182" s="26" t="n">
        <v>0</v>
      </c>
      <c r="D182" s="26" t="n">
        <v>1</v>
      </c>
      <c r="E182" s="26" t="n">
        <v>2</v>
      </c>
      <c r="F182" s="26" t="n">
        <v>6</v>
      </c>
    </row>
    <row r="183" ht="17" customHeight="1">
      <c r="B183" s="5" t="inlineStr">
        <is>
          <t>相談先がない</t>
        </is>
      </c>
      <c r="C183" s="26" t="n">
        <v>0</v>
      </c>
      <c r="D183" s="26" t="n">
        <v>1</v>
      </c>
      <c r="E183" s="26" t="n">
        <v>0</v>
      </c>
      <c r="F183" s="26" t="n">
        <v>0</v>
      </c>
    </row>
    <row r="184" ht="17" customHeight="1">
      <c r="B184" s="5" t="inlineStr">
        <is>
          <t>将来の生活</t>
        </is>
      </c>
      <c r="C184" s="26" t="n">
        <v>1</v>
      </c>
      <c r="D184" s="26" t="n">
        <v>2</v>
      </c>
      <c r="E184" s="26" t="n">
        <v>4</v>
      </c>
      <c r="F184" s="26" t="n">
        <v>4</v>
      </c>
    </row>
    <row r="185" ht="17" customHeight="1">
      <c r="B185" s="5" t="inlineStr">
        <is>
          <t>特にない</t>
        </is>
      </c>
      <c r="C185" s="26" t="n">
        <v>1</v>
      </c>
      <c r="D185" s="26" t="n">
        <v>0</v>
      </c>
      <c r="E185" s="26" t="n">
        <v>3</v>
      </c>
      <c r="F185" s="26" t="n">
        <v>9</v>
      </c>
    </row>
    <row r="186" ht="17" customHeight="1">
      <c r="B186" s="5" t="inlineStr">
        <is>
          <t>その他</t>
        </is>
      </c>
      <c r="C186" s="26" t="n">
        <v>1</v>
      </c>
      <c r="D186" s="26" t="n">
        <v>0</v>
      </c>
      <c r="E186" s="26" t="n">
        <v>0</v>
      </c>
      <c r="F186" s="26" t="n">
        <v>0</v>
      </c>
    </row>
    <row r="188">
      <c r="B188" s="24" t="inlineStr">
        <is>
          <t>【割合】各区分の回答者数（n）に占める割合（計算式）</t>
        </is>
      </c>
    </row>
    <row r="189" ht="18" customHeight="1">
      <c r="B189" s="3" t="inlineStr">
        <is>
          <t>区分</t>
        </is>
      </c>
      <c r="C189" s="3" t="inlineStr">
        <is>
          <t>30～39歳</t>
        </is>
      </c>
      <c r="D189" s="3" t="inlineStr">
        <is>
          <t>40～49歳</t>
        </is>
      </c>
      <c r="E189" s="3" t="inlineStr">
        <is>
          <t>50～64歳</t>
        </is>
      </c>
      <c r="F189" s="3" t="inlineStr">
        <is>
          <t>65歳以上</t>
        </is>
      </c>
    </row>
    <row r="190" ht="17" customHeight="1">
      <c r="B190" s="5" t="inlineStr">
        <is>
          <t>家事</t>
        </is>
      </c>
      <c r="C190" s="27">
        <f>IF($C$172=0,0,$C$173/$C$172)</f>
        <v>0</v>
      </c>
      <c r="D190" s="27">
        <f>IF($D$172=0,0,$D$173/$D$172)</f>
        <v>0</v>
      </c>
      <c r="E190" s="27">
        <f>IF($E$172=0,0,$E$173/$E$172)</f>
        <v>0</v>
      </c>
      <c r="F190" s="27">
        <f>IF($F$172=0,0,$F$173/$F$172)</f>
        <v>0.04</v>
      </c>
    </row>
    <row r="191" ht="17" customHeight="1">
      <c r="B191" s="5" t="inlineStr">
        <is>
          <t>食事</t>
        </is>
      </c>
      <c r="C191" s="27">
        <f>IF($C$172=0,0,$C$174/$C$172)</f>
        <v>0</v>
      </c>
      <c r="D191" s="27">
        <f>IF($D$172=0,0,$D$174/$D$172)</f>
        <v>0</v>
      </c>
      <c r="E191" s="27">
        <f>IF($E$172=0,0,$E$174/$E$172)</f>
        <v>0</v>
      </c>
      <c r="F191" s="27">
        <f>IF($F$172=0,0,$F$174/$F$172)</f>
        <v>0.16</v>
      </c>
    </row>
    <row r="192" ht="17" customHeight="1">
      <c r="B192" s="5" t="inlineStr">
        <is>
          <t>入浴</t>
        </is>
      </c>
      <c r="C192" s="27">
        <f>IF($C$172=0,0,$C$175/$C$172)</f>
        <v>0</v>
      </c>
      <c r="D192" s="27">
        <f>IF($D$172=0,0,$D$175/$D$172)</f>
        <v>0</v>
      </c>
      <c r="E192" s="27">
        <f>IF($E$172=0,0,$E$175/$E$172)</f>
        <v>0</v>
      </c>
      <c r="F192" s="27">
        <f>IF($F$172=0,0,$F$175/$F$172)</f>
        <v>0.16</v>
      </c>
    </row>
    <row r="193" ht="17" customHeight="1">
      <c r="B193" s="5" t="inlineStr">
        <is>
          <t>排せつ</t>
        </is>
      </c>
      <c r="C193" s="27">
        <f>IF($C$172=0,0,$C$176/$C$172)</f>
        <v>0</v>
      </c>
      <c r="D193" s="27">
        <f>IF($D$172=0,0,$D$176/$D$172)</f>
        <v>0</v>
      </c>
      <c r="E193" s="27">
        <f>IF($E$172=0,0,$E$176/$E$172)</f>
        <v>0</v>
      </c>
      <c r="F193" s="27">
        <f>IF($F$172=0,0,$F$176/$F$172)</f>
        <v>0.08</v>
      </c>
    </row>
    <row r="194" ht="17" customHeight="1">
      <c r="B194" s="5" t="inlineStr">
        <is>
          <t>服薬管理</t>
        </is>
      </c>
      <c r="C194" s="27">
        <f>IF($C$172=0,0,$C$177/$C$172)</f>
        <v>0</v>
      </c>
      <c r="D194" s="27">
        <f>IF($D$172=0,0,$D$177/$D$172)</f>
        <v>0</v>
      </c>
      <c r="E194" s="27">
        <f>IF($E$172=0,0,$E$177/$E$172)</f>
        <v>0</v>
      </c>
      <c r="F194" s="27">
        <f>IF($F$172=0,0,$F$177/$F$172)</f>
        <v>0.2</v>
      </c>
    </row>
    <row r="195" ht="17" customHeight="1">
      <c r="B195" s="5" t="inlineStr">
        <is>
          <t>金銭管理</t>
        </is>
      </c>
      <c r="C195" s="27">
        <f>IF($C$172=0,0,$C$178/$C$172)</f>
        <v>0.333333333333333</v>
      </c>
      <c r="D195" s="27">
        <f>IF($D$172=0,0,$D$178/$D$172)</f>
        <v>0.5</v>
      </c>
      <c r="E195" s="27">
        <f>IF($E$172=0,0,$E$178/$E$172)</f>
        <v>0.142857142857143</v>
      </c>
      <c r="F195" s="27">
        <f>IF($F$172=0,0,$F$178/$F$172)</f>
        <v>0.04</v>
      </c>
    </row>
    <row r="196" ht="17" customHeight="1">
      <c r="B196" s="5" t="inlineStr">
        <is>
          <t>通院</t>
        </is>
      </c>
      <c r="C196" s="27">
        <f>IF($C$172=0,0,$C$179/$C$172)</f>
        <v>0</v>
      </c>
      <c r="D196" s="27">
        <f>IF($D$172=0,0,$D$179/$D$172)</f>
        <v>0.5</v>
      </c>
      <c r="E196" s="27">
        <f>IF($E$172=0,0,$E$179/$E$172)</f>
        <v>0</v>
      </c>
      <c r="F196" s="27">
        <f>IF($F$172=0,0,$F$179/$F$172)</f>
        <v>0.2</v>
      </c>
    </row>
    <row r="197" ht="17" customHeight="1">
      <c r="B197" s="5" t="inlineStr">
        <is>
          <t>外出・移動</t>
        </is>
      </c>
      <c r="C197" s="27">
        <f>IF($C$172=0,0,$C$180/$C$172)</f>
        <v>0</v>
      </c>
      <c r="D197" s="27">
        <f>IF($D$172=0,0,$D$180/$D$172)</f>
        <v>1</v>
      </c>
      <c r="E197" s="27">
        <f>IF($E$172=0,0,$E$180/$E$172)</f>
        <v>0.142857142857143</v>
      </c>
      <c r="F197" s="27">
        <f>IF($F$172=0,0,$F$180/$F$172)</f>
        <v>0.28</v>
      </c>
    </row>
    <row r="198" ht="17" customHeight="1">
      <c r="B198" s="5" t="inlineStr">
        <is>
          <t>買い物</t>
        </is>
      </c>
      <c r="C198" s="27">
        <f>IF($C$172=0,0,$C$181/$C$172)</f>
        <v>0</v>
      </c>
      <c r="D198" s="27">
        <f>IF($D$172=0,0,$D$181/$D$172)</f>
        <v>0.5</v>
      </c>
      <c r="E198" s="27">
        <f>IF($E$172=0,0,$E$181/$E$172)</f>
        <v>0</v>
      </c>
      <c r="F198" s="27">
        <f>IF($F$172=0,0,$F$181/$F$172)</f>
        <v>0.16</v>
      </c>
    </row>
    <row r="199" ht="17" customHeight="1">
      <c r="B199" s="5" t="inlineStr">
        <is>
          <t>災害時の避難</t>
        </is>
      </c>
      <c r="C199" s="27">
        <f>IF($C$172=0,0,$C$182/$C$172)</f>
        <v>0</v>
      </c>
      <c r="D199" s="27">
        <f>IF($D$172=0,0,$D$182/$D$172)</f>
        <v>0.5</v>
      </c>
      <c r="E199" s="27">
        <f>IF($E$172=0,0,$E$182/$E$172)</f>
        <v>0.285714285714286</v>
      </c>
      <c r="F199" s="27">
        <f>IF($F$172=0,0,$F$182/$F$172)</f>
        <v>0.24</v>
      </c>
    </row>
    <row r="200" ht="17" customHeight="1">
      <c r="B200" s="5" t="inlineStr">
        <is>
          <t>相談先がない</t>
        </is>
      </c>
      <c r="C200" s="27">
        <f>IF($C$172=0,0,$C$183/$C$172)</f>
        <v>0</v>
      </c>
      <c r="D200" s="27">
        <f>IF($D$172=0,0,$D$183/$D$172)</f>
        <v>0.5</v>
      </c>
      <c r="E200" s="27">
        <f>IF($E$172=0,0,$E$183/$E$172)</f>
        <v>0</v>
      </c>
      <c r="F200" s="27">
        <f>IF($F$172=0,0,$F$183/$F$172)</f>
        <v>0</v>
      </c>
    </row>
    <row r="201" ht="17" customHeight="1">
      <c r="B201" s="5" t="inlineStr">
        <is>
          <t>将来の生活</t>
        </is>
      </c>
      <c r="C201" s="27">
        <f>IF($C$172=0,0,$C$184/$C$172)</f>
        <v>0.333333333333333</v>
      </c>
      <c r="D201" s="27">
        <f>IF($D$172=0,0,$D$184/$D$172)</f>
        <v>1</v>
      </c>
      <c r="E201" s="27">
        <f>IF($E$172=0,0,$E$184/$E$172)</f>
        <v>0.571428571428571</v>
      </c>
      <c r="F201" s="27">
        <f>IF($F$172=0,0,$F$184/$F$172)</f>
        <v>0.16</v>
      </c>
    </row>
    <row r="202" ht="17" customHeight="1">
      <c r="B202" s="5" t="inlineStr">
        <is>
          <t>特にない</t>
        </is>
      </c>
      <c r="C202" s="27">
        <f>IF($C$172=0,0,$C$185/$C$172)</f>
        <v>0.333333333333333</v>
      </c>
      <c r="D202" s="27">
        <f>IF($D$172=0,0,$D$185/$D$172)</f>
        <v>0</v>
      </c>
      <c r="E202" s="27">
        <f>IF($E$172=0,0,$E$185/$E$172)</f>
        <v>0.428571428571429</v>
      </c>
      <c r="F202" s="27">
        <f>IF($F$172=0,0,$F$185/$F$172)</f>
        <v>0.36</v>
      </c>
    </row>
    <row r="203" ht="17" customHeight="1">
      <c r="B203" s="5" t="inlineStr">
        <is>
          <t>その他</t>
        </is>
      </c>
      <c r="C203" s="27">
        <f>IF($C$172=0,0,$C$186/$C$172)</f>
        <v>0.333333333333333</v>
      </c>
      <c r="D203" s="27">
        <f>IF($D$172=0,0,$D$186/$D$172)</f>
        <v>0</v>
      </c>
      <c r="E203" s="27">
        <f>IF($E$172=0,0,$E$186/$E$172)</f>
        <v>0</v>
      </c>
      <c r="F203" s="27">
        <f>IF($F$172=0,0,$F$186/$F$172)</f>
        <v>0</v>
      </c>
    </row>
    <row r="204" ht="27" customHeight="1">
      <c r="B204" s="12" t="inlineStr">
        <is>
          <t>※色が濃いほど割合が高く、太字は各区分で最も割合が高い項目です（条件付き書式）。回答者のいない18～29歳は省略しています。</t>
        </is>
      </c>
    </row>
    <row r="206" ht="21" customHeight="1">
      <c r="B206" s="7" t="inlineStr">
        <is>
          <t>図4-3　65歳未満・65歳以上別にみた日常生活で困っていること（問2×問10）</t>
        </is>
      </c>
    </row>
    <row r="207"/>
    <row r="208" ht="18" customHeight="1">
      <c r="B208" s="3" t="inlineStr">
        <is>
          <t>区分</t>
        </is>
      </c>
      <c r="C208" s="3" t="str">
        <f>"65歳未満（n="&amp;($C$172+$D$172+$E$172)&amp;"）"</f>
        <v>65歳未満（n=12）</v>
      </c>
      <c r="D208" s="3" t="str">
        <f>"65歳以上（n="&amp;$F$172&amp;"）"</f>
        <v>65歳以上（n=25）</v>
      </c>
    </row>
    <row r="209" ht="17" customHeight="1">
      <c r="B209" s="5" t="inlineStr">
        <is>
          <t>将来の生活</t>
        </is>
      </c>
      <c r="C209" s="18">
        <f>IF(($C$172+$D$172+$E$172)=0,0,($C$184+$D$184+$E$184)/($C$172+$D$172+$E$172))</f>
        <v>0.583333333333333</v>
      </c>
      <c r="D209" s="18">
        <f>$F$201</f>
        <v>0.16</v>
      </c>
    </row>
    <row r="210" ht="17" customHeight="1">
      <c r="B210" s="5" t="inlineStr">
        <is>
          <t>外出・移動</t>
        </is>
      </c>
      <c r="C210" s="18">
        <f>IF(($C$172+$D$172+$E$172)=0,0,($C$180+$D$180+$E$180)/($C$172+$D$172+$E$172))</f>
        <v>0.25</v>
      </c>
      <c r="D210" s="18">
        <f>$F$197</f>
        <v>0.28</v>
      </c>
    </row>
    <row r="211" ht="17" customHeight="1">
      <c r="B211" s="5" t="inlineStr">
        <is>
          <t>災害時の避難</t>
        </is>
      </c>
      <c r="C211" s="18">
        <f>IF(($C$172+$D$172+$E$172)=0,0,($C$182+$D$182+$E$182)/($C$172+$D$172+$E$172))</f>
        <v>0.25</v>
      </c>
      <c r="D211" s="18">
        <f>$F$199</f>
        <v>0.24</v>
      </c>
    </row>
    <row r="212" ht="17" customHeight="1">
      <c r="B212" s="5" t="inlineStr">
        <is>
          <t>通院</t>
        </is>
      </c>
      <c r="C212" s="18">
        <f>IF(($C$172+$D$172+$E$172)=0,0,($C$179+$D$179+$E$179)/($C$172+$D$172+$E$172))</f>
        <v>0.0833333333333333</v>
      </c>
      <c r="D212" s="18">
        <f>$F$196</f>
        <v>0.2</v>
      </c>
    </row>
    <row r="213" ht="17" customHeight="1">
      <c r="B213" s="5" t="inlineStr">
        <is>
          <t>服薬管理</t>
        </is>
      </c>
      <c r="C213" s="18">
        <f>IF(($C$172+$D$172+$E$172)=0,0,($C$177+$D$177+$E$177)/($C$172+$D$172+$E$172))</f>
        <v>0</v>
      </c>
      <c r="D213" s="18">
        <f>$F$194</f>
        <v>0.2</v>
      </c>
    </row>
    <row r="214" ht="17" customHeight="1">
      <c r="B214" s="5" t="inlineStr">
        <is>
          <t>金銭管理</t>
        </is>
      </c>
      <c r="C214" s="18">
        <f>IF(($C$172+$D$172+$E$172)=0,0,($C$178+$D$178+$E$178)/($C$172+$D$172+$E$172))</f>
        <v>0.25</v>
      </c>
      <c r="D214" s="18">
        <f>$F$195</f>
        <v>0.04</v>
      </c>
    </row>
    <row r="215" ht="17" customHeight="1">
      <c r="B215" s="5" t="inlineStr">
        <is>
          <t>買い物</t>
        </is>
      </c>
      <c r="C215" s="18">
        <f>IF(($C$172+$D$172+$E$172)=0,0,($C$181+$D$181+$E$181)/($C$172+$D$172+$E$172))</f>
        <v>0.0833333333333333</v>
      </c>
      <c r="D215" s="18">
        <f>$F$198</f>
        <v>0.16</v>
      </c>
    </row>
    <row r="216" ht="17" customHeight="1">
      <c r="B216" s="5" t="inlineStr">
        <is>
          <t>食事</t>
        </is>
      </c>
      <c r="C216" s="18">
        <f>IF(($C$172+$D$172+$E$172)=0,0,($C$174+$D$174+$E$174)/($C$172+$D$172+$E$172))</f>
        <v>0</v>
      </c>
      <c r="D216" s="18">
        <f>$F$191</f>
        <v>0.16</v>
      </c>
    </row>
    <row r="217" ht="17" customHeight="1">
      <c r="B217" s="5" t="inlineStr">
        <is>
          <t>入浴</t>
        </is>
      </c>
      <c r="C217" s="18">
        <f>IF(($C$172+$D$172+$E$172)=0,0,($C$175+$D$175+$E$175)/($C$172+$D$172+$E$172))</f>
        <v>0</v>
      </c>
      <c r="D217" s="18">
        <f>$F$192</f>
        <v>0.16</v>
      </c>
    </row>
    <row r="218" ht="17" customHeight="1">
      <c r="B218" s="5" t="inlineStr">
        <is>
          <t>特にない</t>
        </is>
      </c>
      <c r="C218" s="18">
        <f>IF(($C$172+$D$172+$E$172)=0,0,($C$185+$D$185+$E$185)/($C$172+$D$172+$E$172))</f>
        <v>0.333333333333333</v>
      </c>
      <c r="D218" s="18">
        <f>$F$202</f>
        <v>0.36</v>
      </c>
    </row>
    <row r="219" ht="27" customHeight="1">
      <c r="B219" s="12" t="inlineStr">
        <is>
          <t>※「65歳未満」は30～39歳、40～49歳、50～64歳の回答を合算しています。</t>
        </is>
      </c>
    </row>
    <row r="220"/>
    <row r="221"/>
    <row r="222"/>
    <row r="223"/>
    <row r="224"/>
    <row r="225"/>
    <row r="226"/>
    <row r="227"/>
    <row r="228"/>
    <row r="229"/>
    <row r="232" ht="21" customHeight="1">
      <c r="B232" s="7" t="inlineStr">
        <is>
          <t>表4-7　現在の日中の過ごし方 × 今後希望する日中活動・働き方（問31×問32）</t>
        </is>
      </c>
    </row>
    <row r="233">
      <c r="B233" s="24" t="inlineStr">
        <is>
          <t>【件数】青字のセルが入力値です</t>
        </is>
      </c>
    </row>
    <row r="234" ht="31" customHeight="1">
      <c r="B234" s="3" t="inlineStr">
        <is>
          <t>区分</t>
        </is>
      </c>
      <c r="C234" s="3" t="inlineStr">
        <is>
          <t>一般企業等</t>
        </is>
      </c>
      <c r="D234" s="3" t="inlineStr">
        <is>
          <t>自営業・
農業等</t>
        </is>
      </c>
      <c r="E234" s="3" t="inlineStr">
        <is>
          <t>就労継続
B型</t>
        </is>
      </c>
      <c r="F234" s="3" t="inlineStr">
        <is>
          <t>生活介護</t>
        </is>
      </c>
      <c r="G234" s="3" t="inlineStr">
        <is>
          <t>自宅で
過ごす</t>
        </is>
      </c>
      <c r="H234" s="3" t="inlineStr">
        <is>
          <t>入院・
入所中</t>
        </is>
      </c>
      <c r="I234" s="3" t="inlineStr">
        <is>
          <t>その他</t>
        </is>
      </c>
    </row>
    <row r="235">
      <c r="B235" s="20" t="inlineStr">
        <is>
          <t>回答者数（n）</t>
        </is>
      </c>
      <c r="C235" s="25" t="n">
        <v>2</v>
      </c>
      <c r="D235" s="25" t="n">
        <v>4</v>
      </c>
      <c r="E235" s="25" t="n">
        <v>2</v>
      </c>
      <c r="F235" s="25" t="n">
        <v>2</v>
      </c>
      <c r="G235" s="25" t="n">
        <v>14</v>
      </c>
      <c r="H235" s="25" t="n">
        <v>5</v>
      </c>
      <c r="I235" s="25" t="n">
        <v>5</v>
      </c>
    </row>
    <row r="236" ht="17" customHeight="1">
      <c r="B236" s="5" t="inlineStr">
        <is>
          <t>一般企業等で働きたい</t>
        </is>
      </c>
      <c r="C236" s="26" t="n">
        <v>0</v>
      </c>
      <c r="D236" s="26" t="n">
        <v>0</v>
      </c>
      <c r="E236" s="26" t="n">
        <v>0</v>
      </c>
      <c r="F236" s="26" t="n">
        <v>0</v>
      </c>
      <c r="G236" s="26" t="n">
        <v>1</v>
      </c>
      <c r="H236" s="26" t="n">
        <v>0</v>
      </c>
      <c r="I236" s="26" t="n">
        <v>0</v>
      </c>
    </row>
    <row r="237" ht="17" customHeight="1">
      <c r="B237" s="5" t="inlineStr">
        <is>
          <t>短時間・体調に合わせて働きたい</t>
        </is>
      </c>
      <c r="C237" s="26" t="n">
        <v>0</v>
      </c>
      <c r="D237" s="26" t="n">
        <v>0</v>
      </c>
      <c r="E237" s="26" t="n">
        <v>1</v>
      </c>
      <c r="F237" s="26" t="n">
        <v>0</v>
      </c>
      <c r="G237" s="26" t="n">
        <v>1</v>
      </c>
      <c r="H237" s="26" t="n">
        <v>0</v>
      </c>
      <c r="I237" s="26" t="n">
        <v>1</v>
      </c>
    </row>
    <row r="238" ht="17" customHeight="1">
      <c r="B238" s="5" t="inlineStr">
        <is>
          <t>就労継続支援B型を利用したい</t>
        </is>
      </c>
      <c r="C238" s="26" t="n">
        <v>0</v>
      </c>
      <c r="D238" s="26" t="n">
        <v>0</v>
      </c>
      <c r="E238" s="26" t="n">
        <v>0</v>
      </c>
      <c r="F238" s="26" t="n">
        <v>1</v>
      </c>
      <c r="G238" s="26" t="n">
        <v>0</v>
      </c>
      <c r="H238" s="26" t="n">
        <v>0</v>
      </c>
      <c r="I238" s="26" t="n">
        <v>0</v>
      </c>
    </row>
    <row r="239" ht="17" customHeight="1">
      <c r="B239" s="5" t="inlineStr">
        <is>
          <t>生活介護を利用したい</t>
        </is>
      </c>
      <c r="C239" s="26" t="n">
        <v>0</v>
      </c>
      <c r="D239" s="26" t="n">
        <v>0</v>
      </c>
      <c r="E239" s="26" t="n">
        <v>0</v>
      </c>
      <c r="F239" s="26" t="n">
        <v>0</v>
      </c>
      <c r="G239" s="26" t="n">
        <v>1</v>
      </c>
      <c r="H239" s="26" t="n">
        <v>0</v>
      </c>
      <c r="I239" s="26" t="n">
        <v>0</v>
      </c>
    </row>
    <row r="240" ht="17" customHeight="1">
      <c r="B240" s="5" t="inlineStr">
        <is>
          <t>今のままでよい</t>
        </is>
      </c>
      <c r="C240" s="26" t="n">
        <v>2</v>
      </c>
      <c r="D240" s="26" t="n">
        <v>2</v>
      </c>
      <c r="E240" s="26" t="n">
        <v>1</v>
      </c>
      <c r="F240" s="26" t="n">
        <v>1</v>
      </c>
      <c r="G240" s="26" t="n">
        <v>8</v>
      </c>
      <c r="H240" s="26" t="n">
        <v>4</v>
      </c>
      <c r="I240" s="26" t="n">
        <v>3</v>
      </c>
    </row>
    <row r="241" ht="17" customHeight="1">
      <c r="B241" s="5" t="inlineStr">
        <is>
          <t>まだわからない</t>
        </is>
      </c>
      <c r="C241" s="26" t="n">
        <v>0</v>
      </c>
      <c r="D241" s="26" t="n">
        <v>1</v>
      </c>
      <c r="E241" s="26" t="n">
        <v>0</v>
      </c>
      <c r="F241" s="26" t="n">
        <v>0</v>
      </c>
      <c r="G241" s="26" t="n">
        <v>2</v>
      </c>
      <c r="H241" s="26" t="n">
        <v>0</v>
      </c>
      <c r="I241" s="26" t="n">
        <v>0</v>
      </c>
    </row>
    <row r="242" ht="17" customHeight="1">
      <c r="B242" s="5" t="inlineStr">
        <is>
          <t>その他</t>
        </is>
      </c>
      <c r="C242" s="26" t="n">
        <v>0</v>
      </c>
      <c r="D242" s="26" t="n">
        <v>0</v>
      </c>
      <c r="E242" s="26" t="n">
        <v>0</v>
      </c>
      <c r="F242" s="26" t="n">
        <v>0</v>
      </c>
      <c r="G242" s="26" t="n">
        <v>1</v>
      </c>
      <c r="H242" s="26" t="n">
        <v>0</v>
      </c>
      <c r="I242" s="26" t="n">
        <v>1</v>
      </c>
    </row>
    <row r="244">
      <c r="B244" s="24" t="inlineStr">
        <is>
          <t>【割合】各区分の回答者数（n）に占める割合（計算式）</t>
        </is>
      </c>
    </row>
    <row r="245" ht="31" customHeight="1">
      <c r="B245" s="3" t="inlineStr">
        <is>
          <t>区分</t>
        </is>
      </c>
      <c r="C245" s="3" t="inlineStr">
        <is>
          <t>一般企業等</t>
        </is>
      </c>
      <c r="D245" s="3" t="inlineStr">
        <is>
          <t>自営業・
農業等</t>
        </is>
      </c>
      <c r="E245" s="3" t="inlineStr">
        <is>
          <t>就労継続
B型</t>
        </is>
      </c>
      <c r="F245" s="3" t="inlineStr">
        <is>
          <t>生活介護</t>
        </is>
      </c>
      <c r="G245" s="3" t="inlineStr">
        <is>
          <t>自宅で
過ごす</t>
        </is>
      </c>
      <c r="H245" s="3" t="inlineStr">
        <is>
          <t>入院・
入所中</t>
        </is>
      </c>
      <c r="I245" s="3" t="inlineStr">
        <is>
          <t>その他</t>
        </is>
      </c>
    </row>
    <row r="246" ht="17" customHeight="1">
      <c r="B246" s="5" t="inlineStr">
        <is>
          <t>一般企業等で働きたい</t>
        </is>
      </c>
      <c r="C246" s="27">
        <f>IF($C$235=0,0,$C$236/$C$235)</f>
        <v>0</v>
      </c>
      <c r="D246" s="27">
        <f>IF($D$235=0,0,$D$236/$D$235)</f>
        <v>0</v>
      </c>
      <c r="E246" s="27">
        <f>IF($E$235=0,0,$E$236/$E$235)</f>
        <v>0</v>
      </c>
      <c r="F246" s="27">
        <f>IF($F$235=0,0,$F$236/$F$235)</f>
        <v>0</v>
      </c>
      <c r="G246" s="27">
        <f>IF($G$235=0,0,$G$236/$G$235)</f>
        <v>0.0714285714285714</v>
      </c>
      <c r="H246" s="27">
        <f>IF($H$235=0,0,$H$236/$H$235)</f>
        <v>0</v>
      </c>
      <c r="I246" s="27">
        <f>IF($I$235=0,0,$I$236/$I$235)</f>
        <v>0</v>
      </c>
    </row>
    <row r="247" ht="17" customHeight="1">
      <c r="B247" s="5" t="inlineStr">
        <is>
          <t>短時間・体調に合わせて働きたい</t>
        </is>
      </c>
      <c r="C247" s="27">
        <f>IF($C$235=0,0,$C$237/$C$235)</f>
        <v>0</v>
      </c>
      <c r="D247" s="27">
        <f>IF($D$235=0,0,$D$237/$D$235)</f>
        <v>0</v>
      </c>
      <c r="E247" s="27">
        <f>IF($E$235=0,0,$E$237/$E$235)</f>
        <v>0.5</v>
      </c>
      <c r="F247" s="27">
        <f>IF($F$235=0,0,$F$237/$F$235)</f>
        <v>0</v>
      </c>
      <c r="G247" s="27">
        <f>IF($G$235=0,0,$G$237/$G$235)</f>
        <v>0.0714285714285714</v>
      </c>
      <c r="H247" s="27">
        <f>IF($H$235=0,0,$H$237/$H$235)</f>
        <v>0</v>
      </c>
      <c r="I247" s="27">
        <f>IF($I$235=0,0,$I$237/$I$235)</f>
        <v>0.2</v>
      </c>
    </row>
    <row r="248" ht="17" customHeight="1">
      <c r="B248" s="5" t="inlineStr">
        <is>
          <t>就労継続支援B型を利用したい</t>
        </is>
      </c>
      <c r="C248" s="27">
        <f>IF($C$235=0,0,$C$238/$C$235)</f>
        <v>0</v>
      </c>
      <c r="D248" s="27">
        <f>IF($D$235=0,0,$D$238/$D$235)</f>
        <v>0</v>
      </c>
      <c r="E248" s="27">
        <f>IF($E$235=0,0,$E$238/$E$235)</f>
        <v>0</v>
      </c>
      <c r="F248" s="27">
        <f>IF($F$235=0,0,$F$238/$F$235)</f>
        <v>0.5</v>
      </c>
      <c r="G248" s="27">
        <f>IF($G$235=0,0,$G$238/$G$235)</f>
        <v>0</v>
      </c>
      <c r="H248" s="27">
        <f>IF($H$235=0,0,$H$238/$H$235)</f>
        <v>0</v>
      </c>
      <c r="I248" s="27">
        <f>IF($I$235=0,0,$I$238/$I$235)</f>
        <v>0</v>
      </c>
    </row>
    <row r="249" ht="17" customHeight="1">
      <c r="B249" s="5" t="inlineStr">
        <is>
          <t>生活介護を利用したい</t>
        </is>
      </c>
      <c r="C249" s="27">
        <f>IF($C$235=0,0,$C$239/$C$235)</f>
        <v>0</v>
      </c>
      <c r="D249" s="27">
        <f>IF($D$235=0,0,$D$239/$D$235)</f>
        <v>0</v>
      </c>
      <c r="E249" s="27">
        <f>IF($E$235=0,0,$E$239/$E$235)</f>
        <v>0</v>
      </c>
      <c r="F249" s="27">
        <f>IF($F$235=0,0,$F$239/$F$235)</f>
        <v>0</v>
      </c>
      <c r="G249" s="27">
        <f>IF($G$235=0,0,$G$239/$G$235)</f>
        <v>0.0714285714285714</v>
      </c>
      <c r="H249" s="27">
        <f>IF($H$235=0,0,$H$239/$H$235)</f>
        <v>0</v>
      </c>
      <c r="I249" s="27">
        <f>IF($I$235=0,0,$I$239/$I$235)</f>
        <v>0</v>
      </c>
    </row>
    <row r="250" ht="17" customHeight="1">
      <c r="B250" s="5" t="inlineStr">
        <is>
          <t>今のままでよい</t>
        </is>
      </c>
      <c r="C250" s="27">
        <f>IF($C$235=0,0,$C$240/$C$235)</f>
        <v>1</v>
      </c>
      <c r="D250" s="27">
        <f>IF($D$235=0,0,$D$240/$D$235)</f>
        <v>0.5</v>
      </c>
      <c r="E250" s="27">
        <f>IF($E$235=0,0,$E$240/$E$235)</f>
        <v>0.5</v>
      </c>
      <c r="F250" s="27">
        <f>IF($F$235=0,0,$F$240/$F$235)</f>
        <v>0.5</v>
      </c>
      <c r="G250" s="27">
        <f>IF($G$235=0,0,$G$240/$G$235)</f>
        <v>0.571428571428571</v>
      </c>
      <c r="H250" s="27">
        <f>IF($H$235=0,0,$H$240/$H$235)</f>
        <v>0.8</v>
      </c>
      <c r="I250" s="27">
        <f>IF($I$235=0,0,$I$240/$I$235)</f>
        <v>0.6</v>
      </c>
    </row>
    <row r="251" ht="17" customHeight="1">
      <c r="B251" s="5" t="inlineStr">
        <is>
          <t>まだわからない</t>
        </is>
      </c>
      <c r="C251" s="27">
        <f>IF($C$235=0,0,$C$241/$C$235)</f>
        <v>0</v>
      </c>
      <c r="D251" s="27">
        <f>IF($D$235=0,0,$D$241/$D$235)</f>
        <v>0.25</v>
      </c>
      <c r="E251" s="27">
        <f>IF($E$235=0,0,$E$241/$E$235)</f>
        <v>0</v>
      </c>
      <c r="F251" s="27">
        <f>IF($F$235=0,0,$F$241/$F$235)</f>
        <v>0</v>
      </c>
      <c r="G251" s="27">
        <f>IF($G$235=0,0,$G$241/$G$235)</f>
        <v>0.142857142857143</v>
      </c>
      <c r="H251" s="27">
        <f>IF($H$235=0,0,$H$241/$H$235)</f>
        <v>0</v>
      </c>
      <c r="I251" s="27">
        <f>IF($I$235=0,0,$I$241/$I$235)</f>
        <v>0</v>
      </c>
    </row>
    <row r="252" ht="17" customHeight="1">
      <c r="B252" s="5" t="inlineStr">
        <is>
          <t>その他</t>
        </is>
      </c>
      <c r="C252" s="27">
        <f>IF($C$235=0,0,$C$242/$C$235)</f>
        <v>0</v>
      </c>
      <c r="D252" s="27">
        <f>IF($D$235=0,0,$D$242/$D$235)</f>
        <v>0</v>
      </c>
      <c r="E252" s="27">
        <f>IF($E$235=0,0,$E$242/$E$235)</f>
        <v>0</v>
      </c>
      <c r="F252" s="27">
        <f>IF($F$235=0,0,$F$242/$F$235)</f>
        <v>0</v>
      </c>
      <c r="G252" s="27">
        <f>IF($G$235=0,0,$G$242/$G$235)</f>
        <v>0.0714285714285714</v>
      </c>
      <c r="H252" s="27">
        <f>IF($H$235=0,0,$H$242/$H$235)</f>
        <v>0</v>
      </c>
      <c r="I252" s="27">
        <f>IF($I$235=0,0,$I$242/$I$235)</f>
        <v>0.2</v>
      </c>
    </row>
    <row r="253" ht="27" customHeight="1">
      <c r="B253" s="12" t="inlineStr">
        <is>
          <t>※色が濃いほど割合が高く、太字は各区分で最も割合が高い項目です（条件付き書式）。回答者のいない区分及び回答のなかった項目は省略しています。無回答があるため、各区分の割合の合計は100％にならない場合があります。</t>
        </is>
      </c>
    </row>
    <row r="255" ht="21" customHeight="1">
      <c r="B255" s="7" t="inlineStr">
        <is>
          <t>表4-8　避難行動要支援者名簿・個別避難計画の認知 × 災害時に不安なこと（問39×問38）</t>
        </is>
      </c>
    </row>
    <row r="256">
      <c r="B256" s="24" t="inlineStr">
        <is>
          <t>【件数】青字のセルが入力値です</t>
        </is>
      </c>
    </row>
    <row r="257" ht="44" customHeight="1">
      <c r="B257" s="3" t="inlineStr">
        <is>
          <t>区分</t>
        </is>
      </c>
      <c r="C257" s="3" t="inlineStr">
        <is>
          <t>知っており作成したい</t>
        </is>
      </c>
      <c r="D257" s="3" t="inlineStr">
        <is>
          <t>名前だけ聞いたことがある</t>
        </is>
      </c>
      <c r="E257" s="3" t="inlineStr">
        <is>
          <t>知らない</t>
        </is>
      </c>
      <c r="F257" s="3" t="inlineStr">
        <is>
          <t>必要ない</t>
        </is>
      </c>
    </row>
    <row r="258">
      <c r="B258" s="20" t="inlineStr">
        <is>
          <t>回答者数（n）</t>
        </is>
      </c>
      <c r="C258" s="25" t="n">
        <v>2</v>
      </c>
      <c r="D258" s="25" t="n">
        <v>5</v>
      </c>
      <c r="E258" s="25" t="n">
        <v>26</v>
      </c>
      <c r="F258" s="25" t="n">
        <v>1</v>
      </c>
    </row>
    <row r="259" ht="17" customHeight="1">
      <c r="B259" s="5" t="inlineStr">
        <is>
          <t>避難する方法</t>
        </is>
      </c>
      <c r="C259" s="26" t="n">
        <v>1</v>
      </c>
      <c r="D259" s="26" t="n">
        <v>3</v>
      </c>
      <c r="E259" s="26" t="n">
        <v>9</v>
      </c>
      <c r="F259" s="26" t="n">
        <v>0</v>
      </c>
    </row>
    <row r="260" ht="17" customHeight="1">
      <c r="B260" s="5" t="inlineStr">
        <is>
          <t>避難先での生活</t>
        </is>
      </c>
      <c r="C260" s="26" t="n">
        <v>1</v>
      </c>
      <c r="D260" s="26" t="n">
        <v>4</v>
      </c>
      <c r="E260" s="26" t="n">
        <v>18</v>
      </c>
      <c r="F260" s="26" t="n">
        <v>0</v>
      </c>
    </row>
    <row r="261" ht="17" customHeight="1">
      <c r="B261" s="5" t="inlineStr">
        <is>
          <t>薬・医療機器</t>
        </is>
      </c>
      <c r="C261" s="26" t="n">
        <v>1</v>
      </c>
      <c r="D261" s="26" t="n">
        <v>3</v>
      </c>
      <c r="E261" s="26" t="n">
        <v>12</v>
      </c>
      <c r="F261" s="26" t="n">
        <v>0</v>
      </c>
    </row>
    <row r="262" ht="17" customHeight="1">
      <c r="B262" s="5" t="inlineStr">
        <is>
          <t>電源の確保</t>
        </is>
      </c>
      <c r="C262" s="26" t="n">
        <v>1</v>
      </c>
      <c r="D262" s="26" t="n">
        <v>1</v>
      </c>
      <c r="E262" s="26" t="n">
        <v>4</v>
      </c>
      <c r="F262" s="26" t="n">
        <v>0</v>
      </c>
    </row>
    <row r="263" ht="17" customHeight="1">
      <c r="B263" s="5" t="inlineStr">
        <is>
          <t>介助者がいないこと</t>
        </is>
      </c>
      <c r="C263" s="26" t="n">
        <v>0</v>
      </c>
      <c r="D263" s="26" t="n">
        <v>1</v>
      </c>
      <c r="E263" s="26" t="n">
        <v>2</v>
      </c>
      <c r="F263" s="26" t="n">
        <v>0</v>
      </c>
    </row>
    <row r="264" ht="17" customHeight="1">
      <c r="B264" s="5" t="inlineStr">
        <is>
          <t>情報が届かないこと</t>
        </is>
      </c>
      <c r="C264" s="26" t="n">
        <v>2</v>
      </c>
      <c r="D264" s="26" t="n">
        <v>1</v>
      </c>
      <c r="E264" s="26" t="n">
        <v>2</v>
      </c>
      <c r="F264" s="26" t="n">
        <v>0</v>
      </c>
    </row>
    <row r="265" ht="17" customHeight="1">
      <c r="B265" s="5" t="inlineStr">
        <is>
          <t>冬季・積雪時の避難</t>
        </is>
      </c>
      <c r="C265" s="26" t="n">
        <v>0</v>
      </c>
      <c r="D265" s="26" t="n">
        <v>3</v>
      </c>
      <c r="E265" s="26" t="n">
        <v>12</v>
      </c>
      <c r="F265" s="26" t="n">
        <v>0</v>
      </c>
    </row>
    <row r="266" ht="17" customHeight="1">
      <c r="B266" s="5" t="inlineStr">
        <is>
          <t>特に不安はない</t>
        </is>
      </c>
      <c r="C266" s="26" t="n">
        <v>0</v>
      </c>
      <c r="D266" s="26" t="n">
        <v>0</v>
      </c>
      <c r="E266" s="26" t="n">
        <v>2</v>
      </c>
      <c r="F266" s="26" t="n">
        <v>1</v>
      </c>
    </row>
    <row r="268">
      <c r="B268" s="24" t="inlineStr">
        <is>
          <t>【割合】各区分の回答者数（n）に占める割合（計算式）</t>
        </is>
      </c>
    </row>
    <row r="269" ht="44" customHeight="1">
      <c r="B269" s="3" t="inlineStr">
        <is>
          <t>区分</t>
        </is>
      </c>
      <c r="C269" s="3" t="inlineStr">
        <is>
          <t>知っており作成したい</t>
        </is>
      </c>
      <c r="D269" s="3" t="inlineStr">
        <is>
          <t>名前だけ聞いたことがある</t>
        </is>
      </c>
      <c r="E269" s="3" t="inlineStr">
        <is>
          <t>知らない</t>
        </is>
      </c>
      <c r="F269" s="3" t="inlineStr">
        <is>
          <t>必要ない</t>
        </is>
      </c>
    </row>
    <row r="270" ht="17" customHeight="1">
      <c r="B270" s="5" t="inlineStr">
        <is>
          <t>避難する方法</t>
        </is>
      </c>
      <c r="C270" s="27">
        <f>IF($C$258=0,0,$C$259/$C$258)</f>
        <v>0.5</v>
      </c>
      <c r="D270" s="27">
        <f>IF($D$258=0,0,$D$259/$D$258)</f>
        <v>0.6</v>
      </c>
      <c r="E270" s="27">
        <f>IF($E$258=0,0,$E$259/$E$258)</f>
        <v>0.346153846153846</v>
      </c>
      <c r="F270" s="27">
        <f>IF($F$258=0,0,$F$259/$F$258)</f>
        <v>0</v>
      </c>
    </row>
    <row r="271" ht="17" customHeight="1">
      <c r="B271" s="5" t="inlineStr">
        <is>
          <t>避難先での生活</t>
        </is>
      </c>
      <c r="C271" s="27">
        <f>IF($C$258=0,0,$C$260/$C$258)</f>
        <v>0.5</v>
      </c>
      <c r="D271" s="27">
        <f>IF($D$258=0,0,$D$260/$D$258)</f>
        <v>0.8</v>
      </c>
      <c r="E271" s="27">
        <f>IF($E$258=0,0,$E$260/$E$258)</f>
        <v>0.692307692307692</v>
      </c>
      <c r="F271" s="27">
        <f>IF($F$258=0,0,$F$260/$F$258)</f>
        <v>0</v>
      </c>
    </row>
    <row r="272" ht="17" customHeight="1">
      <c r="B272" s="5" t="inlineStr">
        <is>
          <t>薬・医療機器</t>
        </is>
      </c>
      <c r="C272" s="27">
        <f>IF($C$258=0,0,$C$261/$C$258)</f>
        <v>0.5</v>
      </c>
      <c r="D272" s="27">
        <f>IF($D$258=0,0,$D$261/$D$258)</f>
        <v>0.6</v>
      </c>
      <c r="E272" s="27">
        <f>IF($E$258=0,0,$E$261/$E$258)</f>
        <v>0.461538461538462</v>
      </c>
      <c r="F272" s="27">
        <f>IF($F$258=0,0,$F$261/$F$258)</f>
        <v>0</v>
      </c>
    </row>
    <row r="273" ht="17" customHeight="1">
      <c r="B273" s="5" t="inlineStr">
        <is>
          <t>電源の確保</t>
        </is>
      </c>
      <c r="C273" s="27">
        <f>IF($C$258=0,0,$C$262/$C$258)</f>
        <v>0.5</v>
      </c>
      <c r="D273" s="27">
        <f>IF($D$258=0,0,$D$262/$D$258)</f>
        <v>0.2</v>
      </c>
      <c r="E273" s="27">
        <f>IF($E$258=0,0,$E$262/$E$258)</f>
        <v>0.153846153846154</v>
      </c>
      <c r="F273" s="27">
        <f>IF($F$258=0,0,$F$262/$F$258)</f>
        <v>0</v>
      </c>
    </row>
    <row r="274" ht="17" customHeight="1">
      <c r="B274" s="5" t="inlineStr">
        <is>
          <t>介助者がいないこと</t>
        </is>
      </c>
      <c r="C274" s="27">
        <f>IF($C$258=0,0,$C$263/$C$258)</f>
        <v>0</v>
      </c>
      <c r="D274" s="27">
        <f>IF($D$258=0,0,$D$263/$D$258)</f>
        <v>0.2</v>
      </c>
      <c r="E274" s="27">
        <f>IF($E$258=0,0,$E$263/$E$258)</f>
        <v>0.0769230769230769</v>
      </c>
      <c r="F274" s="27">
        <f>IF($F$258=0,0,$F$263/$F$258)</f>
        <v>0</v>
      </c>
    </row>
    <row r="275" ht="17" customHeight="1">
      <c r="B275" s="5" t="inlineStr">
        <is>
          <t>情報が届かないこと</t>
        </is>
      </c>
      <c r="C275" s="27">
        <f>IF($C$258=0,0,$C$264/$C$258)</f>
        <v>1</v>
      </c>
      <c r="D275" s="27">
        <f>IF($D$258=0,0,$D$264/$D$258)</f>
        <v>0.2</v>
      </c>
      <c r="E275" s="27">
        <f>IF($E$258=0,0,$E$264/$E$258)</f>
        <v>0.0769230769230769</v>
      </c>
      <c r="F275" s="27">
        <f>IF($F$258=0,0,$F$264/$F$258)</f>
        <v>0</v>
      </c>
    </row>
    <row r="276" ht="17" customHeight="1">
      <c r="B276" s="5" t="inlineStr">
        <is>
          <t>冬季・積雪時の避難</t>
        </is>
      </c>
      <c r="C276" s="27">
        <f>IF($C$258=0,0,$C$265/$C$258)</f>
        <v>0</v>
      </c>
      <c r="D276" s="27">
        <f>IF($D$258=0,0,$D$265/$D$258)</f>
        <v>0.6</v>
      </c>
      <c r="E276" s="27">
        <f>IF($E$258=0,0,$E$265/$E$258)</f>
        <v>0.461538461538462</v>
      </c>
      <c r="F276" s="27">
        <f>IF($F$258=0,0,$F$265/$F$258)</f>
        <v>0</v>
      </c>
    </row>
    <row r="277" ht="17" customHeight="1">
      <c r="B277" s="5" t="inlineStr">
        <is>
          <t>特に不安はない</t>
        </is>
      </c>
      <c r="C277" s="27">
        <f>IF($C$258=0,0,$C$266/$C$258)</f>
        <v>0</v>
      </c>
      <c r="D277" s="27">
        <f>IF($D$258=0,0,$D$266/$D$258)</f>
        <v>0</v>
      </c>
      <c r="E277" s="27">
        <f>IF($E$258=0,0,$E$266/$E$258)</f>
        <v>0.0769230769230769</v>
      </c>
      <c r="F277" s="27">
        <f>IF($F$258=0,0,$F$266/$F$258)</f>
        <v>1</v>
      </c>
    </row>
    <row r="278" ht="27" customHeight="1">
      <c r="B278" s="12" t="inlineStr">
        <is>
          <t>※色が濃いほど割合が高く、太字は各区分で最も割合が高い項目です（条件付き書式）。全ての区分で回答のなかった「ペット・補助犬等」「その他」は省略しています。</t>
        </is>
      </c>
    </row>
    <row r="280" ht="21" customHeight="1">
      <c r="B280" s="7" t="inlineStr">
        <is>
          <t>表4-9　障がい種別 × 必要だと思う合理的配慮（問6×問36）</t>
        </is>
      </c>
    </row>
    <row r="281">
      <c r="B281" s="24" t="inlineStr">
        <is>
          <t>【件数】青字のセルが入力値です</t>
        </is>
      </c>
    </row>
    <row r="282" ht="31" customHeight="1">
      <c r="B282" s="3" t="inlineStr">
        <is>
          <t>区分</t>
        </is>
      </c>
      <c r="C282" s="3" t="inlineStr">
        <is>
          <t>身体障がい</t>
        </is>
      </c>
      <c r="D282" s="3" t="inlineStr">
        <is>
          <t>知的障がい</t>
        </is>
      </c>
      <c r="E282" s="3" t="inlineStr">
        <is>
          <t>精神障がい</t>
        </is>
      </c>
      <c r="F282" s="3" t="inlineStr">
        <is>
          <t>発達障がい</t>
        </is>
      </c>
      <c r="G282" s="3" t="inlineStr">
        <is>
          <t>わからない・その他</t>
        </is>
      </c>
    </row>
    <row r="283">
      <c r="B283" s="20" t="inlineStr">
        <is>
          <t>回答者数（n）</t>
        </is>
      </c>
      <c r="C283" s="25" t="n">
        <v>26</v>
      </c>
      <c r="D283" s="25" t="n">
        <v>2</v>
      </c>
      <c r="E283" s="25" t="n">
        <v>4</v>
      </c>
      <c r="F283" s="25" t="n">
        <v>3</v>
      </c>
      <c r="G283" s="25" t="n">
        <v>2</v>
      </c>
    </row>
    <row r="284" ht="17" customHeight="1">
      <c r="B284" s="5" t="inlineStr">
        <is>
          <t>わかりやすい説明</t>
        </is>
      </c>
      <c r="C284" s="26" t="n">
        <v>10</v>
      </c>
      <c r="D284" s="26" t="n">
        <v>1</v>
      </c>
      <c r="E284" s="26" t="n">
        <v>2</v>
      </c>
      <c r="F284" s="26" t="n">
        <v>2</v>
      </c>
      <c r="G284" s="26" t="n">
        <v>0</v>
      </c>
    </row>
    <row r="285" ht="30" customHeight="1">
      <c r="B285" s="5" t="inlineStr">
        <is>
          <t>筆談・手話・要約筆記・字幕等の意思疎通支援</t>
        </is>
      </c>
      <c r="C285" s="26" t="n">
        <v>8</v>
      </c>
      <c r="D285" s="26" t="n">
        <v>0</v>
      </c>
      <c r="E285" s="26" t="n">
        <v>1</v>
      </c>
      <c r="F285" s="26" t="n">
        <v>0</v>
      </c>
      <c r="G285" s="26" t="n">
        <v>0</v>
      </c>
    </row>
    <row r="286" ht="17" customHeight="1">
      <c r="B286" s="5" t="inlineStr">
        <is>
          <t>静かな場所での相談</t>
        </is>
      </c>
      <c r="C286" s="26" t="n">
        <v>1</v>
      </c>
      <c r="D286" s="26" t="n">
        <v>0</v>
      </c>
      <c r="E286" s="26" t="n">
        <v>1</v>
      </c>
      <c r="F286" s="26" t="n">
        <v>0</v>
      </c>
      <c r="G286" s="26" t="n">
        <v>0</v>
      </c>
    </row>
    <row r="287" ht="17" customHeight="1">
      <c r="B287" s="5" t="inlineStr">
        <is>
          <t>移動しやすい環境</t>
        </is>
      </c>
      <c r="C287" s="26" t="n">
        <v>5</v>
      </c>
      <c r="D287" s="26" t="n">
        <v>1</v>
      </c>
      <c r="E287" s="26" t="n">
        <v>2</v>
      </c>
      <c r="F287" s="26" t="n">
        <v>1</v>
      </c>
      <c r="G287" s="26" t="n">
        <v>0</v>
      </c>
    </row>
    <row r="288" ht="17" customHeight="1">
      <c r="B288" s="5" t="inlineStr">
        <is>
          <t>手続きの支援</t>
        </is>
      </c>
      <c r="C288" s="26" t="n">
        <v>8</v>
      </c>
      <c r="D288" s="26" t="n">
        <v>2</v>
      </c>
      <c r="E288" s="26" t="n">
        <v>2</v>
      </c>
      <c r="F288" s="26" t="n">
        <v>2</v>
      </c>
      <c r="G288" s="26" t="n">
        <v>1</v>
      </c>
    </row>
    <row r="289" ht="17" customHeight="1">
      <c r="B289" s="5" t="inlineStr">
        <is>
          <t>本人の意思確認を丁寧に行うこと</t>
        </is>
      </c>
      <c r="C289" s="26" t="n">
        <v>7</v>
      </c>
      <c r="D289" s="26" t="n">
        <v>2</v>
      </c>
      <c r="E289" s="26" t="n">
        <v>3</v>
      </c>
      <c r="F289" s="26" t="n">
        <v>0</v>
      </c>
      <c r="G289" s="26" t="n">
        <v>0</v>
      </c>
    </row>
    <row r="290" ht="17" customHeight="1">
      <c r="B290" s="5" t="inlineStr">
        <is>
          <t>職場・学校での配慮</t>
        </is>
      </c>
      <c r="C290" s="26" t="n">
        <v>3</v>
      </c>
      <c r="D290" s="26" t="n">
        <v>0</v>
      </c>
      <c r="E290" s="26" t="n">
        <v>0</v>
      </c>
      <c r="F290" s="26" t="n">
        <v>0</v>
      </c>
      <c r="G290" s="26" t="n">
        <v>0</v>
      </c>
    </row>
    <row r="291" ht="17" customHeight="1">
      <c r="B291" s="5" t="inlineStr">
        <is>
          <t>特にない</t>
        </is>
      </c>
      <c r="C291" s="26" t="n">
        <v>4</v>
      </c>
      <c r="D291" s="26" t="n">
        <v>0</v>
      </c>
      <c r="E291" s="26" t="n">
        <v>1</v>
      </c>
      <c r="F291" s="26" t="n">
        <v>0</v>
      </c>
      <c r="G291" s="26" t="n">
        <v>1</v>
      </c>
    </row>
    <row r="293">
      <c r="B293" s="24" t="inlineStr">
        <is>
          <t>【割合】各区分の回答者数（n）に占める割合（計算式）</t>
        </is>
      </c>
    </row>
    <row r="294" ht="31" customHeight="1">
      <c r="B294" s="3" t="inlineStr">
        <is>
          <t>区分</t>
        </is>
      </c>
      <c r="C294" s="3" t="inlineStr">
        <is>
          <t>身体障がい</t>
        </is>
      </c>
      <c r="D294" s="3" t="inlineStr">
        <is>
          <t>知的障がい</t>
        </is>
      </c>
      <c r="E294" s="3" t="inlineStr">
        <is>
          <t>精神障がい</t>
        </is>
      </c>
      <c r="F294" s="3" t="inlineStr">
        <is>
          <t>発達障がい</t>
        </is>
      </c>
      <c r="G294" s="3" t="inlineStr">
        <is>
          <t>わからない・その他</t>
        </is>
      </c>
    </row>
    <row r="295" ht="17" customHeight="1">
      <c r="B295" s="5" t="inlineStr">
        <is>
          <t>わかりやすい説明</t>
        </is>
      </c>
      <c r="C295" s="27">
        <f>IF($C$283=0,0,$C$284/$C$283)</f>
        <v>0.384615384615385</v>
      </c>
      <c r="D295" s="27">
        <f>IF($D$283=0,0,$D$284/$D$283)</f>
        <v>0.5</v>
      </c>
      <c r="E295" s="27">
        <f>IF($E$283=0,0,$E$284/$E$283)</f>
        <v>0.5</v>
      </c>
      <c r="F295" s="27">
        <f>IF($F$283=0,0,$F$284/$F$283)</f>
        <v>0.666666666666667</v>
      </c>
      <c r="G295" s="27">
        <f>IF($G$283=0,0,$G$284/$G$283)</f>
        <v>0</v>
      </c>
    </row>
    <row r="296" ht="30" customHeight="1">
      <c r="B296" s="5" t="inlineStr">
        <is>
          <t>筆談・手話・要約筆記・字幕等の意思疎通支援</t>
        </is>
      </c>
      <c r="C296" s="27">
        <f>IF($C$283=0,0,$C$285/$C$283)</f>
        <v>0.307692307692308</v>
      </c>
      <c r="D296" s="27">
        <f>IF($D$283=0,0,$D$285/$D$283)</f>
        <v>0</v>
      </c>
      <c r="E296" s="27">
        <f>IF($E$283=0,0,$E$285/$E$283)</f>
        <v>0.25</v>
      </c>
      <c r="F296" s="27">
        <f>IF($F$283=0,0,$F$285/$F$283)</f>
        <v>0</v>
      </c>
      <c r="G296" s="27">
        <f>IF($G$283=0,0,$G$285/$G$283)</f>
        <v>0</v>
      </c>
    </row>
    <row r="297" ht="17" customHeight="1">
      <c r="B297" s="5" t="inlineStr">
        <is>
          <t>静かな場所での相談</t>
        </is>
      </c>
      <c r="C297" s="27">
        <f>IF($C$283=0,0,$C$286/$C$283)</f>
        <v>0.0384615384615385</v>
      </c>
      <c r="D297" s="27">
        <f>IF($D$283=0,0,$D$286/$D$283)</f>
        <v>0</v>
      </c>
      <c r="E297" s="27">
        <f>IF($E$283=0,0,$E$286/$E$283)</f>
        <v>0.25</v>
      </c>
      <c r="F297" s="27">
        <f>IF($F$283=0,0,$F$286/$F$283)</f>
        <v>0</v>
      </c>
      <c r="G297" s="27">
        <f>IF($G$283=0,0,$G$286/$G$283)</f>
        <v>0</v>
      </c>
    </row>
    <row r="298" ht="17" customHeight="1">
      <c r="B298" s="5" t="inlineStr">
        <is>
          <t>移動しやすい環境</t>
        </is>
      </c>
      <c r="C298" s="27">
        <f>IF($C$283=0,0,$C$287/$C$283)</f>
        <v>0.192307692307692</v>
      </c>
      <c r="D298" s="27">
        <f>IF($D$283=0,0,$D$287/$D$283)</f>
        <v>0.5</v>
      </c>
      <c r="E298" s="27">
        <f>IF($E$283=0,0,$E$287/$E$283)</f>
        <v>0.5</v>
      </c>
      <c r="F298" s="27">
        <f>IF($F$283=0,0,$F$287/$F$283)</f>
        <v>0.333333333333333</v>
      </c>
      <c r="G298" s="27">
        <f>IF($G$283=0,0,$G$287/$G$283)</f>
        <v>0</v>
      </c>
    </row>
    <row r="299" ht="17" customHeight="1">
      <c r="B299" s="5" t="inlineStr">
        <is>
          <t>手続きの支援</t>
        </is>
      </c>
      <c r="C299" s="27">
        <f>IF($C$283=0,0,$C$288/$C$283)</f>
        <v>0.307692307692308</v>
      </c>
      <c r="D299" s="27">
        <f>IF($D$283=0,0,$D$288/$D$283)</f>
        <v>1</v>
      </c>
      <c r="E299" s="27">
        <f>IF($E$283=0,0,$E$288/$E$283)</f>
        <v>0.5</v>
      </c>
      <c r="F299" s="27">
        <f>IF($F$283=0,0,$F$288/$F$283)</f>
        <v>0.666666666666667</v>
      </c>
      <c r="G299" s="27">
        <f>IF($G$283=0,0,$G$288/$G$283)</f>
        <v>0.5</v>
      </c>
    </row>
    <row r="300" ht="17" customHeight="1">
      <c r="B300" s="5" t="inlineStr">
        <is>
          <t>本人の意思確認を丁寧に行うこと</t>
        </is>
      </c>
      <c r="C300" s="27">
        <f>IF($C$283=0,0,$C$289/$C$283)</f>
        <v>0.269230769230769</v>
      </c>
      <c r="D300" s="27">
        <f>IF($D$283=0,0,$D$289/$D$283)</f>
        <v>1</v>
      </c>
      <c r="E300" s="27">
        <f>IF($E$283=0,0,$E$289/$E$283)</f>
        <v>0.75</v>
      </c>
      <c r="F300" s="27">
        <f>IF($F$283=0,0,$F$289/$F$283)</f>
        <v>0</v>
      </c>
      <c r="G300" s="27">
        <f>IF($G$283=0,0,$G$289/$G$283)</f>
        <v>0</v>
      </c>
    </row>
    <row r="301" ht="17" customHeight="1">
      <c r="B301" s="5" t="inlineStr">
        <is>
          <t>職場・学校での配慮</t>
        </is>
      </c>
      <c r="C301" s="27">
        <f>IF($C$283=0,0,$C$290/$C$283)</f>
        <v>0.115384615384615</v>
      </c>
      <c r="D301" s="27">
        <f>IF($D$283=0,0,$D$290/$D$283)</f>
        <v>0</v>
      </c>
      <c r="E301" s="27">
        <f>IF($E$283=0,0,$E$290/$E$283)</f>
        <v>0</v>
      </c>
      <c r="F301" s="27">
        <f>IF($F$283=0,0,$F$290/$F$283)</f>
        <v>0</v>
      </c>
      <c r="G301" s="27">
        <f>IF($G$283=0,0,$G$290/$G$283)</f>
        <v>0</v>
      </c>
    </row>
    <row r="302" ht="17" customHeight="1">
      <c r="B302" s="5" t="inlineStr">
        <is>
          <t>特にない</t>
        </is>
      </c>
      <c r="C302" s="27">
        <f>IF($C$283=0,0,$C$291/$C$283)</f>
        <v>0.153846153846154</v>
      </c>
      <c r="D302" s="27">
        <f>IF($D$283=0,0,$D$291/$D$283)</f>
        <v>0</v>
      </c>
      <c r="E302" s="27">
        <f>IF($E$283=0,0,$E$291/$E$283)</f>
        <v>0.25</v>
      </c>
      <c r="F302" s="27">
        <f>IF($F$283=0,0,$F$291/$F$283)</f>
        <v>0</v>
      </c>
      <c r="G302" s="27">
        <f>IF($G$283=0,0,$G$291/$G$283)</f>
        <v>0.5</v>
      </c>
    </row>
    <row r="303" ht="27" customHeight="1">
      <c r="B303" s="12" t="inlineStr">
        <is>
          <t>※色が濃いほど割合が高く、太字は各区分で最も割合が高い項目です（条件付き書式）。回答者のいない障がい種別及び回答のなかった「その他」は省略しています。</t>
        </is>
      </c>
    </row>
    <row r="305" ht="21" customHeight="1">
      <c r="B305" s="7" t="inlineStr">
        <is>
          <t>表4-10　困ったときの相談先 × 相談支援に期待すること（問22×問26）</t>
        </is>
      </c>
    </row>
    <row r="306">
      <c r="B306" s="24" t="inlineStr">
        <is>
          <t>【件数】青字のセルが入力値です</t>
        </is>
      </c>
    </row>
    <row r="307" ht="44" customHeight="1">
      <c r="B307" s="3" t="inlineStr">
        <is>
          <t>区分</t>
        </is>
      </c>
      <c r="C307" s="3" t="inlineStr">
        <is>
          <t>家族・親族</t>
        </is>
      </c>
      <c r="D307" s="3" t="inlineStr">
        <is>
          <t>友人・知人</t>
        </is>
      </c>
      <c r="E307" s="3" t="inlineStr">
        <is>
          <t>村役場</t>
        </is>
      </c>
      <c r="F307" s="3" t="inlineStr">
        <is>
          <t>相談支援
専門員</t>
        </is>
      </c>
      <c r="G307" s="3" t="inlineStr">
        <is>
          <t>福祉
サービス
事業所</t>
        </is>
      </c>
      <c r="H307" s="3" t="inlineStr">
        <is>
          <t>医療機関</t>
        </is>
      </c>
      <c r="I307" s="3" t="inlineStr">
        <is>
          <t>社会福祉
協議会</t>
        </is>
      </c>
    </row>
    <row r="308">
      <c r="B308" s="20" t="inlineStr">
        <is>
          <t>回答者数（n）</t>
        </is>
      </c>
      <c r="C308" s="25" t="n">
        <v>29</v>
      </c>
      <c r="D308" s="25" t="n">
        <v>6</v>
      </c>
      <c r="E308" s="25" t="n">
        <v>5</v>
      </c>
      <c r="F308" s="25" t="n">
        <v>9</v>
      </c>
      <c r="G308" s="25" t="n">
        <v>5</v>
      </c>
      <c r="H308" s="25" t="n">
        <v>12</v>
      </c>
      <c r="I308" s="25" t="n">
        <v>4</v>
      </c>
    </row>
    <row r="309" ht="17" customHeight="1">
      <c r="B309" s="5" t="inlineStr">
        <is>
          <t>サービス利用の相談</t>
        </is>
      </c>
      <c r="C309" s="26" t="n">
        <v>8</v>
      </c>
      <c r="D309" s="26" t="n">
        <v>3</v>
      </c>
      <c r="E309" s="26" t="n">
        <v>2</v>
      </c>
      <c r="F309" s="26" t="n">
        <v>5</v>
      </c>
      <c r="G309" s="26" t="n">
        <v>3</v>
      </c>
      <c r="H309" s="26" t="n">
        <v>6</v>
      </c>
      <c r="I309" s="26" t="n">
        <v>3</v>
      </c>
    </row>
    <row r="310" ht="17" customHeight="1">
      <c r="B310" s="5" t="inlineStr">
        <is>
          <t>将来の暮らしの相談</t>
        </is>
      </c>
      <c r="C310" s="26" t="n">
        <v>8</v>
      </c>
      <c r="D310" s="26" t="n">
        <v>3</v>
      </c>
      <c r="E310" s="26" t="n">
        <v>1</v>
      </c>
      <c r="F310" s="26" t="n">
        <v>6</v>
      </c>
      <c r="G310" s="26" t="n">
        <v>2</v>
      </c>
      <c r="H310" s="26" t="n">
        <v>7</v>
      </c>
      <c r="I310" s="26" t="n">
        <v>3</v>
      </c>
    </row>
    <row r="311" ht="17" customHeight="1">
      <c r="B311" s="5" t="inlineStr">
        <is>
          <t>就労・日中活動の相談</t>
        </is>
      </c>
      <c r="C311" s="26" t="n">
        <v>1</v>
      </c>
      <c r="D311" s="26" t="n">
        <v>0</v>
      </c>
      <c r="E311" s="26" t="n">
        <v>0</v>
      </c>
      <c r="F311" s="26" t="n">
        <v>1</v>
      </c>
      <c r="G311" s="26" t="n">
        <v>0</v>
      </c>
      <c r="H311" s="26" t="n">
        <v>0</v>
      </c>
      <c r="I311" s="26" t="n">
        <v>0</v>
      </c>
    </row>
    <row r="312" ht="17" customHeight="1">
      <c r="B312" s="5" t="inlineStr">
        <is>
          <t>医療・通院の相談</t>
        </is>
      </c>
      <c r="C312" s="26" t="n">
        <v>6</v>
      </c>
      <c r="D312" s="26" t="n">
        <v>3</v>
      </c>
      <c r="E312" s="26" t="n">
        <v>3</v>
      </c>
      <c r="F312" s="26" t="n">
        <v>1</v>
      </c>
      <c r="G312" s="26" t="n">
        <v>1</v>
      </c>
      <c r="H312" s="26" t="n">
        <v>5</v>
      </c>
      <c r="I312" s="26" t="n">
        <v>1</v>
      </c>
    </row>
    <row r="313" ht="17" customHeight="1">
      <c r="B313" s="5" t="inlineStr">
        <is>
          <t>家族の負担軽減</t>
        </is>
      </c>
      <c r="C313" s="26" t="n">
        <v>3</v>
      </c>
      <c r="D313" s="26" t="n">
        <v>1</v>
      </c>
      <c r="E313" s="26" t="n">
        <v>1</v>
      </c>
      <c r="F313" s="26" t="n">
        <v>0</v>
      </c>
      <c r="G313" s="26" t="n">
        <v>0</v>
      </c>
      <c r="H313" s="26" t="n">
        <v>2</v>
      </c>
      <c r="I313" s="26" t="n">
        <v>0</v>
      </c>
    </row>
    <row r="314" ht="17" customHeight="1">
      <c r="B314" s="5" t="inlineStr">
        <is>
          <t>緊急時の相談</t>
        </is>
      </c>
      <c r="C314" s="26" t="n">
        <v>6</v>
      </c>
      <c r="D314" s="26" t="n">
        <v>1</v>
      </c>
      <c r="E314" s="26" t="n">
        <v>2</v>
      </c>
      <c r="F314" s="26" t="n">
        <v>3</v>
      </c>
      <c r="G314" s="26" t="n">
        <v>1</v>
      </c>
      <c r="H314" s="26" t="n">
        <v>4</v>
      </c>
      <c r="I314" s="26" t="n">
        <v>0</v>
      </c>
    </row>
    <row r="315" ht="17" customHeight="1">
      <c r="B315" s="5" t="inlineStr">
        <is>
          <t>わかりやすい情報提供</t>
        </is>
      </c>
      <c r="C315" s="26" t="n">
        <v>10</v>
      </c>
      <c r="D315" s="26" t="n">
        <v>2</v>
      </c>
      <c r="E315" s="26" t="n">
        <v>3</v>
      </c>
      <c r="F315" s="26" t="n">
        <v>3</v>
      </c>
      <c r="G315" s="26" t="n">
        <v>2</v>
      </c>
      <c r="H315" s="26" t="n">
        <v>4</v>
      </c>
      <c r="I315" s="26" t="n">
        <v>0</v>
      </c>
    </row>
    <row r="316" ht="17" customHeight="1">
      <c r="B316" s="5" t="inlineStr">
        <is>
          <t>その他</t>
        </is>
      </c>
      <c r="C316" s="26" t="n">
        <v>1</v>
      </c>
      <c r="D316" s="26" t="n">
        <v>1</v>
      </c>
      <c r="E316" s="26" t="n">
        <v>0</v>
      </c>
      <c r="F316" s="26" t="n">
        <v>0</v>
      </c>
      <c r="G316" s="26" t="n">
        <v>0</v>
      </c>
      <c r="H316" s="26" t="n">
        <v>1</v>
      </c>
      <c r="I316" s="26" t="n">
        <v>1</v>
      </c>
    </row>
    <row r="318">
      <c r="B318" s="24" t="inlineStr">
        <is>
          <t>【割合】各区分の回答者数（n）に占める割合（計算式）</t>
        </is>
      </c>
    </row>
    <row r="319" ht="44" customHeight="1">
      <c r="B319" s="3" t="inlineStr">
        <is>
          <t>区分</t>
        </is>
      </c>
      <c r="C319" s="3" t="inlineStr">
        <is>
          <t>家族・親族</t>
        </is>
      </c>
      <c r="D319" s="3" t="inlineStr">
        <is>
          <t>友人・知人</t>
        </is>
      </c>
      <c r="E319" s="3" t="inlineStr">
        <is>
          <t>村役場</t>
        </is>
      </c>
      <c r="F319" s="3" t="inlineStr">
        <is>
          <t>相談支援
専門員</t>
        </is>
      </c>
      <c r="G319" s="3" t="inlineStr">
        <is>
          <t>福祉
サービス
事業所</t>
        </is>
      </c>
      <c r="H319" s="3" t="inlineStr">
        <is>
          <t>医療機関</t>
        </is>
      </c>
      <c r="I319" s="3" t="inlineStr">
        <is>
          <t>社会福祉
協議会</t>
        </is>
      </c>
    </row>
    <row r="320" ht="17" customHeight="1">
      <c r="B320" s="5" t="inlineStr">
        <is>
          <t>サービス利用の相談</t>
        </is>
      </c>
      <c r="C320" s="27">
        <f>IF($C$308=0,0,$C$309/$C$308)</f>
        <v>0.275862068965517</v>
      </c>
      <c r="D320" s="27">
        <f>IF($D$308=0,0,$D$309/$D$308)</f>
        <v>0.5</v>
      </c>
      <c r="E320" s="27">
        <f>IF($E$308=0,0,$E$309/$E$308)</f>
        <v>0.4</v>
      </c>
      <c r="F320" s="27">
        <f>IF($F$308=0,0,$F$309/$F$308)</f>
        <v>0.555555555555556</v>
      </c>
      <c r="G320" s="27">
        <f>IF($G$308=0,0,$G$309/$G$308)</f>
        <v>0.6</v>
      </c>
      <c r="H320" s="27">
        <f>IF($H$308=0,0,$H$309/$H$308)</f>
        <v>0.5</v>
      </c>
      <c r="I320" s="27">
        <f>IF($I$308=0,0,$I$309/$I$308)</f>
        <v>0.75</v>
      </c>
    </row>
    <row r="321" ht="17" customHeight="1">
      <c r="B321" s="5" t="inlineStr">
        <is>
          <t>将来の暮らしの相談</t>
        </is>
      </c>
      <c r="C321" s="27">
        <f>IF($C$308=0,0,$C$310/$C$308)</f>
        <v>0.275862068965517</v>
      </c>
      <c r="D321" s="27">
        <f>IF($D$308=0,0,$D$310/$D$308)</f>
        <v>0.5</v>
      </c>
      <c r="E321" s="27">
        <f>IF($E$308=0,0,$E$310/$E$308)</f>
        <v>0.2</v>
      </c>
      <c r="F321" s="27">
        <f>IF($F$308=0,0,$F$310/$F$308)</f>
        <v>0.666666666666667</v>
      </c>
      <c r="G321" s="27">
        <f>IF($G$308=0,0,$G$310/$G$308)</f>
        <v>0.4</v>
      </c>
      <c r="H321" s="27">
        <f>IF($H$308=0,0,$H$310/$H$308)</f>
        <v>0.583333333333333</v>
      </c>
      <c r="I321" s="27">
        <f>IF($I$308=0,0,$I$310/$I$308)</f>
        <v>0.75</v>
      </c>
    </row>
    <row r="322" ht="17" customHeight="1">
      <c r="B322" s="5" t="inlineStr">
        <is>
          <t>就労・日中活動の相談</t>
        </is>
      </c>
      <c r="C322" s="27">
        <f>IF($C$308=0,0,$C$311/$C$308)</f>
        <v>0.0344827586206897</v>
      </c>
      <c r="D322" s="27">
        <f>IF($D$308=0,0,$D$311/$D$308)</f>
        <v>0</v>
      </c>
      <c r="E322" s="27">
        <f>IF($E$308=0,0,$E$311/$E$308)</f>
        <v>0</v>
      </c>
      <c r="F322" s="27">
        <f>IF($F$308=0,0,$F$311/$F$308)</f>
        <v>0.111111111111111</v>
      </c>
      <c r="G322" s="27">
        <f>IF($G$308=0,0,$G$311/$G$308)</f>
        <v>0</v>
      </c>
      <c r="H322" s="27">
        <f>IF($H$308=0,0,$H$311/$H$308)</f>
        <v>0</v>
      </c>
      <c r="I322" s="27">
        <f>IF($I$308=0,0,$I$311/$I$308)</f>
        <v>0</v>
      </c>
    </row>
    <row r="323" ht="17" customHeight="1">
      <c r="B323" s="5" t="inlineStr">
        <is>
          <t>医療・通院の相談</t>
        </is>
      </c>
      <c r="C323" s="27">
        <f>IF($C$308=0,0,$C$312/$C$308)</f>
        <v>0.206896551724138</v>
      </c>
      <c r="D323" s="27">
        <f>IF($D$308=0,0,$D$312/$D$308)</f>
        <v>0.5</v>
      </c>
      <c r="E323" s="27">
        <f>IF($E$308=0,0,$E$312/$E$308)</f>
        <v>0.6</v>
      </c>
      <c r="F323" s="27">
        <f>IF($F$308=0,0,$F$312/$F$308)</f>
        <v>0.111111111111111</v>
      </c>
      <c r="G323" s="27">
        <f>IF($G$308=0,0,$G$312/$G$308)</f>
        <v>0.2</v>
      </c>
      <c r="H323" s="27">
        <f>IF($H$308=0,0,$H$312/$H$308)</f>
        <v>0.416666666666667</v>
      </c>
      <c r="I323" s="27">
        <f>IF($I$308=0,0,$I$312/$I$308)</f>
        <v>0.25</v>
      </c>
    </row>
    <row r="324" ht="17" customHeight="1">
      <c r="B324" s="5" t="inlineStr">
        <is>
          <t>家族の負担軽減</t>
        </is>
      </c>
      <c r="C324" s="27">
        <f>IF($C$308=0,0,$C$313/$C$308)</f>
        <v>0.103448275862069</v>
      </c>
      <c r="D324" s="27">
        <f>IF($D$308=0,0,$D$313/$D$308)</f>
        <v>0.166666666666667</v>
      </c>
      <c r="E324" s="27">
        <f>IF($E$308=0,0,$E$313/$E$308)</f>
        <v>0.2</v>
      </c>
      <c r="F324" s="27">
        <f>IF($F$308=0,0,$F$313/$F$308)</f>
        <v>0</v>
      </c>
      <c r="G324" s="27">
        <f>IF($G$308=0,0,$G$313/$G$308)</f>
        <v>0</v>
      </c>
      <c r="H324" s="27">
        <f>IF($H$308=0,0,$H$313/$H$308)</f>
        <v>0.166666666666667</v>
      </c>
      <c r="I324" s="27">
        <f>IF($I$308=0,0,$I$313/$I$308)</f>
        <v>0</v>
      </c>
    </row>
    <row r="325" ht="17" customHeight="1">
      <c r="B325" s="5" t="inlineStr">
        <is>
          <t>緊急時の相談</t>
        </is>
      </c>
      <c r="C325" s="27">
        <f>IF($C$308=0,0,$C$314/$C$308)</f>
        <v>0.206896551724138</v>
      </c>
      <c r="D325" s="27">
        <f>IF($D$308=0,0,$D$314/$D$308)</f>
        <v>0.166666666666667</v>
      </c>
      <c r="E325" s="27">
        <f>IF($E$308=0,0,$E$314/$E$308)</f>
        <v>0.4</v>
      </c>
      <c r="F325" s="27">
        <f>IF($F$308=0,0,$F$314/$F$308)</f>
        <v>0.333333333333333</v>
      </c>
      <c r="G325" s="27">
        <f>IF($G$308=0,0,$G$314/$G$308)</f>
        <v>0.2</v>
      </c>
      <c r="H325" s="27">
        <f>IF($H$308=0,0,$H$314/$H$308)</f>
        <v>0.333333333333333</v>
      </c>
      <c r="I325" s="27">
        <f>IF($I$308=0,0,$I$314/$I$308)</f>
        <v>0</v>
      </c>
    </row>
    <row r="326" ht="17" customHeight="1">
      <c r="B326" s="5" t="inlineStr">
        <is>
          <t>わかりやすい情報提供</t>
        </is>
      </c>
      <c r="C326" s="27">
        <f>IF($C$308=0,0,$C$315/$C$308)</f>
        <v>0.344827586206897</v>
      </c>
      <c r="D326" s="27">
        <f>IF($D$308=0,0,$D$315/$D$308)</f>
        <v>0.333333333333333</v>
      </c>
      <c r="E326" s="27">
        <f>IF($E$308=0,0,$E$315/$E$308)</f>
        <v>0.6</v>
      </c>
      <c r="F326" s="27">
        <f>IF($F$308=0,0,$F$315/$F$308)</f>
        <v>0.333333333333333</v>
      </c>
      <c r="G326" s="27">
        <f>IF($G$308=0,0,$G$315/$G$308)</f>
        <v>0.4</v>
      </c>
      <c r="H326" s="27">
        <f>IF($H$308=0,0,$H$315/$H$308)</f>
        <v>0.333333333333333</v>
      </c>
      <c r="I326" s="27">
        <f>IF($I$308=0,0,$I$315/$I$308)</f>
        <v>0</v>
      </c>
    </row>
    <row r="327" ht="17" customHeight="1">
      <c r="B327" s="5" t="inlineStr">
        <is>
          <t>その他</t>
        </is>
      </c>
      <c r="C327" s="27">
        <f>IF($C$308=0,0,$C$316/$C$308)</f>
        <v>0.0344827586206897</v>
      </c>
      <c r="D327" s="27">
        <f>IF($D$308=0,0,$D$316/$D$308)</f>
        <v>0.166666666666667</v>
      </c>
      <c r="E327" s="27">
        <f>IF($E$308=0,0,$E$316/$E$308)</f>
        <v>0</v>
      </c>
      <c r="F327" s="27">
        <f>IF($F$308=0,0,$F$316/$F$308)</f>
        <v>0</v>
      </c>
      <c r="G327" s="27">
        <f>IF($G$308=0,0,$G$316/$G$308)</f>
        <v>0</v>
      </c>
      <c r="H327" s="27">
        <f>IF($H$308=0,0,$H$316/$H$308)</f>
        <v>0.0833333333333333</v>
      </c>
      <c r="I327" s="27">
        <f>IF($I$308=0,0,$I$316/$I$308)</f>
        <v>0.25</v>
      </c>
    </row>
    <row r="328" ht="27" customHeight="1">
      <c r="B328" s="12" t="inlineStr">
        <is>
          <t>※色が濃いほど割合が高く、太字は各区分で最も割合が高い項目です（条件付き書式）。回答者数が1件の区分（SNS・インターネット・AI、民生委員・児童委員、相談する相手がいない、その他）は省略しています。</t>
        </is>
      </c>
    </row>
    <row r="330" ht="21" customHeight="1">
      <c r="B330" s="7" t="inlineStr">
        <is>
          <t>表4-11　主な介助者 × 地域生活支援拠点等に期待する機能（問9×問29）</t>
        </is>
      </c>
    </row>
    <row r="331">
      <c r="B331" s="24" t="inlineStr">
        <is>
          <t>【件数】青字のセルが入力値です</t>
        </is>
      </c>
    </row>
    <row r="332" ht="44" customHeight="1">
      <c r="B332" s="3" t="inlineStr">
        <is>
          <t>区分</t>
        </is>
      </c>
      <c r="C332" s="3" t="inlineStr">
        <is>
          <t>介助は必要ない</t>
        </is>
      </c>
      <c r="D332" s="3" t="inlineStr">
        <is>
          <t>親</t>
        </is>
      </c>
      <c r="E332" s="3" t="inlineStr">
        <is>
          <t>配偶者</t>
        </is>
      </c>
      <c r="F332" s="3" t="inlineStr">
        <is>
          <t>子ども</t>
        </is>
      </c>
      <c r="G332" s="3" t="inlineStr">
        <is>
          <t>施設・事業所
職員</t>
        </is>
      </c>
    </row>
    <row r="333">
      <c r="B333" s="20" t="inlineStr">
        <is>
          <t>回答者数（n）</t>
        </is>
      </c>
      <c r="C333" s="25" t="n">
        <v>17</v>
      </c>
      <c r="D333" s="25" t="n">
        <v>5</v>
      </c>
      <c r="E333" s="25" t="n">
        <v>6</v>
      </c>
      <c r="F333" s="25" t="n">
        <v>9</v>
      </c>
      <c r="G333" s="25" t="n">
        <v>7</v>
      </c>
    </row>
    <row r="334" ht="17" customHeight="1">
      <c r="B334" s="5" t="inlineStr">
        <is>
          <t>緊急時の相談</t>
        </is>
      </c>
      <c r="C334" s="26" t="n">
        <v>5</v>
      </c>
      <c r="D334" s="26" t="n">
        <v>1</v>
      </c>
      <c r="E334" s="26" t="n">
        <v>3</v>
      </c>
      <c r="F334" s="26" t="n">
        <v>2</v>
      </c>
      <c r="G334" s="26" t="n">
        <v>3</v>
      </c>
    </row>
    <row r="335" ht="17" customHeight="1">
      <c r="B335" s="5" t="inlineStr">
        <is>
          <t>緊急時の受入れ</t>
        </is>
      </c>
      <c r="C335" s="26" t="n">
        <v>4</v>
      </c>
      <c r="D335" s="26" t="n">
        <v>2</v>
      </c>
      <c r="E335" s="26" t="n">
        <v>3</v>
      </c>
      <c r="F335" s="26" t="n">
        <v>1</v>
      </c>
      <c r="G335" s="26" t="n">
        <v>4</v>
      </c>
    </row>
    <row r="336" ht="17" customHeight="1">
      <c r="B336" s="5" t="inlineStr">
        <is>
          <t>短期入所の確保</t>
        </is>
      </c>
      <c r="C336" s="26" t="n">
        <v>0</v>
      </c>
      <c r="D336" s="26" t="n">
        <v>1</v>
      </c>
      <c r="E336" s="26" t="n">
        <v>1</v>
      </c>
      <c r="F336" s="26" t="n">
        <v>0</v>
      </c>
      <c r="G336" s="26" t="n">
        <v>1</v>
      </c>
    </row>
    <row r="337" ht="17" customHeight="1">
      <c r="B337" s="5" t="inlineStr">
        <is>
          <t>一人暮らし・グループホーム体験</t>
        </is>
      </c>
      <c r="C337" s="26" t="n">
        <v>0</v>
      </c>
      <c r="D337" s="26" t="n">
        <v>0</v>
      </c>
      <c r="E337" s="26" t="n">
        <v>0</v>
      </c>
      <c r="F337" s="26" t="n">
        <v>0</v>
      </c>
      <c r="G337" s="26" t="n">
        <v>0</v>
      </c>
    </row>
    <row r="338" ht="17" customHeight="1">
      <c r="B338" s="5" t="inlineStr">
        <is>
          <t>専門的人材の確保</t>
        </is>
      </c>
      <c r="C338" s="26" t="n">
        <v>4</v>
      </c>
      <c r="D338" s="26" t="n">
        <v>0</v>
      </c>
      <c r="E338" s="26" t="n">
        <v>1</v>
      </c>
      <c r="F338" s="26" t="n">
        <v>0</v>
      </c>
      <c r="G338" s="26" t="n">
        <v>0</v>
      </c>
    </row>
    <row r="339" ht="17" customHeight="1">
      <c r="B339" s="5" t="inlineStr">
        <is>
          <t>地域の事業所との連携</t>
        </is>
      </c>
      <c r="C339" s="26" t="n">
        <v>3</v>
      </c>
      <c r="D339" s="26" t="n">
        <v>0</v>
      </c>
      <c r="E339" s="26" t="n">
        <v>1</v>
      </c>
      <c r="F339" s="26" t="n">
        <v>1</v>
      </c>
      <c r="G339" s="26" t="n">
        <v>1</v>
      </c>
    </row>
    <row r="340" ht="17" customHeight="1">
      <c r="B340" s="5" t="inlineStr">
        <is>
          <t>制度を知らない</t>
        </is>
      </c>
      <c r="C340" s="26" t="n">
        <v>3</v>
      </c>
      <c r="D340" s="26" t="n">
        <v>2</v>
      </c>
      <c r="E340" s="26" t="n">
        <v>2</v>
      </c>
      <c r="F340" s="26" t="n">
        <v>2</v>
      </c>
      <c r="G340" s="26" t="n">
        <v>1</v>
      </c>
    </row>
    <row r="341" ht="17" customHeight="1">
      <c r="B341" s="5" t="inlineStr">
        <is>
          <t>特にない</t>
        </is>
      </c>
      <c r="C341" s="26" t="n">
        <v>4</v>
      </c>
      <c r="D341" s="26" t="n">
        <v>0</v>
      </c>
      <c r="E341" s="26" t="n">
        <v>0</v>
      </c>
      <c r="F341" s="26" t="n">
        <v>1</v>
      </c>
      <c r="G341" s="26" t="n">
        <v>0</v>
      </c>
    </row>
    <row r="343">
      <c r="B343" s="24" t="inlineStr">
        <is>
          <t>【割合】各区分の回答者数（n）に占める割合（計算式）</t>
        </is>
      </c>
    </row>
    <row r="344" ht="44" customHeight="1">
      <c r="B344" s="3" t="inlineStr">
        <is>
          <t>区分</t>
        </is>
      </c>
      <c r="C344" s="3" t="inlineStr">
        <is>
          <t>介助は必要ない</t>
        </is>
      </c>
      <c r="D344" s="3" t="inlineStr">
        <is>
          <t>親</t>
        </is>
      </c>
      <c r="E344" s="3" t="inlineStr">
        <is>
          <t>配偶者</t>
        </is>
      </c>
      <c r="F344" s="3" t="inlineStr">
        <is>
          <t>子ども</t>
        </is>
      </c>
      <c r="G344" s="3" t="inlineStr">
        <is>
          <t>施設・事業所
職員</t>
        </is>
      </c>
    </row>
    <row r="345" ht="17" customHeight="1">
      <c r="B345" s="5" t="inlineStr">
        <is>
          <t>緊急時の相談</t>
        </is>
      </c>
      <c r="C345" s="27">
        <f>IF($C$333=0,0,$C$334/$C$333)</f>
        <v>0.294117647058824</v>
      </c>
      <c r="D345" s="27">
        <f>IF($D$333=0,0,$D$334/$D$333)</f>
        <v>0.2</v>
      </c>
      <c r="E345" s="27">
        <f>IF($E$333=0,0,$E$334/$E$333)</f>
        <v>0.5</v>
      </c>
      <c r="F345" s="27">
        <f>IF($F$333=0,0,$F$334/$F$333)</f>
        <v>0.222222222222222</v>
      </c>
      <c r="G345" s="27">
        <f>IF($G$333=0,0,$G$334/$G$333)</f>
        <v>0.428571428571429</v>
      </c>
    </row>
    <row r="346" ht="17" customHeight="1">
      <c r="B346" s="5" t="inlineStr">
        <is>
          <t>緊急時の受入れ</t>
        </is>
      </c>
      <c r="C346" s="27">
        <f>IF($C$333=0,0,$C$335/$C$333)</f>
        <v>0.235294117647059</v>
      </c>
      <c r="D346" s="27">
        <f>IF($D$333=0,0,$D$335/$D$333)</f>
        <v>0.4</v>
      </c>
      <c r="E346" s="27">
        <f>IF($E$333=0,0,$E$335/$E$333)</f>
        <v>0.5</v>
      </c>
      <c r="F346" s="27">
        <f>IF($F$333=0,0,$F$335/$F$333)</f>
        <v>0.111111111111111</v>
      </c>
      <c r="G346" s="27">
        <f>IF($G$333=0,0,$G$335/$G$333)</f>
        <v>0.571428571428571</v>
      </c>
    </row>
    <row r="347" ht="17" customHeight="1">
      <c r="B347" s="5" t="inlineStr">
        <is>
          <t>短期入所の確保</t>
        </is>
      </c>
      <c r="C347" s="27">
        <f>IF($C$333=0,0,$C$336/$C$333)</f>
        <v>0</v>
      </c>
      <c r="D347" s="27">
        <f>IF($D$333=0,0,$D$336/$D$333)</f>
        <v>0.2</v>
      </c>
      <c r="E347" s="27">
        <f>IF($E$333=0,0,$E$336/$E$333)</f>
        <v>0.166666666666667</v>
      </c>
      <c r="F347" s="27">
        <f>IF($F$333=0,0,$F$336/$F$333)</f>
        <v>0</v>
      </c>
      <c r="G347" s="27">
        <f>IF($G$333=0,0,$G$336/$G$333)</f>
        <v>0.142857142857143</v>
      </c>
    </row>
    <row r="348" ht="17" customHeight="1">
      <c r="B348" s="5" t="inlineStr">
        <is>
          <t>一人暮らし・グループホーム体験</t>
        </is>
      </c>
      <c r="C348" s="27">
        <f>IF($C$333=0,0,$C$337/$C$333)</f>
        <v>0</v>
      </c>
      <c r="D348" s="27">
        <f>IF($D$333=0,0,$D$337/$D$333)</f>
        <v>0</v>
      </c>
      <c r="E348" s="27">
        <f>IF($E$333=0,0,$E$337/$E$333)</f>
        <v>0</v>
      </c>
      <c r="F348" s="27">
        <f>IF($F$333=0,0,$F$337/$F$333)</f>
        <v>0</v>
      </c>
      <c r="G348" s="27">
        <f>IF($G$333=0,0,$G$337/$G$333)</f>
        <v>0</v>
      </c>
    </row>
    <row r="349" ht="17" customHeight="1">
      <c r="B349" s="5" t="inlineStr">
        <is>
          <t>専門的人材の確保</t>
        </is>
      </c>
      <c r="C349" s="27">
        <f>IF($C$333=0,0,$C$338/$C$333)</f>
        <v>0.235294117647059</v>
      </c>
      <c r="D349" s="27">
        <f>IF($D$333=0,0,$D$338/$D$333)</f>
        <v>0</v>
      </c>
      <c r="E349" s="27">
        <f>IF($E$333=0,0,$E$338/$E$333)</f>
        <v>0.166666666666667</v>
      </c>
      <c r="F349" s="27">
        <f>IF($F$333=0,0,$F$338/$F$333)</f>
        <v>0</v>
      </c>
      <c r="G349" s="27">
        <f>IF($G$333=0,0,$G$338/$G$333)</f>
        <v>0</v>
      </c>
    </row>
    <row r="350" ht="17" customHeight="1">
      <c r="B350" s="5" t="inlineStr">
        <is>
          <t>地域の事業所との連携</t>
        </is>
      </c>
      <c r="C350" s="27">
        <f>IF($C$333=0,0,$C$339/$C$333)</f>
        <v>0.176470588235294</v>
      </c>
      <c r="D350" s="27">
        <f>IF($D$333=0,0,$D$339/$D$333)</f>
        <v>0</v>
      </c>
      <c r="E350" s="27">
        <f>IF($E$333=0,0,$E$339/$E$333)</f>
        <v>0.166666666666667</v>
      </c>
      <c r="F350" s="27">
        <f>IF($F$333=0,0,$F$339/$F$333)</f>
        <v>0.111111111111111</v>
      </c>
      <c r="G350" s="27">
        <f>IF($G$333=0,0,$G$339/$G$333)</f>
        <v>0.142857142857143</v>
      </c>
    </row>
    <row r="351" ht="17" customHeight="1">
      <c r="B351" s="5" t="inlineStr">
        <is>
          <t>制度を知らない</t>
        </is>
      </c>
      <c r="C351" s="27">
        <f>IF($C$333=0,0,$C$340/$C$333)</f>
        <v>0.176470588235294</v>
      </c>
      <c r="D351" s="27">
        <f>IF($D$333=0,0,$D$340/$D$333)</f>
        <v>0.4</v>
      </c>
      <c r="E351" s="27">
        <f>IF($E$333=0,0,$E$340/$E$333)</f>
        <v>0.333333333333333</v>
      </c>
      <c r="F351" s="27">
        <f>IF($F$333=0,0,$F$340/$F$333)</f>
        <v>0.222222222222222</v>
      </c>
      <c r="G351" s="27">
        <f>IF($G$333=0,0,$G$340/$G$333)</f>
        <v>0.142857142857143</v>
      </c>
    </row>
    <row r="352" ht="17" customHeight="1">
      <c r="B352" s="5" t="inlineStr">
        <is>
          <t>特にない</t>
        </is>
      </c>
      <c r="C352" s="27">
        <f>IF($C$333=0,0,$C$341/$C$333)</f>
        <v>0.235294117647059</v>
      </c>
      <c r="D352" s="27">
        <f>IF($D$333=0,0,$D$341/$D$333)</f>
        <v>0</v>
      </c>
      <c r="E352" s="27">
        <f>IF($E$333=0,0,$E$341/$E$333)</f>
        <v>0</v>
      </c>
      <c r="F352" s="27">
        <f>IF($F$333=0,0,$F$341/$F$333)</f>
        <v>0.111111111111111</v>
      </c>
      <c r="G352" s="27">
        <f>IF($G$333=0,0,$G$341/$G$333)</f>
        <v>0</v>
      </c>
    </row>
    <row r="353" ht="39" customHeight="1">
      <c r="B353" s="12" t="inlineStr">
        <is>
          <t>※色が濃いほど割合が高く、太字は各区分で最も割合が高い項目です（条件付き書式）。回答者数が2件以下の区分（その他の親族、ホームヘルパー等、主な支援者はいない）及び回答のなかった「その他」は省略しています。</t>
        </is>
      </c>
    </row>
  </sheetData>
  <mergeCells count="35">
    <mergeCell ref="B353:G353"/>
    <mergeCell ref="C6:G6"/>
    <mergeCell ref="C5:G5"/>
    <mergeCell ref="B89:E89"/>
    <mergeCell ref="H11:J11"/>
    <mergeCell ref="H7:J7"/>
    <mergeCell ref="C4:G4"/>
    <mergeCell ref="B154:H154"/>
    <mergeCell ref="B163:K163"/>
    <mergeCell ref="C10:G10"/>
    <mergeCell ref="B253:I253"/>
    <mergeCell ref="H13:J13"/>
    <mergeCell ref="B278:F278"/>
    <mergeCell ref="H12:J12"/>
    <mergeCell ref="H3:J3"/>
    <mergeCell ref="C9:G9"/>
    <mergeCell ref="B328:I328"/>
    <mergeCell ref="C12:G12"/>
    <mergeCell ref="H5:J5"/>
    <mergeCell ref="C11:G11"/>
    <mergeCell ref="H8:J8"/>
    <mergeCell ref="B50:G50"/>
    <mergeCell ref="C8:G8"/>
    <mergeCell ref="B129:G129"/>
    <mergeCell ref="C7:G7"/>
    <mergeCell ref="H10:J10"/>
    <mergeCell ref="H4:J4"/>
    <mergeCell ref="B204:F204"/>
    <mergeCell ref="H9:J9"/>
    <mergeCell ref="B219:D219"/>
    <mergeCell ref="B303:G303"/>
    <mergeCell ref="C13:G13"/>
    <mergeCell ref="B77:G77"/>
    <mergeCell ref="C3:G3"/>
    <mergeCell ref="H6:J6"/>
  </mergeCells>
  <conditionalFormatting sqref="C36:G49">
    <cfRule type="colorScale" priority="1">
      <colorScale>
        <cfvo type="num" val="0"/>
        <cfvo type="num" val="1"/>
        <color rgb="00FFFFFF"/>
        <color rgb="006FA3DF"/>
      </colorScale>
    </cfRule>
  </conditionalFormatting>
  <conditionalFormatting sqref="C36:C49">
    <cfRule type="top10" rank="1" priority="2" dxfId="1"/>
  </conditionalFormatting>
  <conditionalFormatting sqref="D36:D49">
    <cfRule type="top10" rank="1" priority="3" dxfId="1"/>
  </conditionalFormatting>
  <conditionalFormatting sqref="E36:E49">
    <cfRule type="top10" rank="1" priority="4" dxfId="1"/>
  </conditionalFormatting>
  <conditionalFormatting sqref="F36:F49">
    <cfRule type="top10" rank="1" priority="5" dxfId="1"/>
  </conditionalFormatting>
  <conditionalFormatting sqref="G36:G49">
    <cfRule type="top10" rank="1" priority="6" dxfId="1"/>
  </conditionalFormatting>
  <conditionalFormatting sqref="C68:G76">
    <cfRule type="colorScale" priority="7">
      <colorScale>
        <cfvo type="num" val="0"/>
        <cfvo type="num" val="1"/>
        <color rgb="00FFFFFF"/>
        <color rgb="006FA3DF"/>
      </colorScale>
    </cfRule>
  </conditionalFormatting>
  <conditionalFormatting sqref="C68:C76">
    <cfRule type="top10" rank="1" priority="8" dxfId="1"/>
  </conditionalFormatting>
  <conditionalFormatting sqref="D68:D76">
    <cfRule type="top10" rank="1" priority="9" dxfId="1"/>
  </conditionalFormatting>
  <conditionalFormatting sqref="E68:E76">
    <cfRule type="top10" rank="1" priority="10" dxfId="1"/>
  </conditionalFormatting>
  <conditionalFormatting sqref="F68:F76">
    <cfRule type="top10" rank="1" priority="11" dxfId="1"/>
  </conditionalFormatting>
  <conditionalFormatting sqref="G68:G76">
    <cfRule type="top10" rank="1" priority="12" dxfId="1"/>
  </conditionalFormatting>
  <conditionalFormatting sqref="C120:G128">
    <cfRule type="colorScale" priority="13">
      <colorScale>
        <cfvo type="num" val="0"/>
        <cfvo type="num" val="1"/>
        <color rgb="00FFFFFF"/>
        <color rgb="006FA3DF"/>
      </colorScale>
    </cfRule>
  </conditionalFormatting>
  <conditionalFormatting sqref="C120:C128">
    <cfRule type="top10" rank="1" priority="14" dxfId="1"/>
  </conditionalFormatting>
  <conditionalFormatting sqref="D120:D128">
    <cfRule type="top10" rank="1" priority="15" dxfId="1"/>
  </conditionalFormatting>
  <conditionalFormatting sqref="E120:E128">
    <cfRule type="top10" rank="1" priority="16" dxfId="1"/>
  </conditionalFormatting>
  <conditionalFormatting sqref="F120:F128">
    <cfRule type="top10" rank="1" priority="17" dxfId="1"/>
  </conditionalFormatting>
  <conditionalFormatting sqref="G120:G128">
    <cfRule type="top10" rank="1" priority="18" dxfId="1"/>
  </conditionalFormatting>
  <conditionalFormatting sqref="C146:H153">
    <cfRule type="colorScale" priority="19">
      <colorScale>
        <cfvo type="num" val="0"/>
        <cfvo type="num" val="1"/>
        <color rgb="00FFFFFF"/>
        <color rgb="006FA3DF"/>
      </colorScale>
    </cfRule>
  </conditionalFormatting>
  <conditionalFormatting sqref="C146:C153">
    <cfRule type="top10" rank="1" priority="20" dxfId="1"/>
  </conditionalFormatting>
  <conditionalFormatting sqref="D146:D153">
    <cfRule type="top10" rank="1" priority="21" dxfId="1"/>
  </conditionalFormatting>
  <conditionalFormatting sqref="E146:E153">
    <cfRule type="top10" rank="1" priority="22" dxfId="1"/>
  </conditionalFormatting>
  <conditionalFormatting sqref="F146:F153">
    <cfRule type="top10" rank="1" priority="23" dxfId="1"/>
  </conditionalFormatting>
  <conditionalFormatting sqref="G146:G153">
    <cfRule type="top10" rank="1" priority="24" dxfId="1"/>
  </conditionalFormatting>
  <conditionalFormatting sqref="H146:H153">
    <cfRule type="top10" rank="1" priority="25" dxfId="1"/>
  </conditionalFormatting>
  <conditionalFormatting sqref="C190:F203">
    <cfRule type="colorScale" priority="26">
      <colorScale>
        <cfvo type="num" val="0"/>
        <cfvo type="num" val="1"/>
        <color rgb="00FFFFFF"/>
        <color rgb="006FA3DF"/>
      </colorScale>
    </cfRule>
  </conditionalFormatting>
  <conditionalFormatting sqref="C190:C203">
    <cfRule type="top10" rank="1" priority="27" dxfId="1"/>
  </conditionalFormatting>
  <conditionalFormatting sqref="D190:D203">
    <cfRule type="top10" rank="1" priority="28" dxfId="1"/>
  </conditionalFormatting>
  <conditionalFormatting sqref="E190:E203">
    <cfRule type="top10" rank="1" priority="29" dxfId="1"/>
  </conditionalFormatting>
  <conditionalFormatting sqref="F190:F203">
    <cfRule type="top10" rank="1" priority="30" dxfId="1"/>
  </conditionalFormatting>
  <conditionalFormatting sqref="C246:I252">
    <cfRule type="colorScale" priority="31">
      <colorScale>
        <cfvo type="num" val="0"/>
        <cfvo type="num" val="1"/>
        <color rgb="00FFFFFF"/>
        <color rgb="006FA3DF"/>
      </colorScale>
    </cfRule>
  </conditionalFormatting>
  <conditionalFormatting sqref="C246:C252">
    <cfRule type="top10" rank="1" priority="32" dxfId="1"/>
  </conditionalFormatting>
  <conditionalFormatting sqref="D246:D252">
    <cfRule type="top10" rank="1" priority="33" dxfId="1"/>
  </conditionalFormatting>
  <conditionalFormatting sqref="E246:E252">
    <cfRule type="top10" rank="1" priority="34" dxfId="1"/>
  </conditionalFormatting>
  <conditionalFormatting sqref="F246:F252">
    <cfRule type="top10" rank="1" priority="35" dxfId="1"/>
  </conditionalFormatting>
  <conditionalFormatting sqref="G246:G252">
    <cfRule type="top10" rank="1" priority="36" dxfId="1"/>
  </conditionalFormatting>
  <conditionalFormatting sqref="H246:H252">
    <cfRule type="top10" rank="1" priority="37" dxfId="1"/>
  </conditionalFormatting>
  <conditionalFormatting sqref="I246:I252">
    <cfRule type="top10" rank="1" priority="38" dxfId="1"/>
  </conditionalFormatting>
  <conditionalFormatting sqref="C270:F277">
    <cfRule type="colorScale" priority="39">
      <colorScale>
        <cfvo type="num" val="0"/>
        <cfvo type="num" val="1"/>
        <color rgb="00FFFFFF"/>
        <color rgb="006FA3DF"/>
      </colorScale>
    </cfRule>
  </conditionalFormatting>
  <conditionalFormatting sqref="C270:C277">
    <cfRule type="top10" rank="1" priority="40" dxfId="1"/>
  </conditionalFormatting>
  <conditionalFormatting sqref="D270:D277">
    <cfRule type="top10" rank="1" priority="41" dxfId="1"/>
  </conditionalFormatting>
  <conditionalFormatting sqref="E270:E277">
    <cfRule type="top10" rank="1" priority="42" dxfId="1"/>
  </conditionalFormatting>
  <conditionalFormatting sqref="F270:F277">
    <cfRule type="top10" rank="1" priority="43" dxfId="1"/>
  </conditionalFormatting>
  <conditionalFormatting sqref="C295:G302">
    <cfRule type="colorScale" priority="44">
      <colorScale>
        <cfvo type="num" val="0"/>
        <cfvo type="num" val="1"/>
        <color rgb="00FFFFFF"/>
        <color rgb="006FA3DF"/>
      </colorScale>
    </cfRule>
  </conditionalFormatting>
  <conditionalFormatting sqref="C295:C302">
    <cfRule type="top10" rank="1" priority="45" dxfId="1"/>
  </conditionalFormatting>
  <conditionalFormatting sqref="D295:D302">
    <cfRule type="top10" rank="1" priority="46" dxfId="1"/>
  </conditionalFormatting>
  <conditionalFormatting sqref="E295:E302">
    <cfRule type="top10" rank="1" priority="47" dxfId="1"/>
  </conditionalFormatting>
  <conditionalFormatting sqref="F295:F302">
    <cfRule type="top10" rank="1" priority="48" dxfId="1"/>
  </conditionalFormatting>
  <conditionalFormatting sqref="G295:G302">
    <cfRule type="top10" rank="1" priority="49" dxfId="1"/>
  </conditionalFormatting>
  <conditionalFormatting sqref="C320:I327">
    <cfRule type="colorScale" priority="50">
      <colorScale>
        <cfvo type="num" val="0"/>
        <cfvo type="num" val="1"/>
        <color rgb="00FFFFFF"/>
        <color rgb="006FA3DF"/>
      </colorScale>
    </cfRule>
  </conditionalFormatting>
  <conditionalFormatting sqref="C320:C327">
    <cfRule type="top10" rank="1" priority="51" dxfId="1"/>
  </conditionalFormatting>
  <conditionalFormatting sqref="D320:D327">
    <cfRule type="top10" rank="1" priority="52" dxfId="1"/>
  </conditionalFormatting>
  <conditionalFormatting sqref="E320:E327">
    <cfRule type="top10" rank="1" priority="53" dxfId="1"/>
  </conditionalFormatting>
  <conditionalFormatting sqref="F320:F327">
    <cfRule type="top10" rank="1" priority="54" dxfId="1"/>
  </conditionalFormatting>
  <conditionalFormatting sqref="G320:G327">
    <cfRule type="top10" rank="1" priority="55" dxfId="1"/>
  </conditionalFormatting>
  <conditionalFormatting sqref="H320:H327">
    <cfRule type="top10" rank="1" priority="56" dxfId="1"/>
  </conditionalFormatting>
  <conditionalFormatting sqref="I320:I327">
    <cfRule type="top10" rank="1" priority="57" dxfId="1"/>
  </conditionalFormatting>
  <conditionalFormatting sqref="C345:G352">
    <cfRule type="colorScale" priority="58">
      <colorScale>
        <cfvo type="num" val="0"/>
        <cfvo type="num" val="1"/>
        <color rgb="00FFFFFF"/>
        <color rgb="006FA3DF"/>
      </colorScale>
    </cfRule>
  </conditionalFormatting>
  <conditionalFormatting sqref="C345:C352">
    <cfRule type="top10" rank="1" priority="59" dxfId="1"/>
  </conditionalFormatting>
  <conditionalFormatting sqref="D345:D352">
    <cfRule type="top10" rank="1" priority="60" dxfId="1"/>
  </conditionalFormatting>
  <conditionalFormatting sqref="E345:E352">
    <cfRule type="top10" rank="1" priority="61" dxfId="1"/>
  </conditionalFormatting>
  <conditionalFormatting sqref="F345:F352">
    <cfRule type="top10" rank="1" priority="62" dxfId="1"/>
  </conditionalFormatting>
  <conditionalFormatting sqref="G345:G352">
    <cfRule type="top10" rank="1" priority="63" dxfId="1"/>
  </conditionalFormatting>
  <pageMargins left="0.75" right="0.75" top="1" bottom="1" header="0.5" footer="0.5"/>
  <pageSetup orientation="landscape" paperSize="9" fitToHeight="0" fitToWidth="1"/>
  <drawing xmlns:r="http://schemas.openxmlformats.org/officeDocument/2006/relationships" r:id="rId1"/>
</worksheet>
</file>

<file path=xl/worksheets/sheet11.xml><?xml version="1.0" encoding="utf-8"?>
<worksheet xmlns="http://schemas.openxmlformats.org/spreadsheetml/2006/main">
  <sheetPr>
    <outlinePr summaryBelow="1" summaryRight="1"/>
    <pageSetUpPr fitToPage="1"/>
  </sheetPr>
  <dimension ref="B2:J260"/>
  <sheetViews>
    <sheetView showGridLines="0" workbookViewId="0">
      <selection activeCell="A1" sqref="A1"/>
    </sheetView>
  </sheetViews>
  <sheetFormatPr baseColWidth="8" defaultRowHeight="15"/>
  <cols>
    <col width="2" customWidth="1" min="1" max="1"/>
    <col width="4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s>
  <sheetData>
    <row r="2" ht="21" customHeight="1">
      <c r="B2" s="7" t="inlineStr">
        <is>
          <t>表5-1　回答者の属性（障がい児調査）</t>
        </is>
      </c>
    </row>
    <row r="3" ht="17" customHeight="1">
      <c r="B3" s="3" t="inlineStr">
        <is>
          <t>項目</t>
        </is>
      </c>
      <c r="C3" s="3" t="inlineStr">
        <is>
          <t>回答（件数）</t>
        </is>
      </c>
      <c r="D3" s="8" t="n"/>
      <c r="E3" s="8" t="n"/>
      <c r="F3" s="8" t="n"/>
      <c r="G3" s="8" t="n"/>
      <c r="H3" s="9" t="n"/>
    </row>
    <row r="4" ht="17" customHeight="1">
      <c r="B4" s="28" t="inlineStr">
        <is>
          <t>記入者（問1）</t>
        </is>
      </c>
      <c r="C4" s="5" t="inlineStr">
        <is>
          <t>「ご家族」2件、「宛名のご本人」1件</t>
        </is>
      </c>
      <c r="D4" s="8" t="n"/>
      <c r="E4" s="8" t="n"/>
      <c r="F4" s="8" t="n"/>
      <c r="G4" s="8" t="n"/>
      <c r="H4" s="9" t="n"/>
    </row>
    <row r="5" ht="30" customHeight="1">
      <c r="B5" s="29" t="inlineStr">
        <is>
          <t>本人意向の反映（問1-2）</t>
        </is>
      </c>
      <c r="C5" s="13" t="inlineStr">
        <is>
          <t>「本人が回答した」1件、「本人の様子や日頃の意向を踏まえて代理記入した」1件、「本人に確認することが難しく、家族・支援者の判断で記入した」1件</t>
        </is>
      </c>
      <c r="D5" s="8" t="n"/>
      <c r="E5" s="8" t="n"/>
      <c r="F5" s="8" t="n"/>
      <c r="G5" s="8" t="n"/>
      <c r="H5" s="9" t="n"/>
    </row>
    <row r="6" ht="17" customHeight="1">
      <c r="B6" s="28" t="inlineStr">
        <is>
          <t>年齢（問2）</t>
        </is>
      </c>
      <c r="C6" s="5" t="inlineStr">
        <is>
          <t>「6～11歳」1件、「12～14歳」1件、「15～17歳」1件</t>
        </is>
      </c>
      <c r="D6" s="8" t="n"/>
      <c r="E6" s="8" t="n"/>
      <c r="F6" s="8" t="n"/>
      <c r="G6" s="8" t="n"/>
      <c r="H6" s="9" t="n"/>
    </row>
    <row r="7" ht="17" customHeight="1">
      <c r="B7" s="29" t="inlineStr">
        <is>
          <t>お住まいの地区（問3）</t>
        </is>
      </c>
      <c r="C7" s="13" t="inlineStr">
        <is>
          <t>「北山地区」2件、「裏磐梯地区」1件</t>
        </is>
      </c>
      <c r="D7" s="8" t="n"/>
      <c r="E7" s="8" t="n"/>
      <c r="F7" s="8" t="n"/>
      <c r="G7" s="8" t="n"/>
      <c r="H7" s="9" t="n"/>
    </row>
    <row r="8" ht="17" customHeight="1">
      <c r="B8" s="28" t="inlineStr">
        <is>
          <t>性別（問4）</t>
        </is>
      </c>
      <c r="C8" s="5" t="inlineStr">
        <is>
          <t>「男性」2件、「女性」1件</t>
        </is>
      </c>
      <c r="D8" s="8" t="n"/>
      <c r="E8" s="8" t="n"/>
      <c r="F8" s="8" t="n"/>
      <c r="G8" s="8" t="n"/>
      <c r="H8" s="9" t="n"/>
    </row>
    <row r="9" ht="30" customHeight="1">
      <c r="B9" s="29" t="inlineStr">
        <is>
          <t>所持している手帳等（問5・複数回答、n=2）</t>
        </is>
      </c>
      <c r="C9" s="13" t="inlineStr">
        <is>
          <t>「身体障がい者手帳」2件、「療育手帳」1件、「精神障がい者保健福祉手帳」1件</t>
        </is>
      </c>
      <c r="D9" s="8" t="n"/>
      <c r="E9" s="8" t="n"/>
      <c r="F9" s="8" t="n"/>
      <c r="G9" s="8" t="n"/>
      <c r="H9" s="9" t="n"/>
    </row>
    <row r="10" ht="17" customHeight="1">
      <c r="B10" s="28" t="inlineStr">
        <is>
          <t>主たる障がい種別（問6）</t>
        </is>
      </c>
      <c r="C10" s="5" t="inlineStr">
        <is>
          <t>「身体障がい」1件、「知的障がい」1件、「発達障がい」1件</t>
        </is>
      </c>
      <c r="D10" s="8" t="n"/>
      <c r="E10" s="8" t="n"/>
      <c r="F10" s="8" t="n"/>
      <c r="G10" s="8" t="n"/>
      <c r="H10" s="9" t="n"/>
    </row>
    <row r="11" ht="17" customHeight="1">
      <c r="B11" s="29" t="inlineStr">
        <is>
          <t>障害児通所支援等の支給決定（問7）</t>
        </is>
      </c>
      <c r="C11" s="13" t="inlineStr">
        <is>
          <t>「受けている」2件、「受けていない」1件</t>
        </is>
      </c>
      <c r="D11" s="8" t="n"/>
      <c r="E11" s="8" t="n"/>
      <c r="F11" s="8" t="n"/>
      <c r="G11" s="8" t="n"/>
      <c r="H11" s="9" t="n"/>
    </row>
    <row r="12" ht="17" customHeight="1">
      <c r="B12" s="28" t="inlineStr">
        <is>
          <t>主な支援・介助・見守りをしている方（問8）</t>
        </is>
      </c>
      <c r="C12" s="5" t="inlineStr">
        <is>
          <t>「親」3件</t>
        </is>
      </c>
      <c r="D12" s="8" t="n"/>
      <c r="E12" s="8" t="n"/>
      <c r="F12" s="8" t="n"/>
      <c r="G12" s="8" t="n"/>
      <c r="H12" s="9" t="n"/>
    </row>
    <row r="13" ht="17" customHeight="1">
      <c r="B13" s="29" t="inlineStr">
        <is>
          <t>現在の暮らし（問9）</t>
        </is>
      </c>
      <c r="C13" s="13" t="inlineStr">
        <is>
          <t>「自宅で家族と暮らしている」3件</t>
        </is>
      </c>
      <c r="D13" s="8" t="n"/>
      <c r="E13" s="8" t="n"/>
      <c r="F13" s="8" t="n"/>
      <c r="G13" s="8" t="n"/>
      <c r="H13" s="9" t="n"/>
    </row>
    <row r="15" ht="21" customHeight="1">
      <c r="B15" s="7" t="inlineStr">
        <is>
          <t>図5-1　日常生活で困っていること（問10）</t>
        </is>
      </c>
    </row>
    <row r="16">
      <c r="B16" s="16" t="str">
        <f>"n="&amp;'集計_障がい児'!$F$66&amp;"（複数回答）"</f>
        <v>n=3（複数回答）</v>
      </c>
    </row>
    <row r="17" ht="18" customHeight="1">
      <c r="B17" s="3" t="inlineStr">
        <is>
          <t>選択肢</t>
        </is>
      </c>
      <c r="C17" s="3" t="inlineStr">
        <is>
          <t>件数</t>
        </is>
      </c>
    </row>
    <row r="18" ht="17" customHeight="1">
      <c r="B18" s="5" t="inlineStr">
        <is>
          <t>将来の生活</t>
        </is>
      </c>
      <c r="C18" s="17">
        <f>'集計_障がい児'!$D$66</f>
        <v>3</v>
      </c>
    </row>
    <row r="19" ht="17" customHeight="1">
      <c r="B19" s="5" t="inlineStr">
        <is>
          <t>家事</t>
        </is>
      </c>
      <c r="C19" s="17">
        <f>'集計_障がい児'!$D$55</f>
        <v>1</v>
      </c>
    </row>
    <row r="20" ht="17" customHeight="1">
      <c r="B20" s="5" t="inlineStr">
        <is>
          <t>食事</t>
        </is>
      </c>
      <c r="C20" s="17">
        <f>'集計_障がい児'!$D$56</f>
        <v>1</v>
      </c>
    </row>
    <row r="21" ht="17" customHeight="1">
      <c r="B21" s="5" t="inlineStr">
        <is>
          <t>入浴</t>
        </is>
      </c>
      <c r="C21" s="17">
        <f>'集計_障がい児'!$D$57</f>
        <v>1</v>
      </c>
    </row>
    <row r="22" ht="17" customHeight="1">
      <c r="B22" s="5" t="inlineStr">
        <is>
          <t>排せつ</t>
        </is>
      </c>
      <c r="C22" s="17">
        <f>'集計_障がい児'!$D$58</f>
        <v>1</v>
      </c>
    </row>
    <row r="23" ht="17" customHeight="1">
      <c r="B23" s="5" t="inlineStr">
        <is>
          <t>服薬管理</t>
        </is>
      </c>
      <c r="C23" s="17">
        <f>'集計_障がい児'!$D$59</f>
        <v>1</v>
      </c>
    </row>
    <row r="24" ht="17" customHeight="1">
      <c r="B24" s="5" t="inlineStr">
        <is>
          <t>金銭管理</t>
        </is>
      </c>
      <c r="C24" s="17">
        <f>'集計_障がい児'!$D$60</f>
        <v>1</v>
      </c>
    </row>
    <row r="25" ht="17" customHeight="1">
      <c r="B25" s="5" t="inlineStr">
        <is>
          <t>通院</t>
        </is>
      </c>
      <c r="C25" s="17">
        <f>'集計_障がい児'!$D$61</f>
        <v>1</v>
      </c>
    </row>
    <row r="26" ht="17" customHeight="1">
      <c r="B26" s="5" t="inlineStr">
        <is>
          <t>外出・移動</t>
        </is>
      </c>
      <c r="C26" s="17">
        <f>'集計_障がい児'!$D$62</f>
        <v>1</v>
      </c>
    </row>
    <row r="27" ht="17" customHeight="1">
      <c r="B27" s="5" t="inlineStr">
        <is>
          <t>買い物</t>
        </is>
      </c>
      <c r="C27" s="17">
        <f>'集計_障がい児'!$D$63</f>
        <v>1</v>
      </c>
    </row>
    <row r="28" ht="17" customHeight="1">
      <c r="B28" s="5" t="inlineStr">
        <is>
          <t>災害時の避難</t>
        </is>
      </c>
      <c r="C28" s="17">
        <f>'集計_障がい児'!$D$64</f>
        <v>1</v>
      </c>
    </row>
    <row r="29" ht="17" customHeight="1">
      <c r="B29" s="5" t="inlineStr">
        <is>
          <t>相談先がない</t>
        </is>
      </c>
      <c r="C29" s="17">
        <f>'集計_障がい児'!$D$65</f>
        <v>0</v>
      </c>
    </row>
    <row r="30" ht="17" customHeight="1">
      <c r="B30" s="5" t="inlineStr">
        <is>
          <t>特にない</t>
        </is>
      </c>
      <c r="C30" s="17">
        <f>'集計_障がい児'!$D$67</f>
        <v>0</v>
      </c>
    </row>
    <row r="31" ht="17" customHeight="1">
      <c r="B31" s="5" t="inlineStr">
        <is>
          <t>その他</t>
        </is>
      </c>
      <c r="C31" s="17">
        <f>'集計_障がい児'!$D$68</f>
        <v>1</v>
      </c>
    </row>
    <row r="32"/>
    <row r="35" ht="21" customHeight="1">
      <c r="B35" s="7" t="inlineStr">
        <is>
          <t>図5-2　外出するときに困ること（問14）</t>
        </is>
      </c>
    </row>
    <row r="36">
      <c r="B36" s="16" t="str">
        <f>"n="&amp;'集計_障がい児'!$F$89&amp;"（複数回答）"</f>
        <v>n=3（複数回答）</v>
      </c>
    </row>
    <row r="37" ht="18" customHeight="1">
      <c r="B37" s="3" t="inlineStr">
        <is>
          <t>選択肢</t>
        </is>
      </c>
      <c r="C37" s="3" t="inlineStr">
        <is>
          <t>件数</t>
        </is>
      </c>
    </row>
    <row r="38" ht="17" customHeight="1">
      <c r="B38" s="5" t="inlineStr">
        <is>
          <t>交通手段が少ない</t>
        </is>
      </c>
      <c r="C38" s="17">
        <f>'集計_障がい児'!$D$89</f>
        <v>2</v>
      </c>
    </row>
    <row r="39" ht="17" customHeight="1">
      <c r="B39" s="5" t="inlineStr">
        <is>
          <t>家族等の付き添いが必要</t>
        </is>
      </c>
      <c r="C39" s="17">
        <f>'集計_障がい児'!$D$90</f>
        <v>2</v>
      </c>
    </row>
    <row r="40" ht="17" customHeight="1">
      <c r="B40" s="5" t="inlineStr">
        <is>
          <t>送迎がない</t>
        </is>
      </c>
      <c r="C40" s="17">
        <f>'集計_障がい児'!$D$91</f>
        <v>1</v>
      </c>
    </row>
    <row r="41" ht="17" customHeight="1">
      <c r="B41" s="5" t="inlineStr">
        <is>
          <t>冬季・積雪時に外出しにくい</t>
        </is>
      </c>
      <c r="C41" s="17">
        <f>'集計_障がい児'!$D$92</f>
        <v>1</v>
      </c>
    </row>
    <row r="42" ht="17" customHeight="1">
      <c r="B42" s="5" t="inlineStr">
        <is>
          <t>体調面が不安</t>
        </is>
      </c>
      <c r="C42" s="17">
        <f>'集計_障がい児'!$D$95</f>
        <v>1</v>
      </c>
    </row>
    <row r="43" ht="17" customHeight="1">
      <c r="B43" s="5" t="inlineStr">
        <is>
          <t>費用がかかる</t>
        </is>
      </c>
      <c r="C43" s="17">
        <f>'集計_障がい児'!$D$96</f>
        <v>1</v>
      </c>
    </row>
    <row r="44" ht="17" customHeight="1">
      <c r="B44" s="5" t="inlineStr">
        <is>
          <t>その他</t>
        </is>
      </c>
      <c r="C44" s="17">
        <f>'集計_障がい児'!$D$98</f>
        <v>1</v>
      </c>
    </row>
    <row r="45" ht="15" customHeight="1">
      <c r="B45" s="12" t="inlineStr">
        <is>
          <t>※回答のなかった選択肢は省略しています。</t>
        </is>
      </c>
    </row>
    <row r="48" ht="21" customHeight="1">
      <c r="B48" s="7" t="inlineStr">
        <is>
          <t>図5-3　通院や医療で困っていること（問16）</t>
        </is>
      </c>
    </row>
    <row r="49">
      <c r="B49" s="16" t="str">
        <f>"n="&amp;'集計_障がい児'!$F$103&amp;"（複数回答）"</f>
        <v>n=3（複数回答）</v>
      </c>
    </row>
    <row r="50" ht="18" customHeight="1">
      <c r="B50" s="3" t="inlineStr">
        <is>
          <t>選択肢</t>
        </is>
      </c>
      <c r="C50" s="3" t="inlineStr">
        <is>
          <t>件数</t>
        </is>
      </c>
    </row>
    <row r="51" ht="17" customHeight="1">
      <c r="B51" s="5" t="inlineStr">
        <is>
          <t>専門医療機関が遠い</t>
        </is>
      </c>
      <c r="C51" s="17">
        <f>'集計_障がい児'!$D$103</f>
        <v>3</v>
      </c>
    </row>
    <row r="52" ht="17" customHeight="1">
      <c r="B52" s="5" t="inlineStr">
        <is>
          <t>付き添いが必要</t>
        </is>
      </c>
      <c r="C52" s="17">
        <f>'集計_障がい児'!$D$105</f>
        <v>3</v>
      </c>
    </row>
    <row r="53" ht="17" customHeight="1">
      <c r="B53" s="5" t="inlineStr">
        <is>
          <t>緊急時の対応が不安</t>
        </is>
      </c>
      <c r="C53" s="17">
        <f>'集計_障がい児'!$D$108</f>
        <v>2</v>
      </c>
    </row>
    <row r="54" ht="17" customHeight="1">
      <c r="B54" s="5" t="inlineStr">
        <is>
          <t>通院の交通手段がない</t>
        </is>
      </c>
      <c r="C54" s="17">
        <f>'集計_障がい児'!$D$104</f>
        <v>1</v>
      </c>
    </row>
    <row r="55" ht="17" customHeight="1">
      <c r="B55" s="5" t="inlineStr">
        <is>
          <t>医療費や交通費の負担が大きい</t>
        </is>
      </c>
      <c r="C55" s="17">
        <f>'集計_障がい児'!$D$106</f>
        <v>1</v>
      </c>
    </row>
    <row r="56" ht="17" customHeight="1">
      <c r="B56" s="5" t="inlineStr">
        <is>
          <t>その他</t>
        </is>
      </c>
      <c r="C56" s="17">
        <f>'集計_障がい児'!$D$110</f>
        <v>1</v>
      </c>
    </row>
    <row r="57" ht="15" customHeight="1">
      <c r="B57" s="12" t="inlineStr">
        <is>
          <t>※回答のなかった選択肢は省略しています。</t>
        </is>
      </c>
    </row>
    <row r="60" ht="21" customHeight="1">
      <c r="B60" s="7" t="inlineStr">
        <is>
          <t>図5-4　医療的ケアや重い障がいに関して必要な支援（問18）</t>
        </is>
      </c>
    </row>
    <row r="61">
      <c r="B61" s="16" t="str">
        <f>"n="&amp;'集計_障がい児'!$F$130&amp;"（複数回答）"</f>
        <v>n=3（複数回答）</v>
      </c>
    </row>
    <row r="62" ht="18" customHeight="1">
      <c r="B62" s="3" t="inlineStr">
        <is>
          <t>選択肢</t>
        </is>
      </c>
      <c r="C62" s="3" t="inlineStr">
        <is>
          <t>件数</t>
        </is>
      </c>
    </row>
    <row r="63" ht="17" customHeight="1">
      <c r="B63" s="5" t="inlineStr">
        <is>
          <t>家族の負担軽減</t>
        </is>
      </c>
      <c r="C63" s="17">
        <f>'集計_障がい児'!$D$130</f>
        <v>3</v>
      </c>
    </row>
    <row r="64" ht="17" customHeight="1">
      <c r="B64" s="5" t="inlineStr">
        <is>
          <t>身近な相談先</t>
        </is>
      </c>
      <c r="C64" s="17">
        <f>'集計_障がい児'!$D$125</f>
        <v>1</v>
      </c>
    </row>
    <row r="65" ht="17" customHeight="1">
      <c r="B65" s="5" t="inlineStr">
        <is>
          <t>通所先での医療的ケア対応</t>
        </is>
      </c>
      <c r="C65" s="17">
        <f>'集計_障がい児'!$D$126</f>
        <v>1</v>
      </c>
    </row>
    <row r="66" ht="17" customHeight="1">
      <c r="B66" s="5" t="inlineStr">
        <is>
          <t>短期入所・レスパイトケア</t>
        </is>
      </c>
      <c r="C66" s="17">
        <f>'集計_障がい児'!$D$127</f>
        <v>1</v>
      </c>
    </row>
    <row r="67" ht="17" customHeight="1">
      <c r="B67" s="5" t="inlineStr">
        <is>
          <t>訪問看護等との連携</t>
        </is>
      </c>
      <c r="C67" s="17">
        <f>'集計_障がい児'!$D$128</f>
        <v>1</v>
      </c>
    </row>
    <row r="68" ht="17" customHeight="1">
      <c r="B68" s="5" t="inlineStr">
        <is>
          <t>その他</t>
        </is>
      </c>
      <c r="C68" s="17">
        <f>'集計_障がい児'!$D$132</f>
        <v>1</v>
      </c>
    </row>
    <row r="69" ht="15" customHeight="1">
      <c r="B69" s="12" t="inlineStr">
        <is>
          <t>※回答のなかった選択肢は省略しています。</t>
        </is>
      </c>
    </row>
    <row r="72" ht="21" customHeight="1">
      <c r="B72" s="7" t="inlineStr">
        <is>
          <t>図5-5　相談支援に期待すること（問22）</t>
        </is>
      </c>
    </row>
    <row r="73">
      <c r="B73" s="16" t="str">
        <f>"n="&amp;'集計_障がい児'!$F$165&amp;"（複数回答）"</f>
        <v>n=3（複数回答）</v>
      </c>
    </row>
    <row r="74" ht="18" customHeight="1">
      <c r="B74" s="3" t="inlineStr">
        <is>
          <t>選択肢</t>
        </is>
      </c>
      <c r="C74" s="3" t="inlineStr">
        <is>
          <t>件数</t>
        </is>
      </c>
    </row>
    <row r="75" ht="17" customHeight="1">
      <c r="B75" s="5" t="inlineStr">
        <is>
          <t>将来の暮らしの相談</t>
        </is>
      </c>
      <c r="C75" s="17">
        <f>'集計_障がい児'!$D$165</f>
        <v>3</v>
      </c>
    </row>
    <row r="76" ht="17" customHeight="1">
      <c r="B76" s="5" t="inlineStr">
        <is>
          <t>医療・通院の相談</t>
        </is>
      </c>
      <c r="C76" s="17">
        <f>'集計_障がい児'!$D$168</f>
        <v>3</v>
      </c>
    </row>
    <row r="77" ht="17" customHeight="1">
      <c r="B77" s="5" t="inlineStr">
        <is>
          <t>サービス利用の相談</t>
        </is>
      </c>
      <c r="C77" s="17">
        <f>'集計_障がい児'!$D$164</f>
        <v>2</v>
      </c>
    </row>
    <row r="78" ht="17" customHeight="1">
      <c r="B78" s="5" t="inlineStr">
        <is>
          <t>家族の負担軽減</t>
        </is>
      </c>
      <c r="C78" s="17">
        <f>'集計_障がい児'!$D$169</f>
        <v>2</v>
      </c>
    </row>
    <row r="79" ht="17" customHeight="1">
      <c r="B79" s="5" t="inlineStr">
        <is>
          <t>日中活動の相談</t>
        </is>
      </c>
      <c r="C79" s="17">
        <f>'集計_障がい児'!$D$166</f>
        <v>1</v>
      </c>
    </row>
    <row r="80" ht="17" customHeight="1">
      <c r="B80" s="5" t="inlineStr">
        <is>
          <t>障がい児・発達の相談</t>
        </is>
      </c>
      <c r="C80" s="17">
        <f>'集計_障がい児'!$D$167</f>
        <v>1</v>
      </c>
    </row>
    <row r="81" ht="17" customHeight="1">
      <c r="B81" s="5" t="inlineStr">
        <is>
          <t>緊急時の相談</t>
        </is>
      </c>
      <c r="C81" s="17">
        <f>'集計_障がい児'!$D$170</f>
        <v>1</v>
      </c>
    </row>
    <row r="82" ht="17" customHeight="1">
      <c r="B82" s="5" t="inlineStr">
        <is>
          <t>わかりやすい情報提供</t>
        </is>
      </c>
      <c r="C82" s="17">
        <f>'集計_障がい児'!$D$171</f>
        <v>1</v>
      </c>
    </row>
    <row r="83" ht="15" customHeight="1">
      <c r="B83" s="12" t="inlineStr">
        <is>
          <t>※回答のなかった選択肢は省略しています。</t>
        </is>
      </c>
    </row>
    <row r="86" ht="21" customHeight="1">
      <c r="B86" s="7" t="inlineStr">
        <is>
          <t>図5-6　通園・通学や事業所利用で困っていること（問24）</t>
        </is>
      </c>
    </row>
    <row r="87">
      <c r="B87" s="16" t="str">
        <f>"n="&amp;'集計_障がい児'!$F$182&amp;"（複数回答）"</f>
        <v>n=3（複数回答）</v>
      </c>
    </row>
    <row r="88" ht="18" customHeight="1">
      <c r="B88" s="3" t="inlineStr">
        <is>
          <t>選択肢</t>
        </is>
      </c>
      <c r="C88" s="3" t="inlineStr">
        <is>
          <t>件数</t>
        </is>
      </c>
    </row>
    <row r="89" ht="17" customHeight="1">
      <c r="B89" s="5" t="inlineStr">
        <is>
          <t>送迎・移動手段の確保が難しい</t>
        </is>
      </c>
      <c r="C89" s="17">
        <f>'集計_障がい児'!$D$182</f>
        <v>3</v>
      </c>
    </row>
    <row r="90" ht="17" customHeight="1">
      <c r="B90" s="5" t="inlineStr">
        <is>
          <t>付き添いなど家族の負担が大きい</t>
        </is>
      </c>
      <c r="C90" s="17">
        <f>'集計_障がい児'!$D$184</f>
        <v>3</v>
      </c>
    </row>
    <row r="91" ht="17" customHeight="1">
      <c r="B91" s="5" t="inlineStr">
        <is>
          <t>冬季の通園・通学・通所が不安</t>
        </is>
      </c>
      <c r="C91" s="17">
        <f>'集計_障がい児'!$D$183</f>
        <v>1</v>
      </c>
    </row>
    <row r="92" ht="17" customHeight="1">
      <c r="B92" s="5" t="inlineStr">
        <is>
          <t>学校・園・事業所との情報共有が難しい</t>
        </is>
      </c>
      <c r="C92" s="17">
        <f>'集計_障がい児'!$D$187</f>
        <v>1</v>
      </c>
    </row>
    <row r="93" ht="17" customHeight="1">
      <c r="B93" s="5" t="inlineStr">
        <is>
          <t>その他</t>
        </is>
      </c>
      <c r="C93" s="17">
        <f>'集計_障がい児'!$D$191</f>
        <v>1</v>
      </c>
    </row>
    <row r="94" ht="15" customHeight="1">
      <c r="B94" s="12" t="inlineStr">
        <is>
          <t>※回答のなかった選択肢は省略しています。</t>
        </is>
      </c>
    </row>
    <row r="97" ht="21" customHeight="1">
      <c r="B97" s="7" t="inlineStr">
        <is>
          <t>図5-7　日頃の暮らしに関する評価（問25）</t>
        </is>
      </c>
    </row>
    <row r="98"/>
    <row r="99" ht="44" customHeight="1">
      <c r="B99" s="3" t="inlineStr">
        <is>
          <t>項目</t>
        </is>
      </c>
      <c r="C99" s="3" t="inlineStr">
        <is>
          <t>そう思う</t>
        </is>
      </c>
      <c r="D99" s="3" t="inlineStr">
        <is>
          <t>どちらかといえばそう思う</t>
        </is>
      </c>
      <c r="E99" s="3" t="inlineStr">
        <is>
          <t>どちらかといえばそう思わない</t>
        </is>
      </c>
      <c r="F99" s="3" t="inlineStr">
        <is>
          <t>そう思わない・わからない</t>
        </is>
      </c>
    </row>
    <row r="100" ht="17" customHeight="1">
      <c r="B100" s="5" t="inlineStr">
        <is>
          <t>安心できる居場所</t>
        </is>
      </c>
      <c r="C100" s="18">
        <f>'集計_障がい児'!$E$192</f>
        <v>0.666666666666667</v>
      </c>
      <c r="D100" s="18">
        <f>'集計_障がい児'!$E$193</f>
        <v>0.333333333333333</v>
      </c>
      <c r="E100" s="18">
        <f>'集計_障がい児'!$E$194</f>
        <v>0</v>
      </c>
      <c r="F100" s="18">
        <f>'集計_障がい児'!$E$195</f>
        <v>0</v>
      </c>
    </row>
    <row r="101" ht="17" customHeight="1">
      <c r="B101" s="5" t="inlineStr">
        <is>
          <t>相談できる人</t>
        </is>
      </c>
      <c r="C101" s="18">
        <f>'集計_障がい児'!$E$196</f>
        <v>0.333333333333333</v>
      </c>
      <c r="D101" s="18">
        <f>'集計_障がい児'!$E$197</f>
        <v>0.666666666666667</v>
      </c>
      <c r="E101" s="18">
        <f>'集計_障がい児'!$E$198</f>
        <v>0</v>
      </c>
      <c r="F101" s="18">
        <f>'集計_障がい児'!$E$199</f>
        <v>0</v>
      </c>
    </row>
    <row r="102" ht="17" customHeight="1">
      <c r="B102" s="5" t="inlineStr">
        <is>
          <t>友人・地域との関わり</t>
        </is>
      </c>
      <c r="C102" s="18">
        <f>'集計_障がい児'!$E$200</f>
        <v>0.333333333333333</v>
      </c>
      <c r="D102" s="18">
        <f>'集計_障がい児'!$E$201</f>
        <v>0.666666666666667</v>
      </c>
      <c r="E102" s="18">
        <f>'集計_障がい児'!$E$202</f>
        <v>0</v>
      </c>
      <c r="F102" s="18">
        <f>'集計_障がい児'!$E$203</f>
        <v>0</v>
      </c>
    </row>
    <row r="103" ht="17" customHeight="1">
      <c r="B103" s="5" t="inlineStr">
        <is>
          <t>意思の尊重</t>
        </is>
      </c>
      <c r="C103" s="18">
        <f>'集計_障がい児'!$E$204</f>
        <v>0</v>
      </c>
      <c r="D103" s="18">
        <f>'集計_障がい児'!$E$205</f>
        <v>0.666666666666667</v>
      </c>
      <c r="E103" s="18">
        <f>'集計_障がい児'!$E$206</f>
        <v>0.333333333333333</v>
      </c>
      <c r="F103" s="18">
        <f>'集計_障がい児'!$E$207</f>
        <v>0</v>
      </c>
    </row>
    <row r="104" ht="17" customHeight="1">
      <c r="B104" s="5" t="inlineStr">
        <is>
          <t>家族の負担感</t>
        </is>
      </c>
      <c r="C104" s="18">
        <f>'集計_障がい児'!$E$208</f>
        <v>1</v>
      </c>
      <c r="D104" s="18">
        <f>'集計_障がい児'!$E$209</f>
        <v>0</v>
      </c>
      <c r="E104" s="18">
        <f>'集計_障がい児'!$E$210</f>
        <v>0</v>
      </c>
      <c r="F104" s="18">
        <f>'集計_障がい児'!$E$211</f>
        <v>0</v>
      </c>
    </row>
    <row r="105"/>
    <row r="106"/>
    <row r="107"/>
    <row r="108"/>
    <row r="109"/>
    <row r="112" ht="21" customHeight="1">
      <c r="B112" s="7" t="inlineStr">
        <is>
          <t>図5-8　放課後や長期休暇中の過ごし方で困っていること（問31）</t>
        </is>
      </c>
    </row>
    <row r="113">
      <c r="B113" s="16" t="str">
        <f>"n="&amp;'集計_障がい児'!$F$262&amp;"（複数回答）"</f>
        <v>n=3（複数回答）</v>
      </c>
    </row>
    <row r="114" ht="18" customHeight="1">
      <c r="B114" s="3" t="inlineStr">
        <is>
          <t>選択肢</t>
        </is>
      </c>
      <c r="C114" s="3" t="inlineStr">
        <is>
          <t>件数</t>
        </is>
      </c>
    </row>
    <row r="115" ht="17" customHeight="1">
      <c r="B115" s="5" t="inlineStr">
        <is>
          <t>利用できる場所が少ない</t>
        </is>
      </c>
      <c r="C115" s="17">
        <f>'集計_障がい児'!$D$262</f>
        <v>2</v>
      </c>
    </row>
    <row r="116" ht="17" customHeight="1">
      <c r="B116" s="5" t="inlineStr">
        <is>
          <t>送迎がない</t>
        </is>
      </c>
      <c r="C116" s="17">
        <f>'集計_障がい児'!$D$263</f>
        <v>2</v>
      </c>
    </row>
    <row r="117" ht="17" customHeight="1">
      <c r="B117" s="5" t="inlineStr">
        <is>
          <t>医療的ケアに対応できる場所が少ない</t>
        </is>
      </c>
      <c r="C117" s="17">
        <f>'集計_障がい児'!$D$264</f>
        <v>1</v>
      </c>
    </row>
    <row r="118" ht="17" customHeight="1">
      <c r="B118" s="5" t="inlineStr">
        <is>
          <t>長期休暇の過ごし方に困る</t>
        </is>
      </c>
      <c r="C118" s="17">
        <f>'集計_障がい児'!$D$265</f>
        <v>1</v>
      </c>
    </row>
    <row r="119" ht="17" customHeight="1">
      <c r="B119" s="5" t="inlineStr">
        <is>
          <t>家族への負担が大きい</t>
        </is>
      </c>
      <c r="C119" s="17">
        <f>'集計_障がい児'!$D$266</f>
        <v>1</v>
      </c>
    </row>
    <row r="120" ht="17" customHeight="1">
      <c r="B120" s="5" t="inlineStr">
        <is>
          <t>費用負担が心配</t>
        </is>
      </c>
      <c r="C120" s="17">
        <f>'集計_障がい児'!$D$268</f>
        <v>1</v>
      </c>
    </row>
    <row r="121" ht="15" customHeight="1">
      <c r="B121" s="12" t="inlineStr">
        <is>
          <t>※回答のなかった選択肢は省略しています。</t>
        </is>
      </c>
    </row>
    <row r="124" ht="21" customHeight="1">
      <c r="B124" s="7" t="inlineStr">
        <is>
          <t>表5-2　サービス別の利用状況・認知度・今後の利用意向（障がい児調査）</t>
        </is>
      </c>
    </row>
    <row r="125" ht="57" customHeight="1">
      <c r="B125" s="3" t="inlineStr">
        <is>
          <t>サービス</t>
        </is>
      </c>
      <c r="C125" s="3" t="inlineStr">
        <is>
          <t>現在利用している
（問27）</t>
        </is>
      </c>
      <c r="D125" s="3" t="inlineStr">
        <is>
          <t>内容をよく知らない
（問28）</t>
        </is>
      </c>
      <c r="E125" s="3" t="inlineStr">
        <is>
          <t>今後3年間で利用したい
（問29）</t>
        </is>
      </c>
    </row>
    <row r="126">
      <c r="B126" s="20" t="inlineStr">
        <is>
          <t>回答者数（n）</t>
        </is>
      </c>
      <c r="C126" s="21">
        <f>'集計_障がい児'!$F$223</f>
        <v>3</v>
      </c>
      <c r="D126" s="21">
        <f>'集計_障がい児'!$F$234</f>
        <v>3</v>
      </c>
      <c r="E126" s="21">
        <f>'集計_障がい児'!$F$244</f>
        <v>3</v>
      </c>
    </row>
    <row r="127" ht="17" customHeight="1">
      <c r="B127" s="5" t="inlineStr">
        <is>
          <t>児童発達支援</t>
        </is>
      </c>
      <c r="C127" s="30">
        <f>'集計_障がい児'!$D$223</f>
        <v>0</v>
      </c>
      <c r="D127" s="30">
        <f>'集計_障がい児'!$D$234</f>
        <v>1</v>
      </c>
      <c r="E127" s="30">
        <f>'集計_障がい児'!$D$244</f>
        <v>0</v>
      </c>
    </row>
    <row r="128" ht="17" customHeight="1">
      <c r="B128" s="5" t="inlineStr">
        <is>
          <t>放課後等デイサービス</t>
        </is>
      </c>
      <c r="C128" s="30">
        <f>'集計_障がい児'!$D$224</f>
        <v>2</v>
      </c>
      <c r="D128" s="30">
        <f>'集計_障がい児'!$D$235</f>
        <v>1</v>
      </c>
      <c r="E128" s="30">
        <f>'集計_障がい児'!$D$245</f>
        <v>1</v>
      </c>
    </row>
    <row r="129" ht="17" customHeight="1">
      <c r="B129" s="5" t="inlineStr">
        <is>
          <t>保育所等訪問支援</t>
        </is>
      </c>
      <c r="C129" s="30">
        <f>'集計_障がい児'!$D$225</f>
        <v>0</v>
      </c>
      <c r="D129" s="30">
        <f>'集計_障がい児'!$D$236</f>
        <v>1</v>
      </c>
      <c r="E129" s="30">
        <f>'集計_障がい児'!$D$246</f>
        <v>0</v>
      </c>
    </row>
    <row r="130" ht="17" customHeight="1">
      <c r="B130" s="5" t="inlineStr">
        <is>
          <t>居宅訪問型児童発達支援</t>
        </is>
      </c>
      <c r="C130" s="30">
        <f>'集計_障がい児'!$D$226</f>
        <v>0</v>
      </c>
      <c r="D130" s="30">
        <f>'集計_障がい児'!$D$237</f>
        <v>2</v>
      </c>
      <c r="E130" s="30">
        <f>'集計_障がい児'!$D$247</f>
        <v>0</v>
      </c>
    </row>
    <row r="131" ht="17" customHeight="1">
      <c r="B131" s="5" t="inlineStr">
        <is>
          <t>障がい児相談支援</t>
        </is>
      </c>
      <c r="C131" s="30">
        <f>'集計_障がい児'!$D$227</f>
        <v>1</v>
      </c>
      <c r="D131" s="30">
        <f>'集計_障がい児'!$D$238</f>
        <v>1</v>
      </c>
      <c r="E131" s="30">
        <f>'集計_障がい児'!$D$248</f>
        <v>2</v>
      </c>
    </row>
    <row r="132" ht="17" customHeight="1">
      <c r="B132" s="5" t="inlineStr">
        <is>
          <t>短期入所（ショートステイ）</t>
        </is>
      </c>
      <c r="C132" s="30">
        <f>'集計_障がい児'!$D$228</f>
        <v>1</v>
      </c>
      <c r="D132" s="30">
        <f>'集計_障がい児'!$D$239</f>
        <v>1</v>
      </c>
      <c r="E132" s="30">
        <f>'集計_障がい児'!$D$249</f>
        <v>1</v>
      </c>
    </row>
    <row r="133" ht="17" customHeight="1">
      <c r="B133" s="5" t="inlineStr">
        <is>
          <t>日中一時支援</t>
        </is>
      </c>
      <c r="C133" s="30">
        <f>'集計_障がい児'!$D$229</f>
        <v>0</v>
      </c>
      <c r="D133" s="30">
        <f>'集計_障がい児'!$D$240</f>
        <v>1</v>
      </c>
      <c r="E133" s="30">
        <f>'集計_障がい児'!$D$250</f>
        <v>0</v>
      </c>
    </row>
    <row r="134" ht="17" customHeight="1">
      <c r="B134" s="5" t="inlineStr">
        <is>
          <t>移動支援</t>
        </is>
      </c>
      <c r="C134" s="30">
        <f>'集計_障がい児'!$D$230</f>
        <v>0</v>
      </c>
      <c r="D134" s="30">
        <f>'集計_障がい児'!$D$241</f>
        <v>3</v>
      </c>
      <c r="E134" s="30">
        <f>'集計_障がい児'!$D$251</f>
        <v>3</v>
      </c>
    </row>
    <row r="135" ht="17" customHeight="1">
      <c r="B135" s="5" t="inlineStr">
        <is>
          <t>日常生活用具の給付</t>
        </is>
      </c>
      <c r="C135" s="30">
        <f>'集計_障がい児'!$D$231</f>
        <v>0</v>
      </c>
      <c r="D135" s="30">
        <f>'集計_障がい児'!$D$242</f>
        <v>3</v>
      </c>
      <c r="E135" s="30">
        <f>'集計_障がい児'!$D$252</f>
        <v>1</v>
      </c>
    </row>
    <row r="136" ht="17" customHeight="1">
      <c r="B136" s="5" t="inlineStr">
        <is>
          <t>特にない（各設問）</t>
        </is>
      </c>
      <c r="C136" s="30">
        <f>'集計_障がい児'!$D$232</f>
        <v>1</v>
      </c>
      <c r="D136" s="30" t="inlineStr">
        <is>
          <t>－</t>
        </is>
      </c>
      <c r="E136" s="30">
        <f>'集計_障がい児'!$D$253</f>
        <v>0</v>
      </c>
    </row>
    <row r="137" ht="15" customHeight="1">
      <c r="B137" s="12" t="inlineStr">
        <is>
          <t>※いずれも複数回答（n=3）。太字は3件全てが回答した項目です。</t>
        </is>
      </c>
    </row>
    <row r="139" ht="21" customHeight="1">
      <c r="B139" s="7" t="inlineStr">
        <is>
          <t>図5-9　サービス別の利用状況・認知度・今後の利用意向（問27～問29）</t>
        </is>
      </c>
    </row>
    <row r="140"/>
    <row r="141" ht="44" customHeight="1">
      <c r="B141" s="3" t="inlineStr">
        <is>
          <t>サービス</t>
        </is>
      </c>
      <c r="C141" s="3" t="inlineStr">
        <is>
          <t>現在利用している</t>
        </is>
      </c>
      <c r="D141" s="3" t="inlineStr">
        <is>
          <t>内容をよく知らない</t>
        </is>
      </c>
      <c r="E141" s="3" t="inlineStr">
        <is>
          <t>今後3年間で利用したい</t>
        </is>
      </c>
    </row>
    <row r="142" ht="17" customHeight="1">
      <c r="B142" s="5" t="inlineStr">
        <is>
          <t>児童発達支援</t>
        </is>
      </c>
      <c r="C142" s="30">
        <f>'集計_障がい児'!$D$223</f>
        <v>0</v>
      </c>
      <c r="D142" s="30">
        <f>'集計_障がい児'!$D$234</f>
        <v>1</v>
      </c>
      <c r="E142" s="30">
        <f>'集計_障がい児'!$D$244</f>
        <v>0</v>
      </c>
    </row>
    <row r="143" ht="17" customHeight="1">
      <c r="B143" s="5" t="inlineStr">
        <is>
          <t>放課後等デイサービス</t>
        </is>
      </c>
      <c r="C143" s="30">
        <f>'集計_障がい児'!$D$224</f>
        <v>2</v>
      </c>
      <c r="D143" s="30">
        <f>'集計_障がい児'!$D$235</f>
        <v>1</v>
      </c>
      <c r="E143" s="30">
        <f>'集計_障がい児'!$D$245</f>
        <v>1</v>
      </c>
    </row>
    <row r="144" ht="17" customHeight="1">
      <c r="B144" s="5" t="inlineStr">
        <is>
          <t>保育所等訪問支援</t>
        </is>
      </c>
      <c r="C144" s="30">
        <f>'集計_障がい児'!$D$225</f>
        <v>0</v>
      </c>
      <c r="D144" s="30">
        <f>'集計_障がい児'!$D$236</f>
        <v>1</v>
      </c>
      <c r="E144" s="30">
        <f>'集計_障がい児'!$D$246</f>
        <v>0</v>
      </c>
    </row>
    <row r="145" ht="17" customHeight="1">
      <c r="B145" s="5" t="inlineStr">
        <is>
          <t>居宅訪問型児童発達支援</t>
        </is>
      </c>
      <c r="C145" s="30">
        <f>'集計_障がい児'!$D$226</f>
        <v>0</v>
      </c>
      <c r="D145" s="30">
        <f>'集計_障がい児'!$D$237</f>
        <v>2</v>
      </c>
      <c r="E145" s="30">
        <f>'集計_障がい児'!$D$247</f>
        <v>0</v>
      </c>
    </row>
    <row r="146" ht="17" customHeight="1">
      <c r="B146" s="5" t="inlineStr">
        <is>
          <t>障がい児相談支援</t>
        </is>
      </c>
      <c r="C146" s="30">
        <f>'集計_障がい児'!$D$227</f>
        <v>1</v>
      </c>
      <c r="D146" s="30">
        <f>'集計_障がい児'!$D$238</f>
        <v>1</v>
      </c>
      <c r="E146" s="30">
        <f>'集計_障がい児'!$D$248</f>
        <v>2</v>
      </c>
    </row>
    <row r="147" ht="17" customHeight="1">
      <c r="B147" s="5" t="inlineStr">
        <is>
          <t>短期入所（ショートステイ）</t>
        </is>
      </c>
      <c r="C147" s="30">
        <f>'集計_障がい児'!$D$228</f>
        <v>1</v>
      </c>
      <c r="D147" s="30">
        <f>'集計_障がい児'!$D$239</f>
        <v>1</v>
      </c>
      <c r="E147" s="30">
        <f>'集計_障がい児'!$D$249</f>
        <v>1</v>
      </c>
    </row>
    <row r="148" ht="17" customHeight="1">
      <c r="B148" s="5" t="inlineStr">
        <is>
          <t>日中一時支援</t>
        </is>
      </c>
      <c r="C148" s="30">
        <f>'集計_障がい児'!$D$229</f>
        <v>0</v>
      </c>
      <c r="D148" s="30">
        <f>'集計_障がい児'!$D$240</f>
        <v>1</v>
      </c>
      <c r="E148" s="30">
        <f>'集計_障がい児'!$D$250</f>
        <v>0</v>
      </c>
    </row>
    <row r="149" ht="17" customHeight="1">
      <c r="B149" s="5" t="inlineStr">
        <is>
          <t>移動支援</t>
        </is>
      </c>
      <c r="C149" s="30">
        <f>'集計_障がい児'!$D$230</f>
        <v>0</v>
      </c>
      <c r="D149" s="30">
        <f>'集計_障がい児'!$D$241</f>
        <v>3</v>
      </c>
      <c r="E149" s="30">
        <f>'集計_障がい児'!$D$251</f>
        <v>3</v>
      </c>
    </row>
    <row r="150" ht="17" customHeight="1">
      <c r="B150" s="5" t="inlineStr">
        <is>
          <t>日常生活用具の給付</t>
        </is>
      </c>
      <c r="C150" s="30">
        <f>'集計_障がい児'!$D$231</f>
        <v>0</v>
      </c>
      <c r="D150" s="30">
        <f>'集計_障がい児'!$D$242</f>
        <v>3</v>
      </c>
      <c r="E150" s="30">
        <f>'集計_障がい児'!$D$252</f>
        <v>1</v>
      </c>
    </row>
    <row r="151"/>
    <row r="152"/>
    <row r="153"/>
    <row r="154"/>
    <row r="155"/>
    <row r="156"/>
    <row r="157"/>
    <row r="158"/>
    <row r="159"/>
    <row r="160"/>
    <row r="161"/>
    <row r="162"/>
    <row r="163"/>
    <row r="164"/>
    <row r="165"/>
    <row r="166"/>
    <row r="169" ht="21" customHeight="1">
      <c r="B169" s="7" t="inlineStr">
        <is>
          <t>図5-10　18歳以降のことで不安なこと（問32）</t>
        </is>
      </c>
    </row>
    <row r="170">
      <c r="B170" s="16" t="str">
        <f>"n="&amp;'集計_障がい児'!$F$271&amp;"（複数回答）"</f>
        <v>n=3（複数回答）</v>
      </c>
    </row>
    <row r="171" ht="18" customHeight="1">
      <c r="B171" s="3" t="inlineStr">
        <is>
          <t>選択肢</t>
        </is>
      </c>
      <c r="C171" s="3" t="inlineStr">
        <is>
          <t>件数</t>
        </is>
      </c>
    </row>
    <row r="172" ht="17" customHeight="1">
      <c r="B172" s="5" t="inlineStr">
        <is>
          <t>進学先・就労先</t>
        </is>
      </c>
      <c r="C172" s="17">
        <f>'集計_障がい児'!$D$271</f>
        <v>3</v>
      </c>
    </row>
    <row r="173" ht="17" customHeight="1">
      <c r="B173" s="5" t="inlineStr">
        <is>
          <t>就労選択支援の利用</t>
        </is>
      </c>
      <c r="C173" s="17">
        <f>'集計_障がい児'!$D$273</f>
        <v>3</v>
      </c>
    </row>
    <row r="174" ht="17" customHeight="1">
      <c r="B174" s="5" t="inlineStr">
        <is>
          <t>医療・通院の継続</t>
        </is>
      </c>
      <c r="C174" s="17">
        <f>'集計_障がい児'!$D$275</f>
        <v>3</v>
      </c>
    </row>
    <row r="175" ht="17" customHeight="1">
      <c r="B175" s="5" t="inlineStr">
        <is>
          <t>送迎・移動手段</t>
        </is>
      </c>
      <c r="C175" s="17">
        <f>'集計_障がい児'!$D$276</f>
        <v>3</v>
      </c>
    </row>
    <row r="176" ht="17" customHeight="1">
      <c r="B176" s="5" t="inlineStr">
        <is>
          <t>本人の意思決定や将来の暮らし</t>
        </is>
      </c>
      <c r="C176" s="17">
        <f>'集計_障がい児'!$D$277</f>
        <v>3</v>
      </c>
    </row>
    <row r="177" ht="17" customHeight="1">
      <c r="B177" s="5" t="inlineStr">
        <is>
          <t>家族の負担</t>
        </is>
      </c>
      <c r="C177" s="17">
        <f>'集計_障がい児'!$D$278</f>
        <v>3</v>
      </c>
    </row>
    <row r="178" ht="17" customHeight="1">
      <c r="B178" s="5" t="inlineStr">
        <is>
          <t>親など家族が高齢になった後の生活</t>
        </is>
      </c>
      <c r="C178" s="17">
        <f>'集計_障がい児'!$D$279</f>
        <v>3</v>
      </c>
    </row>
    <row r="179" ht="17" customHeight="1">
      <c r="B179" s="5" t="inlineStr">
        <is>
          <t>経済的な負担</t>
        </is>
      </c>
      <c r="C179" s="17">
        <f>'集計_障がい児'!$D$280</f>
        <v>3</v>
      </c>
    </row>
    <row r="180" ht="17" customHeight="1">
      <c r="B180" s="5" t="inlineStr">
        <is>
          <t>生活介護や就労継続支援A型等の通所先</t>
        </is>
      </c>
      <c r="C180" s="17">
        <f>'集計_障がい児'!$D$272</f>
        <v>1</v>
      </c>
    </row>
    <row r="181" ht="17" customHeight="1">
      <c r="B181" s="5" t="inlineStr">
        <is>
          <t>相談支援の継続</t>
        </is>
      </c>
      <c r="C181" s="17">
        <f>'集計_障がい児'!$D$274</f>
        <v>1</v>
      </c>
    </row>
    <row r="182" ht="17" customHeight="1">
      <c r="B182" s="5" t="inlineStr">
        <is>
          <t>その他</t>
        </is>
      </c>
      <c r="C182" s="17">
        <f>'集計_障がい児'!$D$282</f>
        <v>1</v>
      </c>
    </row>
    <row r="183" ht="15" customHeight="1">
      <c r="B183" s="12" t="inlineStr">
        <is>
          <t>※回答のなかった選択肢は省略しています。</t>
        </is>
      </c>
    </row>
    <row r="186" ht="21" customHeight="1">
      <c r="B186" s="7" t="inlineStr">
        <is>
          <t>図5-11　必要だと思う合理的配慮（問35）</t>
        </is>
      </c>
    </row>
    <row r="187">
      <c r="B187" s="16" t="str">
        <f>"n="&amp;'集計_障がい児'!$F$299&amp;"（複数回答）"</f>
        <v>n=3（複数回答）</v>
      </c>
    </row>
    <row r="188" ht="18" customHeight="1">
      <c r="B188" s="3" t="inlineStr">
        <is>
          <t>選択肢</t>
        </is>
      </c>
      <c r="C188" s="3" t="inlineStr">
        <is>
          <t>件数</t>
        </is>
      </c>
    </row>
    <row r="189" ht="17" customHeight="1">
      <c r="B189" s="5" t="inlineStr">
        <is>
          <t>わかりやすい説明</t>
        </is>
      </c>
      <c r="C189" s="17">
        <f>'集計_障がい児'!$D$299</f>
        <v>3</v>
      </c>
    </row>
    <row r="190" ht="17" customHeight="1">
      <c r="B190" s="5" t="inlineStr">
        <is>
          <t>職場・学校での配慮</t>
        </is>
      </c>
      <c r="C190" s="17">
        <f>'集計_障がい児'!$D$305</f>
        <v>3</v>
      </c>
    </row>
    <row r="191" ht="17" customHeight="1">
      <c r="B191" s="5" t="inlineStr">
        <is>
          <t>手続きの支援</t>
        </is>
      </c>
      <c r="C191" s="17">
        <f>'集計_障がい児'!$D$303</f>
        <v>2</v>
      </c>
    </row>
    <row r="192" ht="17" customHeight="1">
      <c r="B192" s="5" t="inlineStr">
        <is>
          <t>本人の意思確認を丁寧に行うこと</t>
        </is>
      </c>
      <c r="C192" s="17">
        <f>'集計_障がい児'!$D$304</f>
        <v>2</v>
      </c>
    </row>
    <row r="193" ht="17" customHeight="1">
      <c r="B193" s="5" t="inlineStr">
        <is>
          <t>筆談・手話・要約筆記・字幕等の意思疎通支援</t>
        </is>
      </c>
      <c r="C193" s="17">
        <f>'集計_障がい児'!$D$300</f>
        <v>1</v>
      </c>
    </row>
    <row r="194" ht="17" customHeight="1">
      <c r="B194" s="5" t="inlineStr">
        <is>
          <t>静かな場所での相談</t>
        </is>
      </c>
      <c r="C194" s="17">
        <f>'集計_障がい児'!$D$301</f>
        <v>1</v>
      </c>
    </row>
    <row r="195" ht="17" customHeight="1">
      <c r="B195" s="5" t="inlineStr">
        <is>
          <t>移動しやすい環境</t>
        </is>
      </c>
      <c r="C195" s="17">
        <f>'集計_障がい児'!$D$302</f>
        <v>1</v>
      </c>
    </row>
    <row r="196" ht="15" customHeight="1">
      <c r="B196" s="12" t="inlineStr">
        <is>
          <t>※回答のなかった選択肢は省略しています。</t>
        </is>
      </c>
    </row>
    <row r="199" ht="21" customHeight="1">
      <c r="B199" s="7" t="inlineStr">
        <is>
          <t>表5-3　災害時の対応に関する回答（障がい児調査）</t>
        </is>
      </c>
    </row>
    <row r="200" ht="17" customHeight="1">
      <c r="B200" s="3" t="inlineStr">
        <is>
          <t>設問</t>
        </is>
      </c>
      <c r="C200" s="3" t="inlineStr">
        <is>
          <t>回答（件数）</t>
        </is>
      </c>
      <c r="D200" s="8" t="n"/>
      <c r="E200" s="8" t="n"/>
      <c r="F200" s="8" t="n"/>
      <c r="G200" s="8" t="n"/>
      <c r="H200" s="9" t="n"/>
    </row>
    <row r="201" ht="30" customHeight="1">
      <c r="B201" s="28" t="inlineStr">
        <is>
          <t>災害時に不安なこと（問37）</t>
        </is>
      </c>
      <c r="C201" s="5" t="inlineStr">
        <is>
          <t>「避難先での生活」2件、「薬・医療機器」2件、「冬季・積雪時の避難」2件、「避難する方法」1件、「情報が届かないこと」1件</t>
        </is>
      </c>
      <c r="D201" s="8" t="n"/>
      <c r="E201" s="8" t="n"/>
      <c r="F201" s="8" t="n"/>
      <c r="G201" s="8" t="n"/>
      <c r="H201" s="9" t="n"/>
    </row>
    <row r="202" ht="30" customHeight="1">
      <c r="B202" s="29" t="inlineStr">
        <is>
          <t>避難行動要支援者名簿・個別避難計画の認知（問38）</t>
        </is>
      </c>
      <c r="C202" s="13" t="inlineStr">
        <is>
          <t>「知らない」3件</t>
        </is>
      </c>
      <c r="D202" s="8" t="n"/>
      <c r="E202" s="8" t="n"/>
      <c r="F202" s="8" t="n"/>
      <c r="G202" s="8" t="n"/>
      <c r="H202" s="9" t="n"/>
    </row>
    <row r="203" ht="17" customHeight="1">
      <c r="B203" s="28" t="inlineStr">
        <is>
          <t>災害時に支援してくれる人や機関（問39）</t>
        </is>
      </c>
      <c r="C203" s="5" t="inlineStr">
        <is>
          <t>「家族・親族」3件</t>
        </is>
      </c>
      <c r="D203" s="8" t="n"/>
      <c r="E203" s="8" t="n"/>
      <c r="F203" s="8" t="n"/>
      <c r="G203" s="8" t="n"/>
      <c r="H203" s="9" t="n"/>
    </row>
    <row r="204" ht="30" customHeight="1">
      <c r="B204" s="29" t="inlineStr">
        <is>
          <t>災害時に必要だと思う支援（問40）</t>
        </is>
      </c>
      <c r="C204" s="13" t="inlineStr">
        <is>
          <t>「薬・医療機器・電源の確保」2件、「冬季避難の支援」2件、「避難所での合理的配慮」2件、「避難訓練への参加支援」1件、「安否確認」1件</t>
        </is>
      </c>
      <c r="D204" s="8" t="n"/>
      <c r="E204" s="8" t="n"/>
      <c r="F204" s="8" t="n"/>
      <c r="G204" s="8" t="n"/>
      <c r="H204" s="9" t="n"/>
    </row>
    <row r="205" ht="15" customHeight="1">
      <c r="B205" s="12" t="inlineStr">
        <is>
          <t>※問37、問39、問40は複数回答です。回答のなかった選択肢は省略しています。</t>
        </is>
      </c>
    </row>
    <row r="207" ht="21" customHeight="1">
      <c r="B207" s="7" t="inlineStr">
        <is>
          <t>図5-12　今後、村が特に力を入れるべきこと（3つまで）（問43）</t>
        </is>
      </c>
    </row>
    <row r="208">
      <c r="B208" s="16" t="str">
        <f>"n="&amp;'集計_障がい児'!$F$367&amp;"（複数回答）"</f>
        <v>n=3（複数回答）</v>
      </c>
    </row>
    <row r="209" ht="18" customHeight="1">
      <c r="B209" s="3" t="inlineStr">
        <is>
          <t>選択肢</t>
        </is>
      </c>
      <c r="C209" s="3" t="inlineStr">
        <is>
          <t>件数</t>
        </is>
      </c>
    </row>
    <row r="210" ht="17" customHeight="1">
      <c r="B210" s="5" t="inlineStr">
        <is>
          <t>移動支援</t>
        </is>
      </c>
      <c r="C210" s="17">
        <f>'集計_障がい児'!$D$367</f>
        <v>2</v>
      </c>
    </row>
    <row r="211" ht="17" customHeight="1">
      <c r="B211" s="5" t="inlineStr">
        <is>
          <t>就労支援</t>
        </is>
      </c>
      <c r="C211" s="17">
        <f>'集計_障がい児'!$D$368</f>
        <v>2</v>
      </c>
    </row>
    <row r="212" ht="17" customHeight="1">
      <c r="B212" s="5" t="inlineStr">
        <is>
          <t>相談支援体制</t>
        </is>
      </c>
      <c r="C212" s="17">
        <f>'集計_障がい児'!$D$365</f>
        <v>1</v>
      </c>
    </row>
    <row r="213" ht="17" customHeight="1">
      <c r="B213" s="5" t="inlineStr">
        <is>
          <t>医療的ケア児等支援</t>
        </is>
      </c>
      <c r="C213" s="17">
        <f>'集計_障がい児'!$D$370</f>
        <v>1</v>
      </c>
    </row>
    <row r="214" ht="17" customHeight="1">
      <c r="B214" s="5" t="inlineStr">
        <is>
          <t>災害時支援</t>
        </is>
      </c>
      <c r="C214" s="17">
        <f>'集計_障がい児'!$D$371</f>
        <v>1</v>
      </c>
    </row>
    <row r="215" ht="17" customHeight="1">
      <c r="B215" s="5" t="inlineStr">
        <is>
          <t>差別解消・権利擁護</t>
        </is>
      </c>
      <c r="C215" s="17">
        <f>'集計_障がい児'!$D$372</f>
        <v>1</v>
      </c>
    </row>
    <row r="216" ht="17" customHeight="1">
      <c r="B216" s="5" t="inlineStr">
        <is>
          <t>サービス事業所の確保</t>
        </is>
      </c>
      <c r="C216" s="17">
        <f>'集計_障がい児'!$D$374</f>
        <v>1</v>
      </c>
    </row>
    <row r="217" ht="15" customHeight="1">
      <c r="B217" s="12" t="inlineStr">
        <is>
          <t>※回答のなかった選択肢は省略しています。</t>
        </is>
      </c>
    </row>
    <row r="220" ht="21" customHeight="1">
      <c r="B220" s="7" t="inlineStr">
        <is>
          <t>表5-4　クロス集計の主な傾向（障がい児調査・参考）</t>
        </is>
      </c>
    </row>
    <row r="221" ht="17" customHeight="1">
      <c r="B221" s="3" t="inlineStr">
        <is>
          <t>No.</t>
        </is>
      </c>
      <c r="C221" s="3" t="inlineStr">
        <is>
          <t>分析テーマ</t>
        </is>
      </c>
      <c r="D221" s="8" t="n"/>
      <c r="E221" s="9" t="n"/>
      <c r="F221" s="3" t="inlineStr">
        <is>
          <t>主な傾向</t>
        </is>
      </c>
      <c r="G221" s="8" t="n"/>
      <c r="H221" s="8" t="n"/>
      <c r="I221" s="8" t="n"/>
      <c r="J221" s="9" t="n"/>
    </row>
    <row r="222" ht="30" customHeight="1">
      <c r="B222" s="4" t="inlineStr">
        <is>
          <t>C01</t>
        </is>
      </c>
      <c r="C222" s="5" t="inlineStr">
        <is>
          <t>障がい種別 × 今後利用したいサービス（問6×問29）</t>
        </is>
      </c>
      <c r="D222" s="8" t="n"/>
      <c r="E222" s="9" t="n"/>
      <c r="F222" s="5" t="inlineStr">
        <is>
          <t>障がい種別にかかわらず、3件全てが「移動支援」の利用を希望しています。</t>
        </is>
      </c>
      <c r="G222" s="8" t="n"/>
      <c r="H222" s="8" t="n"/>
      <c r="I222" s="8" t="n"/>
      <c r="J222" s="9" t="n"/>
    </row>
    <row r="223" ht="30" customHeight="1">
      <c r="B223" s="14" t="inlineStr">
        <is>
          <t>C02</t>
        </is>
      </c>
      <c r="C223" s="13" t="inlineStr">
        <is>
          <t>地区 × 外出時に困ること（問3×問14）</t>
        </is>
      </c>
      <c r="D223" s="8" t="n"/>
      <c r="E223" s="9" t="n"/>
      <c r="F223" s="13" t="inlineStr">
        <is>
          <t>北山地区の2件はいずれも「交通手段が少ない」を挙げています。</t>
        </is>
      </c>
      <c r="G223" s="8" t="n"/>
      <c r="H223" s="8" t="n"/>
      <c r="I223" s="8" t="n"/>
      <c r="J223" s="9" t="n"/>
    </row>
    <row r="224" ht="30" customHeight="1">
      <c r="B224" s="4" t="inlineStr">
        <is>
          <t>C03</t>
        </is>
      </c>
      <c r="C224" s="5" t="inlineStr">
        <is>
          <t>地区 × 通園・通学等の困りごと（問3×問24）</t>
        </is>
      </c>
      <c r="D224" s="8" t="n"/>
      <c r="E224" s="9" t="n"/>
      <c r="F224" s="5" t="inlineStr">
        <is>
          <t>地区にかかわらず、3件全てが「送迎・移動手段の確保が難しい」「付き添いなど家族の負担が大きい」を挙げています。</t>
        </is>
      </c>
      <c r="G224" s="8" t="n"/>
      <c r="H224" s="8" t="n"/>
      <c r="I224" s="8" t="n"/>
      <c r="J224" s="9" t="n"/>
    </row>
    <row r="225" ht="30" customHeight="1">
      <c r="B225" s="14" t="inlineStr">
        <is>
          <t>C04</t>
        </is>
      </c>
      <c r="C225" s="13" t="inlineStr">
        <is>
          <t>年齢 × 18歳以降に希望する暮らし（問2×問11）</t>
        </is>
      </c>
      <c r="D225" s="8" t="n"/>
      <c r="E225" s="9" t="n"/>
      <c r="F225" s="13" t="inlineStr">
        <is>
          <t>年齢区分ごとに回答が分かれており、一定の傾向はみられません。</t>
        </is>
      </c>
      <c r="G225" s="8" t="n"/>
      <c r="H225" s="8" t="n"/>
      <c r="I225" s="8" t="n"/>
      <c r="J225" s="9" t="n"/>
    </row>
    <row r="226" ht="30" customHeight="1">
      <c r="B226" s="4" t="inlineStr">
        <is>
          <t>C05</t>
        </is>
      </c>
      <c r="C226" s="5" t="inlineStr">
        <is>
          <t>年齢 × 日常生活で困っていること（問2×問10）</t>
        </is>
      </c>
      <c r="D226" s="8" t="n"/>
      <c r="E226" s="9" t="n"/>
      <c r="F226" s="5" t="inlineStr">
        <is>
          <t>年齢区分にかかわらず、3件全てが「将来の生活」を挙げています。</t>
        </is>
      </c>
      <c r="G226" s="8" t="n"/>
      <c r="H226" s="8" t="n"/>
      <c r="I226" s="8" t="n"/>
      <c r="J226" s="9" t="n"/>
    </row>
    <row r="227" ht="30" customHeight="1">
      <c r="B227" s="14" t="inlineStr">
        <is>
          <t>C06</t>
        </is>
      </c>
      <c r="C227" s="13" t="inlineStr">
        <is>
          <t>現在のサービス × 今後利用したいサービス（問27×問29）</t>
        </is>
      </c>
      <c r="D227" s="8" t="n"/>
      <c r="E227" s="9" t="n"/>
      <c r="F227" s="13" t="inlineStr">
        <is>
          <t>放課後等デイサービスの利用者（2件）は、いずれも今後「障がい児相談支援」「移動支援」の利用を希望しています。</t>
        </is>
      </c>
      <c r="G227" s="8" t="n"/>
      <c r="H227" s="8" t="n"/>
      <c r="I227" s="8" t="n"/>
      <c r="J227" s="9" t="n"/>
    </row>
    <row r="228" ht="43" customHeight="1">
      <c r="B228" s="4" t="inlineStr">
        <is>
          <t>C07</t>
        </is>
      </c>
      <c r="C228" s="5" t="inlineStr">
        <is>
          <t>個別避難計画等の認知 × 災害時の不安（問38×問37）</t>
        </is>
      </c>
      <c r="D228" s="8" t="n"/>
      <c r="E228" s="9" t="n"/>
      <c r="F228" s="5" t="inlineStr">
        <is>
          <t>3件全てが制度を「知らない」と回答しており、そのうち2件が「避難先での生活」「薬・医療機器」「冬季・積雪時の避難」に不安を感じています。</t>
        </is>
      </c>
      <c r="G228" s="8" t="n"/>
      <c r="H228" s="8" t="n"/>
      <c r="I228" s="8" t="n"/>
      <c r="J228" s="9" t="n"/>
    </row>
    <row r="229" ht="30" customHeight="1">
      <c r="B229" s="14" t="inlineStr">
        <is>
          <t>C08</t>
        </is>
      </c>
      <c r="C229" s="13" t="inlineStr">
        <is>
          <t>障がい種別 × 必要な合理的配慮（問6×問35）</t>
        </is>
      </c>
      <c r="D229" s="8" t="n"/>
      <c r="E229" s="9" t="n"/>
      <c r="F229" s="13" t="inlineStr">
        <is>
          <t>障がい種別にかかわらず、3件全てが「わかりやすい説明」「職場・学校での配慮」を挙げています。</t>
        </is>
      </c>
      <c r="G229" s="8" t="n"/>
      <c r="H229" s="8" t="n"/>
      <c r="I229" s="8" t="n"/>
      <c r="J229" s="9" t="n"/>
    </row>
    <row r="230" ht="30" customHeight="1">
      <c r="B230" s="4" t="inlineStr">
        <is>
          <t>C09</t>
        </is>
      </c>
      <c r="C230" s="5" t="inlineStr">
        <is>
          <t>相談先 × 相談支援に期待すること（問19×問22）</t>
        </is>
      </c>
      <c r="D230" s="8" t="n"/>
      <c r="E230" s="9" t="n"/>
      <c r="F230" s="5" t="inlineStr">
        <is>
          <t>家族・親族に相談している3件全てが「将来の暮らしの相談」「医療・通院の相談」を期待しています。</t>
        </is>
      </c>
      <c r="G230" s="8" t="n"/>
      <c r="H230" s="8" t="n"/>
      <c r="I230" s="8" t="n"/>
      <c r="J230" s="9" t="n"/>
    </row>
    <row r="231" ht="30" customHeight="1">
      <c r="B231" s="14" t="inlineStr">
        <is>
          <t>C10</t>
        </is>
      </c>
      <c r="C231" s="13" t="inlineStr">
        <is>
          <t>主な介助者 × 18歳以降の不安（問8×問32）</t>
        </is>
      </c>
      <c r="D231" s="8" t="n"/>
      <c r="E231" s="9" t="n"/>
      <c r="F231" s="13" t="inlineStr">
        <is>
          <t>主な介助者は3件とも親で、8項目で3件全てが不安を挙げています。</t>
        </is>
      </c>
      <c r="G231" s="8" t="n"/>
      <c r="H231" s="8" t="n"/>
      <c r="I231" s="8" t="n"/>
      <c r="J231" s="9" t="n"/>
    </row>
    <row r="233" ht="21" customHeight="1">
      <c r="B233" s="7" t="inlineStr">
        <is>
          <t>表5-5　共通設問の比較</t>
        </is>
      </c>
    </row>
    <row r="234" ht="44" customHeight="1">
      <c r="B234" s="3" t="inlineStr">
        <is>
          <t>項目</t>
        </is>
      </c>
      <c r="C234" s="3" t="inlineStr">
        <is>
          <t>障がい者調査
（割合）</t>
        </is>
      </c>
      <c r="D234" s="3" t="inlineStr">
        <is>
          <t>障がい児調査
（件数）</t>
        </is>
      </c>
      <c r="E234" s="3" t="inlineStr">
        <is>
          <t>障がい児調査
（n）</t>
        </is>
      </c>
    </row>
    <row r="235" ht="17" customHeight="1">
      <c r="B235" s="5" t="inlineStr">
        <is>
          <t>日常生活で困っていること「将来の生活」</t>
        </is>
      </c>
      <c r="C235" s="18">
        <f>IF('集計_障がい者'!$F$77=0,0,SUM('集計_障がい者'!$D$77)/'集計_障がい者'!$F$77)</f>
        <v>0.305555555555556</v>
      </c>
      <c r="D235" s="31">
        <f>SUM('集計_障がい児'!$D$66)</f>
        <v>3</v>
      </c>
      <c r="E235" s="31">
        <f>'集計_障がい児'!$F$66</f>
        <v>3</v>
      </c>
    </row>
    <row r="236" ht="17" customHeight="1">
      <c r="B236" s="5" t="inlineStr">
        <is>
          <t>外出時に困ること「交通手段が少ない」</t>
        </is>
      </c>
      <c r="C236" s="18">
        <f>IF('集計_障がい者'!$F$102=0,0,SUM('集計_障がい者'!$D$102)/'集計_障がい者'!$F$102)</f>
        <v>0.176470588235294</v>
      </c>
      <c r="D236" s="31">
        <f>SUM('集計_障がい児'!$D$89)</f>
        <v>2</v>
      </c>
      <c r="E236" s="31">
        <f>'集計_障がい児'!$F$89</f>
        <v>3</v>
      </c>
    </row>
    <row r="237" ht="17" customHeight="1">
      <c r="B237" s="5" t="inlineStr">
        <is>
          <t>外出時に困ること「家族等の付き添いが必要」</t>
        </is>
      </c>
      <c r="C237" s="18">
        <f>IF('集計_障がい者'!$F$103=0,0,SUM('集計_障がい者'!$D$103)/'集計_障がい者'!$F$103)</f>
        <v>0.205882352941176</v>
      </c>
      <c r="D237" s="31">
        <f>SUM('集計_障がい児'!$D$90)</f>
        <v>2</v>
      </c>
      <c r="E237" s="31">
        <f>'集計_障がい児'!$F$90</f>
        <v>3</v>
      </c>
    </row>
    <row r="238" ht="17" customHeight="1">
      <c r="B238" s="5" t="inlineStr">
        <is>
          <t>通院で困ること「専門医療機関が遠い」</t>
        </is>
      </c>
      <c r="C238" s="18">
        <f>IF('集計_障がい者'!$F$116=0,0,SUM('集計_障がい者'!$D$116)/'集計_障がい者'!$F$116)</f>
        <v>0.222222222222222</v>
      </c>
      <c r="D238" s="31">
        <f>SUM('集計_障がい児'!$D$103)</f>
        <v>3</v>
      </c>
      <c r="E238" s="31">
        <f>'集計_障がい児'!$F$103</f>
        <v>3</v>
      </c>
    </row>
    <row r="239" ht="17" customHeight="1">
      <c r="B239" s="5" t="inlineStr">
        <is>
          <t>通院で困ること「付き添いが必要」</t>
        </is>
      </c>
      <c r="C239" s="18">
        <f>IF('集計_障がい者'!$F$118=0,0,SUM('集計_障がい者'!$D$118)/'集計_障がい者'!$F$118)</f>
        <v>0.222222222222222</v>
      </c>
      <c r="D239" s="31">
        <f>SUM('集計_障がい児'!$D$105)</f>
        <v>3</v>
      </c>
      <c r="E239" s="31">
        <f>'集計_障がい児'!$F$105</f>
        <v>3</v>
      </c>
    </row>
    <row r="240" ht="17" customHeight="1">
      <c r="B240" s="5" t="inlineStr">
        <is>
          <t>困ったときの相談相手「家族・親族」</t>
        </is>
      </c>
      <c r="C240" s="18">
        <f>IF('集計_障がい者'!$F$162=0,0,SUM('集計_障がい者'!$D$162)/'集計_障がい者'!$F$162)</f>
        <v>0.783783783783784</v>
      </c>
      <c r="D240" s="31">
        <f>SUM('集計_障がい児'!$D$133)</f>
        <v>3</v>
      </c>
      <c r="E240" s="31">
        <f>'集計_障がい児'!$F$133</f>
        <v>3</v>
      </c>
    </row>
    <row r="241" ht="17" customHeight="1">
      <c r="B241" s="5" t="inlineStr">
        <is>
          <t>相談支援への期待「将来の暮らしの相談」</t>
        </is>
      </c>
      <c r="C241" s="18">
        <f>IF('集計_障がい者'!$F$198=0,0,SUM('集計_障がい者'!$D$198)/'集計_障がい者'!$F$198)</f>
        <v>0.413793103448276</v>
      </c>
      <c r="D241" s="31">
        <f>SUM('集計_障がい児'!$D$165)</f>
        <v>3</v>
      </c>
      <c r="E241" s="31">
        <f>'集計_障がい児'!$F$165</f>
        <v>3</v>
      </c>
    </row>
    <row r="242" ht="17" customHeight="1">
      <c r="B242" s="5" t="inlineStr">
        <is>
          <t>差別・偏見・不利益を感じたことがある</t>
        </is>
      </c>
      <c r="C242" s="18">
        <f>IF('集計_障がい者'!$F$315=0,0,SUM('集計_障がい者'!$D$315,'集計_障がい者'!$D$316,'集計_障がい者'!$D$317)/'集計_障がい者'!$F$315)</f>
        <v>0.290322580645161</v>
      </c>
      <c r="D242" s="31">
        <f>SUM('集計_障がい児'!$D$283,'集計_障がい児'!$D$284,'集計_障がい児'!$D$285)</f>
        <v>2</v>
      </c>
      <c r="E242" s="31">
        <f>'集計_障がい児'!$F$283</f>
        <v>3</v>
      </c>
    </row>
    <row r="243" ht="17" customHeight="1">
      <c r="B243" s="5" t="inlineStr">
        <is>
          <t>成年後見制度等を「知らない」</t>
        </is>
      </c>
      <c r="C243" s="18">
        <f>IF('集計_障がい者'!$F$344=0,0,SUM('集計_障がい者'!$D$344)/'集計_障がい者'!$F$344)</f>
        <v>0.424242424242424</v>
      </c>
      <c r="D243" s="31">
        <f>SUM('集計_障がい児'!$D$312)</f>
        <v>3</v>
      </c>
      <c r="E243" s="31">
        <f>'集計_障がい児'!$F$312</f>
        <v>3</v>
      </c>
    </row>
    <row r="244" ht="17" customHeight="1">
      <c r="B244" s="5" t="inlineStr">
        <is>
          <t>個別避難計画等を「知らない」</t>
        </is>
      </c>
      <c r="C244" s="18">
        <f>IF('集計_障がい者'!$F$357=0,0,SUM('集計_障がい者'!$D$357)/'集計_障がい者'!$F$357)</f>
        <v>0.764705882352941</v>
      </c>
      <c r="D244" s="31">
        <f>SUM('集計_障がい児'!$D$325)</f>
        <v>3</v>
      </c>
      <c r="E244" s="31">
        <f>'集計_障がい児'!$F$325</f>
        <v>3</v>
      </c>
    </row>
    <row r="245" ht="17" customHeight="1">
      <c r="B245" s="5" t="inlineStr">
        <is>
          <t>災害時の不安「冬季・積雪時の避難」</t>
        </is>
      </c>
      <c r="C245" s="18">
        <f>IF('集計_障がい者'!$F$351=0,0,SUM('集計_障がい者'!$D$351)/'集計_障がい者'!$F$351)</f>
        <v>0.470588235294118</v>
      </c>
      <c r="D245" s="31">
        <f>SUM('集計_障がい児'!$D$319)</f>
        <v>2</v>
      </c>
      <c r="E245" s="31">
        <f>'集計_障がい児'!$F$319</f>
        <v>3</v>
      </c>
    </row>
    <row r="246" ht="17" customHeight="1">
      <c r="B246" s="5" t="inlineStr">
        <is>
          <t>村が力を入れるべきこと「移動支援」</t>
        </is>
      </c>
      <c r="C246" s="18">
        <f>IF('集計_障がい者'!$F$396=0,0,SUM('集計_障がい者'!$D$396)/'集計_障がい者'!$F$396)</f>
        <v>0.32258064516129</v>
      </c>
      <c r="D246" s="31">
        <f>SUM('集計_障がい児'!$D$367)</f>
        <v>2</v>
      </c>
      <c r="E246" s="31">
        <f>'集計_障がい児'!$F$367</f>
        <v>3</v>
      </c>
    </row>
    <row r="247" ht="17" customHeight="1">
      <c r="B247" s="5" t="inlineStr">
        <is>
          <t>村が力を入れるべきこと「相談支援体制」</t>
        </is>
      </c>
      <c r="C247" s="18">
        <f>IF('集計_障がい者'!$F$394=0,0,SUM('集計_障がい者'!$D$394)/'集計_障がい者'!$F$394)</f>
        <v>0.419354838709677</v>
      </c>
      <c r="D247" s="31">
        <f>SUM('集計_障がい児'!$D$365)</f>
        <v>1</v>
      </c>
      <c r="E247" s="31">
        <f>'集計_障がい児'!$F$365</f>
        <v>3</v>
      </c>
    </row>
    <row r="248" ht="39" customHeight="1">
      <c r="B248" s="12" t="inlineStr">
        <is>
          <t>※設問番号は調査により異なります（例：相談相手は障がい者調査の問22、障がい児調査の問19）。差別・偏見は「週に１回程度」「月に１回程度」「年に１回程度」の合計です。</t>
        </is>
      </c>
    </row>
    <row r="250" ht="21" customHeight="1">
      <c r="B250" s="7" t="inlineStr">
        <is>
          <t>表5-6　自由記述にみる主な意見（障がい児調査）</t>
        </is>
      </c>
    </row>
    <row r="251" ht="17" customHeight="1">
      <c r="B251" s="3" t="inlineStr">
        <is>
          <t>分野</t>
        </is>
      </c>
      <c r="C251" s="3" t="inlineStr">
        <is>
          <t>主な意見（要旨）</t>
        </is>
      </c>
      <c r="D251" s="8" t="n"/>
      <c r="E251" s="8" t="n"/>
      <c r="F251" s="8" t="n"/>
      <c r="G251" s="8" t="n"/>
      <c r="H251" s="9" t="n"/>
      <c r="I251" s="3" t="inlineStr">
        <is>
          <t>設問</t>
        </is>
      </c>
    </row>
    <row r="252" ht="30" customHeight="1">
      <c r="B252" s="20" t="inlineStr">
        <is>
          <t>送迎・移動</t>
        </is>
      </c>
      <c r="C252" s="5" t="inlineStr">
        <is>
          <t>学校や放課後等デイサービスなどが遠方にあり、送迎の負担が非常に大きい。</t>
        </is>
      </c>
      <c r="D252" s="8" t="n"/>
      <c r="E252" s="8" t="n"/>
      <c r="F252" s="8" t="n"/>
      <c r="G252" s="8" t="n"/>
      <c r="H252" s="9" t="n"/>
      <c r="I252" s="4" t="inlineStr">
        <is>
          <t>問10</t>
        </is>
      </c>
    </row>
    <row r="253" ht="30" customHeight="1">
      <c r="B253" s="20" t="inlineStr"/>
      <c r="C253" s="5" t="inlineStr">
        <is>
          <t>特別支援学校から村内の児童クラブへの送迎を保護者が担っており、仕事との両立が困難である。</t>
        </is>
      </c>
      <c r="D253" s="8" t="n"/>
      <c r="E253" s="8" t="n"/>
      <c r="F253" s="8" t="n"/>
      <c r="G253" s="8" t="n"/>
      <c r="H253" s="9" t="n"/>
      <c r="I253" s="4" t="inlineStr">
        <is>
          <t>問10-2</t>
        </is>
      </c>
    </row>
    <row r="254" ht="30" customHeight="1">
      <c r="B254" s="20" t="inlineStr"/>
      <c r="C254" s="5" t="inlineStr">
        <is>
          <t>送迎について何年も前から相談しているが、話が進まない。通所への送迎支援がほしい。</t>
        </is>
      </c>
      <c r="D254" s="8" t="n"/>
      <c r="E254" s="8" t="n"/>
      <c r="F254" s="8" t="n"/>
      <c r="G254" s="8" t="n"/>
      <c r="H254" s="9" t="n"/>
      <c r="I254" s="4" t="inlineStr">
        <is>
          <t>問24・問18</t>
        </is>
      </c>
    </row>
    <row r="255" ht="30" customHeight="1">
      <c r="B255" s="20" t="inlineStr">
        <is>
          <t>預け先・家族の就労</t>
        </is>
      </c>
      <c r="C255" s="5" t="inlineStr">
        <is>
          <t>全介助が必要であり、休日に預かってもらえる場所がないため、保護者が働くことが難しい。</t>
        </is>
      </c>
      <c r="D255" s="8" t="n"/>
      <c r="E255" s="8" t="n"/>
      <c r="F255" s="8" t="n"/>
      <c r="G255" s="8" t="n"/>
      <c r="H255" s="9" t="n"/>
      <c r="I255" s="4" t="inlineStr">
        <is>
          <t>問10-2</t>
        </is>
      </c>
    </row>
    <row r="256" ht="30" customHeight="1">
      <c r="B256" s="20" t="inlineStr">
        <is>
          <t>障がい特性への対応</t>
        </is>
      </c>
      <c r="C256" s="5" t="inlineStr">
        <is>
          <t>障がい特性により外出が難しく、受診時の待ち時間に対応することも大変である。</t>
        </is>
      </c>
      <c r="D256" s="8" t="n"/>
      <c r="E256" s="8" t="n"/>
      <c r="F256" s="8" t="n"/>
      <c r="G256" s="8" t="n"/>
      <c r="H256" s="9" t="n"/>
      <c r="I256" s="4" t="inlineStr">
        <is>
          <t>問14・問16</t>
        </is>
      </c>
    </row>
    <row r="257" ht="17" customHeight="1">
      <c r="B257" s="20" t="inlineStr">
        <is>
          <t>将来の生活</t>
        </is>
      </c>
      <c r="C257" s="5" t="inlineStr">
        <is>
          <t>学業への不安が強く、将来が不安である。</t>
        </is>
      </c>
      <c r="D257" s="8" t="n"/>
      <c r="E257" s="8" t="n"/>
      <c r="F257" s="8" t="n"/>
      <c r="G257" s="8" t="n"/>
      <c r="H257" s="9" t="n"/>
      <c r="I257" s="4" t="inlineStr">
        <is>
          <t>問10-2</t>
        </is>
      </c>
    </row>
    <row r="258" ht="30" customHeight="1">
      <c r="B258" s="20" t="inlineStr"/>
      <c r="C258" s="5" t="inlineStr">
        <is>
          <t>一人で生活していくことが難しく、意思疎通や生活全般に介助が必要なため、保護者が高齢になった後の生活が不安である。</t>
        </is>
      </c>
      <c r="D258" s="8" t="n"/>
      <c r="E258" s="8" t="n"/>
      <c r="F258" s="8" t="n"/>
      <c r="G258" s="8" t="n"/>
      <c r="H258" s="9" t="n"/>
      <c r="I258" s="4" t="inlineStr">
        <is>
          <t>問32・問32-1</t>
        </is>
      </c>
    </row>
    <row r="259" ht="30" customHeight="1">
      <c r="B259" s="20" t="inlineStr">
        <is>
          <t>村への要望</t>
        </is>
      </c>
      <c r="C259" s="5" t="inlineStr">
        <is>
          <t>送迎の支援、紙おむつ等の給付（オムツ券の発行）、村内へのサービス事業所の整備・拡大をお願いしたい。</t>
        </is>
      </c>
      <c r="D259" s="8" t="n"/>
      <c r="E259" s="8" t="n"/>
      <c r="F259" s="8" t="n"/>
      <c r="G259" s="8" t="n"/>
      <c r="H259" s="9" t="n"/>
      <c r="I259" s="4" t="inlineStr">
        <is>
          <t>問44</t>
        </is>
      </c>
    </row>
    <row r="260" ht="15" customHeight="1">
      <c r="B260" s="12" t="inlineStr">
        <is>
          <t>※個人が特定されることのないよう、趣旨を損なわない範囲で要約・一部修正しています。</t>
        </is>
      </c>
    </row>
  </sheetData>
  <mergeCells count="60">
    <mergeCell ref="C10:H10"/>
    <mergeCell ref="C221:E221"/>
    <mergeCell ref="C230:E230"/>
    <mergeCell ref="C227:E227"/>
    <mergeCell ref="C226:E226"/>
    <mergeCell ref="F227:J227"/>
    <mergeCell ref="B57:D57"/>
    <mergeCell ref="C9:H9"/>
    <mergeCell ref="C255:H255"/>
    <mergeCell ref="C202:H202"/>
    <mergeCell ref="F221:J221"/>
    <mergeCell ref="C223:E223"/>
    <mergeCell ref="C12:H12"/>
    <mergeCell ref="C201:H201"/>
    <mergeCell ref="B69:D69"/>
    <mergeCell ref="C252:H252"/>
    <mergeCell ref="B196:D196"/>
    <mergeCell ref="C257:H257"/>
    <mergeCell ref="C222:E222"/>
    <mergeCell ref="C11:H11"/>
    <mergeCell ref="F223:J223"/>
    <mergeCell ref="C251:H251"/>
    <mergeCell ref="B217:D217"/>
    <mergeCell ref="C203:H203"/>
    <mergeCell ref="C228:E228"/>
    <mergeCell ref="C8:H8"/>
    <mergeCell ref="B183:D183"/>
    <mergeCell ref="C224:E224"/>
    <mergeCell ref="B83:D83"/>
    <mergeCell ref="C7:H7"/>
    <mergeCell ref="F228:J228"/>
    <mergeCell ref="C253:H253"/>
    <mergeCell ref="B94:D94"/>
    <mergeCell ref="B45:D45"/>
    <mergeCell ref="F224:J224"/>
    <mergeCell ref="F231:J231"/>
    <mergeCell ref="C13:H13"/>
    <mergeCell ref="B248:E248"/>
    <mergeCell ref="C229:E229"/>
    <mergeCell ref="C258:H258"/>
    <mergeCell ref="C254:H254"/>
    <mergeCell ref="C3:H3"/>
    <mergeCell ref="F230:J230"/>
    <mergeCell ref="C256:H256"/>
    <mergeCell ref="B260:I260"/>
    <mergeCell ref="C204:H204"/>
    <mergeCell ref="F229:J229"/>
    <mergeCell ref="C6:H6"/>
    <mergeCell ref="B121:D121"/>
    <mergeCell ref="C225:E225"/>
    <mergeCell ref="C5:H5"/>
    <mergeCell ref="F226:J226"/>
    <mergeCell ref="C259:H259"/>
    <mergeCell ref="F222:J222"/>
    <mergeCell ref="C4:H4"/>
    <mergeCell ref="F225:J225"/>
    <mergeCell ref="B205:H205"/>
    <mergeCell ref="C231:E231"/>
    <mergeCell ref="C200:H200"/>
    <mergeCell ref="B137:E137"/>
  </mergeCells>
  <pageMargins left="0.75" right="0.75" top="1" bottom="1" header="0.5" footer="0.5"/>
  <pageSetup orientation="landscape" paperSize="9" fitToHeight="0" fitToWidth="1"/>
  <drawing xmlns:r="http://schemas.openxmlformats.org/officeDocument/2006/relationships" r:id="rId1"/>
</worksheet>
</file>

<file path=xl/worksheets/sheet12.xml><?xml version="1.0" encoding="utf-8"?>
<worksheet xmlns="http://schemas.openxmlformats.org/spreadsheetml/2006/main">
  <sheetPr>
    <outlinePr summaryBelow="1" summaryRight="1"/>
    <pageSetUpPr fitToPage="1"/>
  </sheetPr>
  <dimension ref="B2:H12"/>
  <sheetViews>
    <sheetView showGridLines="0" workbookViewId="0">
      <selection activeCell="A1" sqref="A1"/>
    </sheetView>
  </sheetViews>
  <sheetFormatPr baseColWidth="8" defaultRowHeight="15"/>
  <cols>
    <col width="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s>
  <sheetData>
    <row r="2" ht="21" customHeight="1">
      <c r="B2" s="7" t="inlineStr">
        <is>
          <t>表6-1　課題と計画上の主な取組・指標の関係</t>
        </is>
      </c>
    </row>
    <row r="3" ht="17" customHeight="1">
      <c r="B3" s="3" t="inlineStr">
        <is>
          <t>課題</t>
        </is>
      </c>
      <c r="C3" s="3" t="inlineStr">
        <is>
          <t>関連する主な取組・指標の領域（例）</t>
        </is>
      </c>
      <c r="D3" s="8" t="n"/>
      <c r="E3" s="8" t="n"/>
      <c r="F3" s="9" t="n"/>
      <c r="G3" s="3" t="inlineStr">
        <is>
          <t>主な根拠設問</t>
        </is>
      </c>
      <c r="H3" s="9" t="n"/>
    </row>
    <row r="4" ht="30" customHeight="1">
      <c r="B4" s="28" t="inlineStr">
        <is>
          <t>1 相談支援体制・情報提供</t>
        </is>
      </c>
      <c r="C4" s="5" t="inlineStr">
        <is>
          <t>相談支援体制の充実・強化、計画相談支援、意思決定支援の推進</t>
        </is>
      </c>
      <c r="D4" s="8" t="n"/>
      <c r="E4" s="8" t="n"/>
      <c r="F4" s="9" t="n"/>
      <c r="G4" s="5" t="inlineStr">
        <is>
          <t>問22・問23・問26・問27-2・問44</t>
        </is>
      </c>
      <c r="H4" s="9" t="n"/>
    </row>
    <row r="5" ht="30" customHeight="1">
      <c r="B5" s="29" t="inlineStr">
        <is>
          <t>2 移動・外出支援</t>
        </is>
      </c>
      <c r="C5" s="13" t="inlineStr">
        <is>
          <t>移動支援事業（地域生活支援事業）、同行援護・行動援護、関係部署との連携</t>
        </is>
      </c>
      <c r="D5" s="8" t="n"/>
      <c r="E5" s="8" t="n"/>
      <c r="F5" s="9" t="n"/>
      <c r="G5" s="13" t="inlineStr">
        <is>
          <t>問13・問14・問16・児問24・児問29</t>
        </is>
      </c>
      <c r="H5" s="9" t="n"/>
    </row>
    <row r="6" ht="30" customHeight="1">
      <c r="B6" s="28" t="inlineStr">
        <is>
          <t>3 災害時の支援体制</t>
        </is>
      </c>
      <c r="C6" s="5" t="inlineStr">
        <is>
          <t>個別避難計画の作成推進、福祉避難所の確保、防災分野との連携</t>
        </is>
      </c>
      <c r="D6" s="8" t="n"/>
      <c r="E6" s="8" t="n"/>
      <c r="F6" s="9" t="n"/>
      <c r="G6" s="5" t="inlineStr">
        <is>
          <t>問38～問41・児問37～児問40</t>
        </is>
      </c>
      <c r="H6" s="9" t="n"/>
    </row>
    <row r="7" ht="43" customHeight="1">
      <c r="B7" s="29" t="inlineStr">
        <is>
          <t>4 地域生活支援拠点・将来の暮らし</t>
        </is>
      </c>
      <c r="C7" s="13" t="inlineStr">
        <is>
          <t>地域生活支援の充実（地域生活支援拠点等）、施設入所者の地域生活への移行、共同生活援助・短期入所の見込量</t>
        </is>
      </c>
      <c r="D7" s="8" t="n"/>
      <c r="E7" s="8" t="n"/>
      <c r="F7" s="9" t="n"/>
      <c r="G7" s="13" t="inlineStr">
        <is>
          <t>問10・問11・問27-3・問29</t>
        </is>
      </c>
      <c r="H7" s="9" t="n"/>
    </row>
    <row r="8" ht="43" customHeight="1">
      <c r="B8" s="28" t="inlineStr">
        <is>
          <t>5 障がい児・家族支援</t>
        </is>
      </c>
      <c r="C8" s="5" t="inlineStr">
        <is>
          <t>障がい児支援の提供体制の整備、放課後等デイサービス・障がい児相談支援の見込量、医療的ケア児支援</t>
        </is>
      </c>
      <c r="D8" s="8" t="n"/>
      <c r="E8" s="8" t="n"/>
      <c r="F8" s="9" t="n"/>
      <c r="G8" s="5" t="inlineStr">
        <is>
          <t>児問18・児問24・児問25・児問29・児問31</t>
        </is>
      </c>
      <c r="H8" s="9" t="n"/>
    </row>
    <row r="9" ht="30" customHeight="1">
      <c r="B9" s="29" t="inlineStr">
        <is>
          <t>6 権利擁護・合理的配慮</t>
        </is>
      </c>
      <c r="C9" s="13" t="inlineStr">
        <is>
          <t>成年後見制度利用支援事業、意思疎通支援事業、理解促進研修・啓発事業</t>
        </is>
      </c>
      <c r="D9" s="8" t="n"/>
      <c r="E9" s="8" t="n"/>
      <c r="F9" s="9" t="n"/>
      <c r="G9" s="13" t="inlineStr">
        <is>
          <t>問34～問37・問43</t>
        </is>
      </c>
      <c r="H9" s="9" t="n"/>
    </row>
    <row r="10" ht="30" customHeight="1">
      <c r="B10" s="28" t="inlineStr">
        <is>
          <t>7 日中活動・就労・社会参加</t>
        </is>
      </c>
      <c r="C10" s="5" t="inlineStr">
        <is>
          <t>福祉施設から一般就労への移行等、就労選択支援・就労系サービスの見込量</t>
        </is>
      </c>
      <c r="D10" s="8" t="n"/>
      <c r="E10" s="8" t="n"/>
      <c r="F10" s="9" t="n"/>
      <c r="G10" s="5" t="inlineStr">
        <is>
          <t>問31～問33・問42・児問32</t>
        </is>
      </c>
      <c r="H10" s="9" t="n"/>
    </row>
    <row r="11" ht="30" customHeight="1">
      <c r="B11" s="29" t="inlineStr">
        <is>
          <t>8 専門的支援</t>
        </is>
      </c>
      <c r="C11" s="13" t="inlineStr">
        <is>
          <t>精神障がいにも対応した地域包括ケアシステムの構築、強度行動障がい・医療的ケアへの対応</t>
        </is>
      </c>
      <c r="D11" s="8" t="n"/>
      <c r="E11" s="8" t="n"/>
      <c r="F11" s="9" t="n"/>
      <c r="G11" s="13" t="inlineStr">
        <is>
          <t>問17～問20</t>
        </is>
      </c>
      <c r="H11" s="9" t="n"/>
    </row>
    <row r="12" ht="27" customHeight="1">
      <c r="B12" s="12" t="inlineStr">
        <is>
          <t>※「児問」は障がい児調査の設問を示します。関連する取組・指標の領域は例示であり、国の基本指針の内容に応じて整理してください。</t>
        </is>
      </c>
    </row>
  </sheetData>
  <mergeCells count="19">
    <mergeCell ref="C8:F8"/>
    <mergeCell ref="G11:H11"/>
    <mergeCell ref="C7:F7"/>
    <mergeCell ref="G8:H8"/>
    <mergeCell ref="C3:F3"/>
    <mergeCell ref="G7:H7"/>
    <mergeCell ref="G10:H10"/>
    <mergeCell ref="C6:F6"/>
    <mergeCell ref="G6:H6"/>
    <mergeCell ref="C5:F5"/>
    <mergeCell ref="G3:H3"/>
    <mergeCell ref="C4:F4"/>
    <mergeCell ref="B12:H12"/>
    <mergeCell ref="G5:H5"/>
    <mergeCell ref="C10:F10"/>
    <mergeCell ref="G4:H4"/>
    <mergeCell ref="C9:F9"/>
    <mergeCell ref="C11:F11"/>
    <mergeCell ref="G9:H9"/>
  </mergeCells>
  <pageMargins left="0.75" right="0.75" top="1" bottom="1" header="0.5" footer="0.5"/>
  <pageSetup orientation="landscape" paperSize="9" fitToHeight="0" fitToWidth="1"/>
</worksheet>
</file>

<file path=xl/worksheets/sheet13.xml><?xml version="1.0" encoding="utf-8"?>
<worksheet xmlns="http://schemas.openxmlformats.org/spreadsheetml/2006/main">
  <sheetPr>
    <outlinePr summaryBelow="1" summaryRight="1"/>
    <pageSetUpPr/>
  </sheetPr>
  <dimension ref="A1:G402"/>
  <sheetViews>
    <sheetView workbookViewId="0">
      <pane ySplit="4" topLeftCell="A5" activePane="bottomLeft" state="frozen"/>
      <selection pane="bottomLeft" activeCell="A1" sqref="A1"/>
    </sheetView>
  </sheetViews>
  <sheetFormatPr baseColWidth="8" defaultRowHeight="15"/>
  <cols>
    <col width="10" customWidth="1" min="1" max="1"/>
    <col width="46" customWidth="1" min="2" max="2"/>
    <col width="46" customWidth="1" min="3" max="3"/>
    <col width="8" customWidth="1" min="4" max="4"/>
    <col width="9" customWidth="1" min="5" max="5"/>
    <col width="13" customWidth="1" min="6" max="6"/>
    <col width="14" customWidth="1" min="7" max="7"/>
  </cols>
  <sheetData>
    <row r="1">
      <c r="A1" s="32" t="inlineStr">
        <is>
          <t>障がい者調査（18歳以上）　単純集計（入力データ）</t>
        </is>
      </c>
    </row>
    <row r="2">
      <c r="A2" s="16" t="inlineStr">
        <is>
          <t>青字のセル（件数・有効回答数）が入力値です。割合は計算式で、各章シートの表・グラフに自動で反映されます。有効回答数は各設問の先頭行に入力し、2行目以降は先頭行を参照しています。</t>
        </is>
      </c>
    </row>
    <row r="4">
      <c r="A4" s="3" t="inlineStr">
        <is>
          <t>設問番号</t>
        </is>
      </c>
      <c r="B4" s="3" t="inlineStr">
        <is>
          <t>設問</t>
        </is>
      </c>
      <c r="C4" s="3" t="inlineStr">
        <is>
          <t>選択肢</t>
        </is>
      </c>
      <c r="D4" s="3" t="inlineStr">
        <is>
          <t>件数</t>
        </is>
      </c>
      <c r="E4" s="3" t="inlineStr">
        <is>
          <t>割合</t>
        </is>
      </c>
      <c r="F4" s="3" t="inlineStr">
        <is>
          <t>有効回答数（n）</t>
        </is>
      </c>
      <c r="G4" s="3" t="inlineStr">
        <is>
          <t>回答形式</t>
        </is>
      </c>
    </row>
    <row r="5" ht="16" customHeight="1">
      <c r="A5" s="4" t="inlineStr">
        <is>
          <t>問1</t>
        </is>
      </c>
      <c r="B5" s="5" t="inlineStr">
        <is>
          <t>この調査票を記入された方はどなたですか</t>
        </is>
      </c>
      <c r="C5" s="5" t="inlineStr">
        <is>
          <t>宛名のご本人</t>
        </is>
      </c>
      <c r="D5" s="26" t="n">
        <v>24</v>
      </c>
      <c r="E5" s="18">
        <f>IF($F5=0,0,D5/$F5)</f>
        <v>0.631578947368421</v>
      </c>
      <c r="F5" s="26" t="n">
        <v>38</v>
      </c>
      <c r="G5" s="4" t="inlineStr">
        <is>
          <t>単一回答</t>
        </is>
      </c>
    </row>
    <row r="6" ht="16" customHeight="1">
      <c r="A6" s="4" t="inlineStr">
        <is>
          <t>問1</t>
        </is>
      </c>
      <c r="B6" s="5" t="inlineStr">
        <is>
          <t>この調査票を記入された方はどなたですか</t>
        </is>
      </c>
      <c r="C6" s="5" t="inlineStr">
        <is>
          <t>ご家族</t>
        </is>
      </c>
      <c r="D6" s="26" t="n">
        <v>9</v>
      </c>
      <c r="E6" s="18">
        <f>IF($F6=0,0,D6/$F6)</f>
        <v>0.236842105263158</v>
      </c>
      <c r="F6" s="17">
        <f>$F$5</f>
        <v>38</v>
      </c>
      <c r="G6" s="4" t="inlineStr">
        <is>
          <t>単一回答</t>
        </is>
      </c>
    </row>
    <row r="7" ht="16" customHeight="1">
      <c r="A7" s="4" t="inlineStr">
        <is>
          <t>問1</t>
        </is>
      </c>
      <c r="B7" s="5" t="inlineStr">
        <is>
          <t>この調査票を記入された方はどなたですか</t>
        </is>
      </c>
      <c r="C7" s="5" t="inlineStr">
        <is>
          <t>支援者・事業所職員</t>
        </is>
      </c>
      <c r="D7" s="26" t="n">
        <v>4</v>
      </c>
      <c r="E7" s="18">
        <f>IF($F7=0,0,D7/$F7)</f>
        <v>0.105263157894737</v>
      </c>
      <c r="F7" s="17">
        <f>$F$5</f>
        <v>38</v>
      </c>
      <c r="G7" s="4" t="inlineStr">
        <is>
          <t>単一回答</t>
        </is>
      </c>
    </row>
    <row r="8" ht="16" customHeight="1">
      <c r="A8" s="4" t="inlineStr">
        <is>
          <t>問1</t>
        </is>
      </c>
      <c r="B8" s="5" t="inlineStr">
        <is>
          <t>この調査票を記入された方はどなたですか</t>
        </is>
      </c>
      <c r="C8" s="5" t="inlineStr">
        <is>
          <t>その他</t>
        </is>
      </c>
      <c r="D8" s="26" t="n">
        <v>1</v>
      </c>
      <c r="E8" s="18">
        <f>IF($F8=0,0,D8/$F8)</f>
        <v>0.0263157894736842</v>
      </c>
      <c r="F8" s="17">
        <f>$F$5</f>
        <v>38</v>
      </c>
      <c r="G8" s="4" t="inlineStr">
        <is>
          <t>単一回答</t>
        </is>
      </c>
    </row>
    <row r="9" ht="28" customHeight="1">
      <c r="A9" s="4" t="inlineStr">
        <is>
          <t>問1-2</t>
        </is>
      </c>
      <c r="B9" s="5" t="inlineStr">
        <is>
          <t>この回答は、宛名のご本人の意向をどのように反映していますか</t>
        </is>
      </c>
      <c r="C9" s="5" t="inlineStr">
        <is>
          <t>本人が回答した</t>
        </is>
      </c>
      <c r="D9" s="26" t="n">
        <v>22</v>
      </c>
      <c r="E9" s="18">
        <f>IF($F9=0,0,D9/$F9)</f>
        <v>0.578947368421053</v>
      </c>
      <c r="F9" s="26" t="n">
        <v>38</v>
      </c>
      <c r="G9" s="4" t="inlineStr">
        <is>
          <t>単一回答</t>
        </is>
      </c>
    </row>
    <row r="10" ht="28" customHeight="1">
      <c r="A10" s="4" t="inlineStr">
        <is>
          <t>問1-2</t>
        </is>
      </c>
      <c r="B10" s="5" t="inlineStr">
        <is>
          <t>この回答は、宛名のご本人の意向をどのように反映していますか</t>
        </is>
      </c>
      <c r="C10" s="5" t="inlineStr">
        <is>
          <t>本人に確認して代理記入した</t>
        </is>
      </c>
      <c r="D10" s="26" t="n">
        <v>8</v>
      </c>
      <c r="E10" s="18">
        <f>IF($F10=0,0,D10/$F10)</f>
        <v>0.210526315789474</v>
      </c>
      <c r="F10" s="17">
        <f>$F$9</f>
        <v>38</v>
      </c>
      <c r="G10" s="4" t="inlineStr">
        <is>
          <t>単一回答</t>
        </is>
      </c>
    </row>
    <row r="11" ht="28" customHeight="1">
      <c r="A11" s="4" t="inlineStr">
        <is>
          <t>問1-2</t>
        </is>
      </c>
      <c r="B11" s="5" t="inlineStr">
        <is>
          <t>この回答は、宛名のご本人の意向をどのように反映していますか</t>
        </is>
      </c>
      <c r="C11" s="5" t="inlineStr">
        <is>
          <t>本人の様子や日頃の意向を踏まえて代理記入した</t>
        </is>
      </c>
      <c r="D11" s="26" t="n">
        <v>2</v>
      </c>
      <c r="E11" s="18">
        <f>IF($F11=0,0,D11/$F11)</f>
        <v>0.0526315789473684</v>
      </c>
      <c r="F11" s="17">
        <f>$F$9</f>
        <v>38</v>
      </c>
      <c r="G11" s="4" t="inlineStr">
        <is>
          <t>単一回答</t>
        </is>
      </c>
    </row>
    <row r="12" ht="28" customHeight="1">
      <c r="A12" s="4" t="inlineStr">
        <is>
          <t>問1-2</t>
        </is>
      </c>
      <c r="B12" s="5" t="inlineStr">
        <is>
          <t>この回答は、宛名のご本人の意向をどのように反映していますか</t>
        </is>
      </c>
      <c r="C12" s="5" t="inlineStr">
        <is>
          <t>本人に確認することが難しく、家族・支援者の判断で記入した</t>
        </is>
      </c>
      <c r="D12" s="26" t="n">
        <v>6</v>
      </c>
      <c r="E12" s="18">
        <f>IF($F12=0,0,D12/$F12)</f>
        <v>0.157894736842105</v>
      </c>
      <c r="F12" s="17">
        <f>$F$9</f>
        <v>38</v>
      </c>
      <c r="G12" s="4" t="inlineStr">
        <is>
          <t>単一回答</t>
        </is>
      </c>
    </row>
    <row r="13" ht="28" customHeight="1">
      <c r="A13" s="4" t="inlineStr">
        <is>
          <t>問1-2</t>
        </is>
      </c>
      <c r="B13" s="5" t="inlineStr">
        <is>
          <t>この回答は、宛名のご本人の意向をどのように反映していますか</t>
        </is>
      </c>
      <c r="C13" s="5" t="inlineStr">
        <is>
          <t>その他</t>
        </is>
      </c>
      <c r="D13" s="26" t="n">
        <v>0</v>
      </c>
      <c r="E13" s="18">
        <f>IF($F13=0,0,D13/$F13)</f>
        <v>0</v>
      </c>
      <c r="F13" s="17">
        <f>$F$9</f>
        <v>38</v>
      </c>
      <c r="G13" s="4" t="inlineStr">
        <is>
          <t>単一回答</t>
        </is>
      </c>
    </row>
    <row r="14" ht="16" customHeight="1">
      <c r="A14" s="4" t="inlineStr">
        <is>
          <t>問2</t>
        </is>
      </c>
      <c r="B14" s="5" t="inlineStr">
        <is>
          <t>あなた（宛名の方）の年齢を教えてください</t>
        </is>
      </c>
      <c r="C14" s="5" t="inlineStr">
        <is>
          <t>18～29歳</t>
        </is>
      </c>
      <c r="D14" s="26" t="n">
        <v>0</v>
      </c>
      <c r="E14" s="18">
        <f>IF($F14=0,0,D14/$F14)</f>
        <v>0</v>
      </c>
      <c r="F14" s="26" t="n">
        <v>37</v>
      </c>
      <c r="G14" s="4" t="inlineStr">
        <is>
          <t>単一回答</t>
        </is>
      </c>
    </row>
    <row r="15" ht="16" customHeight="1">
      <c r="A15" s="4" t="inlineStr">
        <is>
          <t>問2</t>
        </is>
      </c>
      <c r="B15" s="5" t="inlineStr">
        <is>
          <t>あなた（宛名の方）の年齢を教えてください</t>
        </is>
      </c>
      <c r="C15" s="5" t="inlineStr">
        <is>
          <t>30～39歳</t>
        </is>
      </c>
      <c r="D15" s="26" t="n">
        <v>3</v>
      </c>
      <c r="E15" s="18">
        <f>IF($F15=0,0,D15/$F15)</f>
        <v>0.0810810810810811</v>
      </c>
      <c r="F15" s="17">
        <f>$F$14</f>
        <v>37</v>
      </c>
      <c r="G15" s="4" t="inlineStr">
        <is>
          <t>単一回答</t>
        </is>
      </c>
    </row>
    <row r="16" ht="16" customHeight="1">
      <c r="A16" s="4" t="inlineStr">
        <is>
          <t>問2</t>
        </is>
      </c>
      <c r="B16" s="5" t="inlineStr">
        <is>
          <t>あなた（宛名の方）の年齢を教えてください</t>
        </is>
      </c>
      <c r="C16" s="5" t="inlineStr">
        <is>
          <t>40～49歳</t>
        </is>
      </c>
      <c r="D16" s="26" t="n">
        <v>2</v>
      </c>
      <c r="E16" s="18">
        <f>IF($F16=0,0,D16/$F16)</f>
        <v>0.0540540540540541</v>
      </c>
      <c r="F16" s="17">
        <f>$F$14</f>
        <v>37</v>
      </c>
      <c r="G16" s="4" t="inlineStr">
        <is>
          <t>単一回答</t>
        </is>
      </c>
    </row>
    <row r="17" ht="16" customHeight="1">
      <c r="A17" s="4" t="inlineStr">
        <is>
          <t>問2</t>
        </is>
      </c>
      <c r="B17" s="5" t="inlineStr">
        <is>
          <t>あなた（宛名の方）の年齢を教えてください</t>
        </is>
      </c>
      <c r="C17" s="5" t="inlineStr">
        <is>
          <t>50～64歳</t>
        </is>
      </c>
      <c r="D17" s="26" t="n">
        <v>7</v>
      </c>
      <c r="E17" s="18">
        <f>IF($F17=0,0,D17/$F17)</f>
        <v>0.189189189189189</v>
      </c>
      <c r="F17" s="17">
        <f>$F$14</f>
        <v>37</v>
      </c>
      <c r="G17" s="4" t="inlineStr">
        <is>
          <t>単一回答</t>
        </is>
      </c>
    </row>
    <row r="18" ht="16" customHeight="1">
      <c r="A18" s="4" t="inlineStr">
        <is>
          <t>問2</t>
        </is>
      </c>
      <c r="B18" s="5" t="inlineStr">
        <is>
          <t>あなた（宛名の方）の年齢を教えてください</t>
        </is>
      </c>
      <c r="C18" s="5" t="inlineStr">
        <is>
          <t>65歳以上</t>
        </is>
      </c>
      <c r="D18" s="26" t="n">
        <v>25</v>
      </c>
      <c r="E18" s="18">
        <f>IF($F18=0,0,D18/$F18)</f>
        <v>0.675675675675676</v>
      </c>
      <c r="F18" s="17">
        <f>$F$14</f>
        <v>37</v>
      </c>
      <c r="G18" s="4" t="inlineStr">
        <is>
          <t>単一回答</t>
        </is>
      </c>
    </row>
    <row r="19" ht="16" customHeight="1">
      <c r="A19" s="4" t="inlineStr">
        <is>
          <t>問3</t>
        </is>
      </c>
      <c r="B19" s="5" t="inlineStr">
        <is>
          <t>あなたのお住まいの地区を教えてください</t>
        </is>
      </c>
      <c r="C19" s="5" t="inlineStr">
        <is>
          <t>北山地区</t>
        </is>
      </c>
      <c r="D19" s="26" t="n">
        <v>17</v>
      </c>
      <c r="E19" s="18">
        <f>IF($F19=0,0,D19/$F19)</f>
        <v>0.447368421052632</v>
      </c>
      <c r="F19" s="26" t="n">
        <v>38</v>
      </c>
      <c r="G19" s="4" t="inlineStr">
        <is>
          <t>単一回答</t>
        </is>
      </c>
    </row>
    <row r="20" ht="16" customHeight="1">
      <c r="A20" s="4" t="inlineStr">
        <is>
          <t>問3</t>
        </is>
      </c>
      <c r="B20" s="5" t="inlineStr">
        <is>
          <t>あなたのお住まいの地区を教えてください</t>
        </is>
      </c>
      <c r="C20" s="5" t="inlineStr">
        <is>
          <t>大塩地区</t>
        </is>
      </c>
      <c r="D20" s="26" t="n">
        <v>7</v>
      </c>
      <c r="E20" s="18">
        <f>IF($F20=0,0,D20/$F20)</f>
        <v>0.184210526315789</v>
      </c>
      <c r="F20" s="17">
        <f>$F$19</f>
        <v>38</v>
      </c>
      <c r="G20" s="4" t="inlineStr">
        <is>
          <t>単一回答</t>
        </is>
      </c>
    </row>
    <row r="21" ht="16" customHeight="1">
      <c r="A21" s="4" t="inlineStr">
        <is>
          <t>問3</t>
        </is>
      </c>
      <c r="B21" s="5" t="inlineStr">
        <is>
          <t>あなたのお住まいの地区を教えてください</t>
        </is>
      </c>
      <c r="C21" s="5" t="inlineStr">
        <is>
          <t>桧原地区</t>
        </is>
      </c>
      <c r="D21" s="26" t="n">
        <v>3</v>
      </c>
      <c r="E21" s="18">
        <f>IF($F21=0,0,D21/$F21)</f>
        <v>0.0789473684210526</v>
      </c>
      <c r="F21" s="17">
        <f>$F$19</f>
        <v>38</v>
      </c>
      <c r="G21" s="4" t="inlineStr">
        <is>
          <t>単一回答</t>
        </is>
      </c>
    </row>
    <row r="22" ht="16" customHeight="1">
      <c r="A22" s="4" t="inlineStr">
        <is>
          <t>問3</t>
        </is>
      </c>
      <c r="B22" s="5" t="inlineStr">
        <is>
          <t>あなたのお住まいの地区を教えてください</t>
        </is>
      </c>
      <c r="C22" s="5" t="inlineStr">
        <is>
          <t>裏磐梯地区</t>
        </is>
      </c>
      <c r="D22" s="26" t="n">
        <v>10</v>
      </c>
      <c r="E22" s="18">
        <f>IF($F22=0,0,D22/$F22)</f>
        <v>0.263157894736842</v>
      </c>
      <c r="F22" s="17">
        <f>$F$19</f>
        <v>38</v>
      </c>
      <c r="G22" s="4" t="inlineStr">
        <is>
          <t>単一回答</t>
        </is>
      </c>
    </row>
    <row r="23" ht="16" customHeight="1">
      <c r="A23" s="4" t="inlineStr">
        <is>
          <t>問3</t>
        </is>
      </c>
      <c r="B23" s="5" t="inlineStr">
        <is>
          <t>あなたのお住まいの地区を教えてください</t>
        </is>
      </c>
      <c r="C23" s="5" t="inlineStr">
        <is>
          <t>その他</t>
        </is>
      </c>
      <c r="D23" s="26" t="n">
        <v>1</v>
      </c>
      <c r="E23" s="18">
        <f>IF($F23=0,0,D23/$F23)</f>
        <v>0.0263157894736842</v>
      </c>
      <c r="F23" s="17">
        <f>$F$19</f>
        <v>38</v>
      </c>
      <c r="G23" s="4" t="inlineStr">
        <is>
          <t>単一回答</t>
        </is>
      </c>
    </row>
    <row r="24" ht="16" customHeight="1">
      <c r="A24" s="4" t="inlineStr">
        <is>
          <t>問4</t>
        </is>
      </c>
      <c r="B24" s="5" t="inlineStr">
        <is>
          <t>あなたの性別を教えてください</t>
        </is>
      </c>
      <c r="C24" s="5" t="inlineStr">
        <is>
          <t>男性</t>
        </is>
      </c>
      <c r="D24" s="26" t="n">
        <v>16</v>
      </c>
      <c r="E24" s="18">
        <f>IF($F24=0,0,D24/$F24)</f>
        <v>0.421052631578947</v>
      </c>
      <c r="F24" s="26" t="n">
        <v>38</v>
      </c>
      <c r="G24" s="4" t="inlineStr">
        <is>
          <t>単一回答</t>
        </is>
      </c>
    </row>
    <row r="25" ht="16" customHeight="1">
      <c r="A25" s="4" t="inlineStr">
        <is>
          <t>問4</t>
        </is>
      </c>
      <c r="B25" s="5" t="inlineStr">
        <is>
          <t>あなたの性別を教えてください</t>
        </is>
      </c>
      <c r="C25" s="5" t="inlineStr">
        <is>
          <t>女性</t>
        </is>
      </c>
      <c r="D25" s="26" t="n">
        <v>22</v>
      </c>
      <c r="E25" s="18">
        <f>IF($F25=0,0,D25/$F25)</f>
        <v>0.578947368421053</v>
      </c>
      <c r="F25" s="17">
        <f>$F$24</f>
        <v>38</v>
      </c>
      <c r="G25" s="4" t="inlineStr">
        <is>
          <t>単一回答</t>
        </is>
      </c>
    </row>
    <row r="26" ht="16" customHeight="1">
      <c r="A26" s="4" t="inlineStr">
        <is>
          <t>問4</t>
        </is>
      </c>
      <c r="B26" s="5" t="inlineStr">
        <is>
          <t>あなたの性別を教えてください</t>
        </is>
      </c>
      <c r="C26" s="5" t="inlineStr">
        <is>
          <t>回答しない</t>
        </is>
      </c>
      <c r="D26" s="26" t="n">
        <v>0</v>
      </c>
      <c r="E26" s="18">
        <f>IF($F26=0,0,D26/$F26)</f>
        <v>0</v>
      </c>
      <c r="F26" s="17">
        <f>$F$24</f>
        <v>38</v>
      </c>
      <c r="G26" s="4" t="inlineStr">
        <is>
          <t>単一回答</t>
        </is>
      </c>
    </row>
    <row r="27" ht="28" customHeight="1">
      <c r="A27" s="4" t="inlineStr">
        <is>
          <t>問5</t>
        </is>
      </c>
      <c r="B27" s="5" t="inlineStr">
        <is>
          <t>お持ちの手帳等を教えてください（あてはまるものすべて）</t>
        </is>
      </c>
      <c r="C27" s="5" t="inlineStr">
        <is>
          <t>身体障がい者手帳</t>
        </is>
      </c>
      <c r="D27" s="26" t="n">
        <v>29</v>
      </c>
      <c r="E27" s="18">
        <f>IF($F27=0,0,D27/$F27)</f>
        <v>0.783783783783784</v>
      </c>
      <c r="F27" s="26" t="n">
        <v>37</v>
      </c>
      <c r="G27" s="4" t="inlineStr">
        <is>
          <t>複数回答</t>
        </is>
      </c>
    </row>
    <row r="28" ht="28" customHeight="1">
      <c r="A28" s="4" t="inlineStr">
        <is>
          <t>問5</t>
        </is>
      </c>
      <c r="B28" s="5" t="inlineStr">
        <is>
          <t>お持ちの手帳等を教えてください（あてはまるものすべて）</t>
        </is>
      </c>
      <c r="C28" s="5" t="inlineStr">
        <is>
          <t>療育手帳</t>
        </is>
      </c>
      <c r="D28" s="26" t="n">
        <v>2</v>
      </c>
      <c r="E28" s="18">
        <f>IF($F28=0,0,D28/$F28)</f>
        <v>0.0540540540540541</v>
      </c>
      <c r="F28" s="17">
        <f>$F$27</f>
        <v>37</v>
      </c>
      <c r="G28" s="4" t="inlineStr">
        <is>
          <t>複数回答</t>
        </is>
      </c>
    </row>
    <row r="29" ht="28" customHeight="1">
      <c r="A29" s="4" t="inlineStr">
        <is>
          <t>問5</t>
        </is>
      </c>
      <c r="B29" s="5" t="inlineStr">
        <is>
          <t>お持ちの手帳等を教えてください（あてはまるものすべて）</t>
        </is>
      </c>
      <c r="C29" s="5" t="inlineStr">
        <is>
          <t>精神障がい者保健福祉手帳</t>
        </is>
      </c>
      <c r="D29" s="26" t="n">
        <v>6</v>
      </c>
      <c r="E29" s="18">
        <f>IF($F29=0,0,D29/$F29)</f>
        <v>0.162162162162162</v>
      </c>
      <c r="F29" s="17">
        <f>$F$27</f>
        <v>37</v>
      </c>
      <c r="G29" s="4" t="inlineStr">
        <is>
          <t>複数回答</t>
        </is>
      </c>
    </row>
    <row r="30" ht="28" customHeight="1">
      <c r="A30" s="4" t="inlineStr">
        <is>
          <t>問5</t>
        </is>
      </c>
      <c r="B30" s="5" t="inlineStr">
        <is>
          <t>お持ちの手帳等を教えてください（あてはまるものすべて）</t>
        </is>
      </c>
      <c r="C30" s="5" t="inlineStr">
        <is>
          <t>自立支援医療受給者証</t>
        </is>
      </c>
      <c r="D30" s="26" t="n">
        <v>4</v>
      </c>
      <c r="E30" s="18">
        <f>IF($F30=0,0,D30/$F30)</f>
        <v>0.108108108108108</v>
      </c>
      <c r="F30" s="17">
        <f>$F$27</f>
        <v>37</v>
      </c>
      <c r="G30" s="4" t="inlineStr">
        <is>
          <t>複数回答</t>
        </is>
      </c>
    </row>
    <row r="31" ht="28" customHeight="1">
      <c r="A31" s="4" t="inlineStr">
        <is>
          <t>問5</t>
        </is>
      </c>
      <c r="B31" s="5" t="inlineStr">
        <is>
          <t>お持ちの手帳等を教えてください（あてはまるものすべて）</t>
        </is>
      </c>
      <c r="C31" s="5" t="inlineStr">
        <is>
          <t>難病に関する医療受給者証等</t>
        </is>
      </c>
      <c r="D31" s="26" t="n">
        <v>0</v>
      </c>
      <c r="E31" s="18">
        <f>IF($F31=0,0,D31/$F31)</f>
        <v>0</v>
      </c>
      <c r="F31" s="17">
        <f>$F$27</f>
        <v>37</v>
      </c>
      <c r="G31" s="4" t="inlineStr">
        <is>
          <t>複数回答</t>
        </is>
      </c>
    </row>
    <row r="32" ht="28" customHeight="1">
      <c r="A32" s="4" t="inlineStr">
        <is>
          <t>問5</t>
        </is>
      </c>
      <c r="B32" s="5" t="inlineStr">
        <is>
          <t>お持ちの手帳等を教えてください（あてはまるものすべて）</t>
        </is>
      </c>
      <c r="C32" s="5" t="inlineStr">
        <is>
          <t>手帳等は持っていないが障がい福祉サービスを利用している</t>
        </is>
      </c>
      <c r="D32" s="26" t="n">
        <v>0</v>
      </c>
      <c r="E32" s="18">
        <f>IF($F32=0,0,D32/$F32)</f>
        <v>0</v>
      </c>
      <c r="F32" s="17">
        <f>$F$27</f>
        <v>37</v>
      </c>
      <c r="G32" s="4" t="inlineStr">
        <is>
          <t>複数回答</t>
        </is>
      </c>
    </row>
    <row r="33" ht="28" customHeight="1">
      <c r="A33" s="4" t="inlineStr">
        <is>
          <t>問5</t>
        </is>
      </c>
      <c r="B33" s="5" t="inlineStr">
        <is>
          <t>お持ちの手帳等を教えてください（あてはまるものすべて）</t>
        </is>
      </c>
      <c r="C33" s="5" t="inlineStr">
        <is>
          <t>その他</t>
        </is>
      </c>
      <c r="D33" s="26" t="n">
        <v>2</v>
      </c>
      <c r="E33" s="18">
        <f>IF($F33=0,0,D33/$F33)</f>
        <v>0.0540540540540541</v>
      </c>
      <c r="F33" s="17">
        <f>$F$27</f>
        <v>37</v>
      </c>
      <c r="G33" s="4" t="inlineStr">
        <is>
          <t>複数回答</t>
        </is>
      </c>
    </row>
    <row r="34" ht="28" customHeight="1">
      <c r="A34" s="4" t="inlineStr">
        <is>
          <t>問6</t>
        </is>
      </c>
      <c r="B34" s="5" t="inlineStr">
        <is>
          <t>主たる障がい種別を1つ選ぶとすれば、どれにあたりますか</t>
        </is>
      </c>
      <c r="C34" s="5" t="inlineStr">
        <is>
          <t>身体障がい</t>
        </is>
      </c>
      <c r="D34" s="26" t="n">
        <v>26</v>
      </c>
      <c r="E34" s="18">
        <f>IF($F34=0,0,D34/$F34)</f>
        <v>0.702702702702703</v>
      </c>
      <c r="F34" s="26" t="n">
        <v>37</v>
      </c>
      <c r="G34" s="4" t="inlineStr">
        <is>
          <t>単一回答</t>
        </is>
      </c>
    </row>
    <row r="35" ht="28" customHeight="1">
      <c r="A35" s="4" t="inlineStr">
        <is>
          <t>問6</t>
        </is>
      </c>
      <c r="B35" s="5" t="inlineStr">
        <is>
          <t>主たる障がい種別を1つ選ぶとすれば、どれにあたりますか</t>
        </is>
      </c>
      <c r="C35" s="5" t="inlineStr">
        <is>
          <t>知的障がい</t>
        </is>
      </c>
      <c r="D35" s="26" t="n">
        <v>2</v>
      </c>
      <c r="E35" s="18">
        <f>IF($F35=0,0,D35/$F35)</f>
        <v>0.0540540540540541</v>
      </c>
      <c r="F35" s="17">
        <f>$F$34</f>
        <v>37</v>
      </c>
      <c r="G35" s="4" t="inlineStr">
        <is>
          <t>単一回答</t>
        </is>
      </c>
    </row>
    <row r="36" ht="28" customHeight="1">
      <c r="A36" s="4" t="inlineStr">
        <is>
          <t>問6</t>
        </is>
      </c>
      <c r="B36" s="5" t="inlineStr">
        <is>
          <t>主たる障がい種別を1つ選ぶとすれば、どれにあたりますか</t>
        </is>
      </c>
      <c r="C36" s="5" t="inlineStr">
        <is>
          <t>精神障がい</t>
        </is>
      </c>
      <c r="D36" s="26" t="n">
        <v>4</v>
      </c>
      <c r="E36" s="18">
        <f>IF($F36=0,0,D36/$F36)</f>
        <v>0.108108108108108</v>
      </c>
      <c r="F36" s="17">
        <f>$F$34</f>
        <v>37</v>
      </c>
      <c r="G36" s="4" t="inlineStr">
        <is>
          <t>単一回答</t>
        </is>
      </c>
    </row>
    <row r="37" ht="28" customHeight="1">
      <c r="A37" s="4" t="inlineStr">
        <is>
          <t>問6</t>
        </is>
      </c>
      <c r="B37" s="5" t="inlineStr">
        <is>
          <t>主たる障がい種別を1つ選ぶとすれば、どれにあたりますか</t>
        </is>
      </c>
      <c r="C37" s="5" t="inlineStr">
        <is>
          <t>発達障がい</t>
        </is>
      </c>
      <c r="D37" s="26" t="n">
        <v>3</v>
      </c>
      <c r="E37" s="18">
        <f>IF($F37=0,0,D37/$F37)</f>
        <v>0.0810810810810811</v>
      </c>
      <c r="F37" s="17">
        <f>$F$34</f>
        <v>37</v>
      </c>
      <c r="G37" s="4" t="inlineStr">
        <is>
          <t>単一回答</t>
        </is>
      </c>
    </row>
    <row r="38" ht="28" customHeight="1">
      <c r="A38" s="4" t="inlineStr">
        <is>
          <t>問6</t>
        </is>
      </c>
      <c r="B38" s="5" t="inlineStr">
        <is>
          <t>主たる障がい種別を1つ選ぶとすれば、どれにあたりますか</t>
        </is>
      </c>
      <c r="C38" s="5" t="inlineStr">
        <is>
          <t>難病</t>
        </is>
      </c>
      <c r="D38" s="26" t="n">
        <v>0</v>
      </c>
      <c r="E38" s="18">
        <f>IF($F38=0,0,D38/$F38)</f>
        <v>0</v>
      </c>
      <c r="F38" s="17">
        <f>$F$34</f>
        <v>37</v>
      </c>
      <c r="G38" s="4" t="inlineStr">
        <is>
          <t>単一回答</t>
        </is>
      </c>
    </row>
    <row r="39" ht="28" customHeight="1">
      <c r="A39" s="4" t="inlineStr">
        <is>
          <t>問6</t>
        </is>
      </c>
      <c r="B39" s="5" t="inlineStr">
        <is>
          <t>主たる障がい種別を1つ選ぶとすれば、どれにあたりますか</t>
        </is>
      </c>
      <c r="C39" s="5" t="inlineStr">
        <is>
          <t>高次脳機能障がい</t>
        </is>
      </c>
      <c r="D39" s="26" t="n">
        <v>0</v>
      </c>
      <c r="E39" s="18">
        <f>IF($F39=0,0,D39/$F39)</f>
        <v>0</v>
      </c>
      <c r="F39" s="17">
        <f>$F$34</f>
        <v>37</v>
      </c>
      <c r="G39" s="4" t="inlineStr">
        <is>
          <t>単一回答</t>
        </is>
      </c>
    </row>
    <row r="40" ht="28" customHeight="1">
      <c r="A40" s="4" t="inlineStr">
        <is>
          <t>問6</t>
        </is>
      </c>
      <c r="B40" s="5" t="inlineStr">
        <is>
          <t>主たる障がい種別を1つ選ぶとすれば、どれにあたりますか</t>
        </is>
      </c>
      <c r="C40" s="5" t="inlineStr">
        <is>
          <t>重症心身障がい</t>
        </is>
      </c>
      <c r="D40" s="26" t="n">
        <v>0</v>
      </c>
      <c r="E40" s="18">
        <f>IF($F40=0,0,D40/$F40)</f>
        <v>0</v>
      </c>
      <c r="F40" s="17">
        <f>$F$34</f>
        <v>37</v>
      </c>
      <c r="G40" s="4" t="inlineStr">
        <is>
          <t>単一回答</t>
        </is>
      </c>
    </row>
    <row r="41" ht="28" customHeight="1">
      <c r="A41" s="4" t="inlineStr">
        <is>
          <t>問6</t>
        </is>
      </c>
      <c r="B41" s="5" t="inlineStr">
        <is>
          <t>主たる障がい種別を1つ選ぶとすれば、どれにあたりますか</t>
        </is>
      </c>
      <c r="C41" s="5" t="inlineStr">
        <is>
          <t>わからない・その他</t>
        </is>
      </c>
      <c r="D41" s="26" t="n">
        <v>2</v>
      </c>
      <c r="E41" s="18">
        <f>IF($F41=0,0,D41/$F41)</f>
        <v>0.0540540540540541</v>
      </c>
      <c r="F41" s="17">
        <f>$F$34</f>
        <v>37</v>
      </c>
      <c r="G41" s="4" t="inlineStr">
        <is>
          <t>単一回答</t>
        </is>
      </c>
    </row>
    <row r="42" ht="16" customHeight="1">
      <c r="A42" s="4" t="inlineStr">
        <is>
          <t>問7</t>
        </is>
      </c>
      <c r="B42" s="5" t="inlineStr">
        <is>
          <t>現在、どこで暮らしていますか</t>
        </is>
      </c>
      <c r="C42" s="5" t="inlineStr">
        <is>
          <t>自宅で家族と暮らしている</t>
        </is>
      </c>
      <c r="D42" s="26" t="n">
        <v>24</v>
      </c>
      <c r="E42" s="18">
        <f>IF($F42=0,0,D42/$F42)</f>
        <v>0.648648648648649</v>
      </c>
      <c r="F42" s="26" t="n">
        <v>37</v>
      </c>
      <c r="G42" s="4" t="inlineStr">
        <is>
          <t>単一回答</t>
        </is>
      </c>
    </row>
    <row r="43" ht="16" customHeight="1">
      <c r="A43" s="4" t="inlineStr">
        <is>
          <t>問7</t>
        </is>
      </c>
      <c r="B43" s="5" t="inlineStr">
        <is>
          <t>現在、どこで暮らしていますか</t>
        </is>
      </c>
      <c r="C43" s="5" t="inlineStr">
        <is>
          <t>自宅で一人暮らし</t>
        </is>
      </c>
      <c r="D43" s="26" t="n">
        <v>6</v>
      </c>
      <c r="E43" s="18">
        <f>IF($F43=0,0,D43/$F43)</f>
        <v>0.162162162162162</v>
      </c>
      <c r="F43" s="17">
        <f>$F$42</f>
        <v>37</v>
      </c>
      <c r="G43" s="4" t="inlineStr">
        <is>
          <t>単一回答</t>
        </is>
      </c>
    </row>
    <row r="44" ht="16" customHeight="1">
      <c r="A44" s="4" t="inlineStr">
        <is>
          <t>問7</t>
        </is>
      </c>
      <c r="B44" s="5" t="inlineStr">
        <is>
          <t>現在、どこで暮らしていますか</t>
        </is>
      </c>
      <c r="C44" s="5" t="inlineStr">
        <is>
          <t>グループホーム</t>
        </is>
      </c>
      <c r="D44" s="26" t="n">
        <v>3</v>
      </c>
      <c r="E44" s="18">
        <f>IF($F44=0,0,D44/$F44)</f>
        <v>0.0810810810810811</v>
      </c>
      <c r="F44" s="17">
        <f>$F$42</f>
        <v>37</v>
      </c>
      <c r="G44" s="4" t="inlineStr">
        <is>
          <t>単一回答</t>
        </is>
      </c>
    </row>
    <row r="45" ht="16" customHeight="1">
      <c r="A45" s="4" t="inlineStr">
        <is>
          <t>問7</t>
        </is>
      </c>
      <c r="B45" s="5" t="inlineStr">
        <is>
          <t>現在、どこで暮らしていますか</t>
        </is>
      </c>
      <c r="C45" s="5" t="inlineStr">
        <is>
          <t>障がい者支援施設</t>
        </is>
      </c>
      <c r="D45" s="26" t="n">
        <v>2</v>
      </c>
      <c r="E45" s="18">
        <f>IF($F45=0,0,D45/$F45)</f>
        <v>0.0540540540540541</v>
      </c>
      <c r="F45" s="17">
        <f>$F$42</f>
        <v>37</v>
      </c>
      <c r="G45" s="4" t="inlineStr">
        <is>
          <t>単一回答</t>
        </is>
      </c>
    </row>
    <row r="46" ht="16" customHeight="1">
      <c r="A46" s="4" t="inlineStr">
        <is>
          <t>問7</t>
        </is>
      </c>
      <c r="B46" s="5" t="inlineStr">
        <is>
          <t>現在、どこで暮らしていますか</t>
        </is>
      </c>
      <c r="C46" s="5" t="inlineStr">
        <is>
          <t>病院に入院中</t>
        </is>
      </c>
      <c r="D46" s="26" t="n">
        <v>1</v>
      </c>
      <c r="E46" s="18">
        <f>IF($F46=0,0,D46/$F46)</f>
        <v>0.027027027027027</v>
      </c>
      <c r="F46" s="17">
        <f>$F$42</f>
        <v>37</v>
      </c>
      <c r="G46" s="4" t="inlineStr">
        <is>
          <t>単一回答</t>
        </is>
      </c>
    </row>
    <row r="47" ht="16" customHeight="1">
      <c r="A47" s="4" t="inlineStr">
        <is>
          <t>問7</t>
        </is>
      </c>
      <c r="B47" s="5" t="inlineStr">
        <is>
          <t>現在、どこで暮らしていますか</t>
        </is>
      </c>
      <c r="C47" s="5" t="inlineStr">
        <is>
          <t>高齢者施設等</t>
        </is>
      </c>
      <c r="D47" s="26" t="n">
        <v>1</v>
      </c>
      <c r="E47" s="18">
        <f>IF($F47=0,0,D47/$F47)</f>
        <v>0.027027027027027</v>
      </c>
      <c r="F47" s="17">
        <f>$F$42</f>
        <v>37</v>
      </c>
      <c r="G47" s="4" t="inlineStr">
        <is>
          <t>単一回答</t>
        </is>
      </c>
    </row>
    <row r="48" ht="16" customHeight="1">
      <c r="A48" s="4" t="inlineStr">
        <is>
          <t>問7</t>
        </is>
      </c>
      <c r="B48" s="5" t="inlineStr">
        <is>
          <t>現在、どこで暮らしていますか</t>
        </is>
      </c>
      <c r="C48" s="5" t="inlineStr">
        <is>
          <t>その他</t>
        </is>
      </c>
      <c r="D48" s="26" t="n">
        <v>0</v>
      </c>
      <c r="E48" s="18">
        <f>IF($F48=0,0,D48/$F48)</f>
        <v>0</v>
      </c>
      <c r="F48" s="17">
        <f>$F$42</f>
        <v>37</v>
      </c>
      <c r="G48" s="4" t="inlineStr">
        <is>
          <t>単一回答</t>
        </is>
      </c>
    </row>
    <row r="49" ht="28" customHeight="1">
      <c r="A49" s="4" t="inlineStr">
        <is>
          <t>問8</t>
        </is>
      </c>
      <c r="B49" s="5" t="inlineStr">
        <is>
          <t>現在一緒に暮らしている方を教えてください（あてはまるものすべて）</t>
        </is>
      </c>
      <c r="C49" s="5" t="inlineStr">
        <is>
          <t>一人暮らし</t>
        </is>
      </c>
      <c r="D49" s="26" t="n">
        <v>5</v>
      </c>
      <c r="E49" s="18">
        <f>IF($F49=0,0,D49/$F49)</f>
        <v>0.147058823529412</v>
      </c>
      <c r="F49" s="26" t="n">
        <v>34</v>
      </c>
      <c r="G49" s="4" t="inlineStr">
        <is>
          <t>複数回答</t>
        </is>
      </c>
    </row>
    <row r="50" ht="28" customHeight="1">
      <c r="A50" s="4" t="inlineStr">
        <is>
          <t>問8</t>
        </is>
      </c>
      <c r="B50" s="5" t="inlineStr">
        <is>
          <t>現在一緒に暮らしている方を教えてください（あてはまるものすべて）</t>
        </is>
      </c>
      <c r="C50" s="5" t="inlineStr">
        <is>
          <t>配偶者</t>
        </is>
      </c>
      <c r="D50" s="26" t="n">
        <v>14</v>
      </c>
      <c r="E50" s="18">
        <f>IF($F50=0,0,D50/$F50)</f>
        <v>0.411764705882353</v>
      </c>
      <c r="F50" s="17">
        <f>$F$49</f>
        <v>34</v>
      </c>
      <c r="G50" s="4" t="inlineStr">
        <is>
          <t>複数回答</t>
        </is>
      </c>
    </row>
    <row r="51" ht="28" customHeight="1">
      <c r="A51" s="4" t="inlineStr">
        <is>
          <t>問8</t>
        </is>
      </c>
      <c r="B51" s="5" t="inlineStr">
        <is>
          <t>現在一緒に暮らしている方を教えてください（あてはまるものすべて）</t>
        </is>
      </c>
      <c r="C51" s="5" t="inlineStr">
        <is>
          <t>親</t>
        </is>
      </c>
      <c r="D51" s="26" t="n">
        <v>7</v>
      </c>
      <c r="E51" s="18">
        <f>IF($F51=0,0,D51/$F51)</f>
        <v>0.205882352941176</v>
      </c>
      <c r="F51" s="17">
        <f>$F$49</f>
        <v>34</v>
      </c>
      <c r="G51" s="4" t="inlineStr">
        <is>
          <t>複数回答</t>
        </is>
      </c>
    </row>
    <row r="52" ht="28" customHeight="1">
      <c r="A52" s="4" t="inlineStr">
        <is>
          <t>問8</t>
        </is>
      </c>
      <c r="B52" s="5" t="inlineStr">
        <is>
          <t>現在一緒に暮らしている方を教えてください（あてはまるものすべて）</t>
        </is>
      </c>
      <c r="C52" s="5" t="inlineStr">
        <is>
          <t>子ども</t>
        </is>
      </c>
      <c r="D52" s="26" t="n">
        <v>11</v>
      </c>
      <c r="E52" s="18">
        <f>IF($F52=0,0,D52/$F52)</f>
        <v>0.323529411764706</v>
      </c>
      <c r="F52" s="17">
        <f>$F$49</f>
        <v>34</v>
      </c>
      <c r="G52" s="4" t="inlineStr">
        <is>
          <t>複数回答</t>
        </is>
      </c>
    </row>
    <row r="53" ht="28" customHeight="1">
      <c r="A53" s="4" t="inlineStr">
        <is>
          <t>問8</t>
        </is>
      </c>
      <c r="B53" s="5" t="inlineStr">
        <is>
          <t>現在一緒に暮らしている方を教えてください（あてはまるものすべて）</t>
        </is>
      </c>
      <c r="C53" s="5" t="inlineStr">
        <is>
          <t>兄弟姉妹</t>
        </is>
      </c>
      <c r="D53" s="26" t="n">
        <v>2</v>
      </c>
      <c r="E53" s="18">
        <f>IF($F53=0,0,D53/$F53)</f>
        <v>0.0588235294117647</v>
      </c>
      <c r="F53" s="17">
        <f>$F$49</f>
        <v>34</v>
      </c>
      <c r="G53" s="4" t="inlineStr">
        <is>
          <t>複数回答</t>
        </is>
      </c>
    </row>
    <row r="54" ht="28" customHeight="1">
      <c r="A54" s="4" t="inlineStr">
        <is>
          <t>問8</t>
        </is>
      </c>
      <c r="B54" s="5" t="inlineStr">
        <is>
          <t>現在一緒に暮らしている方を教えてください（あてはまるものすべて）</t>
        </is>
      </c>
      <c r="C54" s="5" t="inlineStr">
        <is>
          <t>祖父母</t>
        </is>
      </c>
      <c r="D54" s="26" t="n">
        <v>1</v>
      </c>
      <c r="E54" s="18">
        <f>IF($F54=0,0,D54/$F54)</f>
        <v>0.0294117647058824</v>
      </c>
      <c r="F54" s="17">
        <f>$F$49</f>
        <v>34</v>
      </c>
      <c r="G54" s="4" t="inlineStr">
        <is>
          <t>複数回答</t>
        </is>
      </c>
    </row>
    <row r="55" ht="28" customHeight="1">
      <c r="A55" s="4" t="inlineStr">
        <is>
          <t>問8</t>
        </is>
      </c>
      <c r="B55" s="5" t="inlineStr">
        <is>
          <t>現在一緒に暮らしている方を教えてください（あてはまるものすべて）</t>
        </is>
      </c>
      <c r="C55" s="5" t="inlineStr">
        <is>
          <t>その他</t>
        </is>
      </c>
      <c r="D55" s="26" t="n">
        <v>3</v>
      </c>
      <c r="E55" s="18">
        <f>IF($F55=0,0,D55/$F55)</f>
        <v>0.0882352941176471</v>
      </c>
      <c r="F55" s="17">
        <f>$F$49</f>
        <v>34</v>
      </c>
      <c r="G55" s="4" t="inlineStr">
        <is>
          <t>複数回答</t>
        </is>
      </c>
    </row>
    <row r="56" ht="28" customHeight="1">
      <c r="A56" s="4" t="inlineStr">
        <is>
          <t>問9</t>
        </is>
      </c>
      <c r="B56" s="5" t="inlineStr">
        <is>
          <t>日常生活で主に支援・介助してくれる方はどなたですか（あてはまるものすべて）</t>
        </is>
      </c>
      <c r="C56" s="5" t="inlineStr">
        <is>
          <t>介助は必要ない</t>
        </is>
      </c>
      <c r="D56" s="26" t="n">
        <v>17</v>
      </c>
      <c r="E56" s="18">
        <f>IF($F56=0,0,D56/$F56)</f>
        <v>0.45945945945946</v>
      </c>
      <c r="F56" s="26" t="n">
        <v>37</v>
      </c>
      <c r="G56" s="4" t="inlineStr">
        <is>
          <t>複数回答</t>
        </is>
      </c>
    </row>
    <row r="57" ht="28" customHeight="1">
      <c r="A57" s="4" t="inlineStr">
        <is>
          <t>問9</t>
        </is>
      </c>
      <c r="B57" s="5" t="inlineStr">
        <is>
          <t>日常生活で主に支援・介助してくれる方はどなたですか（あてはまるものすべて）</t>
        </is>
      </c>
      <c r="C57" s="5" t="inlineStr">
        <is>
          <t>親</t>
        </is>
      </c>
      <c r="D57" s="26" t="n">
        <v>5</v>
      </c>
      <c r="E57" s="18">
        <f>IF($F57=0,0,D57/$F57)</f>
        <v>0.135135135135135</v>
      </c>
      <c r="F57" s="17">
        <f>$F$56</f>
        <v>37</v>
      </c>
      <c r="G57" s="4" t="inlineStr">
        <is>
          <t>複数回答</t>
        </is>
      </c>
    </row>
    <row r="58" ht="28" customHeight="1">
      <c r="A58" s="4" t="inlineStr">
        <is>
          <t>問9</t>
        </is>
      </c>
      <c r="B58" s="5" t="inlineStr">
        <is>
          <t>日常生活で主に支援・介助してくれる方はどなたですか（あてはまるものすべて）</t>
        </is>
      </c>
      <c r="C58" s="5" t="inlineStr">
        <is>
          <t>配偶者</t>
        </is>
      </c>
      <c r="D58" s="26" t="n">
        <v>6</v>
      </c>
      <c r="E58" s="18">
        <f>IF($F58=0,0,D58/$F58)</f>
        <v>0.162162162162162</v>
      </c>
      <c r="F58" s="17">
        <f>$F$56</f>
        <v>37</v>
      </c>
      <c r="G58" s="4" t="inlineStr">
        <is>
          <t>複数回答</t>
        </is>
      </c>
    </row>
    <row r="59" ht="28" customHeight="1">
      <c r="A59" s="4" t="inlineStr">
        <is>
          <t>問9</t>
        </is>
      </c>
      <c r="B59" s="5" t="inlineStr">
        <is>
          <t>日常生活で主に支援・介助してくれる方はどなたですか（あてはまるものすべて）</t>
        </is>
      </c>
      <c r="C59" s="5" t="inlineStr">
        <is>
          <t>子ども</t>
        </is>
      </c>
      <c r="D59" s="26" t="n">
        <v>9</v>
      </c>
      <c r="E59" s="18">
        <f>IF($F59=0,0,D59/$F59)</f>
        <v>0.243243243243243</v>
      </c>
      <c r="F59" s="17">
        <f>$F$56</f>
        <v>37</v>
      </c>
      <c r="G59" s="4" t="inlineStr">
        <is>
          <t>複数回答</t>
        </is>
      </c>
    </row>
    <row r="60" ht="28" customHeight="1">
      <c r="A60" s="4" t="inlineStr">
        <is>
          <t>問9</t>
        </is>
      </c>
      <c r="B60" s="5" t="inlineStr">
        <is>
          <t>日常生活で主に支援・介助してくれる方はどなたですか（あてはまるものすべて）</t>
        </is>
      </c>
      <c r="C60" s="5" t="inlineStr">
        <is>
          <t>兄弟姉妹</t>
        </is>
      </c>
      <c r="D60" s="26" t="n">
        <v>0</v>
      </c>
      <c r="E60" s="18">
        <f>IF($F60=0,0,D60/$F60)</f>
        <v>0</v>
      </c>
      <c r="F60" s="17">
        <f>$F$56</f>
        <v>37</v>
      </c>
      <c r="G60" s="4" t="inlineStr">
        <is>
          <t>複数回答</t>
        </is>
      </c>
    </row>
    <row r="61" ht="28" customHeight="1">
      <c r="A61" s="4" t="inlineStr">
        <is>
          <t>問9</t>
        </is>
      </c>
      <c r="B61" s="5" t="inlineStr">
        <is>
          <t>日常生活で主に支援・介助してくれる方はどなたですか（あてはまるものすべて）</t>
        </is>
      </c>
      <c r="C61" s="5" t="inlineStr">
        <is>
          <t>その他の親族</t>
        </is>
      </c>
      <c r="D61" s="26" t="n">
        <v>1</v>
      </c>
      <c r="E61" s="18">
        <f>IF($F61=0,0,D61/$F61)</f>
        <v>0.027027027027027</v>
      </c>
      <c r="F61" s="17">
        <f>$F$56</f>
        <v>37</v>
      </c>
      <c r="G61" s="4" t="inlineStr">
        <is>
          <t>複数回答</t>
        </is>
      </c>
    </row>
    <row r="62" ht="28" customHeight="1">
      <c r="A62" s="4" t="inlineStr">
        <is>
          <t>問9</t>
        </is>
      </c>
      <c r="B62" s="5" t="inlineStr">
        <is>
          <t>日常生活で主に支援・介助してくれる方はどなたですか（あてはまるものすべて）</t>
        </is>
      </c>
      <c r="C62" s="5" t="inlineStr">
        <is>
          <t>ホームヘルパー等</t>
        </is>
      </c>
      <c r="D62" s="26" t="n">
        <v>2</v>
      </c>
      <c r="E62" s="18">
        <f>IF($F62=0,0,D62/$F62)</f>
        <v>0.0540540540540541</v>
      </c>
      <c r="F62" s="17">
        <f>$F$56</f>
        <v>37</v>
      </c>
      <c r="G62" s="4" t="inlineStr">
        <is>
          <t>複数回答</t>
        </is>
      </c>
    </row>
    <row r="63" ht="28" customHeight="1">
      <c r="A63" s="4" t="inlineStr">
        <is>
          <t>問9</t>
        </is>
      </c>
      <c r="B63" s="5" t="inlineStr">
        <is>
          <t>日常生活で主に支援・介助してくれる方はどなたですか（あてはまるものすべて）</t>
        </is>
      </c>
      <c r="C63" s="5" t="inlineStr">
        <is>
          <t>施設・事業所職員</t>
        </is>
      </c>
      <c r="D63" s="26" t="n">
        <v>7</v>
      </c>
      <c r="E63" s="18">
        <f>IF($F63=0,0,D63/$F63)</f>
        <v>0.189189189189189</v>
      </c>
      <c r="F63" s="17">
        <f>$F$56</f>
        <v>37</v>
      </c>
      <c r="G63" s="4" t="inlineStr">
        <is>
          <t>複数回答</t>
        </is>
      </c>
    </row>
    <row r="64" ht="28" customHeight="1">
      <c r="A64" s="4" t="inlineStr">
        <is>
          <t>問9</t>
        </is>
      </c>
      <c r="B64" s="5" t="inlineStr">
        <is>
          <t>日常生活で主に支援・介助してくれる方はどなたですか（あてはまるものすべて）</t>
        </is>
      </c>
      <c r="C64" s="5" t="inlineStr">
        <is>
          <t>主な支援者はいない</t>
        </is>
      </c>
      <c r="D64" s="26" t="n">
        <v>1</v>
      </c>
      <c r="E64" s="18">
        <f>IF($F64=0,0,D64/$F64)</f>
        <v>0.027027027027027</v>
      </c>
      <c r="F64" s="17">
        <f>$F$56</f>
        <v>37</v>
      </c>
      <c r="G64" s="4" t="inlineStr">
        <is>
          <t>複数回答</t>
        </is>
      </c>
    </row>
    <row r="65" ht="28" customHeight="1">
      <c r="A65" s="4" t="inlineStr">
        <is>
          <t>問9</t>
        </is>
      </c>
      <c r="B65" s="5" t="inlineStr">
        <is>
          <t>日常生活で主に支援・介助してくれる方はどなたですか（あてはまるものすべて）</t>
        </is>
      </c>
      <c r="C65" s="5" t="inlineStr">
        <is>
          <t>その他</t>
        </is>
      </c>
      <c r="D65" s="26" t="n">
        <v>0</v>
      </c>
      <c r="E65" s="18">
        <f>IF($F65=0,0,D65/$F65)</f>
        <v>0</v>
      </c>
      <c r="F65" s="17">
        <f>$F$56</f>
        <v>37</v>
      </c>
      <c r="G65" s="4" t="inlineStr">
        <is>
          <t>複数回答</t>
        </is>
      </c>
    </row>
    <row r="66" ht="28" customHeight="1">
      <c r="A66" s="4" t="inlineStr">
        <is>
          <t>問10</t>
        </is>
      </c>
      <c r="B66" s="5" t="inlineStr">
        <is>
          <t>日常生活で困っていることは何ですか（あてはまるものすべて）</t>
        </is>
      </c>
      <c r="C66" s="5" t="inlineStr">
        <is>
          <t>家事</t>
        </is>
      </c>
      <c r="D66" s="26" t="n">
        <v>1</v>
      </c>
      <c r="E66" s="18">
        <f>IF($F66=0,0,D66/$F66)</f>
        <v>0.0277777777777778</v>
      </c>
      <c r="F66" s="26" t="n">
        <v>36</v>
      </c>
      <c r="G66" s="4" t="inlineStr">
        <is>
          <t>複数回答</t>
        </is>
      </c>
    </row>
    <row r="67" ht="28" customHeight="1">
      <c r="A67" s="4" t="inlineStr">
        <is>
          <t>問10</t>
        </is>
      </c>
      <c r="B67" s="5" t="inlineStr">
        <is>
          <t>日常生活で困っていることは何ですか（あてはまるものすべて）</t>
        </is>
      </c>
      <c r="C67" s="5" t="inlineStr">
        <is>
          <t>食事</t>
        </is>
      </c>
      <c r="D67" s="26" t="n">
        <v>4</v>
      </c>
      <c r="E67" s="18">
        <f>IF($F67=0,0,D67/$F67)</f>
        <v>0.111111111111111</v>
      </c>
      <c r="F67" s="17">
        <f>$F$66</f>
        <v>36</v>
      </c>
      <c r="G67" s="4" t="inlineStr">
        <is>
          <t>複数回答</t>
        </is>
      </c>
    </row>
    <row r="68" ht="28" customHeight="1">
      <c r="A68" s="4" t="inlineStr">
        <is>
          <t>問10</t>
        </is>
      </c>
      <c r="B68" s="5" t="inlineStr">
        <is>
          <t>日常生活で困っていることは何ですか（あてはまるものすべて）</t>
        </is>
      </c>
      <c r="C68" s="5" t="inlineStr">
        <is>
          <t>入浴</t>
        </is>
      </c>
      <c r="D68" s="26" t="n">
        <v>4</v>
      </c>
      <c r="E68" s="18">
        <f>IF($F68=0,0,D68/$F68)</f>
        <v>0.111111111111111</v>
      </c>
      <c r="F68" s="17">
        <f>$F$66</f>
        <v>36</v>
      </c>
      <c r="G68" s="4" t="inlineStr">
        <is>
          <t>複数回答</t>
        </is>
      </c>
    </row>
    <row r="69" ht="28" customHeight="1">
      <c r="A69" s="4" t="inlineStr">
        <is>
          <t>問10</t>
        </is>
      </c>
      <c r="B69" s="5" t="inlineStr">
        <is>
          <t>日常生活で困っていることは何ですか（あてはまるものすべて）</t>
        </is>
      </c>
      <c r="C69" s="5" t="inlineStr">
        <is>
          <t>排せつ</t>
        </is>
      </c>
      <c r="D69" s="26" t="n">
        <v>2</v>
      </c>
      <c r="E69" s="18">
        <f>IF($F69=0,0,D69/$F69)</f>
        <v>0.0555555555555556</v>
      </c>
      <c r="F69" s="17">
        <f>$F$66</f>
        <v>36</v>
      </c>
      <c r="G69" s="4" t="inlineStr">
        <is>
          <t>複数回答</t>
        </is>
      </c>
    </row>
    <row r="70" ht="28" customHeight="1">
      <c r="A70" s="4" t="inlineStr">
        <is>
          <t>問10</t>
        </is>
      </c>
      <c r="B70" s="5" t="inlineStr">
        <is>
          <t>日常生活で困っていることは何ですか（あてはまるものすべて）</t>
        </is>
      </c>
      <c r="C70" s="5" t="inlineStr">
        <is>
          <t>服薬管理</t>
        </is>
      </c>
      <c r="D70" s="26" t="n">
        <v>5</v>
      </c>
      <c r="E70" s="18">
        <f>IF($F70=0,0,D70/$F70)</f>
        <v>0.138888888888889</v>
      </c>
      <c r="F70" s="17">
        <f>$F$66</f>
        <v>36</v>
      </c>
      <c r="G70" s="4" t="inlineStr">
        <is>
          <t>複数回答</t>
        </is>
      </c>
    </row>
    <row r="71" ht="28" customHeight="1">
      <c r="A71" s="4" t="inlineStr">
        <is>
          <t>問10</t>
        </is>
      </c>
      <c r="B71" s="5" t="inlineStr">
        <is>
          <t>日常生活で困っていることは何ですか（あてはまるものすべて）</t>
        </is>
      </c>
      <c r="C71" s="5" t="inlineStr">
        <is>
          <t>金銭管理</t>
        </is>
      </c>
      <c r="D71" s="26" t="n">
        <v>4</v>
      </c>
      <c r="E71" s="18">
        <f>IF($F71=0,0,D71/$F71)</f>
        <v>0.111111111111111</v>
      </c>
      <c r="F71" s="17">
        <f>$F$66</f>
        <v>36</v>
      </c>
      <c r="G71" s="4" t="inlineStr">
        <is>
          <t>複数回答</t>
        </is>
      </c>
    </row>
    <row r="72" ht="28" customHeight="1">
      <c r="A72" s="4" t="inlineStr">
        <is>
          <t>問10</t>
        </is>
      </c>
      <c r="B72" s="5" t="inlineStr">
        <is>
          <t>日常生活で困っていることは何ですか（あてはまるものすべて）</t>
        </is>
      </c>
      <c r="C72" s="5" t="inlineStr">
        <is>
          <t>通院</t>
        </is>
      </c>
      <c r="D72" s="26" t="n">
        <v>7</v>
      </c>
      <c r="E72" s="18">
        <f>IF($F72=0,0,D72/$F72)</f>
        <v>0.194444444444444</v>
      </c>
      <c r="F72" s="17">
        <f>$F$66</f>
        <v>36</v>
      </c>
      <c r="G72" s="4" t="inlineStr">
        <is>
          <t>複数回答</t>
        </is>
      </c>
    </row>
    <row r="73" ht="28" customHeight="1">
      <c r="A73" s="4" t="inlineStr">
        <is>
          <t>問10</t>
        </is>
      </c>
      <c r="B73" s="5" t="inlineStr">
        <is>
          <t>日常生活で困っていることは何ですか（あてはまるものすべて）</t>
        </is>
      </c>
      <c r="C73" s="5" t="inlineStr">
        <is>
          <t>外出・移動</t>
        </is>
      </c>
      <c r="D73" s="26" t="n">
        <v>10</v>
      </c>
      <c r="E73" s="18">
        <f>IF($F73=0,0,D73/$F73)</f>
        <v>0.277777777777778</v>
      </c>
      <c r="F73" s="17">
        <f>$F$66</f>
        <v>36</v>
      </c>
      <c r="G73" s="4" t="inlineStr">
        <is>
          <t>複数回答</t>
        </is>
      </c>
    </row>
    <row r="74" ht="28" customHeight="1">
      <c r="A74" s="4" t="inlineStr">
        <is>
          <t>問10</t>
        </is>
      </c>
      <c r="B74" s="5" t="inlineStr">
        <is>
          <t>日常生活で困っていることは何ですか（あてはまるものすべて）</t>
        </is>
      </c>
      <c r="C74" s="5" t="inlineStr">
        <is>
          <t>買い物</t>
        </is>
      </c>
      <c r="D74" s="26" t="n">
        <v>5</v>
      </c>
      <c r="E74" s="18">
        <f>IF($F74=0,0,D74/$F74)</f>
        <v>0.138888888888889</v>
      </c>
      <c r="F74" s="17">
        <f>$F$66</f>
        <v>36</v>
      </c>
      <c r="G74" s="4" t="inlineStr">
        <is>
          <t>複数回答</t>
        </is>
      </c>
    </row>
    <row r="75" ht="28" customHeight="1">
      <c r="A75" s="4" t="inlineStr">
        <is>
          <t>問10</t>
        </is>
      </c>
      <c r="B75" s="5" t="inlineStr">
        <is>
          <t>日常生活で困っていることは何ですか（あてはまるものすべて）</t>
        </is>
      </c>
      <c r="C75" s="5" t="inlineStr">
        <is>
          <t>災害時の避難</t>
        </is>
      </c>
      <c r="D75" s="26" t="n">
        <v>10</v>
      </c>
      <c r="E75" s="18">
        <f>IF($F75=0,0,D75/$F75)</f>
        <v>0.277777777777778</v>
      </c>
      <c r="F75" s="17">
        <f>$F$66</f>
        <v>36</v>
      </c>
      <c r="G75" s="4" t="inlineStr">
        <is>
          <t>複数回答</t>
        </is>
      </c>
    </row>
    <row r="76" ht="28" customHeight="1">
      <c r="A76" s="4" t="inlineStr">
        <is>
          <t>問10</t>
        </is>
      </c>
      <c r="B76" s="5" t="inlineStr">
        <is>
          <t>日常生活で困っていることは何ですか（あてはまるものすべて）</t>
        </is>
      </c>
      <c r="C76" s="5" t="inlineStr">
        <is>
          <t>相談先がない</t>
        </is>
      </c>
      <c r="D76" s="26" t="n">
        <v>1</v>
      </c>
      <c r="E76" s="18">
        <f>IF($F76=0,0,D76/$F76)</f>
        <v>0.0277777777777778</v>
      </c>
      <c r="F76" s="17">
        <f>$F$66</f>
        <v>36</v>
      </c>
      <c r="G76" s="4" t="inlineStr">
        <is>
          <t>複数回答</t>
        </is>
      </c>
    </row>
    <row r="77" ht="28" customHeight="1">
      <c r="A77" s="4" t="inlineStr">
        <is>
          <t>問10</t>
        </is>
      </c>
      <c r="B77" s="5" t="inlineStr">
        <is>
          <t>日常生活で困っていることは何ですか（あてはまるものすべて）</t>
        </is>
      </c>
      <c r="C77" s="5" t="inlineStr">
        <is>
          <t>将来の生活</t>
        </is>
      </c>
      <c r="D77" s="26" t="n">
        <v>11</v>
      </c>
      <c r="E77" s="18">
        <f>IF($F77=0,0,D77/$F77)</f>
        <v>0.305555555555556</v>
      </c>
      <c r="F77" s="17">
        <f>$F$66</f>
        <v>36</v>
      </c>
      <c r="G77" s="4" t="inlineStr">
        <is>
          <t>複数回答</t>
        </is>
      </c>
    </row>
    <row r="78" ht="28" customHeight="1">
      <c r="A78" s="4" t="inlineStr">
        <is>
          <t>問10</t>
        </is>
      </c>
      <c r="B78" s="5" t="inlineStr">
        <is>
          <t>日常生活で困っていることは何ですか（あてはまるものすべて）</t>
        </is>
      </c>
      <c r="C78" s="5" t="inlineStr">
        <is>
          <t>特にない</t>
        </is>
      </c>
      <c r="D78" s="26" t="n">
        <v>13</v>
      </c>
      <c r="E78" s="18">
        <f>IF($F78=0,0,D78/$F78)</f>
        <v>0.361111111111111</v>
      </c>
      <c r="F78" s="17">
        <f>$F$66</f>
        <v>36</v>
      </c>
      <c r="G78" s="4" t="inlineStr">
        <is>
          <t>複数回答</t>
        </is>
      </c>
    </row>
    <row r="79" ht="28" customHeight="1">
      <c r="A79" s="4" t="inlineStr">
        <is>
          <t>問10</t>
        </is>
      </c>
      <c r="B79" s="5" t="inlineStr">
        <is>
          <t>日常生活で困っていることは何ですか（あてはまるものすべて）</t>
        </is>
      </c>
      <c r="C79" s="5" t="inlineStr">
        <is>
          <t>その他</t>
        </is>
      </c>
      <c r="D79" s="26" t="n">
        <v>1</v>
      </c>
      <c r="E79" s="18">
        <f>IF($F79=0,0,D79/$F79)</f>
        <v>0.0277777777777778</v>
      </c>
      <c r="F79" s="17">
        <f>$F$66</f>
        <v>36</v>
      </c>
      <c r="G79" s="4" t="inlineStr">
        <is>
          <t>複数回答</t>
        </is>
      </c>
    </row>
    <row r="80" ht="16" customHeight="1">
      <c r="A80" s="4" t="inlineStr">
        <is>
          <t>問11</t>
        </is>
      </c>
      <c r="B80" s="5" t="inlineStr">
        <is>
          <t>将来、どのような暮らし方を希望しますか</t>
        </is>
      </c>
      <c r="C80" s="5" t="inlineStr">
        <is>
          <t>今の自宅で暮らしたい</t>
        </is>
      </c>
      <c r="D80" s="26" t="n">
        <v>15</v>
      </c>
      <c r="E80" s="18">
        <f>IF($F80=0,0,D80/$F80)</f>
        <v>0.416666666666667</v>
      </c>
      <c r="F80" s="26" t="n">
        <v>36</v>
      </c>
      <c r="G80" s="4" t="inlineStr">
        <is>
          <t>単一回答</t>
        </is>
      </c>
    </row>
    <row r="81" ht="16" customHeight="1">
      <c r="A81" s="4" t="inlineStr">
        <is>
          <t>問11</t>
        </is>
      </c>
      <c r="B81" s="5" t="inlineStr">
        <is>
          <t>将来、どのような暮らし方を希望しますか</t>
        </is>
      </c>
      <c r="C81" s="5" t="inlineStr">
        <is>
          <t>家族と一緒に暮らしたい</t>
        </is>
      </c>
      <c r="D81" s="26" t="n">
        <v>6</v>
      </c>
      <c r="E81" s="18">
        <f>IF($F81=0,0,D81/$F81)</f>
        <v>0.166666666666667</v>
      </c>
      <c r="F81" s="17">
        <f>$F$80</f>
        <v>36</v>
      </c>
      <c r="G81" s="4" t="inlineStr">
        <is>
          <t>単一回答</t>
        </is>
      </c>
    </row>
    <row r="82" ht="16" customHeight="1">
      <c r="A82" s="4" t="inlineStr">
        <is>
          <t>問11</t>
        </is>
      </c>
      <c r="B82" s="5" t="inlineStr">
        <is>
          <t>将来、どのような暮らし方を希望しますか</t>
        </is>
      </c>
      <c r="C82" s="5" t="inlineStr">
        <is>
          <t>一人暮らしをしたい</t>
        </is>
      </c>
      <c r="D82" s="26" t="n">
        <v>2</v>
      </c>
      <c r="E82" s="18">
        <f>IF($F82=0,0,D82/$F82)</f>
        <v>0.0555555555555556</v>
      </c>
      <c r="F82" s="17">
        <f>$F$80</f>
        <v>36</v>
      </c>
      <c r="G82" s="4" t="inlineStr">
        <is>
          <t>単一回答</t>
        </is>
      </c>
    </row>
    <row r="83" ht="16" customHeight="1">
      <c r="A83" s="4" t="inlineStr">
        <is>
          <t>問11</t>
        </is>
      </c>
      <c r="B83" s="5" t="inlineStr">
        <is>
          <t>将来、どのような暮らし方を希望しますか</t>
        </is>
      </c>
      <c r="C83" s="5" t="inlineStr">
        <is>
          <t>グループホームで暮らしたい</t>
        </is>
      </c>
      <c r="D83" s="26" t="n">
        <v>2</v>
      </c>
      <c r="E83" s="18">
        <f>IF($F83=0,0,D83/$F83)</f>
        <v>0.0555555555555556</v>
      </c>
      <c r="F83" s="17">
        <f>$F$80</f>
        <v>36</v>
      </c>
      <c r="G83" s="4" t="inlineStr">
        <is>
          <t>単一回答</t>
        </is>
      </c>
    </row>
    <row r="84" ht="16" customHeight="1">
      <c r="A84" s="4" t="inlineStr">
        <is>
          <t>問11</t>
        </is>
      </c>
      <c r="B84" s="5" t="inlineStr">
        <is>
          <t>将来、どのような暮らし方を希望しますか</t>
        </is>
      </c>
      <c r="C84" s="5" t="inlineStr">
        <is>
          <t>施設で暮らしたい</t>
        </is>
      </c>
      <c r="D84" s="26" t="n">
        <v>4</v>
      </c>
      <c r="E84" s="18">
        <f>IF($F84=0,0,D84/$F84)</f>
        <v>0.111111111111111</v>
      </c>
      <c r="F84" s="17">
        <f>$F$80</f>
        <v>36</v>
      </c>
      <c r="G84" s="4" t="inlineStr">
        <is>
          <t>単一回答</t>
        </is>
      </c>
    </row>
    <row r="85" ht="16" customHeight="1">
      <c r="A85" s="4" t="inlineStr">
        <is>
          <t>問11</t>
        </is>
      </c>
      <c r="B85" s="5" t="inlineStr">
        <is>
          <t>将来、どのような暮らし方を希望しますか</t>
        </is>
      </c>
      <c r="C85" s="5" t="inlineStr">
        <is>
          <t>病院・施設から地域で暮らしたい</t>
        </is>
      </c>
      <c r="D85" s="26" t="n">
        <v>0</v>
      </c>
      <c r="E85" s="18">
        <f>IF($F85=0,0,D85/$F85)</f>
        <v>0</v>
      </c>
      <c r="F85" s="17">
        <f>$F$80</f>
        <v>36</v>
      </c>
      <c r="G85" s="4" t="inlineStr">
        <is>
          <t>単一回答</t>
        </is>
      </c>
    </row>
    <row r="86" ht="16" customHeight="1">
      <c r="A86" s="4" t="inlineStr">
        <is>
          <t>問11</t>
        </is>
      </c>
      <c r="B86" s="5" t="inlineStr">
        <is>
          <t>将来、どのような暮らし方を希望しますか</t>
        </is>
      </c>
      <c r="C86" s="5" t="inlineStr">
        <is>
          <t>まだわからない</t>
        </is>
      </c>
      <c r="D86" s="26" t="n">
        <v>6</v>
      </c>
      <c r="E86" s="18">
        <f>IF($F86=0,0,D86/$F86)</f>
        <v>0.166666666666667</v>
      </c>
      <c r="F86" s="17">
        <f>$F$80</f>
        <v>36</v>
      </c>
      <c r="G86" s="4" t="inlineStr">
        <is>
          <t>単一回答</t>
        </is>
      </c>
    </row>
    <row r="87" ht="16" customHeight="1">
      <c r="A87" s="4" t="inlineStr">
        <is>
          <t>問11</t>
        </is>
      </c>
      <c r="B87" s="5" t="inlineStr">
        <is>
          <t>将来、どのような暮らし方を希望しますか</t>
        </is>
      </c>
      <c r="C87" s="5" t="inlineStr">
        <is>
          <t>その他</t>
        </is>
      </c>
      <c r="D87" s="26" t="n">
        <v>1</v>
      </c>
      <c r="E87" s="18">
        <f>IF($F87=0,0,D87/$F87)</f>
        <v>0.0277777777777778</v>
      </c>
      <c r="F87" s="17">
        <f>$F$80</f>
        <v>36</v>
      </c>
      <c r="G87" s="4" t="inlineStr">
        <is>
          <t>単一回答</t>
        </is>
      </c>
    </row>
    <row r="88" ht="16" customHeight="1">
      <c r="A88" s="4" t="inlineStr">
        <is>
          <t>問12</t>
        </is>
      </c>
      <c r="B88" s="5" t="inlineStr">
        <is>
          <t>外出の頻度を教えてください</t>
        </is>
      </c>
      <c r="C88" s="5" t="inlineStr">
        <is>
          <t>ほぼ毎日</t>
        </is>
      </c>
      <c r="D88" s="26" t="n">
        <v>11</v>
      </c>
      <c r="E88" s="18">
        <f>IF($F88=0,0,D88/$F88)</f>
        <v>0.297297297297297</v>
      </c>
      <c r="F88" s="26" t="n">
        <v>37</v>
      </c>
      <c r="G88" s="4" t="inlineStr">
        <is>
          <t>単一回答</t>
        </is>
      </c>
    </row>
    <row r="89" ht="16" customHeight="1">
      <c r="A89" s="4" t="inlineStr">
        <is>
          <t>問12</t>
        </is>
      </c>
      <c r="B89" s="5" t="inlineStr">
        <is>
          <t>外出の頻度を教えてください</t>
        </is>
      </c>
      <c r="C89" s="5" t="inlineStr">
        <is>
          <t>週に2～4回</t>
        </is>
      </c>
      <c r="D89" s="26" t="n">
        <v>6</v>
      </c>
      <c r="E89" s="18">
        <f>IF($F89=0,0,D89/$F89)</f>
        <v>0.162162162162162</v>
      </c>
      <c r="F89" s="17">
        <f>$F$88</f>
        <v>37</v>
      </c>
      <c r="G89" s="4" t="inlineStr">
        <is>
          <t>単一回答</t>
        </is>
      </c>
    </row>
    <row r="90" ht="16" customHeight="1">
      <c r="A90" s="4" t="inlineStr">
        <is>
          <t>問12</t>
        </is>
      </c>
      <c r="B90" s="5" t="inlineStr">
        <is>
          <t>外出の頻度を教えてください</t>
        </is>
      </c>
      <c r="C90" s="5" t="inlineStr">
        <is>
          <t>週に1回程度</t>
        </is>
      </c>
      <c r="D90" s="26" t="n">
        <v>6</v>
      </c>
      <c r="E90" s="18">
        <f>IF($F90=0,0,D90/$F90)</f>
        <v>0.162162162162162</v>
      </c>
      <c r="F90" s="17">
        <f>$F$88</f>
        <v>37</v>
      </c>
      <c r="G90" s="4" t="inlineStr">
        <is>
          <t>単一回答</t>
        </is>
      </c>
    </row>
    <row r="91" ht="16" customHeight="1">
      <c r="A91" s="4" t="inlineStr">
        <is>
          <t>問12</t>
        </is>
      </c>
      <c r="B91" s="5" t="inlineStr">
        <is>
          <t>外出の頻度を教えてください</t>
        </is>
      </c>
      <c r="C91" s="5" t="inlineStr">
        <is>
          <t>月に数回</t>
        </is>
      </c>
      <c r="D91" s="26" t="n">
        <v>6</v>
      </c>
      <c r="E91" s="18">
        <f>IF($F91=0,0,D91/$F91)</f>
        <v>0.162162162162162</v>
      </c>
      <c r="F91" s="17">
        <f>$F$88</f>
        <v>37</v>
      </c>
      <c r="G91" s="4" t="inlineStr">
        <is>
          <t>単一回答</t>
        </is>
      </c>
    </row>
    <row r="92" ht="16" customHeight="1">
      <c r="A92" s="4" t="inlineStr">
        <is>
          <t>問12</t>
        </is>
      </c>
      <c r="B92" s="5" t="inlineStr">
        <is>
          <t>外出の頻度を教えてください</t>
        </is>
      </c>
      <c r="C92" s="5" t="inlineStr">
        <is>
          <t>ほとんど外出しない</t>
        </is>
      </c>
      <c r="D92" s="26" t="n">
        <v>8</v>
      </c>
      <c r="E92" s="18">
        <f>IF($F92=0,0,D92/$F92)</f>
        <v>0.216216216216216</v>
      </c>
      <c r="F92" s="17">
        <f>$F$88</f>
        <v>37</v>
      </c>
      <c r="G92" s="4" t="inlineStr">
        <is>
          <t>単一回答</t>
        </is>
      </c>
    </row>
    <row r="93" ht="28" customHeight="1">
      <c r="A93" s="4" t="inlineStr">
        <is>
          <t>問13</t>
        </is>
      </c>
      <c r="B93" s="5" t="inlineStr">
        <is>
          <t>外出時の主な移動手段を教えてください（あてはまるものすべて）</t>
        </is>
      </c>
      <c r="C93" s="5" t="inlineStr">
        <is>
          <t>自分で運転</t>
        </is>
      </c>
      <c r="D93" s="26" t="n">
        <v>17</v>
      </c>
      <c r="E93" s="18">
        <f>IF($F93=0,0,D93/$F93)</f>
        <v>0.5</v>
      </c>
      <c r="F93" s="26" t="n">
        <v>34</v>
      </c>
      <c r="G93" s="4" t="inlineStr">
        <is>
          <t>複数回答</t>
        </is>
      </c>
    </row>
    <row r="94" ht="28" customHeight="1">
      <c r="A94" s="4" t="inlineStr">
        <is>
          <t>問13</t>
        </is>
      </c>
      <c r="B94" s="5" t="inlineStr">
        <is>
          <t>外出時の主な移動手段を教えてください（あてはまるものすべて）</t>
        </is>
      </c>
      <c r="C94" s="5" t="inlineStr">
        <is>
          <t>家族・知人の送迎</t>
        </is>
      </c>
      <c r="D94" s="26" t="n">
        <v>14</v>
      </c>
      <c r="E94" s="18">
        <f>IF($F94=0,0,D94/$F94)</f>
        <v>0.411764705882353</v>
      </c>
      <c r="F94" s="17">
        <f>$F$93</f>
        <v>34</v>
      </c>
      <c r="G94" s="4" t="inlineStr">
        <is>
          <t>複数回答</t>
        </is>
      </c>
    </row>
    <row r="95" ht="28" customHeight="1">
      <c r="A95" s="4" t="inlineStr">
        <is>
          <t>問13</t>
        </is>
      </c>
      <c r="B95" s="5" t="inlineStr">
        <is>
          <t>外出時の主な移動手段を教えてください（あてはまるものすべて）</t>
        </is>
      </c>
      <c r="C95" s="5" t="inlineStr">
        <is>
          <t>徒歩</t>
        </is>
      </c>
      <c r="D95" s="26" t="n">
        <v>3</v>
      </c>
      <c r="E95" s="18">
        <f>IF($F95=0,0,D95/$F95)</f>
        <v>0.0882352941176471</v>
      </c>
      <c r="F95" s="17">
        <f>$F$93</f>
        <v>34</v>
      </c>
      <c r="G95" s="4" t="inlineStr">
        <is>
          <t>複数回答</t>
        </is>
      </c>
    </row>
    <row r="96" ht="28" customHeight="1">
      <c r="A96" s="4" t="inlineStr">
        <is>
          <t>問13</t>
        </is>
      </c>
      <c r="B96" s="5" t="inlineStr">
        <is>
          <t>外出時の主な移動手段を教えてください（あてはまるものすべて）</t>
        </is>
      </c>
      <c r="C96" s="5" t="inlineStr">
        <is>
          <t>自転車</t>
        </is>
      </c>
      <c r="D96" s="26" t="n">
        <v>1</v>
      </c>
      <c r="E96" s="18">
        <f>IF($F96=0,0,D96/$F96)</f>
        <v>0.0294117647058824</v>
      </c>
      <c r="F96" s="17">
        <f>$F$93</f>
        <v>34</v>
      </c>
      <c r="G96" s="4" t="inlineStr">
        <is>
          <t>複数回答</t>
        </is>
      </c>
    </row>
    <row r="97" ht="28" customHeight="1">
      <c r="A97" s="4" t="inlineStr">
        <is>
          <t>問13</t>
        </is>
      </c>
      <c r="B97" s="5" t="inlineStr">
        <is>
          <t>外出時の主な移動手段を教えてください（あてはまるものすべて）</t>
        </is>
      </c>
      <c r="C97" s="5" t="inlineStr">
        <is>
          <t>路線バス</t>
        </is>
      </c>
      <c r="D97" s="26" t="n">
        <v>3</v>
      </c>
      <c r="E97" s="18">
        <f>IF($F97=0,0,D97/$F97)</f>
        <v>0.0882352941176471</v>
      </c>
      <c r="F97" s="17">
        <f>$F$93</f>
        <v>34</v>
      </c>
      <c r="G97" s="4" t="inlineStr">
        <is>
          <t>複数回答</t>
        </is>
      </c>
    </row>
    <row r="98" ht="28" customHeight="1">
      <c r="A98" s="4" t="inlineStr">
        <is>
          <t>問13</t>
        </is>
      </c>
      <c r="B98" s="5" t="inlineStr">
        <is>
          <t>外出時の主な移動手段を教えてください（あてはまるものすべて）</t>
        </is>
      </c>
      <c r="C98" s="5" t="inlineStr">
        <is>
          <t>タクシー</t>
        </is>
      </c>
      <c r="D98" s="26" t="n">
        <v>2</v>
      </c>
      <c r="E98" s="18">
        <f>IF($F98=0,0,D98/$F98)</f>
        <v>0.0588235294117647</v>
      </c>
      <c r="F98" s="17">
        <f>$F$93</f>
        <v>34</v>
      </c>
      <c r="G98" s="4" t="inlineStr">
        <is>
          <t>複数回答</t>
        </is>
      </c>
    </row>
    <row r="99" ht="28" customHeight="1">
      <c r="A99" s="4" t="inlineStr">
        <is>
          <t>問13</t>
        </is>
      </c>
      <c r="B99" s="5" t="inlineStr">
        <is>
          <t>外出時の主な移動手段を教えてください（あてはまるものすべて）</t>
        </is>
      </c>
      <c r="C99" s="5" t="inlineStr">
        <is>
          <t>福祉タクシー等</t>
        </is>
      </c>
      <c r="D99" s="26" t="n">
        <v>0</v>
      </c>
      <c r="E99" s="18">
        <f>IF($F99=0,0,D99/$F99)</f>
        <v>0</v>
      </c>
      <c r="F99" s="17">
        <f>$F$93</f>
        <v>34</v>
      </c>
      <c r="G99" s="4" t="inlineStr">
        <is>
          <t>複数回答</t>
        </is>
      </c>
    </row>
    <row r="100" ht="28" customHeight="1">
      <c r="A100" s="4" t="inlineStr">
        <is>
          <t>問13</t>
        </is>
      </c>
      <c r="B100" s="5" t="inlineStr">
        <is>
          <t>外出時の主な移動手段を教えてください（あてはまるものすべて）</t>
        </is>
      </c>
      <c r="C100" s="5" t="inlineStr">
        <is>
          <t>事業所・施設の送迎</t>
        </is>
      </c>
      <c r="D100" s="26" t="n">
        <v>8</v>
      </c>
      <c r="E100" s="18">
        <f>IF($F100=0,0,D100/$F100)</f>
        <v>0.235294117647059</v>
      </c>
      <c r="F100" s="17">
        <f>$F$93</f>
        <v>34</v>
      </c>
      <c r="G100" s="4" t="inlineStr">
        <is>
          <t>複数回答</t>
        </is>
      </c>
    </row>
    <row r="101" ht="28" customHeight="1">
      <c r="A101" s="4" t="inlineStr">
        <is>
          <t>問13</t>
        </is>
      </c>
      <c r="B101" s="5" t="inlineStr">
        <is>
          <t>外出時の主な移動手段を教えてください（あてはまるものすべて）</t>
        </is>
      </c>
      <c r="C101" s="5" t="inlineStr">
        <is>
          <t>その他</t>
        </is>
      </c>
      <c r="D101" s="26" t="n">
        <v>2</v>
      </c>
      <c r="E101" s="18">
        <f>IF($F101=0,0,D101/$F101)</f>
        <v>0.0588235294117647</v>
      </c>
      <c r="F101" s="17">
        <f>$F$93</f>
        <v>34</v>
      </c>
      <c r="G101" s="4" t="inlineStr">
        <is>
          <t>複数回答</t>
        </is>
      </c>
    </row>
    <row r="102" ht="28" customHeight="1">
      <c r="A102" s="4" t="inlineStr">
        <is>
          <t>問14</t>
        </is>
      </c>
      <c r="B102" s="5" t="inlineStr">
        <is>
          <t>外出するときに困ることは何ですか（あてはまるものすべて）</t>
        </is>
      </c>
      <c r="C102" s="5" t="inlineStr">
        <is>
          <t>交通手段が少ない</t>
        </is>
      </c>
      <c r="D102" s="26" t="n">
        <v>6</v>
      </c>
      <c r="E102" s="18">
        <f>IF($F102=0,0,D102/$F102)</f>
        <v>0.176470588235294</v>
      </c>
      <c r="F102" s="26" t="n">
        <v>34</v>
      </c>
      <c r="G102" s="4" t="inlineStr">
        <is>
          <t>複数回答</t>
        </is>
      </c>
    </row>
    <row r="103" ht="28" customHeight="1">
      <c r="A103" s="4" t="inlineStr">
        <is>
          <t>問14</t>
        </is>
      </c>
      <c r="B103" s="5" t="inlineStr">
        <is>
          <t>外出するときに困ることは何ですか（あてはまるものすべて）</t>
        </is>
      </c>
      <c r="C103" s="5" t="inlineStr">
        <is>
          <t>家族等の付き添いが必要</t>
        </is>
      </c>
      <c r="D103" s="26" t="n">
        <v>7</v>
      </c>
      <c r="E103" s="18">
        <f>IF($F103=0,0,D103/$F103)</f>
        <v>0.205882352941176</v>
      </c>
      <c r="F103" s="17">
        <f>$F$102</f>
        <v>34</v>
      </c>
      <c r="G103" s="4" t="inlineStr">
        <is>
          <t>複数回答</t>
        </is>
      </c>
    </row>
    <row r="104" ht="28" customHeight="1">
      <c r="A104" s="4" t="inlineStr">
        <is>
          <t>問14</t>
        </is>
      </c>
      <c r="B104" s="5" t="inlineStr">
        <is>
          <t>外出するときに困ることは何ですか（あてはまるものすべて）</t>
        </is>
      </c>
      <c r="C104" s="5" t="inlineStr">
        <is>
          <t>送迎がない</t>
        </is>
      </c>
      <c r="D104" s="26" t="n">
        <v>5</v>
      </c>
      <c r="E104" s="18">
        <f>IF($F104=0,0,D104/$F104)</f>
        <v>0.147058823529412</v>
      </c>
      <c r="F104" s="17">
        <f>$F$102</f>
        <v>34</v>
      </c>
      <c r="G104" s="4" t="inlineStr">
        <is>
          <t>複数回答</t>
        </is>
      </c>
    </row>
    <row r="105" ht="28" customHeight="1">
      <c r="A105" s="4" t="inlineStr">
        <is>
          <t>問14</t>
        </is>
      </c>
      <c r="B105" s="5" t="inlineStr">
        <is>
          <t>外出するときに困ることは何ですか（あてはまるものすべて）</t>
        </is>
      </c>
      <c r="C105" s="5" t="inlineStr">
        <is>
          <t>冬季・積雪時に外出しにくい</t>
        </is>
      </c>
      <c r="D105" s="26" t="n">
        <v>13</v>
      </c>
      <c r="E105" s="18">
        <f>IF($F105=0,0,D105/$F105)</f>
        <v>0.382352941176471</v>
      </c>
      <c r="F105" s="17">
        <f>$F$102</f>
        <v>34</v>
      </c>
      <c r="G105" s="4" t="inlineStr">
        <is>
          <t>複数回答</t>
        </is>
      </c>
    </row>
    <row r="106" ht="28" customHeight="1">
      <c r="A106" s="4" t="inlineStr">
        <is>
          <t>問14</t>
        </is>
      </c>
      <c r="B106" s="5" t="inlineStr">
        <is>
          <t>外出するときに困ることは何ですか（あてはまるものすべて）</t>
        </is>
      </c>
      <c r="C106" s="5" t="inlineStr">
        <is>
          <t>道路・建物が利用しにくい</t>
        </is>
      </c>
      <c r="D106" s="26" t="n">
        <v>0</v>
      </c>
      <c r="E106" s="18">
        <f>IF($F106=0,0,D106/$F106)</f>
        <v>0</v>
      </c>
      <c r="F106" s="17">
        <f>$F$102</f>
        <v>34</v>
      </c>
      <c r="G106" s="4" t="inlineStr">
        <is>
          <t>複数回答</t>
        </is>
      </c>
    </row>
    <row r="107" ht="28" customHeight="1">
      <c r="A107" s="4" t="inlineStr">
        <is>
          <t>問14</t>
        </is>
      </c>
      <c r="B107" s="5" t="inlineStr">
        <is>
          <t>外出するときに困ることは何ですか（あてはまるものすべて）</t>
        </is>
      </c>
      <c r="C107" s="5" t="inlineStr">
        <is>
          <t>周囲の理解が不安</t>
        </is>
      </c>
      <c r="D107" s="26" t="n">
        <v>2</v>
      </c>
      <c r="E107" s="18">
        <f>IF($F107=0,0,D107/$F107)</f>
        <v>0.0588235294117647</v>
      </c>
      <c r="F107" s="17">
        <f>$F$102</f>
        <v>34</v>
      </c>
      <c r="G107" s="4" t="inlineStr">
        <is>
          <t>複数回答</t>
        </is>
      </c>
    </row>
    <row r="108" ht="28" customHeight="1">
      <c r="A108" s="4" t="inlineStr">
        <is>
          <t>問14</t>
        </is>
      </c>
      <c r="B108" s="5" t="inlineStr">
        <is>
          <t>外出するときに困ることは何ですか（あてはまるものすべて）</t>
        </is>
      </c>
      <c r="C108" s="5" t="inlineStr">
        <is>
          <t>体調面が不安</t>
        </is>
      </c>
      <c r="D108" s="26" t="n">
        <v>8</v>
      </c>
      <c r="E108" s="18">
        <f>IF($F108=0,0,D108/$F108)</f>
        <v>0.235294117647059</v>
      </c>
      <c r="F108" s="17">
        <f>$F$102</f>
        <v>34</v>
      </c>
      <c r="G108" s="4" t="inlineStr">
        <is>
          <t>複数回答</t>
        </is>
      </c>
    </row>
    <row r="109" ht="28" customHeight="1">
      <c r="A109" s="4" t="inlineStr">
        <is>
          <t>問14</t>
        </is>
      </c>
      <c r="B109" s="5" t="inlineStr">
        <is>
          <t>外出するときに困ることは何ですか（あてはまるものすべて）</t>
        </is>
      </c>
      <c r="C109" s="5" t="inlineStr">
        <is>
          <t>費用がかかる</t>
        </is>
      </c>
      <c r="D109" s="26" t="n">
        <v>5</v>
      </c>
      <c r="E109" s="18">
        <f>IF($F109=0,0,D109/$F109)</f>
        <v>0.147058823529412</v>
      </c>
      <c r="F109" s="17">
        <f>$F$102</f>
        <v>34</v>
      </c>
      <c r="G109" s="4" t="inlineStr">
        <is>
          <t>複数回答</t>
        </is>
      </c>
    </row>
    <row r="110" ht="28" customHeight="1">
      <c r="A110" s="4" t="inlineStr">
        <is>
          <t>問14</t>
        </is>
      </c>
      <c r="B110" s="5" t="inlineStr">
        <is>
          <t>外出するときに困ることは何ですか（あてはまるものすべて）</t>
        </is>
      </c>
      <c r="C110" s="5" t="inlineStr">
        <is>
          <t>特に困らない</t>
        </is>
      </c>
      <c r="D110" s="26" t="n">
        <v>11</v>
      </c>
      <c r="E110" s="18">
        <f>IF($F110=0,0,D110/$F110)</f>
        <v>0.323529411764706</v>
      </c>
      <c r="F110" s="17">
        <f>$F$102</f>
        <v>34</v>
      </c>
      <c r="G110" s="4" t="inlineStr">
        <is>
          <t>複数回答</t>
        </is>
      </c>
    </row>
    <row r="111" ht="28" customHeight="1">
      <c r="A111" s="4" t="inlineStr">
        <is>
          <t>問14</t>
        </is>
      </c>
      <c r="B111" s="5" t="inlineStr">
        <is>
          <t>外出するときに困ることは何ですか（あてはまるものすべて）</t>
        </is>
      </c>
      <c r="C111" s="5" t="inlineStr">
        <is>
          <t>その他</t>
        </is>
      </c>
      <c r="D111" s="26" t="n">
        <v>1</v>
      </c>
      <c r="E111" s="18">
        <f>IF($F111=0,0,D111/$F111)</f>
        <v>0.0294117647058824</v>
      </c>
      <c r="F111" s="17">
        <f>$F$102</f>
        <v>34</v>
      </c>
      <c r="G111" s="4" t="inlineStr">
        <is>
          <t>複数回答</t>
        </is>
      </c>
    </row>
    <row r="112" ht="16" customHeight="1">
      <c r="A112" s="4" t="inlineStr">
        <is>
          <t>問15</t>
        </is>
      </c>
      <c r="B112" s="5" t="inlineStr">
        <is>
          <t>現在、定期的に通院していますか</t>
        </is>
      </c>
      <c r="C112" s="5" t="inlineStr">
        <is>
          <t>通院している</t>
        </is>
      </c>
      <c r="D112" s="26" t="n">
        <v>27</v>
      </c>
      <c r="E112" s="18">
        <f>IF($F112=0,0,D112/$F112)</f>
        <v>0.75</v>
      </c>
      <c r="F112" s="26" t="n">
        <v>36</v>
      </c>
      <c r="G112" s="4" t="inlineStr">
        <is>
          <t>単一回答</t>
        </is>
      </c>
    </row>
    <row r="113" ht="16" customHeight="1">
      <c r="A113" s="4" t="inlineStr">
        <is>
          <t>問15</t>
        </is>
      </c>
      <c r="B113" s="5" t="inlineStr">
        <is>
          <t>現在、定期的に通院していますか</t>
        </is>
      </c>
      <c r="C113" s="5" t="inlineStr">
        <is>
          <t>通院していない</t>
        </is>
      </c>
      <c r="D113" s="26" t="n">
        <v>4</v>
      </c>
      <c r="E113" s="18">
        <f>IF($F113=0,0,D113/$F113)</f>
        <v>0.111111111111111</v>
      </c>
      <c r="F113" s="17">
        <f>$F$112</f>
        <v>36</v>
      </c>
      <c r="G113" s="4" t="inlineStr">
        <is>
          <t>単一回答</t>
        </is>
      </c>
    </row>
    <row r="114" ht="16" customHeight="1">
      <c r="A114" s="4" t="inlineStr">
        <is>
          <t>問15</t>
        </is>
      </c>
      <c r="B114" s="5" t="inlineStr">
        <is>
          <t>現在、定期的に通院していますか</t>
        </is>
      </c>
      <c r="C114" s="5" t="inlineStr">
        <is>
          <t>訪問診療・往診を受けている</t>
        </is>
      </c>
      <c r="D114" s="26" t="n">
        <v>3</v>
      </c>
      <c r="E114" s="18">
        <f>IF($F114=0,0,D114/$F114)</f>
        <v>0.0833333333333333</v>
      </c>
      <c r="F114" s="17">
        <f>$F$112</f>
        <v>36</v>
      </c>
      <c r="G114" s="4" t="inlineStr">
        <is>
          <t>単一回答</t>
        </is>
      </c>
    </row>
    <row r="115" ht="16" customHeight="1">
      <c r="A115" s="4" t="inlineStr">
        <is>
          <t>問15</t>
        </is>
      </c>
      <c r="B115" s="5" t="inlineStr">
        <is>
          <t>現在、定期的に通院していますか</t>
        </is>
      </c>
      <c r="C115" s="5" t="inlineStr">
        <is>
          <t>わからない</t>
        </is>
      </c>
      <c r="D115" s="26" t="n">
        <v>2</v>
      </c>
      <c r="E115" s="18">
        <f>IF($F115=0,0,D115/$F115)</f>
        <v>0.0555555555555556</v>
      </c>
      <c r="F115" s="17">
        <f>$F$112</f>
        <v>36</v>
      </c>
      <c r="G115" s="4" t="inlineStr">
        <is>
          <t>単一回答</t>
        </is>
      </c>
    </row>
    <row r="116" ht="28" customHeight="1">
      <c r="A116" s="4" t="inlineStr">
        <is>
          <t>問16</t>
        </is>
      </c>
      <c r="B116" s="5" t="inlineStr">
        <is>
          <t>通院や医療で困っていることはありますか（あてはまるものすべて）</t>
        </is>
      </c>
      <c r="C116" s="5" t="inlineStr">
        <is>
          <t>専門医療機関が遠い</t>
        </is>
      </c>
      <c r="D116" s="26" t="n">
        <v>8</v>
      </c>
      <c r="E116" s="18">
        <f>IF($F116=0,0,D116/$F116)</f>
        <v>0.222222222222222</v>
      </c>
      <c r="F116" s="26" t="n">
        <v>36</v>
      </c>
      <c r="G116" s="4" t="inlineStr">
        <is>
          <t>複数回答</t>
        </is>
      </c>
    </row>
    <row r="117" ht="28" customHeight="1">
      <c r="A117" s="4" t="inlineStr">
        <is>
          <t>問16</t>
        </is>
      </c>
      <c r="B117" s="5" t="inlineStr">
        <is>
          <t>通院や医療で困っていることはありますか（あてはまるものすべて）</t>
        </is>
      </c>
      <c r="C117" s="5" t="inlineStr">
        <is>
          <t>通院の交通手段がない</t>
        </is>
      </c>
      <c r="D117" s="26" t="n">
        <v>3</v>
      </c>
      <c r="E117" s="18">
        <f>IF($F117=0,0,D117/$F117)</f>
        <v>0.0833333333333333</v>
      </c>
      <c r="F117" s="17">
        <f>$F$116</f>
        <v>36</v>
      </c>
      <c r="G117" s="4" t="inlineStr">
        <is>
          <t>複数回答</t>
        </is>
      </c>
    </row>
    <row r="118" ht="28" customHeight="1">
      <c r="A118" s="4" t="inlineStr">
        <is>
          <t>問16</t>
        </is>
      </c>
      <c r="B118" s="5" t="inlineStr">
        <is>
          <t>通院や医療で困っていることはありますか（あてはまるものすべて）</t>
        </is>
      </c>
      <c r="C118" s="5" t="inlineStr">
        <is>
          <t>付き添いが必要</t>
        </is>
      </c>
      <c r="D118" s="26" t="n">
        <v>8</v>
      </c>
      <c r="E118" s="18">
        <f>IF($F118=0,0,D118/$F118)</f>
        <v>0.222222222222222</v>
      </c>
      <c r="F118" s="17">
        <f>$F$116</f>
        <v>36</v>
      </c>
      <c r="G118" s="4" t="inlineStr">
        <is>
          <t>複数回答</t>
        </is>
      </c>
    </row>
    <row r="119" ht="28" customHeight="1">
      <c r="A119" s="4" t="inlineStr">
        <is>
          <t>問16</t>
        </is>
      </c>
      <c r="B119" s="5" t="inlineStr">
        <is>
          <t>通院や医療で困っていることはありますか（あてはまるものすべて）</t>
        </is>
      </c>
      <c r="C119" s="5" t="inlineStr">
        <is>
          <t>医療費や交通費の負担が大きい</t>
        </is>
      </c>
      <c r="D119" s="26" t="n">
        <v>6</v>
      </c>
      <c r="E119" s="18">
        <f>IF($F119=0,0,D119/$F119)</f>
        <v>0.166666666666667</v>
      </c>
      <c r="F119" s="17">
        <f>$F$116</f>
        <v>36</v>
      </c>
      <c r="G119" s="4" t="inlineStr">
        <is>
          <t>複数回答</t>
        </is>
      </c>
    </row>
    <row r="120" ht="28" customHeight="1">
      <c r="A120" s="4" t="inlineStr">
        <is>
          <t>問16</t>
        </is>
      </c>
      <c r="B120" s="5" t="inlineStr">
        <is>
          <t>通院や医療で困っていることはありますか（あてはまるものすべて）</t>
        </is>
      </c>
      <c r="C120" s="5" t="inlineStr">
        <is>
          <t>予約・受診手続きが難しい</t>
        </is>
      </c>
      <c r="D120" s="26" t="n">
        <v>2</v>
      </c>
      <c r="E120" s="18">
        <f>IF($F120=0,0,D120/$F120)</f>
        <v>0.0555555555555556</v>
      </c>
      <c r="F120" s="17">
        <f>$F$116</f>
        <v>36</v>
      </c>
      <c r="G120" s="4" t="inlineStr">
        <is>
          <t>複数回答</t>
        </is>
      </c>
    </row>
    <row r="121" ht="28" customHeight="1">
      <c r="A121" s="4" t="inlineStr">
        <is>
          <t>問16</t>
        </is>
      </c>
      <c r="B121" s="5" t="inlineStr">
        <is>
          <t>通院や医療で困っていることはありますか（あてはまるものすべて）</t>
        </is>
      </c>
      <c r="C121" s="5" t="inlineStr">
        <is>
          <t>緊急時の対応が不安</t>
        </is>
      </c>
      <c r="D121" s="26" t="n">
        <v>6</v>
      </c>
      <c r="E121" s="18">
        <f>IF($F121=0,0,D121/$F121)</f>
        <v>0.166666666666667</v>
      </c>
      <c r="F121" s="17">
        <f>$F$116</f>
        <v>36</v>
      </c>
      <c r="G121" s="4" t="inlineStr">
        <is>
          <t>複数回答</t>
        </is>
      </c>
    </row>
    <row r="122" ht="28" customHeight="1">
      <c r="A122" s="4" t="inlineStr">
        <is>
          <t>問16</t>
        </is>
      </c>
      <c r="B122" s="5" t="inlineStr">
        <is>
          <t>通院や医療で困っていることはありますか（あてはまるものすべて）</t>
        </is>
      </c>
      <c r="C122" s="5" t="inlineStr">
        <is>
          <t>特に困っていない</t>
        </is>
      </c>
      <c r="D122" s="26" t="n">
        <v>16</v>
      </c>
      <c r="E122" s="18">
        <f>IF($F122=0,0,D122/$F122)</f>
        <v>0.444444444444444</v>
      </c>
      <c r="F122" s="17">
        <f>$F$116</f>
        <v>36</v>
      </c>
      <c r="G122" s="4" t="inlineStr">
        <is>
          <t>複数回答</t>
        </is>
      </c>
    </row>
    <row r="123" ht="28" customHeight="1">
      <c r="A123" s="4" t="inlineStr">
        <is>
          <t>問16</t>
        </is>
      </c>
      <c r="B123" s="5" t="inlineStr">
        <is>
          <t>通院や医療で困っていることはありますか（あてはまるものすべて）</t>
        </is>
      </c>
      <c r="C123" s="5" t="inlineStr">
        <is>
          <t>その他</t>
        </is>
      </c>
      <c r="D123" s="26" t="n">
        <v>0</v>
      </c>
      <c r="E123" s="18">
        <f>IF($F123=0,0,D123/$F123)</f>
        <v>0</v>
      </c>
      <c r="F123" s="17">
        <f>$F$116</f>
        <v>36</v>
      </c>
      <c r="G123" s="4" t="inlineStr">
        <is>
          <t>複数回答</t>
        </is>
      </c>
    </row>
    <row r="124" ht="28" customHeight="1">
      <c r="A124" s="4" t="inlineStr">
        <is>
          <t>問17</t>
        </is>
      </c>
      <c r="B124" s="5" t="inlineStr">
        <is>
          <t>医療的ケアを必要としていますか（あてはまるものすべて）</t>
        </is>
      </c>
      <c r="C124" s="5" t="inlineStr">
        <is>
          <t>必要としていない</t>
        </is>
      </c>
      <c r="D124" s="26" t="n">
        <v>29</v>
      </c>
      <c r="E124" s="18">
        <f>IF($F124=0,0,D124/$F124)</f>
        <v>0.828571428571429</v>
      </c>
      <c r="F124" s="26" t="n">
        <v>35</v>
      </c>
      <c r="G124" s="4" t="inlineStr">
        <is>
          <t>複数回答</t>
        </is>
      </c>
    </row>
    <row r="125" ht="28" customHeight="1">
      <c r="A125" s="4" t="inlineStr">
        <is>
          <t>問17</t>
        </is>
      </c>
      <c r="B125" s="5" t="inlineStr">
        <is>
          <t>医療的ケアを必要としていますか（あてはまるものすべて）</t>
        </is>
      </c>
      <c r="C125" s="5" t="inlineStr">
        <is>
          <t>吸引</t>
        </is>
      </c>
      <c r="D125" s="26" t="n">
        <v>1</v>
      </c>
      <c r="E125" s="18">
        <f>IF($F125=0,0,D125/$F125)</f>
        <v>0.0285714285714286</v>
      </c>
      <c r="F125" s="17">
        <f>$F$124</f>
        <v>35</v>
      </c>
      <c r="G125" s="4" t="inlineStr">
        <is>
          <t>複数回答</t>
        </is>
      </c>
    </row>
    <row r="126" ht="28" customHeight="1">
      <c r="A126" s="4" t="inlineStr">
        <is>
          <t>問17</t>
        </is>
      </c>
      <c r="B126" s="5" t="inlineStr">
        <is>
          <t>医療的ケアを必要としていますか（あてはまるものすべて）</t>
        </is>
      </c>
      <c r="C126" s="5" t="inlineStr">
        <is>
          <t>酸素療法</t>
        </is>
      </c>
      <c r="D126" s="26" t="n">
        <v>1</v>
      </c>
      <c r="E126" s="18">
        <f>IF($F126=0,0,D126/$F126)</f>
        <v>0.0285714285714286</v>
      </c>
      <c r="F126" s="17">
        <f>$F$124</f>
        <v>35</v>
      </c>
      <c r="G126" s="4" t="inlineStr">
        <is>
          <t>複数回答</t>
        </is>
      </c>
    </row>
    <row r="127" ht="28" customHeight="1">
      <c r="A127" s="4" t="inlineStr">
        <is>
          <t>問17</t>
        </is>
      </c>
      <c r="B127" s="5" t="inlineStr">
        <is>
          <t>医療的ケアを必要としていますか（あてはまるものすべて）</t>
        </is>
      </c>
      <c r="C127" s="5" t="inlineStr">
        <is>
          <t>人工呼吸器（レスピレーター）</t>
        </is>
      </c>
      <c r="D127" s="26" t="n">
        <v>0</v>
      </c>
      <c r="E127" s="18">
        <f>IF($F127=0,0,D127/$F127)</f>
        <v>0</v>
      </c>
      <c r="F127" s="17">
        <f>$F$124</f>
        <v>35</v>
      </c>
      <c r="G127" s="4" t="inlineStr">
        <is>
          <t>複数回答</t>
        </is>
      </c>
    </row>
    <row r="128" ht="28" customHeight="1">
      <c r="A128" s="4" t="inlineStr">
        <is>
          <t>問17</t>
        </is>
      </c>
      <c r="B128" s="5" t="inlineStr">
        <is>
          <t>医療的ケアを必要としていますか（あてはまるものすべて）</t>
        </is>
      </c>
      <c r="C128" s="5" t="inlineStr">
        <is>
          <t>導尿</t>
        </is>
      </c>
      <c r="D128" s="26" t="n">
        <v>1</v>
      </c>
      <c r="E128" s="18">
        <f>IF($F128=0,0,D128/$F128)</f>
        <v>0.0285714285714286</v>
      </c>
      <c r="F128" s="17">
        <f>$F$124</f>
        <v>35</v>
      </c>
      <c r="G128" s="4" t="inlineStr">
        <is>
          <t>複数回答</t>
        </is>
      </c>
    </row>
    <row r="129" ht="28" customHeight="1">
      <c r="A129" s="4" t="inlineStr">
        <is>
          <t>問17</t>
        </is>
      </c>
      <c r="B129" s="5" t="inlineStr">
        <is>
          <t>医療的ケアを必要としていますか（あてはまるものすべて）</t>
        </is>
      </c>
      <c r="C129" s="5" t="inlineStr">
        <is>
          <t>ストマ（人工肛門・人工膀胱）</t>
        </is>
      </c>
      <c r="D129" s="26" t="n">
        <v>0</v>
      </c>
      <c r="E129" s="18">
        <f>IF($F129=0,0,D129/$F129)</f>
        <v>0</v>
      </c>
      <c r="F129" s="17">
        <f>$F$124</f>
        <v>35</v>
      </c>
      <c r="G129" s="4" t="inlineStr">
        <is>
          <t>複数回答</t>
        </is>
      </c>
    </row>
    <row r="130" ht="28" customHeight="1">
      <c r="A130" s="4" t="inlineStr">
        <is>
          <t>問17</t>
        </is>
      </c>
      <c r="B130" s="5" t="inlineStr">
        <is>
          <t>医療的ケアを必要としていますか（あてはまるものすべて）</t>
        </is>
      </c>
      <c r="C130" s="5" t="inlineStr">
        <is>
          <t>服薬管理等の継続支援</t>
        </is>
      </c>
      <c r="D130" s="26" t="n">
        <v>3</v>
      </c>
      <c r="E130" s="18">
        <f>IF($F130=0,0,D130/$F130)</f>
        <v>0.0857142857142857</v>
      </c>
      <c r="F130" s="17">
        <f>$F$124</f>
        <v>35</v>
      </c>
      <c r="G130" s="4" t="inlineStr">
        <is>
          <t>複数回答</t>
        </is>
      </c>
    </row>
    <row r="131" ht="28" customHeight="1">
      <c r="A131" s="4" t="inlineStr">
        <is>
          <t>問17</t>
        </is>
      </c>
      <c r="B131" s="5" t="inlineStr">
        <is>
          <t>医療的ケアを必要としていますか（あてはまるものすべて）</t>
        </is>
      </c>
      <c r="C131" s="5" t="inlineStr">
        <is>
          <t>気管切開</t>
        </is>
      </c>
      <c r="D131" s="26" t="n">
        <v>0</v>
      </c>
      <c r="E131" s="18">
        <f>IF($F131=0,0,D131/$F131)</f>
        <v>0</v>
      </c>
      <c r="F131" s="17">
        <f>$F$124</f>
        <v>35</v>
      </c>
      <c r="G131" s="4" t="inlineStr">
        <is>
          <t>複数回答</t>
        </is>
      </c>
    </row>
    <row r="132" ht="28" customHeight="1">
      <c r="A132" s="4" t="inlineStr">
        <is>
          <t>問17</t>
        </is>
      </c>
      <c r="B132" s="5" t="inlineStr">
        <is>
          <t>医療的ケアを必要としていますか（あてはまるものすべて）</t>
        </is>
      </c>
      <c r="C132" s="5" t="inlineStr">
        <is>
          <t>胃ろう・腸ろう</t>
        </is>
      </c>
      <c r="D132" s="26" t="n">
        <v>1</v>
      </c>
      <c r="E132" s="18">
        <f>IF($F132=0,0,D132/$F132)</f>
        <v>0.0285714285714286</v>
      </c>
      <c r="F132" s="17">
        <f>$F$124</f>
        <v>35</v>
      </c>
      <c r="G132" s="4" t="inlineStr">
        <is>
          <t>複数回答</t>
        </is>
      </c>
    </row>
    <row r="133" ht="28" customHeight="1">
      <c r="A133" s="4" t="inlineStr">
        <is>
          <t>問17</t>
        </is>
      </c>
      <c r="B133" s="5" t="inlineStr">
        <is>
          <t>医療的ケアを必要としていますか（あてはまるものすべて）</t>
        </is>
      </c>
      <c r="C133" s="5" t="inlineStr">
        <is>
          <t>鼻腔管栄養</t>
        </is>
      </c>
      <c r="D133" s="26" t="n">
        <v>0</v>
      </c>
      <c r="E133" s="18">
        <f>IF($F133=0,0,D133/$F133)</f>
        <v>0</v>
      </c>
      <c r="F133" s="17">
        <f>$F$124</f>
        <v>35</v>
      </c>
      <c r="G133" s="4" t="inlineStr">
        <is>
          <t>複数回答</t>
        </is>
      </c>
    </row>
    <row r="134" ht="28" customHeight="1">
      <c r="A134" s="4" t="inlineStr">
        <is>
          <t>問17</t>
        </is>
      </c>
      <c r="B134" s="5" t="inlineStr">
        <is>
          <t>医療的ケアを必要としていますか（あてはまるものすべて）</t>
        </is>
      </c>
      <c r="C134" s="5" t="inlineStr">
        <is>
          <t>中心静脈栄養（IVH）</t>
        </is>
      </c>
      <c r="D134" s="26" t="n">
        <v>0</v>
      </c>
      <c r="E134" s="18">
        <f>IF($F134=0,0,D134/$F134)</f>
        <v>0</v>
      </c>
      <c r="F134" s="17">
        <f>$F$124</f>
        <v>35</v>
      </c>
      <c r="G134" s="4" t="inlineStr">
        <is>
          <t>複数回答</t>
        </is>
      </c>
    </row>
    <row r="135" ht="28" customHeight="1">
      <c r="A135" s="4" t="inlineStr">
        <is>
          <t>問17</t>
        </is>
      </c>
      <c r="B135" s="5" t="inlineStr">
        <is>
          <t>医療的ケアを必要としていますか（あてはまるものすべて）</t>
        </is>
      </c>
      <c r="C135" s="5" t="inlineStr">
        <is>
          <t>透析</t>
        </is>
      </c>
      <c r="D135" s="26" t="n">
        <v>0</v>
      </c>
      <c r="E135" s="18">
        <f>IF($F135=0,0,D135/$F135)</f>
        <v>0</v>
      </c>
      <c r="F135" s="17">
        <f>$F$124</f>
        <v>35</v>
      </c>
      <c r="G135" s="4" t="inlineStr">
        <is>
          <t>複数回答</t>
        </is>
      </c>
    </row>
    <row r="136" ht="28" customHeight="1">
      <c r="A136" s="4" t="inlineStr">
        <is>
          <t>問17</t>
        </is>
      </c>
      <c r="B136" s="5" t="inlineStr">
        <is>
          <t>医療的ケアを必要としていますか（あてはまるものすべて）</t>
        </is>
      </c>
      <c r="C136" s="5" t="inlineStr">
        <is>
          <t>カテーテル留置</t>
        </is>
      </c>
      <c r="D136" s="26" t="n">
        <v>0</v>
      </c>
      <c r="E136" s="18">
        <f>IF($F136=0,0,D136/$F136)</f>
        <v>0</v>
      </c>
      <c r="F136" s="17">
        <f>$F$124</f>
        <v>35</v>
      </c>
      <c r="G136" s="4" t="inlineStr">
        <is>
          <t>複数回答</t>
        </is>
      </c>
    </row>
    <row r="137" ht="28" customHeight="1">
      <c r="A137" s="4" t="inlineStr">
        <is>
          <t>問17</t>
        </is>
      </c>
      <c r="B137" s="5" t="inlineStr">
        <is>
          <t>医療的ケアを必要としていますか（あてはまるものすべて）</t>
        </is>
      </c>
      <c r="C137" s="5" t="inlineStr">
        <is>
          <t>その他</t>
        </is>
      </c>
      <c r="D137" s="26" t="n">
        <v>0</v>
      </c>
      <c r="E137" s="18">
        <f>IF($F137=0,0,D137/$F137)</f>
        <v>0</v>
      </c>
      <c r="F137" s="17">
        <f>$F$124</f>
        <v>35</v>
      </c>
      <c r="G137" s="4" t="inlineStr">
        <is>
          <t>複数回答</t>
        </is>
      </c>
    </row>
    <row r="138" ht="28" customHeight="1">
      <c r="A138" s="4" t="inlineStr">
        <is>
          <t>問18</t>
        </is>
      </c>
      <c r="B138" s="5" t="inlineStr">
        <is>
          <t>医療的ケアや重い障がいに関して、必要だと思う支援は何ですか（あてはまるものすべて）</t>
        </is>
      </c>
      <c r="C138" s="5" t="inlineStr">
        <is>
          <t>身近な相談先</t>
        </is>
      </c>
      <c r="D138" s="26" t="n">
        <v>5</v>
      </c>
      <c r="E138" s="18">
        <f>IF($F138=0,0,D138/$F138)</f>
        <v>0.151515151515152</v>
      </c>
      <c r="F138" s="26" t="n">
        <v>33</v>
      </c>
      <c r="G138" s="4" t="inlineStr">
        <is>
          <t>複数回答</t>
        </is>
      </c>
    </row>
    <row r="139" ht="28" customHeight="1">
      <c r="A139" s="4" t="inlineStr">
        <is>
          <t>問18</t>
        </is>
      </c>
      <c r="B139" s="5" t="inlineStr">
        <is>
          <t>医療的ケアや重い障がいに関して、必要だと思う支援は何ですか（あてはまるものすべて）</t>
        </is>
      </c>
      <c r="C139" s="5" t="inlineStr">
        <is>
          <t>通所先での医療的ケア対応</t>
        </is>
      </c>
      <c r="D139" s="26" t="n">
        <v>2</v>
      </c>
      <c r="E139" s="18">
        <f>IF($F139=0,0,D139/$F139)</f>
        <v>0.0606060606060606</v>
      </c>
      <c r="F139" s="17">
        <f>$F$138</f>
        <v>33</v>
      </c>
      <c r="G139" s="4" t="inlineStr">
        <is>
          <t>複数回答</t>
        </is>
      </c>
    </row>
    <row r="140" ht="28" customHeight="1">
      <c r="A140" s="4" t="inlineStr">
        <is>
          <t>問18</t>
        </is>
      </c>
      <c r="B140" s="5" t="inlineStr">
        <is>
          <t>医療的ケアや重い障がいに関して、必要だと思う支援は何ですか（あてはまるものすべて）</t>
        </is>
      </c>
      <c r="C140" s="5" t="inlineStr">
        <is>
          <t>短期入所・レスパイトケア</t>
        </is>
      </c>
      <c r="D140" s="26" t="n">
        <v>1</v>
      </c>
      <c r="E140" s="18">
        <f>IF($F140=0,0,D140/$F140)</f>
        <v>0.0303030303030303</v>
      </c>
      <c r="F140" s="17">
        <f>$F$138</f>
        <v>33</v>
      </c>
      <c r="G140" s="4" t="inlineStr">
        <is>
          <t>複数回答</t>
        </is>
      </c>
    </row>
    <row r="141" ht="28" customHeight="1">
      <c r="A141" s="4" t="inlineStr">
        <is>
          <t>問18</t>
        </is>
      </c>
      <c r="B141" s="5" t="inlineStr">
        <is>
          <t>医療的ケアや重い障がいに関して、必要だと思う支援は何ですか（あてはまるものすべて）</t>
        </is>
      </c>
      <c r="C141" s="5" t="inlineStr">
        <is>
          <t>訪問看護等との連携</t>
        </is>
      </c>
      <c r="D141" s="26" t="n">
        <v>3</v>
      </c>
      <c r="E141" s="18">
        <f>IF($F141=0,0,D141/$F141)</f>
        <v>0.0909090909090909</v>
      </c>
      <c r="F141" s="17">
        <f>$F$138</f>
        <v>33</v>
      </c>
      <c r="G141" s="4" t="inlineStr">
        <is>
          <t>複数回答</t>
        </is>
      </c>
    </row>
    <row r="142" ht="28" customHeight="1">
      <c r="A142" s="4" t="inlineStr">
        <is>
          <t>問18</t>
        </is>
      </c>
      <c r="B142" s="5" t="inlineStr">
        <is>
          <t>医療的ケアや重い障がいに関して、必要だと思う支援は何ですか（あてはまるものすべて）</t>
        </is>
      </c>
      <c r="C142" s="5" t="inlineStr">
        <is>
          <t>災害時の電源・医療機器対応</t>
        </is>
      </c>
      <c r="D142" s="26" t="n">
        <v>1</v>
      </c>
      <c r="E142" s="18">
        <f>IF($F142=0,0,D142/$F142)</f>
        <v>0.0303030303030303</v>
      </c>
      <c r="F142" s="17">
        <f>$F$138</f>
        <v>33</v>
      </c>
      <c r="G142" s="4" t="inlineStr">
        <is>
          <t>複数回答</t>
        </is>
      </c>
    </row>
    <row r="143" ht="28" customHeight="1">
      <c r="A143" s="4" t="inlineStr">
        <is>
          <t>問18</t>
        </is>
      </c>
      <c r="B143" s="5" t="inlineStr">
        <is>
          <t>医療的ケアや重い障がいに関して、必要だと思う支援は何ですか（あてはまるものすべて）</t>
        </is>
      </c>
      <c r="C143" s="5" t="inlineStr">
        <is>
          <t>家族の負担軽減</t>
        </is>
      </c>
      <c r="D143" s="26" t="n">
        <v>8</v>
      </c>
      <c r="E143" s="18">
        <f>IF($F143=0,0,D143/$F143)</f>
        <v>0.242424242424242</v>
      </c>
      <c r="F143" s="17">
        <f>$F$138</f>
        <v>33</v>
      </c>
      <c r="G143" s="4" t="inlineStr">
        <is>
          <t>複数回答</t>
        </is>
      </c>
    </row>
    <row r="144" ht="28" customHeight="1">
      <c r="A144" s="4" t="inlineStr">
        <is>
          <t>問18</t>
        </is>
      </c>
      <c r="B144" s="5" t="inlineStr">
        <is>
          <t>医療的ケアや重い障がいに関して、必要だと思う支援は何ですか（あてはまるものすべて）</t>
        </is>
      </c>
      <c r="C144" s="5" t="inlineStr">
        <is>
          <t>特にない</t>
        </is>
      </c>
      <c r="D144" s="26" t="n">
        <v>21</v>
      </c>
      <c r="E144" s="18">
        <f>IF($F144=0,0,D144/$F144)</f>
        <v>0.636363636363636</v>
      </c>
      <c r="F144" s="17">
        <f>$F$138</f>
        <v>33</v>
      </c>
      <c r="G144" s="4" t="inlineStr">
        <is>
          <t>複数回答</t>
        </is>
      </c>
    </row>
    <row r="145" ht="28" customHeight="1">
      <c r="A145" s="4" t="inlineStr">
        <is>
          <t>問18</t>
        </is>
      </c>
      <c r="B145" s="5" t="inlineStr">
        <is>
          <t>医療的ケアや重い障がいに関して、必要だと思う支援は何ですか（あてはまるものすべて）</t>
        </is>
      </c>
      <c r="C145" s="5" t="inlineStr">
        <is>
          <t>その他</t>
        </is>
      </c>
      <c r="D145" s="26" t="n">
        <v>0</v>
      </c>
      <c r="E145" s="18">
        <f>IF($F145=0,0,D145/$F145)</f>
        <v>0</v>
      </c>
      <c r="F145" s="17">
        <f>$F$138</f>
        <v>33</v>
      </c>
      <c r="G145" s="4" t="inlineStr">
        <is>
          <t>複数回答</t>
        </is>
      </c>
    </row>
    <row r="146" ht="40.5" customHeight="1">
      <c r="A146" s="4" t="inlineStr">
        <is>
          <t>問19</t>
        </is>
      </c>
      <c r="B146" s="5" t="inlineStr">
        <is>
          <t>強度行動障がい支援（自傷や強いこだわり、パニックがある方）に関して、必要だと思う支援は何ですか（あてはまるものすべて）</t>
        </is>
      </c>
      <c r="C146" s="5" t="inlineStr">
        <is>
          <t>ヘルパーやスタッフの派遣・増員</t>
        </is>
      </c>
      <c r="D146" s="26" t="n">
        <v>4</v>
      </c>
      <c r="E146" s="18">
        <f>IF($F146=0,0,D146/$F146)</f>
        <v>0.129032258064516</v>
      </c>
      <c r="F146" s="26" t="n">
        <v>31</v>
      </c>
      <c r="G146" s="4" t="inlineStr">
        <is>
          <t>複数回答</t>
        </is>
      </c>
    </row>
    <row r="147" ht="40.5" customHeight="1">
      <c r="A147" s="4" t="inlineStr">
        <is>
          <t>問19</t>
        </is>
      </c>
      <c r="B147" s="5" t="inlineStr">
        <is>
          <t>強度行動障がい支援（自傷や強いこだわり、パニックがある方）に関して、必要だと思う支援は何ですか（あてはまるものすべて）</t>
        </is>
      </c>
      <c r="C147" s="5" t="inlineStr">
        <is>
          <t>パニック時や緊急時に一時的に受け入れてくれる施設の整備</t>
        </is>
      </c>
      <c r="D147" s="26" t="n">
        <v>7</v>
      </c>
      <c r="E147" s="18">
        <f>IF($F147=0,0,D147/$F147)</f>
        <v>0.225806451612903</v>
      </c>
      <c r="F147" s="17">
        <f>$F$146</f>
        <v>31</v>
      </c>
      <c r="G147" s="4" t="inlineStr">
        <is>
          <t>複数回答</t>
        </is>
      </c>
    </row>
    <row r="148" ht="40.5" customHeight="1">
      <c r="A148" s="4" t="inlineStr">
        <is>
          <t>問19</t>
        </is>
      </c>
      <c r="B148" s="5" t="inlineStr">
        <is>
          <t>強度行動障がい支援（自傷や強いこだわり、パニックがある方）に関して、必要だと思う支援は何ですか（あてはまるものすべて）</t>
        </is>
      </c>
      <c r="C148" s="5" t="inlineStr">
        <is>
          <t>自宅以外で落ち着いて過ごせる居場所や日中活動の場の確保</t>
        </is>
      </c>
      <c r="D148" s="26" t="n">
        <v>6</v>
      </c>
      <c r="E148" s="18">
        <f>IF($F148=0,0,D148/$F148)</f>
        <v>0.193548387096774</v>
      </c>
      <c r="F148" s="17">
        <f>$F$146</f>
        <v>31</v>
      </c>
      <c r="G148" s="4" t="inlineStr">
        <is>
          <t>複数回答</t>
        </is>
      </c>
    </row>
    <row r="149" ht="40.5" customHeight="1">
      <c r="A149" s="4" t="inlineStr">
        <is>
          <t>問19</t>
        </is>
      </c>
      <c r="B149" s="5" t="inlineStr">
        <is>
          <t>強度行動障がい支援（自傷や強いこだわり、パニックがある方）に関して、必要だと思う支援は何ですか（あてはまるものすべて）</t>
        </is>
      </c>
      <c r="C149" s="5" t="inlineStr">
        <is>
          <t>医療機関や発達障害支援センターなどの専門機関との連携強化</t>
        </is>
      </c>
      <c r="D149" s="26" t="n">
        <v>4</v>
      </c>
      <c r="E149" s="18">
        <f>IF($F149=0,0,D149/$F149)</f>
        <v>0.129032258064516</v>
      </c>
      <c r="F149" s="17">
        <f>$F$146</f>
        <v>31</v>
      </c>
      <c r="G149" s="4" t="inlineStr">
        <is>
          <t>複数回答</t>
        </is>
      </c>
    </row>
    <row r="150" ht="40.5" customHeight="1">
      <c r="A150" s="4" t="inlineStr">
        <is>
          <t>問19</t>
        </is>
      </c>
      <c r="B150" s="5" t="inlineStr">
        <is>
          <t>強度行動障がい支援（自傷や強いこだわり、パニックがある方）に関して、必要だと思う支援は何ですか（あてはまるものすべて）</t>
        </is>
      </c>
      <c r="C150" s="5" t="inlineStr">
        <is>
          <t>家族（介護者）が対応方法を学ぶための研修や、悩みを相談できる機会の提供</t>
        </is>
      </c>
      <c r="D150" s="26" t="n">
        <v>1</v>
      </c>
      <c r="E150" s="18">
        <f>IF($F150=0,0,D150/$F150)</f>
        <v>0.032258064516129</v>
      </c>
      <c r="F150" s="17">
        <f>$F$146</f>
        <v>31</v>
      </c>
      <c r="G150" s="4" t="inlineStr">
        <is>
          <t>複数回答</t>
        </is>
      </c>
    </row>
    <row r="151" ht="40.5" customHeight="1">
      <c r="A151" s="4" t="inlineStr">
        <is>
          <t>問19</t>
        </is>
      </c>
      <c r="B151" s="5" t="inlineStr">
        <is>
          <t>強度行動障がい支援（自傷や強いこだわり、パニックがある方）に関して、必要だと思う支援は何ですか（あてはまるものすべて）</t>
        </is>
      </c>
      <c r="C151" s="5" t="inlineStr">
        <is>
          <t>特にない</t>
        </is>
      </c>
      <c r="D151" s="26" t="n">
        <v>19</v>
      </c>
      <c r="E151" s="18">
        <f>IF($F151=0,0,D151/$F151)</f>
        <v>0.612903225806452</v>
      </c>
      <c r="F151" s="17">
        <f>$F$146</f>
        <v>31</v>
      </c>
      <c r="G151" s="4" t="inlineStr">
        <is>
          <t>複数回答</t>
        </is>
      </c>
    </row>
    <row r="152" ht="28" customHeight="1">
      <c r="A152" s="4" t="inlineStr">
        <is>
          <t>問20</t>
        </is>
      </c>
      <c r="B152" s="5" t="inlineStr">
        <is>
          <t>高次脳機能障がい支援に関して、必要だと思う支援は何ですか（あてはまるものすべて）</t>
        </is>
      </c>
      <c r="C152" s="5" t="inlineStr">
        <is>
          <t>ヘルパーやスタッフの派遣・増員</t>
        </is>
      </c>
      <c r="D152" s="26" t="n">
        <v>3</v>
      </c>
      <c r="E152" s="18">
        <f>IF($F152=0,0,D152/$F152)</f>
        <v>0.107142857142857</v>
      </c>
      <c r="F152" s="26" t="n">
        <v>28</v>
      </c>
      <c r="G152" s="4" t="inlineStr">
        <is>
          <t>複数回答</t>
        </is>
      </c>
    </row>
    <row r="153" ht="28" customHeight="1">
      <c r="A153" s="4" t="inlineStr">
        <is>
          <t>問20</t>
        </is>
      </c>
      <c r="B153" s="5" t="inlineStr">
        <is>
          <t>高次脳機能障がい支援に関して、必要だと思う支援は何ですか（あてはまるものすべて）</t>
        </is>
      </c>
      <c r="C153" s="5" t="inlineStr">
        <is>
          <t>パニック時や緊急時に一時的に受け入れてくれる施設の整備</t>
        </is>
      </c>
      <c r="D153" s="26" t="n">
        <v>5</v>
      </c>
      <c r="E153" s="18">
        <f>IF($F153=0,0,D153/$F153)</f>
        <v>0.178571428571429</v>
      </c>
      <c r="F153" s="17">
        <f>$F$152</f>
        <v>28</v>
      </c>
      <c r="G153" s="4" t="inlineStr">
        <is>
          <t>複数回答</t>
        </is>
      </c>
    </row>
    <row r="154" ht="28" customHeight="1">
      <c r="A154" s="4" t="inlineStr">
        <is>
          <t>問20</t>
        </is>
      </c>
      <c r="B154" s="5" t="inlineStr">
        <is>
          <t>高次脳機能障がい支援に関して、必要だと思う支援は何ですか（あてはまるものすべて）</t>
        </is>
      </c>
      <c r="C154" s="5" t="inlineStr">
        <is>
          <t>自宅以外で落ち着いて過ごせる居場所や日中活動の場の確保</t>
        </is>
      </c>
      <c r="D154" s="26" t="n">
        <v>5</v>
      </c>
      <c r="E154" s="18">
        <f>IF($F154=0,0,D154/$F154)</f>
        <v>0.178571428571429</v>
      </c>
      <c r="F154" s="17">
        <f>$F$152</f>
        <v>28</v>
      </c>
      <c r="G154" s="4" t="inlineStr">
        <is>
          <t>複数回答</t>
        </is>
      </c>
    </row>
    <row r="155" ht="28" customHeight="1">
      <c r="A155" s="4" t="inlineStr">
        <is>
          <t>問20</t>
        </is>
      </c>
      <c r="B155" s="5" t="inlineStr">
        <is>
          <t>高次脳機能障がい支援に関して、必要だと思う支援は何ですか（あてはまるものすべて）</t>
        </is>
      </c>
      <c r="C155" s="5" t="inlineStr">
        <is>
          <t>医療機関や発達障害支援センターなどの専門機関との連携強化</t>
        </is>
      </c>
      <c r="D155" s="26" t="n">
        <v>6</v>
      </c>
      <c r="E155" s="18">
        <f>IF($F155=0,0,D155/$F155)</f>
        <v>0.214285714285714</v>
      </c>
      <c r="F155" s="17">
        <f>$F$152</f>
        <v>28</v>
      </c>
      <c r="G155" s="4" t="inlineStr">
        <is>
          <t>複数回答</t>
        </is>
      </c>
    </row>
    <row r="156" ht="28" customHeight="1">
      <c r="A156" s="4" t="inlineStr">
        <is>
          <t>問20</t>
        </is>
      </c>
      <c r="B156" s="5" t="inlineStr">
        <is>
          <t>高次脳機能障がい支援に関して、必要だと思う支援は何ですか（あてはまるものすべて）</t>
        </is>
      </c>
      <c r="C156" s="5" t="inlineStr">
        <is>
          <t>家族（介護者）が対応方法を学ぶための研修や、悩みを相談できる機会の提供</t>
        </is>
      </c>
      <c r="D156" s="26" t="n">
        <v>3</v>
      </c>
      <c r="E156" s="18">
        <f>IF($F156=0,0,D156/$F156)</f>
        <v>0.107142857142857</v>
      </c>
      <c r="F156" s="17">
        <f>$F$152</f>
        <v>28</v>
      </c>
      <c r="G156" s="4" t="inlineStr">
        <is>
          <t>複数回答</t>
        </is>
      </c>
    </row>
    <row r="157" ht="28" customHeight="1">
      <c r="A157" s="4" t="inlineStr">
        <is>
          <t>問20</t>
        </is>
      </c>
      <c r="B157" s="5" t="inlineStr">
        <is>
          <t>高次脳機能障がい支援に関して、必要だと思う支援は何ですか（あてはまるものすべて）</t>
        </is>
      </c>
      <c r="C157" s="5" t="inlineStr">
        <is>
          <t>特にない</t>
        </is>
      </c>
      <c r="D157" s="26" t="n">
        <v>18</v>
      </c>
      <c r="E157" s="18">
        <f>IF($F157=0,0,D157/$F157)</f>
        <v>0.642857142857143</v>
      </c>
      <c r="F157" s="17">
        <f>$F$152</f>
        <v>28</v>
      </c>
      <c r="G157" s="4" t="inlineStr">
        <is>
          <t>複数回答</t>
        </is>
      </c>
    </row>
    <row r="158" ht="40.5" customHeight="1">
      <c r="A158" s="4" t="inlineStr">
        <is>
          <t>問21</t>
        </is>
      </c>
      <c r="B158" s="5" t="inlineStr">
        <is>
          <t>意思決定支援（本人が自分の希望を伝え、選択していくための支援）に関して、必要だと思う支援は何ですか</t>
        </is>
      </c>
      <c r="C158" s="5" t="inlineStr">
        <is>
          <t>必要である（現在すでに支援を受けている、または今後受けたい）</t>
        </is>
      </c>
      <c r="D158" s="26" t="n">
        <v>8</v>
      </c>
      <c r="E158" s="18">
        <f>IF($F158=0,0,D158/$F158)</f>
        <v>0.242424242424242</v>
      </c>
      <c r="F158" s="26" t="n">
        <v>33</v>
      </c>
      <c r="G158" s="4" t="inlineStr">
        <is>
          <t>単一回答</t>
        </is>
      </c>
    </row>
    <row r="159" ht="40.5" customHeight="1">
      <c r="A159" s="4" t="inlineStr">
        <is>
          <t>問21</t>
        </is>
      </c>
      <c r="B159" s="5" t="inlineStr">
        <is>
          <t>意思決定支援（本人が自分の希望を伝え、選択していくための支援）に関して、必要だと思う支援は何ですか</t>
        </is>
      </c>
      <c r="C159" s="5" t="inlineStr">
        <is>
          <t>今は必要ないが、将来的には必要になると思う</t>
        </is>
      </c>
      <c r="D159" s="26" t="n">
        <v>12</v>
      </c>
      <c r="E159" s="18">
        <f>IF($F159=0,0,D159/$F159)</f>
        <v>0.363636363636364</v>
      </c>
      <c r="F159" s="17">
        <f>$F$158</f>
        <v>33</v>
      </c>
      <c r="G159" s="4" t="inlineStr">
        <is>
          <t>単一回答</t>
        </is>
      </c>
    </row>
    <row r="160" ht="40.5" customHeight="1">
      <c r="A160" s="4" t="inlineStr">
        <is>
          <t>問21</t>
        </is>
      </c>
      <c r="B160" s="5" t="inlineStr">
        <is>
          <t>意思決定支援（本人が自分の希望を伝え、選択していくための支援）に関して、必要だと思う支援は何ですか</t>
        </is>
      </c>
      <c r="C160" s="5" t="inlineStr">
        <is>
          <t>必要ない（自分や家族等と相談して意思決定ができる）</t>
        </is>
      </c>
      <c r="D160" s="26" t="n">
        <v>8</v>
      </c>
      <c r="E160" s="18">
        <f>IF($F160=0,0,D160/$F160)</f>
        <v>0.242424242424242</v>
      </c>
      <c r="F160" s="17">
        <f>$F$158</f>
        <v>33</v>
      </c>
      <c r="G160" s="4" t="inlineStr">
        <is>
          <t>単一回答</t>
        </is>
      </c>
    </row>
    <row r="161" ht="40.5" customHeight="1">
      <c r="A161" s="4" t="inlineStr">
        <is>
          <t>問21</t>
        </is>
      </c>
      <c r="B161" s="5" t="inlineStr">
        <is>
          <t>意思決定支援（本人が自分の希望を伝え、選択していくための支援）に関して、必要だと思う支援は何ですか</t>
        </is>
      </c>
      <c r="C161" s="5" t="inlineStr">
        <is>
          <t>わからない（意思決定支援がどのようなものか知らない）</t>
        </is>
      </c>
      <c r="D161" s="26" t="n">
        <v>5</v>
      </c>
      <c r="E161" s="18">
        <f>IF($F161=0,0,D161/$F161)</f>
        <v>0.151515151515152</v>
      </c>
      <c r="F161" s="17">
        <f>$F$158</f>
        <v>33</v>
      </c>
      <c r="G161" s="4" t="inlineStr">
        <is>
          <t>単一回答</t>
        </is>
      </c>
    </row>
    <row r="162" ht="28" customHeight="1">
      <c r="A162" s="4" t="inlineStr">
        <is>
          <t>問22</t>
        </is>
      </c>
      <c r="B162" s="5" t="inlineStr">
        <is>
          <t>困ったときに相談する相手・場所はどこですか（あてはまるものすべて）</t>
        </is>
      </c>
      <c r="C162" s="5" t="inlineStr">
        <is>
          <t>家族・親族</t>
        </is>
      </c>
      <c r="D162" s="26" t="n">
        <v>29</v>
      </c>
      <c r="E162" s="18">
        <f>IF($F162=0,0,D162/$F162)</f>
        <v>0.783783783783784</v>
      </c>
      <c r="F162" s="26" t="n">
        <v>37</v>
      </c>
      <c r="G162" s="4" t="inlineStr">
        <is>
          <t>複数回答</t>
        </is>
      </c>
    </row>
    <row r="163" ht="28" customHeight="1">
      <c r="A163" s="4" t="inlineStr">
        <is>
          <t>問22</t>
        </is>
      </c>
      <c r="B163" s="5" t="inlineStr">
        <is>
          <t>困ったときに相談する相手・場所はどこですか（あてはまるものすべて）</t>
        </is>
      </c>
      <c r="C163" s="5" t="inlineStr">
        <is>
          <t>友人・知人</t>
        </is>
      </c>
      <c r="D163" s="26" t="n">
        <v>6</v>
      </c>
      <c r="E163" s="18">
        <f>IF($F163=0,0,D163/$F163)</f>
        <v>0.162162162162162</v>
      </c>
      <c r="F163" s="17">
        <f>$F$162</f>
        <v>37</v>
      </c>
      <c r="G163" s="4" t="inlineStr">
        <is>
          <t>複数回答</t>
        </is>
      </c>
    </row>
    <row r="164" ht="28" customHeight="1">
      <c r="A164" s="4" t="inlineStr">
        <is>
          <t>問22</t>
        </is>
      </c>
      <c r="B164" s="5" t="inlineStr">
        <is>
          <t>困ったときに相談する相手・場所はどこですか（あてはまるものすべて）</t>
        </is>
      </c>
      <c r="C164" s="5" t="inlineStr">
        <is>
          <t>村役場</t>
        </is>
      </c>
      <c r="D164" s="26" t="n">
        <v>5</v>
      </c>
      <c r="E164" s="18">
        <f>IF($F164=0,0,D164/$F164)</f>
        <v>0.135135135135135</v>
      </c>
      <c r="F164" s="17">
        <f>$F$162</f>
        <v>37</v>
      </c>
      <c r="G164" s="4" t="inlineStr">
        <is>
          <t>複数回答</t>
        </is>
      </c>
    </row>
    <row r="165" ht="28" customHeight="1">
      <c r="A165" s="4" t="inlineStr">
        <is>
          <t>問22</t>
        </is>
      </c>
      <c r="B165" s="5" t="inlineStr">
        <is>
          <t>困ったときに相談する相手・場所はどこですか（あてはまるものすべて）</t>
        </is>
      </c>
      <c r="C165" s="5" t="inlineStr">
        <is>
          <t>相談支援専門員</t>
        </is>
      </c>
      <c r="D165" s="26" t="n">
        <v>9</v>
      </c>
      <c r="E165" s="18">
        <f>IF($F165=0,0,D165/$F165)</f>
        <v>0.243243243243243</v>
      </c>
      <c r="F165" s="17">
        <f>$F$162</f>
        <v>37</v>
      </c>
      <c r="G165" s="4" t="inlineStr">
        <is>
          <t>複数回答</t>
        </is>
      </c>
    </row>
    <row r="166" ht="28" customHeight="1">
      <c r="A166" s="4" t="inlineStr">
        <is>
          <t>問22</t>
        </is>
      </c>
      <c r="B166" s="5" t="inlineStr">
        <is>
          <t>困ったときに相談する相手・場所はどこですか（あてはまるものすべて）</t>
        </is>
      </c>
      <c r="C166" s="5" t="inlineStr">
        <is>
          <t>福祉サービス事業所</t>
        </is>
      </c>
      <c r="D166" s="26" t="n">
        <v>5</v>
      </c>
      <c r="E166" s="18">
        <f>IF($F166=0,0,D166/$F166)</f>
        <v>0.135135135135135</v>
      </c>
      <c r="F166" s="17">
        <f>$F$162</f>
        <v>37</v>
      </c>
      <c r="G166" s="4" t="inlineStr">
        <is>
          <t>複数回答</t>
        </is>
      </c>
    </row>
    <row r="167" ht="28" customHeight="1">
      <c r="A167" s="4" t="inlineStr">
        <is>
          <t>問22</t>
        </is>
      </c>
      <c r="B167" s="5" t="inlineStr">
        <is>
          <t>困ったときに相談する相手・場所はどこですか（あてはまるものすべて）</t>
        </is>
      </c>
      <c r="C167" s="5" t="inlineStr">
        <is>
          <t>医療機関</t>
        </is>
      </c>
      <c r="D167" s="26" t="n">
        <v>12</v>
      </c>
      <c r="E167" s="18">
        <f>IF($F167=0,0,D167/$F167)</f>
        <v>0.324324324324324</v>
      </c>
      <c r="F167" s="17">
        <f>$F$162</f>
        <v>37</v>
      </c>
      <c r="G167" s="4" t="inlineStr">
        <is>
          <t>複数回答</t>
        </is>
      </c>
    </row>
    <row r="168" ht="28" customHeight="1">
      <c r="A168" s="4" t="inlineStr">
        <is>
          <t>問22</t>
        </is>
      </c>
      <c r="B168" s="5" t="inlineStr">
        <is>
          <t>困ったときに相談する相手・場所はどこですか（あてはまるものすべて）</t>
        </is>
      </c>
      <c r="C168" s="5" t="inlineStr">
        <is>
          <t>SNS・インターネット・AI</t>
        </is>
      </c>
      <c r="D168" s="26" t="n">
        <v>1</v>
      </c>
      <c r="E168" s="18">
        <f>IF($F168=0,0,D168/$F168)</f>
        <v>0.027027027027027</v>
      </c>
      <c r="F168" s="17">
        <f>$F$162</f>
        <v>37</v>
      </c>
      <c r="G168" s="4" t="inlineStr">
        <is>
          <t>複数回答</t>
        </is>
      </c>
    </row>
    <row r="169" ht="28" customHeight="1">
      <c r="A169" s="4" t="inlineStr">
        <is>
          <t>問22</t>
        </is>
      </c>
      <c r="B169" s="5" t="inlineStr">
        <is>
          <t>困ったときに相談する相手・場所はどこですか（あてはまるものすべて）</t>
        </is>
      </c>
      <c r="C169" s="5" t="inlineStr">
        <is>
          <t>社会福祉協議会</t>
        </is>
      </c>
      <c r="D169" s="26" t="n">
        <v>4</v>
      </c>
      <c r="E169" s="18">
        <f>IF($F169=0,0,D169/$F169)</f>
        <v>0.108108108108108</v>
      </c>
      <c r="F169" s="17">
        <f>$F$162</f>
        <v>37</v>
      </c>
      <c r="G169" s="4" t="inlineStr">
        <is>
          <t>複数回答</t>
        </is>
      </c>
    </row>
    <row r="170" ht="28" customHeight="1">
      <c r="A170" s="4" t="inlineStr">
        <is>
          <t>問22</t>
        </is>
      </c>
      <c r="B170" s="5" t="inlineStr">
        <is>
          <t>困ったときに相談する相手・場所はどこですか（あてはまるものすべて）</t>
        </is>
      </c>
      <c r="C170" s="5" t="inlineStr">
        <is>
          <t>民生委員・児童委員</t>
        </is>
      </c>
      <c r="D170" s="26" t="n">
        <v>1</v>
      </c>
      <c r="E170" s="18">
        <f>IF($F170=0,0,D170/$F170)</f>
        <v>0.027027027027027</v>
      </c>
      <c r="F170" s="17">
        <f>$F$162</f>
        <v>37</v>
      </c>
      <c r="G170" s="4" t="inlineStr">
        <is>
          <t>複数回答</t>
        </is>
      </c>
    </row>
    <row r="171" ht="28" customHeight="1">
      <c r="A171" s="4" t="inlineStr">
        <is>
          <t>問22</t>
        </is>
      </c>
      <c r="B171" s="5" t="inlineStr">
        <is>
          <t>困ったときに相談する相手・場所はどこですか（あてはまるものすべて）</t>
        </is>
      </c>
      <c r="C171" s="5" t="inlineStr">
        <is>
          <t>相談する相手がいない</t>
        </is>
      </c>
      <c r="D171" s="26" t="n">
        <v>1</v>
      </c>
      <c r="E171" s="18">
        <f>IF($F171=0,0,D171/$F171)</f>
        <v>0.027027027027027</v>
      </c>
      <c r="F171" s="17">
        <f>$F$162</f>
        <v>37</v>
      </c>
      <c r="G171" s="4" t="inlineStr">
        <is>
          <t>複数回答</t>
        </is>
      </c>
    </row>
    <row r="172" ht="28" customHeight="1">
      <c r="A172" s="4" t="inlineStr">
        <is>
          <t>問22</t>
        </is>
      </c>
      <c r="B172" s="5" t="inlineStr">
        <is>
          <t>困ったときに相談する相手・場所はどこですか（あてはまるものすべて）</t>
        </is>
      </c>
      <c r="C172" s="5" t="inlineStr">
        <is>
          <t>その他</t>
        </is>
      </c>
      <c r="D172" s="26" t="n">
        <v>1</v>
      </c>
      <c r="E172" s="18">
        <f>IF($F172=0,0,D172/$F172)</f>
        <v>0.027027027027027</v>
      </c>
      <c r="F172" s="17">
        <f>$F$162</f>
        <v>37</v>
      </c>
      <c r="G172" s="4" t="inlineStr">
        <is>
          <t>複数回答</t>
        </is>
      </c>
    </row>
    <row r="173" ht="28" customHeight="1">
      <c r="A173" s="4" t="inlineStr">
        <is>
          <t>問23</t>
        </is>
      </c>
      <c r="B173" s="5" t="inlineStr">
        <is>
          <t>相談しにくい、又は相談できない理由は何ですか（あてはまるものすべて）</t>
        </is>
      </c>
      <c r="C173" s="5" t="inlineStr">
        <is>
          <t>相談先がわからない</t>
        </is>
      </c>
      <c r="D173" s="26" t="n">
        <v>0</v>
      </c>
      <c r="E173" s="18">
        <f>IF($F173=0,0,D173/$F173)</f>
        <v>0</v>
      </c>
      <c r="F173" s="26" t="n">
        <v>31</v>
      </c>
      <c r="G173" s="4" t="inlineStr">
        <is>
          <t>複数回答</t>
        </is>
      </c>
    </row>
    <row r="174" ht="28" customHeight="1">
      <c r="A174" s="4" t="inlineStr">
        <is>
          <t>問23</t>
        </is>
      </c>
      <c r="B174" s="5" t="inlineStr">
        <is>
          <t>相談しにくい、又は相談できない理由は何ですか（あてはまるものすべて）</t>
        </is>
      </c>
      <c r="C174" s="5" t="inlineStr">
        <is>
          <t>身近に相談先がない</t>
        </is>
      </c>
      <c r="D174" s="26" t="n">
        <v>1</v>
      </c>
      <c r="E174" s="18">
        <f>IF($F174=0,0,D174/$F174)</f>
        <v>0.032258064516129</v>
      </c>
      <c r="F174" s="17">
        <f>$F$173</f>
        <v>31</v>
      </c>
      <c r="G174" s="4" t="inlineStr">
        <is>
          <t>複数回答</t>
        </is>
      </c>
    </row>
    <row r="175" ht="28" customHeight="1">
      <c r="A175" s="4" t="inlineStr">
        <is>
          <t>問23</t>
        </is>
      </c>
      <c r="B175" s="5" t="inlineStr">
        <is>
          <t>相談しにくい、又は相談できない理由は何ですか（あてはまるものすべて）</t>
        </is>
      </c>
      <c r="C175" s="5" t="inlineStr">
        <is>
          <t>何を相談してよいかわからない</t>
        </is>
      </c>
      <c r="D175" s="26" t="n">
        <v>4</v>
      </c>
      <c r="E175" s="18">
        <f>IF($F175=0,0,D175/$F175)</f>
        <v>0.129032258064516</v>
      </c>
      <c r="F175" s="17">
        <f>$F$173</f>
        <v>31</v>
      </c>
      <c r="G175" s="4" t="inlineStr">
        <is>
          <t>複数回答</t>
        </is>
      </c>
    </row>
    <row r="176" ht="28" customHeight="1">
      <c r="A176" s="4" t="inlineStr">
        <is>
          <t>問23</t>
        </is>
      </c>
      <c r="B176" s="5" t="inlineStr">
        <is>
          <t>相談しにくい、又は相談できない理由は何ですか（あてはまるものすべて）</t>
        </is>
      </c>
      <c r="C176" s="5" t="inlineStr">
        <is>
          <t>相談しても解決しないと思う</t>
        </is>
      </c>
      <c r="D176" s="26" t="n">
        <v>6</v>
      </c>
      <c r="E176" s="18">
        <f>IF($F176=0,0,D176/$F176)</f>
        <v>0.193548387096774</v>
      </c>
      <c r="F176" s="17">
        <f>$F$173</f>
        <v>31</v>
      </c>
      <c r="G176" s="4" t="inlineStr">
        <is>
          <t>複数回答</t>
        </is>
      </c>
    </row>
    <row r="177" ht="28" customHeight="1">
      <c r="A177" s="4" t="inlineStr">
        <is>
          <t>問23</t>
        </is>
      </c>
      <c r="B177" s="5" t="inlineStr">
        <is>
          <t>相談しにくい、又は相談できない理由は何ですか（あてはまるものすべて）</t>
        </is>
      </c>
      <c r="C177" s="5" t="inlineStr">
        <is>
          <t>交通手段がない</t>
        </is>
      </c>
      <c r="D177" s="26" t="n">
        <v>1</v>
      </c>
      <c r="E177" s="18">
        <f>IF($F177=0,0,D177/$F177)</f>
        <v>0.032258064516129</v>
      </c>
      <c r="F177" s="17">
        <f>$F$173</f>
        <v>31</v>
      </c>
      <c r="G177" s="4" t="inlineStr">
        <is>
          <t>複数回答</t>
        </is>
      </c>
    </row>
    <row r="178" ht="28" customHeight="1">
      <c r="A178" s="4" t="inlineStr">
        <is>
          <t>問23</t>
        </is>
      </c>
      <c r="B178" s="5" t="inlineStr">
        <is>
          <t>相談しにくい、又は相談できない理由は何ですか（あてはまるものすべて）</t>
        </is>
      </c>
      <c r="C178" s="5" t="inlineStr">
        <is>
          <t>家族が対応している</t>
        </is>
      </c>
      <c r="D178" s="26" t="n">
        <v>8</v>
      </c>
      <c r="E178" s="18">
        <f>IF($F178=0,0,D178/$F178)</f>
        <v>0.258064516129032</v>
      </c>
      <c r="F178" s="17">
        <f>$F$173</f>
        <v>31</v>
      </c>
      <c r="G178" s="4" t="inlineStr">
        <is>
          <t>複数回答</t>
        </is>
      </c>
    </row>
    <row r="179" ht="28" customHeight="1">
      <c r="A179" s="4" t="inlineStr">
        <is>
          <t>問23</t>
        </is>
      </c>
      <c r="B179" s="5" t="inlineStr">
        <is>
          <t>相談しにくい、又は相談できない理由は何ですか（あてはまるものすべて）</t>
        </is>
      </c>
      <c r="C179" s="5" t="inlineStr">
        <is>
          <t>プライバシーが不安</t>
        </is>
      </c>
      <c r="D179" s="26" t="n">
        <v>4</v>
      </c>
      <c r="E179" s="18">
        <f>IF($F179=0,0,D179/$F179)</f>
        <v>0.129032258064516</v>
      </c>
      <c r="F179" s="17">
        <f>$F$173</f>
        <v>31</v>
      </c>
      <c r="G179" s="4" t="inlineStr">
        <is>
          <t>複数回答</t>
        </is>
      </c>
    </row>
    <row r="180" ht="28" customHeight="1">
      <c r="A180" s="4" t="inlineStr">
        <is>
          <t>問23</t>
        </is>
      </c>
      <c r="B180" s="5" t="inlineStr">
        <is>
          <t>相談しにくい、又は相談できない理由は何ですか（あてはまるものすべて）</t>
        </is>
      </c>
      <c r="C180" s="5" t="inlineStr">
        <is>
          <t>特に困っていない</t>
        </is>
      </c>
      <c r="D180" s="26" t="n">
        <v>15</v>
      </c>
      <c r="E180" s="18">
        <f>IF($F180=0,0,D180/$F180)</f>
        <v>0.483870967741936</v>
      </c>
      <c r="F180" s="17">
        <f>$F$173</f>
        <v>31</v>
      </c>
      <c r="G180" s="4" t="inlineStr">
        <is>
          <t>複数回答</t>
        </is>
      </c>
    </row>
    <row r="181" ht="28" customHeight="1">
      <c r="A181" s="4" t="inlineStr">
        <is>
          <t>問23</t>
        </is>
      </c>
      <c r="B181" s="5" t="inlineStr">
        <is>
          <t>相談しにくい、又は相談できない理由は何ですか（あてはまるものすべて）</t>
        </is>
      </c>
      <c r="C181" s="5" t="inlineStr">
        <is>
          <t>その他</t>
        </is>
      </c>
      <c r="D181" s="26" t="n">
        <v>0</v>
      </c>
      <c r="E181" s="18">
        <f>IF($F181=0,0,D181/$F181)</f>
        <v>0</v>
      </c>
      <c r="F181" s="17">
        <f>$F$173</f>
        <v>31</v>
      </c>
      <c r="G181" s="4" t="inlineStr">
        <is>
          <t>複数回答</t>
        </is>
      </c>
    </row>
    <row r="182" ht="28" customHeight="1">
      <c r="A182" s="4" t="inlineStr">
        <is>
          <t>問24</t>
        </is>
      </c>
      <c r="B182" s="5" t="inlineStr">
        <is>
          <t>同じ障がいのある人（ピアサポーター）に相談をしたいと感じますか</t>
        </is>
      </c>
      <c r="C182" s="5" t="inlineStr">
        <is>
          <t>相談したい（現在も相談している）</t>
        </is>
      </c>
      <c r="D182" s="26" t="n">
        <v>0</v>
      </c>
      <c r="E182" s="18">
        <f>IF($F182=0,0,D182/$F182)</f>
        <v>0</v>
      </c>
      <c r="F182" s="26" t="n">
        <v>34</v>
      </c>
      <c r="G182" s="4" t="inlineStr">
        <is>
          <t>単一回答</t>
        </is>
      </c>
    </row>
    <row r="183" ht="28" customHeight="1">
      <c r="A183" s="4" t="inlineStr">
        <is>
          <t>問24</t>
        </is>
      </c>
      <c r="B183" s="5" t="inlineStr">
        <is>
          <t>同じ障がいのある人（ピアサポーター）に相談をしたいと感じますか</t>
        </is>
      </c>
      <c r="C183" s="5" t="inlineStr">
        <is>
          <t>機会があれば相談してみたい</t>
        </is>
      </c>
      <c r="D183" s="26" t="n">
        <v>12</v>
      </c>
      <c r="E183" s="18">
        <f>IF($F183=0,0,D183/$F183)</f>
        <v>0.352941176470588</v>
      </c>
      <c r="F183" s="17">
        <f>$F$182</f>
        <v>34</v>
      </c>
      <c r="G183" s="4" t="inlineStr">
        <is>
          <t>単一回答</t>
        </is>
      </c>
    </row>
    <row r="184" ht="28" customHeight="1">
      <c r="A184" s="4" t="inlineStr">
        <is>
          <t>問24</t>
        </is>
      </c>
      <c r="B184" s="5" t="inlineStr">
        <is>
          <t>同じ障がいのある人（ピアサポーター）に相談をしたいと感じますか</t>
        </is>
      </c>
      <c r="C184" s="5" t="inlineStr">
        <is>
          <t>あまり相談したいとは思わない</t>
        </is>
      </c>
      <c r="D184" s="26" t="n">
        <v>9</v>
      </c>
      <c r="E184" s="18">
        <f>IF($F184=0,0,D184/$F184)</f>
        <v>0.264705882352941</v>
      </c>
      <c r="F184" s="17">
        <f>$F$182</f>
        <v>34</v>
      </c>
      <c r="G184" s="4" t="inlineStr">
        <is>
          <t>単一回答</t>
        </is>
      </c>
    </row>
    <row r="185" ht="28" customHeight="1">
      <c r="A185" s="4" t="inlineStr">
        <is>
          <t>問24</t>
        </is>
      </c>
      <c r="B185" s="5" t="inlineStr">
        <is>
          <t>同じ障がいのある人（ピアサポーター）に相談をしたいと感じますか</t>
        </is>
      </c>
      <c r="C185" s="5" t="inlineStr">
        <is>
          <t>まったく相談したいとは思わない</t>
        </is>
      </c>
      <c r="D185" s="26" t="n">
        <v>6</v>
      </c>
      <c r="E185" s="18">
        <f>IF($F185=0,0,D185/$F185)</f>
        <v>0.176470588235294</v>
      </c>
      <c r="F185" s="17">
        <f>$F$182</f>
        <v>34</v>
      </c>
      <c r="G185" s="4" t="inlineStr">
        <is>
          <t>単一回答</t>
        </is>
      </c>
    </row>
    <row r="186" ht="28" customHeight="1">
      <c r="A186" s="4" t="inlineStr">
        <is>
          <t>問24</t>
        </is>
      </c>
      <c r="B186" s="5" t="inlineStr">
        <is>
          <t>同じ障がいのある人（ピアサポーター）に相談をしたいと感じますか</t>
        </is>
      </c>
      <c r="C186" s="5" t="inlineStr">
        <is>
          <t>わからない</t>
        </is>
      </c>
      <c r="D186" s="26" t="n">
        <v>7</v>
      </c>
      <c r="E186" s="18">
        <f>IF($F186=0,0,D186/$F186)</f>
        <v>0.205882352941176</v>
      </c>
      <c r="F186" s="17">
        <f>$F$182</f>
        <v>34</v>
      </c>
      <c r="G186" s="4" t="inlineStr">
        <is>
          <t>単一回答</t>
        </is>
      </c>
    </row>
    <row r="187" ht="28" customHeight="1">
      <c r="A187" s="4" t="inlineStr">
        <is>
          <t>問25</t>
        </is>
      </c>
      <c r="B187" s="5" t="inlineStr">
        <is>
          <t>福祉に関する情報はどこから得ていますか（あてはまるものすべて）</t>
        </is>
      </c>
      <c r="C187" s="5" t="inlineStr">
        <is>
          <t>村広報・ホームページ</t>
        </is>
      </c>
      <c r="D187" s="26" t="n">
        <v>16</v>
      </c>
      <c r="E187" s="18">
        <f>IF($F187=0,0,D187/$F187)</f>
        <v>0.444444444444444</v>
      </c>
      <c r="F187" s="26" t="n">
        <v>36</v>
      </c>
      <c r="G187" s="4" t="inlineStr">
        <is>
          <t>複数回答</t>
        </is>
      </c>
    </row>
    <row r="188" ht="28" customHeight="1">
      <c r="A188" s="4" t="inlineStr">
        <is>
          <t>問25</t>
        </is>
      </c>
      <c r="B188" s="5" t="inlineStr">
        <is>
          <t>福祉に関する情報はどこから得ていますか（あてはまるものすべて）</t>
        </is>
      </c>
      <c r="C188" s="5" t="inlineStr">
        <is>
          <t>家族・知人</t>
        </is>
      </c>
      <c r="D188" s="26" t="n">
        <v>8</v>
      </c>
      <c r="E188" s="18">
        <f>IF($F188=0,0,D188/$F188)</f>
        <v>0.222222222222222</v>
      </c>
      <c r="F188" s="17">
        <f>$F$187</f>
        <v>36</v>
      </c>
      <c r="G188" s="4" t="inlineStr">
        <is>
          <t>複数回答</t>
        </is>
      </c>
    </row>
    <row r="189" ht="28" customHeight="1">
      <c r="A189" s="4" t="inlineStr">
        <is>
          <t>問25</t>
        </is>
      </c>
      <c r="B189" s="5" t="inlineStr">
        <is>
          <t>福祉に関する情報はどこから得ていますか（あてはまるものすべて）</t>
        </is>
      </c>
      <c r="C189" s="5" t="inlineStr">
        <is>
          <t>相談支援専門員</t>
        </is>
      </c>
      <c r="D189" s="26" t="n">
        <v>13</v>
      </c>
      <c r="E189" s="18">
        <f>IF($F189=0,0,D189/$F189)</f>
        <v>0.361111111111111</v>
      </c>
      <c r="F189" s="17">
        <f>$F$187</f>
        <v>36</v>
      </c>
      <c r="G189" s="4" t="inlineStr">
        <is>
          <t>複数回答</t>
        </is>
      </c>
    </row>
    <row r="190" ht="28" customHeight="1">
      <c r="A190" s="4" t="inlineStr">
        <is>
          <t>問25</t>
        </is>
      </c>
      <c r="B190" s="5" t="inlineStr">
        <is>
          <t>福祉に関する情報はどこから得ていますか（あてはまるものすべて）</t>
        </is>
      </c>
      <c r="C190" s="5" t="inlineStr">
        <is>
          <t>福祉サービス事業所</t>
        </is>
      </c>
      <c r="D190" s="26" t="n">
        <v>9</v>
      </c>
      <c r="E190" s="18">
        <f>IF($F190=0,0,D190/$F190)</f>
        <v>0.25</v>
      </c>
      <c r="F190" s="17">
        <f>$F$187</f>
        <v>36</v>
      </c>
      <c r="G190" s="4" t="inlineStr">
        <is>
          <t>複数回答</t>
        </is>
      </c>
    </row>
    <row r="191" ht="28" customHeight="1">
      <c r="A191" s="4" t="inlineStr">
        <is>
          <t>問25</t>
        </is>
      </c>
      <c r="B191" s="5" t="inlineStr">
        <is>
          <t>福祉に関する情報はどこから得ていますか（あてはまるものすべて）</t>
        </is>
      </c>
      <c r="C191" s="5" t="inlineStr">
        <is>
          <t>医療機関</t>
        </is>
      </c>
      <c r="D191" s="26" t="n">
        <v>8</v>
      </c>
      <c r="E191" s="18">
        <f>IF($F191=0,0,D191/$F191)</f>
        <v>0.222222222222222</v>
      </c>
      <c r="F191" s="17">
        <f>$F$187</f>
        <v>36</v>
      </c>
      <c r="G191" s="4" t="inlineStr">
        <is>
          <t>複数回答</t>
        </is>
      </c>
    </row>
    <row r="192" ht="28" customHeight="1">
      <c r="A192" s="4" t="inlineStr">
        <is>
          <t>問25</t>
        </is>
      </c>
      <c r="B192" s="5" t="inlineStr">
        <is>
          <t>福祉に関する情報はどこから得ていますか（あてはまるものすべて）</t>
        </is>
      </c>
      <c r="C192" s="5" t="inlineStr">
        <is>
          <t>学校</t>
        </is>
      </c>
      <c r="D192" s="26" t="n">
        <v>0</v>
      </c>
      <c r="E192" s="18">
        <f>IF($F192=0,0,D192/$F192)</f>
        <v>0</v>
      </c>
      <c r="F192" s="17">
        <f>$F$187</f>
        <v>36</v>
      </c>
      <c r="G192" s="4" t="inlineStr">
        <is>
          <t>複数回答</t>
        </is>
      </c>
    </row>
    <row r="193" ht="28" customHeight="1">
      <c r="A193" s="4" t="inlineStr">
        <is>
          <t>問25</t>
        </is>
      </c>
      <c r="B193" s="5" t="inlineStr">
        <is>
          <t>福祉に関する情報はどこから得ていますか（あてはまるものすべて）</t>
        </is>
      </c>
      <c r="C193" s="5" t="inlineStr">
        <is>
          <t>SNS・インターネット・AI</t>
        </is>
      </c>
      <c r="D193" s="26" t="n">
        <v>4</v>
      </c>
      <c r="E193" s="18">
        <f>IF($F193=0,0,D193/$F193)</f>
        <v>0.111111111111111</v>
      </c>
      <c r="F193" s="17">
        <f>$F$187</f>
        <v>36</v>
      </c>
      <c r="G193" s="4" t="inlineStr">
        <is>
          <t>複数回答</t>
        </is>
      </c>
    </row>
    <row r="194" ht="28" customHeight="1">
      <c r="A194" s="4" t="inlineStr">
        <is>
          <t>問25</t>
        </is>
      </c>
      <c r="B194" s="5" t="inlineStr">
        <is>
          <t>福祉に関する情報はどこから得ていますか（あてはまるものすべて）</t>
        </is>
      </c>
      <c r="C194" s="5" t="inlineStr">
        <is>
          <t>新聞・テレビ</t>
        </is>
      </c>
      <c r="D194" s="26" t="n">
        <v>13</v>
      </c>
      <c r="E194" s="18">
        <f>IF($F194=0,0,D194/$F194)</f>
        <v>0.361111111111111</v>
      </c>
      <c r="F194" s="17">
        <f>$F$187</f>
        <v>36</v>
      </c>
      <c r="G194" s="4" t="inlineStr">
        <is>
          <t>複数回答</t>
        </is>
      </c>
    </row>
    <row r="195" ht="28" customHeight="1">
      <c r="A195" s="4" t="inlineStr">
        <is>
          <t>問25</t>
        </is>
      </c>
      <c r="B195" s="5" t="inlineStr">
        <is>
          <t>福祉に関する情報はどこから得ていますか（あてはまるものすべて）</t>
        </is>
      </c>
      <c r="C195" s="5" t="inlineStr">
        <is>
          <t>情報を得られていない</t>
        </is>
      </c>
      <c r="D195" s="26" t="n">
        <v>1</v>
      </c>
      <c r="E195" s="18">
        <f>IF($F195=0,0,D195/$F195)</f>
        <v>0.0277777777777778</v>
      </c>
      <c r="F195" s="17">
        <f>$F$187</f>
        <v>36</v>
      </c>
      <c r="G195" s="4" t="inlineStr">
        <is>
          <t>複数回答</t>
        </is>
      </c>
    </row>
    <row r="196" ht="28" customHeight="1">
      <c r="A196" s="4" t="inlineStr">
        <is>
          <t>問25</t>
        </is>
      </c>
      <c r="B196" s="5" t="inlineStr">
        <is>
          <t>福祉に関する情報はどこから得ていますか（あてはまるものすべて）</t>
        </is>
      </c>
      <c r="C196" s="5" t="inlineStr">
        <is>
          <t>その他</t>
        </is>
      </c>
      <c r="D196" s="26" t="n">
        <v>0</v>
      </c>
      <c r="E196" s="18">
        <f>IF($F196=0,0,D196/$F196)</f>
        <v>0</v>
      </c>
      <c r="F196" s="17">
        <f>$F$187</f>
        <v>36</v>
      </c>
      <c r="G196" s="4" t="inlineStr">
        <is>
          <t>複数回答</t>
        </is>
      </c>
    </row>
    <row r="197" ht="28" customHeight="1">
      <c r="A197" s="4" t="inlineStr">
        <is>
          <t>問26</t>
        </is>
      </c>
      <c r="B197" s="5" t="inlineStr">
        <is>
          <t>相談支援に期待することは何ですか（あてはまるものすべて）</t>
        </is>
      </c>
      <c r="C197" s="5" t="inlineStr">
        <is>
          <t>サービス利用の相談</t>
        </is>
      </c>
      <c r="D197" s="26" t="n">
        <v>13</v>
      </c>
      <c r="E197" s="18">
        <f>IF($F197=0,0,D197/$F197)</f>
        <v>0.448275862068966</v>
      </c>
      <c r="F197" s="26" t="n">
        <v>29</v>
      </c>
      <c r="G197" s="4" t="inlineStr">
        <is>
          <t>複数回答</t>
        </is>
      </c>
    </row>
    <row r="198" ht="28" customHeight="1">
      <c r="A198" s="4" t="inlineStr">
        <is>
          <t>問26</t>
        </is>
      </c>
      <c r="B198" s="5" t="inlineStr">
        <is>
          <t>相談支援に期待することは何ですか（あてはまるものすべて）</t>
        </is>
      </c>
      <c r="C198" s="5" t="inlineStr">
        <is>
          <t>将来の暮らしの相談</t>
        </is>
      </c>
      <c r="D198" s="26" t="n">
        <v>12</v>
      </c>
      <c r="E198" s="18">
        <f>IF($F198=0,0,D198/$F198)</f>
        <v>0.413793103448276</v>
      </c>
      <c r="F198" s="17">
        <f>$F$197</f>
        <v>29</v>
      </c>
      <c r="G198" s="4" t="inlineStr">
        <is>
          <t>複数回答</t>
        </is>
      </c>
    </row>
    <row r="199" ht="28" customHeight="1">
      <c r="A199" s="4" t="inlineStr">
        <is>
          <t>問26</t>
        </is>
      </c>
      <c r="B199" s="5" t="inlineStr">
        <is>
          <t>相談支援に期待することは何ですか（あてはまるものすべて）</t>
        </is>
      </c>
      <c r="C199" s="5" t="inlineStr">
        <is>
          <t>就労・日中活動の相談</t>
        </is>
      </c>
      <c r="D199" s="26" t="n">
        <v>1</v>
      </c>
      <c r="E199" s="18">
        <f>IF($F199=0,0,D199/$F199)</f>
        <v>0.0344827586206897</v>
      </c>
      <c r="F199" s="17">
        <f>$F$197</f>
        <v>29</v>
      </c>
      <c r="G199" s="4" t="inlineStr">
        <is>
          <t>複数回答</t>
        </is>
      </c>
    </row>
    <row r="200" ht="28" customHeight="1">
      <c r="A200" s="4" t="inlineStr">
        <is>
          <t>問26</t>
        </is>
      </c>
      <c r="B200" s="5" t="inlineStr">
        <is>
          <t>相談支援に期待することは何ですか（あてはまるものすべて）</t>
        </is>
      </c>
      <c r="C200" s="5" t="inlineStr">
        <is>
          <t>医療・通院の相談</t>
        </is>
      </c>
      <c r="D200" s="26" t="n">
        <v>7</v>
      </c>
      <c r="E200" s="18">
        <f>IF($F200=0,0,D200/$F200)</f>
        <v>0.241379310344828</v>
      </c>
      <c r="F200" s="17">
        <f>$F$197</f>
        <v>29</v>
      </c>
      <c r="G200" s="4" t="inlineStr">
        <is>
          <t>複数回答</t>
        </is>
      </c>
    </row>
    <row r="201" ht="28" customHeight="1">
      <c r="A201" s="4" t="inlineStr">
        <is>
          <t>問26</t>
        </is>
      </c>
      <c r="B201" s="5" t="inlineStr">
        <is>
          <t>相談支援に期待することは何ですか（あてはまるものすべて）</t>
        </is>
      </c>
      <c r="C201" s="5" t="inlineStr">
        <is>
          <t>家族の負担軽減</t>
        </is>
      </c>
      <c r="D201" s="26" t="n">
        <v>3</v>
      </c>
      <c r="E201" s="18">
        <f>IF($F201=0,0,D201/$F201)</f>
        <v>0.103448275862069</v>
      </c>
      <c r="F201" s="17">
        <f>$F$197</f>
        <v>29</v>
      </c>
      <c r="G201" s="4" t="inlineStr">
        <is>
          <t>複数回答</t>
        </is>
      </c>
    </row>
    <row r="202" ht="28" customHeight="1">
      <c r="A202" s="4" t="inlineStr">
        <is>
          <t>問26</t>
        </is>
      </c>
      <c r="B202" s="5" t="inlineStr">
        <is>
          <t>相談支援に期待することは何ですか（あてはまるものすべて）</t>
        </is>
      </c>
      <c r="C202" s="5" t="inlineStr">
        <is>
          <t>緊急時の相談</t>
        </is>
      </c>
      <c r="D202" s="26" t="n">
        <v>9</v>
      </c>
      <c r="E202" s="18">
        <f>IF($F202=0,0,D202/$F202)</f>
        <v>0.310344827586207</v>
      </c>
      <c r="F202" s="17">
        <f>$F$197</f>
        <v>29</v>
      </c>
      <c r="G202" s="4" t="inlineStr">
        <is>
          <t>複数回答</t>
        </is>
      </c>
    </row>
    <row r="203" ht="28" customHeight="1">
      <c r="A203" s="4" t="inlineStr">
        <is>
          <t>問26</t>
        </is>
      </c>
      <c r="B203" s="5" t="inlineStr">
        <is>
          <t>相談支援に期待することは何ですか（あてはまるものすべて）</t>
        </is>
      </c>
      <c r="C203" s="5" t="inlineStr">
        <is>
          <t>わかりやすい情報提供</t>
        </is>
      </c>
      <c r="D203" s="26" t="n">
        <v>14</v>
      </c>
      <c r="E203" s="18">
        <f>IF($F203=0,0,D203/$F203)</f>
        <v>0.482758620689655</v>
      </c>
      <c r="F203" s="17">
        <f>$F$197</f>
        <v>29</v>
      </c>
      <c r="G203" s="4" t="inlineStr">
        <is>
          <t>複数回答</t>
        </is>
      </c>
    </row>
    <row r="204" ht="28" customHeight="1">
      <c r="A204" s="4" t="inlineStr">
        <is>
          <t>問26</t>
        </is>
      </c>
      <c r="B204" s="5" t="inlineStr">
        <is>
          <t>相談支援に期待することは何ですか（あてはまるものすべて）</t>
        </is>
      </c>
      <c r="C204" s="5" t="inlineStr">
        <is>
          <t>その他</t>
        </is>
      </c>
      <c r="D204" s="26" t="n">
        <v>1</v>
      </c>
      <c r="E204" s="18">
        <f>IF($F204=0,0,D204/$F204)</f>
        <v>0.0344827586206897</v>
      </c>
      <c r="F204" s="17">
        <f>$F$197</f>
        <v>29</v>
      </c>
      <c r="G204" s="4" t="inlineStr">
        <is>
          <t>複数回答</t>
        </is>
      </c>
    </row>
    <row r="205" ht="28" customHeight="1">
      <c r="A205" s="4" t="inlineStr">
        <is>
          <t>問27-1</t>
        </is>
      </c>
      <c r="B205" s="5" t="inlineStr">
        <is>
          <t>現在利用しているサービスを選んでください（あてはまるものすべて）</t>
        </is>
      </c>
      <c r="C205" s="5" t="inlineStr">
        <is>
          <t>居宅介護（ホームヘルプ）</t>
        </is>
      </c>
      <c r="D205" s="26" t="n">
        <v>1</v>
      </c>
      <c r="E205" s="18">
        <f>IF($F205=0,0,D205/$F205)</f>
        <v>0.0333333333333333</v>
      </c>
      <c r="F205" s="26" t="n">
        <v>30</v>
      </c>
      <c r="G205" s="4" t="inlineStr">
        <is>
          <t>複数回答</t>
        </is>
      </c>
    </row>
    <row r="206" ht="28" customHeight="1">
      <c r="A206" s="4" t="inlineStr">
        <is>
          <t>問27-1</t>
        </is>
      </c>
      <c r="B206" s="5" t="inlineStr">
        <is>
          <t>現在利用しているサービスを選んでください（あてはまるものすべて）</t>
        </is>
      </c>
      <c r="C206" s="5" t="inlineStr">
        <is>
          <t>重度訪問介護</t>
        </is>
      </c>
      <c r="D206" s="26" t="n">
        <v>0</v>
      </c>
      <c r="E206" s="18">
        <f>IF($F206=0,0,D206/$F206)</f>
        <v>0</v>
      </c>
      <c r="F206" s="17">
        <f>$F$205</f>
        <v>30</v>
      </c>
      <c r="G206" s="4" t="inlineStr">
        <is>
          <t>複数回答</t>
        </is>
      </c>
    </row>
    <row r="207" ht="28" customHeight="1">
      <c r="A207" s="4" t="inlineStr">
        <is>
          <t>問27-1</t>
        </is>
      </c>
      <c r="B207" s="5" t="inlineStr">
        <is>
          <t>現在利用しているサービスを選んでください（あてはまるものすべて）</t>
        </is>
      </c>
      <c r="C207" s="5" t="inlineStr">
        <is>
          <t>同行援護・行動援護</t>
        </is>
      </c>
      <c r="D207" s="26" t="n">
        <v>1</v>
      </c>
      <c r="E207" s="18">
        <f>IF($F207=0,0,D207/$F207)</f>
        <v>0.0333333333333333</v>
      </c>
      <c r="F207" s="17">
        <f>$F$205</f>
        <v>30</v>
      </c>
      <c r="G207" s="4" t="inlineStr">
        <is>
          <t>複数回答</t>
        </is>
      </c>
    </row>
    <row r="208" ht="28" customHeight="1">
      <c r="A208" s="4" t="inlineStr">
        <is>
          <t>問27-1</t>
        </is>
      </c>
      <c r="B208" s="5" t="inlineStr">
        <is>
          <t>現在利用しているサービスを選んでください（あてはまるものすべて）</t>
        </is>
      </c>
      <c r="C208" s="5" t="inlineStr">
        <is>
          <t>生活介護</t>
        </is>
      </c>
      <c r="D208" s="26" t="n">
        <v>4</v>
      </c>
      <c r="E208" s="18">
        <f>IF($F208=0,0,D208/$F208)</f>
        <v>0.133333333333333</v>
      </c>
      <c r="F208" s="17">
        <f>$F$205</f>
        <v>30</v>
      </c>
      <c r="G208" s="4" t="inlineStr">
        <is>
          <t>複数回答</t>
        </is>
      </c>
    </row>
    <row r="209" ht="28" customHeight="1">
      <c r="A209" s="4" t="inlineStr">
        <is>
          <t>問27-1</t>
        </is>
      </c>
      <c r="B209" s="5" t="inlineStr">
        <is>
          <t>現在利用しているサービスを選んでください（あてはまるものすべて）</t>
        </is>
      </c>
      <c r="C209" s="5" t="inlineStr">
        <is>
          <t>自立訓練</t>
        </is>
      </c>
      <c r="D209" s="26" t="n">
        <v>2</v>
      </c>
      <c r="E209" s="18">
        <f>IF($F209=0,0,D209/$F209)</f>
        <v>0.0666666666666667</v>
      </c>
      <c r="F209" s="17">
        <f>$F$205</f>
        <v>30</v>
      </c>
      <c r="G209" s="4" t="inlineStr">
        <is>
          <t>複数回答</t>
        </is>
      </c>
    </row>
    <row r="210" ht="28" customHeight="1">
      <c r="A210" s="4" t="inlineStr">
        <is>
          <t>問27-1</t>
        </is>
      </c>
      <c r="B210" s="5" t="inlineStr">
        <is>
          <t>現在利用しているサービスを選んでください（あてはまるものすべて）</t>
        </is>
      </c>
      <c r="C210" s="5" t="inlineStr">
        <is>
          <t>就労移行支援</t>
        </is>
      </c>
      <c r="D210" s="26" t="n">
        <v>0</v>
      </c>
      <c r="E210" s="18">
        <f>IF($F210=0,0,D210/$F210)</f>
        <v>0</v>
      </c>
      <c r="F210" s="17">
        <f>$F$205</f>
        <v>30</v>
      </c>
      <c r="G210" s="4" t="inlineStr">
        <is>
          <t>複数回答</t>
        </is>
      </c>
    </row>
    <row r="211" ht="28" customHeight="1">
      <c r="A211" s="4" t="inlineStr">
        <is>
          <t>問27-1</t>
        </is>
      </c>
      <c r="B211" s="5" t="inlineStr">
        <is>
          <t>現在利用しているサービスを選んでください（あてはまるものすべて）</t>
        </is>
      </c>
      <c r="C211" s="5" t="inlineStr">
        <is>
          <t>就労継続支援A型</t>
        </is>
      </c>
      <c r="D211" s="26" t="n">
        <v>1</v>
      </c>
      <c r="E211" s="18">
        <f>IF($F211=0,0,D211/$F211)</f>
        <v>0.0333333333333333</v>
      </c>
      <c r="F211" s="17">
        <f>$F$205</f>
        <v>30</v>
      </c>
      <c r="G211" s="4" t="inlineStr">
        <is>
          <t>複数回答</t>
        </is>
      </c>
    </row>
    <row r="212" ht="28" customHeight="1">
      <c r="A212" s="4" t="inlineStr">
        <is>
          <t>問27-1</t>
        </is>
      </c>
      <c r="B212" s="5" t="inlineStr">
        <is>
          <t>現在利用しているサービスを選んでください（あてはまるものすべて）</t>
        </is>
      </c>
      <c r="C212" s="5" t="inlineStr">
        <is>
          <t>就労継続支援B型</t>
        </is>
      </c>
      <c r="D212" s="26" t="n">
        <v>2</v>
      </c>
      <c r="E212" s="18">
        <f>IF($F212=0,0,D212/$F212)</f>
        <v>0.0666666666666667</v>
      </c>
      <c r="F212" s="17">
        <f>$F$205</f>
        <v>30</v>
      </c>
      <c r="G212" s="4" t="inlineStr">
        <is>
          <t>複数回答</t>
        </is>
      </c>
    </row>
    <row r="213" ht="28" customHeight="1">
      <c r="A213" s="4" t="inlineStr">
        <is>
          <t>問27-1</t>
        </is>
      </c>
      <c r="B213" s="5" t="inlineStr">
        <is>
          <t>現在利用しているサービスを選んでください（あてはまるものすべて）</t>
        </is>
      </c>
      <c r="C213" s="5" t="inlineStr">
        <is>
          <t>就労選択支援</t>
        </is>
      </c>
      <c r="D213" s="26" t="n">
        <v>1</v>
      </c>
      <c r="E213" s="18">
        <f>IF($F213=0,0,D213/$F213)</f>
        <v>0.0333333333333333</v>
      </c>
      <c r="F213" s="17">
        <f>$F$205</f>
        <v>30</v>
      </c>
      <c r="G213" s="4" t="inlineStr">
        <is>
          <t>複数回答</t>
        </is>
      </c>
    </row>
    <row r="214" ht="28" customHeight="1">
      <c r="A214" s="4" t="inlineStr">
        <is>
          <t>問27-1</t>
        </is>
      </c>
      <c r="B214" s="5" t="inlineStr">
        <is>
          <t>現在利用しているサービスを選んでください（あてはまるものすべて）</t>
        </is>
      </c>
      <c r="C214" s="5" t="inlineStr">
        <is>
          <t>就労定着支援</t>
        </is>
      </c>
      <c r="D214" s="26" t="n">
        <v>0</v>
      </c>
      <c r="E214" s="18">
        <f>IF($F214=0,0,D214/$F214)</f>
        <v>0</v>
      </c>
      <c r="F214" s="17">
        <f>$F$205</f>
        <v>30</v>
      </c>
      <c r="G214" s="4" t="inlineStr">
        <is>
          <t>複数回答</t>
        </is>
      </c>
    </row>
    <row r="215" ht="28" customHeight="1">
      <c r="A215" s="4" t="inlineStr">
        <is>
          <t>問27-1</t>
        </is>
      </c>
      <c r="B215" s="5" t="inlineStr">
        <is>
          <t>現在利用しているサービスを選んでください（あてはまるものすべて）</t>
        </is>
      </c>
      <c r="C215" s="5" t="inlineStr">
        <is>
          <t>短期入所（ショートステイ）</t>
        </is>
      </c>
      <c r="D215" s="26" t="n">
        <v>2</v>
      </c>
      <c r="E215" s="18">
        <f>IF($F215=0,0,D215/$F215)</f>
        <v>0.0666666666666667</v>
      </c>
      <c r="F215" s="17">
        <f>$F$205</f>
        <v>30</v>
      </c>
      <c r="G215" s="4" t="inlineStr">
        <is>
          <t>複数回答</t>
        </is>
      </c>
    </row>
    <row r="216" ht="28" customHeight="1">
      <c r="A216" s="4" t="inlineStr">
        <is>
          <t>問27-1</t>
        </is>
      </c>
      <c r="B216" s="5" t="inlineStr">
        <is>
          <t>現在利用しているサービスを選んでください（あてはまるものすべて）</t>
        </is>
      </c>
      <c r="C216" s="5" t="inlineStr">
        <is>
          <t>グループホーム</t>
        </is>
      </c>
      <c r="D216" s="26" t="n">
        <v>3</v>
      </c>
      <c r="E216" s="18">
        <f>IF($F216=0,0,D216/$F216)</f>
        <v>0.1</v>
      </c>
      <c r="F216" s="17">
        <f>$F$205</f>
        <v>30</v>
      </c>
      <c r="G216" s="4" t="inlineStr">
        <is>
          <t>複数回答</t>
        </is>
      </c>
    </row>
    <row r="217" ht="28" customHeight="1">
      <c r="A217" s="4" t="inlineStr">
        <is>
          <t>問27-1</t>
        </is>
      </c>
      <c r="B217" s="5" t="inlineStr">
        <is>
          <t>現在利用しているサービスを選んでください（あてはまるものすべて）</t>
        </is>
      </c>
      <c r="C217" s="5" t="inlineStr">
        <is>
          <t>施設入所支援</t>
        </is>
      </c>
      <c r="D217" s="26" t="n">
        <v>5</v>
      </c>
      <c r="E217" s="18">
        <f>IF($F217=0,0,D217/$F217)</f>
        <v>0.166666666666667</v>
      </c>
      <c r="F217" s="17">
        <f>$F$205</f>
        <v>30</v>
      </c>
      <c r="G217" s="4" t="inlineStr">
        <is>
          <t>複数回答</t>
        </is>
      </c>
    </row>
    <row r="218" ht="28" customHeight="1">
      <c r="A218" s="4" t="inlineStr">
        <is>
          <t>問27-1</t>
        </is>
      </c>
      <c r="B218" s="5" t="inlineStr">
        <is>
          <t>現在利用しているサービスを選んでください（あてはまるものすべて）</t>
        </is>
      </c>
      <c r="C218" s="5" t="inlineStr">
        <is>
          <t>計画相談支援</t>
        </is>
      </c>
      <c r="D218" s="26" t="n">
        <v>2</v>
      </c>
      <c r="E218" s="18">
        <f>IF($F218=0,0,D218/$F218)</f>
        <v>0.0666666666666667</v>
      </c>
      <c r="F218" s="17">
        <f>$F$205</f>
        <v>30</v>
      </c>
      <c r="G218" s="4" t="inlineStr">
        <is>
          <t>複数回答</t>
        </is>
      </c>
    </row>
    <row r="219" ht="28" customHeight="1">
      <c r="A219" s="4" t="inlineStr">
        <is>
          <t>問27-1</t>
        </is>
      </c>
      <c r="B219" s="5" t="inlineStr">
        <is>
          <t>現在利用しているサービスを選んでください（あてはまるものすべて）</t>
        </is>
      </c>
      <c r="C219" s="5" t="inlineStr">
        <is>
          <t>移動支援</t>
        </is>
      </c>
      <c r="D219" s="26" t="n">
        <v>1</v>
      </c>
      <c r="E219" s="18">
        <f>IF($F219=0,0,D219/$F219)</f>
        <v>0.0333333333333333</v>
      </c>
      <c r="F219" s="17">
        <f>$F$205</f>
        <v>30</v>
      </c>
      <c r="G219" s="4" t="inlineStr">
        <is>
          <t>複数回答</t>
        </is>
      </c>
    </row>
    <row r="220" ht="28" customHeight="1">
      <c r="A220" s="4" t="inlineStr">
        <is>
          <t>問27-1</t>
        </is>
      </c>
      <c r="B220" s="5" t="inlineStr">
        <is>
          <t>現在利用しているサービスを選んでください（あてはまるものすべて）</t>
        </is>
      </c>
      <c r="C220" s="5" t="inlineStr">
        <is>
          <t>日中一時支援</t>
        </is>
      </c>
      <c r="D220" s="26" t="n">
        <v>1</v>
      </c>
      <c r="E220" s="18">
        <f>IF($F220=0,0,D220/$F220)</f>
        <v>0.0333333333333333</v>
      </c>
      <c r="F220" s="17">
        <f>$F$205</f>
        <v>30</v>
      </c>
      <c r="G220" s="4" t="inlineStr">
        <is>
          <t>複数回答</t>
        </is>
      </c>
    </row>
    <row r="221" ht="28" customHeight="1">
      <c r="A221" s="4" t="inlineStr">
        <is>
          <t>問27-1</t>
        </is>
      </c>
      <c r="B221" s="5" t="inlineStr">
        <is>
          <t>現在利用しているサービスを選んでください（あてはまるものすべて）</t>
        </is>
      </c>
      <c r="C221" s="5" t="inlineStr">
        <is>
          <t>日常生活用具</t>
        </is>
      </c>
      <c r="D221" s="26" t="n">
        <v>1</v>
      </c>
      <c r="E221" s="18">
        <f>IF($F221=0,0,D221/$F221)</f>
        <v>0.0333333333333333</v>
      </c>
      <c r="F221" s="17">
        <f>$F$205</f>
        <v>30</v>
      </c>
      <c r="G221" s="4" t="inlineStr">
        <is>
          <t>複数回答</t>
        </is>
      </c>
    </row>
    <row r="222" ht="28" customHeight="1">
      <c r="A222" s="4" t="inlineStr">
        <is>
          <t>問27-1</t>
        </is>
      </c>
      <c r="B222" s="5" t="inlineStr">
        <is>
          <t>現在利用しているサービスを選んでください（あてはまるものすべて）</t>
        </is>
      </c>
      <c r="C222" s="5" t="inlineStr">
        <is>
          <t>訪問入浴</t>
        </is>
      </c>
      <c r="D222" s="26" t="n">
        <v>0</v>
      </c>
      <c r="E222" s="18">
        <f>IF($F222=0,0,D222/$F222)</f>
        <v>0</v>
      </c>
      <c r="F222" s="17">
        <f>$F$205</f>
        <v>30</v>
      </c>
      <c r="G222" s="4" t="inlineStr">
        <is>
          <t>複数回答</t>
        </is>
      </c>
    </row>
    <row r="223" ht="28" customHeight="1">
      <c r="A223" s="4" t="inlineStr">
        <is>
          <t>問27-1</t>
        </is>
      </c>
      <c r="B223" s="5" t="inlineStr">
        <is>
          <t>現在利用しているサービスを選んでください（あてはまるものすべて）</t>
        </is>
      </c>
      <c r="C223" s="5" t="inlineStr">
        <is>
          <t>現在利用しているサービスは特にない</t>
        </is>
      </c>
      <c r="D223" s="26" t="n">
        <v>17</v>
      </c>
      <c r="E223" s="18">
        <f>IF($F223=0,0,D223/$F223)</f>
        <v>0.566666666666667</v>
      </c>
      <c r="F223" s="17">
        <f>$F$205</f>
        <v>30</v>
      </c>
      <c r="G223" s="4" t="inlineStr">
        <is>
          <t>複数回答</t>
        </is>
      </c>
    </row>
    <row r="224" ht="28" customHeight="1">
      <c r="A224" s="4" t="inlineStr">
        <is>
          <t>問27-2</t>
        </is>
      </c>
      <c r="B224" s="5" t="inlineStr">
        <is>
          <t>内容をよく知らないサービスがあれば選んでください（あてはまるものすべて）</t>
        </is>
      </c>
      <c r="C224" s="5" t="inlineStr">
        <is>
          <t>居宅介護（ホームヘルプ）</t>
        </is>
      </c>
      <c r="D224" s="26" t="n">
        <v>6</v>
      </c>
      <c r="E224" s="18">
        <f>IF($F224=0,0,D224/$F224)</f>
        <v>0.25</v>
      </c>
      <c r="F224" s="26" t="n">
        <v>24</v>
      </c>
      <c r="G224" s="4" t="inlineStr">
        <is>
          <t>複数回答</t>
        </is>
      </c>
    </row>
    <row r="225" ht="28" customHeight="1">
      <c r="A225" s="4" t="inlineStr">
        <is>
          <t>問27-2</t>
        </is>
      </c>
      <c r="B225" s="5" t="inlineStr">
        <is>
          <t>内容をよく知らないサービスがあれば選んでください（あてはまるものすべて）</t>
        </is>
      </c>
      <c r="C225" s="5" t="inlineStr">
        <is>
          <t>重度訪問介護</t>
        </is>
      </c>
      <c r="D225" s="26" t="n">
        <v>9</v>
      </c>
      <c r="E225" s="18">
        <f>IF($F225=0,0,D225/$F225)</f>
        <v>0.375</v>
      </c>
      <c r="F225" s="17">
        <f>$F$224</f>
        <v>24</v>
      </c>
      <c r="G225" s="4" t="inlineStr">
        <is>
          <t>複数回答</t>
        </is>
      </c>
    </row>
    <row r="226" ht="28" customHeight="1">
      <c r="A226" s="4" t="inlineStr">
        <is>
          <t>問27-2</t>
        </is>
      </c>
      <c r="B226" s="5" t="inlineStr">
        <is>
          <t>内容をよく知らないサービスがあれば選んでください（あてはまるものすべて）</t>
        </is>
      </c>
      <c r="C226" s="5" t="inlineStr">
        <is>
          <t>同行援護・行動援護</t>
        </is>
      </c>
      <c r="D226" s="26" t="n">
        <v>9</v>
      </c>
      <c r="E226" s="18">
        <f>IF($F226=0,0,D226/$F226)</f>
        <v>0.375</v>
      </c>
      <c r="F226" s="17">
        <f>$F$224</f>
        <v>24</v>
      </c>
      <c r="G226" s="4" t="inlineStr">
        <is>
          <t>複数回答</t>
        </is>
      </c>
    </row>
    <row r="227" ht="28" customHeight="1">
      <c r="A227" s="4" t="inlineStr">
        <is>
          <t>問27-2</t>
        </is>
      </c>
      <c r="B227" s="5" t="inlineStr">
        <is>
          <t>内容をよく知らないサービスがあれば選んでください（あてはまるものすべて）</t>
        </is>
      </c>
      <c r="C227" s="5" t="inlineStr">
        <is>
          <t>生活介護</t>
        </is>
      </c>
      <c r="D227" s="26" t="n">
        <v>6</v>
      </c>
      <c r="E227" s="18">
        <f>IF($F227=0,0,D227/$F227)</f>
        <v>0.25</v>
      </c>
      <c r="F227" s="17">
        <f>$F$224</f>
        <v>24</v>
      </c>
      <c r="G227" s="4" t="inlineStr">
        <is>
          <t>複数回答</t>
        </is>
      </c>
    </row>
    <row r="228" ht="28" customHeight="1">
      <c r="A228" s="4" t="inlineStr">
        <is>
          <t>問27-2</t>
        </is>
      </c>
      <c r="B228" s="5" t="inlineStr">
        <is>
          <t>内容をよく知らないサービスがあれば選んでください（あてはまるものすべて）</t>
        </is>
      </c>
      <c r="C228" s="5" t="inlineStr">
        <is>
          <t>自立訓練</t>
        </is>
      </c>
      <c r="D228" s="26" t="n">
        <v>8</v>
      </c>
      <c r="E228" s="18">
        <f>IF($F228=0,0,D228/$F228)</f>
        <v>0.333333333333333</v>
      </c>
      <c r="F228" s="17">
        <f>$F$224</f>
        <v>24</v>
      </c>
      <c r="G228" s="4" t="inlineStr">
        <is>
          <t>複数回答</t>
        </is>
      </c>
    </row>
    <row r="229" ht="28" customHeight="1">
      <c r="A229" s="4" t="inlineStr">
        <is>
          <t>問27-2</t>
        </is>
      </c>
      <c r="B229" s="5" t="inlineStr">
        <is>
          <t>内容をよく知らないサービスがあれば選んでください（あてはまるものすべて）</t>
        </is>
      </c>
      <c r="C229" s="5" t="inlineStr">
        <is>
          <t>就労移行支援</t>
        </is>
      </c>
      <c r="D229" s="26" t="n">
        <v>8</v>
      </c>
      <c r="E229" s="18">
        <f>IF($F229=0,0,D229/$F229)</f>
        <v>0.333333333333333</v>
      </c>
      <c r="F229" s="17">
        <f>$F$224</f>
        <v>24</v>
      </c>
      <c r="G229" s="4" t="inlineStr">
        <is>
          <t>複数回答</t>
        </is>
      </c>
    </row>
    <row r="230" ht="28" customHeight="1">
      <c r="A230" s="4" t="inlineStr">
        <is>
          <t>問27-2</t>
        </is>
      </c>
      <c r="B230" s="5" t="inlineStr">
        <is>
          <t>内容をよく知らないサービスがあれば選んでください（あてはまるものすべて）</t>
        </is>
      </c>
      <c r="C230" s="5" t="inlineStr">
        <is>
          <t>就労継続支援A型</t>
        </is>
      </c>
      <c r="D230" s="26" t="n">
        <v>8</v>
      </c>
      <c r="E230" s="18">
        <f>IF($F230=0,0,D230/$F230)</f>
        <v>0.333333333333333</v>
      </c>
      <c r="F230" s="17">
        <f>$F$224</f>
        <v>24</v>
      </c>
      <c r="G230" s="4" t="inlineStr">
        <is>
          <t>複数回答</t>
        </is>
      </c>
    </row>
    <row r="231" ht="28" customHeight="1">
      <c r="A231" s="4" t="inlineStr">
        <is>
          <t>問27-2</t>
        </is>
      </c>
      <c r="B231" s="5" t="inlineStr">
        <is>
          <t>内容をよく知らないサービスがあれば選んでください（あてはまるものすべて）</t>
        </is>
      </c>
      <c r="C231" s="5" t="inlineStr">
        <is>
          <t>就労継続支援B型</t>
        </is>
      </c>
      <c r="D231" s="26" t="n">
        <v>8</v>
      </c>
      <c r="E231" s="18">
        <f>IF($F231=0,0,D231/$F231)</f>
        <v>0.333333333333333</v>
      </c>
      <c r="F231" s="17">
        <f>$F$224</f>
        <v>24</v>
      </c>
      <c r="G231" s="4" t="inlineStr">
        <is>
          <t>複数回答</t>
        </is>
      </c>
    </row>
    <row r="232" ht="28" customHeight="1">
      <c r="A232" s="4" t="inlineStr">
        <is>
          <t>問27-2</t>
        </is>
      </c>
      <c r="B232" s="5" t="inlineStr">
        <is>
          <t>内容をよく知らないサービスがあれば選んでください（あてはまるものすべて）</t>
        </is>
      </c>
      <c r="C232" s="5" t="inlineStr">
        <is>
          <t>就労選択支援</t>
        </is>
      </c>
      <c r="D232" s="26" t="n">
        <v>9</v>
      </c>
      <c r="E232" s="18">
        <f>IF($F232=0,0,D232/$F232)</f>
        <v>0.375</v>
      </c>
      <c r="F232" s="17">
        <f>$F$224</f>
        <v>24</v>
      </c>
      <c r="G232" s="4" t="inlineStr">
        <is>
          <t>複数回答</t>
        </is>
      </c>
    </row>
    <row r="233" ht="28" customHeight="1">
      <c r="A233" s="4" t="inlineStr">
        <is>
          <t>問27-2</t>
        </is>
      </c>
      <c r="B233" s="5" t="inlineStr">
        <is>
          <t>内容をよく知らないサービスがあれば選んでください（あてはまるものすべて）</t>
        </is>
      </c>
      <c r="C233" s="5" t="inlineStr">
        <is>
          <t>就労定着支援</t>
        </is>
      </c>
      <c r="D233" s="26" t="n">
        <v>8</v>
      </c>
      <c r="E233" s="18">
        <f>IF($F233=0,0,D233/$F233)</f>
        <v>0.333333333333333</v>
      </c>
      <c r="F233" s="17">
        <f>$F$224</f>
        <v>24</v>
      </c>
      <c r="G233" s="4" t="inlineStr">
        <is>
          <t>複数回答</t>
        </is>
      </c>
    </row>
    <row r="234" ht="28" customHeight="1">
      <c r="A234" s="4" t="inlineStr">
        <is>
          <t>問27-2</t>
        </is>
      </c>
      <c r="B234" s="5" t="inlineStr">
        <is>
          <t>内容をよく知らないサービスがあれば選んでください（あてはまるものすべて）</t>
        </is>
      </c>
      <c r="C234" s="5" t="inlineStr">
        <is>
          <t>短期入所（ショートステイ）</t>
        </is>
      </c>
      <c r="D234" s="26" t="n">
        <v>4</v>
      </c>
      <c r="E234" s="18">
        <f>IF($F234=0,0,D234/$F234)</f>
        <v>0.166666666666667</v>
      </c>
      <c r="F234" s="17">
        <f>$F$224</f>
        <v>24</v>
      </c>
      <c r="G234" s="4" t="inlineStr">
        <is>
          <t>複数回答</t>
        </is>
      </c>
    </row>
    <row r="235" ht="28" customHeight="1">
      <c r="A235" s="4" t="inlineStr">
        <is>
          <t>問27-2</t>
        </is>
      </c>
      <c r="B235" s="5" t="inlineStr">
        <is>
          <t>内容をよく知らないサービスがあれば選んでください（あてはまるものすべて）</t>
        </is>
      </c>
      <c r="C235" s="5" t="inlineStr">
        <is>
          <t>グループホーム</t>
        </is>
      </c>
      <c r="D235" s="26" t="n">
        <v>5</v>
      </c>
      <c r="E235" s="18">
        <f>IF($F235=0,0,D235/$F235)</f>
        <v>0.208333333333333</v>
      </c>
      <c r="F235" s="17">
        <f>$F$224</f>
        <v>24</v>
      </c>
      <c r="G235" s="4" t="inlineStr">
        <is>
          <t>複数回答</t>
        </is>
      </c>
    </row>
    <row r="236" ht="28" customHeight="1">
      <c r="A236" s="4" t="inlineStr">
        <is>
          <t>問27-2</t>
        </is>
      </c>
      <c r="B236" s="5" t="inlineStr">
        <is>
          <t>内容をよく知らないサービスがあれば選んでください（あてはまるものすべて）</t>
        </is>
      </c>
      <c r="C236" s="5" t="inlineStr">
        <is>
          <t>施設入所支援</t>
        </is>
      </c>
      <c r="D236" s="26" t="n">
        <v>6</v>
      </c>
      <c r="E236" s="18">
        <f>IF($F236=0,0,D236/$F236)</f>
        <v>0.25</v>
      </c>
      <c r="F236" s="17">
        <f>$F$224</f>
        <v>24</v>
      </c>
      <c r="G236" s="4" t="inlineStr">
        <is>
          <t>複数回答</t>
        </is>
      </c>
    </row>
    <row r="237" ht="28" customHeight="1">
      <c r="A237" s="4" t="inlineStr">
        <is>
          <t>問27-2</t>
        </is>
      </c>
      <c r="B237" s="5" t="inlineStr">
        <is>
          <t>内容をよく知らないサービスがあれば選んでください（あてはまるものすべて）</t>
        </is>
      </c>
      <c r="C237" s="5" t="inlineStr">
        <is>
          <t>計画相談支援</t>
        </is>
      </c>
      <c r="D237" s="26" t="n">
        <v>7</v>
      </c>
      <c r="E237" s="18">
        <f>IF($F237=0,0,D237/$F237)</f>
        <v>0.291666666666667</v>
      </c>
      <c r="F237" s="17">
        <f>$F$224</f>
        <v>24</v>
      </c>
      <c r="G237" s="4" t="inlineStr">
        <is>
          <t>複数回答</t>
        </is>
      </c>
    </row>
    <row r="238" ht="28" customHeight="1">
      <c r="A238" s="4" t="inlineStr">
        <is>
          <t>問27-2</t>
        </is>
      </c>
      <c r="B238" s="5" t="inlineStr">
        <is>
          <t>内容をよく知らないサービスがあれば選んでください（あてはまるものすべて）</t>
        </is>
      </c>
      <c r="C238" s="5" t="inlineStr">
        <is>
          <t>移動支援</t>
        </is>
      </c>
      <c r="D238" s="26" t="n">
        <v>9</v>
      </c>
      <c r="E238" s="18">
        <f>IF($F238=0,0,D238/$F238)</f>
        <v>0.375</v>
      </c>
      <c r="F238" s="17">
        <f>$F$224</f>
        <v>24</v>
      </c>
      <c r="G238" s="4" t="inlineStr">
        <is>
          <t>複数回答</t>
        </is>
      </c>
    </row>
    <row r="239" ht="28" customHeight="1">
      <c r="A239" s="4" t="inlineStr">
        <is>
          <t>問27-2</t>
        </is>
      </c>
      <c r="B239" s="5" t="inlineStr">
        <is>
          <t>内容をよく知らないサービスがあれば選んでください（あてはまるものすべて）</t>
        </is>
      </c>
      <c r="C239" s="5" t="inlineStr">
        <is>
          <t>日中一時支援</t>
        </is>
      </c>
      <c r="D239" s="26" t="n">
        <v>8</v>
      </c>
      <c r="E239" s="18">
        <f>IF($F239=0,0,D239/$F239)</f>
        <v>0.333333333333333</v>
      </c>
      <c r="F239" s="17">
        <f>$F$224</f>
        <v>24</v>
      </c>
      <c r="G239" s="4" t="inlineStr">
        <is>
          <t>複数回答</t>
        </is>
      </c>
    </row>
    <row r="240" ht="28" customHeight="1">
      <c r="A240" s="4" t="inlineStr">
        <is>
          <t>問27-2</t>
        </is>
      </c>
      <c r="B240" s="5" t="inlineStr">
        <is>
          <t>内容をよく知らないサービスがあれば選んでください（あてはまるものすべて）</t>
        </is>
      </c>
      <c r="C240" s="5" t="inlineStr">
        <is>
          <t>日常生活用具</t>
        </is>
      </c>
      <c r="D240" s="26" t="n">
        <v>6</v>
      </c>
      <c r="E240" s="18">
        <f>IF($F240=0,0,D240/$F240)</f>
        <v>0.25</v>
      </c>
      <c r="F240" s="17">
        <f>$F$224</f>
        <v>24</v>
      </c>
      <c r="G240" s="4" t="inlineStr">
        <is>
          <t>複数回答</t>
        </is>
      </c>
    </row>
    <row r="241" ht="28" customHeight="1">
      <c r="A241" s="4" t="inlineStr">
        <is>
          <t>問27-2</t>
        </is>
      </c>
      <c r="B241" s="5" t="inlineStr">
        <is>
          <t>内容をよく知らないサービスがあれば選んでください（あてはまるものすべて）</t>
        </is>
      </c>
      <c r="C241" s="5" t="inlineStr">
        <is>
          <t>訪問入浴</t>
        </is>
      </c>
      <c r="D241" s="26" t="n">
        <v>5</v>
      </c>
      <c r="E241" s="18">
        <f>IF($F241=0,0,D241/$F241)</f>
        <v>0.208333333333333</v>
      </c>
      <c r="F241" s="17">
        <f>$F$224</f>
        <v>24</v>
      </c>
      <c r="G241" s="4" t="inlineStr">
        <is>
          <t>複数回答</t>
        </is>
      </c>
    </row>
    <row r="242" ht="28" customHeight="1">
      <c r="A242" s="4" t="inlineStr">
        <is>
          <t>問27-2</t>
        </is>
      </c>
      <c r="B242" s="5" t="inlineStr">
        <is>
          <t>内容をよく知らないサービスがあれば選んでください（あてはまるものすべて）</t>
        </is>
      </c>
      <c r="C242" s="5" t="inlineStr">
        <is>
          <t>知らないサービスは特にない</t>
        </is>
      </c>
      <c r="D242" s="26" t="n">
        <v>7</v>
      </c>
      <c r="E242" s="18">
        <f>IF($F242=0,0,D242/$F242)</f>
        <v>0.291666666666667</v>
      </c>
      <c r="F242" s="17">
        <f>$F$224</f>
        <v>24</v>
      </c>
      <c r="G242" s="4" t="inlineStr">
        <is>
          <t>複数回答</t>
        </is>
      </c>
    </row>
    <row r="243" ht="28" customHeight="1">
      <c r="A243" s="4" t="inlineStr">
        <is>
          <t>問27-3</t>
        </is>
      </c>
      <c r="B243" s="5" t="inlineStr">
        <is>
          <t>今後3年間で利用したい、または利用を続けたいサービスを選んでください（あてはまるものすべて）</t>
        </is>
      </c>
      <c r="C243" s="5" t="inlineStr">
        <is>
          <t>居宅介護（ホームヘルプ）</t>
        </is>
      </c>
      <c r="D243" s="26" t="n">
        <v>3</v>
      </c>
      <c r="E243" s="18">
        <f>IF($F243=0,0,D243/$F243)</f>
        <v>0.107142857142857</v>
      </c>
      <c r="F243" s="26" t="n">
        <v>28</v>
      </c>
      <c r="G243" s="4" t="inlineStr">
        <is>
          <t>複数回答</t>
        </is>
      </c>
    </row>
    <row r="244" ht="28" customHeight="1">
      <c r="A244" s="4" t="inlineStr">
        <is>
          <t>問27-3</t>
        </is>
      </c>
      <c r="B244" s="5" t="inlineStr">
        <is>
          <t>今後3年間で利用したい、または利用を続けたいサービスを選んでください（あてはまるものすべて）</t>
        </is>
      </c>
      <c r="C244" s="5" t="inlineStr">
        <is>
          <t>重度訪問介護</t>
        </is>
      </c>
      <c r="D244" s="26" t="n">
        <v>0</v>
      </c>
      <c r="E244" s="18">
        <f>IF($F244=0,0,D244/$F244)</f>
        <v>0</v>
      </c>
      <c r="F244" s="17">
        <f>$F$243</f>
        <v>28</v>
      </c>
      <c r="G244" s="4" t="inlineStr">
        <is>
          <t>複数回答</t>
        </is>
      </c>
    </row>
    <row r="245" ht="28" customHeight="1">
      <c r="A245" s="4" t="inlineStr">
        <is>
          <t>問27-3</t>
        </is>
      </c>
      <c r="B245" s="5" t="inlineStr">
        <is>
          <t>今後3年間で利用したい、または利用を続けたいサービスを選んでください（あてはまるものすべて）</t>
        </is>
      </c>
      <c r="C245" s="5" t="inlineStr">
        <is>
          <t>同行援護・行動援護</t>
        </is>
      </c>
      <c r="D245" s="26" t="n">
        <v>1</v>
      </c>
      <c r="E245" s="18">
        <f>IF($F245=0,0,D245/$F245)</f>
        <v>0.0357142857142857</v>
      </c>
      <c r="F245" s="17">
        <f>$F$243</f>
        <v>28</v>
      </c>
      <c r="G245" s="4" t="inlineStr">
        <is>
          <t>複数回答</t>
        </is>
      </c>
    </row>
    <row r="246" ht="28" customHeight="1">
      <c r="A246" s="4" t="inlineStr">
        <is>
          <t>問27-3</t>
        </is>
      </c>
      <c r="B246" s="5" t="inlineStr">
        <is>
          <t>今後3年間で利用したい、または利用を続けたいサービスを選んでください（あてはまるものすべて）</t>
        </is>
      </c>
      <c r="C246" s="5" t="inlineStr">
        <is>
          <t>生活介護</t>
        </is>
      </c>
      <c r="D246" s="26" t="n">
        <v>3</v>
      </c>
      <c r="E246" s="18">
        <f>IF($F246=0,0,D246/$F246)</f>
        <v>0.107142857142857</v>
      </c>
      <c r="F246" s="17">
        <f>$F$243</f>
        <v>28</v>
      </c>
      <c r="G246" s="4" t="inlineStr">
        <is>
          <t>複数回答</t>
        </is>
      </c>
    </row>
    <row r="247" ht="28" customHeight="1">
      <c r="A247" s="4" t="inlineStr">
        <is>
          <t>問27-3</t>
        </is>
      </c>
      <c r="B247" s="5" t="inlineStr">
        <is>
          <t>今後3年間で利用したい、または利用を続けたいサービスを選んでください（あてはまるものすべて）</t>
        </is>
      </c>
      <c r="C247" s="5" t="inlineStr">
        <is>
          <t>自立訓練</t>
        </is>
      </c>
      <c r="D247" s="26" t="n">
        <v>2</v>
      </c>
      <c r="E247" s="18">
        <f>IF($F247=0,0,D247/$F247)</f>
        <v>0.0714285714285714</v>
      </c>
      <c r="F247" s="17">
        <f>$F$243</f>
        <v>28</v>
      </c>
      <c r="G247" s="4" t="inlineStr">
        <is>
          <t>複数回答</t>
        </is>
      </c>
    </row>
    <row r="248" ht="28" customHeight="1">
      <c r="A248" s="4" t="inlineStr">
        <is>
          <t>問27-3</t>
        </is>
      </c>
      <c r="B248" s="5" t="inlineStr">
        <is>
          <t>今後3年間で利用したい、または利用を続けたいサービスを選んでください（あてはまるものすべて）</t>
        </is>
      </c>
      <c r="C248" s="5" t="inlineStr">
        <is>
          <t>就労移行支援</t>
        </is>
      </c>
      <c r="D248" s="26" t="n">
        <v>1</v>
      </c>
      <c r="E248" s="18">
        <f>IF($F248=0,0,D248/$F248)</f>
        <v>0.0357142857142857</v>
      </c>
      <c r="F248" s="17">
        <f>$F$243</f>
        <v>28</v>
      </c>
      <c r="G248" s="4" t="inlineStr">
        <is>
          <t>複数回答</t>
        </is>
      </c>
    </row>
    <row r="249" ht="28" customHeight="1">
      <c r="A249" s="4" t="inlineStr">
        <is>
          <t>問27-3</t>
        </is>
      </c>
      <c r="B249" s="5" t="inlineStr">
        <is>
          <t>今後3年間で利用したい、または利用を続けたいサービスを選んでください（あてはまるものすべて）</t>
        </is>
      </c>
      <c r="C249" s="5" t="inlineStr">
        <is>
          <t>就労継続支援A型</t>
        </is>
      </c>
      <c r="D249" s="26" t="n">
        <v>0</v>
      </c>
      <c r="E249" s="18">
        <f>IF($F249=0,0,D249/$F249)</f>
        <v>0</v>
      </c>
      <c r="F249" s="17">
        <f>$F$243</f>
        <v>28</v>
      </c>
      <c r="G249" s="4" t="inlineStr">
        <is>
          <t>複数回答</t>
        </is>
      </c>
    </row>
    <row r="250" ht="28" customHeight="1">
      <c r="A250" s="4" t="inlineStr">
        <is>
          <t>問27-3</t>
        </is>
      </c>
      <c r="B250" s="5" t="inlineStr">
        <is>
          <t>今後3年間で利用したい、または利用を続けたいサービスを選んでください（あてはまるものすべて）</t>
        </is>
      </c>
      <c r="C250" s="5" t="inlineStr">
        <is>
          <t>就労継続支援B型</t>
        </is>
      </c>
      <c r="D250" s="26" t="n">
        <v>1</v>
      </c>
      <c r="E250" s="18">
        <f>IF($F250=0,0,D250/$F250)</f>
        <v>0.0357142857142857</v>
      </c>
      <c r="F250" s="17">
        <f>$F$243</f>
        <v>28</v>
      </c>
      <c r="G250" s="4" t="inlineStr">
        <is>
          <t>複数回答</t>
        </is>
      </c>
    </row>
    <row r="251" ht="28" customHeight="1">
      <c r="A251" s="4" t="inlineStr">
        <is>
          <t>問27-3</t>
        </is>
      </c>
      <c r="B251" s="5" t="inlineStr">
        <is>
          <t>今後3年間で利用したい、または利用を続けたいサービスを選んでください（あてはまるものすべて）</t>
        </is>
      </c>
      <c r="C251" s="5" t="inlineStr">
        <is>
          <t>就労選択支援</t>
        </is>
      </c>
      <c r="D251" s="26" t="n">
        <v>0</v>
      </c>
      <c r="E251" s="18">
        <f>IF($F251=0,0,D251/$F251)</f>
        <v>0</v>
      </c>
      <c r="F251" s="17">
        <f>$F$243</f>
        <v>28</v>
      </c>
      <c r="G251" s="4" t="inlineStr">
        <is>
          <t>複数回答</t>
        </is>
      </c>
    </row>
    <row r="252" ht="28" customHeight="1">
      <c r="A252" s="4" t="inlineStr">
        <is>
          <t>問27-3</t>
        </is>
      </c>
      <c r="B252" s="5" t="inlineStr">
        <is>
          <t>今後3年間で利用したい、または利用を続けたいサービスを選んでください（あてはまるものすべて）</t>
        </is>
      </c>
      <c r="C252" s="5" t="inlineStr">
        <is>
          <t>就労定着支援</t>
        </is>
      </c>
      <c r="D252" s="26" t="n">
        <v>0</v>
      </c>
      <c r="E252" s="18">
        <f>IF($F252=0,0,D252/$F252)</f>
        <v>0</v>
      </c>
      <c r="F252" s="17">
        <f>$F$243</f>
        <v>28</v>
      </c>
      <c r="G252" s="4" t="inlineStr">
        <is>
          <t>複数回答</t>
        </is>
      </c>
    </row>
    <row r="253" ht="28" customHeight="1">
      <c r="A253" s="4" t="inlineStr">
        <is>
          <t>問27-3</t>
        </is>
      </c>
      <c r="B253" s="5" t="inlineStr">
        <is>
          <t>今後3年間で利用したい、または利用を続けたいサービスを選んでください（あてはまるものすべて）</t>
        </is>
      </c>
      <c r="C253" s="5" t="inlineStr">
        <is>
          <t>短期入所（ショートステイ）</t>
        </is>
      </c>
      <c r="D253" s="26" t="n">
        <v>4</v>
      </c>
      <c r="E253" s="18">
        <f>IF($F253=0,0,D253/$F253)</f>
        <v>0.142857142857143</v>
      </c>
      <c r="F253" s="17">
        <f>$F$243</f>
        <v>28</v>
      </c>
      <c r="G253" s="4" t="inlineStr">
        <is>
          <t>複数回答</t>
        </is>
      </c>
    </row>
    <row r="254" ht="28" customHeight="1">
      <c r="A254" s="4" t="inlineStr">
        <is>
          <t>問27-3</t>
        </is>
      </c>
      <c r="B254" s="5" t="inlineStr">
        <is>
          <t>今後3年間で利用したい、または利用を続けたいサービスを選んでください（あてはまるものすべて）</t>
        </is>
      </c>
      <c r="C254" s="5" t="inlineStr">
        <is>
          <t>グループホーム</t>
        </is>
      </c>
      <c r="D254" s="26" t="n">
        <v>5</v>
      </c>
      <c r="E254" s="18">
        <f>IF($F254=0,0,D254/$F254)</f>
        <v>0.178571428571429</v>
      </c>
      <c r="F254" s="17">
        <f>$F$243</f>
        <v>28</v>
      </c>
      <c r="G254" s="4" t="inlineStr">
        <is>
          <t>複数回答</t>
        </is>
      </c>
    </row>
    <row r="255" ht="28" customHeight="1">
      <c r="A255" s="4" t="inlineStr">
        <is>
          <t>問27-3</t>
        </is>
      </c>
      <c r="B255" s="5" t="inlineStr">
        <is>
          <t>今後3年間で利用したい、または利用を続けたいサービスを選んでください（あてはまるものすべて）</t>
        </is>
      </c>
      <c r="C255" s="5" t="inlineStr">
        <is>
          <t>施設入所支援</t>
        </is>
      </c>
      <c r="D255" s="26" t="n">
        <v>9</v>
      </c>
      <c r="E255" s="18">
        <f>IF($F255=0,0,D255/$F255)</f>
        <v>0.321428571428571</v>
      </c>
      <c r="F255" s="17">
        <f>$F$243</f>
        <v>28</v>
      </c>
      <c r="G255" s="4" t="inlineStr">
        <is>
          <t>複数回答</t>
        </is>
      </c>
    </row>
    <row r="256" ht="28" customHeight="1">
      <c r="A256" s="4" t="inlineStr">
        <is>
          <t>問27-3</t>
        </is>
      </c>
      <c r="B256" s="5" t="inlineStr">
        <is>
          <t>今後3年間で利用したい、または利用を続けたいサービスを選んでください（あてはまるものすべて）</t>
        </is>
      </c>
      <c r="C256" s="5" t="inlineStr">
        <is>
          <t>計画相談支援</t>
        </is>
      </c>
      <c r="D256" s="26" t="n">
        <v>3</v>
      </c>
      <c r="E256" s="18">
        <f>IF($F256=0,0,D256/$F256)</f>
        <v>0.107142857142857</v>
      </c>
      <c r="F256" s="17">
        <f>$F$243</f>
        <v>28</v>
      </c>
      <c r="G256" s="4" t="inlineStr">
        <is>
          <t>複数回答</t>
        </is>
      </c>
    </row>
    <row r="257" ht="28" customHeight="1">
      <c r="A257" s="4" t="inlineStr">
        <is>
          <t>問27-3</t>
        </is>
      </c>
      <c r="B257" s="5" t="inlineStr">
        <is>
          <t>今後3年間で利用したい、または利用を続けたいサービスを選んでください（あてはまるものすべて）</t>
        </is>
      </c>
      <c r="C257" s="5" t="inlineStr">
        <is>
          <t>移動支援</t>
        </is>
      </c>
      <c r="D257" s="26" t="n">
        <v>2</v>
      </c>
      <c r="E257" s="18">
        <f>IF($F257=0,0,D257/$F257)</f>
        <v>0.0714285714285714</v>
      </c>
      <c r="F257" s="17">
        <f>$F$243</f>
        <v>28</v>
      </c>
      <c r="G257" s="4" t="inlineStr">
        <is>
          <t>複数回答</t>
        </is>
      </c>
    </row>
    <row r="258" ht="28" customHeight="1">
      <c r="A258" s="4" t="inlineStr">
        <is>
          <t>問27-3</t>
        </is>
      </c>
      <c r="B258" s="5" t="inlineStr">
        <is>
          <t>今後3年間で利用したい、または利用を続けたいサービスを選んでください（あてはまるものすべて）</t>
        </is>
      </c>
      <c r="C258" s="5" t="inlineStr">
        <is>
          <t>日中一時支援</t>
        </is>
      </c>
      <c r="D258" s="26" t="n">
        <v>1</v>
      </c>
      <c r="E258" s="18">
        <f>IF($F258=0,0,D258/$F258)</f>
        <v>0.0357142857142857</v>
      </c>
      <c r="F258" s="17">
        <f>$F$243</f>
        <v>28</v>
      </c>
      <c r="G258" s="4" t="inlineStr">
        <is>
          <t>複数回答</t>
        </is>
      </c>
    </row>
    <row r="259" ht="28" customHeight="1">
      <c r="A259" s="4" t="inlineStr">
        <is>
          <t>問27-3</t>
        </is>
      </c>
      <c r="B259" s="5" t="inlineStr">
        <is>
          <t>今後3年間で利用したい、または利用を続けたいサービスを選んでください（あてはまるものすべて）</t>
        </is>
      </c>
      <c r="C259" s="5" t="inlineStr">
        <is>
          <t>日常生活用具</t>
        </is>
      </c>
      <c r="D259" s="26" t="n">
        <v>1</v>
      </c>
      <c r="E259" s="18">
        <f>IF($F259=0,0,D259/$F259)</f>
        <v>0.0357142857142857</v>
      </c>
      <c r="F259" s="17">
        <f>$F$243</f>
        <v>28</v>
      </c>
      <c r="G259" s="4" t="inlineStr">
        <is>
          <t>複数回答</t>
        </is>
      </c>
    </row>
    <row r="260" ht="28" customHeight="1">
      <c r="A260" s="4" t="inlineStr">
        <is>
          <t>問27-3</t>
        </is>
      </c>
      <c r="B260" s="5" t="inlineStr">
        <is>
          <t>今後3年間で利用したい、または利用を続けたいサービスを選んでください（あてはまるものすべて）</t>
        </is>
      </c>
      <c r="C260" s="5" t="inlineStr">
        <is>
          <t>訪問入浴</t>
        </is>
      </c>
      <c r="D260" s="26" t="n">
        <v>0</v>
      </c>
      <c r="E260" s="18">
        <f>IF($F260=0,0,D260/$F260)</f>
        <v>0</v>
      </c>
      <c r="F260" s="17">
        <f>$F$243</f>
        <v>28</v>
      </c>
      <c r="G260" s="4" t="inlineStr">
        <is>
          <t>複数回答</t>
        </is>
      </c>
    </row>
    <row r="261" ht="28" customHeight="1">
      <c r="A261" s="4" t="inlineStr">
        <is>
          <t>問27-3</t>
        </is>
      </c>
      <c r="B261" s="5" t="inlineStr">
        <is>
          <t>今後3年間で利用したい、または利用を続けたいサービスを選んでください（あてはまるものすべて）</t>
        </is>
      </c>
      <c r="C261" s="5" t="inlineStr">
        <is>
          <t>利用したいサービスは特にない</t>
        </is>
      </c>
      <c r="D261" s="26" t="n">
        <v>12</v>
      </c>
      <c r="E261" s="18">
        <f>IF($F261=0,0,D261/$F261)</f>
        <v>0.428571428571429</v>
      </c>
      <c r="F261" s="17">
        <f>$F$243</f>
        <v>28</v>
      </c>
      <c r="G261" s="4" t="inlineStr">
        <is>
          <t>複数回答</t>
        </is>
      </c>
    </row>
    <row r="262" ht="28" customHeight="1">
      <c r="A262" s="4" t="inlineStr">
        <is>
          <t>問28</t>
        </is>
      </c>
      <c r="B262" s="5" t="inlineStr">
        <is>
          <t>サービスを利用したいが利用できない理由は何ですか（あてはまるものすべて）</t>
        </is>
      </c>
      <c r="C262" s="5" t="inlineStr">
        <is>
          <t>近くに事業所がない</t>
        </is>
      </c>
      <c r="D262" s="26" t="n">
        <v>3</v>
      </c>
      <c r="E262" s="18">
        <f>IF($F262=0,0,D262/$F262)</f>
        <v>0.12</v>
      </c>
      <c r="F262" s="26" t="n">
        <v>25</v>
      </c>
      <c r="G262" s="4" t="inlineStr">
        <is>
          <t>複数回答</t>
        </is>
      </c>
    </row>
    <row r="263" ht="28" customHeight="1">
      <c r="A263" s="4" t="inlineStr">
        <is>
          <t>問28</t>
        </is>
      </c>
      <c r="B263" s="5" t="inlineStr">
        <is>
          <t>サービスを利用したいが利用できない理由は何ですか（あてはまるものすべて）</t>
        </is>
      </c>
      <c r="C263" s="5" t="inlineStr">
        <is>
          <t>空きがない</t>
        </is>
      </c>
      <c r="D263" s="26" t="n">
        <v>1</v>
      </c>
      <c r="E263" s="18">
        <f>IF($F263=0,0,D263/$F263)</f>
        <v>0.04</v>
      </c>
      <c r="F263" s="17">
        <f>$F$262</f>
        <v>25</v>
      </c>
      <c r="G263" s="4" t="inlineStr">
        <is>
          <t>複数回答</t>
        </is>
      </c>
    </row>
    <row r="264" ht="28" customHeight="1">
      <c r="A264" s="4" t="inlineStr">
        <is>
          <t>問28</t>
        </is>
      </c>
      <c r="B264" s="5" t="inlineStr">
        <is>
          <t>サービスを利用したいが利用できない理由は何ですか（あてはまるものすべて）</t>
        </is>
      </c>
      <c r="C264" s="5" t="inlineStr">
        <is>
          <t>送迎がない</t>
        </is>
      </c>
      <c r="D264" s="26" t="n">
        <v>1</v>
      </c>
      <c r="E264" s="18">
        <f>IF($F264=0,0,D264/$F264)</f>
        <v>0.04</v>
      </c>
      <c r="F264" s="17">
        <f>$F$262</f>
        <v>25</v>
      </c>
      <c r="G264" s="4" t="inlineStr">
        <is>
          <t>複数回答</t>
        </is>
      </c>
    </row>
    <row r="265" ht="28" customHeight="1">
      <c r="A265" s="4" t="inlineStr">
        <is>
          <t>問28</t>
        </is>
      </c>
      <c r="B265" s="5" t="inlineStr">
        <is>
          <t>サービスを利用したいが利用できない理由は何ですか（あてはまるものすべて）</t>
        </is>
      </c>
      <c r="C265" s="5" t="inlineStr">
        <is>
          <t>利用方法がわからない</t>
        </is>
      </c>
      <c r="D265" s="26" t="n">
        <v>3</v>
      </c>
      <c r="E265" s="18">
        <f>IF($F265=0,0,D265/$F265)</f>
        <v>0.12</v>
      </c>
      <c r="F265" s="17">
        <f>$F$262</f>
        <v>25</v>
      </c>
      <c r="G265" s="4" t="inlineStr">
        <is>
          <t>複数回答</t>
        </is>
      </c>
    </row>
    <row r="266" ht="28" customHeight="1">
      <c r="A266" s="4" t="inlineStr">
        <is>
          <t>問28</t>
        </is>
      </c>
      <c r="B266" s="5" t="inlineStr">
        <is>
          <t>サービスを利用したいが利用できない理由は何ですか（あてはまるものすべて）</t>
        </is>
      </c>
      <c r="C266" s="5" t="inlineStr">
        <is>
          <t>費用が心配</t>
        </is>
      </c>
      <c r="D266" s="26" t="n">
        <v>4</v>
      </c>
      <c r="E266" s="18">
        <f>IF($F266=0,0,D266/$F266)</f>
        <v>0.16</v>
      </c>
      <c r="F266" s="17">
        <f>$F$262</f>
        <v>25</v>
      </c>
      <c r="G266" s="4" t="inlineStr">
        <is>
          <t>複数回答</t>
        </is>
      </c>
    </row>
    <row r="267" ht="28" customHeight="1">
      <c r="A267" s="4" t="inlineStr">
        <is>
          <t>問28</t>
        </is>
      </c>
      <c r="B267" s="5" t="inlineStr">
        <is>
          <t>サービスを利用したいが利用できない理由は何ですか（あてはまるものすべて）</t>
        </is>
      </c>
      <c r="C267" s="5" t="inlineStr">
        <is>
          <t>本人に合うサービスがない</t>
        </is>
      </c>
      <c r="D267" s="26" t="n">
        <v>1</v>
      </c>
      <c r="E267" s="18">
        <f>IF($F267=0,0,D267/$F267)</f>
        <v>0.04</v>
      </c>
      <c r="F267" s="17">
        <f>$F$262</f>
        <v>25</v>
      </c>
      <c r="G267" s="4" t="inlineStr">
        <is>
          <t>複数回答</t>
        </is>
      </c>
    </row>
    <row r="268" ht="28" customHeight="1">
      <c r="A268" s="4" t="inlineStr">
        <is>
          <t>問28</t>
        </is>
      </c>
      <c r="B268" s="5" t="inlineStr">
        <is>
          <t>サービスを利用したいが利用できない理由は何ですか（あてはまるものすべて）</t>
        </is>
      </c>
      <c r="C268" s="5" t="inlineStr">
        <is>
          <t>家族が対応している</t>
        </is>
      </c>
      <c r="D268" s="26" t="n">
        <v>6</v>
      </c>
      <c r="E268" s="18">
        <f>IF($F268=0,0,D268/$F268)</f>
        <v>0.24</v>
      </c>
      <c r="F268" s="17">
        <f>$F$262</f>
        <v>25</v>
      </c>
      <c r="G268" s="4" t="inlineStr">
        <is>
          <t>複数回答</t>
        </is>
      </c>
    </row>
    <row r="269" ht="28" customHeight="1">
      <c r="A269" s="4" t="inlineStr">
        <is>
          <t>問28</t>
        </is>
      </c>
      <c r="B269" s="5" t="inlineStr">
        <is>
          <t>サービスを利用したいが利用できない理由は何ですか（あてはまるものすべて）</t>
        </is>
      </c>
      <c r="C269" s="5" t="inlineStr">
        <is>
          <t>必要性を感じない</t>
        </is>
      </c>
      <c r="D269" s="26" t="n">
        <v>11</v>
      </c>
      <c r="E269" s="18">
        <f>IF($F269=0,0,D269/$F269)</f>
        <v>0.44</v>
      </c>
      <c r="F269" s="17">
        <f>$F$262</f>
        <v>25</v>
      </c>
      <c r="G269" s="4" t="inlineStr">
        <is>
          <t>複数回答</t>
        </is>
      </c>
    </row>
    <row r="270" ht="28" customHeight="1">
      <c r="A270" s="4" t="inlineStr">
        <is>
          <t>問28</t>
        </is>
      </c>
      <c r="B270" s="5" t="inlineStr">
        <is>
          <t>サービスを利用したいが利用できない理由は何ですか（あてはまるものすべて）</t>
        </is>
      </c>
      <c r="C270" s="5" t="inlineStr">
        <is>
          <t>その他</t>
        </is>
      </c>
      <c r="D270" s="26" t="n">
        <v>1</v>
      </c>
      <c r="E270" s="18">
        <f>IF($F270=0,0,D270/$F270)</f>
        <v>0.04</v>
      </c>
      <c r="F270" s="17">
        <f>$F$262</f>
        <v>25</v>
      </c>
      <c r="G270" s="4" t="inlineStr">
        <is>
          <t>複数回答</t>
        </is>
      </c>
    </row>
    <row r="271" ht="40.5" customHeight="1">
      <c r="A271" s="4" t="inlineStr">
        <is>
          <t>問29</t>
        </is>
      </c>
      <c r="B271" s="5" t="inlineStr">
        <is>
          <t>緊急時の相談や短期入所など支援を行う地域生活支援拠点について期待する機能は何ですか（あてはまるものすべて）</t>
        </is>
      </c>
      <c r="C271" s="5" t="inlineStr">
        <is>
          <t>緊急時の相談</t>
        </is>
      </c>
      <c r="D271" s="26" t="n">
        <v>12</v>
      </c>
      <c r="E271" s="18">
        <f>IF($F271=0,0,D271/$F271)</f>
        <v>0.387096774193548</v>
      </c>
      <c r="F271" s="26" t="n">
        <v>31</v>
      </c>
      <c r="G271" s="4" t="inlineStr">
        <is>
          <t>複数回答</t>
        </is>
      </c>
    </row>
    <row r="272" ht="40.5" customHeight="1">
      <c r="A272" s="4" t="inlineStr">
        <is>
          <t>問29</t>
        </is>
      </c>
      <c r="B272" s="5" t="inlineStr">
        <is>
          <t>緊急時の相談や短期入所など支援を行う地域生活支援拠点について期待する機能は何ですか（あてはまるものすべて）</t>
        </is>
      </c>
      <c r="C272" s="5" t="inlineStr">
        <is>
          <t>緊急時の受入れ</t>
        </is>
      </c>
      <c r="D272" s="26" t="n">
        <v>13</v>
      </c>
      <c r="E272" s="18">
        <f>IF($F272=0,0,D272/$F272)</f>
        <v>0.419354838709677</v>
      </c>
      <c r="F272" s="17">
        <f>$F$271</f>
        <v>31</v>
      </c>
      <c r="G272" s="4" t="inlineStr">
        <is>
          <t>複数回答</t>
        </is>
      </c>
    </row>
    <row r="273" ht="40.5" customHeight="1">
      <c r="A273" s="4" t="inlineStr">
        <is>
          <t>問29</t>
        </is>
      </c>
      <c r="B273" s="5" t="inlineStr">
        <is>
          <t>緊急時の相談や短期入所など支援を行う地域生活支援拠点について期待する機能は何ですか（あてはまるものすべて）</t>
        </is>
      </c>
      <c r="C273" s="5" t="inlineStr">
        <is>
          <t>短期入所の確保</t>
        </is>
      </c>
      <c r="D273" s="26" t="n">
        <v>3</v>
      </c>
      <c r="E273" s="18">
        <f>IF($F273=0,0,D273/$F273)</f>
        <v>0.0967741935483871</v>
      </c>
      <c r="F273" s="17">
        <f>$F$271</f>
        <v>31</v>
      </c>
      <c r="G273" s="4" t="inlineStr">
        <is>
          <t>複数回答</t>
        </is>
      </c>
    </row>
    <row r="274" ht="40.5" customHeight="1">
      <c r="A274" s="4" t="inlineStr">
        <is>
          <t>問29</t>
        </is>
      </c>
      <c r="B274" s="5" t="inlineStr">
        <is>
          <t>緊急時の相談や短期入所など支援を行う地域生活支援拠点について期待する機能は何ですか（あてはまるものすべて）</t>
        </is>
      </c>
      <c r="C274" s="5" t="inlineStr">
        <is>
          <t>一人暮らし・グループホーム体験</t>
        </is>
      </c>
      <c r="D274" s="26" t="n">
        <v>1</v>
      </c>
      <c r="E274" s="18">
        <f>IF($F274=0,0,D274/$F274)</f>
        <v>0.032258064516129</v>
      </c>
      <c r="F274" s="17">
        <f>$F$271</f>
        <v>31</v>
      </c>
      <c r="G274" s="4" t="inlineStr">
        <is>
          <t>複数回答</t>
        </is>
      </c>
    </row>
    <row r="275" ht="40.5" customHeight="1">
      <c r="A275" s="4" t="inlineStr">
        <is>
          <t>問29</t>
        </is>
      </c>
      <c r="B275" s="5" t="inlineStr">
        <is>
          <t>緊急時の相談や短期入所など支援を行う地域生活支援拠点について期待する機能は何ですか（あてはまるものすべて）</t>
        </is>
      </c>
      <c r="C275" s="5" t="inlineStr">
        <is>
          <t>専門的人材の確保</t>
        </is>
      </c>
      <c r="D275" s="26" t="n">
        <v>4</v>
      </c>
      <c r="E275" s="18">
        <f>IF($F275=0,0,D275/$F275)</f>
        <v>0.129032258064516</v>
      </c>
      <c r="F275" s="17">
        <f>$F$271</f>
        <v>31</v>
      </c>
      <c r="G275" s="4" t="inlineStr">
        <is>
          <t>複数回答</t>
        </is>
      </c>
    </row>
    <row r="276" ht="40.5" customHeight="1">
      <c r="A276" s="4" t="inlineStr">
        <is>
          <t>問29</t>
        </is>
      </c>
      <c r="B276" s="5" t="inlineStr">
        <is>
          <t>緊急時の相談や短期入所など支援を行う地域生活支援拠点について期待する機能は何ですか（あてはまるものすべて）</t>
        </is>
      </c>
      <c r="C276" s="5" t="inlineStr">
        <is>
          <t>地域の事業所との連携</t>
        </is>
      </c>
      <c r="D276" s="26" t="n">
        <v>7</v>
      </c>
      <c r="E276" s="18">
        <f>IF($F276=0,0,D276/$F276)</f>
        <v>0.225806451612903</v>
      </c>
      <c r="F276" s="17">
        <f>$F$271</f>
        <v>31</v>
      </c>
      <c r="G276" s="4" t="inlineStr">
        <is>
          <t>複数回答</t>
        </is>
      </c>
    </row>
    <row r="277" ht="40.5" customHeight="1">
      <c r="A277" s="4" t="inlineStr">
        <is>
          <t>問29</t>
        </is>
      </c>
      <c r="B277" s="5" t="inlineStr">
        <is>
          <t>緊急時の相談や短期入所など支援を行う地域生活支援拠点について期待する機能は何ですか（あてはまるものすべて）</t>
        </is>
      </c>
      <c r="C277" s="5" t="inlineStr">
        <is>
          <t>制度を知らない</t>
        </is>
      </c>
      <c r="D277" s="26" t="n">
        <v>7</v>
      </c>
      <c r="E277" s="18">
        <f>IF($F277=0,0,D277/$F277)</f>
        <v>0.225806451612903</v>
      </c>
      <c r="F277" s="17">
        <f>$F$271</f>
        <v>31</v>
      </c>
      <c r="G277" s="4" t="inlineStr">
        <is>
          <t>複数回答</t>
        </is>
      </c>
    </row>
    <row r="278" ht="40.5" customHeight="1">
      <c r="A278" s="4" t="inlineStr">
        <is>
          <t>問29</t>
        </is>
      </c>
      <c r="B278" s="5" t="inlineStr">
        <is>
          <t>緊急時の相談や短期入所など支援を行う地域生活支援拠点について期待する機能は何ですか（あてはまるものすべて）</t>
        </is>
      </c>
      <c r="C278" s="5" t="inlineStr">
        <is>
          <t>特にない</t>
        </is>
      </c>
      <c r="D278" s="26" t="n">
        <v>5</v>
      </c>
      <c r="E278" s="18">
        <f>IF($F278=0,0,D278/$F278)</f>
        <v>0.161290322580645</v>
      </c>
      <c r="F278" s="17">
        <f>$F$271</f>
        <v>31</v>
      </c>
      <c r="G278" s="4" t="inlineStr">
        <is>
          <t>複数回答</t>
        </is>
      </c>
    </row>
    <row r="279" ht="40.5" customHeight="1">
      <c r="A279" s="4" t="inlineStr">
        <is>
          <t>問29</t>
        </is>
      </c>
      <c r="B279" s="5" t="inlineStr">
        <is>
          <t>緊急時の相談や短期入所など支援を行う地域生活支援拠点について期待する機能は何ですか（あてはまるものすべて）</t>
        </is>
      </c>
      <c r="C279" s="5" t="inlineStr">
        <is>
          <t>その他</t>
        </is>
      </c>
      <c r="D279" s="26" t="n">
        <v>0</v>
      </c>
      <c r="E279" s="18">
        <f>IF($F279=0,0,D279/$F279)</f>
        <v>0</v>
      </c>
      <c r="F279" s="17">
        <f>$F$271</f>
        <v>31</v>
      </c>
      <c r="G279" s="4" t="inlineStr">
        <is>
          <t>複数回答</t>
        </is>
      </c>
    </row>
    <row r="280" ht="16" customHeight="1">
      <c r="A280" s="4" t="inlineStr">
        <is>
          <t>問30</t>
        </is>
      </c>
      <c r="B280" s="5" t="inlineStr">
        <is>
          <t>今利用している福祉サービスに満足していますか</t>
        </is>
      </c>
      <c r="C280" s="5" t="inlineStr">
        <is>
          <t>満足している</t>
        </is>
      </c>
      <c r="D280" s="26" t="n">
        <v>13</v>
      </c>
      <c r="E280" s="18">
        <f>IF($F280=0,0,D280/$F280)</f>
        <v>0.393939393939394</v>
      </c>
      <c r="F280" s="26" t="n">
        <v>33</v>
      </c>
      <c r="G280" s="4" t="inlineStr">
        <is>
          <t>単一回答</t>
        </is>
      </c>
    </row>
    <row r="281" ht="16" customHeight="1">
      <c r="A281" s="4" t="inlineStr">
        <is>
          <t>問30</t>
        </is>
      </c>
      <c r="B281" s="5" t="inlineStr">
        <is>
          <t>今利用している福祉サービスに満足していますか</t>
        </is>
      </c>
      <c r="C281" s="5" t="inlineStr">
        <is>
          <t>適切なサービスがわからない</t>
        </is>
      </c>
      <c r="D281" s="26" t="n">
        <v>3</v>
      </c>
      <c r="E281" s="18">
        <f>IF($F281=0,0,D281/$F281)</f>
        <v>0.0909090909090909</v>
      </c>
      <c r="F281" s="17">
        <f>$F$280</f>
        <v>33</v>
      </c>
      <c r="G281" s="4" t="inlineStr">
        <is>
          <t>単一回答</t>
        </is>
      </c>
    </row>
    <row r="282" ht="16" customHeight="1">
      <c r="A282" s="4" t="inlineStr">
        <is>
          <t>問30</t>
        </is>
      </c>
      <c r="B282" s="5" t="inlineStr">
        <is>
          <t>今利用している福祉サービスに満足していますか</t>
        </is>
      </c>
      <c r="C282" s="5" t="inlineStr">
        <is>
          <t>サービスの量が足りない</t>
        </is>
      </c>
      <c r="D282" s="26" t="n">
        <v>1</v>
      </c>
      <c r="E282" s="18">
        <f>IF($F282=0,0,D282/$F282)</f>
        <v>0.0303030303030303</v>
      </c>
      <c r="F282" s="17">
        <f>$F$280</f>
        <v>33</v>
      </c>
      <c r="G282" s="4" t="inlineStr">
        <is>
          <t>単一回答</t>
        </is>
      </c>
    </row>
    <row r="283" ht="16" customHeight="1">
      <c r="A283" s="4" t="inlineStr">
        <is>
          <t>問30</t>
        </is>
      </c>
      <c r="B283" s="5" t="inlineStr">
        <is>
          <t>今利用している福祉サービスに満足していますか</t>
        </is>
      </c>
      <c r="C283" s="5" t="inlineStr">
        <is>
          <t>サービスの質がよくない</t>
        </is>
      </c>
      <c r="D283" s="26" t="n">
        <v>0</v>
      </c>
      <c r="E283" s="18">
        <f>IF($F283=0,0,D283/$F283)</f>
        <v>0</v>
      </c>
      <c r="F283" s="17">
        <f>$F$280</f>
        <v>33</v>
      </c>
      <c r="G283" s="4" t="inlineStr">
        <is>
          <t>単一回答</t>
        </is>
      </c>
    </row>
    <row r="284" ht="16" customHeight="1">
      <c r="A284" s="4" t="inlineStr">
        <is>
          <t>問30</t>
        </is>
      </c>
      <c r="B284" s="5" t="inlineStr">
        <is>
          <t>今利用している福祉サービスに満足していますか</t>
        </is>
      </c>
      <c r="C284" s="5" t="inlineStr">
        <is>
          <t>利用できる事業所が少ない</t>
        </is>
      </c>
      <c r="D284" s="26" t="n">
        <v>1</v>
      </c>
      <c r="E284" s="18">
        <f>IF($F284=0,0,D284/$F284)</f>
        <v>0.0303030303030303</v>
      </c>
      <c r="F284" s="17">
        <f>$F$280</f>
        <v>33</v>
      </c>
      <c r="G284" s="4" t="inlineStr">
        <is>
          <t>単一回答</t>
        </is>
      </c>
    </row>
    <row r="285" ht="16" customHeight="1">
      <c r="A285" s="4" t="inlineStr">
        <is>
          <t>問30</t>
        </is>
      </c>
      <c r="B285" s="5" t="inlineStr">
        <is>
          <t>今利用している福祉サービスに満足していますか</t>
        </is>
      </c>
      <c r="C285" s="5" t="inlineStr">
        <is>
          <t>サービスの使い方がわからない</t>
        </is>
      </c>
      <c r="D285" s="26" t="n">
        <v>3</v>
      </c>
      <c r="E285" s="18">
        <f>IF($F285=0,0,D285/$F285)</f>
        <v>0.0909090909090909</v>
      </c>
      <c r="F285" s="17">
        <f>$F$280</f>
        <v>33</v>
      </c>
      <c r="G285" s="4" t="inlineStr">
        <is>
          <t>単一回答</t>
        </is>
      </c>
    </row>
    <row r="286" ht="16" customHeight="1">
      <c r="A286" s="4" t="inlineStr">
        <is>
          <t>問30</t>
        </is>
      </c>
      <c r="B286" s="5" t="inlineStr">
        <is>
          <t>今利用している福祉サービスに満足していますか</t>
        </is>
      </c>
      <c r="C286" s="5" t="inlineStr">
        <is>
          <t>利用していない</t>
        </is>
      </c>
      <c r="D286" s="26" t="n">
        <v>12</v>
      </c>
      <c r="E286" s="18">
        <f>IF($F286=0,0,D286/$F286)</f>
        <v>0.363636363636364</v>
      </c>
      <c r="F286" s="17">
        <f>$F$280</f>
        <v>33</v>
      </c>
      <c r="G286" s="4" t="inlineStr">
        <is>
          <t>単一回答</t>
        </is>
      </c>
    </row>
    <row r="287" ht="16" customHeight="1">
      <c r="A287" s="4" t="inlineStr">
        <is>
          <t>問31</t>
        </is>
      </c>
      <c r="B287" s="5" t="inlineStr">
        <is>
          <t>現在の日中の過ごし方を教えてください</t>
        </is>
      </c>
      <c r="C287" s="5" t="inlineStr">
        <is>
          <t>一般企業等で働いている</t>
        </is>
      </c>
      <c r="D287" s="26" t="n">
        <v>2</v>
      </c>
      <c r="E287" s="18">
        <f>IF($F287=0,0,D287/$F287)</f>
        <v>0.0588235294117647</v>
      </c>
      <c r="F287" s="26" t="n">
        <v>34</v>
      </c>
      <c r="G287" s="4" t="inlineStr">
        <is>
          <t>単一回答</t>
        </is>
      </c>
    </row>
    <row r="288" ht="16" customHeight="1">
      <c r="A288" s="4" t="inlineStr">
        <is>
          <t>問31</t>
        </is>
      </c>
      <c r="B288" s="5" t="inlineStr">
        <is>
          <t>現在の日中の過ごし方を教えてください</t>
        </is>
      </c>
      <c r="C288" s="5" t="inlineStr">
        <is>
          <t>自営業・農業等をしている</t>
        </is>
      </c>
      <c r="D288" s="26" t="n">
        <v>4</v>
      </c>
      <c r="E288" s="18">
        <f>IF($F288=0,0,D288/$F288)</f>
        <v>0.117647058823529</v>
      </c>
      <c r="F288" s="17">
        <f>$F$287</f>
        <v>34</v>
      </c>
      <c r="G288" s="4" t="inlineStr">
        <is>
          <t>単一回答</t>
        </is>
      </c>
    </row>
    <row r="289" ht="16" customHeight="1">
      <c r="A289" s="4" t="inlineStr">
        <is>
          <t>問31</t>
        </is>
      </c>
      <c r="B289" s="5" t="inlineStr">
        <is>
          <t>現在の日中の過ごし方を教えてください</t>
        </is>
      </c>
      <c r="C289" s="5" t="inlineStr">
        <is>
          <t>就労継続支援A型を利用</t>
        </is>
      </c>
      <c r="D289" s="26" t="n">
        <v>0</v>
      </c>
      <c r="E289" s="18">
        <f>IF($F289=0,0,D289/$F289)</f>
        <v>0</v>
      </c>
      <c r="F289" s="17">
        <f>$F$287</f>
        <v>34</v>
      </c>
      <c r="G289" s="4" t="inlineStr">
        <is>
          <t>単一回答</t>
        </is>
      </c>
    </row>
    <row r="290" ht="16" customHeight="1">
      <c r="A290" s="4" t="inlineStr">
        <is>
          <t>問31</t>
        </is>
      </c>
      <c r="B290" s="5" t="inlineStr">
        <is>
          <t>現在の日中の過ごし方を教えてください</t>
        </is>
      </c>
      <c r="C290" s="5" t="inlineStr">
        <is>
          <t>就労継続支援B型を利用</t>
        </is>
      </c>
      <c r="D290" s="26" t="n">
        <v>2</v>
      </c>
      <c r="E290" s="18">
        <f>IF($F290=0,0,D290/$F290)</f>
        <v>0.0588235294117647</v>
      </c>
      <c r="F290" s="17">
        <f>$F$287</f>
        <v>34</v>
      </c>
      <c r="G290" s="4" t="inlineStr">
        <is>
          <t>単一回答</t>
        </is>
      </c>
    </row>
    <row r="291" ht="16" customHeight="1">
      <c r="A291" s="4" t="inlineStr">
        <is>
          <t>問31</t>
        </is>
      </c>
      <c r="B291" s="5" t="inlineStr">
        <is>
          <t>現在の日中の過ごし方を教えてください</t>
        </is>
      </c>
      <c r="C291" s="5" t="inlineStr">
        <is>
          <t>生活介護を利用</t>
        </is>
      </c>
      <c r="D291" s="26" t="n">
        <v>2</v>
      </c>
      <c r="E291" s="18">
        <f>IF($F291=0,0,D291/$F291)</f>
        <v>0.0588235294117647</v>
      </c>
      <c r="F291" s="17">
        <f>$F$287</f>
        <v>34</v>
      </c>
      <c r="G291" s="4" t="inlineStr">
        <is>
          <t>単一回答</t>
        </is>
      </c>
    </row>
    <row r="292" ht="16" customHeight="1">
      <c r="A292" s="4" t="inlineStr">
        <is>
          <t>問31</t>
        </is>
      </c>
      <c r="B292" s="5" t="inlineStr">
        <is>
          <t>現在の日中の過ごし方を教えてください</t>
        </is>
      </c>
      <c r="C292" s="5" t="inlineStr">
        <is>
          <t>学校に通っている</t>
        </is>
      </c>
      <c r="D292" s="26" t="n">
        <v>0</v>
      </c>
      <c r="E292" s="18">
        <f>IF($F292=0,0,D292/$F292)</f>
        <v>0</v>
      </c>
      <c r="F292" s="17">
        <f>$F$287</f>
        <v>34</v>
      </c>
      <c r="G292" s="4" t="inlineStr">
        <is>
          <t>単一回答</t>
        </is>
      </c>
    </row>
    <row r="293" ht="16" customHeight="1">
      <c r="A293" s="4" t="inlineStr">
        <is>
          <t>問31</t>
        </is>
      </c>
      <c r="B293" s="5" t="inlineStr">
        <is>
          <t>現在の日中の過ごし方を教えてください</t>
        </is>
      </c>
      <c r="C293" s="5" t="inlineStr">
        <is>
          <t>自宅で過ごすことが多い</t>
        </is>
      </c>
      <c r="D293" s="26" t="n">
        <v>14</v>
      </c>
      <c r="E293" s="18">
        <f>IF($F293=0,0,D293/$F293)</f>
        <v>0.411764705882353</v>
      </c>
      <c r="F293" s="17">
        <f>$F$287</f>
        <v>34</v>
      </c>
      <c r="G293" s="4" t="inlineStr">
        <is>
          <t>単一回答</t>
        </is>
      </c>
    </row>
    <row r="294" ht="16" customHeight="1">
      <c r="A294" s="4" t="inlineStr">
        <is>
          <t>問31</t>
        </is>
      </c>
      <c r="B294" s="5" t="inlineStr">
        <is>
          <t>現在の日中の過ごし方を教えてください</t>
        </is>
      </c>
      <c r="C294" s="5" t="inlineStr">
        <is>
          <t>入院・入所中</t>
        </is>
      </c>
      <c r="D294" s="26" t="n">
        <v>5</v>
      </c>
      <c r="E294" s="18">
        <f>IF($F294=0,0,D294/$F294)</f>
        <v>0.147058823529412</v>
      </c>
      <c r="F294" s="17">
        <f>$F$287</f>
        <v>34</v>
      </c>
      <c r="G294" s="4" t="inlineStr">
        <is>
          <t>単一回答</t>
        </is>
      </c>
    </row>
    <row r="295" ht="16" customHeight="1">
      <c r="A295" s="4" t="inlineStr">
        <is>
          <t>問31</t>
        </is>
      </c>
      <c r="B295" s="5" t="inlineStr">
        <is>
          <t>現在の日中の過ごし方を教えてください</t>
        </is>
      </c>
      <c r="C295" s="5" t="inlineStr">
        <is>
          <t>その他</t>
        </is>
      </c>
      <c r="D295" s="26" t="n">
        <v>5</v>
      </c>
      <c r="E295" s="18">
        <f>IF($F295=0,0,D295/$F295)</f>
        <v>0.147058823529412</v>
      </c>
      <c r="F295" s="17">
        <f>$F$287</f>
        <v>34</v>
      </c>
      <c r="G295" s="4" t="inlineStr">
        <is>
          <t>単一回答</t>
        </is>
      </c>
    </row>
    <row r="296" ht="16" customHeight="1">
      <c r="A296" s="4" t="inlineStr">
        <is>
          <t>問32</t>
        </is>
      </c>
      <c r="B296" s="5" t="inlineStr">
        <is>
          <t>今後希望する日中活動・働き方を教えてください</t>
        </is>
      </c>
      <c r="C296" s="5" t="inlineStr">
        <is>
          <t>一般企業等で働きたい</t>
        </is>
      </c>
      <c r="D296" s="26" t="n">
        <v>1</v>
      </c>
      <c r="E296" s="18">
        <f>IF($F296=0,0,D296/$F296)</f>
        <v>0.03125</v>
      </c>
      <c r="F296" s="26" t="n">
        <v>32</v>
      </c>
      <c r="G296" s="4" t="inlineStr">
        <is>
          <t>単一回答</t>
        </is>
      </c>
    </row>
    <row r="297" ht="16" customHeight="1">
      <c r="A297" s="4" t="inlineStr">
        <is>
          <t>問32</t>
        </is>
      </c>
      <c r="B297" s="5" t="inlineStr">
        <is>
          <t>今後希望する日中活動・働き方を教えてください</t>
        </is>
      </c>
      <c r="C297" s="5" t="inlineStr">
        <is>
          <t>短時間・体調に合わせて働きたい</t>
        </is>
      </c>
      <c r="D297" s="26" t="n">
        <v>3</v>
      </c>
      <c r="E297" s="18">
        <f>IF($F297=0,0,D297/$F297)</f>
        <v>0.09375</v>
      </c>
      <c r="F297" s="17">
        <f>$F$296</f>
        <v>32</v>
      </c>
      <c r="G297" s="4" t="inlineStr">
        <is>
          <t>単一回答</t>
        </is>
      </c>
    </row>
    <row r="298" ht="16" customHeight="1">
      <c r="A298" s="4" t="inlineStr">
        <is>
          <t>問32</t>
        </is>
      </c>
      <c r="B298" s="5" t="inlineStr">
        <is>
          <t>今後希望する日中活動・働き方を教えてください</t>
        </is>
      </c>
      <c r="C298" s="5" t="inlineStr">
        <is>
          <t>就労継続支援A型を利用したい</t>
        </is>
      </c>
      <c r="D298" s="26" t="n">
        <v>0</v>
      </c>
      <c r="E298" s="18">
        <f>IF($F298=0,0,D298/$F298)</f>
        <v>0</v>
      </c>
      <c r="F298" s="17">
        <f>$F$296</f>
        <v>32</v>
      </c>
      <c r="G298" s="4" t="inlineStr">
        <is>
          <t>単一回答</t>
        </is>
      </c>
    </row>
    <row r="299" ht="16" customHeight="1">
      <c r="A299" s="4" t="inlineStr">
        <is>
          <t>問32</t>
        </is>
      </c>
      <c r="B299" s="5" t="inlineStr">
        <is>
          <t>今後希望する日中活動・働き方を教えてください</t>
        </is>
      </c>
      <c r="C299" s="5" t="inlineStr">
        <is>
          <t>就労継続支援B型を利用したい</t>
        </is>
      </c>
      <c r="D299" s="26" t="n">
        <v>1</v>
      </c>
      <c r="E299" s="18">
        <f>IF($F299=0,0,D299/$F299)</f>
        <v>0.03125</v>
      </c>
      <c r="F299" s="17">
        <f>$F$296</f>
        <v>32</v>
      </c>
      <c r="G299" s="4" t="inlineStr">
        <is>
          <t>単一回答</t>
        </is>
      </c>
    </row>
    <row r="300" ht="16" customHeight="1">
      <c r="A300" s="4" t="inlineStr">
        <is>
          <t>問32</t>
        </is>
      </c>
      <c r="B300" s="5" t="inlineStr">
        <is>
          <t>今後希望する日中活動・働き方を教えてください</t>
        </is>
      </c>
      <c r="C300" s="5" t="inlineStr">
        <is>
          <t>生活介護を利用したい</t>
        </is>
      </c>
      <c r="D300" s="26" t="n">
        <v>1</v>
      </c>
      <c r="E300" s="18">
        <f>IF($F300=0,0,D300/$F300)</f>
        <v>0.03125</v>
      </c>
      <c r="F300" s="17">
        <f>$F$296</f>
        <v>32</v>
      </c>
      <c r="G300" s="4" t="inlineStr">
        <is>
          <t>単一回答</t>
        </is>
      </c>
    </row>
    <row r="301" ht="16" customHeight="1">
      <c r="A301" s="4" t="inlineStr">
        <is>
          <t>問32</t>
        </is>
      </c>
      <c r="B301" s="5" t="inlineStr">
        <is>
          <t>今後希望する日中活動・働き方を教えてください</t>
        </is>
      </c>
      <c r="C301" s="5" t="inlineStr">
        <is>
          <t>訓練を受けたい</t>
        </is>
      </c>
      <c r="D301" s="26" t="n">
        <v>0</v>
      </c>
      <c r="E301" s="18">
        <f>IF($F301=0,0,D301/$F301)</f>
        <v>0</v>
      </c>
      <c r="F301" s="17">
        <f>$F$296</f>
        <v>32</v>
      </c>
      <c r="G301" s="4" t="inlineStr">
        <is>
          <t>単一回答</t>
        </is>
      </c>
    </row>
    <row r="302" ht="16" customHeight="1">
      <c r="A302" s="4" t="inlineStr">
        <is>
          <t>問32</t>
        </is>
      </c>
      <c r="B302" s="5" t="inlineStr">
        <is>
          <t>今後希望する日中活動・働き方を教えてください</t>
        </is>
      </c>
      <c r="C302" s="5" t="inlineStr">
        <is>
          <t>今のままでよい</t>
        </is>
      </c>
      <c r="D302" s="26" t="n">
        <v>21</v>
      </c>
      <c r="E302" s="18">
        <f>IF($F302=0,0,D302/$F302)</f>
        <v>0.65625</v>
      </c>
      <c r="F302" s="17">
        <f>$F$296</f>
        <v>32</v>
      </c>
      <c r="G302" s="4" t="inlineStr">
        <is>
          <t>単一回答</t>
        </is>
      </c>
    </row>
    <row r="303" ht="16" customHeight="1">
      <c r="A303" s="4" t="inlineStr">
        <is>
          <t>問32</t>
        </is>
      </c>
      <c r="B303" s="5" t="inlineStr">
        <is>
          <t>今後希望する日中活動・働き方を教えてください</t>
        </is>
      </c>
      <c r="C303" s="5" t="inlineStr">
        <is>
          <t>まだわからない</t>
        </is>
      </c>
      <c r="D303" s="26" t="n">
        <v>3</v>
      </c>
      <c r="E303" s="18">
        <f>IF($F303=0,0,D303/$F303)</f>
        <v>0.09375</v>
      </c>
      <c r="F303" s="17">
        <f>$F$296</f>
        <v>32</v>
      </c>
      <c r="G303" s="4" t="inlineStr">
        <is>
          <t>単一回答</t>
        </is>
      </c>
    </row>
    <row r="304" ht="16" customHeight="1">
      <c r="A304" s="4" t="inlineStr">
        <is>
          <t>問32</t>
        </is>
      </c>
      <c r="B304" s="5" t="inlineStr">
        <is>
          <t>今後希望する日中活動・働き方を教えてください</t>
        </is>
      </c>
      <c r="C304" s="5" t="inlineStr">
        <is>
          <t>その他</t>
        </is>
      </c>
      <c r="D304" s="26" t="n">
        <v>2</v>
      </c>
      <c r="E304" s="18">
        <f>IF($F304=0,0,D304/$F304)</f>
        <v>0.0625</v>
      </c>
      <c r="F304" s="17">
        <f>$F$296</f>
        <v>32</v>
      </c>
      <c r="G304" s="4" t="inlineStr">
        <is>
          <t>単一回答</t>
        </is>
      </c>
    </row>
    <row r="305" ht="28" customHeight="1">
      <c r="A305" s="4" t="inlineStr">
        <is>
          <t>問33</t>
        </is>
      </c>
      <c r="B305" s="5" t="inlineStr">
        <is>
          <t>働くため、又は日中活動を続けるために必要な支援は何ですか（あてはまるものすべて）</t>
        </is>
      </c>
      <c r="C305" s="5" t="inlineStr">
        <is>
          <t>職場・作業内容の体験</t>
        </is>
      </c>
      <c r="D305" s="26" t="n">
        <v>4</v>
      </c>
      <c r="E305" s="18">
        <f>IF($F305=0,0,D305/$F305)</f>
        <v>0.129032258064516</v>
      </c>
      <c r="F305" s="26" t="n">
        <v>31</v>
      </c>
      <c r="G305" s="4" t="inlineStr">
        <is>
          <t>複数回答</t>
        </is>
      </c>
    </row>
    <row r="306" ht="28" customHeight="1">
      <c r="A306" s="4" t="inlineStr">
        <is>
          <t>問33</t>
        </is>
      </c>
      <c r="B306" s="5" t="inlineStr">
        <is>
          <t>働くため、又は日中活動を続けるために必要な支援は何ですか（あてはまるものすべて）</t>
        </is>
      </c>
      <c r="C306" s="5" t="inlineStr">
        <is>
          <t>就労に向けた相談</t>
        </is>
      </c>
      <c r="D306" s="26" t="n">
        <v>4</v>
      </c>
      <c r="E306" s="18">
        <f>IF($F306=0,0,D306/$F306)</f>
        <v>0.129032258064516</v>
      </c>
      <c r="F306" s="17">
        <f>$F$305</f>
        <v>31</v>
      </c>
      <c r="G306" s="4" t="inlineStr">
        <is>
          <t>複数回答</t>
        </is>
      </c>
    </row>
    <row r="307" ht="28" customHeight="1">
      <c r="A307" s="4" t="inlineStr">
        <is>
          <t>問33</t>
        </is>
      </c>
      <c r="B307" s="5" t="inlineStr">
        <is>
          <t>働くため、又は日中活動を続けるために必要な支援は何ですか（あてはまるものすべて）</t>
        </is>
      </c>
      <c r="C307" s="5" t="inlineStr">
        <is>
          <t>通勤・通所の支援</t>
        </is>
      </c>
      <c r="D307" s="26" t="n">
        <v>5</v>
      </c>
      <c r="E307" s="18">
        <f>IF($F307=0,0,D307/$F307)</f>
        <v>0.161290322580645</v>
      </c>
      <c r="F307" s="17">
        <f>$F$305</f>
        <v>31</v>
      </c>
      <c r="G307" s="4" t="inlineStr">
        <is>
          <t>複数回答</t>
        </is>
      </c>
    </row>
    <row r="308" ht="28" customHeight="1">
      <c r="A308" s="4" t="inlineStr">
        <is>
          <t>問33</t>
        </is>
      </c>
      <c r="B308" s="5" t="inlineStr">
        <is>
          <t>働くため、又は日中活動を続けるために必要な支援は何ですか（あてはまるものすべて）</t>
        </is>
      </c>
      <c r="C308" s="5" t="inlineStr">
        <is>
          <t>体調に合わせた勤務</t>
        </is>
      </c>
      <c r="D308" s="26" t="n">
        <v>6</v>
      </c>
      <c r="E308" s="18">
        <f>IF($F308=0,0,D308/$F308)</f>
        <v>0.193548387096774</v>
      </c>
      <c r="F308" s="17">
        <f>$F$305</f>
        <v>31</v>
      </c>
      <c r="G308" s="4" t="inlineStr">
        <is>
          <t>複数回答</t>
        </is>
      </c>
    </row>
    <row r="309" ht="28" customHeight="1">
      <c r="A309" s="4" t="inlineStr">
        <is>
          <t>問33</t>
        </is>
      </c>
      <c r="B309" s="5" t="inlineStr">
        <is>
          <t>働くため、又は日中活動を続けるために必要な支援は何ですか（あてはまるものすべて）</t>
        </is>
      </c>
      <c r="C309" s="5" t="inlineStr">
        <is>
          <t>職場の障がい理解</t>
        </is>
      </c>
      <c r="D309" s="26" t="n">
        <v>7</v>
      </c>
      <c r="E309" s="18">
        <f>IF($F309=0,0,D309/$F309)</f>
        <v>0.225806451612903</v>
      </c>
      <c r="F309" s="17">
        <f>$F$305</f>
        <v>31</v>
      </c>
      <c r="G309" s="4" t="inlineStr">
        <is>
          <t>複数回答</t>
        </is>
      </c>
    </row>
    <row r="310" ht="28" customHeight="1">
      <c r="A310" s="4" t="inlineStr">
        <is>
          <t>問33</t>
        </is>
      </c>
      <c r="B310" s="5" t="inlineStr">
        <is>
          <t>働くため、又は日中活動を続けるために必要な支援は何ですか（あてはまるものすべて）</t>
        </is>
      </c>
      <c r="C310" s="5" t="inlineStr">
        <is>
          <t>仕事後の相談・定着支援</t>
        </is>
      </c>
      <c r="D310" s="26" t="n">
        <v>2</v>
      </c>
      <c r="E310" s="18">
        <f>IF($F310=0,0,D310/$F310)</f>
        <v>0.0645161290322581</v>
      </c>
      <c r="F310" s="17">
        <f>$F$305</f>
        <v>31</v>
      </c>
      <c r="G310" s="4" t="inlineStr">
        <is>
          <t>複数回答</t>
        </is>
      </c>
    </row>
    <row r="311" ht="28" customHeight="1">
      <c r="A311" s="4" t="inlineStr">
        <is>
          <t>問33</t>
        </is>
      </c>
      <c r="B311" s="5" t="inlineStr">
        <is>
          <t>働くため、又は日中活動を続けるために必要な支援は何ですか（あてはまるものすべて）</t>
        </is>
      </c>
      <c r="C311" s="5" t="inlineStr">
        <is>
          <t>生活リズムの支援</t>
        </is>
      </c>
      <c r="D311" s="26" t="n">
        <v>4</v>
      </c>
      <c r="E311" s="18">
        <f>IF($F311=0,0,D311/$F311)</f>
        <v>0.129032258064516</v>
      </c>
      <c r="F311" s="17">
        <f>$F$305</f>
        <v>31</v>
      </c>
      <c r="G311" s="4" t="inlineStr">
        <is>
          <t>複数回答</t>
        </is>
      </c>
    </row>
    <row r="312" ht="28" customHeight="1">
      <c r="A312" s="4" t="inlineStr">
        <is>
          <t>問33</t>
        </is>
      </c>
      <c r="B312" s="5" t="inlineStr">
        <is>
          <t>働くため、又は日中活動を続けるために必要な支援は何ですか（あてはまるものすべて）</t>
        </is>
      </c>
      <c r="C312" s="5" t="inlineStr">
        <is>
          <t>家族への説明</t>
        </is>
      </c>
      <c r="D312" s="26" t="n">
        <v>0</v>
      </c>
      <c r="E312" s="18">
        <f>IF($F312=0,0,D312/$F312)</f>
        <v>0</v>
      </c>
      <c r="F312" s="17">
        <f>$F$305</f>
        <v>31</v>
      </c>
      <c r="G312" s="4" t="inlineStr">
        <is>
          <t>複数回答</t>
        </is>
      </c>
    </row>
    <row r="313" ht="28" customHeight="1">
      <c r="A313" s="4" t="inlineStr">
        <is>
          <t>問33</t>
        </is>
      </c>
      <c r="B313" s="5" t="inlineStr">
        <is>
          <t>働くため、又は日中活動を続けるために必要な支援は何ですか（あてはまるものすべて）</t>
        </is>
      </c>
      <c r="C313" s="5" t="inlineStr">
        <is>
          <t>特にない</t>
        </is>
      </c>
      <c r="D313" s="26" t="n">
        <v>19</v>
      </c>
      <c r="E313" s="18">
        <f>IF($F313=0,0,D313/$F313)</f>
        <v>0.612903225806452</v>
      </c>
      <c r="F313" s="17">
        <f>$F$305</f>
        <v>31</v>
      </c>
      <c r="G313" s="4" t="inlineStr">
        <is>
          <t>複数回答</t>
        </is>
      </c>
    </row>
    <row r="314" ht="28" customHeight="1">
      <c r="A314" s="4" t="inlineStr">
        <is>
          <t>問33</t>
        </is>
      </c>
      <c r="B314" s="5" t="inlineStr">
        <is>
          <t>働くため、又は日中活動を続けるために必要な支援は何ですか（あてはまるものすべて）</t>
        </is>
      </c>
      <c r="C314" s="5" t="inlineStr">
        <is>
          <t>その他</t>
        </is>
      </c>
      <c r="D314" s="26" t="n">
        <v>0</v>
      </c>
      <c r="E314" s="18">
        <f>IF($F314=0,0,D314/$F314)</f>
        <v>0</v>
      </c>
      <c r="F314" s="17">
        <f>$F$305</f>
        <v>31</v>
      </c>
      <c r="G314" s="4" t="inlineStr">
        <is>
          <t>複数回答</t>
        </is>
      </c>
    </row>
    <row r="315" ht="28" customHeight="1">
      <c r="A315" s="4" t="inlineStr">
        <is>
          <t>問34</t>
        </is>
      </c>
      <c r="B315" s="5" t="inlineStr">
        <is>
          <t>障がいがあることで差別や偏見、不利益を感じたことはありますか</t>
        </is>
      </c>
      <c r="C315" s="5" t="inlineStr">
        <is>
          <t>週に１回程度</t>
        </is>
      </c>
      <c r="D315" s="26" t="n">
        <v>3</v>
      </c>
      <c r="E315" s="18">
        <f>IF($F315=0,0,D315/$F315)</f>
        <v>0.0967741935483871</v>
      </c>
      <c r="F315" s="26" t="n">
        <v>31</v>
      </c>
      <c r="G315" s="4" t="inlineStr">
        <is>
          <t>単一回答</t>
        </is>
      </c>
    </row>
    <row r="316" ht="28" customHeight="1">
      <c r="A316" s="4" t="inlineStr">
        <is>
          <t>問34</t>
        </is>
      </c>
      <c r="B316" s="5" t="inlineStr">
        <is>
          <t>障がいがあることで差別や偏見、不利益を感じたことはありますか</t>
        </is>
      </c>
      <c r="C316" s="5" t="inlineStr">
        <is>
          <t>月に１回程度</t>
        </is>
      </c>
      <c r="D316" s="26" t="n">
        <v>3</v>
      </c>
      <c r="E316" s="18">
        <f>IF($F316=0,0,D316/$F316)</f>
        <v>0.0967741935483871</v>
      </c>
      <c r="F316" s="17">
        <f>$F$315</f>
        <v>31</v>
      </c>
      <c r="G316" s="4" t="inlineStr">
        <is>
          <t>単一回答</t>
        </is>
      </c>
    </row>
    <row r="317" ht="28" customHeight="1">
      <c r="A317" s="4" t="inlineStr">
        <is>
          <t>問34</t>
        </is>
      </c>
      <c r="B317" s="5" t="inlineStr">
        <is>
          <t>障がいがあることで差別や偏見、不利益を感じたことはありますか</t>
        </is>
      </c>
      <c r="C317" s="5" t="inlineStr">
        <is>
          <t>年に１回程度</t>
        </is>
      </c>
      <c r="D317" s="26" t="n">
        <v>3</v>
      </c>
      <c r="E317" s="18">
        <f>IF($F317=0,0,D317/$F317)</f>
        <v>0.0967741935483871</v>
      </c>
      <c r="F317" s="17">
        <f>$F$315</f>
        <v>31</v>
      </c>
      <c r="G317" s="4" t="inlineStr">
        <is>
          <t>単一回答</t>
        </is>
      </c>
    </row>
    <row r="318" ht="28" customHeight="1">
      <c r="A318" s="4" t="inlineStr">
        <is>
          <t>問34</t>
        </is>
      </c>
      <c r="B318" s="5" t="inlineStr">
        <is>
          <t>障がいがあることで差別や偏見、不利益を感じたことはありますか</t>
        </is>
      </c>
      <c r="C318" s="5" t="inlineStr">
        <is>
          <t>ない</t>
        </is>
      </c>
      <c r="D318" s="26" t="n">
        <v>12</v>
      </c>
      <c r="E318" s="18">
        <f>IF($F318=0,0,D318/$F318)</f>
        <v>0.387096774193548</v>
      </c>
      <c r="F318" s="17">
        <f>$F$315</f>
        <v>31</v>
      </c>
      <c r="G318" s="4" t="inlineStr">
        <is>
          <t>単一回答</t>
        </is>
      </c>
    </row>
    <row r="319" ht="28" customHeight="1">
      <c r="A319" s="4" t="inlineStr">
        <is>
          <t>問34</t>
        </is>
      </c>
      <c r="B319" s="5" t="inlineStr">
        <is>
          <t>障がいがあることで差別や偏見、不利益を感じたことはありますか</t>
        </is>
      </c>
      <c r="C319" s="5" t="inlineStr">
        <is>
          <t>わからない</t>
        </is>
      </c>
      <c r="D319" s="26" t="n">
        <v>10</v>
      </c>
      <c r="E319" s="18">
        <f>IF($F319=0,0,D319/$F319)</f>
        <v>0.32258064516129</v>
      </c>
      <c r="F319" s="17">
        <f>$F$315</f>
        <v>31</v>
      </c>
      <c r="G319" s="4" t="inlineStr">
        <is>
          <t>単一回答</t>
        </is>
      </c>
    </row>
    <row r="320" ht="28" customHeight="1">
      <c r="A320" s="4" t="inlineStr">
        <is>
          <t>問35</t>
        </is>
      </c>
      <c r="B320" s="5" t="inlineStr">
        <is>
          <t>差別や偏見、不利益を感じた場面はありますか（あてはまるものすべて）</t>
        </is>
      </c>
      <c r="C320" s="5" t="inlineStr">
        <is>
          <t>学校等</t>
        </is>
      </c>
      <c r="D320" s="26" t="n">
        <v>0</v>
      </c>
      <c r="E320" s="18">
        <f>IF($F320=0,0,D320/$F320)</f>
        <v>0</v>
      </c>
      <c r="F320" s="26" t="n">
        <v>30</v>
      </c>
      <c r="G320" s="4" t="inlineStr">
        <is>
          <t>複数回答</t>
        </is>
      </c>
    </row>
    <row r="321" ht="28" customHeight="1">
      <c r="A321" s="4" t="inlineStr">
        <is>
          <t>問35</t>
        </is>
      </c>
      <c r="B321" s="5" t="inlineStr">
        <is>
          <t>差別や偏見、不利益を感じた場面はありますか（あてはまるものすべて）</t>
        </is>
      </c>
      <c r="C321" s="5" t="inlineStr">
        <is>
          <t>アルバイト先・職場</t>
        </is>
      </c>
      <c r="D321" s="26" t="n">
        <v>3</v>
      </c>
      <c r="E321" s="18">
        <f>IF($F321=0,0,D321/$F321)</f>
        <v>0.1</v>
      </c>
      <c r="F321" s="17">
        <f>$F$320</f>
        <v>30</v>
      </c>
      <c r="G321" s="4" t="inlineStr">
        <is>
          <t>複数回答</t>
        </is>
      </c>
    </row>
    <row r="322" ht="28" customHeight="1">
      <c r="A322" s="4" t="inlineStr">
        <is>
          <t>問35</t>
        </is>
      </c>
      <c r="B322" s="5" t="inlineStr">
        <is>
          <t>差別や偏見、不利益を感じた場面はありますか（あてはまるものすべて）</t>
        </is>
      </c>
      <c r="C322" s="5" t="inlineStr">
        <is>
          <t>医療機関</t>
        </is>
      </c>
      <c r="D322" s="26" t="n">
        <v>2</v>
      </c>
      <c r="E322" s="18">
        <f>IF($F322=0,0,D322/$F322)</f>
        <v>0.0666666666666667</v>
      </c>
      <c r="F322" s="17">
        <f>$F$320</f>
        <v>30</v>
      </c>
      <c r="G322" s="4" t="inlineStr">
        <is>
          <t>複数回答</t>
        </is>
      </c>
    </row>
    <row r="323" ht="28" customHeight="1">
      <c r="A323" s="4" t="inlineStr">
        <is>
          <t>問35</t>
        </is>
      </c>
      <c r="B323" s="5" t="inlineStr">
        <is>
          <t>差別や偏見、不利益を感じた場面はありますか（あてはまるものすべて）</t>
        </is>
      </c>
      <c r="C323" s="5" t="inlineStr">
        <is>
          <t>福祉サービス事業所</t>
        </is>
      </c>
      <c r="D323" s="26" t="n">
        <v>0</v>
      </c>
      <c r="E323" s="18">
        <f>IF($F323=0,0,D323/$F323)</f>
        <v>0</v>
      </c>
      <c r="F323" s="17">
        <f>$F$320</f>
        <v>30</v>
      </c>
      <c r="G323" s="4" t="inlineStr">
        <is>
          <t>複数回答</t>
        </is>
      </c>
    </row>
    <row r="324" ht="28" customHeight="1">
      <c r="A324" s="4" t="inlineStr">
        <is>
          <t>問35</t>
        </is>
      </c>
      <c r="B324" s="5" t="inlineStr">
        <is>
          <t>差別や偏見、不利益を感じた場面はありますか（あてはまるものすべて）</t>
        </is>
      </c>
      <c r="C324" s="5" t="inlineStr">
        <is>
          <t>役場・公共施設</t>
        </is>
      </c>
      <c r="D324" s="26" t="n">
        <v>0</v>
      </c>
      <c r="E324" s="18">
        <f>IF($F324=0,0,D324/$F324)</f>
        <v>0</v>
      </c>
      <c r="F324" s="17">
        <f>$F$320</f>
        <v>30</v>
      </c>
      <c r="G324" s="4" t="inlineStr">
        <is>
          <t>複数回答</t>
        </is>
      </c>
    </row>
    <row r="325" ht="28" customHeight="1">
      <c r="A325" s="4" t="inlineStr">
        <is>
          <t>問35</t>
        </is>
      </c>
      <c r="B325" s="5" t="inlineStr">
        <is>
          <t>差別や偏見、不利益を感じた場面はありますか（あてはまるものすべて）</t>
        </is>
      </c>
      <c r="C325" s="5" t="inlineStr">
        <is>
          <t>地域活動・行事</t>
        </is>
      </c>
      <c r="D325" s="26" t="n">
        <v>3</v>
      </c>
      <c r="E325" s="18">
        <f>IF($F325=0,0,D325/$F325)</f>
        <v>0.1</v>
      </c>
      <c r="F325" s="17">
        <f>$F$320</f>
        <v>30</v>
      </c>
      <c r="G325" s="4" t="inlineStr">
        <is>
          <t>複数回答</t>
        </is>
      </c>
    </row>
    <row r="326" ht="28" customHeight="1">
      <c r="A326" s="4" t="inlineStr">
        <is>
          <t>問35</t>
        </is>
      </c>
      <c r="B326" s="5" t="inlineStr">
        <is>
          <t>差別や偏見、不利益を感じた場面はありますか（あてはまるものすべて）</t>
        </is>
      </c>
      <c r="C326" s="5" t="inlineStr">
        <is>
          <t>公共交通機関・飲食店・買い物等</t>
        </is>
      </c>
      <c r="D326" s="26" t="n">
        <v>2</v>
      </c>
      <c r="E326" s="18">
        <f>IF($F326=0,0,D326/$F326)</f>
        <v>0.0666666666666667</v>
      </c>
      <c r="F326" s="17">
        <f>$F$320</f>
        <v>30</v>
      </c>
      <c r="G326" s="4" t="inlineStr">
        <is>
          <t>複数回答</t>
        </is>
      </c>
    </row>
    <row r="327" ht="28" customHeight="1">
      <c r="A327" s="4" t="inlineStr">
        <is>
          <t>問35</t>
        </is>
      </c>
      <c r="B327" s="5" t="inlineStr">
        <is>
          <t>差別や偏見、不利益を感じた場面はありますか（あてはまるものすべて）</t>
        </is>
      </c>
      <c r="C327" s="5" t="inlineStr">
        <is>
          <t>趣味・余暇活動</t>
        </is>
      </c>
      <c r="D327" s="26" t="n">
        <v>2</v>
      </c>
      <c r="E327" s="18">
        <f>IF($F327=0,0,D327/$F327)</f>
        <v>0.0666666666666667</v>
      </c>
      <c r="F327" s="17">
        <f>$F$320</f>
        <v>30</v>
      </c>
      <c r="G327" s="4" t="inlineStr">
        <is>
          <t>複数回答</t>
        </is>
      </c>
    </row>
    <row r="328" ht="28" customHeight="1">
      <c r="A328" s="4" t="inlineStr">
        <is>
          <t>問35</t>
        </is>
      </c>
      <c r="B328" s="5" t="inlineStr">
        <is>
          <t>差別や偏見、不利益を感じた場面はありますか（あてはまるものすべて）</t>
        </is>
      </c>
      <c r="C328" s="5" t="inlineStr">
        <is>
          <t>インターネット・SNS・AI</t>
        </is>
      </c>
      <c r="D328" s="26" t="n">
        <v>0</v>
      </c>
      <c r="E328" s="18">
        <f>IF($F328=0,0,D328/$F328)</f>
        <v>0</v>
      </c>
      <c r="F328" s="17">
        <f>$F$320</f>
        <v>30</v>
      </c>
      <c r="G328" s="4" t="inlineStr">
        <is>
          <t>複数回答</t>
        </is>
      </c>
    </row>
    <row r="329" ht="28" customHeight="1">
      <c r="A329" s="4" t="inlineStr">
        <is>
          <t>問35</t>
        </is>
      </c>
      <c r="B329" s="5" t="inlineStr">
        <is>
          <t>差別や偏見、不利益を感じた場面はありますか（あてはまるものすべて）</t>
        </is>
      </c>
      <c r="C329" s="5" t="inlineStr">
        <is>
          <t>特にない</t>
        </is>
      </c>
      <c r="D329" s="26" t="n">
        <v>19</v>
      </c>
      <c r="E329" s="18">
        <f>IF($F329=0,0,D329/$F329)</f>
        <v>0.633333333333333</v>
      </c>
      <c r="F329" s="17">
        <f>$F$320</f>
        <v>30</v>
      </c>
      <c r="G329" s="4" t="inlineStr">
        <is>
          <t>複数回答</t>
        </is>
      </c>
    </row>
    <row r="330" ht="28" customHeight="1">
      <c r="A330" s="4" t="inlineStr">
        <is>
          <t>問35</t>
        </is>
      </c>
      <c r="B330" s="5" t="inlineStr">
        <is>
          <t>差別や偏見、不利益を感じた場面はありますか（あてはまるものすべて）</t>
        </is>
      </c>
      <c r="C330" s="5" t="inlineStr">
        <is>
          <t>その他</t>
        </is>
      </c>
      <c r="D330" s="26" t="n">
        <v>3</v>
      </c>
      <c r="E330" s="18">
        <f>IF($F330=0,0,D330/$F330)</f>
        <v>0.1</v>
      </c>
      <c r="F330" s="17">
        <f>$F$320</f>
        <v>30</v>
      </c>
      <c r="G330" s="4" t="inlineStr">
        <is>
          <t>複数回答</t>
        </is>
      </c>
    </row>
    <row r="331" ht="40.5" customHeight="1">
      <c r="A331" s="4" t="inlineStr">
        <is>
          <t>問36</t>
        </is>
      </c>
      <c r="B331" s="5" t="inlineStr">
        <is>
          <t>障がいのある人が利用しやすくするための配慮（合理的配慮）として必要だと思うことは何ですか（あてはまるものすべて）</t>
        </is>
      </c>
      <c r="C331" s="5" t="inlineStr">
        <is>
          <t>わかりやすい説明</t>
        </is>
      </c>
      <c r="D331" s="26" t="n">
        <v>16</v>
      </c>
      <c r="E331" s="18">
        <f>IF($F331=0,0,D331/$F331)</f>
        <v>0.5</v>
      </c>
      <c r="F331" s="26" t="n">
        <v>32</v>
      </c>
      <c r="G331" s="4" t="inlineStr">
        <is>
          <t>複数回答</t>
        </is>
      </c>
    </row>
    <row r="332" ht="40.5" customHeight="1">
      <c r="A332" s="4" t="inlineStr">
        <is>
          <t>問36</t>
        </is>
      </c>
      <c r="B332" s="5" t="inlineStr">
        <is>
          <t>障がいのある人が利用しやすくするための配慮（合理的配慮）として必要だと思うことは何ですか（あてはまるものすべて）</t>
        </is>
      </c>
      <c r="C332" s="5" t="inlineStr">
        <is>
          <t>筆談・手話・要約筆記・字幕等の意思疎通支援</t>
        </is>
      </c>
      <c r="D332" s="26" t="n">
        <v>9</v>
      </c>
      <c r="E332" s="18">
        <f>IF($F332=0,0,D332/$F332)</f>
        <v>0.28125</v>
      </c>
      <c r="F332" s="17">
        <f>$F$331</f>
        <v>32</v>
      </c>
      <c r="G332" s="4" t="inlineStr">
        <is>
          <t>複数回答</t>
        </is>
      </c>
    </row>
    <row r="333" ht="40.5" customHeight="1">
      <c r="A333" s="4" t="inlineStr">
        <is>
          <t>問36</t>
        </is>
      </c>
      <c r="B333" s="5" t="inlineStr">
        <is>
          <t>障がいのある人が利用しやすくするための配慮（合理的配慮）として必要だと思うことは何ですか（あてはまるものすべて）</t>
        </is>
      </c>
      <c r="C333" s="5" t="inlineStr">
        <is>
          <t>静かな場所での相談</t>
        </is>
      </c>
      <c r="D333" s="26" t="n">
        <v>2</v>
      </c>
      <c r="E333" s="18">
        <f>IF($F333=0,0,D333/$F333)</f>
        <v>0.0625</v>
      </c>
      <c r="F333" s="17">
        <f>$F$331</f>
        <v>32</v>
      </c>
      <c r="G333" s="4" t="inlineStr">
        <is>
          <t>複数回答</t>
        </is>
      </c>
    </row>
    <row r="334" ht="40.5" customHeight="1">
      <c r="A334" s="4" t="inlineStr">
        <is>
          <t>問36</t>
        </is>
      </c>
      <c r="B334" s="5" t="inlineStr">
        <is>
          <t>障がいのある人が利用しやすくするための配慮（合理的配慮）として必要だと思うことは何ですか（あてはまるものすべて）</t>
        </is>
      </c>
      <c r="C334" s="5" t="inlineStr">
        <is>
          <t>移動しやすい環境</t>
        </is>
      </c>
      <c r="D334" s="26" t="n">
        <v>9</v>
      </c>
      <c r="E334" s="18">
        <f>IF($F334=0,0,D334/$F334)</f>
        <v>0.28125</v>
      </c>
      <c r="F334" s="17">
        <f>$F$331</f>
        <v>32</v>
      </c>
      <c r="G334" s="4" t="inlineStr">
        <is>
          <t>複数回答</t>
        </is>
      </c>
    </row>
    <row r="335" ht="40.5" customHeight="1">
      <c r="A335" s="4" t="inlineStr">
        <is>
          <t>問36</t>
        </is>
      </c>
      <c r="B335" s="5" t="inlineStr">
        <is>
          <t>障がいのある人が利用しやすくするための配慮（合理的配慮）として必要だと思うことは何ですか（あてはまるものすべて）</t>
        </is>
      </c>
      <c r="C335" s="5" t="inlineStr">
        <is>
          <t>手続きの支援</t>
        </is>
      </c>
      <c r="D335" s="26" t="n">
        <v>15</v>
      </c>
      <c r="E335" s="18">
        <f>IF($F335=0,0,D335/$F335)</f>
        <v>0.46875</v>
      </c>
      <c r="F335" s="17">
        <f>$F$331</f>
        <v>32</v>
      </c>
      <c r="G335" s="4" t="inlineStr">
        <is>
          <t>複数回答</t>
        </is>
      </c>
    </row>
    <row r="336" ht="40.5" customHeight="1">
      <c r="A336" s="4" t="inlineStr">
        <is>
          <t>問36</t>
        </is>
      </c>
      <c r="B336" s="5" t="inlineStr">
        <is>
          <t>障がいのある人が利用しやすくするための配慮（合理的配慮）として必要だと思うことは何ですか（あてはまるものすべて）</t>
        </is>
      </c>
      <c r="C336" s="5" t="inlineStr">
        <is>
          <t>本人の意思確認を丁寧に行うこと</t>
        </is>
      </c>
      <c r="D336" s="26" t="n">
        <v>12</v>
      </c>
      <c r="E336" s="18">
        <f>IF($F336=0,0,D336/$F336)</f>
        <v>0.375</v>
      </c>
      <c r="F336" s="17">
        <f>$F$331</f>
        <v>32</v>
      </c>
      <c r="G336" s="4" t="inlineStr">
        <is>
          <t>複数回答</t>
        </is>
      </c>
    </row>
    <row r="337" ht="40.5" customHeight="1">
      <c r="A337" s="4" t="inlineStr">
        <is>
          <t>問36</t>
        </is>
      </c>
      <c r="B337" s="5" t="inlineStr">
        <is>
          <t>障がいのある人が利用しやすくするための配慮（合理的配慮）として必要だと思うことは何ですか（あてはまるものすべて）</t>
        </is>
      </c>
      <c r="C337" s="5" t="inlineStr">
        <is>
          <t>職場・学校での配慮</t>
        </is>
      </c>
      <c r="D337" s="26" t="n">
        <v>3</v>
      </c>
      <c r="E337" s="18">
        <f>IF($F337=0,0,D337/$F337)</f>
        <v>0.09375</v>
      </c>
      <c r="F337" s="17">
        <f>$F$331</f>
        <v>32</v>
      </c>
      <c r="G337" s="4" t="inlineStr">
        <is>
          <t>複数回答</t>
        </is>
      </c>
    </row>
    <row r="338" ht="40.5" customHeight="1">
      <c r="A338" s="4" t="inlineStr">
        <is>
          <t>問36</t>
        </is>
      </c>
      <c r="B338" s="5" t="inlineStr">
        <is>
          <t>障がいのある人が利用しやすくするための配慮（合理的配慮）として必要だと思うことは何ですか（あてはまるものすべて）</t>
        </is>
      </c>
      <c r="C338" s="5" t="inlineStr">
        <is>
          <t>特にない</t>
        </is>
      </c>
      <c r="D338" s="26" t="n">
        <v>6</v>
      </c>
      <c r="E338" s="18">
        <f>IF($F338=0,0,D338/$F338)</f>
        <v>0.1875</v>
      </c>
      <c r="F338" s="17">
        <f>$F$331</f>
        <v>32</v>
      </c>
      <c r="G338" s="4" t="inlineStr">
        <is>
          <t>複数回答</t>
        </is>
      </c>
    </row>
    <row r="339" ht="40.5" customHeight="1">
      <c r="A339" s="4" t="inlineStr">
        <is>
          <t>問36</t>
        </is>
      </c>
      <c r="B339" s="5" t="inlineStr">
        <is>
          <t>障がいのある人が利用しやすくするための配慮（合理的配慮）として必要だと思うことは何ですか（あてはまるものすべて）</t>
        </is>
      </c>
      <c r="C339" s="5" t="inlineStr">
        <is>
          <t>その他</t>
        </is>
      </c>
      <c r="D339" s="26" t="n">
        <v>0</v>
      </c>
      <c r="E339" s="18">
        <f>IF($F339=0,0,D339/$F339)</f>
        <v>0</v>
      </c>
      <c r="F339" s="17">
        <f>$F$331</f>
        <v>32</v>
      </c>
      <c r="G339" s="4" t="inlineStr">
        <is>
          <t>複数回答</t>
        </is>
      </c>
    </row>
    <row r="340" ht="16" customHeight="1">
      <c r="A340" s="4" t="inlineStr">
        <is>
          <t>問37</t>
        </is>
      </c>
      <c r="B340" s="5" t="inlineStr">
        <is>
          <t>成年後見制度や権利擁護支援について知っていますか</t>
        </is>
      </c>
      <c r="C340" s="5" t="inlineStr">
        <is>
          <t>利用している</t>
        </is>
      </c>
      <c r="D340" s="26" t="n">
        <v>2</v>
      </c>
      <c r="E340" s="18">
        <f>IF($F340=0,0,D340/$F340)</f>
        <v>0.0606060606060606</v>
      </c>
      <c r="F340" s="26" t="n">
        <v>33</v>
      </c>
      <c r="G340" s="4" t="inlineStr">
        <is>
          <t>単一回答</t>
        </is>
      </c>
    </row>
    <row r="341" ht="16" customHeight="1">
      <c r="A341" s="4" t="inlineStr">
        <is>
          <t>問37</t>
        </is>
      </c>
      <c r="B341" s="5" t="inlineStr">
        <is>
          <t>成年後見制度や権利擁護支援について知っていますか</t>
        </is>
      </c>
      <c r="C341" s="5" t="inlineStr">
        <is>
          <t>知っている</t>
        </is>
      </c>
      <c r="D341" s="26" t="n">
        <v>9</v>
      </c>
      <c r="E341" s="18">
        <f>IF($F341=0,0,D341/$F341)</f>
        <v>0.272727272727273</v>
      </c>
      <c r="F341" s="17">
        <f>$F$340</f>
        <v>33</v>
      </c>
      <c r="G341" s="4" t="inlineStr">
        <is>
          <t>単一回答</t>
        </is>
      </c>
    </row>
    <row r="342" ht="16" customHeight="1">
      <c r="A342" s="4" t="inlineStr">
        <is>
          <t>問37</t>
        </is>
      </c>
      <c r="B342" s="5" t="inlineStr">
        <is>
          <t>成年後見制度や権利擁護支援について知っていますか</t>
        </is>
      </c>
      <c r="C342" s="5" t="inlineStr">
        <is>
          <t>名前だけ聞いたことがある</t>
        </is>
      </c>
      <c r="D342" s="26" t="n">
        <v>8</v>
      </c>
      <c r="E342" s="18">
        <f>IF($F342=0,0,D342/$F342)</f>
        <v>0.242424242424242</v>
      </c>
      <c r="F342" s="17">
        <f>$F$340</f>
        <v>33</v>
      </c>
      <c r="G342" s="4" t="inlineStr">
        <is>
          <t>単一回答</t>
        </is>
      </c>
    </row>
    <row r="343" ht="16" customHeight="1">
      <c r="A343" s="4" t="inlineStr">
        <is>
          <t>問37</t>
        </is>
      </c>
      <c r="B343" s="5" t="inlineStr">
        <is>
          <t>成年後見制度や権利擁護支援について知っていますか</t>
        </is>
      </c>
      <c r="C343" s="5" t="inlineStr">
        <is>
          <t>利用したいが手続きがわからない</t>
        </is>
      </c>
      <c r="D343" s="26" t="n">
        <v>0</v>
      </c>
      <c r="E343" s="18">
        <f>IF($F343=0,0,D343/$F343)</f>
        <v>0</v>
      </c>
      <c r="F343" s="17">
        <f>$F$340</f>
        <v>33</v>
      </c>
      <c r="G343" s="4" t="inlineStr">
        <is>
          <t>単一回答</t>
        </is>
      </c>
    </row>
    <row r="344" ht="16" customHeight="1">
      <c r="A344" s="4" t="inlineStr">
        <is>
          <t>問37</t>
        </is>
      </c>
      <c r="B344" s="5" t="inlineStr">
        <is>
          <t>成年後見制度や権利擁護支援について知っていますか</t>
        </is>
      </c>
      <c r="C344" s="5" t="inlineStr">
        <is>
          <t>知らない</t>
        </is>
      </c>
      <c r="D344" s="26" t="n">
        <v>14</v>
      </c>
      <c r="E344" s="18">
        <f>IF($F344=0,0,D344/$F344)</f>
        <v>0.424242424242424</v>
      </c>
      <c r="F344" s="17">
        <f>$F$340</f>
        <v>33</v>
      </c>
      <c r="G344" s="4" t="inlineStr">
        <is>
          <t>単一回答</t>
        </is>
      </c>
    </row>
    <row r="345" ht="28" customHeight="1">
      <c r="A345" s="4" t="inlineStr">
        <is>
          <t>問38</t>
        </is>
      </c>
      <c r="B345" s="5" t="inlineStr">
        <is>
          <t>災害時に不安なことは何ですか（あてはまるものすべて）</t>
        </is>
      </c>
      <c r="C345" s="5" t="inlineStr">
        <is>
          <t>避難する方法</t>
        </is>
      </c>
      <c r="D345" s="26" t="n">
        <v>13</v>
      </c>
      <c r="E345" s="18">
        <f>IF($F345=0,0,D345/$F345)</f>
        <v>0.382352941176471</v>
      </c>
      <c r="F345" s="26" t="n">
        <v>34</v>
      </c>
      <c r="G345" s="4" t="inlineStr">
        <is>
          <t>複数回答</t>
        </is>
      </c>
    </row>
    <row r="346" ht="28" customHeight="1">
      <c r="A346" s="4" t="inlineStr">
        <is>
          <t>問38</t>
        </is>
      </c>
      <c r="B346" s="5" t="inlineStr">
        <is>
          <t>災害時に不安なことは何ですか（あてはまるものすべて）</t>
        </is>
      </c>
      <c r="C346" s="5" t="inlineStr">
        <is>
          <t>避難先での生活</t>
        </is>
      </c>
      <c r="D346" s="26" t="n">
        <v>24</v>
      </c>
      <c r="E346" s="18">
        <f>IF($F346=0,0,D346/$F346)</f>
        <v>0.705882352941177</v>
      </c>
      <c r="F346" s="17">
        <f>$F$345</f>
        <v>34</v>
      </c>
      <c r="G346" s="4" t="inlineStr">
        <is>
          <t>複数回答</t>
        </is>
      </c>
    </row>
    <row r="347" ht="28" customHeight="1">
      <c r="A347" s="4" t="inlineStr">
        <is>
          <t>問38</t>
        </is>
      </c>
      <c r="B347" s="5" t="inlineStr">
        <is>
          <t>災害時に不安なことは何ですか（あてはまるものすべて）</t>
        </is>
      </c>
      <c r="C347" s="5" t="inlineStr">
        <is>
          <t>薬・医療機器</t>
        </is>
      </c>
      <c r="D347" s="26" t="n">
        <v>17</v>
      </c>
      <c r="E347" s="18">
        <f>IF($F347=0,0,D347/$F347)</f>
        <v>0.5</v>
      </c>
      <c r="F347" s="17">
        <f>$F$345</f>
        <v>34</v>
      </c>
      <c r="G347" s="4" t="inlineStr">
        <is>
          <t>複数回答</t>
        </is>
      </c>
    </row>
    <row r="348" ht="28" customHeight="1">
      <c r="A348" s="4" t="inlineStr">
        <is>
          <t>問38</t>
        </is>
      </c>
      <c r="B348" s="5" t="inlineStr">
        <is>
          <t>災害時に不安なことは何ですか（あてはまるものすべて）</t>
        </is>
      </c>
      <c r="C348" s="5" t="inlineStr">
        <is>
          <t>電源の確保</t>
        </is>
      </c>
      <c r="D348" s="26" t="n">
        <v>6</v>
      </c>
      <c r="E348" s="18">
        <f>IF($F348=0,0,D348/$F348)</f>
        <v>0.176470588235294</v>
      </c>
      <c r="F348" s="17">
        <f>$F$345</f>
        <v>34</v>
      </c>
      <c r="G348" s="4" t="inlineStr">
        <is>
          <t>複数回答</t>
        </is>
      </c>
    </row>
    <row r="349" ht="28" customHeight="1">
      <c r="A349" s="4" t="inlineStr">
        <is>
          <t>問38</t>
        </is>
      </c>
      <c r="B349" s="5" t="inlineStr">
        <is>
          <t>災害時に不安なことは何ですか（あてはまるものすべて）</t>
        </is>
      </c>
      <c r="C349" s="5" t="inlineStr">
        <is>
          <t>介助者がいないこと</t>
        </is>
      </c>
      <c r="D349" s="26" t="n">
        <v>3</v>
      </c>
      <c r="E349" s="18">
        <f>IF($F349=0,0,D349/$F349)</f>
        <v>0.0882352941176471</v>
      </c>
      <c r="F349" s="17">
        <f>$F$345</f>
        <v>34</v>
      </c>
      <c r="G349" s="4" t="inlineStr">
        <is>
          <t>複数回答</t>
        </is>
      </c>
    </row>
    <row r="350" ht="28" customHeight="1">
      <c r="A350" s="4" t="inlineStr">
        <is>
          <t>問38</t>
        </is>
      </c>
      <c r="B350" s="5" t="inlineStr">
        <is>
          <t>災害時に不安なことは何ですか（あてはまるものすべて）</t>
        </is>
      </c>
      <c r="C350" s="5" t="inlineStr">
        <is>
          <t>情報が届かないこと</t>
        </is>
      </c>
      <c r="D350" s="26" t="n">
        <v>5</v>
      </c>
      <c r="E350" s="18">
        <f>IF($F350=0,0,D350/$F350)</f>
        <v>0.147058823529412</v>
      </c>
      <c r="F350" s="17">
        <f>$F$345</f>
        <v>34</v>
      </c>
      <c r="G350" s="4" t="inlineStr">
        <is>
          <t>複数回答</t>
        </is>
      </c>
    </row>
    <row r="351" ht="28" customHeight="1">
      <c r="A351" s="4" t="inlineStr">
        <is>
          <t>問38</t>
        </is>
      </c>
      <c r="B351" s="5" t="inlineStr">
        <is>
          <t>災害時に不安なことは何ですか（あてはまるものすべて）</t>
        </is>
      </c>
      <c r="C351" s="5" t="inlineStr">
        <is>
          <t>冬季・積雪時の避難</t>
        </is>
      </c>
      <c r="D351" s="26" t="n">
        <v>16</v>
      </c>
      <c r="E351" s="18">
        <f>IF($F351=0,0,D351/$F351)</f>
        <v>0.470588235294118</v>
      </c>
      <c r="F351" s="17">
        <f>$F$345</f>
        <v>34</v>
      </c>
      <c r="G351" s="4" t="inlineStr">
        <is>
          <t>複数回答</t>
        </is>
      </c>
    </row>
    <row r="352" ht="28" customHeight="1">
      <c r="A352" s="4" t="inlineStr">
        <is>
          <t>問38</t>
        </is>
      </c>
      <c r="B352" s="5" t="inlineStr">
        <is>
          <t>災害時に不安なことは何ですか（あてはまるものすべて）</t>
        </is>
      </c>
      <c r="C352" s="5" t="inlineStr">
        <is>
          <t>ペット・補助犬等</t>
        </is>
      </c>
      <c r="D352" s="26" t="n">
        <v>0</v>
      </c>
      <c r="E352" s="18">
        <f>IF($F352=0,0,D352/$F352)</f>
        <v>0</v>
      </c>
      <c r="F352" s="17">
        <f>$F$345</f>
        <v>34</v>
      </c>
      <c r="G352" s="4" t="inlineStr">
        <is>
          <t>複数回答</t>
        </is>
      </c>
    </row>
    <row r="353" ht="28" customHeight="1">
      <c r="A353" s="4" t="inlineStr">
        <is>
          <t>問38</t>
        </is>
      </c>
      <c r="B353" s="5" t="inlineStr">
        <is>
          <t>災害時に不安なことは何ですか（あてはまるものすべて）</t>
        </is>
      </c>
      <c r="C353" s="5" t="inlineStr">
        <is>
          <t>特に不安はない</t>
        </is>
      </c>
      <c r="D353" s="26" t="n">
        <v>3</v>
      </c>
      <c r="E353" s="18">
        <f>IF($F353=0,0,D353/$F353)</f>
        <v>0.0882352941176471</v>
      </c>
      <c r="F353" s="17">
        <f>$F$345</f>
        <v>34</v>
      </c>
      <c r="G353" s="4" t="inlineStr">
        <is>
          <t>複数回答</t>
        </is>
      </c>
    </row>
    <row r="354" ht="28" customHeight="1">
      <c r="A354" s="4" t="inlineStr">
        <is>
          <t>問38</t>
        </is>
      </c>
      <c r="B354" s="5" t="inlineStr">
        <is>
          <t>災害時に不安なことは何ですか（あてはまるものすべて）</t>
        </is>
      </c>
      <c r="C354" s="5" t="inlineStr">
        <is>
          <t>その他</t>
        </is>
      </c>
      <c r="D354" s="26" t="n">
        <v>0</v>
      </c>
      <c r="E354" s="18">
        <f>IF($F354=0,0,D354/$F354)</f>
        <v>0</v>
      </c>
      <c r="F354" s="17">
        <f>$F$345</f>
        <v>34</v>
      </c>
      <c r="G354" s="4" t="inlineStr">
        <is>
          <t>複数回答</t>
        </is>
      </c>
    </row>
    <row r="355" ht="28" customHeight="1">
      <c r="A355" s="4" t="inlineStr">
        <is>
          <t>問39</t>
        </is>
      </c>
      <c r="B355" s="5" t="inlineStr">
        <is>
          <t>避難行動要支援者名簿や個別避難計画について知っていますか</t>
        </is>
      </c>
      <c r="C355" s="5" t="inlineStr">
        <is>
          <t>制度を知っており作成したい</t>
        </is>
      </c>
      <c r="D355" s="26" t="n">
        <v>2</v>
      </c>
      <c r="E355" s="18">
        <f>IF($F355=0,0,D355/$F355)</f>
        <v>0.0588235294117647</v>
      </c>
      <c r="F355" s="26" t="n">
        <v>34</v>
      </c>
      <c r="G355" s="4" t="inlineStr">
        <is>
          <t>単一回答</t>
        </is>
      </c>
    </row>
    <row r="356" ht="28" customHeight="1">
      <c r="A356" s="4" t="inlineStr">
        <is>
          <t>問39</t>
        </is>
      </c>
      <c r="B356" s="5" t="inlineStr">
        <is>
          <t>避難行動要支援者名簿や個別避難計画について知っていますか</t>
        </is>
      </c>
      <c r="C356" s="5" t="inlineStr">
        <is>
          <t>名前だけ聞いたことがある</t>
        </is>
      </c>
      <c r="D356" s="26" t="n">
        <v>5</v>
      </c>
      <c r="E356" s="18">
        <f>IF($F356=0,0,D356/$F356)</f>
        <v>0.147058823529412</v>
      </c>
      <c r="F356" s="17">
        <f>$F$355</f>
        <v>34</v>
      </c>
      <c r="G356" s="4" t="inlineStr">
        <is>
          <t>単一回答</t>
        </is>
      </c>
    </row>
    <row r="357" ht="28" customHeight="1">
      <c r="A357" s="4" t="inlineStr">
        <is>
          <t>問39</t>
        </is>
      </c>
      <c r="B357" s="5" t="inlineStr">
        <is>
          <t>避難行動要支援者名簿や個別避難計画について知っていますか</t>
        </is>
      </c>
      <c r="C357" s="5" t="inlineStr">
        <is>
          <t>知らない</t>
        </is>
      </c>
      <c r="D357" s="26" t="n">
        <v>26</v>
      </c>
      <c r="E357" s="18">
        <f>IF($F357=0,0,D357/$F357)</f>
        <v>0.764705882352941</v>
      </c>
      <c r="F357" s="17">
        <f>$F$355</f>
        <v>34</v>
      </c>
      <c r="G357" s="4" t="inlineStr">
        <is>
          <t>単一回答</t>
        </is>
      </c>
    </row>
    <row r="358" ht="28" customHeight="1">
      <c r="A358" s="4" t="inlineStr">
        <is>
          <t>問39</t>
        </is>
      </c>
      <c r="B358" s="5" t="inlineStr">
        <is>
          <t>避難行動要支援者名簿や個別避難計画について知っていますか</t>
        </is>
      </c>
      <c r="C358" s="5" t="inlineStr">
        <is>
          <t>必要ない</t>
        </is>
      </c>
      <c r="D358" s="26" t="n">
        <v>1</v>
      </c>
      <c r="E358" s="18">
        <f>IF($F358=0,0,D358/$F358)</f>
        <v>0.0294117647058824</v>
      </c>
      <c r="F358" s="17">
        <f>$F$355</f>
        <v>34</v>
      </c>
      <c r="G358" s="4" t="inlineStr">
        <is>
          <t>単一回答</t>
        </is>
      </c>
    </row>
    <row r="359" ht="28" customHeight="1">
      <c r="A359" s="4" t="inlineStr">
        <is>
          <t>問40</t>
        </is>
      </c>
      <c r="B359" s="5" t="inlineStr">
        <is>
          <t>災害時に支援してくれる人や機関はありますか（あてはまるものすべて）</t>
        </is>
      </c>
      <c r="C359" s="5" t="inlineStr">
        <is>
          <t>同居家族</t>
        </is>
      </c>
      <c r="D359" s="26" t="n">
        <v>23</v>
      </c>
      <c r="E359" s="18">
        <f>IF($F359=0,0,D359/$F359)</f>
        <v>0.657142857142857</v>
      </c>
      <c r="F359" s="26" t="n">
        <v>35</v>
      </c>
      <c r="G359" s="4" t="inlineStr">
        <is>
          <t>複数回答</t>
        </is>
      </c>
    </row>
    <row r="360" ht="28" customHeight="1">
      <c r="A360" s="4" t="inlineStr">
        <is>
          <t>問40</t>
        </is>
      </c>
      <c r="B360" s="5" t="inlineStr">
        <is>
          <t>災害時に支援してくれる人や機関はありますか（あてはまるものすべて）</t>
        </is>
      </c>
      <c r="C360" s="5" t="inlineStr">
        <is>
          <t>別居家族・親族</t>
        </is>
      </c>
      <c r="D360" s="26" t="n">
        <v>10</v>
      </c>
      <c r="E360" s="18">
        <f>IF($F360=0,0,D360/$F360)</f>
        <v>0.285714285714286</v>
      </c>
      <c r="F360" s="17">
        <f>$F$359</f>
        <v>35</v>
      </c>
      <c r="G360" s="4" t="inlineStr">
        <is>
          <t>複数回答</t>
        </is>
      </c>
    </row>
    <row r="361" ht="28" customHeight="1">
      <c r="A361" s="4" t="inlineStr">
        <is>
          <t>問40</t>
        </is>
      </c>
      <c r="B361" s="5" t="inlineStr">
        <is>
          <t>災害時に支援してくれる人や機関はありますか（あてはまるものすべて）</t>
        </is>
      </c>
      <c r="C361" s="5" t="inlineStr">
        <is>
          <t>近所の人</t>
        </is>
      </c>
      <c r="D361" s="26" t="n">
        <v>6</v>
      </c>
      <c r="E361" s="18">
        <f>IF($F361=0,0,D361/$F361)</f>
        <v>0.171428571428571</v>
      </c>
      <c r="F361" s="17">
        <f>$F$359</f>
        <v>35</v>
      </c>
      <c r="G361" s="4" t="inlineStr">
        <is>
          <t>複数回答</t>
        </is>
      </c>
    </row>
    <row r="362" ht="28" customHeight="1">
      <c r="A362" s="4" t="inlineStr">
        <is>
          <t>問40</t>
        </is>
      </c>
      <c r="B362" s="5" t="inlineStr">
        <is>
          <t>災害時に支援してくれる人や機関はありますか（あてはまるものすべて）</t>
        </is>
      </c>
      <c r="C362" s="5" t="inlineStr">
        <is>
          <t>民生委員・児童委員</t>
        </is>
      </c>
      <c r="D362" s="26" t="n">
        <v>3</v>
      </c>
      <c r="E362" s="18">
        <f>IF($F362=0,0,D362/$F362)</f>
        <v>0.0857142857142857</v>
      </c>
      <c r="F362" s="17">
        <f>$F$359</f>
        <v>35</v>
      </c>
      <c r="G362" s="4" t="inlineStr">
        <is>
          <t>複数回答</t>
        </is>
      </c>
    </row>
    <row r="363" ht="28" customHeight="1">
      <c r="A363" s="4" t="inlineStr">
        <is>
          <t>問40</t>
        </is>
      </c>
      <c r="B363" s="5" t="inlineStr">
        <is>
          <t>災害時に支援してくれる人や機関はありますか（あてはまるものすべて）</t>
        </is>
      </c>
      <c r="C363" s="5" t="inlineStr">
        <is>
          <t>福祉サービス事業所</t>
        </is>
      </c>
      <c r="D363" s="26" t="n">
        <v>6</v>
      </c>
      <c r="E363" s="18">
        <f>IF($F363=0,0,D363/$F363)</f>
        <v>0.171428571428571</v>
      </c>
      <c r="F363" s="17">
        <f>$F$359</f>
        <v>35</v>
      </c>
      <c r="G363" s="4" t="inlineStr">
        <is>
          <t>複数回答</t>
        </is>
      </c>
    </row>
    <row r="364" ht="28" customHeight="1">
      <c r="A364" s="4" t="inlineStr">
        <is>
          <t>問40</t>
        </is>
      </c>
      <c r="B364" s="5" t="inlineStr">
        <is>
          <t>災害時に支援してくれる人や機関はありますか（あてはまるものすべて）</t>
        </is>
      </c>
      <c r="C364" s="5" t="inlineStr">
        <is>
          <t>医療機関</t>
        </is>
      </c>
      <c r="D364" s="26" t="n">
        <v>4</v>
      </c>
      <c r="E364" s="18">
        <f>IF($F364=0,0,D364/$F364)</f>
        <v>0.114285714285714</v>
      </c>
      <c r="F364" s="17">
        <f>$F$359</f>
        <v>35</v>
      </c>
      <c r="G364" s="4" t="inlineStr">
        <is>
          <t>複数回答</t>
        </is>
      </c>
    </row>
    <row r="365" ht="28" customHeight="1">
      <c r="A365" s="4" t="inlineStr">
        <is>
          <t>問40</t>
        </is>
      </c>
      <c r="B365" s="5" t="inlineStr">
        <is>
          <t>災害時に支援してくれる人や機関はありますか（あてはまるものすべて）</t>
        </is>
      </c>
      <c r="C365" s="5" t="inlineStr">
        <is>
          <t>消防・警察</t>
        </is>
      </c>
      <c r="D365" s="26" t="n">
        <v>4</v>
      </c>
      <c r="E365" s="18">
        <f>IF($F365=0,0,D365/$F365)</f>
        <v>0.114285714285714</v>
      </c>
      <c r="F365" s="17">
        <f>$F$359</f>
        <v>35</v>
      </c>
      <c r="G365" s="4" t="inlineStr">
        <is>
          <t>複数回答</t>
        </is>
      </c>
    </row>
    <row r="366" ht="28" customHeight="1">
      <c r="A366" s="4" t="inlineStr">
        <is>
          <t>問40</t>
        </is>
      </c>
      <c r="B366" s="5" t="inlineStr">
        <is>
          <t>災害時に支援してくれる人や機関はありますか（あてはまるものすべて）</t>
        </is>
      </c>
      <c r="C366" s="5" t="inlineStr">
        <is>
          <t>いない・わからない</t>
        </is>
      </c>
      <c r="D366" s="26" t="n">
        <v>1</v>
      </c>
      <c r="E366" s="18">
        <f>IF($F366=0,0,D366/$F366)</f>
        <v>0.0285714285714286</v>
      </c>
      <c r="F366" s="17">
        <f>$F$359</f>
        <v>35</v>
      </c>
      <c r="G366" s="4" t="inlineStr">
        <is>
          <t>複数回答</t>
        </is>
      </c>
    </row>
    <row r="367" ht="28" customHeight="1">
      <c r="A367" s="4" t="inlineStr">
        <is>
          <t>問40</t>
        </is>
      </c>
      <c r="B367" s="5" t="inlineStr">
        <is>
          <t>災害時に支援してくれる人や機関はありますか（あてはまるものすべて）</t>
        </is>
      </c>
      <c r="C367" s="5" t="inlineStr">
        <is>
          <t>その他</t>
        </is>
      </c>
      <c r="D367" s="26" t="n">
        <v>1</v>
      </c>
      <c r="E367" s="18">
        <f>IF($F367=0,0,D367/$F367)</f>
        <v>0.0285714285714286</v>
      </c>
      <c r="F367" s="17">
        <f>$F$359</f>
        <v>35</v>
      </c>
      <c r="G367" s="4" t="inlineStr">
        <is>
          <t>複数回答</t>
        </is>
      </c>
    </row>
    <row r="368" ht="28" customHeight="1">
      <c r="A368" s="4" t="inlineStr">
        <is>
          <t>問41</t>
        </is>
      </c>
      <c r="B368" s="5" t="inlineStr">
        <is>
          <t>災害時に必要だと思う支援は何ですか（あてはまるものすべて）</t>
        </is>
      </c>
      <c r="C368" s="5" t="inlineStr">
        <is>
          <t>個別避難計画の作成支援</t>
        </is>
      </c>
      <c r="D368" s="26" t="n">
        <v>6</v>
      </c>
      <c r="E368" s="18">
        <f>IF($F368=0,0,D368/$F368)</f>
        <v>0.181818181818182</v>
      </c>
      <c r="F368" s="26" t="n">
        <v>33</v>
      </c>
      <c r="G368" s="4" t="inlineStr">
        <is>
          <t>複数回答</t>
        </is>
      </c>
    </row>
    <row r="369" ht="28" customHeight="1">
      <c r="A369" s="4" t="inlineStr">
        <is>
          <t>問41</t>
        </is>
      </c>
      <c r="B369" s="5" t="inlineStr">
        <is>
          <t>災害時に必要だと思う支援は何ですか（あてはまるものすべて）</t>
        </is>
      </c>
      <c r="C369" s="5" t="inlineStr">
        <is>
          <t>避難訓練への参加支援</t>
        </is>
      </c>
      <c r="D369" s="26" t="n">
        <v>5</v>
      </c>
      <c r="E369" s="18">
        <f>IF($F369=0,0,D369/$F369)</f>
        <v>0.151515151515152</v>
      </c>
      <c r="F369" s="17">
        <f>$F$368</f>
        <v>33</v>
      </c>
      <c r="G369" s="4" t="inlineStr">
        <is>
          <t>複数回答</t>
        </is>
      </c>
    </row>
    <row r="370" ht="28" customHeight="1">
      <c r="A370" s="4" t="inlineStr">
        <is>
          <t>問41</t>
        </is>
      </c>
      <c r="B370" s="5" t="inlineStr">
        <is>
          <t>災害時に必要だと思う支援は何ですか（あてはまるものすべて）</t>
        </is>
      </c>
      <c r="C370" s="5" t="inlineStr">
        <is>
          <t>福祉避難所の情報提供</t>
        </is>
      </c>
      <c r="D370" s="26" t="n">
        <v>12</v>
      </c>
      <c r="E370" s="18">
        <f>IF($F370=0,0,D370/$F370)</f>
        <v>0.363636363636364</v>
      </c>
      <c r="F370" s="17">
        <f>$F$368</f>
        <v>33</v>
      </c>
      <c r="G370" s="4" t="inlineStr">
        <is>
          <t>複数回答</t>
        </is>
      </c>
    </row>
    <row r="371" ht="28" customHeight="1">
      <c r="A371" s="4" t="inlineStr">
        <is>
          <t>問41</t>
        </is>
      </c>
      <c r="B371" s="5" t="inlineStr">
        <is>
          <t>災害時に必要だと思う支援は何ですか（あてはまるものすべて）</t>
        </is>
      </c>
      <c r="C371" s="5" t="inlineStr">
        <is>
          <t>薬・医療機器・電源の確保</t>
        </is>
      </c>
      <c r="D371" s="26" t="n">
        <v>21</v>
      </c>
      <c r="E371" s="18">
        <f>IF($F371=0,0,D371/$F371)</f>
        <v>0.636363636363636</v>
      </c>
      <c r="F371" s="17">
        <f>$F$368</f>
        <v>33</v>
      </c>
      <c r="G371" s="4" t="inlineStr">
        <is>
          <t>複数回答</t>
        </is>
      </c>
    </row>
    <row r="372" ht="28" customHeight="1">
      <c r="A372" s="4" t="inlineStr">
        <is>
          <t>問41</t>
        </is>
      </c>
      <c r="B372" s="5" t="inlineStr">
        <is>
          <t>災害時に必要だと思う支援は何ですか（あてはまるものすべて）</t>
        </is>
      </c>
      <c r="C372" s="5" t="inlineStr">
        <is>
          <t>冬季避難の支援</t>
        </is>
      </c>
      <c r="D372" s="26" t="n">
        <v>12</v>
      </c>
      <c r="E372" s="18">
        <f>IF($F372=0,0,D372/$F372)</f>
        <v>0.363636363636364</v>
      </c>
      <c r="F372" s="17">
        <f>$F$368</f>
        <v>33</v>
      </c>
      <c r="G372" s="4" t="inlineStr">
        <is>
          <t>複数回答</t>
        </is>
      </c>
    </row>
    <row r="373" ht="28" customHeight="1">
      <c r="A373" s="4" t="inlineStr">
        <is>
          <t>問41</t>
        </is>
      </c>
      <c r="B373" s="5" t="inlineStr">
        <is>
          <t>災害時に必要だと思う支援は何ですか（あてはまるものすべて）</t>
        </is>
      </c>
      <c r="C373" s="5" t="inlineStr">
        <is>
          <t>安否確認</t>
        </is>
      </c>
      <c r="D373" s="26" t="n">
        <v>12</v>
      </c>
      <c r="E373" s="18">
        <f>IF($F373=0,0,D373/$F373)</f>
        <v>0.363636363636364</v>
      </c>
      <c r="F373" s="17">
        <f>$F$368</f>
        <v>33</v>
      </c>
      <c r="G373" s="4" t="inlineStr">
        <is>
          <t>複数回答</t>
        </is>
      </c>
    </row>
    <row r="374" ht="28" customHeight="1">
      <c r="A374" s="4" t="inlineStr">
        <is>
          <t>問41</t>
        </is>
      </c>
      <c r="B374" s="5" t="inlineStr">
        <is>
          <t>災害時に必要だと思う支援は何ですか（あてはまるものすべて）</t>
        </is>
      </c>
      <c r="C374" s="5" t="inlineStr">
        <is>
          <t>避難所での合理的配慮</t>
        </is>
      </c>
      <c r="D374" s="26" t="n">
        <v>11</v>
      </c>
      <c r="E374" s="18">
        <f>IF($F374=0,0,D374/$F374)</f>
        <v>0.333333333333333</v>
      </c>
      <c r="F374" s="17">
        <f>$F$368</f>
        <v>33</v>
      </c>
      <c r="G374" s="4" t="inlineStr">
        <is>
          <t>複数回答</t>
        </is>
      </c>
    </row>
    <row r="375" ht="28" customHeight="1">
      <c r="A375" s="4" t="inlineStr">
        <is>
          <t>問41</t>
        </is>
      </c>
      <c r="B375" s="5" t="inlineStr">
        <is>
          <t>災害時に必要だと思う支援は何ですか（あてはまるものすべて）</t>
        </is>
      </c>
      <c r="C375" s="5" t="inlineStr">
        <is>
          <t>文字・掲示・字幕等の目で見てわかる災害情報</t>
        </is>
      </c>
      <c r="D375" s="26" t="n">
        <v>12</v>
      </c>
      <c r="E375" s="18">
        <f>IF($F375=0,0,D375/$F375)</f>
        <v>0.363636363636364</v>
      </c>
      <c r="F375" s="17">
        <f>$F$368</f>
        <v>33</v>
      </c>
      <c r="G375" s="4" t="inlineStr">
        <is>
          <t>複数回答</t>
        </is>
      </c>
    </row>
    <row r="376" ht="28" customHeight="1">
      <c r="A376" s="4" t="inlineStr">
        <is>
          <t>問41</t>
        </is>
      </c>
      <c r="B376" s="5" t="inlineStr">
        <is>
          <t>災害時に必要だと思う支援は何ですか（あてはまるものすべて）</t>
        </is>
      </c>
      <c r="C376" s="5" t="inlineStr">
        <is>
          <t>その他</t>
        </is>
      </c>
      <c r="D376" s="26" t="n">
        <v>1</v>
      </c>
      <c r="E376" s="18">
        <f>IF($F376=0,0,D376/$F376)</f>
        <v>0.0303030303030303</v>
      </c>
      <c r="F376" s="17">
        <f>$F$368</f>
        <v>33</v>
      </c>
      <c r="G376" s="4" t="inlineStr">
        <is>
          <t>複数回答</t>
        </is>
      </c>
    </row>
    <row r="377" ht="28" customHeight="1">
      <c r="A377" s="4" t="inlineStr">
        <is>
          <t>問42</t>
        </is>
      </c>
      <c r="B377" s="5" t="inlineStr">
        <is>
          <t>地域活動や社会参加について、今後参加したいものはありますか（あてはまるものすべて）</t>
        </is>
      </c>
      <c r="C377" s="5" t="inlineStr">
        <is>
          <t>趣味・スポーツ</t>
        </is>
      </c>
      <c r="D377" s="26" t="n">
        <v>7</v>
      </c>
      <c r="E377" s="18">
        <f>IF($F377=0,0,D377/$F377)</f>
        <v>0.233333333333333</v>
      </c>
      <c r="F377" s="26" t="n">
        <v>30</v>
      </c>
      <c r="G377" s="4" t="inlineStr">
        <is>
          <t>複数回答</t>
        </is>
      </c>
    </row>
    <row r="378" ht="28" customHeight="1">
      <c r="A378" s="4" t="inlineStr">
        <is>
          <t>問42</t>
        </is>
      </c>
      <c r="B378" s="5" t="inlineStr">
        <is>
          <t>地域活動や社会参加について、今後参加したいものはありますか（あてはまるものすべて）</t>
        </is>
      </c>
      <c r="C378" s="5" t="inlineStr">
        <is>
          <t>ボランティア</t>
        </is>
      </c>
      <c r="D378" s="26" t="n">
        <v>2</v>
      </c>
      <c r="E378" s="18">
        <f>IF($F378=0,0,D378/$F378)</f>
        <v>0.0666666666666667</v>
      </c>
      <c r="F378" s="17">
        <f>$F$377</f>
        <v>30</v>
      </c>
      <c r="G378" s="4" t="inlineStr">
        <is>
          <t>複数回答</t>
        </is>
      </c>
    </row>
    <row r="379" ht="28" customHeight="1">
      <c r="A379" s="4" t="inlineStr">
        <is>
          <t>問42</t>
        </is>
      </c>
      <c r="B379" s="5" t="inlineStr">
        <is>
          <t>地域活動や社会参加について、今後参加したいものはありますか（あてはまるものすべて）</t>
        </is>
      </c>
      <c r="C379" s="5" t="inlineStr">
        <is>
          <t>地域行事</t>
        </is>
      </c>
      <c r="D379" s="26" t="n">
        <v>6</v>
      </c>
      <c r="E379" s="18">
        <f>IF($F379=0,0,D379/$F379)</f>
        <v>0.2</v>
      </c>
      <c r="F379" s="17">
        <f>$F$377</f>
        <v>30</v>
      </c>
      <c r="G379" s="4" t="inlineStr">
        <is>
          <t>複数回答</t>
        </is>
      </c>
    </row>
    <row r="380" ht="28" customHeight="1">
      <c r="A380" s="4" t="inlineStr">
        <is>
          <t>問42</t>
        </is>
      </c>
      <c r="B380" s="5" t="inlineStr">
        <is>
          <t>地域活動や社会参加について、今後参加したいものはありますか（あてはまるものすべて）</t>
        </is>
      </c>
      <c r="C380" s="5" t="inlineStr">
        <is>
          <t>障がい者団体・家族会</t>
        </is>
      </c>
      <c r="D380" s="26" t="n">
        <v>3</v>
      </c>
      <c r="E380" s="18">
        <f>IF($F380=0,0,D380/$F380)</f>
        <v>0.1</v>
      </c>
      <c r="F380" s="17">
        <f>$F$377</f>
        <v>30</v>
      </c>
      <c r="G380" s="4" t="inlineStr">
        <is>
          <t>複数回答</t>
        </is>
      </c>
    </row>
    <row r="381" ht="28" customHeight="1">
      <c r="A381" s="4" t="inlineStr">
        <is>
          <t>問42</t>
        </is>
      </c>
      <c r="B381" s="5" t="inlineStr">
        <is>
          <t>地域活動や社会参加について、今後参加したいものはありますか（あてはまるものすべて）</t>
        </is>
      </c>
      <c r="C381" s="5" t="inlineStr">
        <is>
          <t>就労・地域貢献</t>
        </is>
      </c>
      <c r="D381" s="26" t="n">
        <v>3</v>
      </c>
      <c r="E381" s="18">
        <f>IF($F381=0,0,D381/$F381)</f>
        <v>0.1</v>
      </c>
      <c r="F381" s="17">
        <f>$F$377</f>
        <v>30</v>
      </c>
      <c r="G381" s="4" t="inlineStr">
        <is>
          <t>複数回答</t>
        </is>
      </c>
    </row>
    <row r="382" ht="28" customHeight="1">
      <c r="A382" s="4" t="inlineStr">
        <is>
          <t>問42</t>
        </is>
      </c>
      <c r="B382" s="5" t="inlineStr">
        <is>
          <t>地域活動や社会参加について、今後参加したいものはありますか（あてはまるものすべて）</t>
        </is>
      </c>
      <c r="C382" s="5" t="inlineStr">
        <is>
          <t>学習・講座</t>
        </is>
      </c>
      <c r="D382" s="26" t="n">
        <v>3</v>
      </c>
      <c r="E382" s="18">
        <f>IF($F382=0,0,D382/$F382)</f>
        <v>0.1</v>
      </c>
      <c r="F382" s="17">
        <f>$F$377</f>
        <v>30</v>
      </c>
      <c r="G382" s="4" t="inlineStr">
        <is>
          <t>複数回答</t>
        </is>
      </c>
    </row>
    <row r="383" ht="28" customHeight="1">
      <c r="A383" s="4" t="inlineStr">
        <is>
          <t>問42</t>
        </is>
      </c>
      <c r="B383" s="5" t="inlineStr">
        <is>
          <t>地域活動や社会参加について、今後参加したいものはありますか（あてはまるものすべて）</t>
        </is>
      </c>
      <c r="C383" s="5" t="inlineStr">
        <is>
          <t>オンラインでの交流</t>
        </is>
      </c>
      <c r="D383" s="26" t="n">
        <v>0</v>
      </c>
      <c r="E383" s="18">
        <f>IF($F383=0,0,D383/$F383)</f>
        <v>0</v>
      </c>
      <c r="F383" s="17">
        <f>$F$377</f>
        <v>30</v>
      </c>
      <c r="G383" s="4" t="inlineStr">
        <is>
          <t>複数回答</t>
        </is>
      </c>
    </row>
    <row r="384" ht="28" customHeight="1">
      <c r="A384" s="4" t="inlineStr">
        <is>
          <t>問42</t>
        </is>
      </c>
      <c r="B384" s="5" t="inlineStr">
        <is>
          <t>地域活動や社会参加について、今後参加したいものはありますか（あてはまるものすべて）</t>
        </is>
      </c>
      <c r="C384" s="5" t="inlineStr">
        <is>
          <t>特にない</t>
        </is>
      </c>
      <c r="D384" s="26" t="n">
        <v>19</v>
      </c>
      <c r="E384" s="18">
        <f>IF($F384=0,0,D384/$F384)</f>
        <v>0.633333333333333</v>
      </c>
      <c r="F384" s="17">
        <f>$F$377</f>
        <v>30</v>
      </c>
      <c r="G384" s="4" t="inlineStr">
        <is>
          <t>複数回答</t>
        </is>
      </c>
    </row>
    <row r="385" ht="28" customHeight="1">
      <c r="A385" s="4" t="inlineStr">
        <is>
          <t>問42</t>
        </is>
      </c>
      <c r="B385" s="5" t="inlineStr">
        <is>
          <t>地域活動や社会参加について、今後参加したいものはありますか（あてはまるものすべて）</t>
        </is>
      </c>
      <c r="C385" s="5" t="inlineStr">
        <is>
          <t>その他</t>
        </is>
      </c>
      <c r="D385" s="26" t="n">
        <v>0</v>
      </c>
      <c r="E385" s="18">
        <f>IF($F385=0,0,D385/$F385)</f>
        <v>0</v>
      </c>
      <c r="F385" s="17">
        <f>$F$377</f>
        <v>30</v>
      </c>
      <c r="G385" s="4" t="inlineStr">
        <is>
          <t>複数回答</t>
        </is>
      </c>
    </row>
    <row r="386" ht="28" customHeight="1">
      <c r="A386" s="4" t="inlineStr">
        <is>
          <t>問43</t>
        </is>
      </c>
      <c r="B386" s="5" t="inlineStr">
        <is>
          <t>障がいへの理解を深めるために必要だと思う取組は何ですか（あてはまるものすべて）</t>
        </is>
      </c>
      <c r="C386" s="5" t="inlineStr">
        <is>
          <t>学校での福祉教育</t>
        </is>
      </c>
      <c r="D386" s="26" t="n">
        <v>9</v>
      </c>
      <c r="E386" s="18">
        <f>IF($F386=0,0,D386/$F386)</f>
        <v>0.290322580645161</v>
      </c>
      <c r="F386" s="26" t="n">
        <v>31</v>
      </c>
      <c r="G386" s="4" t="inlineStr">
        <is>
          <t>複数回答</t>
        </is>
      </c>
    </row>
    <row r="387" ht="28" customHeight="1">
      <c r="A387" s="4" t="inlineStr">
        <is>
          <t>問43</t>
        </is>
      </c>
      <c r="B387" s="5" t="inlineStr">
        <is>
          <t>障がいへの理解を深めるために必要だと思う取組は何ですか（あてはまるものすべて）</t>
        </is>
      </c>
      <c r="C387" s="5" t="inlineStr">
        <is>
          <t>地域住民向けの講座</t>
        </is>
      </c>
      <c r="D387" s="26" t="n">
        <v>6</v>
      </c>
      <c r="E387" s="18">
        <f>IF($F387=0,0,D387/$F387)</f>
        <v>0.193548387096774</v>
      </c>
      <c r="F387" s="17">
        <f>$F$386</f>
        <v>31</v>
      </c>
      <c r="G387" s="4" t="inlineStr">
        <is>
          <t>複数回答</t>
        </is>
      </c>
    </row>
    <row r="388" ht="28" customHeight="1">
      <c r="A388" s="4" t="inlineStr">
        <is>
          <t>問43</t>
        </is>
      </c>
      <c r="B388" s="5" t="inlineStr">
        <is>
          <t>障がいへの理解を深めるために必要だと思う取組は何ですか（あてはまるものすべて）</t>
        </is>
      </c>
      <c r="C388" s="5" t="inlineStr">
        <is>
          <t>事業所・企業への啓発</t>
        </is>
      </c>
      <c r="D388" s="26" t="n">
        <v>5</v>
      </c>
      <c r="E388" s="18">
        <f>IF($F388=0,0,D388/$F388)</f>
        <v>0.161290322580645</v>
      </c>
      <c r="F388" s="17">
        <f>$F$386</f>
        <v>31</v>
      </c>
      <c r="G388" s="4" t="inlineStr">
        <is>
          <t>複数回答</t>
        </is>
      </c>
    </row>
    <row r="389" ht="28" customHeight="1">
      <c r="A389" s="4" t="inlineStr">
        <is>
          <t>問43</t>
        </is>
      </c>
      <c r="B389" s="5" t="inlineStr">
        <is>
          <t>障がいへの理解を深めるために必要だと思う取組は何ですか（あてはまるものすべて）</t>
        </is>
      </c>
      <c r="C389" s="5" t="inlineStr">
        <is>
          <t>広報・ホームページでの情報発信</t>
        </is>
      </c>
      <c r="D389" s="26" t="n">
        <v>12</v>
      </c>
      <c r="E389" s="18">
        <f>IF($F389=0,0,D389/$F389)</f>
        <v>0.387096774193548</v>
      </c>
      <c r="F389" s="17">
        <f>$F$386</f>
        <v>31</v>
      </c>
      <c r="G389" s="4" t="inlineStr">
        <is>
          <t>複数回答</t>
        </is>
      </c>
    </row>
    <row r="390" ht="28" customHeight="1">
      <c r="A390" s="4" t="inlineStr">
        <is>
          <t>問43</t>
        </is>
      </c>
      <c r="B390" s="5" t="inlineStr">
        <is>
          <t>障がいへの理解を深めるために必要だと思う取組は何ですか（あてはまるものすべて）</t>
        </is>
      </c>
      <c r="C390" s="5" t="inlineStr">
        <is>
          <t>交流の場づくり</t>
        </is>
      </c>
      <c r="D390" s="26" t="n">
        <v>10</v>
      </c>
      <c r="E390" s="18">
        <f>IF($F390=0,0,D390/$F390)</f>
        <v>0.32258064516129</v>
      </c>
      <c r="F390" s="17">
        <f>$F$386</f>
        <v>31</v>
      </c>
      <c r="G390" s="4" t="inlineStr">
        <is>
          <t>複数回答</t>
        </is>
      </c>
    </row>
    <row r="391" ht="28" customHeight="1">
      <c r="A391" s="4" t="inlineStr">
        <is>
          <t>問43</t>
        </is>
      </c>
      <c r="B391" s="5" t="inlineStr">
        <is>
          <t>障がいへの理解を深めるために必要だと思う取組は何ですか（あてはまるものすべて）</t>
        </is>
      </c>
      <c r="C391" s="5" t="inlineStr">
        <is>
          <t>障がい当事者の意見発信</t>
        </is>
      </c>
      <c r="D391" s="26" t="n">
        <v>5</v>
      </c>
      <c r="E391" s="18">
        <f>IF($F391=0,0,D391/$F391)</f>
        <v>0.161290322580645</v>
      </c>
      <c r="F391" s="17">
        <f>$F$386</f>
        <v>31</v>
      </c>
      <c r="G391" s="4" t="inlineStr">
        <is>
          <t>複数回答</t>
        </is>
      </c>
    </row>
    <row r="392" ht="28" customHeight="1">
      <c r="A392" s="4" t="inlineStr">
        <is>
          <t>問43</t>
        </is>
      </c>
      <c r="B392" s="5" t="inlineStr">
        <is>
          <t>障がいへの理解を深めるために必要だと思う取組は何ですか（あてはまるものすべて）</t>
        </is>
      </c>
      <c r="C392" s="5" t="inlineStr">
        <is>
          <t>特にない</t>
        </is>
      </c>
      <c r="D392" s="26" t="n">
        <v>7</v>
      </c>
      <c r="E392" s="18">
        <f>IF($F392=0,0,D392/$F392)</f>
        <v>0.225806451612903</v>
      </c>
      <c r="F392" s="17">
        <f>$F$386</f>
        <v>31</v>
      </c>
      <c r="G392" s="4" t="inlineStr">
        <is>
          <t>複数回答</t>
        </is>
      </c>
    </row>
    <row r="393" ht="28" customHeight="1">
      <c r="A393" s="4" t="inlineStr">
        <is>
          <t>問43</t>
        </is>
      </c>
      <c r="B393" s="5" t="inlineStr">
        <is>
          <t>障がいへの理解を深めるために必要だと思う取組は何ですか（あてはまるものすべて）</t>
        </is>
      </c>
      <c r="C393" s="5" t="inlineStr">
        <is>
          <t>その他</t>
        </is>
      </c>
      <c r="D393" s="26" t="n">
        <v>0</v>
      </c>
      <c r="E393" s="18">
        <f>IF($F393=0,0,D393/$F393)</f>
        <v>0</v>
      </c>
      <c r="F393" s="17">
        <f>$F$386</f>
        <v>31</v>
      </c>
      <c r="G393" s="4" t="inlineStr">
        <is>
          <t>複数回答</t>
        </is>
      </c>
    </row>
    <row r="394" ht="28" customHeight="1">
      <c r="A394" s="4" t="inlineStr">
        <is>
          <t>問44</t>
        </is>
      </c>
      <c r="B394" s="5" t="inlineStr">
        <is>
          <t>今後、村が特に力を入れるべきことは何ですか（3つまで）</t>
        </is>
      </c>
      <c r="C394" s="5" t="inlineStr">
        <is>
          <t>相談支援体制</t>
        </is>
      </c>
      <c r="D394" s="26" t="n">
        <v>13</v>
      </c>
      <c r="E394" s="18">
        <f>IF($F394=0,0,D394/$F394)</f>
        <v>0.419354838709677</v>
      </c>
      <c r="F394" s="26" t="n">
        <v>31</v>
      </c>
      <c r="G394" s="4" t="inlineStr">
        <is>
          <t>複数回答</t>
        </is>
      </c>
    </row>
    <row r="395" ht="28" customHeight="1">
      <c r="A395" s="4" t="inlineStr">
        <is>
          <t>問44</t>
        </is>
      </c>
      <c r="B395" s="5" t="inlineStr">
        <is>
          <t>今後、村が特に力を入れるべきことは何ですか（3つまで）</t>
        </is>
      </c>
      <c r="C395" s="5" t="inlineStr">
        <is>
          <t>在宅生活支援</t>
        </is>
      </c>
      <c r="D395" s="26" t="n">
        <v>10</v>
      </c>
      <c r="E395" s="18">
        <f>IF($F395=0,0,D395/$F395)</f>
        <v>0.32258064516129</v>
      </c>
      <c r="F395" s="17">
        <f>$F$394</f>
        <v>31</v>
      </c>
      <c r="G395" s="4" t="inlineStr">
        <is>
          <t>複数回答</t>
        </is>
      </c>
    </row>
    <row r="396" ht="28" customHeight="1">
      <c r="A396" s="4" t="inlineStr">
        <is>
          <t>問44</t>
        </is>
      </c>
      <c r="B396" s="5" t="inlineStr">
        <is>
          <t>今後、村が特に力を入れるべきことは何ですか（3つまで）</t>
        </is>
      </c>
      <c r="C396" s="5" t="inlineStr">
        <is>
          <t>移動支援</t>
        </is>
      </c>
      <c r="D396" s="26" t="n">
        <v>10</v>
      </c>
      <c r="E396" s="18">
        <f>IF($F396=0,0,D396/$F396)</f>
        <v>0.32258064516129</v>
      </c>
      <c r="F396" s="17">
        <f>$F$394</f>
        <v>31</v>
      </c>
      <c r="G396" s="4" t="inlineStr">
        <is>
          <t>複数回答</t>
        </is>
      </c>
    </row>
    <row r="397" ht="28" customHeight="1">
      <c r="A397" s="4" t="inlineStr">
        <is>
          <t>問44</t>
        </is>
      </c>
      <c r="B397" s="5" t="inlineStr">
        <is>
          <t>今後、村が特に力を入れるべきことは何ですか（3つまで）</t>
        </is>
      </c>
      <c r="C397" s="5" t="inlineStr">
        <is>
          <t>就労支援</t>
        </is>
      </c>
      <c r="D397" s="26" t="n">
        <v>3</v>
      </c>
      <c r="E397" s="18">
        <f>IF($F397=0,0,D397/$F397)</f>
        <v>0.0967741935483871</v>
      </c>
      <c r="F397" s="17">
        <f>$F$394</f>
        <v>31</v>
      </c>
      <c r="G397" s="4" t="inlineStr">
        <is>
          <t>複数回答</t>
        </is>
      </c>
    </row>
    <row r="398" ht="28" customHeight="1">
      <c r="A398" s="4" t="inlineStr">
        <is>
          <t>問44</t>
        </is>
      </c>
      <c r="B398" s="5" t="inlineStr">
        <is>
          <t>今後、村が特に力を入れるべきことは何ですか（3つまで）</t>
        </is>
      </c>
      <c r="C398" s="5" t="inlineStr">
        <is>
          <t>災害時支援</t>
        </is>
      </c>
      <c r="D398" s="26" t="n">
        <v>13</v>
      </c>
      <c r="E398" s="18">
        <f>IF($F398=0,0,D398/$F398)</f>
        <v>0.419354838709677</v>
      </c>
      <c r="F398" s="17">
        <f>$F$394</f>
        <v>31</v>
      </c>
      <c r="G398" s="4" t="inlineStr">
        <is>
          <t>複数回答</t>
        </is>
      </c>
    </row>
    <row r="399" ht="28" customHeight="1">
      <c r="A399" s="4" t="inlineStr">
        <is>
          <t>問44</t>
        </is>
      </c>
      <c r="B399" s="5" t="inlineStr">
        <is>
          <t>今後、村が特に力を入れるべきことは何ですか（3つまで）</t>
        </is>
      </c>
      <c r="C399" s="5" t="inlineStr">
        <is>
          <t>差別解消・権利擁護</t>
        </is>
      </c>
      <c r="D399" s="26" t="n">
        <v>5</v>
      </c>
      <c r="E399" s="18">
        <f>IF($F399=0,0,D399/$F399)</f>
        <v>0.161290322580645</v>
      </c>
      <c r="F399" s="17">
        <f>$F$394</f>
        <v>31</v>
      </c>
      <c r="G399" s="4" t="inlineStr">
        <is>
          <t>複数回答</t>
        </is>
      </c>
    </row>
    <row r="400" ht="28" customHeight="1">
      <c r="A400" s="4" t="inlineStr">
        <is>
          <t>問44</t>
        </is>
      </c>
      <c r="B400" s="5" t="inlineStr">
        <is>
          <t>今後、村が特に力を入れるべきことは何ですか（3つまで）</t>
        </is>
      </c>
      <c r="C400" s="5" t="inlineStr">
        <is>
          <t>家族支援</t>
        </is>
      </c>
      <c r="D400" s="26" t="n">
        <v>8</v>
      </c>
      <c r="E400" s="18">
        <f>IF($F400=0,0,D400/$F400)</f>
        <v>0.258064516129032</v>
      </c>
      <c r="F400" s="17">
        <f>$F$394</f>
        <v>31</v>
      </c>
      <c r="G400" s="4" t="inlineStr">
        <is>
          <t>複数回答</t>
        </is>
      </c>
    </row>
    <row r="401" ht="28" customHeight="1">
      <c r="A401" s="4" t="inlineStr">
        <is>
          <t>問44</t>
        </is>
      </c>
      <c r="B401" s="5" t="inlineStr">
        <is>
          <t>今後、村が特に力を入れるべきことは何ですか（3つまで）</t>
        </is>
      </c>
      <c r="C401" s="5" t="inlineStr">
        <is>
          <t>サービス事業所の確保</t>
        </is>
      </c>
      <c r="D401" s="26" t="n">
        <v>10</v>
      </c>
      <c r="E401" s="18">
        <f>IF($F401=0,0,D401/$F401)</f>
        <v>0.32258064516129</v>
      </c>
      <c r="F401" s="17">
        <f>$F$394</f>
        <v>31</v>
      </c>
      <c r="G401" s="4" t="inlineStr">
        <is>
          <t>複数回答</t>
        </is>
      </c>
    </row>
    <row r="402" ht="28" customHeight="1">
      <c r="A402" s="4" t="inlineStr">
        <is>
          <t>問44</t>
        </is>
      </c>
      <c r="B402" s="5" t="inlineStr">
        <is>
          <t>今後、村が特に力を入れるべきことは何ですか（3つまで）</t>
        </is>
      </c>
      <c r="C402" s="5" t="inlineStr">
        <is>
          <t>その他</t>
        </is>
      </c>
      <c r="D402" s="26" t="n">
        <v>0</v>
      </c>
      <c r="E402" s="18">
        <f>IF($F402=0,0,D402/$F402)</f>
        <v>0</v>
      </c>
      <c r="F402" s="17">
        <f>$F$394</f>
        <v>31</v>
      </c>
      <c r="G402" s="4" t="inlineStr">
        <is>
          <t>複数回答</t>
        </is>
      </c>
    </row>
  </sheetData>
  <autoFilter ref="A4:G40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376"/>
  <sheetViews>
    <sheetView workbookViewId="0">
      <pane ySplit="4" topLeftCell="A5" activePane="bottomLeft" state="frozen"/>
      <selection pane="bottomLeft" activeCell="A1" sqref="A1"/>
    </sheetView>
  </sheetViews>
  <sheetFormatPr baseColWidth="8" defaultRowHeight="15"/>
  <cols>
    <col width="10" customWidth="1" min="1" max="1"/>
    <col width="46" customWidth="1" min="2" max="2"/>
    <col width="46" customWidth="1" min="3" max="3"/>
    <col width="8" customWidth="1" min="4" max="4"/>
    <col width="9" customWidth="1" min="5" max="5"/>
    <col width="13" customWidth="1" min="6" max="6"/>
    <col width="14" customWidth="1" min="7" max="7"/>
  </cols>
  <sheetData>
    <row r="1">
      <c r="A1" s="32" t="inlineStr">
        <is>
          <t>障がい児調査（18歳未満）　単純集計（入力データ）</t>
        </is>
      </c>
    </row>
    <row r="2">
      <c r="A2" s="16" t="inlineStr">
        <is>
          <t>青字のセル（件数・有効回答数）が入力値です。割合は計算式で、各章シートの表・グラフに自動で反映されます。有効回答数は各設問の先頭行に入力し、2行目以降は先頭行を参照しています。</t>
        </is>
      </c>
    </row>
    <row r="4">
      <c r="A4" s="3" t="inlineStr">
        <is>
          <t>設問番号</t>
        </is>
      </c>
      <c r="B4" s="3" t="inlineStr">
        <is>
          <t>設問</t>
        </is>
      </c>
      <c r="C4" s="3" t="inlineStr">
        <is>
          <t>選択肢</t>
        </is>
      </c>
      <c r="D4" s="3" t="inlineStr">
        <is>
          <t>件数</t>
        </is>
      </c>
      <c r="E4" s="3" t="inlineStr">
        <is>
          <t>割合</t>
        </is>
      </c>
      <c r="F4" s="3" t="inlineStr">
        <is>
          <t>有効回答数（n）</t>
        </is>
      </c>
      <c r="G4" s="3" t="inlineStr">
        <is>
          <t>回答形式</t>
        </is>
      </c>
    </row>
    <row r="5" ht="16" customHeight="1">
      <c r="A5" s="4" t="inlineStr">
        <is>
          <t>問1</t>
        </is>
      </c>
      <c r="B5" s="5" t="inlineStr">
        <is>
          <t>この調査票を記入された方はどなたですか</t>
        </is>
      </c>
      <c r="C5" s="5" t="inlineStr">
        <is>
          <t>宛名のご本人</t>
        </is>
      </c>
      <c r="D5" s="26" t="n">
        <v>1</v>
      </c>
      <c r="E5" s="18">
        <f>IF($F5=0,0,D5/$F5)</f>
        <v>0.333333333333333</v>
      </c>
      <c r="F5" s="26" t="n">
        <v>3</v>
      </c>
      <c r="G5" s="4" t="inlineStr">
        <is>
          <t>単一回答</t>
        </is>
      </c>
    </row>
    <row r="6" ht="16" customHeight="1">
      <c r="A6" s="4" t="inlineStr">
        <is>
          <t>問1</t>
        </is>
      </c>
      <c r="B6" s="5" t="inlineStr">
        <is>
          <t>この調査票を記入された方はどなたですか</t>
        </is>
      </c>
      <c r="C6" s="5" t="inlineStr">
        <is>
          <t>ご家族</t>
        </is>
      </c>
      <c r="D6" s="26" t="n">
        <v>2</v>
      </c>
      <c r="E6" s="18">
        <f>IF($F6=0,0,D6/$F6)</f>
        <v>0.666666666666667</v>
      </c>
      <c r="F6" s="17">
        <f>$F$5</f>
        <v>3</v>
      </c>
      <c r="G6" s="4" t="inlineStr">
        <is>
          <t>単一回答</t>
        </is>
      </c>
    </row>
    <row r="7" ht="16" customHeight="1">
      <c r="A7" s="4" t="inlineStr">
        <is>
          <t>問1</t>
        </is>
      </c>
      <c r="B7" s="5" t="inlineStr">
        <is>
          <t>この調査票を記入された方はどなたですか</t>
        </is>
      </c>
      <c r="C7" s="5" t="inlineStr">
        <is>
          <t>支援者・事業所職員</t>
        </is>
      </c>
      <c r="D7" s="26" t="n">
        <v>0</v>
      </c>
      <c r="E7" s="18">
        <f>IF($F7=0,0,D7/$F7)</f>
        <v>0</v>
      </c>
      <c r="F7" s="17">
        <f>$F$5</f>
        <v>3</v>
      </c>
      <c r="G7" s="4" t="inlineStr">
        <is>
          <t>単一回答</t>
        </is>
      </c>
    </row>
    <row r="8" ht="16" customHeight="1">
      <c r="A8" s="4" t="inlineStr">
        <is>
          <t>問1</t>
        </is>
      </c>
      <c r="B8" s="5" t="inlineStr">
        <is>
          <t>この調査票を記入された方はどなたですか</t>
        </is>
      </c>
      <c r="C8" s="5" t="inlineStr">
        <is>
          <t>その他</t>
        </is>
      </c>
      <c r="D8" s="26" t="n">
        <v>0</v>
      </c>
      <c r="E8" s="18">
        <f>IF($F8=0,0,D8/$F8)</f>
        <v>0</v>
      </c>
      <c r="F8" s="17">
        <f>$F$5</f>
        <v>3</v>
      </c>
      <c r="G8" s="4" t="inlineStr">
        <is>
          <t>単一回答</t>
        </is>
      </c>
    </row>
    <row r="9" ht="28" customHeight="1">
      <c r="A9" s="4" t="inlineStr">
        <is>
          <t>問1-2</t>
        </is>
      </c>
      <c r="B9" s="5" t="inlineStr">
        <is>
          <t>この回答は、宛名のご本人の意向をどのように反映していますか</t>
        </is>
      </c>
      <c r="C9" s="5" t="inlineStr">
        <is>
          <t>本人が回答した</t>
        </is>
      </c>
      <c r="D9" s="26" t="n">
        <v>1</v>
      </c>
      <c r="E9" s="18">
        <f>IF($F9=0,0,D9/$F9)</f>
        <v>0.333333333333333</v>
      </c>
      <c r="F9" s="26" t="n">
        <v>3</v>
      </c>
      <c r="G9" s="4" t="inlineStr">
        <is>
          <t>単一回答</t>
        </is>
      </c>
    </row>
    <row r="10" ht="28" customHeight="1">
      <c r="A10" s="4" t="inlineStr">
        <is>
          <t>問1-2</t>
        </is>
      </c>
      <c r="B10" s="5" t="inlineStr">
        <is>
          <t>この回答は、宛名のご本人の意向をどのように反映していますか</t>
        </is>
      </c>
      <c r="C10" s="5" t="inlineStr">
        <is>
          <t>本人に確認して代理記入した</t>
        </is>
      </c>
      <c r="D10" s="26" t="n">
        <v>0</v>
      </c>
      <c r="E10" s="18">
        <f>IF($F10=0,0,D10/$F10)</f>
        <v>0</v>
      </c>
      <c r="F10" s="17">
        <f>$F$9</f>
        <v>3</v>
      </c>
      <c r="G10" s="4" t="inlineStr">
        <is>
          <t>単一回答</t>
        </is>
      </c>
    </row>
    <row r="11" ht="28" customHeight="1">
      <c r="A11" s="4" t="inlineStr">
        <is>
          <t>問1-2</t>
        </is>
      </c>
      <c r="B11" s="5" t="inlineStr">
        <is>
          <t>この回答は、宛名のご本人の意向をどのように反映していますか</t>
        </is>
      </c>
      <c r="C11" s="5" t="inlineStr">
        <is>
          <t>本人の様子や日頃の意向を踏まえて代理記入した</t>
        </is>
      </c>
      <c r="D11" s="26" t="n">
        <v>1</v>
      </c>
      <c r="E11" s="18">
        <f>IF($F11=0,0,D11/$F11)</f>
        <v>0.333333333333333</v>
      </c>
      <c r="F11" s="17">
        <f>$F$9</f>
        <v>3</v>
      </c>
      <c r="G11" s="4" t="inlineStr">
        <is>
          <t>単一回答</t>
        </is>
      </c>
    </row>
    <row r="12" ht="28" customHeight="1">
      <c r="A12" s="4" t="inlineStr">
        <is>
          <t>問1-2</t>
        </is>
      </c>
      <c r="B12" s="5" t="inlineStr">
        <is>
          <t>この回答は、宛名のご本人の意向をどのように反映していますか</t>
        </is>
      </c>
      <c r="C12" s="5" t="inlineStr">
        <is>
          <t>本人に確認することが難しく、家族・支援者の判断で記入した</t>
        </is>
      </c>
      <c r="D12" s="26" t="n">
        <v>1</v>
      </c>
      <c r="E12" s="18">
        <f>IF($F12=0,0,D12/$F12)</f>
        <v>0.333333333333333</v>
      </c>
      <c r="F12" s="17">
        <f>$F$9</f>
        <v>3</v>
      </c>
      <c r="G12" s="4" t="inlineStr">
        <is>
          <t>単一回答</t>
        </is>
      </c>
    </row>
    <row r="13" ht="28" customHeight="1">
      <c r="A13" s="4" t="inlineStr">
        <is>
          <t>問1-2</t>
        </is>
      </c>
      <c r="B13" s="5" t="inlineStr">
        <is>
          <t>この回答は、宛名のご本人の意向をどのように反映していますか</t>
        </is>
      </c>
      <c r="C13" s="5" t="inlineStr">
        <is>
          <t>その他</t>
        </is>
      </c>
      <c r="D13" s="26" t="n">
        <v>0</v>
      </c>
      <c r="E13" s="18">
        <f>IF($F13=0,0,D13/$F13)</f>
        <v>0</v>
      </c>
      <c r="F13" s="17">
        <f>$F$9</f>
        <v>3</v>
      </c>
      <c r="G13" s="4" t="inlineStr">
        <is>
          <t>単一回答</t>
        </is>
      </c>
    </row>
    <row r="14" ht="16" customHeight="1">
      <c r="A14" s="4" t="inlineStr">
        <is>
          <t>問2</t>
        </is>
      </c>
      <c r="B14" s="5" t="inlineStr">
        <is>
          <t>お子さん（宛名の方）の年齢を教えてください</t>
        </is>
      </c>
      <c r="C14" s="5" t="inlineStr">
        <is>
          <t>0～5歳</t>
        </is>
      </c>
      <c r="D14" s="26" t="n">
        <v>0</v>
      </c>
      <c r="E14" s="18">
        <f>IF($F14=0,0,D14/$F14)</f>
        <v>0</v>
      </c>
      <c r="F14" s="26" t="n">
        <v>3</v>
      </c>
      <c r="G14" s="4" t="inlineStr">
        <is>
          <t>単一回答</t>
        </is>
      </c>
    </row>
    <row r="15" ht="16" customHeight="1">
      <c r="A15" s="4" t="inlineStr">
        <is>
          <t>問2</t>
        </is>
      </c>
      <c r="B15" s="5" t="inlineStr">
        <is>
          <t>お子さん（宛名の方）の年齢を教えてください</t>
        </is>
      </c>
      <c r="C15" s="5" t="inlineStr">
        <is>
          <t>6～11歳</t>
        </is>
      </c>
      <c r="D15" s="26" t="n">
        <v>1</v>
      </c>
      <c r="E15" s="18">
        <f>IF($F15=0,0,D15/$F15)</f>
        <v>0.333333333333333</v>
      </c>
      <c r="F15" s="17">
        <f>$F$14</f>
        <v>3</v>
      </c>
      <c r="G15" s="4" t="inlineStr">
        <is>
          <t>単一回答</t>
        </is>
      </c>
    </row>
    <row r="16" ht="16" customHeight="1">
      <c r="A16" s="4" t="inlineStr">
        <is>
          <t>問2</t>
        </is>
      </c>
      <c r="B16" s="5" t="inlineStr">
        <is>
          <t>お子さん（宛名の方）の年齢を教えてください</t>
        </is>
      </c>
      <c r="C16" s="5" t="inlineStr">
        <is>
          <t>12～14歳</t>
        </is>
      </c>
      <c r="D16" s="26" t="n">
        <v>1</v>
      </c>
      <c r="E16" s="18">
        <f>IF($F16=0,0,D16/$F16)</f>
        <v>0.333333333333333</v>
      </c>
      <c r="F16" s="17">
        <f>$F$14</f>
        <v>3</v>
      </c>
      <c r="G16" s="4" t="inlineStr">
        <is>
          <t>単一回答</t>
        </is>
      </c>
    </row>
    <row r="17" ht="16" customHeight="1">
      <c r="A17" s="4" t="inlineStr">
        <is>
          <t>問2</t>
        </is>
      </c>
      <c r="B17" s="5" t="inlineStr">
        <is>
          <t>お子さん（宛名の方）の年齢を教えてください</t>
        </is>
      </c>
      <c r="C17" s="5" t="inlineStr">
        <is>
          <t>15～17歳</t>
        </is>
      </c>
      <c r="D17" s="26" t="n">
        <v>1</v>
      </c>
      <c r="E17" s="18">
        <f>IF($F17=0,0,D17/$F17)</f>
        <v>0.333333333333333</v>
      </c>
      <c r="F17" s="17">
        <f>$F$14</f>
        <v>3</v>
      </c>
      <c r="G17" s="4" t="inlineStr">
        <is>
          <t>単一回答</t>
        </is>
      </c>
    </row>
    <row r="18" ht="16" customHeight="1">
      <c r="A18" s="4" t="inlineStr">
        <is>
          <t>問3</t>
        </is>
      </c>
      <c r="B18" s="5" t="inlineStr">
        <is>
          <t>あなたのお住まいの地区を教えてください</t>
        </is>
      </c>
      <c r="C18" s="5" t="inlineStr">
        <is>
          <t>北山地区</t>
        </is>
      </c>
      <c r="D18" s="26" t="n">
        <v>2</v>
      </c>
      <c r="E18" s="18">
        <f>IF($F18=0,0,D18/$F18)</f>
        <v>0.666666666666667</v>
      </c>
      <c r="F18" s="26" t="n">
        <v>3</v>
      </c>
      <c r="G18" s="4" t="inlineStr">
        <is>
          <t>単一回答</t>
        </is>
      </c>
    </row>
    <row r="19" ht="16" customHeight="1">
      <c r="A19" s="4" t="inlineStr">
        <is>
          <t>問3</t>
        </is>
      </c>
      <c r="B19" s="5" t="inlineStr">
        <is>
          <t>あなたのお住まいの地区を教えてください</t>
        </is>
      </c>
      <c r="C19" s="5" t="inlineStr">
        <is>
          <t>大塩地区</t>
        </is>
      </c>
      <c r="D19" s="26" t="n">
        <v>0</v>
      </c>
      <c r="E19" s="18">
        <f>IF($F19=0,0,D19/$F19)</f>
        <v>0</v>
      </c>
      <c r="F19" s="17">
        <f>$F$18</f>
        <v>3</v>
      </c>
      <c r="G19" s="4" t="inlineStr">
        <is>
          <t>単一回答</t>
        </is>
      </c>
    </row>
    <row r="20" ht="16" customHeight="1">
      <c r="A20" s="4" t="inlineStr">
        <is>
          <t>問3</t>
        </is>
      </c>
      <c r="B20" s="5" t="inlineStr">
        <is>
          <t>あなたのお住まいの地区を教えてください</t>
        </is>
      </c>
      <c r="C20" s="5" t="inlineStr">
        <is>
          <t>桧原地区</t>
        </is>
      </c>
      <c r="D20" s="26" t="n">
        <v>0</v>
      </c>
      <c r="E20" s="18">
        <f>IF($F20=0,0,D20/$F20)</f>
        <v>0</v>
      </c>
      <c r="F20" s="17">
        <f>$F$18</f>
        <v>3</v>
      </c>
      <c r="G20" s="4" t="inlineStr">
        <is>
          <t>単一回答</t>
        </is>
      </c>
    </row>
    <row r="21" ht="16" customHeight="1">
      <c r="A21" s="4" t="inlineStr">
        <is>
          <t>問3</t>
        </is>
      </c>
      <c r="B21" s="5" t="inlineStr">
        <is>
          <t>あなたのお住まいの地区を教えてください</t>
        </is>
      </c>
      <c r="C21" s="5" t="inlineStr">
        <is>
          <t>裏磐梯地区</t>
        </is>
      </c>
      <c r="D21" s="26" t="n">
        <v>1</v>
      </c>
      <c r="E21" s="18">
        <f>IF($F21=0,0,D21/$F21)</f>
        <v>0.333333333333333</v>
      </c>
      <c r="F21" s="17">
        <f>$F$18</f>
        <v>3</v>
      </c>
      <c r="G21" s="4" t="inlineStr">
        <is>
          <t>単一回答</t>
        </is>
      </c>
    </row>
    <row r="22" ht="16" customHeight="1">
      <c r="A22" s="4" t="inlineStr">
        <is>
          <t>問3</t>
        </is>
      </c>
      <c r="B22" s="5" t="inlineStr">
        <is>
          <t>あなたのお住まいの地区を教えてください</t>
        </is>
      </c>
      <c r="C22" s="5" t="inlineStr">
        <is>
          <t>その他</t>
        </is>
      </c>
      <c r="D22" s="26" t="n">
        <v>0</v>
      </c>
      <c r="E22" s="18">
        <f>IF($F22=0,0,D22/$F22)</f>
        <v>0</v>
      </c>
      <c r="F22" s="17">
        <f>$F$18</f>
        <v>3</v>
      </c>
      <c r="G22" s="4" t="inlineStr">
        <is>
          <t>単一回答</t>
        </is>
      </c>
    </row>
    <row r="23" ht="16" customHeight="1">
      <c r="A23" s="4" t="inlineStr">
        <is>
          <t>問4</t>
        </is>
      </c>
      <c r="B23" s="5" t="inlineStr">
        <is>
          <t>あなたの性別を教えてください</t>
        </is>
      </c>
      <c r="C23" s="5" t="inlineStr">
        <is>
          <t>男性</t>
        </is>
      </c>
      <c r="D23" s="26" t="n">
        <v>2</v>
      </c>
      <c r="E23" s="18">
        <f>IF($F23=0,0,D23/$F23)</f>
        <v>0.666666666666667</v>
      </c>
      <c r="F23" s="26" t="n">
        <v>3</v>
      </c>
      <c r="G23" s="4" t="inlineStr">
        <is>
          <t>単一回答</t>
        </is>
      </c>
    </row>
    <row r="24" ht="16" customHeight="1">
      <c r="A24" s="4" t="inlineStr">
        <is>
          <t>問4</t>
        </is>
      </c>
      <c r="B24" s="5" t="inlineStr">
        <is>
          <t>あなたの性別を教えてください</t>
        </is>
      </c>
      <c r="C24" s="5" t="inlineStr">
        <is>
          <t>女性</t>
        </is>
      </c>
      <c r="D24" s="26" t="n">
        <v>1</v>
      </c>
      <c r="E24" s="18">
        <f>IF($F24=0,0,D24/$F24)</f>
        <v>0.333333333333333</v>
      </c>
      <c r="F24" s="17">
        <f>$F$23</f>
        <v>3</v>
      </c>
      <c r="G24" s="4" t="inlineStr">
        <is>
          <t>単一回答</t>
        </is>
      </c>
    </row>
    <row r="25" ht="16" customHeight="1">
      <c r="A25" s="4" t="inlineStr">
        <is>
          <t>問4</t>
        </is>
      </c>
      <c r="B25" s="5" t="inlineStr">
        <is>
          <t>あなたの性別を教えてください</t>
        </is>
      </c>
      <c r="C25" s="5" t="inlineStr">
        <is>
          <t>回答しない</t>
        </is>
      </c>
      <c r="D25" s="26" t="n">
        <v>0</v>
      </c>
      <c r="E25" s="18">
        <f>IF($F25=0,0,D25/$F25)</f>
        <v>0</v>
      </c>
      <c r="F25" s="17">
        <f>$F$23</f>
        <v>3</v>
      </c>
      <c r="G25" s="4" t="inlineStr">
        <is>
          <t>単一回答</t>
        </is>
      </c>
    </row>
    <row r="26" ht="28" customHeight="1">
      <c r="A26" s="4" t="inlineStr">
        <is>
          <t>問5</t>
        </is>
      </c>
      <c r="B26" s="5" t="inlineStr">
        <is>
          <t>お持ちの手帳等を教えてください（あてはまるものすべて）</t>
        </is>
      </c>
      <c r="C26" s="5" t="inlineStr">
        <is>
          <t>身体障がい者手帳</t>
        </is>
      </c>
      <c r="D26" s="26" t="n">
        <v>2</v>
      </c>
      <c r="E26" s="18">
        <f>IF($F26=0,0,D26/$F26)</f>
        <v>1</v>
      </c>
      <c r="F26" s="26" t="n">
        <v>2</v>
      </c>
      <c r="G26" s="4" t="inlineStr">
        <is>
          <t>複数回答</t>
        </is>
      </c>
    </row>
    <row r="27" ht="28" customHeight="1">
      <c r="A27" s="4" t="inlineStr">
        <is>
          <t>問5</t>
        </is>
      </c>
      <c r="B27" s="5" t="inlineStr">
        <is>
          <t>お持ちの手帳等を教えてください（あてはまるものすべて）</t>
        </is>
      </c>
      <c r="C27" s="5" t="inlineStr">
        <is>
          <t>療育手帳</t>
        </is>
      </c>
      <c r="D27" s="26" t="n">
        <v>1</v>
      </c>
      <c r="E27" s="18">
        <f>IF($F27=0,0,D27/$F27)</f>
        <v>0.5</v>
      </c>
      <c r="F27" s="17">
        <f>$F$26</f>
        <v>2</v>
      </c>
      <c r="G27" s="4" t="inlineStr">
        <is>
          <t>複数回答</t>
        </is>
      </c>
    </row>
    <row r="28" ht="28" customHeight="1">
      <c r="A28" s="4" t="inlineStr">
        <is>
          <t>問5</t>
        </is>
      </c>
      <c r="B28" s="5" t="inlineStr">
        <is>
          <t>お持ちの手帳等を教えてください（あてはまるものすべて）</t>
        </is>
      </c>
      <c r="C28" s="5" t="inlineStr">
        <is>
          <t>精神障がい者保健福祉手帳</t>
        </is>
      </c>
      <c r="D28" s="26" t="n">
        <v>1</v>
      </c>
      <c r="E28" s="18">
        <f>IF($F28=0,0,D28/$F28)</f>
        <v>0.5</v>
      </c>
      <c r="F28" s="17">
        <f>$F$26</f>
        <v>2</v>
      </c>
      <c r="G28" s="4" t="inlineStr">
        <is>
          <t>複数回答</t>
        </is>
      </c>
    </row>
    <row r="29" ht="28" customHeight="1">
      <c r="A29" s="4" t="inlineStr">
        <is>
          <t>問5</t>
        </is>
      </c>
      <c r="B29" s="5" t="inlineStr">
        <is>
          <t>お持ちの手帳等を教えてください（あてはまるものすべて）</t>
        </is>
      </c>
      <c r="C29" s="5" t="inlineStr">
        <is>
          <t>難病に関する医療受給者証等</t>
        </is>
      </c>
      <c r="D29" s="26" t="n">
        <v>0</v>
      </c>
      <c r="E29" s="18">
        <f>IF($F29=0,0,D29/$F29)</f>
        <v>0</v>
      </c>
      <c r="F29" s="17">
        <f>$F$26</f>
        <v>2</v>
      </c>
      <c r="G29" s="4" t="inlineStr">
        <is>
          <t>複数回答</t>
        </is>
      </c>
    </row>
    <row r="30" ht="28" customHeight="1">
      <c r="A30" s="4" t="inlineStr">
        <is>
          <t>問5</t>
        </is>
      </c>
      <c r="B30" s="5" t="inlineStr">
        <is>
          <t>お持ちの手帳等を教えてください（あてはまるものすべて）</t>
        </is>
      </c>
      <c r="C30" s="5" t="inlineStr">
        <is>
          <t>手帳等は持っていないが障がい福祉サービスを利用している</t>
        </is>
      </c>
      <c r="D30" s="26" t="n">
        <v>0</v>
      </c>
      <c r="E30" s="18">
        <f>IF($F30=0,0,D30/$F30)</f>
        <v>0</v>
      </c>
      <c r="F30" s="17">
        <f>$F$26</f>
        <v>2</v>
      </c>
      <c r="G30" s="4" t="inlineStr">
        <is>
          <t>複数回答</t>
        </is>
      </c>
    </row>
    <row r="31" ht="28" customHeight="1">
      <c r="A31" s="4" t="inlineStr">
        <is>
          <t>問5</t>
        </is>
      </c>
      <c r="B31" s="5" t="inlineStr">
        <is>
          <t>お持ちの手帳等を教えてください（あてはまるものすべて）</t>
        </is>
      </c>
      <c r="C31" s="5" t="inlineStr">
        <is>
          <t>その他</t>
        </is>
      </c>
      <c r="D31" s="26" t="n">
        <v>0</v>
      </c>
      <c r="E31" s="18">
        <f>IF($F31=0,0,D31/$F31)</f>
        <v>0</v>
      </c>
      <c r="F31" s="17">
        <f>$F$26</f>
        <v>2</v>
      </c>
      <c r="G31" s="4" t="inlineStr">
        <is>
          <t>複数回答</t>
        </is>
      </c>
    </row>
    <row r="32" ht="28" customHeight="1">
      <c r="A32" s="4" t="inlineStr">
        <is>
          <t>問6</t>
        </is>
      </c>
      <c r="B32" s="5" t="inlineStr">
        <is>
          <t>主たる障がい種別を1つ選ぶとすれば、どれにあたりますか</t>
        </is>
      </c>
      <c r="C32" s="5" t="inlineStr">
        <is>
          <t>身体障がい</t>
        </is>
      </c>
      <c r="D32" s="26" t="n">
        <v>1</v>
      </c>
      <c r="E32" s="18">
        <f>IF($F32=0,0,D32/$F32)</f>
        <v>0.333333333333333</v>
      </c>
      <c r="F32" s="26" t="n">
        <v>3</v>
      </c>
      <c r="G32" s="4" t="inlineStr">
        <is>
          <t>単一回答</t>
        </is>
      </c>
    </row>
    <row r="33" ht="28" customHeight="1">
      <c r="A33" s="4" t="inlineStr">
        <is>
          <t>問6</t>
        </is>
      </c>
      <c r="B33" s="5" t="inlineStr">
        <is>
          <t>主たる障がい種別を1つ選ぶとすれば、どれにあたりますか</t>
        </is>
      </c>
      <c r="C33" s="5" t="inlineStr">
        <is>
          <t>知的障がい</t>
        </is>
      </c>
      <c r="D33" s="26" t="n">
        <v>1</v>
      </c>
      <c r="E33" s="18">
        <f>IF($F33=0,0,D33/$F33)</f>
        <v>0.333333333333333</v>
      </c>
      <c r="F33" s="17">
        <f>$F$32</f>
        <v>3</v>
      </c>
      <c r="G33" s="4" t="inlineStr">
        <is>
          <t>単一回答</t>
        </is>
      </c>
    </row>
    <row r="34" ht="28" customHeight="1">
      <c r="A34" s="4" t="inlineStr">
        <is>
          <t>問6</t>
        </is>
      </c>
      <c r="B34" s="5" t="inlineStr">
        <is>
          <t>主たる障がい種別を1つ選ぶとすれば、どれにあたりますか</t>
        </is>
      </c>
      <c r="C34" s="5" t="inlineStr">
        <is>
          <t>精神障がい</t>
        </is>
      </c>
      <c r="D34" s="26" t="n">
        <v>0</v>
      </c>
      <c r="E34" s="18">
        <f>IF($F34=0,0,D34/$F34)</f>
        <v>0</v>
      </c>
      <c r="F34" s="17">
        <f>$F$32</f>
        <v>3</v>
      </c>
      <c r="G34" s="4" t="inlineStr">
        <is>
          <t>単一回答</t>
        </is>
      </c>
    </row>
    <row r="35" ht="28" customHeight="1">
      <c r="A35" s="4" t="inlineStr">
        <is>
          <t>問6</t>
        </is>
      </c>
      <c r="B35" s="5" t="inlineStr">
        <is>
          <t>主たる障がい種別を1つ選ぶとすれば、どれにあたりますか</t>
        </is>
      </c>
      <c r="C35" s="5" t="inlineStr">
        <is>
          <t>発達障がい</t>
        </is>
      </c>
      <c r="D35" s="26" t="n">
        <v>1</v>
      </c>
      <c r="E35" s="18">
        <f>IF($F35=0,0,D35/$F35)</f>
        <v>0.333333333333333</v>
      </c>
      <c r="F35" s="17">
        <f>$F$32</f>
        <v>3</v>
      </c>
      <c r="G35" s="4" t="inlineStr">
        <is>
          <t>単一回答</t>
        </is>
      </c>
    </row>
    <row r="36" ht="28" customHeight="1">
      <c r="A36" s="4" t="inlineStr">
        <is>
          <t>問6</t>
        </is>
      </c>
      <c r="B36" s="5" t="inlineStr">
        <is>
          <t>主たる障がい種別を1つ選ぶとすれば、どれにあたりますか</t>
        </is>
      </c>
      <c r="C36" s="5" t="inlineStr">
        <is>
          <t>難病</t>
        </is>
      </c>
      <c r="D36" s="26" t="n">
        <v>0</v>
      </c>
      <c r="E36" s="18">
        <f>IF($F36=0,0,D36/$F36)</f>
        <v>0</v>
      </c>
      <c r="F36" s="17">
        <f>$F$32</f>
        <v>3</v>
      </c>
      <c r="G36" s="4" t="inlineStr">
        <is>
          <t>単一回答</t>
        </is>
      </c>
    </row>
    <row r="37" ht="28" customHeight="1">
      <c r="A37" s="4" t="inlineStr">
        <is>
          <t>問6</t>
        </is>
      </c>
      <c r="B37" s="5" t="inlineStr">
        <is>
          <t>主たる障がい種別を1つ選ぶとすれば、どれにあたりますか</t>
        </is>
      </c>
      <c r="C37" s="5" t="inlineStr">
        <is>
          <t>高次脳機能障がい</t>
        </is>
      </c>
      <c r="D37" s="26" t="n">
        <v>0</v>
      </c>
      <c r="E37" s="18">
        <f>IF($F37=0,0,D37/$F37)</f>
        <v>0</v>
      </c>
      <c r="F37" s="17">
        <f>$F$32</f>
        <v>3</v>
      </c>
      <c r="G37" s="4" t="inlineStr">
        <is>
          <t>単一回答</t>
        </is>
      </c>
    </row>
    <row r="38" ht="28" customHeight="1">
      <c r="A38" s="4" t="inlineStr">
        <is>
          <t>問6</t>
        </is>
      </c>
      <c r="B38" s="5" t="inlineStr">
        <is>
          <t>主たる障がい種別を1つ選ぶとすれば、どれにあたりますか</t>
        </is>
      </c>
      <c r="C38" s="5" t="inlineStr">
        <is>
          <t>重症心身障がい</t>
        </is>
      </c>
      <c r="D38" s="26" t="n">
        <v>0</v>
      </c>
      <c r="E38" s="18">
        <f>IF($F38=0,0,D38/$F38)</f>
        <v>0</v>
      </c>
      <c r="F38" s="17">
        <f>$F$32</f>
        <v>3</v>
      </c>
      <c r="G38" s="4" t="inlineStr">
        <is>
          <t>単一回答</t>
        </is>
      </c>
    </row>
    <row r="39" ht="28" customHeight="1">
      <c r="A39" s="4" t="inlineStr">
        <is>
          <t>問6</t>
        </is>
      </c>
      <c r="B39" s="5" t="inlineStr">
        <is>
          <t>主たる障がい種別を1つ選ぶとすれば、どれにあたりますか</t>
        </is>
      </c>
      <c r="C39" s="5" t="inlineStr">
        <is>
          <t>わからない・その他</t>
        </is>
      </c>
      <c r="D39" s="26" t="n">
        <v>0</v>
      </c>
      <c r="E39" s="18">
        <f>IF($F39=0,0,D39/$F39)</f>
        <v>0</v>
      </c>
      <c r="F39" s="17">
        <f>$F$32</f>
        <v>3</v>
      </c>
      <c r="G39" s="4" t="inlineStr">
        <is>
          <t>単一回答</t>
        </is>
      </c>
    </row>
    <row r="40" ht="16" customHeight="1">
      <c r="A40" s="4" t="inlineStr">
        <is>
          <t>問7</t>
        </is>
      </c>
      <c r="B40" s="5" t="inlineStr">
        <is>
          <t>障害児通所支援等の支給決定を受けていますか</t>
        </is>
      </c>
      <c r="C40" s="5" t="inlineStr">
        <is>
          <t>受けている</t>
        </is>
      </c>
      <c r="D40" s="26" t="n">
        <v>2</v>
      </c>
      <c r="E40" s="18">
        <f>IF($F40=0,0,D40/$F40)</f>
        <v>0.666666666666667</v>
      </c>
      <c r="F40" s="26" t="n">
        <v>3</v>
      </c>
      <c r="G40" s="4" t="inlineStr">
        <is>
          <t>単一回答</t>
        </is>
      </c>
    </row>
    <row r="41" ht="16" customHeight="1">
      <c r="A41" s="4" t="inlineStr">
        <is>
          <t>問7</t>
        </is>
      </c>
      <c r="B41" s="5" t="inlineStr">
        <is>
          <t>障害児通所支援等の支給決定を受けていますか</t>
        </is>
      </c>
      <c r="C41" s="5" t="inlineStr">
        <is>
          <t>受けていない</t>
        </is>
      </c>
      <c r="D41" s="26" t="n">
        <v>1</v>
      </c>
      <c r="E41" s="18">
        <f>IF($F41=0,0,D41/$F41)</f>
        <v>0.333333333333333</v>
      </c>
      <c r="F41" s="17">
        <f>$F$40</f>
        <v>3</v>
      </c>
      <c r="G41" s="4" t="inlineStr">
        <is>
          <t>単一回答</t>
        </is>
      </c>
    </row>
    <row r="42" ht="16" customHeight="1">
      <c r="A42" s="4" t="inlineStr">
        <is>
          <t>問7</t>
        </is>
      </c>
      <c r="B42" s="5" t="inlineStr">
        <is>
          <t>障害児通所支援等の支給決定を受けていますか</t>
        </is>
      </c>
      <c r="C42" s="5" t="inlineStr">
        <is>
          <t>わからない</t>
        </is>
      </c>
      <c r="D42" s="26" t="n">
        <v>0</v>
      </c>
      <c r="E42" s="18">
        <f>IF($F42=0,0,D42/$F42)</f>
        <v>0</v>
      </c>
      <c r="F42" s="17">
        <f>$F$40</f>
        <v>3</v>
      </c>
      <c r="G42" s="4" t="inlineStr">
        <is>
          <t>単一回答</t>
        </is>
      </c>
    </row>
    <row r="43" ht="28" customHeight="1">
      <c r="A43" s="4" t="inlineStr">
        <is>
          <t>問8</t>
        </is>
      </c>
      <c r="B43" s="5" t="inlineStr">
        <is>
          <t>日常生活でお子さんの主な支援・介助・見守りをしている方はどなたですか</t>
        </is>
      </c>
      <c r="C43" s="5" t="inlineStr">
        <is>
          <t>介助は必要ない</t>
        </is>
      </c>
      <c r="D43" s="26" t="n">
        <v>0</v>
      </c>
      <c r="E43" s="18">
        <f>IF($F43=0,0,D43/$F43)</f>
        <v>0</v>
      </c>
      <c r="F43" s="26" t="n">
        <v>3</v>
      </c>
      <c r="G43" s="4" t="inlineStr">
        <is>
          <t>単一回答</t>
        </is>
      </c>
    </row>
    <row r="44" ht="28" customHeight="1">
      <c r="A44" s="4" t="inlineStr">
        <is>
          <t>問8</t>
        </is>
      </c>
      <c r="B44" s="5" t="inlineStr">
        <is>
          <t>日常生活でお子さんの主な支援・介助・見守りをしている方はどなたですか</t>
        </is>
      </c>
      <c r="C44" s="5" t="inlineStr">
        <is>
          <t>親</t>
        </is>
      </c>
      <c r="D44" s="26" t="n">
        <v>3</v>
      </c>
      <c r="E44" s="18">
        <f>IF($F44=0,0,D44/$F44)</f>
        <v>1</v>
      </c>
      <c r="F44" s="17">
        <f>$F$43</f>
        <v>3</v>
      </c>
      <c r="G44" s="4" t="inlineStr">
        <is>
          <t>単一回答</t>
        </is>
      </c>
    </row>
    <row r="45" ht="28" customHeight="1">
      <c r="A45" s="4" t="inlineStr">
        <is>
          <t>問8</t>
        </is>
      </c>
      <c r="B45" s="5" t="inlineStr">
        <is>
          <t>日常生活でお子さんの主な支援・介助・見守りをしている方はどなたですか</t>
        </is>
      </c>
      <c r="C45" s="5" t="inlineStr">
        <is>
          <t>兄弟姉妹</t>
        </is>
      </c>
      <c r="D45" s="26" t="n">
        <v>0</v>
      </c>
      <c r="E45" s="18">
        <f>IF($F45=0,0,D45/$F45)</f>
        <v>0</v>
      </c>
      <c r="F45" s="17">
        <f>$F$43</f>
        <v>3</v>
      </c>
      <c r="G45" s="4" t="inlineStr">
        <is>
          <t>単一回答</t>
        </is>
      </c>
    </row>
    <row r="46" ht="28" customHeight="1">
      <c r="A46" s="4" t="inlineStr">
        <is>
          <t>問8</t>
        </is>
      </c>
      <c r="B46" s="5" t="inlineStr">
        <is>
          <t>日常生活でお子さんの主な支援・介助・見守りをしている方はどなたですか</t>
        </is>
      </c>
      <c r="C46" s="5" t="inlineStr">
        <is>
          <t>祖父母</t>
        </is>
      </c>
      <c r="D46" s="26" t="n">
        <v>0</v>
      </c>
      <c r="E46" s="18">
        <f>IF($F46=0,0,D46/$F46)</f>
        <v>0</v>
      </c>
      <c r="F46" s="17">
        <f>$F$43</f>
        <v>3</v>
      </c>
      <c r="G46" s="4" t="inlineStr">
        <is>
          <t>単一回答</t>
        </is>
      </c>
    </row>
    <row r="47" ht="28" customHeight="1">
      <c r="A47" s="4" t="inlineStr">
        <is>
          <t>問8</t>
        </is>
      </c>
      <c r="B47" s="5" t="inlineStr">
        <is>
          <t>日常生活でお子さんの主な支援・介助・見守りをしている方はどなたですか</t>
        </is>
      </c>
      <c r="C47" s="5" t="inlineStr">
        <is>
          <t>その他の親族</t>
        </is>
      </c>
      <c r="D47" s="26" t="n">
        <v>0</v>
      </c>
      <c r="E47" s="18">
        <f>IF($F47=0,0,D47/$F47)</f>
        <v>0</v>
      </c>
      <c r="F47" s="17">
        <f>$F$43</f>
        <v>3</v>
      </c>
      <c r="G47" s="4" t="inlineStr">
        <is>
          <t>単一回答</t>
        </is>
      </c>
    </row>
    <row r="48" ht="28" customHeight="1">
      <c r="A48" s="4" t="inlineStr">
        <is>
          <t>問8</t>
        </is>
      </c>
      <c r="B48" s="5" t="inlineStr">
        <is>
          <t>日常生活でお子さんの主な支援・介助・見守りをしている方はどなたですか</t>
        </is>
      </c>
      <c r="C48" s="5" t="inlineStr">
        <is>
          <t>ホームヘルパー等</t>
        </is>
      </c>
      <c r="D48" s="26" t="n">
        <v>0</v>
      </c>
      <c r="E48" s="18">
        <f>IF($F48=0,0,D48/$F48)</f>
        <v>0</v>
      </c>
      <c r="F48" s="17">
        <f>$F$43</f>
        <v>3</v>
      </c>
      <c r="G48" s="4" t="inlineStr">
        <is>
          <t>単一回答</t>
        </is>
      </c>
    </row>
    <row r="49" ht="28" customHeight="1">
      <c r="A49" s="4" t="inlineStr">
        <is>
          <t>問8</t>
        </is>
      </c>
      <c r="B49" s="5" t="inlineStr">
        <is>
          <t>日常生活でお子さんの主な支援・介助・見守りをしている方はどなたですか</t>
        </is>
      </c>
      <c r="C49" s="5" t="inlineStr">
        <is>
          <t>保育所・幼稚園・認定こども園・学校の職員</t>
        </is>
      </c>
      <c r="D49" s="26" t="n">
        <v>0</v>
      </c>
      <c r="E49" s="18">
        <f>IF($F49=0,0,D49/$F49)</f>
        <v>0</v>
      </c>
      <c r="F49" s="17">
        <f>$F$43</f>
        <v>3</v>
      </c>
      <c r="G49" s="4" t="inlineStr">
        <is>
          <t>単一回答</t>
        </is>
      </c>
    </row>
    <row r="50" ht="28" customHeight="1">
      <c r="A50" s="4" t="inlineStr">
        <is>
          <t>問8</t>
        </is>
      </c>
      <c r="B50" s="5" t="inlineStr">
        <is>
          <t>日常生活でお子さんの主な支援・介助・見守りをしている方はどなたですか</t>
        </is>
      </c>
      <c r="C50" s="5" t="inlineStr">
        <is>
          <t>障がい福祉サービス・障がい児通所支援事業所などの職員</t>
        </is>
      </c>
      <c r="D50" s="26" t="n">
        <v>0</v>
      </c>
      <c r="E50" s="18">
        <f>IF($F50=0,0,D50/$F50)</f>
        <v>0</v>
      </c>
      <c r="F50" s="17">
        <f>$F$43</f>
        <v>3</v>
      </c>
      <c r="G50" s="4" t="inlineStr">
        <is>
          <t>単一回答</t>
        </is>
      </c>
    </row>
    <row r="51" ht="28" customHeight="1">
      <c r="A51" s="4" t="inlineStr">
        <is>
          <t>問8</t>
        </is>
      </c>
      <c r="B51" s="5" t="inlineStr">
        <is>
          <t>日常生活でお子さんの主な支援・介助・見守りをしている方はどなたですか</t>
        </is>
      </c>
      <c r="C51" s="5" t="inlineStr">
        <is>
          <t>その他</t>
        </is>
      </c>
      <c r="D51" s="26" t="n">
        <v>0</v>
      </c>
      <c r="E51" s="18">
        <f>IF($F51=0,0,D51/$F51)</f>
        <v>0</v>
      </c>
      <c r="F51" s="17">
        <f>$F$43</f>
        <v>3</v>
      </c>
      <c r="G51" s="4" t="inlineStr">
        <is>
          <t>単一回答</t>
        </is>
      </c>
    </row>
    <row r="52" ht="28" customHeight="1">
      <c r="A52" s="4" t="inlineStr">
        <is>
          <t>問9</t>
        </is>
      </c>
      <c r="B52" s="5" t="inlineStr">
        <is>
          <t>お子さんは現在、どのように暮らしていますか（あてはまるものすべて）</t>
        </is>
      </c>
      <c r="C52" s="5" t="inlineStr">
        <is>
          <t>自宅で家族と暮らしている</t>
        </is>
      </c>
      <c r="D52" s="26" t="n">
        <v>3</v>
      </c>
      <c r="E52" s="18">
        <f>IF($F52=0,0,D52/$F52)</f>
        <v>1</v>
      </c>
      <c r="F52" s="26" t="n">
        <v>3</v>
      </c>
      <c r="G52" s="4" t="inlineStr">
        <is>
          <t>複数回答</t>
        </is>
      </c>
    </row>
    <row r="53" ht="28" customHeight="1">
      <c r="A53" s="4" t="inlineStr">
        <is>
          <t>問9</t>
        </is>
      </c>
      <c r="B53" s="5" t="inlineStr">
        <is>
          <t>お子さんは現在、どのように暮らしていますか（あてはまるものすべて）</t>
        </is>
      </c>
      <c r="C53" s="5" t="inlineStr">
        <is>
          <t>病院に入院中</t>
        </is>
      </c>
      <c r="D53" s="26" t="n">
        <v>0</v>
      </c>
      <c r="E53" s="18">
        <f>IF($F53=0,0,D53/$F53)</f>
        <v>0</v>
      </c>
      <c r="F53" s="17">
        <f>$F$52</f>
        <v>3</v>
      </c>
      <c r="G53" s="4" t="inlineStr">
        <is>
          <t>複数回答</t>
        </is>
      </c>
    </row>
    <row r="54" ht="28" customHeight="1">
      <c r="A54" s="4" t="inlineStr">
        <is>
          <t>問9</t>
        </is>
      </c>
      <c r="B54" s="5" t="inlineStr">
        <is>
          <t>お子さんは現在、どのように暮らしていますか（あてはまるものすべて）</t>
        </is>
      </c>
      <c r="C54" s="5" t="inlineStr">
        <is>
          <t>その他</t>
        </is>
      </c>
      <c r="D54" s="26" t="n">
        <v>0</v>
      </c>
      <c r="E54" s="18">
        <f>IF($F54=0,0,D54/$F54)</f>
        <v>0</v>
      </c>
      <c r="F54" s="17">
        <f>$F$52</f>
        <v>3</v>
      </c>
      <c r="G54" s="4" t="inlineStr">
        <is>
          <t>複数回答</t>
        </is>
      </c>
    </row>
    <row r="55" ht="28" customHeight="1">
      <c r="A55" s="4" t="inlineStr">
        <is>
          <t>問10</t>
        </is>
      </c>
      <c r="B55" s="5" t="inlineStr">
        <is>
          <t>日常生活で困っていることは何ですか（あてはまるものすべて）</t>
        </is>
      </c>
      <c r="C55" s="5" t="inlineStr">
        <is>
          <t>家事</t>
        </is>
      </c>
      <c r="D55" s="26" t="n">
        <v>1</v>
      </c>
      <c r="E55" s="18">
        <f>IF($F55=0,0,D55/$F55)</f>
        <v>0.333333333333333</v>
      </c>
      <c r="F55" s="26" t="n">
        <v>3</v>
      </c>
      <c r="G55" s="4" t="inlineStr">
        <is>
          <t>複数回答</t>
        </is>
      </c>
    </row>
    <row r="56" ht="28" customHeight="1">
      <c r="A56" s="4" t="inlineStr">
        <is>
          <t>問10</t>
        </is>
      </c>
      <c r="B56" s="5" t="inlineStr">
        <is>
          <t>日常生活で困っていることは何ですか（あてはまるものすべて）</t>
        </is>
      </c>
      <c r="C56" s="5" t="inlineStr">
        <is>
          <t>食事</t>
        </is>
      </c>
      <c r="D56" s="26" t="n">
        <v>1</v>
      </c>
      <c r="E56" s="18">
        <f>IF($F56=0,0,D56/$F56)</f>
        <v>0.333333333333333</v>
      </c>
      <c r="F56" s="17">
        <f>$F$55</f>
        <v>3</v>
      </c>
      <c r="G56" s="4" t="inlineStr">
        <is>
          <t>複数回答</t>
        </is>
      </c>
    </row>
    <row r="57" ht="28" customHeight="1">
      <c r="A57" s="4" t="inlineStr">
        <is>
          <t>問10</t>
        </is>
      </c>
      <c r="B57" s="5" t="inlineStr">
        <is>
          <t>日常生活で困っていることは何ですか（あてはまるものすべて）</t>
        </is>
      </c>
      <c r="C57" s="5" t="inlineStr">
        <is>
          <t>入浴</t>
        </is>
      </c>
      <c r="D57" s="26" t="n">
        <v>1</v>
      </c>
      <c r="E57" s="18">
        <f>IF($F57=0,0,D57/$F57)</f>
        <v>0.333333333333333</v>
      </c>
      <c r="F57" s="17">
        <f>$F$55</f>
        <v>3</v>
      </c>
      <c r="G57" s="4" t="inlineStr">
        <is>
          <t>複数回答</t>
        </is>
      </c>
    </row>
    <row r="58" ht="28" customHeight="1">
      <c r="A58" s="4" t="inlineStr">
        <is>
          <t>問10</t>
        </is>
      </c>
      <c r="B58" s="5" t="inlineStr">
        <is>
          <t>日常生活で困っていることは何ですか（あてはまるものすべて）</t>
        </is>
      </c>
      <c r="C58" s="5" t="inlineStr">
        <is>
          <t>排せつ</t>
        </is>
      </c>
      <c r="D58" s="26" t="n">
        <v>1</v>
      </c>
      <c r="E58" s="18">
        <f>IF($F58=0,0,D58/$F58)</f>
        <v>0.333333333333333</v>
      </c>
      <c r="F58" s="17">
        <f>$F$55</f>
        <v>3</v>
      </c>
      <c r="G58" s="4" t="inlineStr">
        <is>
          <t>複数回答</t>
        </is>
      </c>
    </row>
    <row r="59" ht="28" customHeight="1">
      <c r="A59" s="4" t="inlineStr">
        <is>
          <t>問10</t>
        </is>
      </c>
      <c r="B59" s="5" t="inlineStr">
        <is>
          <t>日常生活で困っていることは何ですか（あてはまるものすべて）</t>
        </is>
      </c>
      <c r="C59" s="5" t="inlineStr">
        <is>
          <t>服薬管理</t>
        </is>
      </c>
      <c r="D59" s="26" t="n">
        <v>1</v>
      </c>
      <c r="E59" s="18">
        <f>IF($F59=0,0,D59/$F59)</f>
        <v>0.333333333333333</v>
      </c>
      <c r="F59" s="17">
        <f>$F$55</f>
        <v>3</v>
      </c>
      <c r="G59" s="4" t="inlineStr">
        <is>
          <t>複数回答</t>
        </is>
      </c>
    </row>
    <row r="60" ht="28" customHeight="1">
      <c r="A60" s="4" t="inlineStr">
        <is>
          <t>問10</t>
        </is>
      </c>
      <c r="B60" s="5" t="inlineStr">
        <is>
          <t>日常生活で困っていることは何ですか（あてはまるものすべて）</t>
        </is>
      </c>
      <c r="C60" s="5" t="inlineStr">
        <is>
          <t>金銭管理</t>
        </is>
      </c>
      <c r="D60" s="26" t="n">
        <v>1</v>
      </c>
      <c r="E60" s="18">
        <f>IF($F60=0,0,D60/$F60)</f>
        <v>0.333333333333333</v>
      </c>
      <c r="F60" s="17">
        <f>$F$55</f>
        <v>3</v>
      </c>
      <c r="G60" s="4" t="inlineStr">
        <is>
          <t>複数回答</t>
        </is>
      </c>
    </row>
    <row r="61" ht="28" customHeight="1">
      <c r="A61" s="4" t="inlineStr">
        <is>
          <t>問10</t>
        </is>
      </c>
      <c r="B61" s="5" t="inlineStr">
        <is>
          <t>日常生活で困っていることは何ですか（あてはまるものすべて）</t>
        </is>
      </c>
      <c r="C61" s="5" t="inlineStr">
        <is>
          <t>通院</t>
        </is>
      </c>
      <c r="D61" s="26" t="n">
        <v>1</v>
      </c>
      <c r="E61" s="18">
        <f>IF($F61=0,0,D61/$F61)</f>
        <v>0.333333333333333</v>
      </c>
      <c r="F61" s="17">
        <f>$F$55</f>
        <v>3</v>
      </c>
      <c r="G61" s="4" t="inlineStr">
        <is>
          <t>複数回答</t>
        </is>
      </c>
    </row>
    <row r="62" ht="28" customHeight="1">
      <c r="A62" s="4" t="inlineStr">
        <is>
          <t>問10</t>
        </is>
      </c>
      <c r="B62" s="5" t="inlineStr">
        <is>
          <t>日常生活で困っていることは何ですか（あてはまるものすべて）</t>
        </is>
      </c>
      <c r="C62" s="5" t="inlineStr">
        <is>
          <t>外出・移動</t>
        </is>
      </c>
      <c r="D62" s="26" t="n">
        <v>1</v>
      </c>
      <c r="E62" s="18">
        <f>IF($F62=0,0,D62/$F62)</f>
        <v>0.333333333333333</v>
      </c>
      <c r="F62" s="17">
        <f>$F$55</f>
        <v>3</v>
      </c>
      <c r="G62" s="4" t="inlineStr">
        <is>
          <t>複数回答</t>
        </is>
      </c>
    </row>
    <row r="63" ht="28" customHeight="1">
      <c r="A63" s="4" t="inlineStr">
        <is>
          <t>問10</t>
        </is>
      </c>
      <c r="B63" s="5" t="inlineStr">
        <is>
          <t>日常生活で困っていることは何ですか（あてはまるものすべて）</t>
        </is>
      </c>
      <c r="C63" s="5" t="inlineStr">
        <is>
          <t>買い物</t>
        </is>
      </c>
      <c r="D63" s="26" t="n">
        <v>1</v>
      </c>
      <c r="E63" s="18">
        <f>IF($F63=0,0,D63/$F63)</f>
        <v>0.333333333333333</v>
      </c>
      <c r="F63" s="17">
        <f>$F$55</f>
        <v>3</v>
      </c>
      <c r="G63" s="4" t="inlineStr">
        <is>
          <t>複数回答</t>
        </is>
      </c>
    </row>
    <row r="64" ht="28" customHeight="1">
      <c r="A64" s="4" t="inlineStr">
        <is>
          <t>問10</t>
        </is>
      </c>
      <c r="B64" s="5" t="inlineStr">
        <is>
          <t>日常生活で困っていることは何ですか（あてはまるものすべて）</t>
        </is>
      </c>
      <c r="C64" s="5" t="inlineStr">
        <is>
          <t>災害時の避難</t>
        </is>
      </c>
      <c r="D64" s="26" t="n">
        <v>1</v>
      </c>
      <c r="E64" s="18">
        <f>IF($F64=0,0,D64/$F64)</f>
        <v>0.333333333333333</v>
      </c>
      <c r="F64" s="17">
        <f>$F$55</f>
        <v>3</v>
      </c>
      <c r="G64" s="4" t="inlineStr">
        <is>
          <t>複数回答</t>
        </is>
      </c>
    </row>
    <row r="65" ht="28" customHeight="1">
      <c r="A65" s="4" t="inlineStr">
        <is>
          <t>問10</t>
        </is>
      </c>
      <c r="B65" s="5" t="inlineStr">
        <is>
          <t>日常生活で困っていることは何ですか（あてはまるものすべて）</t>
        </is>
      </c>
      <c r="C65" s="5" t="inlineStr">
        <is>
          <t>相談先がない</t>
        </is>
      </c>
      <c r="D65" s="26" t="n">
        <v>0</v>
      </c>
      <c r="E65" s="18">
        <f>IF($F65=0,0,D65/$F65)</f>
        <v>0</v>
      </c>
      <c r="F65" s="17">
        <f>$F$55</f>
        <v>3</v>
      </c>
      <c r="G65" s="4" t="inlineStr">
        <is>
          <t>複数回答</t>
        </is>
      </c>
    </row>
    <row r="66" ht="28" customHeight="1">
      <c r="A66" s="4" t="inlineStr">
        <is>
          <t>問10</t>
        </is>
      </c>
      <c r="B66" s="5" t="inlineStr">
        <is>
          <t>日常生活で困っていることは何ですか（あてはまるものすべて）</t>
        </is>
      </c>
      <c r="C66" s="5" t="inlineStr">
        <is>
          <t>将来の生活</t>
        </is>
      </c>
      <c r="D66" s="26" t="n">
        <v>3</v>
      </c>
      <c r="E66" s="18">
        <f>IF($F66=0,0,D66/$F66)</f>
        <v>1</v>
      </c>
      <c r="F66" s="17">
        <f>$F$55</f>
        <v>3</v>
      </c>
      <c r="G66" s="4" t="inlineStr">
        <is>
          <t>複数回答</t>
        </is>
      </c>
    </row>
    <row r="67" ht="28" customHeight="1">
      <c r="A67" s="4" t="inlineStr">
        <is>
          <t>問10</t>
        </is>
      </c>
      <c r="B67" s="5" t="inlineStr">
        <is>
          <t>日常生活で困っていることは何ですか（あてはまるものすべて）</t>
        </is>
      </c>
      <c r="C67" s="5" t="inlineStr">
        <is>
          <t>特にない</t>
        </is>
      </c>
      <c r="D67" s="26" t="n">
        <v>0</v>
      </c>
      <c r="E67" s="18">
        <f>IF($F67=0,0,D67/$F67)</f>
        <v>0</v>
      </c>
      <c r="F67" s="17">
        <f>$F$55</f>
        <v>3</v>
      </c>
      <c r="G67" s="4" t="inlineStr">
        <is>
          <t>複数回答</t>
        </is>
      </c>
    </row>
    <row r="68" ht="28" customHeight="1">
      <c r="A68" s="4" t="inlineStr">
        <is>
          <t>問10</t>
        </is>
      </c>
      <c r="B68" s="5" t="inlineStr">
        <is>
          <t>日常生活で困っていることは何ですか（あてはまるものすべて）</t>
        </is>
      </c>
      <c r="C68" s="5" t="inlineStr">
        <is>
          <t>その他</t>
        </is>
      </c>
      <c r="D68" s="26" t="n">
        <v>1</v>
      </c>
      <c r="E68" s="18">
        <f>IF($F68=0,0,D68/$F68)</f>
        <v>0.333333333333333</v>
      </c>
      <c r="F68" s="17">
        <f>$F$55</f>
        <v>3</v>
      </c>
      <c r="G68" s="4" t="inlineStr">
        <is>
          <t>複数回答</t>
        </is>
      </c>
    </row>
    <row r="69" ht="16" customHeight="1">
      <c r="A69" s="4" t="inlineStr">
        <is>
          <t>問11</t>
        </is>
      </c>
      <c r="B69" s="5" t="inlineStr">
        <is>
          <t>18歳になったら、どのような暮らし方を希望しますか</t>
        </is>
      </c>
      <c r="C69" s="5" t="inlineStr">
        <is>
          <t>家族と一緒に暮らしたい</t>
        </is>
      </c>
      <c r="D69" s="26" t="n">
        <v>0</v>
      </c>
      <c r="E69" s="18">
        <f>IF($F69=0,0,D69/$F69)</f>
        <v>0</v>
      </c>
      <c r="F69" s="26" t="n">
        <v>3</v>
      </c>
      <c r="G69" s="4" t="inlineStr">
        <is>
          <t>単一回答</t>
        </is>
      </c>
    </row>
    <row r="70" ht="16" customHeight="1">
      <c r="A70" s="4" t="inlineStr">
        <is>
          <t>問11</t>
        </is>
      </c>
      <c r="B70" s="5" t="inlineStr">
        <is>
          <t>18歳になったら、どのような暮らし方を希望しますか</t>
        </is>
      </c>
      <c r="C70" s="5" t="inlineStr">
        <is>
          <t>一人暮らしをしたい</t>
        </is>
      </c>
      <c r="D70" s="26" t="n">
        <v>1</v>
      </c>
      <c r="E70" s="18">
        <f>IF($F70=0,0,D70/$F70)</f>
        <v>0.333333333333333</v>
      </c>
      <c r="F70" s="17">
        <f>$F$69</f>
        <v>3</v>
      </c>
      <c r="G70" s="4" t="inlineStr">
        <is>
          <t>単一回答</t>
        </is>
      </c>
    </row>
    <row r="71" ht="16" customHeight="1">
      <c r="A71" s="4" t="inlineStr">
        <is>
          <t>問11</t>
        </is>
      </c>
      <c r="B71" s="5" t="inlineStr">
        <is>
          <t>18歳になったら、どのような暮らし方を希望しますか</t>
        </is>
      </c>
      <c r="C71" s="5" t="inlineStr">
        <is>
          <t>グループホームで暮らしたい</t>
        </is>
      </c>
      <c r="D71" s="26" t="n">
        <v>0</v>
      </c>
      <c r="E71" s="18">
        <f>IF($F71=0,0,D71/$F71)</f>
        <v>0</v>
      </c>
      <c r="F71" s="17">
        <f>$F$69</f>
        <v>3</v>
      </c>
      <c r="G71" s="4" t="inlineStr">
        <is>
          <t>単一回答</t>
        </is>
      </c>
    </row>
    <row r="72" ht="16" customHeight="1">
      <c r="A72" s="4" t="inlineStr">
        <is>
          <t>問11</t>
        </is>
      </c>
      <c r="B72" s="5" t="inlineStr">
        <is>
          <t>18歳になったら、どのような暮らし方を希望しますか</t>
        </is>
      </c>
      <c r="C72" s="5" t="inlineStr">
        <is>
          <t>障がい者支援施設等で暮らしたい</t>
        </is>
      </c>
      <c r="D72" s="26" t="n">
        <v>0</v>
      </c>
      <c r="E72" s="18">
        <f>IF($F72=0,0,D72/$F72)</f>
        <v>0</v>
      </c>
      <c r="F72" s="17">
        <f>$F$69</f>
        <v>3</v>
      </c>
      <c r="G72" s="4" t="inlineStr">
        <is>
          <t>単一回答</t>
        </is>
      </c>
    </row>
    <row r="73" ht="16" customHeight="1">
      <c r="A73" s="4" t="inlineStr">
        <is>
          <t>問11</t>
        </is>
      </c>
      <c r="B73" s="5" t="inlineStr">
        <is>
          <t>18歳になったら、どのような暮らし方を希望しますか</t>
        </is>
      </c>
      <c r="C73" s="5" t="inlineStr">
        <is>
          <t>病院・施設から地域で暮らしたい</t>
        </is>
      </c>
      <c r="D73" s="26" t="n">
        <v>0</v>
      </c>
      <c r="E73" s="18">
        <f>IF($F73=0,0,D73/$F73)</f>
        <v>0</v>
      </c>
      <c r="F73" s="17">
        <f>$F$69</f>
        <v>3</v>
      </c>
      <c r="G73" s="4" t="inlineStr">
        <is>
          <t>単一回答</t>
        </is>
      </c>
    </row>
    <row r="74" ht="16" customHeight="1">
      <c r="A74" s="4" t="inlineStr">
        <is>
          <t>問11</t>
        </is>
      </c>
      <c r="B74" s="5" t="inlineStr">
        <is>
          <t>18歳になったら、どのような暮らし方を希望しますか</t>
        </is>
      </c>
      <c r="C74" s="5" t="inlineStr">
        <is>
          <t>まだわからない</t>
        </is>
      </c>
      <c r="D74" s="26" t="n">
        <v>1</v>
      </c>
      <c r="E74" s="18">
        <f>IF($F74=0,0,D74/$F74)</f>
        <v>0.333333333333333</v>
      </c>
      <c r="F74" s="17">
        <f>$F$69</f>
        <v>3</v>
      </c>
      <c r="G74" s="4" t="inlineStr">
        <is>
          <t>単一回答</t>
        </is>
      </c>
    </row>
    <row r="75" ht="16" customHeight="1">
      <c r="A75" s="4" t="inlineStr">
        <is>
          <t>問11</t>
        </is>
      </c>
      <c r="B75" s="5" t="inlineStr">
        <is>
          <t>18歳になったら、どのような暮らし方を希望しますか</t>
        </is>
      </c>
      <c r="C75" s="5" t="inlineStr">
        <is>
          <t>その他</t>
        </is>
      </c>
      <c r="D75" s="26" t="n">
        <v>1</v>
      </c>
      <c r="E75" s="18">
        <f>IF($F75=0,0,D75/$F75)</f>
        <v>0.333333333333333</v>
      </c>
      <c r="F75" s="17">
        <f>$F$69</f>
        <v>3</v>
      </c>
      <c r="G75" s="4" t="inlineStr">
        <is>
          <t>単一回答</t>
        </is>
      </c>
    </row>
    <row r="76" ht="16" customHeight="1">
      <c r="A76" s="4" t="inlineStr">
        <is>
          <t>問12</t>
        </is>
      </c>
      <c r="B76" s="5" t="inlineStr">
        <is>
          <t>外出の頻度を教えてください</t>
        </is>
      </c>
      <c r="C76" s="5" t="inlineStr">
        <is>
          <t>ほぼ毎日</t>
        </is>
      </c>
      <c r="D76" s="26" t="n">
        <v>1</v>
      </c>
      <c r="E76" s="18">
        <f>IF($F76=0,0,D76/$F76)</f>
        <v>0.333333333333333</v>
      </c>
      <c r="F76" s="26" t="n">
        <v>3</v>
      </c>
      <c r="G76" s="4" t="inlineStr">
        <is>
          <t>単一回答</t>
        </is>
      </c>
    </row>
    <row r="77" ht="16" customHeight="1">
      <c r="A77" s="4" t="inlineStr">
        <is>
          <t>問12</t>
        </is>
      </c>
      <c r="B77" s="5" t="inlineStr">
        <is>
          <t>外出の頻度を教えてください</t>
        </is>
      </c>
      <c r="C77" s="5" t="inlineStr">
        <is>
          <t>週に2～4回</t>
        </is>
      </c>
      <c r="D77" s="26" t="n">
        <v>1</v>
      </c>
      <c r="E77" s="18">
        <f>IF($F77=0,0,D77/$F77)</f>
        <v>0.333333333333333</v>
      </c>
      <c r="F77" s="17">
        <f>$F$76</f>
        <v>3</v>
      </c>
      <c r="G77" s="4" t="inlineStr">
        <is>
          <t>単一回答</t>
        </is>
      </c>
    </row>
    <row r="78" ht="16" customHeight="1">
      <c r="A78" s="4" t="inlineStr">
        <is>
          <t>問12</t>
        </is>
      </c>
      <c r="B78" s="5" t="inlineStr">
        <is>
          <t>外出の頻度を教えてください</t>
        </is>
      </c>
      <c r="C78" s="5" t="inlineStr">
        <is>
          <t>週に1回程度</t>
        </is>
      </c>
      <c r="D78" s="26" t="n">
        <v>1</v>
      </c>
      <c r="E78" s="18">
        <f>IF($F78=0,0,D78/$F78)</f>
        <v>0.333333333333333</v>
      </c>
      <c r="F78" s="17">
        <f>$F$76</f>
        <v>3</v>
      </c>
      <c r="G78" s="4" t="inlineStr">
        <is>
          <t>単一回答</t>
        </is>
      </c>
    </row>
    <row r="79" ht="16" customHeight="1">
      <c r="A79" s="4" t="inlineStr">
        <is>
          <t>問12</t>
        </is>
      </c>
      <c r="B79" s="5" t="inlineStr">
        <is>
          <t>外出の頻度を教えてください</t>
        </is>
      </c>
      <c r="C79" s="5" t="inlineStr">
        <is>
          <t>月に数回</t>
        </is>
      </c>
      <c r="D79" s="26" t="n">
        <v>0</v>
      </c>
      <c r="E79" s="18">
        <f>IF($F79=0,0,D79/$F79)</f>
        <v>0</v>
      </c>
      <c r="F79" s="17">
        <f>$F$76</f>
        <v>3</v>
      </c>
      <c r="G79" s="4" t="inlineStr">
        <is>
          <t>単一回答</t>
        </is>
      </c>
    </row>
    <row r="80" ht="16" customHeight="1">
      <c r="A80" s="4" t="inlineStr">
        <is>
          <t>問12</t>
        </is>
      </c>
      <c r="B80" s="5" t="inlineStr">
        <is>
          <t>外出の頻度を教えてください</t>
        </is>
      </c>
      <c r="C80" s="5" t="inlineStr">
        <is>
          <t>ほとんど外出しない</t>
        </is>
      </c>
      <c r="D80" s="26" t="n">
        <v>0</v>
      </c>
      <c r="E80" s="18">
        <f>IF($F80=0,0,D80/$F80)</f>
        <v>0</v>
      </c>
      <c r="F80" s="17">
        <f>$F$76</f>
        <v>3</v>
      </c>
      <c r="G80" s="4" t="inlineStr">
        <is>
          <t>単一回答</t>
        </is>
      </c>
    </row>
    <row r="81" ht="28" customHeight="1">
      <c r="A81" s="4" t="inlineStr">
        <is>
          <t>問13</t>
        </is>
      </c>
      <c r="B81" s="5" t="inlineStr">
        <is>
          <t>外出時の主な移動手段を教えてください（あてはまるものすべて）</t>
        </is>
      </c>
      <c r="C81" s="5" t="inlineStr">
        <is>
          <t>家族の送迎</t>
        </is>
      </c>
      <c r="D81" s="26" t="n">
        <v>3</v>
      </c>
      <c r="E81" s="18">
        <f>IF($F81=0,0,D81/$F81)</f>
        <v>1</v>
      </c>
      <c r="F81" s="26" t="n">
        <v>3</v>
      </c>
      <c r="G81" s="4" t="inlineStr">
        <is>
          <t>複数回答</t>
        </is>
      </c>
    </row>
    <row r="82" ht="28" customHeight="1">
      <c r="A82" s="4" t="inlineStr">
        <is>
          <t>問13</t>
        </is>
      </c>
      <c r="B82" s="5" t="inlineStr">
        <is>
          <t>外出時の主な移動手段を教えてください（あてはまるものすべて）</t>
        </is>
      </c>
      <c r="C82" s="5" t="inlineStr">
        <is>
          <t>徒歩</t>
        </is>
      </c>
      <c r="D82" s="26" t="n">
        <v>2</v>
      </c>
      <c r="E82" s="18">
        <f>IF($F82=0,0,D82/$F82)</f>
        <v>0.666666666666667</v>
      </c>
      <c r="F82" s="17">
        <f>$F$81</f>
        <v>3</v>
      </c>
      <c r="G82" s="4" t="inlineStr">
        <is>
          <t>複数回答</t>
        </is>
      </c>
    </row>
    <row r="83" ht="28" customHeight="1">
      <c r="A83" s="4" t="inlineStr">
        <is>
          <t>問13</t>
        </is>
      </c>
      <c r="B83" s="5" t="inlineStr">
        <is>
          <t>外出時の主な移動手段を教えてください（あてはまるものすべて）</t>
        </is>
      </c>
      <c r="C83" s="5" t="inlineStr">
        <is>
          <t>自転車</t>
        </is>
      </c>
      <c r="D83" s="26" t="n">
        <v>1</v>
      </c>
      <c r="E83" s="18">
        <f>IF($F83=0,0,D83/$F83)</f>
        <v>0.333333333333333</v>
      </c>
      <c r="F83" s="17">
        <f>$F$81</f>
        <v>3</v>
      </c>
      <c r="G83" s="4" t="inlineStr">
        <is>
          <t>複数回答</t>
        </is>
      </c>
    </row>
    <row r="84" ht="28" customHeight="1">
      <c r="A84" s="4" t="inlineStr">
        <is>
          <t>問13</t>
        </is>
      </c>
      <c r="B84" s="5" t="inlineStr">
        <is>
          <t>外出時の主な移動手段を教えてください（あてはまるものすべて）</t>
        </is>
      </c>
      <c r="C84" s="5" t="inlineStr">
        <is>
          <t>路線バス</t>
        </is>
      </c>
      <c r="D84" s="26" t="n">
        <v>1</v>
      </c>
      <c r="E84" s="18">
        <f>IF($F84=0,0,D84/$F84)</f>
        <v>0.333333333333333</v>
      </c>
      <c r="F84" s="17">
        <f>$F$81</f>
        <v>3</v>
      </c>
      <c r="G84" s="4" t="inlineStr">
        <is>
          <t>複数回答</t>
        </is>
      </c>
    </row>
    <row r="85" ht="28" customHeight="1">
      <c r="A85" s="4" t="inlineStr">
        <is>
          <t>問13</t>
        </is>
      </c>
      <c r="B85" s="5" t="inlineStr">
        <is>
          <t>外出時の主な移動手段を教えてください（あてはまるものすべて）</t>
        </is>
      </c>
      <c r="C85" s="5" t="inlineStr">
        <is>
          <t>タクシー</t>
        </is>
      </c>
      <c r="D85" s="26" t="n">
        <v>0</v>
      </c>
      <c r="E85" s="18">
        <f>IF($F85=0,0,D85/$F85)</f>
        <v>0</v>
      </c>
      <c r="F85" s="17">
        <f>$F$81</f>
        <v>3</v>
      </c>
      <c r="G85" s="4" t="inlineStr">
        <is>
          <t>複数回答</t>
        </is>
      </c>
    </row>
    <row r="86" ht="28" customHeight="1">
      <c r="A86" s="4" t="inlineStr">
        <is>
          <t>問13</t>
        </is>
      </c>
      <c r="B86" s="5" t="inlineStr">
        <is>
          <t>外出時の主な移動手段を教えてください（あてはまるものすべて）</t>
        </is>
      </c>
      <c r="C86" s="5" t="inlineStr">
        <is>
          <t>福祉タクシー等</t>
        </is>
      </c>
      <c r="D86" s="26" t="n">
        <v>0</v>
      </c>
      <c r="E86" s="18">
        <f>IF($F86=0,0,D86/$F86)</f>
        <v>0</v>
      </c>
      <c r="F86" s="17">
        <f>$F$81</f>
        <v>3</v>
      </c>
      <c r="G86" s="4" t="inlineStr">
        <is>
          <t>複数回答</t>
        </is>
      </c>
    </row>
    <row r="87" ht="28" customHeight="1">
      <c r="A87" s="4" t="inlineStr">
        <is>
          <t>問13</t>
        </is>
      </c>
      <c r="B87" s="5" t="inlineStr">
        <is>
          <t>外出時の主な移動手段を教えてください（あてはまるものすべて）</t>
        </is>
      </c>
      <c r="C87" s="5" t="inlineStr">
        <is>
          <t>事業所・施設の送迎</t>
        </is>
      </c>
      <c r="D87" s="26" t="n">
        <v>0</v>
      </c>
      <c r="E87" s="18">
        <f>IF($F87=0,0,D87/$F87)</f>
        <v>0</v>
      </c>
      <c r="F87" s="17">
        <f>$F$81</f>
        <v>3</v>
      </c>
      <c r="G87" s="4" t="inlineStr">
        <is>
          <t>複数回答</t>
        </is>
      </c>
    </row>
    <row r="88" ht="28" customHeight="1">
      <c r="A88" s="4" t="inlineStr">
        <is>
          <t>問13</t>
        </is>
      </c>
      <c r="B88" s="5" t="inlineStr">
        <is>
          <t>外出時の主な移動手段を教えてください（あてはまるものすべて）</t>
        </is>
      </c>
      <c r="C88" s="5" t="inlineStr">
        <is>
          <t>その他</t>
        </is>
      </c>
      <c r="D88" s="26" t="n">
        <v>0</v>
      </c>
      <c r="E88" s="18">
        <f>IF($F88=0,0,D88/$F88)</f>
        <v>0</v>
      </c>
      <c r="F88" s="17">
        <f>$F$81</f>
        <v>3</v>
      </c>
      <c r="G88" s="4" t="inlineStr">
        <is>
          <t>複数回答</t>
        </is>
      </c>
    </row>
    <row r="89" ht="28" customHeight="1">
      <c r="A89" s="4" t="inlineStr">
        <is>
          <t>問14</t>
        </is>
      </c>
      <c r="B89" s="5" t="inlineStr">
        <is>
          <t>外出するときに困ることは何ですか（あてはまるものすべて）</t>
        </is>
      </c>
      <c r="C89" s="5" t="inlineStr">
        <is>
          <t>交通手段が少ない</t>
        </is>
      </c>
      <c r="D89" s="26" t="n">
        <v>2</v>
      </c>
      <c r="E89" s="18">
        <f>IF($F89=0,0,D89/$F89)</f>
        <v>0.666666666666667</v>
      </c>
      <c r="F89" s="26" t="n">
        <v>3</v>
      </c>
      <c r="G89" s="4" t="inlineStr">
        <is>
          <t>複数回答</t>
        </is>
      </c>
    </row>
    <row r="90" ht="28" customHeight="1">
      <c r="A90" s="4" t="inlineStr">
        <is>
          <t>問14</t>
        </is>
      </c>
      <c r="B90" s="5" t="inlineStr">
        <is>
          <t>外出するときに困ることは何ですか（あてはまるものすべて）</t>
        </is>
      </c>
      <c r="C90" s="5" t="inlineStr">
        <is>
          <t>家族等の付き添いが必要</t>
        </is>
      </c>
      <c r="D90" s="26" t="n">
        <v>2</v>
      </c>
      <c r="E90" s="18">
        <f>IF($F90=0,0,D90/$F90)</f>
        <v>0.666666666666667</v>
      </c>
      <c r="F90" s="17">
        <f>$F$89</f>
        <v>3</v>
      </c>
      <c r="G90" s="4" t="inlineStr">
        <is>
          <t>複数回答</t>
        </is>
      </c>
    </row>
    <row r="91" ht="28" customHeight="1">
      <c r="A91" s="4" t="inlineStr">
        <is>
          <t>問14</t>
        </is>
      </c>
      <c r="B91" s="5" t="inlineStr">
        <is>
          <t>外出するときに困ることは何ですか（あてはまるものすべて）</t>
        </is>
      </c>
      <c r="C91" s="5" t="inlineStr">
        <is>
          <t>送迎がない</t>
        </is>
      </c>
      <c r="D91" s="26" t="n">
        <v>1</v>
      </c>
      <c r="E91" s="18">
        <f>IF($F91=0,0,D91/$F91)</f>
        <v>0.333333333333333</v>
      </c>
      <c r="F91" s="17">
        <f>$F$89</f>
        <v>3</v>
      </c>
      <c r="G91" s="4" t="inlineStr">
        <is>
          <t>複数回答</t>
        </is>
      </c>
    </row>
    <row r="92" ht="28" customHeight="1">
      <c r="A92" s="4" t="inlineStr">
        <is>
          <t>問14</t>
        </is>
      </c>
      <c r="B92" s="5" t="inlineStr">
        <is>
          <t>外出するときに困ることは何ですか（あてはまるものすべて）</t>
        </is>
      </c>
      <c r="C92" s="5" t="inlineStr">
        <is>
          <t>冬季・積雪時に外出しにくい</t>
        </is>
      </c>
      <c r="D92" s="26" t="n">
        <v>1</v>
      </c>
      <c r="E92" s="18">
        <f>IF($F92=0,0,D92/$F92)</f>
        <v>0.333333333333333</v>
      </c>
      <c r="F92" s="17">
        <f>$F$89</f>
        <v>3</v>
      </c>
      <c r="G92" s="4" t="inlineStr">
        <is>
          <t>複数回答</t>
        </is>
      </c>
    </row>
    <row r="93" ht="28" customHeight="1">
      <c r="A93" s="4" t="inlineStr">
        <is>
          <t>問14</t>
        </is>
      </c>
      <c r="B93" s="5" t="inlineStr">
        <is>
          <t>外出するときに困ることは何ですか（あてはまるものすべて）</t>
        </is>
      </c>
      <c r="C93" s="5" t="inlineStr">
        <is>
          <t>道路・建物が利用しにくい</t>
        </is>
      </c>
      <c r="D93" s="26" t="n">
        <v>0</v>
      </c>
      <c r="E93" s="18">
        <f>IF($F93=0,0,D93/$F93)</f>
        <v>0</v>
      </c>
      <c r="F93" s="17">
        <f>$F$89</f>
        <v>3</v>
      </c>
      <c r="G93" s="4" t="inlineStr">
        <is>
          <t>複数回答</t>
        </is>
      </c>
    </row>
    <row r="94" ht="28" customHeight="1">
      <c r="A94" s="4" t="inlineStr">
        <is>
          <t>問14</t>
        </is>
      </c>
      <c r="B94" s="5" t="inlineStr">
        <is>
          <t>外出するときに困ることは何ですか（あてはまるものすべて）</t>
        </is>
      </c>
      <c r="C94" s="5" t="inlineStr">
        <is>
          <t>周囲の理解が不安</t>
        </is>
      </c>
      <c r="D94" s="26" t="n">
        <v>0</v>
      </c>
      <c r="E94" s="18">
        <f>IF($F94=0,0,D94/$F94)</f>
        <v>0</v>
      </c>
      <c r="F94" s="17">
        <f>$F$89</f>
        <v>3</v>
      </c>
      <c r="G94" s="4" t="inlineStr">
        <is>
          <t>複数回答</t>
        </is>
      </c>
    </row>
    <row r="95" ht="28" customHeight="1">
      <c r="A95" s="4" t="inlineStr">
        <is>
          <t>問14</t>
        </is>
      </c>
      <c r="B95" s="5" t="inlineStr">
        <is>
          <t>外出するときに困ることは何ですか（あてはまるものすべて）</t>
        </is>
      </c>
      <c r="C95" s="5" t="inlineStr">
        <is>
          <t>体調面が不安</t>
        </is>
      </c>
      <c r="D95" s="26" t="n">
        <v>1</v>
      </c>
      <c r="E95" s="18">
        <f>IF($F95=0,0,D95/$F95)</f>
        <v>0.333333333333333</v>
      </c>
      <c r="F95" s="17">
        <f>$F$89</f>
        <v>3</v>
      </c>
      <c r="G95" s="4" t="inlineStr">
        <is>
          <t>複数回答</t>
        </is>
      </c>
    </row>
    <row r="96" ht="28" customHeight="1">
      <c r="A96" s="4" t="inlineStr">
        <is>
          <t>問14</t>
        </is>
      </c>
      <c r="B96" s="5" t="inlineStr">
        <is>
          <t>外出するときに困ることは何ですか（あてはまるものすべて）</t>
        </is>
      </c>
      <c r="C96" s="5" t="inlineStr">
        <is>
          <t>費用がかかる</t>
        </is>
      </c>
      <c r="D96" s="26" t="n">
        <v>1</v>
      </c>
      <c r="E96" s="18">
        <f>IF($F96=0,0,D96/$F96)</f>
        <v>0.333333333333333</v>
      </c>
      <c r="F96" s="17">
        <f>$F$89</f>
        <v>3</v>
      </c>
      <c r="G96" s="4" t="inlineStr">
        <is>
          <t>複数回答</t>
        </is>
      </c>
    </row>
    <row r="97" ht="28" customHeight="1">
      <c r="A97" s="4" t="inlineStr">
        <is>
          <t>問14</t>
        </is>
      </c>
      <c r="B97" s="5" t="inlineStr">
        <is>
          <t>外出するときに困ることは何ですか（あてはまるものすべて）</t>
        </is>
      </c>
      <c r="C97" s="5" t="inlineStr">
        <is>
          <t>特に困らない</t>
        </is>
      </c>
      <c r="D97" s="26" t="n">
        <v>0</v>
      </c>
      <c r="E97" s="18">
        <f>IF($F97=0,0,D97/$F97)</f>
        <v>0</v>
      </c>
      <c r="F97" s="17">
        <f>$F$89</f>
        <v>3</v>
      </c>
      <c r="G97" s="4" t="inlineStr">
        <is>
          <t>複数回答</t>
        </is>
      </c>
    </row>
    <row r="98" ht="28" customHeight="1">
      <c r="A98" s="4" t="inlineStr">
        <is>
          <t>問14</t>
        </is>
      </c>
      <c r="B98" s="5" t="inlineStr">
        <is>
          <t>外出するときに困ることは何ですか（あてはまるものすべて）</t>
        </is>
      </c>
      <c r="C98" s="5" t="inlineStr">
        <is>
          <t>その他</t>
        </is>
      </c>
      <c r="D98" s="26" t="n">
        <v>1</v>
      </c>
      <c r="E98" s="18">
        <f>IF($F98=0,0,D98/$F98)</f>
        <v>0.333333333333333</v>
      </c>
      <c r="F98" s="17">
        <f>$F$89</f>
        <v>3</v>
      </c>
      <c r="G98" s="4" t="inlineStr">
        <is>
          <t>複数回答</t>
        </is>
      </c>
    </row>
    <row r="99" ht="16" customHeight="1">
      <c r="A99" s="4" t="inlineStr">
        <is>
          <t>問15</t>
        </is>
      </c>
      <c r="B99" s="5" t="inlineStr">
        <is>
          <t>現在、定期的に通院していますか</t>
        </is>
      </c>
      <c r="C99" s="5" t="inlineStr">
        <is>
          <t>通院している</t>
        </is>
      </c>
      <c r="D99" s="26" t="n">
        <v>3</v>
      </c>
      <c r="E99" s="18">
        <f>IF($F99=0,0,D99/$F99)</f>
        <v>1</v>
      </c>
      <c r="F99" s="26" t="n">
        <v>3</v>
      </c>
      <c r="G99" s="4" t="inlineStr">
        <is>
          <t>単一回答</t>
        </is>
      </c>
    </row>
    <row r="100" ht="16" customHeight="1">
      <c r="A100" s="4" t="inlineStr">
        <is>
          <t>問15</t>
        </is>
      </c>
      <c r="B100" s="5" t="inlineStr">
        <is>
          <t>現在、定期的に通院していますか</t>
        </is>
      </c>
      <c r="C100" s="5" t="inlineStr">
        <is>
          <t>通院していない</t>
        </is>
      </c>
      <c r="D100" s="26" t="n">
        <v>0</v>
      </c>
      <c r="E100" s="18">
        <f>IF($F100=0,0,D100/$F100)</f>
        <v>0</v>
      </c>
      <c r="F100" s="17">
        <f>$F$99</f>
        <v>3</v>
      </c>
      <c r="G100" s="4" t="inlineStr">
        <is>
          <t>単一回答</t>
        </is>
      </c>
    </row>
    <row r="101" ht="16" customHeight="1">
      <c r="A101" s="4" t="inlineStr">
        <is>
          <t>問15</t>
        </is>
      </c>
      <c r="B101" s="5" t="inlineStr">
        <is>
          <t>現在、定期的に通院していますか</t>
        </is>
      </c>
      <c r="C101" s="5" t="inlineStr">
        <is>
          <t>訪問診療・往診を受けている</t>
        </is>
      </c>
      <c r="D101" s="26" t="n">
        <v>0</v>
      </c>
      <c r="E101" s="18">
        <f>IF($F101=0,0,D101/$F101)</f>
        <v>0</v>
      </c>
      <c r="F101" s="17">
        <f>$F$99</f>
        <v>3</v>
      </c>
      <c r="G101" s="4" t="inlineStr">
        <is>
          <t>単一回答</t>
        </is>
      </c>
    </row>
    <row r="102" ht="16" customHeight="1">
      <c r="A102" s="4" t="inlineStr">
        <is>
          <t>問15</t>
        </is>
      </c>
      <c r="B102" s="5" t="inlineStr">
        <is>
          <t>現在、定期的に通院していますか</t>
        </is>
      </c>
      <c r="C102" s="5" t="inlineStr">
        <is>
          <t>わからない</t>
        </is>
      </c>
      <c r="D102" s="26" t="n">
        <v>0</v>
      </c>
      <c r="E102" s="18">
        <f>IF($F102=0,0,D102/$F102)</f>
        <v>0</v>
      </c>
      <c r="F102" s="17">
        <f>$F$99</f>
        <v>3</v>
      </c>
      <c r="G102" s="4" t="inlineStr">
        <is>
          <t>単一回答</t>
        </is>
      </c>
    </row>
    <row r="103" ht="28" customHeight="1">
      <c r="A103" s="4" t="inlineStr">
        <is>
          <t>問16</t>
        </is>
      </c>
      <c r="B103" s="5" t="inlineStr">
        <is>
          <t>通院や医療で困っていることはありますか（あてはまるものすべて）</t>
        </is>
      </c>
      <c r="C103" s="5" t="inlineStr">
        <is>
          <t>専門医療機関が遠い</t>
        </is>
      </c>
      <c r="D103" s="26" t="n">
        <v>3</v>
      </c>
      <c r="E103" s="18">
        <f>IF($F103=0,0,D103/$F103)</f>
        <v>1</v>
      </c>
      <c r="F103" s="26" t="n">
        <v>3</v>
      </c>
      <c r="G103" s="4" t="inlineStr">
        <is>
          <t>複数回答</t>
        </is>
      </c>
    </row>
    <row r="104" ht="28" customHeight="1">
      <c r="A104" s="4" t="inlineStr">
        <is>
          <t>問16</t>
        </is>
      </c>
      <c r="B104" s="5" t="inlineStr">
        <is>
          <t>通院や医療で困っていることはありますか（あてはまるものすべて）</t>
        </is>
      </c>
      <c r="C104" s="5" t="inlineStr">
        <is>
          <t>通院の交通手段がない</t>
        </is>
      </c>
      <c r="D104" s="26" t="n">
        <v>1</v>
      </c>
      <c r="E104" s="18">
        <f>IF($F104=0,0,D104/$F104)</f>
        <v>0.333333333333333</v>
      </c>
      <c r="F104" s="17">
        <f>$F$103</f>
        <v>3</v>
      </c>
      <c r="G104" s="4" t="inlineStr">
        <is>
          <t>複数回答</t>
        </is>
      </c>
    </row>
    <row r="105" ht="28" customHeight="1">
      <c r="A105" s="4" t="inlineStr">
        <is>
          <t>問16</t>
        </is>
      </c>
      <c r="B105" s="5" t="inlineStr">
        <is>
          <t>通院や医療で困っていることはありますか（あてはまるものすべて）</t>
        </is>
      </c>
      <c r="C105" s="5" t="inlineStr">
        <is>
          <t>付き添いが必要</t>
        </is>
      </c>
      <c r="D105" s="26" t="n">
        <v>3</v>
      </c>
      <c r="E105" s="18">
        <f>IF($F105=0,0,D105/$F105)</f>
        <v>1</v>
      </c>
      <c r="F105" s="17">
        <f>$F$103</f>
        <v>3</v>
      </c>
      <c r="G105" s="4" t="inlineStr">
        <is>
          <t>複数回答</t>
        </is>
      </c>
    </row>
    <row r="106" ht="28" customHeight="1">
      <c r="A106" s="4" t="inlineStr">
        <is>
          <t>問16</t>
        </is>
      </c>
      <c r="B106" s="5" t="inlineStr">
        <is>
          <t>通院や医療で困っていることはありますか（あてはまるものすべて）</t>
        </is>
      </c>
      <c r="C106" s="5" t="inlineStr">
        <is>
          <t>医療費や交通費の負担が大きい</t>
        </is>
      </c>
      <c r="D106" s="26" t="n">
        <v>1</v>
      </c>
      <c r="E106" s="18">
        <f>IF($F106=0,0,D106/$F106)</f>
        <v>0.333333333333333</v>
      </c>
      <c r="F106" s="17">
        <f>$F$103</f>
        <v>3</v>
      </c>
      <c r="G106" s="4" t="inlineStr">
        <is>
          <t>複数回答</t>
        </is>
      </c>
    </row>
    <row r="107" ht="28" customHeight="1">
      <c r="A107" s="4" t="inlineStr">
        <is>
          <t>問16</t>
        </is>
      </c>
      <c r="B107" s="5" t="inlineStr">
        <is>
          <t>通院や医療で困っていることはありますか（あてはまるものすべて）</t>
        </is>
      </c>
      <c r="C107" s="5" t="inlineStr">
        <is>
          <t>予約・受診手続きが難しい</t>
        </is>
      </c>
      <c r="D107" s="26" t="n">
        <v>0</v>
      </c>
      <c r="E107" s="18">
        <f>IF($F107=0,0,D107/$F107)</f>
        <v>0</v>
      </c>
      <c r="F107" s="17">
        <f>$F$103</f>
        <v>3</v>
      </c>
      <c r="G107" s="4" t="inlineStr">
        <is>
          <t>複数回答</t>
        </is>
      </c>
    </row>
    <row r="108" ht="28" customHeight="1">
      <c r="A108" s="4" t="inlineStr">
        <is>
          <t>問16</t>
        </is>
      </c>
      <c r="B108" s="5" t="inlineStr">
        <is>
          <t>通院や医療で困っていることはありますか（あてはまるものすべて）</t>
        </is>
      </c>
      <c r="C108" s="5" t="inlineStr">
        <is>
          <t>緊急時の対応が不安</t>
        </is>
      </c>
      <c r="D108" s="26" t="n">
        <v>2</v>
      </c>
      <c r="E108" s="18">
        <f>IF($F108=0,0,D108/$F108)</f>
        <v>0.666666666666667</v>
      </c>
      <c r="F108" s="17">
        <f>$F$103</f>
        <v>3</v>
      </c>
      <c r="G108" s="4" t="inlineStr">
        <is>
          <t>複数回答</t>
        </is>
      </c>
    </row>
    <row r="109" ht="28" customHeight="1">
      <c r="A109" s="4" t="inlineStr">
        <is>
          <t>問16</t>
        </is>
      </c>
      <c r="B109" s="5" t="inlineStr">
        <is>
          <t>通院や医療で困っていることはありますか（あてはまるものすべて）</t>
        </is>
      </c>
      <c r="C109" s="5" t="inlineStr">
        <is>
          <t>特に困っていない</t>
        </is>
      </c>
      <c r="D109" s="26" t="n">
        <v>0</v>
      </c>
      <c r="E109" s="18">
        <f>IF($F109=0,0,D109/$F109)</f>
        <v>0</v>
      </c>
      <c r="F109" s="17">
        <f>$F$103</f>
        <v>3</v>
      </c>
      <c r="G109" s="4" t="inlineStr">
        <is>
          <t>複数回答</t>
        </is>
      </c>
    </row>
    <row r="110" ht="28" customHeight="1">
      <c r="A110" s="4" t="inlineStr">
        <is>
          <t>問16</t>
        </is>
      </c>
      <c r="B110" s="5" t="inlineStr">
        <is>
          <t>通院や医療で困っていることはありますか（あてはまるものすべて）</t>
        </is>
      </c>
      <c r="C110" s="5" t="inlineStr">
        <is>
          <t>その他</t>
        </is>
      </c>
      <c r="D110" s="26" t="n">
        <v>1</v>
      </c>
      <c r="E110" s="18">
        <f>IF($F110=0,0,D110/$F110)</f>
        <v>0.333333333333333</v>
      </c>
      <c r="F110" s="17">
        <f>$F$103</f>
        <v>3</v>
      </c>
      <c r="G110" s="4" t="inlineStr">
        <is>
          <t>複数回答</t>
        </is>
      </c>
    </row>
    <row r="111" ht="28" customHeight="1">
      <c r="A111" s="4" t="inlineStr">
        <is>
          <t>問17</t>
        </is>
      </c>
      <c r="B111" s="5" t="inlineStr">
        <is>
          <t>医療的ケアを必要としていますか（あてはまるものすべて）</t>
        </is>
      </c>
      <c r="C111" s="5" t="inlineStr">
        <is>
          <t>必要としていない</t>
        </is>
      </c>
      <c r="D111" s="26" t="n">
        <v>2</v>
      </c>
      <c r="E111" s="18">
        <f>IF($F111=0,0,D111/$F111)</f>
        <v>0.666666666666667</v>
      </c>
      <c r="F111" s="26" t="n">
        <v>3</v>
      </c>
      <c r="G111" s="4" t="inlineStr">
        <is>
          <t>複数回答</t>
        </is>
      </c>
    </row>
    <row r="112" ht="28" customHeight="1">
      <c r="A112" s="4" t="inlineStr">
        <is>
          <t>問17</t>
        </is>
      </c>
      <c r="B112" s="5" t="inlineStr">
        <is>
          <t>医療的ケアを必要としていますか（あてはまるものすべて）</t>
        </is>
      </c>
      <c r="C112" s="5" t="inlineStr">
        <is>
          <t>吸引</t>
        </is>
      </c>
      <c r="D112" s="26" t="n">
        <v>0</v>
      </c>
      <c r="E112" s="18">
        <f>IF($F112=0,0,D112/$F112)</f>
        <v>0</v>
      </c>
      <c r="F112" s="17">
        <f>$F$111</f>
        <v>3</v>
      </c>
      <c r="G112" s="4" t="inlineStr">
        <is>
          <t>複数回答</t>
        </is>
      </c>
    </row>
    <row r="113" ht="28" customHeight="1">
      <c r="A113" s="4" t="inlineStr">
        <is>
          <t>問17</t>
        </is>
      </c>
      <c r="B113" s="5" t="inlineStr">
        <is>
          <t>医療的ケアを必要としていますか（あてはまるものすべて）</t>
        </is>
      </c>
      <c r="C113" s="5" t="inlineStr">
        <is>
          <t>酸素療法</t>
        </is>
      </c>
      <c r="D113" s="26" t="n">
        <v>1</v>
      </c>
      <c r="E113" s="18">
        <f>IF($F113=0,0,D113/$F113)</f>
        <v>0.333333333333333</v>
      </c>
      <c r="F113" s="17">
        <f>$F$111</f>
        <v>3</v>
      </c>
      <c r="G113" s="4" t="inlineStr">
        <is>
          <t>複数回答</t>
        </is>
      </c>
    </row>
    <row r="114" ht="28" customHeight="1">
      <c r="A114" s="4" t="inlineStr">
        <is>
          <t>問17</t>
        </is>
      </c>
      <c r="B114" s="5" t="inlineStr">
        <is>
          <t>医療的ケアを必要としていますか（あてはまるものすべて）</t>
        </is>
      </c>
      <c r="C114" s="5" t="inlineStr">
        <is>
          <t>人工呼吸器（レスピレーター）</t>
        </is>
      </c>
      <c r="D114" s="26" t="n">
        <v>0</v>
      </c>
      <c r="E114" s="18">
        <f>IF($F114=0,0,D114/$F114)</f>
        <v>0</v>
      </c>
      <c r="F114" s="17">
        <f>$F$111</f>
        <v>3</v>
      </c>
      <c r="G114" s="4" t="inlineStr">
        <is>
          <t>複数回答</t>
        </is>
      </c>
    </row>
    <row r="115" ht="28" customHeight="1">
      <c r="A115" s="4" t="inlineStr">
        <is>
          <t>問17</t>
        </is>
      </c>
      <c r="B115" s="5" t="inlineStr">
        <is>
          <t>医療的ケアを必要としていますか（あてはまるものすべて）</t>
        </is>
      </c>
      <c r="C115" s="5" t="inlineStr">
        <is>
          <t>導尿</t>
        </is>
      </c>
      <c r="D115" s="26" t="n">
        <v>0</v>
      </c>
      <c r="E115" s="18">
        <f>IF($F115=0,0,D115/$F115)</f>
        <v>0</v>
      </c>
      <c r="F115" s="17">
        <f>$F$111</f>
        <v>3</v>
      </c>
      <c r="G115" s="4" t="inlineStr">
        <is>
          <t>複数回答</t>
        </is>
      </c>
    </row>
    <row r="116" ht="28" customHeight="1">
      <c r="A116" s="4" t="inlineStr">
        <is>
          <t>問17</t>
        </is>
      </c>
      <c r="B116" s="5" t="inlineStr">
        <is>
          <t>医療的ケアを必要としていますか（あてはまるものすべて）</t>
        </is>
      </c>
      <c r="C116" s="5" t="inlineStr">
        <is>
          <t>ストマ（人工肛門・人工膀胱）</t>
        </is>
      </c>
      <c r="D116" s="26" t="n">
        <v>0</v>
      </c>
      <c r="E116" s="18">
        <f>IF($F116=0,0,D116/$F116)</f>
        <v>0</v>
      </c>
      <c r="F116" s="17">
        <f>$F$111</f>
        <v>3</v>
      </c>
      <c r="G116" s="4" t="inlineStr">
        <is>
          <t>複数回答</t>
        </is>
      </c>
    </row>
    <row r="117" ht="28" customHeight="1">
      <c r="A117" s="4" t="inlineStr">
        <is>
          <t>問17</t>
        </is>
      </c>
      <c r="B117" s="5" t="inlineStr">
        <is>
          <t>医療的ケアを必要としていますか（あてはまるものすべて）</t>
        </is>
      </c>
      <c r="C117" s="5" t="inlineStr">
        <is>
          <t>服薬管理等の継続支援</t>
        </is>
      </c>
      <c r="D117" s="26" t="n">
        <v>1</v>
      </c>
      <c r="E117" s="18">
        <f>IF($F117=0,0,D117/$F117)</f>
        <v>0.333333333333333</v>
      </c>
      <c r="F117" s="17">
        <f>$F$111</f>
        <v>3</v>
      </c>
      <c r="G117" s="4" t="inlineStr">
        <is>
          <t>複数回答</t>
        </is>
      </c>
    </row>
    <row r="118" ht="28" customHeight="1">
      <c r="A118" s="4" t="inlineStr">
        <is>
          <t>問17</t>
        </is>
      </c>
      <c r="B118" s="5" t="inlineStr">
        <is>
          <t>医療的ケアを必要としていますか（あてはまるものすべて）</t>
        </is>
      </c>
      <c r="C118" s="5" t="inlineStr">
        <is>
          <t>気管切開</t>
        </is>
      </c>
      <c r="D118" s="26" t="n">
        <v>0</v>
      </c>
      <c r="E118" s="18">
        <f>IF($F118=0,0,D118/$F118)</f>
        <v>0</v>
      </c>
      <c r="F118" s="17">
        <f>$F$111</f>
        <v>3</v>
      </c>
      <c r="G118" s="4" t="inlineStr">
        <is>
          <t>複数回答</t>
        </is>
      </c>
    </row>
    <row r="119" ht="28" customHeight="1">
      <c r="A119" s="4" t="inlineStr">
        <is>
          <t>問17</t>
        </is>
      </c>
      <c r="B119" s="5" t="inlineStr">
        <is>
          <t>医療的ケアを必要としていますか（あてはまるものすべて）</t>
        </is>
      </c>
      <c r="C119" s="5" t="inlineStr">
        <is>
          <t>胃ろう・腸ろう</t>
        </is>
      </c>
      <c r="D119" s="26" t="n">
        <v>1</v>
      </c>
      <c r="E119" s="18">
        <f>IF($F119=0,0,D119/$F119)</f>
        <v>0.333333333333333</v>
      </c>
      <c r="F119" s="17">
        <f>$F$111</f>
        <v>3</v>
      </c>
      <c r="G119" s="4" t="inlineStr">
        <is>
          <t>複数回答</t>
        </is>
      </c>
    </row>
    <row r="120" ht="28" customHeight="1">
      <c r="A120" s="4" t="inlineStr">
        <is>
          <t>問17</t>
        </is>
      </c>
      <c r="B120" s="5" t="inlineStr">
        <is>
          <t>医療的ケアを必要としていますか（あてはまるものすべて）</t>
        </is>
      </c>
      <c r="C120" s="5" t="inlineStr">
        <is>
          <t>鼻腔管栄養</t>
        </is>
      </c>
      <c r="D120" s="26" t="n">
        <v>0</v>
      </c>
      <c r="E120" s="18">
        <f>IF($F120=0,0,D120/$F120)</f>
        <v>0</v>
      </c>
      <c r="F120" s="17">
        <f>$F$111</f>
        <v>3</v>
      </c>
      <c r="G120" s="4" t="inlineStr">
        <is>
          <t>複数回答</t>
        </is>
      </c>
    </row>
    <row r="121" ht="28" customHeight="1">
      <c r="A121" s="4" t="inlineStr">
        <is>
          <t>問17</t>
        </is>
      </c>
      <c r="B121" s="5" t="inlineStr">
        <is>
          <t>医療的ケアを必要としていますか（あてはまるものすべて）</t>
        </is>
      </c>
      <c r="C121" s="5" t="inlineStr">
        <is>
          <t>中心静脈栄養（IVH）</t>
        </is>
      </c>
      <c r="D121" s="26" t="n">
        <v>0</v>
      </c>
      <c r="E121" s="18">
        <f>IF($F121=0,0,D121/$F121)</f>
        <v>0</v>
      </c>
      <c r="F121" s="17">
        <f>$F$111</f>
        <v>3</v>
      </c>
      <c r="G121" s="4" t="inlineStr">
        <is>
          <t>複数回答</t>
        </is>
      </c>
    </row>
    <row r="122" ht="28" customHeight="1">
      <c r="A122" s="4" t="inlineStr">
        <is>
          <t>問17</t>
        </is>
      </c>
      <c r="B122" s="5" t="inlineStr">
        <is>
          <t>医療的ケアを必要としていますか（あてはまるものすべて）</t>
        </is>
      </c>
      <c r="C122" s="5" t="inlineStr">
        <is>
          <t>透析</t>
        </is>
      </c>
      <c r="D122" s="26" t="n">
        <v>0</v>
      </c>
      <c r="E122" s="18">
        <f>IF($F122=0,0,D122/$F122)</f>
        <v>0</v>
      </c>
      <c r="F122" s="17">
        <f>$F$111</f>
        <v>3</v>
      </c>
      <c r="G122" s="4" t="inlineStr">
        <is>
          <t>複数回答</t>
        </is>
      </c>
    </row>
    <row r="123" ht="28" customHeight="1">
      <c r="A123" s="4" t="inlineStr">
        <is>
          <t>問17</t>
        </is>
      </c>
      <c r="B123" s="5" t="inlineStr">
        <is>
          <t>医療的ケアを必要としていますか（あてはまるものすべて）</t>
        </is>
      </c>
      <c r="C123" s="5" t="inlineStr">
        <is>
          <t>カテーテル留置</t>
        </is>
      </c>
      <c r="D123" s="26" t="n">
        <v>0</v>
      </c>
      <c r="E123" s="18">
        <f>IF($F123=0,0,D123/$F123)</f>
        <v>0</v>
      </c>
      <c r="F123" s="17">
        <f>$F$111</f>
        <v>3</v>
      </c>
      <c r="G123" s="4" t="inlineStr">
        <is>
          <t>複数回答</t>
        </is>
      </c>
    </row>
    <row r="124" ht="28" customHeight="1">
      <c r="A124" s="4" t="inlineStr">
        <is>
          <t>問17</t>
        </is>
      </c>
      <c r="B124" s="5" t="inlineStr">
        <is>
          <t>医療的ケアを必要としていますか（あてはまるものすべて）</t>
        </is>
      </c>
      <c r="C124" s="5" t="inlineStr">
        <is>
          <t>その他</t>
        </is>
      </c>
      <c r="D124" s="26" t="n">
        <v>0</v>
      </c>
      <c r="E124" s="18">
        <f>IF($F124=0,0,D124/$F124)</f>
        <v>0</v>
      </c>
      <c r="F124" s="17">
        <f>$F$111</f>
        <v>3</v>
      </c>
      <c r="G124" s="4" t="inlineStr">
        <is>
          <t>複数回答</t>
        </is>
      </c>
    </row>
    <row r="125" ht="28" customHeight="1">
      <c r="A125" s="4" t="inlineStr">
        <is>
          <t>問18</t>
        </is>
      </c>
      <c r="B125" s="5" t="inlineStr">
        <is>
          <t>医療的ケアや重い障がいに関して、必要だと思う支援は何ですか（あてはまるものすべて）</t>
        </is>
      </c>
      <c r="C125" s="5" t="inlineStr">
        <is>
          <t>身近な相談先</t>
        </is>
      </c>
      <c r="D125" s="26" t="n">
        <v>1</v>
      </c>
      <c r="E125" s="18">
        <f>IF($F125=0,0,D125/$F125)</f>
        <v>0.333333333333333</v>
      </c>
      <c r="F125" s="26" t="n">
        <v>3</v>
      </c>
      <c r="G125" s="4" t="inlineStr">
        <is>
          <t>複数回答</t>
        </is>
      </c>
    </row>
    <row r="126" ht="28" customHeight="1">
      <c r="A126" s="4" t="inlineStr">
        <is>
          <t>問18</t>
        </is>
      </c>
      <c r="B126" s="5" t="inlineStr">
        <is>
          <t>医療的ケアや重い障がいに関して、必要だと思う支援は何ですか（あてはまるものすべて）</t>
        </is>
      </c>
      <c r="C126" s="5" t="inlineStr">
        <is>
          <t>通所先での医療的ケア対応</t>
        </is>
      </c>
      <c r="D126" s="26" t="n">
        <v>1</v>
      </c>
      <c r="E126" s="18">
        <f>IF($F126=0,0,D126/$F126)</f>
        <v>0.333333333333333</v>
      </c>
      <c r="F126" s="17">
        <f>$F$125</f>
        <v>3</v>
      </c>
      <c r="G126" s="4" t="inlineStr">
        <is>
          <t>複数回答</t>
        </is>
      </c>
    </row>
    <row r="127" ht="28" customHeight="1">
      <c r="A127" s="4" t="inlineStr">
        <is>
          <t>問18</t>
        </is>
      </c>
      <c r="B127" s="5" t="inlineStr">
        <is>
          <t>医療的ケアや重い障がいに関して、必要だと思う支援は何ですか（あてはまるものすべて）</t>
        </is>
      </c>
      <c r="C127" s="5" t="inlineStr">
        <is>
          <t>短期入所・レスパイトケア</t>
        </is>
      </c>
      <c r="D127" s="26" t="n">
        <v>1</v>
      </c>
      <c r="E127" s="18">
        <f>IF($F127=0,0,D127/$F127)</f>
        <v>0.333333333333333</v>
      </c>
      <c r="F127" s="17">
        <f>$F$125</f>
        <v>3</v>
      </c>
      <c r="G127" s="4" t="inlineStr">
        <is>
          <t>複数回答</t>
        </is>
      </c>
    </row>
    <row r="128" ht="28" customHeight="1">
      <c r="A128" s="4" t="inlineStr">
        <is>
          <t>問18</t>
        </is>
      </c>
      <c r="B128" s="5" t="inlineStr">
        <is>
          <t>医療的ケアや重い障がいに関して、必要だと思う支援は何ですか（あてはまるものすべて）</t>
        </is>
      </c>
      <c r="C128" s="5" t="inlineStr">
        <is>
          <t>訪問看護等との連携</t>
        </is>
      </c>
      <c r="D128" s="26" t="n">
        <v>1</v>
      </c>
      <c r="E128" s="18">
        <f>IF($F128=0,0,D128/$F128)</f>
        <v>0.333333333333333</v>
      </c>
      <c r="F128" s="17">
        <f>$F$125</f>
        <v>3</v>
      </c>
      <c r="G128" s="4" t="inlineStr">
        <is>
          <t>複数回答</t>
        </is>
      </c>
    </row>
    <row r="129" ht="28" customHeight="1">
      <c r="A129" s="4" t="inlineStr">
        <is>
          <t>問18</t>
        </is>
      </c>
      <c r="B129" s="5" t="inlineStr">
        <is>
          <t>医療的ケアや重い障がいに関して、必要だと思う支援は何ですか（あてはまるものすべて）</t>
        </is>
      </c>
      <c r="C129" s="5" t="inlineStr">
        <is>
          <t>災害時の電源・医療機器対応</t>
        </is>
      </c>
      <c r="D129" s="26" t="n">
        <v>0</v>
      </c>
      <c r="E129" s="18">
        <f>IF($F129=0,0,D129/$F129)</f>
        <v>0</v>
      </c>
      <c r="F129" s="17">
        <f>$F$125</f>
        <v>3</v>
      </c>
      <c r="G129" s="4" t="inlineStr">
        <is>
          <t>複数回答</t>
        </is>
      </c>
    </row>
    <row r="130" ht="28" customHeight="1">
      <c r="A130" s="4" t="inlineStr">
        <is>
          <t>問18</t>
        </is>
      </c>
      <c r="B130" s="5" t="inlineStr">
        <is>
          <t>医療的ケアや重い障がいに関して、必要だと思う支援は何ですか（あてはまるものすべて）</t>
        </is>
      </c>
      <c r="C130" s="5" t="inlineStr">
        <is>
          <t>家族の負担軽減</t>
        </is>
      </c>
      <c r="D130" s="26" t="n">
        <v>3</v>
      </c>
      <c r="E130" s="18">
        <f>IF($F130=0,0,D130/$F130)</f>
        <v>1</v>
      </c>
      <c r="F130" s="17">
        <f>$F$125</f>
        <v>3</v>
      </c>
      <c r="G130" s="4" t="inlineStr">
        <is>
          <t>複数回答</t>
        </is>
      </c>
    </row>
    <row r="131" ht="28" customHeight="1">
      <c r="A131" s="4" t="inlineStr">
        <is>
          <t>問18</t>
        </is>
      </c>
      <c r="B131" s="5" t="inlineStr">
        <is>
          <t>医療的ケアや重い障がいに関して、必要だと思う支援は何ですか（あてはまるものすべて）</t>
        </is>
      </c>
      <c r="C131" s="5" t="inlineStr">
        <is>
          <t>特にない</t>
        </is>
      </c>
      <c r="D131" s="26" t="n">
        <v>0</v>
      </c>
      <c r="E131" s="18">
        <f>IF($F131=0,0,D131/$F131)</f>
        <v>0</v>
      </c>
      <c r="F131" s="17">
        <f>$F$125</f>
        <v>3</v>
      </c>
      <c r="G131" s="4" t="inlineStr">
        <is>
          <t>複数回答</t>
        </is>
      </c>
    </row>
    <row r="132" ht="28" customHeight="1">
      <c r="A132" s="4" t="inlineStr">
        <is>
          <t>問18</t>
        </is>
      </c>
      <c r="B132" s="5" t="inlineStr">
        <is>
          <t>医療的ケアや重い障がいに関して、必要だと思う支援は何ですか（あてはまるものすべて）</t>
        </is>
      </c>
      <c r="C132" s="5" t="inlineStr">
        <is>
          <t>その他</t>
        </is>
      </c>
      <c r="D132" s="26" t="n">
        <v>1</v>
      </c>
      <c r="E132" s="18">
        <f>IF($F132=0,0,D132/$F132)</f>
        <v>0.333333333333333</v>
      </c>
      <c r="F132" s="17">
        <f>$F$125</f>
        <v>3</v>
      </c>
      <c r="G132" s="4" t="inlineStr">
        <is>
          <t>複数回答</t>
        </is>
      </c>
    </row>
    <row r="133" ht="28" customHeight="1">
      <c r="A133" s="4" t="inlineStr">
        <is>
          <t>問19</t>
        </is>
      </c>
      <c r="B133" s="5" t="inlineStr">
        <is>
          <t>困ったときに相談する相手・場所はどこですか（あてはまるものすべて）</t>
        </is>
      </c>
      <c r="C133" s="5" t="inlineStr">
        <is>
          <t>家族・親族</t>
        </is>
      </c>
      <c r="D133" s="26" t="n">
        <v>3</v>
      </c>
      <c r="E133" s="18">
        <f>IF($F133=0,0,D133/$F133)</f>
        <v>1</v>
      </c>
      <c r="F133" s="26" t="n">
        <v>3</v>
      </c>
      <c r="G133" s="4" t="inlineStr">
        <is>
          <t>複数回答</t>
        </is>
      </c>
    </row>
    <row r="134" ht="28" customHeight="1">
      <c r="A134" s="4" t="inlineStr">
        <is>
          <t>問19</t>
        </is>
      </c>
      <c r="B134" s="5" t="inlineStr">
        <is>
          <t>困ったときに相談する相手・場所はどこですか（あてはまるものすべて）</t>
        </is>
      </c>
      <c r="C134" s="5" t="inlineStr">
        <is>
          <t>友人・知人</t>
        </is>
      </c>
      <c r="D134" s="26" t="n">
        <v>0</v>
      </c>
      <c r="E134" s="18">
        <f>IF($F134=0,0,D134/$F134)</f>
        <v>0</v>
      </c>
      <c r="F134" s="17">
        <f>$F$133</f>
        <v>3</v>
      </c>
      <c r="G134" s="4" t="inlineStr">
        <is>
          <t>複数回答</t>
        </is>
      </c>
    </row>
    <row r="135" ht="28" customHeight="1">
      <c r="A135" s="4" t="inlineStr">
        <is>
          <t>問19</t>
        </is>
      </c>
      <c r="B135" s="5" t="inlineStr">
        <is>
          <t>困ったときに相談する相手・場所はどこですか（あてはまるものすべて）</t>
        </is>
      </c>
      <c r="C135" s="5" t="inlineStr">
        <is>
          <t>村役場</t>
        </is>
      </c>
      <c r="D135" s="26" t="n">
        <v>0</v>
      </c>
      <c r="E135" s="18">
        <f>IF($F135=0,0,D135/$F135)</f>
        <v>0</v>
      </c>
      <c r="F135" s="17">
        <f>$F$133</f>
        <v>3</v>
      </c>
      <c r="G135" s="4" t="inlineStr">
        <is>
          <t>複数回答</t>
        </is>
      </c>
    </row>
    <row r="136" ht="28" customHeight="1">
      <c r="A136" s="4" t="inlineStr">
        <is>
          <t>問19</t>
        </is>
      </c>
      <c r="B136" s="5" t="inlineStr">
        <is>
          <t>困ったときに相談する相手・場所はどこですか（あてはまるものすべて）</t>
        </is>
      </c>
      <c r="C136" s="5" t="inlineStr">
        <is>
          <t>相談支援専門員</t>
        </is>
      </c>
      <c r="D136" s="26" t="n">
        <v>1</v>
      </c>
      <c r="E136" s="18">
        <f>IF($F136=0,0,D136/$F136)</f>
        <v>0.333333333333333</v>
      </c>
      <c r="F136" s="17">
        <f>$F$133</f>
        <v>3</v>
      </c>
      <c r="G136" s="4" t="inlineStr">
        <is>
          <t>複数回答</t>
        </is>
      </c>
    </row>
    <row r="137" ht="28" customHeight="1">
      <c r="A137" s="4" t="inlineStr">
        <is>
          <t>問19</t>
        </is>
      </c>
      <c r="B137" s="5" t="inlineStr">
        <is>
          <t>困ったときに相談する相手・場所はどこですか（あてはまるものすべて）</t>
        </is>
      </c>
      <c r="C137" s="5" t="inlineStr">
        <is>
          <t>福祉サービス事業所</t>
        </is>
      </c>
      <c r="D137" s="26" t="n">
        <v>0</v>
      </c>
      <c r="E137" s="18">
        <f>IF($F137=0,0,D137/$F137)</f>
        <v>0</v>
      </c>
      <c r="F137" s="17">
        <f>$F$133</f>
        <v>3</v>
      </c>
      <c r="G137" s="4" t="inlineStr">
        <is>
          <t>複数回答</t>
        </is>
      </c>
    </row>
    <row r="138" ht="28" customHeight="1">
      <c r="A138" s="4" t="inlineStr">
        <is>
          <t>問19</t>
        </is>
      </c>
      <c r="B138" s="5" t="inlineStr">
        <is>
          <t>困ったときに相談する相手・場所はどこですか（あてはまるものすべて）</t>
        </is>
      </c>
      <c r="C138" s="5" t="inlineStr">
        <is>
          <t>医療機関</t>
        </is>
      </c>
      <c r="D138" s="26" t="n">
        <v>2</v>
      </c>
      <c r="E138" s="18">
        <f>IF($F138=0,0,D138/$F138)</f>
        <v>0.666666666666667</v>
      </c>
      <c r="F138" s="17">
        <f>$F$133</f>
        <v>3</v>
      </c>
      <c r="G138" s="4" t="inlineStr">
        <is>
          <t>複数回答</t>
        </is>
      </c>
    </row>
    <row r="139" ht="28" customHeight="1">
      <c r="A139" s="4" t="inlineStr">
        <is>
          <t>問19</t>
        </is>
      </c>
      <c r="B139" s="5" t="inlineStr">
        <is>
          <t>困ったときに相談する相手・場所はどこですか（あてはまるものすべて）</t>
        </is>
      </c>
      <c r="C139" s="5" t="inlineStr">
        <is>
          <t>学校・保育所等</t>
        </is>
      </c>
      <c r="D139" s="26" t="n">
        <v>0</v>
      </c>
      <c r="E139" s="18">
        <f>IF($F139=0,0,D139/$F139)</f>
        <v>0</v>
      </c>
      <c r="F139" s="17">
        <f>$F$133</f>
        <v>3</v>
      </c>
      <c r="G139" s="4" t="inlineStr">
        <is>
          <t>複数回答</t>
        </is>
      </c>
    </row>
    <row r="140" ht="28" customHeight="1">
      <c r="A140" s="4" t="inlineStr">
        <is>
          <t>問19</t>
        </is>
      </c>
      <c r="B140" s="5" t="inlineStr">
        <is>
          <t>困ったときに相談する相手・場所はどこですか（あてはまるものすべて）</t>
        </is>
      </c>
      <c r="C140" s="5" t="inlineStr">
        <is>
          <t>SNS・インターネット・AI</t>
        </is>
      </c>
      <c r="D140" s="26" t="n">
        <v>0</v>
      </c>
      <c r="E140" s="18">
        <f>IF($F140=0,0,D140/$F140)</f>
        <v>0</v>
      </c>
      <c r="F140" s="17">
        <f>$F$133</f>
        <v>3</v>
      </c>
      <c r="G140" s="4" t="inlineStr">
        <is>
          <t>複数回答</t>
        </is>
      </c>
    </row>
    <row r="141" ht="28" customHeight="1">
      <c r="A141" s="4" t="inlineStr">
        <is>
          <t>問19</t>
        </is>
      </c>
      <c r="B141" s="5" t="inlineStr">
        <is>
          <t>困ったときに相談する相手・場所はどこですか（あてはまるものすべて）</t>
        </is>
      </c>
      <c r="C141" s="5" t="inlineStr">
        <is>
          <t>社会福祉協議会</t>
        </is>
      </c>
      <c r="D141" s="26" t="n">
        <v>0</v>
      </c>
      <c r="E141" s="18">
        <f>IF($F141=0,0,D141/$F141)</f>
        <v>0</v>
      </c>
      <c r="F141" s="17">
        <f>$F$133</f>
        <v>3</v>
      </c>
      <c r="G141" s="4" t="inlineStr">
        <is>
          <t>複数回答</t>
        </is>
      </c>
    </row>
    <row r="142" ht="28" customHeight="1">
      <c r="A142" s="4" t="inlineStr">
        <is>
          <t>問19</t>
        </is>
      </c>
      <c r="B142" s="5" t="inlineStr">
        <is>
          <t>困ったときに相談する相手・場所はどこですか（あてはまるものすべて）</t>
        </is>
      </c>
      <c r="C142" s="5" t="inlineStr">
        <is>
          <t>民生委員・児童委員</t>
        </is>
      </c>
      <c r="D142" s="26" t="n">
        <v>0</v>
      </c>
      <c r="E142" s="18">
        <f>IF($F142=0,0,D142/$F142)</f>
        <v>0</v>
      </c>
      <c r="F142" s="17">
        <f>$F$133</f>
        <v>3</v>
      </c>
      <c r="G142" s="4" t="inlineStr">
        <is>
          <t>複数回答</t>
        </is>
      </c>
    </row>
    <row r="143" ht="28" customHeight="1">
      <c r="A143" s="4" t="inlineStr">
        <is>
          <t>問19</t>
        </is>
      </c>
      <c r="B143" s="5" t="inlineStr">
        <is>
          <t>困ったときに相談する相手・場所はどこですか（あてはまるものすべて）</t>
        </is>
      </c>
      <c r="C143" s="5" t="inlineStr">
        <is>
          <t>相談する相手がいない</t>
        </is>
      </c>
      <c r="D143" s="26" t="n">
        <v>0</v>
      </c>
      <c r="E143" s="18">
        <f>IF($F143=0,0,D143/$F143)</f>
        <v>0</v>
      </c>
      <c r="F143" s="17">
        <f>$F$133</f>
        <v>3</v>
      </c>
      <c r="G143" s="4" t="inlineStr">
        <is>
          <t>複数回答</t>
        </is>
      </c>
    </row>
    <row r="144" ht="28" customHeight="1">
      <c r="A144" s="4" t="inlineStr">
        <is>
          <t>問19</t>
        </is>
      </c>
      <c r="B144" s="5" t="inlineStr">
        <is>
          <t>困ったときに相談する相手・場所はどこですか（あてはまるものすべて）</t>
        </is>
      </c>
      <c r="C144" s="5" t="inlineStr">
        <is>
          <t>その他</t>
        </is>
      </c>
      <c r="D144" s="26" t="n">
        <v>1</v>
      </c>
      <c r="E144" s="18">
        <f>IF($F144=0,0,D144/$F144)</f>
        <v>0.333333333333333</v>
      </c>
      <c r="F144" s="17">
        <f>$F$133</f>
        <v>3</v>
      </c>
      <c r="G144" s="4" t="inlineStr">
        <is>
          <t>複数回答</t>
        </is>
      </c>
    </row>
    <row r="145" ht="28" customHeight="1">
      <c r="A145" s="4" t="inlineStr">
        <is>
          <t>問20</t>
        </is>
      </c>
      <c r="B145" s="5" t="inlineStr">
        <is>
          <t>相談しにくい、又は相談できない理由は何ですか（あてはまるものすべて）</t>
        </is>
      </c>
      <c r="C145" s="5" t="inlineStr">
        <is>
          <t>相談先がわからない</t>
        </is>
      </c>
      <c r="D145" s="26" t="n">
        <v>0</v>
      </c>
      <c r="E145" s="18">
        <f>IF($F145=0,0,D145/$F145)</f>
        <v>0</v>
      </c>
      <c r="F145" s="26" t="n">
        <v>3</v>
      </c>
      <c r="G145" s="4" t="inlineStr">
        <is>
          <t>複数回答</t>
        </is>
      </c>
    </row>
    <row r="146" ht="28" customHeight="1">
      <c r="A146" s="4" t="inlineStr">
        <is>
          <t>問20</t>
        </is>
      </c>
      <c r="B146" s="5" t="inlineStr">
        <is>
          <t>相談しにくい、又は相談できない理由は何ですか（あてはまるものすべて）</t>
        </is>
      </c>
      <c r="C146" s="5" t="inlineStr">
        <is>
          <t>身近に相談先がない</t>
        </is>
      </c>
      <c r="D146" s="26" t="n">
        <v>0</v>
      </c>
      <c r="E146" s="18">
        <f>IF($F146=0,0,D146/$F146)</f>
        <v>0</v>
      </c>
      <c r="F146" s="17">
        <f>$F$145</f>
        <v>3</v>
      </c>
      <c r="G146" s="4" t="inlineStr">
        <is>
          <t>複数回答</t>
        </is>
      </c>
    </row>
    <row r="147" ht="28" customHeight="1">
      <c r="A147" s="4" t="inlineStr">
        <is>
          <t>問20</t>
        </is>
      </c>
      <c r="B147" s="5" t="inlineStr">
        <is>
          <t>相談しにくい、又は相談できない理由は何ですか（あてはまるものすべて）</t>
        </is>
      </c>
      <c r="C147" s="5" t="inlineStr">
        <is>
          <t>何を相談してよいかわからない</t>
        </is>
      </c>
      <c r="D147" s="26" t="n">
        <v>0</v>
      </c>
      <c r="E147" s="18">
        <f>IF($F147=0,0,D147/$F147)</f>
        <v>0</v>
      </c>
      <c r="F147" s="17">
        <f>$F$145</f>
        <v>3</v>
      </c>
      <c r="G147" s="4" t="inlineStr">
        <is>
          <t>複数回答</t>
        </is>
      </c>
    </row>
    <row r="148" ht="28" customHeight="1">
      <c r="A148" s="4" t="inlineStr">
        <is>
          <t>問20</t>
        </is>
      </c>
      <c r="B148" s="5" t="inlineStr">
        <is>
          <t>相談しにくい、又は相談できない理由は何ですか（あてはまるものすべて）</t>
        </is>
      </c>
      <c r="C148" s="5" t="inlineStr">
        <is>
          <t>相談しても解決しないと思う</t>
        </is>
      </c>
      <c r="D148" s="26" t="n">
        <v>2</v>
      </c>
      <c r="E148" s="18">
        <f>IF($F148=0,0,D148/$F148)</f>
        <v>0.666666666666667</v>
      </c>
      <c r="F148" s="17">
        <f>$F$145</f>
        <v>3</v>
      </c>
      <c r="G148" s="4" t="inlineStr">
        <is>
          <t>複数回答</t>
        </is>
      </c>
    </row>
    <row r="149" ht="28" customHeight="1">
      <c r="A149" s="4" t="inlineStr">
        <is>
          <t>問20</t>
        </is>
      </c>
      <c r="B149" s="5" t="inlineStr">
        <is>
          <t>相談しにくい、又は相談できない理由は何ですか（あてはまるものすべて）</t>
        </is>
      </c>
      <c r="C149" s="5" t="inlineStr">
        <is>
          <t>交通手段がない</t>
        </is>
      </c>
      <c r="D149" s="26" t="n">
        <v>0</v>
      </c>
      <c r="E149" s="18">
        <f>IF($F149=0,0,D149/$F149)</f>
        <v>0</v>
      </c>
      <c r="F149" s="17">
        <f>$F$145</f>
        <v>3</v>
      </c>
      <c r="G149" s="4" t="inlineStr">
        <is>
          <t>複数回答</t>
        </is>
      </c>
    </row>
    <row r="150" ht="28" customHeight="1">
      <c r="A150" s="4" t="inlineStr">
        <is>
          <t>問20</t>
        </is>
      </c>
      <c r="B150" s="5" t="inlineStr">
        <is>
          <t>相談しにくい、又は相談できない理由は何ですか（あてはまるものすべて）</t>
        </is>
      </c>
      <c r="C150" s="5" t="inlineStr">
        <is>
          <t>家族が対応している</t>
        </is>
      </c>
      <c r="D150" s="26" t="n">
        <v>1</v>
      </c>
      <c r="E150" s="18">
        <f>IF($F150=0,0,D150/$F150)</f>
        <v>0.333333333333333</v>
      </c>
      <c r="F150" s="17">
        <f>$F$145</f>
        <v>3</v>
      </c>
      <c r="G150" s="4" t="inlineStr">
        <is>
          <t>複数回答</t>
        </is>
      </c>
    </row>
    <row r="151" ht="28" customHeight="1">
      <c r="A151" s="4" t="inlineStr">
        <is>
          <t>問20</t>
        </is>
      </c>
      <c r="B151" s="5" t="inlineStr">
        <is>
          <t>相談しにくい、又は相談できない理由は何ですか（あてはまるものすべて）</t>
        </is>
      </c>
      <c r="C151" s="5" t="inlineStr">
        <is>
          <t>プライバシーが不安</t>
        </is>
      </c>
      <c r="D151" s="26" t="n">
        <v>0</v>
      </c>
      <c r="E151" s="18">
        <f>IF($F151=0,0,D151/$F151)</f>
        <v>0</v>
      </c>
      <c r="F151" s="17">
        <f>$F$145</f>
        <v>3</v>
      </c>
      <c r="G151" s="4" t="inlineStr">
        <is>
          <t>複数回答</t>
        </is>
      </c>
    </row>
    <row r="152" ht="28" customHeight="1">
      <c r="A152" s="4" t="inlineStr">
        <is>
          <t>問20</t>
        </is>
      </c>
      <c r="B152" s="5" t="inlineStr">
        <is>
          <t>相談しにくい、又は相談できない理由は何ですか（あてはまるものすべて）</t>
        </is>
      </c>
      <c r="C152" s="5" t="inlineStr">
        <is>
          <t>特に困っていない</t>
        </is>
      </c>
      <c r="D152" s="26" t="n">
        <v>0</v>
      </c>
      <c r="E152" s="18">
        <f>IF($F152=0,0,D152/$F152)</f>
        <v>0</v>
      </c>
      <c r="F152" s="17">
        <f>$F$145</f>
        <v>3</v>
      </c>
      <c r="G152" s="4" t="inlineStr">
        <is>
          <t>複数回答</t>
        </is>
      </c>
    </row>
    <row r="153" ht="28" customHeight="1">
      <c r="A153" s="4" t="inlineStr">
        <is>
          <t>問20</t>
        </is>
      </c>
      <c r="B153" s="5" t="inlineStr">
        <is>
          <t>相談しにくい、又は相談できない理由は何ですか（あてはまるものすべて）</t>
        </is>
      </c>
      <c r="C153" s="5" t="inlineStr">
        <is>
          <t>その他</t>
        </is>
      </c>
      <c r="D153" s="26" t="n">
        <v>0</v>
      </c>
      <c r="E153" s="18">
        <f>IF($F153=0,0,D153/$F153)</f>
        <v>0</v>
      </c>
      <c r="F153" s="17">
        <f>$F$145</f>
        <v>3</v>
      </c>
      <c r="G153" s="4" t="inlineStr">
        <is>
          <t>複数回答</t>
        </is>
      </c>
    </row>
    <row r="154" ht="28" customHeight="1">
      <c r="A154" s="4" t="inlineStr">
        <is>
          <t>問21</t>
        </is>
      </c>
      <c r="B154" s="5" t="inlineStr">
        <is>
          <t>福祉に関する情報はどこから得ていますか（あてはまるものすべて）</t>
        </is>
      </c>
      <c r="C154" s="5" t="inlineStr">
        <is>
          <t>村広報・ホームページ</t>
        </is>
      </c>
      <c r="D154" s="26" t="n">
        <v>0</v>
      </c>
      <c r="E154" s="18">
        <f>IF($F154=0,0,D154/$F154)</f>
        <v>0</v>
      </c>
      <c r="F154" s="26" t="n">
        <v>3</v>
      </c>
      <c r="G154" s="4" t="inlineStr">
        <is>
          <t>複数回答</t>
        </is>
      </c>
    </row>
    <row r="155" ht="28" customHeight="1">
      <c r="A155" s="4" t="inlineStr">
        <is>
          <t>問21</t>
        </is>
      </c>
      <c r="B155" s="5" t="inlineStr">
        <is>
          <t>福祉に関する情報はどこから得ていますか（あてはまるものすべて）</t>
        </is>
      </c>
      <c r="C155" s="5" t="inlineStr">
        <is>
          <t>家族・知人</t>
        </is>
      </c>
      <c r="D155" s="26" t="n">
        <v>1</v>
      </c>
      <c r="E155" s="18">
        <f>IF($F155=0,0,D155/$F155)</f>
        <v>0.333333333333333</v>
      </c>
      <c r="F155" s="17">
        <f>$F$154</f>
        <v>3</v>
      </c>
      <c r="G155" s="4" t="inlineStr">
        <is>
          <t>複数回答</t>
        </is>
      </c>
    </row>
    <row r="156" ht="28" customHeight="1">
      <c r="A156" s="4" t="inlineStr">
        <is>
          <t>問21</t>
        </is>
      </c>
      <c r="B156" s="5" t="inlineStr">
        <is>
          <t>福祉に関する情報はどこから得ていますか（あてはまるものすべて）</t>
        </is>
      </c>
      <c r="C156" s="5" t="inlineStr">
        <is>
          <t>相談支援専門員</t>
        </is>
      </c>
      <c r="D156" s="26" t="n">
        <v>0</v>
      </c>
      <c r="E156" s="18">
        <f>IF($F156=0,0,D156/$F156)</f>
        <v>0</v>
      </c>
      <c r="F156" s="17">
        <f>$F$154</f>
        <v>3</v>
      </c>
      <c r="G156" s="4" t="inlineStr">
        <is>
          <t>複数回答</t>
        </is>
      </c>
    </row>
    <row r="157" ht="28" customHeight="1">
      <c r="A157" s="4" t="inlineStr">
        <is>
          <t>問21</t>
        </is>
      </c>
      <c r="B157" s="5" t="inlineStr">
        <is>
          <t>福祉に関する情報はどこから得ていますか（あてはまるものすべて）</t>
        </is>
      </c>
      <c r="C157" s="5" t="inlineStr">
        <is>
          <t>福祉サービス事業所</t>
        </is>
      </c>
      <c r="D157" s="26" t="n">
        <v>0</v>
      </c>
      <c r="E157" s="18">
        <f>IF($F157=0,0,D157/$F157)</f>
        <v>0</v>
      </c>
      <c r="F157" s="17">
        <f>$F$154</f>
        <v>3</v>
      </c>
      <c r="G157" s="4" t="inlineStr">
        <is>
          <t>複数回答</t>
        </is>
      </c>
    </row>
    <row r="158" ht="28" customHeight="1">
      <c r="A158" s="4" t="inlineStr">
        <is>
          <t>問21</t>
        </is>
      </c>
      <c r="B158" s="5" t="inlineStr">
        <is>
          <t>福祉に関する情報はどこから得ていますか（あてはまるものすべて）</t>
        </is>
      </c>
      <c r="C158" s="5" t="inlineStr">
        <is>
          <t>医療機関</t>
        </is>
      </c>
      <c r="D158" s="26" t="n">
        <v>3</v>
      </c>
      <c r="E158" s="18">
        <f>IF($F158=0,0,D158/$F158)</f>
        <v>1</v>
      </c>
      <c r="F158" s="17">
        <f>$F$154</f>
        <v>3</v>
      </c>
      <c r="G158" s="4" t="inlineStr">
        <is>
          <t>複数回答</t>
        </is>
      </c>
    </row>
    <row r="159" ht="28" customHeight="1">
      <c r="A159" s="4" t="inlineStr">
        <is>
          <t>問21</t>
        </is>
      </c>
      <c r="B159" s="5" t="inlineStr">
        <is>
          <t>福祉に関する情報はどこから得ていますか（あてはまるものすべて）</t>
        </is>
      </c>
      <c r="C159" s="5" t="inlineStr">
        <is>
          <t>学校・保育所等</t>
        </is>
      </c>
      <c r="D159" s="26" t="n">
        <v>0</v>
      </c>
      <c r="E159" s="18">
        <f>IF($F159=0,0,D159/$F159)</f>
        <v>0</v>
      </c>
      <c r="F159" s="17">
        <f>$F$154</f>
        <v>3</v>
      </c>
      <c r="G159" s="4" t="inlineStr">
        <is>
          <t>複数回答</t>
        </is>
      </c>
    </row>
    <row r="160" ht="28" customHeight="1">
      <c r="A160" s="4" t="inlineStr">
        <is>
          <t>問21</t>
        </is>
      </c>
      <c r="B160" s="5" t="inlineStr">
        <is>
          <t>福祉に関する情報はどこから得ていますか（あてはまるものすべて）</t>
        </is>
      </c>
      <c r="C160" s="5" t="inlineStr">
        <is>
          <t>SNS・インターネット・AI</t>
        </is>
      </c>
      <c r="D160" s="26" t="n">
        <v>1</v>
      </c>
      <c r="E160" s="18">
        <f>IF($F160=0,0,D160/$F160)</f>
        <v>0.333333333333333</v>
      </c>
      <c r="F160" s="17">
        <f>$F$154</f>
        <v>3</v>
      </c>
      <c r="G160" s="4" t="inlineStr">
        <is>
          <t>複数回答</t>
        </is>
      </c>
    </row>
    <row r="161" ht="28" customHeight="1">
      <c r="A161" s="4" t="inlineStr">
        <is>
          <t>問21</t>
        </is>
      </c>
      <c r="B161" s="5" t="inlineStr">
        <is>
          <t>福祉に関する情報はどこから得ていますか（あてはまるものすべて）</t>
        </is>
      </c>
      <c r="C161" s="5" t="inlineStr">
        <is>
          <t>新聞・テレビ</t>
        </is>
      </c>
      <c r="D161" s="26" t="n">
        <v>0</v>
      </c>
      <c r="E161" s="18">
        <f>IF($F161=0,0,D161/$F161)</f>
        <v>0</v>
      </c>
      <c r="F161" s="17">
        <f>$F$154</f>
        <v>3</v>
      </c>
      <c r="G161" s="4" t="inlineStr">
        <is>
          <t>複数回答</t>
        </is>
      </c>
    </row>
    <row r="162" ht="28" customHeight="1">
      <c r="A162" s="4" t="inlineStr">
        <is>
          <t>問21</t>
        </is>
      </c>
      <c r="B162" s="5" t="inlineStr">
        <is>
          <t>福祉に関する情報はどこから得ていますか（あてはまるものすべて）</t>
        </is>
      </c>
      <c r="C162" s="5" t="inlineStr">
        <is>
          <t>情報を得られていない</t>
        </is>
      </c>
      <c r="D162" s="26" t="n">
        <v>0</v>
      </c>
      <c r="E162" s="18">
        <f>IF($F162=0,0,D162/$F162)</f>
        <v>0</v>
      </c>
      <c r="F162" s="17">
        <f>$F$154</f>
        <v>3</v>
      </c>
      <c r="G162" s="4" t="inlineStr">
        <is>
          <t>複数回答</t>
        </is>
      </c>
    </row>
    <row r="163" ht="28" customHeight="1">
      <c r="A163" s="4" t="inlineStr">
        <is>
          <t>問21</t>
        </is>
      </c>
      <c r="B163" s="5" t="inlineStr">
        <is>
          <t>福祉に関する情報はどこから得ていますか（あてはまるものすべて）</t>
        </is>
      </c>
      <c r="C163" s="5" t="inlineStr">
        <is>
          <t>その他</t>
        </is>
      </c>
      <c r="D163" s="26" t="n">
        <v>0</v>
      </c>
      <c r="E163" s="18">
        <f>IF($F163=0,0,D163/$F163)</f>
        <v>0</v>
      </c>
      <c r="F163" s="17">
        <f>$F$154</f>
        <v>3</v>
      </c>
      <c r="G163" s="4" t="inlineStr">
        <is>
          <t>複数回答</t>
        </is>
      </c>
    </row>
    <row r="164" ht="28" customHeight="1">
      <c r="A164" s="4" t="inlineStr">
        <is>
          <t>問22</t>
        </is>
      </c>
      <c r="B164" s="5" t="inlineStr">
        <is>
          <t>相談支援に期待することは何ですか（あてはまるものすべて）</t>
        </is>
      </c>
      <c r="C164" s="5" t="inlineStr">
        <is>
          <t>サービス利用の相談</t>
        </is>
      </c>
      <c r="D164" s="26" t="n">
        <v>2</v>
      </c>
      <c r="E164" s="18">
        <f>IF($F164=0,0,D164/$F164)</f>
        <v>0.666666666666667</v>
      </c>
      <c r="F164" s="26" t="n">
        <v>3</v>
      </c>
      <c r="G164" s="4" t="inlineStr">
        <is>
          <t>複数回答</t>
        </is>
      </c>
    </row>
    <row r="165" ht="28" customHeight="1">
      <c r="A165" s="4" t="inlineStr">
        <is>
          <t>問22</t>
        </is>
      </c>
      <c r="B165" s="5" t="inlineStr">
        <is>
          <t>相談支援に期待することは何ですか（あてはまるものすべて）</t>
        </is>
      </c>
      <c r="C165" s="5" t="inlineStr">
        <is>
          <t>将来の暮らしの相談</t>
        </is>
      </c>
      <c r="D165" s="26" t="n">
        <v>3</v>
      </c>
      <c r="E165" s="18">
        <f>IF($F165=0,0,D165/$F165)</f>
        <v>1</v>
      </c>
      <c r="F165" s="17">
        <f>$F$164</f>
        <v>3</v>
      </c>
      <c r="G165" s="4" t="inlineStr">
        <is>
          <t>複数回答</t>
        </is>
      </c>
    </row>
    <row r="166" ht="28" customHeight="1">
      <c r="A166" s="4" t="inlineStr">
        <is>
          <t>問22</t>
        </is>
      </c>
      <c r="B166" s="5" t="inlineStr">
        <is>
          <t>相談支援に期待することは何ですか（あてはまるものすべて）</t>
        </is>
      </c>
      <c r="C166" s="5" t="inlineStr">
        <is>
          <t>日中活動の相談</t>
        </is>
      </c>
      <c r="D166" s="26" t="n">
        <v>1</v>
      </c>
      <c r="E166" s="18">
        <f>IF($F166=0,0,D166/$F166)</f>
        <v>0.333333333333333</v>
      </c>
      <c r="F166" s="17">
        <f>$F$164</f>
        <v>3</v>
      </c>
      <c r="G166" s="4" t="inlineStr">
        <is>
          <t>複数回答</t>
        </is>
      </c>
    </row>
    <row r="167" ht="28" customHeight="1">
      <c r="A167" s="4" t="inlineStr">
        <is>
          <t>問22</t>
        </is>
      </c>
      <c r="B167" s="5" t="inlineStr">
        <is>
          <t>相談支援に期待することは何ですか（あてはまるものすべて）</t>
        </is>
      </c>
      <c r="C167" s="5" t="inlineStr">
        <is>
          <t>障がい児・発達の相談</t>
        </is>
      </c>
      <c r="D167" s="26" t="n">
        <v>1</v>
      </c>
      <c r="E167" s="18">
        <f>IF($F167=0,0,D167/$F167)</f>
        <v>0.333333333333333</v>
      </c>
      <c r="F167" s="17">
        <f>$F$164</f>
        <v>3</v>
      </c>
      <c r="G167" s="4" t="inlineStr">
        <is>
          <t>複数回答</t>
        </is>
      </c>
    </row>
    <row r="168" ht="28" customHeight="1">
      <c r="A168" s="4" t="inlineStr">
        <is>
          <t>問22</t>
        </is>
      </c>
      <c r="B168" s="5" t="inlineStr">
        <is>
          <t>相談支援に期待することは何ですか（あてはまるものすべて）</t>
        </is>
      </c>
      <c r="C168" s="5" t="inlineStr">
        <is>
          <t>医療・通院の相談</t>
        </is>
      </c>
      <c r="D168" s="26" t="n">
        <v>3</v>
      </c>
      <c r="E168" s="18">
        <f>IF($F168=0,0,D168/$F168)</f>
        <v>1</v>
      </c>
      <c r="F168" s="17">
        <f>$F$164</f>
        <v>3</v>
      </c>
      <c r="G168" s="4" t="inlineStr">
        <is>
          <t>複数回答</t>
        </is>
      </c>
    </row>
    <row r="169" ht="28" customHeight="1">
      <c r="A169" s="4" t="inlineStr">
        <is>
          <t>問22</t>
        </is>
      </c>
      <c r="B169" s="5" t="inlineStr">
        <is>
          <t>相談支援に期待することは何ですか（あてはまるものすべて）</t>
        </is>
      </c>
      <c r="C169" s="5" t="inlineStr">
        <is>
          <t>家族の負担軽減</t>
        </is>
      </c>
      <c r="D169" s="26" t="n">
        <v>2</v>
      </c>
      <c r="E169" s="18">
        <f>IF($F169=0,0,D169/$F169)</f>
        <v>0.666666666666667</v>
      </c>
      <c r="F169" s="17">
        <f>$F$164</f>
        <v>3</v>
      </c>
      <c r="G169" s="4" t="inlineStr">
        <is>
          <t>複数回答</t>
        </is>
      </c>
    </row>
    <row r="170" ht="28" customHeight="1">
      <c r="A170" s="4" t="inlineStr">
        <is>
          <t>問22</t>
        </is>
      </c>
      <c r="B170" s="5" t="inlineStr">
        <is>
          <t>相談支援に期待することは何ですか（あてはまるものすべて）</t>
        </is>
      </c>
      <c r="C170" s="5" t="inlineStr">
        <is>
          <t>緊急時の相談</t>
        </is>
      </c>
      <c r="D170" s="26" t="n">
        <v>1</v>
      </c>
      <c r="E170" s="18">
        <f>IF($F170=0,0,D170/$F170)</f>
        <v>0.333333333333333</v>
      </c>
      <c r="F170" s="17">
        <f>$F$164</f>
        <v>3</v>
      </c>
      <c r="G170" s="4" t="inlineStr">
        <is>
          <t>複数回答</t>
        </is>
      </c>
    </row>
    <row r="171" ht="28" customHeight="1">
      <c r="A171" s="4" t="inlineStr">
        <is>
          <t>問22</t>
        </is>
      </c>
      <c r="B171" s="5" t="inlineStr">
        <is>
          <t>相談支援に期待することは何ですか（あてはまるものすべて）</t>
        </is>
      </c>
      <c r="C171" s="5" t="inlineStr">
        <is>
          <t>わかりやすい情報提供</t>
        </is>
      </c>
      <c r="D171" s="26" t="n">
        <v>1</v>
      </c>
      <c r="E171" s="18">
        <f>IF($F171=0,0,D171/$F171)</f>
        <v>0.333333333333333</v>
      </c>
      <c r="F171" s="17">
        <f>$F$164</f>
        <v>3</v>
      </c>
      <c r="G171" s="4" t="inlineStr">
        <is>
          <t>複数回答</t>
        </is>
      </c>
    </row>
    <row r="172" ht="28" customHeight="1">
      <c r="A172" s="4" t="inlineStr">
        <is>
          <t>問22</t>
        </is>
      </c>
      <c r="B172" s="5" t="inlineStr">
        <is>
          <t>相談支援に期待することは何ですか（あてはまるものすべて）</t>
        </is>
      </c>
      <c r="C172" s="5" t="inlineStr">
        <is>
          <t>その他</t>
        </is>
      </c>
      <c r="D172" s="26" t="n">
        <v>0</v>
      </c>
      <c r="E172" s="18">
        <f>IF($F172=0,0,D172/$F172)</f>
        <v>0</v>
      </c>
      <c r="F172" s="17">
        <f>$F$164</f>
        <v>3</v>
      </c>
      <c r="G172" s="4" t="inlineStr">
        <is>
          <t>複数回答</t>
        </is>
      </c>
    </row>
    <row r="173" ht="16" customHeight="1">
      <c r="A173" s="4" t="inlineStr">
        <is>
          <t>問23</t>
        </is>
      </c>
      <c r="B173" s="5" t="inlineStr">
        <is>
          <t>現在の通園・通学等の状況を教えてください</t>
        </is>
      </c>
      <c r="C173" s="5" t="inlineStr">
        <is>
          <t>保育所・幼稚園・認定こども園に通っている</t>
        </is>
      </c>
      <c r="D173" s="26" t="n">
        <v>0</v>
      </c>
      <c r="E173" s="18">
        <f>IF($F173=0,0,D173/$F173)</f>
        <v>0</v>
      </c>
      <c r="F173" s="26" t="n">
        <v>3</v>
      </c>
      <c r="G173" s="4" t="inlineStr">
        <is>
          <t>単一回答</t>
        </is>
      </c>
    </row>
    <row r="174" ht="16" customHeight="1">
      <c r="A174" s="4" t="inlineStr">
        <is>
          <t>問23</t>
        </is>
      </c>
      <c r="B174" s="5" t="inlineStr">
        <is>
          <t>現在の通園・通学等の状況を教えてください</t>
        </is>
      </c>
      <c r="C174" s="5" t="inlineStr">
        <is>
          <t>小学校に通っている</t>
        </is>
      </c>
      <c r="D174" s="26" t="n">
        <v>0</v>
      </c>
      <c r="E174" s="18">
        <f>IF($F174=0,0,D174/$F174)</f>
        <v>0</v>
      </c>
      <c r="F174" s="17">
        <f>$F$173</f>
        <v>3</v>
      </c>
      <c r="G174" s="4" t="inlineStr">
        <is>
          <t>単一回答</t>
        </is>
      </c>
    </row>
    <row r="175" ht="16" customHeight="1">
      <c r="A175" s="4" t="inlineStr">
        <is>
          <t>問23</t>
        </is>
      </c>
      <c r="B175" s="5" t="inlineStr">
        <is>
          <t>現在の通園・通学等の状況を教えてください</t>
        </is>
      </c>
      <c r="C175" s="5" t="inlineStr">
        <is>
          <t>中学校に通っている</t>
        </is>
      </c>
      <c r="D175" s="26" t="n">
        <v>1</v>
      </c>
      <c r="E175" s="18">
        <f>IF($F175=0,0,D175/$F175)</f>
        <v>0.333333333333333</v>
      </c>
      <c r="F175" s="17">
        <f>$F$173</f>
        <v>3</v>
      </c>
      <c r="G175" s="4" t="inlineStr">
        <is>
          <t>単一回答</t>
        </is>
      </c>
    </row>
    <row r="176" ht="16" customHeight="1">
      <c r="A176" s="4" t="inlineStr">
        <is>
          <t>問23</t>
        </is>
      </c>
      <c r="B176" s="5" t="inlineStr">
        <is>
          <t>現在の通園・通学等の状況を教えてください</t>
        </is>
      </c>
      <c r="C176" s="5" t="inlineStr">
        <is>
          <t>高等学校等に通っている</t>
        </is>
      </c>
      <c r="D176" s="26" t="n">
        <v>1</v>
      </c>
      <c r="E176" s="18">
        <f>IF($F176=0,0,D176/$F176)</f>
        <v>0.333333333333333</v>
      </c>
      <c r="F176" s="17">
        <f>$F$173</f>
        <v>3</v>
      </c>
      <c r="G176" s="4" t="inlineStr">
        <is>
          <t>単一回答</t>
        </is>
      </c>
    </row>
    <row r="177" ht="16" customHeight="1">
      <c r="A177" s="4" t="inlineStr">
        <is>
          <t>問23</t>
        </is>
      </c>
      <c r="B177" s="5" t="inlineStr">
        <is>
          <t>現在の通園・通学等の状況を教えてください</t>
        </is>
      </c>
      <c r="C177" s="5" t="inlineStr">
        <is>
          <t>特別支援学校に通っている</t>
        </is>
      </c>
      <c r="D177" s="26" t="n">
        <v>1</v>
      </c>
      <c r="E177" s="18">
        <f>IF($F177=0,0,D177/$F177)</f>
        <v>0.333333333333333</v>
      </c>
      <c r="F177" s="17">
        <f>$F$173</f>
        <v>3</v>
      </c>
      <c r="G177" s="4" t="inlineStr">
        <is>
          <t>単一回答</t>
        </is>
      </c>
    </row>
    <row r="178" ht="16" customHeight="1">
      <c r="A178" s="4" t="inlineStr">
        <is>
          <t>問23</t>
        </is>
      </c>
      <c r="B178" s="5" t="inlineStr">
        <is>
          <t>現在の通園・通学等の状況を教えてください</t>
        </is>
      </c>
      <c r="C178" s="5" t="inlineStr">
        <is>
          <t>児童発達支援を利用している</t>
        </is>
      </c>
      <c r="D178" s="26" t="n">
        <v>0</v>
      </c>
      <c r="E178" s="18">
        <f>IF($F178=0,0,D178/$F178)</f>
        <v>0</v>
      </c>
      <c r="F178" s="17">
        <f>$F$173</f>
        <v>3</v>
      </c>
      <c r="G178" s="4" t="inlineStr">
        <is>
          <t>単一回答</t>
        </is>
      </c>
    </row>
    <row r="179" ht="16" customHeight="1">
      <c r="A179" s="4" t="inlineStr">
        <is>
          <t>問23</t>
        </is>
      </c>
      <c r="B179" s="5" t="inlineStr">
        <is>
          <t>現在の通園・通学等の状況を教えてください</t>
        </is>
      </c>
      <c r="C179" s="5" t="inlineStr">
        <is>
          <t>放課後等デイサービスを利用している</t>
        </is>
      </c>
      <c r="D179" s="26" t="n">
        <v>0</v>
      </c>
      <c r="E179" s="18">
        <f>IF($F179=0,0,D179/$F179)</f>
        <v>0</v>
      </c>
      <c r="F179" s="17">
        <f>$F$173</f>
        <v>3</v>
      </c>
      <c r="G179" s="4" t="inlineStr">
        <is>
          <t>単一回答</t>
        </is>
      </c>
    </row>
    <row r="180" ht="16" customHeight="1">
      <c r="A180" s="4" t="inlineStr">
        <is>
          <t>問23</t>
        </is>
      </c>
      <c r="B180" s="5" t="inlineStr">
        <is>
          <t>現在の通園・通学等の状況を教えてください</t>
        </is>
      </c>
      <c r="C180" s="5" t="inlineStr">
        <is>
          <t>在宅で過ごしていることが多い</t>
        </is>
      </c>
      <c r="D180" s="26" t="n">
        <v>0</v>
      </c>
      <c r="E180" s="18">
        <f>IF($F180=0,0,D180/$F180)</f>
        <v>0</v>
      </c>
      <c r="F180" s="17">
        <f>$F$173</f>
        <v>3</v>
      </c>
      <c r="G180" s="4" t="inlineStr">
        <is>
          <t>単一回答</t>
        </is>
      </c>
    </row>
    <row r="181" ht="16" customHeight="1">
      <c r="A181" s="4" t="inlineStr">
        <is>
          <t>問23</t>
        </is>
      </c>
      <c r="B181" s="5" t="inlineStr">
        <is>
          <t>現在の通園・通学等の状況を教えてください</t>
        </is>
      </c>
      <c r="C181" s="5" t="inlineStr">
        <is>
          <t>その他</t>
        </is>
      </c>
      <c r="D181" s="26" t="n">
        <v>0</v>
      </c>
      <c r="E181" s="18">
        <f>IF($F181=0,0,D181/$F181)</f>
        <v>0</v>
      </c>
      <c r="F181" s="17">
        <f>$F$173</f>
        <v>3</v>
      </c>
      <c r="G181" s="4" t="inlineStr">
        <is>
          <t>単一回答</t>
        </is>
      </c>
    </row>
    <row r="182" ht="28" customHeight="1">
      <c r="A182" s="4" t="inlineStr">
        <is>
          <t>問24</t>
        </is>
      </c>
      <c r="B182" s="5" t="inlineStr">
        <is>
          <t>通園・通学や事業所利用で困っていることはありますか（あてはまるものすべて）</t>
        </is>
      </c>
      <c r="C182" s="5" t="inlineStr">
        <is>
          <t>送迎・移動手段の確保が難しい</t>
        </is>
      </c>
      <c r="D182" s="26" t="n">
        <v>3</v>
      </c>
      <c r="E182" s="18">
        <f>IF($F182=0,0,D182/$F182)</f>
        <v>1</v>
      </c>
      <c r="F182" s="26" t="n">
        <v>3</v>
      </c>
      <c r="G182" s="4" t="inlineStr">
        <is>
          <t>複数回答</t>
        </is>
      </c>
    </row>
    <row r="183" ht="28" customHeight="1">
      <c r="A183" s="4" t="inlineStr">
        <is>
          <t>問24</t>
        </is>
      </c>
      <c r="B183" s="5" t="inlineStr">
        <is>
          <t>通園・通学や事業所利用で困っていることはありますか（あてはまるものすべて）</t>
        </is>
      </c>
      <c r="C183" s="5" t="inlineStr">
        <is>
          <t>冬季の通園・通学・通所が不安</t>
        </is>
      </c>
      <c r="D183" s="26" t="n">
        <v>1</v>
      </c>
      <c r="E183" s="18">
        <f>IF($F183=0,0,D183/$F183)</f>
        <v>0.333333333333333</v>
      </c>
      <c r="F183" s="17">
        <f>$F$182</f>
        <v>3</v>
      </c>
      <c r="G183" s="4" t="inlineStr">
        <is>
          <t>複数回答</t>
        </is>
      </c>
    </row>
    <row r="184" ht="28" customHeight="1">
      <c r="A184" s="4" t="inlineStr">
        <is>
          <t>問24</t>
        </is>
      </c>
      <c r="B184" s="5" t="inlineStr">
        <is>
          <t>通園・通学や事業所利用で困っていることはありますか（あてはまるものすべて）</t>
        </is>
      </c>
      <c r="C184" s="5" t="inlineStr">
        <is>
          <t>付き添いなど家族の負担が大きい</t>
        </is>
      </c>
      <c r="D184" s="26" t="n">
        <v>3</v>
      </c>
      <c r="E184" s="18">
        <f>IF($F184=0,0,D184/$F184)</f>
        <v>1</v>
      </c>
      <c r="F184" s="17">
        <f>$F$182</f>
        <v>3</v>
      </c>
      <c r="G184" s="4" t="inlineStr">
        <is>
          <t>複数回答</t>
        </is>
      </c>
    </row>
    <row r="185" ht="28" customHeight="1">
      <c r="A185" s="4" t="inlineStr">
        <is>
          <t>問24</t>
        </is>
      </c>
      <c r="B185" s="5" t="inlineStr">
        <is>
          <t>通園・通学や事業所利用で困っていることはありますか（あてはまるものすべて）</t>
        </is>
      </c>
      <c r="C185" s="5" t="inlineStr">
        <is>
          <t>医療的ケアに対応できる場所が少ない</t>
        </is>
      </c>
      <c r="D185" s="26" t="n">
        <v>0</v>
      </c>
      <c r="E185" s="18">
        <f>IF($F185=0,0,D185/$F185)</f>
        <v>0</v>
      </c>
      <c r="F185" s="17">
        <f>$F$182</f>
        <v>3</v>
      </c>
      <c r="G185" s="4" t="inlineStr">
        <is>
          <t>複数回答</t>
        </is>
      </c>
    </row>
    <row r="186" ht="28" customHeight="1">
      <c r="A186" s="4" t="inlineStr">
        <is>
          <t>問24</t>
        </is>
      </c>
      <c r="B186" s="5" t="inlineStr">
        <is>
          <t>通園・通学や事業所利用で困っていることはありますか（あてはまるものすべて）</t>
        </is>
      </c>
      <c r="C186" s="5" t="inlineStr">
        <is>
          <t>本人に合う支援や配慮を受けにくい</t>
        </is>
      </c>
      <c r="D186" s="26" t="n">
        <v>0</v>
      </c>
      <c r="E186" s="18">
        <f>IF($F186=0,0,D186/$F186)</f>
        <v>0</v>
      </c>
      <c r="F186" s="17">
        <f>$F$182</f>
        <v>3</v>
      </c>
      <c r="G186" s="4" t="inlineStr">
        <is>
          <t>複数回答</t>
        </is>
      </c>
    </row>
    <row r="187" ht="28" customHeight="1">
      <c r="A187" s="4" t="inlineStr">
        <is>
          <t>問24</t>
        </is>
      </c>
      <c r="B187" s="5" t="inlineStr">
        <is>
          <t>通園・通学や事業所利用で困っていることはありますか（あてはまるものすべて）</t>
        </is>
      </c>
      <c r="C187" s="5" t="inlineStr">
        <is>
          <t>学校・園・事業所との情報共有が難しい</t>
        </is>
      </c>
      <c r="D187" s="26" t="n">
        <v>1</v>
      </c>
      <c r="E187" s="18">
        <f>IF($F187=0,0,D187/$F187)</f>
        <v>0.333333333333333</v>
      </c>
      <c r="F187" s="17">
        <f>$F$182</f>
        <v>3</v>
      </c>
      <c r="G187" s="4" t="inlineStr">
        <is>
          <t>複数回答</t>
        </is>
      </c>
    </row>
    <row r="188" ht="28" customHeight="1">
      <c r="A188" s="4" t="inlineStr">
        <is>
          <t>問24</t>
        </is>
      </c>
      <c r="B188" s="5" t="inlineStr">
        <is>
          <t>通園・通学や事業所利用で困っていることはありますか（あてはまるものすべて）</t>
        </is>
      </c>
      <c r="C188" s="5" t="inlineStr">
        <is>
          <t>放課後や長期休暇の過ごし方に困る</t>
        </is>
      </c>
      <c r="D188" s="26" t="n">
        <v>0</v>
      </c>
      <c r="E188" s="18">
        <f>IF($F188=0,0,D188/$F188)</f>
        <v>0</v>
      </c>
      <c r="F188" s="17">
        <f>$F$182</f>
        <v>3</v>
      </c>
      <c r="G188" s="4" t="inlineStr">
        <is>
          <t>複数回答</t>
        </is>
      </c>
    </row>
    <row r="189" ht="28" customHeight="1">
      <c r="A189" s="4" t="inlineStr">
        <is>
          <t>問24</t>
        </is>
      </c>
      <c r="B189" s="5" t="inlineStr">
        <is>
          <t>通園・通学や事業所利用で困っていることはありますか（あてはまるものすべて）</t>
        </is>
      </c>
      <c r="C189" s="5" t="inlineStr">
        <is>
          <t>相談先がわからない</t>
        </is>
      </c>
      <c r="D189" s="26" t="n">
        <v>0</v>
      </c>
      <c r="E189" s="18">
        <f>IF($F189=0,0,D189/$F189)</f>
        <v>0</v>
      </c>
      <c r="F189" s="17">
        <f>$F$182</f>
        <v>3</v>
      </c>
      <c r="G189" s="4" t="inlineStr">
        <is>
          <t>複数回答</t>
        </is>
      </c>
    </row>
    <row r="190" ht="28" customHeight="1">
      <c r="A190" s="4" t="inlineStr">
        <is>
          <t>問24</t>
        </is>
      </c>
      <c r="B190" s="5" t="inlineStr">
        <is>
          <t>通園・通学や事業所利用で困っていることはありますか（あてはまるものすべて）</t>
        </is>
      </c>
      <c r="C190" s="5" t="inlineStr">
        <is>
          <t>特にない</t>
        </is>
      </c>
      <c r="D190" s="26" t="n">
        <v>0</v>
      </c>
      <c r="E190" s="18">
        <f>IF($F190=0,0,D190/$F190)</f>
        <v>0</v>
      </c>
      <c r="F190" s="17">
        <f>$F$182</f>
        <v>3</v>
      </c>
      <c r="G190" s="4" t="inlineStr">
        <is>
          <t>複数回答</t>
        </is>
      </c>
    </row>
    <row r="191" ht="28" customHeight="1">
      <c r="A191" s="4" t="inlineStr">
        <is>
          <t>問24</t>
        </is>
      </c>
      <c r="B191" s="5" t="inlineStr">
        <is>
          <t>通園・通学や事業所利用で困っていることはありますか（あてはまるものすべて）</t>
        </is>
      </c>
      <c r="C191" s="5" t="inlineStr">
        <is>
          <t>その他</t>
        </is>
      </c>
      <c r="D191" s="26" t="n">
        <v>1</v>
      </c>
      <c r="E191" s="18">
        <f>IF($F191=0,0,D191/$F191)</f>
        <v>0.333333333333333</v>
      </c>
      <c r="F191" s="17">
        <f>$F$182</f>
        <v>3</v>
      </c>
      <c r="G191" s="4" t="inlineStr">
        <is>
          <t>複数回答</t>
        </is>
      </c>
    </row>
    <row r="192" ht="16" customHeight="1">
      <c r="A192" s="4" t="inlineStr">
        <is>
          <t>問25</t>
        </is>
      </c>
      <c r="B192" s="5" t="inlineStr">
        <is>
          <t>安心できる居場所</t>
        </is>
      </c>
      <c r="C192" s="5" t="inlineStr">
        <is>
          <t>そう思う</t>
        </is>
      </c>
      <c r="D192" s="26" t="n">
        <v>2</v>
      </c>
      <c r="E192" s="18">
        <f>IF($F192=0,0,D192/$F192)</f>
        <v>0.666666666666667</v>
      </c>
      <c r="F192" s="26" t="n">
        <v>3</v>
      </c>
      <c r="G192" s="4" t="inlineStr">
        <is>
          <t>単一回答（項目別）</t>
        </is>
      </c>
    </row>
    <row r="193" ht="16" customHeight="1">
      <c r="A193" s="4" t="inlineStr">
        <is>
          <t>問25</t>
        </is>
      </c>
      <c r="B193" s="5" t="inlineStr">
        <is>
          <t>安心できる居場所</t>
        </is>
      </c>
      <c r="C193" s="5" t="inlineStr">
        <is>
          <t>どちらかといえばそう思う</t>
        </is>
      </c>
      <c r="D193" s="26" t="n">
        <v>1</v>
      </c>
      <c r="E193" s="18">
        <f>IF($F193=0,0,D193/$F193)</f>
        <v>0.333333333333333</v>
      </c>
      <c r="F193" s="17">
        <f>$F$192</f>
        <v>3</v>
      </c>
      <c r="G193" s="4" t="inlineStr">
        <is>
          <t>単一回答（項目別）</t>
        </is>
      </c>
    </row>
    <row r="194" ht="16" customHeight="1">
      <c r="A194" s="4" t="inlineStr">
        <is>
          <t>問25</t>
        </is>
      </c>
      <c r="B194" s="5" t="inlineStr">
        <is>
          <t>安心できる居場所</t>
        </is>
      </c>
      <c r="C194" s="5" t="inlineStr">
        <is>
          <t>どちらかといえばそう思わない</t>
        </is>
      </c>
      <c r="D194" s="26" t="n">
        <v>0</v>
      </c>
      <c r="E194" s="18">
        <f>IF($F194=0,0,D194/$F194)</f>
        <v>0</v>
      </c>
      <c r="F194" s="17">
        <f>$F$192</f>
        <v>3</v>
      </c>
      <c r="G194" s="4" t="inlineStr">
        <is>
          <t>単一回答（項目別）</t>
        </is>
      </c>
    </row>
    <row r="195" ht="16" customHeight="1">
      <c r="A195" s="4" t="inlineStr">
        <is>
          <t>問25</t>
        </is>
      </c>
      <c r="B195" s="5" t="inlineStr">
        <is>
          <t>安心できる居場所</t>
        </is>
      </c>
      <c r="C195" s="5" t="inlineStr">
        <is>
          <t>そう思わない・わからない</t>
        </is>
      </c>
      <c r="D195" s="26" t="n">
        <v>0</v>
      </c>
      <c r="E195" s="18">
        <f>IF($F195=0,0,D195/$F195)</f>
        <v>0</v>
      </c>
      <c r="F195" s="17">
        <f>$F$192</f>
        <v>3</v>
      </c>
      <c r="G195" s="4" t="inlineStr">
        <is>
          <t>単一回答（項目別）</t>
        </is>
      </c>
    </row>
    <row r="196" ht="16" customHeight="1">
      <c r="A196" s="4" t="inlineStr">
        <is>
          <t>問25</t>
        </is>
      </c>
      <c r="B196" s="5" t="inlineStr">
        <is>
          <t>相談できる人</t>
        </is>
      </c>
      <c r="C196" s="5" t="inlineStr">
        <is>
          <t>そう思う</t>
        </is>
      </c>
      <c r="D196" s="26" t="n">
        <v>1</v>
      </c>
      <c r="E196" s="18">
        <f>IF($F196=0,0,D196/$F196)</f>
        <v>0.333333333333333</v>
      </c>
      <c r="F196" s="26" t="n">
        <v>3</v>
      </c>
      <c r="G196" s="4" t="inlineStr">
        <is>
          <t>単一回答（項目別）</t>
        </is>
      </c>
    </row>
    <row r="197" ht="16" customHeight="1">
      <c r="A197" s="4" t="inlineStr">
        <is>
          <t>問25</t>
        </is>
      </c>
      <c r="B197" s="5" t="inlineStr">
        <is>
          <t>相談できる人</t>
        </is>
      </c>
      <c r="C197" s="5" t="inlineStr">
        <is>
          <t>どちらかといえばそう思う</t>
        </is>
      </c>
      <c r="D197" s="26" t="n">
        <v>2</v>
      </c>
      <c r="E197" s="18">
        <f>IF($F197=0,0,D197/$F197)</f>
        <v>0.666666666666667</v>
      </c>
      <c r="F197" s="17">
        <f>$F$196</f>
        <v>3</v>
      </c>
      <c r="G197" s="4" t="inlineStr">
        <is>
          <t>単一回答（項目別）</t>
        </is>
      </c>
    </row>
    <row r="198" ht="16" customHeight="1">
      <c r="A198" s="4" t="inlineStr">
        <is>
          <t>問25</t>
        </is>
      </c>
      <c r="B198" s="5" t="inlineStr">
        <is>
          <t>相談できる人</t>
        </is>
      </c>
      <c r="C198" s="5" t="inlineStr">
        <is>
          <t>どちらかといえばそう思わない</t>
        </is>
      </c>
      <c r="D198" s="26" t="n">
        <v>0</v>
      </c>
      <c r="E198" s="18">
        <f>IF($F198=0,0,D198/$F198)</f>
        <v>0</v>
      </c>
      <c r="F198" s="17">
        <f>$F$196</f>
        <v>3</v>
      </c>
      <c r="G198" s="4" t="inlineStr">
        <is>
          <t>単一回答（項目別）</t>
        </is>
      </c>
    </row>
    <row r="199" ht="16" customHeight="1">
      <c r="A199" s="4" t="inlineStr">
        <is>
          <t>問25</t>
        </is>
      </c>
      <c r="B199" s="5" t="inlineStr">
        <is>
          <t>相談できる人</t>
        </is>
      </c>
      <c r="C199" s="5" t="inlineStr">
        <is>
          <t>そう思わない・わからない</t>
        </is>
      </c>
      <c r="D199" s="26" t="n">
        <v>0</v>
      </c>
      <c r="E199" s="18">
        <f>IF($F199=0,0,D199/$F199)</f>
        <v>0</v>
      </c>
      <c r="F199" s="17">
        <f>$F$196</f>
        <v>3</v>
      </c>
      <c r="G199" s="4" t="inlineStr">
        <is>
          <t>単一回答（項目別）</t>
        </is>
      </c>
    </row>
    <row r="200" ht="16" customHeight="1">
      <c r="A200" s="4" t="inlineStr">
        <is>
          <t>問25</t>
        </is>
      </c>
      <c r="B200" s="5" t="inlineStr">
        <is>
          <t>友人・地域との関わり</t>
        </is>
      </c>
      <c r="C200" s="5" t="inlineStr">
        <is>
          <t>そう思う</t>
        </is>
      </c>
      <c r="D200" s="26" t="n">
        <v>1</v>
      </c>
      <c r="E200" s="18">
        <f>IF($F200=0,0,D200/$F200)</f>
        <v>0.333333333333333</v>
      </c>
      <c r="F200" s="26" t="n">
        <v>3</v>
      </c>
      <c r="G200" s="4" t="inlineStr">
        <is>
          <t>単一回答（項目別）</t>
        </is>
      </c>
    </row>
    <row r="201" ht="16" customHeight="1">
      <c r="A201" s="4" t="inlineStr">
        <is>
          <t>問25</t>
        </is>
      </c>
      <c r="B201" s="5" t="inlineStr">
        <is>
          <t>友人・地域との関わり</t>
        </is>
      </c>
      <c r="C201" s="5" t="inlineStr">
        <is>
          <t>どちらかといえばそう思う</t>
        </is>
      </c>
      <c r="D201" s="26" t="n">
        <v>2</v>
      </c>
      <c r="E201" s="18">
        <f>IF($F201=0,0,D201/$F201)</f>
        <v>0.666666666666667</v>
      </c>
      <c r="F201" s="17">
        <f>$F$200</f>
        <v>3</v>
      </c>
      <c r="G201" s="4" t="inlineStr">
        <is>
          <t>単一回答（項目別）</t>
        </is>
      </c>
    </row>
    <row r="202" ht="16" customHeight="1">
      <c r="A202" s="4" t="inlineStr">
        <is>
          <t>問25</t>
        </is>
      </c>
      <c r="B202" s="5" t="inlineStr">
        <is>
          <t>友人・地域との関わり</t>
        </is>
      </c>
      <c r="C202" s="5" t="inlineStr">
        <is>
          <t>どちらかといえばそう思わない</t>
        </is>
      </c>
      <c r="D202" s="26" t="n">
        <v>0</v>
      </c>
      <c r="E202" s="18">
        <f>IF($F202=0,0,D202/$F202)</f>
        <v>0</v>
      </c>
      <c r="F202" s="17">
        <f>$F$200</f>
        <v>3</v>
      </c>
      <c r="G202" s="4" t="inlineStr">
        <is>
          <t>単一回答（項目別）</t>
        </is>
      </c>
    </row>
    <row r="203" ht="16" customHeight="1">
      <c r="A203" s="4" t="inlineStr">
        <is>
          <t>問25</t>
        </is>
      </c>
      <c r="B203" s="5" t="inlineStr">
        <is>
          <t>友人・地域との関わり</t>
        </is>
      </c>
      <c r="C203" s="5" t="inlineStr">
        <is>
          <t>そう思わない・わからない</t>
        </is>
      </c>
      <c r="D203" s="26" t="n">
        <v>0</v>
      </c>
      <c r="E203" s="18">
        <f>IF($F203=0,0,D203/$F203)</f>
        <v>0</v>
      </c>
      <c r="F203" s="17">
        <f>$F$200</f>
        <v>3</v>
      </c>
      <c r="G203" s="4" t="inlineStr">
        <is>
          <t>単一回答（項目別）</t>
        </is>
      </c>
    </row>
    <row r="204" ht="16" customHeight="1">
      <c r="A204" s="4" t="inlineStr">
        <is>
          <t>問25</t>
        </is>
      </c>
      <c r="B204" s="5" t="inlineStr">
        <is>
          <t>意思の尊重</t>
        </is>
      </c>
      <c r="C204" s="5" t="inlineStr">
        <is>
          <t>そう思う</t>
        </is>
      </c>
      <c r="D204" s="26" t="n">
        <v>0</v>
      </c>
      <c r="E204" s="18">
        <f>IF($F204=0,0,D204/$F204)</f>
        <v>0</v>
      </c>
      <c r="F204" s="26" t="n">
        <v>3</v>
      </c>
      <c r="G204" s="4" t="inlineStr">
        <is>
          <t>単一回答（項目別）</t>
        </is>
      </c>
    </row>
    <row r="205" ht="16" customHeight="1">
      <c r="A205" s="4" t="inlineStr">
        <is>
          <t>問25</t>
        </is>
      </c>
      <c r="B205" s="5" t="inlineStr">
        <is>
          <t>意思の尊重</t>
        </is>
      </c>
      <c r="C205" s="5" t="inlineStr">
        <is>
          <t>どちらかといえばそう思う</t>
        </is>
      </c>
      <c r="D205" s="26" t="n">
        <v>2</v>
      </c>
      <c r="E205" s="18">
        <f>IF($F205=0,0,D205/$F205)</f>
        <v>0.666666666666667</v>
      </c>
      <c r="F205" s="17">
        <f>$F$204</f>
        <v>3</v>
      </c>
      <c r="G205" s="4" t="inlineStr">
        <is>
          <t>単一回答（項目別）</t>
        </is>
      </c>
    </row>
    <row r="206" ht="16" customHeight="1">
      <c r="A206" s="4" t="inlineStr">
        <is>
          <t>問25</t>
        </is>
      </c>
      <c r="B206" s="5" t="inlineStr">
        <is>
          <t>意思の尊重</t>
        </is>
      </c>
      <c r="C206" s="5" t="inlineStr">
        <is>
          <t>どちらかといえばそう思わない</t>
        </is>
      </c>
      <c r="D206" s="26" t="n">
        <v>1</v>
      </c>
      <c r="E206" s="18">
        <f>IF($F206=0,0,D206/$F206)</f>
        <v>0.333333333333333</v>
      </c>
      <c r="F206" s="17">
        <f>$F$204</f>
        <v>3</v>
      </c>
      <c r="G206" s="4" t="inlineStr">
        <is>
          <t>単一回答（項目別）</t>
        </is>
      </c>
    </row>
    <row r="207" ht="16" customHeight="1">
      <c r="A207" s="4" t="inlineStr">
        <is>
          <t>問25</t>
        </is>
      </c>
      <c r="B207" s="5" t="inlineStr">
        <is>
          <t>意思の尊重</t>
        </is>
      </c>
      <c r="C207" s="5" t="inlineStr">
        <is>
          <t>そう思わない・わからない</t>
        </is>
      </c>
      <c r="D207" s="26" t="n">
        <v>0</v>
      </c>
      <c r="E207" s="18">
        <f>IF($F207=0,0,D207/$F207)</f>
        <v>0</v>
      </c>
      <c r="F207" s="17">
        <f>$F$204</f>
        <v>3</v>
      </c>
      <c r="G207" s="4" t="inlineStr">
        <is>
          <t>単一回答（項目別）</t>
        </is>
      </c>
    </row>
    <row r="208" ht="16" customHeight="1">
      <c r="A208" s="4" t="inlineStr">
        <is>
          <t>問25</t>
        </is>
      </c>
      <c r="B208" s="5" t="inlineStr">
        <is>
          <t>家族の負担感</t>
        </is>
      </c>
      <c r="C208" s="5" t="inlineStr">
        <is>
          <t>そう思う</t>
        </is>
      </c>
      <c r="D208" s="26" t="n">
        <v>3</v>
      </c>
      <c r="E208" s="18">
        <f>IF($F208=0,0,D208/$F208)</f>
        <v>1</v>
      </c>
      <c r="F208" s="26" t="n">
        <v>3</v>
      </c>
      <c r="G208" s="4" t="inlineStr">
        <is>
          <t>単一回答（項目別）</t>
        </is>
      </c>
    </row>
    <row r="209" ht="16" customHeight="1">
      <c r="A209" s="4" t="inlineStr">
        <is>
          <t>問25</t>
        </is>
      </c>
      <c r="B209" s="5" t="inlineStr">
        <is>
          <t>家族の負担感</t>
        </is>
      </c>
      <c r="C209" s="5" t="inlineStr">
        <is>
          <t>どちらかといえばそう思う</t>
        </is>
      </c>
      <c r="D209" s="26" t="n">
        <v>0</v>
      </c>
      <c r="E209" s="18">
        <f>IF($F209=0,0,D209/$F209)</f>
        <v>0</v>
      </c>
      <c r="F209" s="17">
        <f>$F$208</f>
        <v>3</v>
      </c>
      <c r="G209" s="4" t="inlineStr">
        <is>
          <t>単一回答（項目別）</t>
        </is>
      </c>
    </row>
    <row r="210" ht="16" customHeight="1">
      <c r="A210" s="4" t="inlineStr">
        <is>
          <t>問25</t>
        </is>
      </c>
      <c r="B210" s="5" t="inlineStr">
        <is>
          <t>家族の負担感</t>
        </is>
      </c>
      <c r="C210" s="5" t="inlineStr">
        <is>
          <t>どちらかといえばそう思わない</t>
        </is>
      </c>
      <c r="D210" s="26" t="n">
        <v>0</v>
      </c>
      <c r="E210" s="18">
        <f>IF($F210=0,0,D210/$F210)</f>
        <v>0</v>
      </c>
      <c r="F210" s="17">
        <f>$F$208</f>
        <v>3</v>
      </c>
      <c r="G210" s="4" t="inlineStr">
        <is>
          <t>単一回答（項目別）</t>
        </is>
      </c>
    </row>
    <row r="211" ht="16" customHeight="1">
      <c r="A211" s="4" t="inlineStr">
        <is>
          <t>問25</t>
        </is>
      </c>
      <c r="B211" s="5" t="inlineStr">
        <is>
          <t>家族の負担感</t>
        </is>
      </c>
      <c r="C211" s="5" t="inlineStr">
        <is>
          <t>そう思わない・わからない</t>
        </is>
      </c>
      <c r="D211" s="26" t="n">
        <v>0</v>
      </c>
      <c r="E211" s="18">
        <f>IF($F211=0,0,D211/$F211)</f>
        <v>0</v>
      </c>
      <c r="F211" s="17">
        <f>$F$208</f>
        <v>3</v>
      </c>
      <c r="G211" s="4" t="inlineStr">
        <is>
          <t>単一回答（項目別）</t>
        </is>
      </c>
    </row>
    <row r="212" ht="28" customHeight="1">
      <c r="A212" s="4" t="inlineStr">
        <is>
          <t>問26</t>
        </is>
      </c>
      <c r="B212" s="5" t="inlineStr">
        <is>
          <t>現在必要な医療的ケアや健康面の支援はありますか（あてはまるものすべて）</t>
        </is>
      </c>
      <c r="C212" s="5" t="inlineStr">
        <is>
          <t>経管栄養</t>
        </is>
      </c>
      <c r="D212" s="26" t="n">
        <v>1</v>
      </c>
      <c r="E212" s="18">
        <f>IF($F212=0,0,D212/$F212)</f>
        <v>0.333333333333333</v>
      </c>
      <c r="F212" s="26" t="n">
        <v>3</v>
      </c>
      <c r="G212" s="4" t="inlineStr">
        <is>
          <t>複数回答</t>
        </is>
      </c>
    </row>
    <row r="213" ht="28" customHeight="1">
      <c r="A213" s="4" t="inlineStr">
        <is>
          <t>問26</t>
        </is>
      </c>
      <c r="B213" s="5" t="inlineStr">
        <is>
          <t>現在必要な医療的ケアや健康面の支援はありますか（あてはまるものすべて）</t>
        </is>
      </c>
      <c r="C213" s="5" t="inlineStr">
        <is>
          <t>たんの吸引</t>
        </is>
      </c>
      <c r="D213" s="26" t="n">
        <v>0</v>
      </c>
      <c r="E213" s="18">
        <f>IF($F213=0,0,D213/$F213)</f>
        <v>0</v>
      </c>
      <c r="F213" s="17">
        <f>$F$212</f>
        <v>3</v>
      </c>
      <c r="G213" s="4" t="inlineStr">
        <is>
          <t>複数回答</t>
        </is>
      </c>
    </row>
    <row r="214" ht="28" customHeight="1">
      <c r="A214" s="4" t="inlineStr">
        <is>
          <t>問26</t>
        </is>
      </c>
      <c r="B214" s="5" t="inlineStr">
        <is>
          <t>現在必要な医療的ケアや健康面の支援はありますか（あてはまるものすべて）</t>
        </is>
      </c>
      <c r="C214" s="5" t="inlineStr">
        <is>
          <t>酸素療法</t>
        </is>
      </c>
      <c r="D214" s="26" t="n">
        <v>1</v>
      </c>
      <c r="E214" s="18">
        <f>IF($F214=0,0,D214/$F214)</f>
        <v>0.333333333333333</v>
      </c>
      <c r="F214" s="17">
        <f>$F$212</f>
        <v>3</v>
      </c>
      <c r="G214" s="4" t="inlineStr">
        <is>
          <t>複数回答</t>
        </is>
      </c>
    </row>
    <row r="215" ht="28" customHeight="1">
      <c r="A215" s="4" t="inlineStr">
        <is>
          <t>問26</t>
        </is>
      </c>
      <c r="B215" s="5" t="inlineStr">
        <is>
          <t>現在必要な医療的ケアや健康面の支援はありますか（あてはまるものすべて）</t>
        </is>
      </c>
      <c r="C215" s="5" t="inlineStr">
        <is>
          <t>人工呼吸器の管理</t>
        </is>
      </c>
      <c r="D215" s="26" t="n">
        <v>0</v>
      </c>
      <c r="E215" s="18">
        <f>IF($F215=0,0,D215/$F215)</f>
        <v>0</v>
      </c>
      <c r="F215" s="17">
        <f>$F$212</f>
        <v>3</v>
      </c>
      <c r="G215" s="4" t="inlineStr">
        <is>
          <t>複数回答</t>
        </is>
      </c>
    </row>
    <row r="216" ht="28" customHeight="1">
      <c r="A216" s="4" t="inlineStr">
        <is>
          <t>問26</t>
        </is>
      </c>
      <c r="B216" s="5" t="inlineStr">
        <is>
          <t>現在必要な医療的ケアや健康面の支援はありますか（あてはまるものすべて）</t>
        </is>
      </c>
      <c r="C216" s="5" t="inlineStr">
        <is>
          <t>気管切開部の管理</t>
        </is>
      </c>
      <c r="D216" s="26" t="n">
        <v>0</v>
      </c>
      <c r="E216" s="18">
        <f>IF($F216=0,0,D216/$F216)</f>
        <v>0</v>
      </c>
      <c r="F216" s="17">
        <f>$F$212</f>
        <v>3</v>
      </c>
      <c r="G216" s="4" t="inlineStr">
        <is>
          <t>複数回答</t>
        </is>
      </c>
    </row>
    <row r="217" ht="28" customHeight="1">
      <c r="A217" s="4" t="inlineStr">
        <is>
          <t>問26</t>
        </is>
      </c>
      <c r="B217" s="5" t="inlineStr">
        <is>
          <t>現在必要な医療的ケアや健康面の支援はありますか（あてはまるものすべて）</t>
        </is>
      </c>
      <c r="C217" s="5" t="inlineStr">
        <is>
          <t>導尿</t>
        </is>
      </c>
      <c r="D217" s="26" t="n">
        <v>0</v>
      </c>
      <c r="E217" s="18">
        <f>IF($F217=0,0,D217/$F217)</f>
        <v>0</v>
      </c>
      <c r="F217" s="17">
        <f>$F$212</f>
        <v>3</v>
      </c>
      <c r="G217" s="4" t="inlineStr">
        <is>
          <t>複数回答</t>
        </is>
      </c>
    </row>
    <row r="218" ht="28" customHeight="1">
      <c r="A218" s="4" t="inlineStr">
        <is>
          <t>問26</t>
        </is>
      </c>
      <c r="B218" s="5" t="inlineStr">
        <is>
          <t>現在必要な医療的ケアや健康面の支援はありますか（あてはまるものすべて）</t>
        </is>
      </c>
      <c r="C218" s="5" t="inlineStr">
        <is>
          <t>インスリン注射・血糖管理</t>
        </is>
      </c>
      <c r="D218" s="26" t="n">
        <v>0</v>
      </c>
      <c r="E218" s="18">
        <f>IF($F218=0,0,D218/$F218)</f>
        <v>0</v>
      </c>
      <c r="F218" s="17">
        <f>$F$212</f>
        <v>3</v>
      </c>
      <c r="G218" s="4" t="inlineStr">
        <is>
          <t>複数回答</t>
        </is>
      </c>
    </row>
    <row r="219" ht="28" customHeight="1">
      <c r="A219" s="4" t="inlineStr">
        <is>
          <t>問26</t>
        </is>
      </c>
      <c r="B219" s="5" t="inlineStr">
        <is>
          <t>現在必要な医療的ケアや健康面の支援はありますか（あてはまるものすべて）</t>
        </is>
      </c>
      <c r="C219" s="5" t="inlineStr">
        <is>
          <t>服薬管理</t>
        </is>
      </c>
      <c r="D219" s="26" t="n">
        <v>1</v>
      </c>
      <c r="E219" s="18">
        <f>IF($F219=0,0,D219/$F219)</f>
        <v>0.333333333333333</v>
      </c>
      <c r="F219" s="17">
        <f>$F$212</f>
        <v>3</v>
      </c>
      <c r="G219" s="4" t="inlineStr">
        <is>
          <t>複数回答</t>
        </is>
      </c>
    </row>
    <row r="220" ht="28" customHeight="1">
      <c r="A220" s="4" t="inlineStr">
        <is>
          <t>問26</t>
        </is>
      </c>
      <c r="B220" s="5" t="inlineStr">
        <is>
          <t>現在必要な医療的ケアや健康面の支援はありますか（あてはまるものすべて）</t>
        </is>
      </c>
      <c r="C220" s="5" t="inlineStr">
        <is>
          <t>発作時の対応</t>
        </is>
      </c>
      <c r="D220" s="26" t="n">
        <v>2</v>
      </c>
      <c r="E220" s="18">
        <f>IF($F220=0,0,D220/$F220)</f>
        <v>0.666666666666667</v>
      </c>
      <c r="F220" s="17">
        <f>$F$212</f>
        <v>3</v>
      </c>
      <c r="G220" s="4" t="inlineStr">
        <is>
          <t>複数回答</t>
        </is>
      </c>
    </row>
    <row r="221" ht="28" customHeight="1">
      <c r="A221" s="4" t="inlineStr">
        <is>
          <t>問26</t>
        </is>
      </c>
      <c r="B221" s="5" t="inlineStr">
        <is>
          <t>現在必要な医療的ケアや健康面の支援はありますか（あてはまるものすべて）</t>
        </is>
      </c>
      <c r="C221" s="5" t="inlineStr">
        <is>
          <t>医療的ケアは必要ない</t>
        </is>
      </c>
      <c r="D221" s="26" t="n">
        <v>1</v>
      </c>
      <c r="E221" s="18">
        <f>IF($F221=0,0,D221/$F221)</f>
        <v>0.333333333333333</v>
      </c>
      <c r="F221" s="17">
        <f>$F$212</f>
        <v>3</v>
      </c>
      <c r="G221" s="4" t="inlineStr">
        <is>
          <t>複数回答</t>
        </is>
      </c>
    </row>
    <row r="222" ht="28" customHeight="1">
      <c r="A222" s="4" t="inlineStr">
        <is>
          <t>問26</t>
        </is>
      </c>
      <c r="B222" s="5" t="inlineStr">
        <is>
          <t>現在必要な医療的ケアや健康面の支援はありますか（あてはまるものすべて）</t>
        </is>
      </c>
      <c r="C222" s="5" t="inlineStr">
        <is>
          <t>その他の医療的ケア</t>
        </is>
      </c>
      <c r="D222" s="26" t="n">
        <v>0</v>
      </c>
      <c r="E222" s="18">
        <f>IF($F222=0,0,D222/$F222)</f>
        <v>0</v>
      </c>
      <c r="F222" s="17">
        <f>$F$212</f>
        <v>3</v>
      </c>
      <c r="G222" s="4" t="inlineStr">
        <is>
          <t>複数回答</t>
        </is>
      </c>
    </row>
    <row r="223" ht="28" customHeight="1">
      <c r="A223" s="4" t="inlineStr">
        <is>
          <t>問27</t>
        </is>
      </c>
      <c r="B223" s="5" t="inlineStr">
        <is>
          <t>現在利用しているサービスを選んでください（あてはまるものすべて）</t>
        </is>
      </c>
      <c r="C223" s="5" t="inlineStr">
        <is>
          <t>児童発達支援</t>
        </is>
      </c>
      <c r="D223" s="26" t="n">
        <v>0</v>
      </c>
      <c r="E223" s="18">
        <f>IF($F223=0,0,D223/$F223)</f>
        <v>0</v>
      </c>
      <c r="F223" s="26" t="n">
        <v>3</v>
      </c>
      <c r="G223" s="4" t="inlineStr">
        <is>
          <t>複数回答</t>
        </is>
      </c>
    </row>
    <row r="224" ht="28" customHeight="1">
      <c r="A224" s="4" t="inlineStr">
        <is>
          <t>問27</t>
        </is>
      </c>
      <c r="B224" s="5" t="inlineStr">
        <is>
          <t>現在利用しているサービスを選んでください（あてはまるものすべて）</t>
        </is>
      </c>
      <c r="C224" s="5" t="inlineStr">
        <is>
          <t>放課後等デイサービス</t>
        </is>
      </c>
      <c r="D224" s="26" t="n">
        <v>2</v>
      </c>
      <c r="E224" s="18">
        <f>IF($F224=0,0,D224/$F224)</f>
        <v>0.666666666666667</v>
      </c>
      <c r="F224" s="17">
        <f>$F$223</f>
        <v>3</v>
      </c>
      <c r="G224" s="4" t="inlineStr">
        <is>
          <t>複数回答</t>
        </is>
      </c>
    </row>
    <row r="225" ht="28" customHeight="1">
      <c r="A225" s="4" t="inlineStr">
        <is>
          <t>問27</t>
        </is>
      </c>
      <c r="B225" s="5" t="inlineStr">
        <is>
          <t>現在利用しているサービスを選んでください（あてはまるものすべて）</t>
        </is>
      </c>
      <c r="C225" s="5" t="inlineStr">
        <is>
          <t>保育所等訪問支援</t>
        </is>
      </c>
      <c r="D225" s="26" t="n">
        <v>0</v>
      </c>
      <c r="E225" s="18">
        <f>IF($F225=0,0,D225/$F225)</f>
        <v>0</v>
      </c>
      <c r="F225" s="17">
        <f>$F$223</f>
        <v>3</v>
      </c>
      <c r="G225" s="4" t="inlineStr">
        <is>
          <t>複数回答</t>
        </is>
      </c>
    </row>
    <row r="226" ht="28" customHeight="1">
      <c r="A226" s="4" t="inlineStr">
        <is>
          <t>問27</t>
        </is>
      </c>
      <c r="B226" s="5" t="inlineStr">
        <is>
          <t>現在利用しているサービスを選んでください（あてはまるものすべて）</t>
        </is>
      </c>
      <c r="C226" s="5" t="inlineStr">
        <is>
          <t>居宅訪問型児童発達支援</t>
        </is>
      </c>
      <c r="D226" s="26" t="n">
        <v>0</v>
      </c>
      <c r="E226" s="18">
        <f>IF($F226=0,0,D226/$F226)</f>
        <v>0</v>
      </c>
      <c r="F226" s="17">
        <f>$F$223</f>
        <v>3</v>
      </c>
      <c r="G226" s="4" t="inlineStr">
        <is>
          <t>複数回答</t>
        </is>
      </c>
    </row>
    <row r="227" ht="28" customHeight="1">
      <c r="A227" s="4" t="inlineStr">
        <is>
          <t>問27</t>
        </is>
      </c>
      <c r="B227" s="5" t="inlineStr">
        <is>
          <t>現在利用しているサービスを選んでください（あてはまるものすべて）</t>
        </is>
      </c>
      <c r="C227" s="5" t="inlineStr">
        <is>
          <t>障がい児相談支援</t>
        </is>
      </c>
      <c r="D227" s="26" t="n">
        <v>1</v>
      </c>
      <c r="E227" s="18">
        <f>IF($F227=0,0,D227/$F227)</f>
        <v>0.333333333333333</v>
      </c>
      <c r="F227" s="17">
        <f>$F$223</f>
        <v>3</v>
      </c>
      <c r="G227" s="4" t="inlineStr">
        <is>
          <t>複数回答</t>
        </is>
      </c>
    </row>
    <row r="228" ht="28" customHeight="1">
      <c r="A228" s="4" t="inlineStr">
        <is>
          <t>問27</t>
        </is>
      </c>
      <c r="B228" s="5" t="inlineStr">
        <is>
          <t>現在利用しているサービスを選んでください（あてはまるものすべて）</t>
        </is>
      </c>
      <c r="C228" s="5" t="inlineStr">
        <is>
          <t>短期入所（ショートステイ）</t>
        </is>
      </c>
      <c r="D228" s="26" t="n">
        <v>1</v>
      </c>
      <c r="E228" s="18">
        <f>IF($F228=0,0,D228/$F228)</f>
        <v>0.333333333333333</v>
      </c>
      <c r="F228" s="17">
        <f>$F$223</f>
        <v>3</v>
      </c>
      <c r="G228" s="4" t="inlineStr">
        <is>
          <t>複数回答</t>
        </is>
      </c>
    </row>
    <row r="229" ht="28" customHeight="1">
      <c r="A229" s="4" t="inlineStr">
        <is>
          <t>問27</t>
        </is>
      </c>
      <c r="B229" s="5" t="inlineStr">
        <is>
          <t>現在利用しているサービスを選んでください（あてはまるものすべて）</t>
        </is>
      </c>
      <c r="C229" s="5" t="inlineStr">
        <is>
          <t>日中一時支援</t>
        </is>
      </c>
      <c r="D229" s="26" t="n">
        <v>0</v>
      </c>
      <c r="E229" s="18">
        <f>IF($F229=0,0,D229/$F229)</f>
        <v>0</v>
      </c>
      <c r="F229" s="17">
        <f>$F$223</f>
        <v>3</v>
      </c>
      <c r="G229" s="4" t="inlineStr">
        <is>
          <t>複数回答</t>
        </is>
      </c>
    </row>
    <row r="230" ht="28" customHeight="1">
      <c r="A230" s="4" t="inlineStr">
        <is>
          <t>問27</t>
        </is>
      </c>
      <c r="B230" s="5" t="inlineStr">
        <is>
          <t>現在利用しているサービスを選んでください（あてはまるものすべて）</t>
        </is>
      </c>
      <c r="C230" s="5" t="inlineStr">
        <is>
          <t>移動支援</t>
        </is>
      </c>
      <c r="D230" s="26" t="n">
        <v>0</v>
      </c>
      <c r="E230" s="18">
        <f>IF($F230=0,0,D230/$F230)</f>
        <v>0</v>
      </c>
      <c r="F230" s="17">
        <f>$F$223</f>
        <v>3</v>
      </c>
      <c r="G230" s="4" t="inlineStr">
        <is>
          <t>複数回答</t>
        </is>
      </c>
    </row>
    <row r="231" ht="28" customHeight="1">
      <c r="A231" s="4" t="inlineStr">
        <is>
          <t>問27</t>
        </is>
      </c>
      <c r="B231" s="5" t="inlineStr">
        <is>
          <t>現在利用しているサービスを選んでください（あてはまるものすべて）</t>
        </is>
      </c>
      <c r="C231" s="5" t="inlineStr">
        <is>
          <t>日常生活用具の給付</t>
        </is>
      </c>
      <c r="D231" s="26" t="n">
        <v>0</v>
      </c>
      <c r="E231" s="18">
        <f>IF($F231=0,0,D231/$F231)</f>
        <v>0</v>
      </c>
      <c r="F231" s="17">
        <f>$F$223</f>
        <v>3</v>
      </c>
      <c r="G231" s="4" t="inlineStr">
        <is>
          <t>複数回答</t>
        </is>
      </c>
    </row>
    <row r="232" ht="28" customHeight="1">
      <c r="A232" s="4" t="inlineStr">
        <is>
          <t>問27</t>
        </is>
      </c>
      <c r="B232" s="5" t="inlineStr">
        <is>
          <t>現在利用しているサービスを選んでください（あてはまるものすべて）</t>
        </is>
      </c>
      <c r="C232" s="5" t="inlineStr">
        <is>
          <t>現在利用しているサービスは特にない</t>
        </is>
      </c>
      <c r="D232" s="26" t="n">
        <v>1</v>
      </c>
      <c r="E232" s="18">
        <f>IF($F232=0,0,D232/$F232)</f>
        <v>0.333333333333333</v>
      </c>
      <c r="F232" s="17">
        <f>$F$223</f>
        <v>3</v>
      </c>
      <c r="G232" s="4" t="inlineStr">
        <is>
          <t>複数回答</t>
        </is>
      </c>
    </row>
    <row r="233" ht="28" customHeight="1">
      <c r="A233" s="4" t="inlineStr">
        <is>
          <t>問27</t>
        </is>
      </c>
      <c r="B233" s="5" t="inlineStr">
        <is>
          <t>現在利用しているサービスを選んでください（あてはまるものすべて）</t>
        </is>
      </c>
      <c r="C233" s="5" t="inlineStr">
        <is>
          <t>その他</t>
        </is>
      </c>
      <c r="D233" s="26" t="n">
        <v>0</v>
      </c>
      <c r="E233" s="18">
        <f>IF($F233=0,0,D233/$F233)</f>
        <v>0</v>
      </c>
      <c r="F233" s="17">
        <f>$F$223</f>
        <v>3</v>
      </c>
      <c r="G233" s="4" t="inlineStr">
        <is>
          <t>複数回答</t>
        </is>
      </c>
    </row>
    <row r="234" ht="28" customHeight="1">
      <c r="A234" s="4" t="inlineStr">
        <is>
          <t>問28</t>
        </is>
      </c>
      <c r="B234" s="5" t="inlineStr">
        <is>
          <t>内容をよく知らないサービスがあれば選んでください（あてはまるものすべて）</t>
        </is>
      </c>
      <c r="C234" s="5" t="inlineStr">
        <is>
          <t>児童発達支援</t>
        </is>
      </c>
      <c r="D234" s="26" t="n">
        <v>1</v>
      </c>
      <c r="E234" s="18">
        <f>IF($F234=0,0,D234/$F234)</f>
        <v>0.333333333333333</v>
      </c>
      <c r="F234" s="26" t="n">
        <v>3</v>
      </c>
      <c r="G234" s="4" t="inlineStr">
        <is>
          <t>複数回答</t>
        </is>
      </c>
    </row>
    <row r="235" ht="28" customHeight="1">
      <c r="A235" s="4" t="inlineStr">
        <is>
          <t>問28</t>
        </is>
      </c>
      <c r="B235" s="5" t="inlineStr">
        <is>
          <t>内容をよく知らないサービスがあれば選んでください（あてはまるものすべて）</t>
        </is>
      </c>
      <c r="C235" s="5" t="inlineStr">
        <is>
          <t>放課後等デイサービス</t>
        </is>
      </c>
      <c r="D235" s="26" t="n">
        <v>1</v>
      </c>
      <c r="E235" s="18">
        <f>IF($F235=0,0,D235/$F235)</f>
        <v>0.333333333333333</v>
      </c>
      <c r="F235" s="17">
        <f>$F$234</f>
        <v>3</v>
      </c>
      <c r="G235" s="4" t="inlineStr">
        <is>
          <t>複数回答</t>
        </is>
      </c>
    </row>
    <row r="236" ht="28" customHeight="1">
      <c r="A236" s="4" t="inlineStr">
        <is>
          <t>問28</t>
        </is>
      </c>
      <c r="B236" s="5" t="inlineStr">
        <is>
          <t>内容をよく知らないサービスがあれば選んでください（あてはまるものすべて）</t>
        </is>
      </c>
      <c r="C236" s="5" t="inlineStr">
        <is>
          <t>保育所等訪問支援</t>
        </is>
      </c>
      <c r="D236" s="26" t="n">
        <v>1</v>
      </c>
      <c r="E236" s="18">
        <f>IF($F236=0,0,D236/$F236)</f>
        <v>0.333333333333333</v>
      </c>
      <c r="F236" s="17">
        <f>$F$234</f>
        <v>3</v>
      </c>
      <c r="G236" s="4" t="inlineStr">
        <is>
          <t>複数回答</t>
        </is>
      </c>
    </row>
    <row r="237" ht="28" customHeight="1">
      <c r="A237" s="4" t="inlineStr">
        <is>
          <t>問28</t>
        </is>
      </c>
      <c r="B237" s="5" t="inlineStr">
        <is>
          <t>内容をよく知らないサービスがあれば選んでください（あてはまるものすべて）</t>
        </is>
      </c>
      <c r="C237" s="5" t="inlineStr">
        <is>
          <t>居宅訪問型児童発達支援</t>
        </is>
      </c>
      <c r="D237" s="26" t="n">
        <v>2</v>
      </c>
      <c r="E237" s="18">
        <f>IF($F237=0,0,D237/$F237)</f>
        <v>0.666666666666667</v>
      </c>
      <c r="F237" s="17">
        <f>$F$234</f>
        <v>3</v>
      </c>
      <c r="G237" s="4" t="inlineStr">
        <is>
          <t>複数回答</t>
        </is>
      </c>
    </row>
    <row r="238" ht="28" customHeight="1">
      <c r="A238" s="4" t="inlineStr">
        <is>
          <t>問28</t>
        </is>
      </c>
      <c r="B238" s="5" t="inlineStr">
        <is>
          <t>内容をよく知らないサービスがあれば選んでください（あてはまるものすべて）</t>
        </is>
      </c>
      <c r="C238" s="5" t="inlineStr">
        <is>
          <t>障がい児相談支援</t>
        </is>
      </c>
      <c r="D238" s="26" t="n">
        <v>1</v>
      </c>
      <c r="E238" s="18">
        <f>IF($F238=0,0,D238/$F238)</f>
        <v>0.333333333333333</v>
      </c>
      <c r="F238" s="17">
        <f>$F$234</f>
        <v>3</v>
      </c>
      <c r="G238" s="4" t="inlineStr">
        <is>
          <t>複数回答</t>
        </is>
      </c>
    </row>
    <row r="239" ht="28" customHeight="1">
      <c r="A239" s="4" t="inlineStr">
        <is>
          <t>問28</t>
        </is>
      </c>
      <c r="B239" s="5" t="inlineStr">
        <is>
          <t>内容をよく知らないサービスがあれば選んでください（あてはまるものすべて）</t>
        </is>
      </c>
      <c r="C239" s="5" t="inlineStr">
        <is>
          <t>短期入所（ショートステイ）</t>
        </is>
      </c>
      <c r="D239" s="26" t="n">
        <v>1</v>
      </c>
      <c r="E239" s="18">
        <f>IF($F239=0,0,D239/$F239)</f>
        <v>0.333333333333333</v>
      </c>
      <c r="F239" s="17">
        <f>$F$234</f>
        <v>3</v>
      </c>
      <c r="G239" s="4" t="inlineStr">
        <is>
          <t>複数回答</t>
        </is>
      </c>
    </row>
    <row r="240" ht="28" customHeight="1">
      <c r="A240" s="4" t="inlineStr">
        <is>
          <t>問28</t>
        </is>
      </c>
      <c r="B240" s="5" t="inlineStr">
        <is>
          <t>内容をよく知らないサービスがあれば選んでください（あてはまるものすべて）</t>
        </is>
      </c>
      <c r="C240" s="5" t="inlineStr">
        <is>
          <t>日中一時支援</t>
        </is>
      </c>
      <c r="D240" s="26" t="n">
        <v>1</v>
      </c>
      <c r="E240" s="18">
        <f>IF($F240=0,0,D240/$F240)</f>
        <v>0.333333333333333</v>
      </c>
      <c r="F240" s="17">
        <f>$F$234</f>
        <v>3</v>
      </c>
      <c r="G240" s="4" t="inlineStr">
        <is>
          <t>複数回答</t>
        </is>
      </c>
    </row>
    <row r="241" ht="28" customHeight="1">
      <c r="A241" s="4" t="inlineStr">
        <is>
          <t>問28</t>
        </is>
      </c>
      <c r="B241" s="5" t="inlineStr">
        <is>
          <t>内容をよく知らないサービスがあれば選んでください（あてはまるものすべて）</t>
        </is>
      </c>
      <c r="C241" s="5" t="inlineStr">
        <is>
          <t>移動支援</t>
        </is>
      </c>
      <c r="D241" s="26" t="n">
        <v>3</v>
      </c>
      <c r="E241" s="18">
        <f>IF($F241=0,0,D241/$F241)</f>
        <v>1</v>
      </c>
      <c r="F241" s="17">
        <f>$F$234</f>
        <v>3</v>
      </c>
      <c r="G241" s="4" t="inlineStr">
        <is>
          <t>複数回答</t>
        </is>
      </c>
    </row>
    <row r="242" ht="28" customHeight="1">
      <c r="A242" s="4" t="inlineStr">
        <is>
          <t>問28</t>
        </is>
      </c>
      <c r="B242" s="5" t="inlineStr">
        <is>
          <t>内容をよく知らないサービスがあれば選んでください（あてはまるものすべて）</t>
        </is>
      </c>
      <c r="C242" s="5" t="inlineStr">
        <is>
          <t>日常生活用具の給付</t>
        </is>
      </c>
      <c r="D242" s="26" t="n">
        <v>3</v>
      </c>
      <c r="E242" s="18">
        <f>IF($F242=0,0,D242/$F242)</f>
        <v>1</v>
      </c>
      <c r="F242" s="17">
        <f>$F$234</f>
        <v>3</v>
      </c>
      <c r="G242" s="4" t="inlineStr">
        <is>
          <t>複数回答</t>
        </is>
      </c>
    </row>
    <row r="243" ht="28" customHeight="1">
      <c r="A243" s="4" t="inlineStr">
        <is>
          <t>問28</t>
        </is>
      </c>
      <c r="B243" s="5" t="inlineStr">
        <is>
          <t>内容をよく知らないサービスがあれば選んでください（あてはまるものすべて）</t>
        </is>
      </c>
      <c r="C243" s="5" t="inlineStr">
        <is>
          <t>知っている</t>
        </is>
      </c>
      <c r="D243" s="26" t="n">
        <v>0</v>
      </c>
      <c r="E243" s="18">
        <f>IF($F243=0,0,D243/$F243)</f>
        <v>0</v>
      </c>
      <c r="F243" s="17">
        <f>$F$234</f>
        <v>3</v>
      </c>
      <c r="G243" s="4" t="inlineStr">
        <is>
          <t>複数回答</t>
        </is>
      </c>
    </row>
    <row r="244" ht="28" customHeight="1">
      <c r="A244" s="4" t="inlineStr">
        <is>
          <t>問29</t>
        </is>
      </c>
      <c r="B244" s="5" t="inlineStr">
        <is>
          <t>今後3年間で利用したい、または利用を続けたいサービスを選んでください（あてはまるものすべて）</t>
        </is>
      </c>
      <c r="C244" s="5" t="inlineStr">
        <is>
          <t>児童発達支援</t>
        </is>
      </c>
      <c r="D244" s="26" t="n">
        <v>0</v>
      </c>
      <c r="E244" s="18">
        <f>IF($F244=0,0,D244/$F244)</f>
        <v>0</v>
      </c>
      <c r="F244" s="26" t="n">
        <v>3</v>
      </c>
      <c r="G244" s="4" t="inlineStr">
        <is>
          <t>複数回答</t>
        </is>
      </c>
    </row>
    <row r="245" ht="28" customHeight="1">
      <c r="A245" s="4" t="inlineStr">
        <is>
          <t>問29</t>
        </is>
      </c>
      <c r="B245" s="5" t="inlineStr">
        <is>
          <t>今後3年間で利用したい、または利用を続けたいサービスを選んでください（あてはまるものすべて）</t>
        </is>
      </c>
      <c r="C245" s="5" t="inlineStr">
        <is>
          <t>放課後等デイサービス</t>
        </is>
      </c>
      <c r="D245" s="26" t="n">
        <v>1</v>
      </c>
      <c r="E245" s="18">
        <f>IF($F245=0,0,D245/$F245)</f>
        <v>0.333333333333333</v>
      </c>
      <c r="F245" s="17">
        <f>$F$244</f>
        <v>3</v>
      </c>
      <c r="G245" s="4" t="inlineStr">
        <is>
          <t>複数回答</t>
        </is>
      </c>
    </row>
    <row r="246" ht="28" customHeight="1">
      <c r="A246" s="4" t="inlineStr">
        <is>
          <t>問29</t>
        </is>
      </c>
      <c r="B246" s="5" t="inlineStr">
        <is>
          <t>今後3年間で利用したい、または利用を続けたいサービスを選んでください（あてはまるものすべて）</t>
        </is>
      </c>
      <c r="C246" s="5" t="inlineStr">
        <is>
          <t>保育所等訪問支援</t>
        </is>
      </c>
      <c r="D246" s="26" t="n">
        <v>0</v>
      </c>
      <c r="E246" s="18">
        <f>IF($F246=0,0,D246/$F246)</f>
        <v>0</v>
      </c>
      <c r="F246" s="17">
        <f>$F$244</f>
        <v>3</v>
      </c>
      <c r="G246" s="4" t="inlineStr">
        <is>
          <t>複数回答</t>
        </is>
      </c>
    </row>
    <row r="247" ht="28" customHeight="1">
      <c r="A247" s="4" t="inlineStr">
        <is>
          <t>問29</t>
        </is>
      </c>
      <c r="B247" s="5" t="inlineStr">
        <is>
          <t>今後3年間で利用したい、または利用を続けたいサービスを選んでください（あてはまるものすべて）</t>
        </is>
      </c>
      <c r="C247" s="5" t="inlineStr">
        <is>
          <t>居宅訪問型児童発達支援</t>
        </is>
      </c>
      <c r="D247" s="26" t="n">
        <v>0</v>
      </c>
      <c r="E247" s="18">
        <f>IF($F247=0,0,D247/$F247)</f>
        <v>0</v>
      </c>
      <c r="F247" s="17">
        <f>$F$244</f>
        <v>3</v>
      </c>
      <c r="G247" s="4" t="inlineStr">
        <is>
          <t>複数回答</t>
        </is>
      </c>
    </row>
    <row r="248" ht="28" customHeight="1">
      <c r="A248" s="4" t="inlineStr">
        <is>
          <t>問29</t>
        </is>
      </c>
      <c r="B248" s="5" t="inlineStr">
        <is>
          <t>今後3年間で利用したい、または利用を続けたいサービスを選んでください（あてはまるものすべて）</t>
        </is>
      </c>
      <c r="C248" s="5" t="inlineStr">
        <is>
          <t>障がい児相談支援</t>
        </is>
      </c>
      <c r="D248" s="26" t="n">
        <v>2</v>
      </c>
      <c r="E248" s="18">
        <f>IF($F248=0,0,D248/$F248)</f>
        <v>0.666666666666667</v>
      </c>
      <c r="F248" s="17">
        <f>$F$244</f>
        <v>3</v>
      </c>
      <c r="G248" s="4" t="inlineStr">
        <is>
          <t>複数回答</t>
        </is>
      </c>
    </row>
    <row r="249" ht="28" customHeight="1">
      <c r="A249" s="4" t="inlineStr">
        <is>
          <t>問29</t>
        </is>
      </c>
      <c r="B249" s="5" t="inlineStr">
        <is>
          <t>今後3年間で利用したい、または利用を続けたいサービスを選んでください（あてはまるものすべて）</t>
        </is>
      </c>
      <c r="C249" s="5" t="inlineStr">
        <is>
          <t>短期入所（ショートステイ）</t>
        </is>
      </c>
      <c r="D249" s="26" t="n">
        <v>1</v>
      </c>
      <c r="E249" s="18">
        <f>IF($F249=0,0,D249/$F249)</f>
        <v>0.333333333333333</v>
      </c>
      <c r="F249" s="17">
        <f>$F$244</f>
        <v>3</v>
      </c>
      <c r="G249" s="4" t="inlineStr">
        <is>
          <t>複数回答</t>
        </is>
      </c>
    </row>
    <row r="250" ht="28" customHeight="1">
      <c r="A250" s="4" t="inlineStr">
        <is>
          <t>問29</t>
        </is>
      </c>
      <c r="B250" s="5" t="inlineStr">
        <is>
          <t>今後3年間で利用したい、または利用を続けたいサービスを選んでください（あてはまるものすべて）</t>
        </is>
      </c>
      <c r="C250" s="5" t="inlineStr">
        <is>
          <t>日中一時支援</t>
        </is>
      </c>
      <c r="D250" s="26" t="n">
        <v>0</v>
      </c>
      <c r="E250" s="18">
        <f>IF($F250=0,0,D250/$F250)</f>
        <v>0</v>
      </c>
      <c r="F250" s="17">
        <f>$F$244</f>
        <v>3</v>
      </c>
      <c r="G250" s="4" t="inlineStr">
        <is>
          <t>複数回答</t>
        </is>
      </c>
    </row>
    <row r="251" ht="28" customHeight="1">
      <c r="A251" s="4" t="inlineStr">
        <is>
          <t>問29</t>
        </is>
      </c>
      <c r="B251" s="5" t="inlineStr">
        <is>
          <t>今後3年間で利用したい、または利用を続けたいサービスを選んでください（あてはまるものすべて）</t>
        </is>
      </c>
      <c r="C251" s="5" t="inlineStr">
        <is>
          <t>移動支援</t>
        </is>
      </c>
      <c r="D251" s="26" t="n">
        <v>3</v>
      </c>
      <c r="E251" s="18">
        <f>IF($F251=0,0,D251/$F251)</f>
        <v>1</v>
      </c>
      <c r="F251" s="17">
        <f>$F$244</f>
        <v>3</v>
      </c>
      <c r="G251" s="4" t="inlineStr">
        <is>
          <t>複数回答</t>
        </is>
      </c>
    </row>
    <row r="252" ht="28" customHeight="1">
      <c r="A252" s="4" t="inlineStr">
        <is>
          <t>問29</t>
        </is>
      </c>
      <c r="B252" s="5" t="inlineStr">
        <is>
          <t>今後3年間で利用したい、または利用を続けたいサービスを選んでください（あてはまるものすべて）</t>
        </is>
      </c>
      <c r="C252" s="5" t="inlineStr">
        <is>
          <t>日常生活用具の給付</t>
        </is>
      </c>
      <c r="D252" s="26" t="n">
        <v>1</v>
      </c>
      <c r="E252" s="18">
        <f>IF($F252=0,0,D252/$F252)</f>
        <v>0.333333333333333</v>
      </c>
      <c r="F252" s="17">
        <f>$F$244</f>
        <v>3</v>
      </c>
      <c r="G252" s="4" t="inlineStr">
        <is>
          <t>複数回答</t>
        </is>
      </c>
    </row>
    <row r="253" ht="28" customHeight="1">
      <c r="A253" s="4" t="inlineStr">
        <is>
          <t>問29</t>
        </is>
      </c>
      <c r="B253" s="5" t="inlineStr">
        <is>
          <t>今後3年間で利用したい、または利用を続けたいサービスを選んでください（あてはまるものすべて）</t>
        </is>
      </c>
      <c r="C253" s="5" t="inlineStr">
        <is>
          <t>利用したいサービスは特にない</t>
        </is>
      </c>
      <c r="D253" s="26" t="n">
        <v>0</v>
      </c>
      <c r="E253" s="18">
        <f>IF($F253=0,0,D253/$F253)</f>
        <v>0</v>
      </c>
      <c r="F253" s="17">
        <f>$F$244</f>
        <v>3</v>
      </c>
      <c r="G253" s="4" t="inlineStr">
        <is>
          <t>複数回答</t>
        </is>
      </c>
    </row>
    <row r="254" ht="28" customHeight="1">
      <c r="A254" s="4" t="inlineStr">
        <is>
          <t>問29</t>
        </is>
      </c>
      <c r="B254" s="5" t="inlineStr">
        <is>
          <t>今後3年間で利用したい、または利用を続けたいサービスを選んでください（あてはまるものすべて）</t>
        </is>
      </c>
      <c r="C254" s="5" t="inlineStr">
        <is>
          <t>その他</t>
        </is>
      </c>
      <c r="D254" s="26" t="n">
        <v>0</v>
      </c>
      <c r="E254" s="18">
        <f>IF($F254=0,0,D254/$F254)</f>
        <v>0</v>
      </c>
      <c r="F254" s="17">
        <f>$F$244</f>
        <v>3</v>
      </c>
      <c r="G254" s="4" t="inlineStr">
        <is>
          <t>複数回答</t>
        </is>
      </c>
    </row>
    <row r="255" ht="16" customHeight="1">
      <c r="A255" s="4" t="inlineStr">
        <is>
          <t>問30</t>
        </is>
      </c>
      <c r="B255" s="5" t="inlineStr">
        <is>
          <t>今利用している福祉サービスに満足していますか</t>
        </is>
      </c>
      <c r="C255" s="5" t="inlineStr">
        <is>
          <t>満足している</t>
        </is>
      </c>
      <c r="D255" s="26" t="n">
        <v>0</v>
      </c>
      <c r="E255" s="18">
        <f>IF($F255=0,0,D255/$F255)</f>
        <v>0</v>
      </c>
      <c r="F255" s="26" t="n">
        <v>3</v>
      </c>
      <c r="G255" s="4" t="inlineStr">
        <is>
          <t>単一回答</t>
        </is>
      </c>
    </row>
    <row r="256" ht="16" customHeight="1">
      <c r="A256" s="4" t="inlineStr">
        <is>
          <t>問30</t>
        </is>
      </c>
      <c r="B256" s="5" t="inlineStr">
        <is>
          <t>今利用している福祉サービスに満足していますか</t>
        </is>
      </c>
      <c r="C256" s="5" t="inlineStr">
        <is>
          <t>適切なサービスがわからない</t>
        </is>
      </c>
      <c r="D256" s="26" t="n">
        <v>0</v>
      </c>
      <c r="E256" s="18">
        <f>IF($F256=0,0,D256/$F256)</f>
        <v>0</v>
      </c>
      <c r="F256" s="17">
        <f>$F$255</f>
        <v>3</v>
      </c>
      <c r="G256" s="4" t="inlineStr">
        <is>
          <t>単一回答</t>
        </is>
      </c>
    </row>
    <row r="257" ht="16" customHeight="1">
      <c r="A257" s="4" t="inlineStr">
        <is>
          <t>問30</t>
        </is>
      </c>
      <c r="B257" s="5" t="inlineStr">
        <is>
          <t>今利用している福祉サービスに満足していますか</t>
        </is>
      </c>
      <c r="C257" s="5" t="inlineStr">
        <is>
          <t>サービスの量が足りない</t>
        </is>
      </c>
      <c r="D257" s="26" t="n">
        <v>1</v>
      </c>
      <c r="E257" s="18">
        <f>IF($F257=0,0,D257/$F257)</f>
        <v>0.333333333333333</v>
      </c>
      <c r="F257" s="17">
        <f>$F$255</f>
        <v>3</v>
      </c>
      <c r="G257" s="4" t="inlineStr">
        <is>
          <t>単一回答</t>
        </is>
      </c>
    </row>
    <row r="258" ht="16" customHeight="1">
      <c r="A258" s="4" t="inlineStr">
        <is>
          <t>問30</t>
        </is>
      </c>
      <c r="B258" s="5" t="inlineStr">
        <is>
          <t>今利用している福祉サービスに満足していますか</t>
        </is>
      </c>
      <c r="C258" s="5" t="inlineStr">
        <is>
          <t>サービスの質がよくない</t>
        </is>
      </c>
      <c r="D258" s="26" t="n">
        <v>0</v>
      </c>
      <c r="E258" s="18">
        <f>IF($F258=0,0,D258/$F258)</f>
        <v>0</v>
      </c>
      <c r="F258" s="17">
        <f>$F$255</f>
        <v>3</v>
      </c>
      <c r="G258" s="4" t="inlineStr">
        <is>
          <t>単一回答</t>
        </is>
      </c>
    </row>
    <row r="259" ht="16" customHeight="1">
      <c r="A259" s="4" t="inlineStr">
        <is>
          <t>問30</t>
        </is>
      </c>
      <c r="B259" s="5" t="inlineStr">
        <is>
          <t>今利用している福祉サービスに満足していますか</t>
        </is>
      </c>
      <c r="C259" s="5" t="inlineStr">
        <is>
          <t>利用できる事業所が少ない</t>
        </is>
      </c>
      <c r="D259" s="26" t="n">
        <v>1</v>
      </c>
      <c r="E259" s="18">
        <f>IF($F259=0,0,D259/$F259)</f>
        <v>0.333333333333333</v>
      </c>
      <c r="F259" s="17">
        <f>$F$255</f>
        <v>3</v>
      </c>
      <c r="G259" s="4" t="inlineStr">
        <is>
          <t>単一回答</t>
        </is>
      </c>
    </row>
    <row r="260" ht="16" customHeight="1">
      <c r="A260" s="4" t="inlineStr">
        <is>
          <t>問30</t>
        </is>
      </c>
      <c r="B260" s="5" t="inlineStr">
        <is>
          <t>今利用している福祉サービスに満足していますか</t>
        </is>
      </c>
      <c r="C260" s="5" t="inlineStr">
        <is>
          <t>サービスの使い方がわからない</t>
        </is>
      </c>
      <c r="D260" s="26" t="n">
        <v>0</v>
      </c>
      <c r="E260" s="18">
        <f>IF($F260=0,0,D260/$F260)</f>
        <v>0</v>
      </c>
      <c r="F260" s="17">
        <f>$F$255</f>
        <v>3</v>
      </c>
      <c r="G260" s="4" t="inlineStr">
        <is>
          <t>単一回答</t>
        </is>
      </c>
    </row>
    <row r="261" ht="16" customHeight="1">
      <c r="A261" s="4" t="inlineStr">
        <is>
          <t>問30</t>
        </is>
      </c>
      <c r="B261" s="5" t="inlineStr">
        <is>
          <t>今利用している福祉サービスに満足していますか</t>
        </is>
      </c>
      <c r="C261" s="5" t="inlineStr">
        <is>
          <t>利用していない</t>
        </is>
      </c>
      <c r="D261" s="26" t="n">
        <v>1</v>
      </c>
      <c r="E261" s="18">
        <f>IF($F261=0,0,D261/$F261)</f>
        <v>0.333333333333333</v>
      </c>
      <c r="F261" s="17">
        <f>$F$255</f>
        <v>3</v>
      </c>
      <c r="G261" s="4" t="inlineStr">
        <is>
          <t>単一回答</t>
        </is>
      </c>
    </row>
    <row r="262" ht="28" customHeight="1">
      <c r="A262" s="4" t="inlineStr">
        <is>
          <t>問31</t>
        </is>
      </c>
      <c r="B262" s="5" t="inlineStr">
        <is>
          <t>放課後や長期休暇中の過ごし方で困っていることはありますか（あてはまるものすべて）</t>
        </is>
      </c>
      <c r="C262" s="5" t="inlineStr">
        <is>
          <t>利用できる場所が少ない</t>
        </is>
      </c>
      <c r="D262" s="26" t="n">
        <v>2</v>
      </c>
      <c r="E262" s="18">
        <f>IF($F262=0,0,D262/$F262)</f>
        <v>0.666666666666667</v>
      </c>
      <c r="F262" s="26" t="n">
        <v>3</v>
      </c>
      <c r="G262" s="4" t="inlineStr">
        <is>
          <t>複数回答</t>
        </is>
      </c>
    </row>
    <row r="263" ht="28" customHeight="1">
      <c r="A263" s="4" t="inlineStr">
        <is>
          <t>問31</t>
        </is>
      </c>
      <c r="B263" s="5" t="inlineStr">
        <is>
          <t>放課後や長期休暇中の過ごし方で困っていることはありますか（あてはまるものすべて）</t>
        </is>
      </c>
      <c r="C263" s="5" t="inlineStr">
        <is>
          <t>送迎がない</t>
        </is>
      </c>
      <c r="D263" s="26" t="n">
        <v>2</v>
      </c>
      <c r="E263" s="18">
        <f>IF($F263=0,0,D263/$F263)</f>
        <v>0.666666666666667</v>
      </c>
      <c r="F263" s="17">
        <f>$F$262</f>
        <v>3</v>
      </c>
      <c r="G263" s="4" t="inlineStr">
        <is>
          <t>複数回答</t>
        </is>
      </c>
    </row>
    <row r="264" ht="28" customHeight="1">
      <c r="A264" s="4" t="inlineStr">
        <is>
          <t>問31</t>
        </is>
      </c>
      <c r="B264" s="5" t="inlineStr">
        <is>
          <t>放課後や長期休暇中の過ごし方で困っていることはありますか（あてはまるものすべて）</t>
        </is>
      </c>
      <c r="C264" s="5" t="inlineStr">
        <is>
          <t>医療的ケアに対応できる場所が少ない</t>
        </is>
      </c>
      <c r="D264" s="26" t="n">
        <v>1</v>
      </c>
      <c r="E264" s="18">
        <f>IF($F264=0,0,D264/$F264)</f>
        <v>0.333333333333333</v>
      </c>
      <c r="F264" s="17">
        <f>$F$262</f>
        <v>3</v>
      </c>
      <c r="G264" s="4" t="inlineStr">
        <is>
          <t>複数回答</t>
        </is>
      </c>
    </row>
    <row r="265" ht="28" customHeight="1">
      <c r="A265" s="4" t="inlineStr">
        <is>
          <t>問31</t>
        </is>
      </c>
      <c r="B265" s="5" t="inlineStr">
        <is>
          <t>放課後や長期休暇中の過ごし方で困っていることはありますか（あてはまるものすべて）</t>
        </is>
      </c>
      <c r="C265" s="5" t="inlineStr">
        <is>
          <t>長期休暇の過ごし方に困る</t>
        </is>
      </c>
      <c r="D265" s="26" t="n">
        <v>1</v>
      </c>
      <c r="E265" s="18">
        <f>IF($F265=0,0,D265/$F265)</f>
        <v>0.333333333333333</v>
      </c>
      <c r="F265" s="17">
        <f>$F$262</f>
        <v>3</v>
      </c>
      <c r="G265" s="4" t="inlineStr">
        <is>
          <t>複数回答</t>
        </is>
      </c>
    </row>
    <row r="266" ht="28" customHeight="1">
      <c r="A266" s="4" t="inlineStr">
        <is>
          <t>問31</t>
        </is>
      </c>
      <c r="B266" s="5" t="inlineStr">
        <is>
          <t>放課後や長期休暇中の過ごし方で困っていることはありますか（あてはまるものすべて）</t>
        </is>
      </c>
      <c r="C266" s="5" t="inlineStr">
        <is>
          <t>家族への負担が大きい</t>
        </is>
      </c>
      <c r="D266" s="26" t="n">
        <v>1</v>
      </c>
      <c r="E266" s="18">
        <f>IF($F266=0,0,D266/$F266)</f>
        <v>0.333333333333333</v>
      </c>
      <c r="F266" s="17">
        <f>$F$262</f>
        <v>3</v>
      </c>
      <c r="G266" s="4" t="inlineStr">
        <is>
          <t>複数回答</t>
        </is>
      </c>
    </row>
    <row r="267" ht="28" customHeight="1">
      <c r="A267" s="4" t="inlineStr">
        <is>
          <t>問31</t>
        </is>
      </c>
      <c r="B267" s="5" t="inlineStr">
        <is>
          <t>放課後や長期休暇中の過ごし方で困っていることはありますか（あてはまるものすべて）</t>
        </is>
      </c>
      <c r="C267" s="5" t="inlineStr">
        <is>
          <t>相談先がない</t>
        </is>
      </c>
      <c r="D267" s="26" t="n">
        <v>0</v>
      </c>
      <c r="E267" s="18">
        <f>IF($F267=0,0,D267/$F267)</f>
        <v>0</v>
      </c>
      <c r="F267" s="17">
        <f>$F$262</f>
        <v>3</v>
      </c>
      <c r="G267" s="4" t="inlineStr">
        <is>
          <t>複数回答</t>
        </is>
      </c>
    </row>
    <row r="268" ht="28" customHeight="1">
      <c r="A268" s="4" t="inlineStr">
        <is>
          <t>問31</t>
        </is>
      </c>
      <c r="B268" s="5" t="inlineStr">
        <is>
          <t>放課後や長期休暇中の過ごし方で困っていることはありますか（あてはまるものすべて）</t>
        </is>
      </c>
      <c r="C268" s="5" t="inlineStr">
        <is>
          <t>費用負担が心配</t>
        </is>
      </c>
      <c r="D268" s="26" t="n">
        <v>1</v>
      </c>
      <c r="E268" s="18">
        <f>IF($F268=0,0,D268/$F268)</f>
        <v>0.333333333333333</v>
      </c>
      <c r="F268" s="17">
        <f>$F$262</f>
        <v>3</v>
      </c>
      <c r="G268" s="4" t="inlineStr">
        <is>
          <t>複数回答</t>
        </is>
      </c>
    </row>
    <row r="269" ht="28" customHeight="1">
      <c r="A269" s="4" t="inlineStr">
        <is>
          <t>問31</t>
        </is>
      </c>
      <c r="B269" s="5" t="inlineStr">
        <is>
          <t>放課後や長期休暇中の過ごし方で困っていることはありますか（あてはまるものすべて）</t>
        </is>
      </c>
      <c r="C269" s="5" t="inlineStr">
        <is>
          <t>特に困っていない</t>
        </is>
      </c>
      <c r="D269" s="26" t="n">
        <v>0</v>
      </c>
      <c r="E269" s="18">
        <f>IF($F269=0,0,D269/$F269)</f>
        <v>0</v>
      </c>
      <c r="F269" s="17">
        <f>$F$262</f>
        <v>3</v>
      </c>
      <c r="G269" s="4" t="inlineStr">
        <is>
          <t>複数回答</t>
        </is>
      </c>
    </row>
    <row r="270" ht="28" customHeight="1">
      <c r="A270" s="4" t="inlineStr">
        <is>
          <t>問31</t>
        </is>
      </c>
      <c r="B270" s="5" t="inlineStr">
        <is>
          <t>放課後や長期休暇中の過ごし方で困っていることはありますか（あてはまるものすべて）</t>
        </is>
      </c>
      <c r="C270" s="5" t="inlineStr">
        <is>
          <t>その他</t>
        </is>
      </c>
      <c r="D270" s="26" t="n">
        <v>0</v>
      </c>
      <c r="E270" s="18">
        <f>IF($F270=0,0,D270/$F270)</f>
        <v>0</v>
      </c>
      <c r="F270" s="17">
        <f>$F$262</f>
        <v>3</v>
      </c>
      <c r="G270" s="4" t="inlineStr">
        <is>
          <t>複数回答</t>
        </is>
      </c>
    </row>
    <row r="271" ht="28" customHeight="1">
      <c r="A271" s="4" t="inlineStr">
        <is>
          <t>問32</t>
        </is>
      </c>
      <c r="B271" s="5" t="inlineStr">
        <is>
          <t>18歳以降のことで不安なことはありますか（あてはまるものすべて）</t>
        </is>
      </c>
      <c r="C271" s="5" t="inlineStr">
        <is>
          <t>進学先・就労先</t>
        </is>
      </c>
      <c r="D271" s="26" t="n">
        <v>3</v>
      </c>
      <c r="E271" s="18">
        <f>IF($F271=0,0,D271/$F271)</f>
        <v>1</v>
      </c>
      <c r="F271" s="26" t="n">
        <v>3</v>
      </c>
      <c r="G271" s="4" t="inlineStr">
        <is>
          <t>複数回答</t>
        </is>
      </c>
    </row>
    <row r="272" ht="28" customHeight="1">
      <c r="A272" s="4" t="inlineStr">
        <is>
          <t>問32</t>
        </is>
      </c>
      <c r="B272" s="5" t="inlineStr">
        <is>
          <t>18歳以降のことで不安なことはありますか（あてはまるものすべて）</t>
        </is>
      </c>
      <c r="C272" s="5" t="inlineStr">
        <is>
          <t>生活介護や就労継続支援A型等の通所先</t>
        </is>
      </c>
      <c r="D272" s="26" t="n">
        <v>1</v>
      </c>
      <c r="E272" s="18">
        <f>IF($F272=0,0,D272/$F272)</f>
        <v>0.333333333333333</v>
      </c>
      <c r="F272" s="17">
        <f>$F$271</f>
        <v>3</v>
      </c>
      <c r="G272" s="4" t="inlineStr">
        <is>
          <t>複数回答</t>
        </is>
      </c>
    </row>
    <row r="273" ht="28" customHeight="1">
      <c r="A273" s="4" t="inlineStr">
        <is>
          <t>問32</t>
        </is>
      </c>
      <c r="B273" s="5" t="inlineStr">
        <is>
          <t>18歳以降のことで不安なことはありますか（あてはまるものすべて）</t>
        </is>
      </c>
      <c r="C273" s="5" t="inlineStr">
        <is>
          <t>就労選択支援の利用</t>
        </is>
      </c>
      <c r="D273" s="26" t="n">
        <v>3</v>
      </c>
      <c r="E273" s="18">
        <f>IF($F273=0,0,D273/$F273)</f>
        <v>1</v>
      </c>
      <c r="F273" s="17">
        <f>$F$271</f>
        <v>3</v>
      </c>
      <c r="G273" s="4" t="inlineStr">
        <is>
          <t>複数回答</t>
        </is>
      </c>
    </row>
    <row r="274" ht="28" customHeight="1">
      <c r="A274" s="4" t="inlineStr">
        <is>
          <t>問32</t>
        </is>
      </c>
      <c r="B274" s="5" t="inlineStr">
        <is>
          <t>18歳以降のことで不安なことはありますか（あてはまるものすべて）</t>
        </is>
      </c>
      <c r="C274" s="5" t="inlineStr">
        <is>
          <t>相談支援の継続</t>
        </is>
      </c>
      <c r="D274" s="26" t="n">
        <v>1</v>
      </c>
      <c r="E274" s="18">
        <f>IF($F274=0,0,D274/$F274)</f>
        <v>0.333333333333333</v>
      </c>
      <c r="F274" s="17">
        <f>$F$271</f>
        <v>3</v>
      </c>
      <c r="G274" s="4" t="inlineStr">
        <is>
          <t>複数回答</t>
        </is>
      </c>
    </row>
    <row r="275" ht="28" customHeight="1">
      <c r="A275" s="4" t="inlineStr">
        <is>
          <t>問32</t>
        </is>
      </c>
      <c r="B275" s="5" t="inlineStr">
        <is>
          <t>18歳以降のことで不安なことはありますか（あてはまるものすべて）</t>
        </is>
      </c>
      <c r="C275" s="5" t="inlineStr">
        <is>
          <t>医療・通院の継続</t>
        </is>
      </c>
      <c r="D275" s="26" t="n">
        <v>3</v>
      </c>
      <c r="E275" s="18">
        <f>IF($F275=0,0,D275/$F275)</f>
        <v>1</v>
      </c>
      <c r="F275" s="17">
        <f>$F$271</f>
        <v>3</v>
      </c>
      <c r="G275" s="4" t="inlineStr">
        <is>
          <t>複数回答</t>
        </is>
      </c>
    </row>
    <row r="276" ht="28" customHeight="1">
      <c r="A276" s="4" t="inlineStr">
        <is>
          <t>問32</t>
        </is>
      </c>
      <c r="B276" s="5" t="inlineStr">
        <is>
          <t>18歳以降のことで不安なことはありますか（あてはまるものすべて）</t>
        </is>
      </c>
      <c r="C276" s="5" t="inlineStr">
        <is>
          <t>送迎・移動手段</t>
        </is>
      </c>
      <c r="D276" s="26" t="n">
        <v>3</v>
      </c>
      <c r="E276" s="18">
        <f>IF($F276=0,0,D276/$F276)</f>
        <v>1</v>
      </c>
      <c r="F276" s="17">
        <f>$F$271</f>
        <v>3</v>
      </c>
      <c r="G276" s="4" t="inlineStr">
        <is>
          <t>複数回答</t>
        </is>
      </c>
    </row>
    <row r="277" ht="28" customHeight="1">
      <c r="A277" s="4" t="inlineStr">
        <is>
          <t>問32</t>
        </is>
      </c>
      <c r="B277" s="5" t="inlineStr">
        <is>
          <t>18歳以降のことで不安なことはありますか（あてはまるものすべて）</t>
        </is>
      </c>
      <c r="C277" s="5" t="inlineStr">
        <is>
          <t>本人の意思決定や将来の暮らし</t>
        </is>
      </c>
      <c r="D277" s="26" t="n">
        <v>3</v>
      </c>
      <c r="E277" s="18">
        <f>IF($F277=0,0,D277/$F277)</f>
        <v>1</v>
      </c>
      <c r="F277" s="17">
        <f>$F$271</f>
        <v>3</v>
      </c>
      <c r="G277" s="4" t="inlineStr">
        <is>
          <t>複数回答</t>
        </is>
      </c>
    </row>
    <row r="278" ht="28" customHeight="1">
      <c r="A278" s="4" t="inlineStr">
        <is>
          <t>問32</t>
        </is>
      </c>
      <c r="B278" s="5" t="inlineStr">
        <is>
          <t>18歳以降のことで不安なことはありますか（あてはまるものすべて）</t>
        </is>
      </c>
      <c r="C278" s="5" t="inlineStr">
        <is>
          <t>家族の負担</t>
        </is>
      </c>
      <c r="D278" s="26" t="n">
        <v>3</v>
      </c>
      <c r="E278" s="18">
        <f>IF($F278=0,0,D278/$F278)</f>
        <v>1</v>
      </c>
      <c r="F278" s="17">
        <f>$F$271</f>
        <v>3</v>
      </c>
      <c r="G278" s="4" t="inlineStr">
        <is>
          <t>複数回答</t>
        </is>
      </c>
    </row>
    <row r="279" ht="28" customHeight="1">
      <c r="A279" s="4" t="inlineStr">
        <is>
          <t>問32</t>
        </is>
      </c>
      <c r="B279" s="5" t="inlineStr">
        <is>
          <t>18歳以降のことで不安なことはありますか（あてはまるものすべて）</t>
        </is>
      </c>
      <c r="C279" s="5" t="inlineStr">
        <is>
          <t>親など家族が高齢になった後の生活</t>
        </is>
      </c>
      <c r="D279" s="26" t="n">
        <v>3</v>
      </c>
      <c r="E279" s="18">
        <f>IF($F279=0,0,D279/$F279)</f>
        <v>1</v>
      </c>
      <c r="F279" s="17">
        <f>$F$271</f>
        <v>3</v>
      </c>
      <c r="G279" s="4" t="inlineStr">
        <is>
          <t>複数回答</t>
        </is>
      </c>
    </row>
    <row r="280" ht="28" customHeight="1">
      <c r="A280" s="4" t="inlineStr">
        <is>
          <t>問32</t>
        </is>
      </c>
      <c r="B280" s="5" t="inlineStr">
        <is>
          <t>18歳以降のことで不安なことはありますか（あてはまるものすべて）</t>
        </is>
      </c>
      <c r="C280" s="5" t="inlineStr">
        <is>
          <t>経済的な負担</t>
        </is>
      </c>
      <c r="D280" s="26" t="n">
        <v>3</v>
      </c>
      <c r="E280" s="18">
        <f>IF($F280=0,0,D280/$F280)</f>
        <v>1</v>
      </c>
      <c r="F280" s="17">
        <f>$F$271</f>
        <v>3</v>
      </c>
      <c r="G280" s="4" t="inlineStr">
        <is>
          <t>複数回答</t>
        </is>
      </c>
    </row>
    <row r="281" ht="28" customHeight="1">
      <c r="A281" s="4" t="inlineStr">
        <is>
          <t>問32</t>
        </is>
      </c>
      <c r="B281" s="5" t="inlineStr">
        <is>
          <t>18歳以降のことで不安なことはありますか（あてはまるものすべて）</t>
        </is>
      </c>
      <c r="C281" s="5" t="inlineStr">
        <is>
          <t>まだ考えていない</t>
        </is>
      </c>
      <c r="D281" s="26" t="n">
        <v>0</v>
      </c>
      <c r="E281" s="18">
        <f>IF($F281=0,0,D281/$F281)</f>
        <v>0</v>
      </c>
      <c r="F281" s="17">
        <f>$F$271</f>
        <v>3</v>
      </c>
      <c r="G281" s="4" t="inlineStr">
        <is>
          <t>複数回答</t>
        </is>
      </c>
    </row>
    <row r="282" ht="28" customHeight="1">
      <c r="A282" s="4" t="inlineStr">
        <is>
          <t>問32</t>
        </is>
      </c>
      <c r="B282" s="5" t="inlineStr">
        <is>
          <t>18歳以降のことで不安なことはありますか（あてはまるものすべて）</t>
        </is>
      </c>
      <c r="C282" s="5" t="inlineStr">
        <is>
          <t>その他</t>
        </is>
      </c>
      <c r="D282" s="26" t="n">
        <v>1</v>
      </c>
      <c r="E282" s="18">
        <f>IF($F282=0,0,D282/$F282)</f>
        <v>0.333333333333333</v>
      </c>
      <c r="F282" s="17">
        <f>$F$271</f>
        <v>3</v>
      </c>
      <c r="G282" s="4" t="inlineStr">
        <is>
          <t>複数回答</t>
        </is>
      </c>
    </row>
    <row r="283" ht="28" customHeight="1">
      <c r="A283" s="4" t="inlineStr">
        <is>
          <t>問33</t>
        </is>
      </c>
      <c r="B283" s="5" t="inlineStr">
        <is>
          <t>障がいがあることで差別や偏見、不利益を感じたことはありますか</t>
        </is>
      </c>
      <c r="C283" s="5" t="inlineStr">
        <is>
          <t>週に１回程度</t>
        </is>
      </c>
      <c r="D283" s="26" t="n">
        <v>1</v>
      </c>
      <c r="E283" s="18">
        <f>IF($F283=0,0,D283/$F283)</f>
        <v>0.333333333333333</v>
      </c>
      <c r="F283" s="26" t="n">
        <v>3</v>
      </c>
      <c r="G283" s="4" t="inlineStr">
        <is>
          <t>単一回答</t>
        </is>
      </c>
    </row>
    <row r="284" ht="28" customHeight="1">
      <c r="A284" s="4" t="inlineStr">
        <is>
          <t>問33</t>
        </is>
      </c>
      <c r="B284" s="5" t="inlineStr">
        <is>
          <t>障がいがあることで差別や偏見、不利益を感じたことはありますか</t>
        </is>
      </c>
      <c r="C284" s="5" t="inlineStr">
        <is>
          <t>月に１回程度</t>
        </is>
      </c>
      <c r="D284" s="26" t="n">
        <v>1</v>
      </c>
      <c r="E284" s="18">
        <f>IF($F284=0,0,D284/$F284)</f>
        <v>0.333333333333333</v>
      </c>
      <c r="F284" s="17">
        <f>$F$283</f>
        <v>3</v>
      </c>
      <c r="G284" s="4" t="inlineStr">
        <is>
          <t>単一回答</t>
        </is>
      </c>
    </row>
    <row r="285" ht="28" customHeight="1">
      <c r="A285" s="4" t="inlineStr">
        <is>
          <t>問33</t>
        </is>
      </c>
      <c r="B285" s="5" t="inlineStr">
        <is>
          <t>障がいがあることで差別や偏見、不利益を感じたことはありますか</t>
        </is>
      </c>
      <c r="C285" s="5" t="inlineStr">
        <is>
          <t>年に１回程度</t>
        </is>
      </c>
      <c r="D285" s="26" t="n">
        <v>0</v>
      </c>
      <c r="E285" s="18">
        <f>IF($F285=0,0,D285/$F285)</f>
        <v>0</v>
      </c>
      <c r="F285" s="17">
        <f>$F$283</f>
        <v>3</v>
      </c>
      <c r="G285" s="4" t="inlineStr">
        <is>
          <t>単一回答</t>
        </is>
      </c>
    </row>
    <row r="286" ht="28" customHeight="1">
      <c r="A286" s="4" t="inlineStr">
        <is>
          <t>問33</t>
        </is>
      </c>
      <c r="B286" s="5" t="inlineStr">
        <is>
          <t>障がいがあることで差別や偏見、不利益を感じたことはありますか</t>
        </is>
      </c>
      <c r="C286" s="5" t="inlineStr">
        <is>
          <t>ない</t>
        </is>
      </c>
      <c r="D286" s="26" t="n">
        <v>1</v>
      </c>
      <c r="E286" s="18">
        <f>IF($F286=0,0,D286/$F286)</f>
        <v>0.333333333333333</v>
      </c>
      <c r="F286" s="17">
        <f>$F$283</f>
        <v>3</v>
      </c>
      <c r="G286" s="4" t="inlineStr">
        <is>
          <t>単一回答</t>
        </is>
      </c>
    </row>
    <row r="287" ht="28" customHeight="1">
      <c r="A287" s="4" t="inlineStr">
        <is>
          <t>問33</t>
        </is>
      </c>
      <c r="B287" s="5" t="inlineStr">
        <is>
          <t>障がいがあることで差別や偏見、不利益を感じたことはありますか</t>
        </is>
      </c>
      <c r="C287" s="5" t="inlineStr">
        <is>
          <t>わからない</t>
        </is>
      </c>
      <c r="D287" s="26" t="n">
        <v>0</v>
      </c>
      <c r="E287" s="18">
        <f>IF($F287=0,0,D287/$F287)</f>
        <v>0</v>
      </c>
      <c r="F287" s="17">
        <f>$F$283</f>
        <v>3</v>
      </c>
      <c r="G287" s="4" t="inlineStr">
        <is>
          <t>単一回答</t>
        </is>
      </c>
    </row>
    <row r="288" ht="28" customHeight="1">
      <c r="A288" s="4" t="inlineStr">
        <is>
          <t>問34</t>
        </is>
      </c>
      <c r="B288" s="5" t="inlineStr">
        <is>
          <t>差別や偏見、不利益を感じた場面はどこですか（あてはまるものすべて）</t>
        </is>
      </c>
      <c r="C288" s="5" t="inlineStr">
        <is>
          <t>学校・保育所等</t>
        </is>
      </c>
      <c r="D288" s="26" t="n">
        <v>2</v>
      </c>
      <c r="E288" s="18">
        <f>IF($F288=0,0,D288/$F288)</f>
        <v>0.666666666666667</v>
      </c>
      <c r="F288" s="26" t="n">
        <v>3</v>
      </c>
      <c r="G288" s="4" t="inlineStr">
        <is>
          <t>複数回答</t>
        </is>
      </c>
    </row>
    <row r="289" ht="28" customHeight="1">
      <c r="A289" s="4" t="inlineStr">
        <is>
          <t>問34</t>
        </is>
      </c>
      <c r="B289" s="5" t="inlineStr">
        <is>
          <t>差別や偏見、不利益を感じた場面はどこですか（あてはまるものすべて）</t>
        </is>
      </c>
      <c r="C289" s="5" t="inlineStr">
        <is>
          <t>アルバイト先・職場</t>
        </is>
      </c>
      <c r="D289" s="26" t="n">
        <v>0</v>
      </c>
      <c r="E289" s="18">
        <f>IF($F289=0,0,D289/$F289)</f>
        <v>0</v>
      </c>
      <c r="F289" s="17">
        <f>$F$288</f>
        <v>3</v>
      </c>
      <c r="G289" s="4" t="inlineStr">
        <is>
          <t>複数回答</t>
        </is>
      </c>
    </row>
    <row r="290" ht="28" customHeight="1">
      <c r="A290" s="4" t="inlineStr">
        <is>
          <t>問34</t>
        </is>
      </c>
      <c r="B290" s="5" t="inlineStr">
        <is>
          <t>差別や偏見、不利益を感じた場面はどこですか（あてはまるものすべて）</t>
        </is>
      </c>
      <c r="C290" s="5" t="inlineStr">
        <is>
          <t>医療機関</t>
        </is>
      </c>
      <c r="D290" s="26" t="n">
        <v>1</v>
      </c>
      <c r="E290" s="18">
        <f>IF($F290=0,0,D290/$F290)</f>
        <v>0.333333333333333</v>
      </c>
      <c r="F290" s="17">
        <f>$F$288</f>
        <v>3</v>
      </c>
      <c r="G290" s="4" t="inlineStr">
        <is>
          <t>複数回答</t>
        </is>
      </c>
    </row>
    <row r="291" ht="28" customHeight="1">
      <c r="A291" s="4" t="inlineStr">
        <is>
          <t>問34</t>
        </is>
      </c>
      <c r="B291" s="5" t="inlineStr">
        <is>
          <t>差別や偏見、不利益を感じた場面はどこですか（あてはまるものすべて）</t>
        </is>
      </c>
      <c r="C291" s="5" t="inlineStr">
        <is>
          <t>福祉サービス事業所</t>
        </is>
      </c>
      <c r="D291" s="26" t="n">
        <v>0</v>
      </c>
      <c r="E291" s="18">
        <f>IF($F291=0,0,D291/$F291)</f>
        <v>0</v>
      </c>
      <c r="F291" s="17">
        <f>$F$288</f>
        <v>3</v>
      </c>
      <c r="G291" s="4" t="inlineStr">
        <is>
          <t>複数回答</t>
        </is>
      </c>
    </row>
    <row r="292" ht="28" customHeight="1">
      <c r="A292" s="4" t="inlineStr">
        <is>
          <t>問34</t>
        </is>
      </c>
      <c r="B292" s="5" t="inlineStr">
        <is>
          <t>差別や偏見、不利益を感じた場面はどこですか（あてはまるものすべて）</t>
        </is>
      </c>
      <c r="C292" s="5" t="inlineStr">
        <is>
          <t>役場・公共施設</t>
        </is>
      </c>
      <c r="D292" s="26" t="n">
        <v>0</v>
      </c>
      <c r="E292" s="18">
        <f>IF($F292=0,0,D292/$F292)</f>
        <v>0</v>
      </c>
      <c r="F292" s="17">
        <f>$F$288</f>
        <v>3</v>
      </c>
      <c r="G292" s="4" t="inlineStr">
        <is>
          <t>複数回答</t>
        </is>
      </c>
    </row>
    <row r="293" ht="28" customHeight="1">
      <c r="A293" s="4" t="inlineStr">
        <is>
          <t>問34</t>
        </is>
      </c>
      <c r="B293" s="5" t="inlineStr">
        <is>
          <t>差別や偏見、不利益を感じた場面はどこですか（あてはまるものすべて）</t>
        </is>
      </c>
      <c r="C293" s="5" t="inlineStr">
        <is>
          <t>地域活動・行事</t>
        </is>
      </c>
      <c r="D293" s="26" t="n">
        <v>1</v>
      </c>
      <c r="E293" s="18">
        <f>IF($F293=0,0,D293/$F293)</f>
        <v>0.333333333333333</v>
      </c>
      <c r="F293" s="17">
        <f>$F$288</f>
        <v>3</v>
      </c>
      <c r="G293" s="4" t="inlineStr">
        <is>
          <t>複数回答</t>
        </is>
      </c>
    </row>
    <row r="294" ht="28" customHeight="1">
      <c r="A294" s="4" t="inlineStr">
        <is>
          <t>問34</t>
        </is>
      </c>
      <c r="B294" s="5" t="inlineStr">
        <is>
          <t>差別や偏見、不利益を感じた場面はどこですか（あてはまるものすべて）</t>
        </is>
      </c>
      <c r="C294" s="5" t="inlineStr">
        <is>
          <t>公共交通機関・飲食店・買い物等</t>
        </is>
      </c>
      <c r="D294" s="26" t="n">
        <v>2</v>
      </c>
      <c r="E294" s="18">
        <f>IF($F294=0,0,D294/$F294)</f>
        <v>0.666666666666667</v>
      </c>
      <c r="F294" s="17">
        <f>$F$288</f>
        <v>3</v>
      </c>
      <c r="G294" s="4" t="inlineStr">
        <is>
          <t>複数回答</t>
        </is>
      </c>
    </row>
    <row r="295" ht="28" customHeight="1">
      <c r="A295" s="4" t="inlineStr">
        <is>
          <t>問34</t>
        </is>
      </c>
      <c r="B295" s="5" t="inlineStr">
        <is>
          <t>差別や偏見、不利益を感じた場面はどこですか（あてはまるものすべて）</t>
        </is>
      </c>
      <c r="C295" s="5" t="inlineStr">
        <is>
          <t>習い事</t>
        </is>
      </c>
      <c r="D295" s="26" t="n">
        <v>1</v>
      </c>
      <c r="E295" s="18">
        <f>IF($F295=0,0,D295/$F295)</f>
        <v>0.333333333333333</v>
      </c>
      <c r="F295" s="17">
        <f>$F$288</f>
        <v>3</v>
      </c>
      <c r="G295" s="4" t="inlineStr">
        <is>
          <t>複数回答</t>
        </is>
      </c>
    </row>
    <row r="296" ht="28" customHeight="1">
      <c r="A296" s="4" t="inlineStr">
        <is>
          <t>問34</t>
        </is>
      </c>
      <c r="B296" s="5" t="inlineStr">
        <is>
          <t>差別や偏見、不利益を感じた場面はどこですか（あてはまるものすべて）</t>
        </is>
      </c>
      <c r="C296" s="5" t="inlineStr">
        <is>
          <t>インターネット・SNS</t>
        </is>
      </c>
      <c r="D296" s="26" t="n">
        <v>0</v>
      </c>
      <c r="E296" s="18">
        <f>IF($F296=0,0,D296/$F296)</f>
        <v>0</v>
      </c>
      <c r="F296" s="17">
        <f>$F$288</f>
        <v>3</v>
      </c>
      <c r="G296" s="4" t="inlineStr">
        <is>
          <t>複数回答</t>
        </is>
      </c>
    </row>
    <row r="297" ht="28" customHeight="1">
      <c r="A297" s="4" t="inlineStr">
        <is>
          <t>問34</t>
        </is>
      </c>
      <c r="B297" s="5" t="inlineStr">
        <is>
          <t>差別や偏見、不利益を感じた場面はどこですか（あてはまるものすべて）</t>
        </is>
      </c>
      <c r="C297" s="5" t="inlineStr">
        <is>
          <t>特にない</t>
        </is>
      </c>
      <c r="D297" s="26" t="n">
        <v>1</v>
      </c>
      <c r="E297" s="18">
        <f>IF($F297=0,0,D297/$F297)</f>
        <v>0.333333333333333</v>
      </c>
      <c r="F297" s="17">
        <f>$F$288</f>
        <v>3</v>
      </c>
      <c r="G297" s="4" t="inlineStr">
        <is>
          <t>複数回答</t>
        </is>
      </c>
    </row>
    <row r="298" ht="28" customHeight="1">
      <c r="A298" s="4" t="inlineStr">
        <is>
          <t>問34</t>
        </is>
      </c>
      <c r="B298" s="5" t="inlineStr">
        <is>
          <t>差別や偏見、不利益を感じた場面はどこですか（あてはまるものすべて）</t>
        </is>
      </c>
      <c r="C298" s="5" t="inlineStr">
        <is>
          <t>その他</t>
        </is>
      </c>
      <c r="D298" s="26" t="n">
        <v>0</v>
      </c>
      <c r="E298" s="18">
        <f>IF($F298=0,0,D298/$F298)</f>
        <v>0</v>
      </c>
      <c r="F298" s="17">
        <f>$F$288</f>
        <v>3</v>
      </c>
      <c r="G298" s="4" t="inlineStr">
        <is>
          <t>複数回答</t>
        </is>
      </c>
    </row>
    <row r="299" ht="40.5" customHeight="1">
      <c r="A299" s="4" t="inlineStr">
        <is>
          <t>問35</t>
        </is>
      </c>
      <c r="B299" s="5" t="inlineStr">
        <is>
          <t>障がいのある人が利用しやすくするための配慮（合理的配慮）として必要だと思うことは何ですか（あてはまるものすべて）</t>
        </is>
      </c>
      <c r="C299" s="5" t="inlineStr">
        <is>
          <t>わかりやすい説明</t>
        </is>
      </c>
      <c r="D299" s="26" t="n">
        <v>3</v>
      </c>
      <c r="E299" s="18">
        <f>IF($F299=0,0,D299/$F299)</f>
        <v>1</v>
      </c>
      <c r="F299" s="26" t="n">
        <v>3</v>
      </c>
      <c r="G299" s="4" t="inlineStr">
        <is>
          <t>複数回答</t>
        </is>
      </c>
    </row>
    <row r="300" ht="40.5" customHeight="1">
      <c r="A300" s="4" t="inlineStr">
        <is>
          <t>問35</t>
        </is>
      </c>
      <c r="B300" s="5" t="inlineStr">
        <is>
          <t>障がいのある人が利用しやすくするための配慮（合理的配慮）として必要だと思うことは何ですか（あてはまるものすべて）</t>
        </is>
      </c>
      <c r="C300" s="5" t="inlineStr">
        <is>
          <t>筆談・手話・要約筆記・字幕等の意思疎通支援</t>
        </is>
      </c>
      <c r="D300" s="26" t="n">
        <v>1</v>
      </c>
      <c r="E300" s="18">
        <f>IF($F300=0,0,D300/$F300)</f>
        <v>0.333333333333333</v>
      </c>
      <c r="F300" s="17">
        <f>$F$299</f>
        <v>3</v>
      </c>
      <c r="G300" s="4" t="inlineStr">
        <is>
          <t>複数回答</t>
        </is>
      </c>
    </row>
    <row r="301" ht="40.5" customHeight="1">
      <c r="A301" s="4" t="inlineStr">
        <is>
          <t>問35</t>
        </is>
      </c>
      <c r="B301" s="5" t="inlineStr">
        <is>
          <t>障がいのある人が利用しやすくするための配慮（合理的配慮）として必要だと思うことは何ですか（あてはまるものすべて）</t>
        </is>
      </c>
      <c r="C301" s="5" t="inlineStr">
        <is>
          <t>静かな場所での相談</t>
        </is>
      </c>
      <c r="D301" s="26" t="n">
        <v>1</v>
      </c>
      <c r="E301" s="18">
        <f>IF($F301=0,0,D301/$F301)</f>
        <v>0.333333333333333</v>
      </c>
      <c r="F301" s="17">
        <f>$F$299</f>
        <v>3</v>
      </c>
      <c r="G301" s="4" t="inlineStr">
        <is>
          <t>複数回答</t>
        </is>
      </c>
    </row>
    <row r="302" ht="40.5" customHeight="1">
      <c r="A302" s="4" t="inlineStr">
        <is>
          <t>問35</t>
        </is>
      </c>
      <c r="B302" s="5" t="inlineStr">
        <is>
          <t>障がいのある人が利用しやすくするための配慮（合理的配慮）として必要だと思うことは何ですか（あてはまるものすべて）</t>
        </is>
      </c>
      <c r="C302" s="5" t="inlineStr">
        <is>
          <t>移動しやすい環境</t>
        </is>
      </c>
      <c r="D302" s="26" t="n">
        <v>1</v>
      </c>
      <c r="E302" s="18">
        <f>IF($F302=0,0,D302/$F302)</f>
        <v>0.333333333333333</v>
      </c>
      <c r="F302" s="17">
        <f>$F$299</f>
        <v>3</v>
      </c>
      <c r="G302" s="4" t="inlineStr">
        <is>
          <t>複数回答</t>
        </is>
      </c>
    </row>
    <row r="303" ht="40.5" customHeight="1">
      <c r="A303" s="4" t="inlineStr">
        <is>
          <t>問35</t>
        </is>
      </c>
      <c r="B303" s="5" t="inlineStr">
        <is>
          <t>障がいのある人が利用しやすくするための配慮（合理的配慮）として必要だと思うことは何ですか（あてはまるものすべて）</t>
        </is>
      </c>
      <c r="C303" s="5" t="inlineStr">
        <is>
          <t>手続きの支援</t>
        </is>
      </c>
      <c r="D303" s="26" t="n">
        <v>2</v>
      </c>
      <c r="E303" s="18">
        <f>IF($F303=0,0,D303/$F303)</f>
        <v>0.666666666666667</v>
      </c>
      <c r="F303" s="17">
        <f>$F$299</f>
        <v>3</v>
      </c>
      <c r="G303" s="4" t="inlineStr">
        <is>
          <t>複数回答</t>
        </is>
      </c>
    </row>
    <row r="304" ht="40.5" customHeight="1">
      <c r="A304" s="4" t="inlineStr">
        <is>
          <t>問35</t>
        </is>
      </c>
      <c r="B304" s="5" t="inlineStr">
        <is>
          <t>障がいのある人が利用しやすくするための配慮（合理的配慮）として必要だと思うことは何ですか（あてはまるものすべて）</t>
        </is>
      </c>
      <c r="C304" s="5" t="inlineStr">
        <is>
          <t>本人の意思確認を丁寧に行うこと</t>
        </is>
      </c>
      <c r="D304" s="26" t="n">
        <v>2</v>
      </c>
      <c r="E304" s="18">
        <f>IF($F304=0,0,D304/$F304)</f>
        <v>0.666666666666667</v>
      </c>
      <c r="F304" s="17">
        <f>$F$299</f>
        <v>3</v>
      </c>
      <c r="G304" s="4" t="inlineStr">
        <is>
          <t>複数回答</t>
        </is>
      </c>
    </row>
    <row r="305" ht="40.5" customHeight="1">
      <c r="A305" s="4" t="inlineStr">
        <is>
          <t>問35</t>
        </is>
      </c>
      <c r="B305" s="5" t="inlineStr">
        <is>
          <t>障がいのある人が利用しやすくするための配慮（合理的配慮）として必要だと思うことは何ですか（あてはまるものすべて）</t>
        </is>
      </c>
      <c r="C305" s="5" t="inlineStr">
        <is>
          <t>職場・学校での配慮</t>
        </is>
      </c>
      <c r="D305" s="26" t="n">
        <v>3</v>
      </c>
      <c r="E305" s="18">
        <f>IF($F305=0,0,D305/$F305)</f>
        <v>1</v>
      </c>
      <c r="F305" s="17">
        <f>$F$299</f>
        <v>3</v>
      </c>
      <c r="G305" s="4" t="inlineStr">
        <is>
          <t>複数回答</t>
        </is>
      </c>
    </row>
    <row r="306" ht="40.5" customHeight="1">
      <c r="A306" s="4" t="inlineStr">
        <is>
          <t>問35</t>
        </is>
      </c>
      <c r="B306" s="5" t="inlineStr">
        <is>
          <t>障がいのある人が利用しやすくするための配慮（合理的配慮）として必要だと思うことは何ですか（あてはまるものすべて）</t>
        </is>
      </c>
      <c r="C306" s="5" t="inlineStr">
        <is>
          <t>特にない</t>
        </is>
      </c>
      <c r="D306" s="26" t="n">
        <v>0</v>
      </c>
      <c r="E306" s="18">
        <f>IF($F306=0,0,D306/$F306)</f>
        <v>0</v>
      </c>
      <c r="F306" s="17">
        <f>$F$299</f>
        <v>3</v>
      </c>
      <c r="G306" s="4" t="inlineStr">
        <is>
          <t>複数回答</t>
        </is>
      </c>
    </row>
    <row r="307" ht="40.5" customHeight="1">
      <c r="A307" s="4" t="inlineStr">
        <is>
          <t>問35</t>
        </is>
      </c>
      <c r="B307" s="5" t="inlineStr">
        <is>
          <t>障がいのある人が利用しやすくするための配慮（合理的配慮）として必要だと思うことは何ですか（あてはまるものすべて）</t>
        </is>
      </c>
      <c r="C307" s="5" t="inlineStr">
        <is>
          <t>その他</t>
        </is>
      </c>
      <c r="D307" s="26" t="n">
        <v>0</v>
      </c>
      <c r="E307" s="18">
        <f>IF($F307=0,0,D307/$F307)</f>
        <v>0</v>
      </c>
      <c r="F307" s="17">
        <f>$F$299</f>
        <v>3</v>
      </c>
      <c r="G307" s="4" t="inlineStr">
        <is>
          <t>複数回答</t>
        </is>
      </c>
    </row>
    <row r="308" ht="16" customHeight="1">
      <c r="A308" s="4" t="inlineStr">
        <is>
          <t>問36</t>
        </is>
      </c>
      <c r="B308" s="5" t="inlineStr">
        <is>
          <t>成年後見制度や権利擁護支援について知っていますか</t>
        </is>
      </c>
      <c r="C308" s="5" t="inlineStr">
        <is>
          <t>利用している</t>
        </is>
      </c>
      <c r="D308" s="26" t="n">
        <v>0</v>
      </c>
      <c r="E308" s="18">
        <f>IF($F308=0,0,D308/$F308)</f>
        <v>0</v>
      </c>
      <c r="F308" s="26" t="n">
        <v>3</v>
      </c>
      <c r="G308" s="4" t="inlineStr">
        <is>
          <t>単一回答</t>
        </is>
      </c>
    </row>
    <row r="309" ht="16" customHeight="1">
      <c r="A309" s="4" t="inlineStr">
        <is>
          <t>問36</t>
        </is>
      </c>
      <c r="B309" s="5" t="inlineStr">
        <is>
          <t>成年後見制度や権利擁護支援について知っていますか</t>
        </is>
      </c>
      <c r="C309" s="5" t="inlineStr">
        <is>
          <t>知っている</t>
        </is>
      </c>
      <c r="D309" s="26" t="n">
        <v>0</v>
      </c>
      <c r="E309" s="18">
        <f>IF($F309=0,0,D309/$F309)</f>
        <v>0</v>
      </c>
      <c r="F309" s="17">
        <f>$F$308</f>
        <v>3</v>
      </c>
      <c r="G309" s="4" t="inlineStr">
        <is>
          <t>単一回答</t>
        </is>
      </c>
    </row>
    <row r="310" ht="16" customHeight="1">
      <c r="A310" s="4" t="inlineStr">
        <is>
          <t>問36</t>
        </is>
      </c>
      <c r="B310" s="5" t="inlineStr">
        <is>
          <t>成年後見制度や権利擁護支援について知っていますか</t>
        </is>
      </c>
      <c r="C310" s="5" t="inlineStr">
        <is>
          <t>名前だけ聞いたことがある</t>
        </is>
      </c>
      <c r="D310" s="26" t="n">
        <v>0</v>
      </c>
      <c r="E310" s="18">
        <f>IF($F310=0,0,D310/$F310)</f>
        <v>0</v>
      </c>
      <c r="F310" s="17">
        <f>$F$308</f>
        <v>3</v>
      </c>
      <c r="G310" s="4" t="inlineStr">
        <is>
          <t>単一回答</t>
        </is>
      </c>
    </row>
    <row r="311" ht="16" customHeight="1">
      <c r="A311" s="4" t="inlineStr">
        <is>
          <t>問36</t>
        </is>
      </c>
      <c r="B311" s="5" t="inlineStr">
        <is>
          <t>成年後見制度や権利擁護支援について知っていますか</t>
        </is>
      </c>
      <c r="C311" s="5" t="inlineStr">
        <is>
          <t>利用したいが手続きがわからない</t>
        </is>
      </c>
      <c r="D311" s="26" t="n">
        <v>0</v>
      </c>
      <c r="E311" s="18">
        <f>IF($F311=0,0,D311/$F311)</f>
        <v>0</v>
      </c>
      <c r="F311" s="17">
        <f>$F$308</f>
        <v>3</v>
      </c>
      <c r="G311" s="4" t="inlineStr">
        <is>
          <t>単一回答</t>
        </is>
      </c>
    </row>
    <row r="312" ht="16" customHeight="1">
      <c r="A312" s="4" t="inlineStr">
        <is>
          <t>問36</t>
        </is>
      </c>
      <c r="B312" s="5" t="inlineStr">
        <is>
          <t>成年後見制度や権利擁護支援について知っていますか</t>
        </is>
      </c>
      <c r="C312" s="5" t="inlineStr">
        <is>
          <t>知らない</t>
        </is>
      </c>
      <c r="D312" s="26" t="n">
        <v>3</v>
      </c>
      <c r="E312" s="18">
        <f>IF($F312=0,0,D312/$F312)</f>
        <v>1</v>
      </c>
      <c r="F312" s="17">
        <f>$F$308</f>
        <v>3</v>
      </c>
      <c r="G312" s="4" t="inlineStr">
        <is>
          <t>単一回答</t>
        </is>
      </c>
    </row>
    <row r="313" ht="28" customHeight="1">
      <c r="A313" s="4" t="inlineStr">
        <is>
          <t>問37</t>
        </is>
      </c>
      <c r="B313" s="5" t="inlineStr">
        <is>
          <t>災害時に不安なことは何ですか（あてはまるものすべて）</t>
        </is>
      </c>
      <c r="C313" s="5" t="inlineStr">
        <is>
          <t>避難する方法</t>
        </is>
      </c>
      <c r="D313" s="26" t="n">
        <v>1</v>
      </c>
      <c r="E313" s="18">
        <f>IF($F313=0,0,D313/$F313)</f>
        <v>0.333333333333333</v>
      </c>
      <c r="F313" s="26" t="n">
        <v>3</v>
      </c>
      <c r="G313" s="4" t="inlineStr">
        <is>
          <t>複数回答</t>
        </is>
      </c>
    </row>
    <row r="314" ht="28" customHeight="1">
      <c r="A314" s="4" t="inlineStr">
        <is>
          <t>問37</t>
        </is>
      </c>
      <c r="B314" s="5" t="inlineStr">
        <is>
          <t>災害時に不安なことは何ですか（あてはまるものすべて）</t>
        </is>
      </c>
      <c r="C314" s="5" t="inlineStr">
        <is>
          <t>避難先での生活</t>
        </is>
      </c>
      <c r="D314" s="26" t="n">
        <v>2</v>
      </c>
      <c r="E314" s="18">
        <f>IF($F314=0,0,D314/$F314)</f>
        <v>0.666666666666667</v>
      </c>
      <c r="F314" s="17">
        <f>$F$313</f>
        <v>3</v>
      </c>
      <c r="G314" s="4" t="inlineStr">
        <is>
          <t>複数回答</t>
        </is>
      </c>
    </row>
    <row r="315" ht="28" customHeight="1">
      <c r="A315" s="4" t="inlineStr">
        <is>
          <t>問37</t>
        </is>
      </c>
      <c r="B315" s="5" t="inlineStr">
        <is>
          <t>災害時に不安なことは何ですか（あてはまるものすべて）</t>
        </is>
      </c>
      <c r="C315" s="5" t="inlineStr">
        <is>
          <t>薬・医療機器</t>
        </is>
      </c>
      <c r="D315" s="26" t="n">
        <v>2</v>
      </c>
      <c r="E315" s="18">
        <f>IF($F315=0,0,D315/$F315)</f>
        <v>0.666666666666667</v>
      </c>
      <c r="F315" s="17">
        <f>$F$313</f>
        <v>3</v>
      </c>
      <c r="G315" s="4" t="inlineStr">
        <is>
          <t>複数回答</t>
        </is>
      </c>
    </row>
    <row r="316" ht="28" customHeight="1">
      <c r="A316" s="4" t="inlineStr">
        <is>
          <t>問37</t>
        </is>
      </c>
      <c r="B316" s="5" t="inlineStr">
        <is>
          <t>災害時に不安なことは何ですか（あてはまるものすべて）</t>
        </is>
      </c>
      <c r="C316" s="5" t="inlineStr">
        <is>
          <t>電源の確保</t>
        </is>
      </c>
      <c r="D316" s="26" t="n">
        <v>0</v>
      </c>
      <c r="E316" s="18">
        <f>IF($F316=0,0,D316/$F316)</f>
        <v>0</v>
      </c>
      <c r="F316" s="17">
        <f>$F$313</f>
        <v>3</v>
      </c>
      <c r="G316" s="4" t="inlineStr">
        <is>
          <t>複数回答</t>
        </is>
      </c>
    </row>
    <row r="317" ht="28" customHeight="1">
      <c r="A317" s="4" t="inlineStr">
        <is>
          <t>問37</t>
        </is>
      </c>
      <c r="B317" s="5" t="inlineStr">
        <is>
          <t>災害時に不安なことは何ですか（あてはまるものすべて）</t>
        </is>
      </c>
      <c r="C317" s="5" t="inlineStr">
        <is>
          <t>介助者がいないこと</t>
        </is>
      </c>
      <c r="D317" s="26" t="n">
        <v>0</v>
      </c>
      <c r="E317" s="18">
        <f>IF($F317=0,0,D317/$F317)</f>
        <v>0</v>
      </c>
      <c r="F317" s="17">
        <f>$F$313</f>
        <v>3</v>
      </c>
      <c r="G317" s="4" t="inlineStr">
        <is>
          <t>複数回答</t>
        </is>
      </c>
    </row>
    <row r="318" ht="28" customHeight="1">
      <c r="A318" s="4" t="inlineStr">
        <is>
          <t>問37</t>
        </is>
      </c>
      <c r="B318" s="5" t="inlineStr">
        <is>
          <t>災害時に不安なことは何ですか（あてはまるものすべて）</t>
        </is>
      </c>
      <c r="C318" s="5" t="inlineStr">
        <is>
          <t>情報が届かないこと</t>
        </is>
      </c>
      <c r="D318" s="26" t="n">
        <v>1</v>
      </c>
      <c r="E318" s="18">
        <f>IF($F318=0,0,D318/$F318)</f>
        <v>0.333333333333333</v>
      </c>
      <c r="F318" s="17">
        <f>$F$313</f>
        <v>3</v>
      </c>
      <c r="G318" s="4" t="inlineStr">
        <is>
          <t>複数回答</t>
        </is>
      </c>
    </row>
    <row r="319" ht="28" customHeight="1">
      <c r="A319" s="4" t="inlineStr">
        <is>
          <t>問37</t>
        </is>
      </c>
      <c r="B319" s="5" t="inlineStr">
        <is>
          <t>災害時に不安なことは何ですか（あてはまるものすべて）</t>
        </is>
      </c>
      <c r="C319" s="5" t="inlineStr">
        <is>
          <t>冬季・積雪時の避難</t>
        </is>
      </c>
      <c r="D319" s="26" t="n">
        <v>2</v>
      </c>
      <c r="E319" s="18">
        <f>IF($F319=0,0,D319/$F319)</f>
        <v>0.666666666666667</v>
      </c>
      <c r="F319" s="17">
        <f>$F$313</f>
        <v>3</v>
      </c>
      <c r="G319" s="4" t="inlineStr">
        <is>
          <t>複数回答</t>
        </is>
      </c>
    </row>
    <row r="320" ht="28" customHeight="1">
      <c r="A320" s="4" t="inlineStr">
        <is>
          <t>問37</t>
        </is>
      </c>
      <c r="B320" s="5" t="inlineStr">
        <is>
          <t>災害時に不安なことは何ですか（あてはまるものすべて）</t>
        </is>
      </c>
      <c r="C320" s="5" t="inlineStr">
        <is>
          <t>ペット・補助犬等</t>
        </is>
      </c>
      <c r="D320" s="26" t="n">
        <v>0</v>
      </c>
      <c r="E320" s="18">
        <f>IF($F320=0,0,D320/$F320)</f>
        <v>0</v>
      </c>
      <c r="F320" s="17">
        <f>$F$313</f>
        <v>3</v>
      </c>
      <c r="G320" s="4" t="inlineStr">
        <is>
          <t>複数回答</t>
        </is>
      </c>
    </row>
    <row r="321" ht="28" customHeight="1">
      <c r="A321" s="4" t="inlineStr">
        <is>
          <t>問37</t>
        </is>
      </c>
      <c r="B321" s="5" t="inlineStr">
        <is>
          <t>災害時に不安なことは何ですか（あてはまるものすべて）</t>
        </is>
      </c>
      <c r="C321" s="5" t="inlineStr">
        <is>
          <t>特に不安はない</t>
        </is>
      </c>
      <c r="D321" s="26" t="n">
        <v>0</v>
      </c>
      <c r="E321" s="18">
        <f>IF($F321=0,0,D321/$F321)</f>
        <v>0</v>
      </c>
      <c r="F321" s="17">
        <f>$F$313</f>
        <v>3</v>
      </c>
      <c r="G321" s="4" t="inlineStr">
        <is>
          <t>複数回答</t>
        </is>
      </c>
    </row>
    <row r="322" ht="28" customHeight="1">
      <c r="A322" s="4" t="inlineStr">
        <is>
          <t>問37</t>
        </is>
      </c>
      <c r="B322" s="5" t="inlineStr">
        <is>
          <t>災害時に不安なことは何ですか（あてはまるものすべて）</t>
        </is>
      </c>
      <c r="C322" s="5" t="inlineStr">
        <is>
          <t>その他</t>
        </is>
      </c>
      <c r="D322" s="26" t="n">
        <v>0</v>
      </c>
      <c r="E322" s="18">
        <f>IF($F322=0,0,D322/$F322)</f>
        <v>0</v>
      </c>
      <c r="F322" s="17">
        <f>$F$313</f>
        <v>3</v>
      </c>
      <c r="G322" s="4" t="inlineStr">
        <is>
          <t>複数回答</t>
        </is>
      </c>
    </row>
    <row r="323" ht="28" customHeight="1">
      <c r="A323" s="4" t="inlineStr">
        <is>
          <t>問38</t>
        </is>
      </c>
      <c r="B323" s="5" t="inlineStr">
        <is>
          <t>避難行動要支援者名簿や個別避難計画について知っていますか</t>
        </is>
      </c>
      <c r="C323" s="5" t="inlineStr">
        <is>
          <t>制度を知っており作成したい</t>
        </is>
      </c>
      <c r="D323" s="26" t="n">
        <v>0</v>
      </c>
      <c r="E323" s="18">
        <f>IF($F323=0,0,D323/$F323)</f>
        <v>0</v>
      </c>
      <c r="F323" s="26" t="n">
        <v>3</v>
      </c>
      <c r="G323" s="4" t="inlineStr">
        <is>
          <t>単一回答</t>
        </is>
      </c>
    </row>
    <row r="324" ht="28" customHeight="1">
      <c r="A324" s="4" t="inlineStr">
        <is>
          <t>問38</t>
        </is>
      </c>
      <c r="B324" s="5" t="inlineStr">
        <is>
          <t>避難行動要支援者名簿や個別避難計画について知っていますか</t>
        </is>
      </c>
      <c r="C324" s="5" t="inlineStr">
        <is>
          <t>名前だけ聞いたことがある</t>
        </is>
      </c>
      <c r="D324" s="26" t="n">
        <v>0</v>
      </c>
      <c r="E324" s="18">
        <f>IF($F324=0,0,D324/$F324)</f>
        <v>0</v>
      </c>
      <c r="F324" s="17">
        <f>$F$323</f>
        <v>3</v>
      </c>
      <c r="G324" s="4" t="inlineStr">
        <is>
          <t>単一回答</t>
        </is>
      </c>
    </row>
    <row r="325" ht="28" customHeight="1">
      <c r="A325" s="4" t="inlineStr">
        <is>
          <t>問38</t>
        </is>
      </c>
      <c r="B325" s="5" t="inlineStr">
        <is>
          <t>避難行動要支援者名簿や個別避難計画について知っていますか</t>
        </is>
      </c>
      <c r="C325" s="5" t="inlineStr">
        <is>
          <t>知らない</t>
        </is>
      </c>
      <c r="D325" s="26" t="n">
        <v>3</v>
      </c>
      <c r="E325" s="18">
        <f>IF($F325=0,0,D325/$F325)</f>
        <v>1</v>
      </c>
      <c r="F325" s="17">
        <f>$F$323</f>
        <v>3</v>
      </c>
      <c r="G325" s="4" t="inlineStr">
        <is>
          <t>単一回答</t>
        </is>
      </c>
    </row>
    <row r="326" ht="28" customHeight="1">
      <c r="A326" s="4" t="inlineStr">
        <is>
          <t>問38</t>
        </is>
      </c>
      <c r="B326" s="5" t="inlineStr">
        <is>
          <t>避難行動要支援者名簿や個別避難計画について知っていますか</t>
        </is>
      </c>
      <c r="C326" s="5" t="inlineStr">
        <is>
          <t>必要ない</t>
        </is>
      </c>
      <c r="D326" s="26" t="n">
        <v>0</v>
      </c>
      <c r="E326" s="18">
        <f>IF($F326=0,0,D326/$F326)</f>
        <v>0</v>
      </c>
      <c r="F326" s="17">
        <f>$F$323</f>
        <v>3</v>
      </c>
      <c r="G326" s="4" t="inlineStr">
        <is>
          <t>単一回答</t>
        </is>
      </c>
    </row>
    <row r="327" ht="28" customHeight="1">
      <c r="A327" s="4" t="inlineStr">
        <is>
          <t>問39</t>
        </is>
      </c>
      <c r="B327" s="5" t="inlineStr">
        <is>
          <t>災害時に支援してくれる人や機関はありますか（あてはまるものすべて）</t>
        </is>
      </c>
      <c r="C327" s="5" t="inlineStr">
        <is>
          <t>家族・親族</t>
        </is>
      </c>
      <c r="D327" s="26" t="n">
        <v>3</v>
      </c>
      <c r="E327" s="18">
        <f>IF($F327=0,0,D327/$F327)</f>
        <v>1</v>
      </c>
      <c r="F327" s="26" t="n">
        <v>3</v>
      </c>
      <c r="G327" s="4" t="inlineStr">
        <is>
          <t>複数回答</t>
        </is>
      </c>
    </row>
    <row r="328" ht="28" customHeight="1">
      <c r="A328" s="4" t="inlineStr">
        <is>
          <t>問39</t>
        </is>
      </c>
      <c r="B328" s="5" t="inlineStr">
        <is>
          <t>災害時に支援してくれる人や機関はありますか（あてはまるものすべて）</t>
        </is>
      </c>
      <c r="C328" s="5" t="inlineStr">
        <is>
          <t>友人・知人</t>
        </is>
      </c>
      <c r="D328" s="26" t="n">
        <v>0</v>
      </c>
      <c r="E328" s="18">
        <f>IF($F328=0,0,D328/$F328)</f>
        <v>0</v>
      </c>
      <c r="F328" s="17">
        <f>$F$327</f>
        <v>3</v>
      </c>
      <c r="G328" s="4" t="inlineStr">
        <is>
          <t>複数回答</t>
        </is>
      </c>
    </row>
    <row r="329" ht="28" customHeight="1">
      <c r="A329" s="4" t="inlineStr">
        <is>
          <t>問39</t>
        </is>
      </c>
      <c r="B329" s="5" t="inlineStr">
        <is>
          <t>災害時に支援してくれる人や機関はありますか（あてはまるものすべて）</t>
        </is>
      </c>
      <c r="C329" s="5" t="inlineStr">
        <is>
          <t>村役場</t>
        </is>
      </c>
      <c r="D329" s="26" t="n">
        <v>0</v>
      </c>
      <c r="E329" s="18">
        <f>IF($F329=0,0,D329/$F329)</f>
        <v>0</v>
      </c>
      <c r="F329" s="17">
        <f>$F$327</f>
        <v>3</v>
      </c>
      <c r="G329" s="4" t="inlineStr">
        <is>
          <t>複数回答</t>
        </is>
      </c>
    </row>
    <row r="330" ht="28" customHeight="1">
      <c r="A330" s="4" t="inlineStr">
        <is>
          <t>問39</t>
        </is>
      </c>
      <c r="B330" s="5" t="inlineStr">
        <is>
          <t>災害時に支援してくれる人や機関はありますか（あてはまるものすべて）</t>
        </is>
      </c>
      <c r="C330" s="5" t="inlineStr">
        <is>
          <t>相談支援専門員</t>
        </is>
      </c>
      <c r="D330" s="26" t="n">
        <v>0</v>
      </c>
      <c r="E330" s="18">
        <f>IF($F330=0,0,D330/$F330)</f>
        <v>0</v>
      </c>
      <c r="F330" s="17">
        <f>$F$327</f>
        <v>3</v>
      </c>
      <c r="G330" s="4" t="inlineStr">
        <is>
          <t>複数回答</t>
        </is>
      </c>
    </row>
    <row r="331" ht="28" customHeight="1">
      <c r="A331" s="4" t="inlineStr">
        <is>
          <t>問39</t>
        </is>
      </c>
      <c r="B331" s="5" t="inlineStr">
        <is>
          <t>災害時に支援してくれる人や機関はありますか（あてはまるものすべて）</t>
        </is>
      </c>
      <c r="C331" s="5" t="inlineStr">
        <is>
          <t>福祉サービス事業所</t>
        </is>
      </c>
      <c r="D331" s="26" t="n">
        <v>0</v>
      </c>
      <c r="E331" s="18">
        <f>IF($F331=0,0,D331/$F331)</f>
        <v>0</v>
      </c>
      <c r="F331" s="17">
        <f>$F$327</f>
        <v>3</v>
      </c>
      <c r="G331" s="4" t="inlineStr">
        <is>
          <t>複数回答</t>
        </is>
      </c>
    </row>
    <row r="332" ht="28" customHeight="1">
      <c r="A332" s="4" t="inlineStr">
        <is>
          <t>問39</t>
        </is>
      </c>
      <c r="B332" s="5" t="inlineStr">
        <is>
          <t>災害時に支援してくれる人や機関はありますか（あてはまるものすべて）</t>
        </is>
      </c>
      <c r="C332" s="5" t="inlineStr">
        <is>
          <t>医療機関</t>
        </is>
      </c>
      <c r="D332" s="26" t="n">
        <v>0</v>
      </c>
      <c r="E332" s="18">
        <f>IF($F332=0,0,D332/$F332)</f>
        <v>0</v>
      </c>
      <c r="F332" s="17">
        <f>$F$327</f>
        <v>3</v>
      </c>
      <c r="G332" s="4" t="inlineStr">
        <is>
          <t>複数回答</t>
        </is>
      </c>
    </row>
    <row r="333" ht="28" customHeight="1">
      <c r="A333" s="4" t="inlineStr">
        <is>
          <t>問39</t>
        </is>
      </c>
      <c r="B333" s="5" t="inlineStr">
        <is>
          <t>災害時に支援してくれる人や機関はありますか（あてはまるものすべて）</t>
        </is>
      </c>
      <c r="C333" s="5" t="inlineStr">
        <is>
          <t>学校・保育所等</t>
        </is>
      </c>
      <c r="D333" s="26" t="n">
        <v>0</v>
      </c>
      <c r="E333" s="18">
        <f>IF($F333=0,0,D333/$F333)</f>
        <v>0</v>
      </c>
      <c r="F333" s="17">
        <f>$F$327</f>
        <v>3</v>
      </c>
      <c r="G333" s="4" t="inlineStr">
        <is>
          <t>複数回答</t>
        </is>
      </c>
    </row>
    <row r="334" ht="28" customHeight="1">
      <c r="A334" s="4" t="inlineStr">
        <is>
          <t>問39</t>
        </is>
      </c>
      <c r="B334" s="5" t="inlineStr">
        <is>
          <t>災害時に支援してくれる人や機関はありますか（あてはまるものすべて）</t>
        </is>
      </c>
      <c r="C334" s="5" t="inlineStr">
        <is>
          <t>SNS・インターネット・AI</t>
        </is>
      </c>
      <c r="D334" s="26" t="n">
        <v>0</v>
      </c>
      <c r="E334" s="18">
        <f>IF($F334=0,0,D334/$F334)</f>
        <v>0</v>
      </c>
      <c r="F334" s="17">
        <f>$F$327</f>
        <v>3</v>
      </c>
      <c r="G334" s="4" t="inlineStr">
        <is>
          <t>複数回答</t>
        </is>
      </c>
    </row>
    <row r="335" ht="28" customHeight="1">
      <c r="A335" s="4" t="inlineStr">
        <is>
          <t>問39</t>
        </is>
      </c>
      <c r="B335" s="5" t="inlineStr">
        <is>
          <t>災害時に支援してくれる人や機関はありますか（あてはまるものすべて）</t>
        </is>
      </c>
      <c r="C335" s="5" t="inlineStr">
        <is>
          <t>社会福祉協議会</t>
        </is>
      </c>
      <c r="D335" s="26" t="n">
        <v>0</v>
      </c>
      <c r="E335" s="18">
        <f>IF($F335=0,0,D335/$F335)</f>
        <v>0</v>
      </c>
      <c r="F335" s="17">
        <f>$F$327</f>
        <v>3</v>
      </c>
      <c r="G335" s="4" t="inlineStr">
        <is>
          <t>複数回答</t>
        </is>
      </c>
    </row>
    <row r="336" ht="28" customHeight="1">
      <c r="A336" s="4" t="inlineStr">
        <is>
          <t>問39</t>
        </is>
      </c>
      <c r="B336" s="5" t="inlineStr">
        <is>
          <t>災害時に支援してくれる人や機関はありますか（あてはまるものすべて）</t>
        </is>
      </c>
      <c r="C336" s="5" t="inlineStr">
        <is>
          <t>民生委員・児童委員</t>
        </is>
      </c>
      <c r="D336" s="26" t="n">
        <v>0</v>
      </c>
      <c r="E336" s="18">
        <f>IF($F336=0,0,D336/$F336)</f>
        <v>0</v>
      </c>
      <c r="F336" s="17">
        <f>$F$327</f>
        <v>3</v>
      </c>
      <c r="G336" s="4" t="inlineStr">
        <is>
          <t>複数回答</t>
        </is>
      </c>
    </row>
    <row r="337" ht="28" customHeight="1">
      <c r="A337" s="4" t="inlineStr">
        <is>
          <t>問39</t>
        </is>
      </c>
      <c r="B337" s="5" t="inlineStr">
        <is>
          <t>災害時に支援してくれる人や機関はありますか（あてはまるものすべて）</t>
        </is>
      </c>
      <c r="C337" s="5" t="inlineStr">
        <is>
          <t>いない・わからない</t>
        </is>
      </c>
      <c r="D337" s="26" t="n">
        <v>0</v>
      </c>
      <c r="E337" s="18">
        <f>IF($F337=0,0,D337/$F337)</f>
        <v>0</v>
      </c>
      <c r="F337" s="17">
        <f>$F$327</f>
        <v>3</v>
      </c>
      <c r="G337" s="4" t="inlineStr">
        <is>
          <t>複数回答</t>
        </is>
      </c>
    </row>
    <row r="338" ht="28" customHeight="1">
      <c r="A338" s="4" t="inlineStr">
        <is>
          <t>問39</t>
        </is>
      </c>
      <c r="B338" s="5" t="inlineStr">
        <is>
          <t>災害時に支援してくれる人や機関はありますか（あてはまるものすべて）</t>
        </is>
      </c>
      <c r="C338" s="5" t="inlineStr">
        <is>
          <t>その他</t>
        </is>
      </c>
      <c r="D338" s="26" t="n">
        <v>0</v>
      </c>
      <c r="E338" s="18">
        <f>IF($F338=0,0,D338/$F338)</f>
        <v>0</v>
      </c>
      <c r="F338" s="17">
        <f>$F$327</f>
        <v>3</v>
      </c>
      <c r="G338" s="4" t="inlineStr">
        <is>
          <t>複数回答</t>
        </is>
      </c>
    </row>
    <row r="339" ht="28" customHeight="1">
      <c r="A339" s="4" t="inlineStr">
        <is>
          <t>問40</t>
        </is>
      </c>
      <c r="B339" s="5" t="inlineStr">
        <is>
          <t>災害時に必要だと思う支援は何ですか（あてはまるものすべて）</t>
        </is>
      </c>
      <c r="C339" s="5" t="inlineStr">
        <is>
          <t>個別避難計画の作成支援</t>
        </is>
      </c>
      <c r="D339" s="26" t="n">
        <v>0</v>
      </c>
      <c r="E339" s="18">
        <f>IF($F339=0,0,D339/$F339)</f>
        <v>0</v>
      </c>
      <c r="F339" s="26" t="n">
        <v>3</v>
      </c>
      <c r="G339" s="4" t="inlineStr">
        <is>
          <t>複数回答</t>
        </is>
      </c>
    </row>
    <row r="340" ht="28" customHeight="1">
      <c r="A340" s="4" t="inlineStr">
        <is>
          <t>問40</t>
        </is>
      </c>
      <c r="B340" s="5" t="inlineStr">
        <is>
          <t>災害時に必要だと思う支援は何ですか（あてはまるものすべて）</t>
        </is>
      </c>
      <c r="C340" s="5" t="inlineStr">
        <is>
          <t>避難訓練への参加支援</t>
        </is>
      </c>
      <c r="D340" s="26" t="n">
        <v>1</v>
      </c>
      <c r="E340" s="18">
        <f>IF($F340=0,0,D340/$F340)</f>
        <v>0.333333333333333</v>
      </c>
      <c r="F340" s="17">
        <f>$F$339</f>
        <v>3</v>
      </c>
      <c r="G340" s="4" t="inlineStr">
        <is>
          <t>複数回答</t>
        </is>
      </c>
    </row>
    <row r="341" ht="28" customHeight="1">
      <c r="A341" s="4" t="inlineStr">
        <is>
          <t>問40</t>
        </is>
      </c>
      <c r="B341" s="5" t="inlineStr">
        <is>
          <t>災害時に必要だと思う支援は何ですか（あてはまるものすべて）</t>
        </is>
      </c>
      <c r="C341" s="5" t="inlineStr">
        <is>
          <t>福祉避難所の情報提供</t>
        </is>
      </c>
      <c r="D341" s="26" t="n">
        <v>0</v>
      </c>
      <c r="E341" s="18">
        <f>IF($F341=0,0,D341/$F341)</f>
        <v>0</v>
      </c>
      <c r="F341" s="17">
        <f>$F$339</f>
        <v>3</v>
      </c>
      <c r="G341" s="4" t="inlineStr">
        <is>
          <t>複数回答</t>
        </is>
      </c>
    </row>
    <row r="342" ht="28" customHeight="1">
      <c r="A342" s="4" t="inlineStr">
        <is>
          <t>問40</t>
        </is>
      </c>
      <c r="B342" s="5" t="inlineStr">
        <is>
          <t>災害時に必要だと思う支援は何ですか（あてはまるものすべて）</t>
        </is>
      </c>
      <c r="C342" s="5" t="inlineStr">
        <is>
          <t>薬・医療機器・電源の確保</t>
        </is>
      </c>
      <c r="D342" s="26" t="n">
        <v>2</v>
      </c>
      <c r="E342" s="18">
        <f>IF($F342=0,0,D342/$F342)</f>
        <v>0.666666666666667</v>
      </c>
      <c r="F342" s="17">
        <f>$F$339</f>
        <v>3</v>
      </c>
      <c r="G342" s="4" t="inlineStr">
        <is>
          <t>複数回答</t>
        </is>
      </c>
    </row>
    <row r="343" ht="28" customHeight="1">
      <c r="A343" s="4" t="inlineStr">
        <is>
          <t>問40</t>
        </is>
      </c>
      <c r="B343" s="5" t="inlineStr">
        <is>
          <t>災害時に必要だと思う支援は何ですか（あてはまるものすべて）</t>
        </is>
      </c>
      <c r="C343" s="5" t="inlineStr">
        <is>
          <t>冬季避難の支援</t>
        </is>
      </c>
      <c r="D343" s="26" t="n">
        <v>2</v>
      </c>
      <c r="E343" s="18">
        <f>IF($F343=0,0,D343/$F343)</f>
        <v>0.666666666666667</v>
      </c>
      <c r="F343" s="17">
        <f>$F$339</f>
        <v>3</v>
      </c>
      <c r="G343" s="4" t="inlineStr">
        <is>
          <t>複数回答</t>
        </is>
      </c>
    </row>
    <row r="344" ht="28" customHeight="1">
      <c r="A344" s="4" t="inlineStr">
        <is>
          <t>問40</t>
        </is>
      </c>
      <c r="B344" s="5" t="inlineStr">
        <is>
          <t>災害時に必要だと思う支援は何ですか（あてはまるものすべて）</t>
        </is>
      </c>
      <c r="C344" s="5" t="inlineStr">
        <is>
          <t>安否確認</t>
        </is>
      </c>
      <c r="D344" s="26" t="n">
        <v>1</v>
      </c>
      <c r="E344" s="18">
        <f>IF($F344=0,0,D344/$F344)</f>
        <v>0.333333333333333</v>
      </c>
      <c r="F344" s="17">
        <f>$F$339</f>
        <v>3</v>
      </c>
      <c r="G344" s="4" t="inlineStr">
        <is>
          <t>複数回答</t>
        </is>
      </c>
    </row>
    <row r="345" ht="28" customHeight="1">
      <c r="A345" s="4" t="inlineStr">
        <is>
          <t>問40</t>
        </is>
      </c>
      <c r="B345" s="5" t="inlineStr">
        <is>
          <t>災害時に必要だと思う支援は何ですか（あてはまるものすべて）</t>
        </is>
      </c>
      <c r="C345" s="5" t="inlineStr">
        <is>
          <t>避難所での合理的配慮</t>
        </is>
      </c>
      <c r="D345" s="26" t="n">
        <v>2</v>
      </c>
      <c r="E345" s="18">
        <f>IF($F345=0,0,D345/$F345)</f>
        <v>0.666666666666667</v>
      </c>
      <c r="F345" s="17">
        <f>$F$339</f>
        <v>3</v>
      </c>
      <c r="G345" s="4" t="inlineStr">
        <is>
          <t>複数回答</t>
        </is>
      </c>
    </row>
    <row r="346" ht="28" customHeight="1">
      <c r="A346" s="4" t="inlineStr">
        <is>
          <t>問40</t>
        </is>
      </c>
      <c r="B346" s="5" t="inlineStr">
        <is>
          <t>災害時に必要だと思う支援は何ですか（あてはまるものすべて）</t>
        </is>
      </c>
      <c r="C346" s="5" t="inlineStr">
        <is>
          <t>文字・掲示・字幕等の目で見てわかる災害情報</t>
        </is>
      </c>
      <c r="D346" s="26" t="n">
        <v>0</v>
      </c>
      <c r="E346" s="18">
        <f>IF($F346=0,0,D346/$F346)</f>
        <v>0</v>
      </c>
      <c r="F346" s="17">
        <f>$F$339</f>
        <v>3</v>
      </c>
      <c r="G346" s="4" t="inlineStr">
        <is>
          <t>複数回答</t>
        </is>
      </c>
    </row>
    <row r="347" ht="28" customHeight="1">
      <c r="A347" s="4" t="inlineStr">
        <is>
          <t>問40</t>
        </is>
      </c>
      <c r="B347" s="5" t="inlineStr">
        <is>
          <t>災害時に必要だと思う支援は何ですか（あてはまるものすべて）</t>
        </is>
      </c>
      <c r="C347" s="5" t="inlineStr">
        <is>
          <t>その他</t>
        </is>
      </c>
      <c r="D347" s="26" t="n">
        <v>0</v>
      </c>
      <c r="E347" s="18">
        <f>IF($F347=0,0,D347/$F347)</f>
        <v>0</v>
      </c>
      <c r="F347" s="17">
        <f>$F$339</f>
        <v>3</v>
      </c>
      <c r="G347" s="4" t="inlineStr">
        <is>
          <t>複数回答</t>
        </is>
      </c>
    </row>
    <row r="348" ht="28" customHeight="1">
      <c r="A348" s="4" t="inlineStr">
        <is>
          <t>問41</t>
        </is>
      </c>
      <c r="B348" s="5" t="inlineStr">
        <is>
          <t>地域活動や社会参加について、今後参加したいものはありますか（あてはまるものすべて）</t>
        </is>
      </c>
      <c r="C348" s="5" t="inlineStr">
        <is>
          <t>趣味・スポーツ</t>
        </is>
      </c>
      <c r="D348" s="26" t="n">
        <v>1</v>
      </c>
      <c r="E348" s="18">
        <f>IF($F348=0,0,D348/$F348)</f>
        <v>0.333333333333333</v>
      </c>
      <c r="F348" s="26" t="n">
        <v>3</v>
      </c>
      <c r="G348" s="4" t="inlineStr">
        <is>
          <t>複数回答</t>
        </is>
      </c>
    </row>
    <row r="349" ht="28" customHeight="1">
      <c r="A349" s="4" t="inlineStr">
        <is>
          <t>問41</t>
        </is>
      </c>
      <c r="B349" s="5" t="inlineStr">
        <is>
          <t>地域活動や社会参加について、今後参加したいものはありますか（あてはまるものすべて）</t>
        </is>
      </c>
      <c r="C349" s="5" t="inlineStr">
        <is>
          <t>ボランティア</t>
        </is>
      </c>
      <c r="D349" s="26" t="n">
        <v>0</v>
      </c>
      <c r="E349" s="18">
        <f>IF($F349=0,0,D349/$F349)</f>
        <v>0</v>
      </c>
      <c r="F349" s="17">
        <f>$F$348</f>
        <v>3</v>
      </c>
      <c r="G349" s="4" t="inlineStr">
        <is>
          <t>複数回答</t>
        </is>
      </c>
    </row>
    <row r="350" ht="28" customHeight="1">
      <c r="A350" s="4" t="inlineStr">
        <is>
          <t>問41</t>
        </is>
      </c>
      <c r="B350" s="5" t="inlineStr">
        <is>
          <t>地域活動や社会参加について、今後参加したいものはありますか（あてはまるものすべて）</t>
        </is>
      </c>
      <c r="C350" s="5" t="inlineStr">
        <is>
          <t>地域行事</t>
        </is>
      </c>
      <c r="D350" s="26" t="n">
        <v>0</v>
      </c>
      <c r="E350" s="18">
        <f>IF($F350=0,0,D350/$F350)</f>
        <v>0</v>
      </c>
      <c r="F350" s="17">
        <f>$F$348</f>
        <v>3</v>
      </c>
      <c r="G350" s="4" t="inlineStr">
        <is>
          <t>複数回答</t>
        </is>
      </c>
    </row>
    <row r="351" ht="28" customHeight="1">
      <c r="A351" s="4" t="inlineStr">
        <is>
          <t>問41</t>
        </is>
      </c>
      <c r="B351" s="5" t="inlineStr">
        <is>
          <t>地域活動や社会参加について、今後参加したいものはありますか（あてはまるものすべて）</t>
        </is>
      </c>
      <c r="C351" s="5" t="inlineStr">
        <is>
          <t>障がい者団体・家族会</t>
        </is>
      </c>
      <c r="D351" s="26" t="n">
        <v>0</v>
      </c>
      <c r="E351" s="18">
        <f>IF($F351=0,0,D351/$F351)</f>
        <v>0</v>
      </c>
      <c r="F351" s="17">
        <f>$F$348</f>
        <v>3</v>
      </c>
      <c r="G351" s="4" t="inlineStr">
        <is>
          <t>複数回答</t>
        </is>
      </c>
    </row>
    <row r="352" ht="28" customHeight="1">
      <c r="A352" s="4" t="inlineStr">
        <is>
          <t>問41</t>
        </is>
      </c>
      <c r="B352" s="5" t="inlineStr">
        <is>
          <t>地域活動や社会参加について、今後参加したいものはありますか（あてはまるものすべて）</t>
        </is>
      </c>
      <c r="C352" s="5" t="inlineStr">
        <is>
          <t>就労・地域貢献</t>
        </is>
      </c>
      <c r="D352" s="26" t="n">
        <v>0</v>
      </c>
      <c r="E352" s="18">
        <f>IF($F352=0,0,D352/$F352)</f>
        <v>0</v>
      </c>
      <c r="F352" s="17">
        <f>$F$348</f>
        <v>3</v>
      </c>
      <c r="G352" s="4" t="inlineStr">
        <is>
          <t>複数回答</t>
        </is>
      </c>
    </row>
    <row r="353" ht="28" customHeight="1">
      <c r="A353" s="4" t="inlineStr">
        <is>
          <t>問41</t>
        </is>
      </c>
      <c r="B353" s="5" t="inlineStr">
        <is>
          <t>地域活動や社会参加について、今後参加したいものはありますか（あてはまるものすべて）</t>
        </is>
      </c>
      <c r="C353" s="5" t="inlineStr">
        <is>
          <t>学習・講座</t>
        </is>
      </c>
      <c r="D353" s="26" t="n">
        <v>0</v>
      </c>
      <c r="E353" s="18">
        <f>IF($F353=0,0,D353/$F353)</f>
        <v>0</v>
      </c>
      <c r="F353" s="17">
        <f>$F$348</f>
        <v>3</v>
      </c>
      <c r="G353" s="4" t="inlineStr">
        <is>
          <t>複数回答</t>
        </is>
      </c>
    </row>
    <row r="354" ht="28" customHeight="1">
      <c r="A354" s="4" t="inlineStr">
        <is>
          <t>問41</t>
        </is>
      </c>
      <c r="B354" s="5" t="inlineStr">
        <is>
          <t>地域活動や社会参加について、今後参加したいものはありますか（あてはまるものすべて）</t>
        </is>
      </c>
      <c r="C354" s="5" t="inlineStr">
        <is>
          <t>オンラインでの交流</t>
        </is>
      </c>
      <c r="D354" s="26" t="n">
        <v>0</v>
      </c>
      <c r="E354" s="18">
        <f>IF($F354=0,0,D354/$F354)</f>
        <v>0</v>
      </c>
      <c r="F354" s="17">
        <f>$F$348</f>
        <v>3</v>
      </c>
      <c r="G354" s="4" t="inlineStr">
        <is>
          <t>複数回答</t>
        </is>
      </c>
    </row>
    <row r="355" ht="28" customHeight="1">
      <c r="A355" s="4" t="inlineStr">
        <is>
          <t>問41</t>
        </is>
      </c>
      <c r="B355" s="5" t="inlineStr">
        <is>
          <t>地域活動や社会参加について、今後参加したいものはありますか（あてはまるものすべて）</t>
        </is>
      </c>
      <c r="C355" s="5" t="inlineStr">
        <is>
          <t>特にない</t>
        </is>
      </c>
      <c r="D355" s="26" t="n">
        <v>2</v>
      </c>
      <c r="E355" s="18">
        <f>IF($F355=0,0,D355/$F355)</f>
        <v>0.666666666666667</v>
      </c>
      <c r="F355" s="17">
        <f>$F$348</f>
        <v>3</v>
      </c>
      <c r="G355" s="4" t="inlineStr">
        <is>
          <t>複数回答</t>
        </is>
      </c>
    </row>
    <row r="356" ht="28" customHeight="1">
      <c r="A356" s="4" t="inlineStr">
        <is>
          <t>問41</t>
        </is>
      </c>
      <c r="B356" s="5" t="inlineStr">
        <is>
          <t>地域活動や社会参加について、今後参加したいものはありますか（あてはまるものすべて）</t>
        </is>
      </c>
      <c r="C356" s="5" t="inlineStr">
        <is>
          <t>その他</t>
        </is>
      </c>
      <c r="D356" s="26" t="n">
        <v>0</v>
      </c>
      <c r="E356" s="18">
        <f>IF($F356=0,0,D356/$F356)</f>
        <v>0</v>
      </c>
      <c r="F356" s="17">
        <f>$F$348</f>
        <v>3</v>
      </c>
      <c r="G356" s="4" t="inlineStr">
        <is>
          <t>複数回答</t>
        </is>
      </c>
    </row>
    <row r="357" ht="28" customHeight="1">
      <c r="A357" s="4" t="inlineStr">
        <is>
          <t>問42</t>
        </is>
      </c>
      <c r="B357" s="5" t="inlineStr">
        <is>
          <t>障がいへの理解を深めるために必要だと思う取組は何ですか（あてはまるものすべて）</t>
        </is>
      </c>
      <c r="C357" s="5" t="inlineStr">
        <is>
          <t>学校での福祉教育</t>
        </is>
      </c>
      <c r="D357" s="26" t="n">
        <v>3</v>
      </c>
      <c r="E357" s="18">
        <f>IF($F357=0,0,D357/$F357)</f>
        <v>1</v>
      </c>
      <c r="F357" s="26" t="n">
        <v>3</v>
      </c>
      <c r="G357" s="4" t="inlineStr">
        <is>
          <t>複数回答</t>
        </is>
      </c>
    </row>
    <row r="358" ht="28" customHeight="1">
      <c r="A358" s="4" t="inlineStr">
        <is>
          <t>問42</t>
        </is>
      </c>
      <c r="B358" s="5" t="inlineStr">
        <is>
          <t>障がいへの理解を深めるために必要だと思う取組は何ですか（あてはまるものすべて）</t>
        </is>
      </c>
      <c r="C358" s="5" t="inlineStr">
        <is>
          <t>地域住民向けの講座</t>
        </is>
      </c>
      <c r="D358" s="26" t="n">
        <v>1</v>
      </c>
      <c r="E358" s="18">
        <f>IF($F358=0,0,D358/$F358)</f>
        <v>0.333333333333333</v>
      </c>
      <c r="F358" s="17">
        <f>$F$357</f>
        <v>3</v>
      </c>
      <c r="G358" s="4" t="inlineStr">
        <is>
          <t>複数回答</t>
        </is>
      </c>
    </row>
    <row r="359" ht="28" customHeight="1">
      <c r="A359" s="4" t="inlineStr">
        <is>
          <t>問42</t>
        </is>
      </c>
      <c r="B359" s="5" t="inlineStr">
        <is>
          <t>障がいへの理解を深めるために必要だと思う取組は何ですか（あてはまるものすべて）</t>
        </is>
      </c>
      <c r="C359" s="5" t="inlineStr">
        <is>
          <t>事業所・企業への啓発</t>
        </is>
      </c>
      <c r="D359" s="26" t="n">
        <v>1</v>
      </c>
      <c r="E359" s="18">
        <f>IF($F359=0,0,D359/$F359)</f>
        <v>0.333333333333333</v>
      </c>
      <c r="F359" s="17">
        <f>$F$357</f>
        <v>3</v>
      </c>
      <c r="G359" s="4" t="inlineStr">
        <is>
          <t>複数回答</t>
        </is>
      </c>
    </row>
    <row r="360" ht="28" customHeight="1">
      <c r="A360" s="4" t="inlineStr">
        <is>
          <t>問42</t>
        </is>
      </c>
      <c r="B360" s="5" t="inlineStr">
        <is>
          <t>障がいへの理解を深めるために必要だと思う取組は何ですか（あてはまるものすべて）</t>
        </is>
      </c>
      <c r="C360" s="5" t="inlineStr">
        <is>
          <t>広報・ホームページでの情報発信</t>
        </is>
      </c>
      <c r="D360" s="26" t="n">
        <v>0</v>
      </c>
      <c r="E360" s="18">
        <f>IF($F360=0,0,D360/$F360)</f>
        <v>0</v>
      </c>
      <c r="F360" s="17">
        <f>$F$357</f>
        <v>3</v>
      </c>
      <c r="G360" s="4" t="inlineStr">
        <is>
          <t>複数回答</t>
        </is>
      </c>
    </row>
    <row r="361" ht="28" customHeight="1">
      <c r="A361" s="4" t="inlineStr">
        <is>
          <t>問42</t>
        </is>
      </c>
      <c r="B361" s="5" t="inlineStr">
        <is>
          <t>障がいへの理解を深めるために必要だと思う取組は何ですか（あてはまるものすべて）</t>
        </is>
      </c>
      <c r="C361" s="5" t="inlineStr">
        <is>
          <t>交流の場づくり</t>
        </is>
      </c>
      <c r="D361" s="26" t="n">
        <v>0</v>
      </c>
      <c r="E361" s="18">
        <f>IF($F361=0,0,D361/$F361)</f>
        <v>0</v>
      </c>
      <c r="F361" s="17">
        <f>$F$357</f>
        <v>3</v>
      </c>
      <c r="G361" s="4" t="inlineStr">
        <is>
          <t>複数回答</t>
        </is>
      </c>
    </row>
    <row r="362" ht="28" customHeight="1">
      <c r="A362" s="4" t="inlineStr">
        <is>
          <t>問42</t>
        </is>
      </c>
      <c r="B362" s="5" t="inlineStr">
        <is>
          <t>障がいへの理解を深めるために必要だと思う取組は何ですか（あてはまるものすべて）</t>
        </is>
      </c>
      <c r="C362" s="5" t="inlineStr">
        <is>
          <t>障がい当事者の意見発信</t>
        </is>
      </c>
      <c r="D362" s="26" t="n">
        <v>0</v>
      </c>
      <c r="E362" s="18">
        <f>IF($F362=0,0,D362/$F362)</f>
        <v>0</v>
      </c>
      <c r="F362" s="17">
        <f>$F$357</f>
        <v>3</v>
      </c>
      <c r="G362" s="4" t="inlineStr">
        <is>
          <t>複数回答</t>
        </is>
      </c>
    </row>
    <row r="363" ht="28" customHeight="1">
      <c r="A363" s="4" t="inlineStr">
        <is>
          <t>問42</t>
        </is>
      </c>
      <c r="B363" s="5" t="inlineStr">
        <is>
          <t>障がいへの理解を深めるために必要だと思う取組は何ですか（あてはまるものすべて）</t>
        </is>
      </c>
      <c r="C363" s="5" t="inlineStr">
        <is>
          <t>特にない</t>
        </is>
      </c>
      <c r="D363" s="26" t="n">
        <v>0</v>
      </c>
      <c r="E363" s="18">
        <f>IF($F363=0,0,D363/$F363)</f>
        <v>0</v>
      </c>
      <c r="F363" s="17">
        <f>$F$357</f>
        <v>3</v>
      </c>
      <c r="G363" s="4" t="inlineStr">
        <is>
          <t>複数回答</t>
        </is>
      </c>
    </row>
    <row r="364" ht="28" customHeight="1">
      <c r="A364" s="4" t="inlineStr">
        <is>
          <t>問42</t>
        </is>
      </c>
      <c r="B364" s="5" t="inlineStr">
        <is>
          <t>障がいへの理解を深めるために必要だと思う取組は何ですか（あてはまるものすべて）</t>
        </is>
      </c>
      <c r="C364" s="5" t="inlineStr">
        <is>
          <t>その他</t>
        </is>
      </c>
      <c r="D364" s="26" t="n">
        <v>0</v>
      </c>
      <c r="E364" s="18">
        <f>IF($F364=0,0,D364/$F364)</f>
        <v>0</v>
      </c>
      <c r="F364" s="17">
        <f>$F$357</f>
        <v>3</v>
      </c>
      <c r="G364" s="4" t="inlineStr">
        <is>
          <t>複数回答</t>
        </is>
      </c>
    </row>
    <row r="365" ht="28" customHeight="1">
      <c r="A365" s="4" t="inlineStr">
        <is>
          <t>問43</t>
        </is>
      </c>
      <c r="B365" s="5" t="inlineStr">
        <is>
          <t>今後、村が特に力を入れるべきことは何ですか（3つまで）</t>
        </is>
      </c>
      <c r="C365" s="5" t="inlineStr">
        <is>
          <t>相談支援体制</t>
        </is>
      </c>
      <c r="D365" s="26" t="n">
        <v>1</v>
      </c>
      <c r="E365" s="18">
        <f>IF($F365=0,0,D365/$F365)</f>
        <v>0.333333333333333</v>
      </c>
      <c r="F365" s="26" t="n">
        <v>3</v>
      </c>
      <c r="G365" s="4" t="inlineStr">
        <is>
          <t>複数回答</t>
        </is>
      </c>
    </row>
    <row r="366" ht="28" customHeight="1">
      <c r="A366" s="4" t="inlineStr">
        <is>
          <t>問43</t>
        </is>
      </c>
      <c r="B366" s="5" t="inlineStr">
        <is>
          <t>今後、村が特に力を入れるべきことは何ですか（3つまで）</t>
        </is>
      </c>
      <c r="C366" s="5" t="inlineStr">
        <is>
          <t>在宅生活支援</t>
        </is>
      </c>
      <c r="D366" s="26" t="n">
        <v>0</v>
      </c>
      <c r="E366" s="18">
        <f>IF($F366=0,0,D366/$F366)</f>
        <v>0</v>
      </c>
      <c r="F366" s="17">
        <f>$F$365</f>
        <v>3</v>
      </c>
      <c r="G366" s="4" t="inlineStr">
        <is>
          <t>複数回答</t>
        </is>
      </c>
    </row>
    <row r="367" ht="28" customHeight="1">
      <c r="A367" s="4" t="inlineStr">
        <is>
          <t>問43</t>
        </is>
      </c>
      <c r="B367" s="5" t="inlineStr">
        <is>
          <t>今後、村が特に力を入れるべきことは何ですか（3つまで）</t>
        </is>
      </c>
      <c r="C367" s="5" t="inlineStr">
        <is>
          <t>移動支援</t>
        </is>
      </c>
      <c r="D367" s="26" t="n">
        <v>2</v>
      </c>
      <c r="E367" s="18">
        <f>IF($F367=0,0,D367/$F367)</f>
        <v>0.666666666666667</v>
      </c>
      <c r="F367" s="17">
        <f>$F$365</f>
        <v>3</v>
      </c>
      <c r="G367" s="4" t="inlineStr">
        <is>
          <t>複数回答</t>
        </is>
      </c>
    </row>
    <row r="368" ht="28" customHeight="1">
      <c r="A368" s="4" t="inlineStr">
        <is>
          <t>問43</t>
        </is>
      </c>
      <c r="B368" s="5" t="inlineStr">
        <is>
          <t>今後、村が特に力を入れるべきことは何ですか（3つまで）</t>
        </is>
      </c>
      <c r="C368" s="5" t="inlineStr">
        <is>
          <t>就労支援</t>
        </is>
      </c>
      <c r="D368" s="26" t="n">
        <v>2</v>
      </c>
      <c r="E368" s="18">
        <f>IF($F368=0,0,D368/$F368)</f>
        <v>0.666666666666667</v>
      </c>
      <c r="F368" s="17">
        <f>$F$365</f>
        <v>3</v>
      </c>
      <c r="G368" s="4" t="inlineStr">
        <is>
          <t>複数回答</t>
        </is>
      </c>
    </row>
    <row r="369" ht="28" customHeight="1">
      <c r="A369" s="4" t="inlineStr">
        <is>
          <t>問43</t>
        </is>
      </c>
      <c r="B369" s="5" t="inlineStr">
        <is>
          <t>今後、村が特に力を入れるべきことは何ですか（3つまで）</t>
        </is>
      </c>
      <c r="C369" s="5" t="inlineStr">
        <is>
          <t>障がい児支援</t>
        </is>
      </c>
      <c r="D369" s="26" t="n">
        <v>0</v>
      </c>
      <c r="E369" s="18">
        <f>IF($F369=0,0,D369/$F369)</f>
        <v>0</v>
      </c>
      <c r="F369" s="17">
        <f>$F$365</f>
        <v>3</v>
      </c>
      <c r="G369" s="4" t="inlineStr">
        <is>
          <t>複数回答</t>
        </is>
      </c>
    </row>
    <row r="370" ht="28" customHeight="1">
      <c r="A370" s="4" t="inlineStr">
        <is>
          <t>問43</t>
        </is>
      </c>
      <c r="B370" s="5" t="inlineStr">
        <is>
          <t>今後、村が特に力を入れるべきことは何ですか（3つまで）</t>
        </is>
      </c>
      <c r="C370" s="5" t="inlineStr">
        <is>
          <t>医療的ケア児等支援</t>
        </is>
      </c>
      <c r="D370" s="26" t="n">
        <v>1</v>
      </c>
      <c r="E370" s="18">
        <f>IF($F370=0,0,D370/$F370)</f>
        <v>0.333333333333333</v>
      </c>
      <c r="F370" s="17">
        <f>$F$365</f>
        <v>3</v>
      </c>
      <c r="G370" s="4" t="inlineStr">
        <is>
          <t>複数回答</t>
        </is>
      </c>
    </row>
    <row r="371" ht="28" customHeight="1">
      <c r="A371" s="4" t="inlineStr">
        <is>
          <t>問43</t>
        </is>
      </c>
      <c r="B371" s="5" t="inlineStr">
        <is>
          <t>今後、村が特に力を入れるべきことは何ですか（3つまで）</t>
        </is>
      </c>
      <c r="C371" s="5" t="inlineStr">
        <is>
          <t>災害時支援</t>
        </is>
      </c>
      <c r="D371" s="26" t="n">
        <v>1</v>
      </c>
      <c r="E371" s="18">
        <f>IF($F371=0,0,D371/$F371)</f>
        <v>0.333333333333333</v>
      </c>
      <c r="F371" s="17">
        <f>$F$365</f>
        <v>3</v>
      </c>
      <c r="G371" s="4" t="inlineStr">
        <is>
          <t>複数回答</t>
        </is>
      </c>
    </row>
    <row r="372" ht="28" customHeight="1">
      <c r="A372" s="4" t="inlineStr">
        <is>
          <t>問43</t>
        </is>
      </c>
      <c r="B372" s="5" t="inlineStr">
        <is>
          <t>今後、村が特に力を入れるべきことは何ですか（3つまで）</t>
        </is>
      </c>
      <c r="C372" s="5" t="inlineStr">
        <is>
          <t>差別解消・権利擁護</t>
        </is>
      </c>
      <c r="D372" s="26" t="n">
        <v>1</v>
      </c>
      <c r="E372" s="18">
        <f>IF($F372=0,0,D372/$F372)</f>
        <v>0.333333333333333</v>
      </c>
      <c r="F372" s="17">
        <f>$F$365</f>
        <v>3</v>
      </c>
      <c r="G372" s="4" t="inlineStr">
        <is>
          <t>複数回答</t>
        </is>
      </c>
    </row>
    <row r="373" ht="28" customHeight="1">
      <c r="A373" s="4" t="inlineStr">
        <is>
          <t>問43</t>
        </is>
      </c>
      <c r="B373" s="5" t="inlineStr">
        <is>
          <t>今後、村が特に力を入れるべきことは何ですか（3つまで）</t>
        </is>
      </c>
      <c r="C373" s="5" t="inlineStr">
        <is>
          <t>家族支援</t>
        </is>
      </c>
      <c r="D373" s="26" t="n">
        <v>0</v>
      </c>
      <c r="E373" s="18">
        <f>IF($F373=0,0,D373/$F373)</f>
        <v>0</v>
      </c>
      <c r="F373" s="17">
        <f>$F$365</f>
        <v>3</v>
      </c>
      <c r="G373" s="4" t="inlineStr">
        <is>
          <t>複数回答</t>
        </is>
      </c>
    </row>
    <row r="374" ht="28" customHeight="1">
      <c r="A374" s="4" t="inlineStr">
        <is>
          <t>問43</t>
        </is>
      </c>
      <c r="B374" s="5" t="inlineStr">
        <is>
          <t>今後、村が特に力を入れるべきことは何ですか（3つまで）</t>
        </is>
      </c>
      <c r="C374" s="5" t="inlineStr">
        <is>
          <t>サービス事業所の確保</t>
        </is>
      </c>
      <c r="D374" s="26" t="n">
        <v>1</v>
      </c>
      <c r="E374" s="18">
        <f>IF($F374=0,0,D374/$F374)</f>
        <v>0.333333333333333</v>
      </c>
      <c r="F374" s="17">
        <f>$F$365</f>
        <v>3</v>
      </c>
      <c r="G374" s="4" t="inlineStr">
        <is>
          <t>複数回答</t>
        </is>
      </c>
    </row>
    <row r="375" ht="28" customHeight="1">
      <c r="A375" s="4" t="inlineStr">
        <is>
          <t>問43</t>
        </is>
      </c>
      <c r="B375" s="5" t="inlineStr">
        <is>
          <t>今後、村が特に力を入れるべきことは何ですか（3つまで）</t>
        </is>
      </c>
      <c r="C375" s="5" t="inlineStr">
        <is>
          <t>同じ立場の保護者や経験者に相談できる場の設定</t>
        </is>
      </c>
      <c r="D375" s="26" t="n">
        <v>0</v>
      </c>
      <c r="E375" s="18">
        <f>IF($F375=0,0,D375/$F375)</f>
        <v>0</v>
      </c>
      <c r="F375" s="17">
        <f>$F$365</f>
        <v>3</v>
      </c>
      <c r="G375" s="4" t="inlineStr">
        <is>
          <t>複数回答</t>
        </is>
      </c>
    </row>
    <row r="376" ht="28" customHeight="1">
      <c r="A376" s="4" t="inlineStr">
        <is>
          <t>問43</t>
        </is>
      </c>
      <c r="B376" s="5" t="inlineStr">
        <is>
          <t>今後、村が特に力を入れるべきことは何ですか（3つまで）</t>
        </is>
      </c>
      <c r="C376" s="5" t="inlineStr">
        <is>
          <t>その他</t>
        </is>
      </c>
      <c r="D376" s="26" t="n">
        <v>0</v>
      </c>
      <c r="E376" s="18">
        <f>IF($F376=0,0,D376/$F376)</f>
        <v>0</v>
      </c>
      <c r="F376" s="17">
        <f>$F$365</f>
        <v>3</v>
      </c>
      <c r="G376" s="4" t="inlineStr">
        <is>
          <t>複数回答</t>
        </is>
      </c>
    </row>
  </sheetData>
  <autoFilter ref="A4:G37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2026-10-02T11:43:26Z</dcterms:created>
  <dcterms:modified xmlns:dcterms="http://purl.org/dc/terms/" xmlns:xsi="http://www.w3.org/2001/XMLSchema-instance" xsi:type="dcterms:W3CDTF">2026-10-02T11:43:27Z</dcterms:modified>
</cp:coreProperties>
</file>