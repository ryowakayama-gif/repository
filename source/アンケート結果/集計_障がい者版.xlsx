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cf6ae683e34b2e" /></Relationships>
</file>

<file path=xl/workbook.xml><?xml version="1.0" encoding="utf-8"?>
<x:workbook xmlns:x="http://schemas.openxmlformats.org/spreadsheetml/2006/main">
  <x:sheets>
    <x:sheet xmlns:r="http://schemas.openxmlformats.org/officeDocument/2006/relationships" name="データ" sheetId="1" r:id="R8b666f9565b44165"/>
    <x:sheet xmlns:r="http://schemas.openxmlformats.org/officeDocument/2006/relationships" name="SurveyApp_Metadata" sheetId="2" r:id="Rbacd9df739684813"/>
    <x:sheet xmlns:r="http://schemas.openxmlformats.org/officeDocument/2006/relationships" name="概要" sheetId="3" r:id="Rde224ff0051f4928"/>
    <x:sheet xmlns:r="http://schemas.openxmlformats.org/officeDocument/2006/relationships" name="単純集計" sheetId="4" r:id="R4671e6e2a28f4a03"/>
    <x:sheet xmlns:r="http://schemas.openxmlformats.org/officeDocument/2006/relationships" name="自由記述" sheetId="5" r:id="Rb94704afd40f4020"/>
    <x:sheet xmlns:r="http://schemas.openxmlformats.org/officeDocument/2006/relationships" name="C01_障がい×今後サービス" sheetId="6" r:id="R5a1fa8f20dd64248"/>
    <x:sheet xmlns:r="http://schemas.openxmlformats.org/officeDocument/2006/relationships" name="C02_地区×外出困難" sheetId="7" r:id="R3d339c2f56ab41ac"/>
    <x:sheet xmlns:r="http://schemas.openxmlformats.org/officeDocument/2006/relationships" name="C03_地区×利用困難理由" sheetId="8" r:id="R71d3dd044705447d"/>
    <x:sheet xmlns:r="http://schemas.openxmlformats.org/officeDocument/2006/relationships" name="C04_現在暮らし×将来" sheetId="9" r:id="R7962f8fd2f964e3f"/>
    <x:sheet xmlns:r="http://schemas.openxmlformats.org/officeDocument/2006/relationships" name="C05_年齢×生活課題" sheetId="10" r:id="R0c4e286c1bad40aa"/>
    <x:sheet xmlns:r="http://schemas.openxmlformats.org/officeDocument/2006/relationships" name="C06_日中活動×希望" sheetId="11" r:id="Rfd0f5296490041ed"/>
    <x:sheet xmlns:r="http://schemas.openxmlformats.org/officeDocument/2006/relationships" name="C07_避難計画×災害不安" sheetId="12" r:id="Ra678894a38da41ec"/>
    <x:sheet xmlns:r="http://schemas.openxmlformats.org/officeDocument/2006/relationships" name="C08_障がい×合理的配慮" sheetId="13" r:id="R8437d9d5b69c444e"/>
    <x:sheet xmlns:r="http://schemas.openxmlformats.org/officeDocument/2006/relationships" name="C09_相談先×相談期待" sheetId="14" r:id="R520f7f37a641426c"/>
    <x:sheet xmlns:r="http://schemas.openxmlformats.org/officeDocument/2006/relationships" name="C10_介助者×拠点期待" sheetId="15" r:id="R50059f31be024716"/>
  </x:sheets>
</x:workbook>
</file>

<file path=xl/sharedStrings.xml><?xml version="1.0" encoding="utf-8"?>
<x:sst xmlns:x="http://schemas.openxmlformats.org/spreadsheetml/2006/main">
  <x:si>
    <x:t xml:space="preserve">NO</x:t>
  </x:si>
  <x:si>
    <x:t xml:space="preserve">追加１</x:t>
  </x:si>
  <x:si>
    <x:t xml:space="preserve">追加２</x:t>
  </x:si>
  <x:si>
    <x:t xml:space="preserve">追加３</x:t>
  </x:si>
  <x:si>
    <x:t xml:space="preserve">追加４</x:t>
  </x:si>
  <x:si>
    <x:t xml:space="preserve">追加５</x:t>
  </x:si>
  <x:si>
    <x:t xml:space="preserve">追加６</x:t>
  </x:si>
  <x:si>
    <x:t xml:space="preserve">追加７</x:t>
  </x:si>
  <x:si>
    <x:t xml:space="preserve">追加８</x:t>
  </x:si>
  <x:si>
    <x:t xml:space="preserve">追加９</x:t>
  </x:si>
  <x:si>
    <x:t xml:space="preserve">追加１０</x:t>
  </x:si>
  <x:si>
    <x:t xml:space="preserve">問1</x:t>
  </x:si>
  <x:si>
    <x:t xml:space="preserve">問1-2</x:t>
  </x:si>
  <x:si>
    <x:t xml:space="preserve">問2</x:t>
  </x:si>
  <x:si>
    <x:t xml:space="preserve">問3</x:t>
  </x:si>
  <x:si>
    <x:t xml:space="preserve">問4</x:t>
  </x:si>
  <x:si>
    <x:t xml:space="preserve">問5</x:t>
  </x:si>
  <x:si>
    <x:t xml:space="preserve">問6</x:t>
  </x:si>
  <x:si>
    <x:t xml:space="preserve">問7</x:t>
  </x:si>
  <x:si>
    <x:t xml:space="preserve">問8</x:t>
  </x:si>
  <x:si>
    <x:t xml:space="preserve">問9</x:t>
  </x:si>
  <x:si>
    <x:t xml:space="preserve">問10</x:t>
  </x:si>
  <x:si>
    <x:t xml:space="preserve">問10-2</x:t>
  </x:si>
  <x:si>
    <x:t xml:space="preserve">問11</x:t>
  </x:si>
  <x:si>
    <x:t xml:space="preserve">問12</x:t>
  </x:si>
  <x:si>
    <x:t xml:space="preserve">問13</x:t>
  </x:si>
  <x:si>
    <x:t xml:space="preserve">問14</x:t>
  </x:si>
  <x:si>
    <x:t xml:space="preserve">問15</x:t>
  </x:si>
  <x:si>
    <x:t xml:space="preserve">問16</x:t>
  </x:si>
  <x:si>
    <x:t xml:space="preserve">問17</x:t>
  </x:si>
  <x:si>
    <x:t xml:space="preserve">問18</x:t>
  </x:si>
  <x:si>
    <x:t xml:space="preserve">問19</x:t>
  </x:si>
  <x:si>
    <x:t xml:space="preserve">問20</x:t>
  </x:si>
  <x:si>
    <x:t xml:space="preserve">問21</x:t>
  </x:si>
  <x:si>
    <x:t xml:space="preserve">問22</x:t>
  </x:si>
  <x:si>
    <x:t xml:space="preserve">問23</x:t>
  </x:si>
  <x:si>
    <x:t xml:space="preserve">問24</x:t>
  </x:si>
  <x:si>
    <x:t xml:space="preserve">問25</x:t>
  </x:si>
  <x:si>
    <x:t xml:space="preserve">問26</x:t>
  </x:si>
  <x:si>
    <x:t xml:space="preserve">問27-1</x:t>
  </x:si>
  <x:si>
    <x:t xml:space="preserve">問27-2</x:t>
  </x:si>
  <x:si>
    <x:t xml:space="preserve">問27-3</x:t>
  </x:si>
  <x:si>
    <x:t xml:space="preserve">問28</x:t>
  </x:si>
  <x:si>
    <x:t xml:space="preserve">問29</x:t>
  </x:si>
  <x:si>
    <x:t xml:space="preserve">問30</x:t>
  </x:si>
  <x:si>
    <x:t xml:space="preserve">問31</x:t>
  </x:si>
  <x:si>
    <x:t xml:space="preserve">問32</x:t>
  </x:si>
  <x:si>
    <x:t xml:space="preserve">問33</x:t>
  </x:si>
  <x:si>
    <x:t xml:space="preserve">問34</x:t>
  </x:si>
  <x:si>
    <x:t xml:space="preserve">問35</x:t>
  </x:si>
  <x:si>
    <x:t xml:space="preserve">問36</x:t>
  </x:si>
  <x:si>
    <x:t xml:space="preserve">問37</x:t>
  </x:si>
  <x:si>
    <x:t xml:space="preserve">問38</x:t>
  </x:si>
  <x:si>
    <x:t xml:space="preserve">問39</x:t>
  </x:si>
  <x:si>
    <x:t xml:space="preserve">問40</x:t>
  </x:si>
  <x:si>
    <x:t xml:space="preserve">問41</x:t>
  </x:si>
  <x:si>
    <x:t xml:space="preserve">問42</x:t>
  </x:si>
  <x:si>
    <x:t xml:space="preserve">問43</x:t>
  </x:si>
  <x:si>
    <x:t xml:space="preserve">問44</x:t>
  </x:si>
  <x:si>
    <x:t xml:space="preserve">問45</x:t>
  </x:si>
  <x:si>
    <x:t xml:space="preserve">この調査票を記入された方はどなたですか</x:t>
  </x:si>
  <x:si>
    <x:t xml:space="preserve">この回答は、宛名のご本人の意向をどのように反映していますか</x:t>
  </x:si>
  <x:si>
    <x:t xml:space="preserve">あなた（宛名の方）の年齢を教えてください</x:t>
  </x:si>
  <x:si>
    <x:t xml:space="preserve">あなたのお住まいの地区を教えてください</x:t>
  </x:si>
  <x:si>
    <x:t xml:space="preserve">あなたの性別を教えてください</x:t>
  </x:si>
  <x:si>
    <x:t xml:space="preserve">お持ちの手帳等を教えてください（あてはまるものすべて）</x:t>
  </x:si>
  <x:si>
    <x:t xml:space="preserve">主たる障がい種別を1つ選ぶとすれば、どれにあたりますか</x:t>
  </x:si>
  <x:si>
    <x:t xml:space="preserve">現在、どこで暮らしていますか</x:t>
  </x:si>
  <x:si>
    <x:t xml:space="preserve">現在一緒に暮らしている方を教えてください（あてはまるものすべて）</x:t>
  </x:si>
  <x:si>
    <x:t xml:space="preserve">日常生活で主に支援・介助してくれる方はどなたですか（あてはまるものすべて）</x:t>
  </x:si>
  <x:si>
    <x:t xml:space="preserve">日常生活で困っていることは何ですか（あてはまるものすべて）</x:t>
  </x:si>
  <x:si>
    <x:t xml:space="preserve">困っていることについて、自由に記入してください</x:t>
  </x:si>
  <x:si>
    <x:t xml:space="preserve">将来、どのような暮らし方を希望しますか</x:t>
  </x:si>
  <x:si>
    <x:t xml:space="preserve">外出の頻度を教えてください</x:t>
  </x:si>
  <x:si>
    <x:t xml:space="preserve">外出時の主な移動手段を教えてください（あてはまるものすべて）</x:t>
  </x:si>
  <x:si>
    <x:t xml:space="preserve">外出するときに困ることは何ですか（あてはまるものすべて）</x:t>
  </x:si>
  <x:si>
    <x:t xml:space="preserve">現在、定期的に通院していますか</x:t>
  </x:si>
  <x:si>
    <x:t xml:space="preserve">通院や医療で困っていることはありますか（あてはまるものすべて）</x:t>
  </x:si>
  <x:si>
    <x:t xml:space="preserve">医療的ケアを必要としていますか（あてはまるものすべて）</x:t>
  </x:si>
  <x:si>
    <x:t xml:space="preserve">医療的ケアや重い障がいに関して、必要だと思う支援は何ですか（あてはまるものすべて）</x:t>
  </x:si>
  <x:si>
    <x:t xml:space="preserve">強度行動障がい支援（自傷や強いこだわり、パニックがある方）に関して、必要だと思う支援は何ですか（あてはまるものすべて）</x:t>
  </x:si>
  <x:si>
    <x:t xml:space="preserve">高次脳機能障がい支援に関して、必要だと思う支援は何ですか（あてはまるものすべて）</x:t>
  </x:si>
  <x:si>
    <x:t xml:space="preserve">意思決定支援（本人が自分の希望を伝え、選択していくための支援）に関して、必要だと思う支援は何ですか</x:t>
  </x:si>
  <x:si>
    <x:t xml:space="preserve">困ったときに相談する相手・場所はどこですか（あてはまるものすべて）</x:t>
  </x:si>
  <x:si>
    <x:t xml:space="preserve">相談しにくい、又は相談できない理由は何ですか（あてはまるものすべて）</x:t>
  </x:si>
  <x:si>
    <x:t xml:space="preserve">同じ障がいのある人（ピアサポーター）に相談をしたいと感じますか</x:t>
  </x:si>
  <x:si>
    <x:t xml:space="preserve">福祉に関する情報はどこから得ていますか（あてはまるものすべて）</x:t>
  </x:si>
  <x:si>
    <x:t xml:space="preserve">相談支援に期待することは何ですか（あてはまるものすべて）</x:t>
  </x:si>
  <x:si>
    <x:t xml:space="preserve">現在利用しているサービスを選んでください（あてはまるものすべて）</x:t>
  </x:si>
  <x:si>
    <x:t xml:space="preserve">内容をよく知らないサービスがあれば選んでください（あてはまるものすべて）</x:t>
  </x:si>
  <x:si>
    <x:t xml:space="preserve">今後3年間で利用したい、または利用を続けたいサービスを選んでください（あてはまるものすべて）</x:t>
  </x:si>
  <x:si>
    <x:t xml:space="preserve">サービスを利用したいが利用できない理由は何ですか（あてはまるものすべて）</x:t>
  </x:si>
  <x:si>
    <x:t xml:space="preserve">緊急時の相談や短期入所など支援を行う地域生活支援拠点について期待する機能は何ですか（あてはまるものすべて）</x:t>
  </x:si>
  <x:si>
    <x:t xml:space="preserve">今利用している福祉サービスに満足していますか</x:t>
  </x:si>
  <x:si>
    <x:t xml:space="preserve">現在の日中の過ごし方を教えてください</x:t>
  </x:si>
  <x:si>
    <x:t xml:space="preserve">今後希望する日中活動・働き方を教えてください</x:t>
  </x:si>
  <x:si>
    <x:t xml:space="preserve">働くため、又は日中活動を続けるために必要な支援は何ですか（あてはまるものすべて）</x:t>
  </x:si>
  <x:si>
    <x:t xml:space="preserve">障がいがあることで差別や偏見、不利益を感じたことはありますか</x:t>
  </x:si>
  <x:si>
    <x:t xml:space="preserve">差別や偏見、不利益を感じた場面はありますか（あてはまるものすべて）</x:t>
  </x:si>
  <x:si>
    <x:t xml:space="preserve">障がいのある人が利用しやすくするための配慮（合理的配慮）として必要だと思うことは何ですか（あてはまるものすべて）</x:t>
  </x:si>
  <x:si>
    <x:t xml:space="preserve">成年後見制度や権利擁護支援について知っていますか</x:t>
  </x:si>
  <x:si>
    <x:t xml:space="preserve">災害時に不安なことは何ですか（あてはまるものすべて）</x:t>
  </x:si>
  <x:si>
    <x:t xml:space="preserve">避難行動要支援者名簿や個別避難計画について知っていますか</x:t>
  </x:si>
  <x:si>
    <x:t xml:space="preserve">災害時に支援してくれる人や機関はありますか（あてはまるものすべて）</x:t>
  </x:si>
  <x:si>
    <x:t xml:space="preserve">災害時に必要だと思う支援は何ですか（あてはまるものすべて）</x:t>
  </x:si>
  <x:si>
    <x:t xml:space="preserve">地域活動や社会参加について、今後参加したいものはありますか（あてはまるものすべて）</x:t>
  </x:si>
  <x:si>
    <x:t xml:space="preserve">障がいへの理解を深めるために必要だと思う取組は何ですか（あてはまるものすべて）</x:t>
  </x:si>
  <x:si>
    <x:t xml:space="preserve">今後、村が特に力を入れるべきことは何ですか（3つまで）</x:t>
  </x:si>
  <x:si>
    <x:t xml:space="preserve">障がい福祉や暮らしについて、ご意見・ご要望があれば自由に記入してください</x:t>
  </x:si>
  <x:si>
    <x:t xml:space="preserve">宛名のご本人</x:t>
  </x:si>
  <x:si>
    <x:t xml:space="preserve">ご家族</x:t>
  </x:si>
  <x:si>
    <x:t xml:space="preserve">支援者・事業所職員</x:t>
  </x:si>
  <x:si>
    <x:t xml:space="preserve">その他</x:t>
  </x:si>
  <x:si>
    <x:t xml:space="preserve">本人が回答した</x:t>
  </x:si>
  <x:si>
    <x:t xml:space="preserve">本人に確認して代理記入した</x:t>
  </x:si>
  <x:si>
    <x:t xml:space="preserve">本人の様子や日頃の意向を踏まえて代理記入した</x:t>
  </x:si>
  <x:si>
    <x:t xml:space="preserve">本人に確認することが難しく、家族・支援者の判断で記入した</x:t>
  </x:si>
  <x:si>
    <x:t xml:space="preserve">18～29歳</x:t>
  </x:si>
  <x:si>
    <x:t xml:space="preserve">30～39歳</x:t>
  </x:si>
  <x:si>
    <x:t xml:space="preserve">40～49歳</x:t>
  </x:si>
  <x:si>
    <x:t xml:space="preserve">50～64歳</x:t>
  </x:si>
  <x:si>
    <x:t xml:space="preserve">65歳以上</x:t>
  </x:si>
  <x:si>
    <x:t xml:space="preserve">北山地区</x:t>
  </x:si>
  <x:si>
    <x:t xml:space="preserve">大塩地区</x:t>
  </x:si>
  <x:si>
    <x:t xml:space="preserve">桧原地区</x:t>
  </x:si>
  <x:si>
    <x:t xml:space="preserve">裏磐梯地区</x:t>
  </x:si>
  <x:si>
    <x:t xml:space="preserve">男性</x:t>
  </x:si>
  <x:si>
    <x:t xml:space="preserve">女性</x:t>
  </x:si>
  <x:si>
    <x:t xml:space="preserve">回答しない</x:t>
  </x:si>
  <x:si>
    <x:t xml:space="preserve">身体障がい者手帳</x:t>
  </x:si>
  <x:si>
    <x:t xml:space="preserve">療育手帳</x:t>
  </x:si>
  <x:si>
    <x:t xml:space="preserve">精神障がい者保健福祉手帳</x:t>
  </x:si>
  <x:si>
    <x:t xml:space="preserve">自立支援医療受給者証</x:t>
  </x:si>
  <x:si>
    <x:t xml:space="preserve">難病に関する医療受給者証等</x:t>
  </x:si>
  <x:si>
    <x:t xml:space="preserve">手帳等は持っていないが障がい福祉サービスを利用している</x:t>
  </x:si>
  <x:si>
    <x:t xml:space="preserve">身体障がい</x:t>
  </x:si>
  <x:si>
    <x:t xml:space="preserve">知的障がい</x:t>
  </x:si>
  <x:si>
    <x:t xml:space="preserve">精神障がい</x:t>
  </x:si>
  <x:si>
    <x:t xml:space="preserve">発達障がい</x:t>
  </x:si>
  <x:si>
    <x:t xml:space="preserve">難病</x:t>
  </x:si>
  <x:si>
    <x:t xml:space="preserve">高次脳機能障がい</x:t>
  </x:si>
  <x:si>
    <x:t xml:space="preserve">重症心身障がい</x:t>
  </x:si>
  <x:si>
    <x:t xml:space="preserve">わからない・その他</x:t>
  </x:si>
  <x:si>
    <x:t xml:space="preserve">自宅で家族と暮らしている</x:t>
  </x:si>
  <x:si>
    <x:t xml:space="preserve">自宅で一人暮らし</x:t>
  </x:si>
  <x:si>
    <x:t xml:space="preserve">グループホーム</x:t>
  </x:si>
  <x:si>
    <x:t xml:space="preserve">障がい者支援施設</x:t>
  </x:si>
  <x:si>
    <x:t xml:space="preserve">病院に入院中</x:t>
  </x:si>
  <x:si>
    <x:t xml:space="preserve">高齢者施設等</x:t>
  </x:si>
  <x:si>
    <x:t xml:space="preserve">一人暮らし</x:t>
  </x:si>
  <x:si>
    <x:t xml:space="preserve">配偶者</x:t>
  </x:si>
  <x:si>
    <x:t xml:space="preserve">親</x:t>
  </x:si>
  <x:si>
    <x:t xml:space="preserve">子ども</x:t>
  </x:si>
  <x:si>
    <x:t xml:space="preserve">兄弟姉妹</x:t>
  </x:si>
  <x:si>
    <x:t xml:space="preserve">祖父母</x:t>
  </x:si>
  <x:si>
    <x:t xml:space="preserve">介助は必要ない</x:t>
  </x:si>
  <x:si>
    <x:t xml:space="preserve">その他の親族</x:t>
  </x:si>
  <x:si>
    <x:t xml:space="preserve">ホームヘルパー等</x:t>
  </x:si>
  <x:si>
    <x:t xml:space="preserve">施設・事業所職員</x:t>
  </x:si>
  <x:si>
    <x:t xml:space="preserve">主な支援者はいない</x:t>
  </x:si>
  <x:si>
    <x:t xml:space="preserve">家事</x:t>
  </x:si>
  <x:si>
    <x:t xml:space="preserve">食事</x:t>
  </x:si>
  <x:si>
    <x:t xml:space="preserve">入浴</x:t>
  </x:si>
  <x:si>
    <x:t xml:space="preserve">排せつ</x:t>
  </x:si>
  <x:si>
    <x:t xml:space="preserve">服薬管理</x:t>
  </x:si>
  <x:si>
    <x:t xml:space="preserve">金銭管理</x:t>
  </x:si>
  <x:si>
    <x:t xml:space="preserve">通院</x:t>
  </x:si>
  <x:si>
    <x:t xml:space="preserve">外出・移動</x:t>
  </x:si>
  <x:si>
    <x:t xml:space="preserve">買い物</x:t>
  </x:si>
  <x:si>
    <x:t xml:space="preserve">災害時の避難</x:t>
  </x:si>
  <x:si>
    <x:t xml:space="preserve">相談先がない</x:t>
  </x:si>
  <x:si>
    <x:t xml:space="preserve">将来の生活</x:t>
  </x:si>
  <x:si>
    <x:t xml:space="preserve">特にない</x:t>
  </x:si>
  <x:si>
    <x:t xml:space="preserve">困りごと自由記述</x:t>
  </x:si>
  <x:si>
    <x:t xml:space="preserve">今の自宅で暮らしたい</x:t>
  </x:si>
  <x:si>
    <x:t xml:space="preserve">家族と一緒に暮らしたい</x:t>
  </x:si>
  <x:si>
    <x:t xml:space="preserve">一人暮らしをしたい</x:t>
  </x:si>
  <x:si>
    <x:t xml:space="preserve">グループホームで暮らしたい</x:t>
  </x:si>
  <x:si>
    <x:t xml:space="preserve">施設で暮らしたい</x:t>
  </x:si>
  <x:si>
    <x:t xml:space="preserve">病院・施設から地域で暮らしたい</x:t>
  </x:si>
  <x:si>
    <x:t xml:space="preserve">まだわからない</x:t>
  </x:si>
  <x:si>
    <x:t xml:space="preserve">ほぼ毎日</x:t>
  </x:si>
  <x:si>
    <x:t xml:space="preserve">週に2～4回</x:t>
  </x:si>
  <x:si>
    <x:t xml:space="preserve">週に1回程度</x:t>
  </x:si>
  <x:si>
    <x:t xml:space="preserve">月に数回</x:t>
  </x:si>
  <x:si>
    <x:t xml:space="preserve">ほとんど外出しない</x:t>
  </x:si>
  <x:si>
    <x:t xml:space="preserve">自分で運転</x:t>
  </x:si>
  <x:si>
    <x:t xml:space="preserve">家族・知人の送迎</x:t>
  </x:si>
  <x:si>
    <x:t xml:space="preserve">徒歩</x:t>
  </x:si>
  <x:si>
    <x:t xml:space="preserve">自転車</x:t>
  </x:si>
  <x:si>
    <x:t xml:space="preserve">路線バス</x:t>
  </x:si>
  <x:si>
    <x:t xml:space="preserve">タクシー</x:t>
  </x:si>
  <x:si>
    <x:t xml:space="preserve">福祉タクシー等</x:t>
  </x:si>
  <x:si>
    <x:t xml:space="preserve">事業所・施設の送迎</x:t>
  </x:si>
  <x:si>
    <x:t xml:space="preserve">交通手段が少ない</x:t>
  </x:si>
  <x:si>
    <x:t xml:space="preserve">家族等の付き添いが必要</x:t>
  </x:si>
  <x:si>
    <x:t xml:space="preserve">送迎がない</x:t>
  </x:si>
  <x:si>
    <x:t xml:space="preserve">冬季・積雪時に外出しにくい</x:t>
  </x:si>
  <x:si>
    <x:t xml:space="preserve">道路・建物が利用しにくい</x:t>
  </x:si>
  <x:si>
    <x:t xml:space="preserve">周囲の理解が不安</x:t>
  </x:si>
  <x:si>
    <x:t xml:space="preserve">体調面が不安</x:t>
  </x:si>
  <x:si>
    <x:t xml:space="preserve">費用がかかる</x:t>
  </x:si>
  <x:si>
    <x:t xml:space="preserve">特に困らない</x:t>
  </x:si>
  <x:si>
    <x:t xml:space="preserve">通院している</x:t>
  </x:si>
  <x:si>
    <x:t xml:space="preserve">通院していない</x:t>
  </x:si>
  <x:si>
    <x:t xml:space="preserve">訪問診療・往診を受けている</x:t>
  </x:si>
  <x:si>
    <x:t xml:space="preserve">わからない</x:t>
  </x:si>
  <x:si>
    <x:t xml:space="preserve">専門医療機関が遠い</x:t>
  </x:si>
  <x:si>
    <x:t xml:space="preserve">通院の交通手段がない</x:t>
  </x:si>
  <x:si>
    <x:t xml:space="preserve">付き添いが必要</x:t>
  </x:si>
  <x:si>
    <x:t xml:space="preserve">医療費や交通費の負担が大きい</x:t>
  </x:si>
  <x:si>
    <x:t xml:space="preserve">予約・受診手続きが難しい</x:t>
  </x:si>
  <x:si>
    <x:t xml:space="preserve">緊急時の対応が不安</x:t>
  </x:si>
  <x:si>
    <x:t xml:space="preserve">特に困っていない</x:t>
  </x:si>
  <x:si>
    <x:t xml:space="preserve">必要としていない</x:t>
  </x:si>
  <x:si>
    <x:t xml:space="preserve">吸引</x:t>
  </x:si>
  <x:si>
    <x:t xml:space="preserve">酸素療法</x:t>
  </x:si>
  <x:si>
    <x:t xml:space="preserve">人工呼吸器（レスピレーター）</x:t>
  </x:si>
  <x:si>
    <x:t xml:space="preserve">導尿</x:t>
  </x:si>
  <x:si>
    <x:t xml:space="preserve">ストマ（人工肛門・人工膀胱）</x:t>
  </x:si>
  <x:si>
    <x:t xml:space="preserve">服薬管理等の継続支援</x:t>
  </x:si>
  <x:si>
    <x:t xml:space="preserve">気管切開</x:t>
  </x:si>
  <x:si>
    <x:t xml:space="preserve">胃ろう・腸ろう</x:t>
  </x:si>
  <x:si>
    <x:t xml:space="preserve">鼻腔管栄養</x:t>
  </x:si>
  <x:si>
    <x:t xml:space="preserve">中心静脈栄養（IVH）</x:t>
  </x:si>
  <x:si>
    <x:t xml:space="preserve">透析</x:t>
  </x:si>
  <x:si>
    <x:t xml:space="preserve">カテーテル留置</x:t>
  </x:si>
  <x:si>
    <x:t xml:space="preserve">身近な相談先</x:t>
  </x:si>
  <x:si>
    <x:t xml:space="preserve">通所先での医療的ケア対応</x:t>
  </x:si>
  <x:si>
    <x:t xml:space="preserve">短期入所・レスパイトケア</x:t>
  </x:si>
  <x:si>
    <x:t xml:space="preserve">訪問看護等との連携</x:t>
  </x:si>
  <x:si>
    <x:t xml:space="preserve">災害時の電源・医療機器対応</x:t>
  </x:si>
  <x:si>
    <x:t xml:space="preserve">家族の負担軽減</x:t>
  </x:si>
  <x:si>
    <x:t xml:space="preserve">ヘルパーやスタッフの派遣・増員</x:t>
  </x:si>
  <x:si>
    <x:t xml:space="preserve">パニック時や緊急時に一時的に受け入れてくれる施設の整備</x:t>
  </x:si>
  <x:si>
    <x:t xml:space="preserve">自宅以外で落ち着いて過ごせる居場所や日中活動の場の確保</x:t>
  </x:si>
  <x:si>
    <x:t xml:space="preserve">医療機関や発達障害支援センターなどの専門機関との連携強化</x:t>
  </x:si>
  <x:si>
    <x:t xml:space="preserve">家族（介護者）が対応方法を学ぶための研修や、悩みを相談できる機会の提供</x:t>
  </x:si>
  <x:si>
    <x:t xml:space="preserve">必要である（現在すでに支援を受けている、または今後受けたい）</x:t>
  </x:si>
  <x:si>
    <x:t xml:space="preserve">今は必要ないが、将来的には必要になると思う</x:t>
  </x:si>
  <x:si>
    <x:t xml:space="preserve">必要ない（自分や家族等と相談して意思決定ができる）</x:t>
  </x:si>
  <x:si>
    <x:t xml:space="preserve">わからない（意思決定支援がどのようなものか知らない）</x:t>
  </x:si>
  <x:si>
    <x:t xml:space="preserve">家族・親族</x:t>
  </x:si>
  <x:si>
    <x:t xml:space="preserve">友人・知人</x:t>
  </x:si>
  <x:si>
    <x:t xml:space="preserve">村役場</x:t>
  </x:si>
  <x:si>
    <x:t xml:space="preserve">相談支援専門員</x:t>
  </x:si>
  <x:si>
    <x:t xml:space="preserve">福祉サービス事業所</x:t>
  </x:si>
  <x:si>
    <x:t xml:space="preserve">医療機関</x:t>
  </x:si>
  <x:si>
    <x:t xml:space="preserve">SNS・インターネット・AI</x:t>
  </x:si>
  <x:si>
    <x:t xml:space="preserve">社会福祉協議会</x:t>
  </x:si>
  <x:si>
    <x:t xml:space="preserve">民生委員・児童委員</x:t>
  </x:si>
  <x:si>
    <x:t xml:space="preserve">相談する相手がいない</x:t>
  </x:si>
  <x:si>
    <x:t xml:space="preserve">相談先がわからない</x:t>
  </x:si>
  <x:si>
    <x:t xml:space="preserve">身近に相談先がない</x:t>
  </x:si>
  <x:si>
    <x:t xml:space="preserve">何を相談してよいかわからない</x:t>
  </x:si>
  <x:si>
    <x:t xml:space="preserve">相談しても解決しないと思う</x:t>
  </x:si>
  <x:si>
    <x:t xml:space="preserve">交通手段がない</x:t>
  </x:si>
  <x:si>
    <x:t xml:space="preserve">家族が対応している</x:t>
  </x:si>
  <x:si>
    <x:t xml:space="preserve">プライバシーが不安</x:t>
  </x:si>
  <x:si>
    <x:t xml:space="preserve">相談したい（現在も相談している）</x:t>
  </x:si>
  <x:si>
    <x:t xml:space="preserve">機会があれば相談してみたい</x:t>
  </x:si>
  <x:si>
    <x:t xml:space="preserve">あまり相談したいとは思わない</x:t>
  </x:si>
  <x:si>
    <x:t xml:space="preserve">まったく相談したいとは思わない</x:t>
  </x:si>
  <x:si>
    <x:t xml:space="preserve">村広報・ホームページ</x:t>
  </x:si>
  <x:si>
    <x:t xml:space="preserve">家族・知人</x:t>
  </x:si>
  <x:si>
    <x:t xml:space="preserve">学校</x:t>
  </x:si>
  <x:si>
    <x:t xml:space="preserve">新聞・テレビ</x:t>
  </x:si>
  <x:si>
    <x:t xml:space="preserve">情報を得られていない</x:t>
  </x:si>
  <x:si>
    <x:t xml:space="preserve">サービス利用の相談</x:t>
  </x:si>
  <x:si>
    <x:t xml:space="preserve">将来の暮らしの相談</x:t>
  </x:si>
  <x:si>
    <x:t xml:space="preserve">就労・日中活動の相談</x:t>
  </x:si>
  <x:si>
    <x:t xml:space="preserve">医療・通院の相談</x:t>
  </x:si>
  <x:si>
    <x:t xml:space="preserve">緊急時の相談</x:t>
  </x:si>
  <x:si>
    <x:t xml:space="preserve">わかりやすい情報提供</x:t>
  </x:si>
  <x:si>
    <x:t xml:space="preserve">居宅介護（ホームヘルプ）</x:t>
  </x:si>
  <x:si>
    <x:t xml:space="preserve">重度訪問介護</x:t>
  </x:si>
  <x:si>
    <x:t xml:space="preserve">同行援護・行動援護</x:t>
  </x:si>
  <x:si>
    <x:t xml:space="preserve">生活介護</x:t>
  </x:si>
  <x:si>
    <x:t xml:space="preserve">自立訓練</x:t>
  </x:si>
  <x:si>
    <x:t xml:space="preserve">就労移行支援</x:t>
  </x:si>
  <x:si>
    <x:t xml:space="preserve">就労継続支援A型</x:t>
  </x:si>
  <x:si>
    <x:t xml:space="preserve">就労継続支援B型</x:t>
  </x:si>
  <x:si>
    <x:t xml:space="preserve">就労選択支援</x:t>
  </x:si>
  <x:si>
    <x:t xml:space="preserve">就労定着支援</x:t>
  </x:si>
  <x:si>
    <x:t xml:space="preserve">短期入所（ショートステイ）</x:t>
  </x:si>
  <x:si>
    <x:t xml:space="preserve">施設入所支援</x:t>
  </x:si>
  <x:si>
    <x:t xml:space="preserve">計画相談支援</x:t>
  </x:si>
  <x:si>
    <x:t xml:space="preserve">移動支援</x:t>
  </x:si>
  <x:si>
    <x:t xml:space="preserve">日中一時支援</x:t>
  </x:si>
  <x:si>
    <x:t xml:space="preserve">日常生活用具</x:t>
  </x:si>
  <x:si>
    <x:t xml:space="preserve">訪問入浴</x:t>
  </x:si>
  <x:si>
    <x:t xml:space="preserve">現在利用しているサービスは特にない</x:t>
  </x:si>
  <x:si>
    <x:t xml:space="preserve">知らないサービスは特にない</x:t>
  </x:si>
  <x:si>
    <x:t xml:space="preserve">利用したいサービスは特にない</x:t>
  </x:si>
  <x:si>
    <x:t xml:space="preserve">近くに事業所がない</x:t>
  </x:si>
  <x:si>
    <x:t xml:space="preserve">空きがない</x:t>
  </x:si>
  <x:si>
    <x:t xml:space="preserve">利用方法がわからない</x:t>
  </x:si>
  <x:si>
    <x:t xml:space="preserve">費用が心配</x:t>
  </x:si>
  <x:si>
    <x:t xml:space="preserve">本人に合うサービスがない</x:t>
  </x:si>
  <x:si>
    <x:t xml:space="preserve">必要性を感じない</x:t>
  </x:si>
  <x:si>
    <x:t xml:space="preserve">緊急時の受入れ</x:t>
  </x:si>
  <x:si>
    <x:t xml:space="preserve">短期入所の確保</x:t>
  </x:si>
  <x:si>
    <x:t xml:space="preserve">一人暮らし・グループホーム体験</x:t>
  </x:si>
  <x:si>
    <x:t xml:space="preserve">専門的人材の確保</x:t>
  </x:si>
  <x:si>
    <x:t xml:space="preserve">地域の事業所との連携</x:t>
  </x:si>
  <x:si>
    <x:t xml:space="preserve">制度を知らない</x:t>
  </x:si>
  <x:si>
    <x:t xml:space="preserve">満足している</x:t>
  </x:si>
  <x:si>
    <x:t xml:space="preserve">適切なサービスがわからない</x:t>
  </x:si>
  <x:si>
    <x:t xml:space="preserve">サービスの量が足りない</x:t>
  </x:si>
  <x:si>
    <x:t xml:space="preserve">サービスの質がよくない</x:t>
  </x:si>
  <x:si>
    <x:t xml:space="preserve">利用できる事業所が少ない</x:t>
  </x:si>
  <x:si>
    <x:t xml:space="preserve">サービスの使い方がわからない</x:t>
  </x:si>
  <x:si>
    <x:t xml:space="preserve">利用していない</x:t>
  </x:si>
  <x:si>
    <x:t xml:space="preserve">一般企業等で働いている</x:t>
  </x:si>
  <x:si>
    <x:t xml:space="preserve">自営業・農業等をしている</x:t>
  </x:si>
  <x:si>
    <x:t xml:space="preserve">就労継続支援A型を利用</x:t>
  </x:si>
  <x:si>
    <x:t xml:space="preserve">就労継続支援B型を利用</x:t>
  </x:si>
  <x:si>
    <x:t xml:space="preserve">生活介護を利用</x:t>
  </x:si>
  <x:si>
    <x:t xml:space="preserve">学校に通っている</x:t>
  </x:si>
  <x:si>
    <x:t xml:space="preserve">自宅で過ごすことが多い</x:t>
  </x:si>
  <x:si>
    <x:t xml:space="preserve">入院・入所中</x:t>
  </x:si>
  <x:si>
    <x:t xml:space="preserve">一般企業等で働きたい</x:t>
  </x:si>
  <x:si>
    <x:t xml:space="preserve">短時間・体調に合わせて働きたい</x:t>
  </x:si>
  <x:si>
    <x:t xml:space="preserve">就労継続支援A型を利用したい</x:t>
  </x:si>
  <x:si>
    <x:t xml:space="preserve">就労継続支援B型を利用したい</x:t>
  </x:si>
  <x:si>
    <x:t xml:space="preserve">生活介護を利用したい</x:t>
  </x:si>
  <x:si>
    <x:t xml:space="preserve">訓練を受けたい</x:t>
  </x:si>
  <x:si>
    <x:t xml:space="preserve">今のままでよい</x:t>
  </x:si>
  <x:si>
    <x:t xml:space="preserve">職場・作業内容の体験</x:t>
  </x:si>
  <x:si>
    <x:t xml:space="preserve">就労に向けた相談</x:t>
  </x:si>
  <x:si>
    <x:t xml:space="preserve">通勤・通所の支援</x:t>
  </x:si>
  <x:si>
    <x:t xml:space="preserve">体調に合わせた勤務</x:t>
  </x:si>
  <x:si>
    <x:t xml:space="preserve">職場の障がい理解</x:t>
  </x:si>
  <x:si>
    <x:t xml:space="preserve">仕事後の相談・定着支援</x:t>
  </x:si>
  <x:si>
    <x:t xml:space="preserve">生活リズムの支援</x:t>
  </x:si>
  <x:si>
    <x:t xml:space="preserve">家族への説明</x:t>
  </x:si>
  <x:si>
    <x:t xml:space="preserve">週に１回程度</x:t>
  </x:si>
  <x:si>
    <x:t xml:space="preserve">月に１回程度</x:t>
  </x:si>
  <x:si>
    <x:t xml:space="preserve">年に１回程度</x:t>
  </x:si>
  <x:si>
    <x:t xml:space="preserve">ない</x:t>
  </x:si>
  <x:si>
    <x:t xml:space="preserve">学校等</x:t>
  </x:si>
  <x:si>
    <x:t xml:space="preserve">アルバイト先・職場</x:t>
  </x:si>
  <x:si>
    <x:t xml:space="preserve">役場・公共施設</x:t>
  </x:si>
  <x:si>
    <x:t xml:space="preserve">地域活動・行事</x:t>
  </x:si>
  <x:si>
    <x:t xml:space="preserve">公共交通機関・飲食店・買い物等</x:t>
  </x:si>
  <x:si>
    <x:t xml:space="preserve">趣味・余暇活動</x:t>
  </x:si>
  <x:si>
    <x:t xml:space="preserve">インターネット・SNS・AI</x:t>
  </x:si>
  <x:si>
    <x:t xml:space="preserve">わかりやすい説明</x:t>
  </x:si>
  <x:si>
    <x:t xml:space="preserve">筆談・手話・要約筆記・字幕等の意思疎通支援</x:t>
  </x:si>
  <x:si>
    <x:t xml:space="preserve">静かな場所での相談</x:t>
  </x:si>
  <x:si>
    <x:t xml:space="preserve">移動しやすい環境</x:t>
  </x:si>
  <x:si>
    <x:t xml:space="preserve">手続きの支援</x:t>
  </x:si>
  <x:si>
    <x:t xml:space="preserve">本人の意思確認を丁寧に行うこと</x:t>
  </x:si>
  <x:si>
    <x:t xml:space="preserve">職場・学校での配慮</x:t>
  </x:si>
  <x:si>
    <x:t xml:space="preserve">利用している</x:t>
  </x:si>
  <x:si>
    <x:t xml:space="preserve">知っている</x:t>
  </x:si>
  <x:si>
    <x:t xml:space="preserve">名前だけ聞いたことがある</x:t>
  </x:si>
  <x:si>
    <x:t xml:space="preserve">利用したいが手続きがわからない</x:t>
  </x:si>
  <x:si>
    <x:t xml:space="preserve">知らない</x:t>
  </x:si>
  <x:si>
    <x:t xml:space="preserve">避難する方法</x:t>
  </x:si>
  <x:si>
    <x:t xml:space="preserve">避難先での生活</x:t>
  </x:si>
  <x:si>
    <x:t xml:space="preserve">薬・医療機器</x:t>
  </x:si>
  <x:si>
    <x:t xml:space="preserve">電源の確保</x:t>
  </x:si>
  <x:si>
    <x:t xml:space="preserve">介助者がいないこと</x:t>
  </x:si>
  <x:si>
    <x:t xml:space="preserve">情報が届かないこと</x:t>
  </x:si>
  <x:si>
    <x:t xml:space="preserve">冬季・積雪時の避難</x:t>
  </x:si>
  <x:si>
    <x:t xml:space="preserve">ペット・補助犬等</x:t>
  </x:si>
  <x:si>
    <x:t xml:space="preserve">特に不安はない</x:t>
  </x:si>
  <x:si>
    <x:t xml:space="preserve">制度を知っており作成したい</x:t>
  </x:si>
  <x:si>
    <x:t xml:space="preserve">必要ない</x:t>
  </x:si>
  <x:si>
    <x:t xml:space="preserve">同居家族</x:t>
  </x:si>
  <x:si>
    <x:t xml:space="preserve">別居家族・親族</x:t>
  </x:si>
  <x:si>
    <x:t xml:space="preserve">近所の人</x:t>
  </x:si>
  <x:si>
    <x:t xml:space="preserve">消防・警察</x:t>
  </x:si>
  <x:si>
    <x:t xml:space="preserve">いない・わからない</x:t>
  </x:si>
  <x:si>
    <x:t xml:space="preserve">個別避難計画の作成支援</x:t>
  </x:si>
  <x:si>
    <x:t xml:space="preserve">避難訓練への参加支援</x:t>
  </x:si>
  <x:si>
    <x:t xml:space="preserve">福祉避難所の情報提供</x:t>
  </x:si>
  <x:si>
    <x:t xml:space="preserve">薬・医療機器・電源の確保</x:t>
  </x:si>
  <x:si>
    <x:t xml:space="preserve">冬季避難の支援</x:t>
  </x:si>
  <x:si>
    <x:t xml:space="preserve">安否確認</x:t>
  </x:si>
  <x:si>
    <x:t xml:space="preserve">避難所での合理的配慮</x:t>
  </x:si>
  <x:si>
    <x:t xml:space="preserve">文字・掲示・字幕等の目で見てわかる災害情報</x:t>
  </x:si>
  <x:si>
    <x:t xml:space="preserve">趣味・スポーツ</x:t>
  </x:si>
  <x:si>
    <x:t xml:space="preserve">ボランティア</x:t>
  </x:si>
  <x:si>
    <x:t xml:space="preserve">地域行事</x:t>
  </x:si>
  <x:si>
    <x:t xml:space="preserve">障がい者団体・家族会</x:t>
  </x:si>
  <x:si>
    <x:t xml:space="preserve">就労・地域貢献</x:t>
  </x:si>
  <x:si>
    <x:t xml:space="preserve">学習・講座</x:t>
  </x:si>
  <x:si>
    <x:t xml:space="preserve">オンラインでの交流</x:t>
  </x:si>
  <x:si>
    <x:t xml:space="preserve">学校での福祉教育</x:t>
  </x:si>
  <x:si>
    <x:t xml:space="preserve">地域住民向けの講座</x:t>
  </x:si>
  <x:si>
    <x:t xml:space="preserve">事業所・企業への啓発</x:t>
  </x:si>
  <x:si>
    <x:t xml:space="preserve">広報・ホームページでの情報発信</x:t>
  </x:si>
  <x:si>
    <x:t xml:space="preserve">交流の場づくり</x:t>
  </x:si>
  <x:si>
    <x:t xml:space="preserve">障がい当事者の意見発信</x:t>
  </x:si>
  <x:si>
    <x:t xml:space="preserve">相談支援体制</x:t>
  </x:si>
  <x:si>
    <x:t xml:space="preserve">在宅生活支援</x:t>
  </x:si>
  <x:si>
    <x:t xml:space="preserve">就労支援</x:t>
  </x:si>
  <x:si>
    <x:t xml:space="preserve">災害時支援</x:t>
  </x:si>
  <x:si>
    <x:t xml:space="preserve">差別解消・権利擁護</x:t>
  </x:si>
  <x:si>
    <x:t xml:space="preserve">家族支援</x:t>
  </x:si>
  <x:si>
    <x:t xml:space="preserve">サービス事業所の確保</x:t>
  </x:si>
  <x:si>
    <x:t xml:space="preserve">意見要望</x:t>
  </x:si>
  <x:si>
    <x:t xml:space="preserve">①</x:t>
  </x:si>
  <x:si>
    <x:t xml:space="preserve">②</x:t>
  </x:si>
  <x:si>
    <x:t xml:space="preserve">③</x:t>
  </x:si>
  <x:si>
    <x:t xml:space="preserve">④</x:t>
  </x:si>
  <x:si>
    <x:t xml:space="preserve">自由記述</x:t>
  </x:si>
  <x:si>
    <x:t xml:space="preserve">n</x:t>
  </x:si>
  <x:si>
    <x:t xml:space="preserve">⑤</x:t>
  </x:si>
  <x:si>
    <x:t xml:space="preserve">⑥</x:t>
  </x:si>
  <x:si>
    <x:t xml:space="preserve">⑦</x:t>
  </x:si>
  <x:si>
    <x:t xml:space="preserve">⑧</x:t>
  </x:si>
  <x:si>
    <x:t xml:space="preserve">⑨</x:t>
  </x:si>
  <x:si>
    <x:t xml:space="preserve">⑩</x:t>
  </x:si>
  <x:si>
    <x:t xml:space="preserve">⑪</x:t>
  </x:si>
  <x:si>
    <x:t xml:space="preserve">⑫</x:t>
  </x:si>
  <x:si>
    <x:t xml:space="preserve">⑬</x:t>
  </x:si>
  <x:si>
    <x:t xml:space="preserve">⑭</x:t>
  </x:si>
  <x:si>
    <x:t xml:space="preserve">⑮</x:t>
  </x:si>
  <x:si>
    <x:t xml:space="preserve">⑯</x:t>
  </x:si>
  <x:si>
    <x:t xml:space="preserve">⑰</x:t>
  </x:si>
  <x:si>
    <x:t xml:space="preserve">⑱</x:t>
  </x:si>
  <x:si>
    <x:t xml:space="preserve">⑲</x:t>
  </x:si>
  <x:si>
    <x:t xml:space="preserve">5</x:t>
  </x:si>
  <x:si>
    <x:t xml:space="preserve">〇</x:t>
  </x:si>
  <x:si>
    <x:t xml:space="preserve">目が悪いので細かいことができない</x:t>
  </x:si>
  <x:si>
    <x:t xml:space="preserve">4</x:t>
  </x:si>
  <x:si>
    <x:t xml:space="preserve">6</x:t>
  </x:si>
  <x:si>
    <x:t xml:space="preserve">コミュニケーションできる人がいない。理解してもらえず、筆談で通じます</x:t>
  </x:si>
  <x:si>
    <x:t xml:space="preserve">当村役場に手話通訳者が永年いて欲しいです。聴覚障害者に居るから理解を持つよう、お願いしたい</x:t>
  </x:si>
  <x:si>
    <x:t xml:space="preserve">7</x:t>
  </x:si>
  <x:si>
    <x:t xml:space="preserve">13</x:t>
  </x:si>
  <x:si>
    <x:t xml:space="preserve">14</x:t>
  </x:si>
  <x:si>
    <x:t xml:space="preserve">特になし</x:t>
  </x:si>
  <x:si>
    <x:t xml:space="preserve">当村役場に手話通訳者が永年も働いて欲しいです。緊急時の受入れ、例、村外の通院への手話通訳者と付き添い、何日かと予約をしなければならない、どうか、よろしくお願いします。</x:t>
  </x:si>
  <x:si>
    <x:t xml:space="preserve">17</x:t>
  </x:si>
  <x:si>
    <x:t xml:space="preserve">なし</x:t>
  </x:si>
  <x:si>
    <x:t xml:space="preserve">31</x:t>
  </x:si>
  <x:si>
    <x:t xml:space="preserve">32</x:t>
  </x:si>
  <x:si>
    <x:t xml:space="preserve">33</x:t>
  </x:si>
  <x:si>
    <x:t xml:space="preserve">43</x:t>
  </x:si>
  <x:si>
    <x:t xml:space="preserve">１人で服薬管理や通院ができない。</x:t>
  </x:si>
  <x:si>
    <x:t xml:space="preserve">包括、保健センター</x:t>
  </x:si>
  <x:si>
    <x:t xml:space="preserve">44</x:t>
  </x:si>
  <x:si>
    <x:t xml:space="preserve">特にありません</x:t>
  </x:si>
  <x:si>
    <x:t xml:space="preserve">48</x:t>
  </x:si>
  <x:si>
    <x:t xml:space="preserve">娘と一緒に</x:t>
  </x:si>
  <x:si>
    <x:t xml:space="preserve">51</x:t>
  </x:si>
  <x:si>
    <x:t xml:space="preserve">55</x:t>
  </x:si>
  <x:si>
    <x:t xml:space="preserve">民生委員・児童委員が何の為の機関かわからない</x:t>
  </x:si>
  <x:si>
    <x:t xml:space="preserve">63</x:t>
  </x:si>
  <x:si>
    <x:t xml:space="preserve">身体障がい者手帳を持っているが、更新しているかわかりません</x:t>
  </x:si>
  <x:si>
    <x:t xml:space="preserve">足腰の痛みや心臓も弱ってきたため外出が誰かの手をかりないとできない</x:t>
  </x:si>
  <x:si>
    <x:t xml:space="preserve">トイレが心配</x:t>
  </x:si>
  <x:si>
    <x:t xml:space="preserve">話し相手</x:t>
  </x:si>
  <x:si>
    <x:t xml:space="preserve">自立しています</x:t>
  </x:si>
  <x:si>
    <x:t xml:space="preserve">当てはまらない</x:t>
  </x:si>
  <x:si>
    <x:t xml:space="preserve">69</x:t>
  </x:si>
  <x:si>
    <x:t xml:space="preserve">74</x:t>
  </x:si>
  <x:si>
    <x:t xml:space="preserve">アルバイト（パート）</x:t>
  </x:si>
  <x:si>
    <x:t xml:space="preserve">人口膝関節（両膝）のため、車の運転ができくなったときのことを考えると、とても不安です。
膝を曲げることが困難なので（イス、ベッドの生活）災害時や、移動、生活のことを考えると不安です。
相談や支援を受ける方法が分かりません。
先々のことを考えると、とても不安です。</x:t>
  </x:si>
  <x:si>
    <x:t xml:space="preserve">96</x:t>
  </x:si>
  <x:si>
    <x:t xml:space="preserve">いくつも障害があり同等の為選ぶ事が出来ない</x:t>
  </x:si>
  <x:si>
    <x:t xml:space="preserve">日常生活においておおかれ少なかれすべて親の支援が必要</x:t>
  </x:si>
  <x:si>
    <x:t xml:space="preserve">99</x:t>
  </x:si>
  <x:si>
    <x:t xml:space="preserve">101</x:t>
  </x:si>
  <x:si>
    <x:t xml:space="preserve">113</x:t>
  </x:si>
  <x:si>
    <x:t xml:space="preserve">デイサービス通い</x:t>
  </x:si>
  <x:si>
    <x:t xml:space="preserve">119</x:t>
  </x:si>
  <x:si>
    <x:t xml:space="preserve">121</x:t>
  </x:si>
  <x:si>
    <x:t xml:space="preserve">123</x:t>
  </x:si>
  <x:si>
    <x:t xml:space="preserve">131</x:t>
  </x:si>
  <x:si>
    <x:t xml:space="preserve">151</x:t>
  </x:si>
  <x:si>
    <x:t xml:space="preserve">補助人</x:t>
  </x:si>
  <x:si>
    <x:t xml:space="preserve">154</x:t>
  </x:si>
  <x:si>
    <x:t xml:space="preserve">161</x:t>
  </x:si>
  <x:si>
    <x:t xml:space="preserve">施設入所中</x:t>
  </x:si>
  <x:si>
    <x:t xml:space="preserve">日常生活全般において介助者がいないと難しい場面がある。</x:t>
  </x:si>
  <x:si>
    <x:t xml:space="preserve">167</x:t>
  </x:si>
  <x:si>
    <x:t xml:space="preserve">喜多方市上三宮町上三宮</x:t>
  </x:si>
  <x:si>
    <x:t xml:space="preserve">グループホームの同居人</x:t>
  </x:si>
  <x:si>
    <x:t xml:space="preserve">地域活動支援施設を利用</x:t>
  </x:si>
  <x:si>
    <x:t xml:space="preserve">まちへ出ていく時に、福祉サービス施設の車を月２回と申告してやく１回出してもらえますが、もう少し利用しやすくしてもらいたいです。</x:t>
  </x:si>
  <x:si>
    <x:t xml:space="preserve">180</x:t>
  </x:si>
  <x:si>
    <x:t xml:space="preserve">36</x:t>
  </x:si>
  <x:si>
    <x:t xml:space="preserve">かかりつけ医までの移動、交通手段の確保</x:t>
  </x:si>
  <x:si>
    <x:t xml:space="preserve">71</x:t>
  </x:si>
  <x:si>
    <x:t xml:space="preserve">現在、胃瘻装着している食べたい</x:t>
  </x:si>
  <x:si>
    <x:t xml:space="preserve">本人及び家族が穏やかに生活できるような環境を確保できるようにしていただきたい</x:t>
  </x:si>
  <x:si>
    <x:t xml:space="preserve">25</x:t>
  </x:si>
  <x:si>
    <x:t xml:space="preserve">夫が突然障害者になった時、相談後スムーズに対応出来ず、思ったより時間がかかり、何も出来ないまま終わりました。</x:t>
  </x:si>
  <x:si>
    <x:t xml:space="preserve">144</x:t>
  </x:si>
  <x:si>
    <x:t xml:space="preserve">他の地域で新しい家族と生活したい</x:t>
  </x:si>
  <x:si>
    <x:t xml:space="preserve">融資を受けて自宅で事業を始めたい</x:t>
  </x:si>
  <x:si>
    <x:t xml:space="preserve">112</x:t>
  </x:si>
  <x:si>
    <x:t xml:space="preserve">135</x:t>
  </x:si>
  <x:si>
    <x:t xml:space="preserve">68</x:t>
  </x:si>
  <x:si>
    <x:t xml:space="preserve">計</x:t>
  </x:si>
  <x:si>
    <x:t xml:space="preserve">key</x:t>
  </x:si>
  <x:si>
    <x:t xml:space="preserve">value</x:t>
  </x:si>
  <x:si>
    <x:t xml:space="preserve">metadataFormatVersion</x:t>
  </x:si>
  <x:si>
    <x:t xml:space="preserve">artifactType</x:t>
  </x:si>
  <x:si>
    <x:t xml:space="preserve">integrated-data</x:t>
  </x:si>
  <x:si>
    <x:t xml:space="preserve">surveyId</x:t>
  </x:si>
  <x:si>
    <x:t xml:space="preserve">survey_kitashiobara_shogai_2026</x:t>
  </x:si>
  <x:si>
    <x:t xml:space="preserve">schemaVersion</x:t>
  </x:si>
  <x:si>
    <x:t xml:space="preserve">surveyDefinitionVersion</x:t>
  </x:si>
  <x:si>
    <x:t xml:space="preserve">1.0.0</x:t>
  </x:si>
  <x:si>
    <x:t xml:space="preserve">definitionSha256</x:t>
  </x:si>
  <x:si>
    <x:t xml:space="preserve">8c86b95c77afec59b9d9f23d7ba3165da6d5bfc8f13f0d3735541117a6994f17</x:t>
  </x:si>
  <x:si>
    <x:t xml:space="preserve">integratedLayoutVersion</x:t>
  </x:si>
  <x:si>
    <x:t xml:space="preserve">integratedLayout.v2</x:t>
  </x:si>
  <x:si>
    <x:t xml:space="preserve">sourceAppVersions</x:t>
  </x:si>
  <x:si>
    <x:t xml:space="preserve">["1.5.0"]</x:t>
  </x:si>
  <x:si>
    <x:t xml:space="preserve">aggregateEngineVersion</x:t>
  </x:si>
  <x:si>
    <x:t xml:space="preserve">1.5.0</x:t>
  </x:si>
  <x:si>
    <x:t xml:space="preserve">createdAt</x:t>
  </x:si>
  <x:si>
    <x:t xml:space="preserve">2026-10-02T05:11:00.888934Z</x:t>
  </x:si>
</x:sst>
</file>

<file path=xl/styles.xml><?xml version="1.0" encoding="utf-8"?>
<x:styleSheet xmlns:x="http://schemas.openxmlformats.org/spreadsheetml/2006/main">
  <x:numFmts count="1">
    <x:numFmt numFmtId="176" formatCode="0.0%"/>
  </x:numFmts>
  <x:fonts count="9">
    <x:font>
      <x:sz val="11"/>
      <x:color theme="1"/>
      <x:name val="ＭＳ Ｐゴシック"/>
    </x:font>
    <x:font>
      <x:sz val="10"/>
      <x:name val="游ゴシック"/>
    </x:font>
    <x:font>
      <x:b/>
      <x:sz val="10"/>
      <x:name val="游ゴシック"/>
    </x:font>
    <x:font>
      <x:sz val="6"/>
      <x:name val="ＭＳ Ｐゴシック"/>
    </x:font>
    <x:font>
      <x:b/>
      <x:sz val="14"/>
      <x:color rgb="FFFFFFFF"/>
      <x:name val="ＭＳ Ｐゴシック"/>
    </x:font>
    <x:font>
      <x:b/>
      <x:sz val="11"/>
      <x:color rgb="FFFFFFFF"/>
      <x:name val="ＭＳ Ｐゴシック"/>
    </x:font>
    <x:font>
      <x:b/>
      <x:sz val="11"/>
      <x:color rgb="FF1F1F1F"/>
      <x:name val="ＭＳ Ｐゴシック"/>
    </x:font>
    <x:font>
      <x:b/>
      <x:sz val="11"/>
      <x:color rgb="FF17365D"/>
      <x:name val="ＭＳ Ｐゴシック"/>
    </x:font>
    <x:font>
      <x:i/>
      <x:sz val="11"/>
      <x:color rgb="FF595959"/>
      <x:name val="ＭＳ Ｐゴシック"/>
    </x:font>
  </x:fonts>
  <x:fills count="10">
    <x:fill>
      <x:patternFill patternType="none"/>
    </x:fill>
    <x:fill>
      <x:patternFill patternType="gray125"/>
    </x:fill>
    <x:fill>
      <x:patternFill patternType="solid">
        <x:fgColor rgb="FFDDEBF7"/>
      </x:patternFill>
    </x:fill>
    <x:fill>
      <x:patternFill patternType="solid">
        <x:fgColor rgb="FFFFFFFF"/>
      </x:patternFill>
    </x:fill>
    <x:fill>
      <x:patternFill patternType="solid">
        <x:fgColor rgb="FFF2F2F2"/>
      </x:patternFill>
    </x:fill>
    <x:fill>
      <x:patternFill patternType="solid">
        <x:fgColor rgb="FF1F4E78"/>
      </x:patternFill>
    </x:fill>
    <x:fill>
      <x:patternFill patternType="solid">
        <x:fgColor rgb="FF5B9BD5"/>
      </x:patternFill>
    </x:fill>
    <x:fill>
      <x:patternFill patternType="solid">
        <x:fgColor rgb="FFDDEBF7"/>
      </x:patternFill>
    </x:fill>
    <x:fill>
      <x:patternFill patternType="solid">
        <x:fgColor rgb="FFD9EAF7"/>
      </x:patternFill>
    </x:fill>
    <x:fill>
      <x:patternFill patternType="solid">
        <x:fgColor rgb="FFF2F2F2"/>
      </x:patternFill>
    </x:fill>
  </x:fills>
  <x:borders count="70">
    <x:border/>
    <x:border>
      <x:left style="medium">
        <x:color auto="1"/>
      </x:left>
      <x:right style="medium">
        <x:color auto="1"/>
      </x:right>
      <x:top style="medium">
        <x:color auto="1"/>
      </x:top>
      <x:bottom style="medium">
        <x:color auto="1"/>
      </x:bottom>
    </x:border>
    <x:border>
      <x:left style="medium">
        <x:color auto="1"/>
      </x:left>
      <x:right style="medium">
        <x:color auto="1"/>
      </x:right>
    </x:border>
    <x:border>
      <x:left style="medium">
        <x:color auto="1"/>
      </x:left>
      <x:right style="medium">
        <x:color auto="1"/>
      </x:right>
      <x:bottom style="medium">
        <x:color auto="1"/>
      </x:bottom>
    </x:border>
    <x:border>
      <x:left style="thin">
        <x:color auto="1"/>
      </x:left>
      <x:right style="thin">
        <x:color auto="1"/>
      </x:right>
      <x:top style="medium">
        <x:color auto="1"/>
      </x:top>
      <x:bottom style="medium">
        <x:color auto="1"/>
      </x:bottom>
    </x:border>
    <x:border>
      <x:left style="thin">
        <x:color auto="1"/>
      </x:left>
      <x:right style="medium">
        <x:color auto="1"/>
      </x:right>
      <x:top style="medium">
        <x:color auto="1"/>
      </x:top>
      <x:bottom style="medium">
        <x:color auto="1"/>
      </x:bottom>
    </x:border>
    <x:border>
      <x:left style="thin">
        <x:color auto="1"/>
      </x:left>
      <x:right style="medium">
        <x:color auto="1"/>
      </x:right>
      <x:top style="thin">
        <x:color auto="1"/>
      </x:top>
      <x:bottom style="thin">
        <x:color auto="1"/>
      </x:bottom>
    </x:border>
    <x:border>
      <x:left style="thin">
        <x:color auto="1"/>
      </x:left>
      <x:right style="medium">
        <x:color auto="1"/>
      </x:right>
      <x:top style="thin">
        <x:color auto="1"/>
      </x:top>
      <x:bottom style="medium">
        <x:color auto="1"/>
      </x:bottom>
    </x:border>
    <x:border>
      <x:left style="medium">
        <x:color auto="1"/>
      </x:left>
      <x:right style="medium">
        <x:color auto="1"/>
      </x:right>
      <x:top style="medium">
        <x:color auto="1"/>
      </x:top>
      <x:bottom style="thin">
        <x:color auto="1"/>
      </x:bottom>
    </x:border>
    <x:border>
      <x:top style="medium">
        <x:color auto="1"/>
      </x:top>
      <x:bottom style="thin">
        <x:color auto="1"/>
      </x:bottom>
    </x:border>
    <x:border>
      <x:right style="medium">
        <x:color auto="1"/>
      </x:right>
      <x:top style="medium">
        <x:color auto="1"/>
      </x:top>
      <x:bottom style="thin">
        <x:color auto="1"/>
      </x:bottom>
    </x:border>
    <x:border>
      <x:left style="medium">
        <x:color auto="1"/>
      </x:left>
      <x:top style="thin">
        <x:color auto="1"/>
      </x:top>
      <x:bottom style="thin">
        <x:color auto="1"/>
      </x:bottom>
    </x:border>
    <x:border>
      <x:left style="dashed">
        <x:color auto="1"/>
      </x:left>
      <x:top style="thin">
        <x:color auto="1"/>
      </x:top>
      <x:bottom style="thin">
        <x:color auto="1"/>
      </x:bottom>
    </x:border>
    <x:border>
      <x:left style="medium">
        <x:color auto="1"/>
      </x:left>
      <x:right style="medium">
        <x:color auto="1"/>
      </x:right>
      <x:top style="thin">
        <x:color auto="1"/>
      </x:top>
      <x:bottom style="thin">
        <x:color auto="1"/>
      </x:bottom>
    </x:border>
    <x:border>
      <x:right style="medium">
        <x:color auto="1"/>
      </x:right>
      <x:top style="thin">
        <x:color auto="1"/>
      </x:top>
      <x:bottom style="thin">
        <x:color auto="1"/>
      </x:bottom>
    </x:border>
    <x:border>
      <x:left style="medium">
        <x:color auto="1"/>
      </x:left>
      <x:top style="thin">
        <x:color auto="1"/>
      </x:top>
      <x:bottom style="medium">
        <x:color auto="1"/>
      </x:bottom>
    </x:border>
    <x:border>
      <x:left style="dashed">
        <x:color auto="1"/>
      </x:left>
      <x:top style="thin">
        <x:color auto="1"/>
      </x:top>
      <x:bottom style="medium">
        <x:color auto="1"/>
      </x:bottom>
    </x:border>
    <x:border>
      <x:left style="medium">
        <x:color auto="1"/>
      </x:left>
      <x:bottom style="thin">
        <x:color auto="1"/>
      </x:bottom>
    </x:border>
    <x:border>
      <x:left style="thin">
        <x:color auto="1"/>
      </x:left>
      <x:right style="thin">
        <x:color auto="1"/>
      </x:right>
      <x:bottom style="thin">
        <x:color auto="1"/>
      </x:bottom>
    </x:border>
    <x:border>
      <x:left style="thin">
        <x:color auto="1"/>
      </x:left>
      <x:right style="medium">
        <x:color auto="1"/>
      </x:right>
      <x:bottom style="thin">
        <x:color auto="1"/>
      </x:bottom>
    </x:border>
    <x:border>
      <x:left style="dashed">
        <x:color auto="1"/>
      </x:left>
      <x:bottom style="thin">
        <x:color auto="1"/>
      </x:bottom>
    </x:border>
    <x:border>
      <x:top style="medium">
        <x:color auto="1"/>
      </x:top>
      <x:bottom style="medium">
        <x:color auto="1"/>
      </x:bottom>
    </x:border>
    <x:border>
      <x:right style="medium">
        <x:color auto="1"/>
      </x:right>
      <x:top style="medium">
        <x:color auto="1"/>
      </x:top>
      <x:bottom style="medium">
        <x:color auto="1"/>
      </x:bottom>
    </x:border>
    <x:border>
      <x:left style="thin">
        <x:color auto="1"/>
      </x:left>
      <x:right style="medium">
        <x:color auto="1"/>
      </x:right>
    </x:border>
    <x:border>
      <x:left style="thin">
        <x:color auto="1"/>
      </x:left>
      <x:right style="medium">
        <x:color auto="1"/>
      </x:right>
      <x:bottom style="medium">
        <x:color auto="1"/>
      </x:bottom>
    </x:border>
    <x:border>
      <x:left style="thin">
        <x:color auto="1"/>
      </x:left>
      <x:right style="thin">
        <x:color auto="1"/>
      </x:right>
    </x:border>
    <x:border>
      <x:left style="thin">
        <x:color auto="1"/>
      </x:left>
      <x:right style="thin">
        <x:color auto="1"/>
      </x:right>
      <x:bottom style="medium">
        <x:color auto="1"/>
      </x:bottom>
    </x:border>
    <x:border/>
    <x:border>
      <x:left style="medium">
        <x:color auto="1"/>
      </x:left>
      <x:top style="thin">
        <x:color auto="1"/>
      </x:top>
      <x:bottom style="thin">
        <x:color auto="1"/>
      </x:bottom>
    </x:border>
    <x:border>
      <x:left style="dashed">
        <x:color auto="1"/>
      </x:lef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top style="thin">
        <x:color auto="1"/>
      </x:top>
      <x:bottom style="medium">
        <x:color auto="1"/>
      </x:bottom>
    </x:border>
    <x:border>
      <x:left style="dashed">
        <x:color auto="1"/>
      </x:left>
      <x:top style="thin">
        <x:color auto="1"/>
      </x:top>
      <x:bottom style="medium">
        <x:color auto="1"/>
      </x:bottom>
    </x:border>
    <x:border>
      <x:left style="thin">
        <x:color auto="1"/>
      </x:left>
      <x:right style="medium">
        <x:color auto="1"/>
      </x:right>
      <x:top style="thin">
        <x:color auto="1"/>
      </x:top>
      <x:bottom style="medium">
        <x:color auto="1"/>
      </x:bottom>
    </x:border>
    <x:border>
      <x:left style="medium">
        <x:color auto="1"/>
      </x:left>
      <x:bottom style="thin">
        <x:color auto="1"/>
      </x:bottom>
    </x:border>
    <x:border>
      <x:left style="thin">
        <x:color auto="1"/>
      </x:left>
      <x:right style="thin">
        <x:color auto="1"/>
      </x:right>
      <x:bottom style="thin">
        <x:color auto="1"/>
      </x:bottom>
    </x:border>
    <x:border>
      <x:left style="thin">
        <x:color auto="1"/>
      </x:left>
      <x:right style="medium">
        <x:color auto="1"/>
      </x:right>
      <x:bottom style="thin">
        <x:color auto="1"/>
      </x:bottom>
    </x:border>
    <x:border>
      <x:left style="dashed">
        <x:color auto="1"/>
      </x:left>
      <x:bottom style="thin">
        <x:color auto="1"/>
      </x:bottom>
    </x:border>
    <x:border>
      <x:left style="medium">
        <x:color auto="1"/>
      </x:left>
      <x:right style="medium">
        <x:color auto="1"/>
      </x:right>
      <x:top style="medium">
        <x:color auto="1"/>
      </x:top>
      <x:bottom style="medium">
        <x:color auto="1"/>
      </x:bottom>
    </x:border>
    <x:border>
      <x:top style="medium">
        <x:color auto="1"/>
      </x:top>
      <x:bottom style="medium">
        <x:color auto="1"/>
      </x:bottom>
    </x:border>
    <x:border>
      <x:right style="medium">
        <x:color auto="1"/>
      </x:right>
      <x:top style="medium">
        <x:color auto="1"/>
      </x:top>
      <x:bottom style="medium">
        <x:color auto="1"/>
      </x:bottom>
    </x:border>
    <x:border>
      <x:left style="medium">
        <x:color auto="1"/>
      </x:left>
      <x:right style="medium">
        <x:color auto="1"/>
      </x:right>
      <x:top style="medium">
        <x:color auto="1"/>
      </x:top>
      <x:bottom style="thin">
        <x:color auto="1"/>
      </x:bottom>
    </x:border>
    <x:border>
      <x:top style="medium">
        <x:color auto="1"/>
      </x:top>
      <x:bottom style="thin">
        <x:color auto="1"/>
      </x:bottom>
    </x:border>
    <x:border>
      <x:right style="medium">
        <x:color auto="1"/>
      </x:right>
      <x:top style="medium">
        <x:color auto="1"/>
      </x:top>
      <x:bottom style="thin">
        <x:color auto="1"/>
      </x:bottom>
    </x:border>
    <x:border>
      <x:left style="medium">
        <x:color auto="1"/>
      </x:left>
      <x:right style="medium">
        <x:color auto="1"/>
      </x:right>
    </x:border>
    <x:border>
      <x:left style="medium">
        <x:color auto="1"/>
      </x:left>
      <x:right style="medium">
        <x:color auto="1"/>
      </x:right>
      <x:bottom style="medium">
        <x:color auto="1"/>
      </x:bottom>
    </x:border>
    <x:border>
      <x:left style="thin">
        <x:color auto="1"/>
      </x:left>
      <x:right style="medium">
        <x:color auto="1"/>
      </x:right>
      <x:top style="medium">
        <x:color auto="1"/>
      </x:top>
      <x:bottom style="medium">
        <x:color auto="1"/>
      </x:bottom>
    </x:border>
    <x:border>
      <x:left style="thin">
        <x:color auto="1"/>
      </x:left>
      <x:right style="medium">
        <x:color auto="1"/>
      </x:right>
    </x:border>
    <x:border>
      <x:left style="thin">
        <x:color auto="1"/>
      </x:left>
      <x:right style="medium">
        <x:color auto="1"/>
      </x:right>
      <x:bottom style="medium">
        <x:color auto="1"/>
      </x:bottom>
    </x:border>
    <x:border>
      <x:left style="thin">
        <x:color auto="1"/>
      </x:left>
      <x:right style="thin">
        <x:color auto="1"/>
      </x:right>
      <x:top style="medium">
        <x:color auto="1"/>
      </x:top>
      <x:bottom style="medium">
        <x:color auto="1"/>
      </x:bottom>
    </x:border>
    <x:border>
      <x:left style="thin">
        <x:color auto="1"/>
      </x:left>
      <x:right style="thin">
        <x:color auto="1"/>
      </x:right>
    </x:border>
    <x:border>
      <x:left style="thin">
        <x:color auto="1"/>
      </x:left>
      <x:right style="thin">
        <x:color auto="1"/>
      </x:right>
      <x:bottom style="medium">
        <x:color auto="1"/>
      </x:bottom>
    </x:border>
    <x:border>
      <x:left style="medium">
        <x:color auto="1"/>
      </x:left>
      <x:right style="medium">
        <x:color auto="1"/>
      </x:right>
      <x:top style="thin">
        <x:color auto="1"/>
      </x:top>
      <x:bottom style="thin">
        <x:color auto="1"/>
      </x:bottom>
    </x:border>
    <x:border>
      <x:right style="medium">
        <x:color auto="1"/>
      </x:right>
      <x:top style="thin">
        <x:color auto="1"/>
      </x:top>
      <x:bottom style="thin">
        <x:color auto="1"/>
      </x:bottom>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83">
    <x:xf numFmtId="0" fontId="0" fillId="0" borderId="0" xfId="0"/>
    <x:xf numFmtId="0" fontId="1" fillId="0" borderId="11" xfId="0" applyFont="1" applyBorder="1" applyAlignment="1">
      <x:alignment horizontal="left" vertical="center"/>
    </x:xf>
    <x:xf numFmtId="0" fontId="1" fillId="0" borderId="12" xfId="0" applyFont="1" applyBorder="1" applyAlignment="1">
      <x:alignment horizontal="left" vertical="center"/>
    </x:xf>
    <x:xf numFmtId="0" fontId="1" fillId="0" borderId="6" xfId="0" applyFont="1" applyBorder="1" applyAlignment="1">
      <x:alignment horizontal="left" vertical="center"/>
    </x:xf>
    <x:xf numFmtId="0" fontId="1" fillId="0" borderId="15" xfId="0" applyFont="1" applyBorder="1" applyAlignment="1">
      <x:alignment horizontal="center" vertical="center"/>
    </x:xf>
    <x:xf numFmtId="0" fontId="1" fillId="0" borderId="16" xfId="0" applyFont="1" applyBorder="1" applyAlignment="1">
      <x:alignment horizontal="center" vertical="center"/>
    </x:xf>
    <x:xf numFmtId="0" fontId="1" fillId="2" borderId="7" xfId="0" applyFont="1" applyFill="1" applyBorder="1" applyAlignment="1">
      <x:alignment horizontal="center" vertical="center"/>
    </x:xf>
    <x:xf numFmtId="0" fontId="1" fillId="3" borderId="17" xfId="0" applyFont="1" applyFill="1" applyBorder="1" applyAlignment="1">
      <x:alignment horizontal="center" vertical="center"/>
    </x:xf>
    <x:xf numFmtId="0" fontId="1" fillId="3" borderId="18" xfId="0" applyFont="1" applyFill="1" applyBorder="1" applyAlignment="1">
      <x:alignment horizontal="center" vertical="center"/>
    </x:xf>
    <x:xf numFmtId="0" fontId="1" fillId="3" borderId="19" xfId="0" applyFont="1" applyFill="1" applyBorder="1" applyAlignment="1">
      <x:alignment horizontal="center" vertical="center"/>
    </x:xf>
    <x:xf numFmtId="0" fontId="1" fillId="3" borderId="20" xfId="0" applyFont="1" applyFill="1" applyBorder="1" applyAlignment="1">
      <x:alignment horizontal="center" vertical="center"/>
    </x:xf>
    <x:xf numFmtId="0" fontId="1" fillId="3" borderId="20" xfId="0" applyFont="1" applyFill="1" applyBorder="1" applyAlignment="1">
      <x:alignment horizontal="left" vertical="center"/>
    </x:xf>
    <x:xf numFmtId="0" fontId="1" fillId="2" borderId="19" xfId="0" applyFont="1" applyFill="1" applyBorder="1" applyAlignment="1">
      <x:alignment horizontal="center" vertical="center"/>
    </x:xf>
    <x:xf numFmtId="0" fontId="1" fillId="4" borderId="17" xfId="0" applyFont="1" applyFill="1" applyBorder="1" applyAlignment="1">
      <x:alignment horizontal="center" vertical="center"/>
    </x:xf>
    <x:xf numFmtId="0" fontId="1" fillId="4" borderId="18" xfId="0" applyFont="1" applyFill="1" applyBorder="1" applyAlignment="1">
      <x:alignment horizontal="center" vertical="center"/>
    </x:xf>
    <x:xf numFmtId="0" fontId="1" fillId="4" borderId="19" xfId="0" applyFont="1" applyFill="1" applyBorder="1" applyAlignment="1">
      <x:alignment horizontal="center" vertical="center"/>
    </x:xf>
    <x:xf numFmtId="0" fontId="1" fillId="4" borderId="20" xfId="0" applyFont="1" applyFill="1" applyBorder="1" applyAlignment="1">
      <x:alignment horizontal="center" vertical="center"/>
    </x:xf>
    <x:xf numFmtId="0" fontId="1" fillId="4" borderId="20" xfId="0" applyFont="1" applyFill="1" applyBorder="1" applyAlignment="1">
      <x:alignment horizontal="left" vertical="center"/>
    </x:xf>
    <x:xf numFmtId="0" fontId="0" fillId="0" borderId="0" xfId="0" applyAlignment="1">
      <x:alignment horizontal="center" vertical="center"/>
    </x:xf>
    <x:xf numFmtId="0" fontId="2" fillId="2" borderId="0" xfId="0" applyFont="1" applyFill="1"/>
    <x:xf numFmtId="176" fontId="2" fillId="2" borderId="0" xfId="0" applyNumberFormat="1" applyFont="1" applyFill="1"/>
    <x:xf numFmtId="0" fontId="2" fillId="0" borderId="1" xfId="0" applyFont="1" applyBorder="1" applyAlignment="1">
      <x:alignment horizontal="left" vertical="center"/>
    </x:xf>
    <x:xf numFmtId="0" fontId="0" fillId="0" borderId="21" xfId="0" applyBorder="1"/>
    <x:xf numFmtId="0" fontId="0" fillId="0" borderId="22" xfId="0" applyBorder="1"/>
    <x:xf numFmtId="0" fontId="1" fillId="0" borderId="8" xfId="0" applyFont="1" applyBorder="1" applyAlignment="1">
      <x:alignment horizontal="left" vertical="center"/>
    </x:xf>
    <x:xf numFmtId="0" fontId="0" fillId="0" borderId="9" xfId="0" applyBorder="1"/>
    <x:xf numFmtId="0" fontId="0" fillId="0" borderId="10" xfId="0" applyBorder="1"/>
    <x:xf numFmtId="0" fontId="2" fillId="0" borderId="1" xfId="0" applyFont="1" applyBorder="1" applyAlignment="1">
      <x:alignment horizontal="center" vertical="center"/>
    </x:xf>
    <x:xf numFmtId="0" fontId="0" fillId="0" borderId="2" xfId="0" applyBorder="1"/>
    <x:xf numFmtId="0" fontId="0" fillId="0" borderId="3" xfId="0" applyBorder="1"/>
    <x:xf numFmtId="0" fontId="2" fillId="0" borderId="5" xfId="0" applyFont="1" applyBorder="1" applyAlignment="1">
      <x:alignment horizontal="center" vertical="center" wrapText="1"/>
    </x:xf>
    <x:xf numFmtId="0" fontId="0" fillId="0" borderId="23" xfId="0" applyBorder="1"/>
    <x:xf numFmtId="0" fontId="0" fillId="0" borderId="24" xfId="0" applyBorder="1"/>
    <x:xf numFmtId="0" fontId="2" fillId="0" borderId="4" xfId="0" applyFont="1" applyBorder="1" applyAlignment="1">
      <x:alignment horizontal="center" vertical="center" wrapText="1"/>
    </x:xf>
    <x:xf numFmtId="0" fontId="0" fillId="0" borderId="25" xfId="0" applyBorder="1"/>
    <x:xf numFmtId="0" fontId="0" fillId="0" borderId="26" xfId="0" applyBorder="1"/>
    <x:xf numFmtId="0" fontId="1" fillId="0" borderId="13" xfId="0" applyFont="1" applyBorder="1" applyAlignment="1">
      <x:alignment horizontal="left" vertical="center"/>
    </x:xf>
    <x:xf numFmtId="0" fontId="0" fillId="0" borderId="14" xfId="0" applyBorder="1"/>
    <x:xf numFmtId="0" fontId="0" fillId="0" borderId="27" xfId="0" applyNumberFormat="1" applyFont="1" applyFill="1" applyBorder="1"/>
    <x:xf numFmtId="0" fontId="1" fillId="0" borderId="28" xfId="0" applyNumberFormat="1" applyFont="1" applyFill="1" applyBorder="1" applyAlignment="1">
      <x:alignment horizontal="left" vertical="center"/>
    </x:xf>
    <x:xf numFmtId="0" fontId="1" fillId="0" borderId="29" xfId="0" applyNumberFormat="1" applyFont="1" applyFill="1" applyBorder="1" applyAlignment="1">
      <x:alignment horizontal="left" vertical="center"/>
    </x:xf>
    <x:xf numFmtId="0" fontId="1" fillId="0" borderId="30" xfId="0" applyNumberFormat="1" applyFont="1" applyFill="1" applyBorder="1" applyAlignment="1">
      <x:alignment horizontal="left" vertical="center"/>
    </x:xf>
    <x:xf numFmtId="0" fontId="1" fillId="0" borderId="31" xfId="0" applyNumberFormat="1" applyFont="1" applyFill="1" applyBorder="1" applyAlignment="1">
      <x:alignment horizontal="center" vertical="center"/>
    </x:xf>
    <x:xf numFmtId="0" fontId="1" fillId="0" borderId="32" xfId="0" applyNumberFormat="1" applyFont="1" applyFill="1" applyBorder="1" applyAlignment="1">
      <x:alignment horizontal="center" vertical="center"/>
    </x:xf>
    <x:xf numFmtId="0" fontId="1" fillId="2" borderId="33" xfId="0" applyNumberFormat="1" applyFont="1" applyFill="1" applyBorder="1" applyAlignment="1">
      <x:alignment horizontal="center" vertical="center"/>
    </x:xf>
    <x:xf numFmtId="0" fontId="1" fillId="3" borderId="34" xfId="0" applyNumberFormat="1" applyFont="1" applyFill="1" applyBorder="1" applyAlignment="1">
      <x:alignment horizontal="center" vertical="center"/>
    </x:xf>
    <x:xf numFmtId="0" fontId="1" fillId="3" borderId="35" xfId="0" applyNumberFormat="1" applyFont="1" applyFill="1" applyBorder="1" applyAlignment="1">
      <x:alignment horizontal="center" vertical="center"/>
    </x:xf>
    <x:xf numFmtId="0" fontId="1" fillId="3" borderId="36" xfId="0" applyNumberFormat="1" applyFont="1" applyFill="1" applyBorder="1" applyAlignment="1">
      <x:alignment horizontal="center" vertical="center"/>
    </x:xf>
    <x:xf numFmtId="0" fontId="1" fillId="3" borderId="37" xfId="0" applyNumberFormat="1" applyFont="1" applyFill="1" applyBorder="1" applyAlignment="1">
      <x:alignment horizontal="center" vertical="center"/>
    </x:xf>
    <x:xf numFmtId="0" fontId="1" fillId="3" borderId="37" xfId="0" applyNumberFormat="1" applyFont="1" applyFill="1" applyBorder="1" applyAlignment="1">
      <x:alignment horizontal="left" vertical="center"/>
    </x:xf>
    <x:xf numFmtId="0" fontId="1" fillId="2" borderId="36" xfId="0" applyNumberFormat="1" applyFont="1" applyFill="1" applyBorder="1" applyAlignment="1">
      <x:alignment horizontal="center" vertical="center"/>
    </x:xf>
    <x:xf numFmtId="0" fontId="1" fillId="4" borderId="34" xfId="0" applyNumberFormat="1" applyFont="1" applyFill="1" applyBorder="1" applyAlignment="1">
      <x:alignment horizontal="center" vertical="center"/>
    </x:xf>
    <x:xf numFmtId="0" fontId="1" fillId="4" borderId="35" xfId="0" applyNumberFormat="1" applyFont="1" applyFill="1" applyBorder="1" applyAlignment="1">
      <x:alignment horizontal="center" vertical="center"/>
    </x:xf>
    <x:xf numFmtId="0" fontId="1" fillId="4" borderId="36" xfId="0" applyNumberFormat="1" applyFont="1" applyFill="1" applyBorder="1" applyAlignment="1">
      <x:alignment horizontal="center" vertical="center"/>
    </x:xf>
    <x:xf numFmtId="0" fontId="1" fillId="4" borderId="37" xfId="0" applyNumberFormat="1" applyFont="1" applyFill="1" applyBorder="1" applyAlignment="1">
      <x:alignment horizontal="center" vertical="center"/>
    </x:xf>
    <x:xf numFmtId="0" fontId="1" fillId="4" borderId="37" xfId="0" applyNumberFormat="1" applyFont="1" applyFill="1" applyBorder="1" applyAlignment="1">
      <x:alignment horizontal="left" vertical="center"/>
    </x:xf>
    <x:xf numFmtId="0" fontId="0" fillId="0" borderId="27" xfId="0" applyNumberFormat="1" applyFont="1" applyFill="1" applyBorder="1" applyAlignment="1">
      <x:alignment horizontal="center" vertical="center"/>
    </x:xf>
    <x:xf numFmtId="0" fontId="2" fillId="2" borderId="27" xfId="0" applyNumberFormat="1" applyFont="1" applyFill="1" applyBorder="1"/>
    <x:xf numFmtId="176" fontId="2" fillId="2" borderId="27" xfId="0" applyNumberFormat="1" applyFont="1" applyFill="1" applyBorder="1"/>
    <x:xf numFmtId="0" fontId="2" fillId="0" borderId="38" xfId="0" applyNumberFormat="1" applyFont="1" applyFill="1" applyBorder="1" applyAlignment="1">
      <x:alignment horizontal="left" vertical="center"/>
    </x:xf>
    <x:xf numFmtId="0" fontId="0" fillId="0" borderId="39" xfId="0" applyNumberFormat="1" applyFont="1" applyFill="1" applyBorder="1"/>
    <x:xf numFmtId="0" fontId="0" fillId="0" borderId="40" xfId="0" applyNumberFormat="1" applyFont="1" applyFill="1" applyBorder="1"/>
    <x:xf numFmtId="0" fontId="1" fillId="0" borderId="41" xfId="0" applyNumberFormat="1" applyFont="1" applyFill="1" applyBorder="1" applyAlignment="1">
      <x:alignment horizontal="left" vertical="center"/>
    </x:xf>
    <x:xf numFmtId="0" fontId="0" fillId="0" borderId="42" xfId="0" applyNumberFormat="1" applyFont="1" applyFill="1" applyBorder="1"/>
    <x:xf numFmtId="0" fontId="0" fillId="0" borderId="43" xfId="0" applyNumberFormat="1" applyFont="1" applyFill="1" applyBorder="1"/>
    <x:xf numFmtId="0" fontId="2" fillId="0" borderId="38" xfId="0" applyNumberFormat="1" applyFont="1" applyFill="1" applyBorder="1" applyAlignment="1">
      <x:alignment horizontal="center" vertical="center"/>
    </x:xf>
    <x:xf numFmtId="0" fontId="0" fillId="0" borderId="44" xfId="0" applyNumberFormat="1" applyFont="1" applyFill="1" applyBorder="1"/>
    <x:xf numFmtId="0" fontId="0" fillId="0" borderId="45" xfId="0" applyNumberFormat="1" applyFont="1" applyFill="1" applyBorder="1"/>
    <x:xf numFmtId="0" fontId="2" fillId="0" borderId="46" xfId="0" applyNumberFormat="1" applyFont="1" applyFill="1" applyBorder="1" applyAlignment="1">
      <x:alignment horizontal="center" vertical="center" wrapText="1"/>
    </x:xf>
    <x:xf numFmtId="0" fontId="0" fillId="0" borderId="47" xfId="0" applyNumberFormat="1" applyFont="1" applyFill="1" applyBorder="1"/>
    <x:xf numFmtId="0" fontId="0" fillId="0" borderId="48" xfId="0" applyNumberFormat="1" applyFont="1" applyFill="1" applyBorder="1"/>
    <x:xf numFmtId="0" fontId="2" fillId="0" borderId="49" xfId="0" applyNumberFormat="1" applyFont="1" applyFill="1" applyBorder="1" applyAlignment="1">
      <x:alignment horizontal="center" vertical="center" wrapText="1"/>
    </x:xf>
    <x:xf numFmtId="0" fontId="0" fillId="0" borderId="50" xfId="0" applyNumberFormat="1" applyFont="1" applyFill="1" applyBorder="1"/>
    <x:xf numFmtId="0" fontId="0" fillId="0" borderId="51" xfId="0" applyNumberFormat="1" applyFont="1" applyFill="1" applyBorder="1"/>
    <x:xf numFmtId="0" fontId="1" fillId="0" borderId="52" xfId="0" applyNumberFormat="1" applyFont="1" applyFill="1" applyBorder="1" applyAlignment="1">
      <x:alignment horizontal="left" vertical="center"/>
    </x:xf>
    <x:xf numFmtId="0" fontId="0" fillId="0" borderId="53"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0" fillId="5" borderId="27" xfId="0" applyNumberFormat="1" applyFont="1" applyFill="1" applyBorder="1"/>
    <x:xf numFmtId="0" fontId="4" fillId="5" borderId="27" xfId="0" applyNumberFormat="1" applyFont="1" applyFill="1" applyBorder="1"/>
    <x:xf numFmtId="0" fontId="4" fillId="5" borderId="27" xfId="0" applyNumberFormat="1" applyFont="1" applyFill="1" applyBorder="1" applyAlignment="1">
      <x:alignment horizontal="left"/>
    </x:xf>
    <x:xf numFmtId="0" fontId="4" fillId="5" borderId="27" xfId="0" applyNumberFormat="1" applyFont="1" applyFill="1" applyBorder="1" applyAlignment="1">
      <x:alignment horizontal="lef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27" xfId="0" applyNumberFormat="1" applyFont="1" applyFill="1" applyBorder="1"/>
    <x:xf numFmtId="0" fontId="5" fillId="6" borderId="27" xfId="0" applyNumberFormat="1" applyFont="1" applyFill="1" applyBorder="1"/>
    <x:xf numFmtId="0" fontId="5" fillId="6" borderId="27" xfId="0" applyNumberFormat="1" applyFont="1" applyFill="1" applyBorder="1" applyAlignment="1">
      <x:alignment wrapText="1"/>
    </x:xf>
    <x:xf numFmtId="0" fontId="5" fillId="6" borderId="27" xfId="0" applyNumberFormat="1" applyFont="1" applyFill="1" applyBorder="1" applyAlignment="1">
      <x:alignment horizontal="center" wrapText="1"/>
    </x:xf>
    <x:xf numFmtId="0" fontId="5" fillId="6" borderId="2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5" fillId="6" borderId="54" xfId="0" applyNumberFormat="1" applyFont="1" applyFill="1" applyBorder="1" applyAlignment="1">
      <x:alignment horizontal="center" vertical="center" wrapText="1"/>
    </x:xf>
    <x:xf numFmtId="0" fontId="5" fillId="6" borderId="55" xfId="0" applyNumberFormat="1" applyFont="1" applyFill="1" applyBorder="1" applyAlignment="1">
      <x:alignment horizontal="center" vertical="center"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5" fillId="6" borderId="60" xfId="0" applyNumberFormat="1" applyFont="1" applyFill="1" applyBorder="1" applyAlignment="1">
      <x:alignment horizontal="center" vertical="center" wrapText="1"/>
    </x:xf>
    <x:xf numFmtId="0" fontId="5" fillId="6" borderId="61" xfId="0" applyNumberFormat="1" applyFont="1" applyFill="1" applyBorder="1" applyAlignment="1">
      <x:alignment horizontal="center" vertical="center" wrapText="1"/>
    </x:xf>
    <x:xf numFmtId="0" fontId="0" fillId="0" borderId="62" xfId="0" applyNumberFormat="1" applyFont="1" applyFill="1" applyBorder="1" applyAlignment="1">
      <x:alignment wrapText="1"/>
    </x:xf>
    <x:xf numFmtId="0" fontId="0" fillId="0" borderId="63" xfId="0" applyNumberFormat="1" applyFont="1" applyFill="1" applyBorder="1"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7" borderId="27" xfId="0" applyNumberFormat="1" applyFont="1" applyFill="1" applyBorder="1"/>
    <x:xf numFmtId="0" fontId="6" fillId="7" borderId="27" xfId="0" applyNumberFormat="1" applyFont="1" applyFill="1" applyBorder="1"/>
    <x:xf numFmtId="0" fontId="6" fillId="7" borderId="27" xfId="0" applyNumberFormat="1" applyFont="1" applyFill="1" applyBorder="1" applyAlignment="1">
      <x:alignment wrapText="1"/>
    </x:xf>
    <x:xf numFmtId="0" fontId="6" fillId="7" borderId="27" xfId="0" applyNumberFormat="1" applyFont="1" applyFill="1" applyBorder="1" applyAlignment="1">
      <x:alignment horizontal="center" wrapText="1"/>
    </x:xf>
    <x:xf numFmtId="0" fontId="6" fillId="7" borderId="27" xfId="0" applyNumberFormat="1" applyFont="1" applyFill="1" applyBorder="1" applyAlignment="1">
      <x:alignment horizontal="center" vertical="center" wrapText="1"/>
    </x:xf>
    <x:xf numFmtId="0" fontId="6" fillId="7" borderId="54" xfId="0" applyNumberFormat="1" applyFont="1" applyFill="1" applyBorder="1" applyAlignment="1">
      <x:alignment horizontal="center" vertical="center" wrapText="1"/>
    </x:xf>
    <x:xf numFmtId="0" fontId="6" fillId="7" borderId="66" xfId="0" applyNumberFormat="1" applyFont="1" applyFill="1" applyBorder="1" applyAlignment="1">
      <x:alignment horizontal="center" vertical="center" wrapText="1"/>
    </x:xf>
    <x:xf numFmtId="0" fontId="6" fillId="7" borderId="55" xfId="0" applyNumberFormat="1" applyFont="1" applyFill="1" applyBorder="1" applyAlignment="1">
      <x:alignment horizontal="center" vertical="center" wrapText="1"/>
    </x:xf>
    <x:xf numFmtId="0" fontId="0" fillId="0" borderId="56" xfId="0" applyNumberFormat="1" applyFont="1" applyFill="1" applyBorder="1"/>
    <x:xf numFmtId="0" fontId="0" fillId="0" borderId="0" xfId="0" applyNumberFormat="1" applyFont="1" applyFill="1" applyBorder="1"/>
    <x:xf numFmtId="0" fontId="0" fillId="0" borderId="57" xfId="0" applyNumberFormat="1" applyFont="1" applyFill="1" applyBorder="1"/>
    <x:xf numFmtId="0" fontId="0" fillId="0" borderId="58" xfId="0" applyNumberFormat="1" applyFont="1" applyFill="1" applyBorder="1"/>
    <x:xf numFmtId="0" fontId="0" fillId="0" borderId="67" xfId="0" applyNumberFormat="1" applyFont="1" applyFill="1" applyBorder="1"/>
    <x:xf numFmtId="0" fontId="0" fillId="0" borderId="59" xfId="0" applyNumberFormat="1" applyFont="1" applyFill="1" applyBorder="1"/>
    <x:xf numFmtId="0" fontId="6" fillId="7" borderId="60" xfId="0" applyNumberFormat="1" applyFont="1" applyFill="1" applyBorder="1" applyAlignment="1">
      <x:alignment horizontal="center" vertical="center" wrapText="1"/>
    </x:xf>
    <x:xf numFmtId="0" fontId="6" fillId="7" borderId="68" xfId="0" applyNumberFormat="1" applyFont="1" applyFill="1" applyBorder="1" applyAlignment="1">
      <x:alignment horizontal="center" vertical="center" wrapText="1"/>
    </x:xf>
    <x:xf numFmtId="0" fontId="6" fillId="7" borderId="61" xfId="0" applyNumberFormat="1" applyFont="1" applyFill="1" applyBorder="1" applyAlignment="1">
      <x:alignment horizontal="center" vertical="center" wrapText="1"/>
    </x:xf>
    <x:xf numFmtId="0" fontId="0" fillId="0" borderId="62" xfId="0" applyNumberFormat="1" applyFont="1" applyFill="1" applyBorder="1"/>
    <x:xf numFmtId="0" fontId="0" fillId="0" borderId="63" xfId="0" applyNumberFormat="1" applyFont="1" applyFill="1" applyBorder="1"/>
    <x:xf numFmtId="0" fontId="0" fillId="0" borderId="64" xfId="0" applyNumberFormat="1" applyFont="1" applyFill="1" applyBorder="1"/>
    <x:xf numFmtId="0" fontId="0" fillId="0" borderId="69" xfId="0" applyNumberFormat="1" applyFont="1" applyFill="1" applyBorder="1"/>
    <x:xf numFmtId="0" fontId="0" fillId="0" borderId="65" xfId="0" applyNumberFormat="1" applyFont="1" applyFill="1" applyBorder="1"/>
    <x:xf numFmtId="0" fontId="0" fillId="0" borderId="67" xfId="0" applyNumberFormat="1" applyFont="1" applyFill="1" applyBorder="1" applyAlignment="1">
      <x:alignment wrapText="1"/>
    </x:xf>
    <x:xf numFmtId="0" fontId="0" fillId="0" borderId="69" xfId="0" applyNumberFormat="1" applyFont="1" applyFill="1" applyBorder="1" applyAlignment="1">
      <x:alignment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8" borderId="27" xfId="0" applyNumberFormat="1" applyFont="1" applyFill="1" applyBorder="1"/>
    <x:xf numFmtId="0" fontId="7" fillId="8" borderId="27" xfId="0" applyNumberFormat="1" applyFont="1" applyFill="1" applyBorder="1"/>
    <x:xf numFmtId="0" fontId="7" fillId="8" borderId="27" xfId="0" applyNumberFormat="1" applyFont="1" applyFill="1" applyBorder="1" applyAlignment="1">
      <x:alignment vertical="center"/>
    </x:xf>
    <x:xf numFmtId="176" fontId="0" fillId="0" borderId="0" xfId="0" applyNumberFormat="1" applyFont="1" applyFill="1" applyBorder="1"/>
    <x:xf numFmtId="176" fontId="0" fillId="0" borderId="27" xfId="0" applyNumberFormat="1" applyFont="1" applyFill="1" applyBorder="1"/>
    <x:xf numFmtId="0" fontId="5" fillId="6" borderId="66" xfId="0" applyNumberFormat="1" applyFont="1" applyFill="1" applyBorder="1" applyAlignment="1">
      <x:alignment horizontal="center" vertical="center" wrapText="1"/>
    </x:xf>
    <x:xf numFmtId="176" fontId="0" fillId="0" borderId="57" xfId="0" applyNumberFormat="1" applyFont="1" applyFill="1" applyBorder="1"/>
    <x:xf numFmtId="176" fontId="0" fillId="0" borderId="59" xfId="0" applyNumberFormat="1" applyFont="1" applyFill="1" applyBorder="1"/>
    <x:xf numFmtId="0" fontId="5" fillId="6" borderId="68" xfId="0" applyNumberFormat="1" applyFont="1" applyFill="1" applyBorder="1" applyAlignment="1">
      <x:alignment horizontal="center" vertical="center" wrapText="1"/>
    </x:xf>
    <x:xf numFmtId="176" fontId="0" fillId="0" borderId="63" xfId="0" applyNumberFormat="1" applyFont="1" applyFill="1" applyBorder="1"/>
    <x:xf numFmtId="176" fontId="0" fillId="0" borderId="65"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0" fillId="9" borderId="27" xfId="0" applyNumberFormat="1" applyFont="1" applyFill="1" applyBorder="1"/>
    <x:xf numFmtId="0" fontId="8" fillId="9" borderId="27" xfId="0" applyNumberFormat="1" applyFont="1" applyFill="1" applyBorder="1"/>
    <x:xf numFmtId="0" fontId="8" fillId="9" borderId="27" xfId="0" applyNumberFormat="1" applyFont="1" applyFill="1" applyBorder="1" applyAlignment="1">
      <x:alignment wrapText="1"/>
    </x:xf>
    <x:xf numFmtId="0" fontId="8" fillId="9" borderId="27" xfId="0" applyNumberFormat="1" applyFont="1" applyFill="1" applyBorder="1" applyAlignment="1">
      <x:alignment vertical="top" wrapText="1"/>
    </x:xf>
    <x:xf numFmtId="176" fontId="0" fillId="0" borderId="67" xfId="0" applyNumberFormat="1" applyFont="1" applyFill="1" applyBorder="1"/>
    <x:xf numFmtId="176" fontId="0" fillId="0" borderId="69" xfId="0" applyNumberFormat="1" applyFont="1" applyFill="1" applyBorder="1"/>
    <x:xf numFmtId="176" fontId="0" fillId="0" borderId="0" xfId="0" applyNumberFormat="1" applyFont="1" applyFill="1" applyBorder="1" applyAlignment="1">
      <x:alignment wrapText="1"/>
    </x:xf>
    <x:xf numFmtId="176" fontId="0" fillId="0" borderId="67" xfId="0" applyNumberFormat="1" applyFont="1" applyFill="1" applyBorder="1" applyAlignment="1">
      <x:alignment wrapText="1"/>
    </x:xf>
    <x:xf numFmtId="176" fontId="0" fillId="0" borderId="27" xfId="0" applyNumberFormat="1" applyFont="1" applyFill="1" applyBorder="1" applyAlignment="1">
      <x:alignment wrapText="1"/>
    </x:xf>
    <x:xf numFmtId="176" fontId="0" fillId="0" borderId="69"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57" xfId="0" applyNumberFormat="1" applyFont="1" applyFill="1" applyBorder="1" applyAlignment="1">
      <x:alignment horizontal="center"/>
    </x:xf>
    <x:xf numFmtId="0" fontId="0" fillId="0" borderId="67" xfId="0" applyNumberFormat="1" applyFont="1" applyFill="1" applyBorder="1" applyAlignment="1">
      <x:alignment horizontal="center"/>
    </x:xf>
    <x:xf numFmtId="0" fontId="0" fillId="0" borderId="59" xfId="0" applyNumberFormat="1" applyFont="1" applyFill="1" applyBorder="1" applyAlignment="1">
      <x:alignment horizontal="center"/>
    </x:xf>
    <x:xf numFmtId="0" fontId="0" fillId="0" borderId="27" xfId="0" applyNumberFormat="1" applyFont="1" applyFill="1" applyBorder="1" applyAlignment="1">
      <x:alignment horizontal="center"/>
    </x:xf>
    <x:xf numFmtId="0" fontId="0" fillId="0" borderId="63" xfId="0" applyNumberFormat="1" applyFont="1" applyFill="1" applyBorder="1" applyAlignment="1">
      <x:alignment horizontal="center"/>
    </x:xf>
    <x:xf numFmtId="0" fontId="0" fillId="0" borderId="69" xfId="0" applyNumberFormat="1" applyFont="1" applyFill="1" applyBorder="1" applyAlignment="1">
      <x:alignment horizontal="center"/>
    </x:xf>
    <x:xf numFmtId="0" fontId="0" fillId="0" borderId="65"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57" xfId="0" applyNumberFormat="1" applyFont="1" applyFill="1" applyBorder="1" applyAlignment="1">
      <x:alignment horizontal="center" wrapText="1"/>
    </x:xf>
    <x:xf numFmtId="0" fontId="0" fillId="0" borderId="67" xfId="0" applyNumberFormat="1" applyFont="1" applyFill="1" applyBorder="1" applyAlignment="1">
      <x:alignment horizontal="center" wrapText="1"/>
    </x:xf>
    <x:xf numFmtId="0" fontId="0" fillId="0" borderId="59" xfId="0" applyNumberFormat="1" applyFont="1" applyFill="1" applyBorder="1" applyAlignment="1">
      <x:alignment horizontal="center" wrapText="1"/>
    </x:xf>
    <x:xf numFmtId="0" fontId="7" fillId="8" borderId="0" xfId="0" applyNumberFormat="1" applyFont="1" applyFill="1" applyBorder="1" applyAlignment="1">
      <x:alignment vertical="center" wrapText="1"/>
    </x:xf>
    <x:xf numFmtId="0" fontId="0" fillId="0" borderId="27" xfId="0" applyNumberFormat="1" applyFont="1" applyFill="1" applyBorder="1" applyAlignment="1">
      <x:alignment horizontal="center" wrapText="1"/>
    </x:xf>
    <x:xf numFmtId="0" fontId="0" fillId="0" borderId="63" xfId="0" applyNumberFormat="1" applyFont="1" applyFill="1" applyBorder="1" applyAlignment="1">
      <x:alignment horizontal="center" wrapText="1"/>
    </x:xf>
    <x:xf numFmtId="0" fontId="0" fillId="0" borderId="69" xfId="0" applyNumberFormat="1" applyFont="1" applyFill="1" applyBorder="1" applyAlignment="1">
      <x:alignment horizontal="center" wrapText="1"/>
    </x:xf>
    <x:xf numFmtId="0" fontId="0" fillId="0" borderId="65" xfId="0" applyNumberFormat="1" applyFont="1" applyFill="1" applyBorder="1" applyAlignment="1">
      <x:alignment horizontal="center" wrapText="1"/>
    </x:xf>
    <x:xf numFmtId="0" fontId="7" fillId="8" borderId="27" xfId="0" applyNumberFormat="1" applyFont="1" applyFill="1" applyBorder="1" applyAlignment="1">
      <x:alignment vertical="center" wrapText="1"/>
    </x:xf>
  </x:cellXfs>
  <x:cellStyles count="1">
    <x:cellStyle name="標準" xfId="0"/>
  </x:cellStyles>
  <x:dxfs count="10">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86feb6a8e648b8" /><Relationship Type="http://schemas.openxmlformats.org/officeDocument/2006/relationships/theme" Target="/xl/theme/theme1.xml" Id="R2234edf031334939" /><Relationship Type="http://schemas.openxmlformats.org/officeDocument/2006/relationships/sharedStrings" Target="/xl/sharedStrings.xml" Id="R39b5d21d4ee143a2" /><Relationship Type="http://schemas.openxmlformats.org/officeDocument/2006/relationships/worksheet" Target="/xl/worksheets/sheet1.xml" Id="R8b666f9565b44165" /><Relationship Type="http://schemas.openxmlformats.org/officeDocument/2006/relationships/worksheet" Target="/xl/worksheets/sheet2.xml" Id="Rbacd9df739684813" /><Relationship Type="http://schemas.openxmlformats.org/officeDocument/2006/relationships/worksheet" Target="/xl/worksheets/sheet3.xml" Id="Rde224ff0051f4928" /><Relationship Type="http://schemas.openxmlformats.org/officeDocument/2006/relationships/worksheet" Target="/xl/worksheets/sheet4.xml" Id="R4671e6e2a28f4a03" /><Relationship Type="http://schemas.openxmlformats.org/officeDocument/2006/relationships/worksheet" Target="/xl/worksheets/sheet5.xml" Id="Rb94704afd40f4020" /><Relationship Type="http://schemas.openxmlformats.org/officeDocument/2006/relationships/worksheet" Target="/xl/worksheets/sheet6.xml" Id="R5a1fa8f20dd64248" /><Relationship Type="http://schemas.openxmlformats.org/officeDocument/2006/relationships/worksheet" Target="/xl/worksheets/sheet7.xml" Id="R3d339c2f56ab41ac" /><Relationship Type="http://schemas.openxmlformats.org/officeDocument/2006/relationships/worksheet" Target="/xl/worksheets/sheet8.xml" Id="R71d3dd044705447d" /><Relationship Type="http://schemas.openxmlformats.org/officeDocument/2006/relationships/worksheet" Target="/xl/worksheets/sheet9.xml" Id="R7962f8fd2f964e3f" /><Relationship Type="http://schemas.openxmlformats.org/officeDocument/2006/relationships/worksheet" Target="/xl/worksheets/sheet10.xml" Id="R0c4e286c1bad40aa" /><Relationship Type="http://schemas.openxmlformats.org/officeDocument/2006/relationships/worksheet" Target="/xl/worksheets/sheet11.xml" Id="Rfd0f5296490041ed" /><Relationship Type="http://schemas.openxmlformats.org/officeDocument/2006/relationships/worksheet" Target="/xl/worksheets/sheet12.xml" Id="Ra678894a38da41ec" /><Relationship Type="http://schemas.openxmlformats.org/officeDocument/2006/relationships/worksheet" Target="/xl/worksheets/sheet13.xml" Id="R8437d9d5b69c444e" /><Relationship Type="http://schemas.openxmlformats.org/officeDocument/2006/relationships/worksheet" Target="/xl/worksheets/sheet14.xml" Id="R520f7f37a641426c" /><Relationship Type="http://schemas.openxmlformats.org/officeDocument/2006/relationships/worksheet" Target="/xl/worksheets/sheet15.xml" Id="R50059f31be0247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d4b3c51f37444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今後、村が特に力を入れるべきこと</a:t>
            </a:r>
          </a:p>
        </c:rich>
      </c:tx>
    </c:title>
    <c:plotArea>
      <c:barChart>
        <c:barDir val="col"/>
        <c:varyColors val="0"/>
        <c:ser>
          <c:idx val="0"/>
          <c:order val="0"/>
          <c:tx>
            <c:v>件数</c:v>
          </c:tx>
          <c:cat>
            <c:strRef>
              <c:f>'概要'!$A$12:$A$20</c:f>
              <c:strCache>
                <c:ptCount val="0"/>
              </c:strCache>
            </c:strRef>
          </c:cat>
          <c:val>
            <c:numRef>
              <c:f>'概要'!$B$12:$B$20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16</xdr:row>
      <xdr:rowOff>0</xdr:rowOff>
    </xdr:from>
    <xdr:to>
      <xdr:col>12</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d4b3c51f37444f"/>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2c9cfa80f1c4351" /></Relationships>
</file>

<file path=xl/worksheets/sheet1.xml><?xml version="1.0" encoding="utf-8"?>
<x:worksheet xmlns:x="http://schemas.openxmlformats.org/spreadsheetml/2006/main">
  <x:sheetFormatPr defaultRowHeight="13.5"/>
  <x:cols>
    <x:col min="1" max="1" width="6" customWidth="1"/>
    <x:col min="2" max="11" width="8" customWidth="1"/>
    <x:col min="12" max="15" width="3.5" customWidth="1"/>
    <x:col min="16" max="16" width="8.75" customWidth="1"/>
    <x:col min="17" max="17" width="6.75" customWidth="1"/>
    <x:col min="18" max="22" width="3.5" customWidth="1"/>
    <x:col min="23" max="23" width="8.75" customWidth="1"/>
    <x:col min="24" max="24" width="6.75" customWidth="1"/>
    <x:col min="25" max="29" width="3.5" customWidth="1"/>
    <x:col min="30" max="30" width="6.75" customWidth="1"/>
    <x:col min="31" max="35" width="3.5" customWidth="1"/>
    <x:col min="36" max="36" width="8.75" customWidth="1"/>
    <x:col min="37" max="37" width="6.75" customWidth="1"/>
    <x:col min="38" max="40" width="3.5" customWidth="1"/>
    <x:col min="41" max="41" width="6.75" customWidth="1"/>
    <x:col min="42" max="48" width="3.5" customWidth="1"/>
    <x:col min="49" max="49" width="8.75" customWidth="1"/>
    <x:col min="50" max="50" width="6.75" customWidth="1"/>
    <x:col min="51" max="58" width="3.5" customWidth="1"/>
    <x:col min="59" max="59" width="8.75" customWidth="1"/>
    <x:col min="60" max="60" width="6.75" customWidth="1"/>
    <x:col min="61" max="67" width="3.5" customWidth="1"/>
    <x:col min="68" max="68" width="8.75" customWidth="1"/>
    <x:col min="69" max="69" width="6.75" customWidth="1"/>
    <x:col min="70" max="76" width="3.5" customWidth="1"/>
    <x:col min="77" max="77" width="8.75" customWidth="1"/>
    <x:col min="78" max="78" width="6.75" customWidth="1"/>
    <x:col min="79" max="88" width="3.5" customWidth="1"/>
    <x:col min="89" max="89" width="8.75" customWidth="1"/>
    <x:col min="90" max="90" width="6.75" customWidth="1"/>
    <x:col min="91" max="104" width="3.5" customWidth="1"/>
    <x:col min="105" max="105" width="8.75" customWidth="1"/>
    <x:col min="106" max="106" width="6.75" customWidth="1"/>
    <x:col min="107" max="107" width="8" customWidth="1"/>
    <x:col min="108" max="108" width="6.75" customWidth="1"/>
    <x:col min="109" max="116" width="3.5" customWidth="1"/>
    <x:col min="117" max="117" width="8.75" customWidth="1"/>
    <x:col min="118" max="118" width="6.75" customWidth="1"/>
    <x:col min="119" max="123" width="3.5" customWidth="1"/>
    <x:col min="124" max="124" width="6.75" customWidth="1"/>
    <x:col min="125" max="133" width="3.5" customWidth="1"/>
    <x:col min="134" max="134" width="8.75" customWidth="1"/>
    <x:col min="135" max="135" width="6.75" customWidth="1"/>
    <x:col min="136" max="145" width="3.5" customWidth="1"/>
    <x:col min="146" max="146" width="8.75" customWidth="1"/>
    <x:col min="147" max="147" width="6.75" customWidth="1"/>
    <x:col min="148" max="151" width="3.5" customWidth="1"/>
    <x:col min="152" max="152" width="6.75" customWidth="1"/>
    <x:col min="153" max="160" width="3.5" customWidth="1"/>
    <x:col min="161" max="161" width="8.75" customWidth="1"/>
    <x:col min="162" max="162" width="6.75" customWidth="1"/>
    <x:col min="163" max="176" width="3.5" customWidth="1"/>
    <x:col min="177" max="177" width="8.75" customWidth="1"/>
    <x:col min="178" max="178" width="6.75" customWidth="1"/>
    <x:col min="179" max="186" width="3.5" customWidth="1"/>
    <x:col min="187" max="187" width="8.75" customWidth="1"/>
    <x:col min="188" max="188" width="6.75" customWidth="1"/>
    <x:col min="189" max="194" width="3.5" customWidth="1"/>
    <x:col min="195" max="195" width="6.75" customWidth="1"/>
    <x:col min="196" max="201" width="3.5" customWidth="1"/>
    <x:col min="202" max="202" width="6.75" customWidth="1"/>
    <x:col min="203" max="206" width="3.5" customWidth="1"/>
    <x:col min="207" max="207" width="6.75" customWidth="1"/>
    <x:col min="208" max="218" width="3.5" customWidth="1"/>
    <x:col min="219" max="219" width="8.75" customWidth="1"/>
    <x:col min="220" max="220" width="6.75" customWidth="1"/>
    <x:col min="221" max="229" width="3.5" customWidth="1"/>
    <x:col min="230" max="230" width="8.75" customWidth="1"/>
    <x:col min="231" max="231" width="6.75" customWidth="1"/>
    <x:col min="232" max="236" width="3.5" customWidth="1"/>
    <x:col min="237" max="237" width="6.75" customWidth="1"/>
    <x:col min="238" max="247" width="3.5" customWidth="1"/>
    <x:col min="248" max="248" width="8.75" customWidth="1"/>
    <x:col min="249" max="249" width="6.75" customWidth="1"/>
    <x:col min="250" max="257" width="3.5" customWidth="1"/>
    <x:col min="258" max="258" width="8.75" customWidth="1"/>
    <x:col min="259" max="259" width="6.75" customWidth="1"/>
    <x:col min="260" max="278" width="3.5" customWidth="1"/>
    <x:col min="279" max="279" width="6.75" customWidth="1"/>
    <x:col min="280" max="298" width="3.5" customWidth="1"/>
    <x:col min="299" max="299" width="6.75" customWidth="1"/>
    <x:col min="300" max="318" width="3.5" customWidth="1"/>
    <x:col min="319" max="319" width="6.75" customWidth="1"/>
    <x:col min="320" max="328" width="3.5" customWidth="1"/>
    <x:col min="329" max="329" width="8.75" customWidth="1"/>
    <x:col min="330" max="330" width="6.75" customWidth="1"/>
    <x:col min="331" max="339" width="3.5" customWidth="1"/>
    <x:col min="340" max="340" width="8.75" customWidth="1"/>
    <x:col min="341" max="341" width="6.75" customWidth="1"/>
    <x:col min="342" max="348" width="3.5" customWidth="1"/>
    <x:col min="349" max="349" width="6.75" customWidth="1"/>
    <x:col min="350" max="358" width="3.5" customWidth="1"/>
    <x:col min="359" max="359" width="8.75" customWidth="1"/>
    <x:col min="360" max="360" width="6.75" customWidth="1"/>
    <x:col min="361" max="369" width="3.5" customWidth="1"/>
    <x:col min="370" max="370" width="8.75" customWidth="1"/>
    <x:col min="371" max="371" width="6.75" customWidth="1"/>
    <x:col min="372" max="381" width="3.5" customWidth="1"/>
    <x:col min="382" max="382" width="8.75" customWidth="1"/>
    <x:col min="383" max="383" width="6.75" customWidth="1"/>
    <x:col min="384" max="388" width="3.5" customWidth="1"/>
    <x:col min="389" max="389" width="6.75" customWidth="1"/>
    <x:col min="390" max="400" width="3.5" customWidth="1"/>
    <x:col min="401" max="401" width="8.75" customWidth="1"/>
    <x:col min="402" max="402" width="6.75" customWidth="1"/>
    <x:col min="403" max="411" width="3.5" customWidth="1"/>
    <x:col min="412" max="412" width="8.75" customWidth="1"/>
    <x:col min="413" max="413" width="6.75" customWidth="1"/>
    <x:col min="414" max="418" width="3.5" customWidth="1"/>
    <x:col min="419" max="419" width="6.75" customWidth="1"/>
    <x:col min="420" max="429" width="3.5" customWidth="1"/>
    <x:col min="430" max="430" width="8.75" customWidth="1"/>
    <x:col min="431" max="431" width="6.75" customWidth="1"/>
    <x:col min="432" max="435" width="3.5" customWidth="1"/>
    <x:col min="436" max="436" width="6.75" customWidth="1"/>
    <x:col min="437" max="445" width="3.5" customWidth="1"/>
    <x:col min="446" max="446" width="8.75" customWidth="1"/>
    <x:col min="447" max="447" width="6.75" customWidth="1"/>
    <x:col min="448" max="456" width="3.5" customWidth="1"/>
    <x:col min="457" max="457" width="8.75" customWidth="1"/>
    <x:col min="458" max="458" width="6.75" customWidth="1"/>
    <x:col min="459" max="467" width="3.5" customWidth="1"/>
    <x:col min="468" max="468" width="8.75" customWidth="1"/>
    <x:col min="469" max="469" width="6.75" customWidth="1"/>
    <x:col min="470" max="477" width="3.5" customWidth="1"/>
    <x:col min="478" max="478" width="8.75" customWidth="1"/>
    <x:col min="479" max="479" width="6.75" customWidth="1"/>
    <x:col min="480" max="488" width="3.5" customWidth="1"/>
    <x:col min="489" max="489" width="8.75" customWidth="1"/>
    <x:col min="490" max="490" width="6.75" customWidth="1"/>
    <x:col min="491" max="491" width="8" customWidth="1"/>
    <x:col min="492" max="492" width="6.75" customWidth="1"/>
  </x:cols>
  <x:sheetData>
    <x:row r="1" ht="20.100000381469727" customHeight="1">
      <x:c r="A1" s="27" t="s">
        <x:v>0</x:v>
      </x:c>
      <x:c r="B1" s="33" t="s">
        <x:v>1</x:v>
      </x:c>
      <x:c r="C1" s="33" t="s">
        <x:v>2</x:v>
      </x:c>
      <x:c r="D1" s="33" t="s">
        <x:v>3</x:v>
      </x:c>
      <x:c r="E1" s="33" t="s">
        <x:v>4</x:v>
      </x:c>
      <x:c r="F1" s="33" t="s">
        <x:v>5</x:v>
      </x:c>
      <x:c r="G1" s="33" t="s">
        <x:v>6</x:v>
      </x:c>
      <x:c r="H1" s="33" t="s">
        <x:v>7</x:v>
      </x:c>
      <x:c r="I1" s="33" t="s">
        <x:v>8</x:v>
      </x:c>
      <x:c r="J1" s="33" t="s">
        <x:v>9</x:v>
      </x:c>
      <x:c r="K1" s="30" t="s">
        <x:v>10</x:v>
      </x:c>
      <x:c r="L1" s="21" t="s">
        <x:v>11</x:v>
      </x:c>
      <x:c r="M1" s="22"/>
      <x:c r="N1" s="22"/>
      <x:c r="O1" s="22"/>
      <x:c r="P1" s="22"/>
      <x:c r="Q1" s="23"/>
      <x:c r="R1" s="21" t="s">
        <x:v>12</x:v>
      </x:c>
      <x:c r="S1" s="22"/>
      <x:c r="T1" s="22"/>
      <x:c r="U1" s="22"/>
      <x:c r="V1" s="22"/>
      <x:c r="W1" s="22"/>
      <x:c r="X1" s="23"/>
      <x:c r="Y1" s="21" t="s">
        <x:v>13</x:v>
      </x:c>
      <x:c r="Z1" s="22"/>
      <x:c r="AA1" s="22"/>
      <x:c r="AB1" s="22"/>
      <x:c r="AC1" s="22"/>
      <x:c r="AD1" s="23"/>
      <x:c r="AE1" s="21" t="s">
        <x:v>14</x:v>
      </x:c>
      <x:c r="AF1" s="22"/>
      <x:c r="AG1" s="22"/>
      <x:c r="AH1" s="22"/>
      <x:c r="AI1" s="22"/>
      <x:c r="AJ1" s="22"/>
      <x:c r="AK1" s="23"/>
      <x:c r="AL1" s="21" t="s">
        <x:v>15</x:v>
      </x:c>
      <x:c r="AM1" s="22"/>
      <x:c r="AN1" s="22"/>
      <x:c r="AO1" s="23"/>
      <x:c r="AP1" s="21" t="s">
        <x:v>16</x:v>
      </x:c>
      <x:c r="AQ1" s="22"/>
      <x:c r="AR1" s="22"/>
      <x:c r="AS1" s="22"/>
      <x:c r="AT1" s="22"/>
      <x:c r="AU1" s="22"/>
      <x:c r="AV1" s="22"/>
      <x:c r="AW1" s="22"/>
      <x:c r="AX1" s="23"/>
      <x:c r="AY1" s="21" t="s">
        <x:v>17</x:v>
      </x:c>
      <x:c r="AZ1" s="22"/>
      <x:c r="BA1" s="22"/>
      <x:c r="BB1" s="22"/>
      <x:c r="BC1" s="22"/>
      <x:c r="BD1" s="22"/>
      <x:c r="BE1" s="22"/>
      <x:c r="BF1" s="22"/>
      <x:c r="BG1" s="22"/>
      <x:c r="BH1" s="23"/>
      <x:c r="BI1" s="21" t="s">
        <x:v>18</x:v>
      </x:c>
      <x:c r="BJ1" s="22"/>
      <x:c r="BK1" s="22"/>
      <x:c r="BL1" s="22"/>
      <x:c r="BM1" s="22"/>
      <x:c r="BN1" s="22"/>
      <x:c r="BO1" s="22"/>
      <x:c r="BP1" s="22"/>
      <x:c r="BQ1" s="23"/>
      <x:c r="BR1" s="21" t="s">
        <x:v>19</x:v>
      </x:c>
      <x:c r="BS1" s="22"/>
      <x:c r="BT1" s="22"/>
      <x:c r="BU1" s="22"/>
      <x:c r="BV1" s="22"/>
      <x:c r="BW1" s="22"/>
      <x:c r="BX1" s="22"/>
      <x:c r="BY1" s="22"/>
      <x:c r="BZ1" s="23"/>
      <x:c r="CA1" s="21" t="s">
        <x:v>20</x:v>
      </x:c>
      <x:c r="CB1" s="22"/>
      <x:c r="CC1" s="22"/>
      <x:c r="CD1" s="22"/>
      <x:c r="CE1" s="22"/>
      <x:c r="CF1" s="22"/>
      <x:c r="CG1" s="22"/>
      <x:c r="CH1" s="22"/>
      <x:c r="CI1" s="22"/>
      <x:c r="CJ1" s="22"/>
      <x:c r="CK1" s="22"/>
      <x:c r="CL1" s="23"/>
      <x:c r="CM1" s="21" t="s">
        <x:v>21</x:v>
      </x:c>
      <x:c r="CN1" s="22"/>
      <x:c r="CO1" s="22"/>
      <x:c r="CP1" s="22"/>
      <x:c r="CQ1" s="22"/>
      <x:c r="CR1" s="22"/>
      <x:c r="CS1" s="22"/>
      <x:c r="CT1" s="22"/>
      <x:c r="CU1" s="22"/>
      <x:c r="CV1" s="22"/>
      <x:c r="CW1" s="22"/>
      <x:c r="CX1" s="22"/>
      <x:c r="CY1" s="22"/>
      <x:c r="CZ1" s="22"/>
      <x:c r="DA1" s="22"/>
      <x:c r="DB1" s="23"/>
      <x:c r="DC1" s="21" t="s">
        <x:v>22</x:v>
      </x:c>
      <x:c r="DD1" s="23"/>
      <x:c r="DE1" s="21" t="s">
        <x:v>23</x:v>
      </x:c>
      <x:c r="DF1" s="22"/>
      <x:c r="DG1" s="22"/>
      <x:c r="DH1" s="22"/>
      <x:c r="DI1" s="22"/>
      <x:c r="DJ1" s="22"/>
      <x:c r="DK1" s="22"/>
      <x:c r="DL1" s="22"/>
      <x:c r="DM1" s="22"/>
      <x:c r="DN1" s="23"/>
      <x:c r="DO1" s="21" t="s">
        <x:v>24</x:v>
      </x:c>
      <x:c r="DP1" s="22"/>
      <x:c r="DQ1" s="22"/>
      <x:c r="DR1" s="22"/>
      <x:c r="DS1" s="22"/>
      <x:c r="DT1" s="23"/>
      <x:c r="DU1" s="21" t="s">
        <x:v>25</x:v>
      </x:c>
      <x:c r="DV1" s="22"/>
      <x:c r="DW1" s="22"/>
      <x:c r="DX1" s="22"/>
      <x:c r="DY1" s="22"/>
      <x:c r="DZ1" s="22"/>
      <x:c r="EA1" s="22"/>
      <x:c r="EB1" s="22"/>
      <x:c r="EC1" s="22"/>
      <x:c r="ED1" s="22"/>
      <x:c r="EE1" s="23"/>
      <x:c r="EF1" s="21" t="s">
        <x:v>26</x:v>
      </x:c>
      <x:c r="EG1" s="22"/>
      <x:c r="EH1" s="22"/>
      <x:c r="EI1" s="22"/>
      <x:c r="EJ1" s="22"/>
      <x:c r="EK1" s="22"/>
      <x:c r="EL1" s="22"/>
      <x:c r="EM1" s="22"/>
      <x:c r="EN1" s="22"/>
      <x:c r="EO1" s="22"/>
      <x:c r="EP1" s="22"/>
      <x:c r="EQ1" s="23"/>
      <x:c r="ER1" s="21" t="s">
        <x:v>27</x:v>
      </x:c>
      <x:c r="ES1" s="22"/>
      <x:c r="ET1" s="22"/>
      <x:c r="EU1" s="22"/>
      <x:c r="EV1" s="23"/>
      <x:c r="EW1" s="21" t="s">
        <x:v>28</x:v>
      </x:c>
      <x:c r="EX1" s="22"/>
      <x:c r="EY1" s="22"/>
      <x:c r="EZ1" s="22"/>
      <x:c r="FA1" s="22"/>
      <x:c r="FB1" s="22"/>
      <x:c r="FC1" s="22"/>
      <x:c r="FD1" s="22"/>
      <x:c r="FE1" s="22"/>
      <x:c r="FF1" s="23"/>
      <x:c r="FG1" s="21" t="s">
        <x:v>29</x:v>
      </x:c>
      <x:c r="FH1" s="22"/>
      <x:c r="FI1" s="22"/>
      <x:c r="FJ1" s="22"/>
      <x:c r="FK1" s="22"/>
      <x:c r="FL1" s="22"/>
      <x:c r="FM1" s="22"/>
      <x:c r="FN1" s="22"/>
      <x:c r="FO1" s="22"/>
      <x:c r="FP1" s="22"/>
      <x:c r="FQ1" s="22"/>
      <x:c r="FR1" s="22"/>
      <x:c r="FS1" s="22"/>
      <x:c r="FT1" s="22"/>
      <x:c r="FU1" s="22"/>
      <x:c r="FV1" s="23"/>
      <x:c r="FW1" s="21" t="s">
        <x:v>30</x:v>
      </x:c>
      <x:c r="FX1" s="22"/>
      <x:c r="FY1" s="22"/>
      <x:c r="FZ1" s="22"/>
      <x:c r="GA1" s="22"/>
      <x:c r="GB1" s="22"/>
      <x:c r="GC1" s="22"/>
      <x:c r="GD1" s="22"/>
      <x:c r="GE1" s="22"/>
      <x:c r="GF1" s="23"/>
      <x:c r="GG1" s="21" t="s">
        <x:v>31</x:v>
      </x:c>
      <x:c r="GH1" s="22"/>
      <x:c r="GI1" s="22"/>
      <x:c r="GJ1" s="22"/>
      <x:c r="GK1" s="22"/>
      <x:c r="GL1" s="22"/>
      <x:c r="GM1" s="23"/>
      <x:c r="GN1" s="21" t="s">
        <x:v>32</x:v>
      </x:c>
      <x:c r="GO1" s="22"/>
      <x:c r="GP1" s="22"/>
      <x:c r="GQ1" s="22"/>
      <x:c r="GR1" s="22"/>
      <x:c r="GS1" s="22"/>
      <x:c r="GT1" s="23"/>
      <x:c r="GU1" s="21" t="s">
        <x:v>33</x:v>
      </x:c>
      <x:c r="GV1" s="22"/>
      <x:c r="GW1" s="22"/>
      <x:c r="GX1" s="22"/>
      <x:c r="GY1" s="23"/>
      <x:c r="GZ1" s="21" t="s">
        <x:v>34</x:v>
      </x:c>
      <x:c r="HA1" s="22"/>
      <x:c r="HB1" s="22"/>
      <x:c r="HC1" s="22"/>
      <x:c r="HD1" s="22"/>
      <x:c r="HE1" s="22"/>
      <x:c r="HF1" s="22"/>
      <x:c r="HG1" s="22"/>
      <x:c r="HH1" s="22"/>
      <x:c r="HI1" s="22"/>
      <x:c r="HJ1" s="22"/>
      <x:c r="HK1" s="22"/>
      <x:c r="HL1" s="23"/>
      <x:c r="HM1" s="21" t="s">
        <x:v>35</x:v>
      </x:c>
      <x:c r="HN1" s="22"/>
      <x:c r="HO1" s="22"/>
      <x:c r="HP1" s="22"/>
      <x:c r="HQ1" s="22"/>
      <x:c r="HR1" s="22"/>
      <x:c r="HS1" s="22"/>
      <x:c r="HT1" s="22"/>
      <x:c r="HU1" s="22"/>
      <x:c r="HV1" s="22"/>
      <x:c r="HW1" s="23"/>
      <x:c r="HX1" s="21" t="s">
        <x:v>36</x:v>
      </x:c>
      <x:c r="HY1" s="22"/>
      <x:c r="HZ1" s="22"/>
      <x:c r="IA1" s="22"/>
      <x:c r="IB1" s="22"/>
      <x:c r="IC1" s="23"/>
      <x:c r="ID1" s="21" t="s">
        <x:v>37</x:v>
      </x:c>
      <x:c r="IE1" s="22"/>
      <x:c r="IF1" s="22"/>
      <x:c r="IG1" s="22"/>
      <x:c r="IH1" s="22"/>
      <x:c r="II1" s="22"/>
      <x:c r="IJ1" s="22"/>
      <x:c r="IK1" s="22"/>
      <x:c r="IL1" s="22"/>
      <x:c r="IM1" s="22"/>
      <x:c r="IN1" s="22"/>
      <x:c r="IO1" s="23"/>
      <x:c r="IP1" s="21" t="s">
        <x:v>38</x:v>
      </x:c>
      <x:c r="IQ1" s="22"/>
      <x:c r="IR1" s="22"/>
      <x:c r="IS1" s="22"/>
      <x:c r="IT1" s="22"/>
      <x:c r="IU1" s="22"/>
      <x:c r="IV1" s="22"/>
      <x:c r="IW1" s="22"/>
      <x:c r="IX1" s="22"/>
      <x:c r="IY1" s="23"/>
      <x:c r="IZ1" s="21" t="s">
        <x:v>39</x:v>
      </x:c>
      <x:c r="JA1" s="22"/>
      <x:c r="JB1" s="22"/>
      <x:c r="JC1" s="22"/>
      <x:c r="JD1" s="22"/>
      <x:c r="JE1" s="22"/>
      <x:c r="JF1" s="22"/>
      <x:c r="JG1" s="22"/>
      <x:c r="JH1" s="22"/>
      <x:c r="JI1" s="22"/>
      <x:c r="JJ1" s="22"/>
      <x:c r="JK1" s="22"/>
      <x:c r="JL1" s="22"/>
      <x:c r="JM1" s="22"/>
      <x:c r="JN1" s="22"/>
      <x:c r="JO1" s="22"/>
      <x:c r="JP1" s="22"/>
      <x:c r="JQ1" s="22"/>
      <x:c r="JR1" s="22"/>
      <x:c r="JS1" s="23"/>
      <x:c r="JT1" s="21" t="s">
        <x:v>40</x:v>
      </x:c>
      <x:c r="JU1" s="22"/>
      <x:c r="JV1" s="22"/>
      <x:c r="JW1" s="22"/>
      <x:c r="JX1" s="22"/>
      <x:c r="JY1" s="22"/>
      <x:c r="JZ1" s="22"/>
      <x:c r="KA1" s="22"/>
      <x:c r="KB1" s="22"/>
      <x:c r="KC1" s="22"/>
      <x:c r="KD1" s="22"/>
      <x:c r="KE1" s="22"/>
      <x:c r="KF1" s="22"/>
      <x:c r="KG1" s="22"/>
      <x:c r="KH1" s="22"/>
      <x:c r="KI1" s="22"/>
      <x:c r="KJ1" s="22"/>
      <x:c r="KK1" s="22"/>
      <x:c r="KL1" s="22"/>
      <x:c r="KM1" s="23"/>
      <x:c r="KN1" s="21" t="s">
        <x:v>41</x:v>
      </x:c>
      <x:c r="KO1" s="22"/>
      <x:c r="KP1" s="22"/>
      <x:c r="KQ1" s="22"/>
      <x:c r="KR1" s="22"/>
      <x:c r="KS1" s="22"/>
      <x:c r="KT1" s="22"/>
      <x:c r="KU1" s="22"/>
      <x:c r="KV1" s="22"/>
      <x:c r="KW1" s="22"/>
      <x:c r="KX1" s="22"/>
      <x:c r="KY1" s="22"/>
      <x:c r="KZ1" s="22"/>
      <x:c r="LA1" s="22"/>
      <x:c r="LB1" s="22"/>
      <x:c r="LC1" s="22"/>
      <x:c r="LD1" s="22"/>
      <x:c r="LE1" s="22"/>
      <x:c r="LF1" s="22"/>
      <x:c r="LG1" s="23"/>
      <x:c r="LH1" s="21" t="s">
        <x:v>42</x:v>
      </x:c>
      <x:c r="LI1" s="22"/>
      <x:c r="LJ1" s="22"/>
      <x:c r="LK1" s="22"/>
      <x:c r="LL1" s="22"/>
      <x:c r="LM1" s="22"/>
      <x:c r="LN1" s="22"/>
      <x:c r="LO1" s="22"/>
      <x:c r="LP1" s="22"/>
      <x:c r="LQ1" s="22"/>
      <x:c r="LR1" s="23"/>
      <x:c r="LS1" s="21" t="s">
        <x:v>43</x:v>
      </x:c>
      <x:c r="LT1" s="22"/>
      <x:c r="LU1" s="22"/>
      <x:c r="LV1" s="22"/>
      <x:c r="LW1" s="22"/>
      <x:c r="LX1" s="22"/>
      <x:c r="LY1" s="22"/>
      <x:c r="LZ1" s="22"/>
      <x:c r="MA1" s="22"/>
      <x:c r="MB1" s="22"/>
      <x:c r="MC1" s="23"/>
      <x:c r="MD1" s="21" t="s">
        <x:v>44</x:v>
      </x:c>
      <x:c r="ME1" s="22"/>
      <x:c r="MF1" s="22"/>
      <x:c r="MG1" s="22"/>
      <x:c r="MH1" s="22"/>
      <x:c r="MI1" s="22"/>
      <x:c r="MJ1" s="22"/>
      <x:c r="MK1" s="23"/>
      <x:c r="ML1" s="21" t="s">
        <x:v>45</x:v>
      </x:c>
      <x:c r="MM1" s="22"/>
      <x:c r="MN1" s="22"/>
      <x:c r="MO1" s="22"/>
      <x:c r="MP1" s="22"/>
      <x:c r="MQ1" s="22"/>
      <x:c r="MR1" s="22"/>
      <x:c r="MS1" s="22"/>
      <x:c r="MT1" s="22"/>
      <x:c r="MU1" s="22"/>
      <x:c r="MV1" s="23"/>
      <x:c r="MW1" s="21" t="s">
        <x:v>46</x:v>
      </x:c>
      <x:c r="MX1" s="22"/>
      <x:c r="MY1" s="22"/>
      <x:c r="MZ1" s="22"/>
      <x:c r="NA1" s="22"/>
      <x:c r="NB1" s="22"/>
      <x:c r="NC1" s="22"/>
      <x:c r="ND1" s="22"/>
      <x:c r="NE1" s="22"/>
      <x:c r="NF1" s="22"/>
      <x:c r="NG1" s="23"/>
      <x:c r="NH1" s="21" t="s">
        <x:v>47</x:v>
      </x:c>
      <x:c r="NI1" s="22"/>
      <x:c r="NJ1" s="22"/>
      <x:c r="NK1" s="22"/>
      <x:c r="NL1" s="22"/>
      <x:c r="NM1" s="22"/>
      <x:c r="NN1" s="22"/>
      <x:c r="NO1" s="22"/>
      <x:c r="NP1" s="22"/>
      <x:c r="NQ1" s="22"/>
      <x:c r="NR1" s="22"/>
      <x:c r="NS1" s="23"/>
      <x:c r="NT1" s="21" t="s">
        <x:v>48</x:v>
      </x:c>
      <x:c r="NU1" s="22"/>
      <x:c r="NV1" s="22"/>
      <x:c r="NW1" s="22"/>
      <x:c r="NX1" s="22"/>
      <x:c r="NY1" s="23"/>
      <x:c r="NZ1" s="21" t="s">
        <x:v>49</x:v>
      </x:c>
      <x:c r="OA1" s="22"/>
      <x:c r="OB1" s="22"/>
      <x:c r="OC1" s="22"/>
      <x:c r="OD1" s="22"/>
      <x:c r="OE1" s="22"/>
      <x:c r="OF1" s="22"/>
      <x:c r="OG1" s="22"/>
      <x:c r="OH1" s="22"/>
      <x:c r="OI1" s="22"/>
      <x:c r="OJ1" s="22"/>
      <x:c r="OK1" s="22"/>
      <x:c r="OL1" s="23"/>
      <x:c r="OM1" s="21" t="s">
        <x:v>50</x:v>
      </x:c>
      <x:c r="ON1" s="22"/>
      <x:c r="OO1" s="22"/>
      <x:c r="OP1" s="22"/>
      <x:c r="OQ1" s="22"/>
      <x:c r="OR1" s="22"/>
      <x:c r="OS1" s="22"/>
      <x:c r="OT1" s="22"/>
      <x:c r="OU1" s="22"/>
      <x:c r="OV1" s="22"/>
      <x:c r="OW1" s="23"/>
      <x:c r="OX1" s="21" t="s">
        <x:v>51</x:v>
      </x:c>
      <x:c r="OY1" s="22"/>
      <x:c r="OZ1" s="22"/>
      <x:c r="PA1" s="22"/>
      <x:c r="PB1" s="22"/>
      <x:c r="PC1" s="23"/>
      <x:c r="PD1" s="21" t="s">
        <x:v>52</x:v>
      </x:c>
      <x:c r="PE1" s="22"/>
      <x:c r="PF1" s="22"/>
      <x:c r="PG1" s="22"/>
      <x:c r="PH1" s="22"/>
      <x:c r="PI1" s="22"/>
      <x:c r="PJ1" s="22"/>
      <x:c r="PK1" s="22"/>
      <x:c r="PL1" s="22"/>
      <x:c r="PM1" s="22"/>
      <x:c r="PN1" s="22"/>
      <x:c r="PO1" s="23"/>
      <x:c r="PP1" s="21" t="s">
        <x:v>53</x:v>
      </x:c>
      <x:c r="PQ1" s="22"/>
      <x:c r="PR1" s="22"/>
      <x:c r="PS1" s="22"/>
      <x:c r="PT1" s="23"/>
      <x:c r="PU1" s="21" t="s">
        <x:v>54</x:v>
      </x:c>
      <x:c r="PV1" s="22"/>
      <x:c r="PW1" s="22"/>
      <x:c r="PX1" s="22"/>
      <x:c r="PY1" s="22"/>
      <x:c r="PZ1" s="22"/>
      <x:c r="QA1" s="22"/>
      <x:c r="QB1" s="22"/>
      <x:c r="QC1" s="22"/>
      <x:c r="QD1" s="22"/>
      <x:c r="QE1" s="23"/>
      <x:c r="QF1" s="21" t="s">
        <x:v>55</x:v>
      </x:c>
      <x:c r="QG1" s="22"/>
      <x:c r="QH1" s="22"/>
      <x:c r="QI1" s="22"/>
      <x:c r="QJ1" s="22"/>
      <x:c r="QK1" s="22"/>
      <x:c r="QL1" s="22"/>
      <x:c r="QM1" s="22"/>
      <x:c r="QN1" s="22"/>
      <x:c r="QO1" s="22"/>
      <x:c r="QP1" s="23"/>
      <x:c r="QQ1" s="21" t="s">
        <x:v>56</x:v>
      </x:c>
      <x:c r="QR1" s="22"/>
      <x:c r="QS1" s="22"/>
      <x:c r="QT1" s="22"/>
      <x:c r="QU1" s="22"/>
      <x:c r="QV1" s="22"/>
      <x:c r="QW1" s="22"/>
      <x:c r="QX1" s="22"/>
      <x:c r="QY1" s="22"/>
      <x:c r="QZ1" s="22"/>
      <x:c r="RA1" s="23"/>
      <x:c r="RB1" s="21" t="s">
        <x:v>57</x:v>
      </x:c>
      <x:c r="RC1" s="22"/>
      <x:c r="RD1" s="22"/>
      <x:c r="RE1" s="22"/>
      <x:c r="RF1" s="22"/>
      <x:c r="RG1" s="22"/>
      <x:c r="RH1" s="22"/>
      <x:c r="RI1" s="22"/>
      <x:c r="RJ1" s="22"/>
      <x:c r="RK1" s="23"/>
      <x:c r="RL1" s="21" t="s">
        <x:v>58</x:v>
      </x:c>
      <x:c r="RM1" s="22"/>
      <x:c r="RN1" s="22"/>
      <x:c r="RO1" s="22"/>
      <x:c r="RP1" s="22"/>
      <x:c r="RQ1" s="22"/>
      <x:c r="RR1" s="22"/>
      <x:c r="RS1" s="22"/>
      <x:c r="RT1" s="22"/>
      <x:c r="RU1" s="22"/>
      <x:c r="RV1" s="23"/>
      <x:c r="RW1" s="21" t="s">
        <x:v>59</x:v>
      </x:c>
      <x:c r="RX1" s="23"/>
    </x:row>
    <x:row r="2" ht="18" customHeight="1">
      <x:c r="A2" s="28"/>
      <x:c r="B2" s="34"/>
      <x:c r="C2" s="34"/>
      <x:c r="D2" s="34"/>
      <x:c r="E2" s="34"/>
      <x:c r="F2" s="34"/>
      <x:c r="G2" s="34"/>
      <x:c r="H2" s="34"/>
      <x:c r="I2" s="34"/>
      <x:c r="J2" s="34"/>
      <x:c r="K2" s="31"/>
      <x:c r="L2" s="24" t="s">
        <x:v>60</x:v>
      </x:c>
      <x:c r="M2" s="25"/>
      <x:c r="N2" s="25"/>
      <x:c r="O2" s="25"/>
      <x:c r="P2" s="25"/>
      <x:c r="Q2" s="26"/>
      <x:c r="R2" s="24" t="s">
        <x:v>61</x:v>
      </x:c>
      <x:c r="S2" s="25"/>
      <x:c r="T2" s="25"/>
      <x:c r="U2" s="25"/>
      <x:c r="V2" s="25"/>
      <x:c r="W2" s="25"/>
      <x:c r="X2" s="26"/>
      <x:c r="Y2" s="24" t="s">
        <x:v>62</x:v>
      </x:c>
      <x:c r="Z2" s="25"/>
      <x:c r="AA2" s="25"/>
      <x:c r="AB2" s="25"/>
      <x:c r="AC2" s="25"/>
      <x:c r="AD2" s="26"/>
      <x:c r="AE2" s="24" t="s">
        <x:v>63</x:v>
      </x:c>
      <x:c r="AF2" s="25"/>
      <x:c r="AG2" s="25"/>
      <x:c r="AH2" s="25"/>
      <x:c r="AI2" s="25"/>
      <x:c r="AJ2" s="25"/>
      <x:c r="AK2" s="26"/>
      <x:c r="AL2" s="24" t="s">
        <x:v>64</x:v>
      </x:c>
      <x:c r="AM2" s="25"/>
      <x:c r="AN2" s="25"/>
      <x:c r="AO2" s="26"/>
      <x:c r="AP2" s="24" t="s">
        <x:v>65</x:v>
      </x:c>
      <x:c r="AQ2" s="25"/>
      <x:c r="AR2" s="25"/>
      <x:c r="AS2" s="25"/>
      <x:c r="AT2" s="25"/>
      <x:c r="AU2" s="25"/>
      <x:c r="AV2" s="25"/>
      <x:c r="AW2" s="25"/>
      <x:c r="AX2" s="26"/>
      <x:c r="AY2" s="24" t="s">
        <x:v>66</x:v>
      </x:c>
      <x:c r="AZ2" s="25"/>
      <x:c r="BA2" s="25"/>
      <x:c r="BB2" s="25"/>
      <x:c r="BC2" s="25"/>
      <x:c r="BD2" s="25"/>
      <x:c r="BE2" s="25"/>
      <x:c r="BF2" s="25"/>
      <x:c r="BG2" s="25"/>
      <x:c r="BH2" s="26"/>
      <x:c r="BI2" s="24" t="s">
        <x:v>67</x:v>
      </x:c>
      <x:c r="BJ2" s="25"/>
      <x:c r="BK2" s="25"/>
      <x:c r="BL2" s="25"/>
      <x:c r="BM2" s="25"/>
      <x:c r="BN2" s="25"/>
      <x:c r="BO2" s="25"/>
      <x:c r="BP2" s="25"/>
      <x:c r="BQ2" s="26"/>
      <x:c r="BR2" s="24" t="s">
        <x:v>68</x:v>
      </x:c>
      <x:c r="BS2" s="25"/>
      <x:c r="BT2" s="25"/>
      <x:c r="BU2" s="25"/>
      <x:c r="BV2" s="25"/>
      <x:c r="BW2" s="25"/>
      <x:c r="BX2" s="25"/>
      <x:c r="BY2" s="25"/>
      <x:c r="BZ2" s="26"/>
      <x:c r="CA2" s="24" t="s">
        <x:v>69</x:v>
      </x:c>
      <x:c r="CB2" s="25"/>
      <x:c r="CC2" s="25"/>
      <x:c r="CD2" s="25"/>
      <x:c r="CE2" s="25"/>
      <x:c r="CF2" s="25"/>
      <x:c r="CG2" s="25"/>
      <x:c r="CH2" s="25"/>
      <x:c r="CI2" s="25"/>
      <x:c r="CJ2" s="25"/>
      <x:c r="CK2" s="25"/>
      <x:c r="CL2" s="26"/>
      <x:c r="CM2" s="24" t="s">
        <x:v>70</x:v>
      </x:c>
      <x:c r="CN2" s="25"/>
      <x:c r="CO2" s="25"/>
      <x:c r="CP2" s="25"/>
      <x:c r="CQ2" s="25"/>
      <x:c r="CR2" s="25"/>
      <x:c r="CS2" s="25"/>
      <x:c r="CT2" s="25"/>
      <x:c r="CU2" s="25"/>
      <x:c r="CV2" s="25"/>
      <x:c r="CW2" s="25"/>
      <x:c r="CX2" s="25"/>
      <x:c r="CY2" s="25"/>
      <x:c r="CZ2" s="25"/>
      <x:c r="DA2" s="25"/>
      <x:c r="DB2" s="26"/>
      <x:c r="DC2" s="24" t="s">
        <x:v>71</x:v>
      </x:c>
      <x:c r="DD2" s="26"/>
      <x:c r="DE2" s="24" t="s">
        <x:v>72</x:v>
      </x:c>
      <x:c r="DF2" s="25"/>
      <x:c r="DG2" s="25"/>
      <x:c r="DH2" s="25"/>
      <x:c r="DI2" s="25"/>
      <x:c r="DJ2" s="25"/>
      <x:c r="DK2" s="25"/>
      <x:c r="DL2" s="25"/>
      <x:c r="DM2" s="25"/>
      <x:c r="DN2" s="26"/>
      <x:c r="DO2" s="24" t="s">
        <x:v>73</x:v>
      </x:c>
      <x:c r="DP2" s="25"/>
      <x:c r="DQ2" s="25"/>
      <x:c r="DR2" s="25"/>
      <x:c r="DS2" s="25"/>
      <x:c r="DT2" s="26"/>
      <x:c r="DU2" s="24" t="s">
        <x:v>74</x:v>
      </x:c>
      <x:c r="DV2" s="25"/>
      <x:c r="DW2" s="25"/>
      <x:c r="DX2" s="25"/>
      <x:c r="DY2" s="25"/>
      <x:c r="DZ2" s="25"/>
      <x:c r="EA2" s="25"/>
      <x:c r="EB2" s="25"/>
      <x:c r="EC2" s="25"/>
      <x:c r="ED2" s="25"/>
      <x:c r="EE2" s="26"/>
      <x:c r="EF2" s="24" t="s">
        <x:v>75</x:v>
      </x:c>
      <x:c r="EG2" s="25"/>
      <x:c r="EH2" s="25"/>
      <x:c r="EI2" s="25"/>
      <x:c r="EJ2" s="25"/>
      <x:c r="EK2" s="25"/>
      <x:c r="EL2" s="25"/>
      <x:c r="EM2" s="25"/>
      <x:c r="EN2" s="25"/>
      <x:c r="EO2" s="25"/>
      <x:c r="EP2" s="25"/>
      <x:c r="EQ2" s="26"/>
      <x:c r="ER2" s="24" t="s">
        <x:v>76</x:v>
      </x:c>
      <x:c r="ES2" s="25"/>
      <x:c r="ET2" s="25"/>
      <x:c r="EU2" s="25"/>
      <x:c r="EV2" s="26"/>
      <x:c r="EW2" s="24" t="s">
        <x:v>77</x:v>
      </x:c>
      <x:c r="EX2" s="25"/>
      <x:c r="EY2" s="25"/>
      <x:c r="EZ2" s="25"/>
      <x:c r="FA2" s="25"/>
      <x:c r="FB2" s="25"/>
      <x:c r="FC2" s="25"/>
      <x:c r="FD2" s="25"/>
      <x:c r="FE2" s="25"/>
      <x:c r="FF2" s="26"/>
      <x:c r="FG2" s="24" t="s">
        <x:v>78</x:v>
      </x:c>
      <x:c r="FH2" s="25"/>
      <x:c r="FI2" s="25"/>
      <x:c r="FJ2" s="25"/>
      <x:c r="FK2" s="25"/>
      <x:c r="FL2" s="25"/>
      <x:c r="FM2" s="25"/>
      <x:c r="FN2" s="25"/>
      <x:c r="FO2" s="25"/>
      <x:c r="FP2" s="25"/>
      <x:c r="FQ2" s="25"/>
      <x:c r="FR2" s="25"/>
      <x:c r="FS2" s="25"/>
      <x:c r="FT2" s="25"/>
      <x:c r="FU2" s="25"/>
      <x:c r="FV2" s="26"/>
      <x:c r="FW2" s="24" t="s">
        <x:v>79</x:v>
      </x:c>
      <x:c r="FX2" s="25"/>
      <x:c r="FY2" s="25"/>
      <x:c r="FZ2" s="25"/>
      <x:c r="GA2" s="25"/>
      <x:c r="GB2" s="25"/>
      <x:c r="GC2" s="25"/>
      <x:c r="GD2" s="25"/>
      <x:c r="GE2" s="25"/>
      <x:c r="GF2" s="26"/>
      <x:c r="GG2" s="24" t="s">
        <x:v>80</x:v>
      </x:c>
      <x:c r="GH2" s="25"/>
      <x:c r="GI2" s="25"/>
      <x:c r="GJ2" s="25"/>
      <x:c r="GK2" s="25"/>
      <x:c r="GL2" s="25"/>
      <x:c r="GM2" s="26"/>
      <x:c r="GN2" s="24" t="s">
        <x:v>81</x:v>
      </x:c>
      <x:c r="GO2" s="25"/>
      <x:c r="GP2" s="25"/>
      <x:c r="GQ2" s="25"/>
      <x:c r="GR2" s="25"/>
      <x:c r="GS2" s="25"/>
      <x:c r="GT2" s="26"/>
      <x:c r="GU2" s="24" t="s">
        <x:v>82</x:v>
      </x:c>
      <x:c r="GV2" s="25"/>
      <x:c r="GW2" s="25"/>
      <x:c r="GX2" s="25"/>
      <x:c r="GY2" s="26"/>
      <x:c r="GZ2" s="24" t="s">
        <x:v>83</x:v>
      </x:c>
      <x:c r="HA2" s="25"/>
      <x:c r="HB2" s="25"/>
      <x:c r="HC2" s="25"/>
      <x:c r="HD2" s="25"/>
      <x:c r="HE2" s="25"/>
      <x:c r="HF2" s="25"/>
      <x:c r="HG2" s="25"/>
      <x:c r="HH2" s="25"/>
      <x:c r="HI2" s="25"/>
      <x:c r="HJ2" s="25"/>
      <x:c r="HK2" s="25"/>
      <x:c r="HL2" s="26"/>
      <x:c r="HM2" s="24" t="s">
        <x:v>84</x:v>
      </x:c>
      <x:c r="HN2" s="25"/>
      <x:c r="HO2" s="25"/>
      <x:c r="HP2" s="25"/>
      <x:c r="HQ2" s="25"/>
      <x:c r="HR2" s="25"/>
      <x:c r="HS2" s="25"/>
      <x:c r="HT2" s="25"/>
      <x:c r="HU2" s="25"/>
      <x:c r="HV2" s="25"/>
      <x:c r="HW2" s="26"/>
      <x:c r="HX2" s="24" t="s">
        <x:v>85</x:v>
      </x:c>
      <x:c r="HY2" s="25"/>
      <x:c r="HZ2" s="25"/>
      <x:c r="IA2" s="25"/>
      <x:c r="IB2" s="25"/>
      <x:c r="IC2" s="26"/>
      <x:c r="ID2" s="24" t="s">
        <x:v>86</x:v>
      </x:c>
      <x:c r="IE2" s="25"/>
      <x:c r="IF2" s="25"/>
      <x:c r="IG2" s="25"/>
      <x:c r="IH2" s="25"/>
      <x:c r="II2" s="25"/>
      <x:c r="IJ2" s="25"/>
      <x:c r="IK2" s="25"/>
      <x:c r="IL2" s="25"/>
      <x:c r="IM2" s="25"/>
      <x:c r="IN2" s="25"/>
      <x:c r="IO2" s="26"/>
      <x:c r="IP2" s="24" t="s">
        <x:v>87</x:v>
      </x:c>
      <x:c r="IQ2" s="25"/>
      <x:c r="IR2" s="25"/>
      <x:c r="IS2" s="25"/>
      <x:c r="IT2" s="25"/>
      <x:c r="IU2" s="25"/>
      <x:c r="IV2" s="25"/>
      <x:c r="IW2" s="25"/>
      <x:c r="IX2" s="25"/>
      <x:c r="IY2" s="26"/>
      <x:c r="IZ2" s="24" t="s">
        <x:v>88</x:v>
      </x:c>
      <x:c r="JA2" s="25"/>
      <x:c r="JB2" s="25"/>
      <x:c r="JC2" s="25"/>
      <x:c r="JD2" s="25"/>
      <x:c r="JE2" s="25"/>
      <x:c r="JF2" s="25"/>
      <x:c r="JG2" s="25"/>
      <x:c r="JH2" s="25"/>
      <x:c r="JI2" s="25"/>
      <x:c r="JJ2" s="25"/>
      <x:c r="JK2" s="25"/>
      <x:c r="JL2" s="25"/>
      <x:c r="JM2" s="25"/>
      <x:c r="JN2" s="25"/>
      <x:c r="JO2" s="25"/>
      <x:c r="JP2" s="25"/>
      <x:c r="JQ2" s="25"/>
      <x:c r="JR2" s="25"/>
      <x:c r="JS2" s="26"/>
      <x:c r="JT2" s="24" t="s">
        <x:v>89</x:v>
      </x:c>
      <x:c r="JU2" s="25"/>
      <x:c r="JV2" s="25"/>
      <x:c r="JW2" s="25"/>
      <x:c r="JX2" s="25"/>
      <x:c r="JY2" s="25"/>
      <x:c r="JZ2" s="25"/>
      <x:c r="KA2" s="25"/>
      <x:c r="KB2" s="25"/>
      <x:c r="KC2" s="25"/>
      <x:c r="KD2" s="25"/>
      <x:c r="KE2" s="25"/>
      <x:c r="KF2" s="25"/>
      <x:c r="KG2" s="25"/>
      <x:c r="KH2" s="25"/>
      <x:c r="KI2" s="25"/>
      <x:c r="KJ2" s="25"/>
      <x:c r="KK2" s="25"/>
      <x:c r="KL2" s="25"/>
      <x:c r="KM2" s="26"/>
      <x:c r="KN2" s="24" t="s">
        <x:v>90</x:v>
      </x:c>
      <x:c r="KO2" s="25"/>
      <x:c r="KP2" s="25"/>
      <x:c r="KQ2" s="25"/>
      <x:c r="KR2" s="25"/>
      <x:c r="KS2" s="25"/>
      <x:c r="KT2" s="25"/>
      <x:c r="KU2" s="25"/>
      <x:c r="KV2" s="25"/>
      <x:c r="KW2" s="25"/>
      <x:c r="KX2" s="25"/>
      <x:c r="KY2" s="25"/>
      <x:c r="KZ2" s="25"/>
      <x:c r="LA2" s="25"/>
      <x:c r="LB2" s="25"/>
      <x:c r="LC2" s="25"/>
      <x:c r="LD2" s="25"/>
      <x:c r="LE2" s="25"/>
      <x:c r="LF2" s="25"/>
      <x:c r="LG2" s="26"/>
      <x:c r="LH2" s="24" t="s">
        <x:v>91</x:v>
      </x:c>
      <x:c r="LI2" s="25"/>
      <x:c r="LJ2" s="25"/>
      <x:c r="LK2" s="25"/>
      <x:c r="LL2" s="25"/>
      <x:c r="LM2" s="25"/>
      <x:c r="LN2" s="25"/>
      <x:c r="LO2" s="25"/>
      <x:c r="LP2" s="25"/>
      <x:c r="LQ2" s="25"/>
      <x:c r="LR2" s="26"/>
      <x:c r="LS2" s="24" t="s">
        <x:v>92</x:v>
      </x:c>
      <x:c r="LT2" s="25"/>
      <x:c r="LU2" s="25"/>
      <x:c r="LV2" s="25"/>
      <x:c r="LW2" s="25"/>
      <x:c r="LX2" s="25"/>
      <x:c r="LY2" s="25"/>
      <x:c r="LZ2" s="25"/>
      <x:c r="MA2" s="25"/>
      <x:c r="MB2" s="25"/>
      <x:c r="MC2" s="26"/>
      <x:c r="MD2" s="24" t="s">
        <x:v>93</x:v>
      </x:c>
      <x:c r="ME2" s="25"/>
      <x:c r="MF2" s="25"/>
      <x:c r="MG2" s="25"/>
      <x:c r="MH2" s="25"/>
      <x:c r="MI2" s="25"/>
      <x:c r="MJ2" s="25"/>
      <x:c r="MK2" s="26"/>
      <x:c r="ML2" s="24" t="s">
        <x:v>94</x:v>
      </x:c>
      <x:c r="MM2" s="25"/>
      <x:c r="MN2" s="25"/>
      <x:c r="MO2" s="25"/>
      <x:c r="MP2" s="25"/>
      <x:c r="MQ2" s="25"/>
      <x:c r="MR2" s="25"/>
      <x:c r="MS2" s="25"/>
      <x:c r="MT2" s="25"/>
      <x:c r="MU2" s="25"/>
      <x:c r="MV2" s="26"/>
      <x:c r="MW2" s="24" t="s">
        <x:v>95</x:v>
      </x:c>
      <x:c r="MX2" s="25"/>
      <x:c r="MY2" s="25"/>
      <x:c r="MZ2" s="25"/>
      <x:c r="NA2" s="25"/>
      <x:c r="NB2" s="25"/>
      <x:c r="NC2" s="25"/>
      <x:c r="ND2" s="25"/>
      <x:c r="NE2" s="25"/>
      <x:c r="NF2" s="25"/>
      <x:c r="NG2" s="26"/>
      <x:c r="NH2" s="24" t="s">
        <x:v>96</x:v>
      </x:c>
      <x:c r="NI2" s="25"/>
      <x:c r="NJ2" s="25"/>
      <x:c r="NK2" s="25"/>
      <x:c r="NL2" s="25"/>
      <x:c r="NM2" s="25"/>
      <x:c r="NN2" s="25"/>
      <x:c r="NO2" s="25"/>
      <x:c r="NP2" s="25"/>
      <x:c r="NQ2" s="25"/>
      <x:c r="NR2" s="25"/>
      <x:c r="NS2" s="26"/>
      <x:c r="NT2" s="24" t="s">
        <x:v>97</x:v>
      </x:c>
      <x:c r="NU2" s="25"/>
      <x:c r="NV2" s="25"/>
      <x:c r="NW2" s="25"/>
      <x:c r="NX2" s="25"/>
      <x:c r="NY2" s="26"/>
      <x:c r="NZ2" s="24" t="s">
        <x:v>98</x:v>
      </x:c>
      <x:c r="OA2" s="25"/>
      <x:c r="OB2" s="25"/>
      <x:c r="OC2" s="25"/>
      <x:c r="OD2" s="25"/>
      <x:c r="OE2" s="25"/>
      <x:c r="OF2" s="25"/>
      <x:c r="OG2" s="25"/>
      <x:c r="OH2" s="25"/>
      <x:c r="OI2" s="25"/>
      <x:c r="OJ2" s="25"/>
      <x:c r="OK2" s="25"/>
      <x:c r="OL2" s="26"/>
      <x:c r="OM2" s="24" t="s">
        <x:v>99</x:v>
      </x:c>
      <x:c r="ON2" s="25"/>
      <x:c r="OO2" s="25"/>
      <x:c r="OP2" s="25"/>
      <x:c r="OQ2" s="25"/>
      <x:c r="OR2" s="25"/>
      <x:c r="OS2" s="25"/>
      <x:c r="OT2" s="25"/>
      <x:c r="OU2" s="25"/>
      <x:c r="OV2" s="25"/>
      <x:c r="OW2" s="26"/>
      <x:c r="OX2" s="24" t="s">
        <x:v>100</x:v>
      </x:c>
      <x:c r="OY2" s="25"/>
      <x:c r="OZ2" s="25"/>
      <x:c r="PA2" s="25"/>
      <x:c r="PB2" s="25"/>
      <x:c r="PC2" s="26"/>
      <x:c r="PD2" s="24" t="s">
        <x:v>101</x:v>
      </x:c>
      <x:c r="PE2" s="25"/>
      <x:c r="PF2" s="25"/>
      <x:c r="PG2" s="25"/>
      <x:c r="PH2" s="25"/>
      <x:c r="PI2" s="25"/>
      <x:c r="PJ2" s="25"/>
      <x:c r="PK2" s="25"/>
      <x:c r="PL2" s="25"/>
      <x:c r="PM2" s="25"/>
      <x:c r="PN2" s="25"/>
      <x:c r="PO2" s="26"/>
      <x:c r="PP2" s="24" t="s">
        <x:v>102</x:v>
      </x:c>
      <x:c r="PQ2" s="25"/>
      <x:c r="PR2" s="25"/>
      <x:c r="PS2" s="25"/>
      <x:c r="PT2" s="26"/>
      <x:c r="PU2" s="24" t="s">
        <x:v>103</x:v>
      </x:c>
      <x:c r="PV2" s="25"/>
      <x:c r="PW2" s="25"/>
      <x:c r="PX2" s="25"/>
      <x:c r="PY2" s="25"/>
      <x:c r="PZ2" s="25"/>
      <x:c r="QA2" s="25"/>
      <x:c r="QB2" s="25"/>
      <x:c r="QC2" s="25"/>
      <x:c r="QD2" s="25"/>
      <x:c r="QE2" s="26"/>
      <x:c r="QF2" s="24" t="s">
        <x:v>104</x:v>
      </x:c>
      <x:c r="QG2" s="25"/>
      <x:c r="QH2" s="25"/>
      <x:c r="QI2" s="25"/>
      <x:c r="QJ2" s="25"/>
      <x:c r="QK2" s="25"/>
      <x:c r="QL2" s="25"/>
      <x:c r="QM2" s="25"/>
      <x:c r="QN2" s="25"/>
      <x:c r="QO2" s="25"/>
      <x:c r="QP2" s="26"/>
      <x:c r="QQ2" s="24" t="s">
        <x:v>105</x:v>
      </x:c>
      <x:c r="QR2" s="25"/>
      <x:c r="QS2" s="25"/>
      <x:c r="QT2" s="25"/>
      <x:c r="QU2" s="25"/>
      <x:c r="QV2" s="25"/>
      <x:c r="QW2" s="25"/>
      <x:c r="QX2" s="25"/>
      <x:c r="QY2" s="25"/>
      <x:c r="QZ2" s="25"/>
      <x:c r="RA2" s="26"/>
      <x:c r="RB2" s="24" t="s">
        <x:v>106</x:v>
      </x:c>
      <x:c r="RC2" s="25"/>
      <x:c r="RD2" s="25"/>
      <x:c r="RE2" s="25"/>
      <x:c r="RF2" s="25"/>
      <x:c r="RG2" s="25"/>
      <x:c r="RH2" s="25"/>
      <x:c r="RI2" s="25"/>
      <x:c r="RJ2" s="25"/>
      <x:c r="RK2" s="26"/>
      <x:c r="RL2" s="24" t="s">
        <x:v>107</x:v>
      </x:c>
      <x:c r="RM2" s="25"/>
      <x:c r="RN2" s="25"/>
      <x:c r="RO2" s="25"/>
      <x:c r="RP2" s="25"/>
      <x:c r="RQ2" s="25"/>
      <x:c r="RR2" s="25"/>
      <x:c r="RS2" s="25"/>
      <x:c r="RT2" s="25"/>
      <x:c r="RU2" s="25"/>
      <x:c r="RV2" s="26"/>
      <x:c r="RW2" s="24" t="s">
        <x:v>108</x:v>
      </x:c>
      <x:c r="RX2" s="26"/>
    </x:row>
    <x:row r="3" ht="18" hidden="1" customHeight="1">
      <x:c r="A3" s="28"/>
      <x:c r="B3" s="34"/>
      <x:c r="C3" s="34"/>
      <x:c r="D3" s="34"/>
      <x:c r="E3" s="34"/>
      <x:c r="F3" s="34"/>
      <x:c r="G3" s="34"/>
      <x:c r="H3" s="34"/>
      <x:c r="I3" s="34"/>
      <x:c r="J3" s="34"/>
      <x:c r="K3" s="31"/>
      <x:c r="L3" s="1" t="s">
        <x:v>109</x:v>
      </x:c>
      <x:c r="M3" s="2" t="s">
        <x:v>110</x:v>
      </x:c>
      <x:c r="N3" s="2" t="s">
        <x:v>111</x:v>
      </x:c>
      <x:c r="O3" s="2" t="s">
        <x:v>112</x:v>
      </x:c>
      <x:c r="P3" s="2"/>
      <x:c r="Q3" s="3"/>
      <x:c r="R3" s="1" t="s">
        <x:v>113</x:v>
      </x:c>
      <x:c r="S3" s="2" t="s">
        <x:v>114</x:v>
      </x:c>
      <x:c r="T3" s="2" t="s">
        <x:v>115</x:v>
      </x:c>
      <x:c r="U3" s="2" t="s">
        <x:v>116</x:v>
      </x:c>
      <x:c r="V3" s="2" t="s">
        <x:v>112</x:v>
      </x:c>
      <x:c r="W3" s="2"/>
      <x:c r="X3" s="3"/>
      <x:c r="Y3" s="1" t="s">
        <x:v>117</x:v>
      </x:c>
      <x:c r="Z3" s="2" t="s">
        <x:v>118</x:v>
      </x:c>
      <x:c r="AA3" s="2" t="s">
        <x:v>119</x:v>
      </x:c>
      <x:c r="AB3" s="2" t="s">
        <x:v>120</x:v>
      </x:c>
      <x:c r="AC3" s="2" t="s">
        <x:v>121</x:v>
      </x:c>
      <x:c r="AD3" s="3"/>
      <x:c r="AE3" s="1" t="s">
        <x:v>122</x:v>
      </x:c>
      <x:c r="AF3" s="2" t="s">
        <x:v>123</x:v>
      </x:c>
      <x:c r="AG3" s="2" t="s">
        <x:v>124</x:v>
      </x:c>
      <x:c r="AH3" s="2" t="s">
        <x:v>125</x:v>
      </x:c>
      <x:c r="AI3" s="2" t="s">
        <x:v>112</x:v>
      </x:c>
      <x:c r="AJ3" s="2"/>
      <x:c r="AK3" s="3"/>
      <x:c r="AL3" s="1" t="s">
        <x:v>126</x:v>
      </x:c>
      <x:c r="AM3" s="2" t="s">
        <x:v>127</x:v>
      </x:c>
      <x:c r="AN3" s="2" t="s">
        <x:v>128</x:v>
      </x:c>
      <x:c r="AO3" s="3"/>
      <x:c r="AP3" s="1" t="s">
        <x:v>129</x:v>
      </x:c>
      <x:c r="AQ3" s="2" t="s">
        <x:v>130</x:v>
      </x:c>
      <x:c r="AR3" s="2" t="s">
        <x:v>131</x:v>
      </x:c>
      <x:c r="AS3" s="2" t="s">
        <x:v>132</x:v>
      </x:c>
      <x:c r="AT3" s="2" t="s">
        <x:v>133</x:v>
      </x:c>
      <x:c r="AU3" s="2" t="s">
        <x:v>134</x:v>
      </x:c>
      <x:c r="AV3" s="2" t="s">
        <x:v>112</x:v>
      </x:c>
      <x:c r="AW3" s="2"/>
      <x:c r="AX3" s="3"/>
      <x:c r="AY3" s="1" t="s">
        <x:v>135</x:v>
      </x:c>
      <x:c r="AZ3" s="2" t="s">
        <x:v>136</x:v>
      </x:c>
      <x:c r="BA3" s="2" t="s">
        <x:v>137</x:v>
      </x:c>
      <x:c r="BB3" s="2" t="s">
        <x:v>138</x:v>
      </x:c>
      <x:c r="BC3" s="2" t="s">
        <x:v>139</x:v>
      </x:c>
      <x:c r="BD3" s="2" t="s">
        <x:v>140</x:v>
      </x:c>
      <x:c r="BE3" s="2" t="s">
        <x:v>141</x:v>
      </x:c>
      <x:c r="BF3" s="2" t="s">
        <x:v>142</x:v>
      </x:c>
      <x:c r="BG3" s="2"/>
      <x:c r="BH3" s="3"/>
      <x:c r="BI3" s="1" t="s">
        <x:v>143</x:v>
      </x:c>
      <x:c r="BJ3" s="2" t="s">
        <x:v>144</x:v>
      </x:c>
      <x:c r="BK3" s="2" t="s">
        <x:v>145</x:v>
      </x:c>
      <x:c r="BL3" s="2" t="s">
        <x:v>146</x:v>
      </x:c>
      <x:c r="BM3" s="2" t="s">
        <x:v>147</x:v>
      </x:c>
      <x:c r="BN3" s="2" t="s">
        <x:v>148</x:v>
      </x:c>
      <x:c r="BO3" s="2" t="s">
        <x:v>112</x:v>
      </x:c>
      <x:c r="BP3" s="2"/>
      <x:c r="BQ3" s="3"/>
      <x:c r="BR3" s="1" t="s">
        <x:v>149</x:v>
      </x:c>
      <x:c r="BS3" s="2" t="s">
        <x:v>150</x:v>
      </x:c>
      <x:c r="BT3" s="2" t="s">
        <x:v>151</x:v>
      </x:c>
      <x:c r="BU3" s="2" t="s">
        <x:v>152</x:v>
      </x:c>
      <x:c r="BV3" s="2" t="s">
        <x:v>153</x:v>
      </x:c>
      <x:c r="BW3" s="2" t="s">
        <x:v>154</x:v>
      </x:c>
      <x:c r="BX3" s="2" t="s">
        <x:v>112</x:v>
      </x:c>
      <x:c r="BY3" s="2"/>
      <x:c r="BZ3" s="3"/>
      <x:c r="CA3" s="1" t="s">
        <x:v>155</x:v>
      </x:c>
      <x:c r="CB3" s="2" t="s">
        <x:v>151</x:v>
      </x:c>
      <x:c r="CC3" s="2" t="s">
        <x:v>150</x:v>
      </x:c>
      <x:c r="CD3" s="2" t="s">
        <x:v>152</x:v>
      </x:c>
      <x:c r="CE3" s="2" t="s">
        <x:v>153</x:v>
      </x:c>
      <x:c r="CF3" s="2" t="s">
        <x:v>156</x:v>
      </x:c>
      <x:c r="CG3" s="2" t="s">
        <x:v>157</x:v>
      </x:c>
      <x:c r="CH3" s="2" t="s">
        <x:v>158</x:v>
      </x:c>
      <x:c r="CI3" s="2" t="s">
        <x:v>159</x:v>
      </x:c>
      <x:c r="CJ3" s="2" t="s">
        <x:v>112</x:v>
      </x:c>
      <x:c r="CK3" s="2"/>
      <x:c r="CL3" s="3"/>
      <x:c r="CM3" s="1" t="s">
        <x:v>160</x:v>
      </x:c>
      <x:c r="CN3" s="2" t="s">
        <x:v>161</x:v>
      </x:c>
      <x:c r="CO3" s="2" t="s">
        <x:v>162</x:v>
      </x:c>
      <x:c r="CP3" s="2" t="s">
        <x:v>163</x:v>
      </x:c>
      <x:c r="CQ3" s="2" t="s">
        <x:v>164</x:v>
      </x:c>
      <x:c r="CR3" s="2" t="s">
        <x:v>165</x:v>
      </x:c>
      <x:c r="CS3" s="2" t="s">
        <x:v>166</x:v>
      </x:c>
      <x:c r="CT3" s="2" t="s">
        <x:v>167</x:v>
      </x:c>
      <x:c r="CU3" s="2" t="s">
        <x:v>168</x:v>
      </x:c>
      <x:c r="CV3" s="2" t="s">
        <x:v>169</x:v>
      </x:c>
      <x:c r="CW3" s="2" t="s">
        <x:v>170</x:v>
      </x:c>
      <x:c r="CX3" s="2" t="s">
        <x:v>171</x:v>
      </x:c>
      <x:c r="CY3" s="2" t="s">
        <x:v>172</x:v>
      </x:c>
      <x:c r="CZ3" s="2" t="s">
        <x:v>112</x:v>
      </x:c>
      <x:c r="DA3" s="2"/>
      <x:c r="DB3" s="3"/>
      <x:c r="DC3" s="36" t="s">
        <x:v>173</x:v>
      </x:c>
      <x:c r="DD3" s="37"/>
      <x:c r="DE3" s="1" t="s">
        <x:v>174</x:v>
      </x:c>
      <x:c r="DF3" s="2" t="s">
        <x:v>175</x:v>
      </x:c>
      <x:c r="DG3" s="2" t="s">
        <x:v>176</x:v>
      </x:c>
      <x:c r="DH3" s="2" t="s">
        <x:v>177</x:v>
      </x:c>
      <x:c r="DI3" s="2" t="s">
        <x:v>178</x:v>
      </x:c>
      <x:c r="DJ3" s="2" t="s">
        <x:v>179</x:v>
      </x:c>
      <x:c r="DK3" s="2" t="s">
        <x:v>180</x:v>
      </x:c>
      <x:c r="DL3" s="2" t="s">
        <x:v>112</x:v>
      </x:c>
      <x:c r="DM3" s="2"/>
      <x:c r="DN3" s="3"/>
      <x:c r="DO3" s="1" t="s">
        <x:v>181</x:v>
      </x:c>
      <x:c r="DP3" s="2" t="s">
        <x:v>182</x:v>
      </x:c>
      <x:c r="DQ3" s="2" t="s">
        <x:v>183</x:v>
      </x:c>
      <x:c r="DR3" s="2" t="s">
        <x:v>184</x:v>
      </x:c>
      <x:c r="DS3" s="2" t="s">
        <x:v>185</x:v>
      </x:c>
      <x:c r="DT3" s="3"/>
      <x:c r="DU3" s="1" t="s">
        <x:v>186</x:v>
      </x:c>
      <x:c r="DV3" s="2" t="s">
        <x:v>187</x:v>
      </x:c>
      <x:c r="DW3" s="2" t="s">
        <x:v>188</x:v>
      </x:c>
      <x:c r="DX3" s="2" t="s">
        <x:v>189</x:v>
      </x:c>
      <x:c r="DY3" s="2" t="s">
        <x:v>190</x:v>
      </x:c>
      <x:c r="DZ3" s="2" t="s">
        <x:v>191</x:v>
      </x:c>
      <x:c r="EA3" s="2" t="s">
        <x:v>192</x:v>
      </x:c>
      <x:c r="EB3" s="2" t="s">
        <x:v>193</x:v>
      </x:c>
      <x:c r="EC3" s="2" t="s">
        <x:v>112</x:v>
      </x:c>
      <x:c r="ED3" s="2"/>
      <x:c r="EE3" s="3"/>
      <x:c r="EF3" s="1" t="s">
        <x:v>194</x:v>
      </x:c>
      <x:c r="EG3" s="2" t="s">
        <x:v>195</x:v>
      </x:c>
      <x:c r="EH3" s="2" t="s">
        <x:v>196</x:v>
      </x:c>
      <x:c r="EI3" s="2" t="s">
        <x:v>197</x:v>
      </x:c>
      <x:c r="EJ3" s="2" t="s">
        <x:v>198</x:v>
      </x:c>
      <x:c r="EK3" s="2" t="s">
        <x:v>199</x:v>
      </x:c>
      <x:c r="EL3" s="2" t="s">
        <x:v>200</x:v>
      </x:c>
      <x:c r="EM3" s="2" t="s">
        <x:v>201</x:v>
      </x:c>
      <x:c r="EN3" s="2" t="s">
        <x:v>202</x:v>
      </x:c>
      <x:c r="EO3" s="2" t="s">
        <x:v>112</x:v>
      </x:c>
      <x:c r="EP3" s="2"/>
      <x:c r="EQ3" s="3"/>
      <x:c r="ER3" s="1" t="s">
        <x:v>203</x:v>
      </x:c>
      <x:c r="ES3" s="2" t="s">
        <x:v>204</x:v>
      </x:c>
      <x:c r="ET3" s="2" t="s">
        <x:v>205</x:v>
      </x:c>
      <x:c r="EU3" s="2" t="s">
        <x:v>206</x:v>
      </x:c>
      <x:c r="EV3" s="3"/>
      <x:c r="EW3" s="1" t="s">
        <x:v>207</x:v>
      </x:c>
      <x:c r="EX3" s="2" t="s">
        <x:v>208</x:v>
      </x:c>
      <x:c r="EY3" s="2" t="s">
        <x:v>209</x:v>
      </x:c>
      <x:c r="EZ3" s="2" t="s">
        <x:v>210</x:v>
      </x:c>
      <x:c r="FA3" s="2" t="s">
        <x:v>211</x:v>
      </x:c>
      <x:c r="FB3" s="2" t="s">
        <x:v>212</x:v>
      </x:c>
      <x:c r="FC3" s="2" t="s">
        <x:v>213</x:v>
      </x:c>
      <x:c r="FD3" s="2" t="s">
        <x:v>112</x:v>
      </x:c>
      <x:c r="FE3" s="2"/>
      <x:c r="FF3" s="3"/>
      <x:c r="FG3" s="1" t="s">
        <x:v>214</x:v>
      </x:c>
      <x:c r="FH3" s="2" t="s">
        <x:v>215</x:v>
      </x:c>
      <x:c r="FI3" s="2" t="s">
        <x:v>216</x:v>
      </x:c>
      <x:c r="FJ3" s="2" t="s">
        <x:v>217</x:v>
      </x:c>
      <x:c r="FK3" s="2" t="s">
        <x:v>218</x:v>
      </x:c>
      <x:c r="FL3" s="2" t="s">
        <x:v>219</x:v>
      </x:c>
      <x:c r="FM3" s="2" t="s">
        <x:v>220</x:v>
      </x:c>
      <x:c r="FN3" s="2" t="s">
        <x:v>221</x:v>
      </x:c>
      <x:c r="FO3" s="2" t="s">
        <x:v>222</x:v>
      </x:c>
      <x:c r="FP3" s="2" t="s">
        <x:v>223</x:v>
      </x:c>
      <x:c r="FQ3" s="2" t="s">
        <x:v>224</x:v>
      </x:c>
      <x:c r="FR3" s="2" t="s">
        <x:v>225</x:v>
      </x:c>
      <x:c r="FS3" s="2" t="s">
        <x:v>226</x:v>
      </x:c>
      <x:c r="FT3" s="2" t="s">
        <x:v>112</x:v>
      </x:c>
      <x:c r="FU3" s="2"/>
      <x:c r="FV3" s="3"/>
      <x:c r="FW3" s="1" t="s">
        <x:v>227</x:v>
      </x:c>
      <x:c r="FX3" s="2" t="s">
        <x:v>228</x:v>
      </x:c>
      <x:c r="FY3" s="2" t="s">
        <x:v>229</x:v>
      </x:c>
      <x:c r="FZ3" s="2" t="s">
        <x:v>230</x:v>
      </x:c>
      <x:c r="GA3" s="2" t="s">
        <x:v>231</x:v>
      </x:c>
      <x:c r="GB3" s="2" t="s">
        <x:v>232</x:v>
      </x:c>
      <x:c r="GC3" s="2" t="s">
        <x:v>172</x:v>
      </x:c>
      <x:c r="GD3" s="2" t="s">
        <x:v>112</x:v>
      </x:c>
      <x:c r="GE3" s="2"/>
      <x:c r="GF3" s="3"/>
      <x:c r="GG3" s="1" t="s">
        <x:v>233</x:v>
      </x:c>
      <x:c r="GH3" s="2" t="s">
        <x:v>234</x:v>
      </x:c>
      <x:c r="GI3" s="2" t="s">
        <x:v>235</x:v>
      </x:c>
      <x:c r="GJ3" s="2" t="s">
        <x:v>236</x:v>
      </x:c>
      <x:c r="GK3" s="2" t="s">
        <x:v>237</x:v>
      </x:c>
      <x:c r="GL3" s="2" t="s">
        <x:v>172</x:v>
      </x:c>
      <x:c r="GM3" s="3"/>
      <x:c r="GN3" s="1" t="s">
        <x:v>233</x:v>
      </x:c>
      <x:c r="GO3" s="2" t="s">
        <x:v>234</x:v>
      </x:c>
      <x:c r="GP3" s="2" t="s">
        <x:v>235</x:v>
      </x:c>
      <x:c r="GQ3" s="2" t="s">
        <x:v>236</x:v>
      </x:c>
      <x:c r="GR3" s="2" t="s">
        <x:v>237</x:v>
      </x:c>
      <x:c r="GS3" s="2" t="s">
        <x:v>172</x:v>
      </x:c>
      <x:c r="GT3" s="3"/>
      <x:c r="GU3" s="1" t="s">
        <x:v>238</x:v>
      </x:c>
      <x:c r="GV3" s="2" t="s">
        <x:v>239</x:v>
      </x:c>
      <x:c r="GW3" s="2" t="s">
        <x:v>240</x:v>
      </x:c>
      <x:c r="GX3" s="2" t="s">
        <x:v>241</x:v>
      </x:c>
      <x:c r="GY3" s="3"/>
      <x:c r="GZ3" s="1" t="s">
        <x:v>242</x:v>
      </x:c>
      <x:c r="HA3" s="2" t="s">
        <x:v>243</x:v>
      </x:c>
      <x:c r="HB3" s="2" t="s">
        <x:v>244</x:v>
      </x:c>
      <x:c r="HC3" s="2" t="s">
        <x:v>245</x:v>
      </x:c>
      <x:c r="HD3" s="2" t="s">
        <x:v>246</x:v>
      </x:c>
      <x:c r="HE3" s="2" t="s">
        <x:v>247</x:v>
      </x:c>
      <x:c r="HF3" s="2" t="s">
        <x:v>248</x:v>
      </x:c>
      <x:c r="HG3" s="2" t="s">
        <x:v>249</x:v>
      </x:c>
      <x:c r="HH3" s="2" t="s">
        <x:v>250</x:v>
      </x:c>
      <x:c r="HI3" s="2" t="s">
        <x:v>251</x:v>
      </x:c>
      <x:c r="HJ3" s="2" t="s">
        <x:v>112</x:v>
      </x:c>
      <x:c r="HK3" s="2"/>
      <x:c r="HL3" s="3"/>
      <x:c r="HM3" s="1" t="s">
        <x:v>252</x:v>
      </x:c>
      <x:c r="HN3" s="2" t="s">
        <x:v>253</x:v>
      </x:c>
      <x:c r="HO3" s="2" t="s">
        <x:v>254</x:v>
      </x:c>
      <x:c r="HP3" s="2" t="s">
        <x:v>255</x:v>
      </x:c>
      <x:c r="HQ3" s="2" t="s">
        <x:v>256</x:v>
      </x:c>
      <x:c r="HR3" s="2" t="s">
        <x:v>257</x:v>
      </x:c>
      <x:c r="HS3" s="2" t="s">
        <x:v>258</x:v>
      </x:c>
      <x:c r="HT3" s="2" t="s">
        <x:v>213</x:v>
      </x:c>
      <x:c r="HU3" s="2" t="s">
        <x:v>112</x:v>
      </x:c>
      <x:c r="HV3" s="2"/>
      <x:c r="HW3" s="3"/>
      <x:c r="HX3" s="1" t="s">
        <x:v>259</x:v>
      </x:c>
      <x:c r="HY3" s="2" t="s">
        <x:v>260</x:v>
      </x:c>
      <x:c r="HZ3" s="2" t="s">
        <x:v>261</x:v>
      </x:c>
      <x:c r="IA3" s="2" t="s">
        <x:v>262</x:v>
      </x:c>
      <x:c r="IB3" s="2" t="s">
        <x:v>206</x:v>
      </x:c>
      <x:c r="IC3" s="3"/>
      <x:c r="ID3" s="1" t="s">
        <x:v>263</x:v>
      </x:c>
      <x:c r="IE3" s="2" t="s">
        <x:v>264</x:v>
      </x:c>
      <x:c r="IF3" s="2" t="s">
        <x:v>245</x:v>
      </x:c>
      <x:c r="IG3" s="2" t="s">
        <x:v>246</x:v>
      </x:c>
      <x:c r="IH3" s="2" t="s">
        <x:v>247</x:v>
      </x:c>
      <x:c r="II3" s="2" t="s">
        <x:v>265</x:v>
      </x:c>
      <x:c r="IJ3" s="2" t="s">
        <x:v>248</x:v>
      </x:c>
      <x:c r="IK3" s="2" t="s">
        <x:v>266</x:v>
      </x:c>
      <x:c r="IL3" s="2" t="s">
        <x:v>267</x:v>
      </x:c>
      <x:c r="IM3" s="2" t="s">
        <x:v>112</x:v>
      </x:c>
      <x:c r="IN3" s="2"/>
      <x:c r="IO3" s="3"/>
      <x:c r="IP3" s="1" t="s">
        <x:v>268</x:v>
      </x:c>
      <x:c r="IQ3" s="2" t="s">
        <x:v>269</x:v>
      </x:c>
      <x:c r="IR3" s="2" t="s">
        <x:v>270</x:v>
      </x:c>
      <x:c r="IS3" s="2" t="s">
        <x:v>271</x:v>
      </x:c>
      <x:c r="IT3" s="2" t="s">
        <x:v>232</x:v>
      </x:c>
      <x:c r="IU3" s="2" t="s">
        <x:v>272</x:v>
      </x:c>
      <x:c r="IV3" s="2" t="s">
        <x:v>273</x:v>
      </x:c>
      <x:c r="IW3" s="2" t="s">
        <x:v>112</x:v>
      </x:c>
      <x:c r="IX3" s="2"/>
      <x:c r="IY3" s="3"/>
      <x:c r="IZ3" s="1" t="s">
        <x:v>274</x:v>
      </x:c>
      <x:c r="JA3" s="2" t="s">
        <x:v>275</x:v>
      </x:c>
      <x:c r="JB3" s="2" t="s">
        <x:v>276</x:v>
      </x:c>
      <x:c r="JC3" s="2" t="s">
        <x:v>277</x:v>
      </x:c>
      <x:c r="JD3" s="2" t="s">
        <x:v>278</x:v>
      </x:c>
      <x:c r="JE3" s="2" t="s">
        <x:v>279</x:v>
      </x:c>
      <x:c r="JF3" s="2" t="s">
        <x:v>280</x:v>
      </x:c>
      <x:c r="JG3" s="2" t="s">
        <x:v>281</x:v>
      </x:c>
      <x:c r="JH3" s="2" t="s">
        <x:v>282</x:v>
      </x:c>
      <x:c r="JI3" s="2" t="s">
        <x:v>283</x:v>
      </x:c>
      <x:c r="JJ3" s="2" t="s">
        <x:v>284</x:v>
      </x:c>
      <x:c r="JK3" s="2" t="s">
        <x:v>145</x:v>
      </x:c>
      <x:c r="JL3" s="2" t="s">
        <x:v>285</x:v>
      </x:c>
      <x:c r="JM3" s="2" t="s">
        <x:v>286</x:v>
      </x:c>
      <x:c r="JN3" s="2" t="s">
        <x:v>287</x:v>
      </x:c>
      <x:c r="JO3" s="2" t="s">
        <x:v>288</x:v>
      </x:c>
      <x:c r="JP3" s="2" t="s">
        <x:v>289</x:v>
      </x:c>
      <x:c r="JQ3" s="2" t="s">
        <x:v>290</x:v>
      </x:c>
      <x:c r="JR3" s="2" t="s">
        <x:v>291</x:v>
      </x:c>
      <x:c r="JS3" s="3"/>
      <x:c r="JT3" s="1" t="s">
        <x:v>274</x:v>
      </x:c>
      <x:c r="JU3" s="2" t="s">
        <x:v>275</x:v>
      </x:c>
      <x:c r="JV3" s="2" t="s">
        <x:v>276</x:v>
      </x:c>
      <x:c r="JW3" s="2" t="s">
        <x:v>277</x:v>
      </x:c>
      <x:c r="JX3" s="2" t="s">
        <x:v>278</x:v>
      </x:c>
      <x:c r="JY3" s="2" t="s">
        <x:v>279</x:v>
      </x:c>
      <x:c r="JZ3" s="2" t="s">
        <x:v>280</x:v>
      </x:c>
      <x:c r="KA3" s="2" t="s">
        <x:v>281</x:v>
      </x:c>
      <x:c r="KB3" s="2" t="s">
        <x:v>282</x:v>
      </x:c>
      <x:c r="KC3" s="2" t="s">
        <x:v>283</x:v>
      </x:c>
      <x:c r="KD3" s="2" t="s">
        <x:v>284</x:v>
      </x:c>
      <x:c r="KE3" s="2" t="s">
        <x:v>145</x:v>
      </x:c>
      <x:c r="KF3" s="2" t="s">
        <x:v>285</x:v>
      </x:c>
      <x:c r="KG3" s="2" t="s">
        <x:v>286</x:v>
      </x:c>
      <x:c r="KH3" s="2" t="s">
        <x:v>287</x:v>
      </x:c>
      <x:c r="KI3" s="2" t="s">
        <x:v>288</x:v>
      </x:c>
      <x:c r="KJ3" s="2" t="s">
        <x:v>289</x:v>
      </x:c>
      <x:c r="KK3" s="2" t="s">
        <x:v>290</x:v>
      </x:c>
      <x:c r="KL3" s="2" t="s">
        <x:v>292</x:v>
      </x:c>
      <x:c r="KM3" s="3"/>
      <x:c r="KN3" s="1" t="s">
        <x:v>274</x:v>
      </x:c>
      <x:c r="KO3" s="2" t="s">
        <x:v>275</x:v>
      </x:c>
      <x:c r="KP3" s="2" t="s">
        <x:v>276</x:v>
      </x:c>
      <x:c r="KQ3" s="2" t="s">
        <x:v>277</x:v>
      </x:c>
      <x:c r="KR3" s="2" t="s">
        <x:v>278</x:v>
      </x:c>
      <x:c r="KS3" s="2" t="s">
        <x:v>279</x:v>
      </x:c>
      <x:c r="KT3" s="2" t="s">
        <x:v>280</x:v>
      </x:c>
      <x:c r="KU3" s="2" t="s">
        <x:v>281</x:v>
      </x:c>
      <x:c r="KV3" s="2" t="s">
        <x:v>282</x:v>
      </x:c>
      <x:c r="KW3" s="2" t="s">
        <x:v>283</x:v>
      </x:c>
      <x:c r="KX3" s="2" t="s">
        <x:v>284</x:v>
      </x:c>
      <x:c r="KY3" s="2" t="s">
        <x:v>145</x:v>
      </x:c>
      <x:c r="KZ3" s="2" t="s">
        <x:v>285</x:v>
      </x:c>
      <x:c r="LA3" s="2" t="s">
        <x:v>286</x:v>
      </x:c>
      <x:c r="LB3" s="2" t="s">
        <x:v>287</x:v>
      </x:c>
      <x:c r="LC3" s="2" t="s">
        <x:v>288</x:v>
      </x:c>
      <x:c r="LD3" s="2" t="s">
        <x:v>289</x:v>
      </x:c>
      <x:c r="LE3" s="2" t="s">
        <x:v>290</x:v>
      </x:c>
      <x:c r="LF3" s="2" t="s">
        <x:v>293</x:v>
      </x:c>
      <x:c r="LG3" s="3"/>
      <x:c r="LH3" s="1" t="s">
        <x:v>294</x:v>
      </x:c>
      <x:c r="LI3" s="2" t="s">
        <x:v>295</x:v>
      </x:c>
      <x:c r="LJ3" s="2" t="s">
        <x:v>196</x:v>
      </x:c>
      <x:c r="LK3" s="2" t="s">
        <x:v>296</x:v>
      </x:c>
      <x:c r="LL3" s="2" t="s">
        <x:v>297</x:v>
      </x:c>
      <x:c r="LM3" s="2" t="s">
        <x:v>298</x:v>
      </x:c>
      <x:c r="LN3" s="2" t="s">
        <x:v>257</x:v>
      </x:c>
      <x:c r="LO3" s="2" t="s">
        <x:v>299</x:v>
      </x:c>
      <x:c r="LP3" s="2" t="s">
        <x:v>112</x:v>
      </x:c>
      <x:c r="LQ3" s="2"/>
      <x:c r="LR3" s="3"/>
      <x:c r="LS3" s="1" t="s">
        <x:v>272</x:v>
      </x:c>
      <x:c r="LT3" s="2" t="s">
        <x:v>300</x:v>
      </x:c>
      <x:c r="LU3" s="2" t="s">
        <x:v>301</x:v>
      </x:c>
      <x:c r="LV3" s="2" t="s">
        <x:v>302</x:v>
      </x:c>
      <x:c r="LW3" s="2" t="s">
        <x:v>303</x:v>
      </x:c>
      <x:c r="LX3" s="2" t="s">
        <x:v>304</x:v>
      </x:c>
      <x:c r="LY3" s="2" t="s">
        <x:v>305</x:v>
      </x:c>
      <x:c r="LZ3" s="2" t="s">
        <x:v>172</x:v>
      </x:c>
      <x:c r="MA3" s="2" t="s">
        <x:v>112</x:v>
      </x:c>
      <x:c r="MB3" s="2"/>
      <x:c r="MC3" s="3"/>
      <x:c r="MD3" s="1" t="s">
        <x:v>306</x:v>
      </x:c>
      <x:c r="ME3" s="2" t="s">
        <x:v>307</x:v>
      </x:c>
      <x:c r="MF3" s="2" t="s">
        <x:v>308</x:v>
      </x:c>
      <x:c r="MG3" s="2" t="s">
        <x:v>309</x:v>
      </x:c>
      <x:c r="MH3" s="2" t="s">
        <x:v>310</x:v>
      </x:c>
      <x:c r="MI3" s="2" t="s">
        <x:v>311</x:v>
      </x:c>
      <x:c r="MJ3" s="2" t="s">
        <x:v>312</x:v>
      </x:c>
      <x:c r="MK3" s="3"/>
      <x:c r="ML3" s="1" t="s">
        <x:v>313</x:v>
      </x:c>
      <x:c r="MM3" s="2" t="s">
        <x:v>314</x:v>
      </x:c>
      <x:c r="MN3" s="2" t="s">
        <x:v>315</x:v>
      </x:c>
      <x:c r="MO3" s="2" t="s">
        <x:v>316</x:v>
      </x:c>
      <x:c r="MP3" s="2" t="s">
        <x:v>317</x:v>
      </x:c>
      <x:c r="MQ3" s="2" t="s">
        <x:v>318</x:v>
      </x:c>
      <x:c r="MR3" s="2" t="s">
        <x:v>319</x:v>
      </x:c>
      <x:c r="MS3" s="2" t="s">
        <x:v>320</x:v>
      </x:c>
      <x:c r="MT3" s="2" t="s">
        <x:v>112</x:v>
      </x:c>
      <x:c r="MU3" s="2"/>
      <x:c r="MV3" s="3"/>
      <x:c r="MW3" s="1" t="s">
        <x:v>321</x:v>
      </x:c>
      <x:c r="MX3" s="2" t="s">
        <x:v>322</x:v>
      </x:c>
      <x:c r="MY3" s="2" t="s">
        <x:v>323</x:v>
      </x:c>
      <x:c r="MZ3" s="2" t="s">
        <x:v>324</x:v>
      </x:c>
      <x:c r="NA3" s="2" t="s">
        <x:v>325</x:v>
      </x:c>
      <x:c r="NB3" s="2" t="s">
        <x:v>326</x:v>
      </x:c>
      <x:c r="NC3" s="2" t="s">
        <x:v>327</x:v>
      </x:c>
      <x:c r="ND3" s="2" t="s">
        <x:v>180</x:v>
      </x:c>
      <x:c r="NE3" s="2" t="s">
        <x:v>112</x:v>
      </x:c>
      <x:c r="NF3" s="2"/>
      <x:c r="NG3" s="3"/>
      <x:c r="NH3" s="1" t="s">
        <x:v>328</x:v>
      </x:c>
      <x:c r="NI3" s="2" t="s">
        <x:v>329</x:v>
      </x:c>
      <x:c r="NJ3" s="2" t="s">
        <x:v>330</x:v>
      </x:c>
      <x:c r="NK3" s="2" t="s">
        <x:v>331</x:v>
      </x:c>
      <x:c r="NL3" s="2" t="s">
        <x:v>332</x:v>
      </x:c>
      <x:c r="NM3" s="2" t="s">
        <x:v>333</x:v>
      </x:c>
      <x:c r="NN3" s="2" t="s">
        <x:v>334</x:v>
      </x:c>
      <x:c r="NO3" s="2" t="s">
        <x:v>335</x:v>
      </x:c>
      <x:c r="NP3" s="2" t="s">
        <x:v>172</x:v>
      </x:c>
      <x:c r="NQ3" s="2" t="s">
        <x:v>112</x:v>
      </x:c>
      <x:c r="NR3" s="2"/>
      <x:c r="NS3" s="3"/>
      <x:c r="NT3" s="1" t="s">
        <x:v>336</x:v>
      </x:c>
      <x:c r="NU3" s="2" t="s">
        <x:v>337</x:v>
      </x:c>
      <x:c r="NV3" s="2" t="s">
        <x:v>338</x:v>
      </x:c>
      <x:c r="NW3" s="2" t="s">
        <x:v>339</x:v>
      </x:c>
      <x:c r="NX3" s="2" t="s">
        <x:v>206</x:v>
      </x:c>
      <x:c r="NY3" s="3"/>
      <x:c r="NZ3" s="1" t="s">
        <x:v>340</x:v>
      </x:c>
      <x:c r="OA3" s="2" t="s">
        <x:v>341</x:v>
      </x:c>
      <x:c r="OB3" s="2" t="s">
        <x:v>247</x:v>
      </x:c>
      <x:c r="OC3" s="2" t="s">
        <x:v>246</x:v>
      </x:c>
      <x:c r="OD3" s="2" t="s">
        <x:v>342</x:v>
      </x:c>
      <x:c r="OE3" s="2" t="s">
        <x:v>343</x:v>
      </x:c>
      <x:c r="OF3" s="2" t="s">
        <x:v>344</x:v>
      </x:c>
      <x:c r="OG3" s="2" t="s">
        <x:v>345</x:v>
      </x:c>
      <x:c r="OH3" s="2" t="s">
        <x:v>346</x:v>
      </x:c>
      <x:c r="OI3" s="2" t="s">
        <x:v>172</x:v>
      </x:c>
      <x:c r="OJ3" s="2" t="s">
        <x:v>112</x:v>
      </x:c>
      <x:c r="OK3" s="2"/>
      <x:c r="OL3" s="3"/>
      <x:c r="OM3" s="1" t="s">
        <x:v>347</x:v>
      </x:c>
      <x:c r="ON3" s="2" t="s">
        <x:v>348</x:v>
      </x:c>
      <x:c r="OO3" s="2" t="s">
        <x:v>349</x:v>
      </x:c>
      <x:c r="OP3" s="2" t="s">
        <x:v>350</x:v>
      </x:c>
      <x:c r="OQ3" s="2" t="s">
        <x:v>351</x:v>
      </x:c>
      <x:c r="OR3" s="2" t="s">
        <x:v>352</x:v>
      </x:c>
      <x:c r="OS3" s="2" t="s">
        <x:v>353</x:v>
      </x:c>
      <x:c r="OT3" s="2" t="s">
        <x:v>172</x:v>
      </x:c>
      <x:c r="OU3" s="2" t="s">
        <x:v>112</x:v>
      </x:c>
      <x:c r="OV3" s="2"/>
      <x:c r="OW3" s="3"/>
      <x:c r="OX3" s="1" t="s">
        <x:v>354</x:v>
      </x:c>
      <x:c r="OY3" s="2" t="s">
        <x:v>355</x:v>
      </x:c>
      <x:c r="OZ3" s="2" t="s">
        <x:v>356</x:v>
      </x:c>
      <x:c r="PA3" s="2" t="s">
        <x:v>357</x:v>
      </x:c>
      <x:c r="PB3" s="2" t="s">
        <x:v>358</x:v>
      </x:c>
      <x:c r="PC3" s="3"/>
      <x:c r="PD3" s="1" t="s">
        <x:v>359</x:v>
      </x:c>
      <x:c r="PE3" s="2" t="s">
        <x:v>360</x:v>
      </x:c>
      <x:c r="PF3" s="2" t="s">
        <x:v>361</x:v>
      </x:c>
      <x:c r="PG3" s="2" t="s">
        <x:v>362</x:v>
      </x:c>
      <x:c r="PH3" s="2" t="s">
        <x:v>363</x:v>
      </x:c>
      <x:c r="PI3" s="2" t="s">
        <x:v>364</x:v>
      </x:c>
      <x:c r="PJ3" s="2" t="s">
        <x:v>365</x:v>
      </x:c>
      <x:c r="PK3" s="2" t="s">
        <x:v>366</x:v>
      </x:c>
      <x:c r="PL3" s="2" t="s">
        <x:v>367</x:v>
      </x:c>
      <x:c r="PM3" s="2" t="s">
        <x:v>112</x:v>
      </x:c>
      <x:c r="PN3" s="2"/>
      <x:c r="PO3" s="3"/>
      <x:c r="PP3" s="1" t="s">
        <x:v>368</x:v>
      </x:c>
      <x:c r="PQ3" s="2" t="s">
        <x:v>356</x:v>
      </x:c>
      <x:c r="PR3" s="2" t="s">
        <x:v>358</x:v>
      </x:c>
      <x:c r="PS3" s="2" t="s">
        <x:v>369</x:v>
      </x:c>
      <x:c r="PT3" s="3"/>
      <x:c r="PU3" s="1" t="s">
        <x:v>370</x:v>
      </x:c>
      <x:c r="PV3" s="2" t="s">
        <x:v>371</x:v>
      </x:c>
      <x:c r="PW3" s="2" t="s">
        <x:v>372</x:v>
      </x:c>
      <x:c r="PX3" s="2" t="s">
        <x:v>250</x:v>
      </x:c>
      <x:c r="PY3" s="2" t="s">
        <x:v>246</x:v>
      </x:c>
      <x:c r="PZ3" s="2" t="s">
        <x:v>247</x:v>
      </x:c>
      <x:c r="QA3" s="2" t="s">
        <x:v>373</x:v>
      </x:c>
      <x:c r="QB3" s="2" t="s">
        <x:v>374</x:v>
      </x:c>
      <x:c r="QC3" s="2" t="s">
        <x:v>112</x:v>
      </x:c>
      <x:c r="QD3" s="2"/>
      <x:c r="QE3" s="3"/>
      <x:c r="QF3" s="1" t="s">
        <x:v>375</x:v>
      </x:c>
      <x:c r="QG3" s="2" t="s">
        <x:v>376</x:v>
      </x:c>
      <x:c r="QH3" s="2" t="s">
        <x:v>377</x:v>
      </x:c>
      <x:c r="QI3" s="2" t="s">
        <x:v>378</x:v>
      </x:c>
      <x:c r="QJ3" s="2" t="s">
        <x:v>379</x:v>
      </x:c>
      <x:c r="QK3" s="2" t="s">
        <x:v>380</x:v>
      </x:c>
      <x:c r="QL3" s="2" t="s">
        <x:v>381</x:v>
      </x:c>
      <x:c r="QM3" s="2" t="s">
        <x:v>382</x:v>
      </x:c>
      <x:c r="QN3" s="2" t="s">
        <x:v>112</x:v>
      </x:c>
      <x:c r="QO3" s="2"/>
      <x:c r="QP3" s="3"/>
      <x:c r="QQ3" s="1" t="s">
        <x:v>383</x:v>
      </x:c>
      <x:c r="QR3" s="2" t="s">
        <x:v>384</x:v>
      </x:c>
      <x:c r="QS3" s="2" t="s">
        <x:v>385</x:v>
      </x:c>
      <x:c r="QT3" s="2" t="s">
        <x:v>386</x:v>
      </x:c>
      <x:c r="QU3" s="2" t="s">
        <x:v>387</x:v>
      </x:c>
      <x:c r="QV3" s="2" t="s">
        <x:v>388</x:v>
      </x:c>
      <x:c r="QW3" s="2" t="s">
        <x:v>389</x:v>
      </x:c>
      <x:c r="QX3" s="2" t="s">
        <x:v>172</x:v>
      </x:c>
      <x:c r="QY3" s="2" t="s">
        <x:v>112</x:v>
      </x:c>
      <x:c r="QZ3" s="2"/>
      <x:c r="RA3" s="3"/>
      <x:c r="RB3" s="1" t="s">
        <x:v>390</x:v>
      </x:c>
      <x:c r="RC3" s="2" t="s">
        <x:v>391</x:v>
      </x:c>
      <x:c r="RD3" s="2" t="s">
        <x:v>392</x:v>
      </x:c>
      <x:c r="RE3" s="2" t="s">
        <x:v>393</x:v>
      </x:c>
      <x:c r="RF3" s="2" t="s">
        <x:v>394</x:v>
      </x:c>
      <x:c r="RG3" s="2" t="s">
        <x:v>395</x:v>
      </x:c>
      <x:c r="RH3" s="2" t="s">
        <x:v>172</x:v>
      </x:c>
      <x:c r="RI3" s="2" t="s">
        <x:v>112</x:v>
      </x:c>
      <x:c r="RJ3" s="2"/>
      <x:c r="RK3" s="3"/>
      <x:c r="RL3" s="1" t="s">
        <x:v>396</x:v>
      </x:c>
      <x:c r="RM3" s="2" t="s">
        <x:v>397</x:v>
      </x:c>
      <x:c r="RN3" s="2" t="s">
        <x:v>287</x:v>
      </x:c>
      <x:c r="RO3" s="2" t="s">
        <x:v>398</x:v>
      </x:c>
      <x:c r="RP3" s="2" t="s">
        <x:v>399</x:v>
      </x:c>
      <x:c r="RQ3" s="2" t="s">
        <x:v>400</x:v>
      </x:c>
      <x:c r="RR3" s="2" t="s">
        <x:v>401</x:v>
      </x:c>
      <x:c r="RS3" s="2" t="s">
        <x:v>402</x:v>
      </x:c>
      <x:c r="RT3" s="2" t="s">
        <x:v>112</x:v>
      </x:c>
      <x:c r="RU3" s="2"/>
      <x:c r="RV3" s="3"/>
      <x:c r="RW3" s="36" t="s">
        <x:v>403</x:v>
      </x:c>
      <x:c r="RX3" s="37"/>
    </x:row>
    <x:row r="4" ht="18" customHeight="1">
      <x:c r="A4" s="29"/>
      <x:c r="B4" s="35"/>
      <x:c r="C4" s="35"/>
      <x:c r="D4" s="35"/>
      <x:c r="E4" s="35"/>
      <x:c r="F4" s="35"/>
      <x:c r="G4" s="35"/>
      <x:c r="H4" s="35"/>
      <x:c r="I4" s="35"/>
      <x:c r="J4" s="35"/>
      <x:c r="K4" s="32"/>
      <x:c r="L4" s="4" t="s">
        <x:v>404</x:v>
      </x:c>
      <x:c r="M4" s="5" t="s">
        <x:v>405</x:v>
      </x:c>
      <x:c r="N4" s="5" t="s">
        <x:v>406</x:v>
      </x:c>
      <x:c r="O4" s="5" t="s">
        <x:v>407</x:v>
      </x:c>
      <x:c r="P4" s="5" t="s">
        <x:v>408</x:v>
      </x:c>
      <x:c r="Q4" s="6" t="s">
        <x:v>409</x:v>
      </x:c>
      <x:c r="R4" s="4" t="s">
        <x:v>404</x:v>
      </x:c>
      <x:c r="S4" s="5" t="s">
        <x:v>405</x:v>
      </x:c>
      <x:c r="T4" s="5" t="s">
        <x:v>406</x:v>
      </x:c>
      <x:c r="U4" s="5" t="s">
        <x:v>407</x:v>
      </x:c>
      <x:c r="V4" s="5" t="s">
        <x:v>410</x:v>
      </x:c>
      <x:c r="W4" s="5" t="s">
        <x:v>408</x:v>
      </x:c>
      <x:c r="X4" s="6" t="s">
        <x:v>409</x:v>
      </x:c>
      <x:c r="Y4" s="4" t="s">
        <x:v>404</x:v>
      </x:c>
      <x:c r="Z4" s="5" t="s">
        <x:v>405</x:v>
      </x:c>
      <x:c r="AA4" s="5" t="s">
        <x:v>406</x:v>
      </x:c>
      <x:c r="AB4" s="5" t="s">
        <x:v>407</x:v>
      </x:c>
      <x:c r="AC4" s="5" t="s">
        <x:v>410</x:v>
      </x:c>
      <x:c r="AD4" s="6" t="s">
        <x:v>409</x:v>
      </x:c>
      <x:c r="AE4" s="4" t="s">
        <x:v>404</x:v>
      </x:c>
      <x:c r="AF4" s="5" t="s">
        <x:v>405</x:v>
      </x:c>
      <x:c r="AG4" s="5" t="s">
        <x:v>406</x:v>
      </x:c>
      <x:c r="AH4" s="5" t="s">
        <x:v>407</x:v>
      </x:c>
      <x:c r="AI4" s="5" t="s">
        <x:v>410</x:v>
      </x:c>
      <x:c r="AJ4" s="5" t="s">
        <x:v>408</x:v>
      </x:c>
      <x:c r="AK4" s="6" t="s">
        <x:v>409</x:v>
      </x:c>
      <x:c r="AL4" s="4" t="s">
        <x:v>404</x:v>
      </x:c>
      <x:c r="AM4" s="5" t="s">
        <x:v>405</x:v>
      </x:c>
      <x:c r="AN4" s="5" t="s">
        <x:v>406</x:v>
      </x:c>
      <x:c r="AO4" s="6" t="s">
        <x:v>409</x:v>
      </x:c>
      <x:c r="AP4" s="4" t="s">
        <x:v>404</x:v>
      </x:c>
      <x:c r="AQ4" s="5" t="s">
        <x:v>405</x:v>
      </x:c>
      <x:c r="AR4" s="5" t="s">
        <x:v>406</x:v>
      </x:c>
      <x:c r="AS4" s="5" t="s">
        <x:v>407</x:v>
      </x:c>
      <x:c r="AT4" s="5" t="s">
        <x:v>410</x:v>
      </x:c>
      <x:c r="AU4" s="5" t="s">
        <x:v>411</x:v>
      </x:c>
      <x:c r="AV4" s="5" t="s">
        <x:v>412</x:v>
      </x:c>
      <x:c r="AW4" s="5" t="s">
        <x:v>408</x:v>
      </x:c>
      <x:c r="AX4" s="6" t="s">
        <x:v>409</x:v>
      </x:c>
      <x:c r="AY4" s="4" t="s">
        <x:v>404</x:v>
      </x:c>
      <x:c r="AZ4" s="5" t="s">
        <x:v>405</x:v>
      </x:c>
      <x:c r="BA4" s="5" t="s">
        <x:v>406</x:v>
      </x:c>
      <x:c r="BB4" s="5" t="s">
        <x:v>407</x:v>
      </x:c>
      <x:c r="BC4" s="5" t="s">
        <x:v>410</x:v>
      </x:c>
      <x:c r="BD4" s="5" t="s">
        <x:v>411</x:v>
      </x:c>
      <x:c r="BE4" s="5" t="s">
        <x:v>412</x:v>
      </x:c>
      <x:c r="BF4" s="5" t="s">
        <x:v>413</x:v>
      </x:c>
      <x:c r="BG4" s="5" t="s">
        <x:v>408</x:v>
      </x:c>
      <x:c r="BH4" s="6" t="s">
        <x:v>409</x:v>
      </x:c>
      <x:c r="BI4" s="4" t="s">
        <x:v>404</x:v>
      </x:c>
      <x:c r="BJ4" s="5" t="s">
        <x:v>405</x:v>
      </x:c>
      <x:c r="BK4" s="5" t="s">
        <x:v>406</x:v>
      </x:c>
      <x:c r="BL4" s="5" t="s">
        <x:v>407</x:v>
      </x:c>
      <x:c r="BM4" s="5" t="s">
        <x:v>410</x:v>
      </x:c>
      <x:c r="BN4" s="5" t="s">
        <x:v>411</x:v>
      </x:c>
      <x:c r="BO4" s="5" t="s">
        <x:v>412</x:v>
      </x:c>
      <x:c r="BP4" s="5" t="s">
        <x:v>408</x:v>
      </x:c>
      <x:c r="BQ4" s="6" t="s">
        <x:v>409</x:v>
      </x:c>
      <x:c r="BR4" s="4" t="s">
        <x:v>404</x:v>
      </x:c>
      <x:c r="BS4" s="5" t="s">
        <x:v>405</x:v>
      </x:c>
      <x:c r="BT4" s="5" t="s">
        <x:v>406</x:v>
      </x:c>
      <x:c r="BU4" s="5" t="s">
        <x:v>407</x:v>
      </x:c>
      <x:c r="BV4" s="5" t="s">
        <x:v>410</x:v>
      </x:c>
      <x:c r="BW4" s="5" t="s">
        <x:v>411</x:v>
      </x:c>
      <x:c r="BX4" s="5" t="s">
        <x:v>412</x:v>
      </x:c>
      <x:c r="BY4" s="5" t="s">
        <x:v>408</x:v>
      </x:c>
      <x:c r="BZ4" s="6" t="s">
        <x:v>409</x:v>
      </x:c>
      <x:c r="CA4" s="4" t="s">
        <x:v>404</x:v>
      </x:c>
      <x:c r="CB4" s="5" t="s">
        <x:v>405</x:v>
      </x:c>
      <x:c r="CC4" s="5" t="s">
        <x:v>406</x:v>
      </x:c>
      <x:c r="CD4" s="5" t="s">
        <x:v>407</x:v>
      </x:c>
      <x:c r="CE4" s="5" t="s">
        <x:v>410</x:v>
      </x:c>
      <x:c r="CF4" s="5" t="s">
        <x:v>411</x:v>
      </x:c>
      <x:c r="CG4" s="5" t="s">
        <x:v>412</x:v>
      </x:c>
      <x:c r="CH4" s="5" t="s">
        <x:v>413</x:v>
      </x:c>
      <x:c r="CI4" s="5" t="s">
        <x:v>414</x:v>
      </x:c>
      <x:c r="CJ4" s="5" t="s">
        <x:v>415</x:v>
      </x:c>
      <x:c r="CK4" s="5" t="s">
        <x:v>408</x:v>
      </x:c>
      <x:c r="CL4" s="6" t="s">
        <x:v>409</x:v>
      </x:c>
      <x:c r="CM4" s="4" t="s">
        <x:v>404</x:v>
      </x:c>
      <x:c r="CN4" s="5" t="s">
        <x:v>405</x:v>
      </x:c>
      <x:c r="CO4" s="5" t="s">
        <x:v>406</x:v>
      </x:c>
      <x:c r="CP4" s="5" t="s">
        <x:v>407</x:v>
      </x:c>
      <x:c r="CQ4" s="5" t="s">
        <x:v>410</x:v>
      </x:c>
      <x:c r="CR4" s="5" t="s">
        <x:v>411</x:v>
      </x:c>
      <x:c r="CS4" s="5" t="s">
        <x:v>412</x:v>
      </x:c>
      <x:c r="CT4" s="5" t="s">
        <x:v>413</x:v>
      </x:c>
      <x:c r="CU4" s="5" t="s">
        <x:v>414</x:v>
      </x:c>
      <x:c r="CV4" s="5" t="s">
        <x:v>415</x:v>
      </x:c>
      <x:c r="CW4" s="5" t="s">
        <x:v>416</x:v>
      </x:c>
      <x:c r="CX4" s="5" t="s">
        <x:v>417</x:v>
      </x:c>
      <x:c r="CY4" s="5" t="s">
        <x:v>418</x:v>
      </x:c>
      <x:c r="CZ4" s="5" t="s">
        <x:v>419</x:v>
      </x:c>
      <x:c r="DA4" s="5" t="s">
        <x:v>408</x:v>
      </x:c>
      <x:c r="DB4" s="6" t="s">
        <x:v>409</x:v>
      </x:c>
      <x:c r="DC4" s="4"/>
      <x:c r="DD4" s="6" t="s">
        <x:v>409</x:v>
      </x:c>
      <x:c r="DE4" s="4" t="s">
        <x:v>404</x:v>
      </x:c>
      <x:c r="DF4" s="5" t="s">
        <x:v>405</x:v>
      </x:c>
      <x:c r="DG4" s="5" t="s">
        <x:v>406</x:v>
      </x:c>
      <x:c r="DH4" s="5" t="s">
        <x:v>407</x:v>
      </x:c>
      <x:c r="DI4" s="5" t="s">
        <x:v>410</x:v>
      </x:c>
      <x:c r="DJ4" s="5" t="s">
        <x:v>411</x:v>
      </x:c>
      <x:c r="DK4" s="5" t="s">
        <x:v>412</x:v>
      </x:c>
      <x:c r="DL4" s="5" t="s">
        <x:v>413</x:v>
      </x:c>
      <x:c r="DM4" s="5" t="s">
        <x:v>408</x:v>
      </x:c>
      <x:c r="DN4" s="6" t="s">
        <x:v>409</x:v>
      </x:c>
      <x:c r="DO4" s="4" t="s">
        <x:v>404</x:v>
      </x:c>
      <x:c r="DP4" s="5" t="s">
        <x:v>405</x:v>
      </x:c>
      <x:c r="DQ4" s="5" t="s">
        <x:v>406</x:v>
      </x:c>
      <x:c r="DR4" s="5" t="s">
        <x:v>407</x:v>
      </x:c>
      <x:c r="DS4" s="5" t="s">
        <x:v>410</x:v>
      </x:c>
      <x:c r="DT4" s="6" t="s">
        <x:v>409</x:v>
      </x:c>
      <x:c r="DU4" s="4" t="s">
        <x:v>404</x:v>
      </x:c>
      <x:c r="DV4" s="5" t="s">
        <x:v>405</x:v>
      </x:c>
      <x:c r="DW4" s="5" t="s">
        <x:v>406</x:v>
      </x:c>
      <x:c r="DX4" s="5" t="s">
        <x:v>407</x:v>
      </x:c>
      <x:c r="DY4" s="5" t="s">
        <x:v>410</x:v>
      </x:c>
      <x:c r="DZ4" s="5" t="s">
        <x:v>411</x:v>
      </x:c>
      <x:c r="EA4" s="5" t="s">
        <x:v>412</x:v>
      </x:c>
      <x:c r="EB4" s="5" t="s">
        <x:v>413</x:v>
      </x:c>
      <x:c r="EC4" s="5" t="s">
        <x:v>414</x:v>
      </x:c>
      <x:c r="ED4" s="5" t="s">
        <x:v>408</x:v>
      </x:c>
      <x:c r="EE4" s="6" t="s">
        <x:v>409</x:v>
      </x:c>
      <x:c r="EF4" s="4" t="s">
        <x:v>404</x:v>
      </x:c>
      <x:c r="EG4" s="5" t="s">
        <x:v>405</x:v>
      </x:c>
      <x:c r="EH4" s="5" t="s">
        <x:v>406</x:v>
      </x:c>
      <x:c r="EI4" s="5" t="s">
        <x:v>407</x:v>
      </x:c>
      <x:c r="EJ4" s="5" t="s">
        <x:v>410</x:v>
      </x:c>
      <x:c r="EK4" s="5" t="s">
        <x:v>411</x:v>
      </x:c>
      <x:c r="EL4" s="5" t="s">
        <x:v>412</x:v>
      </x:c>
      <x:c r="EM4" s="5" t="s">
        <x:v>413</x:v>
      </x:c>
      <x:c r="EN4" s="5" t="s">
        <x:v>414</x:v>
      </x:c>
      <x:c r="EO4" s="5" t="s">
        <x:v>415</x:v>
      </x:c>
      <x:c r="EP4" s="5" t="s">
        <x:v>408</x:v>
      </x:c>
      <x:c r="EQ4" s="6" t="s">
        <x:v>409</x:v>
      </x:c>
      <x:c r="ER4" s="4" t="s">
        <x:v>404</x:v>
      </x:c>
      <x:c r="ES4" s="5" t="s">
        <x:v>405</x:v>
      </x:c>
      <x:c r="ET4" s="5" t="s">
        <x:v>406</x:v>
      </x:c>
      <x:c r="EU4" s="5" t="s">
        <x:v>407</x:v>
      </x:c>
      <x:c r="EV4" s="6" t="s">
        <x:v>409</x:v>
      </x:c>
      <x:c r="EW4" s="4" t="s">
        <x:v>404</x:v>
      </x:c>
      <x:c r="EX4" s="5" t="s">
        <x:v>405</x:v>
      </x:c>
      <x:c r="EY4" s="5" t="s">
        <x:v>406</x:v>
      </x:c>
      <x:c r="EZ4" s="5" t="s">
        <x:v>407</x:v>
      </x:c>
      <x:c r="FA4" s="5" t="s">
        <x:v>410</x:v>
      </x:c>
      <x:c r="FB4" s="5" t="s">
        <x:v>411</x:v>
      </x:c>
      <x:c r="FC4" s="5" t="s">
        <x:v>412</x:v>
      </x:c>
      <x:c r="FD4" s="5" t="s">
        <x:v>413</x:v>
      </x:c>
      <x:c r="FE4" s="5" t="s">
        <x:v>408</x:v>
      </x:c>
      <x:c r="FF4" s="6" t="s">
        <x:v>409</x:v>
      </x:c>
      <x:c r="FG4" s="4" t="s">
        <x:v>404</x:v>
      </x:c>
      <x:c r="FH4" s="5" t="s">
        <x:v>405</x:v>
      </x:c>
      <x:c r="FI4" s="5" t="s">
        <x:v>406</x:v>
      </x:c>
      <x:c r="FJ4" s="5" t="s">
        <x:v>407</x:v>
      </x:c>
      <x:c r="FK4" s="5" t="s">
        <x:v>410</x:v>
      </x:c>
      <x:c r="FL4" s="5" t="s">
        <x:v>411</x:v>
      </x:c>
      <x:c r="FM4" s="5" t="s">
        <x:v>412</x:v>
      </x:c>
      <x:c r="FN4" s="5" t="s">
        <x:v>413</x:v>
      </x:c>
      <x:c r="FO4" s="5" t="s">
        <x:v>414</x:v>
      </x:c>
      <x:c r="FP4" s="5" t="s">
        <x:v>415</x:v>
      </x:c>
      <x:c r="FQ4" s="5" t="s">
        <x:v>416</x:v>
      </x:c>
      <x:c r="FR4" s="5" t="s">
        <x:v>417</x:v>
      </x:c>
      <x:c r="FS4" s="5" t="s">
        <x:v>418</x:v>
      </x:c>
      <x:c r="FT4" s="5" t="s">
        <x:v>419</x:v>
      </x:c>
      <x:c r="FU4" s="5" t="s">
        <x:v>408</x:v>
      </x:c>
      <x:c r="FV4" s="6" t="s">
        <x:v>409</x:v>
      </x:c>
      <x:c r="FW4" s="4" t="s">
        <x:v>404</x:v>
      </x:c>
      <x:c r="FX4" s="5" t="s">
        <x:v>405</x:v>
      </x:c>
      <x:c r="FY4" s="5" t="s">
        <x:v>406</x:v>
      </x:c>
      <x:c r="FZ4" s="5" t="s">
        <x:v>407</x:v>
      </x:c>
      <x:c r="GA4" s="5" t="s">
        <x:v>410</x:v>
      </x:c>
      <x:c r="GB4" s="5" t="s">
        <x:v>411</x:v>
      </x:c>
      <x:c r="GC4" s="5" t="s">
        <x:v>412</x:v>
      </x:c>
      <x:c r="GD4" s="5" t="s">
        <x:v>413</x:v>
      </x:c>
      <x:c r="GE4" s="5" t="s">
        <x:v>408</x:v>
      </x:c>
      <x:c r="GF4" s="6" t="s">
        <x:v>409</x:v>
      </x:c>
      <x:c r="GG4" s="4" t="s">
        <x:v>404</x:v>
      </x:c>
      <x:c r="GH4" s="5" t="s">
        <x:v>405</x:v>
      </x:c>
      <x:c r="GI4" s="5" t="s">
        <x:v>406</x:v>
      </x:c>
      <x:c r="GJ4" s="5" t="s">
        <x:v>407</x:v>
      </x:c>
      <x:c r="GK4" s="5" t="s">
        <x:v>410</x:v>
      </x:c>
      <x:c r="GL4" s="5" t="s">
        <x:v>411</x:v>
      </x:c>
      <x:c r="GM4" s="6" t="s">
        <x:v>409</x:v>
      </x:c>
      <x:c r="GN4" s="4" t="s">
        <x:v>404</x:v>
      </x:c>
      <x:c r="GO4" s="5" t="s">
        <x:v>405</x:v>
      </x:c>
      <x:c r="GP4" s="5" t="s">
        <x:v>406</x:v>
      </x:c>
      <x:c r="GQ4" s="5" t="s">
        <x:v>407</x:v>
      </x:c>
      <x:c r="GR4" s="5" t="s">
        <x:v>410</x:v>
      </x:c>
      <x:c r="GS4" s="5" t="s">
        <x:v>411</x:v>
      </x:c>
      <x:c r="GT4" s="6" t="s">
        <x:v>409</x:v>
      </x:c>
      <x:c r="GU4" s="4" t="s">
        <x:v>404</x:v>
      </x:c>
      <x:c r="GV4" s="5" t="s">
        <x:v>405</x:v>
      </x:c>
      <x:c r="GW4" s="5" t="s">
        <x:v>406</x:v>
      </x:c>
      <x:c r="GX4" s="5" t="s">
        <x:v>407</x:v>
      </x:c>
      <x:c r="GY4" s="6" t="s">
        <x:v>409</x:v>
      </x:c>
      <x:c r="GZ4" s="4" t="s">
        <x:v>404</x:v>
      </x:c>
      <x:c r="HA4" s="5" t="s">
        <x:v>405</x:v>
      </x:c>
      <x:c r="HB4" s="5" t="s">
        <x:v>406</x:v>
      </x:c>
      <x:c r="HC4" s="5" t="s">
        <x:v>407</x:v>
      </x:c>
      <x:c r="HD4" s="5" t="s">
        <x:v>410</x:v>
      </x:c>
      <x:c r="HE4" s="5" t="s">
        <x:v>411</x:v>
      </x:c>
      <x:c r="HF4" s="5" t="s">
        <x:v>412</x:v>
      </x:c>
      <x:c r="HG4" s="5" t="s">
        <x:v>413</x:v>
      </x:c>
      <x:c r="HH4" s="5" t="s">
        <x:v>414</x:v>
      </x:c>
      <x:c r="HI4" s="5" t="s">
        <x:v>415</x:v>
      </x:c>
      <x:c r="HJ4" s="5" t="s">
        <x:v>416</x:v>
      </x:c>
      <x:c r="HK4" s="5" t="s">
        <x:v>408</x:v>
      </x:c>
      <x:c r="HL4" s="6" t="s">
        <x:v>409</x:v>
      </x:c>
      <x:c r="HM4" s="4" t="s">
        <x:v>404</x:v>
      </x:c>
      <x:c r="HN4" s="5" t="s">
        <x:v>405</x:v>
      </x:c>
      <x:c r="HO4" s="5" t="s">
        <x:v>406</x:v>
      </x:c>
      <x:c r="HP4" s="5" t="s">
        <x:v>407</x:v>
      </x:c>
      <x:c r="HQ4" s="5" t="s">
        <x:v>410</x:v>
      </x:c>
      <x:c r="HR4" s="5" t="s">
        <x:v>411</x:v>
      </x:c>
      <x:c r="HS4" s="5" t="s">
        <x:v>412</x:v>
      </x:c>
      <x:c r="HT4" s="5" t="s">
        <x:v>413</x:v>
      </x:c>
      <x:c r="HU4" s="5" t="s">
        <x:v>414</x:v>
      </x:c>
      <x:c r="HV4" s="5" t="s">
        <x:v>408</x:v>
      </x:c>
      <x:c r="HW4" s="6" t="s">
        <x:v>409</x:v>
      </x:c>
      <x:c r="HX4" s="4" t="s">
        <x:v>404</x:v>
      </x:c>
      <x:c r="HY4" s="5" t="s">
        <x:v>405</x:v>
      </x:c>
      <x:c r="HZ4" s="5" t="s">
        <x:v>406</x:v>
      </x:c>
      <x:c r="IA4" s="5" t="s">
        <x:v>407</x:v>
      </x:c>
      <x:c r="IB4" s="5" t="s">
        <x:v>410</x:v>
      </x:c>
      <x:c r="IC4" s="6" t="s">
        <x:v>409</x:v>
      </x:c>
      <x:c r="ID4" s="4" t="s">
        <x:v>404</x:v>
      </x:c>
      <x:c r="IE4" s="5" t="s">
        <x:v>405</x:v>
      </x:c>
      <x:c r="IF4" s="5" t="s">
        <x:v>406</x:v>
      </x:c>
      <x:c r="IG4" s="5" t="s">
        <x:v>407</x:v>
      </x:c>
      <x:c r="IH4" s="5" t="s">
        <x:v>410</x:v>
      </x:c>
      <x:c r="II4" s="5" t="s">
        <x:v>411</x:v>
      </x:c>
      <x:c r="IJ4" s="5" t="s">
        <x:v>412</x:v>
      </x:c>
      <x:c r="IK4" s="5" t="s">
        <x:v>413</x:v>
      </x:c>
      <x:c r="IL4" s="5" t="s">
        <x:v>414</x:v>
      </x:c>
      <x:c r="IM4" s="5" t="s">
        <x:v>415</x:v>
      </x:c>
      <x:c r="IN4" s="5" t="s">
        <x:v>408</x:v>
      </x:c>
      <x:c r="IO4" s="6" t="s">
        <x:v>409</x:v>
      </x:c>
      <x:c r="IP4" s="4" t="s">
        <x:v>404</x:v>
      </x:c>
      <x:c r="IQ4" s="5" t="s">
        <x:v>405</x:v>
      </x:c>
      <x:c r="IR4" s="5" t="s">
        <x:v>406</x:v>
      </x:c>
      <x:c r="IS4" s="5" t="s">
        <x:v>407</x:v>
      </x:c>
      <x:c r="IT4" s="5" t="s">
        <x:v>410</x:v>
      </x:c>
      <x:c r="IU4" s="5" t="s">
        <x:v>411</x:v>
      </x:c>
      <x:c r="IV4" s="5" t="s">
        <x:v>412</x:v>
      </x:c>
      <x:c r="IW4" s="5" t="s">
        <x:v>413</x:v>
      </x:c>
      <x:c r="IX4" s="5" t="s">
        <x:v>408</x:v>
      </x:c>
      <x:c r="IY4" s="6" t="s">
        <x:v>409</x:v>
      </x:c>
      <x:c r="IZ4" s="4" t="s">
        <x:v>404</x:v>
      </x:c>
      <x:c r="JA4" s="5" t="s">
        <x:v>405</x:v>
      </x:c>
      <x:c r="JB4" s="5" t="s">
        <x:v>406</x:v>
      </x:c>
      <x:c r="JC4" s="5" t="s">
        <x:v>407</x:v>
      </x:c>
      <x:c r="JD4" s="5" t="s">
        <x:v>410</x:v>
      </x:c>
      <x:c r="JE4" s="5" t="s">
        <x:v>411</x:v>
      </x:c>
      <x:c r="JF4" s="5" t="s">
        <x:v>412</x:v>
      </x:c>
      <x:c r="JG4" s="5" t="s">
        <x:v>413</x:v>
      </x:c>
      <x:c r="JH4" s="5" t="s">
        <x:v>414</x:v>
      </x:c>
      <x:c r="JI4" s="5" t="s">
        <x:v>415</x:v>
      </x:c>
      <x:c r="JJ4" s="5" t="s">
        <x:v>416</x:v>
      </x:c>
      <x:c r="JK4" s="5" t="s">
        <x:v>417</x:v>
      </x:c>
      <x:c r="JL4" s="5" t="s">
        <x:v>418</x:v>
      </x:c>
      <x:c r="JM4" s="5" t="s">
        <x:v>419</x:v>
      </x:c>
      <x:c r="JN4" s="5" t="s">
        <x:v>420</x:v>
      </x:c>
      <x:c r="JO4" s="5" t="s">
        <x:v>421</x:v>
      </x:c>
      <x:c r="JP4" s="5" t="s">
        <x:v>422</x:v>
      </x:c>
      <x:c r="JQ4" s="5" t="s">
        <x:v>423</x:v>
      </x:c>
      <x:c r="JR4" s="5" t="s">
        <x:v>424</x:v>
      </x:c>
      <x:c r="JS4" s="6" t="s">
        <x:v>409</x:v>
      </x:c>
      <x:c r="JT4" s="4" t="s">
        <x:v>404</x:v>
      </x:c>
      <x:c r="JU4" s="5" t="s">
        <x:v>405</x:v>
      </x:c>
      <x:c r="JV4" s="5" t="s">
        <x:v>406</x:v>
      </x:c>
      <x:c r="JW4" s="5" t="s">
        <x:v>407</x:v>
      </x:c>
      <x:c r="JX4" s="5" t="s">
        <x:v>410</x:v>
      </x:c>
      <x:c r="JY4" s="5" t="s">
        <x:v>411</x:v>
      </x:c>
      <x:c r="JZ4" s="5" t="s">
        <x:v>412</x:v>
      </x:c>
      <x:c r="KA4" s="5" t="s">
        <x:v>413</x:v>
      </x:c>
      <x:c r="KB4" s="5" t="s">
        <x:v>414</x:v>
      </x:c>
      <x:c r="KC4" s="5" t="s">
        <x:v>415</x:v>
      </x:c>
      <x:c r="KD4" s="5" t="s">
        <x:v>416</x:v>
      </x:c>
      <x:c r="KE4" s="5" t="s">
        <x:v>417</x:v>
      </x:c>
      <x:c r="KF4" s="5" t="s">
        <x:v>418</x:v>
      </x:c>
      <x:c r="KG4" s="5" t="s">
        <x:v>419</x:v>
      </x:c>
      <x:c r="KH4" s="5" t="s">
        <x:v>420</x:v>
      </x:c>
      <x:c r="KI4" s="5" t="s">
        <x:v>421</x:v>
      </x:c>
      <x:c r="KJ4" s="5" t="s">
        <x:v>422</x:v>
      </x:c>
      <x:c r="KK4" s="5" t="s">
        <x:v>423</x:v>
      </x:c>
      <x:c r="KL4" s="5" t="s">
        <x:v>424</x:v>
      </x:c>
      <x:c r="KM4" s="6" t="s">
        <x:v>409</x:v>
      </x:c>
      <x:c r="KN4" s="4" t="s">
        <x:v>404</x:v>
      </x:c>
      <x:c r="KO4" s="5" t="s">
        <x:v>405</x:v>
      </x:c>
      <x:c r="KP4" s="5" t="s">
        <x:v>406</x:v>
      </x:c>
      <x:c r="KQ4" s="5" t="s">
        <x:v>407</x:v>
      </x:c>
      <x:c r="KR4" s="5" t="s">
        <x:v>410</x:v>
      </x:c>
      <x:c r="KS4" s="5" t="s">
        <x:v>411</x:v>
      </x:c>
      <x:c r="KT4" s="5" t="s">
        <x:v>412</x:v>
      </x:c>
      <x:c r="KU4" s="5" t="s">
        <x:v>413</x:v>
      </x:c>
      <x:c r="KV4" s="5" t="s">
        <x:v>414</x:v>
      </x:c>
      <x:c r="KW4" s="5" t="s">
        <x:v>415</x:v>
      </x:c>
      <x:c r="KX4" s="5" t="s">
        <x:v>416</x:v>
      </x:c>
      <x:c r="KY4" s="5" t="s">
        <x:v>417</x:v>
      </x:c>
      <x:c r="KZ4" s="5" t="s">
        <x:v>418</x:v>
      </x:c>
      <x:c r="LA4" s="5" t="s">
        <x:v>419</x:v>
      </x:c>
      <x:c r="LB4" s="5" t="s">
        <x:v>420</x:v>
      </x:c>
      <x:c r="LC4" s="5" t="s">
        <x:v>421</x:v>
      </x:c>
      <x:c r="LD4" s="5" t="s">
        <x:v>422</x:v>
      </x:c>
      <x:c r="LE4" s="5" t="s">
        <x:v>423</x:v>
      </x:c>
      <x:c r="LF4" s="5" t="s">
        <x:v>424</x:v>
      </x:c>
      <x:c r="LG4" s="6" t="s">
        <x:v>409</x:v>
      </x:c>
      <x:c r="LH4" s="4" t="s">
        <x:v>404</x:v>
      </x:c>
      <x:c r="LI4" s="5" t="s">
        <x:v>405</x:v>
      </x:c>
      <x:c r="LJ4" s="5" t="s">
        <x:v>406</x:v>
      </x:c>
      <x:c r="LK4" s="5" t="s">
        <x:v>407</x:v>
      </x:c>
      <x:c r="LL4" s="5" t="s">
        <x:v>410</x:v>
      </x:c>
      <x:c r="LM4" s="5" t="s">
        <x:v>411</x:v>
      </x:c>
      <x:c r="LN4" s="5" t="s">
        <x:v>412</x:v>
      </x:c>
      <x:c r="LO4" s="5" t="s">
        <x:v>413</x:v>
      </x:c>
      <x:c r="LP4" s="5" t="s">
        <x:v>414</x:v>
      </x:c>
      <x:c r="LQ4" s="5" t="s">
        <x:v>408</x:v>
      </x:c>
      <x:c r="LR4" s="6" t="s">
        <x:v>409</x:v>
      </x:c>
      <x:c r="LS4" s="4" t="s">
        <x:v>404</x:v>
      </x:c>
      <x:c r="LT4" s="5" t="s">
        <x:v>405</x:v>
      </x:c>
      <x:c r="LU4" s="5" t="s">
        <x:v>406</x:v>
      </x:c>
      <x:c r="LV4" s="5" t="s">
        <x:v>407</x:v>
      </x:c>
      <x:c r="LW4" s="5" t="s">
        <x:v>410</x:v>
      </x:c>
      <x:c r="LX4" s="5" t="s">
        <x:v>411</x:v>
      </x:c>
      <x:c r="LY4" s="5" t="s">
        <x:v>412</x:v>
      </x:c>
      <x:c r="LZ4" s="5" t="s">
        <x:v>413</x:v>
      </x:c>
      <x:c r="MA4" s="5" t="s">
        <x:v>414</x:v>
      </x:c>
      <x:c r="MB4" s="5" t="s">
        <x:v>408</x:v>
      </x:c>
      <x:c r="MC4" s="6" t="s">
        <x:v>409</x:v>
      </x:c>
      <x:c r="MD4" s="4" t="s">
        <x:v>404</x:v>
      </x:c>
      <x:c r="ME4" s="5" t="s">
        <x:v>405</x:v>
      </x:c>
      <x:c r="MF4" s="5" t="s">
        <x:v>406</x:v>
      </x:c>
      <x:c r="MG4" s="5" t="s">
        <x:v>407</x:v>
      </x:c>
      <x:c r="MH4" s="5" t="s">
        <x:v>410</x:v>
      </x:c>
      <x:c r="MI4" s="5" t="s">
        <x:v>411</x:v>
      </x:c>
      <x:c r="MJ4" s="5" t="s">
        <x:v>412</x:v>
      </x:c>
      <x:c r="MK4" s="6" t="s">
        <x:v>409</x:v>
      </x:c>
      <x:c r="ML4" s="4" t="s">
        <x:v>404</x:v>
      </x:c>
      <x:c r="MM4" s="5" t="s">
        <x:v>405</x:v>
      </x:c>
      <x:c r="MN4" s="5" t="s">
        <x:v>406</x:v>
      </x:c>
      <x:c r="MO4" s="5" t="s">
        <x:v>407</x:v>
      </x:c>
      <x:c r="MP4" s="5" t="s">
        <x:v>410</x:v>
      </x:c>
      <x:c r="MQ4" s="5" t="s">
        <x:v>411</x:v>
      </x:c>
      <x:c r="MR4" s="5" t="s">
        <x:v>412</x:v>
      </x:c>
      <x:c r="MS4" s="5" t="s">
        <x:v>413</x:v>
      </x:c>
      <x:c r="MT4" s="5" t="s">
        <x:v>414</x:v>
      </x:c>
      <x:c r="MU4" s="5" t="s">
        <x:v>408</x:v>
      </x:c>
      <x:c r="MV4" s="6" t="s">
        <x:v>409</x:v>
      </x:c>
      <x:c r="MW4" s="4" t="s">
        <x:v>404</x:v>
      </x:c>
      <x:c r="MX4" s="5" t="s">
        <x:v>405</x:v>
      </x:c>
      <x:c r="MY4" s="5" t="s">
        <x:v>406</x:v>
      </x:c>
      <x:c r="MZ4" s="5" t="s">
        <x:v>407</x:v>
      </x:c>
      <x:c r="NA4" s="5" t="s">
        <x:v>410</x:v>
      </x:c>
      <x:c r="NB4" s="5" t="s">
        <x:v>411</x:v>
      </x:c>
      <x:c r="NC4" s="5" t="s">
        <x:v>412</x:v>
      </x:c>
      <x:c r="ND4" s="5" t="s">
        <x:v>413</x:v>
      </x:c>
      <x:c r="NE4" s="5" t="s">
        <x:v>414</x:v>
      </x:c>
      <x:c r="NF4" s="5" t="s">
        <x:v>408</x:v>
      </x:c>
      <x:c r="NG4" s="6" t="s">
        <x:v>409</x:v>
      </x:c>
      <x:c r="NH4" s="4" t="s">
        <x:v>404</x:v>
      </x:c>
      <x:c r="NI4" s="5" t="s">
        <x:v>405</x:v>
      </x:c>
      <x:c r="NJ4" s="5" t="s">
        <x:v>406</x:v>
      </x:c>
      <x:c r="NK4" s="5" t="s">
        <x:v>407</x:v>
      </x:c>
      <x:c r="NL4" s="5" t="s">
        <x:v>410</x:v>
      </x:c>
      <x:c r="NM4" s="5" t="s">
        <x:v>411</x:v>
      </x:c>
      <x:c r="NN4" s="5" t="s">
        <x:v>412</x:v>
      </x:c>
      <x:c r="NO4" s="5" t="s">
        <x:v>413</x:v>
      </x:c>
      <x:c r="NP4" s="5" t="s">
        <x:v>414</x:v>
      </x:c>
      <x:c r="NQ4" s="5" t="s">
        <x:v>415</x:v>
      </x:c>
      <x:c r="NR4" s="5" t="s">
        <x:v>408</x:v>
      </x:c>
      <x:c r="NS4" s="6" t="s">
        <x:v>409</x:v>
      </x:c>
      <x:c r="NT4" s="4" t="s">
        <x:v>404</x:v>
      </x:c>
      <x:c r="NU4" s="5" t="s">
        <x:v>405</x:v>
      </x:c>
      <x:c r="NV4" s="5" t="s">
        <x:v>406</x:v>
      </x:c>
      <x:c r="NW4" s="5" t="s">
        <x:v>407</x:v>
      </x:c>
      <x:c r="NX4" s="5" t="s">
        <x:v>410</x:v>
      </x:c>
      <x:c r="NY4" s="6" t="s">
        <x:v>409</x:v>
      </x:c>
      <x:c r="NZ4" s="4" t="s">
        <x:v>404</x:v>
      </x:c>
      <x:c r="OA4" s="5" t="s">
        <x:v>405</x:v>
      </x:c>
      <x:c r="OB4" s="5" t="s">
        <x:v>406</x:v>
      </x:c>
      <x:c r="OC4" s="5" t="s">
        <x:v>407</x:v>
      </x:c>
      <x:c r="OD4" s="5" t="s">
        <x:v>410</x:v>
      </x:c>
      <x:c r="OE4" s="5" t="s">
        <x:v>411</x:v>
      </x:c>
      <x:c r="OF4" s="5" t="s">
        <x:v>412</x:v>
      </x:c>
      <x:c r="OG4" s="5" t="s">
        <x:v>413</x:v>
      </x:c>
      <x:c r="OH4" s="5" t="s">
        <x:v>414</x:v>
      </x:c>
      <x:c r="OI4" s="5" t="s">
        <x:v>415</x:v>
      </x:c>
      <x:c r="OJ4" s="5" t="s">
        <x:v>416</x:v>
      </x:c>
      <x:c r="OK4" s="5" t="s">
        <x:v>408</x:v>
      </x:c>
      <x:c r="OL4" s="6" t="s">
        <x:v>409</x:v>
      </x:c>
      <x:c r="OM4" s="4" t="s">
        <x:v>404</x:v>
      </x:c>
      <x:c r="ON4" s="5" t="s">
        <x:v>405</x:v>
      </x:c>
      <x:c r="OO4" s="5" t="s">
        <x:v>406</x:v>
      </x:c>
      <x:c r="OP4" s="5" t="s">
        <x:v>407</x:v>
      </x:c>
      <x:c r="OQ4" s="5" t="s">
        <x:v>410</x:v>
      </x:c>
      <x:c r="OR4" s="5" t="s">
        <x:v>411</x:v>
      </x:c>
      <x:c r="OS4" s="5" t="s">
        <x:v>412</x:v>
      </x:c>
      <x:c r="OT4" s="5" t="s">
        <x:v>413</x:v>
      </x:c>
      <x:c r="OU4" s="5" t="s">
        <x:v>414</x:v>
      </x:c>
      <x:c r="OV4" s="5" t="s">
        <x:v>408</x:v>
      </x:c>
      <x:c r="OW4" s="6" t="s">
        <x:v>409</x:v>
      </x:c>
      <x:c r="OX4" s="4" t="s">
        <x:v>404</x:v>
      </x:c>
      <x:c r="OY4" s="5" t="s">
        <x:v>405</x:v>
      </x:c>
      <x:c r="OZ4" s="5" t="s">
        <x:v>406</x:v>
      </x:c>
      <x:c r="PA4" s="5" t="s">
        <x:v>407</x:v>
      </x:c>
      <x:c r="PB4" s="5" t="s">
        <x:v>410</x:v>
      </x:c>
      <x:c r="PC4" s="6" t="s">
        <x:v>409</x:v>
      </x:c>
      <x:c r="PD4" s="4" t="s">
        <x:v>404</x:v>
      </x:c>
      <x:c r="PE4" s="5" t="s">
        <x:v>405</x:v>
      </x:c>
      <x:c r="PF4" s="5" t="s">
        <x:v>406</x:v>
      </x:c>
      <x:c r="PG4" s="5" t="s">
        <x:v>407</x:v>
      </x:c>
      <x:c r="PH4" s="5" t="s">
        <x:v>410</x:v>
      </x:c>
      <x:c r="PI4" s="5" t="s">
        <x:v>411</x:v>
      </x:c>
      <x:c r="PJ4" s="5" t="s">
        <x:v>412</x:v>
      </x:c>
      <x:c r="PK4" s="5" t="s">
        <x:v>413</x:v>
      </x:c>
      <x:c r="PL4" s="5" t="s">
        <x:v>414</x:v>
      </x:c>
      <x:c r="PM4" s="5" t="s">
        <x:v>415</x:v>
      </x:c>
      <x:c r="PN4" s="5" t="s">
        <x:v>408</x:v>
      </x:c>
      <x:c r="PO4" s="6" t="s">
        <x:v>409</x:v>
      </x:c>
      <x:c r="PP4" s="4" t="s">
        <x:v>404</x:v>
      </x:c>
      <x:c r="PQ4" s="5" t="s">
        <x:v>405</x:v>
      </x:c>
      <x:c r="PR4" s="5" t="s">
        <x:v>406</x:v>
      </x:c>
      <x:c r="PS4" s="5" t="s">
        <x:v>407</x:v>
      </x:c>
      <x:c r="PT4" s="6" t="s">
        <x:v>409</x:v>
      </x:c>
      <x:c r="PU4" s="4" t="s">
        <x:v>404</x:v>
      </x:c>
      <x:c r="PV4" s="5" t="s">
        <x:v>405</x:v>
      </x:c>
      <x:c r="PW4" s="5" t="s">
        <x:v>406</x:v>
      </x:c>
      <x:c r="PX4" s="5" t="s">
        <x:v>407</x:v>
      </x:c>
      <x:c r="PY4" s="5" t="s">
        <x:v>410</x:v>
      </x:c>
      <x:c r="PZ4" s="5" t="s">
        <x:v>411</x:v>
      </x:c>
      <x:c r="QA4" s="5" t="s">
        <x:v>412</x:v>
      </x:c>
      <x:c r="QB4" s="5" t="s">
        <x:v>413</x:v>
      </x:c>
      <x:c r="QC4" s="5" t="s">
        <x:v>414</x:v>
      </x:c>
      <x:c r="QD4" s="5" t="s">
        <x:v>408</x:v>
      </x:c>
      <x:c r="QE4" s="6" t="s">
        <x:v>409</x:v>
      </x:c>
      <x:c r="QF4" s="4" t="s">
        <x:v>404</x:v>
      </x:c>
      <x:c r="QG4" s="5" t="s">
        <x:v>405</x:v>
      </x:c>
      <x:c r="QH4" s="5" t="s">
        <x:v>406</x:v>
      </x:c>
      <x:c r="QI4" s="5" t="s">
        <x:v>407</x:v>
      </x:c>
      <x:c r="QJ4" s="5" t="s">
        <x:v>410</x:v>
      </x:c>
      <x:c r="QK4" s="5" t="s">
        <x:v>411</x:v>
      </x:c>
      <x:c r="QL4" s="5" t="s">
        <x:v>412</x:v>
      </x:c>
      <x:c r="QM4" s="5" t="s">
        <x:v>413</x:v>
      </x:c>
      <x:c r="QN4" s="5" t="s">
        <x:v>414</x:v>
      </x:c>
      <x:c r="QO4" s="5" t="s">
        <x:v>408</x:v>
      </x:c>
      <x:c r="QP4" s="6" t="s">
        <x:v>409</x:v>
      </x:c>
      <x:c r="QQ4" s="4" t="s">
        <x:v>404</x:v>
      </x:c>
      <x:c r="QR4" s="5" t="s">
        <x:v>405</x:v>
      </x:c>
      <x:c r="QS4" s="5" t="s">
        <x:v>406</x:v>
      </x:c>
      <x:c r="QT4" s="5" t="s">
        <x:v>407</x:v>
      </x:c>
      <x:c r="QU4" s="5" t="s">
        <x:v>410</x:v>
      </x:c>
      <x:c r="QV4" s="5" t="s">
        <x:v>411</x:v>
      </x:c>
      <x:c r="QW4" s="5" t="s">
        <x:v>412</x:v>
      </x:c>
      <x:c r="QX4" s="5" t="s">
        <x:v>413</x:v>
      </x:c>
      <x:c r="QY4" s="5" t="s">
        <x:v>414</x:v>
      </x:c>
      <x:c r="QZ4" s="5" t="s">
        <x:v>408</x:v>
      </x:c>
      <x:c r="RA4" s="6" t="s">
        <x:v>409</x:v>
      </x:c>
      <x:c r="RB4" s="4" t="s">
        <x:v>404</x:v>
      </x:c>
      <x:c r="RC4" s="5" t="s">
        <x:v>405</x:v>
      </x:c>
      <x:c r="RD4" s="5" t="s">
        <x:v>406</x:v>
      </x:c>
      <x:c r="RE4" s="5" t="s">
        <x:v>407</x:v>
      </x:c>
      <x:c r="RF4" s="5" t="s">
        <x:v>410</x:v>
      </x:c>
      <x:c r="RG4" s="5" t="s">
        <x:v>411</x:v>
      </x:c>
      <x:c r="RH4" s="5" t="s">
        <x:v>412</x:v>
      </x:c>
      <x:c r="RI4" s="5" t="s">
        <x:v>413</x:v>
      </x:c>
      <x:c r="RJ4" s="5" t="s">
        <x:v>408</x:v>
      </x:c>
      <x:c r="RK4" s="6" t="s">
        <x:v>409</x:v>
      </x:c>
      <x:c r="RL4" s="4" t="s">
        <x:v>404</x:v>
      </x:c>
      <x:c r="RM4" s="5" t="s">
        <x:v>405</x:v>
      </x:c>
      <x:c r="RN4" s="5" t="s">
        <x:v>406</x:v>
      </x:c>
      <x:c r="RO4" s="5" t="s">
        <x:v>407</x:v>
      </x:c>
      <x:c r="RP4" s="5" t="s">
        <x:v>410</x:v>
      </x:c>
      <x:c r="RQ4" s="5" t="s">
        <x:v>411</x:v>
      </x:c>
      <x:c r="RR4" s="5" t="s">
        <x:v>412</x:v>
      </x:c>
      <x:c r="RS4" s="5" t="s">
        <x:v>413</x:v>
      </x:c>
      <x:c r="RT4" s="5" t="s">
        <x:v>414</x:v>
      </x:c>
      <x:c r="RU4" s="5" t="s">
        <x:v>408</x:v>
      </x:c>
      <x:c r="RV4" s="6" t="s">
        <x:v>409</x:v>
      </x:c>
      <x:c r="RW4" s="4"/>
      <x:c r="RX4" s="6" t="s">
        <x:v>409</x:v>
      </x:c>
    </x:row>
    <x:row r="5" ht="16.5">
      <x:c r="A5" s="7" t="s">
        <x:v>425</x:v>
      </x:c>
      <x:c r="B5" s="8"/>
      <x:c r="C5" s="8"/>
      <x:c r="D5" s="8"/>
      <x:c r="E5" s="8"/>
      <x:c r="F5" s="8"/>
      <x:c r="G5" s="8"/>
      <x:c r="H5" s="8"/>
      <x:c r="I5" s="8"/>
      <x:c r="J5" s="8"/>
      <x:c r="K5" s="9"/>
      <x:c r="L5" s="7" t="s">
        <x:v>426</x:v>
      </x:c>
      <x:c r="M5" s="10"/>
      <x:c r="N5" s="10"/>
      <x:c r="O5" s="10"/>
      <x:c r="P5" s="11"/>
      <x:c r="Q5" s="12" t="n">
        <x:f t="shared" ref="Q5:Q42" si="0">IF(SUMPRODUCT(--(L5:P5&lt;&gt;""))&gt;0,1,0)</x:f>
        <x:v>1</x:v>
      </x:c>
      <x:c r="R5" s="7" t="s">
        <x:v>426</x:v>
      </x:c>
      <x:c r="S5" s="10"/>
      <x:c r="T5" s="10"/>
      <x:c r="U5" s="10"/>
      <x:c r="V5" s="10"/>
      <x:c r="W5" s="11"/>
      <x:c r="X5" s="12" t="n">
        <x:f t="shared" ref="X5:X42" si="1">IF(SUMPRODUCT(--(R5:W5&lt;&gt;""))&gt;0,1,0)</x:f>
        <x:v>1</x:v>
      </x:c>
      <x:c r="Y5" s="7"/>
      <x:c r="Z5" s="10"/>
      <x:c r="AA5" s="10"/>
      <x:c r="AB5" s="10"/>
      <x:c r="AC5" s="10" t="s">
        <x:v>426</x:v>
      </x:c>
      <x:c r="AD5" s="12" t="n">
        <x:f t="shared" ref="AD5:AD42" si="2">IF(COUNTIF(Y5:AC5,"〇")&gt;0,1,0)</x:f>
        <x:v>1</x:v>
      </x:c>
      <x:c r="AE5" s="7"/>
      <x:c r="AF5" s="10"/>
      <x:c r="AG5" s="10"/>
      <x:c r="AH5" s="10" t="s">
        <x:v>426</x:v>
      </x:c>
      <x:c r="AI5" s="10"/>
      <x:c r="AJ5" s="11"/>
      <x:c r="AK5" s="12" t="n">
        <x:f t="shared" ref="AK5:AK42" si="3">IF(SUMPRODUCT(--(AE5:AJ5&lt;&gt;""))&gt;0,1,0)</x:f>
        <x:v>1</x:v>
      </x:c>
      <x:c r="AL5" s="7"/>
      <x:c r="AM5" s="10" t="s">
        <x:v>426</x:v>
      </x:c>
      <x:c r="AN5" s="10"/>
      <x:c r="AO5" s="12" t="n">
        <x:f t="shared" ref="AO5:AO42" si="4">IF(COUNTIF(AL5:AN5,"〇")&gt;0,1,0)</x:f>
        <x:v>1</x:v>
      </x:c>
      <x:c r="AP5" s="7" t="s">
        <x:v>426</x:v>
      </x:c>
      <x:c r="AQ5" s="10"/>
      <x:c r="AR5" s="10"/>
      <x:c r="AS5" s="10"/>
      <x:c r="AT5" s="10"/>
      <x:c r="AU5" s="10"/>
      <x:c r="AV5" s="10"/>
      <x:c r="AW5" s="11"/>
      <x:c r="AX5" s="12" t="n">
        <x:f t="shared" ref="AX5:AX42" si="5">IF(SUMPRODUCT(--(AP5:AW5&lt;&gt;""))&gt;0,1,0)</x:f>
        <x:v>1</x:v>
      </x:c>
      <x:c r="AY5" s="7" t="s">
        <x:v>426</x:v>
      </x:c>
      <x:c r="AZ5" s="10"/>
      <x:c r="BA5" s="10"/>
      <x:c r="BB5" s="10"/>
      <x:c r="BC5" s="10"/>
      <x:c r="BD5" s="10"/>
      <x:c r="BE5" s="10"/>
      <x:c r="BF5" s="10"/>
      <x:c r="BG5" s="11"/>
      <x:c r="BH5" s="12" t="n">
        <x:f t="shared" ref="BH5:BH42" si="6">IF(SUMPRODUCT(--(AY5:BG5&lt;&gt;""))&gt;0,1,0)</x:f>
        <x:v>1</x:v>
      </x:c>
      <x:c r="BI5" s="7"/>
      <x:c r="BJ5" s="10" t="s">
        <x:v>426</x:v>
      </x:c>
      <x:c r="BK5" s="10"/>
      <x:c r="BL5" s="10"/>
      <x:c r="BM5" s="10"/>
      <x:c r="BN5" s="10"/>
      <x:c r="BO5" s="10"/>
      <x:c r="BP5" s="11"/>
      <x:c r="BQ5" s="12" t="n">
        <x:f t="shared" ref="BQ5:BQ42" si="7">IF(SUMPRODUCT(--(BI5:BP5&lt;&gt;""))&gt;0,1,0)</x:f>
        <x:v>1</x:v>
      </x:c>
      <x:c r="BR5" s="7"/>
      <x:c r="BS5" s="10"/>
      <x:c r="BT5" s="10"/>
      <x:c r="BU5" s="10"/>
      <x:c r="BV5" s="10"/>
      <x:c r="BW5" s="10"/>
      <x:c r="BX5" s="10"/>
      <x:c r="BY5" s="11"/>
      <x:c r="BZ5" s="12" t="n">
        <x:f t="shared" ref="BZ5:BZ42" si="8">IF(SUMPRODUCT(--(BR5:BY5&lt;&gt;""))&gt;0,1,0)</x:f>
        <x:v>0</x:v>
      </x:c>
      <x:c r="CA5" s="7" t="s">
        <x:v>426</x:v>
      </x:c>
      <x:c r="CB5" s="10"/>
      <x:c r="CC5" s="10"/>
      <x:c r="CD5" s="10"/>
      <x:c r="CE5" s="10"/>
      <x:c r="CF5" s="10"/>
      <x:c r="CG5" s="10"/>
      <x:c r="CH5" s="10"/>
      <x:c r="CI5" s="10"/>
      <x:c r="CJ5" s="10"/>
      <x:c r="CK5" s="11"/>
      <x:c r="CL5" s="12" t="n">
        <x:f t="shared" ref="CL5:CL42" si="9">IF(SUMPRODUCT(--(CA5:CK5&lt;&gt;""))&gt;0,1,0)</x:f>
        <x:v>1</x:v>
      </x:c>
      <x:c r="CM5" s="7"/>
      <x:c r="CN5" s="10"/>
      <x:c r="CO5" s="10"/>
      <x:c r="CP5" s="10"/>
      <x:c r="CQ5" s="10"/>
      <x:c r="CR5" s="10"/>
      <x:c r="CS5" s="10"/>
      <x:c r="CT5" s="10" t="s">
        <x:v>426</x:v>
      </x:c>
      <x:c r="CU5" s="10"/>
      <x:c r="CV5" s="10"/>
      <x:c r="CW5" s="10"/>
      <x:c r="CX5" s="10" t="s">
        <x:v>426</x:v>
      </x:c>
      <x:c r="CY5" s="10"/>
      <x:c r="CZ5" s="10"/>
      <x:c r="DA5" s="11"/>
      <x:c r="DB5" s="12" t="n">
        <x:f t="shared" ref="DB5:DB42" si="10">IF(SUMPRODUCT(--(CM5:DA5&lt;&gt;""))&gt;0,1,0)</x:f>
        <x:v>1</x:v>
      </x:c>
      <x:c r="DC5" s="7" t="s">
        <x:v>427</x:v>
      </x:c>
      <x:c r="DD5" s="12" t="n">
        <x:f t="shared" ref="DD5:DD42" si="11">IF(SUMPRODUCT(--(DC5:DC5&lt;&gt;""))&gt;0,1,0)</x:f>
        <x:v>1</x:v>
      </x:c>
      <x:c r="DE5" s="7"/>
      <x:c r="DF5" s="10"/>
      <x:c r="DG5" s="10"/>
      <x:c r="DH5" s="10"/>
      <x:c r="DI5" s="10" t="s">
        <x:v>426</x:v>
      </x:c>
      <x:c r="DJ5" s="10"/>
      <x:c r="DK5" s="10"/>
      <x:c r="DL5" s="10"/>
      <x:c r="DM5" s="11"/>
      <x:c r="DN5" s="12" t="n">
        <x:f t="shared" ref="DN5:DN42" si="12">IF(SUMPRODUCT(--(DE5:DM5&lt;&gt;""))&gt;0,1,0)</x:f>
        <x:v>1</x:v>
      </x:c>
      <x:c r="DO5" s="7"/>
      <x:c r="DP5" s="10" t="s">
        <x:v>426</x:v>
      </x:c>
      <x:c r="DQ5" s="10"/>
      <x:c r="DR5" s="10"/>
      <x:c r="DS5" s="10"/>
      <x:c r="DT5" s="12" t="n">
        <x:f t="shared" ref="DT5:DT42" si="13">IF(COUNTIF(DO5:DS5,"〇")&gt;0,1,0)</x:f>
        <x:v>1</x:v>
      </x:c>
      <x:c r="DU5" s="7"/>
      <x:c r="DV5" s="10"/>
      <x:c r="DW5" s="10" t="s">
        <x:v>426</x:v>
      </x:c>
      <x:c r="DX5" s="10"/>
      <x:c r="DY5" s="10" t="s">
        <x:v>426</x:v>
      </x:c>
      <x:c r="DZ5" s="10"/>
      <x:c r="EA5" s="10"/>
      <x:c r="EB5" s="10"/>
      <x:c r="EC5" s="10"/>
      <x:c r="ED5" s="11"/>
      <x:c r="EE5" s="12" t="n">
        <x:f t="shared" ref="EE5:EE42" si="14">IF(SUMPRODUCT(--(DU5:ED5&lt;&gt;""))&gt;0,1,0)</x:f>
        <x:v>1</x:v>
      </x:c>
      <x:c r="EF5" s="7" t="s">
        <x:v>426</x:v>
      </x:c>
      <x:c r="EG5" s="10"/>
      <x:c r="EH5" s="10"/>
      <x:c r="EI5" s="10" t="s">
        <x:v>426</x:v>
      </x:c>
      <x:c r="EJ5" s="10"/>
      <x:c r="EK5" s="10"/>
      <x:c r="EL5" s="10"/>
      <x:c r="EM5" s="10"/>
      <x:c r="EN5" s="10"/>
      <x:c r="EO5" s="10"/>
      <x:c r="EP5" s="11"/>
      <x:c r="EQ5" s="12" t="n">
        <x:f t="shared" ref="EQ5:EQ42" si="15">IF(SUMPRODUCT(--(EF5:EP5&lt;&gt;""))&gt;0,1,0)</x:f>
        <x:v>1</x:v>
      </x:c>
      <x:c r="ER5" s="7" t="s">
        <x:v>426</x:v>
      </x:c>
      <x:c r="ES5" s="10"/>
      <x:c r="ET5" s="10"/>
      <x:c r="EU5" s="10"/>
      <x:c r="EV5" s="12" t="n">
        <x:f t="shared" ref="EV5:EV42" si="16">IF(COUNTIF(ER5:EU5,"〇")&gt;0,1,0)</x:f>
        <x:v>1</x:v>
      </x:c>
      <x:c r="EW5" s="7"/>
      <x:c r="EX5" s="10"/>
      <x:c r="EY5" s="10"/>
      <x:c r="EZ5" s="10"/>
      <x:c r="FA5" s="10" t="s">
        <x:v>426</x:v>
      </x:c>
      <x:c r="FB5" s="10"/>
      <x:c r="FC5" s="10"/>
      <x:c r="FD5" s="10"/>
      <x:c r="FE5" s="11"/>
      <x:c r="FF5" s="12" t="n">
        <x:f t="shared" ref="FF5:FF42" si="17">IF(SUMPRODUCT(--(EW5:FE5&lt;&gt;""))&gt;0,1,0)</x:f>
        <x:v>1</x:v>
      </x:c>
      <x:c r="FG5" s="7" t="s">
        <x:v>426</x:v>
      </x:c>
      <x:c r="FH5" s="10"/>
      <x:c r="FI5" s="10"/>
      <x:c r="FJ5" s="10"/>
      <x:c r="FK5" s="10"/>
      <x:c r="FL5" s="10"/>
      <x:c r="FM5" s="10"/>
      <x:c r="FN5" s="10"/>
      <x:c r="FO5" s="10"/>
      <x:c r="FP5" s="10"/>
      <x:c r="FQ5" s="10"/>
      <x:c r="FR5" s="10"/>
      <x:c r="FS5" s="10"/>
      <x:c r="FT5" s="10"/>
      <x:c r="FU5" s="11"/>
      <x:c r="FV5" s="12" t="n">
        <x:f t="shared" ref="FV5:FV42" si="18">IF(SUMPRODUCT(--(FG5:FU5&lt;&gt;""))&gt;0,1,0)</x:f>
        <x:v>1</x:v>
      </x:c>
      <x:c r="FW5" s="7"/>
      <x:c r="FX5" s="10"/>
      <x:c r="FY5" s="10" t="s">
        <x:v>426</x:v>
      </x:c>
      <x:c r="FZ5" s="10" t="s">
        <x:v>426</x:v>
      </x:c>
      <x:c r="GA5" s="10" t="s">
        <x:v>426</x:v>
      </x:c>
      <x:c r="GB5" s="10"/>
      <x:c r="GC5" s="10"/>
      <x:c r="GD5" s="10"/>
      <x:c r="GE5" s="11"/>
      <x:c r="GF5" s="12" t="n">
        <x:f t="shared" ref="GF5:GF42" si="19">IF(SUMPRODUCT(--(FW5:GE5&lt;&gt;""))&gt;0,1,0)</x:f>
        <x:v>1</x:v>
      </x:c>
      <x:c r="GG5" s="7"/>
      <x:c r="GH5" s="10" t="s">
        <x:v>426</x:v>
      </x:c>
      <x:c r="GI5" s="10" t="s">
        <x:v>426</x:v>
      </x:c>
      <x:c r="GJ5" s="10" t="s">
        <x:v>426</x:v>
      </x:c>
      <x:c r="GK5" s="10"/>
      <x:c r="GL5" s="10"/>
      <x:c r="GM5" s="12" t="n">
        <x:f t="shared" ref="GM5:GM42" si="20">IF(COUNTIF(GG5:GL5,"〇")&gt;0,1,0)</x:f>
        <x:v>1</x:v>
      </x:c>
      <x:c r="GN5" s="7" t="s">
        <x:v>426</x:v>
      </x:c>
      <x:c r="GO5" s="10" t="s">
        <x:v>426</x:v>
      </x:c>
      <x:c r="GP5" s="10"/>
      <x:c r="GQ5" s="10" t="s">
        <x:v>426</x:v>
      </x:c>
      <x:c r="GR5" s="10" t="s">
        <x:v>426</x:v>
      </x:c>
      <x:c r="GS5" s="10"/>
      <x:c r="GT5" s="12" t="n">
        <x:f t="shared" ref="GT5:GT42" si="21">IF(COUNTIF(GN5:GS5,"〇")&gt;0,1,0)</x:f>
        <x:v>1</x:v>
      </x:c>
      <x:c r="GU5" s="7"/>
      <x:c r="GV5" s="10" t="s">
        <x:v>426</x:v>
      </x:c>
      <x:c r="GW5" s="10"/>
      <x:c r="GX5" s="10"/>
      <x:c r="GY5" s="12" t="n">
        <x:f t="shared" ref="GY5:GY42" si="22">IF(COUNTIF(GU5:GX5,"〇")&gt;0,1,0)</x:f>
        <x:v>1</x:v>
      </x:c>
      <x:c r="GZ5" s="7"/>
      <x:c r="HA5" s="10"/>
      <x:c r="HB5" s="10"/>
      <x:c r="HC5" s="10" t="s">
        <x:v>426</x:v>
      </x:c>
      <x:c r="HD5" s="10" t="s">
        <x:v>426</x:v>
      </x:c>
      <x:c r="HE5" s="10" t="s">
        <x:v>426</x:v>
      </x:c>
      <x:c r="HF5" s="10"/>
      <x:c r="HG5" s="10" t="s">
        <x:v>426</x:v>
      </x:c>
      <x:c r="HH5" s="10"/>
      <x:c r="HI5" s="10"/>
      <x:c r="HJ5" s="10"/>
      <x:c r="HK5" s="11"/>
      <x:c r="HL5" s="12" t="n">
        <x:f t="shared" ref="HL5:HL42" si="23">IF(SUMPRODUCT(--(GZ5:HK5&lt;&gt;""))&gt;0,1,0)</x:f>
        <x:v>1</x:v>
      </x:c>
      <x:c r="HM5" s="7"/>
      <x:c r="HN5" s="10"/>
      <x:c r="HO5" s="10"/>
      <x:c r="HP5" s="10" t="s">
        <x:v>426</x:v>
      </x:c>
      <x:c r="HQ5" s="10" t="s">
        <x:v>426</x:v>
      </x:c>
      <x:c r="HR5" s="10"/>
      <x:c r="HS5" s="10"/>
      <x:c r="HT5" s="10"/>
      <x:c r="HU5" s="10"/>
      <x:c r="HV5" s="11"/>
      <x:c r="HW5" s="12" t="n">
        <x:f t="shared" ref="HW5:HW42" si="24">IF(SUMPRODUCT(--(HM5:HV5&lt;&gt;""))&gt;0,1,0)</x:f>
        <x:v>1</x:v>
      </x:c>
      <x:c r="HX5" s="7"/>
      <x:c r="HY5" s="10" t="s">
        <x:v>426</x:v>
      </x:c>
      <x:c r="HZ5" s="10"/>
      <x:c r="IA5" s="10"/>
      <x:c r="IB5" s="10"/>
      <x:c r="IC5" s="12" t="n">
        <x:f t="shared" ref="IC5:IC42" si="25">IF(COUNTIF(HX5:IB5,"〇")&gt;0,1,0)</x:f>
        <x:v>1</x:v>
      </x:c>
      <x:c r="ID5" s="7"/>
      <x:c r="IE5" s="10"/>
      <x:c r="IF5" s="10" t="s">
        <x:v>426</x:v>
      </x:c>
      <x:c r="IG5" s="10" t="s">
        <x:v>426</x:v>
      </x:c>
      <x:c r="IH5" s="10"/>
      <x:c r="II5" s="10"/>
      <x:c r="IJ5" s="10"/>
      <x:c r="IK5" s="10" t="s">
        <x:v>426</x:v>
      </x:c>
      <x:c r="IL5" s="10"/>
      <x:c r="IM5" s="10"/>
      <x:c r="IN5" s="11"/>
      <x:c r="IO5" s="12" t="n">
        <x:f t="shared" ref="IO5:IO42" si="26">IF(SUMPRODUCT(--(ID5:IN5&lt;&gt;""))&gt;0,1,0)</x:f>
        <x:v>1</x:v>
      </x:c>
      <x:c r="IP5" s="7" t="s">
        <x:v>426</x:v>
      </x:c>
      <x:c r="IQ5" s="10" t="s">
        <x:v>426</x:v>
      </x:c>
      <x:c r="IR5" s="10"/>
      <x:c r="IS5" s="10"/>
      <x:c r="IT5" s="10"/>
      <x:c r="IU5" s="10"/>
      <x:c r="IV5" s="10"/>
      <x:c r="IW5" s="10"/>
      <x:c r="IX5" s="11"/>
      <x:c r="IY5" s="12" t="n">
        <x:f t="shared" ref="IY5:IY42" si="27">IF(SUMPRODUCT(--(IP5:IX5&lt;&gt;""))&gt;0,1,0)</x:f>
        <x:v>1</x:v>
      </x:c>
      <x:c r="IZ5" s="7"/>
      <x:c r="JA5" s="10"/>
      <x:c r="JB5" s="10"/>
      <x:c r="JC5" s="10"/>
      <x:c r="JD5" s="10"/>
      <x:c r="JE5" s="10"/>
      <x:c r="JF5" s="10"/>
      <x:c r="JG5" s="10"/>
      <x:c r="JH5" s="10"/>
      <x:c r="JI5" s="10"/>
      <x:c r="JJ5" s="10"/>
      <x:c r="JK5" s="10"/>
      <x:c r="JL5" s="10"/>
      <x:c r="JM5" s="10"/>
      <x:c r="JN5" s="10"/>
      <x:c r="JO5" s="10"/>
      <x:c r="JP5" s="10"/>
      <x:c r="JQ5" s="10"/>
      <x:c r="JR5" s="10" t="s">
        <x:v>426</x:v>
      </x:c>
      <x:c r="JS5" s="12" t="n">
        <x:f t="shared" ref="JS5:JS42" si="28">IF(COUNTIF(IZ5:JR5,"〇")&gt;0,1,0)</x:f>
        <x:v>1</x:v>
      </x:c>
      <x:c r="JT5" s="7"/>
      <x:c r="JU5" s="10"/>
      <x:c r="JV5" s="10"/>
      <x:c r="JW5" s="10"/>
      <x:c r="JX5" s="10"/>
      <x:c r="JY5" s="10"/>
      <x:c r="JZ5" s="10"/>
      <x:c r="KA5" s="10"/>
      <x:c r="KB5" s="10"/>
      <x:c r="KC5" s="10"/>
      <x:c r="KD5" s="10"/>
      <x:c r="KE5" s="10"/>
      <x:c r="KF5" s="10"/>
      <x:c r="KG5" s="10"/>
      <x:c r="KH5" s="10"/>
      <x:c r="KI5" s="10"/>
      <x:c r="KJ5" s="10"/>
      <x:c r="KK5" s="10"/>
      <x:c r="KL5" s="10" t="s">
        <x:v>426</x:v>
      </x:c>
      <x:c r="KM5" s="12" t="n">
        <x:f t="shared" ref="KM5:KM42" si="29">IF(COUNTIF(JT5:KL5,"〇")&gt;0,1,0)</x:f>
        <x:v>1</x:v>
      </x:c>
      <x:c r="KN5" s="7"/>
      <x:c r="KO5" s="10"/>
      <x:c r="KP5" s="10"/>
      <x:c r="KQ5" s="10"/>
      <x:c r="KR5" s="10"/>
      <x:c r="KS5" s="10"/>
      <x:c r="KT5" s="10"/>
      <x:c r="KU5" s="10"/>
      <x:c r="KV5" s="10"/>
      <x:c r="KW5" s="10"/>
      <x:c r="KX5" s="10"/>
      <x:c r="KY5" s="10"/>
      <x:c r="KZ5" s="10" t="s">
        <x:v>426</x:v>
      </x:c>
      <x:c r="LA5" s="10"/>
      <x:c r="LB5" s="10"/>
      <x:c r="LC5" s="10"/>
      <x:c r="LD5" s="10"/>
      <x:c r="LE5" s="10"/>
      <x:c r="LF5" s="10"/>
      <x:c r="LG5" s="12" t="n">
        <x:f t="shared" ref="LG5:LG42" si="30">IF(COUNTIF(KN5:LF5,"〇")&gt;0,1,0)</x:f>
        <x:v>1</x:v>
      </x:c>
      <x:c r="LH5" s="7"/>
      <x:c r="LI5" s="10"/>
      <x:c r="LJ5" s="10"/>
      <x:c r="LK5" s="10"/>
      <x:c r="LL5" s="10"/>
      <x:c r="LM5" s="10" t="s">
        <x:v>426</x:v>
      </x:c>
      <x:c r="LN5" s="10"/>
      <x:c r="LO5" s="10"/>
      <x:c r="LP5" s="10"/>
      <x:c r="LQ5" s="11"/>
      <x:c r="LR5" s="12" t="n">
        <x:f t="shared" ref="LR5:LR42" si="31">IF(SUMPRODUCT(--(LH5:LQ5&lt;&gt;""))&gt;0,1,0)</x:f>
        <x:v>1</x:v>
      </x:c>
      <x:c r="LS5" s="7" t="s">
        <x:v>426</x:v>
      </x:c>
      <x:c r="LT5" s="10" t="s">
        <x:v>426</x:v>
      </x:c>
      <x:c r="LU5" s="10"/>
      <x:c r="LV5" s="10"/>
      <x:c r="LW5" s="10" t="s">
        <x:v>426</x:v>
      </x:c>
      <x:c r="LX5" s="10"/>
      <x:c r="LY5" s="10"/>
      <x:c r="LZ5" s="10"/>
      <x:c r="MA5" s="10"/>
      <x:c r="MB5" s="11"/>
      <x:c r="MC5" s="12" t="n">
        <x:f t="shared" ref="MC5:MC42" si="32">IF(SUMPRODUCT(--(LS5:MB5&lt;&gt;""))&gt;0,1,0)</x:f>
        <x:v>1</x:v>
      </x:c>
      <x:c r="MD5" s="7"/>
      <x:c r="ME5" s="10"/>
      <x:c r="MF5" s="10" t="s">
        <x:v>426</x:v>
      </x:c>
      <x:c r="MG5" s="10"/>
      <x:c r="MH5" s="10"/>
      <x:c r="MI5" s="10"/>
      <x:c r="MJ5" s="10"/>
      <x:c r="MK5" s="12" t="n">
        <x:f t="shared" ref="MK5:MK42" si="33">IF(COUNTIF(MD5:MJ5,"〇")&gt;0,1,0)</x:f>
        <x:v>1</x:v>
      </x:c>
      <x:c r="ML5" s="7"/>
      <x:c r="MM5" s="10"/>
      <x:c r="MN5" s="10"/>
      <x:c r="MO5" s="10"/>
      <x:c r="MP5" s="10"/>
      <x:c r="MQ5" s="10"/>
      <x:c r="MR5" s="10" t="s">
        <x:v>426</x:v>
      </x:c>
      <x:c r="MS5" s="10"/>
      <x:c r="MT5" s="10"/>
      <x:c r="MU5" s="11"/>
      <x:c r="MV5" s="12" t="n">
        <x:f t="shared" ref="MV5:MV42" si="34">IF(SUMPRODUCT(--(ML5:MU5&lt;&gt;""))&gt;0,1,0)</x:f>
        <x:v>1</x:v>
      </x:c>
      <x:c r="MW5" s="7"/>
      <x:c r="MX5" s="10"/>
      <x:c r="MY5" s="10"/>
      <x:c r="MZ5" s="10"/>
      <x:c r="NA5" s="10"/>
      <x:c r="NB5" s="10"/>
      <x:c r="NC5" s="10" t="s">
        <x:v>426</x:v>
      </x:c>
      <x:c r="ND5" s="10"/>
      <x:c r="NE5" s="10"/>
      <x:c r="NF5" s="11"/>
      <x:c r="NG5" s="12" t="n">
        <x:f t="shared" ref="NG5:NG42" si="35">IF(SUMPRODUCT(--(MW5:NF5&lt;&gt;""))&gt;0,1,0)</x:f>
        <x:v>1</x:v>
      </x:c>
      <x:c r="NH5" s="7"/>
      <x:c r="NI5" s="10"/>
      <x:c r="NJ5" s="10"/>
      <x:c r="NK5" s="10"/>
      <x:c r="NL5" s="10"/>
      <x:c r="NM5" s="10"/>
      <x:c r="NN5" s="10"/>
      <x:c r="NO5" s="10"/>
      <x:c r="NP5" s="10" t="s">
        <x:v>426</x:v>
      </x:c>
      <x:c r="NQ5" s="10"/>
      <x:c r="NR5" s="11"/>
      <x:c r="NS5" s="12" t="n">
        <x:f t="shared" ref="NS5:NS42" si="36">IF(SUMPRODUCT(--(NH5:NR5&lt;&gt;""))&gt;0,1,0)</x:f>
        <x:v>1</x:v>
      </x:c>
      <x:c r="NT5" s="7"/>
      <x:c r="NU5" s="10"/>
      <x:c r="NV5" s="10"/>
      <x:c r="NW5" s="10" t="s">
        <x:v>426</x:v>
      </x:c>
      <x:c r="NX5" s="10"/>
      <x:c r="NY5" s="12" t="n">
        <x:f t="shared" ref="NY5:NY42" si="37">IF(COUNTIF(NT5:NX5,"〇")&gt;0,1,0)</x:f>
        <x:v>1</x:v>
      </x:c>
      <x:c r="NZ5" s="7"/>
      <x:c r="OA5" s="10"/>
      <x:c r="OB5" s="10"/>
      <x:c r="OC5" s="10"/>
      <x:c r="OD5" s="10"/>
      <x:c r="OE5" s="10"/>
      <x:c r="OF5" s="10"/>
      <x:c r="OG5" s="10"/>
      <x:c r="OH5" s="10"/>
      <x:c r="OI5" s="10"/>
      <x:c r="OJ5" s="10" t="s">
        <x:v>426</x:v>
      </x:c>
      <x:c r="OK5" s="11"/>
      <x:c r="OL5" s="12" t="n">
        <x:f t="shared" ref="OL5:OL42" si="38">IF(SUMPRODUCT(--(NZ5:OK5&lt;&gt;""))&gt;0,1,0)</x:f>
        <x:v>1</x:v>
      </x:c>
      <x:c r="OM5" s="7"/>
      <x:c r="ON5" s="10"/>
      <x:c r="OO5" s="10"/>
      <x:c r="OP5" s="10"/>
      <x:c r="OQ5" s="10"/>
      <x:c r="OR5" s="10"/>
      <x:c r="OS5" s="10"/>
      <x:c r="OT5" s="10" t="s">
        <x:v>426</x:v>
      </x:c>
      <x:c r="OU5" s="10"/>
      <x:c r="OV5" s="11"/>
      <x:c r="OW5" s="12" t="n">
        <x:f t="shared" ref="OW5:OW42" si="39">IF(SUMPRODUCT(--(OM5:OV5&lt;&gt;""))&gt;0,1,0)</x:f>
        <x:v>1</x:v>
      </x:c>
      <x:c r="OX5" s="7"/>
      <x:c r="OY5" s="10" t="s">
        <x:v>426</x:v>
      </x:c>
      <x:c r="OZ5" s="10"/>
      <x:c r="PA5" s="10"/>
      <x:c r="PB5" s="10"/>
      <x:c r="PC5" s="12" t="n">
        <x:f t="shared" ref="PC5:PC42" si="40">IF(COUNTIF(OX5:PB5,"〇")&gt;0,1,0)</x:f>
        <x:v>1</x:v>
      </x:c>
      <x:c r="PD5" s="7"/>
      <x:c r="PE5" s="10" t="s">
        <x:v>426</x:v>
      </x:c>
      <x:c r="PF5" s="10"/>
      <x:c r="PG5" s="10"/>
      <x:c r="PH5" s="10"/>
      <x:c r="PI5" s="10" t="s">
        <x:v>426</x:v>
      </x:c>
      <x:c r="PJ5" s="10" t="s">
        <x:v>426</x:v>
      </x:c>
      <x:c r="PK5" s="10"/>
      <x:c r="PL5" s="10"/>
      <x:c r="PM5" s="10"/>
      <x:c r="PN5" s="11"/>
      <x:c r="PO5" s="12" t="n">
        <x:f t="shared" ref="PO5:PO42" si="41">IF(SUMPRODUCT(--(PD5:PN5&lt;&gt;""))&gt;0,1,0)</x:f>
        <x:v>1</x:v>
      </x:c>
      <x:c r="PP5" s="7"/>
      <x:c r="PQ5" s="10" t="s">
        <x:v>426</x:v>
      </x:c>
      <x:c r="PR5" s="10"/>
      <x:c r="PS5" s="10"/>
      <x:c r="PT5" s="12" t="n">
        <x:f t="shared" ref="PT5:PT42" si="42">IF(COUNTIF(PP5:PS5,"〇")&gt;0,1,0)</x:f>
        <x:v>1</x:v>
      </x:c>
      <x:c r="PU5" s="7"/>
      <x:c r="PV5" s="10"/>
      <x:c r="PW5" s="10" t="s">
        <x:v>426</x:v>
      </x:c>
      <x:c r="PX5" s="10"/>
      <x:c r="PY5" s="10"/>
      <x:c r="PZ5" s="10"/>
      <x:c r="QA5" s="10"/>
      <x:c r="QB5" s="10"/>
      <x:c r="QC5" s="10"/>
      <x:c r="QD5" s="11"/>
      <x:c r="QE5" s="12" t="n">
        <x:f t="shared" ref="QE5:QE42" si="43">IF(SUMPRODUCT(--(PU5:QD5&lt;&gt;""))&gt;0,1,0)</x:f>
        <x:v>1</x:v>
      </x:c>
      <x:c r="QF5" s="7"/>
      <x:c r="QG5" s="10"/>
      <x:c r="QH5" s="10" t="s">
        <x:v>426</x:v>
      </x:c>
      <x:c r="QI5" s="10"/>
      <x:c r="QJ5" s="10" t="s">
        <x:v>426</x:v>
      </x:c>
      <x:c r="QK5" s="10" t="s">
        <x:v>426</x:v>
      </x:c>
      <x:c r="QL5" s="10"/>
      <x:c r="QM5" s="10" t="s">
        <x:v>426</x:v>
      </x:c>
      <x:c r="QN5" s="10"/>
      <x:c r="QO5" s="11"/>
      <x:c r="QP5" s="12" t="n">
        <x:f t="shared" ref="QP5:QP42" si="44">IF(SUMPRODUCT(--(QF5:QO5&lt;&gt;""))&gt;0,1,0)</x:f>
        <x:v>1</x:v>
      </x:c>
      <x:c r="QQ5" s="7" t="s">
        <x:v>426</x:v>
      </x:c>
      <x:c r="QR5" s="10"/>
      <x:c r="QS5" s="10" t="s">
        <x:v>426</x:v>
      </x:c>
      <x:c r="QT5" s="10"/>
      <x:c r="QU5" s="10"/>
      <x:c r="QV5" s="10"/>
      <x:c r="QW5" s="10"/>
      <x:c r="QX5" s="10"/>
      <x:c r="QY5" s="10"/>
      <x:c r="QZ5" s="11"/>
      <x:c r="RA5" s="12" t="n">
        <x:f t="shared" ref="RA5:RA42" si="45">IF(SUMPRODUCT(--(QQ5:QZ5&lt;&gt;""))&gt;0,1,0)</x:f>
        <x:v>1</x:v>
      </x:c>
      <x:c r="RB5" s="7"/>
      <x:c r="RC5" s="10"/>
      <x:c r="RD5" s="10"/>
      <x:c r="RE5" s="10" t="s">
        <x:v>426</x:v>
      </x:c>
      <x:c r="RF5" s="10" t="s">
        <x:v>426</x:v>
      </x:c>
      <x:c r="RG5" s="10"/>
      <x:c r="RH5" s="10"/>
      <x:c r="RI5" s="10"/>
      <x:c r="RJ5" s="11"/>
      <x:c r="RK5" s="12" t="n">
        <x:f t="shared" ref="RK5:RK42" si="46">IF(SUMPRODUCT(--(RB5:RJ5&lt;&gt;""))&gt;0,1,0)</x:f>
        <x:v>1</x:v>
      </x:c>
      <x:c r="RL5" s="7" t="s">
        <x:v>426</x:v>
      </x:c>
      <x:c r="RM5" s="10" t="s">
        <x:v>426</x:v>
      </x:c>
      <x:c r="RN5" s="10"/>
      <x:c r="RO5" s="10"/>
      <x:c r="RP5" s="10" t="s">
        <x:v>426</x:v>
      </x:c>
      <x:c r="RQ5" s="10"/>
      <x:c r="RR5" s="10"/>
      <x:c r="RS5" s="10"/>
      <x:c r="RT5" s="10"/>
      <x:c r="RU5" s="11"/>
      <x:c r="RV5" s="12" t="n">
        <x:f t="shared" ref="RV5:RV42" si="47">IF(SUMPRODUCT(--(RL5:RU5&lt;&gt;""))&gt;0,1,0)</x:f>
        <x:v>1</x:v>
      </x:c>
      <x:c r="RW5" s="7"/>
      <x:c r="RX5" s="12" t="n">
        <x:f t="shared" ref="RX5:RX42" si="48">IF(SUMPRODUCT(--(RW5:RW5&lt;&gt;""))&gt;0,1,0)</x:f>
        <x:v>0</x:v>
      </x:c>
    </x:row>
    <x:row r="6" ht="16.5">
      <x:c r="A6" s="13" t="s">
        <x:v>428</x:v>
      </x:c>
      <x:c r="B6" s="14"/>
      <x:c r="C6" s="14"/>
      <x:c r="D6" s="14"/>
      <x:c r="E6" s="14"/>
      <x:c r="F6" s="14"/>
      <x:c r="G6" s="14"/>
      <x:c r="H6" s="14"/>
      <x:c r="I6" s="14"/>
      <x:c r="J6" s="14"/>
      <x:c r="K6" s="15"/>
      <x:c r="L6" s="13" t="s">
        <x:v>426</x:v>
      </x:c>
      <x:c r="M6" s="16"/>
      <x:c r="N6" s="16"/>
      <x:c r="O6" s="16"/>
      <x:c r="P6" s="17"/>
      <x:c r="Q6" s="12">
        <x:f t="shared" si="0"/>
        <x:v>1</x:v>
      </x:c>
      <x:c r="R6" s="13"/>
      <x:c r="S6" s="16"/>
      <x:c r="T6" s="16"/>
      <x:c r="U6" s="16" t="s">
        <x:v>426</x:v>
      </x:c>
      <x:c r="V6" s="16"/>
      <x:c r="W6" s="17"/>
      <x:c r="X6" s="12">
        <x:f t="shared" si="1"/>
        <x:v>1</x:v>
      </x:c>
      <x:c r="Y6" s="13"/>
      <x:c r="Z6" s="16"/>
      <x:c r="AA6" s="16"/>
      <x:c r="AB6" s="16"/>
      <x:c r="AC6" s="16" t="s">
        <x:v>426</x:v>
      </x:c>
      <x:c r="AD6" s="12">
        <x:f t="shared" si="2"/>
        <x:v>1</x:v>
      </x:c>
      <x:c r="AE6" s="13"/>
      <x:c r="AF6" s="16"/>
      <x:c r="AG6" s="16" t="s">
        <x:v>426</x:v>
      </x:c>
      <x:c r="AH6" s="16"/>
      <x:c r="AI6" s="16"/>
      <x:c r="AJ6" s="17"/>
      <x:c r="AK6" s="12">
        <x:f t="shared" si="3"/>
        <x:v>1</x:v>
      </x:c>
      <x:c r="AL6" s="13"/>
      <x:c r="AM6" s="16" t="s">
        <x:v>426</x:v>
      </x:c>
      <x:c r="AN6" s="16"/>
      <x:c r="AO6" s="12">
        <x:f t="shared" si="4"/>
        <x:v>1</x:v>
      </x:c>
      <x:c r="AP6" s="13" t="s">
        <x:v>426</x:v>
      </x:c>
      <x:c r="AQ6" s="16"/>
      <x:c r="AR6" s="16"/>
      <x:c r="AS6" s="16"/>
      <x:c r="AT6" s="16"/>
      <x:c r="AU6" s="16"/>
      <x:c r="AV6" s="16"/>
      <x:c r="AW6" s="17"/>
      <x:c r="AX6" s="12">
        <x:f t="shared" si="5"/>
        <x:v>1</x:v>
      </x:c>
      <x:c r="AY6" s="13" t="s">
        <x:v>426</x:v>
      </x:c>
      <x:c r="AZ6" s="16"/>
      <x:c r="BA6" s="16"/>
      <x:c r="BB6" s="16"/>
      <x:c r="BC6" s="16"/>
      <x:c r="BD6" s="16"/>
      <x:c r="BE6" s="16"/>
      <x:c r="BF6" s="16"/>
      <x:c r="BG6" s="17"/>
      <x:c r="BH6" s="12">
        <x:f t="shared" si="6"/>
        <x:v>1</x:v>
      </x:c>
      <x:c r="BI6" s="13"/>
      <x:c r="BJ6" s="16" t="s">
        <x:v>426</x:v>
      </x:c>
      <x:c r="BK6" s="16"/>
      <x:c r="BL6" s="16"/>
      <x:c r="BM6" s="16"/>
      <x:c r="BN6" s="16"/>
      <x:c r="BO6" s="16"/>
      <x:c r="BP6" s="17"/>
      <x:c r="BQ6" s="12">
        <x:f t="shared" si="7"/>
        <x:v>1</x:v>
      </x:c>
      <x:c r="BR6" s="13" t="s">
        <x:v>426</x:v>
      </x:c>
      <x:c r="BS6" s="16"/>
      <x:c r="BT6" s="16"/>
      <x:c r="BU6" s="16"/>
      <x:c r="BV6" s="16"/>
      <x:c r="BW6" s="16"/>
      <x:c r="BX6" s="16"/>
      <x:c r="BY6" s="17"/>
      <x:c r="BZ6" s="12">
        <x:f t="shared" si="8"/>
        <x:v>1</x:v>
      </x:c>
      <x:c r="CA6" s="13"/>
      <x:c r="CB6" s="16"/>
      <x:c r="CC6" s="16"/>
      <x:c r="CD6" s="16" t="s">
        <x:v>426</x:v>
      </x:c>
      <x:c r="CE6" s="16"/>
      <x:c r="CF6" s="16"/>
      <x:c r="CG6" s="16"/>
      <x:c r="CH6" s="16"/>
      <x:c r="CI6" s="16"/>
      <x:c r="CJ6" s="16"/>
      <x:c r="CK6" s="17"/>
      <x:c r="CL6" s="12">
        <x:f t="shared" si="9"/>
        <x:v>1</x:v>
      </x:c>
      <x:c r="CM6" s="13"/>
      <x:c r="CN6" s="16"/>
      <x:c r="CO6" s="16"/>
      <x:c r="CP6" s="16"/>
      <x:c r="CQ6" s="16"/>
      <x:c r="CR6" s="16"/>
      <x:c r="CS6" s="16"/>
      <x:c r="CT6" s="16"/>
      <x:c r="CU6" s="16"/>
      <x:c r="CV6" s="16"/>
      <x:c r="CW6" s="16"/>
      <x:c r="CX6" s="16" t="s">
        <x:v>426</x:v>
      </x:c>
      <x:c r="CY6" s="16"/>
      <x:c r="CZ6" s="16"/>
      <x:c r="DA6" s="17"/>
      <x:c r="DB6" s="12">
        <x:f t="shared" si="10"/>
        <x:v>1</x:v>
      </x:c>
      <x:c r="DC6" s="13"/>
      <x:c r="DD6" s="12">
        <x:f t="shared" si="11"/>
        <x:v>0</x:v>
      </x:c>
      <x:c r="DE6" s="13"/>
      <x:c r="DF6" s="16"/>
      <x:c r="DG6" s="16"/>
      <x:c r="DH6" s="16"/>
      <x:c r="DI6" s="16"/>
      <x:c r="DJ6" s="16"/>
      <x:c r="DK6" s="16" t="s">
        <x:v>426</x:v>
      </x:c>
      <x:c r="DL6" s="16"/>
      <x:c r="DM6" s="17"/>
      <x:c r="DN6" s="12">
        <x:f t="shared" si="12"/>
        <x:v>1</x:v>
      </x:c>
      <x:c r="DO6" s="13"/>
      <x:c r="DP6" s="16" t="s">
        <x:v>426</x:v>
      </x:c>
      <x:c r="DQ6" s="16"/>
      <x:c r="DR6" s="16"/>
      <x:c r="DS6" s="16"/>
      <x:c r="DT6" s="12">
        <x:f t="shared" si="13"/>
        <x:v>1</x:v>
      </x:c>
      <x:c r="DU6" s="13" t="s">
        <x:v>426</x:v>
      </x:c>
      <x:c r="DV6" s="16"/>
      <x:c r="DW6" s="16"/>
      <x:c r="DX6" s="16"/>
      <x:c r="DY6" s="16"/>
      <x:c r="DZ6" s="16"/>
      <x:c r="EA6" s="16"/>
      <x:c r="EB6" s="16"/>
      <x:c r="EC6" s="16"/>
      <x:c r="ED6" s="17"/>
      <x:c r="EE6" s="12">
        <x:f t="shared" si="14"/>
        <x:v>1</x:v>
      </x:c>
      <x:c r="EF6" s="13"/>
      <x:c r="EG6" s="16"/>
      <x:c r="EH6" s="16"/>
      <x:c r="EI6" s="16" t="s">
        <x:v>426</x:v>
      </x:c>
      <x:c r="EJ6" s="16"/>
      <x:c r="EK6" s="16"/>
      <x:c r="EL6" s="16"/>
      <x:c r="EM6" s="16"/>
      <x:c r="EN6" s="16"/>
      <x:c r="EO6" s="16"/>
      <x:c r="EP6" s="17"/>
      <x:c r="EQ6" s="12">
        <x:f t="shared" si="15"/>
        <x:v>1</x:v>
      </x:c>
      <x:c r="ER6" s="13" t="s">
        <x:v>426</x:v>
      </x:c>
      <x:c r="ES6" s="16"/>
      <x:c r="ET6" s="16"/>
      <x:c r="EU6" s="16"/>
      <x:c r="EV6" s="12">
        <x:f t="shared" si="16"/>
        <x:v>1</x:v>
      </x:c>
      <x:c r="EW6" s="13" t="s">
        <x:v>426</x:v>
      </x:c>
      <x:c r="EX6" s="16"/>
      <x:c r="EY6" s="16" t="s">
        <x:v>426</x:v>
      </x:c>
      <x:c r="EZ6" s="16"/>
      <x:c r="FA6" s="16"/>
      <x:c r="FB6" s="16"/>
      <x:c r="FC6" s="16"/>
      <x:c r="FD6" s="16"/>
      <x:c r="FE6" s="17"/>
      <x:c r="FF6" s="12">
        <x:f t="shared" si="17"/>
        <x:v>1</x:v>
      </x:c>
      <x:c r="FG6" s="13" t="s">
        <x:v>426</x:v>
      </x:c>
      <x:c r="FH6" s="16"/>
      <x:c r="FI6" s="16"/>
      <x:c r="FJ6" s="16"/>
      <x:c r="FK6" s="16"/>
      <x:c r="FL6" s="16"/>
      <x:c r="FM6" s="16"/>
      <x:c r="FN6" s="16"/>
      <x:c r="FO6" s="16"/>
      <x:c r="FP6" s="16"/>
      <x:c r="FQ6" s="16"/>
      <x:c r="FR6" s="16"/>
      <x:c r="FS6" s="16"/>
      <x:c r="FT6" s="16"/>
      <x:c r="FU6" s="17"/>
      <x:c r="FV6" s="12">
        <x:f t="shared" si="18"/>
        <x:v>1</x:v>
      </x:c>
      <x:c r="FW6" s="13"/>
      <x:c r="FX6" s="16"/>
      <x:c r="FY6" s="16"/>
      <x:c r="FZ6" s="16"/>
      <x:c r="GA6" s="16"/>
      <x:c r="GB6" s="16"/>
      <x:c r="GC6" s="16" t="s">
        <x:v>426</x:v>
      </x:c>
      <x:c r="GD6" s="16"/>
      <x:c r="GE6" s="17"/>
      <x:c r="GF6" s="12">
        <x:f t="shared" si="19"/>
        <x:v>1</x:v>
      </x:c>
      <x:c r="GG6" s="13"/>
      <x:c r="GH6" s="16"/>
      <x:c r="GI6" s="16"/>
      <x:c r="GJ6" s="16"/>
      <x:c r="GK6" s="16"/>
      <x:c r="GL6" s="16" t="s">
        <x:v>426</x:v>
      </x:c>
      <x:c r="GM6" s="12">
        <x:f t="shared" si="20"/>
        <x:v>1</x:v>
      </x:c>
      <x:c r="GN6" s="13"/>
      <x:c r="GO6" s="16"/>
      <x:c r="GP6" s="16"/>
      <x:c r="GQ6" s="16"/>
      <x:c r="GR6" s="16"/>
      <x:c r="GS6" s="16"/>
      <x:c r="GT6" s="12">
        <x:f t="shared" si="21"/>
        <x:v>0</x:v>
      </x:c>
      <x:c r="GU6" s="13"/>
      <x:c r="GV6" s="16"/>
      <x:c r="GW6" s="16" t="s">
        <x:v>426</x:v>
      </x:c>
      <x:c r="GX6" s="16"/>
      <x:c r="GY6" s="12">
        <x:f t="shared" si="22"/>
        <x:v>1</x:v>
      </x:c>
      <x:c r="GZ6" s="13" t="s">
        <x:v>426</x:v>
      </x:c>
      <x:c r="HA6" s="16"/>
      <x:c r="HB6" s="16"/>
      <x:c r="HC6" s="16"/>
      <x:c r="HD6" s="16"/>
      <x:c r="HE6" s="16"/>
      <x:c r="HF6" s="16"/>
      <x:c r="HG6" s="16"/>
      <x:c r="HH6" s="16"/>
      <x:c r="HI6" s="16"/>
      <x:c r="HJ6" s="16"/>
      <x:c r="HK6" s="17"/>
      <x:c r="HL6" s="12">
        <x:f t="shared" si="23"/>
        <x:v>1</x:v>
      </x:c>
      <x:c r="HM6" s="13"/>
      <x:c r="HN6" s="16"/>
      <x:c r="HO6" s="16"/>
      <x:c r="HP6" s="16"/>
      <x:c r="HQ6" s="16"/>
      <x:c r="HR6" s="16"/>
      <x:c r="HS6" s="16"/>
      <x:c r="HT6" s="16" t="s">
        <x:v>426</x:v>
      </x:c>
      <x:c r="HU6" s="16"/>
      <x:c r="HV6" s="17"/>
      <x:c r="HW6" s="12">
        <x:f t="shared" si="24"/>
        <x:v>1</x:v>
      </x:c>
      <x:c r="HX6" s="13"/>
      <x:c r="HY6" s="16"/>
      <x:c r="HZ6" s="16" t="s">
        <x:v>426</x:v>
      </x:c>
      <x:c r="IA6" s="16"/>
      <x:c r="IB6" s="16"/>
      <x:c r="IC6" s="12">
        <x:f t="shared" si="25"/>
        <x:v>1</x:v>
      </x:c>
      <x:c r="ID6" s="13" t="s">
        <x:v>426</x:v>
      </x:c>
      <x:c r="IE6" s="16"/>
      <x:c r="IF6" s="16"/>
      <x:c r="IG6" s="16"/>
      <x:c r="IH6" s="16"/>
      <x:c r="II6" s="16"/>
      <x:c r="IJ6" s="16"/>
      <x:c r="IK6" s="16" t="s">
        <x:v>426</x:v>
      </x:c>
      <x:c r="IL6" s="16"/>
      <x:c r="IM6" s="16"/>
      <x:c r="IN6" s="17"/>
      <x:c r="IO6" s="12">
        <x:f t="shared" si="26"/>
        <x:v>1</x:v>
      </x:c>
      <x:c r="IP6" s="13"/>
      <x:c r="IQ6" s="16"/>
      <x:c r="IR6" s="16"/>
      <x:c r="IS6" s="16"/>
      <x:c r="IT6" s="16"/>
      <x:c r="IU6" s="16"/>
      <x:c r="IV6" s="16"/>
      <x:c r="IW6" s="16"/>
      <x:c r="IX6" s="17"/>
      <x:c r="IY6" s="12">
        <x:f t="shared" si="27"/>
        <x:v>0</x:v>
      </x:c>
      <x:c r="IZ6" s="13"/>
      <x:c r="JA6" s="16"/>
      <x:c r="JB6" s="16"/>
      <x:c r="JC6" s="16"/>
      <x:c r="JD6" s="16"/>
      <x:c r="JE6" s="16"/>
      <x:c r="JF6" s="16"/>
      <x:c r="JG6" s="16"/>
      <x:c r="JH6" s="16"/>
      <x:c r="JI6" s="16"/>
      <x:c r="JJ6" s="16"/>
      <x:c r="JK6" s="16"/>
      <x:c r="JL6" s="16"/>
      <x:c r="JM6" s="16"/>
      <x:c r="JN6" s="16"/>
      <x:c r="JO6" s="16"/>
      <x:c r="JP6" s="16"/>
      <x:c r="JQ6" s="16"/>
      <x:c r="JR6" s="16" t="s">
        <x:v>426</x:v>
      </x:c>
      <x:c r="JS6" s="12">
        <x:f t="shared" si="28"/>
        <x:v>1</x:v>
      </x:c>
      <x:c r="JT6" s="13"/>
      <x:c r="JU6" s="16"/>
      <x:c r="JV6" s="16"/>
      <x:c r="JW6" s="16"/>
      <x:c r="JX6" s="16"/>
      <x:c r="JY6" s="16"/>
      <x:c r="JZ6" s="16"/>
      <x:c r="KA6" s="16"/>
      <x:c r="KB6" s="16"/>
      <x:c r="KC6" s="16"/>
      <x:c r="KD6" s="16"/>
      <x:c r="KE6" s="16"/>
      <x:c r="KF6" s="16"/>
      <x:c r="KG6" s="16"/>
      <x:c r="KH6" s="16"/>
      <x:c r="KI6" s="16"/>
      <x:c r="KJ6" s="16"/>
      <x:c r="KK6" s="16"/>
      <x:c r="KL6" s="16" t="s">
        <x:v>426</x:v>
      </x:c>
      <x:c r="KM6" s="12">
        <x:f t="shared" si="29"/>
        <x:v>1</x:v>
      </x:c>
      <x:c r="KN6" s="13"/>
      <x:c r="KO6" s="16"/>
      <x:c r="KP6" s="16"/>
      <x:c r="KQ6" s="16"/>
      <x:c r="KR6" s="16"/>
      <x:c r="KS6" s="16"/>
      <x:c r="KT6" s="16"/>
      <x:c r="KU6" s="16"/>
      <x:c r="KV6" s="16"/>
      <x:c r="KW6" s="16"/>
      <x:c r="KX6" s="16"/>
      <x:c r="KY6" s="16"/>
      <x:c r="KZ6" s="16"/>
      <x:c r="LA6" s="16"/>
      <x:c r="LB6" s="16"/>
      <x:c r="LC6" s="16"/>
      <x:c r="LD6" s="16"/>
      <x:c r="LE6" s="16"/>
      <x:c r="LF6" s="16" t="s">
        <x:v>426</x:v>
      </x:c>
      <x:c r="LG6" s="12">
        <x:f t="shared" si="30"/>
        <x:v>1</x:v>
      </x:c>
      <x:c r="LH6" s="13"/>
      <x:c r="LI6" s="16"/>
      <x:c r="LJ6" s="16"/>
      <x:c r="LK6" s="16"/>
      <x:c r="LL6" s="16"/>
      <x:c r="LM6" s="16"/>
      <x:c r="LN6" s="16"/>
      <x:c r="LO6" s="16"/>
      <x:c r="LP6" s="16"/>
      <x:c r="LQ6" s="17"/>
      <x:c r="LR6" s="12">
        <x:f t="shared" si="31"/>
        <x:v>0</x:v>
      </x:c>
      <x:c r="LS6" s="13"/>
      <x:c r="LT6" s="16"/>
      <x:c r="LU6" s="16"/>
      <x:c r="LV6" s="16"/>
      <x:c r="LW6" s="16"/>
      <x:c r="LX6" s="16"/>
      <x:c r="LY6" s="16"/>
      <x:c r="LZ6" s="16"/>
      <x:c r="MA6" s="16"/>
      <x:c r="MB6" s="17"/>
      <x:c r="MC6" s="12">
        <x:f t="shared" si="32"/>
        <x:v>0</x:v>
      </x:c>
      <x:c r="MD6" s="13"/>
      <x:c r="ME6" s="16"/>
      <x:c r="MF6" s="16"/>
      <x:c r="MG6" s="16"/>
      <x:c r="MH6" s="16"/>
      <x:c r="MI6" s="16"/>
      <x:c r="MJ6" s="16"/>
      <x:c r="MK6" s="12">
        <x:f t="shared" si="33"/>
        <x:v>0</x:v>
      </x:c>
      <x:c r="ML6" s="13"/>
      <x:c r="MM6" s="16"/>
      <x:c r="MN6" s="16"/>
      <x:c r="MO6" s="16"/>
      <x:c r="MP6" s="16"/>
      <x:c r="MQ6" s="16"/>
      <x:c r="MR6" s="16" t="s">
        <x:v>426</x:v>
      </x:c>
      <x:c r="MS6" s="16"/>
      <x:c r="MT6" s="16"/>
      <x:c r="MU6" s="17"/>
      <x:c r="MV6" s="12">
        <x:f t="shared" si="34"/>
        <x:v>1</x:v>
      </x:c>
      <x:c r="MW6" s="13"/>
      <x:c r="MX6" s="16"/>
      <x:c r="MY6" s="16"/>
      <x:c r="MZ6" s="16"/>
      <x:c r="NA6" s="16"/>
      <x:c r="NB6" s="16"/>
      <x:c r="NC6" s="16" t="s">
        <x:v>426</x:v>
      </x:c>
      <x:c r="ND6" s="16"/>
      <x:c r="NE6" s="16"/>
      <x:c r="NF6" s="17"/>
      <x:c r="NG6" s="12">
        <x:f t="shared" si="35"/>
        <x:v>1</x:v>
      </x:c>
      <x:c r="NH6" s="13"/>
      <x:c r="NI6" s="16"/>
      <x:c r="NJ6" s="16"/>
      <x:c r="NK6" s="16"/>
      <x:c r="NL6" s="16"/>
      <x:c r="NM6" s="16"/>
      <x:c r="NN6" s="16"/>
      <x:c r="NO6" s="16"/>
      <x:c r="NP6" s="16" t="s">
        <x:v>426</x:v>
      </x:c>
      <x:c r="NQ6" s="16"/>
      <x:c r="NR6" s="17"/>
      <x:c r="NS6" s="12">
        <x:f t="shared" si="36"/>
        <x:v>1</x:v>
      </x:c>
      <x:c r="NT6" s="13"/>
      <x:c r="NU6" s="16"/>
      <x:c r="NV6" s="16"/>
      <x:c r="NW6" s="16" t="s">
        <x:v>426</x:v>
      </x:c>
      <x:c r="NX6" s="16"/>
      <x:c r="NY6" s="12">
        <x:f t="shared" si="37"/>
        <x:v>1</x:v>
      </x:c>
      <x:c r="NZ6" s="13"/>
      <x:c r="OA6" s="16"/>
      <x:c r="OB6" s="16"/>
      <x:c r="OC6" s="16"/>
      <x:c r="OD6" s="16"/>
      <x:c r="OE6" s="16"/>
      <x:c r="OF6" s="16"/>
      <x:c r="OG6" s="16"/>
      <x:c r="OH6" s="16"/>
      <x:c r="OI6" s="16"/>
      <x:c r="OJ6" s="16"/>
      <x:c r="OK6" s="17"/>
      <x:c r="OL6" s="12">
        <x:f t="shared" si="38"/>
        <x:v>0</x:v>
      </x:c>
      <x:c r="OM6" s="13"/>
      <x:c r="ON6" s="16"/>
      <x:c r="OO6" s="16"/>
      <x:c r="OP6" s="16"/>
      <x:c r="OQ6" s="16"/>
      <x:c r="OR6" s="16"/>
      <x:c r="OS6" s="16"/>
      <x:c r="OT6" s="16"/>
      <x:c r="OU6" s="16"/>
      <x:c r="OV6" s="17"/>
      <x:c r="OW6" s="12">
        <x:f t="shared" si="39"/>
        <x:v>0</x:v>
      </x:c>
      <x:c r="OX6" s="13"/>
      <x:c r="OY6" s="16"/>
      <x:c r="OZ6" s="16"/>
      <x:c r="PA6" s="16"/>
      <x:c r="PB6" s="16"/>
      <x:c r="PC6" s="12">
        <x:f t="shared" si="40"/>
        <x:v>0</x:v>
      </x:c>
      <x:c r="PD6" s="13"/>
      <x:c r="PE6" s="16" t="s">
        <x:v>426</x:v>
      </x:c>
      <x:c r="PF6" s="16"/>
      <x:c r="PG6" s="16"/>
      <x:c r="PH6" s="16"/>
      <x:c r="PI6" s="16"/>
      <x:c r="PJ6" s="16"/>
      <x:c r="PK6" s="16"/>
      <x:c r="PL6" s="16"/>
      <x:c r="PM6" s="16"/>
      <x:c r="PN6" s="17"/>
      <x:c r="PO6" s="12">
        <x:f t="shared" si="41"/>
        <x:v>1</x:v>
      </x:c>
      <x:c r="PP6" s="13"/>
      <x:c r="PQ6" s="16"/>
      <x:c r="PR6" s="16" t="s">
        <x:v>426</x:v>
      </x:c>
      <x:c r="PS6" s="16"/>
      <x:c r="PT6" s="12">
        <x:f t="shared" si="42"/>
        <x:v>1</x:v>
      </x:c>
      <x:c r="PU6" s="13"/>
      <x:c r="PV6" s="16" t="s">
        <x:v>426</x:v>
      </x:c>
      <x:c r="PW6" s="16" t="s">
        <x:v>426</x:v>
      </x:c>
      <x:c r="PX6" s="16"/>
      <x:c r="PY6" s="16"/>
      <x:c r="PZ6" s="16"/>
      <x:c r="QA6" s="16"/>
      <x:c r="QB6" s="16"/>
      <x:c r="QC6" s="16"/>
      <x:c r="QD6" s="17"/>
      <x:c r="QE6" s="12">
        <x:f t="shared" si="43"/>
        <x:v>1</x:v>
      </x:c>
      <x:c r="QF6" s="13"/>
      <x:c r="QG6" s="16" t="s">
        <x:v>426</x:v>
      </x:c>
      <x:c r="QH6" s="16"/>
      <x:c r="QI6" s="16" t="s">
        <x:v>426</x:v>
      </x:c>
      <x:c r="QJ6" s="16"/>
      <x:c r="QK6" s="16"/>
      <x:c r="QL6" s="16"/>
      <x:c r="QM6" s="16" t="s">
        <x:v>426</x:v>
      </x:c>
      <x:c r="QN6" s="16"/>
      <x:c r="QO6" s="17"/>
      <x:c r="QP6" s="12">
        <x:f t="shared" si="44"/>
        <x:v>1</x:v>
      </x:c>
      <x:c r="QQ6" s="13"/>
      <x:c r="QR6" s="16"/>
      <x:c r="QS6" s="16"/>
      <x:c r="QT6" s="16"/>
      <x:c r="QU6" s="16"/>
      <x:c r="QV6" s="16"/>
      <x:c r="QW6" s="16"/>
      <x:c r="QX6" s="16"/>
      <x:c r="QY6" s="16"/>
      <x:c r="QZ6" s="17"/>
      <x:c r="RA6" s="12">
        <x:f t="shared" si="45"/>
        <x:v>0</x:v>
      </x:c>
      <x:c r="RB6" s="13"/>
      <x:c r="RC6" s="16"/>
      <x:c r="RD6" s="16"/>
      <x:c r="RE6" s="16"/>
      <x:c r="RF6" s="16"/>
      <x:c r="RG6" s="16"/>
      <x:c r="RH6" s="16"/>
      <x:c r="RI6" s="16"/>
      <x:c r="RJ6" s="17"/>
      <x:c r="RK6" s="12">
        <x:f t="shared" si="46"/>
        <x:v>0</x:v>
      </x:c>
      <x:c r="RL6" s="13"/>
      <x:c r="RM6" s="16"/>
      <x:c r="RN6" s="16" t="s">
        <x:v>426</x:v>
      </x:c>
      <x:c r="RO6" s="16"/>
      <x:c r="RP6" s="16" t="s">
        <x:v>426</x:v>
      </x:c>
      <x:c r="RQ6" s="16"/>
      <x:c r="RR6" s="16" t="s">
        <x:v>426</x:v>
      </x:c>
      <x:c r="RS6" s="16"/>
      <x:c r="RT6" s="16"/>
      <x:c r="RU6" s="17"/>
      <x:c r="RV6" s="12">
        <x:f t="shared" si="47"/>
        <x:v>1</x:v>
      </x:c>
      <x:c r="RW6" s="13"/>
      <x:c r="RX6" s="12">
        <x:f t="shared" si="48"/>
        <x:v>0</x:v>
      </x:c>
    </x:row>
    <x:row r="7" ht="16.5">
      <x:c r="A7" s="7" t="s">
        <x:v>429</x:v>
      </x:c>
      <x:c r="B7" s="8"/>
      <x:c r="C7" s="8"/>
      <x:c r="D7" s="8"/>
      <x:c r="E7" s="8"/>
      <x:c r="F7" s="8"/>
      <x:c r="G7" s="8"/>
      <x:c r="H7" s="8"/>
      <x:c r="I7" s="8"/>
      <x:c r="J7" s="8"/>
      <x:c r="K7" s="9"/>
      <x:c r="L7" s="7" t="s">
        <x:v>426</x:v>
      </x:c>
      <x:c r="M7" s="10"/>
      <x:c r="N7" s="10"/>
      <x:c r="O7" s="10"/>
      <x:c r="P7" s="11"/>
      <x:c r="Q7" s="12">
        <x:f t="shared" si="0"/>
        <x:v>1</x:v>
      </x:c>
      <x:c r="R7" s="7" t="s">
        <x:v>426</x:v>
      </x:c>
      <x:c r="S7" s="10"/>
      <x:c r="T7" s="10"/>
      <x:c r="U7" s="10"/>
      <x:c r="V7" s="10"/>
      <x:c r="W7" s="11"/>
      <x:c r="X7" s="12">
        <x:f t="shared" si="1"/>
        <x:v>1</x:v>
      </x:c>
      <x:c r="Y7" s="7"/>
      <x:c r="Z7" s="10"/>
      <x:c r="AA7" s="10"/>
      <x:c r="AB7" s="10" t="s">
        <x:v>426</x:v>
      </x:c>
      <x:c r="AC7" s="10"/>
      <x:c r="AD7" s="12">
        <x:f t="shared" si="2"/>
        <x:v>1</x:v>
      </x:c>
      <x:c r="AE7" s="7"/>
      <x:c r="AF7" s="10" t="s">
        <x:v>426</x:v>
      </x:c>
      <x:c r="AG7" s="10"/>
      <x:c r="AH7" s="10"/>
      <x:c r="AI7" s="10"/>
      <x:c r="AJ7" s="11"/>
      <x:c r="AK7" s="12">
        <x:f t="shared" si="3"/>
        <x:v>1</x:v>
      </x:c>
      <x:c r="AL7" s="7"/>
      <x:c r="AM7" s="10" t="s">
        <x:v>426</x:v>
      </x:c>
      <x:c r="AN7" s="10"/>
      <x:c r="AO7" s="12">
        <x:f t="shared" si="4"/>
        <x:v>1</x:v>
      </x:c>
      <x:c r="AP7" s="7" t="s">
        <x:v>426</x:v>
      </x:c>
      <x:c r="AQ7" s="10"/>
      <x:c r="AR7" s="10"/>
      <x:c r="AS7" s="10"/>
      <x:c r="AT7" s="10"/>
      <x:c r="AU7" s="10"/>
      <x:c r="AV7" s="10"/>
      <x:c r="AW7" s="11"/>
      <x:c r="AX7" s="12">
        <x:f t="shared" si="5"/>
        <x:v>1</x:v>
      </x:c>
      <x:c r="AY7" s="7" t="s">
        <x:v>426</x:v>
      </x:c>
      <x:c r="AZ7" s="10"/>
      <x:c r="BA7" s="10"/>
      <x:c r="BB7" s="10"/>
      <x:c r="BC7" s="10"/>
      <x:c r="BD7" s="10"/>
      <x:c r="BE7" s="10"/>
      <x:c r="BF7" s="10"/>
      <x:c r="BG7" s="11"/>
      <x:c r="BH7" s="12">
        <x:f t="shared" si="6"/>
        <x:v>1</x:v>
      </x:c>
      <x:c r="BI7" s="7" t="s">
        <x:v>426</x:v>
      </x:c>
      <x:c r="BJ7" s="10"/>
      <x:c r="BK7" s="10"/>
      <x:c r="BL7" s="10"/>
      <x:c r="BM7" s="10"/>
      <x:c r="BN7" s="10"/>
      <x:c r="BO7" s="10"/>
      <x:c r="BP7" s="11"/>
      <x:c r="BQ7" s="12">
        <x:f t="shared" si="7"/>
        <x:v>1</x:v>
      </x:c>
      <x:c r="BR7" s="7"/>
      <x:c r="BS7" s="10"/>
      <x:c r="BT7" s="10"/>
      <x:c r="BU7" s="10" t="s">
        <x:v>426</x:v>
      </x:c>
      <x:c r="BV7" s="10"/>
      <x:c r="BW7" s="10"/>
      <x:c r="BX7" s="10"/>
      <x:c r="BY7" s="11"/>
      <x:c r="BZ7" s="12">
        <x:f t="shared" si="8"/>
        <x:v>1</x:v>
      </x:c>
      <x:c r="CA7" s="7" t="s">
        <x:v>426</x:v>
      </x:c>
      <x:c r="CB7" s="10"/>
      <x:c r="CC7" s="10"/>
      <x:c r="CD7" s="10"/>
      <x:c r="CE7" s="10"/>
      <x:c r="CF7" s="10"/>
      <x:c r="CG7" s="10"/>
      <x:c r="CH7" s="10"/>
      <x:c r="CI7" s="10"/>
      <x:c r="CJ7" s="10"/>
      <x:c r="CK7" s="11"/>
      <x:c r="CL7" s="12">
        <x:f t="shared" si="9"/>
        <x:v>1</x:v>
      </x:c>
      <x:c r="CM7" s="7"/>
      <x:c r="CN7" s="10"/>
      <x:c r="CO7" s="10"/>
      <x:c r="CP7" s="10"/>
      <x:c r="CQ7" s="10"/>
      <x:c r="CR7" s="10"/>
      <x:c r="CS7" s="10"/>
      <x:c r="CT7" s="10"/>
      <x:c r="CU7" s="10"/>
      <x:c r="CV7" s="10" t="s">
        <x:v>426</x:v>
      </x:c>
      <x:c r="CW7" s="10"/>
      <x:c r="CX7" s="10" t="s">
        <x:v>426</x:v>
      </x:c>
      <x:c r="CY7" s="10"/>
      <x:c r="CZ7" s="10"/>
      <x:c r="DA7" s="11"/>
      <x:c r="DB7" s="12">
        <x:f t="shared" si="10"/>
        <x:v>1</x:v>
      </x:c>
      <x:c r="DC7" s="7" t="s">
        <x:v>430</x:v>
      </x:c>
      <x:c r="DD7" s="12">
        <x:f t="shared" si="11"/>
        <x:v>1</x:v>
      </x:c>
      <x:c r="DE7" s="7"/>
      <x:c r="DF7" s="10"/>
      <x:c r="DG7" s="10" t="s">
        <x:v>426</x:v>
      </x:c>
      <x:c r="DH7" s="10"/>
      <x:c r="DI7" s="10"/>
      <x:c r="DJ7" s="10"/>
      <x:c r="DK7" s="10"/>
      <x:c r="DL7" s="10"/>
      <x:c r="DM7" s="11"/>
      <x:c r="DN7" s="12">
        <x:f t="shared" si="12"/>
        <x:v>1</x:v>
      </x:c>
      <x:c r="DO7" s="7" t="s">
        <x:v>426</x:v>
      </x:c>
      <x:c r="DP7" s="10"/>
      <x:c r="DQ7" s="10"/>
      <x:c r="DR7" s="10"/>
      <x:c r="DS7" s="10"/>
      <x:c r="DT7" s="12">
        <x:f t="shared" si="13"/>
        <x:v>1</x:v>
      </x:c>
      <x:c r="DU7" s="7" t="s">
        <x:v>426</x:v>
      </x:c>
      <x:c r="DV7" s="10"/>
      <x:c r="DW7" s="10"/>
      <x:c r="DX7" s="10"/>
      <x:c r="DY7" s="10"/>
      <x:c r="DZ7" s="10"/>
      <x:c r="EA7" s="10"/>
      <x:c r="EB7" s="10"/>
      <x:c r="EC7" s="10"/>
      <x:c r="ED7" s="11"/>
      <x:c r="EE7" s="12">
        <x:f t="shared" si="14"/>
        <x:v>1</x:v>
      </x:c>
      <x:c r="EF7" s="7"/>
      <x:c r="EG7" s="10"/>
      <x:c r="EH7" s="10"/>
      <x:c r="EI7" s="10"/>
      <x:c r="EJ7" s="10"/>
      <x:c r="EK7" s="10"/>
      <x:c r="EL7" s="10"/>
      <x:c r="EM7" s="10"/>
      <x:c r="EN7" s="10" t="s">
        <x:v>426</x:v>
      </x:c>
      <x:c r="EO7" s="10"/>
      <x:c r="EP7" s="11"/>
      <x:c r="EQ7" s="12">
        <x:f t="shared" si="15"/>
        <x:v>1</x:v>
      </x:c>
      <x:c r="ER7" s="7"/>
      <x:c r="ES7" s="10" t="s">
        <x:v>426</x:v>
      </x:c>
      <x:c r="ET7" s="10"/>
      <x:c r="EU7" s="10"/>
      <x:c r="EV7" s="12">
        <x:f t="shared" si="16"/>
        <x:v>1</x:v>
      </x:c>
      <x:c r="EW7" s="7"/>
      <x:c r="EX7" s="10"/>
      <x:c r="EY7" s="10"/>
      <x:c r="EZ7" s="10"/>
      <x:c r="FA7" s="10"/>
      <x:c r="FB7" s="10"/>
      <x:c r="FC7" s="10" t="s">
        <x:v>426</x:v>
      </x:c>
      <x:c r="FD7" s="10"/>
      <x:c r="FE7" s="11"/>
      <x:c r="FF7" s="12">
        <x:f t="shared" si="17"/>
        <x:v>1</x:v>
      </x:c>
      <x:c r="FG7" s="7" t="s">
        <x:v>426</x:v>
      </x:c>
      <x:c r="FH7" s="10"/>
      <x:c r="FI7" s="10"/>
      <x:c r="FJ7" s="10"/>
      <x:c r="FK7" s="10"/>
      <x:c r="FL7" s="10"/>
      <x:c r="FM7" s="10"/>
      <x:c r="FN7" s="10"/>
      <x:c r="FO7" s="10"/>
      <x:c r="FP7" s="10"/>
      <x:c r="FQ7" s="10"/>
      <x:c r="FR7" s="10"/>
      <x:c r="FS7" s="10"/>
      <x:c r="FT7" s="10"/>
      <x:c r="FU7" s="11"/>
      <x:c r="FV7" s="12">
        <x:f t="shared" si="18"/>
        <x:v>1</x:v>
      </x:c>
      <x:c r="FW7" s="7"/>
      <x:c r="FX7" s="10"/>
      <x:c r="FY7" s="10"/>
      <x:c r="FZ7" s="10"/>
      <x:c r="GA7" s="10"/>
      <x:c r="GB7" s="10"/>
      <x:c r="GC7" s="10" t="s">
        <x:v>426</x:v>
      </x:c>
      <x:c r="GD7" s="10"/>
      <x:c r="GE7" s="11"/>
      <x:c r="GF7" s="12">
        <x:f t="shared" si="19"/>
        <x:v>1</x:v>
      </x:c>
      <x:c r="GG7" s="7"/>
      <x:c r="GH7" s="10"/>
      <x:c r="GI7" s="10"/>
      <x:c r="GJ7" s="10"/>
      <x:c r="GK7" s="10"/>
      <x:c r="GL7" s="10" t="s">
        <x:v>426</x:v>
      </x:c>
      <x:c r="GM7" s="12">
        <x:f t="shared" si="20"/>
        <x:v>1</x:v>
      </x:c>
      <x:c r="GN7" s="7"/>
      <x:c r="GO7" s="10"/>
      <x:c r="GP7" s="10"/>
      <x:c r="GQ7" s="10"/>
      <x:c r="GR7" s="10"/>
      <x:c r="GS7" s="10" t="s">
        <x:v>426</x:v>
      </x:c>
      <x:c r="GT7" s="12">
        <x:f t="shared" si="21"/>
        <x:v>1</x:v>
      </x:c>
      <x:c r="GU7" s="7" t="s">
        <x:v>426</x:v>
      </x:c>
      <x:c r="GV7" s="10"/>
      <x:c r="GW7" s="10"/>
      <x:c r="GX7" s="10"/>
      <x:c r="GY7" s="12">
        <x:f t="shared" si="22"/>
        <x:v>1</x:v>
      </x:c>
      <x:c r="GZ7" s="7"/>
      <x:c r="HA7" s="10"/>
      <x:c r="HB7" s="10" t="s">
        <x:v>426</x:v>
      </x:c>
      <x:c r="HC7" s="10"/>
      <x:c r="HD7" s="10"/>
      <x:c r="HE7" s="10"/>
      <x:c r="HF7" s="10"/>
      <x:c r="HG7" s="10"/>
      <x:c r="HH7" s="10"/>
      <x:c r="HI7" s="10"/>
      <x:c r="HJ7" s="10"/>
      <x:c r="HK7" s="11"/>
      <x:c r="HL7" s="12">
        <x:f t="shared" si="23"/>
        <x:v>1</x:v>
      </x:c>
      <x:c r="HM7" s="7"/>
      <x:c r="HN7" s="10"/>
      <x:c r="HO7" s="10"/>
      <x:c r="HP7" s="10"/>
      <x:c r="HQ7" s="10"/>
      <x:c r="HR7" s="10"/>
      <x:c r="HS7" s="10"/>
      <x:c r="HT7" s="10" t="s">
        <x:v>426</x:v>
      </x:c>
      <x:c r="HU7" s="10"/>
      <x:c r="HV7" s="11"/>
      <x:c r="HW7" s="12">
        <x:f t="shared" si="24"/>
        <x:v>1</x:v>
      </x:c>
      <x:c r="HX7" s="7"/>
      <x:c r="HY7" s="10" t="s">
        <x:v>426</x:v>
      </x:c>
      <x:c r="HZ7" s="10"/>
      <x:c r="IA7" s="10"/>
      <x:c r="IB7" s="10"/>
      <x:c r="IC7" s="12">
        <x:f t="shared" si="25"/>
        <x:v>1</x:v>
      </x:c>
      <x:c r="ID7" s="7" t="s">
        <x:v>426</x:v>
      </x:c>
      <x:c r="IE7" s="10"/>
      <x:c r="IF7" s="10"/>
      <x:c r="IG7" s="10"/>
      <x:c r="IH7" s="10"/>
      <x:c r="II7" s="10"/>
      <x:c r="IJ7" s="10"/>
      <x:c r="IK7" s="10" t="s">
        <x:v>426</x:v>
      </x:c>
      <x:c r="IL7" s="10"/>
      <x:c r="IM7" s="10"/>
      <x:c r="IN7" s="11"/>
      <x:c r="IO7" s="12">
        <x:f t="shared" si="26"/>
        <x:v>1</x:v>
      </x:c>
      <x:c r="IP7" s="7" t="s">
        <x:v>426</x:v>
      </x:c>
      <x:c r="IQ7" s="10"/>
      <x:c r="IR7" s="10"/>
      <x:c r="IS7" s="10"/>
      <x:c r="IT7" s="10"/>
      <x:c r="IU7" s="10"/>
      <x:c r="IV7" s="10" t="s">
        <x:v>426</x:v>
      </x:c>
      <x:c r="IW7" s="10"/>
      <x:c r="IX7" s="11"/>
      <x:c r="IY7" s="12">
        <x:f t="shared" si="27"/>
        <x:v>1</x:v>
      </x:c>
      <x:c r="IZ7" s="7"/>
      <x:c r="JA7" s="10"/>
      <x:c r="JB7" s="10"/>
      <x:c r="JC7" s="10"/>
      <x:c r="JD7" s="10"/>
      <x:c r="JE7" s="10"/>
      <x:c r="JF7" s="10"/>
      <x:c r="JG7" s="10"/>
      <x:c r="JH7" s="10"/>
      <x:c r="JI7" s="10"/>
      <x:c r="JJ7" s="10"/>
      <x:c r="JK7" s="10"/>
      <x:c r="JL7" s="10"/>
      <x:c r="JM7" s="10"/>
      <x:c r="JN7" s="10"/>
      <x:c r="JO7" s="10"/>
      <x:c r="JP7" s="10"/>
      <x:c r="JQ7" s="10"/>
      <x:c r="JR7" s="10" t="s">
        <x:v>426</x:v>
      </x:c>
      <x:c r="JS7" s="12">
        <x:f t="shared" si="28"/>
        <x:v>1</x:v>
      </x:c>
      <x:c r="JT7" s="7"/>
      <x:c r="JU7" s="10"/>
      <x:c r="JV7" s="10"/>
      <x:c r="JW7" s="10"/>
      <x:c r="JX7" s="10"/>
      <x:c r="JY7" s="10"/>
      <x:c r="JZ7" s="10"/>
      <x:c r="KA7" s="10"/>
      <x:c r="KB7" s="10"/>
      <x:c r="KC7" s="10"/>
      <x:c r="KD7" s="10"/>
      <x:c r="KE7" s="10"/>
      <x:c r="KF7" s="10"/>
      <x:c r="KG7" s="10"/>
      <x:c r="KH7" s="10"/>
      <x:c r="KI7" s="10"/>
      <x:c r="KJ7" s="10"/>
      <x:c r="KK7" s="10"/>
      <x:c r="KL7" s="10"/>
      <x:c r="KM7" s="12">
        <x:f t="shared" si="29"/>
        <x:v>0</x:v>
      </x:c>
      <x:c r="KN7" s="7"/>
      <x:c r="KO7" s="10"/>
      <x:c r="KP7" s="10" t="s">
        <x:v>426</x:v>
      </x:c>
      <x:c r="KQ7" s="10"/>
      <x:c r="KR7" s="10"/>
      <x:c r="KS7" s="10"/>
      <x:c r="KT7" s="10"/>
      <x:c r="KU7" s="10"/>
      <x:c r="KV7" s="10"/>
      <x:c r="KW7" s="10"/>
      <x:c r="KX7" s="10"/>
      <x:c r="KY7" s="10"/>
      <x:c r="KZ7" s="10"/>
      <x:c r="LA7" s="10"/>
      <x:c r="LB7" s="10"/>
      <x:c r="LC7" s="10"/>
      <x:c r="LD7" s="10"/>
      <x:c r="LE7" s="10"/>
      <x:c r="LF7" s="10"/>
      <x:c r="LG7" s="12">
        <x:f t="shared" si="30"/>
        <x:v>1</x:v>
      </x:c>
      <x:c r="LH7" s="7"/>
      <x:c r="LI7" s="10"/>
      <x:c r="LJ7" s="10"/>
      <x:c r="LK7" s="10"/>
      <x:c r="LL7" s="10"/>
      <x:c r="LM7" s="10"/>
      <x:c r="LN7" s="10"/>
      <x:c r="LO7" s="10" t="s">
        <x:v>426</x:v>
      </x:c>
      <x:c r="LP7" s="10"/>
      <x:c r="LQ7" s="11"/>
      <x:c r="LR7" s="12">
        <x:f t="shared" si="31"/>
        <x:v>1</x:v>
      </x:c>
      <x:c r="LS7" s="7"/>
      <x:c r="LT7" s="10"/>
      <x:c r="LU7" s="10"/>
      <x:c r="LV7" s="10"/>
      <x:c r="LW7" s="10"/>
      <x:c r="LX7" s="10"/>
      <x:c r="LY7" s="10"/>
      <x:c r="LZ7" s="10" t="s">
        <x:v>426</x:v>
      </x:c>
      <x:c r="MA7" s="10"/>
      <x:c r="MB7" s="11"/>
      <x:c r="MC7" s="12">
        <x:f t="shared" si="32"/>
        <x:v>1</x:v>
      </x:c>
      <x:c r="MD7" s="7"/>
      <x:c r="ME7" s="10"/>
      <x:c r="MF7" s="10"/>
      <x:c r="MG7" s="10"/>
      <x:c r="MH7" s="10"/>
      <x:c r="MI7" s="10"/>
      <x:c r="MJ7" s="10" t="s">
        <x:v>426</x:v>
      </x:c>
      <x:c r="MK7" s="12">
        <x:f t="shared" si="33"/>
        <x:v>1</x:v>
      </x:c>
      <x:c r="ML7" s="7" t="s">
        <x:v>426</x:v>
      </x:c>
      <x:c r="MM7" s="10"/>
      <x:c r="MN7" s="10"/>
      <x:c r="MO7" s="10"/>
      <x:c r="MP7" s="10"/>
      <x:c r="MQ7" s="10"/>
      <x:c r="MR7" s="10"/>
      <x:c r="MS7" s="10"/>
      <x:c r="MT7" s="10"/>
      <x:c r="MU7" s="11"/>
      <x:c r="MV7" s="12">
        <x:f t="shared" si="34"/>
        <x:v>1</x:v>
      </x:c>
      <x:c r="MW7" s="7"/>
      <x:c r="MX7" s="10"/>
      <x:c r="MY7" s="10"/>
      <x:c r="MZ7" s="10"/>
      <x:c r="NA7" s="10"/>
      <x:c r="NB7" s="10"/>
      <x:c r="NC7" s="10" t="s">
        <x:v>426</x:v>
      </x:c>
      <x:c r="ND7" s="10"/>
      <x:c r="NE7" s="10"/>
      <x:c r="NF7" s="11"/>
      <x:c r="NG7" s="12">
        <x:f t="shared" si="35"/>
        <x:v>1</x:v>
      </x:c>
      <x:c r="NH7" s="7"/>
      <x:c r="NI7" s="10"/>
      <x:c r="NJ7" s="10"/>
      <x:c r="NK7" s="10"/>
      <x:c r="NL7" s="10"/>
      <x:c r="NM7" s="10"/>
      <x:c r="NN7" s="10"/>
      <x:c r="NO7" s="10"/>
      <x:c r="NP7" s="10" t="s">
        <x:v>426</x:v>
      </x:c>
      <x:c r="NQ7" s="10"/>
      <x:c r="NR7" s="11"/>
      <x:c r="NS7" s="12">
        <x:f t="shared" si="36"/>
        <x:v>1</x:v>
      </x:c>
      <x:c r="NT7" s="7"/>
      <x:c r="NU7" s="10"/>
      <x:c r="NV7" s="10"/>
      <x:c r="NW7" s="10" t="s">
        <x:v>426</x:v>
      </x:c>
      <x:c r="NX7" s="10"/>
      <x:c r="NY7" s="12">
        <x:f t="shared" si="37"/>
        <x:v>1</x:v>
      </x:c>
      <x:c r="NZ7" s="7"/>
      <x:c r="OA7" s="10"/>
      <x:c r="OB7" s="10"/>
      <x:c r="OC7" s="10"/>
      <x:c r="OD7" s="10"/>
      <x:c r="OE7" s="10"/>
      <x:c r="OF7" s="10"/>
      <x:c r="OG7" s="10"/>
      <x:c r="OH7" s="10"/>
      <x:c r="OI7" s="10" t="s">
        <x:v>426</x:v>
      </x:c>
      <x:c r="OJ7" s="10"/>
      <x:c r="OK7" s="11"/>
      <x:c r="OL7" s="12">
        <x:f t="shared" si="38"/>
        <x:v>1</x:v>
      </x:c>
      <x:c r="OM7" s="7"/>
      <x:c r="ON7" s="10" t="s">
        <x:v>426</x:v>
      </x:c>
      <x:c r="OO7" s="10"/>
      <x:c r="OP7" s="10"/>
      <x:c r="OQ7" s="10"/>
      <x:c r="OR7" s="10" t="s">
        <x:v>426</x:v>
      </x:c>
      <x:c r="OS7" s="10"/>
      <x:c r="OT7" s="10"/>
      <x:c r="OU7" s="10"/>
      <x:c r="OV7" s="11"/>
      <x:c r="OW7" s="12">
        <x:f t="shared" si="39"/>
        <x:v>1</x:v>
      </x:c>
      <x:c r="OX7" s="7"/>
      <x:c r="OY7" s="10" t="s">
        <x:v>426</x:v>
      </x:c>
      <x:c r="OZ7" s="10"/>
      <x:c r="PA7" s="10"/>
      <x:c r="PB7" s="10"/>
      <x:c r="PC7" s="12">
        <x:f t="shared" si="40"/>
        <x:v>1</x:v>
      </x:c>
      <x:c r="PD7" s="7"/>
      <x:c r="PE7" s="10"/>
      <x:c r="PF7" s="10"/>
      <x:c r="PG7" s="10"/>
      <x:c r="PH7" s="10"/>
      <x:c r="PI7" s="10" t="s">
        <x:v>426</x:v>
      </x:c>
      <x:c r="PJ7" s="10"/>
      <x:c r="PK7" s="10"/>
      <x:c r="PL7" s="10"/>
      <x:c r="PM7" s="10"/>
      <x:c r="PN7" s="11"/>
      <x:c r="PO7" s="12">
        <x:f t="shared" si="41"/>
        <x:v>1</x:v>
      </x:c>
      <x:c r="PP7" s="7" t="s">
        <x:v>426</x:v>
      </x:c>
      <x:c r="PQ7" s="10"/>
      <x:c r="PR7" s="10"/>
      <x:c r="PS7" s="10"/>
      <x:c r="PT7" s="12">
        <x:f t="shared" si="42"/>
        <x:v>1</x:v>
      </x:c>
      <x:c r="PU7" s="7" t="s">
        <x:v>426</x:v>
      </x:c>
      <x:c r="PV7" s="10"/>
      <x:c r="PW7" s="10"/>
      <x:c r="PX7" s="10"/>
      <x:c r="PY7" s="10"/>
      <x:c r="PZ7" s="10"/>
      <x:c r="QA7" s="10"/>
      <x:c r="QB7" s="10"/>
      <x:c r="QC7" s="10"/>
      <x:c r="QD7" s="11"/>
      <x:c r="QE7" s="12">
        <x:f t="shared" si="43"/>
        <x:v>1</x:v>
      </x:c>
      <x:c r="QF7" s="7"/>
      <x:c r="QG7" s="10"/>
      <x:c r="QH7" s="10"/>
      <x:c r="QI7" s="10"/>
      <x:c r="QJ7" s="10"/>
      <x:c r="QK7" s="10"/>
      <x:c r="QL7" s="10"/>
      <x:c r="QM7" s="10" t="s">
        <x:v>426</x:v>
      </x:c>
      <x:c r="QN7" s="10"/>
      <x:c r="QO7" s="11"/>
      <x:c r="QP7" s="12">
        <x:f t="shared" si="44"/>
        <x:v>1</x:v>
      </x:c>
      <x:c r="QQ7" s="7"/>
      <x:c r="QR7" s="10"/>
      <x:c r="QS7" s="10" t="s">
        <x:v>426</x:v>
      </x:c>
      <x:c r="QT7" s="10" t="s">
        <x:v>426</x:v>
      </x:c>
      <x:c r="QU7" s="10"/>
      <x:c r="QV7" s="10"/>
      <x:c r="QW7" s="10"/>
      <x:c r="QX7" s="10"/>
      <x:c r="QY7" s="10"/>
      <x:c r="QZ7" s="11"/>
      <x:c r="RA7" s="12">
        <x:f t="shared" si="45"/>
        <x:v>1</x:v>
      </x:c>
      <x:c r="RB7" s="7"/>
      <x:c r="RC7" s="10"/>
      <x:c r="RD7" s="10"/>
      <x:c r="RE7" s="10"/>
      <x:c r="RF7" s="10"/>
      <x:c r="RG7" s="10" t="s">
        <x:v>426</x:v>
      </x:c>
      <x:c r="RH7" s="10"/>
      <x:c r="RI7" s="10"/>
      <x:c r="RJ7" s="11"/>
      <x:c r="RK7" s="12">
        <x:f t="shared" si="46"/>
        <x:v>1</x:v>
      </x:c>
      <x:c r="RL7" s="7"/>
      <x:c r="RM7" s="10"/>
      <x:c r="RN7" s="10"/>
      <x:c r="RO7" s="10"/>
      <x:c r="RP7" s="10"/>
      <x:c r="RQ7" s="10" t="s">
        <x:v>426</x:v>
      </x:c>
      <x:c r="RR7" s="10"/>
      <x:c r="RS7" s="10" t="s">
        <x:v>426</x:v>
      </x:c>
      <x:c r="RT7" s="10"/>
      <x:c r="RU7" s="11"/>
      <x:c r="RV7" s="12">
        <x:f t="shared" si="47"/>
        <x:v>1</x:v>
      </x:c>
      <x:c r="RW7" s="7" t="s">
        <x:v>431</x:v>
      </x:c>
      <x:c r="RX7" s="12">
        <x:f t="shared" si="48"/>
        <x:v>1</x:v>
      </x:c>
    </x:row>
    <x:row r="8" ht="16.5">
      <x:c r="A8" s="13" t="s">
        <x:v>432</x:v>
      </x:c>
      <x:c r="B8" s="14"/>
      <x:c r="C8" s="14"/>
      <x:c r="D8" s="14"/>
      <x:c r="E8" s="14"/>
      <x:c r="F8" s="14"/>
      <x:c r="G8" s="14"/>
      <x:c r="H8" s="14"/>
      <x:c r="I8" s="14"/>
      <x:c r="J8" s="14"/>
      <x:c r="K8" s="15"/>
      <x:c r="L8" s="13" t="s">
        <x:v>426</x:v>
      </x:c>
      <x:c r="M8" s="16"/>
      <x:c r="N8" s="16"/>
      <x:c r="O8" s="16"/>
      <x:c r="P8" s="17"/>
      <x:c r="Q8" s="12">
        <x:f t="shared" si="0"/>
        <x:v>1</x:v>
      </x:c>
      <x:c r="R8" s="13" t="s">
        <x:v>426</x:v>
      </x:c>
      <x:c r="S8" s="16"/>
      <x:c r="T8" s="16"/>
      <x:c r="U8" s="16"/>
      <x:c r="V8" s="16"/>
      <x:c r="W8" s="17"/>
      <x:c r="X8" s="12">
        <x:f t="shared" si="1"/>
        <x:v>1</x:v>
      </x:c>
      <x:c r="Y8" s="13"/>
      <x:c r="Z8" s="16"/>
      <x:c r="AA8" s="16"/>
      <x:c r="AB8" s="16" t="s">
        <x:v>426</x:v>
      </x:c>
      <x:c r="AC8" s="16"/>
      <x:c r="AD8" s="12">
        <x:f t="shared" si="2"/>
        <x:v>1</x:v>
      </x:c>
      <x:c r="AE8" s="13" t="s">
        <x:v>426</x:v>
      </x:c>
      <x:c r="AF8" s="16"/>
      <x:c r="AG8" s="16"/>
      <x:c r="AH8" s="16"/>
      <x:c r="AI8" s="16"/>
      <x:c r="AJ8" s="17"/>
      <x:c r="AK8" s="12">
        <x:f t="shared" si="3"/>
        <x:v>1</x:v>
      </x:c>
      <x:c r="AL8" s="13" t="s">
        <x:v>426</x:v>
      </x:c>
      <x:c r="AM8" s="16"/>
      <x:c r="AN8" s="16"/>
      <x:c r="AO8" s="12">
        <x:f t="shared" si="4"/>
        <x:v>1</x:v>
      </x:c>
      <x:c r="AP8" s="13" t="s">
        <x:v>426</x:v>
      </x:c>
      <x:c r="AQ8" s="16"/>
      <x:c r="AR8" s="16"/>
      <x:c r="AS8" s="16"/>
      <x:c r="AT8" s="16"/>
      <x:c r="AU8" s="16"/>
      <x:c r="AV8" s="16"/>
      <x:c r="AW8" s="17"/>
      <x:c r="AX8" s="12">
        <x:f t="shared" si="5"/>
        <x:v>1</x:v>
      </x:c>
      <x:c r="AY8" s="13" t="s">
        <x:v>426</x:v>
      </x:c>
      <x:c r="AZ8" s="16"/>
      <x:c r="BA8" s="16"/>
      <x:c r="BB8" s="16"/>
      <x:c r="BC8" s="16"/>
      <x:c r="BD8" s="16"/>
      <x:c r="BE8" s="16"/>
      <x:c r="BF8" s="16"/>
      <x:c r="BG8" s="17"/>
      <x:c r="BH8" s="12">
        <x:f t="shared" si="6"/>
        <x:v>1</x:v>
      </x:c>
      <x:c r="BI8" s="13" t="s">
        <x:v>426</x:v>
      </x:c>
      <x:c r="BJ8" s="16"/>
      <x:c r="BK8" s="16"/>
      <x:c r="BL8" s="16"/>
      <x:c r="BM8" s="16"/>
      <x:c r="BN8" s="16"/>
      <x:c r="BO8" s="16"/>
      <x:c r="BP8" s="17"/>
      <x:c r="BQ8" s="12">
        <x:f t="shared" si="7"/>
        <x:v>1</x:v>
      </x:c>
      <x:c r="BR8" s="13"/>
      <x:c r="BS8" s="16" t="s">
        <x:v>426</x:v>
      </x:c>
      <x:c r="BT8" s="16"/>
      <x:c r="BU8" s="16" t="s">
        <x:v>426</x:v>
      </x:c>
      <x:c r="BV8" s="16"/>
      <x:c r="BW8" s="16"/>
      <x:c r="BX8" s="16"/>
      <x:c r="BY8" s="17"/>
      <x:c r="BZ8" s="12">
        <x:f t="shared" si="8"/>
        <x:v>1</x:v>
      </x:c>
      <x:c r="CA8" s="13" t="s">
        <x:v>426</x:v>
      </x:c>
      <x:c r="CB8" s="16"/>
      <x:c r="CC8" s="16"/>
      <x:c r="CD8" s="16"/>
      <x:c r="CE8" s="16"/>
      <x:c r="CF8" s="16"/>
      <x:c r="CG8" s="16"/>
      <x:c r="CH8" s="16"/>
      <x:c r="CI8" s="16"/>
      <x:c r="CJ8" s="16"/>
      <x:c r="CK8" s="17"/>
      <x:c r="CL8" s="12">
        <x:f t="shared" si="9"/>
        <x:v>1</x:v>
      </x:c>
      <x:c r="CM8" s="13"/>
      <x:c r="CN8" s="16"/>
      <x:c r="CO8" s="16"/>
      <x:c r="CP8" s="16"/>
      <x:c r="CQ8" s="16"/>
      <x:c r="CR8" s="16"/>
      <x:c r="CS8" s="16"/>
      <x:c r="CT8" s="16"/>
      <x:c r="CU8" s="16"/>
      <x:c r="CV8" s="16"/>
      <x:c r="CW8" s="16"/>
      <x:c r="CX8" s="16" t="s">
        <x:v>426</x:v>
      </x:c>
      <x:c r="CY8" s="16"/>
      <x:c r="CZ8" s="16"/>
      <x:c r="DA8" s="17"/>
      <x:c r="DB8" s="12">
        <x:f t="shared" si="10"/>
        <x:v>1</x:v>
      </x:c>
      <x:c r="DC8" s="13"/>
      <x:c r="DD8" s="12">
        <x:f t="shared" si="11"/>
        <x:v>0</x:v>
      </x:c>
      <x:c r="DE8" s="13" t="s">
        <x:v>426</x:v>
      </x:c>
      <x:c r="DF8" s="16"/>
      <x:c r="DG8" s="16"/>
      <x:c r="DH8" s="16"/>
      <x:c r="DI8" s="16"/>
      <x:c r="DJ8" s="16"/>
      <x:c r="DK8" s="16"/>
      <x:c r="DL8" s="16"/>
      <x:c r="DM8" s="17"/>
      <x:c r="DN8" s="12">
        <x:f t="shared" si="12"/>
        <x:v>1</x:v>
      </x:c>
      <x:c r="DO8" s="13" t="s">
        <x:v>426</x:v>
      </x:c>
      <x:c r="DP8" s="16"/>
      <x:c r="DQ8" s="16"/>
      <x:c r="DR8" s="16"/>
      <x:c r="DS8" s="16"/>
      <x:c r="DT8" s="12">
        <x:f t="shared" si="13"/>
        <x:v>1</x:v>
      </x:c>
      <x:c r="DU8" s="13" t="s">
        <x:v>426</x:v>
      </x:c>
      <x:c r="DV8" s="16"/>
      <x:c r="DW8" s="16"/>
      <x:c r="DX8" s="16"/>
      <x:c r="DY8" s="16"/>
      <x:c r="DZ8" s="16"/>
      <x:c r="EA8" s="16"/>
      <x:c r="EB8" s="16"/>
      <x:c r="EC8" s="16"/>
      <x:c r="ED8" s="17"/>
      <x:c r="EE8" s="12">
        <x:f t="shared" si="14"/>
        <x:v>1</x:v>
      </x:c>
      <x:c r="EF8" s="13"/>
      <x:c r="EG8" s="16"/>
      <x:c r="EH8" s="16"/>
      <x:c r="EI8" s="16"/>
      <x:c r="EJ8" s="16"/>
      <x:c r="EK8" s="16"/>
      <x:c r="EL8" s="16"/>
      <x:c r="EM8" s="16" t="s">
        <x:v>426</x:v>
      </x:c>
      <x:c r="EN8" s="16" t="s">
        <x:v>426</x:v>
      </x:c>
      <x:c r="EO8" s="16"/>
      <x:c r="EP8" s="17"/>
      <x:c r="EQ8" s="12">
        <x:f t="shared" si="15"/>
        <x:v>1</x:v>
      </x:c>
      <x:c r="ER8" s="13" t="s">
        <x:v>426</x:v>
      </x:c>
      <x:c r="ES8" s="16"/>
      <x:c r="ET8" s="16"/>
      <x:c r="EU8" s="16"/>
      <x:c r="EV8" s="12">
        <x:f t="shared" si="16"/>
        <x:v>1</x:v>
      </x:c>
      <x:c r="EW8" s="13"/>
      <x:c r="EX8" s="16"/>
      <x:c r="EY8" s="16"/>
      <x:c r="EZ8" s="16"/>
      <x:c r="FA8" s="16"/>
      <x:c r="FB8" s="16"/>
      <x:c r="FC8" s="16"/>
      <x:c r="FD8" s="16"/>
      <x:c r="FE8" s="17"/>
      <x:c r="FF8" s="12">
        <x:f t="shared" si="17"/>
        <x:v>0</x:v>
      </x:c>
      <x:c r="FG8" s="13"/>
      <x:c r="FH8" s="16"/>
      <x:c r="FI8" s="16"/>
      <x:c r="FJ8" s="16"/>
      <x:c r="FK8" s="16"/>
      <x:c r="FL8" s="16"/>
      <x:c r="FM8" s="16"/>
      <x:c r="FN8" s="16"/>
      <x:c r="FO8" s="16"/>
      <x:c r="FP8" s="16"/>
      <x:c r="FQ8" s="16"/>
      <x:c r="FR8" s="16"/>
      <x:c r="FS8" s="16"/>
      <x:c r="FT8" s="16"/>
      <x:c r="FU8" s="17"/>
      <x:c r="FV8" s="12">
        <x:f t="shared" si="18"/>
        <x:v>0</x:v>
      </x:c>
      <x:c r="FW8" s="13"/>
      <x:c r="FX8" s="16"/>
      <x:c r="FY8" s="16"/>
      <x:c r="FZ8" s="16"/>
      <x:c r="GA8" s="16"/>
      <x:c r="GB8" s="16" t="s">
        <x:v>426</x:v>
      </x:c>
      <x:c r="GC8" s="16"/>
      <x:c r="GD8" s="16"/>
      <x:c r="GE8" s="17"/>
      <x:c r="GF8" s="12">
        <x:f t="shared" si="19"/>
        <x:v>1</x:v>
      </x:c>
      <x:c r="GG8" s="13"/>
      <x:c r="GH8" s="16"/>
      <x:c r="GI8" s="16"/>
      <x:c r="GJ8" s="16"/>
      <x:c r="GK8" s="16"/>
      <x:c r="GL8" s="16" t="s">
        <x:v>426</x:v>
      </x:c>
      <x:c r="GM8" s="12">
        <x:f t="shared" si="20"/>
        <x:v>1</x:v>
      </x:c>
      <x:c r="GN8" s="13"/>
      <x:c r="GO8" s="16"/>
      <x:c r="GP8" s="16"/>
      <x:c r="GQ8" s="16"/>
      <x:c r="GR8" s="16"/>
      <x:c r="GS8" s="16" t="s">
        <x:v>426</x:v>
      </x:c>
      <x:c r="GT8" s="12">
        <x:f t="shared" si="21"/>
        <x:v>1</x:v>
      </x:c>
      <x:c r="GU8" s="13"/>
      <x:c r="GV8" s="16"/>
      <x:c r="GW8" s="16"/>
      <x:c r="GX8" s="16" t="s">
        <x:v>426</x:v>
      </x:c>
      <x:c r="GY8" s="12">
        <x:f t="shared" si="22"/>
        <x:v>1</x:v>
      </x:c>
      <x:c r="GZ8" s="13" t="s">
        <x:v>426</x:v>
      </x:c>
      <x:c r="HA8" s="16"/>
      <x:c r="HB8" s="16" t="s">
        <x:v>426</x:v>
      </x:c>
      <x:c r="HC8" s="16"/>
      <x:c r="HD8" s="16"/>
      <x:c r="HE8" s="16"/>
      <x:c r="HF8" s="16"/>
      <x:c r="HG8" s="16"/>
      <x:c r="HH8" s="16"/>
      <x:c r="HI8" s="16"/>
      <x:c r="HJ8" s="16"/>
      <x:c r="HK8" s="17"/>
      <x:c r="HL8" s="12">
        <x:f t="shared" si="23"/>
        <x:v>1</x:v>
      </x:c>
      <x:c r="HM8" s="13"/>
      <x:c r="HN8" s="16"/>
      <x:c r="HO8" s="16" t="s">
        <x:v>426</x:v>
      </x:c>
      <x:c r="HP8" s="16" t="s">
        <x:v>426</x:v>
      </x:c>
      <x:c r="HQ8" s="16"/>
      <x:c r="HR8" s="16"/>
      <x:c r="HS8" s="16"/>
      <x:c r="HT8" s="16"/>
      <x:c r="HU8" s="16"/>
      <x:c r="HV8" s="17"/>
      <x:c r="HW8" s="12">
        <x:f t="shared" si="24"/>
        <x:v>1</x:v>
      </x:c>
      <x:c r="HX8" s="13"/>
      <x:c r="HY8" s="16" t="s">
        <x:v>426</x:v>
      </x:c>
      <x:c r="HZ8" s="16"/>
      <x:c r="IA8" s="16"/>
      <x:c r="IB8" s="16"/>
      <x:c r="IC8" s="12">
        <x:f t="shared" si="25"/>
        <x:v>1</x:v>
      </x:c>
      <x:c r="ID8" s="13"/>
      <x:c r="IE8" s="16"/>
      <x:c r="IF8" s="16"/>
      <x:c r="IG8" s="16"/>
      <x:c r="IH8" s="16"/>
      <x:c r="II8" s="16"/>
      <x:c r="IJ8" s="16" t="s">
        <x:v>426</x:v>
      </x:c>
      <x:c r="IK8" s="16"/>
      <x:c r="IL8" s="16"/>
      <x:c r="IM8" s="16"/>
      <x:c r="IN8" s="17"/>
      <x:c r="IO8" s="12">
        <x:f t="shared" si="26"/>
        <x:v>1</x:v>
      </x:c>
      <x:c r="IP8" s="13"/>
      <x:c r="IQ8" s="16"/>
      <x:c r="IR8" s="16"/>
      <x:c r="IS8" s="16"/>
      <x:c r="IT8" s="16"/>
      <x:c r="IU8" s="16"/>
      <x:c r="IV8" s="16"/>
      <x:c r="IW8" s="16"/>
      <x:c r="IX8" s="17"/>
      <x:c r="IY8" s="12">
        <x:f t="shared" si="27"/>
        <x:v>0</x:v>
      </x:c>
      <x:c r="IZ8" s="13"/>
      <x:c r="JA8" s="16"/>
      <x:c r="JB8" s="16"/>
      <x:c r="JC8" s="16"/>
      <x:c r="JD8" s="16"/>
      <x:c r="JE8" s="16"/>
      <x:c r="JF8" s="16"/>
      <x:c r="JG8" s="16"/>
      <x:c r="JH8" s="16"/>
      <x:c r="JI8" s="16"/>
      <x:c r="JJ8" s="16"/>
      <x:c r="JK8" s="16"/>
      <x:c r="JL8" s="16"/>
      <x:c r="JM8" s="16"/>
      <x:c r="JN8" s="16"/>
      <x:c r="JO8" s="16"/>
      <x:c r="JP8" s="16"/>
      <x:c r="JQ8" s="16"/>
      <x:c r="JR8" s="16"/>
      <x:c r="JS8" s="12">
        <x:f t="shared" si="28"/>
        <x:v>0</x:v>
      </x:c>
      <x:c r="JT8" s="13"/>
      <x:c r="JU8" s="16"/>
      <x:c r="JV8" s="16"/>
      <x:c r="JW8" s="16"/>
      <x:c r="JX8" s="16"/>
      <x:c r="JY8" s="16"/>
      <x:c r="JZ8" s="16"/>
      <x:c r="KA8" s="16"/>
      <x:c r="KB8" s="16"/>
      <x:c r="KC8" s="16"/>
      <x:c r="KD8" s="16"/>
      <x:c r="KE8" s="16"/>
      <x:c r="KF8" s="16"/>
      <x:c r="KG8" s="16"/>
      <x:c r="KH8" s="16"/>
      <x:c r="KI8" s="16"/>
      <x:c r="KJ8" s="16"/>
      <x:c r="KK8" s="16"/>
      <x:c r="KL8" s="16"/>
      <x:c r="KM8" s="12">
        <x:f t="shared" si="29"/>
        <x:v>0</x:v>
      </x:c>
      <x:c r="KN8" s="13"/>
      <x:c r="KO8" s="16"/>
      <x:c r="KP8" s="16"/>
      <x:c r="KQ8" s="16"/>
      <x:c r="KR8" s="16"/>
      <x:c r="KS8" s="16"/>
      <x:c r="KT8" s="16"/>
      <x:c r="KU8" s="16"/>
      <x:c r="KV8" s="16"/>
      <x:c r="KW8" s="16"/>
      <x:c r="KX8" s="16"/>
      <x:c r="KY8" s="16"/>
      <x:c r="KZ8" s="16"/>
      <x:c r="LA8" s="16"/>
      <x:c r="LB8" s="16"/>
      <x:c r="LC8" s="16"/>
      <x:c r="LD8" s="16"/>
      <x:c r="LE8" s="16"/>
      <x:c r="LF8" s="16"/>
      <x:c r="LG8" s="12">
        <x:f t="shared" si="30"/>
        <x:v>0</x:v>
      </x:c>
      <x:c r="LH8" s="13"/>
      <x:c r="LI8" s="16"/>
      <x:c r="LJ8" s="16"/>
      <x:c r="LK8" s="16"/>
      <x:c r="LL8" s="16"/>
      <x:c r="LM8" s="16"/>
      <x:c r="LN8" s="16"/>
      <x:c r="LO8" s="16" t="s">
        <x:v>426</x:v>
      </x:c>
      <x:c r="LP8" s="16"/>
      <x:c r="LQ8" s="17"/>
      <x:c r="LR8" s="12">
        <x:f t="shared" si="31"/>
        <x:v>1</x:v>
      </x:c>
      <x:c r="LS8" s="13"/>
      <x:c r="LT8" s="16"/>
      <x:c r="LU8" s="16"/>
      <x:c r="LV8" s="16"/>
      <x:c r="LW8" s="16"/>
      <x:c r="LX8" s="16"/>
      <x:c r="LY8" s="16"/>
      <x:c r="LZ8" s="16" t="s">
        <x:v>426</x:v>
      </x:c>
      <x:c r="MA8" s="16"/>
      <x:c r="MB8" s="17"/>
      <x:c r="MC8" s="12">
        <x:f t="shared" si="32"/>
        <x:v>1</x:v>
      </x:c>
      <x:c r="MD8" s="13"/>
      <x:c r="ME8" s="16"/>
      <x:c r="MF8" s="16"/>
      <x:c r="MG8" s="16"/>
      <x:c r="MH8" s="16"/>
      <x:c r="MI8" s="16"/>
      <x:c r="MJ8" s="16" t="s">
        <x:v>426</x:v>
      </x:c>
      <x:c r="MK8" s="12">
        <x:f t="shared" si="33"/>
        <x:v>1</x:v>
      </x:c>
      <x:c r="ML8" s="13"/>
      <x:c r="MM8" s="16"/>
      <x:c r="MN8" s="16"/>
      <x:c r="MO8" s="16"/>
      <x:c r="MP8" s="16"/>
      <x:c r="MQ8" s="16"/>
      <x:c r="MR8" s="16" t="s">
        <x:v>426</x:v>
      </x:c>
      <x:c r="MS8" s="16"/>
      <x:c r="MT8" s="16"/>
      <x:c r="MU8" s="17"/>
      <x:c r="MV8" s="12">
        <x:f t="shared" si="34"/>
        <x:v>1</x:v>
      </x:c>
      <x:c r="MW8" s="13" t="s">
        <x:v>426</x:v>
      </x:c>
      <x:c r="MX8" s="16"/>
      <x:c r="MY8" s="16"/>
      <x:c r="MZ8" s="16"/>
      <x:c r="NA8" s="16"/>
      <x:c r="NB8" s="16"/>
      <x:c r="NC8" s="16"/>
      <x:c r="ND8" s="16"/>
      <x:c r="NE8" s="16"/>
      <x:c r="NF8" s="17"/>
      <x:c r="NG8" s="12">
        <x:f t="shared" si="35"/>
        <x:v>1</x:v>
      </x:c>
      <x:c r="NH8" s="13"/>
      <x:c r="NI8" s="16"/>
      <x:c r="NJ8" s="16"/>
      <x:c r="NK8" s="16"/>
      <x:c r="NL8" s="16"/>
      <x:c r="NM8" s="16"/>
      <x:c r="NN8" s="16"/>
      <x:c r="NO8" s="16"/>
      <x:c r="NP8" s="16"/>
      <x:c r="NQ8" s="16"/>
      <x:c r="NR8" s="17"/>
      <x:c r="NS8" s="12">
        <x:f t="shared" si="36"/>
        <x:v>0</x:v>
      </x:c>
      <x:c r="NT8" s="13"/>
      <x:c r="NU8" s="16"/>
      <x:c r="NV8" s="16"/>
      <x:c r="NW8" s="16"/>
      <x:c r="NX8" s="16"/>
      <x:c r="NY8" s="12">
        <x:f t="shared" si="37"/>
        <x:v>0</x:v>
      </x:c>
      <x:c r="NZ8" s="13"/>
      <x:c r="OA8" s="16"/>
      <x:c r="OB8" s="16"/>
      <x:c r="OC8" s="16"/>
      <x:c r="OD8" s="16"/>
      <x:c r="OE8" s="16"/>
      <x:c r="OF8" s="16"/>
      <x:c r="OG8" s="16"/>
      <x:c r="OH8" s="16"/>
      <x:c r="OI8" s="16" t="s">
        <x:v>426</x:v>
      </x:c>
      <x:c r="OJ8" s="16"/>
      <x:c r="OK8" s="17"/>
      <x:c r="OL8" s="12">
        <x:f t="shared" si="38"/>
        <x:v>1</x:v>
      </x:c>
      <x:c r="OM8" s="13" t="s">
        <x:v>426</x:v>
      </x:c>
      <x:c r="ON8" s="16"/>
      <x:c r="OO8" s="16"/>
      <x:c r="OP8" s="16"/>
      <x:c r="OQ8" s="16" t="s">
        <x:v>426</x:v>
      </x:c>
      <x:c r="OR8" s="16"/>
      <x:c r="OS8" s="16" t="s">
        <x:v>426</x:v>
      </x:c>
      <x:c r="OT8" s="16"/>
      <x:c r="OU8" s="16"/>
      <x:c r="OV8" s="17"/>
      <x:c r="OW8" s="12">
        <x:f t="shared" si="39"/>
        <x:v>1</x:v>
      </x:c>
      <x:c r="OX8" s="13"/>
      <x:c r="OY8" s="16"/>
      <x:c r="OZ8" s="16"/>
      <x:c r="PA8" s="16"/>
      <x:c r="PB8" s="16" t="s">
        <x:v>426</x:v>
      </x:c>
      <x:c r="PC8" s="12">
        <x:f t="shared" si="40"/>
        <x:v>1</x:v>
      </x:c>
      <x:c r="PD8" s="13"/>
      <x:c r="PE8" s="16"/>
      <x:c r="PF8" s="16"/>
      <x:c r="PG8" s="16"/>
      <x:c r="PH8" s="16"/>
      <x:c r="PI8" s="16"/>
      <x:c r="PJ8" s="16"/>
      <x:c r="PK8" s="16"/>
      <x:c r="PL8" s="16"/>
      <x:c r="PM8" s="16"/>
      <x:c r="PN8" s="17"/>
      <x:c r="PO8" s="12">
        <x:f t="shared" si="41"/>
        <x:v>0</x:v>
      </x:c>
      <x:c r="PP8" s="13"/>
      <x:c r="PQ8" s="16"/>
      <x:c r="PR8" s="16"/>
      <x:c r="PS8" s="16"/>
      <x:c r="PT8" s="12">
        <x:f t="shared" si="42"/>
        <x:v>0</x:v>
      </x:c>
      <x:c r="PU8" s="13"/>
      <x:c r="PV8" s="16"/>
      <x:c r="PW8" s="16"/>
      <x:c r="PX8" s="16"/>
      <x:c r="PY8" s="16"/>
      <x:c r="PZ8" s="16"/>
      <x:c r="QA8" s="16"/>
      <x:c r="QB8" s="16"/>
      <x:c r="QC8" s="16"/>
      <x:c r="QD8" s="17"/>
      <x:c r="QE8" s="12">
        <x:f t="shared" si="43"/>
        <x:v>0</x:v>
      </x:c>
      <x:c r="QF8" s="13"/>
      <x:c r="QG8" s="16"/>
      <x:c r="QH8" s="16"/>
      <x:c r="QI8" s="16"/>
      <x:c r="QJ8" s="16"/>
      <x:c r="QK8" s="16"/>
      <x:c r="QL8" s="16"/>
      <x:c r="QM8" s="16"/>
      <x:c r="QN8" s="16"/>
      <x:c r="QO8" s="17"/>
      <x:c r="QP8" s="12">
        <x:f t="shared" si="44"/>
        <x:v>0</x:v>
      </x:c>
      <x:c r="QQ8" s="13"/>
      <x:c r="QR8" s="16"/>
      <x:c r="QS8" s="16"/>
      <x:c r="QT8" s="16"/>
      <x:c r="QU8" s="16"/>
      <x:c r="QV8" s="16"/>
      <x:c r="QW8" s="16"/>
      <x:c r="QX8" s="16" t="s">
        <x:v>426</x:v>
      </x:c>
      <x:c r="QY8" s="16"/>
      <x:c r="QZ8" s="17"/>
      <x:c r="RA8" s="12">
        <x:f t="shared" si="45"/>
        <x:v>1</x:v>
      </x:c>
      <x:c r="RB8" s="13"/>
      <x:c r="RC8" s="16"/>
      <x:c r="RD8" s="16"/>
      <x:c r="RE8" s="16"/>
      <x:c r="RF8" s="16"/>
      <x:c r="RG8" s="16"/>
      <x:c r="RH8" s="16" t="s">
        <x:v>426</x:v>
      </x:c>
      <x:c r="RI8" s="16"/>
      <x:c r="RJ8" s="17"/>
      <x:c r="RK8" s="12">
        <x:f t="shared" si="46"/>
        <x:v>1</x:v>
      </x:c>
      <x:c r="RL8" s="13"/>
      <x:c r="RM8" s="16" t="s">
        <x:v>426</x:v>
      </x:c>
      <x:c r="RN8" s="16" t="s">
        <x:v>426</x:v>
      </x:c>
      <x:c r="RO8" s="16"/>
      <x:c r="RP8" s="16"/>
      <x:c r="RQ8" s="16"/>
      <x:c r="RR8" s="16" t="s">
        <x:v>426</x:v>
      </x:c>
      <x:c r="RS8" s="16"/>
      <x:c r="RT8" s="16"/>
      <x:c r="RU8" s="17"/>
      <x:c r="RV8" s="12">
        <x:f t="shared" si="47"/>
        <x:v>1</x:v>
      </x:c>
      <x:c r="RW8" s="13"/>
      <x:c r="RX8" s="12">
        <x:f t="shared" si="48"/>
        <x:v>0</x:v>
      </x:c>
    </x:row>
    <x:row r="9" ht="16.5">
      <x:c r="A9" s="7" t="s">
        <x:v>433</x:v>
      </x:c>
      <x:c r="B9" s="8"/>
      <x:c r="C9" s="8"/>
      <x:c r="D9" s="8"/>
      <x:c r="E9" s="8"/>
      <x:c r="F9" s="8"/>
      <x:c r="G9" s="8"/>
      <x:c r="H9" s="8"/>
      <x:c r="I9" s="8"/>
      <x:c r="J9" s="8"/>
      <x:c r="K9" s="9"/>
      <x:c r="L9" s="7"/>
      <x:c r="M9" s="10" t="s">
        <x:v>426</x:v>
      </x:c>
      <x:c r="N9" s="10"/>
      <x:c r="O9" s="10"/>
      <x:c r="P9" s="11"/>
      <x:c r="Q9" s="12">
        <x:f t="shared" si="0"/>
        <x:v>1</x:v>
      </x:c>
      <x:c r="R9" s="7"/>
      <x:c r="S9" s="10" t="s">
        <x:v>426</x:v>
      </x:c>
      <x:c r="T9" s="10"/>
      <x:c r="U9" s="10"/>
      <x:c r="V9" s="10"/>
      <x:c r="W9" s="11"/>
      <x:c r="X9" s="12">
        <x:f t="shared" si="1"/>
        <x:v>1</x:v>
      </x:c>
      <x:c r="Y9" s="7"/>
      <x:c r="Z9" s="10"/>
      <x:c r="AA9" s="10"/>
      <x:c r="AB9" s="10"/>
      <x:c r="AC9" s="10" t="s">
        <x:v>426</x:v>
      </x:c>
      <x:c r="AD9" s="12">
        <x:f t="shared" si="2"/>
        <x:v>1</x:v>
      </x:c>
      <x:c r="AE9" s="7"/>
      <x:c r="AF9" s="10" t="s">
        <x:v>426</x:v>
      </x:c>
      <x:c r="AG9" s="10"/>
      <x:c r="AH9" s="10"/>
      <x:c r="AI9" s="10"/>
      <x:c r="AJ9" s="11"/>
      <x:c r="AK9" s="12">
        <x:f t="shared" si="3"/>
        <x:v>1</x:v>
      </x:c>
      <x:c r="AL9" s="7"/>
      <x:c r="AM9" s="10" t="s">
        <x:v>426</x:v>
      </x:c>
      <x:c r="AN9" s="10"/>
      <x:c r="AO9" s="12">
        <x:f t="shared" si="4"/>
        <x:v>1</x:v>
      </x:c>
      <x:c r="AP9" s="7" t="s">
        <x:v>426</x:v>
      </x:c>
      <x:c r="AQ9" s="10"/>
      <x:c r="AR9" s="10"/>
      <x:c r="AS9" s="10"/>
      <x:c r="AT9" s="10"/>
      <x:c r="AU9" s="10"/>
      <x:c r="AV9" s="10"/>
      <x:c r="AW9" s="11"/>
      <x:c r="AX9" s="12">
        <x:f t="shared" si="5"/>
        <x:v>1</x:v>
      </x:c>
      <x:c r="AY9" s="7" t="s">
        <x:v>426</x:v>
      </x:c>
      <x:c r="AZ9" s="10"/>
      <x:c r="BA9" s="10"/>
      <x:c r="BB9" s="10"/>
      <x:c r="BC9" s="10"/>
      <x:c r="BD9" s="10"/>
      <x:c r="BE9" s="10"/>
      <x:c r="BF9" s="10"/>
      <x:c r="BG9" s="11"/>
      <x:c r="BH9" s="12">
        <x:f t="shared" si="6"/>
        <x:v>1</x:v>
      </x:c>
      <x:c r="BI9" s="7" t="s">
        <x:v>426</x:v>
      </x:c>
      <x:c r="BJ9" s="10"/>
      <x:c r="BK9" s="10"/>
      <x:c r="BL9" s="10"/>
      <x:c r="BM9" s="10"/>
      <x:c r="BN9" s="10"/>
      <x:c r="BO9" s="10"/>
      <x:c r="BP9" s="11"/>
      <x:c r="BQ9" s="12">
        <x:f t="shared" si="7"/>
        <x:v>1</x:v>
      </x:c>
      <x:c r="BR9" s="7"/>
      <x:c r="BS9" s="10" t="s">
        <x:v>426</x:v>
      </x:c>
      <x:c r="BT9" s="10"/>
      <x:c r="BU9" s="10"/>
      <x:c r="BV9" s="10"/>
      <x:c r="BW9" s="10"/>
      <x:c r="BX9" s="10"/>
      <x:c r="BY9" s="11"/>
      <x:c r="BZ9" s="12">
        <x:f t="shared" si="8"/>
        <x:v>1</x:v>
      </x:c>
      <x:c r="CA9" s="7" t="s">
        <x:v>426</x:v>
      </x:c>
      <x:c r="CB9" s="10"/>
      <x:c r="CC9" s="10"/>
      <x:c r="CD9" s="10"/>
      <x:c r="CE9" s="10"/>
      <x:c r="CF9" s="10"/>
      <x:c r="CG9" s="10"/>
      <x:c r="CH9" s="10"/>
      <x:c r="CI9" s="10"/>
      <x:c r="CJ9" s="10"/>
      <x:c r="CK9" s="11"/>
      <x:c r="CL9" s="12">
        <x:f t="shared" si="9"/>
        <x:v>1</x:v>
      </x:c>
      <x:c r="CM9" s="7"/>
      <x:c r="CN9" s="10"/>
      <x:c r="CO9" s="10"/>
      <x:c r="CP9" s="10"/>
      <x:c r="CQ9" s="10" t="s">
        <x:v>426</x:v>
      </x:c>
      <x:c r="CR9" s="10"/>
      <x:c r="CS9" s="10" t="s">
        <x:v>426</x:v>
      </x:c>
      <x:c r="CT9" s="10" t="s">
        <x:v>426</x:v>
      </x:c>
      <x:c r="CU9" s="10" t="s">
        <x:v>426</x:v>
      </x:c>
      <x:c r="CV9" s="10"/>
      <x:c r="CW9" s="10"/>
      <x:c r="CX9" s="10"/>
      <x:c r="CY9" s="10"/>
      <x:c r="CZ9" s="10"/>
      <x:c r="DA9" s="11"/>
      <x:c r="DB9" s="12">
        <x:f t="shared" si="10"/>
        <x:v>1</x:v>
      </x:c>
      <x:c r="DC9" s="7"/>
      <x:c r="DD9" s="12">
        <x:f t="shared" si="11"/>
        <x:v>0</x:v>
      </x:c>
      <x:c r="DE9" s="7" t="s">
        <x:v>426</x:v>
      </x:c>
      <x:c r="DF9" s="10"/>
      <x:c r="DG9" s="10"/>
      <x:c r="DH9" s="10"/>
      <x:c r="DI9" s="10"/>
      <x:c r="DJ9" s="10"/>
      <x:c r="DK9" s="10"/>
      <x:c r="DL9" s="10"/>
      <x:c r="DM9" s="11"/>
      <x:c r="DN9" s="12">
        <x:f t="shared" si="12"/>
        <x:v>1</x:v>
      </x:c>
      <x:c r="DO9" s="7"/>
      <x:c r="DP9" s="10"/>
      <x:c r="DQ9" s="10"/>
      <x:c r="DR9" s="10" t="s">
        <x:v>426</x:v>
      </x:c>
      <x:c r="DS9" s="10"/>
      <x:c r="DT9" s="12">
        <x:f t="shared" si="13"/>
        <x:v>1</x:v>
      </x:c>
      <x:c r="DU9" s="7"/>
      <x:c r="DV9" s="10" t="s">
        <x:v>426</x:v>
      </x:c>
      <x:c r="DW9" s="10"/>
      <x:c r="DX9" s="10"/>
      <x:c r="DY9" s="10"/>
      <x:c r="DZ9" s="10"/>
      <x:c r="EA9" s="10"/>
      <x:c r="EB9" s="10"/>
      <x:c r="EC9" s="10"/>
      <x:c r="ED9" s="11"/>
      <x:c r="EE9" s="12">
        <x:f t="shared" si="14"/>
        <x:v>1</x:v>
      </x:c>
      <x:c r="EF9" s="7"/>
      <x:c r="EG9" s="10"/>
      <x:c r="EH9" s="10" t="s">
        <x:v>426</x:v>
      </x:c>
      <x:c r="EI9" s="10" t="s">
        <x:v>426</x:v>
      </x:c>
      <x:c r="EJ9" s="10"/>
      <x:c r="EK9" s="10"/>
      <x:c r="EL9" s="10"/>
      <x:c r="EM9" s="10"/>
      <x:c r="EN9" s="10"/>
      <x:c r="EO9" s="10"/>
      <x:c r="EP9" s="11"/>
      <x:c r="EQ9" s="12">
        <x:f t="shared" si="15"/>
        <x:v>1</x:v>
      </x:c>
      <x:c r="ER9" s="7" t="s">
        <x:v>426</x:v>
      </x:c>
      <x:c r="ES9" s="10"/>
      <x:c r="ET9" s="10"/>
      <x:c r="EU9" s="10"/>
      <x:c r="EV9" s="12">
        <x:f t="shared" si="16"/>
        <x:v>1</x:v>
      </x:c>
      <x:c r="EW9" s="7"/>
      <x:c r="EX9" s="10"/>
      <x:c r="EY9" s="10"/>
      <x:c r="EZ9" s="10"/>
      <x:c r="FA9" s="10"/>
      <x:c r="FB9" s="10"/>
      <x:c r="FC9" s="10" t="s">
        <x:v>426</x:v>
      </x:c>
      <x:c r="FD9" s="10"/>
      <x:c r="FE9" s="11"/>
      <x:c r="FF9" s="12">
        <x:f t="shared" si="17"/>
        <x:v>1</x:v>
      </x:c>
      <x:c r="FG9" s="7" t="s">
        <x:v>426</x:v>
      </x:c>
      <x:c r="FH9" s="10"/>
      <x:c r="FI9" s="10"/>
      <x:c r="FJ9" s="10"/>
      <x:c r="FK9" s="10"/>
      <x:c r="FL9" s="10"/>
      <x:c r="FM9" s="10"/>
      <x:c r="FN9" s="10"/>
      <x:c r="FO9" s="10"/>
      <x:c r="FP9" s="10"/>
      <x:c r="FQ9" s="10"/>
      <x:c r="FR9" s="10"/>
      <x:c r="FS9" s="10"/>
      <x:c r="FT9" s="10"/>
      <x:c r="FU9" s="11"/>
      <x:c r="FV9" s="12">
        <x:f t="shared" si="18"/>
        <x:v>1</x:v>
      </x:c>
      <x:c r="FW9" s="7"/>
      <x:c r="FX9" s="10"/>
      <x:c r="FY9" s="10"/>
      <x:c r="FZ9" s="10"/>
      <x:c r="GA9" s="10"/>
      <x:c r="GB9" s="10"/>
      <x:c r="GC9" s="10" t="s">
        <x:v>426</x:v>
      </x:c>
      <x:c r="GD9" s="10"/>
      <x:c r="GE9" s="11"/>
      <x:c r="GF9" s="12">
        <x:f t="shared" si="19"/>
        <x:v>1</x:v>
      </x:c>
      <x:c r="GG9" s="7" t="s">
        <x:v>426</x:v>
      </x:c>
      <x:c r="GH9" s="10" t="s">
        <x:v>426</x:v>
      </x:c>
      <x:c r="GI9" s="10"/>
      <x:c r="GJ9" s="10"/>
      <x:c r="GK9" s="10"/>
      <x:c r="GL9" s="10"/>
      <x:c r="GM9" s="12">
        <x:f t="shared" si="20"/>
        <x:v>1</x:v>
      </x:c>
      <x:c r="GN9" s="7"/>
      <x:c r="GO9" s="10"/>
      <x:c r="GP9" s="10"/>
      <x:c r="GQ9" s="10"/>
      <x:c r="GR9" s="10"/>
      <x:c r="GS9" s="10"/>
      <x:c r="GT9" s="12">
        <x:f t="shared" si="21"/>
        <x:v>0</x:v>
      </x:c>
      <x:c r="GU9" s="7"/>
      <x:c r="GV9" s="10"/>
      <x:c r="GW9" s="10" t="s">
        <x:v>426</x:v>
      </x:c>
      <x:c r="GX9" s="10"/>
      <x:c r="GY9" s="12">
        <x:f t="shared" si="22"/>
        <x:v>1</x:v>
      </x:c>
      <x:c r="GZ9" s="7" t="s">
        <x:v>426</x:v>
      </x:c>
      <x:c r="HA9" s="10"/>
      <x:c r="HB9" s="10"/>
      <x:c r="HC9" s="10"/>
      <x:c r="HD9" s="10"/>
      <x:c r="HE9" s="10"/>
      <x:c r="HF9" s="10"/>
      <x:c r="HG9" s="10"/>
      <x:c r="HH9" s="10"/>
      <x:c r="HI9" s="10"/>
      <x:c r="HJ9" s="10"/>
      <x:c r="HK9" s="11"/>
      <x:c r="HL9" s="12">
        <x:f t="shared" si="23"/>
        <x:v>1</x:v>
      </x:c>
      <x:c r="HM9" s="7"/>
      <x:c r="HN9" s="10"/>
      <x:c r="HO9" s="10"/>
      <x:c r="HP9" s="10"/>
      <x:c r="HQ9" s="10"/>
      <x:c r="HR9" s="10"/>
      <x:c r="HS9" s="10"/>
      <x:c r="HT9" s="10" t="s">
        <x:v>426</x:v>
      </x:c>
      <x:c r="HU9" s="10"/>
      <x:c r="HV9" s="11"/>
      <x:c r="HW9" s="12">
        <x:f t="shared" si="24"/>
        <x:v>1</x:v>
      </x:c>
      <x:c r="HX9" s="7"/>
      <x:c r="HY9" s="10"/>
      <x:c r="HZ9" s="10"/>
      <x:c r="IA9" s="10" t="s">
        <x:v>426</x:v>
      </x:c>
      <x:c r="IB9" s="10"/>
      <x:c r="IC9" s="12">
        <x:f t="shared" si="25"/>
        <x:v>1</x:v>
      </x:c>
      <x:c r="ID9" s="7"/>
      <x:c r="IE9" s="10"/>
      <x:c r="IF9" s="10"/>
      <x:c r="IG9" s="10" t="s">
        <x:v>426</x:v>
      </x:c>
      <x:c r="IH9" s="10"/>
      <x:c r="II9" s="10"/>
      <x:c r="IJ9" s="10"/>
      <x:c r="IK9" s="10"/>
      <x:c r="IL9" s="10"/>
      <x:c r="IM9" s="10"/>
      <x:c r="IN9" s="11"/>
      <x:c r="IO9" s="12">
        <x:f t="shared" si="26"/>
        <x:v>1</x:v>
      </x:c>
      <x:c r="IP9" s="7"/>
      <x:c r="IQ9" s="10"/>
      <x:c r="IR9" s="10"/>
      <x:c r="IS9" s="10"/>
      <x:c r="IT9" s="10" t="s">
        <x:v>426</x:v>
      </x:c>
      <x:c r="IU9" s="10"/>
      <x:c r="IV9" s="10"/>
      <x:c r="IW9" s="10"/>
      <x:c r="IX9" s="11"/>
      <x:c r="IY9" s="12">
        <x:f t="shared" si="27"/>
        <x:v>1</x:v>
      </x:c>
      <x:c r="IZ9" s="7"/>
      <x:c r="JA9" s="10"/>
      <x:c r="JB9" s="10"/>
      <x:c r="JC9" s="10"/>
      <x:c r="JD9" s="10"/>
      <x:c r="JE9" s="10"/>
      <x:c r="JF9" s="10"/>
      <x:c r="JG9" s="10"/>
      <x:c r="JH9" s="10"/>
      <x:c r="JI9" s="10"/>
      <x:c r="JJ9" s="10"/>
      <x:c r="JK9" s="10"/>
      <x:c r="JL9" s="10"/>
      <x:c r="JM9" s="10"/>
      <x:c r="JN9" s="10"/>
      <x:c r="JO9" s="10"/>
      <x:c r="JP9" s="10"/>
      <x:c r="JQ9" s="10"/>
      <x:c r="JR9" s="10"/>
      <x:c r="JS9" s="12">
        <x:f t="shared" si="28"/>
        <x:v>0</x:v>
      </x:c>
      <x:c r="JT9" s="7"/>
      <x:c r="JU9" s="10"/>
      <x:c r="JV9" s="10"/>
      <x:c r="JW9" s="10"/>
      <x:c r="JX9" s="10"/>
      <x:c r="JY9" s="10"/>
      <x:c r="JZ9" s="10" t="s">
        <x:v>426</x:v>
      </x:c>
      <x:c r="KA9" s="10" t="s">
        <x:v>426</x:v>
      </x:c>
      <x:c r="KB9" s="10"/>
      <x:c r="KC9" s="10"/>
      <x:c r="KD9" s="10"/>
      <x:c r="KE9" s="10"/>
      <x:c r="KF9" s="10"/>
      <x:c r="KG9" s="10"/>
      <x:c r="KH9" s="10"/>
      <x:c r="KI9" s="10"/>
      <x:c r="KJ9" s="10"/>
      <x:c r="KK9" s="10"/>
      <x:c r="KL9" s="10"/>
      <x:c r="KM9" s="12">
        <x:f t="shared" si="29"/>
        <x:v>1</x:v>
      </x:c>
      <x:c r="KN9" s="7"/>
      <x:c r="KO9" s="10"/>
      <x:c r="KP9" s="10"/>
      <x:c r="KQ9" s="10"/>
      <x:c r="KR9" s="10"/>
      <x:c r="KS9" s="10"/>
      <x:c r="KT9" s="10"/>
      <x:c r="KU9" s="10"/>
      <x:c r="KV9" s="10"/>
      <x:c r="KW9" s="10"/>
      <x:c r="KX9" s="10"/>
      <x:c r="KY9" s="10"/>
      <x:c r="KZ9" s="10"/>
      <x:c r="LA9" s="10"/>
      <x:c r="LB9" s="10"/>
      <x:c r="LC9" s="10"/>
      <x:c r="LD9" s="10"/>
      <x:c r="LE9" s="10"/>
      <x:c r="LF9" s="10"/>
      <x:c r="LG9" s="12">
        <x:f t="shared" si="30"/>
        <x:v>0</x:v>
      </x:c>
      <x:c r="LH9" s="7"/>
      <x:c r="LI9" s="10"/>
      <x:c r="LJ9" s="10"/>
      <x:c r="LK9" s="10"/>
      <x:c r="LL9" s="10"/>
      <x:c r="LM9" s="10"/>
      <x:c r="LN9" s="10"/>
      <x:c r="LO9" s="10"/>
      <x:c r="LP9" s="10"/>
      <x:c r="LQ9" s="11"/>
      <x:c r="LR9" s="12">
        <x:f t="shared" si="31"/>
        <x:v>0</x:v>
      </x:c>
      <x:c r="LS9" s="7" t="s">
        <x:v>426</x:v>
      </x:c>
      <x:c r="LT9" s="10" t="s">
        <x:v>426</x:v>
      </x:c>
      <x:c r="LU9" s="10"/>
      <x:c r="LV9" s="10"/>
      <x:c r="LW9" s="10"/>
      <x:c r="LX9" s="10"/>
      <x:c r="LY9" s="10"/>
      <x:c r="LZ9" s="10"/>
      <x:c r="MA9" s="10"/>
      <x:c r="MB9" s="11"/>
      <x:c r="MC9" s="12">
        <x:f t="shared" si="32"/>
        <x:v>1</x:v>
      </x:c>
      <x:c r="MD9" s="7" t="s">
        <x:v>426</x:v>
      </x:c>
      <x:c r="ME9" s="10"/>
      <x:c r="MF9" s="10"/>
      <x:c r="MG9" s="10"/>
      <x:c r="MH9" s="10"/>
      <x:c r="MI9" s="10"/>
      <x:c r="MJ9" s="10"/>
      <x:c r="MK9" s="12">
        <x:f t="shared" si="33"/>
        <x:v>1</x:v>
      </x:c>
      <x:c r="ML9" s="7"/>
      <x:c r="MM9" s="10"/>
      <x:c r="MN9" s="10"/>
      <x:c r="MO9" s="10"/>
      <x:c r="MP9" s="10"/>
      <x:c r="MQ9" s="10"/>
      <x:c r="MR9" s="10" t="s">
        <x:v>426</x:v>
      </x:c>
      <x:c r="MS9" s="10"/>
      <x:c r="MT9" s="10"/>
      <x:c r="MU9" s="11"/>
      <x:c r="MV9" s="12">
        <x:f t="shared" si="34"/>
        <x:v>1</x:v>
      </x:c>
      <x:c r="MW9" s="7"/>
      <x:c r="MX9" s="10"/>
      <x:c r="MY9" s="10"/>
      <x:c r="MZ9" s="10"/>
      <x:c r="NA9" s="10"/>
      <x:c r="NB9" s="10"/>
      <x:c r="NC9" s="10" t="s">
        <x:v>426</x:v>
      </x:c>
      <x:c r="ND9" s="10"/>
      <x:c r="NE9" s="10"/>
      <x:c r="NF9" s="11"/>
      <x:c r="NG9" s="12">
        <x:f t="shared" si="35"/>
        <x:v>1</x:v>
      </x:c>
      <x:c r="NH9" s="7"/>
      <x:c r="NI9" s="10"/>
      <x:c r="NJ9" s="10"/>
      <x:c r="NK9" s="10"/>
      <x:c r="NL9" s="10"/>
      <x:c r="NM9" s="10"/>
      <x:c r="NN9" s="10"/>
      <x:c r="NO9" s="10"/>
      <x:c r="NP9" s="10" t="s">
        <x:v>426</x:v>
      </x:c>
      <x:c r="NQ9" s="10"/>
      <x:c r="NR9" s="11"/>
      <x:c r="NS9" s="12">
        <x:f t="shared" si="36"/>
        <x:v>1</x:v>
      </x:c>
      <x:c r="NT9" s="7"/>
      <x:c r="NU9" s="10"/>
      <x:c r="NV9" s="10"/>
      <x:c r="NW9" s="10" t="s">
        <x:v>426</x:v>
      </x:c>
      <x:c r="NX9" s="10"/>
      <x:c r="NY9" s="12">
        <x:f t="shared" si="37"/>
        <x:v>1</x:v>
      </x:c>
      <x:c r="NZ9" s="7"/>
      <x:c r="OA9" s="10"/>
      <x:c r="OB9" s="10"/>
      <x:c r="OC9" s="10"/>
      <x:c r="OD9" s="10"/>
      <x:c r="OE9" s="10"/>
      <x:c r="OF9" s="10"/>
      <x:c r="OG9" s="10"/>
      <x:c r="OH9" s="10"/>
      <x:c r="OI9" s="10" t="s">
        <x:v>426</x:v>
      </x:c>
      <x:c r="OJ9" s="10"/>
      <x:c r="OK9" s="11"/>
      <x:c r="OL9" s="12">
        <x:f t="shared" si="38"/>
        <x:v>1</x:v>
      </x:c>
      <x:c r="OM9" s="7" t="s">
        <x:v>426</x:v>
      </x:c>
      <x:c r="ON9" s="10" t="s">
        <x:v>426</x:v>
      </x:c>
      <x:c r="OO9" s="10"/>
      <x:c r="OP9" s="10"/>
      <x:c r="OQ9" s="10"/>
      <x:c r="OR9" s="10" t="s">
        <x:v>426</x:v>
      </x:c>
      <x:c r="OS9" s="10"/>
      <x:c r="OT9" s="10"/>
      <x:c r="OU9" s="10"/>
      <x:c r="OV9" s="11"/>
      <x:c r="OW9" s="12">
        <x:f t="shared" si="39"/>
        <x:v>1</x:v>
      </x:c>
      <x:c r="OX9" s="7"/>
      <x:c r="OY9" s="10"/>
      <x:c r="OZ9" s="10"/>
      <x:c r="PA9" s="10"/>
      <x:c r="PB9" s="10" t="s">
        <x:v>426</x:v>
      </x:c>
      <x:c r="PC9" s="12">
        <x:f t="shared" si="40"/>
        <x:v>1</x:v>
      </x:c>
      <x:c r="PD9" s="7"/>
      <x:c r="PE9" s="10" t="s">
        <x:v>426</x:v>
      </x:c>
      <x:c r="PF9" s="10" t="s">
        <x:v>426</x:v>
      </x:c>
      <x:c r="PG9" s="10"/>
      <x:c r="PH9" s="10"/>
      <x:c r="PI9" s="10"/>
      <x:c r="PJ9" s="10"/>
      <x:c r="PK9" s="10"/>
      <x:c r="PL9" s="10"/>
      <x:c r="PM9" s="10"/>
      <x:c r="PN9" s="11"/>
      <x:c r="PO9" s="12">
        <x:f t="shared" si="41"/>
        <x:v>1</x:v>
      </x:c>
      <x:c r="PP9" s="7"/>
      <x:c r="PQ9" s="10"/>
      <x:c r="PR9" s="10" t="s">
        <x:v>426</x:v>
      </x:c>
      <x:c r="PS9" s="10"/>
      <x:c r="PT9" s="12">
        <x:f t="shared" si="42"/>
        <x:v>1</x:v>
      </x:c>
      <x:c r="PU9" s="7" t="s">
        <x:v>426</x:v>
      </x:c>
      <x:c r="PV9" s="10" t="s">
        <x:v>426</x:v>
      </x:c>
      <x:c r="PW9" s="10"/>
      <x:c r="PX9" s="10"/>
      <x:c r="PY9" s="10"/>
      <x:c r="PZ9" s="10"/>
      <x:c r="QA9" s="10"/>
      <x:c r="QB9" s="10"/>
      <x:c r="QC9" s="10"/>
      <x:c r="QD9" s="11"/>
      <x:c r="QE9" s="12">
        <x:f t="shared" si="43"/>
        <x:v>1</x:v>
      </x:c>
      <x:c r="QF9" s="7"/>
      <x:c r="QG9" s="10"/>
      <x:c r="QH9" s="10"/>
      <x:c r="QI9" s="10" t="s">
        <x:v>426</x:v>
      </x:c>
      <x:c r="QJ9" s="10"/>
      <x:c r="QK9" s="10"/>
      <x:c r="QL9" s="10"/>
      <x:c r="QM9" s="10"/>
      <x:c r="QN9" s="10"/>
      <x:c r="QO9" s="11"/>
      <x:c r="QP9" s="12">
        <x:f t="shared" si="44"/>
        <x:v>1</x:v>
      </x:c>
      <x:c r="QQ9" s="7"/>
      <x:c r="QR9" s="10"/>
      <x:c r="QS9" s="10"/>
      <x:c r="QT9" s="10"/>
      <x:c r="QU9" s="10"/>
      <x:c r="QV9" s="10"/>
      <x:c r="QW9" s="10"/>
      <x:c r="QX9" s="10" t="s">
        <x:v>426</x:v>
      </x:c>
      <x:c r="QY9" s="10"/>
      <x:c r="QZ9" s="11"/>
      <x:c r="RA9" s="12">
        <x:f t="shared" si="45"/>
        <x:v>1</x:v>
      </x:c>
      <x:c r="RB9" s="7"/>
      <x:c r="RC9" s="10"/>
      <x:c r="RD9" s="10" t="s">
        <x:v>426</x:v>
      </x:c>
      <x:c r="RE9" s="10" t="s">
        <x:v>426</x:v>
      </x:c>
      <x:c r="RF9" s="10"/>
      <x:c r="RG9" s="10"/>
      <x:c r="RH9" s="10"/>
      <x:c r="RI9" s="10"/>
      <x:c r="RJ9" s="11"/>
      <x:c r="RK9" s="12">
        <x:f t="shared" si="46"/>
        <x:v>1</x:v>
      </x:c>
      <x:c r="RL9" s="7"/>
      <x:c r="RM9" s="10"/>
      <x:c r="RN9" s="10"/>
      <x:c r="RO9" s="10"/>
      <x:c r="RP9" s="10"/>
      <x:c r="RQ9" s="10"/>
      <x:c r="RR9" s="10" t="s">
        <x:v>426</x:v>
      </x:c>
      <x:c r="RS9" s="10"/>
      <x:c r="RT9" s="10"/>
      <x:c r="RU9" s="11"/>
      <x:c r="RV9" s="12">
        <x:f t="shared" si="47"/>
        <x:v>1</x:v>
      </x:c>
      <x:c r="RW9" s="7"/>
      <x:c r="RX9" s="12">
        <x:f t="shared" si="48"/>
        <x:v>0</x:v>
      </x:c>
    </x:row>
    <x:row r="10" ht="16.5">
      <x:c r="A10" s="13" t="s">
        <x:v>434</x:v>
      </x:c>
      <x:c r="B10" s="14"/>
      <x:c r="C10" s="14"/>
      <x:c r="D10" s="14"/>
      <x:c r="E10" s="14"/>
      <x:c r="F10" s="14"/>
      <x:c r="G10" s="14"/>
      <x:c r="H10" s="14"/>
      <x:c r="I10" s="14"/>
      <x:c r="J10" s="14"/>
      <x:c r="K10" s="15"/>
      <x:c r="L10" s="13" t="s">
        <x:v>426</x:v>
      </x:c>
      <x:c r="M10" s="16"/>
      <x:c r="N10" s="16"/>
      <x:c r="O10" s="16"/>
      <x:c r="P10" s="17"/>
      <x:c r="Q10" s="12">
        <x:f t="shared" si="0"/>
        <x:v>1</x:v>
      </x:c>
      <x:c r="R10" s="13"/>
      <x:c r="S10" s="16" t="s">
        <x:v>426</x:v>
      </x:c>
      <x:c r="T10" s="16"/>
      <x:c r="U10" s="16"/>
      <x:c r="V10" s="16"/>
      <x:c r="W10" s="17"/>
      <x:c r="X10" s="12">
        <x:f t="shared" si="1"/>
        <x:v>1</x:v>
      </x:c>
      <x:c r="Y10" s="13"/>
      <x:c r="Z10" s="16"/>
      <x:c r="AA10" s="16"/>
      <x:c r="AB10" s="16"/>
      <x:c r="AC10" s="16" t="s">
        <x:v>426</x:v>
      </x:c>
      <x:c r="AD10" s="12">
        <x:f t="shared" si="2"/>
        <x:v>1</x:v>
      </x:c>
      <x:c r="AE10" s="13"/>
      <x:c r="AF10" s="16" t="s">
        <x:v>426</x:v>
      </x:c>
      <x:c r="AG10" s="16"/>
      <x:c r="AH10" s="16"/>
      <x:c r="AI10" s="16"/>
      <x:c r="AJ10" s="17"/>
      <x:c r="AK10" s="12">
        <x:f t="shared" si="3"/>
        <x:v>1</x:v>
      </x:c>
      <x:c r="AL10" s="13" t="s">
        <x:v>426</x:v>
      </x:c>
      <x:c r="AM10" s="16"/>
      <x:c r="AN10" s="16"/>
      <x:c r="AO10" s="12">
        <x:f t="shared" si="4"/>
        <x:v>1</x:v>
      </x:c>
      <x:c r="AP10" s="13" t="s">
        <x:v>426</x:v>
      </x:c>
      <x:c r="AQ10" s="16"/>
      <x:c r="AR10" s="16"/>
      <x:c r="AS10" s="16"/>
      <x:c r="AT10" s="16"/>
      <x:c r="AU10" s="16"/>
      <x:c r="AV10" s="16"/>
      <x:c r="AW10" s="17"/>
      <x:c r="AX10" s="12">
        <x:f t="shared" si="5"/>
        <x:v>1</x:v>
      </x:c>
      <x:c r="AY10" s="13" t="s">
        <x:v>426</x:v>
      </x:c>
      <x:c r="AZ10" s="16"/>
      <x:c r="BA10" s="16"/>
      <x:c r="BB10" s="16"/>
      <x:c r="BC10" s="16"/>
      <x:c r="BD10" s="16"/>
      <x:c r="BE10" s="16"/>
      <x:c r="BF10" s="16"/>
      <x:c r="BG10" s="17"/>
      <x:c r="BH10" s="12">
        <x:f t="shared" si="6"/>
        <x:v>1</x:v>
      </x:c>
      <x:c r="BI10" s="13" t="s">
        <x:v>426</x:v>
      </x:c>
      <x:c r="BJ10" s="16"/>
      <x:c r="BK10" s="16"/>
      <x:c r="BL10" s="16"/>
      <x:c r="BM10" s="16"/>
      <x:c r="BN10" s="16"/>
      <x:c r="BO10" s="16"/>
      <x:c r="BP10" s="17"/>
      <x:c r="BQ10" s="12">
        <x:f t="shared" si="7"/>
        <x:v>1</x:v>
      </x:c>
      <x:c r="BR10" s="13"/>
      <x:c r="BS10" s="16"/>
      <x:c r="BT10" s="16"/>
      <x:c r="BU10" s="16" t="s">
        <x:v>426</x:v>
      </x:c>
      <x:c r="BV10" s="16"/>
      <x:c r="BW10" s="16"/>
      <x:c r="BX10" s="16"/>
      <x:c r="BY10" s="17"/>
      <x:c r="BZ10" s="12">
        <x:f t="shared" si="8"/>
        <x:v>1</x:v>
      </x:c>
      <x:c r="CA10" s="13" t="s">
        <x:v>426</x:v>
      </x:c>
      <x:c r="CB10" s="16"/>
      <x:c r="CC10" s="16"/>
      <x:c r="CD10" s="16"/>
      <x:c r="CE10" s="16"/>
      <x:c r="CF10" s="16"/>
      <x:c r="CG10" s="16"/>
      <x:c r="CH10" s="16"/>
      <x:c r="CI10" s="16"/>
      <x:c r="CJ10" s="16"/>
      <x:c r="CK10" s="17"/>
      <x:c r="CL10" s="12">
        <x:f t="shared" si="9"/>
        <x:v>1</x:v>
      </x:c>
      <x:c r="CM10" s="13"/>
      <x:c r="CN10" s="16"/>
      <x:c r="CO10" s="16"/>
      <x:c r="CP10" s="16"/>
      <x:c r="CQ10" s="16"/>
      <x:c r="CR10" s="16"/>
      <x:c r="CS10" s="16"/>
      <x:c r="CT10" s="16"/>
      <x:c r="CU10" s="16"/>
      <x:c r="CV10" s="16" t="s">
        <x:v>426</x:v>
      </x:c>
      <x:c r="CW10" s="16"/>
      <x:c r="CX10" s="16"/>
      <x:c r="CY10" s="16"/>
      <x:c r="CZ10" s="16"/>
      <x:c r="DA10" s="17"/>
      <x:c r="DB10" s="12">
        <x:f t="shared" si="10"/>
        <x:v>1</x:v>
      </x:c>
      <x:c r="DC10" s="13" t="s">
        <x:v>435</x:v>
      </x:c>
      <x:c r="DD10" s="12">
        <x:f t="shared" si="11"/>
        <x:v>1</x:v>
      </x:c>
      <x:c r="DE10" s="13"/>
      <x:c r="DF10" s="16"/>
      <x:c r="DG10" s="16"/>
      <x:c r="DH10" s="16"/>
      <x:c r="DI10" s="16"/>
      <x:c r="DJ10" s="16"/>
      <x:c r="DK10" s="16" t="s">
        <x:v>426</x:v>
      </x:c>
      <x:c r="DL10" s="16"/>
      <x:c r="DM10" s="17"/>
      <x:c r="DN10" s="12">
        <x:f t="shared" si="12"/>
        <x:v>1</x:v>
      </x:c>
      <x:c r="DO10" s="13" t="s">
        <x:v>426</x:v>
      </x:c>
      <x:c r="DP10" s="16"/>
      <x:c r="DQ10" s="16"/>
      <x:c r="DR10" s="16"/>
      <x:c r="DS10" s="16"/>
      <x:c r="DT10" s="12">
        <x:f t="shared" si="13"/>
        <x:v>1</x:v>
      </x:c>
      <x:c r="DU10" s="13" t="s">
        <x:v>426</x:v>
      </x:c>
      <x:c r="DV10" s="16"/>
      <x:c r="DW10" s="16"/>
      <x:c r="DX10" s="16"/>
      <x:c r="DY10" s="16"/>
      <x:c r="DZ10" s="16"/>
      <x:c r="EA10" s="16"/>
      <x:c r="EB10" s="16"/>
      <x:c r="EC10" s="16"/>
      <x:c r="ED10" s="17"/>
      <x:c r="EE10" s="12">
        <x:f t="shared" si="14"/>
        <x:v>1</x:v>
      </x:c>
      <x:c r="EF10" s="13"/>
      <x:c r="EG10" s="16"/>
      <x:c r="EH10" s="16"/>
      <x:c r="EI10" s="16"/>
      <x:c r="EJ10" s="16"/>
      <x:c r="EK10" s="16"/>
      <x:c r="EL10" s="16" t="s">
        <x:v>426</x:v>
      </x:c>
      <x:c r="EM10" s="16"/>
      <x:c r="EN10" s="16"/>
      <x:c r="EO10" s="16"/>
      <x:c r="EP10" s="17"/>
      <x:c r="EQ10" s="12">
        <x:f t="shared" si="15"/>
        <x:v>1</x:v>
      </x:c>
      <x:c r="ER10" s="13" t="s">
        <x:v>426</x:v>
      </x:c>
      <x:c r="ES10" s="16"/>
      <x:c r="ET10" s="16"/>
      <x:c r="EU10" s="16"/>
      <x:c r="EV10" s="12">
        <x:f t="shared" si="16"/>
        <x:v>1</x:v>
      </x:c>
      <x:c r="EW10" s="13"/>
      <x:c r="EX10" s="16"/>
      <x:c r="EY10" s="16"/>
      <x:c r="EZ10" s="16"/>
      <x:c r="FA10" s="16"/>
      <x:c r="FB10" s="16" t="s">
        <x:v>426</x:v>
      </x:c>
      <x:c r="FC10" s="16"/>
      <x:c r="FD10" s="16"/>
      <x:c r="FE10" s="17"/>
      <x:c r="FF10" s="12">
        <x:f t="shared" si="17"/>
        <x:v>1</x:v>
      </x:c>
      <x:c r="FG10" s="13" t="s">
        <x:v>426</x:v>
      </x:c>
      <x:c r="FH10" s="16"/>
      <x:c r="FI10" s="16"/>
      <x:c r="FJ10" s="16"/>
      <x:c r="FK10" s="16"/>
      <x:c r="FL10" s="16"/>
      <x:c r="FM10" s="16"/>
      <x:c r="FN10" s="16"/>
      <x:c r="FO10" s="16"/>
      <x:c r="FP10" s="16"/>
      <x:c r="FQ10" s="16"/>
      <x:c r="FR10" s="16"/>
      <x:c r="FS10" s="16"/>
      <x:c r="FT10" s="16"/>
      <x:c r="FU10" s="17"/>
      <x:c r="FV10" s="12">
        <x:f t="shared" si="18"/>
        <x:v>1</x:v>
      </x:c>
      <x:c r="FW10" s="13"/>
      <x:c r="FX10" s="16"/>
      <x:c r="FY10" s="16"/>
      <x:c r="FZ10" s="16"/>
      <x:c r="GA10" s="16"/>
      <x:c r="GB10" s="16"/>
      <x:c r="GC10" s="16" t="s">
        <x:v>426</x:v>
      </x:c>
      <x:c r="GD10" s="16"/>
      <x:c r="GE10" s="17"/>
      <x:c r="GF10" s="12">
        <x:f t="shared" si="19"/>
        <x:v>1</x:v>
      </x:c>
      <x:c r="GG10" s="13"/>
      <x:c r="GH10" s="16"/>
      <x:c r="GI10" s="16"/>
      <x:c r="GJ10" s="16"/>
      <x:c r="GK10" s="16"/>
      <x:c r="GL10" s="16" t="s">
        <x:v>426</x:v>
      </x:c>
      <x:c r="GM10" s="12">
        <x:f t="shared" si="20"/>
        <x:v>1</x:v>
      </x:c>
      <x:c r="GN10" s="13"/>
      <x:c r="GO10" s="16"/>
      <x:c r="GP10" s="16"/>
      <x:c r="GQ10" s="16"/>
      <x:c r="GR10" s="16"/>
      <x:c r="GS10" s="16" t="s">
        <x:v>426</x:v>
      </x:c>
      <x:c r="GT10" s="12">
        <x:f t="shared" si="21"/>
        <x:v>1</x:v>
      </x:c>
      <x:c r="GU10" s="13"/>
      <x:c r="GV10" s="16" t="s">
        <x:v>426</x:v>
      </x:c>
      <x:c r="GW10" s="16"/>
      <x:c r="GX10" s="16"/>
      <x:c r="GY10" s="12">
        <x:f t="shared" si="22"/>
        <x:v>1</x:v>
      </x:c>
      <x:c r="GZ10" s="13" t="s">
        <x:v>426</x:v>
      </x:c>
      <x:c r="HA10" s="16"/>
      <x:c r="HB10" s="16" t="s">
        <x:v>426</x:v>
      </x:c>
      <x:c r="HC10" s="16"/>
      <x:c r="HD10" s="16"/>
      <x:c r="HE10" s="16"/>
      <x:c r="HF10" s="16"/>
      <x:c r="HG10" s="16"/>
      <x:c r="HH10" s="16"/>
      <x:c r="HI10" s="16"/>
      <x:c r="HJ10" s="16"/>
      <x:c r="HK10" s="17"/>
      <x:c r="HL10" s="12">
        <x:f t="shared" si="23"/>
        <x:v>1</x:v>
      </x:c>
      <x:c r="HM10" s="13"/>
      <x:c r="HN10" s="16"/>
      <x:c r="HO10" s="16"/>
      <x:c r="HP10" s="16"/>
      <x:c r="HQ10" s="16"/>
      <x:c r="HR10" s="16" t="s">
        <x:v>426</x:v>
      </x:c>
      <x:c r="HS10" s="16"/>
      <x:c r="HT10" s="16" t="s">
        <x:v>426</x:v>
      </x:c>
      <x:c r="HU10" s="16"/>
      <x:c r="HV10" s="17"/>
      <x:c r="HW10" s="12">
        <x:f t="shared" si="24"/>
        <x:v>1</x:v>
      </x:c>
      <x:c r="HX10" s="13"/>
      <x:c r="HY10" s="16"/>
      <x:c r="HZ10" s="16"/>
      <x:c r="IA10" s="16" t="s">
        <x:v>426</x:v>
      </x:c>
      <x:c r="IB10" s="16"/>
      <x:c r="IC10" s="12">
        <x:f t="shared" si="25"/>
        <x:v>1</x:v>
      </x:c>
      <x:c r="ID10" s="13" t="s">
        <x:v>426</x:v>
      </x:c>
      <x:c r="IE10" s="16"/>
      <x:c r="IF10" s="16"/>
      <x:c r="IG10" s="16"/>
      <x:c r="IH10" s="16"/>
      <x:c r="II10" s="16"/>
      <x:c r="IJ10" s="16"/>
      <x:c r="IK10" s="16" t="s">
        <x:v>426</x:v>
      </x:c>
      <x:c r="IL10" s="16"/>
      <x:c r="IM10" s="16"/>
      <x:c r="IN10" s="17"/>
      <x:c r="IO10" s="12">
        <x:f t="shared" si="26"/>
        <x:v>1</x:v>
      </x:c>
      <x:c r="IP10" s="13"/>
      <x:c r="IQ10" s="16"/>
      <x:c r="IR10" s="16"/>
      <x:c r="IS10" s="16" t="s">
        <x:v>426</x:v>
      </x:c>
      <x:c r="IT10" s="16"/>
      <x:c r="IU10" s="16" t="s">
        <x:v>426</x:v>
      </x:c>
      <x:c r="IV10" s="16" t="s">
        <x:v>426</x:v>
      </x:c>
      <x:c r="IW10" s="16"/>
      <x:c r="IX10" s="17"/>
      <x:c r="IY10" s="12">
        <x:f t="shared" si="27"/>
        <x:v>1</x:v>
      </x:c>
      <x:c r="IZ10" s="13"/>
      <x:c r="JA10" s="16"/>
      <x:c r="JB10" s="16"/>
      <x:c r="JC10" s="16"/>
      <x:c r="JD10" s="16"/>
      <x:c r="JE10" s="16"/>
      <x:c r="JF10" s="16"/>
      <x:c r="JG10" s="16"/>
      <x:c r="JH10" s="16"/>
      <x:c r="JI10" s="16"/>
      <x:c r="JJ10" s="16"/>
      <x:c r="JK10" s="16"/>
      <x:c r="JL10" s="16"/>
      <x:c r="JM10" s="16"/>
      <x:c r="JN10" s="16"/>
      <x:c r="JO10" s="16"/>
      <x:c r="JP10" s="16"/>
      <x:c r="JQ10" s="16"/>
      <x:c r="JR10" s="16" t="s">
        <x:v>426</x:v>
      </x:c>
      <x:c r="JS10" s="12">
        <x:f t="shared" si="28"/>
        <x:v>1</x:v>
      </x:c>
      <x:c r="JT10" s="13"/>
      <x:c r="JU10" s="16"/>
      <x:c r="JV10" s="16"/>
      <x:c r="JW10" s="16"/>
      <x:c r="JX10" s="16"/>
      <x:c r="JY10" s="16"/>
      <x:c r="JZ10" s="16"/>
      <x:c r="KA10" s="16"/>
      <x:c r="KB10" s="16"/>
      <x:c r="KC10" s="16"/>
      <x:c r="KD10" s="16"/>
      <x:c r="KE10" s="16"/>
      <x:c r="KF10" s="16"/>
      <x:c r="KG10" s="16"/>
      <x:c r="KH10" s="16"/>
      <x:c r="KI10" s="16"/>
      <x:c r="KJ10" s="16"/>
      <x:c r="KK10" s="16"/>
      <x:c r="KL10" s="16" t="s">
        <x:v>426</x:v>
      </x:c>
      <x:c r="KM10" s="12">
        <x:f t="shared" si="29"/>
        <x:v>1</x:v>
      </x:c>
      <x:c r="KN10" s="13"/>
      <x:c r="KO10" s="16"/>
      <x:c r="KP10" s="16"/>
      <x:c r="KQ10" s="16"/>
      <x:c r="KR10" s="16"/>
      <x:c r="KS10" s="16"/>
      <x:c r="KT10" s="16"/>
      <x:c r="KU10" s="16"/>
      <x:c r="KV10" s="16"/>
      <x:c r="KW10" s="16"/>
      <x:c r="KX10" s="16"/>
      <x:c r="KY10" s="16"/>
      <x:c r="KZ10" s="16"/>
      <x:c r="LA10" s="16"/>
      <x:c r="LB10" s="16"/>
      <x:c r="LC10" s="16"/>
      <x:c r="LD10" s="16"/>
      <x:c r="LE10" s="16"/>
      <x:c r="LF10" s="16" t="s">
        <x:v>426</x:v>
      </x:c>
      <x:c r="LG10" s="12">
        <x:f t="shared" si="30"/>
        <x:v>1</x:v>
      </x:c>
      <x:c r="LH10" s="13"/>
      <x:c r="LI10" s="16"/>
      <x:c r="LJ10" s="16"/>
      <x:c r="LK10" s="16"/>
      <x:c r="LL10" s="16"/>
      <x:c r="LM10" s="16"/>
      <x:c r="LN10" s="16"/>
      <x:c r="LO10" s="16" t="s">
        <x:v>426</x:v>
      </x:c>
      <x:c r="LP10" s="16"/>
      <x:c r="LQ10" s="17"/>
      <x:c r="LR10" s="12">
        <x:f t="shared" si="31"/>
        <x:v>1</x:v>
      </x:c>
      <x:c r="LS10" s="13"/>
      <x:c r="LT10" s="16"/>
      <x:c r="LU10" s="16"/>
      <x:c r="LV10" s="16"/>
      <x:c r="LW10" s="16"/>
      <x:c r="LX10" s="16"/>
      <x:c r="LY10" s="16"/>
      <x:c r="LZ10" s="16" t="s">
        <x:v>426</x:v>
      </x:c>
      <x:c r="MA10" s="16"/>
      <x:c r="MB10" s="17"/>
      <x:c r="MC10" s="12">
        <x:f t="shared" si="32"/>
        <x:v>1</x:v>
      </x:c>
      <x:c r="MD10" s="13"/>
      <x:c r="ME10" s="16"/>
      <x:c r="MF10" s="16"/>
      <x:c r="MG10" s="16"/>
      <x:c r="MH10" s="16"/>
      <x:c r="MI10" s="16"/>
      <x:c r="MJ10" s="16" t="s">
        <x:v>426</x:v>
      </x:c>
      <x:c r="MK10" s="12">
        <x:f t="shared" si="33"/>
        <x:v>1</x:v>
      </x:c>
      <x:c r="ML10" s="13"/>
      <x:c r="MM10" s="16"/>
      <x:c r="MN10" s="16"/>
      <x:c r="MO10" s="16"/>
      <x:c r="MP10" s="16"/>
      <x:c r="MQ10" s="16"/>
      <x:c r="MR10" s="16"/>
      <x:c r="MS10" s="16"/>
      <x:c r="MT10" s="16" t="s">
        <x:v>426</x:v>
      </x:c>
      <x:c r="MU10" s="17" t="s">
        <x:v>435</x:v>
      </x:c>
      <x:c r="MV10" s="12">
        <x:f t="shared" si="34"/>
        <x:v>1</x:v>
      </x:c>
      <x:c r="MW10" s="13"/>
      <x:c r="MX10" s="16"/>
      <x:c r="MY10" s="16"/>
      <x:c r="MZ10" s="16"/>
      <x:c r="NA10" s="16"/>
      <x:c r="NB10" s="16"/>
      <x:c r="NC10" s="16" t="s">
        <x:v>426</x:v>
      </x:c>
      <x:c r="ND10" s="16"/>
      <x:c r="NE10" s="16"/>
      <x:c r="NF10" s="17"/>
      <x:c r="NG10" s="12">
        <x:f t="shared" si="35"/>
        <x:v>1</x:v>
      </x:c>
      <x:c r="NH10" s="13"/>
      <x:c r="NI10" s="16"/>
      <x:c r="NJ10" s="16"/>
      <x:c r="NK10" s="16"/>
      <x:c r="NL10" s="16"/>
      <x:c r="NM10" s="16"/>
      <x:c r="NN10" s="16"/>
      <x:c r="NO10" s="16"/>
      <x:c r="NP10" s="16" t="s">
        <x:v>426</x:v>
      </x:c>
      <x:c r="NQ10" s="16"/>
      <x:c r="NR10" s="17"/>
      <x:c r="NS10" s="12">
        <x:f t="shared" si="36"/>
        <x:v>1</x:v>
      </x:c>
      <x:c r="NT10" s="13"/>
      <x:c r="NU10" s="16"/>
      <x:c r="NV10" s="16"/>
      <x:c r="NW10" s="16"/>
      <x:c r="NX10" s="16" t="s">
        <x:v>426</x:v>
      </x:c>
      <x:c r="NY10" s="12">
        <x:f t="shared" si="37"/>
        <x:v>1</x:v>
      </x:c>
      <x:c r="NZ10" s="13"/>
      <x:c r="OA10" s="16"/>
      <x:c r="OB10" s="16"/>
      <x:c r="OC10" s="16"/>
      <x:c r="OD10" s="16"/>
      <x:c r="OE10" s="16"/>
      <x:c r="OF10" s="16"/>
      <x:c r="OG10" s="16"/>
      <x:c r="OH10" s="16"/>
      <x:c r="OI10" s="16" t="s">
        <x:v>426</x:v>
      </x:c>
      <x:c r="OJ10" s="16"/>
      <x:c r="OK10" s="17"/>
      <x:c r="OL10" s="12">
        <x:f t="shared" si="38"/>
        <x:v>1</x:v>
      </x:c>
      <x:c r="OM10" s="13"/>
      <x:c r="ON10" s="16" t="s">
        <x:v>426</x:v>
      </x:c>
      <x:c r="OO10" s="16"/>
      <x:c r="OP10" s="16"/>
      <x:c r="OQ10" s="16"/>
      <x:c r="OR10" s="16"/>
      <x:c r="OS10" s="16"/>
      <x:c r="OT10" s="16"/>
      <x:c r="OU10" s="16"/>
      <x:c r="OV10" s="17"/>
      <x:c r="OW10" s="12">
        <x:f t="shared" si="39"/>
        <x:v>1</x:v>
      </x:c>
      <x:c r="OX10" s="13"/>
      <x:c r="OY10" s="16" t="s">
        <x:v>426</x:v>
      </x:c>
      <x:c r="OZ10" s="16"/>
      <x:c r="PA10" s="16"/>
      <x:c r="PB10" s="16"/>
      <x:c r="PC10" s="12">
        <x:f t="shared" si="40"/>
        <x:v>1</x:v>
      </x:c>
      <x:c r="PD10" s="13" t="s">
        <x:v>426</x:v>
      </x:c>
      <x:c r="PE10" s="16" t="s">
        <x:v>426</x:v>
      </x:c>
      <x:c r="PF10" s="16" t="s">
        <x:v>426</x:v>
      </x:c>
      <x:c r="PG10" s="16" t="s">
        <x:v>426</x:v>
      </x:c>
      <x:c r="PH10" s="16"/>
      <x:c r="PI10" s="16" t="s">
        <x:v>426</x:v>
      </x:c>
      <x:c r="PJ10" s="16"/>
      <x:c r="PK10" s="16"/>
      <x:c r="PL10" s="16"/>
      <x:c r="PM10" s="16"/>
      <x:c r="PN10" s="17"/>
      <x:c r="PO10" s="12">
        <x:f t="shared" si="41"/>
        <x:v>1</x:v>
      </x:c>
      <x:c r="PP10" s="13" t="s">
        <x:v>426</x:v>
      </x:c>
      <x:c r="PQ10" s="16"/>
      <x:c r="PR10" s="16"/>
      <x:c r="PS10" s="16"/>
      <x:c r="PT10" s="12">
        <x:f t="shared" si="42"/>
        <x:v>1</x:v>
      </x:c>
      <x:c r="PU10" s="13" t="s">
        <x:v>426</x:v>
      </x:c>
      <x:c r="PV10" s="16"/>
      <x:c r="PW10" s="16"/>
      <x:c r="PX10" s="16"/>
      <x:c r="PY10" s="16"/>
      <x:c r="PZ10" s="16"/>
      <x:c r="QA10" s="16"/>
      <x:c r="QB10" s="16"/>
      <x:c r="QC10" s="16"/>
      <x:c r="QD10" s="17"/>
      <x:c r="QE10" s="12">
        <x:f t="shared" si="43"/>
        <x:v>1</x:v>
      </x:c>
      <x:c r="QF10" s="13"/>
      <x:c r="QG10" s="16"/>
      <x:c r="QH10" s="16"/>
      <x:c r="QI10" s="16"/>
      <x:c r="QJ10" s="16"/>
      <x:c r="QK10" s="16"/>
      <x:c r="QL10" s="16"/>
      <x:c r="QM10" s="16" t="s">
        <x:v>426</x:v>
      </x:c>
      <x:c r="QN10" s="16"/>
      <x:c r="QO10" s="17"/>
      <x:c r="QP10" s="12">
        <x:f t="shared" si="44"/>
        <x:v>1</x:v>
      </x:c>
      <x:c r="QQ10" s="13"/>
      <x:c r="QR10" s="16"/>
      <x:c r="QS10" s="16"/>
      <x:c r="QT10" s="16"/>
      <x:c r="QU10" s="16"/>
      <x:c r="QV10" s="16"/>
      <x:c r="QW10" s="16"/>
      <x:c r="QX10" s="16" t="s">
        <x:v>426</x:v>
      </x:c>
      <x:c r="QY10" s="16"/>
      <x:c r="QZ10" s="17"/>
      <x:c r="RA10" s="12">
        <x:f t="shared" si="45"/>
        <x:v>1</x:v>
      </x:c>
      <x:c r="RB10" s="13"/>
      <x:c r="RC10" s="16" t="s">
        <x:v>426</x:v>
      </x:c>
      <x:c r="RD10" s="16"/>
      <x:c r="RE10" s="16" t="s">
        <x:v>426</x:v>
      </x:c>
      <x:c r="RF10" s="16"/>
      <x:c r="RG10" s="16" t="s">
        <x:v>426</x:v>
      </x:c>
      <x:c r="RH10" s="16"/>
      <x:c r="RI10" s="16"/>
      <x:c r="RJ10" s="17"/>
      <x:c r="RK10" s="12">
        <x:f t="shared" si="46"/>
        <x:v>1</x:v>
      </x:c>
      <x:c r="RL10" s="13"/>
      <x:c r="RM10" s="16"/>
      <x:c r="RN10" s="16"/>
      <x:c r="RO10" s="16"/>
      <x:c r="RP10" s="16" t="s">
        <x:v>426</x:v>
      </x:c>
      <x:c r="RQ10" s="16" t="s">
        <x:v>426</x:v>
      </x:c>
      <x:c r="RR10" s="16"/>
      <x:c r="RS10" s="16" t="s">
        <x:v>426</x:v>
      </x:c>
      <x:c r="RT10" s="16"/>
      <x:c r="RU10" s="17"/>
      <x:c r="RV10" s="12">
        <x:f t="shared" si="47"/>
        <x:v>1</x:v>
      </x:c>
      <x:c r="RW10" s="13" t="s">
        <x:v>436</x:v>
      </x:c>
      <x:c r="RX10" s="12">
        <x:f t="shared" si="48"/>
        <x:v>1</x:v>
      </x:c>
    </x:row>
    <x:row r="11" ht="16.5">
      <x:c r="A11" s="7" t="s">
        <x:v>437</x:v>
      </x:c>
      <x:c r="B11" s="8"/>
      <x:c r="C11" s="8"/>
      <x:c r="D11" s="8"/>
      <x:c r="E11" s="8"/>
      <x:c r="F11" s="8"/>
      <x:c r="G11" s="8"/>
      <x:c r="H11" s="8"/>
      <x:c r="I11" s="8"/>
      <x:c r="J11" s="8"/>
      <x:c r="K11" s="9"/>
      <x:c r="L11" s="7" t="s">
        <x:v>426</x:v>
      </x:c>
      <x:c r="M11" s="10"/>
      <x:c r="N11" s="10"/>
      <x:c r="O11" s="10"/>
      <x:c r="P11" s="11"/>
      <x:c r="Q11" s="12">
        <x:f t="shared" si="0"/>
        <x:v>1</x:v>
      </x:c>
      <x:c r="R11" s="7" t="s">
        <x:v>426</x:v>
      </x:c>
      <x:c r="S11" s="10"/>
      <x:c r="T11" s="10"/>
      <x:c r="U11" s="10"/>
      <x:c r="V11" s="10"/>
      <x:c r="W11" s="11"/>
      <x:c r="X11" s="12">
        <x:f t="shared" si="1"/>
        <x:v>1</x:v>
      </x:c>
      <x:c r="Y11" s="7"/>
      <x:c r="Z11" s="10"/>
      <x:c r="AA11" s="10"/>
      <x:c r="AB11" s="10"/>
      <x:c r="AC11" s="10" t="s">
        <x:v>426</x:v>
      </x:c>
      <x:c r="AD11" s="12">
        <x:f t="shared" si="2"/>
        <x:v>1</x:v>
      </x:c>
      <x:c r="AE11" s="7"/>
      <x:c r="AF11" s="10" t="s">
        <x:v>426</x:v>
      </x:c>
      <x:c r="AG11" s="10"/>
      <x:c r="AH11" s="10"/>
      <x:c r="AI11" s="10"/>
      <x:c r="AJ11" s="11"/>
      <x:c r="AK11" s="12">
        <x:f t="shared" si="3"/>
        <x:v>1</x:v>
      </x:c>
      <x:c r="AL11" s="7" t="s">
        <x:v>426</x:v>
      </x:c>
      <x:c r="AM11" s="10"/>
      <x:c r="AN11" s="10"/>
      <x:c r="AO11" s="12">
        <x:f t="shared" si="4"/>
        <x:v>1</x:v>
      </x:c>
      <x:c r="AP11" s="7"/>
      <x:c r="AQ11" s="10"/>
      <x:c r="AR11" s="10"/>
      <x:c r="AS11" s="10"/>
      <x:c r="AT11" s="10"/>
      <x:c r="AU11" s="10"/>
      <x:c r="AV11" s="10" t="s">
        <x:v>426</x:v>
      </x:c>
      <x:c r="AW11" s="11" t="s">
        <x:v>438</x:v>
      </x:c>
      <x:c r="AX11" s="12">
        <x:f t="shared" si="5"/>
        <x:v>1</x:v>
      </x:c>
      <x:c r="AY11" s="7"/>
      <x:c r="AZ11" s="10"/>
      <x:c r="BA11" s="10"/>
      <x:c r="BB11" s="10"/>
      <x:c r="BC11" s="10"/>
      <x:c r="BD11" s="10"/>
      <x:c r="BE11" s="10"/>
      <x:c r="BF11" s="10" t="s">
        <x:v>426</x:v>
      </x:c>
      <x:c r="BG11" s="11" t="s">
        <x:v>438</x:v>
      </x:c>
      <x:c r="BH11" s="12">
        <x:f t="shared" si="6"/>
        <x:v>1</x:v>
      </x:c>
      <x:c r="BI11" s="7" t="s">
        <x:v>426</x:v>
      </x:c>
      <x:c r="BJ11" s="10"/>
      <x:c r="BK11" s="10"/>
      <x:c r="BL11" s="10"/>
      <x:c r="BM11" s="10"/>
      <x:c r="BN11" s="10"/>
      <x:c r="BO11" s="10"/>
      <x:c r="BP11" s="11"/>
      <x:c r="BQ11" s="12">
        <x:f t="shared" si="7"/>
        <x:v>1</x:v>
      </x:c>
      <x:c r="BR11" s="7"/>
      <x:c r="BS11" s="10" t="s">
        <x:v>426</x:v>
      </x:c>
      <x:c r="BT11" s="10"/>
      <x:c r="BU11" s="10"/>
      <x:c r="BV11" s="10"/>
      <x:c r="BW11" s="10"/>
      <x:c r="BX11" s="10"/>
      <x:c r="BY11" s="11"/>
      <x:c r="BZ11" s="12">
        <x:f t="shared" si="8"/>
        <x:v>1</x:v>
      </x:c>
      <x:c r="CA11" s="7" t="s">
        <x:v>426</x:v>
      </x:c>
      <x:c r="CB11" s="10"/>
      <x:c r="CC11" s="10"/>
      <x:c r="CD11" s="10"/>
      <x:c r="CE11" s="10"/>
      <x:c r="CF11" s="10"/>
      <x:c r="CG11" s="10"/>
      <x:c r="CH11" s="10"/>
      <x:c r="CI11" s="10"/>
      <x:c r="CJ11" s="10"/>
      <x:c r="CK11" s="11"/>
      <x:c r="CL11" s="12">
        <x:f t="shared" si="9"/>
        <x:v>1</x:v>
      </x:c>
      <x:c r="CM11" s="7"/>
      <x:c r="CN11" s="10"/>
      <x:c r="CO11" s="10"/>
      <x:c r="CP11" s="10"/>
      <x:c r="CQ11" s="10"/>
      <x:c r="CR11" s="10"/>
      <x:c r="CS11" s="10"/>
      <x:c r="CT11" s="10"/>
      <x:c r="CU11" s="10"/>
      <x:c r="CV11" s="10"/>
      <x:c r="CW11" s="10"/>
      <x:c r="CX11" s="10"/>
      <x:c r="CY11" s="10" t="s">
        <x:v>426</x:v>
      </x:c>
      <x:c r="CZ11" s="10"/>
      <x:c r="DA11" s="11"/>
      <x:c r="DB11" s="12">
        <x:f t="shared" si="10"/>
        <x:v>1</x:v>
      </x:c>
      <x:c r="DC11" s="7"/>
      <x:c r="DD11" s="12">
        <x:f t="shared" si="11"/>
        <x:v>0</x:v>
      </x:c>
      <x:c r="DE11" s="7" t="s">
        <x:v>426</x:v>
      </x:c>
      <x:c r="DF11" s="10"/>
      <x:c r="DG11" s="10"/>
      <x:c r="DH11" s="10"/>
      <x:c r="DI11" s="10"/>
      <x:c r="DJ11" s="10"/>
      <x:c r="DK11" s="10"/>
      <x:c r="DL11" s="10"/>
      <x:c r="DM11" s="11"/>
      <x:c r="DN11" s="12">
        <x:f t="shared" si="12"/>
        <x:v>1</x:v>
      </x:c>
      <x:c r="DO11" s="7" t="s">
        <x:v>426</x:v>
      </x:c>
      <x:c r="DP11" s="10"/>
      <x:c r="DQ11" s="10"/>
      <x:c r="DR11" s="10"/>
      <x:c r="DS11" s="10"/>
      <x:c r="DT11" s="12">
        <x:f t="shared" si="13"/>
        <x:v>1</x:v>
      </x:c>
      <x:c r="DU11" s="7" t="s">
        <x:v>426</x:v>
      </x:c>
      <x:c r="DV11" s="10"/>
      <x:c r="DW11" s="10"/>
      <x:c r="DX11" s="10"/>
      <x:c r="DY11" s="10"/>
      <x:c r="DZ11" s="10"/>
      <x:c r="EA11" s="10"/>
      <x:c r="EB11" s="10"/>
      <x:c r="EC11" s="10"/>
      <x:c r="ED11" s="11"/>
      <x:c r="EE11" s="12">
        <x:f t="shared" si="14"/>
        <x:v>1</x:v>
      </x:c>
      <x:c r="EF11" s="7"/>
      <x:c r="EG11" s="10"/>
      <x:c r="EH11" s="10"/>
      <x:c r="EI11" s="10"/>
      <x:c r="EJ11" s="10"/>
      <x:c r="EK11" s="10"/>
      <x:c r="EL11" s="10"/>
      <x:c r="EM11" s="10"/>
      <x:c r="EN11" s="10" t="s">
        <x:v>426</x:v>
      </x:c>
      <x:c r="EO11" s="10"/>
      <x:c r="EP11" s="11"/>
      <x:c r="EQ11" s="12">
        <x:f t="shared" si="15"/>
        <x:v>1</x:v>
      </x:c>
      <x:c r="ER11" s="7"/>
      <x:c r="ES11" s="10" t="s">
        <x:v>426</x:v>
      </x:c>
      <x:c r="ET11" s="10"/>
      <x:c r="EU11" s="10"/>
      <x:c r="EV11" s="12">
        <x:f t="shared" si="16"/>
        <x:v>1</x:v>
      </x:c>
      <x:c r="EW11" s="7"/>
      <x:c r="EX11" s="10"/>
      <x:c r="EY11" s="10"/>
      <x:c r="EZ11" s="10"/>
      <x:c r="FA11" s="10"/>
      <x:c r="FB11" s="10"/>
      <x:c r="FC11" s="10" t="s">
        <x:v>426</x:v>
      </x:c>
      <x:c r="FD11" s="10"/>
      <x:c r="FE11" s="11"/>
      <x:c r="FF11" s="12">
        <x:f t="shared" si="17"/>
        <x:v>1</x:v>
      </x:c>
      <x:c r="FG11" s="7" t="s">
        <x:v>426</x:v>
      </x:c>
      <x:c r="FH11" s="10"/>
      <x:c r="FI11" s="10"/>
      <x:c r="FJ11" s="10"/>
      <x:c r="FK11" s="10"/>
      <x:c r="FL11" s="10"/>
      <x:c r="FM11" s="10"/>
      <x:c r="FN11" s="10"/>
      <x:c r="FO11" s="10"/>
      <x:c r="FP11" s="10"/>
      <x:c r="FQ11" s="10"/>
      <x:c r="FR11" s="10"/>
      <x:c r="FS11" s="10"/>
      <x:c r="FT11" s="10"/>
      <x:c r="FU11" s="11"/>
      <x:c r="FV11" s="12">
        <x:f t="shared" si="18"/>
        <x:v>1</x:v>
      </x:c>
      <x:c r="FW11" s="7"/>
      <x:c r="FX11" s="10"/>
      <x:c r="FY11" s="10"/>
      <x:c r="FZ11" s="10"/>
      <x:c r="GA11" s="10"/>
      <x:c r="GB11" s="10"/>
      <x:c r="GC11" s="10" t="s">
        <x:v>426</x:v>
      </x:c>
      <x:c r="GD11" s="10"/>
      <x:c r="GE11" s="11"/>
      <x:c r="GF11" s="12">
        <x:f t="shared" si="19"/>
        <x:v>1</x:v>
      </x:c>
      <x:c r="GG11" s="7"/>
      <x:c r="GH11" s="10"/>
      <x:c r="GI11" s="10"/>
      <x:c r="GJ11" s="10"/>
      <x:c r="GK11" s="10"/>
      <x:c r="GL11" s="10" t="s">
        <x:v>426</x:v>
      </x:c>
      <x:c r="GM11" s="12">
        <x:f t="shared" si="20"/>
        <x:v>1</x:v>
      </x:c>
      <x:c r="GN11" s="7"/>
      <x:c r="GO11" s="10"/>
      <x:c r="GP11" s="10"/>
      <x:c r="GQ11" s="10"/>
      <x:c r="GR11" s="10"/>
      <x:c r="GS11" s="10" t="s">
        <x:v>426</x:v>
      </x:c>
      <x:c r="GT11" s="12">
        <x:f t="shared" si="21"/>
        <x:v>1</x:v>
      </x:c>
      <x:c r="GU11" s="7"/>
      <x:c r="GV11" s="10" t="s">
        <x:v>426</x:v>
      </x:c>
      <x:c r="GW11" s="10"/>
      <x:c r="GX11" s="10"/>
      <x:c r="GY11" s="12">
        <x:f t="shared" si="22"/>
        <x:v>1</x:v>
      </x:c>
      <x:c r="GZ11" s="7" t="s">
        <x:v>426</x:v>
      </x:c>
      <x:c r="HA11" s="10" t="s">
        <x:v>426</x:v>
      </x:c>
      <x:c r="HB11" s="10"/>
      <x:c r="HC11" s="10" t="s">
        <x:v>426</x:v>
      </x:c>
      <x:c r="HD11" s="10"/>
      <x:c r="HE11" s="10" t="s">
        <x:v>426</x:v>
      </x:c>
      <x:c r="HF11" s="10"/>
      <x:c r="HG11" s="10"/>
      <x:c r="HH11" s="10"/>
      <x:c r="HI11" s="10"/>
      <x:c r="HJ11" s="10"/>
      <x:c r="HK11" s="11"/>
      <x:c r="HL11" s="12">
        <x:f t="shared" si="23"/>
        <x:v>1</x:v>
      </x:c>
      <x:c r="HM11" s="7"/>
      <x:c r="HN11" s="10"/>
      <x:c r="HO11" s="10"/>
      <x:c r="HP11" s="10"/>
      <x:c r="HQ11" s="10"/>
      <x:c r="HR11" s="10"/>
      <x:c r="HS11" s="10"/>
      <x:c r="HT11" s="10" t="s">
        <x:v>426</x:v>
      </x:c>
      <x:c r="HU11" s="10"/>
      <x:c r="HV11" s="11"/>
      <x:c r="HW11" s="12">
        <x:f t="shared" si="24"/>
        <x:v>1</x:v>
      </x:c>
      <x:c r="HX11" s="7"/>
      <x:c r="HY11" s="10"/>
      <x:c r="HZ11" s="10" t="s">
        <x:v>426</x:v>
      </x:c>
      <x:c r="IA11" s="10"/>
      <x:c r="IB11" s="10"/>
      <x:c r="IC11" s="12">
        <x:f t="shared" si="25"/>
        <x:v>1</x:v>
      </x:c>
      <x:c r="ID11" s="7"/>
      <x:c r="IE11" s="10" t="s">
        <x:v>426</x:v>
      </x:c>
      <x:c r="IF11" s="10"/>
      <x:c r="IG11" s="10"/>
      <x:c r="IH11" s="10" t="s">
        <x:v>426</x:v>
      </x:c>
      <x:c r="II11" s="10"/>
      <x:c r="IJ11" s="10"/>
      <x:c r="IK11" s="10" t="s">
        <x:v>426</x:v>
      </x:c>
      <x:c r="IL11" s="10"/>
      <x:c r="IM11" s="10"/>
      <x:c r="IN11" s="11"/>
      <x:c r="IO11" s="12">
        <x:f t="shared" si="26"/>
        <x:v>1</x:v>
      </x:c>
      <x:c r="IP11" s="7"/>
      <x:c r="IQ11" s="10" t="s">
        <x:v>426</x:v>
      </x:c>
      <x:c r="IR11" s="10"/>
      <x:c r="IS11" s="10"/>
      <x:c r="IT11" s="10"/>
      <x:c r="IU11" s="10"/>
      <x:c r="IV11" s="10"/>
      <x:c r="IW11" s="10"/>
      <x:c r="IX11" s="11"/>
      <x:c r="IY11" s="12">
        <x:f t="shared" si="27"/>
        <x:v>1</x:v>
      </x:c>
      <x:c r="IZ11" s="7"/>
      <x:c r="JA11" s="10"/>
      <x:c r="JB11" s="10"/>
      <x:c r="JC11" s="10"/>
      <x:c r="JD11" s="10"/>
      <x:c r="JE11" s="10"/>
      <x:c r="JF11" s="10"/>
      <x:c r="JG11" s="10"/>
      <x:c r="JH11" s="10"/>
      <x:c r="JI11" s="10"/>
      <x:c r="JJ11" s="10"/>
      <x:c r="JK11" s="10"/>
      <x:c r="JL11" s="10"/>
      <x:c r="JM11" s="10"/>
      <x:c r="JN11" s="10"/>
      <x:c r="JO11" s="10"/>
      <x:c r="JP11" s="10"/>
      <x:c r="JQ11" s="10"/>
      <x:c r="JR11" s="10" t="s">
        <x:v>426</x:v>
      </x:c>
      <x:c r="JS11" s="12">
        <x:f t="shared" si="28"/>
        <x:v>1</x:v>
      </x:c>
      <x:c r="JT11" s="7"/>
      <x:c r="JU11" s="10"/>
      <x:c r="JV11" s="10"/>
      <x:c r="JW11" s="10"/>
      <x:c r="JX11" s="10" t="s">
        <x:v>426</x:v>
      </x:c>
      <x:c r="JY11" s="10"/>
      <x:c r="JZ11" s="10"/>
      <x:c r="KA11" s="10"/>
      <x:c r="KB11" s="10"/>
      <x:c r="KC11" s="10"/>
      <x:c r="KD11" s="10"/>
      <x:c r="KE11" s="10"/>
      <x:c r="KF11" s="10"/>
      <x:c r="KG11" s="10"/>
      <x:c r="KH11" s="10"/>
      <x:c r="KI11" s="10"/>
      <x:c r="KJ11" s="10"/>
      <x:c r="KK11" s="10"/>
      <x:c r="KL11" s="10"/>
      <x:c r="KM11" s="12">
        <x:f t="shared" si="29"/>
        <x:v>1</x:v>
      </x:c>
      <x:c r="KN11" s="7"/>
      <x:c r="KO11" s="10"/>
      <x:c r="KP11" s="10"/>
      <x:c r="KQ11" s="10"/>
      <x:c r="KR11" s="10" t="s">
        <x:v>426</x:v>
      </x:c>
      <x:c r="KS11" s="10"/>
      <x:c r="KT11" s="10"/>
      <x:c r="KU11" s="10"/>
      <x:c r="KV11" s="10"/>
      <x:c r="KW11" s="10"/>
      <x:c r="KX11" s="10"/>
      <x:c r="KY11" s="10"/>
      <x:c r="KZ11" s="10"/>
      <x:c r="LA11" s="10"/>
      <x:c r="LB11" s="10"/>
      <x:c r="LC11" s="10"/>
      <x:c r="LD11" s="10"/>
      <x:c r="LE11" s="10"/>
      <x:c r="LF11" s="10"/>
      <x:c r="LG11" s="12">
        <x:f t="shared" si="30"/>
        <x:v>1</x:v>
      </x:c>
      <x:c r="LH11" s="7"/>
      <x:c r="LI11" s="10"/>
      <x:c r="LJ11" s="10"/>
      <x:c r="LK11" s="10"/>
      <x:c r="LL11" s="10"/>
      <x:c r="LM11" s="10"/>
      <x:c r="LN11" s="10" t="s">
        <x:v>426</x:v>
      </x:c>
      <x:c r="LO11" s="10"/>
      <x:c r="LP11" s="10"/>
      <x:c r="LQ11" s="11"/>
      <x:c r="LR11" s="12">
        <x:f t="shared" si="31"/>
        <x:v>1</x:v>
      </x:c>
      <x:c r="LS11" s="7"/>
      <x:c r="LT11" s="10" t="s">
        <x:v>426</x:v>
      </x:c>
      <x:c r="LU11" s="10"/>
      <x:c r="LV11" s="10"/>
      <x:c r="LW11" s="10"/>
      <x:c r="LX11" s="10"/>
      <x:c r="LY11" s="10"/>
      <x:c r="LZ11" s="10"/>
      <x:c r="MA11" s="10"/>
      <x:c r="MB11" s="11"/>
      <x:c r="MC11" s="12">
        <x:f t="shared" si="32"/>
        <x:v>1</x:v>
      </x:c>
      <x:c r="MD11" s="7"/>
      <x:c r="ME11" s="10"/>
      <x:c r="MF11" s="10"/>
      <x:c r="MG11" s="10"/>
      <x:c r="MH11" s="10"/>
      <x:c r="MI11" s="10"/>
      <x:c r="MJ11" s="10" t="s">
        <x:v>426</x:v>
      </x:c>
      <x:c r="MK11" s="12">
        <x:f t="shared" si="33"/>
        <x:v>1</x:v>
      </x:c>
      <x:c r="ML11" s="7"/>
      <x:c r="MM11" s="10" t="s">
        <x:v>426</x:v>
      </x:c>
      <x:c r="MN11" s="10"/>
      <x:c r="MO11" s="10"/>
      <x:c r="MP11" s="10"/>
      <x:c r="MQ11" s="10"/>
      <x:c r="MR11" s="10"/>
      <x:c r="MS11" s="10"/>
      <x:c r="MT11" s="10"/>
      <x:c r="MU11" s="11"/>
      <x:c r="MV11" s="12">
        <x:f t="shared" si="34"/>
        <x:v>1</x:v>
      </x:c>
      <x:c r="MW11" s="7"/>
      <x:c r="MX11" s="10"/>
      <x:c r="MY11" s="10"/>
      <x:c r="MZ11" s="10"/>
      <x:c r="NA11" s="10"/>
      <x:c r="NB11" s="10"/>
      <x:c r="NC11" s="10"/>
      <x:c r="ND11" s="10" t="s">
        <x:v>426</x:v>
      </x:c>
      <x:c r="NE11" s="10"/>
      <x:c r="NF11" s="11"/>
      <x:c r="NG11" s="12">
        <x:f t="shared" si="35"/>
        <x:v>1</x:v>
      </x:c>
      <x:c r="NH11" s="7"/>
      <x:c r="NI11" s="10"/>
      <x:c r="NJ11" s="10"/>
      <x:c r="NK11" s="10"/>
      <x:c r="NL11" s="10"/>
      <x:c r="NM11" s="10"/>
      <x:c r="NN11" s="10"/>
      <x:c r="NO11" s="10"/>
      <x:c r="NP11" s="10" t="s">
        <x:v>426</x:v>
      </x:c>
      <x:c r="NQ11" s="10"/>
      <x:c r="NR11" s="11"/>
      <x:c r="NS11" s="12">
        <x:f t="shared" si="36"/>
        <x:v>1</x:v>
      </x:c>
      <x:c r="NT11" s="7"/>
      <x:c r="NU11" s="10"/>
      <x:c r="NV11" s="10"/>
      <x:c r="NW11" s="10" t="s">
        <x:v>426</x:v>
      </x:c>
      <x:c r="NX11" s="10"/>
      <x:c r="NY11" s="12">
        <x:f t="shared" si="37"/>
        <x:v>1</x:v>
      </x:c>
      <x:c r="NZ11" s="7"/>
      <x:c r="OA11" s="10"/>
      <x:c r="OB11" s="10"/>
      <x:c r="OC11" s="10"/>
      <x:c r="OD11" s="10"/>
      <x:c r="OE11" s="10"/>
      <x:c r="OF11" s="10"/>
      <x:c r="OG11" s="10"/>
      <x:c r="OH11" s="10"/>
      <x:c r="OI11" s="10" t="s">
        <x:v>426</x:v>
      </x:c>
      <x:c r="OJ11" s="10"/>
      <x:c r="OK11" s="11"/>
      <x:c r="OL11" s="12">
        <x:f t="shared" si="38"/>
        <x:v>1</x:v>
      </x:c>
      <x:c r="OM11" s="7"/>
      <x:c r="ON11" s="10"/>
      <x:c r="OO11" s="10"/>
      <x:c r="OP11" s="10"/>
      <x:c r="OQ11" s="10"/>
      <x:c r="OR11" s="10"/>
      <x:c r="OS11" s="10"/>
      <x:c r="OT11" s="10" t="s">
        <x:v>426</x:v>
      </x:c>
      <x:c r="OU11" s="10"/>
      <x:c r="OV11" s="11"/>
      <x:c r="OW11" s="12">
        <x:f t="shared" si="39"/>
        <x:v>1</x:v>
      </x:c>
      <x:c r="OX11" s="7"/>
      <x:c r="OY11" s="10"/>
      <x:c r="OZ11" s="10"/>
      <x:c r="PA11" s="10"/>
      <x:c r="PB11" s="10" t="s">
        <x:v>426</x:v>
      </x:c>
      <x:c r="PC11" s="12">
        <x:f t="shared" si="40"/>
        <x:v>1</x:v>
      </x:c>
      <x:c r="PD11" s="7" t="s">
        <x:v>426</x:v>
      </x:c>
      <x:c r="PE11" s="10"/>
      <x:c r="PF11" s="10" t="s">
        <x:v>426</x:v>
      </x:c>
      <x:c r="PG11" s="10" t="s">
        <x:v>426</x:v>
      </x:c>
      <x:c r="PH11" s="10"/>
      <x:c r="PI11" s="10"/>
      <x:c r="PJ11" s="10" t="s">
        <x:v>426</x:v>
      </x:c>
      <x:c r="PK11" s="10"/>
      <x:c r="PL11" s="10"/>
      <x:c r="PM11" s="10"/>
      <x:c r="PN11" s="11"/>
      <x:c r="PO11" s="12">
        <x:f t="shared" si="41"/>
        <x:v>1</x:v>
      </x:c>
      <x:c r="PP11" s="7"/>
      <x:c r="PQ11" s="10"/>
      <x:c r="PR11" s="10" t="s">
        <x:v>426</x:v>
      </x:c>
      <x:c r="PS11" s="10"/>
      <x:c r="PT11" s="12">
        <x:f t="shared" si="42"/>
        <x:v>1</x:v>
      </x:c>
      <x:c r="PU11" s="7"/>
      <x:c r="PV11" s="10"/>
      <x:c r="PW11" s="10"/>
      <x:c r="PX11" s="10" t="s">
        <x:v>426</x:v>
      </x:c>
      <x:c r="PY11" s="10"/>
      <x:c r="PZ11" s="10" t="s">
        <x:v>426</x:v>
      </x:c>
      <x:c r="QA11" s="10" t="s">
        <x:v>426</x:v>
      </x:c>
      <x:c r="QB11" s="10" t="s">
        <x:v>426</x:v>
      </x:c>
      <x:c r="QC11" s="10"/>
      <x:c r="QD11" s="11"/>
      <x:c r="QE11" s="12">
        <x:f t="shared" si="43"/>
        <x:v>1</x:v>
      </x:c>
      <x:c r="QF11" s="7"/>
      <x:c r="QG11" s="10" t="s">
        <x:v>426</x:v>
      </x:c>
      <x:c r="QH11" s="10"/>
      <x:c r="QI11" s="10" t="s">
        <x:v>426</x:v>
      </x:c>
      <x:c r="QJ11" s="10"/>
      <x:c r="QK11" s="10"/>
      <x:c r="QL11" s="10"/>
      <x:c r="QM11" s="10"/>
      <x:c r="QN11" s="10"/>
      <x:c r="QO11" s="11"/>
      <x:c r="QP11" s="12">
        <x:f t="shared" si="44"/>
        <x:v>1</x:v>
      </x:c>
      <x:c r="QQ11" s="7"/>
      <x:c r="QR11" s="10"/>
      <x:c r="QS11" s="10" t="s">
        <x:v>426</x:v>
      </x:c>
      <x:c r="QT11" s="10"/>
      <x:c r="QU11" s="10"/>
      <x:c r="QV11" s="10"/>
      <x:c r="QW11" s="10"/>
      <x:c r="QX11" s="10" t="s">
        <x:v>426</x:v>
      </x:c>
      <x:c r="QY11" s="10"/>
      <x:c r="QZ11" s="11"/>
      <x:c r="RA11" s="12">
        <x:f t="shared" si="45"/>
        <x:v>1</x:v>
      </x:c>
      <x:c r="RB11" s="7"/>
      <x:c r="RC11" s="10" t="s">
        <x:v>426</x:v>
      </x:c>
      <x:c r="RD11" s="10"/>
      <x:c r="RE11" s="10"/>
      <x:c r="RF11" s="10"/>
      <x:c r="RG11" s="10"/>
      <x:c r="RH11" s="10" t="s">
        <x:v>426</x:v>
      </x:c>
      <x:c r="RI11" s="10"/>
      <x:c r="RJ11" s="11"/>
      <x:c r="RK11" s="12">
        <x:f t="shared" si="46"/>
        <x:v>1</x:v>
      </x:c>
      <x:c r="RL11" s="7"/>
      <x:c r="RM11" s="10"/>
      <x:c r="RN11" s="10"/>
      <x:c r="RO11" s="10"/>
      <x:c r="RP11" s="10"/>
      <x:c r="RQ11" s="10"/>
      <x:c r="RR11" s="10"/>
      <x:c r="RS11" s="10"/>
      <x:c r="RT11" s="10"/>
      <x:c r="RU11" s="11"/>
      <x:c r="RV11" s="12">
        <x:f t="shared" si="47"/>
        <x:v>0</x:v>
      </x:c>
      <x:c r="RW11" s="7"/>
      <x:c r="RX11" s="12">
        <x:f t="shared" si="48"/>
        <x:v>0</x:v>
      </x:c>
    </x:row>
    <x:row r="12" ht="16.5">
      <x:c r="A12" s="13" t="s">
        <x:v>439</x:v>
      </x:c>
      <x:c r="B12" s="14"/>
      <x:c r="C12" s="14"/>
      <x:c r="D12" s="14"/>
      <x:c r="E12" s="14"/>
      <x:c r="F12" s="14"/>
      <x:c r="G12" s="14"/>
      <x:c r="H12" s="14"/>
      <x:c r="I12" s="14"/>
      <x:c r="J12" s="14"/>
      <x:c r="K12" s="15"/>
      <x:c r="L12" s="13" t="s">
        <x:v>426</x:v>
      </x:c>
      <x:c r="M12" s="16"/>
      <x:c r="N12" s="16"/>
      <x:c r="O12" s="16"/>
      <x:c r="P12" s="17"/>
      <x:c r="Q12" s="12">
        <x:f t="shared" si="0"/>
        <x:v>1</x:v>
      </x:c>
      <x:c r="R12" s="13" t="s">
        <x:v>426</x:v>
      </x:c>
      <x:c r="S12" s="16"/>
      <x:c r="T12" s="16"/>
      <x:c r="U12" s="16"/>
      <x:c r="V12" s="16"/>
      <x:c r="W12" s="17"/>
      <x:c r="X12" s="12">
        <x:f t="shared" si="1"/>
        <x:v>1</x:v>
      </x:c>
      <x:c r="Y12" s="13"/>
      <x:c r="Z12" s="16"/>
      <x:c r="AA12" s="16"/>
      <x:c r="AB12" s="16"/>
      <x:c r="AC12" s="16" t="s">
        <x:v>426</x:v>
      </x:c>
      <x:c r="AD12" s="12">
        <x:f t="shared" si="2"/>
        <x:v>1</x:v>
      </x:c>
      <x:c r="AE12" s="13" t="s">
        <x:v>426</x:v>
      </x:c>
      <x:c r="AF12" s="16"/>
      <x:c r="AG12" s="16"/>
      <x:c r="AH12" s="16"/>
      <x:c r="AI12" s="16"/>
      <x:c r="AJ12" s="17"/>
      <x:c r="AK12" s="12">
        <x:f t="shared" si="3"/>
        <x:v>1</x:v>
      </x:c>
      <x:c r="AL12" s="13"/>
      <x:c r="AM12" s="16" t="s">
        <x:v>426</x:v>
      </x:c>
      <x:c r="AN12" s="16"/>
      <x:c r="AO12" s="12">
        <x:f t="shared" si="4"/>
        <x:v>1</x:v>
      </x:c>
      <x:c r="AP12" s="13"/>
      <x:c r="AQ12" s="16"/>
      <x:c r="AR12" s="16"/>
      <x:c r="AS12" s="16"/>
      <x:c r="AT12" s="16"/>
      <x:c r="AU12" s="16"/>
      <x:c r="AV12" s="16"/>
      <x:c r="AW12" s="17"/>
      <x:c r="AX12" s="12">
        <x:f t="shared" si="5"/>
        <x:v>0</x:v>
      </x:c>
      <x:c r="AY12" s="13"/>
      <x:c r="AZ12" s="16"/>
      <x:c r="BA12" s="16"/>
      <x:c r="BB12" s="16"/>
      <x:c r="BC12" s="16"/>
      <x:c r="BD12" s="16"/>
      <x:c r="BE12" s="16"/>
      <x:c r="BF12" s="16"/>
      <x:c r="BG12" s="17"/>
      <x:c r="BH12" s="12">
        <x:f t="shared" si="6"/>
        <x:v>0</x:v>
      </x:c>
      <x:c r="BI12" s="13"/>
      <x:c r="BJ12" s="16" t="s">
        <x:v>426</x:v>
      </x:c>
      <x:c r="BK12" s="16"/>
      <x:c r="BL12" s="16"/>
      <x:c r="BM12" s="16"/>
      <x:c r="BN12" s="16"/>
      <x:c r="BO12" s="16"/>
      <x:c r="BP12" s="17"/>
      <x:c r="BQ12" s="12">
        <x:f t="shared" si="7"/>
        <x:v>1</x:v>
      </x:c>
      <x:c r="BR12" s="13"/>
      <x:c r="BS12" s="16"/>
      <x:c r="BT12" s="16"/>
      <x:c r="BU12" s="16"/>
      <x:c r="BV12" s="16"/>
      <x:c r="BW12" s="16"/>
      <x:c r="BX12" s="16"/>
      <x:c r="BY12" s="17"/>
      <x:c r="BZ12" s="12">
        <x:f t="shared" si="8"/>
        <x:v>0</x:v>
      </x:c>
      <x:c r="CA12" s="13" t="s">
        <x:v>426</x:v>
      </x:c>
      <x:c r="CB12" s="16"/>
      <x:c r="CC12" s="16"/>
      <x:c r="CD12" s="16"/>
      <x:c r="CE12" s="16"/>
      <x:c r="CF12" s="16"/>
      <x:c r="CG12" s="16"/>
      <x:c r="CH12" s="16"/>
      <x:c r="CI12" s="16"/>
      <x:c r="CJ12" s="16"/>
      <x:c r="CK12" s="17"/>
      <x:c r="CL12" s="12">
        <x:f t="shared" si="9"/>
        <x:v>1</x:v>
      </x:c>
      <x:c r="CM12" s="13"/>
      <x:c r="CN12" s="16"/>
      <x:c r="CO12" s="16"/>
      <x:c r="CP12" s="16"/>
      <x:c r="CQ12" s="16"/>
      <x:c r="CR12" s="16"/>
      <x:c r="CS12" s="16"/>
      <x:c r="CT12" s="16"/>
      <x:c r="CU12" s="16"/>
      <x:c r="CV12" s="16"/>
      <x:c r="CW12" s="16"/>
      <x:c r="CX12" s="16"/>
      <x:c r="CY12" s="16"/>
      <x:c r="CZ12" s="16"/>
      <x:c r="DA12" s="17"/>
      <x:c r="DB12" s="12">
        <x:f t="shared" si="10"/>
        <x:v>0</x:v>
      </x:c>
      <x:c r="DC12" s="13"/>
      <x:c r="DD12" s="12">
        <x:f t="shared" si="11"/>
        <x:v>0</x:v>
      </x:c>
      <x:c r="DE12" s="13"/>
      <x:c r="DF12" s="16"/>
      <x:c r="DG12" s="16"/>
      <x:c r="DH12" s="16"/>
      <x:c r="DI12" s="16"/>
      <x:c r="DJ12" s="16"/>
      <x:c r="DK12" s="16"/>
      <x:c r="DL12" s="16"/>
      <x:c r="DM12" s="17"/>
      <x:c r="DN12" s="12">
        <x:f t="shared" si="12"/>
        <x:v>0</x:v>
      </x:c>
      <x:c r="DO12" s="13"/>
      <x:c r="DP12" s="16"/>
      <x:c r="DQ12" s="16"/>
      <x:c r="DR12" s="16"/>
      <x:c r="DS12" s="16"/>
      <x:c r="DT12" s="12">
        <x:f t="shared" si="13"/>
        <x:v>0</x:v>
      </x:c>
      <x:c r="DU12" s="13" t="s">
        <x:v>426</x:v>
      </x:c>
      <x:c r="DV12" s="16"/>
      <x:c r="DW12" s="16"/>
      <x:c r="DX12" s="16"/>
      <x:c r="DY12" s="16"/>
      <x:c r="DZ12" s="16"/>
      <x:c r="EA12" s="16"/>
      <x:c r="EB12" s="16"/>
      <x:c r="EC12" s="16"/>
      <x:c r="ED12" s="17"/>
      <x:c r="EE12" s="12">
        <x:f t="shared" si="14"/>
        <x:v>1</x:v>
      </x:c>
      <x:c r="EF12" s="13"/>
      <x:c r="EG12" s="16"/>
      <x:c r="EH12" s="16"/>
      <x:c r="EI12" s="16"/>
      <x:c r="EJ12" s="16"/>
      <x:c r="EK12" s="16"/>
      <x:c r="EL12" s="16"/>
      <x:c r="EM12" s="16"/>
      <x:c r="EN12" s="16"/>
      <x:c r="EO12" s="16"/>
      <x:c r="EP12" s="17"/>
      <x:c r="EQ12" s="12">
        <x:f t="shared" si="15"/>
        <x:v>0</x:v>
      </x:c>
      <x:c r="ER12" s="13" t="s">
        <x:v>426</x:v>
      </x:c>
      <x:c r="ES12" s="16"/>
      <x:c r="ET12" s="16"/>
      <x:c r="EU12" s="16"/>
      <x:c r="EV12" s="12">
        <x:f t="shared" si="16"/>
        <x:v>1</x:v>
      </x:c>
      <x:c r="EW12" s="13"/>
      <x:c r="EX12" s="16"/>
      <x:c r="EY12" s="16"/>
      <x:c r="EZ12" s="16"/>
      <x:c r="FA12" s="16"/>
      <x:c r="FB12" s="16"/>
      <x:c r="FC12" s="16" t="s">
        <x:v>426</x:v>
      </x:c>
      <x:c r="FD12" s="16"/>
      <x:c r="FE12" s="17"/>
      <x:c r="FF12" s="12">
        <x:f t="shared" si="17"/>
        <x:v>1</x:v>
      </x:c>
      <x:c r="FG12" s="13" t="s">
        <x:v>426</x:v>
      </x:c>
      <x:c r="FH12" s="16"/>
      <x:c r="FI12" s="16"/>
      <x:c r="FJ12" s="16"/>
      <x:c r="FK12" s="16"/>
      <x:c r="FL12" s="16"/>
      <x:c r="FM12" s="16"/>
      <x:c r="FN12" s="16"/>
      <x:c r="FO12" s="16"/>
      <x:c r="FP12" s="16"/>
      <x:c r="FQ12" s="16"/>
      <x:c r="FR12" s="16"/>
      <x:c r="FS12" s="16"/>
      <x:c r="FT12" s="16"/>
      <x:c r="FU12" s="17"/>
      <x:c r="FV12" s="12">
        <x:f t="shared" si="18"/>
        <x:v>1</x:v>
      </x:c>
      <x:c r="FW12" s="13"/>
      <x:c r="FX12" s="16"/>
      <x:c r="FY12" s="16"/>
      <x:c r="FZ12" s="16"/>
      <x:c r="GA12" s="16"/>
      <x:c r="GB12" s="16"/>
      <x:c r="GC12" s="16" t="s">
        <x:v>426</x:v>
      </x:c>
      <x:c r="GD12" s="16"/>
      <x:c r="GE12" s="17"/>
      <x:c r="GF12" s="12">
        <x:f t="shared" si="19"/>
        <x:v>1</x:v>
      </x:c>
      <x:c r="GG12" s="13"/>
      <x:c r="GH12" s="16"/>
      <x:c r="GI12" s="16"/>
      <x:c r="GJ12" s="16"/>
      <x:c r="GK12" s="16"/>
      <x:c r="GL12" s="16" t="s">
        <x:v>426</x:v>
      </x:c>
      <x:c r="GM12" s="12">
        <x:f t="shared" si="20"/>
        <x:v>1</x:v>
      </x:c>
      <x:c r="GN12" s="13"/>
      <x:c r="GO12" s="16"/>
      <x:c r="GP12" s="16"/>
      <x:c r="GQ12" s="16"/>
      <x:c r="GR12" s="16"/>
      <x:c r="GS12" s="16" t="s">
        <x:v>426</x:v>
      </x:c>
      <x:c r="GT12" s="12">
        <x:f t="shared" si="21"/>
        <x:v>1</x:v>
      </x:c>
      <x:c r="GU12" s="13"/>
      <x:c r="GV12" s="16" t="s">
        <x:v>426</x:v>
      </x:c>
      <x:c r="GW12" s="16"/>
      <x:c r="GX12" s="16"/>
      <x:c r="GY12" s="12">
        <x:f t="shared" si="22"/>
        <x:v>1</x:v>
      </x:c>
      <x:c r="GZ12" s="13" t="s">
        <x:v>426</x:v>
      </x:c>
      <x:c r="HA12" s="16"/>
      <x:c r="HB12" s="16"/>
      <x:c r="HC12" s="16"/>
      <x:c r="HD12" s="16"/>
      <x:c r="HE12" s="16"/>
      <x:c r="HF12" s="16"/>
      <x:c r="HG12" s="16"/>
      <x:c r="HH12" s="16"/>
      <x:c r="HI12" s="16"/>
      <x:c r="HJ12" s="16"/>
      <x:c r="HK12" s="17"/>
      <x:c r="HL12" s="12">
        <x:f t="shared" si="23"/>
        <x:v>1</x:v>
      </x:c>
      <x:c r="HM12" s="13"/>
      <x:c r="HN12" s="16"/>
      <x:c r="HO12" s="16"/>
      <x:c r="HP12" s="16"/>
      <x:c r="HQ12" s="16"/>
      <x:c r="HR12" s="16"/>
      <x:c r="HS12" s="16"/>
      <x:c r="HT12" s="16"/>
      <x:c r="HU12" s="16"/>
      <x:c r="HV12" s="17"/>
      <x:c r="HW12" s="12">
        <x:f t="shared" si="24"/>
        <x:v>0</x:v>
      </x:c>
      <x:c r="HX12" s="13"/>
      <x:c r="HY12" s="16" t="s">
        <x:v>426</x:v>
      </x:c>
      <x:c r="HZ12" s="16"/>
      <x:c r="IA12" s="16"/>
      <x:c r="IB12" s="16"/>
      <x:c r="IC12" s="12">
        <x:f t="shared" si="25"/>
        <x:v>1</x:v>
      </x:c>
      <x:c r="ID12" s="13"/>
      <x:c r="IE12" s="16"/>
      <x:c r="IF12" s="16"/>
      <x:c r="IG12" s="16"/>
      <x:c r="IH12" s="16"/>
      <x:c r="II12" s="16"/>
      <x:c r="IJ12" s="16"/>
      <x:c r="IK12" s="16"/>
      <x:c r="IL12" s="16"/>
      <x:c r="IM12" s="16"/>
      <x:c r="IN12" s="17"/>
      <x:c r="IO12" s="12">
        <x:f t="shared" si="26"/>
        <x:v>0</x:v>
      </x:c>
      <x:c r="IP12" s="13"/>
      <x:c r="IQ12" s="16"/>
      <x:c r="IR12" s="16"/>
      <x:c r="IS12" s="16"/>
      <x:c r="IT12" s="16"/>
      <x:c r="IU12" s="16"/>
      <x:c r="IV12" s="16"/>
      <x:c r="IW12" s="16"/>
      <x:c r="IX12" s="17"/>
      <x:c r="IY12" s="12">
        <x:f t="shared" si="27"/>
        <x:v>0</x:v>
      </x:c>
      <x:c r="IZ12" s="13"/>
      <x:c r="JA12" s="16"/>
      <x:c r="JB12" s="16"/>
      <x:c r="JC12" s="16"/>
      <x:c r="JD12" s="16"/>
      <x:c r="JE12" s="16"/>
      <x:c r="JF12" s="16"/>
      <x:c r="JG12" s="16"/>
      <x:c r="JH12" s="16"/>
      <x:c r="JI12" s="16"/>
      <x:c r="JJ12" s="16"/>
      <x:c r="JK12" s="16"/>
      <x:c r="JL12" s="16"/>
      <x:c r="JM12" s="16"/>
      <x:c r="JN12" s="16"/>
      <x:c r="JO12" s="16"/>
      <x:c r="JP12" s="16"/>
      <x:c r="JQ12" s="16"/>
      <x:c r="JR12" s="16" t="s">
        <x:v>426</x:v>
      </x:c>
      <x:c r="JS12" s="12">
        <x:f t="shared" si="28"/>
        <x:v>1</x:v>
      </x:c>
      <x:c r="JT12" s="13"/>
      <x:c r="JU12" s="16"/>
      <x:c r="JV12" s="16"/>
      <x:c r="JW12" s="16"/>
      <x:c r="JX12" s="16"/>
      <x:c r="JY12" s="16"/>
      <x:c r="JZ12" s="16"/>
      <x:c r="KA12" s="16"/>
      <x:c r="KB12" s="16"/>
      <x:c r="KC12" s="16"/>
      <x:c r="KD12" s="16"/>
      <x:c r="KE12" s="16"/>
      <x:c r="KF12" s="16"/>
      <x:c r="KG12" s="16"/>
      <x:c r="KH12" s="16"/>
      <x:c r="KI12" s="16"/>
      <x:c r="KJ12" s="16"/>
      <x:c r="KK12" s="16"/>
      <x:c r="KL12" s="16"/>
      <x:c r="KM12" s="12">
        <x:f t="shared" si="29"/>
        <x:v>0</x:v>
      </x:c>
      <x:c r="KN12" s="13"/>
      <x:c r="KO12" s="16"/>
      <x:c r="KP12" s="16"/>
      <x:c r="KQ12" s="16"/>
      <x:c r="KR12" s="16"/>
      <x:c r="KS12" s="16"/>
      <x:c r="KT12" s="16"/>
      <x:c r="KU12" s="16"/>
      <x:c r="KV12" s="16"/>
      <x:c r="KW12" s="16"/>
      <x:c r="KX12" s="16"/>
      <x:c r="KY12" s="16"/>
      <x:c r="KZ12" s="16"/>
      <x:c r="LA12" s="16"/>
      <x:c r="LB12" s="16"/>
      <x:c r="LC12" s="16"/>
      <x:c r="LD12" s="16"/>
      <x:c r="LE12" s="16"/>
      <x:c r="LF12" s="16"/>
      <x:c r="LG12" s="12">
        <x:f t="shared" si="30"/>
        <x:v>0</x:v>
      </x:c>
      <x:c r="LH12" s="13"/>
      <x:c r="LI12" s="16"/>
      <x:c r="LJ12" s="16"/>
      <x:c r="LK12" s="16"/>
      <x:c r="LL12" s="16"/>
      <x:c r="LM12" s="16"/>
      <x:c r="LN12" s="16"/>
      <x:c r="LO12" s="16"/>
      <x:c r="LP12" s="16"/>
      <x:c r="LQ12" s="17"/>
      <x:c r="LR12" s="12">
        <x:f t="shared" si="31"/>
        <x:v>0</x:v>
      </x:c>
      <x:c r="LS12" s="13"/>
      <x:c r="LT12" s="16"/>
      <x:c r="LU12" s="16"/>
      <x:c r="LV12" s="16"/>
      <x:c r="LW12" s="16"/>
      <x:c r="LX12" s="16"/>
      <x:c r="LY12" s="16"/>
      <x:c r="LZ12" s="16"/>
      <x:c r="MA12" s="16"/>
      <x:c r="MB12" s="17"/>
      <x:c r="MC12" s="12">
        <x:f t="shared" si="32"/>
        <x:v>0</x:v>
      </x:c>
      <x:c r="MD12" s="13"/>
      <x:c r="ME12" s="16"/>
      <x:c r="MF12" s="16"/>
      <x:c r="MG12" s="16"/>
      <x:c r="MH12" s="16"/>
      <x:c r="MI12" s="16"/>
      <x:c r="MJ12" s="16" t="s">
        <x:v>426</x:v>
      </x:c>
      <x:c r="MK12" s="12">
        <x:f t="shared" si="33"/>
        <x:v>1</x:v>
      </x:c>
      <x:c r="ML12" s="13"/>
      <x:c r="MM12" s="16"/>
      <x:c r="MN12" s="16"/>
      <x:c r="MO12" s="16"/>
      <x:c r="MP12" s="16"/>
      <x:c r="MQ12" s="16"/>
      <x:c r="MR12" s="16" t="s">
        <x:v>426</x:v>
      </x:c>
      <x:c r="MS12" s="16"/>
      <x:c r="MT12" s="16"/>
      <x:c r="MU12" s="17"/>
      <x:c r="MV12" s="12">
        <x:f t="shared" si="34"/>
        <x:v>1</x:v>
      </x:c>
      <x:c r="MW12" s="13"/>
      <x:c r="MX12" s="16"/>
      <x:c r="MY12" s="16"/>
      <x:c r="MZ12" s="16"/>
      <x:c r="NA12" s="16"/>
      <x:c r="NB12" s="16"/>
      <x:c r="NC12" s="16" t="s">
        <x:v>426</x:v>
      </x:c>
      <x:c r="ND12" s="16"/>
      <x:c r="NE12" s="16"/>
      <x:c r="NF12" s="17"/>
      <x:c r="NG12" s="12">
        <x:f t="shared" si="35"/>
        <x:v>1</x:v>
      </x:c>
      <x:c r="NH12" s="13"/>
      <x:c r="NI12" s="16"/>
      <x:c r="NJ12" s="16"/>
      <x:c r="NK12" s="16"/>
      <x:c r="NL12" s="16"/>
      <x:c r="NM12" s="16"/>
      <x:c r="NN12" s="16"/>
      <x:c r="NO12" s="16"/>
      <x:c r="NP12" s="16" t="s">
        <x:v>426</x:v>
      </x:c>
      <x:c r="NQ12" s="16"/>
      <x:c r="NR12" s="17"/>
      <x:c r="NS12" s="12">
        <x:f t="shared" si="36"/>
        <x:v>1</x:v>
      </x:c>
      <x:c r="NT12" s="13"/>
      <x:c r="NU12" s="16"/>
      <x:c r="NV12" s="16" t="s">
        <x:v>426</x:v>
      </x:c>
      <x:c r="NW12" s="16"/>
      <x:c r="NX12" s="16"/>
      <x:c r="NY12" s="12">
        <x:f t="shared" si="37"/>
        <x:v>1</x:v>
      </x:c>
      <x:c r="NZ12" s="13"/>
      <x:c r="OA12" s="16"/>
      <x:c r="OB12" s="16"/>
      <x:c r="OC12" s="16"/>
      <x:c r="OD12" s="16"/>
      <x:c r="OE12" s="16"/>
      <x:c r="OF12" s="16"/>
      <x:c r="OG12" s="16"/>
      <x:c r="OH12" s="16"/>
      <x:c r="OI12" s="16"/>
      <x:c r="OJ12" s="16"/>
      <x:c r="OK12" s="17"/>
      <x:c r="OL12" s="12">
        <x:f t="shared" si="38"/>
        <x:v>0</x:v>
      </x:c>
      <x:c r="OM12" s="13" t="s">
        <x:v>426</x:v>
      </x:c>
      <x:c r="ON12" s="16"/>
      <x:c r="OO12" s="16"/>
      <x:c r="OP12" s="16"/>
      <x:c r="OQ12" s="16"/>
      <x:c r="OR12" s="16"/>
      <x:c r="OS12" s="16"/>
      <x:c r="OT12" s="16"/>
      <x:c r="OU12" s="16"/>
      <x:c r="OV12" s="17"/>
      <x:c r="OW12" s="12">
        <x:f t="shared" si="39"/>
        <x:v>1</x:v>
      </x:c>
      <x:c r="OX12" s="13"/>
      <x:c r="OY12" s="16"/>
      <x:c r="OZ12" s="16"/>
      <x:c r="PA12" s="16"/>
      <x:c r="PB12" s="16"/>
      <x:c r="PC12" s="12">
        <x:f t="shared" si="40"/>
        <x:v>0</x:v>
      </x:c>
      <x:c r="PD12" s="13"/>
      <x:c r="PE12" s="16" t="s">
        <x:v>426</x:v>
      </x:c>
      <x:c r="PF12" s="16" t="s">
        <x:v>426</x:v>
      </x:c>
      <x:c r="PG12" s="16"/>
      <x:c r="PH12" s="16"/>
      <x:c r="PI12" s="16"/>
      <x:c r="PJ12" s="16" t="s">
        <x:v>426</x:v>
      </x:c>
      <x:c r="PK12" s="16"/>
      <x:c r="PL12" s="16"/>
      <x:c r="PM12" s="16"/>
      <x:c r="PN12" s="17"/>
      <x:c r="PO12" s="12">
        <x:f t="shared" si="41"/>
        <x:v>1</x:v>
      </x:c>
      <x:c r="PP12" s="13"/>
      <x:c r="PQ12" s="16"/>
      <x:c r="PR12" s="16"/>
      <x:c r="PS12" s="16"/>
      <x:c r="PT12" s="12">
        <x:f t="shared" si="42"/>
        <x:v>0</x:v>
      </x:c>
      <x:c r="PU12" s="13"/>
      <x:c r="PV12" s="16" t="s">
        <x:v>426</x:v>
      </x:c>
      <x:c r="PW12" s="16"/>
      <x:c r="PX12" s="16" t="s">
        <x:v>426</x:v>
      </x:c>
      <x:c r="PY12" s="16"/>
      <x:c r="PZ12" s="16"/>
      <x:c r="QA12" s="16"/>
      <x:c r="QB12" s="16"/>
      <x:c r="QC12" s="16"/>
      <x:c r="QD12" s="17"/>
      <x:c r="QE12" s="12">
        <x:f t="shared" si="43"/>
        <x:v>1</x:v>
      </x:c>
      <x:c r="QF12" s="13"/>
      <x:c r="QG12" s="16"/>
      <x:c r="QH12" s="16"/>
      <x:c r="QI12" s="16"/>
      <x:c r="QJ12" s="16"/>
      <x:c r="QK12" s="16"/>
      <x:c r="QL12" s="16"/>
      <x:c r="QM12" s="16"/>
      <x:c r="QN12" s="16"/>
      <x:c r="QO12" s="17"/>
      <x:c r="QP12" s="12">
        <x:f t="shared" si="44"/>
        <x:v>0</x:v>
      </x:c>
      <x:c r="QQ12" s="13" t="s">
        <x:v>426</x:v>
      </x:c>
      <x:c r="QR12" s="16"/>
      <x:c r="QS12" s="16"/>
      <x:c r="QT12" s="16"/>
      <x:c r="QU12" s="16"/>
      <x:c r="QV12" s="16"/>
      <x:c r="QW12" s="16"/>
      <x:c r="QX12" s="16"/>
      <x:c r="QY12" s="16"/>
      <x:c r="QZ12" s="17"/>
      <x:c r="RA12" s="12">
        <x:f t="shared" si="45"/>
        <x:v>1</x:v>
      </x:c>
      <x:c r="RB12" s="13"/>
      <x:c r="RC12" s="16"/>
      <x:c r="RD12" s="16"/>
      <x:c r="RE12" s="16"/>
      <x:c r="RF12" s="16" t="s">
        <x:v>426</x:v>
      </x:c>
      <x:c r="RG12" s="16"/>
      <x:c r="RH12" s="16"/>
      <x:c r="RI12" s="16"/>
      <x:c r="RJ12" s="17"/>
      <x:c r="RK12" s="12">
        <x:f t="shared" si="46"/>
        <x:v>1</x:v>
      </x:c>
      <x:c r="RL12" s="13"/>
      <x:c r="RM12" s="16"/>
      <x:c r="RN12" s="16"/>
      <x:c r="RO12" s="16"/>
      <x:c r="RP12" s="16"/>
      <x:c r="RQ12" s="16"/>
      <x:c r="RR12" s="16"/>
      <x:c r="RS12" s="16"/>
      <x:c r="RT12" s="16"/>
      <x:c r="RU12" s="17"/>
      <x:c r="RV12" s="12">
        <x:f t="shared" si="47"/>
        <x:v>0</x:v>
      </x:c>
      <x:c r="RW12" s="13"/>
      <x:c r="RX12" s="12">
        <x:f t="shared" si="48"/>
        <x:v>0</x:v>
      </x:c>
    </x:row>
    <x:row r="13" ht="16.5">
      <x:c r="A13" s="7" t="s">
        <x:v>440</x:v>
      </x:c>
      <x:c r="B13" s="8"/>
      <x:c r="C13" s="8"/>
      <x:c r="D13" s="8"/>
      <x:c r="E13" s="8"/>
      <x:c r="F13" s="8"/>
      <x:c r="G13" s="8"/>
      <x:c r="H13" s="8"/>
      <x:c r="I13" s="8"/>
      <x:c r="J13" s="8"/>
      <x:c r="K13" s="9"/>
      <x:c r="L13" s="7"/>
      <x:c r="M13" s="10" t="s">
        <x:v>426</x:v>
      </x:c>
      <x:c r="N13" s="10"/>
      <x:c r="O13" s="10"/>
      <x:c r="P13" s="11"/>
      <x:c r="Q13" s="12">
        <x:f t="shared" si="0"/>
        <x:v>1</x:v>
      </x:c>
      <x:c r="R13" s="7"/>
      <x:c r="S13" s="10" t="s">
        <x:v>426</x:v>
      </x:c>
      <x:c r="T13" s="10"/>
      <x:c r="U13" s="10"/>
      <x:c r="V13" s="10"/>
      <x:c r="W13" s="11"/>
      <x:c r="X13" s="12">
        <x:f t="shared" si="1"/>
        <x:v>1</x:v>
      </x:c>
      <x:c r="Y13" s="7"/>
      <x:c r="Z13" s="10"/>
      <x:c r="AA13" s="10"/>
      <x:c r="AB13" s="10"/>
      <x:c r="AC13" s="10" t="s">
        <x:v>426</x:v>
      </x:c>
      <x:c r="AD13" s="12">
        <x:f t="shared" si="2"/>
        <x:v>1</x:v>
      </x:c>
      <x:c r="AE13" s="7" t="s">
        <x:v>426</x:v>
      </x:c>
      <x:c r="AF13" s="10"/>
      <x:c r="AG13" s="10"/>
      <x:c r="AH13" s="10"/>
      <x:c r="AI13" s="10"/>
      <x:c r="AJ13" s="11"/>
      <x:c r="AK13" s="12">
        <x:f t="shared" si="3"/>
        <x:v>1</x:v>
      </x:c>
      <x:c r="AL13" s="7"/>
      <x:c r="AM13" s="10" t="s">
        <x:v>426</x:v>
      </x:c>
      <x:c r="AN13" s="10"/>
      <x:c r="AO13" s="12">
        <x:f t="shared" si="4"/>
        <x:v>1</x:v>
      </x:c>
      <x:c r="AP13" s="7" t="s">
        <x:v>426</x:v>
      </x:c>
      <x:c r="AQ13" s="10"/>
      <x:c r="AR13" s="10"/>
      <x:c r="AS13" s="10"/>
      <x:c r="AT13" s="10"/>
      <x:c r="AU13" s="10"/>
      <x:c r="AV13" s="10"/>
      <x:c r="AW13" s="11"/>
      <x:c r="AX13" s="12">
        <x:f t="shared" si="5"/>
        <x:v>1</x:v>
      </x:c>
      <x:c r="AY13" s="7" t="s">
        <x:v>426</x:v>
      </x:c>
      <x:c r="AZ13" s="10"/>
      <x:c r="BA13" s="10"/>
      <x:c r="BB13" s="10"/>
      <x:c r="BC13" s="10"/>
      <x:c r="BD13" s="10"/>
      <x:c r="BE13" s="10"/>
      <x:c r="BF13" s="10"/>
      <x:c r="BG13" s="11"/>
      <x:c r="BH13" s="12">
        <x:f t="shared" si="6"/>
        <x:v>1</x:v>
      </x:c>
      <x:c r="BI13" s="7"/>
      <x:c r="BJ13" s="10"/>
      <x:c r="BK13" s="10" t="s">
        <x:v>426</x:v>
      </x:c>
      <x:c r="BL13" s="10"/>
      <x:c r="BM13" s="10"/>
      <x:c r="BN13" s="10"/>
      <x:c r="BO13" s="10"/>
      <x:c r="BP13" s="11"/>
      <x:c r="BQ13" s="12">
        <x:f t="shared" si="7"/>
        <x:v>1</x:v>
      </x:c>
      <x:c r="BR13" s="7"/>
      <x:c r="BS13" s="10"/>
      <x:c r="BT13" s="10"/>
      <x:c r="BU13" s="10" t="s">
        <x:v>426</x:v>
      </x:c>
      <x:c r="BV13" s="10"/>
      <x:c r="BW13" s="10"/>
      <x:c r="BX13" s="10"/>
      <x:c r="BY13" s="11"/>
      <x:c r="BZ13" s="12">
        <x:f t="shared" si="8"/>
        <x:v>1</x:v>
      </x:c>
      <x:c r="CA13" s="7"/>
      <x:c r="CB13" s="10"/>
      <x:c r="CC13" s="10"/>
      <x:c r="CD13" s="10" t="s">
        <x:v>426</x:v>
      </x:c>
      <x:c r="CE13" s="10"/>
      <x:c r="CF13" s="10"/>
      <x:c r="CG13" s="10"/>
      <x:c r="CH13" s="10" t="s">
        <x:v>426</x:v>
      </x:c>
      <x:c r="CI13" s="10"/>
      <x:c r="CJ13" s="10"/>
      <x:c r="CK13" s="11"/>
      <x:c r="CL13" s="12">
        <x:f t="shared" si="9"/>
        <x:v>1</x:v>
      </x:c>
      <x:c r="CM13" s="7"/>
      <x:c r="CN13" s="10" t="s">
        <x:v>426</x:v>
      </x:c>
      <x:c r="CO13" s="10" t="s">
        <x:v>426</x:v>
      </x:c>
      <x:c r="CP13" s="10" t="s">
        <x:v>426</x:v>
      </x:c>
      <x:c r="CQ13" s="10" t="s">
        <x:v>426</x:v>
      </x:c>
      <x:c r="CR13" s="10"/>
      <x:c r="CS13" s="10"/>
      <x:c r="CT13" s="10"/>
      <x:c r="CU13" s="10"/>
      <x:c r="CV13" s="10"/>
      <x:c r="CW13" s="10"/>
      <x:c r="CX13" s="10"/>
      <x:c r="CY13" s="10"/>
      <x:c r="CZ13" s="10"/>
      <x:c r="DA13" s="11"/>
      <x:c r="DB13" s="12">
        <x:f t="shared" si="10"/>
        <x:v>1</x:v>
      </x:c>
      <x:c r="DC13" s="7"/>
      <x:c r="DD13" s="12">
        <x:f t="shared" si="11"/>
        <x:v>0</x:v>
      </x:c>
      <x:c r="DE13" s="7"/>
      <x:c r="DF13" s="10" t="s">
        <x:v>426</x:v>
      </x:c>
      <x:c r="DG13" s="10"/>
      <x:c r="DH13" s="10"/>
      <x:c r="DI13" s="10"/>
      <x:c r="DJ13" s="10"/>
      <x:c r="DK13" s="10"/>
      <x:c r="DL13" s="10"/>
      <x:c r="DM13" s="11"/>
      <x:c r="DN13" s="12">
        <x:f t="shared" si="12"/>
        <x:v>1</x:v>
      </x:c>
      <x:c r="DO13" s="7"/>
      <x:c r="DP13" s="10"/>
      <x:c r="DQ13" s="10"/>
      <x:c r="DR13" s="10" t="s">
        <x:v>426</x:v>
      </x:c>
      <x:c r="DS13" s="10"/>
      <x:c r="DT13" s="12">
        <x:f t="shared" si="13"/>
        <x:v>1</x:v>
      </x:c>
      <x:c r="DU13" s="7"/>
      <x:c r="DV13" s="10" t="s">
        <x:v>426</x:v>
      </x:c>
      <x:c r="DW13" s="10"/>
      <x:c r="DX13" s="10"/>
      <x:c r="DY13" s="10"/>
      <x:c r="DZ13" s="10"/>
      <x:c r="EA13" s="10"/>
      <x:c r="EB13" s="10" t="s">
        <x:v>426</x:v>
      </x:c>
      <x:c r="EC13" s="10"/>
      <x:c r="ED13" s="11"/>
      <x:c r="EE13" s="12">
        <x:f t="shared" si="14"/>
        <x:v>1</x:v>
      </x:c>
      <x:c r="EF13" s="7"/>
      <x:c r="EG13" s="10" t="s">
        <x:v>426</x:v>
      </x:c>
      <x:c r="EH13" s="10"/>
      <x:c r="EI13" s="10"/>
      <x:c r="EJ13" s="10"/>
      <x:c r="EK13" s="10"/>
      <x:c r="EL13" s="10"/>
      <x:c r="EM13" s="10"/>
      <x:c r="EN13" s="10"/>
      <x:c r="EO13" s="10"/>
      <x:c r="EP13" s="11"/>
      <x:c r="EQ13" s="12">
        <x:f t="shared" si="15"/>
        <x:v>1</x:v>
      </x:c>
      <x:c r="ER13" s="7" t="s">
        <x:v>426</x:v>
      </x:c>
      <x:c r="ES13" s="10"/>
      <x:c r="ET13" s="10"/>
      <x:c r="EU13" s="10"/>
      <x:c r="EV13" s="12">
        <x:f t="shared" si="16"/>
        <x:v>1</x:v>
      </x:c>
      <x:c r="EW13" s="7"/>
      <x:c r="EX13" s="10"/>
      <x:c r="EY13" s="10" t="s">
        <x:v>426</x:v>
      </x:c>
      <x:c r="EZ13" s="10"/>
      <x:c r="FA13" s="10"/>
      <x:c r="FB13" s="10"/>
      <x:c r="FC13" s="10"/>
      <x:c r="FD13" s="10"/>
      <x:c r="FE13" s="11"/>
      <x:c r="FF13" s="12">
        <x:f t="shared" si="17"/>
        <x:v>1</x:v>
      </x:c>
      <x:c r="FG13" s="7" t="s">
        <x:v>426</x:v>
      </x:c>
      <x:c r="FH13" s="10"/>
      <x:c r="FI13" s="10"/>
      <x:c r="FJ13" s="10"/>
      <x:c r="FK13" s="10"/>
      <x:c r="FL13" s="10"/>
      <x:c r="FM13" s="10"/>
      <x:c r="FN13" s="10"/>
      <x:c r="FO13" s="10"/>
      <x:c r="FP13" s="10"/>
      <x:c r="FQ13" s="10"/>
      <x:c r="FR13" s="10"/>
      <x:c r="FS13" s="10"/>
      <x:c r="FT13" s="10"/>
      <x:c r="FU13" s="11"/>
      <x:c r="FV13" s="12">
        <x:f t="shared" si="18"/>
        <x:v>1</x:v>
      </x:c>
      <x:c r="FW13" s="7"/>
      <x:c r="FX13" s="10"/>
      <x:c r="FY13" s="10"/>
      <x:c r="FZ13" s="10"/>
      <x:c r="GA13" s="10"/>
      <x:c r="GB13" s="10" t="s">
        <x:v>426</x:v>
      </x:c>
      <x:c r="GC13" s="10"/>
      <x:c r="GD13" s="10"/>
      <x:c r="GE13" s="11"/>
      <x:c r="GF13" s="12">
        <x:f t="shared" si="19"/>
        <x:v>1</x:v>
      </x:c>
      <x:c r="GG13" s="7"/>
      <x:c r="GH13" s="10"/>
      <x:c r="GI13" s="10"/>
      <x:c r="GJ13" s="10"/>
      <x:c r="GK13" s="10"/>
      <x:c r="GL13" s="10" t="s">
        <x:v>426</x:v>
      </x:c>
      <x:c r="GM13" s="12">
        <x:f t="shared" si="20"/>
        <x:v>1</x:v>
      </x:c>
      <x:c r="GN13" s="7"/>
      <x:c r="GO13" s="10"/>
      <x:c r="GP13" s="10"/>
      <x:c r="GQ13" s="10"/>
      <x:c r="GR13" s="10"/>
      <x:c r="GS13" s="10" t="s">
        <x:v>426</x:v>
      </x:c>
      <x:c r="GT13" s="12">
        <x:f t="shared" si="21"/>
        <x:v>1</x:v>
      </x:c>
      <x:c r="GU13" s="7" t="s">
        <x:v>426</x:v>
      </x:c>
      <x:c r="GV13" s="10"/>
      <x:c r="GW13" s="10"/>
      <x:c r="GX13" s="10"/>
      <x:c r="GY13" s="12">
        <x:f t="shared" si="22"/>
        <x:v>1</x:v>
      </x:c>
      <x:c r="GZ13" s="7" t="s">
        <x:v>426</x:v>
      </x:c>
      <x:c r="HA13" s="10" t="s">
        <x:v>426</x:v>
      </x:c>
      <x:c r="HB13" s="10" t="s">
        <x:v>426</x:v>
      </x:c>
      <x:c r="HC13" s="10"/>
      <x:c r="HD13" s="10"/>
      <x:c r="HE13" s="10" t="s">
        <x:v>426</x:v>
      </x:c>
      <x:c r="HF13" s="10" t="s">
        <x:v>426</x:v>
      </x:c>
      <x:c r="HG13" s="10"/>
      <x:c r="HH13" s="10"/>
      <x:c r="HI13" s="10"/>
      <x:c r="HJ13" s="10"/>
      <x:c r="HK13" s="11"/>
      <x:c r="HL13" s="12">
        <x:f t="shared" si="23"/>
        <x:v>1</x:v>
      </x:c>
      <x:c r="HM13" s="7"/>
      <x:c r="HN13" s="10"/>
      <x:c r="HO13" s="10"/>
      <x:c r="HP13" s="10"/>
      <x:c r="HQ13" s="10"/>
      <x:c r="HR13" s="10" t="s">
        <x:v>426</x:v>
      </x:c>
      <x:c r="HS13" s="10"/>
      <x:c r="HT13" s="10"/>
      <x:c r="HU13" s="10"/>
      <x:c r="HV13" s="11"/>
      <x:c r="HW13" s="12">
        <x:f t="shared" si="24"/>
        <x:v>1</x:v>
      </x:c>
      <x:c r="HX13" s="7"/>
      <x:c r="HY13" s="10"/>
      <x:c r="HZ13" s="10"/>
      <x:c r="IA13" s="10"/>
      <x:c r="IB13" s="10" t="s">
        <x:v>426</x:v>
      </x:c>
      <x:c r="IC13" s="12">
        <x:f t="shared" si="25"/>
        <x:v>1</x:v>
      </x:c>
      <x:c r="ID13" s="7" t="s">
        <x:v>426</x:v>
      </x:c>
      <x:c r="IE13" s="10" t="s">
        <x:v>426</x:v>
      </x:c>
      <x:c r="IF13" s="10"/>
      <x:c r="IG13" s="10"/>
      <x:c r="IH13" s="10" t="s">
        <x:v>426</x:v>
      </x:c>
      <x:c r="II13" s="10"/>
      <x:c r="IJ13" s="10" t="s">
        <x:v>426</x:v>
      </x:c>
      <x:c r="IK13" s="10"/>
      <x:c r="IL13" s="10"/>
      <x:c r="IM13" s="10"/>
      <x:c r="IN13" s="11"/>
      <x:c r="IO13" s="12">
        <x:f t="shared" si="26"/>
        <x:v>1</x:v>
      </x:c>
      <x:c r="IP13" s="7" t="s">
        <x:v>426</x:v>
      </x:c>
      <x:c r="IQ13" s="10"/>
      <x:c r="IR13" s="10"/>
      <x:c r="IS13" s="10" t="s">
        <x:v>426</x:v>
      </x:c>
      <x:c r="IT13" s="10" t="s">
        <x:v>426</x:v>
      </x:c>
      <x:c r="IU13" s="10"/>
      <x:c r="IV13" s="10"/>
      <x:c r="IW13" s="10"/>
      <x:c r="IX13" s="11"/>
      <x:c r="IY13" s="12">
        <x:f t="shared" si="27"/>
        <x:v>1</x:v>
      </x:c>
      <x:c r="IZ13" s="7"/>
      <x:c r="JA13" s="10"/>
      <x:c r="JB13" s="10"/>
      <x:c r="JC13" s="10"/>
      <x:c r="JD13" s="10"/>
      <x:c r="JE13" s="10"/>
      <x:c r="JF13" s="10"/>
      <x:c r="JG13" s="10"/>
      <x:c r="JH13" s="10"/>
      <x:c r="JI13" s="10"/>
      <x:c r="JJ13" s="10"/>
      <x:c r="JK13" s="10" t="s">
        <x:v>426</x:v>
      </x:c>
      <x:c r="JL13" s="10"/>
      <x:c r="JM13" s="10"/>
      <x:c r="JN13" s="10"/>
      <x:c r="JO13" s="10"/>
      <x:c r="JP13" s="10"/>
      <x:c r="JQ13" s="10"/>
      <x:c r="JR13" s="10"/>
      <x:c r="JS13" s="12">
        <x:f t="shared" si="28"/>
        <x:v>1</x:v>
      </x:c>
      <x:c r="JT13" s="7"/>
      <x:c r="JU13" s="10" t="s">
        <x:v>426</x:v>
      </x:c>
      <x:c r="JV13" s="10" t="s">
        <x:v>426</x:v>
      </x:c>
      <x:c r="JW13" s="10" t="s">
        <x:v>426</x:v>
      </x:c>
      <x:c r="JX13" s="10" t="s">
        <x:v>426</x:v>
      </x:c>
      <x:c r="JY13" s="10"/>
      <x:c r="JZ13" s="10" t="s">
        <x:v>426</x:v>
      </x:c>
      <x:c r="KA13" s="10" t="s">
        <x:v>426</x:v>
      </x:c>
      <x:c r="KB13" s="10" t="s">
        <x:v>426</x:v>
      </x:c>
      <x:c r="KC13" s="10" t="s">
        <x:v>426</x:v>
      </x:c>
      <x:c r="KD13" s="10"/>
      <x:c r="KE13" s="10"/>
      <x:c r="KF13" s="10" t="s">
        <x:v>426</x:v>
      </x:c>
      <x:c r="KG13" s="10" t="s">
        <x:v>426</x:v>
      </x:c>
      <x:c r="KH13" s="10" t="s">
        <x:v>426</x:v>
      </x:c>
      <x:c r="KI13" s="10" t="s">
        <x:v>426</x:v>
      </x:c>
      <x:c r="KJ13" s="10" t="s">
        <x:v>426</x:v>
      </x:c>
      <x:c r="KK13" s="10" t="s">
        <x:v>426</x:v>
      </x:c>
      <x:c r="KL13" s="10"/>
      <x:c r="KM13" s="12">
        <x:f t="shared" si="29"/>
        <x:v>1</x:v>
      </x:c>
      <x:c r="KN13" s="7"/>
      <x:c r="KO13" s="10"/>
      <x:c r="KP13" s="10"/>
      <x:c r="KQ13" s="10"/>
      <x:c r="KR13" s="10"/>
      <x:c r="KS13" s="10"/>
      <x:c r="KT13" s="10"/>
      <x:c r="KU13" s="10"/>
      <x:c r="KV13" s="10"/>
      <x:c r="KW13" s="10"/>
      <x:c r="KX13" s="10" t="s">
        <x:v>426</x:v>
      </x:c>
      <x:c r="KY13" s="10" t="s">
        <x:v>426</x:v>
      </x:c>
      <x:c r="KZ13" s="10"/>
      <x:c r="LA13" s="10"/>
      <x:c r="LB13" s="10"/>
      <x:c r="LC13" s="10"/>
      <x:c r="LD13" s="10"/>
      <x:c r="LE13" s="10"/>
      <x:c r="LF13" s="10"/>
      <x:c r="LG13" s="12">
        <x:f t="shared" si="30"/>
        <x:v>1</x:v>
      </x:c>
      <x:c r="LH13" s="7"/>
      <x:c r="LI13" s="10"/>
      <x:c r="LJ13" s="10"/>
      <x:c r="LK13" s="10"/>
      <x:c r="LL13" s="10"/>
      <x:c r="LM13" s="10"/>
      <x:c r="LN13" s="10" t="s">
        <x:v>426</x:v>
      </x:c>
      <x:c r="LO13" s="10"/>
      <x:c r="LP13" s="10"/>
      <x:c r="LQ13" s="11"/>
      <x:c r="LR13" s="12">
        <x:f t="shared" si="31"/>
        <x:v>1</x:v>
      </x:c>
      <x:c r="LS13" s="7" t="s">
        <x:v>426</x:v>
      </x:c>
      <x:c r="LT13" s="10" t="s">
        <x:v>426</x:v>
      </x:c>
      <x:c r="LU13" s="10"/>
      <x:c r="LV13" s="10"/>
      <x:c r="LW13" s="10"/>
      <x:c r="LX13" s="10"/>
      <x:c r="LY13" s="10"/>
      <x:c r="LZ13" s="10"/>
      <x:c r="MA13" s="10"/>
      <x:c r="MB13" s="11"/>
      <x:c r="MC13" s="12">
        <x:f t="shared" si="32"/>
        <x:v>1</x:v>
      </x:c>
      <x:c r="MD13" s="7" t="s">
        <x:v>426</x:v>
      </x:c>
      <x:c r="ME13" s="10"/>
      <x:c r="MF13" s="10"/>
      <x:c r="MG13" s="10"/>
      <x:c r="MH13" s="10"/>
      <x:c r="MI13" s="10"/>
      <x:c r="MJ13" s="10"/>
      <x:c r="MK13" s="12">
        <x:f t="shared" si="33"/>
        <x:v>1</x:v>
      </x:c>
      <x:c r="ML13" s="7"/>
      <x:c r="MM13" s="10"/>
      <x:c r="MN13" s="10"/>
      <x:c r="MO13" s="10"/>
      <x:c r="MP13" s="10"/>
      <x:c r="MQ13" s="10"/>
      <x:c r="MR13" s="10"/>
      <x:c r="MS13" s="10" t="s">
        <x:v>426</x:v>
      </x:c>
      <x:c r="MT13" s="10"/>
      <x:c r="MU13" s="11"/>
      <x:c r="MV13" s="12">
        <x:f t="shared" si="34"/>
        <x:v>1</x:v>
      </x:c>
      <x:c r="MW13" s="7"/>
      <x:c r="MX13" s="10"/>
      <x:c r="MY13" s="10"/>
      <x:c r="MZ13" s="10"/>
      <x:c r="NA13" s="10"/>
      <x:c r="NB13" s="10"/>
      <x:c r="NC13" s="10" t="s">
        <x:v>426</x:v>
      </x:c>
      <x:c r="ND13" s="10"/>
      <x:c r="NE13" s="10"/>
      <x:c r="NF13" s="11"/>
      <x:c r="NG13" s="12">
        <x:f t="shared" si="35"/>
        <x:v>1</x:v>
      </x:c>
      <x:c r="NH13" s="7"/>
      <x:c r="NI13" s="10"/>
      <x:c r="NJ13" s="10"/>
      <x:c r="NK13" s="10"/>
      <x:c r="NL13" s="10"/>
      <x:c r="NM13" s="10"/>
      <x:c r="NN13" s="10"/>
      <x:c r="NO13" s="10"/>
      <x:c r="NP13" s="10" t="s">
        <x:v>426</x:v>
      </x:c>
      <x:c r="NQ13" s="10"/>
      <x:c r="NR13" s="11"/>
      <x:c r="NS13" s="12">
        <x:f t="shared" si="36"/>
        <x:v>1</x:v>
      </x:c>
      <x:c r="NT13" s="7"/>
      <x:c r="NU13" s="10"/>
      <x:c r="NV13" s="10"/>
      <x:c r="NW13" s="10"/>
      <x:c r="NX13" s="10" t="s">
        <x:v>426</x:v>
      </x:c>
      <x:c r="NY13" s="12">
        <x:f t="shared" si="37"/>
        <x:v>1</x:v>
      </x:c>
      <x:c r="NZ13" s="7"/>
      <x:c r="OA13" s="10"/>
      <x:c r="OB13" s="10" t="s">
        <x:v>426</x:v>
      </x:c>
      <x:c r="OC13" s="10"/>
      <x:c r="OD13" s="10"/>
      <x:c r="OE13" s="10"/>
      <x:c r="OF13" s="10"/>
      <x:c r="OG13" s="10"/>
      <x:c r="OH13" s="10"/>
      <x:c r="OI13" s="10"/>
      <x:c r="OJ13" s="10"/>
      <x:c r="OK13" s="11"/>
      <x:c r="OL13" s="12">
        <x:f t="shared" si="38"/>
        <x:v>1</x:v>
      </x:c>
      <x:c r="OM13" s="7" t="s">
        <x:v>426</x:v>
      </x:c>
      <x:c r="ON13" s="10" t="s">
        <x:v>426</x:v>
      </x:c>
      <x:c r="OO13" s="10"/>
      <x:c r="OP13" s="10" t="s">
        <x:v>426</x:v>
      </x:c>
      <x:c r="OQ13" s="10"/>
      <x:c r="OR13" s="10"/>
      <x:c r="OS13" s="10"/>
      <x:c r="OT13" s="10"/>
      <x:c r="OU13" s="10"/>
      <x:c r="OV13" s="11"/>
      <x:c r="OW13" s="12">
        <x:f t="shared" si="39"/>
        <x:v>1</x:v>
      </x:c>
      <x:c r="OX13" s="7"/>
      <x:c r="OY13" s="10"/>
      <x:c r="OZ13" s="10"/>
      <x:c r="PA13" s="10"/>
      <x:c r="PB13" s="10" t="s">
        <x:v>426</x:v>
      </x:c>
      <x:c r="PC13" s="12">
        <x:f t="shared" si="40"/>
        <x:v>1</x:v>
      </x:c>
      <x:c r="PD13" s="7" t="s">
        <x:v>426</x:v>
      </x:c>
      <x:c r="PE13" s="10" t="s">
        <x:v>426</x:v>
      </x:c>
      <x:c r="PF13" s="10" t="s">
        <x:v>426</x:v>
      </x:c>
      <x:c r="PG13" s="10"/>
      <x:c r="PH13" s="10"/>
      <x:c r="PI13" s="10"/>
      <x:c r="PJ13" s="10"/>
      <x:c r="PK13" s="10"/>
      <x:c r="PL13" s="10"/>
      <x:c r="PM13" s="10"/>
      <x:c r="PN13" s="11"/>
      <x:c r="PO13" s="12">
        <x:f t="shared" si="41"/>
        <x:v>1</x:v>
      </x:c>
      <x:c r="PP13" s="7"/>
      <x:c r="PQ13" s="10"/>
      <x:c r="PR13" s="10" t="s">
        <x:v>426</x:v>
      </x:c>
      <x:c r="PS13" s="10"/>
      <x:c r="PT13" s="12">
        <x:f t="shared" si="42"/>
        <x:v>1</x:v>
      </x:c>
      <x:c r="PU13" s="7" t="s">
        <x:v>426</x:v>
      </x:c>
      <x:c r="PV13" s="10"/>
      <x:c r="PW13" s="10"/>
      <x:c r="PX13" s="10"/>
      <x:c r="PY13" s="10" t="s">
        <x:v>426</x:v>
      </x:c>
      <x:c r="PZ13" s="10"/>
      <x:c r="QA13" s="10"/>
      <x:c r="QB13" s="10"/>
      <x:c r="QC13" s="10"/>
      <x:c r="QD13" s="11"/>
      <x:c r="QE13" s="12">
        <x:f t="shared" si="43"/>
        <x:v>1</x:v>
      </x:c>
      <x:c r="QF13" s="7"/>
      <x:c r="QG13" s="10" t="s">
        <x:v>426</x:v>
      </x:c>
      <x:c r="QH13" s="10"/>
      <x:c r="QI13" s="10" t="s">
        <x:v>426</x:v>
      </x:c>
      <x:c r="QJ13" s="10"/>
      <x:c r="QK13" s="10" t="s">
        <x:v>426</x:v>
      </x:c>
      <x:c r="QL13" s="10" t="s">
        <x:v>426</x:v>
      </x:c>
      <x:c r="QM13" s="10"/>
      <x:c r="QN13" s="10"/>
      <x:c r="QO13" s="11"/>
      <x:c r="QP13" s="12">
        <x:f t="shared" si="44"/>
        <x:v>1</x:v>
      </x:c>
      <x:c r="QQ13" s="7" t="s">
        <x:v>426</x:v>
      </x:c>
      <x:c r="QR13" s="10"/>
      <x:c r="QS13" s="10"/>
      <x:c r="QT13" s="10"/>
      <x:c r="QU13" s="10"/>
      <x:c r="QV13" s="10"/>
      <x:c r="QW13" s="10"/>
      <x:c r="QX13" s="10"/>
      <x:c r="QY13" s="10"/>
      <x:c r="QZ13" s="11"/>
      <x:c r="RA13" s="12">
        <x:f t="shared" si="45"/>
        <x:v>1</x:v>
      </x:c>
      <x:c r="RB13" s="7"/>
      <x:c r="RC13" s="10" t="s">
        <x:v>426</x:v>
      </x:c>
      <x:c r="RD13" s="10"/>
      <x:c r="RE13" s="10" t="s">
        <x:v>426</x:v>
      </x:c>
      <x:c r="RF13" s="10"/>
      <x:c r="RG13" s="10"/>
      <x:c r="RH13" s="10"/>
      <x:c r="RI13" s="10"/>
      <x:c r="RJ13" s="11"/>
      <x:c r="RK13" s="12">
        <x:f t="shared" si="46"/>
        <x:v>1</x:v>
      </x:c>
      <x:c r="RL13" s="7" t="s">
        <x:v>426</x:v>
      </x:c>
      <x:c r="RM13" s="10"/>
      <x:c r="RN13" s="10" t="s">
        <x:v>426</x:v>
      </x:c>
      <x:c r="RO13" s="10"/>
      <x:c r="RP13" s="10"/>
      <x:c r="RQ13" s="10"/>
      <x:c r="RR13" s="10" t="s">
        <x:v>426</x:v>
      </x:c>
      <x:c r="RS13" s="10"/>
      <x:c r="RT13" s="10"/>
      <x:c r="RU13" s="11"/>
      <x:c r="RV13" s="12">
        <x:f t="shared" si="47"/>
        <x:v>1</x:v>
      </x:c>
      <x:c r="RW13" s="7"/>
      <x:c r="RX13" s="12">
        <x:f t="shared" si="48"/>
        <x:v>0</x:v>
      </x:c>
    </x:row>
    <x:row r="14" ht="16.5">
      <x:c r="A14" s="13" t="s">
        <x:v>441</x:v>
      </x:c>
      <x:c r="B14" s="14"/>
      <x:c r="C14" s="14"/>
      <x:c r="D14" s="14"/>
      <x:c r="E14" s="14"/>
      <x:c r="F14" s="14"/>
      <x:c r="G14" s="14"/>
      <x:c r="H14" s="14"/>
      <x:c r="I14" s="14"/>
      <x:c r="J14" s="14"/>
      <x:c r="K14" s="15"/>
      <x:c r="L14" s="13"/>
      <x:c r="M14" s="16" t="s">
        <x:v>426</x:v>
      </x:c>
      <x:c r="N14" s="16"/>
      <x:c r="O14" s="16"/>
      <x:c r="P14" s="17"/>
      <x:c r="Q14" s="12">
        <x:f t="shared" si="0"/>
        <x:v>1</x:v>
      </x:c>
      <x:c r="R14" s="13"/>
      <x:c r="S14" s="16" t="s">
        <x:v>426</x:v>
      </x:c>
      <x:c r="T14" s="16"/>
      <x:c r="U14" s="16"/>
      <x:c r="V14" s="16"/>
      <x:c r="W14" s="17"/>
      <x:c r="X14" s="12">
        <x:f t="shared" si="1"/>
        <x:v>1</x:v>
      </x:c>
      <x:c r="Y14" s="13"/>
      <x:c r="Z14" s="16"/>
      <x:c r="AA14" s="16" t="s">
        <x:v>426</x:v>
      </x:c>
      <x:c r="AB14" s="16"/>
      <x:c r="AC14" s="16"/>
      <x:c r="AD14" s="12">
        <x:f t="shared" si="2"/>
        <x:v>1</x:v>
      </x:c>
      <x:c r="AE14" s="13"/>
      <x:c r="AF14" s="16"/>
      <x:c r="AG14" s="16"/>
      <x:c r="AH14" s="16" t="s">
        <x:v>426</x:v>
      </x:c>
      <x:c r="AI14" s="16"/>
      <x:c r="AJ14" s="17"/>
      <x:c r="AK14" s="12">
        <x:f t="shared" si="3"/>
        <x:v>1</x:v>
      </x:c>
      <x:c r="AL14" s="13" t="s">
        <x:v>426</x:v>
      </x:c>
      <x:c r="AM14" s="16"/>
      <x:c r="AN14" s="16"/>
      <x:c r="AO14" s="12">
        <x:f t="shared" si="4"/>
        <x:v>1</x:v>
      </x:c>
      <x:c r="AP14" s="13" t="s">
        <x:v>426</x:v>
      </x:c>
      <x:c r="AQ14" s="16"/>
      <x:c r="AR14" s="16"/>
      <x:c r="AS14" s="16"/>
      <x:c r="AT14" s="16"/>
      <x:c r="AU14" s="16"/>
      <x:c r="AV14" s="16"/>
      <x:c r="AW14" s="17"/>
      <x:c r="AX14" s="12">
        <x:f t="shared" si="5"/>
        <x:v>1</x:v>
      </x:c>
      <x:c r="AY14" s="13" t="s">
        <x:v>426</x:v>
      </x:c>
      <x:c r="AZ14" s="16"/>
      <x:c r="BA14" s="16"/>
      <x:c r="BB14" s="16"/>
      <x:c r="BC14" s="16"/>
      <x:c r="BD14" s="16"/>
      <x:c r="BE14" s="16"/>
      <x:c r="BF14" s="16"/>
      <x:c r="BG14" s="17"/>
      <x:c r="BH14" s="12">
        <x:f t="shared" si="6"/>
        <x:v>1</x:v>
      </x:c>
      <x:c r="BI14" s="13"/>
      <x:c r="BJ14" s="16"/>
      <x:c r="BK14" s="16"/>
      <x:c r="BL14" s="16"/>
      <x:c r="BM14" s="16"/>
      <x:c r="BN14" s="16"/>
      <x:c r="BO14" s="16"/>
      <x:c r="BP14" s="17"/>
      <x:c r="BQ14" s="12">
        <x:f t="shared" si="7"/>
        <x:v>0</x:v>
      </x:c>
      <x:c r="BR14" s="13"/>
      <x:c r="BS14" s="16"/>
      <x:c r="BT14" s="16"/>
      <x:c r="BU14" s="16"/>
      <x:c r="BV14" s="16"/>
      <x:c r="BW14" s="16"/>
      <x:c r="BX14" s="16"/>
      <x:c r="BY14" s="17"/>
      <x:c r="BZ14" s="12">
        <x:f t="shared" si="8"/>
        <x:v>0</x:v>
      </x:c>
      <x:c r="CA14" s="13"/>
      <x:c r="CB14" s="16"/>
      <x:c r="CC14" s="16"/>
      <x:c r="CD14" s="16"/>
      <x:c r="CE14" s="16"/>
      <x:c r="CF14" s="16"/>
      <x:c r="CG14" s="16"/>
      <x:c r="CH14" s="16"/>
      <x:c r="CI14" s="16"/>
      <x:c r="CJ14" s="16"/>
      <x:c r="CK14" s="17"/>
      <x:c r="CL14" s="12">
        <x:f t="shared" si="9"/>
        <x:v>0</x:v>
      </x:c>
      <x:c r="CM14" s="13"/>
      <x:c r="CN14" s="16"/>
      <x:c r="CO14" s="16"/>
      <x:c r="CP14" s="16"/>
      <x:c r="CQ14" s="16"/>
      <x:c r="CR14" s="16" t="s">
        <x:v>426</x:v>
      </x:c>
      <x:c r="CS14" s="16"/>
      <x:c r="CT14" s="16" t="s">
        <x:v>426</x:v>
      </x:c>
      <x:c r="CU14" s="16"/>
      <x:c r="CV14" s="16"/>
      <x:c r="CW14" s="16"/>
      <x:c r="CX14" s="16" t="s">
        <x:v>426</x:v>
      </x:c>
      <x:c r="CY14" s="16"/>
      <x:c r="CZ14" s="16"/>
      <x:c r="DA14" s="17"/>
      <x:c r="DB14" s="12">
        <x:f t="shared" si="10"/>
        <x:v>1</x:v>
      </x:c>
      <x:c r="DC14" s="13"/>
      <x:c r="DD14" s="12">
        <x:f t="shared" si="11"/>
        <x:v>0</x:v>
      </x:c>
      <x:c r="DE14" s="13"/>
      <x:c r="DF14" s="16" t="s">
        <x:v>426</x:v>
      </x:c>
      <x:c r="DG14" s="16"/>
      <x:c r="DH14" s="16"/>
      <x:c r="DI14" s="16"/>
      <x:c r="DJ14" s="16"/>
      <x:c r="DK14" s="16"/>
      <x:c r="DL14" s="16"/>
      <x:c r="DM14" s="17"/>
      <x:c r="DN14" s="12">
        <x:f t="shared" si="12"/>
        <x:v>1</x:v>
      </x:c>
      <x:c r="DO14" s="13"/>
      <x:c r="DP14" s="16"/>
      <x:c r="DQ14" s="16" t="s">
        <x:v>426</x:v>
      </x:c>
      <x:c r="DR14" s="16"/>
      <x:c r="DS14" s="16"/>
      <x:c r="DT14" s="12">
        <x:f t="shared" si="13"/>
        <x:v>1</x:v>
      </x:c>
      <x:c r="DU14" s="13"/>
      <x:c r="DV14" s="16"/>
      <x:c r="DW14" s="16"/>
      <x:c r="DX14" s="16"/>
      <x:c r="DY14" s="16"/>
      <x:c r="DZ14" s="16"/>
      <x:c r="EA14" s="16"/>
      <x:c r="EB14" s="16"/>
      <x:c r="EC14" s="16"/>
      <x:c r="ED14" s="17"/>
      <x:c r="EE14" s="12">
        <x:f t="shared" si="14"/>
        <x:v>0</x:v>
      </x:c>
      <x:c r="EF14" s="13"/>
      <x:c r="EG14" s="16"/>
      <x:c r="EH14" s="16"/>
      <x:c r="EI14" s="16"/>
      <x:c r="EJ14" s="16"/>
      <x:c r="EK14" s="16"/>
      <x:c r="EL14" s="16"/>
      <x:c r="EM14" s="16"/>
      <x:c r="EN14" s="16"/>
      <x:c r="EO14" s="16"/>
      <x:c r="EP14" s="17"/>
      <x:c r="EQ14" s="12">
        <x:f t="shared" si="15"/>
        <x:v>0</x:v>
      </x:c>
      <x:c r="ER14" s="13"/>
      <x:c r="ES14" s="16"/>
      <x:c r="ET14" s="16"/>
      <x:c r="EU14" s="16"/>
      <x:c r="EV14" s="12">
        <x:f t="shared" si="16"/>
        <x:v>0</x:v>
      </x:c>
      <x:c r="EW14" s="13"/>
      <x:c r="EX14" s="16"/>
      <x:c r="EY14" s="16" t="s">
        <x:v>426</x:v>
      </x:c>
      <x:c r="EZ14" s="16"/>
      <x:c r="FA14" s="16"/>
      <x:c r="FB14" s="16"/>
      <x:c r="FC14" s="16"/>
      <x:c r="FD14" s="16"/>
      <x:c r="FE14" s="17"/>
      <x:c r="FF14" s="12">
        <x:f t="shared" si="17"/>
        <x:v>1</x:v>
      </x:c>
      <x:c r="FG14" s="13" t="s">
        <x:v>426</x:v>
      </x:c>
      <x:c r="FH14" s="16"/>
      <x:c r="FI14" s="16"/>
      <x:c r="FJ14" s="16"/>
      <x:c r="FK14" s="16"/>
      <x:c r="FL14" s="16"/>
      <x:c r="FM14" s="16"/>
      <x:c r="FN14" s="16"/>
      <x:c r="FO14" s="16"/>
      <x:c r="FP14" s="16"/>
      <x:c r="FQ14" s="16"/>
      <x:c r="FR14" s="16"/>
      <x:c r="FS14" s="16"/>
      <x:c r="FT14" s="16"/>
      <x:c r="FU14" s="17"/>
      <x:c r="FV14" s="12">
        <x:f t="shared" si="18"/>
        <x:v>1</x:v>
      </x:c>
      <x:c r="FW14" s="13"/>
      <x:c r="FX14" s="16"/>
      <x:c r="FY14" s="16"/>
      <x:c r="FZ14" s="16"/>
      <x:c r="GA14" s="16"/>
      <x:c r="GB14" s="16"/>
      <x:c r="GC14" s="16" t="s">
        <x:v>426</x:v>
      </x:c>
      <x:c r="GD14" s="16"/>
      <x:c r="GE14" s="17"/>
      <x:c r="GF14" s="12">
        <x:f t="shared" si="19"/>
        <x:v>1</x:v>
      </x:c>
      <x:c r="GG14" s="13"/>
      <x:c r="GH14" s="16"/>
      <x:c r="GI14" s="16"/>
      <x:c r="GJ14" s="16"/>
      <x:c r="GK14" s="16"/>
      <x:c r="GL14" s="16"/>
      <x:c r="GM14" s="12">
        <x:f t="shared" si="20"/>
        <x:v>0</x:v>
      </x:c>
      <x:c r="GN14" s="13"/>
      <x:c r="GO14" s="16"/>
      <x:c r="GP14" s="16"/>
      <x:c r="GQ14" s="16"/>
      <x:c r="GR14" s="16"/>
      <x:c r="GS14" s="16"/>
      <x:c r="GT14" s="12">
        <x:f t="shared" si="21"/>
        <x:v>0</x:v>
      </x:c>
      <x:c r="GU14" s="13"/>
      <x:c r="GV14" s="16" t="s">
        <x:v>426</x:v>
      </x:c>
      <x:c r="GW14" s="16"/>
      <x:c r="GX14" s="16"/>
      <x:c r="GY14" s="12">
        <x:f t="shared" si="22"/>
        <x:v>1</x:v>
      </x:c>
      <x:c r="GZ14" s="13" t="s">
        <x:v>426</x:v>
      </x:c>
      <x:c r="HA14" s="16"/>
      <x:c r="HB14" s="16"/>
      <x:c r="HC14" s="16"/>
      <x:c r="HD14" s="16"/>
      <x:c r="HE14" s="16"/>
      <x:c r="HF14" s="16"/>
      <x:c r="HG14" s="16"/>
      <x:c r="HH14" s="16"/>
      <x:c r="HI14" s="16"/>
      <x:c r="HJ14" s="16"/>
      <x:c r="HK14" s="17"/>
      <x:c r="HL14" s="12">
        <x:f t="shared" si="23"/>
        <x:v>1</x:v>
      </x:c>
      <x:c r="HM14" s="13"/>
      <x:c r="HN14" s="16"/>
      <x:c r="HO14" s="16"/>
      <x:c r="HP14" s="16"/>
      <x:c r="HQ14" s="16"/>
      <x:c r="HR14" s="16" t="s">
        <x:v>426</x:v>
      </x:c>
      <x:c r="HS14" s="16"/>
      <x:c r="HT14" s="16"/>
      <x:c r="HU14" s="16"/>
      <x:c r="HV14" s="17"/>
      <x:c r="HW14" s="12">
        <x:f t="shared" si="24"/>
        <x:v>1</x:v>
      </x:c>
      <x:c r="HX14" s="13"/>
      <x:c r="HY14" s="16"/>
      <x:c r="HZ14" s="16"/>
      <x:c r="IA14" s="16"/>
      <x:c r="IB14" s="16"/>
      <x:c r="IC14" s="12">
        <x:f t="shared" si="25"/>
        <x:v>0</x:v>
      </x:c>
      <x:c r="ID14" s="13" t="s">
        <x:v>426</x:v>
      </x:c>
      <x:c r="IE14" s="16"/>
      <x:c r="IF14" s="16" t="s">
        <x:v>426</x:v>
      </x:c>
      <x:c r="IG14" s="16" t="s">
        <x:v>426</x:v>
      </x:c>
      <x:c r="IH14" s="16"/>
      <x:c r="II14" s="16"/>
      <x:c r="IJ14" s="16"/>
      <x:c r="IK14" s="16"/>
      <x:c r="IL14" s="16"/>
      <x:c r="IM14" s="16"/>
      <x:c r="IN14" s="17"/>
      <x:c r="IO14" s="12">
        <x:f t="shared" si="26"/>
        <x:v>1</x:v>
      </x:c>
      <x:c r="IP14" s="13"/>
      <x:c r="IQ14" s="16" t="s">
        <x:v>426</x:v>
      </x:c>
      <x:c r="IR14" s="16"/>
      <x:c r="IS14" s="16"/>
      <x:c r="IT14" s="16"/>
      <x:c r="IU14" s="16"/>
      <x:c r="IV14" s="16"/>
      <x:c r="IW14" s="16"/>
      <x:c r="IX14" s="17"/>
      <x:c r="IY14" s="12">
        <x:f t="shared" si="27"/>
        <x:v>1</x:v>
      </x:c>
      <x:c r="IZ14" s="13"/>
      <x:c r="JA14" s="16"/>
      <x:c r="JB14" s="16"/>
      <x:c r="JC14" s="16"/>
      <x:c r="JD14" s="16"/>
      <x:c r="JE14" s="16"/>
      <x:c r="JF14" s="16"/>
      <x:c r="JG14" s="16"/>
      <x:c r="JH14" s="16"/>
      <x:c r="JI14" s="16"/>
      <x:c r="JJ14" s="16"/>
      <x:c r="JK14" s="16"/>
      <x:c r="JL14" s="16"/>
      <x:c r="JM14" s="16"/>
      <x:c r="JN14" s="16"/>
      <x:c r="JO14" s="16"/>
      <x:c r="JP14" s="16"/>
      <x:c r="JQ14" s="16"/>
      <x:c r="JR14" s="16"/>
      <x:c r="JS14" s="12">
        <x:f t="shared" si="28"/>
        <x:v>0</x:v>
      </x:c>
      <x:c r="JT14" s="13"/>
      <x:c r="JU14" s="16"/>
      <x:c r="JV14" s="16"/>
      <x:c r="JW14" s="16"/>
      <x:c r="JX14" s="16"/>
      <x:c r="JY14" s="16"/>
      <x:c r="JZ14" s="16"/>
      <x:c r="KA14" s="16"/>
      <x:c r="KB14" s="16"/>
      <x:c r="KC14" s="16"/>
      <x:c r="KD14" s="16"/>
      <x:c r="KE14" s="16"/>
      <x:c r="KF14" s="16"/>
      <x:c r="KG14" s="16"/>
      <x:c r="KH14" s="16"/>
      <x:c r="KI14" s="16"/>
      <x:c r="KJ14" s="16"/>
      <x:c r="KK14" s="16"/>
      <x:c r="KL14" s="16"/>
      <x:c r="KM14" s="12">
        <x:f t="shared" si="29"/>
        <x:v>0</x:v>
      </x:c>
      <x:c r="KN14" s="13"/>
      <x:c r="KO14" s="16"/>
      <x:c r="KP14" s="16"/>
      <x:c r="KQ14" s="16"/>
      <x:c r="KR14" s="16"/>
      <x:c r="KS14" s="16"/>
      <x:c r="KT14" s="16"/>
      <x:c r="KU14" s="16"/>
      <x:c r="KV14" s="16"/>
      <x:c r="KW14" s="16"/>
      <x:c r="KX14" s="16"/>
      <x:c r="KY14" s="16"/>
      <x:c r="KZ14" s="16"/>
      <x:c r="LA14" s="16"/>
      <x:c r="LB14" s="16"/>
      <x:c r="LC14" s="16"/>
      <x:c r="LD14" s="16"/>
      <x:c r="LE14" s="16"/>
      <x:c r="LF14" s="16"/>
      <x:c r="LG14" s="12">
        <x:f t="shared" si="30"/>
        <x:v>0</x:v>
      </x:c>
      <x:c r="LH14" s="13"/>
      <x:c r="LI14" s="16"/>
      <x:c r="LJ14" s="16"/>
      <x:c r="LK14" s="16"/>
      <x:c r="LL14" s="16"/>
      <x:c r="LM14" s="16"/>
      <x:c r="LN14" s="16"/>
      <x:c r="LO14" s="16"/>
      <x:c r="LP14" s="16"/>
      <x:c r="LQ14" s="17"/>
      <x:c r="LR14" s="12">
        <x:f t="shared" si="31"/>
        <x:v>0</x:v>
      </x:c>
      <x:c r="LS14" s="13" t="s">
        <x:v>426</x:v>
      </x:c>
      <x:c r="LT14" s="16" t="s">
        <x:v>426</x:v>
      </x:c>
      <x:c r="LU14" s="16" t="s">
        <x:v>426</x:v>
      </x:c>
      <x:c r="LV14" s="16"/>
      <x:c r="LW14" s="16"/>
      <x:c r="LX14" s="16" t="s">
        <x:v>426</x:v>
      </x:c>
      <x:c r="LY14" s="16"/>
      <x:c r="LZ14" s="16"/>
      <x:c r="MA14" s="16"/>
      <x:c r="MB14" s="17"/>
      <x:c r="MC14" s="12">
        <x:f t="shared" si="32"/>
        <x:v>1</x:v>
      </x:c>
      <x:c r="MD14" s="13" t="s">
        <x:v>426</x:v>
      </x:c>
      <x:c r="ME14" s="16"/>
      <x:c r="MF14" s="16"/>
      <x:c r="MG14" s="16"/>
      <x:c r="MH14" s="16"/>
      <x:c r="MI14" s="16"/>
      <x:c r="MJ14" s="16"/>
      <x:c r="MK14" s="12">
        <x:f t="shared" si="33"/>
        <x:v>1</x:v>
      </x:c>
      <x:c r="ML14" s="13"/>
      <x:c r="MM14" s="16"/>
      <x:c r="MN14" s="16"/>
      <x:c r="MO14" s="16"/>
      <x:c r="MP14" s="16"/>
      <x:c r="MQ14" s="16"/>
      <x:c r="MR14" s="16" t="s">
        <x:v>426</x:v>
      </x:c>
      <x:c r="MS14" s="16"/>
      <x:c r="MT14" s="16"/>
      <x:c r="MU14" s="17"/>
      <x:c r="MV14" s="12">
        <x:f t="shared" si="34"/>
        <x:v>1</x:v>
      </x:c>
      <x:c r="MW14" s="13"/>
      <x:c r="MX14" s="16"/>
      <x:c r="MY14" s="16"/>
      <x:c r="MZ14" s="16"/>
      <x:c r="NA14" s="16"/>
      <x:c r="NB14" s="16"/>
      <x:c r="NC14" s="16"/>
      <x:c r="ND14" s="16" t="s">
        <x:v>426</x:v>
      </x:c>
      <x:c r="NE14" s="16"/>
      <x:c r="NF14" s="17"/>
      <x:c r="NG14" s="12">
        <x:f t="shared" si="35"/>
        <x:v>1</x:v>
      </x:c>
      <x:c r="NH14" s="13"/>
      <x:c r="NI14" s="16"/>
      <x:c r="NJ14" s="16"/>
      <x:c r="NK14" s="16"/>
      <x:c r="NL14" s="16"/>
      <x:c r="NM14" s="16"/>
      <x:c r="NN14" s="16"/>
      <x:c r="NO14" s="16"/>
      <x:c r="NP14" s="16"/>
      <x:c r="NQ14" s="16"/>
      <x:c r="NR14" s="17"/>
      <x:c r="NS14" s="12">
        <x:f t="shared" si="36"/>
        <x:v>0</x:v>
      </x:c>
      <x:c r="NT14" s="13"/>
      <x:c r="NU14" s="16"/>
      <x:c r="NV14" s="16"/>
      <x:c r="NW14" s="16"/>
      <x:c r="NX14" s="16"/>
      <x:c r="NY14" s="12">
        <x:f t="shared" si="37"/>
        <x:v>0</x:v>
      </x:c>
      <x:c r="NZ14" s="13"/>
      <x:c r="OA14" s="16"/>
      <x:c r="OB14" s="16"/>
      <x:c r="OC14" s="16"/>
      <x:c r="OD14" s="16"/>
      <x:c r="OE14" s="16"/>
      <x:c r="OF14" s="16"/>
      <x:c r="OG14" s="16"/>
      <x:c r="OH14" s="16"/>
      <x:c r="OI14" s="16"/>
      <x:c r="OJ14" s="16"/>
      <x:c r="OK14" s="17"/>
      <x:c r="OL14" s="12">
        <x:f t="shared" si="38"/>
        <x:v>0</x:v>
      </x:c>
      <x:c r="OM14" s="13"/>
      <x:c r="ON14" s="16" t="s">
        <x:v>426</x:v>
      </x:c>
      <x:c r="OO14" s="16"/>
      <x:c r="OP14" s="16" t="s">
        <x:v>426</x:v>
      </x:c>
      <x:c r="OQ14" s="16" t="s">
        <x:v>426</x:v>
      </x:c>
      <x:c r="OR14" s="16" t="s">
        <x:v>426</x:v>
      </x:c>
      <x:c r="OS14" s="16"/>
      <x:c r="OT14" s="16"/>
      <x:c r="OU14" s="16"/>
      <x:c r="OV14" s="17"/>
      <x:c r="OW14" s="12">
        <x:f t="shared" si="39"/>
        <x:v>1</x:v>
      </x:c>
      <x:c r="OX14" s="13"/>
      <x:c r="OY14" s="16"/>
      <x:c r="OZ14" s="16" t="s">
        <x:v>426</x:v>
      </x:c>
      <x:c r="PA14" s="16"/>
      <x:c r="PB14" s="16"/>
      <x:c r="PC14" s="12">
        <x:f t="shared" si="40"/>
        <x:v>1</x:v>
      </x:c>
      <x:c r="PD14" s="13" t="s">
        <x:v>426</x:v>
      </x:c>
      <x:c r="PE14" s="16" t="s">
        <x:v>426</x:v>
      </x:c>
      <x:c r="PF14" s="16"/>
      <x:c r="PG14" s="16"/>
      <x:c r="PH14" s="16" t="s">
        <x:v>426</x:v>
      </x:c>
      <x:c r="PI14" s="16"/>
      <x:c r="PJ14" s="16"/>
      <x:c r="PK14" s="16"/>
      <x:c r="PL14" s="16"/>
      <x:c r="PM14" s="16"/>
      <x:c r="PN14" s="17"/>
      <x:c r="PO14" s="12">
        <x:f t="shared" si="41"/>
        <x:v>1</x:v>
      </x:c>
      <x:c r="PP14" s="13"/>
      <x:c r="PQ14" s="16"/>
      <x:c r="PR14" s="16" t="s">
        <x:v>426</x:v>
      </x:c>
      <x:c r="PS14" s="16"/>
      <x:c r="PT14" s="12">
        <x:f t="shared" si="42"/>
        <x:v>1</x:v>
      </x:c>
      <x:c r="PU14" s="13" t="s">
        <x:v>426</x:v>
      </x:c>
      <x:c r="PV14" s="16" t="s">
        <x:v>426</x:v>
      </x:c>
      <x:c r="PW14" s="16"/>
      <x:c r="PX14" s="16"/>
      <x:c r="PY14" s="16"/>
      <x:c r="PZ14" s="16"/>
      <x:c r="QA14" s="16"/>
      <x:c r="QB14" s="16"/>
      <x:c r="QC14" s="16"/>
      <x:c r="QD14" s="17"/>
      <x:c r="QE14" s="12">
        <x:f t="shared" si="43"/>
        <x:v>1</x:v>
      </x:c>
      <x:c r="QF14" s="13"/>
      <x:c r="QG14" s="16"/>
      <x:c r="QH14" s="16"/>
      <x:c r="QI14" s="16"/>
      <x:c r="QJ14" s="16"/>
      <x:c r="QK14" s="16" t="s">
        <x:v>426</x:v>
      </x:c>
      <x:c r="QL14" s="16"/>
      <x:c r="QM14" s="16"/>
      <x:c r="QN14" s="16"/>
      <x:c r="QO14" s="17"/>
      <x:c r="QP14" s="12">
        <x:f t="shared" si="44"/>
        <x:v>1</x:v>
      </x:c>
      <x:c r="QQ14" s="13"/>
      <x:c r="QR14" s="16"/>
      <x:c r="QS14" s="16"/>
      <x:c r="QT14" s="16"/>
      <x:c r="QU14" s="16"/>
      <x:c r="QV14" s="16"/>
      <x:c r="QW14" s="16"/>
      <x:c r="QX14" s="16"/>
      <x:c r="QY14" s="16"/>
      <x:c r="QZ14" s="17"/>
      <x:c r="RA14" s="12">
        <x:f t="shared" si="45"/>
        <x:v>0</x:v>
      </x:c>
      <x:c r="RB14" s="13"/>
      <x:c r="RC14" s="16"/>
      <x:c r="RD14" s="16"/>
      <x:c r="RE14" s="16"/>
      <x:c r="RF14" s="16"/>
      <x:c r="RG14" s="16"/>
      <x:c r="RH14" s="16"/>
      <x:c r="RI14" s="16"/>
      <x:c r="RJ14" s="17"/>
      <x:c r="RK14" s="12">
        <x:f t="shared" si="46"/>
        <x:v>0</x:v>
      </x:c>
      <x:c r="RL14" s="13"/>
      <x:c r="RM14" s="16"/>
      <x:c r="RN14" s="16"/>
      <x:c r="RO14" s="16"/>
      <x:c r="RP14" s="16"/>
      <x:c r="RQ14" s="16"/>
      <x:c r="RR14" s="16"/>
      <x:c r="RS14" s="16"/>
      <x:c r="RT14" s="16"/>
      <x:c r="RU14" s="17"/>
      <x:c r="RV14" s="12">
        <x:f t="shared" si="47"/>
        <x:v>0</x:v>
      </x:c>
      <x:c r="RW14" s="13"/>
      <x:c r="RX14" s="12">
        <x:f t="shared" si="48"/>
        <x:v>0</x:v>
      </x:c>
    </x:row>
    <x:row r="15" ht="16.5">
      <x:c r="A15" s="7" t="s">
        <x:v>442</x:v>
      </x:c>
      <x:c r="B15" s="8"/>
      <x:c r="C15" s="8"/>
      <x:c r="D15" s="8"/>
      <x:c r="E15" s="8"/>
      <x:c r="F15" s="8"/>
      <x:c r="G15" s="8"/>
      <x:c r="H15" s="8"/>
      <x:c r="I15" s="8"/>
      <x:c r="J15" s="8"/>
      <x:c r="K15" s="9"/>
      <x:c r="L15" s="7"/>
      <x:c r="M15" s="10"/>
      <x:c r="N15" s="10" t="s">
        <x:v>426</x:v>
      </x:c>
      <x:c r="O15" s="10"/>
      <x:c r="P15" s="11"/>
      <x:c r="Q15" s="12">
        <x:f t="shared" si="0"/>
        <x:v>1</x:v>
      </x:c>
      <x:c r="R15" s="7"/>
      <x:c r="S15" s="10"/>
      <x:c r="T15" s="10"/>
      <x:c r="U15" s="10" t="s">
        <x:v>426</x:v>
      </x:c>
      <x:c r="V15" s="10"/>
      <x:c r="W15" s="11"/>
      <x:c r="X15" s="12">
        <x:f t="shared" si="1"/>
        <x:v>1</x:v>
      </x:c>
      <x:c r="Y15" s="7"/>
      <x:c r="Z15" s="10"/>
      <x:c r="AA15" s="10"/>
      <x:c r="AB15" s="10"/>
      <x:c r="AC15" s="10" t="s">
        <x:v>426</x:v>
      </x:c>
      <x:c r="AD15" s="12">
        <x:f t="shared" si="2"/>
        <x:v>1</x:v>
      </x:c>
      <x:c r="AE15" s="7"/>
      <x:c r="AF15" s="10"/>
      <x:c r="AG15" s="10"/>
      <x:c r="AH15" s="10" t="s">
        <x:v>426</x:v>
      </x:c>
      <x:c r="AI15" s="10"/>
      <x:c r="AJ15" s="11"/>
      <x:c r="AK15" s="12">
        <x:f t="shared" si="3"/>
        <x:v>1</x:v>
      </x:c>
      <x:c r="AL15" s="7"/>
      <x:c r="AM15" s="10" t="s">
        <x:v>426</x:v>
      </x:c>
      <x:c r="AN15" s="10"/>
      <x:c r="AO15" s="12">
        <x:f t="shared" si="4"/>
        <x:v>1</x:v>
      </x:c>
      <x:c r="AP15" s="7" t="s">
        <x:v>426</x:v>
      </x:c>
      <x:c r="AQ15" s="10"/>
      <x:c r="AR15" s="10"/>
      <x:c r="AS15" s="10"/>
      <x:c r="AT15" s="10"/>
      <x:c r="AU15" s="10"/>
      <x:c r="AV15" s="10"/>
      <x:c r="AW15" s="11"/>
      <x:c r="AX15" s="12">
        <x:f t="shared" si="5"/>
        <x:v>1</x:v>
      </x:c>
      <x:c r="AY15" s="7" t="s">
        <x:v>426</x:v>
      </x:c>
      <x:c r="AZ15" s="10"/>
      <x:c r="BA15" s="10"/>
      <x:c r="BB15" s="10"/>
      <x:c r="BC15" s="10"/>
      <x:c r="BD15" s="10"/>
      <x:c r="BE15" s="10"/>
      <x:c r="BF15" s="10"/>
      <x:c r="BG15" s="11"/>
      <x:c r="BH15" s="12">
        <x:f t="shared" si="6"/>
        <x:v>1</x:v>
      </x:c>
      <x:c r="BI15" s="7" t="s">
        <x:v>426</x:v>
      </x:c>
      <x:c r="BJ15" s="10"/>
      <x:c r="BK15" s="10"/>
      <x:c r="BL15" s="10"/>
      <x:c r="BM15" s="10"/>
      <x:c r="BN15" s="10"/>
      <x:c r="BO15" s="10"/>
      <x:c r="BP15" s="11"/>
      <x:c r="BQ15" s="12">
        <x:f t="shared" si="7"/>
        <x:v>1</x:v>
      </x:c>
      <x:c r="BR15" s="7"/>
      <x:c r="BS15" s="10" t="s">
        <x:v>426</x:v>
      </x:c>
      <x:c r="BT15" s="10"/>
      <x:c r="BU15" s="10" t="s">
        <x:v>426</x:v>
      </x:c>
      <x:c r="BV15" s="10"/>
      <x:c r="BW15" s="10"/>
      <x:c r="BX15" s="10"/>
      <x:c r="BY15" s="11"/>
      <x:c r="BZ15" s="12">
        <x:f t="shared" si="8"/>
        <x:v>1</x:v>
      </x:c>
      <x:c r="CA15" s="7"/>
      <x:c r="CB15" s="10"/>
      <x:c r="CC15" s="10" t="s">
        <x:v>426</x:v>
      </x:c>
      <x:c r="CD15" s="10" t="s">
        <x:v>426</x:v>
      </x:c>
      <x:c r="CE15" s="10"/>
      <x:c r="CF15" s="10"/>
      <x:c r="CG15" s="10"/>
      <x:c r="CH15" s="10"/>
      <x:c r="CI15" s="10"/>
      <x:c r="CJ15" s="10"/>
      <x:c r="CK15" s="11"/>
      <x:c r="CL15" s="12">
        <x:f t="shared" si="9"/>
        <x:v>1</x:v>
      </x:c>
      <x:c r="CM15" s="7"/>
      <x:c r="CN15" s="10"/>
      <x:c r="CO15" s="10"/>
      <x:c r="CP15" s="10"/>
      <x:c r="CQ15" s="10" t="s">
        <x:v>426</x:v>
      </x:c>
      <x:c r="CR15" s="10"/>
      <x:c r="CS15" s="10" t="s">
        <x:v>426</x:v>
      </x:c>
      <x:c r="CT15" s="10" t="s">
        <x:v>426</x:v>
      </x:c>
      <x:c r="CU15" s="10"/>
      <x:c r="CV15" s="10"/>
      <x:c r="CW15" s="10"/>
      <x:c r="CX15" s="10"/>
      <x:c r="CY15" s="10"/>
      <x:c r="CZ15" s="10"/>
      <x:c r="DA15" s="11"/>
      <x:c r="DB15" s="12">
        <x:f t="shared" si="10"/>
        <x:v>1</x:v>
      </x:c>
      <x:c r="DC15" s="7" t="s">
        <x:v>443</x:v>
      </x:c>
      <x:c r="DD15" s="12">
        <x:f t="shared" si="11"/>
        <x:v>1</x:v>
      </x:c>
      <x:c r="DE15" s="7"/>
      <x:c r="DF15" s="10" t="s">
        <x:v>426</x:v>
      </x:c>
      <x:c r="DG15" s="10"/>
      <x:c r="DH15" s="10"/>
      <x:c r="DI15" s="10"/>
      <x:c r="DJ15" s="10"/>
      <x:c r="DK15" s="10"/>
      <x:c r="DL15" s="10"/>
      <x:c r="DM15" s="11"/>
      <x:c r="DN15" s="12">
        <x:f t="shared" si="12"/>
        <x:v>1</x:v>
      </x:c>
      <x:c r="DO15" s="7"/>
      <x:c r="DP15" s="10"/>
      <x:c r="DQ15" s="10"/>
      <x:c r="DR15" s="10"/>
      <x:c r="DS15" s="10" t="s">
        <x:v>426</x:v>
      </x:c>
      <x:c r="DT15" s="12">
        <x:f t="shared" si="13"/>
        <x:v>1</x:v>
      </x:c>
      <x:c r="DU15" s="7"/>
      <x:c r="DV15" s="10" t="s">
        <x:v>426</x:v>
      </x:c>
      <x:c r="DW15" s="10"/>
      <x:c r="DX15" s="10"/>
      <x:c r="DY15" s="10"/>
      <x:c r="DZ15" s="10"/>
      <x:c r="EA15" s="10"/>
      <x:c r="EB15" s="10"/>
      <x:c r="EC15" s="10"/>
      <x:c r="ED15" s="11"/>
      <x:c r="EE15" s="12">
        <x:f t="shared" si="14"/>
        <x:v>1</x:v>
      </x:c>
      <x:c r="EF15" s="7"/>
      <x:c r="EG15" s="10" t="s">
        <x:v>426</x:v>
      </x:c>
      <x:c r="EH15" s="10" t="s">
        <x:v>426</x:v>
      </x:c>
      <x:c r="EI15" s="10"/>
      <x:c r="EJ15" s="10"/>
      <x:c r="EK15" s="10"/>
      <x:c r="EL15" s="10" t="s">
        <x:v>426</x:v>
      </x:c>
      <x:c r="EM15" s="10"/>
      <x:c r="EN15" s="10"/>
      <x:c r="EO15" s="10"/>
      <x:c r="EP15" s="11"/>
      <x:c r="EQ15" s="12">
        <x:f t="shared" si="15"/>
        <x:v>1</x:v>
      </x:c>
      <x:c r="ER15" s="7" t="s">
        <x:v>426</x:v>
      </x:c>
      <x:c r="ES15" s="10"/>
      <x:c r="ET15" s="10"/>
      <x:c r="EU15" s="10"/>
      <x:c r="EV15" s="12">
        <x:f t="shared" si="16"/>
        <x:v>1</x:v>
      </x:c>
      <x:c r="EW15" s="7" t="s">
        <x:v>426</x:v>
      </x:c>
      <x:c r="EX15" s="10"/>
      <x:c r="EY15" s="10" t="s">
        <x:v>426</x:v>
      </x:c>
      <x:c r="EZ15" s="10"/>
      <x:c r="FA15" s="10"/>
      <x:c r="FB15" s="10" t="s">
        <x:v>426</x:v>
      </x:c>
      <x:c r="FC15" s="10"/>
      <x:c r="FD15" s="10"/>
      <x:c r="FE15" s="11"/>
      <x:c r="FF15" s="12">
        <x:f t="shared" si="17"/>
        <x:v>1</x:v>
      </x:c>
      <x:c r="FG15" s="7" t="s">
        <x:v>426</x:v>
      </x:c>
      <x:c r="FH15" s="10"/>
      <x:c r="FI15" s="10"/>
      <x:c r="FJ15" s="10"/>
      <x:c r="FK15" s="10"/>
      <x:c r="FL15" s="10"/>
      <x:c r="FM15" s="10"/>
      <x:c r="FN15" s="10"/>
      <x:c r="FO15" s="10"/>
      <x:c r="FP15" s="10"/>
      <x:c r="FQ15" s="10"/>
      <x:c r="FR15" s="10"/>
      <x:c r="FS15" s="10"/>
      <x:c r="FT15" s="10"/>
      <x:c r="FU15" s="11"/>
      <x:c r="FV15" s="12">
        <x:f t="shared" si="18"/>
        <x:v>1</x:v>
      </x:c>
      <x:c r="FW15" s="7"/>
      <x:c r="FX15" s="10"/>
      <x:c r="FY15" s="10"/>
      <x:c r="FZ15" s="10"/>
      <x:c r="GA15" s="10"/>
      <x:c r="GB15" s="10"/>
      <x:c r="GC15" s="10" t="s">
        <x:v>426</x:v>
      </x:c>
      <x:c r="GD15" s="10"/>
      <x:c r="GE15" s="11"/>
      <x:c r="GF15" s="12">
        <x:f t="shared" si="19"/>
        <x:v>1</x:v>
      </x:c>
      <x:c r="GG15" s="7"/>
      <x:c r="GH15" s="10"/>
      <x:c r="GI15" s="10"/>
      <x:c r="GJ15" s="10"/>
      <x:c r="GK15" s="10"/>
      <x:c r="GL15" s="10" t="s">
        <x:v>426</x:v>
      </x:c>
      <x:c r="GM15" s="12">
        <x:f t="shared" si="20"/>
        <x:v>1</x:v>
      </x:c>
      <x:c r="GN15" s="7"/>
      <x:c r="GO15" s="10"/>
      <x:c r="GP15" s="10"/>
      <x:c r="GQ15" s="10"/>
      <x:c r="GR15" s="10"/>
      <x:c r="GS15" s="10" t="s">
        <x:v>426</x:v>
      </x:c>
      <x:c r="GT15" s="12">
        <x:f t="shared" si="21"/>
        <x:v>1</x:v>
      </x:c>
      <x:c r="GU15" s="7" t="s">
        <x:v>426</x:v>
      </x:c>
      <x:c r="GV15" s="10"/>
      <x:c r="GW15" s="10"/>
      <x:c r="GX15" s="10"/>
      <x:c r="GY15" s="12">
        <x:f t="shared" si="22"/>
        <x:v>1</x:v>
      </x:c>
      <x:c r="GZ15" s="7" t="s">
        <x:v>426</x:v>
      </x:c>
      <x:c r="HA15" s="10"/>
      <x:c r="HB15" s="10"/>
      <x:c r="HC15" s="10"/>
      <x:c r="HD15" s="10"/>
      <x:c r="HE15" s="10" t="s">
        <x:v>426</x:v>
      </x:c>
      <x:c r="HF15" s="10"/>
      <x:c r="HG15" s="10"/>
      <x:c r="HH15" s="10"/>
      <x:c r="HI15" s="10"/>
      <x:c r="HJ15" s="10" t="s">
        <x:v>426</x:v>
      </x:c>
      <x:c r="HK15" s="11" t="s">
        <x:v>444</x:v>
      </x:c>
      <x:c r="HL15" s="12">
        <x:f t="shared" si="23"/>
        <x:v>1</x:v>
      </x:c>
      <x:c r="HM15" s="7"/>
      <x:c r="HN15" s="10"/>
      <x:c r="HO15" s="10" t="s">
        <x:v>426</x:v>
      </x:c>
      <x:c r="HP15" s="10"/>
      <x:c r="HQ15" s="10"/>
      <x:c r="HR15" s="10" t="s">
        <x:v>426</x:v>
      </x:c>
      <x:c r="HS15" s="10"/>
      <x:c r="HT15" s="10"/>
      <x:c r="HU15" s="10"/>
      <x:c r="HV15" s="11"/>
      <x:c r="HW15" s="12">
        <x:f t="shared" si="24"/>
        <x:v>1</x:v>
      </x:c>
      <x:c r="HX15" s="7"/>
      <x:c r="HY15" s="10"/>
      <x:c r="HZ15" s="10" t="s">
        <x:v>426</x:v>
      </x:c>
      <x:c r="IA15" s="10"/>
      <x:c r="IB15" s="10"/>
      <x:c r="IC15" s="12">
        <x:f t="shared" si="25"/>
        <x:v>1</x:v>
      </x:c>
      <x:c r="ID15" s="7"/>
      <x:c r="IE15" s="10" t="s">
        <x:v>426</x:v>
      </x:c>
      <x:c r="IF15" s="10"/>
      <x:c r="IG15" s="10"/>
      <x:c r="IH15" s="10"/>
      <x:c r="II15" s="10"/>
      <x:c r="IJ15" s="10"/>
      <x:c r="IK15" s="10"/>
      <x:c r="IL15" s="10"/>
      <x:c r="IM15" s="10"/>
      <x:c r="IN15" s="11"/>
      <x:c r="IO15" s="12">
        <x:f t="shared" si="26"/>
        <x:v>1</x:v>
      </x:c>
      <x:c r="IP15" s="7"/>
      <x:c r="IQ15" s="10"/>
      <x:c r="IR15" s="10"/>
      <x:c r="IS15" s="10"/>
      <x:c r="IT15" s="10" t="s">
        <x:v>426</x:v>
      </x:c>
      <x:c r="IU15" s="10" t="s">
        <x:v>426</x:v>
      </x:c>
      <x:c r="IV15" s="10"/>
      <x:c r="IW15" s="10"/>
      <x:c r="IX15" s="11"/>
      <x:c r="IY15" s="12">
        <x:f t="shared" si="27"/>
        <x:v>1</x:v>
      </x:c>
      <x:c r="IZ15" s="7"/>
      <x:c r="JA15" s="10"/>
      <x:c r="JB15" s="10"/>
      <x:c r="JC15" s="10"/>
      <x:c r="JD15" s="10"/>
      <x:c r="JE15" s="10"/>
      <x:c r="JF15" s="10"/>
      <x:c r="JG15" s="10"/>
      <x:c r="JH15" s="10"/>
      <x:c r="JI15" s="10"/>
      <x:c r="JJ15" s="10"/>
      <x:c r="JK15" s="10"/>
      <x:c r="JL15" s="10"/>
      <x:c r="JM15" s="10"/>
      <x:c r="JN15" s="10"/>
      <x:c r="JO15" s="10"/>
      <x:c r="JP15" s="10"/>
      <x:c r="JQ15" s="10"/>
      <x:c r="JR15" s="10" t="s">
        <x:v>426</x:v>
      </x:c>
      <x:c r="JS15" s="12">
        <x:f t="shared" si="28"/>
        <x:v>1</x:v>
      </x:c>
      <x:c r="JT15" s="7" t="s">
        <x:v>426</x:v>
      </x:c>
      <x:c r="JU15" s="10" t="s">
        <x:v>426</x:v>
      </x:c>
      <x:c r="JV15" s="10" t="s">
        <x:v>426</x:v>
      </x:c>
      <x:c r="JW15" s="10" t="s">
        <x:v>426</x:v>
      </x:c>
      <x:c r="JX15" s="10" t="s">
        <x:v>426</x:v>
      </x:c>
      <x:c r="JY15" s="10" t="s">
        <x:v>426</x:v>
      </x:c>
      <x:c r="JZ15" s="10" t="s">
        <x:v>426</x:v>
      </x:c>
      <x:c r="KA15" s="10" t="s">
        <x:v>426</x:v>
      </x:c>
      <x:c r="KB15" s="10" t="s">
        <x:v>426</x:v>
      </x:c>
      <x:c r="KC15" s="10" t="s">
        <x:v>426</x:v>
      </x:c>
      <x:c r="KD15" s="10" t="s">
        <x:v>426</x:v>
      </x:c>
      <x:c r="KE15" s="10" t="s">
        <x:v>426</x:v>
      </x:c>
      <x:c r="KF15" s="10" t="s">
        <x:v>426</x:v>
      </x:c>
      <x:c r="KG15" s="10" t="s">
        <x:v>426</x:v>
      </x:c>
      <x:c r="KH15" s="10" t="s">
        <x:v>426</x:v>
      </x:c>
      <x:c r="KI15" s="10" t="s">
        <x:v>426</x:v>
      </x:c>
      <x:c r="KJ15" s="10" t="s">
        <x:v>426</x:v>
      </x:c>
      <x:c r="KK15" s="10" t="s">
        <x:v>426</x:v>
      </x:c>
      <x:c r="KL15" s="10"/>
      <x:c r="KM15" s="12">
        <x:f t="shared" si="29"/>
        <x:v>1</x:v>
      </x:c>
      <x:c r="KN15" s="7" t="s">
        <x:v>426</x:v>
      </x:c>
      <x:c r="KO15" s="10"/>
      <x:c r="KP15" s="10"/>
      <x:c r="KQ15" s="10"/>
      <x:c r="KR15" s="10"/>
      <x:c r="KS15" s="10"/>
      <x:c r="KT15" s="10"/>
      <x:c r="KU15" s="10"/>
      <x:c r="KV15" s="10"/>
      <x:c r="KW15" s="10"/>
      <x:c r="KX15" s="10" t="s">
        <x:v>426</x:v>
      </x:c>
      <x:c r="KY15" s="10" t="s">
        <x:v>426</x:v>
      </x:c>
      <x:c r="KZ15" s="10" t="s">
        <x:v>426</x:v>
      </x:c>
      <x:c r="LA15" s="10"/>
      <x:c r="LB15" s="10"/>
      <x:c r="LC15" s="10"/>
      <x:c r="LD15" s="10"/>
      <x:c r="LE15" s="10"/>
      <x:c r="LF15" s="10"/>
      <x:c r="LG15" s="12">
        <x:f t="shared" si="30"/>
        <x:v>1</x:v>
      </x:c>
      <x:c r="LH15" s="7"/>
      <x:c r="LI15" s="10"/>
      <x:c r="LJ15" s="10"/>
      <x:c r="LK15" s="10"/>
      <x:c r="LL15" s="10"/>
      <x:c r="LM15" s="10"/>
      <x:c r="LN15" s="10" t="s">
        <x:v>426</x:v>
      </x:c>
      <x:c r="LO15" s="10"/>
      <x:c r="LP15" s="10"/>
      <x:c r="LQ15" s="11"/>
      <x:c r="LR15" s="12">
        <x:f t="shared" si="31"/>
        <x:v>1</x:v>
      </x:c>
      <x:c r="LS15" s="7"/>
      <x:c r="LT15" s="10"/>
      <x:c r="LU15" s="10"/>
      <x:c r="LV15" s="10"/>
      <x:c r="LW15" s="10"/>
      <x:c r="LX15" s="10"/>
      <x:c r="LY15" s="10" t="s">
        <x:v>426</x:v>
      </x:c>
      <x:c r="LZ15" s="10"/>
      <x:c r="MA15" s="10"/>
      <x:c r="MB15" s="11"/>
      <x:c r="MC15" s="12">
        <x:f t="shared" si="32"/>
        <x:v>1</x:v>
      </x:c>
      <x:c r="MD15" s="7"/>
      <x:c r="ME15" s="10"/>
      <x:c r="MF15" s="10"/>
      <x:c r="MG15" s="10"/>
      <x:c r="MH15" s="10"/>
      <x:c r="MI15" s="10"/>
      <x:c r="MJ15" s="10" t="s">
        <x:v>426</x:v>
      </x:c>
      <x:c r="MK15" s="12">
        <x:f t="shared" si="33"/>
        <x:v>1</x:v>
      </x:c>
      <x:c r="ML15" s="7"/>
      <x:c r="MM15" s="10"/>
      <x:c r="MN15" s="10"/>
      <x:c r="MO15" s="10"/>
      <x:c r="MP15" s="10"/>
      <x:c r="MQ15" s="10"/>
      <x:c r="MR15" s="10" t="s">
        <x:v>426</x:v>
      </x:c>
      <x:c r="MS15" s="10"/>
      <x:c r="MT15" s="10"/>
      <x:c r="MU15" s="11"/>
      <x:c r="MV15" s="12">
        <x:f t="shared" si="34"/>
        <x:v>1</x:v>
      </x:c>
      <x:c r="MW15" s="7"/>
      <x:c r="MX15" s="10"/>
      <x:c r="MY15" s="10"/>
      <x:c r="MZ15" s="10"/>
      <x:c r="NA15" s="10"/>
      <x:c r="NB15" s="10"/>
      <x:c r="NC15" s="10" t="s">
        <x:v>426</x:v>
      </x:c>
      <x:c r="ND15" s="10"/>
      <x:c r="NE15" s="10"/>
      <x:c r="NF15" s="11"/>
      <x:c r="NG15" s="12">
        <x:f t="shared" si="35"/>
        <x:v>1</x:v>
      </x:c>
      <x:c r="NH15" s="7"/>
      <x:c r="NI15" s="10"/>
      <x:c r="NJ15" s="10"/>
      <x:c r="NK15" s="10"/>
      <x:c r="NL15" s="10"/>
      <x:c r="NM15" s="10"/>
      <x:c r="NN15" s="10"/>
      <x:c r="NO15" s="10"/>
      <x:c r="NP15" s="10" t="s">
        <x:v>426</x:v>
      </x:c>
      <x:c r="NQ15" s="10"/>
      <x:c r="NR15" s="11"/>
      <x:c r="NS15" s="12">
        <x:f t="shared" si="36"/>
        <x:v>1</x:v>
      </x:c>
      <x:c r="NT15" s="7"/>
      <x:c r="NU15" s="10"/>
      <x:c r="NV15" s="10"/>
      <x:c r="NW15" s="10"/>
      <x:c r="NX15" s="10" t="s">
        <x:v>426</x:v>
      </x:c>
      <x:c r="NY15" s="12">
        <x:f t="shared" si="37"/>
        <x:v>1</x:v>
      </x:c>
      <x:c r="NZ15" s="7"/>
      <x:c r="OA15" s="10"/>
      <x:c r="OB15" s="10"/>
      <x:c r="OC15" s="10"/>
      <x:c r="OD15" s="10"/>
      <x:c r="OE15" s="10"/>
      <x:c r="OF15" s="10"/>
      <x:c r="OG15" s="10"/>
      <x:c r="OH15" s="10"/>
      <x:c r="OI15" s="10" t="s">
        <x:v>426</x:v>
      </x:c>
      <x:c r="OJ15" s="10"/>
      <x:c r="OK15" s="11"/>
      <x:c r="OL15" s="12">
        <x:f t="shared" si="38"/>
        <x:v>1</x:v>
      </x:c>
      <x:c r="OM15" s="7" t="s">
        <x:v>426</x:v>
      </x:c>
      <x:c r="ON15" s="10"/>
      <x:c r="OO15" s="10"/>
      <x:c r="OP15" s="10"/>
      <x:c r="OQ15" s="10" t="s">
        <x:v>426</x:v>
      </x:c>
      <x:c r="OR15" s="10" t="s">
        <x:v>426</x:v>
      </x:c>
      <x:c r="OS15" s="10"/>
      <x:c r="OT15" s="10"/>
      <x:c r="OU15" s="10"/>
      <x:c r="OV15" s="11"/>
      <x:c r="OW15" s="12">
        <x:f t="shared" si="39"/>
        <x:v>1</x:v>
      </x:c>
      <x:c r="OX15" s="7"/>
      <x:c r="OY15" s="10"/>
      <x:c r="OZ15" s="10" t="s">
        <x:v>426</x:v>
      </x:c>
      <x:c r="PA15" s="10"/>
      <x:c r="PB15" s="10"/>
      <x:c r="PC15" s="12">
        <x:f t="shared" si="40"/>
        <x:v>1</x:v>
      </x:c>
      <x:c r="PD15" s="7" t="s">
        <x:v>426</x:v>
      </x:c>
      <x:c r="PE15" s="10"/>
      <x:c r="PF15" s="10"/>
      <x:c r="PG15" s="10"/>
      <x:c r="PH15" s="10"/>
      <x:c r="PI15" s="10" t="s">
        <x:v>426</x:v>
      </x:c>
      <x:c r="PJ15" s="10" t="s">
        <x:v>426</x:v>
      </x:c>
      <x:c r="PK15" s="10"/>
      <x:c r="PL15" s="10"/>
      <x:c r="PM15" s="10"/>
      <x:c r="PN15" s="11"/>
      <x:c r="PO15" s="12">
        <x:f t="shared" si="41"/>
        <x:v>1</x:v>
      </x:c>
      <x:c r="PP15" s="7"/>
      <x:c r="PQ15" s="10"/>
      <x:c r="PR15" s="10" t="s">
        <x:v>426</x:v>
      </x:c>
      <x:c r="PS15" s="10"/>
      <x:c r="PT15" s="12">
        <x:f t="shared" si="42"/>
        <x:v>1</x:v>
      </x:c>
      <x:c r="PU15" s="7" t="s">
        <x:v>426</x:v>
      </x:c>
      <x:c r="PV15" s="10"/>
      <x:c r="PW15" s="10"/>
      <x:c r="PX15" s="10"/>
      <x:c r="PY15" s="10"/>
      <x:c r="PZ15" s="10"/>
      <x:c r="QA15" s="10"/>
      <x:c r="QB15" s="10"/>
      <x:c r="QC15" s="10"/>
      <x:c r="QD15" s="11"/>
      <x:c r="QE15" s="12">
        <x:f t="shared" si="43"/>
        <x:v>1</x:v>
      </x:c>
      <x:c r="QF15" s="7"/>
      <x:c r="QG15" s="10"/>
      <x:c r="QH15" s="10"/>
      <x:c r="QI15" s="10" t="s">
        <x:v>426</x:v>
      </x:c>
      <x:c r="QJ15" s="10" t="s">
        <x:v>426</x:v>
      </x:c>
      <x:c r="QK15" s="10" t="s">
        <x:v>426</x:v>
      </x:c>
      <x:c r="QL15" s="10" t="s">
        <x:v>426</x:v>
      </x:c>
      <x:c r="QM15" s="10" t="s">
        <x:v>426</x:v>
      </x:c>
      <x:c r="QN15" s="10"/>
      <x:c r="QO15" s="11"/>
      <x:c r="QP15" s="12">
        <x:f t="shared" si="44"/>
        <x:v>1</x:v>
      </x:c>
      <x:c r="QQ15" s="7"/>
      <x:c r="QR15" s="10"/>
      <x:c r="QS15" s="10"/>
      <x:c r="QT15" s="10"/>
      <x:c r="QU15" s="10"/>
      <x:c r="QV15" s="10"/>
      <x:c r="QW15" s="10"/>
      <x:c r="QX15" s="10" t="s">
        <x:v>426</x:v>
      </x:c>
      <x:c r="QY15" s="10"/>
      <x:c r="QZ15" s="11"/>
      <x:c r="RA15" s="12">
        <x:f t="shared" si="45"/>
        <x:v>1</x:v>
      </x:c>
      <x:c r="RB15" s="7"/>
      <x:c r="RC15" s="10"/>
      <x:c r="RD15" s="10"/>
      <x:c r="RE15" s="10"/>
      <x:c r="RF15" s="10" t="s">
        <x:v>426</x:v>
      </x:c>
      <x:c r="RG15" s="10"/>
      <x:c r="RH15" s="10"/>
      <x:c r="RI15" s="10"/>
      <x:c r="RJ15" s="11"/>
      <x:c r="RK15" s="12">
        <x:f t="shared" si="46"/>
        <x:v>1</x:v>
      </x:c>
      <x:c r="RL15" s="7" t="s">
        <x:v>426</x:v>
      </x:c>
      <x:c r="RM15" s="10"/>
      <x:c r="RN15" s="10"/>
      <x:c r="RO15" s="10"/>
      <x:c r="RP15" s="10"/>
      <x:c r="RQ15" s="10" t="s">
        <x:v>426</x:v>
      </x:c>
      <x:c r="RR15" s="10"/>
      <x:c r="RS15" s="10"/>
      <x:c r="RT15" s="10"/>
      <x:c r="RU15" s="11"/>
      <x:c r="RV15" s="12">
        <x:f t="shared" si="47"/>
        <x:v>1</x:v>
      </x:c>
      <x:c r="RW15" s="7"/>
      <x:c r="RX15" s="12">
        <x:f t="shared" si="48"/>
        <x:v>0</x:v>
      </x:c>
    </x:row>
    <x:row r="16" ht="16.5">
      <x:c r="A16" s="13" t="s">
        <x:v>445</x:v>
      </x:c>
      <x:c r="B16" s="14"/>
      <x:c r="C16" s="14"/>
      <x:c r="D16" s="14"/>
      <x:c r="E16" s="14"/>
      <x:c r="F16" s="14"/>
      <x:c r="G16" s="14"/>
      <x:c r="H16" s="14"/>
      <x:c r="I16" s="14"/>
      <x:c r="J16" s="14"/>
      <x:c r="K16" s="15"/>
      <x:c r="L16" s="13" t="s">
        <x:v>426</x:v>
      </x:c>
      <x:c r="M16" s="16"/>
      <x:c r="N16" s="16"/>
      <x:c r="O16" s="16"/>
      <x:c r="P16" s="17"/>
      <x:c r="Q16" s="12">
        <x:f t="shared" si="0"/>
        <x:v>1</x:v>
      </x:c>
      <x:c r="R16" s="13" t="s">
        <x:v>426</x:v>
      </x:c>
      <x:c r="S16" s="16"/>
      <x:c r="T16" s="16"/>
      <x:c r="U16" s="16"/>
      <x:c r="V16" s="16"/>
      <x:c r="W16" s="17"/>
      <x:c r="X16" s="12">
        <x:f t="shared" si="1"/>
        <x:v>1</x:v>
      </x:c>
      <x:c r="Y16" s="13"/>
      <x:c r="Z16" s="16"/>
      <x:c r="AA16" s="16"/>
      <x:c r="AB16" s="16"/>
      <x:c r="AC16" s="16" t="s">
        <x:v>426</x:v>
      </x:c>
      <x:c r="AD16" s="12">
        <x:f t="shared" si="2"/>
        <x:v>1</x:v>
      </x:c>
      <x:c r="AE16" s="13"/>
      <x:c r="AF16" s="16"/>
      <x:c r="AG16" s="16" t="s">
        <x:v>426</x:v>
      </x:c>
      <x:c r="AH16" s="16"/>
      <x:c r="AI16" s="16"/>
      <x:c r="AJ16" s="17"/>
      <x:c r="AK16" s="12">
        <x:f t="shared" si="3"/>
        <x:v>1</x:v>
      </x:c>
      <x:c r="AL16" s="13"/>
      <x:c r="AM16" s="16" t="s">
        <x:v>426</x:v>
      </x:c>
      <x:c r="AN16" s="16"/>
      <x:c r="AO16" s="12">
        <x:f t="shared" si="4"/>
        <x:v>1</x:v>
      </x:c>
      <x:c r="AP16" s="13" t="s">
        <x:v>426</x:v>
      </x:c>
      <x:c r="AQ16" s="16"/>
      <x:c r="AR16" s="16"/>
      <x:c r="AS16" s="16"/>
      <x:c r="AT16" s="16"/>
      <x:c r="AU16" s="16"/>
      <x:c r="AV16" s="16"/>
      <x:c r="AW16" s="17"/>
      <x:c r="AX16" s="12">
        <x:f t="shared" si="5"/>
        <x:v>1</x:v>
      </x:c>
      <x:c r="AY16" s="13" t="s">
        <x:v>426</x:v>
      </x:c>
      <x:c r="AZ16" s="16"/>
      <x:c r="BA16" s="16"/>
      <x:c r="BB16" s="16"/>
      <x:c r="BC16" s="16"/>
      <x:c r="BD16" s="16"/>
      <x:c r="BE16" s="16"/>
      <x:c r="BF16" s="16"/>
      <x:c r="BG16" s="17"/>
      <x:c r="BH16" s="12">
        <x:f t="shared" si="6"/>
        <x:v>1</x:v>
      </x:c>
      <x:c r="BI16" s="13" t="s">
        <x:v>426</x:v>
      </x:c>
      <x:c r="BJ16" s="16"/>
      <x:c r="BK16" s="16"/>
      <x:c r="BL16" s="16"/>
      <x:c r="BM16" s="16"/>
      <x:c r="BN16" s="16"/>
      <x:c r="BO16" s="16"/>
      <x:c r="BP16" s="17"/>
      <x:c r="BQ16" s="12">
        <x:f t="shared" si="7"/>
        <x:v>1</x:v>
      </x:c>
      <x:c r="BR16" s="13"/>
      <x:c r="BS16" s="16" t="s">
        <x:v>426</x:v>
      </x:c>
      <x:c r="BT16" s="16"/>
      <x:c r="BU16" s="16"/>
      <x:c r="BV16" s="16"/>
      <x:c r="BW16" s="16"/>
      <x:c r="BX16" s="16"/>
      <x:c r="BY16" s="17"/>
      <x:c r="BZ16" s="12">
        <x:f t="shared" si="8"/>
        <x:v>1</x:v>
      </x:c>
      <x:c r="CA16" s="13"/>
      <x:c r="CB16" s="16"/>
      <x:c r="CC16" s="16"/>
      <x:c r="CD16" s="16" t="s">
        <x:v>426</x:v>
      </x:c>
      <x:c r="CE16" s="16"/>
      <x:c r="CF16" s="16"/>
      <x:c r="CG16" s="16"/>
      <x:c r="CH16" s="16"/>
      <x:c r="CI16" s="16"/>
      <x:c r="CJ16" s="16"/>
      <x:c r="CK16" s="17"/>
      <x:c r="CL16" s="12">
        <x:f t="shared" si="9"/>
        <x:v>1</x:v>
      </x:c>
      <x:c r="CM16" s="13"/>
      <x:c r="CN16" s="16"/>
      <x:c r="CO16" s="16"/>
      <x:c r="CP16" s="16"/>
      <x:c r="CQ16" s="16"/>
      <x:c r="CR16" s="16"/>
      <x:c r="CS16" s="16" t="s">
        <x:v>426</x:v>
      </x:c>
      <x:c r="CT16" s="16"/>
      <x:c r="CU16" s="16"/>
      <x:c r="CV16" s="16"/>
      <x:c r="CW16" s="16"/>
      <x:c r="CX16" s="16"/>
      <x:c r="CY16" s="16"/>
      <x:c r="CZ16" s="16"/>
      <x:c r="DA16" s="17"/>
      <x:c r="DB16" s="12">
        <x:f t="shared" si="10"/>
        <x:v>1</x:v>
      </x:c>
      <x:c r="DC16" s="13" t="s">
        <x:v>446</x:v>
      </x:c>
      <x:c r="DD16" s="12">
        <x:f t="shared" si="11"/>
        <x:v>1</x:v>
      </x:c>
      <x:c r="DE16" s="13" t="s">
        <x:v>426</x:v>
      </x:c>
      <x:c r="DF16" s="16"/>
      <x:c r="DG16" s="16"/>
      <x:c r="DH16" s="16"/>
      <x:c r="DI16" s="16"/>
      <x:c r="DJ16" s="16"/>
      <x:c r="DK16" s="16"/>
      <x:c r="DL16" s="16"/>
      <x:c r="DM16" s="17"/>
      <x:c r="DN16" s="12">
        <x:f t="shared" si="12"/>
        <x:v>1</x:v>
      </x:c>
      <x:c r="DO16" s="13"/>
      <x:c r="DP16" s="16"/>
      <x:c r="DQ16" s="16"/>
      <x:c r="DR16" s="16"/>
      <x:c r="DS16" s="16" t="s">
        <x:v>426</x:v>
      </x:c>
      <x:c r="DT16" s="12">
        <x:f t="shared" si="13"/>
        <x:v>1</x:v>
      </x:c>
      <x:c r="DU16" s="13"/>
      <x:c r="DV16" s="16" t="s">
        <x:v>426</x:v>
      </x:c>
      <x:c r="DW16" s="16"/>
      <x:c r="DX16" s="16"/>
      <x:c r="DY16" s="16"/>
      <x:c r="DZ16" s="16"/>
      <x:c r="EA16" s="16"/>
      <x:c r="EB16" s="16"/>
      <x:c r="EC16" s="16"/>
      <x:c r="ED16" s="17"/>
      <x:c r="EE16" s="12">
        <x:f t="shared" si="14"/>
        <x:v>1</x:v>
      </x:c>
      <x:c r="EF16" s="13" t="s">
        <x:v>426</x:v>
      </x:c>
      <x:c r="EG16" s="16"/>
      <x:c r="EH16" s="16"/>
      <x:c r="EI16" s="16"/>
      <x:c r="EJ16" s="16"/>
      <x:c r="EK16" s="16"/>
      <x:c r="EL16" s="16"/>
      <x:c r="EM16" s="16"/>
      <x:c r="EN16" s="16"/>
      <x:c r="EO16" s="16"/>
      <x:c r="EP16" s="17"/>
      <x:c r="EQ16" s="12">
        <x:f t="shared" si="15"/>
        <x:v>1</x:v>
      </x:c>
      <x:c r="ER16" s="13"/>
      <x:c r="ES16" s="16"/>
      <x:c r="ET16" s="16" t="s">
        <x:v>426</x:v>
      </x:c>
      <x:c r="EU16" s="16"/>
      <x:c r="EV16" s="12">
        <x:f t="shared" si="16"/>
        <x:v>1</x:v>
      </x:c>
      <x:c r="EW16" s="13"/>
      <x:c r="EX16" s="16"/>
      <x:c r="EY16" s="16"/>
      <x:c r="EZ16" s="16" t="s">
        <x:v>426</x:v>
      </x:c>
      <x:c r="FA16" s="16"/>
      <x:c r="FB16" s="16"/>
      <x:c r="FC16" s="16"/>
      <x:c r="FD16" s="16"/>
      <x:c r="FE16" s="17"/>
      <x:c r="FF16" s="12">
        <x:f t="shared" si="17"/>
        <x:v>1</x:v>
      </x:c>
      <x:c r="FG16" s="13" t="s">
        <x:v>426</x:v>
      </x:c>
      <x:c r="FH16" s="16"/>
      <x:c r="FI16" s="16"/>
      <x:c r="FJ16" s="16"/>
      <x:c r="FK16" s="16"/>
      <x:c r="FL16" s="16"/>
      <x:c r="FM16" s="16"/>
      <x:c r="FN16" s="16"/>
      <x:c r="FO16" s="16"/>
      <x:c r="FP16" s="16"/>
      <x:c r="FQ16" s="16"/>
      <x:c r="FR16" s="16"/>
      <x:c r="FS16" s="16"/>
      <x:c r="FT16" s="16"/>
      <x:c r="FU16" s="17"/>
      <x:c r="FV16" s="12">
        <x:f t="shared" si="18"/>
        <x:v>1</x:v>
      </x:c>
      <x:c r="FW16" s="13"/>
      <x:c r="FX16" s="16"/>
      <x:c r="FY16" s="16"/>
      <x:c r="FZ16" s="16"/>
      <x:c r="GA16" s="16"/>
      <x:c r="GB16" s="16"/>
      <x:c r="GC16" s="16"/>
      <x:c r="GD16" s="16"/>
      <x:c r="GE16" s="17"/>
      <x:c r="GF16" s="12">
        <x:f t="shared" si="19"/>
        <x:v>0</x:v>
      </x:c>
      <x:c r="GG16" s="13"/>
      <x:c r="GH16" s="16"/>
      <x:c r="GI16" s="16"/>
      <x:c r="GJ16" s="16"/>
      <x:c r="GK16" s="16"/>
      <x:c r="GL16" s="16" t="s">
        <x:v>426</x:v>
      </x:c>
      <x:c r="GM16" s="12">
        <x:f t="shared" si="20"/>
        <x:v>1</x:v>
      </x:c>
      <x:c r="GN16" s="13"/>
      <x:c r="GO16" s="16"/>
      <x:c r="GP16" s="16"/>
      <x:c r="GQ16" s="16"/>
      <x:c r="GR16" s="16"/>
      <x:c r="GS16" s="16" t="s">
        <x:v>426</x:v>
      </x:c>
      <x:c r="GT16" s="12">
        <x:f t="shared" si="21"/>
        <x:v>1</x:v>
      </x:c>
      <x:c r="GU16" s="13" t="s">
        <x:v>426</x:v>
      </x:c>
      <x:c r="GV16" s="16"/>
      <x:c r="GW16" s="16"/>
      <x:c r="GX16" s="16"/>
      <x:c r="GY16" s="12">
        <x:f t="shared" si="22"/>
        <x:v>1</x:v>
      </x:c>
      <x:c r="GZ16" s="13"/>
      <x:c r="HA16" s="16"/>
      <x:c r="HB16" s="16"/>
      <x:c r="HC16" s="16"/>
      <x:c r="HD16" s="16"/>
      <x:c r="HE16" s="16" t="s">
        <x:v>426</x:v>
      </x:c>
      <x:c r="HF16" s="16"/>
      <x:c r="HG16" s="16"/>
      <x:c r="HH16" s="16"/>
      <x:c r="HI16" s="16"/>
      <x:c r="HJ16" s="16"/>
      <x:c r="HK16" s="17"/>
      <x:c r="HL16" s="12">
        <x:f t="shared" si="23"/>
        <x:v>1</x:v>
      </x:c>
      <x:c r="HM16" s="13"/>
      <x:c r="HN16" s="16"/>
      <x:c r="HO16" s="16"/>
      <x:c r="HP16" s="16"/>
      <x:c r="HQ16" s="16"/>
      <x:c r="HR16" s="16" t="s">
        <x:v>426</x:v>
      </x:c>
      <x:c r="HS16" s="16"/>
      <x:c r="HT16" s="16"/>
      <x:c r="HU16" s="16"/>
      <x:c r="HV16" s="17"/>
      <x:c r="HW16" s="12">
        <x:f t="shared" si="24"/>
        <x:v>1</x:v>
      </x:c>
      <x:c r="HX16" s="13"/>
      <x:c r="HY16" s="16"/>
      <x:c r="HZ16" s="16"/>
      <x:c r="IA16" s="16"/>
      <x:c r="IB16" s="16" t="s">
        <x:v>426</x:v>
      </x:c>
      <x:c r="IC16" s="12">
        <x:f t="shared" si="25"/>
        <x:v>1</x:v>
      </x:c>
      <x:c r="ID16" s="13"/>
      <x:c r="IE16" s="16"/>
      <x:c r="IF16" s="16"/>
      <x:c r="IG16" s="16"/>
      <x:c r="IH16" s="16" t="s">
        <x:v>426</x:v>
      </x:c>
      <x:c r="II16" s="16"/>
      <x:c r="IJ16" s="16"/>
      <x:c r="IK16" s="16"/>
      <x:c r="IL16" s="16"/>
      <x:c r="IM16" s="16"/>
      <x:c r="IN16" s="17"/>
      <x:c r="IO16" s="12">
        <x:f t="shared" si="26"/>
        <x:v>1</x:v>
      </x:c>
      <x:c r="IP16" s="13"/>
      <x:c r="IQ16" s="16"/>
      <x:c r="IR16" s="16"/>
      <x:c r="IS16" s="16"/>
      <x:c r="IT16" s="16"/>
      <x:c r="IU16" s="16"/>
      <x:c r="IV16" s="16"/>
      <x:c r="IW16" s="16"/>
      <x:c r="IX16" s="17"/>
      <x:c r="IY16" s="12">
        <x:f t="shared" si="27"/>
        <x:v>0</x:v>
      </x:c>
      <x:c r="IZ16" s="13"/>
      <x:c r="JA16" s="16"/>
      <x:c r="JB16" s="16"/>
      <x:c r="JC16" s="16"/>
      <x:c r="JD16" s="16"/>
      <x:c r="JE16" s="16"/>
      <x:c r="JF16" s="16"/>
      <x:c r="JG16" s="16"/>
      <x:c r="JH16" s="16"/>
      <x:c r="JI16" s="16"/>
      <x:c r="JJ16" s="16"/>
      <x:c r="JK16" s="16"/>
      <x:c r="JL16" s="16"/>
      <x:c r="JM16" s="16"/>
      <x:c r="JN16" s="16"/>
      <x:c r="JO16" s="16"/>
      <x:c r="JP16" s="16"/>
      <x:c r="JQ16" s="16"/>
      <x:c r="JR16" s="16" t="s">
        <x:v>426</x:v>
      </x:c>
      <x:c r="JS16" s="12">
        <x:f t="shared" si="28"/>
        <x:v>1</x:v>
      </x:c>
      <x:c r="JT16" s="13"/>
      <x:c r="JU16" s="16"/>
      <x:c r="JV16" s="16"/>
      <x:c r="JW16" s="16"/>
      <x:c r="JX16" s="16"/>
      <x:c r="JY16" s="16"/>
      <x:c r="JZ16" s="16"/>
      <x:c r="KA16" s="16"/>
      <x:c r="KB16" s="16"/>
      <x:c r="KC16" s="16"/>
      <x:c r="KD16" s="16"/>
      <x:c r="KE16" s="16"/>
      <x:c r="KF16" s="16"/>
      <x:c r="KG16" s="16"/>
      <x:c r="KH16" s="16"/>
      <x:c r="KI16" s="16"/>
      <x:c r="KJ16" s="16"/>
      <x:c r="KK16" s="16"/>
      <x:c r="KL16" s="16"/>
      <x:c r="KM16" s="12">
        <x:f t="shared" si="29"/>
        <x:v>0</x:v>
      </x:c>
      <x:c r="KN16" s="13"/>
      <x:c r="KO16" s="16"/>
      <x:c r="KP16" s="16"/>
      <x:c r="KQ16" s="16"/>
      <x:c r="KR16" s="16"/>
      <x:c r="KS16" s="16"/>
      <x:c r="KT16" s="16"/>
      <x:c r="KU16" s="16"/>
      <x:c r="KV16" s="16"/>
      <x:c r="KW16" s="16"/>
      <x:c r="KX16" s="16"/>
      <x:c r="KY16" s="16"/>
      <x:c r="KZ16" s="16"/>
      <x:c r="LA16" s="16"/>
      <x:c r="LB16" s="16"/>
      <x:c r="LC16" s="16"/>
      <x:c r="LD16" s="16"/>
      <x:c r="LE16" s="16"/>
      <x:c r="LF16" s="16" t="s">
        <x:v>426</x:v>
      </x:c>
      <x:c r="LG16" s="12">
        <x:f t="shared" si="30"/>
        <x:v>1</x:v>
      </x:c>
      <x:c r="LH16" s="13"/>
      <x:c r="LI16" s="16"/>
      <x:c r="LJ16" s="16"/>
      <x:c r="LK16" s="16"/>
      <x:c r="LL16" s="16" t="s">
        <x:v>426</x:v>
      </x:c>
      <x:c r="LM16" s="16"/>
      <x:c r="LN16" s="16"/>
      <x:c r="LO16" s="16"/>
      <x:c r="LP16" s="16"/>
      <x:c r="LQ16" s="17"/>
      <x:c r="LR16" s="12">
        <x:f t="shared" si="31"/>
        <x:v>1</x:v>
      </x:c>
      <x:c r="LS16" s="13"/>
      <x:c r="LT16" s="16"/>
      <x:c r="LU16" s="16"/>
      <x:c r="LV16" s="16"/>
      <x:c r="LW16" s="16"/>
      <x:c r="LX16" s="16"/>
      <x:c r="LY16" s="16"/>
      <x:c r="LZ16" s="16" t="s">
        <x:v>426</x:v>
      </x:c>
      <x:c r="MA16" s="16"/>
      <x:c r="MB16" s="17"/>
      <x:c r="MC16" s="12">
        <x:f t="shared" si="32"/>
        <x:v>1</x:v>
      </x:c>
      <x:c r="MD16" s="13" t="s">
        <x:v>426</x:v>
      </x:c>
      <x:c r="ME16" s="16"/>
      <x:c r="MF16" s="16"/>
      <x:c r="MG16" s="16"/>
      <x:c r="MH16" s="16"/>
      <x:c r="MI16" s="16"/>
      <x:c r="MJ16" s="16"/>
      <x:c r="MK16" s="12">
        <x:f t="shared" si="33"/>
        <x:v>1</x:v>
      </x:c>
      <x:c r="ML16" s="13"/>
      <x:c r="MM16" s="16"/>
      <x:c r="MN16" s="16"/>
      <x:c r="MO16" s="16"/>
      <x:c r="MP16" s="16"/>
      <x:c r="MQ16" s="16"/>
      <x:c r="MR16" s="16" t="s">
        <x:v>426</x:v>
      </x:c>
      <x:c r="MS16" s="16"/>
      <x:c r="MT16" s="16"/>
      <x:c r="MU16" s="17"/>
      <x:c r="MV16" s="12">
        <x:f t="shared" si="34"/>
        <x:v>1</x:v>
      </x:c>
      <x:c r="MW16" s="13"/>
      <x:c r="MX16" s="16"/>
      <x:c r="MY16" s="16"/>
      <x:c r="MZ16" s="16"/>
      <x:c r="NA16" s="16"/>
      <x:c r="NB16" s="16"/>
      <x:c r="NC16" s="16" t="s">
        <x:v>426</x:v>
      </x:c>
      <x:c r="ND16" s="16"/>
      <x:c r="NE16" s="16"/>
      <x:c r="NF16" s="17"/>
      <x:c r="NG16" s="12">
        <x:f t="shared" si="35"/>
        <x:v>1</x:v>
      </x:c>
      <x:c r="NH16" s="13"/>
      <x:c r="NI16" s="16"/>
      <x:c r="NJ16" s="16"/>
      <x:c r="NK16" s="16"/>
      <x:c r="NL16" s="16"/>
      <x:c r="NM16" s="16"/>
      <x:c r="NN16" s="16"/>
      <x:c r="NO16" s="16"/>
      <x:c r="NP16" s="16" t="s">
        <x:v>426</x:v>
      </x:c>
      <x:c r="NQ16" s="16"/>
      <x:c r="NR16" s="17"/>
      <x:c r="NS16" s="12">
        <x:f t="shared" si="36"/>
        <x:v>1</x:v>
      </x:c>
      <x:c r="NT16" s="13"/>
      <x:c r="NU16" s="16"/>
      <x:c r="NV16" s="16"/>
      <x:c r="NW16" s="16" t="s">
        <x:v>426</x:v>
      </x:c>
      <x:c r="NX16" s="16"/>
      <x:c r="NY16" s="12">
        <x:f t="shared" si="37"/>
        <x:v>1</x:v>
      </x:c>
      <x:c r="NZ16" s="13"/>
      <x:c r="OA16" s="16"/>
      <x:c r="OB16" s="16"/>
      <x:c r="OC16" s="16"/>
      <x:c r="OD16" s="16"/>
      <x:c r="OE16" s="16"/>
      <x:c r="OF16" s="16"/>
      <x:c r="OG16" s="16"/>
      <x:c r="OH16" s="16"/>
      <x:c r="OI16" s="16" t="s">
        <x:v>426</x:v>
      </x:c>
      <x:c r="OJ16" s="16"/>
      <x:c r="OK16" s="17"/>
      <x:c r="OL16" s="12">
        <x:f t="shared" si="38"/>
        <x:v>1</x:v>
      </x:c>
      <x:c r="OM16" s="13"/>
      <x:c r="ON16" s="16"/>
      <x:c r="OO16" s="16"/>
      <x:c r="OP16" s="16"/>
      <x:c r="OQ16" s="16"/>
      <x:c r="OR16" s="16"/>
      <x:c r="OS16" s="16"/>
      <x:c r="OT16" s="16" t="s">
        <x:v>426</x:v>
      </x:c>
      <x:c r="OU16" s="16"/>
      <x:c r="OV16" s="17"/>
      <x:c r="OW16" s="12">
        <x:f t="shared" si="39"/>
        <x:v>1</x:v>
      </x:c>
      <x:c r="OX16" s="13"/>
      <x:c r="OY16" s="16"/>
      <x:c r="OZ16" s="16" t="s">
        <x:v>426</x:v>
      </x:c>
      <x:c r="PA16" s="16"/>
      <x:c r="PB16" s="16"/>
      <x:c r="PC16" s="12">
        <x:f t="shared" si="40"/>
        <x:v>1</x:v>
      </x:c>
      <x:c r="PD16" s="13"/>
      <x:c r="PE16" s="16"/>
      <x:c r="PF16" s="16"/>
      <x:c r="PG16" s="16" t="s">
        <x:v>426</x:v>
      </x:c>
      <x:c r="PH16" s="16"/>
      <x:c r="PI16" s="16"/>
      <x:c r="PJ16" s="16"/>
      <x:c r="PK16" s="16"/>
      <x:c r="PL16" s="16"/>
      <x:c r="PM16" s="16"/>
      <x:c r="PN16" s="17"/>
      <x:c r="PO16" s="12">
        <x:f t="shared" si="41"/>
        <x:v>1</x:v>
      </x:c>
      <x:c r="PP16" s="13"/>
      <x:c r="PQ16" s="16" t="s">
        <x:v>426</x:v>
      </x:c>
      <x:c r="PR16" s="16"/>
      <x:c r="PS16" s="16"/>
      <x:c r="PT16" s="12">
        <x:f t="shared" si="42"/>
        <x:v>1</x:v>
      </x:c>
      <x:c r="PU16" s="13" t="s">
        <x:v>426</x:v>
      </x:c>
      <x:c r="PV16" s="16"/>
      <x:c r="PW16" s="16"/>
      <x:c r="PX16" s="16"/>
      <x:c r="PY16" s="16"/>
      <x:c r="PZ16" s="16"/>
      <x:c r="QA16" s="16"/>
      <x:c r="QB16" s="16"/>
      <x:c r="QC16" s="16"/>
      <x:c r="QD16" s="17"/>
      <x:c r="QE16" s="12">
        <x:f t="shared" si="43"/>
        <x:v>1</x:v>
      </x:c>
      <x:c r="QF16" s="13"/>
      <x:c r="QG16" s="16"/>
      <x:c r="QH16" s="16"/>
      <x:c r="QI16" s="16" t="s">
        <x:v>426</x:v>
      </x:c>
      <x:c r="QJ16" s="16"/>
      <x:c r="QK16" s="16"/>
      <x:c r="QL16" s="16"/>
      <x:c r="QM16" s="16"/>
      <x:c r="QN16" s="16"/>
      <x:c r="QO16" s="17"/>
      <x:c r="QP16" s="12">
        <x:f t="shared" si="44"/>
        <x:v>1</x:v>
      </x:c>
      <x:c r="QQ16" s="13"/>
      <x:c r="QR16" s="16"/>
      <x:c r="QS16" s="16"/>
      <x:c r="QT16" s="16"/>
      <x:c r="QU16" s="16"/>
      <x:c r="QV16" s="16"/>
      <x:c r="QW16" s="16"/>
      <x:c r="QX16" s="16" t="s">
        <x:v>426</x:v>
      </x:c>
      <x:c r="QY16" s="16"/>
      <x:c r="QZ16" s="17"/>
      <x:c r="RA16" s="12">
        <x:f t="shared" si="45"/>
        <x:v>1</x:v>
      </x:c>
      <x:c r="RB16" s="13"/>
      <x:c r="RC16" s="16"/>
      <x:c r="RD16" s="16"/>
      <x:c r="RE16" s="16"/>
      <x:c r="RF16" s="16"/>
      <x:c r="RG16" s="16"/>
      <x:c r="RH16" s="16" t="s">
        <x:v>426</x:v>
      </x:c>
      <x:c r="RI16" s="16"/>
      <x:c r="RJ16" s="17"/>
      <x:c r="RK16" s="12">
        <x:f t="shared" si="46"/>
        <x:v>1</x:v>
      </x:c>
      <x:c r="RL16" s="13"/>
      <x:c r="RM16" s="16"/>
      <x:c r="RN16" s="16"/>
      <x:c r="RO16" s="16"/>
      <x:c r="RP16" s="16" t="s">
        <x:v>426</x:v>
      </x:c>
      <x:c r="RQ16" s="16" t="s">
        <x:v>426</x:v>
      </x:c>
      <x:c r="RR16" s="16"/>
      <x:c r="RS16" s="16"/>
      <x:c r="RT16" s="16"/>
      <x:c r="RU16" s="17"/>
      <x:c r="RV16" s="12">
        <x:f t="shared" si="47"/>
        <x:v>1</x:v>
      </x:c>
      <x:c r="RW16" s="13"/>
      <x:c r="RX16" s="12">
        <x:f t="shared" si="48"/>
        <x:v>0</x:v>
      </x:c>
    </x:row>
    <x:row r="17" ht="16.5">
      <x:c r="A17" s="7" t="s">
        <x:v>447</x:v>
      </x:c>
      <x:c r="B17" s="8"/>
      <x:c r="C17" s="8"/>
      <x:c r="D17" s="8"/>
      <x:c r="E17" s="8"/>
      <x:c r="F17" s="8"/>
      <x:c r="G17" s="8"/>
      <x:c r="H17" s="8"/>
      <x:c r="I17" s="8"/>
      <x:c r="J17" s="8"/>
      <x:c r="K17" s="9"/>
      <x:c r="L17" s="7" t="s">
        <x:v>426</x:v>
      </x:c>
      <x:c r="M17" s="10"/>
      <x:c r="N17" s="10"/>
      <x:c r="O17" s="10"/>
      <x:c r="P17" s="11"/>
      <x:c r="Q17" s="12">
        <x:f t="shared" si="0"/>
        <x:v>1</x:v>
      </x:c>
      <x:c r="R17" s="7" t="s">
        <x:v>426</x:v>
      </x:c>
      <x:c r="S17" s="10"/>
      <x:c r="T17" s="10"/>
      <x:c r="U17" s="10"/>
      <x:c r="V17" s="10"/>
      <x:c r="W17" s="11"/>
      <x:c r="X17" s="12">
        <x:f t="shared" si="1"/>
        <x:v>1</x:v>
      </x:c>
      <x:c r="Y17" s="7"/>
      <x:c r="Z17" s="10"/>
      <x:c r="AA17" s="10"/>
      <x:c r="AB17" s="10"/>
      <x:c r="AC17" s="10" t="s">
        <x:v>426</x:v>
      </x:c>
      <x:c r="AD17" s="12">
        <x:f t="shared" si="2"/>
        <x:v>1</x:v>
      </x:c>
      <x:c r="AE17" s="7"/>
      <x:c r="AF17" s="10"/>
      <x:c r="AG17" s="10"/>
      <x:c r="AH17" s="10" t="s">
        <x:v>426</x:v>
      </x:c>
      <x:c r="AI17" s="10"/>
      <x:c r="AJ17" s="11"/>
      <x:c r="AK17" s="12">
        <x:f t="shared" si="3"/>
        <x:v>1</x:v>
      </x:c>
      <x:c r="AL17" s="7"/>
      <x:c r="AM17" s="10" t="s">
        <x:v>426</x:v>
      </x:c>
      <x:c r="AN17" s="10"/>
      <x:c r="AO17" s="12">
        <x:f t="shared" si="4"/>
        <x:v>1</x:v>
      </x:c>
      <x:c r="AP17" s="7" t="s">
        <x:v>426</x:v>
      </x:c>
      <x:c r="AQ17" s="10"/>
      <x:c r="AR17" s="10"/>
      <x:c r="AS17" s="10"/>
      <x:c r="AT17" s="10"/>
      <x:c r="AU17" s="10"/>
      <x:c r="AV17" s="10"/>
      <x:c r="AW17" s="11"/>
      <x:c r="AX17" s="12">
        <x:f t="shared" si="5"/>
        <x:v>1</x:v>
      </x:c>
      <x:c r="AY17" s="7" t="s">
        <x:v>426</x:v>
      </x:c>
      <x:c r="AZ17" s="10"/>
      <x:c r="BA17" s="10"/>
      <x:c r="BB17" s="10"/>
      <x:c r="BC17" s="10"/>
      <x:c r="BD17" s="10"/>
      <x:c r="BE17" s="10"/>
      <x:c r="BF17" s="10"/>
      <x:c r="BG17" s="11"/>
      <x:c r="BH17" s="12">
        <x:f t="shared" si="6"/>
        <x:v>1</x:v>
      </x:c>
      <x:c r="BI17" s="7" t="s">
        <x:v>426</x:v>
      </x:c>
      <x:c r="BJ17" s="10"/>
      <x:c r="BK17" s="10"/>
      <x:c r="BL17" s="10"/>
      <x:c r="BM17" s="10"/>
      <x:c r="BN17" s="10"/>
      <x:c r="BO17" s="10"/>
      <x:c r="BP17" s="11"/>
      <x:c r="BQ17" s="12">
        <x:f t="shared" si="7"/>
        <x:v>1</x:v>
      </x:c>
      <x:c r="BR17" s="7"/>
      <x:c r="BS17" s="10"/>
      <x:c r="BT17" s="10" t="s">
        <x:v>426</x:v>
      </x:c>
      <x:c r="BU17" s="10"/>
      <x:c r="BV17" s="10"/>
      <x:c r="BW17" s="10"/>
      <x:c r="BX17" s="10"/>
      <x:c r="BY17" s="11"/>
      <x:c r="BZ17" s="12">
        <x:f t="shared" si="8"/>
        <x:v>1</x:v>
      </x:c>
      <x:c r="CA17" s="7" t="s">
        <x:v>426</x:v>
      </x:c>
      <x:c r="CB17" s="10"/>
      <x:c r="CC17" s="10"/>
      <x:c r="CD17" s="10"/>
      <x:c r="CE17" s="10"/>
      <x:c r="CF17" s="10"/>
      <x:c r="CG17" s="10"/>
      <x:c r="CH17" s="10"/>
      <x:c r="CI17" s="10"/>
      <x:c r="CJ17" s="10"/>
      <x:c r="CK17" s="11"/>
      <x:c r="CL17" s="12">
        <x:f t="shared" si="9"/>
        <x:v>1</x:v>
      </x:c>
      <x:c r="CM17" s="7"/>
      <x:c r="CN17" s="10"/>
      <x:c r="CO17" s="10"/>
      <x:c r="CP17" s="10"/>
      <x:c r="CQ17" s="10"/>
      <x:c r="CR17" s="10"/>
      <x:c r="CS17" s="10"/>
      <x:c r="CT17" s="10"/>
      <x:c r="CU17" s="10"/>
      <x:c r="CV17" s="10" t="s">
        <x:v>426</x:v>
      </x:c>
      <x:c r="CW17" s="10"/>
      <x:c r="CX17" s="10"/>
      <x:c r="CY17" s="10"/>
      <x:c r="CZ17" s="10"/>
      <x:c r="DA17" s="11"/>
      <x:c r="DB17" s="12">
        <x:f t="shared" si="10"/>
        <x:v>1</x:v>
      </x:c>
      <x:c r="DC17" s="7"/>
      <x:c r="DD17" s="12">
        <x:f t="shared" si="11"/>
        <x:v>0</x:v>
      </x:c>
      <x:c r="DE17" s="7" t="s">
        <x:v>426</x:v>
      </x:c>
      <x:c r="DF17" s="10"/>
      <x:c r="DG17" s="10"/>
      <x:c r="DH17" s="10"/>
      <x:c r="DI17" s="10"/>
      <x:c r="DJ17" s="10"/>
      <x:c r="DK17" s="10"/>
      <x:c r="DL17" s="10"/>
      <x:c r="DM17" s="11"/>
      <x:c r="DN17" s="12">
        <x:f t="shared" si="12"/>
        <x:v>1</x:v>
      </x:c>
      <x:c r="DO17" s="7"/>
      <x:c r="DP17" s="10"/>
      <x:c r="DQ17" s="10"/>
      <x:c r="DR17" s="10" t="s">
        <x:v>426</x:v>
      </x:c>
      <x:c r="DS17" s="10"/>
      <x:c r="DT17" s="12">
        <x:f t="shared" si="13"/>
        <x:v>1</x:v>
      </x:c>
      <x:c r="DU17" s="7" t="s">
        <x:v>426</x:v>
      </x:c>
      <x:c r="DV17" s="10"/>
      <x:c r="DW17" s="10"/>
      <x:c r="DX17" s="10"/>
      <x:c r="DY17" s="10"/>
      <x:c r="DZ17" s="10"/>
      <x:c r="EA17" s="10"/>
      <x:c r="EB17" s="10"/>
      <x:c r="EC17" s="10" t="s">
        <x:v>426</x:v>
      </x:c>
      <x:c r="ED17" s="11" t="s">
        <x:v>448</x:v>
      </x:c>
      <x:c r="EE17" s="12">
        <x:f t="shared" si="14"/>
        <x:v>1</x:v>
      </x:c>
      <x:c r="EF17" s="7"/>
      <x:c r="EG17" s="10"/>
      <x:c r="EH17" s="10"/>
      <x:c r="EI17" s="10" t="s">
        <x:v>426</x:v>
      </x:c>
      <x:c r="EJ17" s="10"/>
      <x:c r="EK17" s="10"/>
      <x:c r="EL17" s="10"/>
      <x:c r="EM17" s="10"/>
      <x:c r="EN17" s="10"/>
      <x:c r="EO17" s="10"/>
      <x:c r="EP17" s="11"/>
      <x:c r="EQ17" s="12">
        <x:f t="shared" si="15"/>
        <x:v>1</x:v>
      </x:c>
      <x:c r="ER17" s="7"/>
      <x:c r="ES17" s="10" t="s">
        <x:v>426</x:v>
      </x:c>
      <x:c r="ET17" s="10"/>
      <x:c r="EU17" s="10"/>
      <x:c r="EV17" s="12">
        <x:f t="shared" si="16"/>
        <x:v>1</x:v>
      </x:c>
      <x:c r="EW17" s="7"/>
      <x:c r="EX17" s="10"/>
      <x:c r="EY17" s="10"/>
      <x:c r="EZ17" s="10"/>
      <x:c r="FA17" s="10"/>
      <x:c r="FB17" s="10"/>
      <x:c r="FC17" s="10" t="s">
        <x:v>426</x:v>
      </x:c>
      <x:c r="FD17" s="10"/>
      <x:c r="FE17" s="11"/>
      <x:c r="FF17" s="12">
        <x:f t="shared" si="17"/>
        <x:v>1</x:v>
      </x:c>
      <x:c r="FG17" s="7" t="s">
        <x:v>426</x:v>
      </x:c>
      <x:c r="FH17" s="10"/>
      <x:c r="FI17" s="10"/>
      <x:c r="FJ17" s="10"/>
      <x:c r="FK17" s="10"/>
      <x:c r="FL17" s="10"/>
      <x:c r="FM17" s="10"/>
      <x:c r="FN17" s="10"/>
      <x:c r="FO17" s="10"/>
      <x:c r="FP17" s="10"/>
      <x:c r="FQ17" s="10"/>
      <x:c r="FR17" s="10"/>
      <x:c r="FS17" s="10"/>
      <x:c r="FT17" s="10"/>
      <x:c r="FU17" s="11"/>
      <x:c r="FV17" s="12">
        <x:f t="shared" si="18"/>
        <x:v>1</x:v>
      </x:c>
      <x:c r="FW17" s="7"/>
      <x:c r="FX17" s="10"/>
      <x:c r="FY17" s="10"/>
      <x:c r="FZ17" s="10"/>
      <x:c r="GA17" s="10"/>
      <x:c r="GB17" s="10"/>
      <x:c r="GC17" s="10" t="s">
        <x:v>426</x:v>
      </x:c>
      <x:c r="GD17" s="10"/>
      <x:c r="GE17" s="11"/>
      <x:c r="GF17" s="12">
        <x:f t="shared" si="19"/>
        <x:v>1</x:v>
      </x:c>
      <x:c r="GG17" s="7"/>
      <x:c r="GH17" s="10"/>
      <x:c r="GI17" s="10"/>
      <x:c r="GJ17" s="10"/>
      <x:c r="GK17" s="10"/>
      <x:c r="GL17" s="10"/>
      <x:c r="GM17" s="12">
        <x:f t="shared" si="20"/>
        <x:v>0</x:v>
      </x:c>
      <x:c r="GN17" s="7"/>
      <x:c r="GO17" s="10"/>
      <x:c r="GP17" s="10"/>
      <x:c r="GQ17" s="10"/>
      <x:c r="GR17" s="10"/>
      <x:c r="GS17" s="10"/>
      <x:c r="GT17" s="12">
        <x:f t="shared" si="21"/>
        <x:v>0</x:v>
      </x:c>
      <x:c r="GU17" s="7"/>
      <x:c r="GV17" s="10"/>
      <x:c r="GW17" s="10"/>
      <x:c r="GX17" s="10"/>
      <x:c r="GY17" s="12">
        <x:f t="shared" si="22"/>
        <x:v>0</x:v>
      </x:c>
      <x:c r="GZ17" s="7" t="s">
        <x:v>426</x:v>
      </x:c>
      <x:c r="HA17" s="10"/>
      <x:c r="HB17" s="10"/>
      <x:c r="HC17" s="10"/>
      <x:c r="HD17" s="10"/>
      <x:c r="HE17" s="10"/>
      <x:c r="HF17" s="10"/>
      <x:c r="HG17" s="10"/>
      <x:c r="HH17" s="10"/>
      <x:c r="HI17" s="10"/>
      <x:c r="HJ17" s="10"/>
      <x:c r="HK17" s="11"/>
      <x:c r="HL17" s="12">
        <x:f t="shared" si="23"/>
        <x:v>1</x:v>
      </x:c>
      <x:c r="HM17" s="7"/>
      <x:c r="HN17" s="10"/>
      <x:c r="HO17" s="10"/>
      <x:c r="HP17" s="10"/>
      <x:c r="HQ17" s="10"/>
      <x:c r="HR17" s="10"/>
      <x:c r="HS17" s="10"/>
      <x:c r="HT17" s="10" t="s">
        <x:v>426</x:v>
      </x:c>
      <x:c r="HU17" s="10"/>
      <x:c r="HV17" s="11"/>
      <x:c r="HW17" s="12">
        <x:f t="shared" si="24"/>
        <x:v>1</x:v>
      </x:c>
      <x:c r="HX17" s="7"/>
      <x:c r="HY17" s="10"/>
      <x:c r="HZ17" s="10" t="s">
        <x:v>426</x:v>
      </x:c>
      <x:c r="IA17" s="10"/>
      <x:c r="IB17" s="10"/>
      <x:c r="IC17" s="12">
        <x:f t="shared" si="25"/>
        <x:v>1</x:v>
      </x:c>
      <x:c r="ID17" s="7"/>
      <x:c r="IE17" s="10"/>
      <x:c r="IF17" s="10"/>
      <x:c r="IG17" s="10"/>
      <x:c r="IH17" s="10"/>
      <x:c r="II17" s="10"/>
      <x:c r="IJ17" s="10"/>
      <x:c r="IK17" s="10" t="s">
        <x:v>426</x:v>
      </x:c>
      <x:c r="IL17" s="10"/>
      <x:c r="IM17" s="10"/>
      <x:c r="IN17" s="11"/>
      <x:c r="IO17" s="12">
        <x:f t="shared" si="26"/>
        <x:v>1</x:v>
      </x:c>
      <x:c r="IP17" s="7"/>
      <x:c r="IQ17" s="10"/>
      <x:c r="IR17" s="10"/>
      <x:c r="IS17" s="10"/>
      <x:c r="IT17" s="10"/>
      <x:c r="IU17" s="10"/>
      <x:c r="IV17" s="10"/>
      <x:c r="IW17" s="10"/>
      <x:c r="IX17" s="11"/>
      <x:c r="IY17" s="12">
        <x:f t="shared" si="27"/>
        <x:v>0</x:v>
      </x:c>
      <x:c r="IZ17" s="7"/>
      <x:c r="JA17" s="10"/>
      <x:c r="JB17" s="10"/>
      <x:c r="JC17" s="10"/>
      <x:c r="JD17" s="10"/>
      <x:c r="JE17" s="10"/>
      <x:c r="JF17" s="10"/>
      <x:c r="JG17" s="10"/>
      <x:c r="JH17" s="10"/>
      <x:c r="JI17" s="10"/>
      <x:c r="JJ17" s="10"/>
      <x:c r="JK17" s="10"/>
      <x:c r="JL17" s="10"/>
      <x:c r="JM17" s="10"/>
      <x:c r="JN17" s="10"/>
      <x:c r="JO17" s="10"/>
      <x:c r="JP17" s="10"/>
      <x:c r="JQ17" s="10"/>
      <x:c r="JR17" s="10" t="s">
        <x:v>426</x:v>
      </x:c>
      <x:c r="JS17" s="12">
        <x:f t="shared" si="28"/>
        <x:v>1</x:v>
      </x:c>
      <x:c r="JT17" s="7"/>
      <x:c r="JU17" s="10"/>
      <x:c r="JV17" s="10"/>
      <x:c r="JW17" s="10"/>
      <x:c r="JX17" s="10"/>
      <x:c r="JY17" s="10"/>
      <x:c r="JZ17" s="10"/>
      <x:c r="KA17" s="10"/>
      <x:c r="KB17" s="10"/>
      <x:c r="KC17" s="10"/>
      <x:c r="KD17" s="10"/>
      <x:c r="KE17" s="10"/>
      <x:c r="KF17" s="10"/>
      <x:c r="KG17" s="10"/>
      <x:c r="KH17" s="10"/>
      <x:c r="KI17" s="10"/>
      <x:c r="KJ17" s="10"/>
      <x:c r="KK17" s="10"/>
      <x:c r="KL17" s="10"/>
      <x:c r="KM17" s="12">
        <x:f t="shared" si="29"/>
        <x:v>0</x:v>
      </x:c>
      <x:c r="KN17" s="7"/>
      <x:c r="KO17" s="10"/>
      <x:c r="KP17" s="10"/>
      <x:c r="KQ17" s="10"/>
      <x:c r="KR17" s="10"/>
      <x:c r="KS17" s="10"/>
      <x:c r="KT17" s="10"/>
      <x:c r="KU17" s="10"/>
      <x:c r="KV17" s="10"/>
      <x:c r="KW17" s="10"/>
      <x:c r="KX17" s="10"/>
      <x:c r="KY17" s="10"/>
      <x:c r="KZ17" s="10"/>
      <x:c r="LA17" s="10"/>
      <x:c r="LB17" s="10"/>
      <x:c r="LC17" s="10"/>
      <x:c r="LD17" s="10"/>
      <x:c r="LE17" s="10"/>
      <x:c r="LF17" s="10"/>
      <x:c r="LG17" s="12">
        <x:f t="shared" si="30"/>
        <x:v>0</x:v>
      </x:c>
      <x:c r="LH17" s="7"/>
      <x:c r="LI17" s="10"/>
      <x:c r="LJ17" s="10"/>
      <x:c r="LK17" s="10"/>
      <x:c r="LL17" s="10"/>
      <x:c r="LM17" s="10"/>
      <x:c r="LN17" s="10"/>
      <x:c r="LO17" s="10"/>
      <x:c r="LP17" s="10"/>
      <x:c r="LQ17" s="11"/>
      <x:c r="LR17" s="12">
        <x:f t="shared" si="31"/>
        <x:v>0</x:v>
      </x:c>
      <x:c r="LS17" s="7"/>
      <x:c r="LT17" s="10"/>
      <x:c r="LU17" s="10"/>
      <x:c r="LV17" s="10"/>
      <x:c r="LW17" s="10"/>
      <x:c r="LX17" s="10"/>
      <x:c r="LY17" s="10"/>
      <x:c r="LZ17" s="10"/>
      <x:c r="MA17" s="10"/>
      <x:c r="MB17" s="11"/>
      <x:c r="MC17" s="12">
        <x:f t="shared" si="32"/>
        <x:v>0</x:v>
      </x:c>
      <x:c r="MD17" s="7"/>
      <x:c r="ME17" s="10"/>
      <x:c r="MF17" s="10"/>
      <x:c r="MG17" s="10"/>
      <x:c r="MH17" s="10"/>
      <x:c r="MI17" s="10"/>
      <x:c r="MJ17" s="10"/>
      <x:c r="MK17" s="12">
        <x:f t="shared" si="33"/>
        <x:v>0</x:v>
      </x:c>
      <x:c r="ML17" s="7"/>
      <x:c r="MM17" s="10"/>
      <x:c r="MN17" s="10"/>
      <x:c r="MO17" s="10"/>
      <x:c r="MP17" s="10"/>
      <x:c r="MQ17" s="10"/>
      <x:c r="MR17" s="10"/>
      <x:c r="MS17" s="10"/>
      <x:c r="MT17" s="10"/>
      <x:c r="MU17" s="11"/>
      <x:c r="MV17" s="12">
        <x:f t="shared" si="34"/>
        <x:v>0</x:v>
      </x:c>
      <x:c r="MW17" s="7"/>
      <x:c r="MX17" s="10"/>
      <x:c r="MY17" s="10"/>
      <x:c r="MZ17" s="10"/>
      <x:c r="NA17" s="10"/>
      <x:c r="NB17" s="10"/>
      <x:c r="NC17" s="10"/>
      <x:c r="ND17" s="10"/>
      <x:c r="NE17" s="10"/>
      <x:c r="NF17" s="11"/>
      <x:c r="NG17" s="12">
        <x:f t="shared" si="35"/>
        <x:v>0</x:v>
      </x:c>
      <x:c r="NH17" s="7"/>
      <x:c r="NI17" s="10"/>
      <x:c r="NJ17" s="10"/>
      <x:c r="NK17" s="10"/>
      <x:c r="NL17" s="10"/>
      <x:c r="NM17" s="10"/>
      <x:c r="NN17" s="10"/>
      <x:c r="NO17" s="10"/>
      <x:c r="NP17" s="10"/>
      <x:c r="NQ17" s="10"/>
      <x:c r="NR17" s="11"/>
      <x:c r="NS17" s="12">
        <x:f t="shared" si="36"/>
        <x:v>0</x:v>
      </x:c>
      <x:c r="NT17" s="7"/>
      <x:c r="NU17" s="10"/>
      <x:c r="NV17" s="10"/>
      <x:c r="NW17" s="10"/>
      <x:c r="NX17" s="10"/>
      <x:c r="NY17" s="12">
        <x:f t="shared" si="37"/>
        <x:v>0</x:v>
      </x:c>
      <x:c r="NZ17" s="7"/>
      <x:c r="OA17" s="10"/>
      <x:c r="OB17" s="10"/>
      <x:c r="OC17" s="10"/>
      <x:c r="OD17" s="10"/>
      <x:c r="OE17" s="10"/>
      <x:c r="OF17" s="10"/>
      <x:c r="OG17" s="10"/>
      <x:c r="OH17" s="10"/>
      <x:c r="OI17" s="10"/>
      <x:c r="OJ17" s="10"/>
      <x:c r="OK17" s="11"/>
      <x:c r="OL17" s="12">
        <x:f t="shared" si="38"/>
        <x:v>0</x:v>
      </x:c>
      <x:c r="OM17" s="7"/>
      <x:c r="ON17" s="10"/>
      <x:c r="OO17" s="10"/>
      <x:c r="OP17" s="10"/>
      <x:c r="OQ17" s="10"/>
      <x:c r="OR17" s="10"/>
      <x:c r="OS17" s="10"/>
      <x:c r="OT17" s="10"/>
      <x:c r="OU17" s="10"/>
      <x:c r="OV17" s="11"/>
      <x:c r="OW17" s="12">
        <x:f t="shared" si="39"/>
        <x:v>0</x:v>
      </x:c>
      <x:c r="OX17" s="7"/>
      <x:c r="OY17" s="10"/>
      <x:c r="OZ17" s="10"/>
      <x:c r="PA17" s="10"/>
      <x:c r="PB17" s="10"/>
      <x:c r="PC17" s="12">
        <x:f t="shared" si="40"/>
        <x:v>0</x:v>
      </x:c>
      <x:c r="PD17" s="7" t="s">
        <x:v>426</x:v>
      </x:c>
      <x:c r="PE17" s="10" t="s">
        <x:v>426</x:v>
      </x:c>
      <x:c r="PF17" s="10"/>
      <x:c r="PG17" s="10"/>
      <x:c r="PH17" s="10"/>
      <x:c r="PI17" s="10"/>
      <x:c r="PJ17" s="10"/>
      <x:c r="PK17" s="10"/>
      <x:c r="PL17" s="10"/>
      <x:c r="PM17" s="10"/>
      <x:c r="PN17" s="11"/>
      <x:c r="PO17" s="12">
        <x:f t="shared" si="41"/>
        <x:v>1</x:v>
      </x:c>
      <x:c r="PP17" s="7"/>
      <x:c r="PQ17" s="10"/>
      <x:c r="PR17" s="10" t="s">
        <x:v>426</x:v>
      </x:c>
      <x:c r="PS17" s="10"/>
      <x:c r="PT17" s="12">
        <x:f t="shared" si="42"/>
        <x:v>1</x:v>
      </x:c>
      <x:c r="PU17" s="7" t="s">
        <x:v>426</x:v>
      </x:c>
      <x:c r="PV17" s="10" t="s">
        <x:v>426</x:v>
      </x:c>
      <x:c r="PW17" s="10"/>
      <x:c r="PX17" s="10"/>
      <x:c r="PY17" s="10"/>
      <x:c r="PZ17" s="10"/>
      <x:c r="QA17" s="10"/>
      <x:c r="QB17" s="10"/>
      <x:c r="QC17" s="10"/>
      <x:c r="QD17" s="11"/>
      <x:c r="QE17" s="12">
        <x:f t="shared" si="43"/>
        <x:v>1</x:v>
      </x:c>
      <x:c r="QF17" s="7"/>
      <x:c r="QG17" s="10"/>
      <x:c r="QH17" s="10"/>
      <x:c r="QI17" s="10"/>
      <x:c r="QJ17" s="10" t="s">
        <x:v>426</x:v>
      </x:c>
      <x:c r="QK17" s="10"/>
      <x:c r="QL17" s="10"/>
      <x:c r="QM17" s="10"/>
      <x:c r="QN17" s="10"/>
      <x:c r="QO17" s="11"/>
      <x:c r="QP17" s="12">
        <x:f t="shared" si="44"/>
        <x:v>1</x:v>
      </x:c>
      <x:c r="QQ17" s="7"/>
      <x:c r="QR17" s="10"/>
      <x:c r="QS17" s="10"/>
      <x:c r="QT17" s="10"/>
      <x:c r="QU17" s="10"/>
      <x:c r="QV17" s="10"/>
      <x:c r="QW17" s="10"/>
      <x:c r="QX17" s="10" t="s">
        <x:v>426</x:v>
      </x:c>
      <x:c r="QY17" s="10"/>
      <x:c r="QZ17" s="11"/>
      <x:c r="RA17" s="12">
        <x:f t="shared" si="45"/>
        <x:v>1</x:v>
      </x:c>
      <x:c r="RB17" s="7"/>
      <x:c r="RC17" s="10"/>
      <x:c r="RD17" s="10"/>
      <x:c r="RE17" s="10"/>
      <x:c r="RF17" s="10"/>
      <x:c r="RG17" s="10"/>
      <x:c r="RH17" s="10"/>
      <x:c r="RI17" s="10"/>
      <x:c r="RJ17" s="11"/>
      <x:c r="RK17" s="12">
        <x:f t="shared" si="46"/>
        <x:v>0</x:v>
      </x:c>
      <x:c r="RL17" s="7"/>
      <x:c r="RM17" s="10"/>
      <x:c r="RN17" s="10"/>
      <x:c r="RO17" s="10"/>
      <x:c r="RP17" s="10" t="s">
        <x:v>426</x:v>
      </x:c>
      <x:c r="RQ17" s="10"/>
      <x:c r="RR17" s="10"/>
      <x:c r="RS17" s="10"/>
      <x:c r="RT17" s="10"/>
      <x:c r="RU17" s="11"/>
      <x:c r="RV17" s="12">
        <x:f t="shared" si="47"/>
        <x:v>1</x:v>
      </x:c>
      <x:c r="RW17" s="7"/>
      <x:c r="RX17" s="12">
        <x:f t="shared" si="48"/>
        <x:v>0</x:v>
      </x:c>
    </x:row>
    <x:row r="18" ht="16.5">
      <x:c r="A18" s="13" t="s">
        <x:v>449</x:v>
      </x:c>
      <x:c r="B18" s="14"/>
      <x:c r="C18" s="14"/>
      <x:c r="D18" s="14"/>
      <x:c r="E18" s="14"/>
      <x:c r="F18" s="14"/>
      <x:c r="G18" s="14"/>
      <x:c r="H18" s="14"/>
      <x:c r="I18" s="14"/>
      <x:c r="J18" s="14"/>
      <x:c r="K18" s="15"/>
      <x:c r="L18" s="13" t="s">
        <x:v>426</x:v>
      </x:c>
      <x:c r="M18" s="16"/>
      <x:c r="N18" s="16"/>
      <x:c r="O18" s="16"/>
      <x:c r="P18" s="17"/>
      <x:c r="Q18" s="12">
        <x:f t="shared" si="0"/>
        <x:v>1</x:v>
      </x:c>
      <x:c r="R18" s="13" t="s">
        <x:v>426</x:v>
      </x:c>
      <x:c r="S18" s="16"/>
      <x:c r="T18" s="16"/>
      <x:c r="U18" s="16"/>
      <x:c r="V18" s="16"/>
      <x:c r="W18" s="17"/>
      <x:c r="X18" s="12">
        <x:f t="shared" si="1"/>
        <x:v>1</x:v>
      </x:c>
      <x:c r="Y18" s="13"/>
      <x:c r="Z18" s="16"/>
      <x:c r="AA18" s="16"/>
      <x:c r="AB18" s="16"/>
      <x:c r="AC18" s="16"/>
      <x:c r="AD18" s="12">
        <x:f t="shared" si="2"/>
        <x:v>0</x:v>
      </x:c>
      <x:c r="AE18" s="13" t="s">
        <x:v>426</x:v>
      </x:c>
      <x:c r="AF18" s="16"/>
      <x:c r="AG18" s="16"/>
      <x:c r="AH18" s="16"/>
      <x:c r="AI18" s="16"/>
      <x:c r="AJ18" s="17"/>
      <x:c r="AK18" s="12">
        <x:f t="shared" si="3"/>
        <x:v>1</x:v>
      </x:c>
      <x:c r="AL18" s="13"/>
      <x:c r="AM18" s="16" t="s">
        <x:v>426</x:v>
      </x:c>
      <x:c r="AN18" s="16"/>
      <x:c r="AO18" s="12">
        <x:f t="shared" si="4"/>
        <x:v>1</x:v>
      </x:c>
      <x:c r="AP18" s="13" t="s">
        <x:v>426</x:v>
      </x:c>
      <x:c r="AQ18" s="16"/>
      <x:c r="AR18" s="16"/>
      <x:c r="AS18" s="16"/>
      <x:c r="AT18" s="16"/>
      <x:c r="AU18" s="16"/>
      <x:c r="AV18" s="16"/>
      <x:c r="AW18" s="17"/>
      <x:c r="AX18" s="12">
        <x:f t="shared" si="5"/>
        <x:v>1</x:v>
      </x:c>
      <x:c r="AY18" s="13" t="s">
        <x:v>426</x:v>
      </x:c>
      <x:c r="AZ18" s="16"/>
      <x:c r="BA18" s="16"/>
      <x:c r="BB18" s="16"/>
      <x:c r="BC18" s="16"/>
      <x:c r="BD18" s="16"/>
      <x:c r="BE18" s="16"/>
      <x:c r="BF18" s="16"/>
      <x:c r="BG18" s="17"/>
      <x:c r="BH18" s="12">
        <x:f t="shared" si="6"/>
        <x:v>1</x:v>
      </x:c>
      <x:c r="BI18" s="13" t="s">
        <x:v>426</x:v>
      </x:c>
      <x:c r="BJ18" s="16"/>
      <x:c r="BK18" s="16"/>
      <x:c r="BL18" s="16"/>
      <x:c r="BM18" s="16"/>
      <x:c r="BN18" s="16"/>
      <x:c r="BO18" s="16"/>
      <x:c r="BP18" s="17"/>
      <x:c r="BQ18" s="12">
        <x:f t="shared" si="7"/>
        <x:v>1</x:v>
      </x:c>
      <x:c r="BR18" s="13"/>
      <x:c r="BS18" s="16"/>
      <x:c r="BT18" s="16"/>
      <x:c r="BU18" s="16" t="s">
        <x:v>426</x:v>
      </x:c>
      <x:c r="BV18" s="16"/>
      <x:c r="BW18" s="16"/>
      <x:c r="BX18" s="16"/>
      <x:c r="BY18" s="17"/>
      <x:c r="BZ18" s="12">
        <x:f t="shared" si="8"/>
        <x:v>1</x:v>
      </x:c>
      <x:c r="CA18" s="13"/>
      <x:c r="CB18" s="16"/>
      <x:c r="CC18" s="16"/>
      <x:c r="CD18" s="16" t="s">
        <x:v>426</x:v>
      </x:c>
      <x:c r="CE18" s="16"/>
      <x:c r="CF18" s="16"/>
      <x:c r="CG18" s="16"/>
      <x:c r="CH18" s="16"/>
      <x:c r="CI18" s="16"/>
      <x:c r="CJ18" s="16"/>
      <x:c r="CK18" s="17"/>
      <x:c r="CL18" s="12">
        <x:f t="shared" si="9"/>
        <x:v>1</x:v>
      </x:c>
      <x:c r="CM18" s="13"/>
      <x:c r="CN18" s="16"/>
      <x:c r="CO18" s="16"/>
      <x:c r="CP18" s="16"/>
      <x:c r="CQ18" s="16"/>
      <x:c r="CR18" s="16"/>
      <x:c r="CS18" s="16" t="s">
        <x:v>426</x:v>
      </x:c>
      <x:c r="CT18" s="16"/>
      <x:c r="CU18" s="16"/>
      <x:c r="CV18" s="16" t="s">
        <x:v>426</x:v>
      </x:c>
      <x:c r="CW18" s="16"/>
      <x:c r="CX18" s="16"/>
      <x:c r="CY18" s="16"/>
      <x:c r="CZ18" s="16"/>
      <x:c r="DA18" s="17"/>
      <x:c r="DB18" s="12">
        <x:f t="shared" si="10"/>
        <x:v>1</x:v>
      </x:c>
      <x:c r="DC18" s="13"/>
      <x:c r="DD18" s="12">
        <x:f t="shared" si="11"/>
        <x:v>0</x:v>
      </x:c>
      <x:c r="DE18" s="13"/>
      <x:c r="DF18" s="16" t="s">
        <x:v>426</x:v>
      </x:c>
      <x:c r="DG18" s="16"/>
      <x:c r="DH18" s="16"/>
      <x:c r="DI18" s="16"/>
      <x:c r="DJ18" s="16"/>
      <x:c r="DK18" s="16"/>
      <x:c r="DL18" s="16"/>
      <x:c r="DM18" s="17"/>
      <x:c r="DN18" s="12">
        <x:f t="shared" si="12"/>
        <x:v>1</x:v>
      </x:c>
      <x:c r="DO18" s="13"/>
      <x:c r="DP18" s="16" t="s">
        <x:v>426</x:v>
      </x:c>
      <x:c r="DQ18" s="16"/>
      <x:c r="DR18" s="16"/>
      <x:c r="DS18" s="16"/>
      <x:c r="DT18" s="12">
        <x:f t="shared" si="13"/>
        <x:v>1</x:v>
      </x:c>
      <x:c r="DU18" s="13"/>
      <x:c r="DV18" s="16" t="s">
        <x:v>426</x:v>
      </x:c>
      <x:c r="DW18" s="16"/>
      <x:c r="DX18" s="16"/>
      <x:c r="DY18" s="16"/>
      <x:c r="DZ18" s="16"/>
      <x:c r="EA18" s="16"/>
      <x:c r="EB18" s="16" t="s">
        <x:v>426</x:v>
      </x:c>
      <x:c r="EC18" s="16"/>
      <x:c r="ED18" s="17"/>
      <x:c r="EE18" s="12">
        <x:f t="shared" si="14"/>
        <x:v>1</x:v>
      </x:c>
      <x:c r="EF18" s="13"/>
      <x:c r="EG18" s="16"/>
      <x:c r="EH18" s="16" t="s">
        <x:v>426</x:v>
      </x:c>
      <x:c r="EI18" s="16"/>
      <x:c r="EJ18" s="16"/>
      <x:c r="EK18" s="16"/>
      <x:c r="EL18" s="16" t="s">
        <x:v>426</x:v>
      </x:c>
      <x:c r="EM18" s="16"/>
      <x:c r="EN18" s="16"/>
      <x:c r="EO18" s="16"/>
      <x:c r="EP18" s="17"/>
      <x:c r="EQ18" s="12">
        <x:f t="shared" si="15"/>
        <x:v>1</x:v>
      </x:c>
      <x:c r="ER18" s="13" t="s">
        <x:v>426</x:v>
      </x:c>
      <x:c r="ES18" s="16"/>
      <x:c r="ET18" s="16"/>
      <x:c r="EU18" s="16"/>
      <x:c r="EV18" s="12">
        <x:f t="shared" si="16"/>
        <x:v>1</x:v>
      </x:c>
      <x:c r="EW18" s="13"/>
      <x:c r="EX18" s="16" t="s">
        <x:v>426</x:v>
      </x:c>
      <x:c r="EY18" s="16"/>
      <x:c r="EZ18" s="16"/>
      <x:c r="FA18" s="16"/>
      <x:c r="FB18" s="16" t="s">
        <x:v>426</x:v>
      </x:c>
      <x:c r="FC18" s="16"/>
      <x:c r="FD18" s="16"/>
      <x:c r="FE18" s="17"/>
      <x:c r="FF18" s="12">
        <x:f t="shared" si="17"/>
        <x:v>1</x:v>
      </x:c>
      <x:c r="FG18" s="13" t="s">
        <x:v>426</x:v>
      </x:c>
      <x:c r="FH18" s="16"/>
      <x:c r="FI18" s="16"/>
      <x:c r="FJ18" s="16"/>
      <x:c r="FK18" s="16"/>
      <x:c r="FL18" s="16"/>
      <x:c r="FM18" s="16"/>
      <x:c r="FN18" s="16"/>
      <x:c r="FO18" s="16"/>
      <x:c r="FP18" s="16"/>
      <x:c r="FQ18" s="16"/>
      <x:c r="FR18" s="16"/>
      <x:c r="FS18" s="16"/>
      <x:c r="FT18" s="16"/>
      <x:c r="FU18" s="17"/>
      <x:c r="FV18" s="12">
        <x:f t="shared" si="18"/>
        <x:v>1</x:v>
      </x:c>
      <x:c r="FW18" s="13"/>
      <x:c r="FX18" s="16"/>
      <x:c r="FY18" s="16"/>
      <x:c r="FZ18" s="16"/>
      <x:c r="GA18" s="16"/>
      <x:c r="GB18" s="16"/>
      <x:c r="GC18" s="16"/>
      <x:c r="GD18" s="16"/>
      <x:c r="GE18" s="17"/>
      <x:c r="GF18" s="12">
        <x:f t="shared" si="19"/>
        <x:v>0</x:v>
      </x:c>
      <x:c r="GG18" s="13"/>
      <x:c r="GH18" s="16"/>
      <x:c r="GI18" s="16"/>
      <x:c r="GJ18" s="16"/>
      <x:c r="GK18" s="16"/>
      <x:c r="GL18" s="16"/>
      <x:c r="GM18" s="12">
        <x:f t="shared" si="20"/>
        <x:v>0</x:v>
      </x:c>
      <x:c r="GN18" s="13"/>
      <x:c r="GO18" s="16"/>
      <x:c r="GP18" s="16"/>
      <x:c r="GQ18" s="16"/>
      <x:c r="GR18" s="16"/>
      <x:c r="GS18" s="16"/>
      <x:c r="GT18" s="12">
        <x:f t="shared" si="21"/>
        <x:v>0</x:v>
      </x:c>
      <x:c r="GU18" s="13"/>
      <x:c r="GV18" s="16"/>
      <x:c r="GW18" s="16"/>
      <x:c r="GX18" s="16"/>
      <x:c r="GY18" s="12">
        <x:f t="shared" si="22"/>
        <x:v>0</x:v>
      </x:c>
      <x:c r="GZ18" s="13"/>
      <x:c r="HA18" s="16"/>
      <x:c r="HB18" s="16"/>
      <x:c r="HC18" s="16"/>
      <x:c r="HD18" s="16"/>
      <x:c r="HE18" s="16"/>
      <x:c r="HF18" s="16"/>
      <x:c r="HG18" s="16"/>
      <x:c r="HH18" s="16"/>
      <x:c r="HI18" s="16"/>
      <x:c r="HJ18" s="16"/>
      <x:c r="HK18" s="17"/>
      <x:c r="HL18" s="12">
        <x:f t="shared" si="23"/>
        <x:v>0</x:v>
      </x:c>
      <x:c r="HM18" s="13"/>
      <x:c r="HN18" s="16"/>
      <x:c r="HO18" s="16"/>
      <x:c r="HP18" s="16"/>
      <x:c r="HQ18" s="16"/>
      <x:c r="HR18" s="16"/>
      <x:c r="HS18" s="16"/>
      <x:c r="HT18" s="16"/>
      <x:c r="HU18" s="16"/>
      <x:c r="HV18" s="17"/>
      <x:c r="HW18" s="12">
        <x:f t="shared" si="24"/>
        <x:v>0</x:v>
      </x:c>
      <x:c r="HX18" s="13"/>
      <x:c r="HY18" s="16"/>
      <x:c r="HZ18" s="16"/>
      <x:c r="IA18" s="16"/>
      <x:c r="IB18" s="16"/>
      <x:c r="IC18" s="12">
        <x:f t="shared" si="25"/>
        <x:v>0</x:v>
      </x:c>
      <x:c r="ID18" s="13" t="s">
        <x:v>426</x:v>
      </x:c>
      <x:c r="IE18" s="16"/>
      <x:c r="IF18" s="16"/>
      <x:c r="IG18" s="16" t="s">
        <x:v>426</x:v>
      </x:c>
      <x:c r="IH18" s="16"/>
      <x:c r="II18" s="16"/>
      <x:c r="IJ18" s="16"/>
      <x:c r="IK18" s="16" t="s">
        <x:v>426</x:v>
      </x:c>
      <x:c r="IL18" s="16"/>
      <x:c r="IM18" s="16"/>
      <x:c r="IN18" s="17"/>
      <x:c r="IO18" s="12">
        <x:f t="shared" si="26"/>
        <x:v>1</x:v>
      </x:c>
      <x:c r="IP18" s="13" t="s">
        <x:v>426</x:v>
      </x:c>
      <x:c r="IQ18" s="16"/>
      <x:c r="IR18" s="16"/>
      <x:c r="IS18" s="16"/>
      <x:c r="IT18" s="16"/>
      <x:c r="IU18" s="16" t="s">
        <x:v>426</x:v>
      </x:c>
      <x:c r="IV18" s="16"/>
      <x:c r="IW18" s="16"/>
      <x:c r="IX18" s="17"/>
      <x:c r="IY18" s="12">
        <x:f t="shared" si="27"/>
        <x:v>1</x:v>
      </x:c>
      <x:c r="IZ18" s="13"/>
      <x:c r="JA18" s="16"/>
      <x:c r="JB18" s="16" t="s">
        <x:v>426</x:v>
      </x:c>
      <x:c r="JC18" s="16"/>
      <x:c r="JD18" s="16" t="s">
        <x:v>426</x:v>
      </x:c>
      <x:c r="JE18" s="16"/>
      <x:c r="JF18" s="16"/>
      <x:c r="JG18" s="16"/>
      <x:c r="JH18" s="16"/>
      <x:c r="JI18" s="16"/>
      <x:c r="JJ18" s="16"/>
      <x:c r="JK18" s="16"/>
      <x:c r="JL18" s="16"/>
      <x:c r="JM18" s="16"/>
      <x:c r="JN18" s="16"/>
      <x:c r="JO18" s="16"/>
      <x:c r="JP18" s="16"/>
      <x:c r="JQ18" s="16"/>
      <x:c r="JR18" s="16"/>
      <x:c r="JS18" s="12">
        <x:f t="shared" si="28"/>
        <x:v>1</x:v>
      </x:c>
      <x:c r="JT18" s="13"/>
      <x:c r="JU18" s="16"/>
      <x:c r="JV18" s="16"/>
      <x:c r="JW18" s="16"/>
      <x:c r="JX18" s="16"/>
      <x:c r="JY18" s="16"/>
      <x:c r="JZ18" s="16"/>
      <x:c r="KA18" s="16"/>
      <x:c r="KB18" s="16"/>
      <x:c r="KC18" s="16"/>
      <x:c r="KD18" s="16"/>
      <x:c r="KE18" s="16"/>
      <x:c r="KF18" s="16"/>
      <x:c r="KG18" s="16"/>
      <x:c r="KH18" s="16"/>
      <x:c r="KI18" s="16"/>
      <x:c r="KJ18" s="16"/>
      <x:c r="KK18" s="16"/>
      <x:c r="KL18" s="16"/>
      <x:c r="KM18" s="12">
        <x:f t="shared" si="29"/>
        <x:v>0</x:v>
      </x:c>
      <x:c r="KN18" s="13" t="s">
        <x:v>426</x:v>
      </x:c>
      <x:c r="KO18" s="16"/>
      <x:c r="KP18" s="16"/>
      <x:c r="KQ18" s="16"/>
      <x:c r="KR18" s="16"/>
      <x:c r="KS18" s="16"/>
      <x:c r="KT18" s="16"/>
      <x:c r="KU18" s="16"/>
      <x:c r="KV18" s="16"/>
      <x:c r="KW18" s="16"/>
      <x:c r="KX18" s="16"/>
      <x:c r="KY18" s="16"/>
      <x:c r="KZ18" s="16" t="s">
        <x:v>426</x:v>
      </x:c>
      <x:c r="LA18" s="16"/>
      <x:c r="LB18" s="16"/>
      <x:c r="LC18" s="16"/>
      <x:c r="LD18" s="16"/>
      <x:c r="LE18" s="16"/>
      <x:c r="LF18" s="16"/>
      <x:c r="LG18" s="12">
        <x:f t="shared" si="30"/>
        <x:v>1</x:v>
      </x:c>
      <x:c r="LH18" s="13" t="s">
        <x:v>426</x:v>
      </x:c>
      <x:c r="LI18" s="16"/>
      <x:c r="LJ18" s="16"/>
      <x:c r="LK18" s="16"/>
      <x:c r="LL18" s="16"/>
      <x:c r="LM18" s="16"/>
      <x:c r="LN18" s="16"/>
      <x:c r="LO18" s="16"/>
      <x:c r="LP18" s="16"/>
      <x:c r="LQ18" s="17"/>
      <x:c r="LR18" s="12">
        <x:f t="shared" si="31"/>
        <x:v>1</x:v>
      </x:c>
      <x:c r="LS18" s="13"/>
      <x:c r="LT18" s="16"/>
      <x:c r="LU18" s="16"/>
      <x:c r="LV18" s="16"/>
      <x:c r="LW18" s="16"/>
      <x:c r="LX18" s="16" t="s">
        <x:v>426</x:v>
      </x:c>
      <x:c r="LY18" s="16"/>
      <x:c r="LZ18" s="16"/>
      <x:c r="MA18" s="16"/>
      <x:c r="MB18" s="17"/>
      <x:c r="MC18" s="12">
        <x:f t="shared" si="32"/>
        <x:v>1</x:v>
      </x:c>
      <x:c r="MD18" s="13" t="s">
        <x:v>426</x:v>
      </x:c>
      <x:c r="ME18" s="16"/>
      <x:c r="MF18" s="16"/>
      <x:c r="MG18" s="16"/>
      <x:c r="MH18" s="16"/>
      <x:c r="MI18" s="16"/>
      <x:c r="MJ18" s="16"/>
      <x:c r="MK18" s="12">
        <x:f t="shared" si="33"/>
        <x:v>1</x:v>
      </x:c>
      <x:c r="ML18" s="13"/>
      <x:c r="MM18" s="16"/>
      <x:c r="MN18" s="16"/>
      <x:c r="MO18" s="16"/>
      <x:c r="MP18" s="16"/>
      <x:c r="MQ18" s="16"/>
      <x:c r="MR18" s="16"/>
      <x:c r="MS18" s="16"/>
      <x:c r="MT18" s="16"/>
      <x:c r="MU18" s="17"/>
      <x:c r="MV18" s="12">
        <x:f t="shared" si="34"/>
        <x:v>0</x:v>
      </x:c>
      <x:c r="MW18" s="13"/>
      <x:c r="MX18" s="16"/>
      <x:c r="MY18" s="16"/>
      <x:c r="MZ18" s="16"/>
      <x:c r="NA18" s="16"/>
      <x:c r="NB18" s="16"/>
      <x:c r="NC18" s="16"/>
      <x:c r="ND18" s="16"/>
      <x:c r="NE18" s="16"/>
      <x:c r="NF18" s="17"/>
      <x:c r="NG18" s="12">
        <x:f t="shared" si="35"/>
        <x:v>0</x:v>
      </x:c>
      <x:c r="NH18" s="13"/>
      <x:c r="NI18" s="16"/>
      <x:c r="NJ18" s="16"/>
      <x:c r="NK18" s="16"/>
      <x:c r="NL18" s="16"/>
      <x:c r="NM18" s="16"/>
      <x:c r="NN18" s="16"/>
      <x:c r="NO18" s="16"/>
      <x:c r="NP18" s="16"/>
      <x:c r="NQ18" s="16"/>
      <x:c r="NR18" s="17"/>
      <x:c r="NS18" s="12">
        <x:f t="shared" si="36"/>
        <x:v>0</x:v>
      </x:c>
      <x:c r="NT18" s="13"/>
      <x:c r="NU18" s="16"/>
      <x:c r="NV18" s="16"/>
      <x:c r="NW18" s="16"/>
      <x:c r="NX18" s="16"/>
      <x:c r="NY18" s="12">
        <x:f t="shared" si="37"/>
        <x:v>0</x:v>
      </x:c>
      <x:c r="NZ18" s="13"/>
      <x:c r="OA18" s="16"/>
      <x:c r="OB18" s="16"/>
      <x:c r="OC18" s="16"/>
      <x:c r="OD18" s="16"/>
      <x:c r="OE18" s="16"/>
      <x:c r="OF18" s="16"/>
      <x:c r="OG18" s="16"/>
      <x:c r="OH18" s="16"/>
      <x:c r="OI18" s="16"/>
      <x:c r="OJ18" s="16"/>
      <x:c r="OK18" s="17"/>
      <x:c r="OL18" s="12">
        <x:f t="shared" si="38"/>
        <x:v>0</x:v>
      </x:c>
      <x:c r="OM18" s="13"/>
      <x:c r="ON18" s="16"/>
      <x:c r="OO18" s="16"/>
      <x:c r="OP18" s="16"/>
      <x:c r="OQ18" s="16" t="s">
        <x:v>426</x:v>
      </x:c>
      <x:c r="OR18" s="16"/>
      <x:c r="OS18" s="16"/>
      <x:c r="OT18" s="16"/>
      <x:c r="OU18" s="16"/>
      <x:c r="OV18" s="17"/>
      <x:c r="OW18" s="12">
        <x:f t="shared" si="39"/>
        <x:v>1</x:v>
      </x:c>
      <x:c r="OX18" s="13"/>
      <x:c r="OY18" s="16"/>
      <x:c r="OZ18" s="16"/>
      <x:c r="PA18" s="16"/>
      <x:c r="PB18" s="16"/>
      <x:c r="PC18" s="12">
        <x:f t="shared" si="40"/>
        <x:v>0</x:v>
      </x:c>
      <x:c r="PD18" s="13" t="s">
        <x:v>426</x:v>
      </x:c>
      <x:c r="PE18" s="16" t="s">
        <x:v>426</x:v>
      </x:c>
      <x:c r="PF18" s="16" t="s">
        <x:v>426</x:v>
      </x:c>
      <x:c r="PG18" s="16"/>
      <x:c r="PH18" s="16"/>
      <x:c r="PI18" s="16"/>
      <x:c r="PJ18" s="16"/>
      <x:c r="PK18" s="16"/>
      <x:c r="PL18" s="16"/>
      <x:c r="PM18" s="16"/>
      <x:c r="PN18" s="17"/>
      <x:c r="PO18" s="12">
        <x:f t="shared" si="41"/>
        <x:v>1</x:v>
      </x:c>
      <x:c r="PP18" s="13"/>
      <x:c r="PQ18" s="16" t="s">
        <x:v>426</x:v>
      </x:c>
      <x:c r="PR18" s="16"/>
      <x:c r="PS18" s="16"/>
      <x:c r="PT18" s="12">
        <x:f t="shared" si="42"/>
        <x:v>1</x:v>
      </x:c>
      <x:c r="PU18" s="13" t="s">
        <x:v>426</x:v>
      </x:c>
      <x:c r="PV18" s="16"/>
      <x:c r="PW18" s="16"/>
      <x:c r="PX18" s="16"/>
      <x:c r="PY18" s="16"/>
      <x:c r="PZ18" s="16"/>
      <x:c r="QA18" s="16"/>
      <x:c r="QB18" s="16"/>
      <x:c r="QC18" s="16"/>
      <x:c r="QD18" s="17"/>
      <x:c r="QE18" s="12">
        <x:f t="shared" si="43"/>
        <x:v>1</x:v>
      </x:c>
      <x:c r="QF18" s="13"/>
      <x:c r="QG18" s="16" t="s">
        <x:v>426</x:v>
      </x:c>
      <x:c r="QH18" s="16" t="s">
        <x:v>426</x:v>
      </x:c>
      <x:c r="QI18" s="16" t="s">
        <x:v>426</x:v>
      </x:c>
      <x:c r="QJ18" s="16"/>
      <x:c r="QK18" s="16" t="s">
        <x:v>426</x:v>
      </x:c>
      <x:c r="QL18" s="16"/>
      <x:c r="QM18" s="16" t="s">
        <x:v>426</x:v>
      </x:c>
      <x:c r="QN18" s="16"/>
      <x:c r="QO18" s="17"/>
      <x:c r="QP18" s="12">
        <x:f t="shared" si="44"/>
        <x:v>1</x:v>
      </x:c>
      <x:c r="QQ18" s="13"/>
      <x:c r="QR18" s="16"/>
      <x:c r="QS18" s="16"/>
      <x:c r="QT18" s="16"/>
      <x:c r="QU18" s="16"/>
      <x:c r="QV18" s="16"/>
      <x:c r="QW18" s="16"/>
      <x:c r="QX18" s="16"/>
      <x:c r="QY18" s="16"/>
      <x:c r="QZ18" s="17"/>
      <x:c r="RA18" s="12">
        <x:f t="shared" si="45"/>
        <x:v>0</x:v>
      </x:c>
      <x:c r="RB18" s="13"/>
      <x:c r="RC18" s="16"/>
      <x:c r="RD18" s="16"/>
      <x:c r="RE18" s="16" t="s">
        <x:v>426</x:v>
      </x:c>
      <x:c r="RF18" s="16"/>
      <x:c r="RG18" s="16"/>
      <x:c r="RH18" s="16"/>
      <x:c r="RI18" s="16"/>
      <x:c r="RJ18" s="17"/>
      <x:c r="RK18" s="12">
        <x:f t="shared" si="46"/>
        <x:v>1</x:v>
      </x:c>
      <x:c r="RL18" s="13"/>
      <x:c r="RM18" s="16" t="s">
        <x:v>426</x:v>
      </x:c>
      <x:c r="RN18" s="16"/>
      <x:c r="RO18" s="16" t="s">
        <x:v>426</x:v>
      </x:c>
      <x:c r="RP18" s="16" t="s">
        <x:v>426</x:v>
      </x:c>
      <x:c r="RQ18" s="16"/>
      <x:c r="RR18" s="16"/>
      <x:c r="RS18" s="16"/>
      <x:c r="RT18" s="16"/>
      <x:c r="RU18" s="17"/>
      <x:c r="RV18" s="12">
        <x:f t="shared" si="47"/>
        <x:v>1</x:v>
      </x:c>
      <x:c r="RW18" s="13"/>
      <x:c r="RX18" s="12">
        <x:f t="shared" si="48"/>
        <x:v>0</x:v>
      </x:c>
    </x:row>
    <x:row r="19" ht="16.5">
      <x:c r="A19" s="7" t="s">
        <x:v>450</x:v>
      </x:c>
      <x:c r="B19" s="8"/>
      <x:c r="C19" s="8"/>
      <x:c r="D19" s="8"/>
      <x:c r="E19" s="8"/>
      <x:c r="F19" s="8"/>
      <x:c r="G19" s="8"/>
      <x:c r="H19" s="8"/>
      <x:c r="I19" s="8"/>
      <x:c r="J19" s="8"/>
      <x:c r="K19" s="9"/>
      <x:c r="L19" s="7"/>
      <x:c r="M19" s="10" t="s">
        <x:v>426</x:v>
      </x:c>
      <x:c r="N19" s="10"/>
      <x:c r="O19" s="10"/>
      <x:c r="P19" s="11"/>
      <x:c r="Q19" s="12">
        <x:f t="shared" si="0"/>
        <x:v>1</x:v>
      </x:c>
      <x:c r="R19" s="7"/>
      <x:c r="S19" s="10" t="s">
        <x:v>426</x:v>
      </x:c>
      <x:c r="T19" s="10"/>
      <x:c r="U19" s="10"/>
      <x:c r="V19" s="10"/>
      <x:c r="W19" s="11"/>
      <x:c r="X19" s="12">
        <x:f t="shared" si="1"/>
        <x:v>1</x:v>
      </x:c>
      <x:c r="Y19" s="7"/>
      <x:c r="Z19" s="10"/>
      <x:c r="AA19" s="10"/>
      <x:c r="AB19" s="10"/>
      <x:c r="AC19" s="10" t="s">
        <x:v>426</x:v>
      </x:c>
      <x:c r="AD19" s="12">
        <x:f t="shared" si="2"/>
        <x:v>1</x:v>
      </x:c>
      <x:c r="AE19" s="7" t="s">
        <x:v>426</x:v>
      </x:c>
      <x:c r="AF19" s="10"/>
      <x:c r="AG19" s="10"/>
      <x:c r="AH19" s="10"/>
      <x:c r="AI19" s="10"/>
      <x:c r="AJ19" s="11"/>
      <x:c r="AK19" s="12">
        <x:f t="shared" si="3"/>
        <x:v>1</x:v>
      </x:c>
      <x:c r="AL19" s="7" t="s">
        <x:v>426</x:v>
      </x:c>
      <x:c r="AM19" s="10"/>
      <x:c r="AN19" s="10"/>
      <x:c r="AO19" s="12">
        <x:f t="shared" si="4"/>
        <x:v>1</x:v>
      </x:c>
      <x:c r="AP19" s="7" t="s">
        <x:v>426</x:v>
      </x:c>
      <x:c r="AQ19" s="10"/>
      <x:c r="AR19" s="10"/>
      <x:c r="AS19" s="10"/>
      <x:c r="AT19" s="10"/>
      <x:c r="AU19" s="10"/>
      <x:c r="AV19" s="10"/>
      <x:c r="AW19" s="11"/>
      <x:c r="AX19" s="12">
        <x:f t="shared" si="5"/>
        <x:v>1</x:v>
      </x:c>
      <x:c r="AY19" s="7" t="s">
        <x:v>426</x:v>
      </x:c>
      <x:c r="AZ19" s="10"/>
      <x:c r="BA19" s="10"/>
      <x:c r="BB19" s="10"/>
      <x:c r="BC19" s="10"/>
      <x:c r="BD19" s="10"/>
      <x:c r="BE19" s="10"/>
      <x:c r="BF19" s="10"/>
      <x:c r="BG19" s="11"/>
      <x:c r="BH19" s="12">
        <x:f t="shared" si="6"/>
        <x:v>1</x:v>
      </x:c>
      <x:c r="BI19" s="7" t="s">
        <x:v>426</x:v>
      </x:c>
      <x:c r="BJ19" s="10"/>
      <x:c r="BK19" s="10"/>
      <x:c r="BL19" s="10"/>
      <x:c r="BM19" s="10"/>
      <x:c r="BN19" s="10"/>
      <x:c r="BO19" s="10"/>
      <x:c r="BP19" s="11"/>
      <x:c r="BQ19" s="12">
        <x:f t="shared" si="7"/>
        <x:v>1</x:v>
      </x:c>
      <x:c r="BR19" s="7"/>
      <x:c r="BS19" s="10" t="s">
        <x:v>426</x:v>
      </x:c>
      <x:c r="BT19" s="10"/>
      <x:c r="BU19" s="10" t="s">
        <x:v>426</x:v>
      </x:c>
      <x:c r="BV19" s="10"/>
      <x:c r="BW19" s="10"/>
      <x:c r="BX19" s="10"/>
      <x:c r="BY19" s="11"/>
      <x:c r="BZ19" s="12">
        <x:f t="shared" si="8"/>
        <x:v>1</x:v>
      </x:c>
      <x:c r="CA19" s="7" t="s">
        <x:v>426</x:v>
      </x:c>
      <x:c r="CB19" s="10"/>
      <x:c r="CC19" s="10"/>
      <x:c r="CD19" s="10"/>
      <x:c r="CE19" s="10"/>
      <x:c r="CF19" s="10"/>
      <x:c r="CG19" s="10"/>
      <x:c r="CH19" s="10"/>
      <x:c r="CI19" s="10"/>
      <x:c r="CJ19" s="10"/>
      <x:c r="CK19" s="11"/>
      <x:c r="CL19" s="12">
        <x:f t="shared" si="9"/>
        <x:v>1</x:v>
      </x:c>
      <x:c r="CM19" s="7"/>
      <x:c r="CN19" s="10"/>
      <x:c r="CO19" s="10"/>
      <x:c r="CP19" s="10"/>
      <x:c r="CQ19" s="10"/>
      <x:c r="CR19" s="10"/>
      <x:c r="CS19" s="10"/>
      <x:c r="CT19" s="10"/>
      <x:c r="CU19" s="10"/>
      <x:c r="CV19" s="10"/>
      <x:c r="CW19" s="10"/>
      <x:c r="CX19" s="10"/>
      <x:c r="CY19" s="10" t="s">
        <x:v>426</x:v>
      </x:c>
      <x:c r="CZ19" s="10"/>
      <x:c r="DA19" s="11"/>
      <x:c r="DB19" s="12">
        <x:f t="shared" si="10"/>
        <x:v>1</x:v>
      </x:c>
      <x:c r="DC19" s="7"/>
      <x:c r="DD19" s="12">
        <x:f t="shared" si="11"/>
        <x:v>0</x:v>
      </x:c>
      <x:c r="DE19" s="7"/>
      <x:c r="DF19" s="10" t="s">
        <x:v>426</x:v>
      </x:c>
      <x:c r="DG19" s="10"/>
      <x:c r="DH19" s="10"/>
      <x:c r="DI19" s="10"/>
      <x:c r="DJ19" s="10"/>
      <x:c r="DK19" s="10"/>
      <x:c r="DL19" s="10"/>
      <x:c r="DM19" s="11"/>
      <x:c r="DN19" s="12">
        <x:f t="shared" si="12"/>
        <x:v>1</x:v>
      </x:c>
      <x:c r="DO19" s="7"/>
      <x:c r="DP19" s="10" t="s">
        <x:v>426</x:v>
      </x:c>
      <x:c r="DQ19" s="10"/>
      <x:c r="DR19" s="10"/>
      <x:c r="DS19" s="10"/>
      <x:c r="DT19" s="12">
        <x:f t="shared" si="13"/>
        <x:v>1</x:v>
      </x:c>
      <x:c r="DU19" s="7" t="s">
        <x:v>426</x:v>
      </x:c>
      <x:c r="DV19" s="10"/>
      <x:c r="DW19" s="10"/>
      <x:c r="DX19" s="10"/>
      <x:c r="DY19" s="10"/>
      <x:c r="DZ19" s="10"/>
      <x:c r="EA19" s="10"/>
      <x:c r="EB19" s="10"/>
      <x:c r="EC19" s="10"/>
      <x:c r="ED19" s="11"/>
      <x:c r="EE19" s="12">
        <x:f t="shared" si="14"/>
        <x:v>1</x:v>
      </x:c>
      <x:c r="EF19" s="7"/>
      <x:c r="EG19" s="10"/>
      <x:c r="EH19" s="10"/>
      <x:c r="EI19" s="10"/>
      <x:c r="EJ19" s="10"/>
      <x:c r="EK19" s="10"/>
      <x:c r="EL19" s="10" t="s">
        <x:v>426</x:v>
      </x:c>
      <x:c r="EM19" s="10"/>
      <x:c r="EN19" s="10"/>
      <x:c r="EO19" s="10"/>
      <x:c r="EP19" s="11"/>
      <x:c r="EQ19" s="12">
        <x:f t="shared" si="15"/>
        <x:v>1</x:v>
      </x:c>
      <x:c r="ER19" s="7" t="s">
        <x:v>426</x:v>
      </x:c>
      <x:c r="ES19" s="10"/>
      <x:c r="ET19" s="10"/>
      <x:c r="EU19" s="10"/>
      <x:c r="EV19" s="12">
        <x:f t="shared" si="16"/>
        <x:v>1</x:v>
      </x:c>
      <x:c r="EW19" s="7"/>
      <x:c r="EX19" s="10"/>
      <x:c r="EY19" s="10"/>
      <x:c r="EZ19" s="10"/>
      <x:c r="FA19" s="10"/>
      <x:c r="FB19" s="10"/>
      <x:c r="FC19" s="10" t="s">
        <x:v>426</x:v>
      </x:c>
      <x:c r="FD19" s="10"/>
      <x:c r="FE19" s="11"/>
      <x:c r="FF19" s="12">
        <x:f t="shared" si="17"/>
        <x:v>1</x:v>
      </x:c>
      <x:c r="FG19" s="7" t="s">
        <x:v>426</x:v>
      </x:c>
      <x:c r="FH19" s="10"/>
      <x:c r="FI19" s="10"/>
      <x:c r="FJ19" s="10"/>
      <x:c r="FK19" s="10"/>
      <x:c r="FL19" s="10"/>
      <x:c r="FM19" s="10"/>
      <x:c r="FN19" s="10"/>
      <x:c r="FO19" s="10"/>
      <x:c r="FP19" s="10"/>
      <x:c r="FQ19" s="10"/>
      <x:c r="FR19" s="10"/>
      <x:c r="FS19" s="10"/>
      <x:c r="FT19" s="10"/>
      <x:c r="FU19" s="11"/>
      <x:c r="FV19" s="12">
        <x:f t="shared" si="18"/>
        <x:v>1</x:v>
      </x:c>
      <x:c r="FW19" s="7" t="s">
        <x:v>426</x:v>
      </x:c>
      <x:c r="FX19" s="10"/>
      <x:c r="FY19" s="10"/>
      <x:c r="FZ19" s="10"/>
      <x:c r="GA19" s="10"/>
      <x:c r="GB19" s="10"/>
      <x:c r="GC19" s="10"/>
      <x:c r="GD19" s="10"/>
      <x:c r="GE19" s="11"/>
      <x:c r="GF19" s="12">
        <x:f t="shared" si="19"/>
        <x:v>1</x:v>
      </x:c>
      <x:c r="GG19" s="7"/>
      <x:c r="GH19" s="10"/>
      <x:c r="GI19" s="10" t="s">
        <x:v>426</x:v>
      </x:c>
      <x:c r="GJ19" s="10"/>
      <x:c r="GK19" s="10"/>
      <x:c r="GL19" s="10"/>
      <x:c r="GM19" s="12">
        <x:f t="shared" si="20"/>
        <x:v>1</x:v>
      </x:c>
      <x:c r="GN19" s="7"/>
      <x:c r="GO19" s="10"/>
      <x:c r="GP19" s="10" t="s">
        <x:v>426</x:v>
      </x:c>
      <x:c r="GQ19" s="10" t="s">
        <x:v>426</x:v>
      </x:c>
      <x:c r="GR19" s="10"/>
      <x:c r="GS19" s="10"/>
      <x:c r="GT19" s="12">
        <x:f t="shared" si="21"/>
        <x:v>1</x:v>
      </x:c>
      <x:c r="GU19" s="7"/>
      <x:c r="GV19" s="10"/>
      <x:c r="GW19" s="10"/>
      <x:c r="GX19" s="10" t="s">
        <x:v>426</x:v>
      </x:c>
      <x:c r="GY19" s="12">
        <x:f t="shared" si="22"/>
        <x:v>1</x:v>
      </x:c>
      <x:c r="GZ19" s="7" t="s">
        <x:v>426</x:v>
      </x:c>
      <x:c r="HA19" s="10"/>
      <x:c r="HB19" s="10"/>
      <x:c r="HC19" s="10"/>
      <x:c r="HD19" s="10"/>
      <x:c r="HE19" s="10" t="s">
        <x:v>426</x:v>
      </x:c>
      <x:c r="HF19" s="10"/>
      <x:c r="HG19" s="10"/>
      <x:c r="HH19" s="10"/>
      <x:c r="HI19" s="10"/>
      <x:c r="HJ19" s="10"/>
      <x:c r="HK19" s="11"/>
      <x:c r="HL19" s="12">
        <x:f t="shared" si="23"/>
        <x:v>1</x:v>
      </x:c>
      <x:c r="HM19" s="7"/>
      <x:c r="HN19" s="10"/>
      <x:c r="HO19" s="10"/>
      <x:c r="HP19" s="10"/>
      <x:c r="HQ19" s="10"/>
      <x:c r="HR19" s="10"/>
      <x:c r="HS19" s="10"/>
      <x:c r="HT19" s="10"/>
      <x:c r="HU19" s="10"/>
      <x:c r="HV19" s="11"/>
      <x:c r="HW19" s="12">
        <x:f t="shared" si="24"/>
        <x:v>0</x:v>
      </x:c>
      <x:c r="HX19" s="7"/>
      <x:c r="HY19" s="10"/>
      <x:c r="HZ19" s="10" t="s">
        <x:v>426</x:v>
      </x:c>
      <x:c r="IA19" s="10"/>
      <x:c r="IB19" s="10"/>
      <x:c r="IC19" s="12">
        <x:f t="shared" si="25"/>
        <x:v>1</x:v>
      </x:c>
      <x:c r="ID19" s="7"/>
      <x:c r="IE19" s="10"/>
      <x:c r="IF19" s="10"/>
      <x:c r="IG19" s="10"/>
      <x:c r="IH19" s="10" t="s">
        <x:v>426</x:v>
      </x:c>
      <x:c r="II19" s="10"/>
      <x:c r="IJ19" s="10"/>
      <x:c r="IK19" s="10"/>
      <x:c r="IL19" s="10"/>
      <x:c r="IM19" s="10"/>
      <x:c r="IN19" s="11"/>
      <x:c r="IO19" s="12">
        <x:f t="shared" si="26"/>
        <x:v>1</x:v>
      </x:c>
      <x:c r="IP19" s="7"/>
      <x:c r="IQ19" s="10"/>
      <x:c r="IR19" s="10"/>
      <x:c r="IS19" s="10"/>
      <x:c r="IT19" s="10"/>
      <x:c r="IU19" s="10"/>
      <x:c r="IV19" s="10" t="s">
        <x:v>426</x:v>
      </x:c>
      <x:c r="IW19" s="10"/>
      <x:c r="IX19" s="11"/>
      <x:c r="IY19" s="12">
        <x:f t="shared" si="27"/>
        <x:v>1</x:v>
      </x:c>
      <x:c r="IZ19" s="7"/>
      <x:c r="JA19" s="10"/>
      <x:c r="JB19" s="10"/>
      <x:c r="JC19" s="10"/>
      <x:c r="JD19" s="10"/>
      <x:c r="JE19" s="10"/>
      <x:c r="JF19" s="10"/>
      <x:c r="JG19" s="10"/>
      <x:c r="JH19" s="10"/>
      <x:c r="JI19" s="10"/>
      <x:c r="JJ19" s="10"/>
      <x:c r="JK19" s="10"/>
      <x:c r="JL19" s="10"/>
      <x:c r="JM19" s="10"/>
      <x:c r="JN19" s="10"/>
      <x:c r="JO19" s="10"/>
      <x:c r="JP19" s="10" t="s">
        <x:v>426</x:v>
      </x:c>
      <x:c r="JQ19" s="10"/>
      <x:c r="JR19" s="10"/>
      <x:c r="JS19" s="12">
        <x:f t="shared" si="28"/>
        <x:v>1</x:v>
      </x:c>
      <x:c r="JT19" s="7"/>
      <x:c r="JU19" s="10"/>
      <x:c r="JV19" s="10"/>
      <x:c r="JW19" s="10"/>
      <x:c r="JX19" s="10"/>
      <x:c r="JY19" s="10"/>
      <x:c r="JZ19" s="10"/>
      <x:c r="KA19" s="10"/>
      <x:c r="KB19" s="10"/>
      <x:c r="KC19" s="10"/>
      <x:c r="KD19" s="10"/>
      <x:c r="KE19" s="10"/>
      <x:c r="KF19" s="10"/>
      <x:c r="KG19" s="10"/>
      <x:c r="KH19" s="10"/>
      <x:c r="KI19" s="10"/>
      <x:c r="KJ19" s="10"/>
      <x:c r="KK19" s="10"/>
      <x:c r="KL19" s="10"/>
      <x:c r="KM19" s="12">
        <x:f t="shared" si="29"/>
        <x:v>0</x:v>
      </x:c>
      <x:c r="KN19" s="7"/>
      <x:c r="KO19" s="10"/>
      <x:c r="KP19" s="10"/>
      <x:c r="KQ19" s="10"/>
      <x:c r="KR19" s="10"/>
      <x:c r="KS19" s="10"/>
      <x:c r="KT19" s="10"/>
      <x:c r="KU19" s="10"/>
      <x:c r="KV19" s="10"/>
      <x:c r="KW19" s="10"/>
      <x:c r="KX19" s="10"/>
      <x:c r="KY19" s="10"/>
      <x:c r="KZ19" s="10"/>
      <x:c r="LA19" s="10"/>
      <x:c r="LB19" s="10"/>
      <x:c r="LC19" s="10"/>
      <x:c r="LD19" s="10"/>
      <x:c r="LE19" s="10"/>
      <x:c r="LF19" s="10"/>
      <x:c r="LG19" s="12">
        <x:f t="shared" si="30"/>
        <x:v>0</x:v>
      </x:c>
      <x:c r="LH19" s="7"/>
      <x:c r="LI19" s="10"/>
      <x:c r="LJ19" s="10"/>
      <x:c r="LK19" s="10"/>
      <x:c r="LL19" s="10"/>
      <x:c r="LM19" s="10"/>
      <x:c r="LN19" s="10"/>
      <x:c r="LO19" s="10"/>
      <x:c r="LP19" s="10"/>
      <x:c r="LQ19" s="11"/>
      <x:c r="LR19" s="12">
        <x:f t="shared" si="31"/>
        <x:v>0</x:v>
      </x:c>
      <x:c r="LS19" s="7"/>
      <x:c r="LT19" s="10"/>
      <x:c r="LU19" s="10"/>
      <x:c r="LV19" s="10"/>
      <x:c r="LW19" s="10" t="s">
        <x:v>426</x:v>
      </x:c>
      <x:c r="LX19" s="10"/>
      <x:c r="LY19" s="10"/>
      <x:c r="LZ19" s="10"/>
      <x:c r="MA19" s="10"/>
      <x:c r="MB19" s="11"/>
      <x:c r="MC19" s="12">
        <x:f t="shared" si="32"/>
        <x:v>1</x:v>
      </x:c>
      <x:c r="MD19" s="7"/>
      <x:c r="ME19" s="10" t="s">
        <x:v>426</x:v>
      </x:c>
      <x:c r="MF19" s="10"/>
      <x:c r="MG19" s="10"/>
      <x:c r="MH19" s="10"/>
      <x:c r="MI19" s="10"/>
      <x:c r="MJ19" s="10"/>
      <x:c r="MK19" s="12">
        <x:f t="shared" si="33"/>
        <x:v>1</x:v>
      </x:c>
      <x:c r="ML19" s="7"/>
      <x:c r="MM19" s="10" t="s">
        <x:v>426</x:v>
      </x:c>
      <x:c r="MN19" s="10"/>
      <x:c r="MO19" s="10"/>
      <x:c r="MP19" s="10"/>
      <x:c r="MQ19" s="10"/>
      <x:c r="MR19" s="10"/>
      <x:c r="MS19" s="10"/>
      <x:c r="MT19" s="10"/>
      <x:c r="MU19" s="11"/>
      <x:c r="MV19" s="12">
        <x:f t="shared" si="34"/>
        <x:v>1</x:v>
      </x:c>
      <x:c r="MW19" s="7"/>
      <x:c r="MX19" s="10"/>
      <x:c r="MY19" s="10"/>
      <x:c r="MZ19" s="10"/>
      <x:c r="NA19" s="10"/>
      <x:c r="NB19" s="10"/>
      <x:c r="NC19" s="10"/>
      <x:c r="ND19" s="10"/>
      <x:c r="NE19" s="10"/>
      <x:c r="NF19" s="11"/>
      <x:c r="NG19" s="12">
        <x:f t="shared" si="35"/>
        <x:v>0</x:v>
      </x:c>
      <x:c r="NH19" s="7"/>
      <x:c r="NI19" s="10"/>
      <x:c r="NJ19" s="10"/>
      <x:c r="NK19" s="10"/>
      <x:c r="NL19" s="10"/>
      <x:c r="NM19" s="10"/>
      <x:c r="NN19" s="10"/>
      <x:c r="NO19" s="10"/>
      <x:c r="NP19" s="10"/>
      <x:c r="NQ19" s="10"/>
      <x:c r="NR19" s="11"/>
      <x:c r="NS19" s="12">
        <x:f t="shared" si="36"/>
        <x:v>0</x:v>
      </x:c>
      <x:c r="NT19" s="7"/>
      <x:c r="NU19" s="10"/>
      <x:c r="NV19" s="10"/>
      <x:c r="NW19" s="10"/>
      <x:c r="NX19" s="10" t="s">
        <x:v>426</x:v>
      </x:c>
      <x:c r="NY19" s="12">
        <x:f t="shared" si="37"/>
        <x:v>1</x:v>
      </x:c>
      <x:c r="NZ19" s="7"/>
      <x:c r="OA19" s="10"/>
      <x:c r="OB19" s="10"/>
      <x:c r="OC19" s="10"/>
      <x:c r="OD19" s="10"/>
      <x:c r="OE19" s="10"/>
      <x:c r="OF19" s="10"/>
      <x:c r="OG19" s="10"/>
      <x:c r="OH19" s="10"/>
      <x:c r="OI19" s="10"/>
      <x:c r="OJ19" s="10"/>
      <x:c r="OK19" s="11"/>
      <x:c r="OL19" s="12">
        <x:f t="shared" si="38"/>
        <x:v>0</x:v>
      </x:c>
      <x:c r="OM19" s="7"/>
      <x:c r="ON19" s="10"/>
      <x:c r="OO19" s="10"/>
      <x:c r="OP19" s="10"/>
      <x:c r="OQ19" s="10"/>
      <x:c r="OR19" s="10"/>
      <x:c r="OS19" s="10"/>
      <x:c r="OT19" s="10"/>
      <x:c r="OU19" s="10"/>
      <x:c r="OV19" s="11"/>
      <x:c r="OW19" s="12">
        <x:f t="shared" si="39"/>
        <x:v>0</x:v>
      </x:c>
      <x:c r="OX19" s="7"/>
      <x:c r="OY19" s="10" t="s">
        <x:v>426</x:v>
      </x:c>
      <x:c r="OZ19" s="10"/>
      <x:c r="PA19" s="10"/>
      <x:c r="PB19" s="10"/>
      <x:c r="PC19" s="12">
        <x:f t="shared" si="40"/>
        <x:v>1</x:v>
      </x:c>
      <x:c r="PD19" s="7"/>
      <x:c r="PE19" s="10" t="s">
        <x:v>426</x:v>
      </x:c>
      <x:c r="PF19" s="10" t="s">
        <x:v>426</x:v>
      </x:c>
      <x:c r="PG19" s="10"/>
      <x:c r="PH19" s="10"/>
      <x:c r="PI19" s="10"/>
      <x:c r="PJ19" s="10"/>
      <x:c r="PK19" s="10"/>
      <x:c r="PL19" s="10"/>
      <x:c r="PM19" s="10"/>
      <x:c r="PN19" s="11"/>
      <x:c r="PO19" s="12">
        <x:f t="shared" si="41"/>
        <x:v>1</x:v>
      </x:c>
      <x:c r="PP19" s="7"/>
      <x:c r="PQ19" s="10"/>
      <x:c r="PR19" s="10" t="s">
        <x:v>426</x:v>
      </x:c>
      <x:c r="PS19" s="10"/>
      <x:c r="PT19" s="12">
        <x:f t="shared" si="42"/>
        <x:v>1</x:v>
      </x:c>
      <x:c r="PU19" s="7" t="s">
        <x:v>426</x:v>
      </x:c>
      <x:c r="PV19" s="10"/>
      <x:c r="PW19" s="10"/>
      <x:c r="PX19" s="10"/>
      <x:c r="PY19" s="10"/>
      <x:c r="PZ19" s="10" t="s">
        <x:v>426</x:v>
      </x:c>
      <x:c r="QA19" s="10"/>
      <x:c r="QB19" s="10"/>
      <x:c r="QC19" s="10" t="s">
        <x:v>426</x:v>
      </x:c>
      <x:c r="QD19" s="11" t="s">
        <x:v>451</x:v>
      </x:c>
      <x:c r="QE19" s="12">
        <x:f t="shared" si="43"/>
        <x:v>1</x:v>
      </x:c>
      <x:c r="QF19" s="7"/>
      <x:c r="QG19" s="10"/>
      <x:c r="QH19" s="10" t="s">
        <x:v>426</x:v>
      </x:c>
      <x:c r="QI19" s="10" t="s">
        <x:v>426</x:v>
      </x:c>
      <x:c r="QJ19" s="10"/>
      <x:c r="QK19" s="10"/>
      <x:c r="QL19" s="10"/>
      <x:c r="QM19" s="10"/>
      <x:c r="QN19" s="10"/>
      <x:c r="QO19" s="11"/>
      <x:c r="QP19" s="12">
        <x:f t="shared" si="44"/>
        <x:v>1</x:v>
      </x:c>
      <x:c r="QQ19" s="7"/>
      <x:c r="QR19" s="10"/>
      <x:c r="QS19" s="10" t="s">
        <x:v>426</x:v>
      </x:c>
      <x:c r="QT19" s="10"/>
      <x:c r="QU19" s="10"/>
      <x:c r="QV19" s="10"/>
      <x:c r="QW19" s="10"/>
      <x:c r="QX19" s="10"/>
      <x:c r="QY19" s="10"/>
      <x:c r="QZ19" s="11"/>
      <x:c r="RA19" s="12">
        <x:f t="shared" si="45"/>
        <x:v>1</x:v>
      </x:c>
      <x:c r="RB19" s="7" t="s">
        <x:v>426</x:v>
      </x:c>
      <x:c r="RC19" s="10"/>
      <x:c r="RD19" s="10"/>
      <x:c r="RE19" s="10"/>
      <x:c r="RF19" s="10"/>
      <x:c r="RG19" s="10"/>
      <x:c r="RH19" s="10"/>
      <x:c r="RI19" s="10"/>
      <x:c r="RJ19" s="11"/>
      <x:c r="RK19" s="12">
        <x:f t="shared" si="46"/>
        <x:v>1</x:v>
      </x:c>
      <x:c r="RL19" s="7"/>
      <x:c r="RM19" s="10" t="s">
        <x:v>426</x:v>
      </x:c>
      <x:c r="RN19" s="10"/>
      <x:c r="RO19" s="10"/>
      <x:c r="RP19" s="10"/>
      <x:c r="RQ19" s="10"/>
      <x:c r="RR19" s="10"/>
      <x:c r="RS19" s="10"/>
      <x:c r="RT19" s="10"/>
      <x:c r="RU19" s="11"/>
      <x:c r="RV19" s="12">
        <x:f t="shared" si="47"/>
        <x:v>1</x:v>
      </x:c>
      <x:c r="RW19" s="7"/>
      <x:c r="RX19" s="12">
        <x:f t="shared" si="48"/>
        <x:v>0</x:v>
      </x:c>
    </x:row>
    <x:row r="20" ht="16.5">
      <x:c r="A20" s="13" t="s">
        <x:v>452</x:v>
      </x:c>
      <x:c r="B20" s="14"/>
      <x:c r="C20" s="14"/>
      <x:c r="D20" s="14"/>
      <x:c r="E20" s="14"/>
      <x:c r="F20" s="14"/>
      <x:c r="G20" s="14"/>
      <x:c r="H20" s="14"/>
      <x:c r="I20" s="14"/>
      <x:c r="J20" s="14"/>
      <x:c r="K20" s="15"/>
      <x:c r="L20" s="13"/>
      <x:c r="M20" s="16"/>
      <x:c r="N20" s="16" t="s">
        <x:v>426</x:v>
      </x:c>
      <x:c r="O20" s="16"/>
      <x:c r="P20" s="17"/>
      <x:c r="Q20" s="12">
        <x:f t="shared" si="0"/>
        <x:v>1</x:v>
      </x:c>
      <x:c r="R20" s="13"/>
      <x:c r="S20" s="16" t="s">
        <x:v>426</x:v>
      </x:c>
      <x:c r="T20" s="16"/>
      <x:c r="U20" s="16"/>
      <x:c r="V20" s="16"/>
      <x:c r="W20" s="17"/>
      <x:c r="X20" s="12">
        <x:f t="shared" si="1"/>
        <x:v>1</x:v>
      </x:c>
      <x:c r="Y20" s="13"/>
      <x:c r="Z20" s="16"/>
      <x:c r="AA20" s="16"/>
      <x:c r="AB20" s="16"/>
      <x:c r="AC20" s="16" t="s">
        <x:v>426</x:v>
      </x:c>
      <x:c r="AD20" s="12">
        <x:f t="shared" si="2"/>
        <x:v>1</x:v>
      </x:c>
      <x:c r="AE20" s="13"/>
      <x:c r="AF20" s="16"/>
      <x:c r="AG20" s="16"/>
      <x:c r="AH20" s="16" t="s">
        <x:v>426</x:v>
      </x:c>
      <x:c r="AI20" s="16"/>
      <x:c r="AJ20" s="17"/>
      <x:c r="AK20" s="12">
        <x:f t="shared" si="3"/>
        <x:v>1</x:v>
      </x:c>
      <x:c r="AL20" s="13"/>
      <x:c r="AM20" s="16" t="s">
        <x:v>426</x:v>
      </x:c>
      <x:c r="AN20" s="16"/>
      <x:c r="AO20" s="12">
        <x:f t="shared" si="4"/>
        <x:v>1</x:v>
      </x:c>
      <x:c r="AP20" s="13" t="s">
        <x:v>426</x:v>
      </x:c>
      <x:c r="AQ20" s="16"/>
      <x:c r="AR20" s="16"/>
      <x:c r="AS20" s="16"/>
      <x:c r="AT20" s="16"/>
      <x:c r="AU20" s="16"/>
      <x:c r="AV20" s="16" t="s">
        <x:v>426</x:v>
      </x:c>
      <x:c r="AW20" s="17" t="s">
        <x:v>453</x:v>
      </x:c>
      <x:c r="AX20" s="12">
        <x:f t="shared" si="5"/>
        <x:v>1</x:v>
      </x:c>
      <x:c r="AY20" s="13" t="s">
        <x:v>426</x:v>
      </x:c>
      <x:c r="AZ20" s="16"/>
      <x:c r="BA20" s="16"/>
      <x:c r="BB20" s="16"/>
      <x:c r="BC20" s="16"/>
      <x:c r="BD20" s="16"/>
      <x:c r="BE20" s="16"/>
      <x:c r="BF20" s="16"/>
      <x:c r="BG20" s="17"/>
      <x:c r="BH20" s="12">
        <x:f t="shared" si="6"/>
        <x:v>1</x:v>
      </x:c>
      <x:c r="BI20" s="13"/>
      <x:c r="BJ20" s="16" t="s">
        <x:v>426</x:v>
      </x:c>
      <x:c r="BK20" s="16"/>
      <x:c r="BL20" s="16"/>
      <x:c r="BM20" s="16"/>
      <x:c r="BN20" s="16"/>
      <x:c r="BO20" s="16"/>
      <x:c r="BP20" s="17"/>
      <x:c r="BQ20" s="12">
        <x:f t="shared" si="7"/>
        <x:v>1</x:v>
      </x:c>
      <x:c r="BR20" s="13" t="s">
        <x:v>426</x:v>
      </x:c>
      <x:c r="BS20" s="16"/>
      <x:c r="BT20" s="16"/>
      <x:c r="BU20" s="16"/>
      <x:c r="BV20" s="16"/>
      <x:c r="BW20" s="16"/>
      <x:c r="BX20" s="16"/>
      <x:c r="BY20" s="17"/>
      <x:c r="BZ20" s="12">
        <x:f t="shared" si="8"/>
        <x:v>1</x:v>
      </x:c>
      <x:c r="CA20" s="13" t="s">
        <x:v>426</x:v>
      </x:c>
      <x:c r="CB20" s="16"/>
      <x:c r="CC20" s="16"/>
      <x:c r="CD20" s="16" t="s">
        <x:v>426</x:v>
      </x:c>
      <x:c r="CE20" s="16"/>
      <x:c r="CF20" s="16"/>
      <x:c r="CG20" s="16"/>
      <x:c r="CH20" s="16"/>
      <x:c r="CI20" s="16"/>
      <x:c r="CJ20" s="16"/>
      <x:c r="CK20" s="17"/>
      <x:c r="CL20" s="12">
        <x:f t="shared" si="9"/>
        <x:v>1</x:v>
      </x:c>
      <x:c r="CM20" s="13"/>
      <x:c r="CN20" s="16"/>
      <x:c r="CO20" s="16"/>
      <x:c r="CP20" s="16"/>
      <x:c r="CQ20" s="16"/>
      <x:c r="CR20" s="16"/>
      <x:c r="CS20" s="16" t="s">
        <x:v>426</x:v>
      </x:c>
      <x:c r="CT20" s="16" t="s">
        <x:v>426</x:v>
      </x:c>
      <x:c r="CU20" s="16" t="s">
        <x:v>426</x:v>
      </x:c>
      <x:c r="CV20" s="16" t="s">
        <x:v>426</x:v>
      </x:c>
      <x:c r="CW20" s="16"/>
      <x:c r="CX20" s="16"/>
      <x:c r="CY20" s="16"/>
      <x:c r="CZ20" s="16"/>
      <x:c r="DA20" s="17"/>
      <x:c r="DB20" s="12">
        <x:f t="shared" si="10"/>
        <x:v>1</x:v>
      </x:c>
      <x:c r="DC20" s="13" t="s">
        <x:v>454</x:v>
      </x:c>
      <x:c r="DD20" s="12">
        <x:f t="shared" si="11"/>
        <x:v>1</x:v>
      </x:c>
      <x:c r="DE20" s="13"/>
      <x:c r="DF20" s="16"/>
      <x:c r="DG20" s="16" t="s">
        <x:v>426</x:v>
      </x:c>
      <x:c r="DH20" s="16"/>
      <x:c r="DI20" s="16"/>
      <x:c r="DJ20" s="16"/>
      <x:c r="DK20" s="16"/>
      <x:c r="DL20" s="16"/>
      <x:c r="DM20" s="17"/>
      <x:c r="DN20" s="12">
        <x:f t="shared" si="12"/>
        <x:v>1</x:v>
      </x:c>
      <x:c r="DO20" s="13"/>
      <x:c r="DP20" s="16"/>
      <x:c r="DQ20" s="16"/>
      <x:c r="DR20" s="16" t="s">
        <x:v>426</x:v>
      </x:c>
      <x:c r="DS20" s="16"/>
      <x:c r="DT20" s="12">
        <x:f t="shared" si="13"/>
        <x:v>1</x:v>
      </x:c>
      <x:c r="DU20" s="13"/>
      <x:c r="DV20" s="16" t="s">
        <x:v>426</x:v>
      </x:c>
      <x:c r="DW20" s="16"/>
      <x:c r="DX20" s="16"/>
      <x:c r="DY20" s="16"/>
      <x:c r="DZ20" s="16"/>
      <x:c r="EA20" s="16"/>
      <x:c r="EB20" s="16"/>
      <x:c r="EC20" s="16"/>
      <x:c r="ED20" s="17"/>
      <x:c r="EE20" s="12">
        <x:f t="shared" si="14"/>
        <x:v>1</x:v>
      </x:c>
      <x:c r="EF20" s="13"/>
      <x:c r="EG20" s="16" t="s">
        <x:v>426</x:v>
      </x:c>
      <x:c r="EH20" s="16"/>
      <x:c r="EI20" s="16" t="s">
        <x:v>426</x:v>
      </x:c>
      <x:c r="EJ20" s="16"/>
      <x:c r="EK20" s="16"/>
      <x:c r="EL20" s="16"/>
      <x:c r="EM20" s="16" t="s">
        <x:v>426</x:v>
      </x:c>
      <x:c r="EN20" s="16"/>
      <x:c r="EO20" s="16" t="s">
        <x:v>426</x:v>
      </x:c>
      <x:c r="EP20" s="17" t="s">
        <x:v>455</x:v>
      </x:c>
      <x:c r="EQ20" s="12">
        <x:f t="shared" si="15"/>
        <x:v>1</x:v>
      </x:c>
      <x:c r="ER20" s="13" t="s">
        <x:v>426</x:v>
      </x:c>
      <x:c r="ES20" s="16"/>
      <x:c r="ET20" s="16"/>
      <x:c r="EU20" s="16"/>
      <x:c r="EV20" s="12">
        <x:f t="shared" si="16"/>
        <x:v>1</x:v>
      </x:c>
      <x:c r="EW20" s="13"/>
      <x:c r="EX20" s="16"/>
      <x:c r="EY20" s="16" t="s">
        <x:v>426</x:v>
      </x:c>
      <x:c r="EZ20" s="16" t="s">
        <x:v>426</x:v>
      </x:c>
      <x:c r="FA20" s="16"/>
      <x:c r="FB20" s="16" t="s">
        <x:v>426</x:v>
      </x:c>
      <x:c r="FC20" s="16"/>
      <x:c r="FD20" s="16"/>
      <x:c r="FE20" s="17"/>
      <x:c r="FF20" s="12">
        <x:f t="shared" si="17"/>
        <x:v>1</x:v>
      </x:c>
      <x:c r="FG20" s="13"/>
      <x:c r="FH20" s="16"/>
      <x:c r="FI20" s="16"/>
      <x:c r="FJ20" s="16"/>
      <x:c r="FK20" s="16"/>
      <x:c r="FL20" s="16"/>
      <x:c r="FM20" s="16"/>
      <x:c r="FN20" s="16"/>
      <x:c r="FO20" s="16"/>
      <x:c r="FP20" s="16"/>
      <x:c r="FQ20" s="16"/>
      <x:c r="FR20" s="16"/>
      <x:c r="FS20" s="16"/>
      <x:c r="FT20" s="16"/>
      <x:c r="FU20" s="17"/>
      <x:c r="FV20" s="12">
        <x:f t="shared" si="18"/>
        <x:v>0</x:v>
      </x:c>
      <x:c r="FW20" s="13"/>
      <x:c r="FX20" s="16"/>
      <x:c r="FY20" s="16"/>
      <x:c r="FZ20" s="16"/>
      <x:c r="GA20" s="16"/>
      <x:c r="GB20" s="16"/>
      <x:c r="GC20" s="16" t="s">
        <x:v>426</x:v>
      </x:c>
      <x:c r="GD20" s="16"/>
      <x:c r="GE20" s="17"/>
      <x:c r="GF20" s="12">
        <x:f t="shared" si="19"/>
        <x:v>1</x:v>
      </x:c>
      <x:c r="GG20" s="13"/>
      <x:c r="GH20" s="16"/>
      <x:c r="GI20" s="16"/>
      <x:c r="GJ20" s="16"/>
      <x:c r="GK20" s="16"/>
      <x:c r="GL20" s="16" t="s">
        <x:v>426</x:v>
      </x:c>
      <x:c r="GM20" s="12">
        <x:f t="shared" si="20"/>
        <x:v>1</x:v>
      </x:c>
      <x:c r="GN20" s="13"/>
      <x:c r="GO20" s="16"/>
      <x:c r="GP20" s="16"/>
      <x:c r="GQ20" s="16"/>
      <x:c r="GR20" s="16"/>
      <x:c r="GS20" s="16" t="s">
        <x:v>426</x:v>
      </x:c>
      <x:c r="GT20" s="12">
        <x:f t="shared" si="21"/>
        <x:v>1</x:v>
      </x:c>
      <x:c r="GU20" s="13" t="s">
        <x:v>426</x:v>
      </x:c>
      <x:c r="GV20" s="16"/>
      <x:c r="GW20" s="16"/>
      <x:c r="GX20" s="16"/>
      <x:c r="GY20" s="12">
        <x:f t="shared" si="22"/>
        <x:v>1</x:v>
      </x:c>
      <x:c r="GZ20" s="13" t="s">
        <x:v>426</x:v>
      </x:c>
      <x:c r="HA20" s="16" t="s">
        <x:v>426</x:v>
      </x:c>
      <x:c r="HB20" s="16"/>
      <x:c r="HC20" s="16"/>
      <x:c r="HD20" s="16"/>
      <x:c r="HE20" s="16" t="s">
        <x:v>426</x:v>
      </x:c>
      <x:c r="HF20" s="16"/>
      <x:c r="HG20" s="16" t="s">
        <x:v>426</x:v>
      </x:c>
      <x:c r="HH20" s="16" t="s">
        <x:v>426</x:v>
      </x:c>
      <x:c r="HI20" s="16"/>
      <x:c r="HJ20" s="16"/>
      <x:c r="HK20" s="17"/>
      <x:c r="HL20" s="12">
        <x:f t="shared" si="23"/>
        <x:v>1</x:v>
      </x:c>
      <x:c r="HM20" s="13"/>
      <x:c r="HN20" s="16"/>
      <x:c r="HO20" s="16"/>
      <x:c r="HP20" s="16"/>
      <x:c r="HQ20" s="16"/>
      <x:c r="HR20" s="16"/>
      <x:c r="HS20" s="16" t="s">
        <x:v>426</x:v>
      </x:c>
      <x:c r="HT20" s="16"/>
      <x:c r="HU20" s="16"/>
      <x:c r="HV20" s="17"/>
      <x:c r="HW20" s="12">
        <x:f t="shared" si="24"/>
        <x:v>1</x:v>
      </x:c>
      <x:c r="HX20" s="13"/>
      <x:c r="HY20" s="16"/>
      <x:c r="HZ20" s="16"/>
      <x:c r="IA20" s="16"/>
      <x:c r="IB20" s="16" t="s">
        <x:v>426</x:v>
      </x:c>
      <x:c r="IC20" s="12">
        <x:f t="shared" si="25"/>
        <x:v>1</x:v>
      </x:c>
      <x:c r="ID20" s="13"/>
      <x:c r="IE20" s="16" t="s">
        <x:v>426</x:v>
      </x:c>
      <x:c r="IF20" s="16" t="s">
        <x:v>426</x:v>
      </x:c>
      <x:c r="IG20" s="16"/>
      <x:c r="IH20" s="16"/>
      <x:c r="II20" s="16"/>
      <x:c r="IJ20" s="16"/>
      <x:c r="IK20" s="16" t="s">
        <x:v>426</x:v>
      </x:c>
      <x:c r="IL20" s="16"/>
      <x:c r="IM20" s="16"/>
      <x:c r="IN20" s="17"/>
      <x:c r="IO20" s="12">
        <x:f t="shared" si="26"/>
        <x:v>1</x:v>
      </x:c>
      <x:c r="IP20" s="13" t="s">
        <x:v>426</x:v>
      </x:c>
      <x:c r="IQ20" s="16" t="s">
        <x:v>426</x:v>
      </x:c>
      <x:c r="IR20" s="16"/>
      <x:c r="IS20" s="16" t="s">
        <x:v>426</x:v>
      </x:c>
      <x:c r="IT20" s="16"/>
      <x:c r="IU20" s="16"/>
      <x:c r="IV20" s="16"/>
      <x:c r="IW20" s="16" t="s">
        <x:v>426</x:v>
      </x:c>
      <x:c r="IX20" s="17" t="s">
        <x:v>456</x:v>
      </x:c>
      <x:c r="IY20" s="12">
        <x:f t="shared" si="27"/>
        <x:v>1</x:v>
      </x:c>
      <x:c r="IZ20" s="13"/>
      <x:c r="JA20" s="16"/>
      <x:c r="JB20" s="16"/>
      <x:c r="JC20" s="16"/>
      <x:c r="JD20" s="16"/>
      <x:c r="JE20" s="16"/>
      <x:c r="JF20" s="16"/>
      <x:c r="JG20" s="16"/>
      <x:c r="JH20" s="16"/>
      <x:c r="JI20" s="16"/>
      <x:c r="JJ20" s="16"/>
      <x:c r="JK20" s="16"/>
      <x:c r="JL20" s="16"/>
      <x:c r="JM20" s="16"/>
      <x:c r="JN20" s="16"/>
      <x:c r="JO20" s="16"/>
      <x:c r="JP20" s="16"/>
      <x:c r="JQ20" s="16"/>
      <x:c r="JR20" s="16" t="s">
        <x:v>426</x:v>
      </x:c>
      <x:c r="JS20" s="12">
        <x:f t="shared" si="28"/>
        <x:v>1</x:v>
      </x:c>
      <x:c r="JT20" s="13" t="s">
        <x:v>426</x:v>
      </x:c>
      <x:c r="JU20" s="16" t="s">
        <x:v>426</x:v>
      </x:c>
      <x:c r="JV20" s="16" t="s">
        <x:v>426</x:v>
      </x:c>
      <x:c r="JW20" s="16" t="s">
        <x:v>426</x:v>
      </x:c>
      <x:c r="JX20" s="16" t="s">
        <x:v>426</x:v>
      </x:c>
      <x:c r="JY20" s="16" t="s">
        <x:v>426</x:v>
      </x:c>
      <x:c r="JZ20" s="16" t="s">
        <x:v>426</x:v>
      </x:c>
      <x:c r="KA20" s="16" t="s">
        <x:v>426</x:v>
      </x:c>
      <x:c r="KB20" s="16" t="s">
        <x:v>426</x:v>
      </x:c>
      <x:c r="KC20" s="16" t="s">
        <x:v>426</x:v>
      </x:c>
      <x:c r="KD20" s="16" t="s">
        <x:v>426</x:v>
      </x:c>
      <x:c r="KE20" s="16" t="s">
        <x:v>426</x:v>
      </x:c>
      <x:c r="KF20" s="16" t="s">
        <x:v>426</x:v>
      </x:c>
      <x:c r="KG20" s="16" t="s">
        <x:v>426</x:v>
      </x:c>
      <x:c r="KH20" s="16" t="s">
        <x:v>426</x:v>
      </x:c>
      <x:c r="KI20" s="16" t="s">
        <x:v>426</x:v>
      </x:c>
      <x:c r="KJ20" s="16" t="s">
        <x:v>426</x:v>
      </x:c>
      <x:c r="KK20" s="16" t="s">
        <x:v>426</x:v>
      </x:c>
      <x:c r="KL20" s="16"/>
      <x:c r="KM20" s="12">
        <x:f t="shared" si="29"/>
        <x:v>1</x:v>
      </x:c>
      <x:c r="KN20" s="13"/>
      <x:c r="KO20" s="16"/>
      <x:c r="KP20" s="16"/>
      <x:c r="KQ20" s="16"/>
      <x:c r="KR20" s="16"/>
      <x:c r="KS20" s="16"/>
      <x:c r="KT20" s="16"/>
      <x:c r="KU20" s="16"/>
      <x:c r="KV20" s="16"/>
      <x:c r="KW20" s="16"/>
      <x:c r="KX20" s="16"/>
      <x:c r="KY20" s="16"/>
      <x:c r="KZ20" s="16"/>
      <x:c r="LA20" s="16"/>
      <x:c r="LB20" s="16"/>
      <x:c r="LC20" s="16"/>
      <x:c r="LD20" s="16"/>
      <x:c r="LE20" s="16"/>
      <x:c r="LF20" s="16" t="s">
        <x:v>426</x:v>
      </x:c>
      <x:c r="LG20" s="12">
        <x:f t="shared" si="30"/>
        <x:v>1</x:v>
      </x:c>
      <x:c r="LH20" s="13"/>
      <x:c r="LI20" s="16"/>
      <x:c r="LJ20" s="16"/>
      <x:c r="LK20" s="16"/>
      <x:c r="LL20" s="16"/>
      <x:c r="LM20" s="16"/>
      <x:c r="LN20" s="16"/>
      <x:c r="LO20" s="16"/>
      <x:c r="LP20" s="16" t="s">
        <x:v>426</x:v>
      </x:c>
      <x:c r="LQ20" s="17" t="s">
        <x:v>457</x:v>
      </x:c>
      <x:c r="LR20" s="12">
        <x:f t="shared" si="31"/>
        <x:v>1</x:v>
      </x:c>
      <x:c r="LS20" s="13"/>
      <x:c r="LT20" s="16"/>
      <x:c r="LU20" s="16"/>
      <x:c r="LV20" s="16"/>
      <x:c r="LW20" s="16"/>
      <x:c r="LX20" s="16"/>
      <x:c r="LY20" s="16" t="s">
        <x:v>426</x:v>
      </x:c>
      <x:c r="LZ20" s="16"/>
      <x:c r="MA20" s="16"/>
      <x:c r="MB20" s="17"/>
      <x:c r="MC20" s="12">
        <x:f t="shared" si="32"/>
        <x:v>1</x:v>
      </x:c>
      <x:c r="MD20" s="13"/>
      <x:c r="ME20" s="16"/>
      <x:c r="MF20" s="16"/>
      <x:c r="MG20" s="16"/>
      <x:c r="MH20" s="16"/>
      <x:c r="MI20" s="16"/>
      <x:c r="MJ20" s="16" t="s">
        <x:v>426</x:v>
      </x:c>
      <x:c r="MK20" s="12">
        <x:f t="shared" si="33"/>
        <x:v>1</x:v>
      </x:c>
      <x:c r="ML20" s="13"/>
      <x:c r="MM20" s="16"/>
      <x:c r="MN20" s="16"/>
      <x:c r="MO20" s="16"/>
      <x:c r="MP20" s="16"/>
      <x:c r="MQ20" s="16"/>
      <x:c r="MR20" s="16"/>
      <x:c r="MS20" s="16"/>
      <x:c r="MT20" s="16" t="s">
        <x:v>426</x:v>
      </x:c>
      <x:c r="MU20" s="17" t="s">
        <x:v>458</x:v>
      </x:c>
      <x:c r="MV20" s="12">
        <x:f t="shared" si="34"/>
        <x:v>1</x:v>
      </x:c>
      <x:c r="MW20" s="13"/>
      <x:c r="MX20" s="16"/>
      <x:c r="MY20" s="16"/>
      <x:c r="MZ20" s="16"/>
      <x:c r="NA20" s="16"/>
      <x:c r="NB20" s="16"/>
      <x:c r="NC20" s="16"/>
      <x:c r="ND20" s="16"/>
      <x:c r="NE20" s="16" t="s">
        <x:v>426</x:v>
      </x:c>
      <x:c r="NF20" s="17" t="s">
        <x:v>458</x:v>
      </x:c>
      <x:c r="NG20" s="12">
        <x:f t="shared" si="35"/>
        <x:v>1</x:v>
      </x:c>
      <x:c r="NH20" s="13" t="s">
        <x:v>426</x:v>
      </x:c>
      <x:c r="NI20" s="16"/>
      <x:c r="NJ20" s="16"/>
      <x:c r="NK20" s="16"/>
      <x:c r="NL20" s="16" t="s">
        <x:v>426</x:v>
      </x:c>
      <x:c r="NM20" s="16"/>
      <x:c r="NN20" s="16"/>
      <x:c r="NO20" s="16"/>
      <x:c r="NP20" s="16"/>
      <x:c r="NQ20" s="16"/>
      <x:c r="NR20" s="17"/>
      <x:c r="NS20" s="12">
        <x:f t="shared" si="36"/>
        <x:v>1</x:v>
      </x:c>
      <x:c r="NT20" s="13"/>
      <x:c r="NU20" s="16"/>
      <x:c r="NV20" s="16"/>
      <x:c r="NW20" s="16"/>
      <x:c r="NX20" s="16" t="s">
        <x:v>426</x:v>
      </x:c>
      <x:c r="NY20" s="12">
        <x:f t="shared" si="37"/>
        <x:v>1</x:v>
      </x:c>
      <x:c r="NZ20" s="13"/>
      <x:c r="OA20" s="16"/>
      <x:c r="OB20" s="16"/>
      <x:c r="OC20" s="16"/>
      <x:c r="OD20" s="16"/>
      <x:c r="OE20" s="16"/>
      <x:c r="OF20" s="16"/>
      <x:c r="OG20" s="16"/>
      <x:c r="OH20" s="16"/>
      <x:c r="OI20" s="16" t="s">
        <x:v>426</x:v>
      </x:c>
      <x:c r="OJ20" s="16"/>
      <x:c r="OK20" s="17"/>
      <x:c r="OL20" s="12">
        <x:f t="shared" si="38"/>
        <x:v>1</x:v>
      </x:c>
      <x:c r="OM20" s="13" t="s">
        <x:v>426</x:v>
      </x:c>
      <x:c r="ON20" s="16"/>
      <x:c r="OO20" s="16"/>
      <x:c r="OP20" s="16"/>
      <x:c r="OQ20" s="16" t="s">
        <x:v>426</x:v>
      </x:c>
      <x:c r="OR20" s="16"/>
      <x:c r="OS20" s="16"/>
      <x:c r="OT20" s="16"/>
      <x:c r="OU20" s="16"/>
      <x:c r="OV20" s="17"/>
      <x:c r="OW20" s="12">
        <x:f t="shared" si="39"/>
        <x:v>1</x:v>
      </x:c>
      <x:c r="OX20" s="13"/>
      <x:c r="OY20" s="16"/>
      <x:c r="OZ20" s="16"/>
      <x:c r="PA20" s="16"/>
      <x:c r="PB20" s="16" t="s">
        <x:v>426</x:v>
      </x:c>
      <x:c r="PC20" s="12">
        <x:f t="shared" si="40"/>
        <x:v>1</x:v>
      </x:c>
      <x:c r="PD20" s="13"/>
      <x:c r="PE20" s="16" t="s">
        <x:v>426</x:v>
      </x:c>
      <x:c r="PF20" s="16" t="s">
        <x:v>426</x:v>
      </x:c>
      <x:c r="PG20" s="16" t="s">
        <x:v>426</x:v>
      </x:c>
      <x:c r="PH20" s="16"/>
      <x:c r="PI20" s="16"/>
      <x:c r="PJ20" s="16" t="s">
        <x:v>426</x:v>
      </x:c>
      <x:c r="PK20" s="16"/>
      <x:c r="PL20" s="16"/>
      <x:c r="PM20" s="16"/>
      <x:c r="PN20" s="17"/>
      <x:c r="PO20" s="12">
        <x:f t="shared" si="41"/>
        <x:v>1</x:v>
      </x:c>
      <x:c r="PP20" s="13"/>
      <x:c r="PQ20" s="16"/>
      <x:c r="PR20" s="16" t="s">
        <x:v>426</x:v>
      </x:c>
      <x:c r="PS20" s="16"/>
      <x:c r="PT20" s="12">
        <x:f t="shared" si="42"/>
        <x:v>1</x:v>
      </x:c>
      <x:c r="PU20" s="13"/>
      <x:c r="PV20" s="16" t="s">
        <x:v>426</x:v>
      </x:c>
      <x:c r="PW20" s="16"/>
      <x:c r="PX20" s="16" t="s">
        <x:v>426</x:v>
      </x:c>
      <x:c r="PY20" s="16"/>
      <x:c r="PZ20" s="16"/>
      <x:c r="QA20" s="16" t="s">
        <x:v>426</x:v>
      </x:c>
      <x:c r="QB20" s="16"/>
      <x:c r="QC20" s="16"/>
      <x:c r="QD20" s="17"/>
      <x:c r="QE20" s="12">
        <x:f t="shared" si="43"/>
        <x:v>1</x:v>
      </x:c>
      <x:c r="QF20" s="13"/>
      <x:c r="QG20" s="16"/>
      <x:c r="QH20" s="16" t="s">
        <x:v>426</x:v>
      </x:c>
      <x:c r="QI20" s="16" t="s">
        <x:v>426</x:v>
      </x:c>
      <x:c r="QJ20" s="16" t="s">
        <x:v>426</x:v>
      </x:c>
      <x:c r="QK20" s="16" t="s">
        <x:v>426</x:v>
      </x:c>
      <x:c r="QL20" s="16"/>
      <x:c r="QM20" s="16"/>
      <x:c r="QN20" s="16"/>
      <x:c r="QO20" s="17"/>
      <x:c r="QP20" s="12">
        <x:f t="shared" si="44"/>
        <x:v>1</x:v>
      </x:c>
      <x:c r="QQ20" s="13"/>
      <x:c r="QR20" s="16"/>
      <x:c r="QS20" s="16"/>
      <x:c r="QT20" s="16"/>
      <x:c r="QU20" s="16"/>
      <x:c r="QV20" s="16"/>
      <x:c r="QW20" s="16"/>
      <x:c r="QX20" s="16" t="s">
        <x:v>426</x:v>
      </x:c>
      <x:c r="QY20" s="16"/>
      <x:c r="QZ20" s="17"/>
      <x:c r="RA20" s="12">
        <x:f t="shared" si="45"/>
        <x:v>1</x:v>
      </x:c>
      <x:c r="RB20" s="13"/>
      <x:c r="RC20" s="16"/>
      <x:c r="RD20" s="16"/>
      <x:c r="RE20" s="16"/>
      <x:c r="RF20" s="16" t="s">
        <x:v>426</x:v>
      </x:c>
      <x:c r="RG20" s="16"/>
      <x:c r="RH20" s="16"/>
      <x:c r="RI20" s="16"/>
      <x:c r="RJ20" s="17"/>
      <x:c r="RK20" s="12">
        <x:f t="shared" si="46"/>
        <x:v>1</x:v>
      </x:c>
      <x:c r="RL20" s="13"/>
      <x:c r="RM20" s="16" t="s">
        <x:v>426</x:v>
      </x:c>
      <x:c r="RN20" s="16"/>
      <x:c r="RO20" s="16"/>
      <x:c r="RP20" s="16"/>
      <x:c r="RQ20" s="16"/>
      <x:c r="RR20" s="16"/>
      <x:c r="RS20" s="16" t="s">
        <x:v>426</x:v>
      </x:c>
      <x:c r="RT20" s="16"/>
      <x:c r="RU20" s="17"/>
      <x:c r="RV20" s="12">
        <x:f t="shared" si="47"/>
        <x:v>1</x:v>
      </x:c>
      <x:c r="RW20" s="13"/>
      <x:c r="RX20" s="12">
        <x:f t="shared" si="48"/>
        <x:v>0</x:v>
      </x:c>
    </x:row>
    <x:row r="21" ht="16.5">
      <x:c r="A21" s="7" t="s">
        <x:v>459</x:v>
      </x:c>
      <x:c r="B21" s="8"/>
      <x:c r="C21" s="8"/>
      <x:c r="D21" s="8"/>
      <x:c r="E21" s="8"/>
      <x:c r="F21" s="8"/>
      <x:c r="G21" s="8"/>
      <x:c r="H21" s="8"/>
      <x:c r="I21" s="8"/>
      <x:c r="J21" s="8"/>
      <x:c r="K21" s="9"/>
      <x:c r="L21" s="7" t="s">
        <x:v>426</x:v>
      </x:c>
      <x:c r="M21" s="10"/>
      <x:c r="N21" s="10"/>
      <x:c r="O21" s="10"/>
      <x:c r="P21" s="11"/>
      <x:c r="Q21" s="12">
        <x:f t="shared" si="0"/>
        <x:v>1</x:v>
      </x:c>
      <x:c r="R21" s="7" t="s">
        <x:v>426</x:v>
      </x:c>
      <x:c r="S21" s="10"/>
      <x:c r="T21" s="10"/>
      <x:c r="U21" s="10"/>
      <x:c r="V21" s="10"/>
      <x:c r="W21" s="11"/>
      <x:c r="X21" s="12">
        <x:f t="shared" si="1"/>
        <x:v>1</x:v>
      </x:c>
      <x:c r="Y21" s="7"/>
      <x:c r="Z21" s="10"/>
      <x:c r="AA21" s="10"/>
      <x:c r="AB21" s="10"/>
      <x:c r="AC21" s="10" t="s">
        <x:v>426</x:v>
      </x:c>
      <x:c r="AD21" s="12">
        <x:f t="shared" si="2"/>
        <x:v>1</x:v>
      </x:c>
      <x:c r="AE21" s="7" t="s">
        <x:v>426</x:v>
      </x:c>
      <x:c r="AF21" s="10"/>
      <x:c r="AG21" s="10"/>
      <x:c r="AH21" s="10"/>
      <x:c r="AI21" s="10"/>
      <x:c r="AJ21" s="11"/>
      <x:c r="AK21" s="12">
        <x:f t="shared" si="3"/>
        <x:v>1</x:v>
      </x:c>
      <x:c r="AL21" s="7" t="s">
        <x:v>426</x:v>
      </x:c>
      <x:c r="AM21" s="10"/>
      <x:c r="AN21" s="10"/>
      <x:c r="AO21" s="12">
        <x:f t="shared" si="4"/>
        <x:v>1</x:v>
      </x:c>
      <x:c r="AP21" s="7" t="s">
        <x:v>426</x:v>
      </x:c>
      <x:c r="AQ21" s="10"/>
      <x:c r="AR21" s="10"/>
      <x:c r="AS21" s="10"/>
      <x:c r="AT21" s="10"/>
      <x:c r="AU21" s="10"/>
      <x:c r="AV21" s="10"/>
      <x:c r="AW21" s="11"/>
      <x:c r="AX21" s="12">
        <x:f t="shared" si="5"/>
        <x:v>1</x:v>
      </x:c>
      <x:c r="AY21" s="7" t="s">
        <x:v>426</x:v>
      </x:c>
      <x:c r="AZ21" s="10"/>
      <x:c r="BA21" s="10"/>
      <x:c r="BB21" s="10"/>
      <x:c r="BC21" s="10"/>
      <x:c r="BD21" s="10"/>
      <x:c r="BE21" s="10"/>
      <x:c r="BF21" s="10"/>
      <x:c r="BG21" s="11"/>
      <x:c r="BH21" s="12">
        <x:f t="shared" si="6"/>
        <x:v>1</x:v>
      </x:c>
      <x:c r="BI21" s="7" t="s">
        <x:v>426</x:v>
      </x:c>
      <x:c r="BJ21" s="10"/>
      <x:c r="BK21" s="10"/>
      <x:c r="BL21" s="10"/>
      <x:c r="BM21" s="10"/>
      <x:c r="BN21" s="10"/>
      <x:c r="BO21" s="10"/>
      <x:c r="BP21" s="11"/>
      <x:c r="BQ21" s="12">
        <x:f t="shared" si="7"/>
        <x:v>1</x:v>
      </x:c>
      <x:c r="BR21" s="7"/>
      <x:c r="BS21" s="10"/>
      <x:c r="BT21" s="10"/>
      <x:c r="BU21" s="10" t="s">
        <x:v>426</x:v>
      </x:c>
      <x:c r="BV21" s="10"/>
      <x:c r="BW21" s="10"/>
      <x:c r="BX21" s="10"/>
      <x:c r="BY21" s="11"/>
      <x:c r="BZ21" s="12">
        <x:f t="shared" si="8"/>
        <x:v>1</x:v>
      </x:c>
      <x:c r="CA21" s="7" t="s">
        <x:v>426</x:v>
      </x:c>
      <x:c r="CB21" s="10"/>
      <x:c r="CC21" s="10"/>
      <x:c r="CD21" s="10"/>
      <x:c r="CE21" s="10"/>
      <x:c r="CF21" s="10"/>
      <x:c r="CG21" s="10"/>
      <x:c r="CH21" s="10"/>
      <x:c r="CI21" s="10"/>
      <x:c r="CJ21" s="10"/>
      <x:c r="CK21" s="11"/>
      <x:c r="CL21" s="12">
        <x:f t="shared" si="9"/>
        <x:v>1</x:v>
      </x:c>
      <x:c r="CM21" s="7"/>
      <x:c r="CN21" s="10"/>
      <x:c r="CO21" s="10"/>
      <x:c r="CP21" s="10"/>
      <x:c r="CQ21" s="10"/>
      <x:c r="CR21" s="10"/>
      <x:c r="CS21" s="10"/>
      <x:c r="CT21" s="10"/>
      <x:c r="CU21" s="10"/>
      <x:c r="CV21" s="10"/>
      <x:c r="CW21" s="10"/>
      <x:c r="CX21" s="10"/>
      <x:c r="CY21" s="10" t="s">
        <x:v>426</x:v>
      </x:c>
      <x:c r="CZ21" s="10"/>
      <x:c r="DA21" s="11"/>
      <x:c r="DB21" s="12">
        <x:f t="shared" si="10"/>
        <x:v>1</x:v>
      </x:c>
      <x:c r="DC21" s="7"/>
      <x:c r="DD21" s="12">
        <x:f t="shared" si="11"/>
        <x:v>0</x:v>
      </x:c>
      <x:c r="DE21" s="7" t="s">
        <x:v>426</x:v>
      </x:c>
      <x:c r="DF21" s="10"/>
      <x:c r="DG21" s="10"/>
      <x:c r="DH21" s="10"/>
      <x:c r="DI21" s="10"/>
      <x:c r="DJ21" s="10"/>
      <x:c r="DK21" s="10"/>
      <x:c r="DL21" s="10"/>
      <x:c r="DM21" s="11"/>
      <x:c r="DN21" s="12">
        <x:f t="shared" si="12"/>
        <x:v>1</x:v>
      </x:c>
      <x:c r="DO21" s="7"/>
      <x:c r="DP21" s="10"/>
      <x:c r="DQ21" s="10" t="s">
        <x:v>426</x:v>
      </x:c>
      <x:c r="DR21" s="10"/>
      <x:c r="DS21" s="10"/>
      <x:c r="DT21" s="12">
        <x:f t="shared" si="13"/>
        <x:v>1</x:v>
      </x:c>
      <x:c r="DU21" s="7" t="s">
        <x:v>426</x:v>
      </x:c>
      <x:c r="DV21" s="10"/>
      <x:c r="DW21" s="10"/>
      <x:c r="DX21" s="10"/>
      <x:c r="DY21" s="10"/>
      <x:c r="DZ21" s="10"/>
      <x:c r="EA21" s="10"/>
      <x:c r="EB21" s="10"/>
      <x:c r="EC21" s="10"/>
      <x:c r="ED21" s="11"/>
      <x:c r="EE21" s="12">
        <x:f t="shared" si="14"/>
        <x:v>1</x:v>
      </x:c>
      <x:c r="EF21" s="7"/>
      <x:c r="EG21" s="10"/>
      <x:c r="EH21" s="10"/>
      <x:c r="EI21" s="10"/>
      <x:c r="EJ21" s="10"/>
      <x:c r="EK21" s="10"/>
      <x:c r="EL21" s="10"/>
      <x:c r="EM21" s="10"/>
      <x:c r="EN21" s="10" t="s">
        <x:v>426</x:v>
      </x:c>
      <x:c r="EO21" s="10"/>
      <x:c r="EP21" s="11"/>
      <x:c r="EQ21" s="12">
        <x:f t="shared" si="15"/>
        <x:v>1</x:v>
      </x:c>
      <x:c r="ER21" s="7" t="s">
        <x:v>426</x:v>
      </x:c>
      <x:c r="ES21" s="10"/>
      <x:c r="ET21" s="10"/>
      <x:c r="EU21" s="10"/>
      <x:c r="EV21" s="12">
        <x:f t="shared" si="16"/>
        <x:v>1</x:v>
      </x:c>
      <x:c r="EW21" s="7"/>
      <x:c r="EX21" s="10"/>
      <x:c r="EY21" s="10"/>
      <x:c r="EZ21" s="10"/>
      <x:c r="FA21" s="10"/>
      <x:c r="FB21" s="10"/>
      <x:c r="FC21" s="10" t="s">
        <x:v>426</x:v>
      </x:c>
      <x:c r="FD21" s="10"/>
      <x:c r="FE21" s="11"/>
      <x:c r="FF21" s="12">
        <x:f t="shared" si="17"/>
        <x:v>1</x:v>
      </x:c>
      <x:c r="FG21" s="7" t="s">
        <x:v>426</x:v>
      </x:c>
      <x:c r="FH21" s="10"/>
      <x:c r="FI21" s="10"/>
      <x:c r="FJ21" s="10"/>
      <x:c r="FK21" s="10"/>
      <x:c r="FL21" s="10"/>
      <x:c r="FM21" s="10"/>
      <x:c r="FN21" s="10"/>
      <x:c r="FO21" s="10"/>
      <x:c r="FP21" s="10"/>
      <x:c r="FQ21" s="10"/>
      <x:c r="FR21" s="10"/>
      <x:c r="FS21" s="10"/>
      <x:c r="FT21" s="10"/>
      <x:c r="FU21" s="11"/>
      <x:c r="FV21" s="12">
        <x:f t="shared" si="18"/>
        <x:v>1</x:v>
      </x:c>
      <x:c r="FW21" s="7"/>
      <x:c r="FX21" s="10"/>
      <x:c r="FY21" s="10"/>
      <x:c r="FZ21" s="10"/>
      <x:c r="GA21" s="10"/>
      <x:c r="GB21" s="10"/>
      <x:c r="GC21" s="10" t="s">
        <x:v>426</x:v>
      </x:c>
      <x:c r="GD21" s="10"/>
      <x:c r="GE21" s="11"/>
      <x:c r="GF21" s="12">
        <x:f t="shared" si="19"/>
        <x:v>1</x:v>
      </x:c>
      <x:c r="GG21" s="7"/>
      <x:c r="GH21" s="10"/>
      <x:c r="GI21" s="10"/>
      <x:c r="GJ21" s="10"/>
      <x:c r="GK21" s="10"/>
      <x:c r="GL21" s="10" t="s">
        <x:v>426</x:v>
      </x:c>
      <x:c r="GM21" s="12">
        <x:f t="shared" si="20"/>
        <x:v>1</x:v>
      </x:c>
      <x:c r="GN21" s="7"/>
      <x:c r="GO21" s="10"/>
      <x:c r="GP21" s="10"/>
      <x:c r="GQ21" s="10"/>
      <x:c r="GR21" s="10"/>
      <x:c r="GS21" s="10" t="s">
        <x:v>426</x:v>
      </x:c>
      <x:c r="GT21" s="12">
        <x:f t="shared" si="21"/>
        <x:v>1</x:v>
      </x:c>
      <x:c r="GU21" s="7"/>
      <x:c r="GV21" s="10"/>
      <x:c r="GW21" s="10" t="s">
        <x:v>426</x:v>
      </x:c>
      <x:c r="GX21" s="10"/>
      <x:c r="GY21" s="12">
        <x:f t="shared" si="22"/>
        <x:v>1</x:v>
      </x:c>
      <x:c r="GZ21" s="7" t="s">
        <x:v>426</x:v>
      </x:c>
      <x:c r="HA21" s="10"/>
      <x:c r="HB21" s="10"/>
      <x:c r="HC21" s="10"/>
      <x:c r="HD21" s="10"/>
      <x:c r="HE21" s="10" t="s">
        <x:v>426</x:v>
      </x:c>
      <x:c r="HF21" s="10"/>
      <x:c r="HG21" s="10"/>
      <x:c r="HH21" s="10"/>
      <x:c r="HI21" s="10"/>
      <x:c r="HJ21" s="10"/>
      <x:c r="HK21" s="11"/>
      <x:c r="HL21" s="12">
        <x:f t="shared" si="23"/>
        <x:v>1</x:v>
      </x:c>
      <x:c r="HM21" s="7"/>
      <x:c r="HN21" s="10"/>
      <x:c r="HO21" s="10"/>
      <x:c r="HP21" s="10"/>
      <x:c r="HQ21" s="10"/>
      <x:c r="HR21" s="10"/>
      <x:c r="HS21" s="10"/>
      <x:c r="HT21" s="10" t="s">
        <x:v>426</x:v>
      </x:c>
      <x:c r="HU21" s="10"/>
      <x:c r="HV21" s="11"/>
      <x:c r="HW21" s="12">
        <x:f t="shared" si="24"/>
        <x:v>1</x:v>
      </x:c>
      <x:c r="HX21" s="7"/>
      <x:c r="HY21" s="10"/>
      <x:c r="HZ21" s="10" t="s">
        <x:v>426</x:v>
      </x:c>
      <x:c r="IA21" s="10"/>
      <x:c r="IB21" s="10"/>
      <x:c r="IC21" s="12">
        <x:f t="shared" si="25"/>
        <x:v>1</x:v>
      </x:c>
      <x:c r="ID21" s="7"/>
      <x:c r="IE21" s="10" t="s">
        <x:v>426</x:v>
      </x:c>
      <x:c r="IF21" s="10"/>
      <x:c r="IG21" s="10"/>
      <x:c r="IH21" s="10" t="s">
        <x:v>426</x:v>
      </x:c>
      <x:c r="II21" s="10"/>
      <x:c r="IJ21" s="10"/>
      <x:c r="IK21" s="10" t="s">
        <x:v>426</x:v>
      </x:c>
      <x:c r="IL21" s="10"/>
      <x:c r="IM21" s="10"/>
      <x:c r="IN21" s="11"/>
      <x:c r="IO21" s="12">
        <x:f t="shared" si="26"/>
        <x:v>1</x:v>
      </x:c>
      <x:c r="IP21" s="7" t="s">
        <x:v>426</x:v>
      </x:c>
      <x:c r="IQ21" s="10"/>
      <x:c r="IR21" s="10"/>
      <x:c r="IS21" s="10"/>
      <x:c r="IT21" s="10"/>
      <x:c r="IU21" s="10"/>
      <x:c r="IV21" s="10" t="s">
        <x:v>426</x:v>
      </x:c>
      <x:c r="IW21" s="10"/>
      <x:c r="IX21" s="11"/>
      <x:c r="IY21" s="12">
        <x:f t="shared" si="27"/>
        <x:v>1</x:v>
      </x:c>
      <x:c r="IZ21" s="7"/>
      <x:c r="JA21" s="10"/>
      <x:c r="JB21" s="10"/>
      <x:c r="JC21" s="10"/>
      <x:c r="JD21" s="10"/>
      <x:c r="JE21" s="10"/>
      <x:c r="JF21" s="10"/>
      <x:c r="JG21" s="10"/>
      <x:c r="JH21" s="10"/>
      <x:c r="JI21" s="10"/>
      <x:c r="JJ21" s="10"/>
      <x:c r="JK21" s="10"/>
      <x:c r="JL21" s="10"/>
      <x:c r="JM21" s="10"/>
      <x:c r="JN21" s="10"/>
      <x:c r="JO21" s="10"/>
      <x:c r="JP21" s="10"/>
      <x:c r="JQ21" s="10"/>
      <x:c r="JR21" s="10" t="s">
        <x:v>426</x:v>
      </x:c>
      <x:c r="JS21" s="12">
        <x:f t="shared" si="28"/>
        <x:v>1</x:v>
      </x:c>
      <x:c r="JT21" s="7"/>
      <x:c r="JU21" s="10"/>
      <x:c r="JV21" s="10" t="s">
        <x:v>426</x:v>
      </x:c>
      <x:c r="JW21" s="10"/>
      <x:c r="JX21" s="10"/>
      <x:c r="JY21" s="10"/>
      <x:c r="JZ21" s="10"/>
      <x:c r="KA21" s="10"/>
      <x:c r="KB21" s="10"/>
      <x:c r="KC21" s="10"/>
      <x:c r="KD21" s="10"/>
      <x:c r="KE21" s="10"/>
      <x:c r="KF21" s="10"/>
      <x:c r="KG21" s="10"/>
      <x:c r="KH21" s="10" t="s">
        <x:v>426</x:v>
      </x:c>
      <x:c r="KI21" s="10"/>
      <x:c r="KJ21" s="10"/>
      <x:c r="KK21" s="10"/>
      <x:c r="KL21" s="10"/>
      <x:c r="KM21" s="12">
        <x:f t="shared" si="29"/>
        <x:v>1</x:v>
      </x:c>
      <x:c r="KN21" s="7"/>
      <x:c r="KO21" s="10"/>
      <x:c r="KP21" s="10"/>
      <x:c r="KQ21" s="10"/>
      <x:c r="KR21" s="10"/>
      <x:c r="KS21" s="10"/>
      <x:c r="KT21" s="10"/>
      <x:c r="KU21" s="10"/>
      <x:c r="KV21" s="10"/>
      <x:c r="KW21" s="10"/>
      <x:c r="KX21" s="10"/>
      <x:c r="KY21" s="10"/>
      <x:c r="KZ21" s="10"/>
      <x:c r="LA21" s="10"/>
      <x:c r="LB21" s="10"/>
      <x:c r="LC21" s="10"/>
      <x:c r="LD21" s="10"/>
      <x:c r="LE21" s="10"/>
      <x:c r="LF21" s="10" t="s">
        <x:v>426</x:v>
      </x:c>
      <x:c r="LG21" s="12">
        <x:f t="shared" si="30"/>
        <x:v>1</x:v>
      </x:c>
      <x:c r="LH21" s="7"/>
      <x:c r="LI21" s="10"/>
      <x:c r="LJ21" s="10"/>
      <x:c r="LK21" s="10"/>
      <x:c r="LL21" s="10"/>
      <x:c r="LM21" s="10"/>
      <x:c r="LN21" s="10" t="s">
        <x:v>426</x:v>
      </x:c>
      <x:c r="LO21" s="10" t="s">
        <x:v>426</x:v>
      </x:c>
      <x:c r="LP21" s="10"/>
      <x:c r="LQ21" s="11"/>
      <x:c r="LR21" s="12">
        <x:f t="shared" si="31"/>
        <x:v>1</x:v>
      </x:c>
      <x:c r="LS21" s="7" t="s">
        <x:v>426</x:v>
      </x:c>
      <x:c r="LT21" s="10"/>
      <x:c r="LU21" s="10"/>
      <x:c r="LV21" s="10"/>
      <x:c r="LW21" s="10"/>
      <x:c r="LX21" s="10" t="s">
        <x:v>426</x:v>
      </x:c>
      <x:c r="LY21" s="10"/>
      <x:c r="LZ21" s="10"/>
      <x:c r="MA21" s="10"/>
      <x:c r="MB21" s="11"/>
      <x:c r="MC21" s="12">
        <x:f t="shared" si="32"/>
        <x:v>1</x:v>
      </x:c>
      <x:c r="MD21" s="7"/>
      <x:c r="ME21" s="10"/>
      <x:c r="MF21" s="10"/>
      <x:c r="MG21" s="10"/>
      <x:c r="MH21" s="10"/>
      <x:c r="MI21" s="10"/>
      <x:c r="MJ21" s="10" t="s">
        <x:v>426</x:v>
      </x:c>
      <x:c r="MK21" s="12">
        <x:f t="shared" si="33"/>
        <x:v>1</x:v>
      </x:c>
      <x:c r="ML21" s="7"/>
      <x:c r="MM21" s="10" t="s">
        <x:v>426</x:v>
      </x:c>
      <x:c r="MN21" s="10"/>
      <x:c r="MO21" s="10"/>
      <x:c r="MP21" s="10"/>
      <x:c r="MQ21" s="10"/>
      <x:c r="MR21" s="10"/>
      <x:c r="MS21" s="10"/>
      <x:c r="MT21" s="10"/>
      <x:c r="MU21" s="11"/>
      <x:c r="MV21" s="12">
        <x:f t="shared" si="34"/>
        <x:v>1</x:v>
      </x:c>
      <x:c r="MW21" s="7"/>
      <x:c r="MX21" s="10"/>
      <x:c r="MY21" s="10"/>
      <x:c r="MZ21" s="10"/>
      <x:c r="NA21" s="10"/>
      <x:c r="NB21" s="10"/>
      <x:c r="NC21" s="10" t="s">
        <x:v>426</x:v>
      </x:c>
      <x:c r="ND21" s="10"/>
      <x:c r="NE21" s="10"/>
      <x:c r="NF21" s="11"/>
      <x:c r="NG21" s="12">
        <x:f t="shared" si="35"/>
        <x:v>1</x:v>
      </x:c>
      <x:c r="NH21" s="7"/>
      <x:c r="NI21" s="10"/>
      <x:c r="NJ21" s="10"/>
      <x:c r="NK21" s="10"/>
      <x:c r="NL21" s="10"/>
      <x:c r="NM21" s="10"/>
      <x:c r="NN21" s="10"/>
      <x:c r="NO21" s="10"/>
      <x:c r="NP21" s="10" t="s">
        <x:v>426</x:v>
      </x:c>
      <x:c r="NQ21" s="10"/>
      <x:c r="NR21" s="11"/>
      <x:c r="NS21" s="12">
        <x:f t="shared" si="36"/>
        <x:v>1</x:v>
      </x:c>
      <x:c r="NT21" s="7"/>
      <x:c r="NU21" s="10"/>
      <x:c r="NV21" s="10"/>
      <x:c r="NW21" s="10" t="s">
        <x:v>426</x:v>
      </x:c>
      <x:c r="NX21" s="10"/>
      <x:c r="NY21" s="12">
        <x:f t="shared" si="37"/>
        <x:v>1</x:v>
      </x:c>
      <x:c r="NZ21" s="7"/>
      <x:c r="OA21" s="10"/>
      <x:c r="OB21" s="10"/>
      <x:c r="OC21" s="10"/>
      <x:c r="OD21" s="10"/>
      <x:c r="OE21" s="10"/>
      <x:c r="OF21" s="10"/>
      <x:c r="OG21" s="10"/>
      <x:c r="OH21" s="10"/>
      <x:c r="OI21" s="10" t="s">
        <x:v>426</x:v>
      </x:c>
      <x:c r="OJ21" s="10"/>
      <x:c r="OK21" s="11"/>
      <x:c r="OL21" s="12">
        <x:f t="shared" si="38"/>
        <x:v>1</x:v>
      </x:c>
      <x:c r="OM21" s="7"/>
      <x:c r="ON21" s="10"/>
      <x:c r="OO21" s="10"/>
      <x:c r="OP21" s="10"/>
      <x:c r="OQ21" s="10"/>
      <x:c r="OR21" s="10"/>
      <x:c r="OS21" s="10"/>
      <x:c r="OT21" s="10" t="s">
        <x:v>426</x:v>
      </x:c>
      <x:c r="OU21" s="10"/>
      <x:c r="OV21" s="11"/>
      <x:c r="OW21" s="12">
        <x:f t="shared" si="39"/>
        <x:v>1</x:v>
      </x:c>
      <x:c r="OX21" s="7"/>
      <x:c r="OY21" s="10" t="s">
        <x:v>426</x:v>
      </x:c>
      <x:c r="OZ21" s="10"/>
      <x:c r="PA21" s="10"/>
      <x:c r="PB21" s="10"/>
      <x:c r="PC21" s="12">
        <x:f t="shared" si="40"/>
        <x:v>1</x:v>
      </x:c>
      <x:c r="PD21" s="7"/>
      <x:c r="PE21" s="10"/>
      <x:c r="PF21" s="10"/>
      <x:c r="PG21" s="10"/>
      <x:c r="PH21" s="10"/>
      <x:c r="PI21" s="10"/>
      <x:c r="PJ21" s="10"/>
      <x:c r="PK21" s="10"/>
      <x:c r="PL21" s="10" t="s">
        <x:v>426</x:v>
      </x:c>
      <x:c r="PM21" s="10"/>
      <x:c r="PN21" s="11"/>
      <x:c r="PO21" s="12">
        <x:f t="shared" si="41"/>
        <x:v>1</x:v>
      </x:c>
      <x:c r="PP21" s="7"/>
      <x:c r="PQ21" s="10"/>
      <x:c r="PR21" s="10" t="s">
        <x:v>426</x:v>
      </x:c>
      <x:c r="PS21" s="10"/>
      <x:c r="PT21" s="12">
        <x:f t="shared" si="42"/>
        <x:v>1</x:v>
      </x:c>
      <x:c r="PU21" s="7" t="s">
        <x:v>426</x:v>
      </x:c>
      <x:c r="PV21" s="10"/>
      <x:c r="PW21" s="10" t="s">
        <x:v>426</x:v>
      </x:c>
      <x:c r="PX21" s="10"/>
      <x:c r="PY21" s="10"/>
      <x:c r="PZ21" s="10"/>
      <x:c r="QA21" s="10"/>
      <x:c r="QB21" s="10"/>
      <x:c r="QC21" s="10"/>
      <x:c r="QD21" s="11"/>
      <x:c r="QE21" s="12">
        <x:f t="shared" si="43"/>
        <x:v>1</x:v>
      </x:c>
      <x:c r="QF21" s="7" t="s">
        <x:v>426</x:v>
      </x:c>
      <x:c r="QG21" s="10"/>
      <x:c r="QH21" s="10"/>
      <x:c r="QI21" s="10" t="s">
        <x:v>426</x:v>
      </x:c>
      <x:c r="QJ21" s="10"/>
      <x:c r="QK21" s="10"/>
      <x:c r="QL21" s="10"/>
      <x:c r="QM21" s="10"/>
      <x:c r="QN21" s="10"/>
      <x:c r="QO21" s="11"/>
      <x:c r="QP21" s="12">
        <x:f t="shared" si="44"/>
        <x:v>1</x:v>
      </x:c>
      <x:c r="QQ21" s="7"/>
      <x:c r="QR21" s="10"/>
      <x:c r="QS21" s="10"/>
      <x:c r="QT21" s="10"/>
      <x:c r="QU21" s="10"/>
      <x:c r="QV21" s="10"/>
      <x:c r="QW21" s="10"/>
      <x:c r="QX21" s="10" t="s">
        <x:v>426</x:v>
      </x:c>
      <x:c r="QY21" s="10"/>
      <x:c r="QZ21" s="11"/>
      <x:c r="RA21" s="12">
        <x:f t="shared" si="45"/>
        <x:v>1</x:v>
      </x:c>
      <x:c r="RB21" s="7" t="s">
        <x:v>426</x:v>
      </x:c>
      <x:c r="RC21" s="10"/>
      <x:c r="RD21" s="10"/>
      <x:c r="RE21" s="10" t="s">
        <x:v>426</x:v>
      </x:c>
      <x:c r="RF21" s="10"/>
      <x:c r="RG21" s="10"/>
      <x:c r="RH21" s="10"/>
      <x:c r="RI21" s="10"/>
      <x:c r="RJ21" s="11"/>
      <x:c r="RK21" s="12">
        <x:f t="shared" si="46"/>
        <x:v>1</x:v>
      </x:c>
      <x:c r="RL21" s="7" t="s">
        <x:v>426</x:v>
      </x:c>
      <x:c r="RM21" s="10"/>
      <x:c r="RN21" s="10"/>
      <x:c r="RO21" s="10"/>
      <x:c r="RP21" s="10" t="s">
        <x:v>426</x:v>
      </x:c>
      <x:c r="RQ21" s="10"/>
      <x:c r="RR21" s="10"/>
      <x:c r="RS21" s="10"/>
      <x:c r="RT21" s="10"/>
      <x:c r="RU21" s="11"/>
      <x:c r="RV21" s="12">
        <x:f t="shared" si="47"/>
        <x:v>1</x:v>
      </x:c>
      <x:c r="RW21" s="7"/>
      <x:c r="RX21" s="12">
        <x:f t="shared" si="48"/>
        <x:v>0</x:v>
      </x:c>
    </x:row>
    <x:row r="22" ht="16.5">
      <x:c r="A22" s="13" t="s">
        <x:v>460</x:v>
      </x:c>
      <x:c r="B22" s="14"/>
      <x:c r="C22" s="14"/>
      <x:c r="D22" s="14"/>
      <x:c r="E22" s="14"/>
      <x:c r="F22" s="14"/>
      <x:c r="G22" s="14"/>
      <x:c r="H22" s="14"/>
      <x:c r="I22" s="14"/>
      <x:c r="J22" s="14"/>
      <x:c r="K22" s="15"/>
      <x:c r="L22" s="13" t="s">
        <x:v>426</x:v>
      </x:c>
      <x:c r="M22" s="16"/>
      <x:c r="N22" s="16"/>
      <x:c r="O22" s="16"/>
      <x:c r="P22" s="17"/>
      <x:c r="Q22" s="12">
        <x:f t="shared" si="0"/>
        <x:v>1</x:v>
      </x:c>
      <x:c r="R22" s="13" t="s">
        <x:v>426</x:v>
      </x:c>
      <x:c r="S22" s="16"/>
      <x:c r="T22" s="16"/>
      <x:c r="U22" s="16"/>
      <x:c r="V22" s="16"/>
      <x:c r="W22" s="17"/>
      <x:c r="X22" s="12">
        <x:f t="shared" si="1"/>
        <x:v>1</x:v>
      </x:c>
      <x:c r="Y22" s="13"/>
      <x:c r="Z22" s="16"/>
      <x:c r="AA22" s="16"/>
      <x:c r="AB22" s="16"/>
      <x:c r="AC22" s="16" t="s">
        <x:v>426</x:v>
      </x:c>
      <x:c r="AD22" s="12">
        <x:f t="shared" si="2"/>
        <x:v>1</x:v>
      </x:c>
      <x:c r="AE22" s="13" t="s">
        <x:v>426</x:v>
      </x:c>
      <x:c r="AF22" s="16"/>
      <x:c r="AG22" s="16"/>
      <x:c r="AH22" s="16"/>
      <x:c r="AI22" s="16"/>
      <x:c r="AJ22" s="17"/>
      <x:c r="AK22" s="12">
        <x:f t="shared" si="3"/>
        <x:v>1</x:v>
      </x:c>
      <x:c r="AL22" s="13"/>
      <x:c r="AM22" s="16" t="s">
        <x:v>426</x:v>
      </x:c>
      <x:c r="AN22" s="16"/>
      <x:c r="AO22" s="12">
        <x:f t="shared" si="4"/>
        <x:v>1</x:v>
      </x:c>
      <x:c r="AP22" s="13" t="s">
        <x:v>426</x:v>
      </x:c>
      <x:c r="AQ22" s="16"/>
      <x:c r="AR22" s="16"/>
      <x:c r="AS22" s="16"/>
      <x:c r="AT22" s="16"/>
      <x:c r="AU22" s="16"/>
      <x:c r="AV22" s="16"/>
      <x:c r="AW22" s="17"/>
      <x:c r="AX22" s="12">
        <x:f t="shared" si="5"/>
        <x:v>1</x:v>
      </x:c>
      <x:c r="AY22" s="13" t="s">
        <x:v>426</x:v>
      </x:c>
      <x:c r="AZ22" s="16"/>
      <x:c r="BA22" s="16"/>
      <x:c r="BB22" s="16"/>
      <x:c r="BC22" s="16"/>
      <x:c r="BD22" s="16"/>
      <x:c r="BE22" s="16"/>
      <x:c r="BF22" s="16"/>
      <x:c r="BG22" s="17"/>
      <x:c r="BH22" s="12">
        <x:f t="shared" si="6"/>
        <x:v>1</x:v>
      </x:c>
      <x:c r="BI22" s="13" t="s">
        <x:v>426</x:v>
      </x:c>
      <x:c r="BJ22" s="16"/>
      <x:c r="BK22" s="16"/>
      <x:c r="BL22" s="16"/>
      <x:c r="BM22" s="16"/>
      <x:c r="BN22" s="16"/>
      <x:c r="BO22" s="16"/>
      <x:c r="BP22" s="17"/>
      <x:c r="BQ22" s="12">
        <x:f t="shared" si="7"/>
        <x:v>1</x:v>
      </x:c>
      <x:c r="BR22" s="13"/>
      <x:c r="BS22" s="16" t="s">
        <x:v>426</x:v>
      </x:c>
      <x:c r="BT22" s="16"/>
      <x:c r="BU22" s="16"/>
      <x:c r="BV22" s="16"/>
      <x:c r="BW22" s="16"/>
      <x:c r="BX22" s="16"/>
      <x:c r="BY22" s="17"/>
      <x:c r="BZ22" s="12">
        <x:f t="shared" si="8"/>
        <x:v>1</x:v>
      </x:c>
      <x:c r="CA22" s="13" t="s">
        <x:v>426</x:v>
      </x:c>
      <x:c r="CB22" s="16"/>
      <x:c r="CC22" s="16" t="s">
        <x:v>426</x:v>
      </x:c>
      <x:c r="CD22" s="16"/>
      <x:c r="CE22" s="16"/>
      <x:c r="CF22" s="16"/>
      <x:c r="CG22" s="16"/>
      <x:c r="CH22" s="16"/>
      <x:c r="CI22" s="16"/>
      <x:c r="CJ22" s="16"/>
      <x:c r="CK22" s="17"/>
      <x:c r="CL22" s="12">
        <x:f t="shared" si="9"/>
        <x:v>1</x:v>
      </x:c>
      <x:c r="CM22" s="13"/>
      <x:c r="CN22" s="16"/>
      <x:c r="CO22" s="16"/>
      <x:c r="CP22" s="16"/>
      <x:c r="CQ22" s="16"/>
      <x:c r="CR22" s="16"/>
      <x:c r="CS22" s="16"/>
      <x:c r="CT22" s="16" t="s">
        <x:v>426</x:v>
      </x:c>
      <x:c r="CU22" s="16"/>
      <x:c r="CV22" s="16" t="s">
        <x:v>426</x:v>
      </x:c>
      <x:c r="CW22" s="16"/>
      <x:c r="CX22" s="16" t="s">
        <x:v>426</x:v>
      </x:c>
      <x:c r="CY22" s="16"/>
      <x:c r="CZ22" s="16"/>
      <x:c r="DA22" s="17"/>
      <x:c r="DB22" s="12">
        <x:f t="shared" si="10"/>
        <x:v>1</x:v>
      </x:c>
      <x:c r="DC22" s="13"/>
      <x:c r="DD22" s="12">
        <x:f t="shared" si="11"/>
        <x:v>0</x:v>
      </x:c>
      <x:c r="DE22" s="13" t="s">
        <x:v>426</x:v>
      </x:c>
      <x:c r="DF22" s="16"/>
      <x:c r="DG22" s="16"/>
      <x:c r="DH22" s="16"/>
      <x:c r="DI22" s="16"/>
      <x:c r="DJ22" s="16"/>
      <x:c r="DK22" s="16"/>
      <x:c r="DL22" s="16"/>
      <x:c r="DM22" s="17"/>
      <x:c r="DN22" s="12">
        <x:f t="shared" si="12"/>
        <x:v>1</x:v>
      </x:c>
      <x:c r="DO22" s="13" t="s">
        <x:v>426</x:v>
      </x:c>
      <x:c r="DP22" s="16"/>
      <x:c r="DQ22" s="16"/>
      <x:c r="DR22" s="16"/>
      <x:c r="DS22" s="16"/>
      <x:c r="DT22" s="12">
        <x:f t="shared" si="13"/>
        <x:v>1</x:v>
      </x:c>
      <x:c r="DU22" s="13" t="s">
        <x:v>426</x:v>
      </x:c>
      <x:c r="DV22" s="16" t="s">
        <x:v>426</x:v>
      </x:c>
      <x:c r="DW22" s="16"/>
      <x:c r="DX22" s="16"/>
      <x:c r="DY22" s="16"/>
      <x:c r="DZ22" s="16"/>
      <x:c r="EA22" s="16"/>
      <x:c r="EB22" s="16"/>
      <x:c r="EC22" s="16"/>
      <x:c r="ED22" s="17"/>
      <x:c r="EE22" s="12">
        <x:f t="shared" si="14"/>
        <x:v>1</x:v>
      </x:c>
      <x:c r="EF22" s="13"/>
      <x:c r="EG22" s="16"/>
      <x:c r="EH22" s="16"/>
      <x:c r="EI22" s="16" t="s">
        <x:v>426</x:v>
      </x:c>
      <x:c r="EJ22" s="16"/>
      <x:c r="EK22" s="16" t="s">
        <x:v>426</x:v>
      </x:c>
      <x:c r="EL22" s="16" t="s">
        <x:v>426</x:v>
      </x:c>
      <x:c r="EM22" s="16" t="s">
        <x:v>426</x:v>
      </x:c>
      <x:c r="EN22" s="16"/>
      <x:c r="EO22" s="16"/>
      <x:c r="EP22" s="17"/>
      <x:c r="EQ22" s="12">
        <x:f t="shared" si="15"/>
        <x:v>1</x:v>
      </x:c>
      <x:c r="ER22" s="13" t="s">
        <x:v>426</x:v>
      </x:c>
      <x:c r="ES22" s="16"/>
      <x:c r="ET22" s="16"/>
      <x:c r="EU22" s="16"/>
      <x:c r="EV22" s="12">
        <x:f t="shared" si="16"/>
        <x:v>1</x:v>
      </x:c>
      <x:c r="EW22" s="13" t="s">
        <x:v>426</x:v>
      </x:c>
      <x:c r="EX22" s="16"/>
      <x:c r="EY22" s="16"/>
      <x:c r="EZ22" s="16" t="s">
        <x:v>426</x:v>
      </x:c>
      <x:c r="FA22" s="16"/>
      <x:c r="FB22" s="16" t="s">
        <x:v>426</x:v>
      </x:c>
      <x:c r="FC22" s="16"/>
      <x:c r="FD22" s="16"/>
      <x:c r="FE22" s="17"/>
      <x:c r="FF22" s="12">
        <x:f t="shared" si="17"/>
        <x:v>1</x:v>
      </x:c>
      <x:c r="FG22" s="13" t="s">
        <x:v>426</x:v>
      </x:c>
      <x:c r="FH22" s="16"/>
      <x:c r="FI22" s="16"/>
      <x:c r="FJ22" s="16"/>
      <x:c r="FK22" s="16"/>
      <x:c r="FL22" s="16"/>
      <x:c r="FM22" s="16"/>
      <x:c r="FN22" s="16"/>
      <x:c r="FO22" s="16"/>
      <x:c r="FP22" s="16"/>
      <x:c r="FQ22" s="16"/>
      <x:c r="FR22" s="16"/>
      <x:c r="FS22" s="16"/>
      <x:c r="FT22" s="16"/>
      <x:c r="FU22" s="17"/>
      <x:c r="FV22" s="12">
        <x:f t="shared" si="18"/>
        <x:v>1</x:v>
      </x:c>
      <x:c r="FW22" s="13" t="s">
        <x:v>426</x:v>
      </x:c>
      <x:c r="FX22" s="16"/>
      <x:c r="FY22" s="16"/>
      <x:c r="FZ22" s="16"/>
      <x:c r="GA22" s="16"/>
      <x:c r="GB22" s="16"/>
      <x:c r="GC22" s="16"/>
      <x:c r="GD22" s="16"/>
      <x:c r="GE22" s="17"/>
      <x:c r="GF22" s="12">
        <x:f t="shared" si="19"/>
        <x:v>1</x:v>
      </x:c>
      <x:c r="GG22" s="13"/>
      <x:c r="GH22" s="16"/>
      <x:c r="GI22" s="16"/>
      <x:c r="GJ22" s="16"/>
      <x:c r="GK22" s="16"/>
      <x:c r="GL22" s="16" t="s">
        <x:v>426</x:v>
      </x:c>
      <x:c r="GM22" s="12">
        <x:f t="shared" si="20"/>
        <x:v>1</x:v>
      </x:c>
      <x:c r="GN22" s="13"/>
      <x:c r="GO22" s="16"/>
      <x:c r="GP22" s="16"/>
      <x:c r="GQ22" s="16"/>
      <x:c r="GR22" s="16"/>
      <x:c r="GS22" s="16" t="s">
        <x:v>426</x:v>
      </x:c>
      <x:c r="GT22" s="12">
        <x:f t="shared" si="21"/>
        <x:v>1</x:v>
      </x:c>
      <x:c r="GU22" s="13"/>
      <x:c r="GV22" s="16" t="s">
        <x:v>426</x:v>
      </x:c>
      <x:c r="GW22" s="16"/>
      <x:c r="GX22" s="16"/>
      <x:c r="GY22" s="12">
        <x:f t="shared" si="22"/>
        <x:v>1</x:v>
      </x:c>
      <x:c r="GZ22" s="13" t="s">
        <x:v>426</x:v>
      </x:c>
      <x:c r="HA22" s="16" t="s">
        <x:v>426</x:v>
      </x:c>
      <x:c r="HB22" s="16"/>
      <x:c r="HC22" s="16"/>
      <x:c r="HD22" s="16"/>
      <x:c r="HE22" s="16" t="s">
        <x:v>426</x:v>
      </x:c>
      <x:c r="HF22" s="16"/>
      <x:c r="HG22" s="16"/>
      <x:c r="HH22" s="16"/>
      <x:c r="HI22" s="16"/>
      <x:c r="HJ22" s="16"/>
      <x:c r="HK22" s="17"/>
      <x:c r="HL22" s="12">
        <x:f t="shared" si="23"/>
        <x:v>1</x:v>
      </x:c>
      <x:c r="HM22" s="13"/>
      <x:c r="HN22" s="16" t="s">
        <x:v>426</x:v>
      </x:c>
      <x:c r="HO22" s="16"/>
      <x:c r="HP22" s="16"/>
      <x:c r="HQ22" s="16"/>
      <x:c r="HR22" s="16" t="s">
        <x:v>426</x:v>
      </x:c>
      <x:c r="HS22" s="16" t="s">
        <x:v>426</x:v>
      </x:c>
      <x:c r="HT22" s="16"/>
      <x:c r="HU22" s="16"/>
      <x:c r="HV22" s="17"/>
      <x:c r="HW22" s="12">
        <x:f t="shared" si="24"/>
        <x:v>1</x:v>
      </x:c>
      <x:c r="HX22" s="13"/>
      <x:c r="HY22" s="16" t="s">
        <x:v>426</x:v>
      </x:c>
      <x:c r="HZ22" s="16"/>
      <x:c r="IA22" s="16"/>
      <x:c r="IB22" s="16"/>
      <x:c r="IC22" s="12">
        <x:f t="shared" si="25"/>
        <x:v>1</x:v>
      </x:c>
      <x:c r="ID22" s="13" t="s">
        <x:v>426</x:v>
      </x:c>
      <x:c r="IE22" s="16"/>
      <x:c r="IF22" s="16"/>
      <x:c r="IG22" s="16"/>
      <x:c r="IH22" s="16" t="s">
        <x:v>426</x:v>
      </x:c>
      <x:c r="II22" s="16"/>
      <x:c r="IJ22" s="16"/>
      <x:c r="IK22" s="16" t="s">
        <x:v>426</x:v>
      </x:c>
      <x:c r="IL22" s="16"/>
      <x:c r="IM22" s="16"/>
      <x:c r="IN22" s="17"/>
      <x:c r="IO22" s="12">
        <x:f t="shared" si="26"/>
        <x:v>1</x:v>
      </x:c>
      <x:c r="IP22" s="13" t="s">
        <x:v>426</x:v>
      </x:c>
      <x:c r="IQ22" s="16" t="s">
        <x:v>426</x:v>
      </x:c>
      <x:c r="IR22" s="16"/>
      <x:c r="IS22" s="16" t="s">
        <x:v>426</x:v>
      </x:c>
      <x:c r="IT22" s="16"/>
      <x:c r="IU22" s="16" t="s">
        <x:v>426</x:v>
      </x:c>
      <x:c r="IV22" s="16" t="s">
        <x:v>426</x:v>
      </x:c>
      <x:c r="IW22" s="16"/>
      <x:c r="IX22" s="17"/>
      <x:c r="IY22" s="12">
        <x:f t="shared" si="27"/>
        <x:v>1</x:v>
      </x:c>
      <x:c r="IZ22" s="13"/>
      <x:c r="JA22" s="16"/>
      <x:c r="JB22" s="16"/>
      <x:c r="JC22" s="16"/>
      <x:c r="JD22" s="16"/>
      <x:c r="JE22" s="16"/>
      <x:c r="JF22" s="16"/>
      <x:c r="JG22" s="16"/>
      <x:c r="JH22" s="16"/>
      <x:c r="JI22" s="16"/>
      <x:c r="JJ22" s="16"/>
      <x:c r="JK22" s="16"/>
      <x:c r="JL22" s="16"/>
      <x:c r="JM22" s="16"/>
      <x:c r="JN22" s="16"/>
      <x:c r="JO22" s="16"/>
      <x:c r="JP22" s="16"/>
      <x:c r="JQ22" s="16"/>
      <x:c r="JR22" s="16" t="s">
        <x:v>426</x:v>
      </x:c>
      <x:c r="JS22" s="12">
        <x:f t="shared" si="28"/>
        <x:v>1</x:v>
      </x:c>
      <x:c r="JT22" s="13"/>
      <x:c r="JU22" s="16"/>
      <x:c r="JV22" s="16" t="s">
        <x:v>426</x:v>
      </x:c>
      <x:c r="JW22" s="16"/>
      <x:c r="JX22" s="16" t="s">
        <x:v>426</x:v>
      </x:c>
      <x:c r="JY22" s="16" t="s">
        <x:v>426</x:v>
      </x:c>
      <x:c r="JZ22" s="16" t="s">
        <x:v>426</x:v>
      </x:c>
      <x:c r="KA22" s="16" t="s">
        <x:v>426</x:v>
      </x:c>
      <x:c r="KB22" s="16" t="s">
        <x:v>426</x:v>
      </x:c>
      <x:c r="KC22" s="16" t="s">
        <x:v>426</x:v>
      </x:c>
      <x:c r="KD22" s="16"/>
      <x:c r="KE22" s="16" t="s">
        <x:v>426</x:v>
      </x:c>
      <x:c r="KF22" s="16" t="s">
        <x:v>426</x:v>
      </x:c>
      <x:c r="KG22" s="16" t="s">
        <x:v>426</x:v>
      </x:c>
      <x:c r="KH22" s="16" t="s">
        <x:v>426</x:v>
      </x:c>
      <x:c r="KI22" s="16" t="s">
        <x:v>426</x:v>
      </x:c>
      <x:c r="KJ22" s="16"/>
      <x:c r="KK22" s="16"/>
      <x:c r="KL22" s="16"/>
      <x:c r="KM22" s="12">
        <x:f t="shared" si="29"/>
        <x:v>1</x:v>
      </x:c>
      <x:c r="KN22" s="13"/>
      <x:c r="KO22" s="16"/>
      <x:c r="KP22" s="16"/>
      <x:c r="KQ22" s="16"/>
      <x:c r="KR22" s="16" t="s">
        <x:v>426</x:v>
      </x:c>
      <x:c r="KS22" s="16"/>
      <x:c r="KT22" s="16"/>
      <x:c r="KU22" s="16"/>
      <x:c r="KV22" s="16"/>
      <x:c r="KW22" s="16"/>
      <x:c r="KX22" s="16"/>
      <x:c r="KY22" s="16"/>
      <x:c r="KZ22" s="16"/>
      <x:c r="LA22" s="16" t="s">
        <x:v>426</x:v>
      </x:c>
      <x:c r="LB22" s="16"/>
      <x:c r="LC22" s="16"/>
      <x:c r="LD22" s="16" t="s">
        <x:v>426</x:v>
      </x:c>
      <x:c r="LE22" s="16"/>
      <x:c r="LF22" s="16"/>
      <x:c r="LG22" s="12">
        <x:f t="shared" si="30"/>
        <x:v>1</x:v>
      </x:c>
      <x:c r="LH22" s="13"/>
      <x:c r="LI22" s="16"/>
      <x:c r="LJ22" s="16"/>
      <x:c r="LK22" s="16" t="s">
        <x:v>426</x:v>
      </x:c>
      <x:c r="LL22" s="16" t="s">
        <x:v>426</x:v>
      </x:c>
      <x:c r="LM22" s="16"/>
      <x:c r="LN22" s="16" t="s">
        <x:v>426</x:v>
      </x:c>
      <x:c r="LO22" s="16"/>
      <x:c r="LP22" s="16"/>
      <x:c r="LQ22" s="17"/>
      <x:c r="LR22" s="12">
        <x:f t="shared" si="31"/>
        <x:v>1</x:v>
      </x:c>
      <x:c r="LS22" s="13" t="s">
        <x:v>426</x:v>
      </x:c>
      <x:c r="LT22" s="16" t="s">
        <x:v>426</x:v>
      </x:c>
      <x:c r="LU22" s="16"/>
      <x:c r="LV22" s="16"/>
      <x:c r="LW22" s="16" t="s">
        <x:v>426</x:v>
      </x:c>
      <x:c r="LX22" s="16" t="s">
        <x:v>426</x:v>
      </x:c>
      <x:c r="LY22" s="16" t="s">
        <x:v>426</x:v>
      </x:c>
      <x:c r="LZ22" s="16"/>
      <x:c r="MA22" s="16"/>
      <x:c r="MB22" s="17"/>
      <x:c r="MC22" s="12">
        <x:f t="shared" si="32"/>
        <x:v>1</x:v>
      </x:c>
      <x:c r="MD22" s="13"/>
      <x:c r="ME22" s="16"/>
      <x:c r="MF22" s="16"/>
      <x:c r="MG22" s="16"/>
      <x:c r="MH22" s="16"/>
      <x:c r="MI22" s="16"/>
      <x:c r="MJ22" s="16" t="s">
        <x:v>426</x:v>
      </x:c>
      <x:c r="MK22" s="12">
        <x:f t="shared" si="33"/>
        <x:v>1</x:v>
      </x:c>
      <x:c r="ML22" s="13"/>
      <x:c r="MM22" s="16"/>
      <x:c r="MN22" s="16"/>
      <x:c r="MO22" s="16"/>
      <x:c r="MP22" s="16"/>
      <x:c r="MQ22" s="16"/>
      <x:c r="MR22" s="16"/>
      <x:c r="MS22" s="16"/>
      <x:c r="MT22" s="16" t="s">
        <x:v>426</x:v>
      </x:c>
      <x:c r="MU22" s="17" t="s">
        <x:v>461</x:v>
      </x:c>
      <x:c r="MV22" s="12">
        <x:f t="shared" si="34"/>
        <x:v>1</x:v>
      </x:c>
      <x:c r="MW22" s="13"/>
      <x:c r="MX22" s="16" t="s">
        <x:v>426</x:v>
      </x:c>
      <x:c r="MY22" s="16"/>
      <x:c r="MZ22" s="16"/>
      <x:c r="NA22" s="16"/>
      <x:c r="NB22" s="16"/>
      <x:c r="NC22" s="16"/>
      <x:c r="ND22" s="16"/>
      <x:c r="NE22" s="16"/>
      <x:c r="NF22" s="17"/>
      <x:c r="NG22" s="12">
        <x:f t="shared" si="35"/>
        <x:v>1</x:v>
      </x:c>
      <x:c r="NH22" s="13"/>
      <x:c r="NI22" s="16" t="s">
        <x:v>426</x:v>
      </x:c>
      <x:c r="NJ22" s="16"/>
      <x:c r="NK22" s="16" t="s">
        <x:v>426</x:v>
      </x:c>
      <x:c r="NL22" s="16" t="s">
        <x:v>426</x:v>
      </x:c>
      <x:c r="NM22" s="16"/>
      <x:c r="NN22" s="16"/>
      <x:c r="NO22" s="16"/>
      <x:c r="NP22" s="16"/>
      <x:c r="NQ22" s="16"/>
      <x:c r="NR22" s="17"/>
      <x:c r="NS22" s="12">
        <x:f t="shared" si="36"/>
        <x:v>1</x:v>
      </x:c>
      <x:c r="NT22" s="13" t="s">
        <x:v>426</x:v>
      </x:c>
      <x:c r="NU22" s="16"/>
      <x:c r="NV22" s="16"/>
      <x:c r="NW22" s="16"/>
      <x:c r="NX22" s="16"/>
      <x:c r="NY22" s="12">
        <x:f t="shared" si="37"/>
        <x:v>1</x:v>
      </x:c>
      <x:c r="NZ22" s="13"/>
      <x:c r="OA22" s="16" t="s">
        <x:v>426</x:v>
      </x:c>
      <x:c r="OB22" s="16" t="s">
        <x:v>426</x:v>
      </x:c>
      <x:c r="OC22" s="16"/>
      <x:c r="OD22" s="16"/>
      <x:c r="OE22" s="16" t="s">
        <x:v>426</x:v>
      </x:c>
      <x:c r="OF22" s="16" t="s">
        <x:v>426</x:v>
      </x:c>
      <x:c r="OG22" s="16" t="s">
        <x:v>426</x:v>
      </x:c>
      <x:c r="OH22" s="16"/>
      <x:c r="OI22" s="16"/>
      <x:c r="OJ22" s="16"/>
      <x:c r="OK22" s="17"/>
      <x:c r="OL22" s="12">
        <x:f t="shared" si="38"/>
        <x:v>1</x:v>
      </x:c>
      <x:c r="OM22" s="13" t="s">
        <x:v>426</x:v>
      </x:c>
      <x:c r="ON22" s="16"/>
      <x:c r="OO22" s="16"/>
      <x:c r="OP22" s="16"/>
      <x:c r="OQ22" s="16"/>
      <x:c r="OR22" s="16" t="s">
        <x:v>426</x:v>
      </x:c>
      <x:c r="OS22" s="16" t="s">
        <x:v>426</x:v>
      </x:c>
      <x:c r="OT22" s="16"/>
      <x:c r="OU22" s="16"/>
      <x:c r="OV22" s="17"/>
      <x:c r="OW22" s="12">
        <x:f t="shared" si="39"/>
        <x:v>1</x:v>
      </x:c>
      <x:c r="OX22" s="13"/>
      <x:c r="OY22" s="16"/>
      <x:c r="OZ22" s="16" t="s">
        <x:v>426</x:v>
      </x:c>
      <x:c r="PA22" s="16"/>
      <x:c r="PB22" s="16"/>
      <x:c r="PC22" s="12">
        <x:f t="shared" si="40"/>
        <x:v>1</x:v>
      </x:c>
      <x:c r="PD22" s="13" t="s">
        <x:v>426</x:v>
      </x:c>
      <x:c r="PE22" s="16" t="s">
        <x:v>426</x:v>
      </x:c>
      <x:c r="PF22" s="16" t="s">
        <x:v>426</x:v>
      </x:c>
      <x:c r="PG22" s="16"/>
      <x:c r="PH22" s="16"/>
      <x:c r="PI22" s="16"/>
      <x:c r="PJ22" s="16" t="s">
        <x:v>426</x:v>
      </x:c>
      <x:c r="PK22" s="16"/>
      <x:c r="PL22" s="16"/>
      <x:c r="PM22" s="16"/>
      <x:c r="PN22" s="17"/>
      <x:c r="PO22" s="12">
        <x:f t="shared" si="41"/>
        <x:v>1</x:v>
      </x:c>
      <x:c r="PP22" s="13"/>
      <x:c r="PQ22" s="16" t="s">
        <x:v>426</x:v>
      </x:c>
      <x:c r="PR22" s="16"/>
      <x:c r="PS22" s="16"/>
      <x:c r="PT22" s="12">
        <x:f t="shared" si="42"/>
        <x:v>1</x:v>
      </x:c>
      <x:c r="PU22" s="13" t="s">
        <x:v>426</x:v>
      </x:c>
      <x:c r="PV22" s="16" t="s">
        <x:v>426</x:v>
      </x:c>
      <x:c r="PW22" s="16"/>
      <x:c r="PX22" s="16"/>
      <x:c r="PY22" s="16"/>
      <x:c r="PZ22" s="16" t="s">
        <x:v>426</x:v>
      </x:c>
      <x:c r="QA22" s="16"/>
      <x:c r="QB22" s="16"/>
      <x:c r="QC22" s="16"/>
      <x:c r="QD22" s="17"/>
      <x:c r="QE22" s="12">
        <x:f t="shared" si="43"/>
        <x:v>1</x:v>
      </x:c>
      <x:c r="QF22" s="13"/>
      <x:c r="QG22" s="16"/>
      <x:c r="QH22" s="16" t="s">
        <x:v>426</x:v>
      </x:c>
      <x:c r="QI22" s="16" t="s">
        <x:v>426</x:v>
      </x:c>
      <x:c r="QJ22" s="16" t="s">
        <x:v>426</x:v>
      </x:c>
      <x:c r="QK22" s="16"/>
      <x:c r="QL22" s="16" t="s">
        <x:v>426</x:v>
      </x:c>
      <x:c r="QM22" s="16"/>
      <x:c r="QN22" s="16"/>
      <x:c r="QO22" s="17"/>
      <x:c r="QP22" s="12">
        <x:f t="shared" si="44"/>
        <x:v>1</x:v>
      </x:c>
      <x:c r="QQ22" s="13" t="s">
        <x:v>426</x:v>
      </x:c>
      <x:c r="QR22" s="16" t="s">
        <x:v>426</x:v>
      </x:c>
      <x:c r="QS22" s="16" t="s">
        <x:v>426</x:v>
      </x:c>
      <x:c r="QT22" s="16"/>
      <x:c r="QU22" s="16" t="s">
        <x:v>426</x:v>
      </x:c>
      <x:c r="QV22" s="16" t="s">
        <x:v>426</x:v>
      </x:c>
      <x:c r="QW22" s="16"/>
      <x:c r="QX22" s="16"/>
      <x:c r="QY22" s="16"/>
      <x:c r="QZ22" s="17"/>
      <x:c r="RA22" s="12">
        <x:f t="shared" si="45"/>
        <x:v>1</x:v>
      </x:c>
      <x:c r="RB22" s="13" t="s">
        <x:v>426</x:v>
      </x:c>
      <x:c r="RC22" s="16" t="s">
        <x:v>426</x:v>
      </x:c>
      <x:c r="RD22" s="16"/>
      <x:c r="RE22" s="16" t="s">
        <x:v>426</x:v>
      </x:c>
      <x:c r="RF22" s="16" t="s">
        <x:v>426</x:v>
      </x:c>
      <x:c r="RG22" s="16" t="s">
        <x:v>426</x:v>
      </x:c>
      <x:c r="RH22" s="16"/>
      <x:c r="RI22" s="16"/>
      <x:c r="RJ22" s="17"/>
      <x:c r="RK22" s="12">
        <x:f t="shared" si="46"/>
        <x:v>1</x:v>
      </x:c>
      <x:c r="RL22" s="13" t="s">
        <x:v>426</x:v>
      </x:c>
      <x:c r="RM22" s="16" t="s">
        <x:v>426</x:v>
      </x:c>
      <x:c r="RN22" s="16"/>
      <x:c r="RO22" s="16"/>
      <x:c r="RP22" s="16" t="s">
        <x:v>426</x:v>
      </x:c>
      <x:c r="RQ22" s="16"/>
      <x:c r="RR22" s="16"/>
      <x:c r="RS22" s="16"/>
      <x:c r="RT22" s="16"/>
      <x:c r="RU22" s="17"/>
      <x:c r="RV22" s="12">
        <x:f t="shared" si="47"/>
        <x:v>1</x:v>
      </x:c>
      <x:c r="RW22" s="13" t="s">
        <x:v>462</x:v>
      </x:c>
      <x:c r="RX22" s="12">
        <x:f t="shared" si="48"/>
        <x:v>1</x:v>
      </x:c>
    </x:row>
    <x:row r="23" ht="16.5">
      <x:c r="A23" s="7" t="s">
        <x:v>463</x:v>
      </x:c>
      <x:c r="B23" s="8"/>
      <x:c r="C23" s="8"/>
      <x:c r="D23" s="8"/>
      <x:c r="E23" s="8"/>
      <x:c r="F23" s="8"/>
      <x:c r="G23" s="8"/>
      <x:c r="H23" s="8"/>
      <x:c r="I23" s="8"/>
      <x:c r="J23" s="8"/>
      <x:c r="K23" s="9"/>
      <x:c r="L23" s="7"/>
      <x:c r="M23" s="10" t="s">
        <x:v>426</x:v>
      </x:c>
      <x:c r="N23" s="10"/>
      <x:c r="O23" s="10"/>
      <x:c r="P23" s="11"/>
      <x:c r="Q23" s="12">
        <x:f t="shared" si="0"/>
        <x:v>1</x:v>
      </x:c>
      <x:c r="R23" s="7"/>
      <x:c r="S23" s="10"/>
      <x:c r="T23" s="10"/>
      <x:c r="U23" s="10" t="s">
        <x:v>426</x:v>
      </x:c>
      <x:c r="V23" s="10"/>
      <x:c r="W23" s="11"/>
      <x:c r="X23" s="12">
        <x:f t="shared" si="1"/>
        <x:v>1</x:v>
      </x:c>
      <x:c r="Y23" s="7"/>
      <x:c r="Z23" s="10" t="s">
        <x:v>426</x:v>
      </x:c>
      <x:c r="AA23" s="10"/>
      <x:c r="AB23" s="10"/>
      <x:c r="AC23" s="10"/>
      <x:c r="AD23" s="12">
        <x:f t="shared" si="2"/>
        <x:v>1</x:v>
      </x:c>
      <x:c r="AE23" s="7" t="s">
        <x:v>426</x:v>
      </x:c>
      <x:c r="AF23" s="10"/>
      <x:c r="AG23" s="10"/>
      <x:c r="AH23" s="10"/>
      <x:c r="AI23" s="10"/>
      <x:c r="AJ23" s="11"/>
      <x:c r="AK23" s="12">
        <x:f t="shared" si="3"/>
        <x:v>1</x:v>
      </x:c>
      <x:c r="AL23" s="7" t="s">
        <x:v>426</x:v>
      </x:c>
      <x:c r="AM23" s="10"/>
      <x:c r="AN23" s="10"/>
      <x:c r="AO23" s="12">
        <x:f t="shared" si="4"/>
        <x:v>1</x:v>
      </x:c>
      <x:c r="AP23" s="7" t="s">
        <x:v>426</x:v>
      </x:c>
      <x:c r="AQ23" s="10"/>
      <x:c r="AR23" s="10"/>
      <x:c r="AS23" s="10" t="s">
        <x:v>426</x:v>
      </x:c>
      <x:c r="AT23" s="10"/>
      <x:c r="AU23" s="10"/>
      <x:c r="AV23" s="10"/>
      <x:c r="AW23" s="11"/>
      <x:c r="AX23" s="12">
        <x:f t="shared" si="5"/>
        <x:v>1</x:v>
      </x:c>
      <x:c r="AY23" s="7"/>
      <x:c r="AZ23" s="10"/>
      <x:c r="BA23" s="10"/>
      <x:c r="BB23" s="10"/>
      <x:c r="BC23" s="10"/>
      <x:c r="BD23" s="10"/>
      <x:c r="BE23" s="10"/>
      <x:c r="BF23" s="10" t="s">
        <x:v>426</x:v>
      </x:c>
      <x:c r="BG23" s="11" t="s">
        <x:v>464</x:v>
      </x:c>
      <x:c r="BH23" s="12">
        <x:f t="shared" si="6"/>
        <x:v>1</x:v>
      </x:c>
      <x:c r="BI23" s="7" t="s">
        <x:v>426</x:v>
      </x:c>
      <x:c r="BJ23" s="10"/>
      <x:c r="BK23" s="10"/>
      <x:c r="BL23" s="10"/>
      <x:c r="BM23" s="10"/>
      <x:c r="BN23" s="10"/>
      <x:c r="BO23" s="10"/>
      <x:c r="BP23" s="11"/>
      <x:c r="BQ23" s="12">
        <x:f t="shared" si="7"/>
        <x:v>1</x:v>
      </x:c>
      <x:c r="BR23" s="7"/>
      <x:c r="BS23" s="10"/>
      <x:c r="BT23" s="10" t="s">
        <x:v>426</x:v>
      </x:c>
      <x:c r="BU23" s="10"/>
      <x:c r="BV23" s="10"/>
      <x:c r="BW23" s="10" t="s">
        <x:v>426</x:v>
      </x:c>
      <x:c r="BX23" s="10"/>
      <x:c r="BY23" s="11"/>
      <x:c r="BZ23" s="12">
        <x:f t="shared" si="8"/>
        <x:v>1</x:v>
      </x:c>
      <x:c r="CA23" s="7"/>
      <x:c r="CB23" s="10" t="s">
        <x:v>426</x:v>
      </x:c>
      <x:c r="CC23" s="10"/>
      <x:c r="CD23" s="10"/>
      <x:c r="CE23" s="10"/>
      <x:c r="CF23" s="10"/>
      <x:c r="CG23" s="10"/>
      <x:c r="CH23" s="10" t="s">
        <x:v>426</x:v>
      </x:c>
      <x:c r="CI23" s="10"/>
      <x:c r="CJ23" s="10"/>
      <x:c r="CK23" s="11"/>
      <x:c r="CL23" s="12">
        <x:f t="shared" si="9"/>
        <x:v>1</x:v>
      </x:c>
      <x:c r="CM23" s="7"/>
      <x:c r="CN23" s="10"/>
      <x:c r="CO23" s="10"/>
      <x:c r="CP23" s="10"/>
      <x:c r="CQ23" s="10"/>
      <x:c r="CR23" s="10"/>
      <x:c r="CS23" s="10"/>
      <x:c r="CT23" s="10"/>
      <x:c r="CU23" s="10"/>
      <x:c r="CV23" s="10"/>
      <x:c r="CW23" s="10"/>
      <x:c r="CX23" s="10"/>
      <x:c r="CY23" s="10"/>
      <x:c r="CZ23" s="10" t="s">
        <x:v>426</x:v>
      </x:c>
      <x:c r="DA23" s="11"/>
      <x:c r="DB23" s="12">
        <x:f t="shared" si="10"/>
        <x:v>1</x:v>
      </x:c>
      <x:c r="DC23" s="7" t="s">
        <x:v>465</x:v>
      </x:c>
      <x:c r="DD23" s="12">
        <x:f t="shared" si="11"/>
        <x:v>1</x:v>
      </x:c>
      <x:c r="DE23" s="7"/>
      <x:c r="DF23" s="10"/>
      <x:c r="DG23" s="10"/>
      <x:c r="DH23" s="10"/>
      <x:c r="DI23" s="10"/>
      <x:c r="DJ23" s="10"/>
      <x:c r="DK23" s="10" t="s">
        <x:v>426</x:v>
      </x:c>
      <x:c r="DL23" s="10"/>
      <x:c r="DM23" s="11"/>
      <x:c r="DN23" s="12">
        <x:f t="shared" si="12"/>
        <x:v>1</x:v>
      </x:c>
      <x:c r="DO23" s="7" t="s">
        <x:v>426</x:v>
      </x:c>
      <x:c r="DP23" s="10"/>
      <x:c r="DQ23" s="10"/>
      <x:c r="DR23" s="10"/>
      <x:c r="DS23" s="10"/>
      <x:c r="DT23" s="12">
        <x:f t="shared" si="13"/>
        <x:v>1</x:v>
      </x:c>
      <x:c r="DU23" s="7"/>
      <x:c r="DV23" s="10" t="s">
        <x:v>426</x:v>
      </x:c>
      <x:c r="DW23" s="10"/>
      <x:c r="DX23" s="10"/>
      <x:c r="DY23" s="10"/>
      <x:c r="DZ23" s="10"/>
      <x:c r="EA23" s="10"/>
      <x:c r="EB23" s="10" t="s">
        <x:v>426</x:v>
      </x:c>
      <x:c r="EC23" s="10"/>
      <x:c r="ED23" s="11"/>
      <x:c r="EE23" s="12">
        <x:f t="shared" si="14"/>
        <x:v>1</x:v>
      </x:c>
      <x:c r="EF23" s="7"/>
      <x:c r="EG23" s="10" t="s">
        <x:v>426</x:v>
      </x:c>
      <x:c r="EH23" s="10"/>
      <x:c r="EI23" s="10"/>
      <x:c r="EJ23" s="10"/>
      <x:c r="EK23" s="10"/>
      <x:c r="EL23" s="10"/>
      <x:c r="EM23" s="10"/>
      <x:c r="EN23" s="10"/>
      <x:c r="EO23" s="10"/>
      <x:c r="EP23" s="11"/>
      <x:c r="EQ23" s="12">
        <x:f t="shared" si="15"/>
        <x:v>1</x:v>
      </x:c>
      <x:c r="ER23" s="7" t="s">
        <x:v>426</x:v>
      </x:c>
      <x:c r="ES23" s="10"/>
      <x:c r="ET23" s="10"/>
      <x:c r="EU23" s="10"/>
      <x:c r="EV23" s="12">
        <x:f t="shared" si="16"/>
        <x:v>1</x:v>
      </x:c>
      <x:c r="EW23" s="7"/>
      <x:c r="EX23" s="10"/>
      <x:c r="EY23" s="10" t="s">
        <x:v>426</x:v>
      </x:c>
      <x:c r="EZ23" s="10"/>
      <x:c r="FA23" s="10"/>
      <x:c r="FB23" s="10"/>
      <x:c r="FC23" s="10"/>
      <x:c r="FD23" s="10"/>
      <x:c r="FE23" s="11"/>
      <x:c r="FF23" s="12">
        <x:f t="shared" si="17"/>
        <x:v>1</x:v>
      </x:c>
      <x:c r="FG23" s="7" t="s">
        <x:v>426</x:v>
      </x:c>
      <x:c r="FH23" s="10"/>
      <x:c r="FI23" s="10"/>
      <x:c r="FJ23" s="10"/>
      <x:c r="FK23" s="10"/>
      <x:c r="FL23" s="10"/>
      <x:c r="FM23" s="10"/>
      <x:c r="FN23" s="10"/>
      <x:c r="FO23" s="10"/>
      <x:c r="FP23" s="10"/>
      <x:c r="FQ23" s="10"/>
      <x:c r="FR23" s="10"/>
      <x:c r="FS23" s="10"/>
      <x:c r="FT23" s="10"/>
      <x:c r="FU23" s="11"/>
      <x:c r="FV23" s="12">
        <x:f t="shared" si="18"/>
        <x:v>1</x:v>
      </x:c>
      <x:c r="FW23" s="7"/>
      <x:c r="FX23" s="10"/>
      <x:c r="FY23" s="10"/>
      <x:c r="FZ23" s="10"/>
      <x:c r="GA23" s="10"/>
      <x:c r="GB23" s="10"/>
      <x:c r="GC23" s="10" t="s">
        <x:v>426</x:v>
      </x:c>
      <x:c r="GD23" s="10"/>
      <x:c r="GE23" s="11"/>
      <x:c r="GF23" s="12">
        <x:f t="shared" si="19"/>
        <x:v>1</x:v>
      </x:c>
      <x:c r="GG23" s="7"/>
      <x:c r="GH23" s="10"/>
      <x:c r="GI23" s="10" t="s">
        <x:v>426</x:v>
      </x:c>
      <x:c r="GJ23" s="10"/>
      <x:c r="GK23" s="10"/>
      <x:c r="GL23" s="10"/>
      <x:c r="GM23" s="12">
        <x:f t="shared" si="20"/>
        <x:v>1</x:v>
      </x:c>
      <x:c r="GN23" s="7"/>
      <x:c r="GO23" s="10"/>
      <x:c r="GP23" s="10" t="s">
        <x:v>426</x:v>
      </x:c>
      <x:c r="GQ23" s="10"/>
      <x:c r="GR23" s="10"/>
      <x:c r="GS23" s="10"/>
      <x:c r="GT23" s="12">
        <x:f t="shared" si="21"/>
        <x:v>1</x:v>
      </x:c>
      <x:c r="GU23" s="7"/>
      <x:c r="GV23" s="10"/>
      <x:c r="GW23" s="10"/>
      <x:c r="GX23" s="10" t="s">
        <x:v>426</x:v>
      </x:c>
      <x:c r="GY23" s="12">
        <x:f t="shared" si="22"/>
        <x:v>1</x:v>
      </x:c>
      <x:c r="GZ23" s="7"/>
      <x:c r="HA23" s="10"/>
      <x:c r="HB23" s="10"/>
      <x:c r="HC23" s="10" t="s">
        <x:v>426</x:v>
      </x:c>
      <x:c r="HD23" s="10"/>
      <x:c r="HE23" s="10"/>
      <x:c r="HF23" s="10"/>
      <x:c r="HG23" s="10"/>
      <x:c r="HH23" s="10"/>
      <x:c r="HI23" s="10"/>
      <x:c r="HJ23" s="10"/>
      <x:c r="HK23" s="11"/>
      <x:c r="HL23" s="12">
        <x:f t="shared" si="23"/>
        <x:v>1</x:v>
      </x:c>
      <x:c r="HM23" s="7"/>
      <x:c r="HN23" s="10"/>
      <x:c r="HO23" s="10"/>
      <x:c r="HP23" s="10"/>
      <x:c r="HQ23" s="10"/>
      <x:c r="HR23" s="10"/>
      <x:c r="HS23" s="10"/>
      <x:c r="HT23" s="10"/>
      <x:c r="HU23" s="10"/>
      <x:c r="HV23" s="11"/>
      <x:c r="HW23" s="12">
        <x:f t="shared" si="24"/>
        <x:v>0</x:v>
      </x:c>
      <x:c r="HX23" s="7"/>
      <x:c r="HY23" s="10" t="s">
        <x:v>426</x:v>
      </x:c>
      <x:c r="HZ23" s="10"/>
      <x:c r="IA23" s="10"/>
      <x:c r="IB23" s="10"/>
      <x:c r="IC23" s="12">
        <x:f t="shared" si="25"/>
        <x:v>1</x:v>
      </x:c>
      <x:c r="ID23" s="7"/>
      <x:c r="IE23" s="10"/>
      <x:c r="IF23" s="10" t="s">
        <x:v>426</x:v>
      </x:c>
      <x:c r="IG23" s="10"/>
      <x:c r="IH23" s="10"/>
      <x:c r="II23" s="10"/>
      <x:c r="IJ23" s="10"/>
      <x:c r="IK23" s="10"/>
      <x:c r="IL23" s="10"/>
      <x:c r="IM23" s="10"/>
      <x:c r="IN23" s="11"/>
      <x:c r="IO23" s="12">
        <x:f t="shared" si="26"/>
        <x:v>1</x:v>
      </x:c>
      <x:c r="IP23" s="7" t="s">
        <x:v>426</x:v>
      </x:c>
      <x:c r="IQ23" s="10" t="s">
        <x:v>426</x:v>
      </x:c>
      <x:c r="IR23" s="10"/>
      <x:c r="IS23" s="10"/>
      <x:c r="IT23" s="10"/>
      <x:c r="IU23" s="10" t="s">
        <x:v>426</x:v>
      </x:c>
      <x:c r="IV23" s="10"/>
      <x:c r="IW23" s="10"/>
      <x:c r="IX23" s="11"/>
      <x:c r="IY23" s="12">
        <x:f t="shared" si="27"/>
        <x:v>1</x:v>
      </x:c>
      <x:c r="IZ23" s="7"/>
      <x:c r="JA23" s="10"/>
      <x:c r="JB23" s="10"/>
      <x:c r="JC23" s="10"/>
      <x:c r="JD23" s="10"/>
      <x:c r="JE23" s="10"/>
      <x:c r="JF23" s="10"/>
      <x:c r="JG23" s="10" t="s">
        <x:v>426</x:v>
      </x:c>
      <x:c r="JH23" s="10"/>
      <x:c r="JI23" s="10"/>
      <x:c r="JJ23" s="10" t="s">
        <x:v>426</x:v>
      </x:c>
      <x:c r="JK23" s="10"/>
      <x:c r="JL23" s="10"/>
      <x:c r="JM23" s="10" t="s">
        <x:v>426</x:v>
      </x:c>
      <x:c r="JN23" s="10"/>
      <x:c r="JO23" s="10"/>
      <x:c r="JP23" s="10"/>
      <x:c r="JQ23" s="10"/>
      <x:c r="JR23" s="10"/>
      <x:c r="JS23" s="12">
        <x:f t="shared" si="28"/>
        <x:v>1</x:v>
      </x:c>
      <x:c r="JT23" s="7"/>
      <x:c r="JU23" s="10" t="s">
        <x:v>426</x:v>
      </x:c>
      <x:c r="JV23" s="10" t="s">
        <x:v>426</x:v>
      </x:c>
      <x:c r="JW23" s="10"/>
      <x:c r="JX23" s="10"/>
      <x:c r="JY23" s="10" t="s">
        <x:v>426</x:v>
      </x:c>
      <x:c r="JZ23" s="10"/>
      <x:c r="KA23" s="10"/>
      <x:c r="KB23" s="10" t="s">
        <x:v>426</x:v>
      </x:c>
      <x:c r="KC23" s="10" t="s">
        <x:v>426</x:v>
      </x:c>
      <x:c r="KD23" s="10"/>
      <x:c r="KE23" s="10"/>
      <x:c r="KF23" s="10"/>
      <x:c r="KG23" s="10"/>
      <x:c r="KH23" s="10" t="s">
        <x:v>426</x:v>
      </x:c>
      <x:c r="KI23" s="10"/>
      <x:c r="KJ23" s="10"/>
      <x:c r="KK23" s="10"/>
      <x:c r="KL23" s="10"/>
      <x:c r="KM23" s="12">
        <x:f t="shared" si="29"/>
        <x:v>1</x:v>
      </x:c>
      <x:c r="KN23" s="7"/>
      <x:c r="KO23" s="10"/>
      <x:c r="KP23" s="10"/>
      <x:c r="KQ23" s="10"/>
      <x:c r="KR23" s="10"/>
      <x:c r="KS23" s="10"/>
      <x:c r="KT23" s="10"/>
      <x:c r="KU23" s="10" t="s">
        <x:v>426</x:v>
      </x:c>
      <x:c r="KV23" s="10"/>
      <x:c r="KW23" s="10"/>
      <x:c r="KX23" s="10" t="s">
        <x:v>426</x:v>
      </x:c>
      <x:c r="KY23" s="10" t="s">
        <x:v>426</x:v>
      </x:c>
      <x:c r="KZ23" s="10" t="s">
        <x:v>426</x:v>
      </x:c>
      <x:c r="LA23" s="10" t="s">
        <x:v>426</x:v>
      </x:c>
      <x:c r="LB23" s="10"/>
      <x:c r="LC23" s="10"/>
      <x:c r="LD23" s="10"/>
      <x:c r="LE23" s="10"/>
      <x:c r="LF23" s="10"/>
      <x:c r="LG23" s="12">
        <x:f t="shared" si="30"/>
        <x:v>1</x:v>
      </x:c>
      <x:c r="LH23" s="7"/>
      <x:c r="LI23" s="10"/>
      <x:c r="LJ23" s="10"/>
      <x:c r="LK23" s="10"/>
      <x:c r="LL23" s="10"/>
      <x:c r="LM23" s="10"/>
      <x:c r="LN23" s="10"/>
      <x:c r="LO23" s="10"/>
      <x:c r="LP23" s="10"/>
      <x:c r="LQ23" s="11"/>
      <x:c r="LR23" s="12">
        <x:f t="shared" si="31"/>
        <x:v>0</x:v>
      </x:c>
      <x:c r="LS23" s="7"/>
      <x:c r="LT23" s="10" t="s">
        <x:v>426</x:v>
      </x:c>
      <x:c r="LU23" s="10" t="s">
        <x:v>426</x:v>
      </x:c>
      <x:c r="LV23" s="10"/>
      <x:c r="LW23" s="10"/>
      <x:c r="LX23" s="10"/>
      <x:c r="LY23" s="10"/>
      <x:c r="LZ23" s="10"/>
      <x:c r="MA23" s="10"/>
      <x:c r="MB23" s="11"/>
      <x:c r="MC23" s="12">
        <x:f t="shared" si="32"/>
        <x:v>1</x:v>
      </x:c>
      <x:c r="MD23" s="7" t="s">
        <x:v>426</x:v>
      </x:c>
      <x:c r="ME23" s="10"/>
      <x:c r="MF23" s="10"/>
      <x:c r="MG23" s="10"/>
      <x:c r="MH23" s="10"/>
      <x:c r="MI23" s="10"/>
      <x:c r="MJ23" s="10"/>
      <x:c r="MK23" s="12">
        <x:f t="shared" si="33"/>
        <x:v>1</x:v>
      </x:c>
      <x:c r="ML23" s="7"/>
      <x:c r="MM23" s="10"/>
      <x:c r="MN23" s="10"/>
      <x:c r="MO23" s="10" t="s">
        <x:v>426</x:v>
      </x:c>
      <x:c r="MP23" s="10"/>
      <x:c r="MQ23" s="10"/>
      <x:c r="MR23" s="10"/>
      <x:c r="MS23" s="10"/>
      <x:c r="MT23" s="10"/>
      <x:c r="MU23" s="11"/>
      <x:c r="MV23" s="12">
        <x:f t="shared" si="34"/>
        <x:v>1</x:v>
      </x:c>
      <x:c r="MW23" s="7"/>
      <x:c r="MX23" s="10"/>
      <x:c r="MY23" s="10"/>
      <x:c r="MZ23" s="10"/>
      <x:c r="NA23" s="10"/>
      <x:c r="NB23" s="10"/>
      <x:c r="NC23" s="10" t="s">
        <x:v>426</x:v>
      </x:c>
      <x:c r="ND23" s="10"/>
      <x:c r="NE23" s="10"/>
      <x:c r="NF23" s="11"/>
      <x:c r="NG23" s="12">
        <x:f t="shared" si="35"/>
        <x:v>1</x:v>
      </x:c>
      <x:c r="NH23" s="7"/>
      <x:c r="NI23" s="10"/>
      <x:c r="NJ23" s="10" t="s">
        <x:v>426</x:v>
      </x:c>
      <x:c r="NK23" s="10"/>
      <x:c r="NL23" s="10" t="s">
        <x:v>426</x:v>
      </x:c>
      <x:c r="NM23" s="10"/>
      <x:c r="NN23" s="10"/>
      <x:c r="NO23" s="10"/>
      <x:c r="NP23" s="10"/>
      <x:c r="NQ23" s="10"/>
      <x:c r="NR23" s="11"/>
      <x:c r="NS23" s="12">
        <x:f t="shared" si="36"/>
        <x:v>1</x:v>
      </x:c>
      <x:c r="NT23" s="7"/>
      <x:c r="NU23" s="10"/>
      <x:c r="NV23" s="10"/>
      <x:c r="NW23" s="10"/>
      <x:c r="NX23" s="10" t="s">
        <x:v>426</x:v>
      </x:c>
      <x:c r="NY23" s="12">
        <x:f t="shared" si="37"/>
        <x:v>1</x:v>
      </x:c>
      <x:c r="NZ23" s="7"/>
      <x:c r="OA23" s="10"/>
      <x:c r="OB23" s="10"/>
      <x:c r="OC23" s="10"/>
      <x:c r="OD23" s="10"/>
      <x:c r="OE23" s="10"/>
      <x:c r="OF23" s="10"/>
      <x:c r="OG23" s="10" t="s">
        <x:v>426</x:v>
      </x:c>
      <x:c r="OH23" s="10"/>
      <x:c r="OI23" s="10"/>
      <x:c r="OJ23" s="10"/>
      <x:c r="OK23" s="11"/>
      <x:c r="OL23" s="12">
        <x:f t="shared" si="38"/>
        <x:v>1</x:v>
      </x:c>
      <x:c r="OM23" s="7"/>
      <x:c r="ON23" s="10"/>
      <x:c r="OO23" s="10"/>
      <x:c r="OP23" s="10"/>
      <x:c r="OQ23" s="10" t="s">
        <x:v>426</x:v>
      </x:c>
      <x:c r="OR23" s="10"/>
      <x:c r="OS23" s="10"/>
      <x:c r="OT23" s="10"/>
      <x:c r="OU23" s="10"/>
      <x:c r="OV23" s="11"/>
      <x:c r="OW23" s="12">
        <x:f t="shared" si="39"/>
        <x:v>1</x:v>
      </x:c>
      <x:c r="OX23" s="7"/>
      <x:c r="OY23" s="10"/>
      <x:c r="OZ23" s="10" t="s">
        <x:v>426</x:v>
      </x:c>
      <x:c r="PA23" s="10"/>
      <x:c r="PB23" s="10"/>
      <x:c r="PC23" s="12">
        <x:f t="shared" si="40"/>
        <x:v>1</x:v>
      </x:c>
      <x:c r="PD23" s="7" t="s">
        <x:v>426</x:v>
      </x:c>
      <x:c r="PE23" s="10" t="s">
        <x:v>426</x:v>
      </x:c>
      <x:c r="PF23" s="10" t="s">
        <x:v>426</x:v>
      </x:c>
      <x:c r="PG23" s="10"/>
      <x:c r="PH23" s="10" t="s">
        <x:v>426</x:v>
      </x:c>
      <x:c r="PI23" s="10"/>
      <x:c r="PJ23" s="10" t="s">
        <x:v>426</x:v>
      </x:c>
      <x:c r="PK23" s="10"/>
      <x:c r="PL23" s="10"/>
      <x:c r="PM23" s="10"/>
      <x:c r="PN23" s="11"/>
      <x:c r="PO23" s="12">
        <x:f t="shared" si="41"/>
        <x:v>1</x:v>
      </x:c>
      <x:c r="PP23" s="7"/>
      <x:c r="PQ23" s="10" t="s">
        <x:v>426</x:v>
      </x:c>
      <x:c r="PR23" s="10"/>
      <x:c r="PS23" s="10"/>
      <x:c r="PT23" s="12">
        <x:f t="shared" si="42"/>
        <x:v>1</x:v>
      </x:c>
      <x:c r="PU23" s="7" t="s">
        <x:v>426</x:v>
      </x:c>
      <x:c r="PV23" s="10"/>
      <x:c r="PW23" s="10"/>
      <x:c r="PX23" s="10"/>
      <x:c r="PY23" s="10"/>
      <x:c r="PZ23" s="10"/>
      <x:c r="QA23" s="10"/>
      <x:c r="QB23" s="10"/>
      <x:c r="QC23" s="10"/>
      <x:c r="QD23" s="11"/>
      <x:c r="QE23" s="12">
        <x:f t="shared" si="43"/>
        <x:v>1</x:v>
      </x:c>
      <x:c r="QF23" s="7"/>
      <x:c r="QG23" s="10"/>
      <x:c r="QH23" s="10" t="s">
        <x:v>426</x:v>
      </x:c>
      <x:c r="QI23" s="10"/>
      <x:c r="QJ23" s="10" t="s">
        <x:v>426</x:v>
      </x:c>
      <x:c r="QK23" s="10" t="s">
        <x:v>426</x:v>
      </x:c>
      <x:c r="QL23" s="10" t="s">
        <x:v>426</x:v>
      </x:c>
      <x:c r="QM23" s="10"/>
      <x:c r="QN23" s="10"/>
      <x:c r="QO23" s="11"/>
      <x:c r="QP23" s="12">
        <x:f t="shared" si="44"/>
        <x:v>1</x:v>
      </x:c>
      <x:c r="QQ23" s="7"/>
      <x:c r="QR23" s="10"/>
      <x:c r="QS23" s="10"/>
      <x:c r="QT23" s="10"/>
      <x:c r="QU23" s="10"/>
      <x:c r="QV23" s="10"/>
      <x:c r="QW23" s="10"/>
      <x:c r="QX23" s="10"/>
      <x:c r="QY23" s="10"/>
      <x:c r="QZ23" s="11"/>
      <x:c r="RA23" s="12">
        <x:f t="shared" si="45"/>
        <x:v>0</x:v>
      </x:c>
      <x:c r="RB23" s="7" t="s">
        <x:v>426</x:v>
      </x:c>
      <x:c r="RC23" s="10"/>
      <x:c r="RD23" s="10" t="s">
        <x:v>426</x:v>
      </x:c>
      <x:c r="RE23" s="10"/>
      <x:c r="RF23" s="10" t="s">
        <x:v>426</x:v>
      </x:c>
      <x:c r="RG23" s="10"/>
      <x:c r="RH23" s="10"/>
      <x:c r="RI23" s="10"/>
      <x:c r="RJ23" s="11"/>
      <x:c r="RK23" s="12">
        <x:f t="shared" si="46"/>
        <x:v>1</x:v>
      </x:c>
      <x:c r="RL23" s="7"/>
      <x:c r="RM23" s="10"/>
      <x:c r="RN23" s="10"/>
      <x:c r="RO23" s="10"/>
      <x:c r="RP23" s="10"/>
      <x:c r="RQ23" s="10"/>
      <x:c r="RR23" s="10" t="s">
        <x:v>426</x:v>
      </x:c>
      <x:c r="RS23" s="10" t="s">
        <x:v>426</x:v>
      </x:c>
      <x:c r="RT23" s="10"/>
      <x:c r="RU23" s="11"/>
      <x:c r="RV23" s="12">
        <x:f t="shared" si="47"/>
        <x:v>1</x:v>
      </x:c>
      <x:c r="RW23" s="7"/>
      <x:c r="RX23" s="12">
        <x:f t="shared" si="48"/>
        <x:v>0</x:v>
      </x:c>
    </x:row>
    <x:row r="24" ht="16.5">
      <x:c r="A24" s="13" t="s">
        <x:v>466</x:v>
      </x:c>
      <x:c r="B24" s="14"/>
      <x:c r="C24" s="14"/>
      <x:c r="D24" s="14"/>
      <x:c r="E24" s="14"/>
      <x:c r="F24" s="14"/>
      <x:c r="G24" s="14"/>
      <x:c r="H24" s="14"/>
      <x:c r="I24" s="14"/>
      <x:c r="J24" s="14"/>
      <x:c r="K24" s="15"/>
      <x:c r="L24" s="13" t="s">
        <x:v>426</x:v>
      </x:c>
      <x:c r="M24" s="16"/>
      <x:c r="N24" s="16"/>
      <x:c r="O24" s="16"/>
      <x:c r="P24" s="17"/>
      <x:c r="Q24" s="12">
        <x:f t="shared" si="0"/>
        <x:v>1</x:v>
      </x:c>
      <x:c r="R24" s="13" t="s">
        <x:v>426</x:v>
      </x:c>
      <x:c r="S24" s="16"/>
      <x:c r="T24" s="16"/>
      <x:c r="U24" s="16"/>
      <x:c r="V24" s="16"/>
      <x:c r="W24" s="17"/>
      <x:c r="X24" s="12">
        <x:f t="shared" si="1"/>
        <x:v>1</x:v>
      </x:c>
      <x:c r="Y24" s="13"/>
      <x:c r="Z24" s="16"/>
      <x:c r="AA24" s="16"/>
      <x:c r="AB24" s="16"/>
      <x:c r="AC24" s="16" t="s">
        <x:v>426</x:v>
      </x:c>
      <x:c r="AD24" s="12">
        <x:f t="shared" si="2"/>
        <x:v>1</x:v>
      </x:c>
      <x:c r="AE24" s="13"/>
      <x:c r="AF24" s="16"/>
      <x:c r="AG24" s="16"/>
      <x:c r="AH24" s="16" t="s">
        <x:v>426</x:v>
      </x:c>
      <x:c r="AI24" s="16"/>
      <x:c r="AJ24" s="17"/>
      <x:c r="AK24" s="12">
        <x:f t="shared" si="3"/>
        <x:v>1</x:v>
      </x:c>
      <x:c r="AL24" s="13"/>
      <x:c r="AM24" s="16" t="s">
        <x:v>426</x:v>
      </x:c>
      <x:c r="AN24" s="16"/>
      <x:c r="AO24" s="12">
        <x:f t="shared" si="4"/>
        <x:v>1</x:v>
      </x:c>
      <x:c r="AP24" s="13" t="s">
        <x:v>426</x:v>
      </x:c>
      <x:c r="AQ24" s="16"/>
      <x:c r="AR24" s="16"/>
      <x:c r="AS24" s="16"/>
      <x:c r="AT24" s="16"/>
      <x:c r="AU24" s="16"/>
      <x:c r="AV24" s="16"/>
      <x:c r="AW24" s="17"/>
      <x:c r="AX24" s="12">
        <x:f t="shared" si="5"/>
        <x:v>1</x:v>
      </x:c>
      <x:c r="AY24" s="13" t="s">
        <x:v>426</x:v>
      </x:c>
      <x:c r="AZ24" s="16"/>
      <x:c r="BA24" s="16"/>
      <x:c r="BB24" s="16"/>
      <x:c r="BC24" s="16"/>
      <x:c r="BD24" s="16"/>
      <x:c r="BE24" s="16"/>
      <x:c r="BF24" s="16"/>
      <x:c r="BG24" s="17"/>
      <x:c r="BH24" s="12">
        <x:f t="shared" si="6"/>
        <x:v>1</x:v>
      </x:c>
      <x:c r="BI24" s="13" t="s">
        <x:v>426</x:v>
      </x:c>
      <x:c r="BJ24" s="16"/>
      <x:c r="BK24" s="16"/>
      <x:c r="BL24" s="16"/>
      <x:c r="BM24" s="16"/>
      <x:c r="BN24" s="16"/>
      <x:c r="BO24" s="16"/>
      <x:c r="BP24" s="17"/>
      <x:c r="BQ24" s="12">
        <x:f t="shared" si="7"/>
        <x:v>1</x:v>
      </x:c>
      <x:c r="BR24" s="13"/>
      <x:c r="BS24" s="16" t="s">
        <x:v>426</x:v>
      </x:c>
      <x:c r="BT24" s="16"/>
      <x:c r="BU24" s="16"/>
      <x:c r="BV24" s="16"/>
      <x:c r="BW24" s="16"/>
      <x:c r="BX24" s="16"/>
      <x:c r="BY24" s="17"/>
      <x:c r="BZ24" s="12">
        <x:f t="shared" si="8"/>
        <x:v>1</x:v>
      </x:c>
      <x:c r="CA24" s="13" t="s">
        <x:v>426</x:v>
      </x:c>
      <x:c r="CB24" s="16"/>
      <x:c r="CC24" s="16"/>
      <x:c r="CD24" s="16"/>
      <x:c r="CE24" s="16"/>
      <x:c r="CF24" s="16"/>
      <x:c r="CG24" s="16"/>
      <x:c r="CH24" s="16"/>
      <x:c r="CI24" s="16"/>
      <x:c r="CJ24" s="16"/>
      <x:c r="CK24" s="17"/>
      <x:c r="CL24" s="12">
        <x:f t="shared" si="9"/>
        <x:v>1</x:v>
      </x:c>
      <x:c r="CM24" s="13"/>
      <x:c r="CN24" s="16"/>
      <x:c r="CO24" s="16"/>
      <x:c r="CP24" s="16"/>
      <x:c r="CQ24" s="16"/>
      <x:c r="CR24" s="16"/>
      <x:c r="CS24" s="16"/>
      <x:c r="CT24" s="16"/>
      <x:c r="CU24" s="16"/>
      <x:c r="CV24" s="16"/>
      <x:c r="CW24" s="16"/>
      <x:c r="CX24" s="16"/>
      <x:c r="CY24" s="16"/>
      <x:c r="CZ24" s="16"/>
      <x:c r="DA24" s="17"/>
      <x:c r="DB24" s="12">
        <x:f t="shared" si="10"/>
        <x:v>0</x:v>
      </x:c>
      <x:c r="DC24" s="13"/>
      <x:c r="DD24" s="12">
        <x:f t="shared" si="11"/>
        <x:v>0</x:v>
      </x:c>
      <x:c r="DE24" s="13"/>
      <x:c r="DF24" s="16"/>
      <x:c r="DG24" s="16"/>
      <x:c r="DH24" s="16"/>
      <x:c r="DI24" s="16"/>
      <x:c r="DJ24" s="16"/>
      <x:c r="DK24" s="16" t="s">
        <x:v>426</x:v>
      </x:c>
      <x:c r="DL24" s="16"/>
      <x:c r="DM24" s="17"/>
      <x:c r="DN24" s="12">
        <x:f t="shared" si="12"/>
        <x:v>1</x:v>
      </x:c>
      <x:c r="DO24" s="13" t="s">
        <x:v>426</x:v>
      </x:c>
      <x:c r="DP24" s="16"/>
      <x:c r="DQ24" s="16"/>
      <x:c r="DR24" s="16"/>
      <x:c r="DS24" s="16"/>
      <x:c r="DT24" s="12">
        <x:f t="shared" si="13"/>
        <x:v>1</x:v>
      </x:c>
      <x:c r="DU24" s="13"/>
      <x:c r="DV24" s="16"/>
      <x:c r="DW24" s="16"/>
      <x:c r="DX24" s="16"/>
      <x:c r="DY24" s="16"/>
      <x:c r="DZ24" s="16"/>
      <x:c r="EA24" s="16"/>
      <x:c r="EB24" s="16"/>
      <x:c r="EC24" s="16"/>
      <x:c r="ED24" s="17"/>
      <x:c r="EE24" s="12">
        <x:f t="shared" si="14"/>
        <x:v>0</x:v>
      </x:c>
      <x:c r="EF24" s="13"/>
      <x:c r="EG24" s="16"/>
      <x:c r="EH24" s="16"/>
      <x:c r="EI24" s="16"/>
      <x:c r="EJ24" s="16"/>
      <x:c r="EK24" s="16"/>
      <x:c r="EL24" s="16"/>
      <x:c r="EM24" s="16"/>
      <x:c r="EN24" s="16"/>
      <x:c r="EO24" s="16"/>
      <x:c r="EP24" s="17"/>
      <x:c r="EQ24" s="12">
        <x:f t="shared" si="15"/>
        <x:v>0</x:v>
      </x:c>
      <x:c r="ER24" s="13" t="s">
        <x:v>426</x:v>
      </x:c>
      <x:c r="ES24" s="16"/>
      <x:c r="ET24" s="16"/>
      <x:c r="EU24" s="16"/>
      <x:c r="EV24" s="12">
        <x:f t="shared" si="16"/>
        <x:v>1</x:v>
      </x:c>
      <x:c r="EW24" s="13"/>
      <x:c r="EX24" s="16"/>
      <x:c r="EY24" s="16"/>
      <x:c r="EZ24" s="16"/>
      <x:c r="FA24" s="16"/>
      <x:c r="FB24" s="16"/>
      <x:c r="FC24" s="16" t="s">
        <x:v>426</x:v>
      </x:c>
      <x:c r="FD24" s="16"/>
      <x:c r="FE24" s="17"/>
      <x:c r="FF24" s="12">
        <x:f t="shared" si="17"/>
        <x:v>1</x:v>
      </x:c>
      <x:c r="FG24" s="13"/>
      <x:c r="FH24" s="16"/>
      <x:c r="FI24" s="16"/>
      <x:c r="FJ24" s="16"/>
      <x:c r="FK24" s="16"/>
      <x:c r="FL24" s="16"/>
      <x:c r="FM24" s="16"/>
      <x:c r="FN24" s="16"/>
      <x:c r="FO24" s="16"/>
      <x:c r="FP24" s="16"/>
      <x:c r="FQ24" s="16"/>
      <x:c r="FR24" s="16"/>
      <x:c r="FS24" s="16"/>
      <x:c r="FT24" s="16"/>
      <x:c r="FU24" s="17"/>
      <x:c r="FV24" s="12">
        <x:f t="shared" si="18"/>
        <x:v>0</x:v>
      </x:c>
      <x:c r="FW24" s="13"/>
      <x:c r="FX24" s="16"/>
      <x:c r="FY24" s="16"/>
      <x:c r="FZ24" s="16"/>
      <x:c r="GA24" s="16"/>
      <x:c r="GB24" s="16"/>
      <x:c r="GC24" s="16"/>
      <x:c r="GD24" s="16"/>
      <x:c r="GE24" s="17"/>
      <x:c r="GF24" s="12">
        <x:f t="shared" si="19"/>
        <x:v>0</x:v>
      </x:c>
      <x:c r="GG24" s="13"/>
      <x:c r="GH24" s="16"/>
      <x:c r="GI24" s="16"/>
      <x:c r="GJ24" s="16"/>
      <x:c r="GK24" s="16"/>
      <x:c r="GL24" s="16"/>
      <x:c r="GM24" s="12">
        <x:f t="shared" si="20"/>
        <x:v>0</x:v>
      </x:c>
      <x:c r="GN24" s="13"/>
      <x:c r="GO24" s="16"/>
      <x:c r="GP24" s="16"/>
      <x:c r="GQ24" s="16"/>
      <x:c r="GR24" s="16"/>
      <x:c r="GS24" s="16"/>
      <x:c r="GT24" s="12">
        <x:f t="shared" si="21"/>
        <x:v>0</x:v>
      </x:c>
      <x:c r="GU24" s="13"/>
      <x:c r="GV24" s="16" t="s">
        <x:v>426</x:v>
      </x:c>
      <x:c r="GW24" s="16"/>
      <x:c r="GX24" s="16"/>
      <x:c r="GY24" s="12">
        <x:f t="shared" si="22"/>
        <x:v>1</x:v>
      </x:c>
      <x:c r="GZ24" s="13" t="s">
        <x:v>426</x:v>
      </x:c>
      <x:c r="HA24" s="16"/>
      <x:c r="HB24" s="16"/>
      <x:c r="HC24" s="16"/>
      <x:c r="HD24" s="16"/>
      <x:c r="HE24" s="16"/>
      <x:c r="HF24" s="16"/>
      <x:c r="HG24" s="16"/>
      <x:c r="HH24" s="16"/>
      <x:c r="HI24" s="16"/>
      <x:c r="HJ24" s="16"/>
      <x:c r="HK24" s="17"/>
      <x:c r="HL24" s="12">
        <x:f t="shared" si="23"/>
        <x:v>1</x:v>
      </x:c>
      <x:c r="HM24" s="13"/>
      <x:c r="HN24" s="16"/>
      <x:c r="HO24" s="16"/>
      <x:c r="HP24" s="16"/>
      <x:c r="HQ24" s="16"/>
      <x:c r="HR24" s="16"/>
      <x:c r="HS24" s="16"/>
      <x:c r="HT24" s="16"/>
      <x:c r="HU24" s="16"/>
      <x:c r="HV24" s="17"/>
      <x:c r="HW24" s="12">
        <x:f t="shared" si="24"/>
        <x:v>0</x:v>
      </x:c>
      <x:c r="HX24" s="13"/>
      <x:c r="HY24" s="16"/>
      <x:c r="HZ24" s="16"/>
      <x:c r="IA24" s="16"/>
      <x:c r="IB24" s="16"/>
      <x:c r="IC24" s="12">
        <x:f t="shared" si="25"/>
        <x:v>0</x:v>
      </x:c>
      <x:c r="ID24" s="13" t="s">
        <x:v>426</x:v>
      </x:c>
      <x:c r="IE24" s="16"/>
      <x:c r="IF24" s="16"/>
      <x:c r="IG24" s="16"/>
      <x:c r="IH24" s="16"/>
      <x:c r="II24" s="16"/>
      <x:c r="IJ24" s="16"/>
      <x:c r="IK24" s="16"/>
      <x:c r="IL24" s="16"/>
      <x:c r="IM24" s="16"/>
      <x:c r="IN24" s="17"/>
      <x:c r="IO24" s="12">
        <x:f t="shared" si="26"/>
        <x:v>1</x:v>
      </x:c>
      <x:c r="IP24" s="13"/>
      <x:c r="IQ24" s="16"/>
      <x:c r="IR24" s="16"/>
      <x:c r="IS24" s="16"/>
      <x:c r="IT24" s="16"/>
      <x:c r="IU24" s="16"/>
      <x:c r="IV24" s="16"/>
      <x:c r="IW24" s="16"/>
      <x:c r="IX24" s="17"/>
      <x:c r="IY24" s="12">
        <x:f t="shared" si="27"/>
        <x:v>0</x:v>
      </x:c>
      <x:c r="IZ24" s="13"/>
      <x:c r="JA24" s="16"/>
      <x:c r="JB24" s="16"/>
      <x:c r="JC24" s="16"/>
      <x:c r="JD24" s="16"/>
      <x:c r="JE24" s="16"/>
      <x:c r="JF24" s="16"/>
      <x:c r="JG24" s="16"/>
      <x:c r="JH24" s="16"/>
      <x:c r="JI24" s="16"/>
      <x:c r="JJ24" s="16"/>
      <x:c r="JK24" s="16"/>
      <x:c r="JL24" s="16"/>
      <x:c r="JM24" s="16"/>
      <x:c r="JN24" s="16"/>
      <x:c r="JO24" s="16"/>
      <x:c r="JP24" s="16"/>
      <x:c r="JQ24" s="16"/>
      <x:c r="JR24" s="16"/>
      <x:c r="JS24" s="12">
        <x:f t="shared" si="28"/>
        <x:v>0</x:v>
      </x:c>
      <x:c r="JT24" s="13"/>
      <x:c r="JU24" s="16"/>
      <x:c r="JV24" s="16"/>
      <x:c r="JW24" s="16"/>
      <x:c r="JX24" s="16"/>
      <x:c r="JY24" s="16"/>
      <x:c r="JZ24" s="16"/>
      <x:c r="KA24" s="16"/>
      <x:c r="KB24" s="16"/>
      <x:c r="KC24" s="16"/>
      <x:c r="KD24" s="16"/>
      <x:c r="KE24" s="16"/>
      <x:c r="KF24" s="16"/>
      <x:c r="KG24" s="16"/>
      <x:c r="KH24" s="16"/>
      <x:c r="KI24" s="16"/>
      <x:c r="KJ24" s="16"/>
      <x:c r="KK24" s="16"/>
      <x:c r="KL24" s="16"/>
      <x:c r="KM24" s="12">
        <x:f t="shared" si="29"/>
        <x:v>0</x:v>
      </x:c>
      <x:c r="KN24" s="13"/>
      <x:c r="KO24" s="16"/>
      <x:c r="KP24" s="16"/>
      <x:c r="KQ24" s="16"/>
      <x:c r="KR24" s="16"/>
      <x:c r="KS24" s="16"/>
      <x:c r="KT24" s="16"/>
      <x:c r="KU24" s="16"/>
      <x:c r="KV24" s="16"/>
      <x:c r="KW24" s="16"/>
      <x:c r="KX24" s="16"/>
      <x:c r="KY24" s="16"/>
      <x:c r="KZ24" s="16"/>
      <x:c r="LA24" s="16"/>
      <x:c r="LB24" s="16"/>
      <x:c r="LC24" s="16"/>
      <x:c r="LD24" s="16"/>
      <x:c r="LE24" s="16"/>
      <x:c r="LF24" s="16"/>
      <x:c r="LG24" s="12">
        <x:f t="shared" si="30"/>
        <x:v>0</x:v>
      </x:c>
      <x:c r="LH24" s="13"/>
      <x:c r="LI24" s="16"/>
      <x:c r="LJ24" s="16"/>
      <x:c r="LK24" s="16"/>
      <x:c r="LL24" s="16"/>
      <x:c r="LM24" s="16"/>
      <x:c r="LN24" s="16"/>
      <x:c r="LO24" s="16"/>
      <x:c r="LP24" s="16"/>
      <x:c r="LQ24" s="17"/>
      <x:c r="LR24" s="12">
        <x:f t="shared" si="31"/>
        <x:v>0</x:v>
      </x:c>
      <x:c r="LS24" s="13"/>
      <x:c r="LT24" s="16"/>
      <x:c r="LU24" s="16"/>
      <x:c r="LV24" s="16"/>
      <x:c r="LW24" s="16"/>
      <x:c r="LX24" s="16"/>
      <x:c r="LY24" s="16" t="s">
        <x:v>426</x:v>
      </x:c>
      <x:c r="LZ24" s="16"/>
      <x:c r="MA24" s="16"/>
      <x:c r="MB24" s="17"/>
      <x:c r="MC24" s="12">
        <x:f t="shared" si="32"/>
        <x:v>1</x:v>
      </x:c>
      <x:c r="MD24" s="13"/>
      <x:c r="ME24" s="16"/>
      <x:c r="MF24" s="16"/>
      <x:c r="MG24" s="16"/>
      <x:c r="MH24" s="16"/>
      <x:c r="MI24" s="16"/>
      <x:c r="MJ24" s="16"/>
      <x:c r="MK24" s="12">
        <x:f t="shared" si="33"/>
        <x:v>0</x:v>
      </x:c>
      <x:c r="ML24" s="13"/>
      <x:c r="MM24" s="16"/>
      <x:c r="MN24" s="16"/>
      <x:c r="MO24" s="16"/>
      <x:c r="MP24" s="16"/>
      <x:c r="MQ24" s="16"/>
      <x:c r="MR24" s="16" t="s">
        <x:v>426</x:v>
      </x:c>
      <x:c r="MS24" s="16"/>
      <x:c r="MT24" s="16"/>
      <x:c r="MU24" s="17"/>
      <x:c r="MV24" s="12">
        <x:f t="shared" si="34"/>
        <x:v>1</x:v>
      </x:c>
      <x:c r="MW24" s="13"/>
      <x:c r="MX24" s="16"/>
      <x:c r="MY24" s="16"/>
      <x:c r="MZ24" s="16"/>
      <x:c r="NA24" s="16"/>
      <x:c r="NB24" s="16"/>
      <x:c r="NC24" s="16"/>
      <x:c r="ND24" s="16" t="s">
        <x:v>426</x:v>
      </x:c>
      <x:c r="NE24" s="16"/>
      <x:c r="NF24" s="17"/>
      <x:c r="NG24" s="12">
        <x:f t="shared" si="35"/>
        <x:v>1</x:v>
      </x:c>
      <x:c r="NH24" s="13"/>
      <x:c r="NI24" s="16"/>
      <x:c r="NJ24" s="16"/>
      <x:c r="NK24" s="16"/>
      <x:c r="NL24" s="16"/>
      <x:c r="NM24" s="16"/>
      <x:c r="NN24" s="16"/>
      <x:c r="NO24" s="16"/>
      <x:c r="NP24" s="16"/>
      <x:c r="NQ24" s="16"/>
      <x:c r="NR24" s="17"/>
      <x:c r="NS24" s="12">
        <x:f t="shared" si="36"/>
        <x:v>0</x:v>
      </x:c>
      <x:c r="NT24" s="13"/>
      <x:c r="NU24" s="16"/>
      <x:c r="NV24" s="16"/>
      <x:c r="NW24" s="16" t="s">
        <x:v>426</x:v>
      </x:c>
      <x:c r="NX24" s="16"/>
      <x:c r="NY24" s="12">
        <x:f t="shared" si="37"/>
        <x:v>1</x:v>
      </x:c>
      <x:c r="NZ24" s="13"/>
      <x:c r="OA24" s="16"/>
      <x:c r="OB24" s="16"/>
      <x:c r="OC24" s="16"/>
      <x:c r="OD24" s="16"/>
      <x:c r="OE24" s="16"/>
      <x:c r="OF24" s="16"/>
      <x:c r="OG24" s="16"/>
      <x:c r="OH24" s="16"/>
      <x:c r="OI24" s="16" t="s">
        <x:v>426</x:v>
      </x:c>
      <x:c r="OJ24" s="16"/>
      <x:c r="OK24" s="17"/>
      <x:c r="OL24" s="12">
        <x:f t="shared" si="38"/>
        <x:v>1</x:v>
      </x:c>
      <x:c r="OM24" s="13"/>
      <x:c r="ON24" s="16" t="s">
        <x:v>426</x:v>
      </x:c>
      <x:c r="OO24" s="16"/>
      <x:c r="OP24" s="16"/>
      <x:c r="OQ24" s="16"/>
      <x:c r="OR24" s="16"/>
      <x:c r="OS24" s="16"/>
      <x:c r="OT24" s="16"/>
      <x:c r="OU24" s="16"/>
      <x:c r="OV24" s="17"/>
      <x:c r="OW24" s="12">
        <x:f t="shared" si="39"/>
        <x:v>1</x:v>
      </x:c>
      <x:c r="OX24" s="13"/>
      <x:c r="OY24" s="16"/>
      <x:c r="OZ24" s="16"/>
      <x:c r="PA24" s="16"/>
      <x:c r="PB24" s="16" t="s">
        <x:v>426</x:v>
      </x:c>
      <x:c r="PC24" s="12">
        <x:f t="shared" si="40"/>
        <x:v>1</x:v>
      </x:c>
      <x:c r="PD24" s="13"/>
      <x:c r="PE24" s="16"/>
      <x:c r="PF24" s="16"/>
      <x:c r="PG24" s="16"/>
      <x:c r="PH24" s="16"/>
      <x:c r="PI24" s="16"/>
      <x:c r="PJ24" s="16"/>
      <x:c r="PK24" s="16"/>
      <x:c r="PL24" s="16"/>
      <x:c r="PM24" s="16"/>
      <x:c r="PN24" s="17"/>
      <x:c r="PO24" s="12">
        <x:f t="shared" si="41"/>
        <x:v>0</x:v>
      </x:c>
      <x:c r="PP24" s="13"/>
      <x:c r="PQ24" s="16"/>
      <x:c r="PR24" s="16" t="s">
        <x:v>426</x:v>
      </x:c>
      <x:c r="PS24" s="16"/>
      <x:c r="PT24" s="12">
        <x:f t="shared" si="42"/>
        <x:v>1</x:v>
      </x:c>
      <x:c r="PU24" s="13" t="s">
        <x:v>426</x:v>
      </x:c>
      <x:c r="PV24" s="16"/>
      <x:c r="PW24" s="16"/>
      <x:c r="PX24" s="16"/>
      <x:c r="PY24" s="16"/>
      <x:c r="PZ24" s="16"/>
      <x:c r="QA24" s="16"/>
      <x:c r="QB24" s="16"/>
      <x:c r="QC24" s="16"/>
      <x:c r="QD24" s="17"/>
      <x:c r="QE24" s="12">
        <x:f t="shared" si="43"/>
        <x:v>1</x:v>
      </x:c>
      <x:c r="QF24" s="13"/>
      <x:c r="QG24" s="16"/>
      <x:c r="QH24" s="16"/>
      <x:c r="QI24" s="16"/>
      <x:c r="QJ24" s="16"/>
      <x:c r="QK24" s="16"/>
      <x:c r="QL24" s="16"/>
      <x:c r="QM24" s="16"/>
      <x:c r="QN24" s="16"/>
      <x:c r="QO24" s="17"/>
      <x:c r="QP24" s="12">
        <x:f t="shared" si="44"/>
        <x:v>0</x:v>
      </x:c>
      <x:c r="QQ24" s="13"/>
      <x:c r="QR24" s="16"/>
      <x:c r="QS24" s="16"/>
      <x:c r="QT24" s="16"/>
      <x:c r="QU24" s="16"/>
      <x:c r="QV24" s="16"/>
      <x:c r="QW24" s="16"/>
      <x:c r="QX24" s="16"/>
      <x:c r="QY24" s="16"/>
      <x:c r="QZ24" s="17"/>
      <x:c r="RA24" s="12">
        <x:f t="shared" si="45"/>
        <x:v>0</x:v>
      </x:c>
      <x:c r="RB24" s="13"/>
      <x:c r="RC24" s="16"/>
      <x:c r="RD24" s="16"/>
      <x:c r="RE24" s="16"/>
      <x:c r="RF24" s="16"/>
      <x:c r="RG24" s="16"/>
      <x:c r="RH24" s="16"/>
      <x:c r="RI24" s="16"/>
      <x:c r="RJ24" s="17"/>
      <x:c r="RK24" s="12">
        <x:f t="shared" si="46"/>
        <x:v>0</x:v>
      </x:c>
      <x:c r="RL24" s="13"/>
      <x:c r="RM24" s="16" t="s">
        <x:v>426</x:v>
      </x:c>
      <x:c r="RN24" s="16"/>
      <x:c r="RO24" s="16"/>
      <x:c r="RP24" s="16"/>
      <x:c r="RQ24" s="16"/>
      <x:c r="RR24" s="16"/>
      <x:c r="RS24" s="16"/>
      <x:c r="RT24" s="16"/>
      <x:c r="RU24" s="17"/>
      <x:c r="RV24" s="12">
        <x:f t="shared" si="47"/>
        <x:v>1</x:v>
      </x:c>
      <x:c r="RW24" s="13"/>
      <x:c r="RX24" s="12">
        <x:f t="shared" si="48"/>
        <x:v>0</x:v>
      </x:c>
    </x:row>
    <x:row r="25" ht="16.5">
      <x:c r="A25" s="7" t="s">
        <x:v>467</x:v>
      </x:c>
      <x:c r="B25" s="8"/>
      <x:c r="C25" s="8"/>
      <x:c r="D25" s="8"/>
      <x:c r="E25" s="8"/>
      <x:c r="F25" s="8"/>
      <x:c r="G25" s="8"/>
      <x:c r="H25" s="8"/>
      <x:c r="I25" s="8"/>
      <x:c r="J25" s="8"/>
      <x:c r="K25" s="9"/>
      <x:c r="L25" s="7" t="s">
        <x:v>426</x:v>
      </x:c>
      <x:c r="M25" s="10"/>
      <x:c r="N25" s="10"/>
      <x:c r="O25" s="10"/>
      <x:c r="P25" s="11"/>
      <x:c r="Q25" s="12">
        <x:f t="shared" si="0"/>
        <x:v>1</x:v>
      </x:c>
      <x:c r="R25" s="7" t="s">
        <x:v>426</x:v>
      </x:c>
      <x:c r="S25" s="10"/>
      <x:c r="T25" s="10"/>
      <x:c r="U25" s="10"/>
      <x:c r="V25" s="10"/>
      <x:c r="W25" s="11"/>
      <x:c r="X25" s="12">
        <x:f t="shared" si="1"/>
        <x:v>1</x:v>
      </x:c>
      <x:c r="Y25" s="7"/>
      <x:c r="Z25" s="10"/>
      <x:c r="AA25" s="10"/>
      <x:c r="AB25" s="10"/>
      <x:c r="AC25" s="10" t="s">
        <x:v>426</x:v>
      </x:c>
      <x:c r="AD25" s="12">
        <x:f t="shared" si="2"/>
        <x:v>1</x:v>
      </x:c>
      <x:c r="AE25" s="7"/>
      <x:c r="AF25" s="10"/>
      <x:c r="AG25" s="10" t="s">
        <x:v>426</x:v>
      </x:c>
      <x:c r="AH25" s="10"/>
      <x:c r="AI25" s="10"/>
      <x:c r="AJ25" s="11"/>
      <x:c r="AK25" s="12">
        <x:f t="shared" si="3"/>
        <x:v>1</x:v>
      </x:c>
      <x:c r="AL25" s="7" t="s">
        <x:v>426</x:v>
      </x:c>
      <x:c r="AM25" s="10"/>
      <x:c r="AN25" s="10"/>
      <x:c r="AO25" s="12">
        <x:f t="shared" si="4"/>
        <x:v>1</x:v>
      </x:c>
      <x:c r="AP25" s="7" t="s">
        <x:v>426</x:v>
      </x:c>
      <x:c r="AQ25" s="10"/>
      <x:c r="AR25" s="10"/>
      <x:c r="AS25" s="10"/>
      <x:c r="AT25" s="10"/>
      <x:c r="AU25" s="10"/>
      <x:c r="AV25" s="10"/>
      <x:c r="AW25" s="11"/>
      <x:c r="AX25" s="12">
        <x:f t="shared" si="5"/>
        <x:v>1</x:v>
      </x:c>
      <x:c r="AY25" s="7" t="s">
        <x:v>426</x:v>
      </x:c>
      <x:c r="AZ25" s="10"/>
      <x:c r="BA25" s="10"/>
      <x:c r="BB25" s="10"/>
      <x:c r="BC25" s="10"/>
      <x:c r="BD25" s="10"/>
      <x:c r="BE25" s="10"/>
      <x:c r="BF25" s="10"/>
      <x:c r="BG25" s="11"/>
      <x:c r="BH25" s="12">
        <x:f t="shared" si="6"/>
        <x:v>1</x:v>
      </x:c>
      <x:c r="BI25" s="7" t="s">
        <x:v>426</x:v>
      </x:c>
      <x:c r="BJ25" s="10"/>
      <x:c r="BK25" s="10"/>
      <x:c r="BL25" s="10"/>
      <x:c r="BM25" s="10"/>
      <x:c r="BN25" s="10"/>
      <x:c r="BO25" s="10"/>
      <x:c r="BP25" s="11"/>
      <x:c r="BQ25" s="12">
        <x:f t="shared" si="7"/>
        <x:v>1</x:v>
      </x:c>
      <x:c r="BR25" s="7"/>
      <x:c r="BS25" s="10" t="s">
        <x:v>426</x:v>
      </x:c>
      <x:c r="BT25" s="10"/>
      <x:c r="BU25" s="10"/>
      <x:c r="BV25" s="10"/>
      <x:c r="BW25" s="10"/>
      <x:c r="BX25" s="10"/>
      <x:c r="BY25" s="11"/>
      <x:c r="BZ25" s="12">
        <x:f t="shared" si="8"/>
        <x:v>1</x:v>
      </x:c>
      <x:c r="CA25" s="7" t="s">
        <x:v>426</x:v>
      </x:c>
      <x:c r="CB25" s="10"/>
      <x:c r="CC25" s="10"/>
      <x:c r="CD25" s="10"/>
      <x:c r="CE25" s="10"/>
      <x:c r="CF25" s="10"/>
      <x:c r="CG25" s="10"/>
      <x:c r="CH25" s="10"/>
      <x:c r="CI25" s="10"/>
      <x:c r="CJ25" s="10"/>
      <x:c r="CK25" s="11"/>
      <x:c r="CL25" s="12">
        <x:f t="shared" si="9"/>
        <x:v>1</x:v>
      </x:c>
      <x:c r="CM25" s="7"/>
      <x:c r="CN25" s="10"/>
      <x:c r="CO25" s="10"/>
      <x:c r="CP25" s="10"/>
      <x:c r="CQ25" s="10"/>
      <x:c r="CR25" s="10"/>
      <x:c r="CS25" s="10"/>
      <x:c r="CT25" s="10"/>
      <x:c r="CU25" s="10"/>
      <x:c r="CV25" s="10"/>
      <x:c r="CW25" s="10"/>
      <x:c r="CX25" s="10"/>
      <x:c r="CY25" s="10" t="s">
        <x:v>426</x:v>
      </x:c>
      <x:c r="CZ25" s="10"/>
      <x:c r="DA25" s="11"/>
      <x:c r="DB25" s="12">
        <x:f t="shared" si="10"/>
        <x:v>1</x:v>
      </x:c>
      <x:c r="DC25" s="7"/>
      <x:c r="DD25" s="12">
        <x:f t="shared" si="11"/>
        <x:v>0</x:v>
      </x:c>
      <x:c r="DE25" s="7" t="s">
        <x:v>426</x:v>
      </x:c>
      <x:c r="DF25" s="10"/>
      <x:c r="DG25" s="10"/>
      <x:c r="DH25" s="10"/>
      <x:c r="DI25" s="10"/>
      <x:c r="DJ25" s="10"/>
      <x:c r="DK25" s="10"/>
      <x:c r="DL25" s="10"/>
      <x:c r="DM25" s="11"/>
      <x:c r="DN25" s="12">
        <x:f t="shared" si="12"/>
        <x:v>1</x:v>
      </x:c>
      <x:c r="DO25" s="7"/>
      <x:c r="DP25" s="10"/>
      <x:c r="DQ25" s="10" t="s">
        <x:v>426</x:v>
      </x:c>
      <x:c r="DR25" s="10"/>
      <x:c r="DS25" s="10"/>
      <x:c r="DT25" s="12">
        <x:f t="shared" si="13"/>
        <x:v>1</x:v>
      </x:c>
      <x:c r="DU25" s="7" t="s">
        <x:v>426</x:v>
      </x:c>
      <x:c r="DV25" s="10"/>
      <x:c r="DW25" s="10"/>
      <x:c r="DX25" s="10"/>
      <x:c r="DY25" s="10"/>
      <x:c r="DZ25" s="10"/>
      <x:c r="EA25" s="10"/>
      <x:c r="EB25" s="10"/>
      <x:c r="EC25" s="10"/>
      <x:c r="ED25" s="11"/>
      <x:c r="EE25" s="12">
        <x:f t="shared" si="14"/>
        <x:v>1</x:v>
      </x:c>
      <x:c r="EF25" s="7"/>
      <x:c r="EG25" s="10"/>
      <x:c r="EH25" s="10"/>
      <x:c r="EI25" s="10"/>
      <x:c r="EJ25" s="10"/>
      <x:c r="EK25" s="10"/>
      <x:c r="EL25" s="10"/>
      <x:c r="EM25" s="10"/>
      <x:c r="EN25" s="10" t="s">
        <x:v>426</x:v>
      </x:c>
      <x:c r="EO25" s="10"/>
      <x:c r="EP25" s="11"/>
      <x:c r="EQ25" s="12">
        <x:f t="shared" si="15"/>
        <x:v>1</x:v>
      </x:c>
      <x:c r="ER25" s="7" t="s">
        <x:v>426</x:v>
      </x:c>
      <x:c r="ES25" s="10"/>
      <x:c r="ET25" s="10"/>
      <x:c r="EU25" s="10"/>
      <x:c r="EV25" s="12">
        <x:f t="shared" si="16"/>
        <x:v>1</x:v>
      </x:c>
      <x:c r="EW25" s="7"/>
      <x:c r="EX25" s="10"/>
      <x:c r="EY25" s="10"/>
      <x:c r="EZ25" s="10"/>
      <x:c r="FA25" s="10"/>
      <x:c r="FB25" s="10"/>
      <x:c r="FC25" s="10" t="s">
        <x:v>426</x:v>
      </x:c>
      <x:c r="FD25" s="10"/>
      <x:c r="FE25" s="11"/>
      <x:c r="FF25" s="12">
        <x:f t="shared" si="17"/>
        <x:v>1</x:v>
      </x:c>
      <x:c r="FG25" s="7"/>
      <x:c r="FH25" s="10"/>
      <x:c r="FI25" s="10" t="s">
        <x:v>426</x:v>
      </x:c>
      <x:c r="FJ25" s="10"/>
      <x:c r="FK25" s="10"/>
      <x:c r="FL25" s="10"/>
      <x:c r="FM25" s="10"/>
      <x:c r="FN25" s="10"/>
      <x:c r="FO25" s="10"/>
      <x:c r="FP25" s="10"/>
      <x:c r="FQ25" s="10"/>
      <x:c r="FR25" s="10"/>
      <x:c r="FS25" s="10"/>
      <x:c r="FT25" s="10"/>
      <x:c r="FU25" s="11"/>
      <x:c r="FV25" s="12">
        <x:f t="shared" si="18"/>
        <x:v>1</x:v>
      </x:c>
      <x:c r="FW25" s="7"/>
      <x:c r="FX25" s="10"/>
      <x:c r="FY25" s="10"/>
      <x:c r="FZ25" s="10"/>
      <x:c r="GA25" s="10"/>
      <x:c r="GB25" s="10"/>
      <x:c r="GC25" s="10" t="s">
        <x:v>426</x:v>
      </x:c>
      <x:c r="GD25" s="10"/>
      <x:c r="GE25" s="11"/>
      <x:c r="GF25" s="12">
        <x:f t="shared" si="19"/>
        <x:v>1</x:v>
      </x:c>
      <x:c r="GG25" s="7"/>
      <x:c r="GH25" s="10"/>
      <x:c r="GI25" s="10"/>
      <x:c r="GJ25" s="10"/>
      <x:c r="GK25" s="10"/>
      <x:c r="GL25" s="10"/>
      <x:c r="GM25" s="12">
        <x:f t="shared" si="20"/>
        <x:v>0</x:v>
      </x:c>
      <x:c r="GN25" s="7"/>
      <x:c r="GO25" s="10"/>
      <x:c r="GP25" s="10"/>
      <x:c r="GQ25" s="10"/>
      <x:c r="GR25" s="10"/>
      <x:c r="GS25" s="10"/>
      <x:c r="GT25" s="12">
        <x:f t="shared" si="21"/>
        <x:v>0</x:v>
      </x:c>
      <x:c r="GU25" s="7"/>
      <x:c r="GV25" s="10"/>
      <x:c r="GW25" s="10"/>
      <x:c r="GX25" s="10"/>
      <x:c r="GY25" s="12">
        <x:f t="shared" si="22"/>
        <x:v>0</x:v>
      </x:c>
      <x:c r="GZ25" s="7" t="s">
        <x:v>426</x:v>
      </x:c>
      <x:c r="HA25" s="10"/>
      <x:c r="HB25" s="10"/>
      <x:c r="HC25" s="10"/>
      <x:c r="HD25" s="10"/>
      <x:c r="HE25" s="10"/>
      <x:c r="HF25" s="10"/>
      <x:c r="HG25" s="10"/>
      <x:c r="HH25" s="10"/>
      <x:c r="HI25" s="10"/>
      <x:c r="HJ25" s="10"/>
      <x:c r="HK25" s="11"/>
      <x:c r="HL25" s="12">
        <x:f t="shared" si="23"/>
        <x:v>1</x:v>
      </x:c>
      <x:c r="HM25" s="7"/>
      <x:c r="HN25" s="10"/>
      <x:c r="HO25" s="10"/>
      <x:c r="HP25" s="10"/>
      <x:c r="HQ25" s="10"/>
      <x:c r="HR25" s="10"/>
      <x:c r="HS25" s="10"/>
      <x:c r="HT25" s="10" t="s">
        <x:v>426</x:v>
      </x:c>
      <x:c r="HU25" s="10"/>
      <x:c r="HV25" s="11"/>
      <x:c r="HW25" s="12">
        <x:f t="shared" si="24"/>
        <x:v>1</x:v>
      </x:c>
      <x:c r="HX25" s="7"/>
      <x:c r="HY25" s="10" t="s">
        <x:v>426</x:v>
      </x:c>
      <x:c r="HZ25" s="10"/>
      <x:c r="IA25" s="10"/>
      <x:c r="IB25" s="10"/>
      <x:c r="IC25" s="12">
        <x:f t="shared" si="25"/>
        <x:v>1</x:v>
      </x:c>
      <x:c r="ID25" s="7" t="s">
        <x:v>426</x:v>
      </x:c>
      <x:c r="IE25" s="10" t="s">
        <x:v>426</x:v>
      </x:c>
      <x:c r="IF25" s="10" t="s">
        <x:v>426</x:v>
      </x:c>
      <x:c r="IG25" s="10"/>
      <x:c r="IH25" s="10"/>
      <x:c r="II25" s="10"/>
      <x:c r="IJ25" s="10"/>
      <x:c r="IK25" s="10"/>
      <x:c r="IL25" s="10"/>
      <x:c r="IM25" s="10"/>
      <x:c r="IN25" s="11"/>
      <x:c r="IO25" s="12">
        <x:f t="shared" si="26"/>
        <x:v>1</x:v>
      </x:c>
      <x:c r="IP25" s="7"/>
      <x:c r="IQ25" s="10"/>
      <x:c r="IR25" s="10"/>
      <x:c r="IS25" s="10"/>
      <x:c r="IT25" s="10"/>
      <x:c r="IU25" s="10"/>
      <x:c r="IV25" s="10"/>
      <x:c r="IW25" s="10"/>
      <x:c r="IX25" s="11"/>
      <x:c r="IY25" s="12">
        <x:f t="shared" si="27"/>
        <x:v>0</x:v>
      </x:c>
      <x:c r="IZ25" s="7"/>
      <x:c r="JA25" s="10"/>
      <x:c r="JB25" s="10"/>
      <x:c r="JC25" s="10"/>
      <x:c r="JD25" s="10"/>
      <x:c r="JE25" s="10"/>
      <x:c r="JF25" s="10"/>
      <x:c r="JG25" s="10"/>
      <x:c r="JH25" s="10"/>
      <x:c r="JI25" s="10"/>
      <x:c r="JJ25" s="10"/>
      <x:c r="JK25" s="10"/>
      <x:c r="JL25" s="10"/>
      <x:c r="JM25" s="10"/>
      <x:c r="JN25" s="10"/>
      <x:c r="JO25" s="10"/>
      <x:c r="JP25" s="10"/>
      <x:c r="JQ25" s="10"/>
      <x:c r="JR25" s="10"/>
      <x:c r="JS25" s="12">
        <x:f t="shared" si="28"/>
        <x:v>0</x:v>
      </x:c>
      <x:c r="JT25" s="7"/>
      <x:c r="JU25" s="10"/>
      <x:c r="JV25" s="10"/>
      <x:c r="JW25" s="10"/>
      <x:c r="JX25" s="10"/>
      <x:c r="JY25" s="10"/>
      <x:c r="JZ25" s="10"/>
      <x:c r="KA25" s="10"/>
      <x:c r="KB25" s="10"/>
      <x:c r="KC25" s="10"/>
      <x:c r="KD25" s="10"/>
      <x:c r="KE25" s="10"/>
      <x:c r="KF25" s="10"/>
      <x:c r="KG25" s="10"/>
      <x:c r="KH25" s="10"/>
      <x:c r="KI25" s="10"/>
      <x:c r="KJ25" s="10"/>
      <x:c r="KK25" s="10"/>
      <x:c r="KL25" s="10"/>
      <x:c r="KM25" s="12">
        <x:f t="shared" si="29"/>
        <x:v>0</x:v>
      </x:c>
      <x:c r="KN25" s="7"/>
      <x:c r="KO25" s="10"/>
      <x:c r="KP25" s="10"/>
      <x:c r="KQ25" s="10"/>
      <x:c r="KR25" s="10"/>
      <x:c r="KS25" s="10"/>
      <x:c r="KT25" s="10"/>
      <x:c r="KU25" s="10"/>
      <x:c r="KV25" s="10"/>
      <x:c r="KW25" s="10"/>
      <x:c r="KX25" s="10"/>
      <x:c r="KY25" s="10"/>
      <x:c r="KZ25" s="10"/>
      <x:c r="LA25" s="10"/>
      <x:c r="LB25" s="10"/>
      <x:c r="LC25" s="10"/>
      <x:c r="LD25" s="10"/>
      <x:c r="LE25" s="10"/>
      <x:c r="LF25" s="10"/>
      <x:c r="LG25" s="12">
        <x:f t="shared" si="30"/>
        <x:v>0</x:v>
      </x:c>
      <x:c r="LH25" s="7"/>
      <x:c r="LI25" s="10"/>
      <x:c r="LJ25" s="10"/>
      <x:c r="LK25" s="10"/>
      <x:c r="LL25" s="10"/>
      <x:c r="LM25" s="10"/>
      <x:c r="LN25" s="10"/>
      <x:c r="LO25" s="10"/>
      <x:c r="LP25" s="10"/>
      <x:c r="LQ25" s="11"/>
      <x:c r="LR25" s="12">
        <x:f t="shared" si="31"/>
        <x:v>0</x:v>
      </x:c>
      <x:c r="LS25" s="7"/>
      <x:c r="LT25" s="10"/>
      <x:c r="LU25" s="10"/>
      <x:c r="LV25" s="10"/>
      <x:c r="LW25" s="10"/>
      <x:c r="LX25" s="10"/>
      <x:c r="LY25" s="10"/>
      <x:c r="LZ25" s="10"/>
      <x:c r="MA25" s="10"/>
      <x:c r="MB25" s="11"/>
      <x:c r="MC25" s="12">
        <x:f t="shared" si="32"/>
        <x:v>0</x:v>
      </x:c>
      <x:c r="MD25" s="7"/>
      <x:c r="ME25" s="10"/>
      <x:c r="MF25" s="10"/>
      <x:c r="MG25" s="10"/>
      <x:c r="MH25" s="10"/>
      <x:c r="MI25" s="10"/>
      <x:c r="MJ25" s="10"/>
      <x:c r="MK25" s="12">
        <x:f t="shared" si="33"/>
        <x:v>0</x:v>
      </x:c>
      <x:c r="ML25" s="7"/>
      <x:c r="MM25" s="10"/>
      <x:c r="MN25" s="10"/>
      <x:c r="MO25" s="10"/>
      <x:c r="MP25" s="10"/>
      <x:c r="MQ25" s="10"/>
      <x:c r="MR25" s="10"/>
      <x:c r="MS25" s="10"/>
      <x:c r="MT25" s="10"/>
      <x:c r="MU25" s="11"/>
      <x:c r="MV25" s="12">
        <x:f t="shared" si="34"/>
        <x:v>0</x:v>
      </x:c>
      <x:c r="MW25" s="7"/>
      <x:c r="MX25" s="10"/>
      <x:c r="MY25" s="10"/>
      <x:c r="MZ25" s="10"/>
      <x:c r="NA25" s="10"/>
      <x:c r="NB25" s="10"/>
      <x:c r="NC25" s="10"/>
      <x:c r="ND25" s="10"/>
      <x:c r="NE25" s="10"/>
      <x:c r="NF25" s="11"/>
      <x:c r="NG25" s="12">
        <x:f t="shared" si="35"/>
        <x:v>0</x:v>
      </x:c>
      <x:c r="NH25" s="7"/>
      <x:c r="NI25" s="10"/>
      <x:c r="NJ25" s="10"/>
      <x:c r="NK25" s="10"/>
      <x:c r="NL25" s="10"/>
      <x:c r="NM25" s="10"/>
      <x:c r="NN25" s="10"/>
      <x:c r="NO25" s="10"/>
      <x:c r="NP25" s="10" t="s">
        <x:v>426</x:v>
      </x:c>
      <x:c r="NQ25" s="10"/>
      <x:c r="NR25" s="11"/>
      <x:c r="NS25" s="12">
        <x:f t="shared" si="36"/>
        <x:v>1</x:v>
      </x:c>
      <x:c r="NT25" s="7"/>
      <x:c r="NU25" s="10"/>
      <x:c r="NV25" s="10"/>
      <x:c r="NW25" s="10"/>
      <x:c r="NX25" s="10"/>
      <x:c r="NY25" s="12">
        <x:f t="shared" si="37"/>
        <x:v>0</x:v>
      </x:c>
      <x:c r="NZ25" s="7"/>
      <x:c r="OA25" s="10"/>
      <x:c r="OB25" s="10"/>
      <x:c r="OC25" s="10"/>
      <x:c r="OD25" s="10"/>
      <x:c r="OE25" s="10"/>
      <x:c r="OF25" s="10"/>
      <x:c r="OG25" s="10"/>
      <x:c r="OH25" s="10"/>
      <x:c r="OI25" s="10"/>
      <x:c r="OJ25" s="10"/>
      <x:c r="OK25" s="11"/>
      <x:c r="OL25" s="12">
        <x:f t="shared" si="38"/>
        <x:v>0</x:v>
      </x:c>
      <x:c r="OM25" s="7"/>
      <x:c r="ON25" s="10"/>
      <x:c r="OO25" s="10"/>
      <x:c r="OP25" s="10"/>
      <x:c r="OQ25" s="10"/>
      <x:c r="OR25" s="10"/>
      <x:c r="OS25" s="10"/>
      <x:c r="OT25" s="10"/>
      <x:c r="OU25" s="10"/>
      <x:c r="OV25" s="11"/>
      <x:c r="OW25" s="12">
        <x:f t="shared" si="39"/>
        <x:v>0</x:v>
      </x:c>
      <x:c r="OX25" s="7"/>
      <x:c r="OY25" s="10"/>
      <x:c r="OZ25" s="10"/>
      <x:c r="PA25" s="10"/>
      <x:c r="PB25" s="10"/>
      <x:c r="PC25" s="12">
        <x:f t="shared" si="40"/>
        <x:v>0</x:v>
      </x:c>
      <x:c r="PD25" s="7"/>
      <x:c r="PE25" s="10"/>
      <x:c r="PF25" s="10"/>
      <x:c r="PG25" s="10"/>
      <x:c r="PH25" s="10"/>
      <x:c r="PI25" s="10"/>
      <x:c r="PJ25" s="10"/>
      <x:c r="PK25" s="10"/>
      <x:c r="PL25" s="10"/>
      <x:c r="PM25" s="10"/>
      <x:c r="PN25" s="11"/>
      <x:c r="PO25" s="12">
        <x:f t="shared" si="41"/>
        <x:v>0</x:v>
      </x:c>
      <x:c r="PP25" s="7"/>
      <x:c r="PQ25" s="10"/>
      <x:c r="PR25" s="10"/>
      <x:c r="PS25" s="10"/>
      <x:c r="PT25" s="12">
        <x:f t="shared" si="42"/>
        <x:v>0</x:v>
      </x:c>
      <x:c r="PU25" s="7"/>
      <x:c r="PV25" s="10"/>
      <x:c r="PW25" s="10"/>
      <x:c r="PX25" s="10"/>
      <x:c r="PY25" s="10"/>
      <x:c r="PZ25" s="10"/>
      <x:c r="QA25" s="10"/>
      <x:c r="QB25" s="10"/>
      <x:c r="QC25" s="10"/>
      <x:c r="QD25" s="11"/>
      <x:c r="QE25" s="12">
        <x:f t="shared" si="43"/>
        <x:v>0</x:v>
      </x:c>
      <x:c r="QF25" s="7"/>
      <x:c r="QG25" s="10"/>
      <x:c r="QH25" s="10"/>
      <x:c r="QI25" s="10"/>
      <x:c r="QJ25" s="10"/>
      <x:c r="QK25" s="10"/>
      <x:c r="QL25" s="10"/>
      <x:c r="QM25" s="10"/>
      <x:c r="QN25" s="10"/>
      <x:c r="QO25" s="11"/>
      <x:c r="QP25" s="12">
        <x:f t="shared" si="44"/>
        <x:v>0</x:v>
      </x:c>
      <x:c r="QQ25" s="7"/>
      <x:c r="QR25" s="10"/>
      <x:c r="QS25" s="10"/>
      <x:c r="QT25" s="10"/>
      <x:c r="QU25" s="10"/>
      <x:c r="QV25" s="10"/>
      <x:c r="QW25" s="10"/>
      <x:c r="QX25" s="10"/>
      <x:c r="QY25" s="10"/>
      <x:c r="QZ25" s="11"/>
      <x:c r="RA25" s="12">
        <x:f t="shared" si="45"/>
        <x:v>0</x:v>
      </x:c>
      <x:c r="RB25" s="7"/>
      <x:c r="RC25" s="10"/>
      <x:c r="RD25" s="10"/>
      <x:c r="RE25" s="10"/>
      <x:c r="RF25" s="10"/>
      <x:c r="RG25" s="10"/>
      <x:c r="RH25" s="10"/>
      <x:c r="RI25" s="10"/>
      <x:c r="RJ25" s="11"/>
      <x:c r="RK25" s="12">
        <x:f t="shared" si="46"/>
        <x:v>0</x:v>
      </x:c>
      <x:c r="RL25" s="7"/>
      <x:c r="RM25" s="10"/>
      <x:c r="RN25" s="10"/>
      <x:c r="RO25" s="10"/>
      <x:c r="RP25" s="10"/>
      <x:c r="RQ25" s="10"/>
      <x:c r="RR25" s="10"/>
      <x:c r="RS25" s="10"/>
      <x:c r="RT25" s="10"/>
      <x:c r="RU25" s="11"/>
      <x:c r="RV25" s="12">
        <x:f t="shared" si="47"/>
        <x:v>0</x:v>
      </x:c>
      <x:c r="RW25" s="7"/>
      <x:c r="RX25" s="12">
        <x:f t="shared" si="48"/>
        <x:v>0</x:v>
      </x:c>
    </x:row>
    <x:row r="26" ht="16.5">
      <x:c r="A26" s="13" t="s">
        <x:v>468</x:v>
      </x:c>
      <x:c r="B26" s="14"/>
      <x:c r="C26" s="14"/>
      <x:c r="D26" s="14"/>
      <x:c r="E26" s="14"/>
      <x:c r="F26" s="14"/>
      <x:c r="G26" s="14"/>
      <x:c r="H26" s="14"/>
      <x:c r="I26" s="14"/>
      <x:c r="J26" s="14"/>
      <x:c r="K26" s="15"/>
      <x:c r="L26" s="13"/>
      <x:c r="M26" s="16" t="s">
        <x:v>426</x:v>
      </x:c>
      <x:c r="N26" s="16"/>
      <x:c r="O26" s="16"/>
      <x:c r="P26" s="17"/>
      <x:c r="Q26" s="12">
        <x:f t="shared" si="0"/>
        <x:v>1</x:v>
      </x:c>
      <x:c r="R26" s="13"/>
      <x:c r="S26" s="16"/>
      <x:c r="T26" s="16" t="s">
        <x:v>426</x:v>
      </x:c>
      <x:c r="U26" s="16"/>
      <x:c r="V26" s="16"/>
      <x:c r="W26" s="17"/>
      <x:c r="X26" s="12">
        <x:f t="shared" si="1"/>
        <x:v>1</x:v>
      </x:c>
      <x:c r="Y26" s="13"/>
      <x:c r="Z26" s="16"/>
      <x:c r="AA26" s="16"/>
      <x:c r="AB26" s="16"/>
      <x:c r="AC26" s="16" t="s">
        <x:v>426</x:v>
      </x:c>
      <x:c r="AD26" s="12">
        <x:f t="shared" si="2"/>
        <x:v>1</x:v>
      </x:c>
      <x:c r="AE26" s="13" t="s">
        <x:v>426</x:v>
      </x:c>
      <x:c r="AF26" s="16"/>
      <x:c r="AG26" s="16"/>
      <x:c r="AH26" s="16"/>
      <x:c r="AI26" s="16"/>
      <x:c r="AJ26" s="17"/>
      <x:c r="AK26" s="12">
        <x:f t="shared" si="3"/>
        <x:v>1</x:v>
      </x:c>
      <x:c r="AL26" s="13"/>
      <x:c r="AM26" s="16" t="s">
        <x:v>426</x:v>
      </x:c>
      <x:c r="AN26" s="16"/>
      <x:c r="AO26" s="12">
        <x:f t="shared" si="4"/>
        <x:v>1</x:v>
      </x:c>
      <x:c r="AP26" s="13" t="s">
        <x:v>426</x:v>
      </x:c>
      <x:c r="AQ26" s="16"/>
      <x:c r="AR26" s="16"/>
      <x:c r="AS26" s="16" t="s">
        <x:v>426</x:v>
      </x:c>
      <x:c r="AT26" s="16"/>
      <x:c r="AU26" s="16"/>
      <x:c r="AV26" s="16"/>
      <x:c r="AW26" s="17"/>
      <x:c r="AX26" s="12">
        <x:f t="shared" si="5"/>
        <x:v>1</x:v>
      </x:c>
      <x:c r="AY26" s="13" t="s">
        <x:v>426</x:v>
      </x:c>
      <x:c r="AZ26" s="16"/>
      <x:c r="BA26" s="16"/>
      <x:c r="BB26" s="16"/>
      <x:c r="BC26" s="16"/>
      <x:c r="BD26" s="16"/>
      <x:c r="BE26" s="16"/>
      <x:c r="BF26" s="16"/>
      <x:c r="BG26" s="17"/>
      <x:c r="BH26" s="12">
        <x:f t="shared" si="6"/>
        <x:v>1</x:v>
      </x:c>
      <x:c r="BI26" s="13" t="s">
        <x:v>426</x:v>
      </x:c>
      <x:c r="BJ26" s="16"/>
      <x:c r="BK26" s="16"/>
      <x:c r="BL26" s="16"/>
      <x:c r="BM26" s="16"/>
      <x:c r="BN26" s="16"/>
      <x:c r="BO26" s="16"/>
      <x:c r="BP26" s="17"/>
      <x:c r="BQ26" s="12">
        <x:f t="shared" si="7"/>
        <x:v>1</x:v>
      </x:c>
      <x:c r="BR26" s="13"/>
      <x:c r="BS26" s="16" t="s">
        <x:v>426</x:v>
      </x:c>
      <x:c r="BT26" s="16"/>
      <x:c r="BU26" s="16"/>
      <x:c r="BV26" s="16"/>
      <x:c r="BW26" s="16"/>
      <x:c r="BX26" s="16"/>
      <x:c r="BY26" s="17"/>
      <x:c r="BZ26" s="12">
        <x:f t="shared" si="8"/>
        <x:v>1</x:v>
      </x:c>
      <x:c r="CA26" s="13"/>
      <x:c r="CB26" s="16"/>
      <x:c r="CC26" s="16" t="s">
        <x:v>426</x:v>
      </x:c>
      <x:c r="CD26" s="16"/>
      <x:c r="CE26" s="16"/>
      <x:c r="CF26" s="16"/>
      <x:c r="CG26" s="16"/>
      <x:c r="CH26" s="16"/>
      <x:c r="CI26" s="16"/>
      <x:c r="CJ26" s="16"/>
      <x:c r="CK26" s="17"/>
      <x:c r="CL26" s="12">
        <x:f t="shared" si="9"/>
        <x:v>1</x:v>
      </x:c>
      <x:c r="CM26" s="13"/>
      <x:c r="CN26" s="16"/>
      <x:c r="CO26" s="16" t="s">
        <x:v>426</x:v>
      </x:c>
      <x:c r="CP26" s="16"/>
      <x:c r="CQ26" s="16" t="s">
        <x:v>426</x:v>
      </x:c>
      <x:c r="CR26" s="16"/>
      <x:c r="CS26" s="16"/>
      <x:c r="CT26" s="16"/>
      <x:c r="CU26" s="16"/>
      <x:c r="CV26" s="16" t="s">
        <x:v>426</x:v>
      </x:c>
      <x:c r="CW26" s="16"/>
      <x:c r="CX26" s="16"/>
      <x:c r="CY26" s="16"/>
      <x:c r="CZ26" s="16"/>
      <x:c r="DA26" s="17"/>
      <x:c r="DB26" s="12">
        <x:f t="shared" si="10"/>
        <x:v>1</x:v>
      </x:c>
      <x:c r="DC26" s="13"/>
      <x:c r="DD26" s="12">
        <x:f t="shared" si="11"/>
        <x:v>0</x:v>
      </x:c>
      <x:c r="DE26" s="13" t="s">
        <x:v>426</x:v>
      </x:c>
      <x:c r="DF26" s="16"/>
      <x:c r="DG26" s="16"/>
      <x:c r="DH26" s="16"/>
      <x:c r="DI26" s="16"/>
      <x:c r="DJ26" s="16"/>
      <x:c r="DK26" s="16"/>
      <x:c r="DL26" s="16"/>
      <x:c r="DM26" s="17"/>
      <x:c r="DN26" s="12">
        <x:f t="shared" si="12"/>
        <x:v>1</x:v>
      </x:c>
      <x:c r="DO26" s="13"/>
      <x:c r="DP26" s="16"/>
      <x:c r="DQ26" s="16"/>
      <x:c r="DR26" s="16" t="s">
        <x:v>426</x:v>
      </x:c>
      <x:c r="DS26" s="16"/>
      <x:c r="DT26" s="12">
        <x:f t="shared" si="13"/>
        <x:v>1</x:v>
      </x:c>
      <x:c r="DU26" s="13"/>
      <x:c r="DV26" s="16" t="s">
        <x:v>426</x:v>
      </x:c>
      <x:c r="DW26" s="16"/>
      <x:c r="DX26" s="16"/>
      <x:c r="DY26" s="16"/>
      <x:c r="DZ26" s="16"/>
      <x:c r="EA26" s="16"/>
      <x:c r="EB26" s="16"/>
      <x:c r="EC26" s="16"/>
      <x:c r="ED26" s="17"/>
      <x:c r="EE26" s="12">
        <x:f t="shared" si="14"/>
        <x:v>1</x:v>
      </x:c>
      <x:c r="EF26" s="13"/>
      <x:c r="EG26" s="16"/>
      <x:c r="EH26" s="16"/>
      <x:c r="EI26" s="16"/>
      <x:c r="EJ26" s="16"/>
      <x:c r="EK26" s="16"/>
      <x:c r="EL26" s="16"/>
      <x:c r="EM26" s="16"/>
      <x:c r="EN26" s="16"/>
      <x:c r="EO26" s="16"/>
      <x:c r="EP26" s="17"/>
      <x:c r="EQ26" s="12">
        <x:f t="shared" si="15"/>
        <x:v>0</x:v>
      </x:c>
      <x:c r="ER26" s="13" t="s">
        <x:v>426</x:v>
      </x:c>
      <x:c r="ES26" s="16"/>
      <x:c r="ET26" s="16"/>
      <x:c r="EU26" s="16"/>
      <x:c r="EV26" s="12">
        <x:f t="shared" si="16"/>
        <x:v>1</x:v>
      </x:c>
      <x:c r="EW26" s="13" t="s">
        <x:v>426</x:v>
      </x:c>
      <x:c r="EX26" s="16"/>
      <x:c r="EY26" s="16"/>
      <x:c r="EZ26" s="16"/>
      <x:c r="FA26" s="16"/>
      <x:c r="FB26" s="16"/>
      <x:c r="FC26" s="16"/>
      <x:c r="FD26" s="16"/>
      <x:c r="FE26" s="17"/>
      <x:c r="FF26" s="12">
        <x:f t="shared" si="17"/>
        <x:v>1</x:v>
      </x:c>
      <x:c r="FG26" s="13" t="s">
        <x:v>426</x:v>
      </x:c>
      <x:c r="FH26" s="16"/>
      <x:c r="FI26" s="16"/>
      <x:c r="FJ26" s="16"/>
      <x:c r="FK26" s="16"/>
      <x:c r="FL26" s="16"/>
      <x:c r="FM26" s="16"/>
      <x:c r="FN26" s="16"/>
      <x:c r="FO26" s="16"/>
      <x:c r="FP26" s="16"/>
      <x:c r="FQ26" s="16"/>
      <x:c r="FR26" s="16"/>
      <x:c r="FS26" s="16"/>
      <x:c r="FT26" s="16"/>
      <x:c r="FU26" s="17"/>
      <x:c r="FV26" s="12">
        <x:f t="shared" si="18"/>
        <x:v>1</x:v>
      </x:c>
      <x:c r="FW26" s="13"/>
      <x:c r="FX26" s="16"/>
      <x:c r="FY26" s="16"/>
      <x:c r="FZ26" s="16"/>
      <x:c r="GA26" s="16"/>
      <x:c r="GB26" s="16"/>
      <x:c r="GC26" s="16" t="s">
        <x:v>426</x:v>
      </x:c>
      <x:c r="GD26" s="16"/>
      <x:c r="GE26" s="17"/>
      <x:c r="GF26" s="12">
        <x:f t="shared" si="19"/>
        <x:v>1</x:v>
      </x:c>
      <x:c r="GG26" s="13"/>
      <x:c r="GH26" s="16"/>
      <x:c r="GI26" s="16"/>
      <x:c r="GJ26" s="16"/>
      <x:c r="GK26" s="16"/>
      <x:c r="GL26" s="16" t="s">
        <x:v>426</x:v>
      </x:c>
      <x:c r="GM26" s="12">
        <x:f t="shared" si="20"/>
        <x:v>1</x:v>
      </x:c>
      <x:c r="GN26" s="13"/>
      <x:c r="GO26" s="16"/>
      <x:c r="GP26" s="16"/>
      <x:c r="GQ26" s="16"/>
      <x:c r="GR26" s="16"/>
      <x:c r="GS26" s="16" t="s">
        <x:v>426</x:v>
      </x:c>
      <x:c r="GT26" s="12">
        <x:f t="shared" si="21"/>
        <x:v>1</x:v>
      </x:c>
      <x:c r="GU26" s="13"/>
      <x:c r="GV26" s="16"/>
      <x:c r="GW26" s="16" t="s">
        <x:v>426</x:v>
      </x:c>
      <x:c r="GX26" s="16"/>
      <x:c r="GY26" s="12">
        <x:f t="shared" si="22"/>
        <x:v>1</x:v>
      </x:c>
      <x:c r="GZ26" s="13" t="s">
        <x:v>426</x:v>
      </x:c>
      <x:c r="HA26" s="16"/>
      <x:c r="HB26" s="16"/>
      <x:c r="HC26" s="16" t="s">
        <x:v>426</x:v>
      </x:c>
      <x:c r="HD26" s="16" t="s">
        <x:v>426</x:v>
      </x:c>
      <x:c r="HE26" s="16"/>
      <x:c r="HF26" s="16"/>
      <x:c r="HG26" s="16" t="s">
        <x:v>426</x:v>
      </x:c>
      <x:c r="HH26" s="16"/>
      <x:c r="HI26" s="16"/>
      <x:c r="HJ26" s="16"/>
      <x:c r="HK26" s="17"/>
      <x:c r="HL26" s="12">
        <x:f t="shared" si="23"/>
        <x:v>1</x:v>
      </x:c>
      <x:c r="HM26" s="13"/>
      <x:c r="HN26" s="16"/>
      <x:c r="HO26" s="16"/>
      <x:c r="HP26" s="16"/>
      <x:c r="HQ26" s="16"/>
      <x:c r="HR26" s="16"/>
      <x:c r="HS26" s="16"/>
      <x:c r="HT26" s="16" t="s">
        <x:v>426</x:v>
      </x:c>
      <x:c r="HU26" s="16"/>
      <x:c r="HV26" s="17"/>
      <x:c r="HW26" s="12">
        <x:f t="shared" si="24"/>
        <x:v>1</x:v>
      </x:c>
      <x:c r="HX26" s="13"/>
      <x:c r="HY26" s="16"/>
      <x:c r="HZ26" s="16"/>
      <x:c r="IA26" s="16"/>
      <x:c r="IB26" s="16" t="s">
        <x:v>426</x:v>
      </x:c>
      <x:c r="IC26" s="12">
        <x:f t="shared" si="25"/>
        <x:v>1</x:v>
      </x:c>
      <x:c r="ID26" s="13" t="s">
        <x:v>426</x:v>
      </x:c>
      <x:c r="IE26" s="16"/>
      <x:c r="IF26" s="16" t="s">
        <x:v>426</x:v>
      </x:c>
      <x:c r="IG26" s="16"/>
      <x:c r="IH26" s="16"/>
      <x:c r="II26" s="16"/>
      <x:c r="IJ26" s="16"/>
      <x:c r="IK26" s="16"/>
      <x:c r="IL26" s="16"/>
      <x:c r="IM26" s="16"/>
      <x:c r="IN26" s="17"/>
      <x:c r="IO26" s="12">
        <x:f t="shared" si="26"/>
        <x:v>1</x:v>
      </x:c>
      <x:c r="IP26" s="13" t="s">
        <x:v>426</x:v>
      </x:c>
      <x:c r="IQ26" s="16"/>
      <x:c r="IR26" s="16"/>
      <x:c r="IS26" s="16"/>
      <x:c r="IT26" s="16"/>
      <x:c r="IU26" s="16"/>
      <x:c r="IV26" s="16"/>
      <x:c r="IW26" s="16"/>
      <x:c r="IX26" s="17"/>
      <x:c r="IY26" s="12">
        <x:f t="shared" si="27"/>
        <x:v>1</x:v>
      </x:c>
      <x:c r="IZ26" s="13"/>
      <x:c r="JA26" s="16"/>
      <x:c r="JB26" s="16"/>
      <x:c r="JC26" s="16"/>
      <x:c r="JD26" s="16"/>
      <x:c r="JE26" s="16"/>
      <x:c r="JF26" s="16"/>
      <x:c r="JG26" s="16"/>
      <x:c r="JH26" s="16"/>
      <x:c r="JI26" s="16"/>
      <x:c r="JJ26" s="16" t="s">
        <x:v>426</x:v>
      </x:c>
      <x:c r="JK26" s="16"/>
      <x:c r="JL26" s="16"/>
      <x:c r="JM26" s="16"/>
      <x:c r="JN26" s="16"/>
      <x:c r="JO26" s="16" t="s">
        <x:v>426</x:v>
      </x:c>
      <x:c r="JP26" s="16"/>
      <x:c r="JQ26" s="16"/>
      <x:c r="JR26" s="16"/>
      <x:c r="JS26" s="12">
        <x:f t="shared" si="28"/>
        <x:v>1</x:v>
      </x:c>
      <x:c r="JT26" s="13"/>
      <x:c r="JU26" s="16"/>
      <x:c r="JV26" s="16"/>
      <x:c r="JW26" s="16"/>
      <x:c r="JX26" s="16"/>
      <x:c r="JY26" s="16"/>
      <x:c r="JZ26" s="16"/>
      <x:c r="KA26" s="16"/>
      <x:c r="KB26" s="16"/>
      <x:c r="KC26" s="16"/>
      <x:c r="KD26" s="16"/>
      <x:c r="KE26" s="16"/>
      <x:c r="KF26" s="16"/>
      <x:c r="KG26" s="16"/>
      <x:c r="KH26" s="16"/>
      <x:c r="KI26" s="16"/>
      <x:c r="KJ26" s="16"/>
      <x:c r="KK26" s="16"/>
      <x:c r="KL26" s="16"/>
      <x:c r="KM26" s="12">
        <x:f t="shared" si="29"/>
        <x:v>0</x:v>
      </x:c>
      <x:c r="KN26" s="13"/>
      <x:c r="KO26" s="16"/>
      <x:c r="KP26" s="16"/>
      <x:c r="KQ26" s="16"/>
      <x:c r="KR26" s="16"/>
      <x:c r="KS26" s="16"/>
      <x:c r="KT26" s="16"/>
      <x:c r="KU26" s="16"/>
      <x:c r="KV26" s="16"/>
      <x:c r="KW26" s="16"/>
      <x:c r="KX26" s="16" t="s">
        <x:v>426</x:v>
      </x:c>
      <x:c r="KY26" s="16"/>
      <x:c r="KZ26" s="16" t="s">
        <x:v>426</x:v>
      </x:c>
      <x:c r="LA26" s="16"/>
      <x:c r="LB26" s="16"/>
      <x:c r="LC26" s="16" t="s">
        <x:v>426</x:v>
      </x:c>
      <x:c r="LD26" s="16"/>
      <x:c r="LE26" s="16"/>
      <x:c r="LF26" s="16"/>
      <x:c r="LG26" s="12">
        <x:f t="shared" si="30"/>
        <x:v>1</x:v>
      </x:c>
      <x:c r="LH26" s="13"/>
      <x:c r="LI26" s="16"/>
      <x:c r="LJ26" s="16"/>
      <x:c r="LK26" s="16"/>
      <x:c r="LL26" s="16"/>
      <x:c r="LM26" s="16"/>
      <x:c r="LN26" s="16"/>
      <x:c r="LO26" s="16"/>
      <x:c r="LP26" s="16"/>
      <x:c r="LQ26" s="17"/>
      <x:c r="LR26" s="12">
        <x:f t="shared" si="31"/>
        <x:v>0</x:v>
      </x:c>
      <x:c r="LS26" s="13" t="s">
        <x:v>426</x:v>
      </x:c>
      <x:c r="LT26" s="16" t="s">
        <x:v>426</x:v>
      </x:c>
      <x:c r="LU26" s="16" t="s">
        <x:v>426</x:v>
      </x:c>
      <x:c r="LV26" s="16"/>
      <x:c r="LW26" s="16"/>
      <x:c r="LX26" s="16"/>
      <x:c r="LY26" s="16"/>
      <x:c r="LZ26" s="16"/>
      <x:c r="MA26" s="16"/>
      <x:c r="MB26" s="17"/>
      <x:c r="MC26" s="12">
        <x:f t="shared" si="32"/>
        <x:v>1</x:v>
      </x:c>
      <x:c r="MD26" s="13" t="s">
        <x:v>426</x:v>
      </x:c>
      <x:c r="ME26" s="16"/>
      <x:c r="MF26" s="16"/>
      <x:c r="MG26" s="16"/>
      <x:c r="MH26" s="16"/>
      <x:c r="MI26" s="16"/>
      <x:c r="MJ26" s="16"/>
      <x:c r="MK26" s="12">
        <x:f t="shared" si="33"/>
        <x:v>1</x:v>
      </x:c>
      <x:c r="ML26" s="13"/>
      <x:c r="MM26" s="16"/>
      <x:c r="MN26" s="16"/>
      <x:c r="MO26" s="16"/>
      <x:c r="MP26" s="16"/>
      <x:c r="MQ26" s="16"/>
      <x:c r="MR26" s="16"/>
      <x:c r="MS26" s="16"/>
      <x:c r="MT26" s="16" t="s">
        <x:v>426</x:v>
      </x:c>
      <x:c r="MU26" s="17" t="s">
        <x:v>469</x:v>
      </x:c>
      <x:c r="MV26" s="12">
        <x:f t="shared" si="34"/>
        <x:v>1</x:v>
      </x:c>
      <x:c r="MW26" s="13"/>
      <x:c r="MX26" s="16"/>
      <x:c r="MY26" s="16"/>
      <x:c r="MZ26" s="16"/>
      <x:c r="NA26" s="16"/>
      <x:c r="NB26" s="16"/>
      <x:c r="NC26" s="16" t="s">
        <x:v>426</x:v>
      </x:c>
      <x:c r="ND26" s="16"/>
      <x:c r="NE26" s="16"/>
      <x:c r="NF26" s="17"/>
      <x:c r="NG26" s="12">
        <x:f t="shared" si="35"/>
        <x:v>1</x:v>
      </x:c>
      <x:c r="NH26" s="13"/>
      <x:c r="NI26" s="16"/>
      <x:c r="NJ26" s="16"/>
      <x:c r="NK26" s="16"/>
      <x:c r="NL26" s="16"/>
      <x:c r="NM26" s="16"/>
      <x:c r="NN26" s="16"/>
      <x:c r="NO26" s="16"/>
      <x:c r="NP26" s="16" t="s">
        <x:v>426</x:v>
      </x:c>
      <x:c r="NQ26" s="16"/>
      <x:c r="NR26" s="17"/>
      <x:c r="NS26" s="12">
        <x:f t="shared" si="36"/>
        <x:v>1</x:v>
      </x:c>
      <x:c r="NT26" s="13"/>
      <x:c r="NU26" s="16"/>
      <x:c r="NV26" s="16"/>
      <x:c r="NW26" s="16" t="s">
        <x:v>426</x:v>
      </x:c>
      <x:c r="NX26" s="16"/>
      <x:c r="NY26" s="12">
        <x:f t="shared" si="37"/>
        <x:v>1</x:v>
      </x:c>
      <x:c r="NZ26" s="13"/>
      <x:c r="OA26" s="16"/>
      <x:c r="OB26" s="16"/>
      <x:c r="OC26" s="16"/>
      <x:c r="OD26" s="16"/>
      <x:c r="OE26" s="16"/>
      <x:c r="OF26" s="16"/>
      <x:c r="OG26" s="16"/>
      <x:c r="OH26" s="16"/>
      <x:c r="OI26" s="16" t="s">
        <x:v>426</x:v>
      </x:c>
      <x:c r="OJ26" s="16"/>
      <x:c r="OK26" s="17"/>
      <x:c r="OL26" s="12">
        <x:f t="shared" si="38"/>
        <x:v>1</x:v>
      </x:c>
      <x:c r="OM26" s="13" t="s">
        <x:v>426</x:v>
      </x:c>
      <x:c r="ON26" s="16"/>
      <x:c r="OO26" s="16"/>
      <x:c r="OP26" s="16"/>
      <x:c r="OQ26" s="16" t="s">
        <x:v>426</x:v>
      </x:c>
      <x:c r="OR26" s="16"/>
      <x:c r="OS26" s="16"/>
      <x:c r="OT26" s="16"/>
      <x:c r="OU26" s="16"/>
      <x:c r="OV26" s="17"/>
      <x:c r="OW26" s="12">
        <x:f t="shared" si="39"/>
        <x:v>1</x:v>
      </x:c>
      <x:c r="OX26" s="13"/>
      <x:c r="OY26" s="16" t="s">
        <x:v>426</x:v>
      </x:c>
      <x:c r="OZ26" s="16"/>
      <x:c r="PA26" s="16"/>
      <x:c r="PB26" s="16"/>
      <x:c r="PC26" s="12">
        <x:f t="shared" si="40"/>
        <x:v>1</x:v>
      </x:c>
      <x:c r="PD26" s="13"/>
      <x:c r="PE26" s="16" t="s">
        <x:v>426</x:v>
      </x:c>
      <x:c r="PF26" s="16"/>
      <x:c r="PG26" s="16"/>
      <x:c r="PH26" s="16"/>
      <x:c r="PI26" s="16"/>
      <x:c r="PJ26" s="16" t="s">
        <x:v>426</x:v>
      </x:c>
      <x:c r="PK26" s="16"/>
      <x:c r="PL26" s="16"/>
      <x:c r="PM26" s="16"/>
      <x:c r="PN26" s="17"/>
      <x:c r="PO26" s="12">
        <x:f t="shared" si="41"/>
        <x:v>1</x:v>
      </x:c>
      <x:c r="PP26" s="13"/>
      <x:c r="PQ26" s="16"/>
      <x:c r="PR26" s="16" t="s">
        <x:v>426</x:v>
      </x:c>
      <x:c r="PS26" s="16"/>
      <x:c r="PT26" s="12">
        <x:f t="shared" si="42"/>
        <x:v>1</x:v>
      </x:c>
      <x:c r="PU26" s="13" t="s">
        <x:v>426</x:v>
      </x:c>
      <x:c r="PV26" s="16" t="s">
        <x:v>426</x:v>
      </x:c>
      <x:c r="PW26" s="16" t="s">
        <x:v>426</x:v>
      </x:c>
      <x:c r="PX26" s="16"/>
      <x:c r="PY26" s="16"/>
      <x:c r="PZ26" s="16"/>
      <x:c r="QA26" s="16"/>
      <x:c r="QB26" s="16"/>
      <x:c r="QC26" s="16"/>
      <x:c r="QD26" s="17"/>
      <x:c r="QE26" s="12">
        <x:f t="shared" si="43"/>
        <x:v>1</x:v>
      </x:c>
      <x:c r="QF26" s="13"/>
      <x:c r="QG26" s="16"/>
      <x:c r="QH26" s="16" t="s">
        <x:v>426</x:v>
      </x:c>
      <x:c r="QI26" s="16"/>
      <x:c r="QJ26" s="16" t="s">
        <x:v>426</x:v>
      </x:c>
      <x:c r="QK26" s="16"/>
      <x:c r="QL26" s="16" t="s">
        <x:v>426</x:v>
      </x:c>
      <x:c r="QM26" s="16"/>
      <x:c r="QN26" s="16"/>
      <x:c r="QO26" s="17"/>
      <x:c r="QP26" s="12">
        <x:f t="shared" si="44"/>
        <x:v>1</x:v>
      </x:c>
      <x:c r="QQ26" s="13"/>
      <x:c r="QR26" s="16"/>
      <x:c r="QS26" s="16"/>
      <x:c r="QT26" s="16"/>
      <x:c r="QU26" s="16"/>
      <x:c r="QV26" s="16"/>
      <x:c r="QW26" s="16"/>
      <x:c r="QX26" s="16" t="s">
        <x:v>426</x:v>
      </x:c>
      <x:c r="QY26" s="16"/>
      <x:c r="QZ26" s="17"/>
      <x:c r="RA26" s="12">
        <x:f t="shared" si="45"/>
        <x:v>1</x:v>
      </x:c>
      <x:c r="RB26" s="13"/>
      <x:c r="RC26" s="16"/>
      <x:c r="RD26" s="16"/>
      <x:c r="RE26" s="16" t="s">
        <x:v>426</x:v>
      </x:c>
      <x:c r="RF26" s="16"/>
      <x:c r="RG26" s="16"/>
      <x:c r="RH26" s="16"/>
      <x:c r="RI26" s="16"/>
      <x:c r="RJ26" s="17"/>
      <x:c r="RK26" s="12">
        <x:f t="shared" si="46"/>
        <x:v>1</x:v>
      </x:c>
      <x:c r="RL26" s="13" t="s">
        <x:v>426</x:v>
      </x:c>
      <x:c r="RM26" s="16"/>
      <x:c r="RN26" s="16"/>
      <x:c r="RO26" s="16"/>
      <x:c r="RP26" s="16" t="s">
        <x:v>426</x:v>
      </x:c>
      <x:c r="RQ26" s="16"/>
      <x:c r="RR26" s="16"/>
      <x:c r="RS26" s="16" t="s">
        <x:v>426</x:v>
      </x:c>
      <x:c r="RT26" s="16"/>
      <x:c r="RU26" s="17"/>
      <x:c r="RV26" s="12">
        <x:f t="shared" si="47"/>
        <x:v>1</x:v>
      </x:c>
      <x:c r="RW26" s="13"/>
      <x:c r="RX26" s="12">
        <x:f t="shared" si="48"/>
        <x:v>0</x:v>
      </x:c>
    </x:row>
    <x:row r="27" ht="16.5">
      <x:c r="A27" s="7" t="s">
        <x:v>470</x:v>
      </x:c>
      <x:c r="B27" s="8"/>
      <x:c r="C27" s="8"/>
      <x:c r="D27" s="8"/>
      <x:c r="E27" s="8"/>
      <x:c r="F27" s="8"/>
      <x:c r="G27" s="8"/>
      <x:c r="H27" s="8"/>
      <x:c r="I27" s="8"/>
      <x:c r="J27" s="8"/>
      <x:c r="K27" s="9"/>
      <x:c r="L27" s="7" t="s">
        <x:v>426</x:v>
      </x:c>
      <x:c r="M27" s="10"/>
      <x:c r="N27" s="10"/>
      <x:c r="O27" s="10"/>
      <x:c r="P27" s="11"/>
      <x:c r="Q27" s="12">
        <x:f t="shared" si="0"/>
        <x:v>1</x:v>
      </x:c>
      <x:c r="R27" s="7" t="s">
        <x:v>426</x:v>
      </x:c>
      <x:c r="S27" s="10"/>
      <x:c r="T27" s="10"/>
      <x:c r="U27" s="10"/>
      <x:c r="V27" s="10"/>
      <x:c r="W27" s="11"/>
      <x:c r="X27" s="12">
        <x:f t="shared" si="1"/>
        <x:v>1</x:v>
      </x:c>
      <x:c r="Y27" s="7"/>
      <x:c r="Z27" s="10"/>
      <x:c r="AA27" s="10" t="s">
        <x:v>426</x:v>
      </x:c>
      <x:c r="AB27" s="10"/>
      <x:c r="AC27" s="10"/>
      <x:c r="AD27" s="12">
        <x:f t="shared" si="2"/>
        <x:v>1</x:v>
      </x:c>
      <x:c r="AE27" s="7" t="s">
        <x:v>426</x:v>
      </x:c>
      <x:c r="AF27" s="10"/>
      <x:c r="AG27" s="10"/>
      <x:c r="AH27" s="10"/>
      <x:c r="AI27" s="10"/>
      <x:c r="AJ27" s="11"/>
      <x:c r="AK27" s="12">
        <x:f t="shared" si="3"/>
        <x:v>1</x:v>
      </x:c>
      <x:c r="AL27" s="7" t="s">
        <x:v>426</x:v>
      </x:c>
      <x:c r="AM27" s="10"/>
      <x:c r="AN27" s="10"/>
      <x:c r="AO27" s="12">
        <x:f t="shared" si="4"/>
        <x:v>1</x:v>
      </x:c>
      <x:c r="AP27" s="7"/>
      <x:c r="AQ27" s="10"/>
      <x:c r="AR27" s="10" t="s">
        <x:v>426</x:v>
      </x:c>
      <x:c r="AS27" s="10" t="s">
        <x:v>426</x:v>
      </x:c>
      <x:c r="AT27" s="10"/>
      <x:c r="AU27" s="10"/>
      <x:c r="AV27" s="10"/>
      <x:c r="AW27" s="11"/>
      <x:c r="AX27" s="12">
        <x:f t="shared" si="5"/>
        <x:v>1</x:v>
      </x:c>
      <x:c r="AY27" s="7"/>
      <x:c r="AZ27" s="10"/>
      <x:c r="BA27" s="10" t="s">
        <x:v>426</x:v>
      </x:c>
      <x:c r="BB27" s="10"/>
      <x:c r="BC27" s="10"/>
      <x:c r="BD27" s="10"/>
      <x:c r="BE27" s="10"/>
      <x:c r="BF27" s="10"/>
      <x:c r="BG27" s="11"/>
      <x:c r="BH27" s="12">
        <x:f t="shared" si="6"/>
        <x:v>1</x:v>
      </x:c>
      <x:c r="BI27" s="7" t="s">
        <x:v>426</x:v>
      </x:c>
      <x:c r="BJ27" s="10"/>
      <x:c r="BK27" s="10"/>
      <x:c r="BL27" s="10"/>
      <x:c r="BM27" s="10"/>
      <x:c r="BN27" s="10"/>
      <x:c r="BO27" s="10"/>
      <x:c r="BP27" s="11"/>
      <x:c r="BQ27" s="12">
        <x:f t="shared" si="7"/>
        <x:v>1</x:v>
      </x:c>
      <x:c r="BR27" s="7"/>
      <x:c r="BS27" s="10"/>
      <x:c r="BT27" s="10" t="s">
        <x:v>426</x:v>
      </x:c>
      <x:c r="BU27" s="10"/>
      <x:c r="BV27" s="10"/>
      <x:c r="BW27" s="10"/>
      <x:c r="BX27" s="10"/>
      <x:c r="BY27" s="11"/>
      <x:c r="BZ27" s="12">
        <x:f t="shared" si="8"/>
        <x:v>1</x:v>
      </x:c>
      <x:c r="CA27" s="7"/>
      <x:c r="CB27" s="10" t="s">
        <x:v>426</x:v>
      </x:c>
      <x:c r="CC27" s="10"/>
      <x:c r="CD27" s="10"/>
      <x:c r="CE27" s="10"/>
      <x:c r="CF27" s="10"/>
      <x:c r="CG27" s="10"/>
      <x:c r="CH27" s="10"/>
      <x:c r="CI27" s="10"/>
      <x:c r="CJ27" s="10"/>
      <x:c r="CK27" s="11"/>
      <x:c r="CL27" s="12">
        <x:f t="shared" si="9"/>
        <x:v>1</x:v>
      </x:c>
      <x:c r="CM27" s="7"/>
      <x:c r="CN27" s="10"/>
      <x:c r="CO27" s="10"/>
      <x:c r="CP27" s="10"/>
      <x:c r="CQ27" s="10"/>
      <x:c r="CR27" s="10"/>
      <x:c r="CS27" s="10" t="s">
        <x:v>426</x:v>
      </x:c>
      <x:c r="CT27" s="10" t="s">
        <x:v>426</x:v>
      </x:c>
      <x:c r="CU27" s="10" t="s">
        <x:v>426</x:v>
      </x:c>
      <x:c r="CV27" s="10" t="s">
        <x:v>426</x:v>
      </x:c>
      <x:c r="CW27" s="10" t="s">
        <x:v>426</x:v>
      </x:c>
      <x:c r="CX27" s="10" t="s">
        <x:v>426</x:v>
      </x:c>
      <x:c r="CY27" s="10"/>
      <x:c r="CZ27" s="10"/>
      <x:c r="DA27" s="11"/>
      <x:c r="DB27" s="12">
        <x:f t="shared" si="10"/>
        <x:v>1</x:v>
      </x:c>
      <x:c r="DC27" s="7"/>
      <x:c r="DD27" s="12">
        <x:f t="shared" si="11"/>
        <x:v>0</x:v>
      </x:c>
      <x:c r="DE27" s="7" t="s">
        <x:v>426</x:v>
      </x:c>
      <x:c r="DF27" s="10"/>
      <x:c r="DG27" s="10"/>
      <x:c r="DH27" s="10"/>
      <x:c r="DI27" s="10"/>
      <x:c r="DJ27" s="10"/>
      <x:c r="DK27" s="10"/>
      <x:c r="DL27" s="10"/>
      <x:c r="DM27" s="11"/>
      <x:c r="DN27" s="12">
        <x:f t="shared" si="12"/>
        <x:v>1</x:v>
      </x:c>
      <x:c r="DO27" s="7"/>
      <x:c r="DP27" s="10"/>
      <x:c r="DQ27" s="10"/>
      <x:c r="DR27" s="10"/>
      <x:c r="DS27" s="10" t="s">
        <x:v>426</x:v>
      </x:c>
      <x:c r="DT27" s="12">
        <x:f t="shared" si="13"/>
        <x:v>1</x:v>
      </x:c>
      <x:c r="DU27" s="7"/>
      <x:c r="DV27" s="10" t="s">
        <x:v>426</x:v>
      </x:c>
      <x:c r="DW27" s="10" t="s">
        <x:v>426</x:v>
      </x:c>
      <x:c r="DX27" s="10"/>
      <x:c r="DY27" s="10" t="s">
        <x:v>426</x:v>
      </x:c>
      <x:c r="DZ27" s="10" t="s">
        <x:v>426</x:v>
      </x:c>
      <x:c r="EA27" s="10"/>
      <x:c r="EB27" s="10" t="s">
        <x:v>426</x:v>
      </x:c>
      <x:c r="EC27" s="10"/>
      <x:c r="ED27" s="11"/>
      <x:c r="EE27" s="12">
        <x:f t="shared" si="14"/>
        <x:v>1</x:v>
      </x:c>
      <x:c r="EF27" s="7" t="s">
        <x:v>426</x:v>
      </x:c>
      <x:c r="EG27" s="10" t="s">
        <x:v>426</x:v>
      </x:c>
      <x:c r="EH27" s="10" t="s">
        <x:v>426</x:v>
      </x:c>
      <x:c r="EI27" s="10" t="s">
        <x:v>426</x:v>
      </x:c>
      <x:c r="EJ27" s="10"/>
      <x:c r="EK27" s="10"/>
      <x:c r="EL27" s="10" t="s">
        <x:v>426</x:v>
      </x:c>
      <x:c r="EM27" s="10" t="s">
        <x:v>426</x:v>
      </x:c>
      <x:c r="EN27" s="10"/>
      <x:c r="EO27" s="10"/>
      <x:c r="EP27" s="11"/>
      <x:c r="EQ27" s="12">
        <x:f t="shared" si="15"/>
        <x:v>1</x:v>
      </x:c>
      <x:c r="ER27" s="7" t="s">
        <x:v>426</x:v>
      </x:c>
      <x:c r="ES27" s="10"/>
      <x:c r="ET27" s="10"/>
      <x:c r="EU27" s="10"/>
      <x:c r="EV27" s="12">
        <x:f t="shared" si="16"/>
        <x:v>1</x:v>
      </x:c>
      <x:c r="EW27" s="7" t="s">
        <x:v>426</x:v>
      </x:c>
      <x:c r="EX27" s="10"/>
      <x:c r="EY27" s="10"/>
      <x:c r="EZ27" s="10" t="s">
        <x:v>426</x:v>
      </x:c>
      <x:c r="FA27" s="10"/>
      <x:c r="FB27" s="10" t="s">
        <x:v>426</x:v>
      </x:c>
      <x:c r="FC27" s="10"/>
      <x:c r="FD27" s="10"/>
      <x:c r="FE27" s="11"/>
      <x:c r="FF27" s="12">
        <x:f t="shared" si="17"/>
        <x:v>1</x:v>
      </x:c>
      <x:c r="FG27" s="7" t="s">
        <x:v>426</x:v>
      </x:c>
      <x:c r="FH27" s="10"/>
      <x:c r="FI27" s="10"/>
      <x:c r="FJ27" s="10"/>
      <x:c r="FK27" s="10"/>
      <x:c r="FL27" s="10"/>
      <x:c r="FM27" s="10"/>
      <x:c r="FN27" s="10"/>
      <x:c r="FO27" s="10"/>
      <x:c r="FP27" s="10"/>
      <x:c r="FQ27" s="10"/>
      <x:c r="FR27" s="10"/>
      <x:c r="FS27" s="10"/>
      <x:c r="FT27" s="10"/>
      <x:c r="FU27" s="11"/>
      <x:c r="FV27" s="12">
        <x:f t="shared" si="18"/>
        <x:v>1</x:v>
      </x:c>
      <x:c r="FW27" s="7" t="s">
        <x:v>426</x:v>
      </x:c>
      <x:c r="FX27" s="10" t="s">
        <x:v>426</x:v>
      </x:c>
      <x:c r="FY27" s="10"/>
      <x:c r="FZ27" s="10" t="s">
        <x:v>426</x:v>
      </x:c>
      <x:c r="GA27" s="10"/>
      <x:c r="GB27" s="10" t="s">
        <x:v>426</x:v>
      </x:c>
      <x:c r="GC27" s="10"/>
      <x:c r="GD27" s="10"/>
      <x:c r="GE27" s="11"/>
      <x:c r="GF27" s="12">
        <x:f t="shared" si="19"/>
        <x:v>1</x:v>
      </x:c>
      <x:c r="GG27" s="7"/>
      <x:c r="GH27" s="10" t="s">
        <x:v>426</x:v>
      </x:c>
      <x:c r="GI27" s="10" t="s">
        <x:v>426</x:v>
      </x:c>
      <x:c r="GJ27" s="10"/>
      <x:c r="GK27" s="10"/>
      <x:c r="GL27" s="10"/>
      <x:c r="GM27" s="12">
        <x:f t="shared" si="20"/>
        <x:v>1</x:v>
      </x:c>
      <x:c r="GN27" s="7"/>
      <x:c r="GO27" s="10" t="s">
        <x:v>426</x:v>
      </x:c>
      <x:c r="GP27" s="10" t="s">
        <x:v>426</x:v>
      </x:c>
      <x:c r="GQ27" s="10"/>
      <x:c r="GR27" s="10"/>
      <x:c r="GS27" s="10"/>
      <x:c r="GT27" s="12">
        <x:f t="shared" si="21"/>
        <x:v>1</x:v>
      </x:c>
      <x:c r="GU27" s="7"/>
      <x:c r="GV27" s="10"/>
      <x:c r="GW27" s="10"/>
      <x:c r="GX27" s="10" t="s">
        <x:v>426</x:v>
      </x:c>
      <x:c r="GY27" s="12">
        <x:f t="shared" si="22"/>
        <x:v>1</x:v>
      </x:c>
      <x:c r="GZ27" s="7" t="s">
        <x:v>426</x:v>
      </x:c>
      <x:c r="HA27" s="10"/>
      <x:c r="HB27" s="10" t="s">
        <x:v>426</x:v>
      </x:c>
      <x:c r="HC27" s="10"/>
      <x:c r="HD27" s="10"/>
      <x:c r="HE27" s="10" t="s">
        <x:v>426</x:v>
      </x:c>
      <x:c r="HF27" s="10"/>
      <x:c r="HG27" s="10"/>
      <x:c r="HH27" s="10"/>
      <x:c r="HI27" s="10"/>
      <x:c r="HJ27" s="10"/>
      <x:c r="HK27" s="11"/>
      <x:c r="HL27" s="12">
        <x:f t="shared" si="23"/>
        <x:v>1</x:v>
      </x:c>
      <x:c r="HM27" s="7"/>
      <x:c r="HN27" s="10"/>
      <x:c r="HO27" s="10"/>
      <x:c r="HP27" s="10" t="s">
        <x:v>426</x:v>
      </x:c>
      <x:c r="HQ27" s="10"/>
      <x:c r="HR27" s="10" t="s">
        <x:v>426</x:v>
      </x:c>
      <x:c r="HS27" s="10"/>
      <x:c r="HT27" s="10"/>
      <x:c r="HU27" s="10"/>
      <x:c r="HV27" s="11"/>
      <x:c r="HW27" s="12">
        <x:f t="shared" si="24"/>
        <x:v>1</x:v>
      </x:c>
      <x:c r="HX27" s="7"/>
      <x:c r="HY27" s="10"/>
      <x:c r="HZ27" s="10" t="s">
        <x:v>426</x:v>
      </x:c>
      <x:c r="IA27" s="10"/>
      <x:c r="IB27" s="10"/>
      <x:c r="IC27" s="12">
        <x:f t="shared" si="25"/>
        <x:v>1</x:v>
      </x:c>
      <x:c r="ID27" s="7" t="s">
        <x:v>426</x:v>
      </x:c>
      <x:c r="IE27" s="10" t="s">
        <x:v>426</x:v>
      </x:c>
      <x:c r="IF27" s="10"/>
      <x:c r="IG27" s="10"/>
      <x:c r="IH27" s="10" t="s">
        <x:v>426</x:v>
      </x:c>
      <x:c r="II27" s="10"/>
      <x:c r="IJ27" s="10"/>
      <x:c r="IK27" s="10"/>
      <x:c r="IL27" s="10"/>
      <x:c r="IM27" s="10"/>
      <x:c r="IN27" s="11"/>
      <x:c r="IO27" s="12">
        <x:f t="shared" si="26"/>
        <x:v>1</x:v>
      </x:c>
      <x:c r="IP27" s="7"/>
      <x:c r="IQ27" s="10" t="s">
        <x:v>426</x:v>
      </x:c>
      <x:c r="IR27" s="10"/>
      <x:c r="IS27" s="10" t="s">
        <x:v>426</x:v>
      </x:c>
      <x:c r="IT27" s="10"/>
      <x:c r="IU27" s="10" t="s">
        <x:v>426</x:v>
      </x:c>
      <x:c r="IV27" s="10" t="s">
        <x:v>426</x:v>
      </x:c>
      <x:c r="IW27" s="10"/>
      <x:c r="IX27" s="11"/>
      <x:c r="IY27" s="12">
        <x:f t="shared" si="27"/>
        <x:v>1</x:v>
      </x:c>
      <x:c r="IZ27" s="7"/>
      <x:c r="JA27" s="10"/>
      <x:c r="JB27" s="10"/>
      <x:c r="JC27" s="10"/>
      <x:c r="JD27" s="10"/>
      <x:c r="JE27" s="10"/>
      <x:c r="JF27" s="10"/>
      <x:c r="JG27" s="10"/>
      <x:c r="JH27" s="10"/>
      <x:c r="JI27" s="10"/>
      <x:c r="JJ27" s="10"/>
      <x:c r="JK27" s="10"/>
      <x:c r="JL27" s="10"/>
      <x:c r="JM27" s="10"/>
      <x:c r="JN27" s="10"/>
      <x:c r="JO27" s="10"/>
      <x:c r="JP27" s="10"/>
      <x:c r="JQ27" s="10"/>
      <x:c r="JR27" s="10" t="s">
        <x:v>426</x:v>
      </x:c>
      <x:c r="JS27" s="12">
        <x:f t="shared" si="28"/>
        <x:v>1</x:v>
      </x:c>
      <x:c r="JT27" s="7" t="s">
        <x:v>426</x:v>
      </x:c>
      <x:c r="JU27" s="10" t="s">
        <x:v>426</x:v>
      </x:c>
      <x:c r="JV27" s="10" t="s">
        <x:v>426</x:v>
      </x:c>
      <x:c r="JW27" s="10" t="s">
        <x:v>426</x:v>
      </x:c>
      <x:c r="JX27" s="10" t="s">
        <x:v>426</x:v>
      </x:c>
      <x:c r="JY27" s="10" t="s">
        <x:v>426</x:v>
      </x:c>
      <x:c r="JZ27" s="10" t="s">
        <x:v>426</x:v>
      </x:c>
      <x:c r="KA27" s="10" t="s">
        <x:v>426</x:v>
      </x:c>
      <x:c r="KB27" s="10" t="s">
        <x:v>426</x:v>
      </x:c>
      <x:c r="KC27" s="10" t="s">
        <x:v>426</x:v>
      </x:c>
      <x:c r="KD27" s="10" t="s">
        <x:v>426</x:v>
      </x:c>
      <x:c r="KE27" s="10" t="s">
        <x:v>426</x:v>
      </x:c>
      <x:c r="KF27" s="10" t="s">
        <x:v>426</x:v>
      </x:c>
      <x:c r="KG27" s="10" t="s">
        <x:v>426</x:v>
      </x:c>
      <x:c r="KH27" s="10" t="s">
        <x:v>426</x:v>
      </x:c>
      <x:c r="KI27" s="10" t="s">
        <x:v>426</x:v>
      </x:c>
      <x:c r="KJ27" s="10" t="s">
        <x:v>426</x:v>
      </x:c>
      <x:c r="KK27" s="10" t="s">
        <x:v>426</x:v>
      </x:c>
      <x:c r="KL27" s="10"/>
      <x:c r="KM27" s="12">
        <x:f t="shared" si="29"/>
        <x:v>1</x:v>
      </x:c>
      <x:c r="KN27" s="7"/>
      <x:c r="KO27" s="10"/>
      <x:c r="KP27" s="10"/>
      <x:c r="KQ27" s="10"/>
      <x:c r="KR27" s="10"/>
      <x:c r="KS27" s="10"/>
      <x:c r="KT27" s="10"/>
      <x:c r="KU27" s="10"/>
      <x:c r="KV27" s="10"/>
      <x:c r="KW27" s="10"/>
      <x:c r="KX27" s="10"/>
      <x:c r="KY27" s="10"/>
      <x:c r="KZ27" s="10"/>
      <x:c r="LA27" s="10"/>
      <x:c r="LB27" s="10" t="s">
        <x:v>426</x:v>
      </x:c>
      <x:c r="LC27" s="10"/>
      <x:c r="LD27" s="10"/>
      <x:c r="LE27" s="10"/>
      <x:c r="LF27" s="10"/>
      <x:c r="LG27" s="12">
        <x:f t="shared" si="30"/>
        <x:v>1</x:v>
      </x:c>
      <x:c r="LH27" s="7"/>
      <x:c r="LI27" s="10"/>
      <x:c r="LJ27" s="10"/>
      <x:c r="LK27" s="10" t="s">
        <x:v>426</x:v>
      </x:c>
      <x:c r="LL27" s="10" t="s">
        <x:v>426</x:v>
      </x:c>
      <x:c r="LM27" s="10"/>
      <x:c r="LN27" s="10"/>
      <x:c r="LO27" s="10"/>
      <x:c r="LP27" s="10"/>
      <x:c r="LQ27" s="11"/>
      <x:c r="LR27" s="12">
        <x:f t="shared" si="31"/>
        <x:v>1</x:v>
      </x:c>
      <x:c r="LS27" s="7"/>
      <x:c r="LT27" s="10"/>
      <x:c r="LU27" s="10"/>
      <x:c r="LV27" s="10"/>
      <x:c r="LW27" s="10"/>
      <x:c r="LX27" s="10"/>
      <x:c r="LY27" s="10" t="s">
        <x:v>426</x:v>
      </x:c>
      <x:c r="LZ27" s="10"/>
      <x:c r="MA27" s="10"/>
      <x:c r="MB27" s="11"/>
      <x:c r="MC27" s="12">
        <x:f t="shared" si="32"/>
        <x:v>1</x:v>
      </x:c>
      <x:c r="MD27" s="7"/>
      <x:c r="ME27" s="10"/>
      <x:c r="MF27" s="10"/>
      <x:c r="MG27" s="10"/>
      <x:c r="MH27" s="10"/>
      <x:c r="MI27" s="10" t="s">
        <x:v>426</x:v>
      </x:c>
      <x:c r="MJ27" s="10"/>
      <x:c r="MK27" s="12">
        <x:f t="shared" si="33"/>
        <x:v>1</x:v>
      </x:c>
      <x:c r="ML27" s="7"/>
      <x:c r="MM27" s="10"/>
      <x:c r="MN27" s="10"/>
      <x:c r="MO27" s="10"/>
      <x:c r="MP27" s="10"/>
      <x:c r="MQ27" s="10"/>
      <x:c r="MR27" s="10" t="s">
        <x:v>426</x:v>
      </x:c>
      <x:c r="MS27" s="10"/>
      <x:c r="MT27" s="10"/>
      <x:c r="MU27" s="11"/>
      <x:c r="MV27" s="12">
        <x:f t="shared" si="34"/>
        <x:v>1</x:v>
      </x:c>
      <x:c r="MW27" s="7"/>
      <x:c r="MX27" s="10"/>
      <x:c r="MY27" s="10"/>
      <x:c r="MZ27" s="10"/>
      <x:c r="NA27" s="10"/>
      <x:c r="NB27" s="10"/>
      <x:c r="NC27" s="10" t="s">
        <x:v>426</x:v>
      </x:c>
      <x:c r="ND27" s="10"/>
      <x:c r="NE27" s="10"/>
      <x:c r="NF27" s="11"/>
      <x:c r="NG27" s="12">
        <x:f t="shared" si="35"/>
        <x:v>1</x:v>
      </x:c>
      <x:c r="NH27" s="7"/>
      <x:c r="NI27" s="10"/>
      <x:c r="NJ27" s="10"/>
      <x:c r="NK27" s="10"/>
      <x:c r="NL27" s="10"/>
      <x:c r="NM27" s="10"/>
      <x:c r="NN27" s="10"/>
      <x:c r="NO27" s="10"/>
      <x:c r="NP27" s="10" t="s">
        <x:v>426</x:v>
      </x:c>
      <x:c r="NQ27" s="10"/>
      <x:c r="NR27" s="11"/>
      <x:c r="NS27" s="12">
        <x:f t="shared" si="36"/>
        <x:v>1</x:v>
      </x:c>
      <x:c r="NT27" s="7" t="s">
        <x:v>426</x:v>
      </x:c>
      <x:c r="NU27" s="10"/>
      <x:c r="NV27" s="10"/>
      <x:c r="NW27" s="10"/>
      <x:c r="NX27" s="10"/>
      <x:c r="NY27" s="12">
        <x:f t="shared" si="37"/>
        <x:v>1</x:v>
      </x:c>
      <x:c r="NZ27" s="7"/>
      <x:c r="OA27" s="10"/>
      <x:c r="OB27" s="10"/>
      <x:c r="OC27" s="10"/>
      <x:c r="OD27" s="10"/>
      <x:c r="OE27" s="10"/>
      <x:c r="OF27" s="10"/>
      <x:c r="OG27" s="10"/>
      <x:c r="OH27" s="10"/>
      <x:c r="OI27" s="10"/>
      <x:c r="OJ27" s="10" t="s">
        <x:v>426</x:v>
      </x:c>
      <x:c r="OK27" s="11"/>
      <x:c r="OL27" s="12">
        <x:f t="shared" si="38"/>
        <x:v>1</x:v>
      </x:c>
      <x:c r="OM27" s="7" t="s">
        <x:v>426</x:v>
      </x:c>
      <x:c r="ON27" s="10" t="s">
        <x:v>426</x:v>
      </x:c>
      <x:c r="OO27" s="10" t="s">
        <x:v>426</x:v>
      </x:c>
      <x:c r="OP27" s="10" t="s">
        <x:v>426</x:v>
      </x:c>
      <x:c r="OQ27" s="10" t="s">
        <x:v>426</x:v>
      </x:c>
      <x:c r="OR27" s="10" t="s">
        <x:v>426</x:v>
      </x:c>
      <x:c r="OS27" s="10"/>
      <x:c r="OT27" s="10"/>
      <x:c r="OU27" s="10"/>
      <x:c r="OV27" s="11"/>
      <x:c r="OW27" s="12">
        <x:f t="shared" si="39"/>
        <x:v>1</x:v>
      </x:c>
      <x:c r="OX27" s="7"/>
      <x:c r="OY27" s="10"/>
      <x:c r="OZ27" s="10"/>
      <x:c r="PA27" s="10"/>
      <x:c r="PB27" s="10" t="s">
        <x:v>426</x:v>
      </x:c>
      <x:c r="PC27" s="12">
        <x:f t="shared" si="40"/>
        <x:v>1</x:v>
      </x:c>
      <x:c r="PD27" s="7" t="s">
        <x:v>426</x:v>
      </x:c>
      <x:c r="PE27" s="10" t="s">
        <x:v>426</x:v>
      </x:c>
      <x:c r="PF27" s="10" t="s">
        <x:v>426</x:v>
      </x:c>
      <x:c r="PG27" s="10"/>
      <x:c r="PH27" s="10"/>
      <x:c r="PI27" s="10"/>
      <x:c r="PJ27" s="10" t="s">
        <x:v>426</x:v>
      </x:c>
      <x:c r="PK27" s="10"/>
      <x:c r="PL27" s="10"/>
      <x:c r="PM27" s="10"/>
      <x:c r="PN27" s="11"/>
      <x:c r="PO27" s="12">
        <x:f t="shared" si="41"/>
        <x:v>1</x:v>
      </x:c>
      <x:c r="PP27" s="7"/>
      <x:c r="PQ27" s="10"/>
      <x:c r="PR27" s="10" t="s">
        <x:v>426</x:v>
      </x:c>
      <x:c r="PS27" s="10"/>
      <x:c r="PT27" s="12">
        <x:f t="shared" si="42"/>
        <x:v>1</x:v>
      </x:c>
      <x:c r="PU27" s="7" t="s">
        <x:v>426</x:v>
      </x:c>
      <x:c r="PV27" s="10"/>
      <x:c r="PW27" s="10"/>
      <x:c r="PX27" s="10"/>
      <x:c r="PY27" s="10"/>
      <x:c r="PZ27" s="10"/>
      <x:c r="QA27" s="10"/>
      <x:c r="QB27" s="10"/>
      <x:c r="QC27" s="10"/>
      <x:c r="QD27" s="11"/>
      <x:c r="QE27" s="12">
        <x:f t="shared" si="43"/>
        <x:v>1</x:v>
      </x:c>
      <x:c r="QF27" s="7" t="s">
        <x:v>426</x:v>
      </x:c>
      <x:c r="QG27" s="10"/>
      <x:c r="QH27" s="10"/>
      <x:c r="QI27" s="10" t="s">
        <x:v>426</x:v>
      </x:c>
      <x:c r="QJ27" s="10" t="s">
        <x:v>426</x:v>
      </x:c>
      <x:c r="QK27" s="10" t="s">
        <x:v>426</x:v>
      </x:c>
      <x:c r="QL27" s="10" t="s">
        <x:v>426</x:v>
      </x:c>
      <x:c r="QM27" s="10" t="s">
        <x:v>426</x:v>
      </x:c>
      <x:c r="QN27" s="10"/>
      <x:c r="QO27" s="11"/>
      <x:c r="QP27" s="12">
        <x:f t="shared" si="44"/>
        <x:v>1</x:v>
      </x:c>
      <x:c r="QQ27" s="7"/>
      <x:c r="QR27" s="10"/>
      <x:c r="QS27" s="10"/>
      <x:c r="QT27" s="10"/>
      <x:c r="QU27" s="10"/>
      <x:c r="QV27" s="10"/>
      <x:c r="QW27" s="10"/>
      <x:c r="QX27" s="10" t="s">
        <x:v>426</x:v>
      </x:c>
      <x:c r="QY27" s="10"/>
      <x:c r="QZ27" s="11"/>
      <x:c r="RA27" s="12">
        <x:f t="shared" si="45"/>
        <x:v>1</x:v>
      </x:c>
      <x:c r="RB27" s="7"/>
      <x:c r="RC27" s="10"/>
      <x:c r="RD27" s="10"/>
      <x:c r="RE27" s="10"/>
      <x:c r="RF27" s="10"/>
      <x:c r="RG27" s="10"/>
      <x:c r="RH27" s="10" t="s">
        <x:v>426</x:v>
      </x:c>
      <x:c r="RI27" s="10"/>
      <x:c r="RJ27" s="11"/>
      <x:c r="RK27" s="12">
        <x:f t="shared" si="46"/>
        <x:v>1</x:v>
      </x:c>
      <x:c r="RL27" s="7" t="s">
        <x:v>426</x:v>
      </x:c>
      <x:c r="RM27" s="10" t="s">
        <x:v>426</x:v>
      </x:c>
      <x:c r="RN27" s="10" t="s">
        <x:v>426</x:v>
      </x:c>
      <x:c r="RO27" s="10"/>
      <x:c r="RP27" s="10"/>
      <x:c r="RQ27" s="10"/>
      <x:c r="RR27" s="10"/>
      <x:c r="RS27" s="10"/>
      <x:c r="RT27" s="10"/>
      <x:c r="RU27" s="11"/>
      <x:c r="RV27" s="12">
        <x:f t="shared" si="47"/>
        <x:v>1</x:v>
      </x:c>
      <x:c r="RW27" s="7"/>
      <x:c r="RX27" s="12">
        <x:f t="shared" si="48"/>
        <x:v>0</x:v>
      </x:c>
    </x:row>
    <x:row r="28" ht="16.5">
      <x:c r="A28" s="13" t="s">
        <x:v>471</x:v>
      </x:c>
      <x:c r="B28" s="14"/>
      <x:c r="C28" s="14"/>
      <x:c r="D28" s="14"/>
      <x:c r="E28" s="14"/>
      <x:c r="F28" s="14"/>
      <x:c r="G28" s="14"/>
      <x:c r="H28" s="14"/>
      <x:c r="I28" s="14"/>
      <x:c r="J28" s="14"/>
      <x:c r="K28" s="15"/>
      <x:c r="L28" s="13"/>
      <x:c r="M28" s="16" t="s">
        <x:v>426</x:v>
      </x:c>
      <x:c r="N28" s="16"/>
      <x:c r="O28" s="16"/>
      <x:c r="P28" s="17"/>
      <x:c r="Q28" s="12">
        <x:f t="shared" si="0"/>
        <x:v>1</x:v>
      </x:c>
      <x:c r="R28" s="13"/>
      <x:c r="S28" s="16"/>
      <x:c r="T28" s="16" t="s">
        <x:v>426</x:v>
      </x:c>
      <x:c r="U28" s="16"/>
      <x:c r="V28" s="16"/>
      <x:c r="W28" s="17"/>
      <x:c r="X28" s="12">
        <x:f t="shared" si="1"/>
        <x:v>1</x:v>
      </x:c>
      <x:c r="Y28" s="13"/>
      <x:c r="Z28" s="16" t="s">
        <x:v>426</x:v>
      </x:c>
      <x:c r="AA28" s="16"/>
      <x:c r="AB28" s="16"/>
      <x:c r="AC28" s="16"/>
      <x:c r="AD28" s="12">
        <x:f t="shared" si="2"/>
        <x:v>1</x:v>
      </x:c>
      <x:c r="AE28" s="13"/>
      <x:c r="AF28" s="16"/>
      <x:c r="AG28" s="16"/>
      <x:c r="AH28" s="16" t="s">
        <x:v>426</x:v>
      </x:c>
      <x:c r="AI28" s="16"/>
      <x:c r="AJ28" s="17"/>
      <x:c r="AK28" s="12">
        <x:f t="shared" si="3"/>
        <x:v>1</x:v>
      </x:c>
      <x:c r="AL28" s="13" t="s">
        <x:v>426</x:v>
      </x:c>
      <x:c r="AM28" s="16"/>
      <x:c r="AN28" s="16"/>
      <x:c r="AO28" s="12">
        <x:f t="shared" si="4"/>
        <x:v>1</x:v>
      </x:c>
      <x:c r="AP28" s="13"/>
      <x:c r="AQ28" s="16"/>
      <x:c r="AR28" s="16" t="s">
        <x:v>426</x:v>
      </x:c>
      <x:c r="AS28" s="16"/>
      <x:c r="AT28" s="16"/>
      <x:c r="AU28" s="16"/>
      <x:c r="AV28" s="16"/>
      <x:c r="AW28" s="17"/>
      <x:c r="AX28" s="12">
        <x:f t="shared" si="5"/>
        <x:v>1</x:v>
      </x:c>
      <x:c r="AY28" s="13"/>
      <x:c r="AZ28" s="16"/>
      <x:c r="BA28" s="16"/>
      <x:c r="BB28" s="16" t="s">
        <x:v>426</x:v>
      </x:c>
      <x:c r="BC28" s="16"/>
      <x:c r="BD28" s="16"/>
      <x:c r="BE28" s="16"/>
      <x:c r="BF28" s="16"/>
      <x:c r="BG28" s="17"/>
      <x:c r="BH28" s="12">
        <x:f t="shared" si="6"/>
        <x:v>1</x:v>
      </x:c>
      <x:c r="BI28" s="13" t="s">
        <x:v>426</x:v>
      </x:c>
      <x:c r="BJ28" s="16"/>
      <x:c r="BK28" s="16"/>
      <x:c r="BL28" s="16"/>
      <x:c r="BM28" s="16"/>
      <x:c r="BN28" s="16"/>
      <x:c r="BO28" s="16"/>
      <x:c r="BP28" s="17"/>
      <x:c r="BQ28" s="12">
        <x:f t="shared" si="7"/>
        <x:v>1</x:v>
      </x:c>
      <x:c r="BR28" s="13"/>
      <x:c r="BS28" s="16"/>
      <x:c r="BT28" s="16" t="s">
        <x:v>426</x:v>
      </x:c>
      <x:c r="BU28" s="16"/>
      <x:c r="BV28" s="16"/>
      <x:c r="BW28" s="16"/>
      <x:c r="BX28" s="16"/>
      <x:c r="BY28" s="17"/>
      <x:c r="BZ28" s="12">
        <x:f t="shared" si="8"/>
        <x:v>1</x:v>
      </x:c>
      <x:c r="CA28" s="13"/>
      <x:c r="CB28" s="16" t="s">
        <x:v>426</x:v>
      </x:c>
      <x:c r="CC28" s="16"/>
      <x:c r="CD28" s="16"/>
      <x:c r="CE28" s="16"/>
      <x:c r="CF28" s="16"/>
      <x:c r="CG28" s="16"/>
      <x:c r="CH28" s="16"/>
      <x:c r="CI28" s="16"/>
      <x:c r="CJ28" s="16"/>
      <x:c r="CK28" s="17"/>
      <x:c r="CL28" s="12">
        <x:f t="shared" si="9"/>
        <x:v>1</x:v>
      </x:c>
      <x:c r="CM28" s="13"/>
      <x:c r="CN28" s="16"/>
      <x:c r="CO28" s="16"/>
      <x:c r="CP28" s="16"/>
      <x:c r="CQ28" s="16"/>
      <x:c r="CR28" s="16" t="s">
        <x:v>426</x:v>
      </x:c>
      <x:c r="CS28" s="16"/>
      <x:c r="CT28" s="16"/>
      <x:c r="CU28" s="16"/>
      <x:c r="CV28" s="16"/>
      <x:c r="CW28" s="16"/>
      <x:c r="CX28" s="16" t="s">
        <x:v>426</x:v>
      </x:c>
      <x:c r="CY28" s="16"/>
      <x:c r="CZ28" s="16"/>
      <x:c r="DA28" s="17"/>
      <x:c r="DB28" s="12">
        <x:f t="shared" si="10"/>
        <x:v>1</x:v>
      </x:c>
      <x:c r="DC28" s="13"/>
      <x:c r="DD28" s="12">
        <x:f t="shared" si="11"/>
        <x:v>0</x:v>
      </x:c>
      <x:c r="DE28" s="13" t="s">
        <x:v>426</x:v>
      </x:c>
      <x:c r="DF28" s="16"/>
      <x:c r="DG28" s="16"/>
      <x:c r="DH28" s="16"/>
      <x:c r="DI28" s="16"/>
      <x:c r="DJ28" s="16"/>
      <x:c r="DK28" s="16"/>
      <x:c r="DL28" s="16"/>
      <x:c r="DM28" s="17"/>
      <x:c r="DN28" s="12">
        <x:f t="shared" si="12"/>
        <x:v>1</x:v>
      </x:c>
      <x:c r="DO28" s="13"/>
      <x:c r="DP28" s="16" t="s">
        <x:v>426</x:v>
      </x:c>
      <x:c r="DQ28" s="16"/>
      <x:c r="DR28" s="16"/>
      <x:c r="DS28" s="16"/>
      <x:c r="DT28" s="12">
        <x:f t="shared" si="13"/>
        <x:v>1</x:v>
      </x:c>
      <x:c r="DU28" s="13"/>
      <x:c r="DV28" s="16"/>
      <x:c r="DW28" s="16"/>
      <x:c r="DX28" s="16"/>
      <x:c r="DY28" s="16"/>
      <x:c r="DZ28" s="16"/>
      <x:c r="EA28" s="16"/>
      <x:c r="EB28" s="16"/>
      <x:c r="EC28" s="16"/>
      <x:c r="ED28" s="17"/>
      <x:c r="EE28" s="12">
        <x:f t="shared" si="14"/>
        <x:v>0</x:v>
      </x:c>
      <x:c r="EF28" s="13"/>
      <x:c r="EG28" s="16"/>
      <x:c r="EH28" s="16"/>
      <x:c r="EI28" s="16" t="s">
        <x:v>426</x:v>
      </x:c>
      <x:c r="EJ28" s="16"/>
      <x:c r="EK28" s="16" t="s">
        <x:v>426</x:v>
      </x:c>
      <x:c r="EL28" s="16"/>
      <x:c r="EM28" s="16"/>
      <x:c r="EN28" s="16"/>
      <x:c r="EO28" s="16"/>
      <x:c r="EP28" s="17"/>
      <x:c r="EQ28" s="12">
        <x:f t="shared" si="15"/>
        <x:v>1</x:v>
      </x:c>
      <x:c r="ER28" s="13" t="s">
        <x:v>426</x:v>
      </x:c>
      <x:c r="ES28" s="16"/>
      <x:c r="ET28" s="16"/>
      <x:c r="EU28" s="16"/>
      <x:c r="EV28" s="12">
        <x:f t="shared" si="16"/>
        <x:v>1</x:v>
      </x:c>
      <x:c r="EW28" s="13" t="s">
        <x:v>426</x:v>
      </x:c>
      <x:c r="EX28" s="16"/>
      <x:c r="EY28" s="16"/>
      <x:c r="EZ28" s="16"/>
      <x:c r="FA28" s="16"/>
      <x:c r="FB28" s="16"/>
      <x:c r="FC28" s="16"/>
      <x:c r="FD28" s="16"/>
      <x:c r="FE28" s="17"/>
      <x:c r="FF28" s="12">
        <x:f t="shared" si="17"/>
        <x:v>1</x:v>
      </x:c>
      <x:c r="FG28" s="13" t="s">
        <x:v>426</x:v>
      </x:c>
      <x:c r="FH28" s="16"/>
      <x:c r="FI28" s="16"/>
      <x:c r="FJ28" s="16"/>
      <x:c r="FK28" s="16"/>
      <x:c r="FL28" s="16"/>
      <x:c r="FM28" s="16"/>
      <x:c r="FN28" s="16"/>
      <x:c r="FO28" s="16"/>
      <x:c r="FP28" s="16"/>
      <x:c r="FQ28" s="16"/>
      <x:c r="FR28" s="16"/>
      <x:c r="FS28" s="16"/>
      <x:c r="FT28" s="16"/>
      <x:c r="FU28" s="17"/>
      <x:c r="FV28" s="12">
        <x:f t="shared" si="18"/>
        <x:v>1</x:v>
      </x:c>
      <x:c r="FW28" s="13"/>
      <x:c r="FX28" s="16"/>
      <x:c r="FY28" s="16"/>
      <x:c r="FZ28" s="16"/>
      <x:c r="GA28" s="16"/>
      <x:c r="GB28" s="16"/>
      <x:c r="GC28" s="16"/>
      <x:c r="GD28" s="16"/>
      <x:c r="GE28" s="17"/>
      <x:c r="GF28" s="12">
        <x:f t="shared" si="19"/>
        <x:v>0</x:v>
      </x:c>
      <x:c r="GG28" s="13"/>
      <x:c r="GH28" s="16"/>
      <x:c r="GI28" s="16"/>
      <x:c r="GJ28" s="16"/>
      <x:c r="GK28" s="16"/>
      <x:c r="GL28" s="16"/>
      <x:c r="GM28" s="12">
        <x:f t="shared" si="20"/>
        <x:v>0</x:v>
      </x:c>
      <x:c r="GN28" s="13"/>
      <x:c r="GO28" s="16"/>
      <x:c r="GP28" s="16"/>
      <x:c r="GQ28" s="16"/>
      <x:c r="GR28" s="16"/>
      <x:c r="GS28" s="16"/>
      <x:c r="GT28" s="12">
        <x:f t="shared" si="21"/>
        <x:v>0</x:v>
      </x:c>
      <x:c r="GU28" s="13"/>
      <x:c r="GV28" s="16"/>
      <x:c r="GW28" s="16" t="s">
        <x:v>426</x:v>
      </x:c>
      <x:c r="GX28" s="16"/>
      <x:c r="GY28" s="12">
        <x:f t="shared" si="22"/>
        <x:v>1</x:v>
      </x:c>
      <x:c r="GZ28" s="13" t="s">
        <x:v>426</x:v>
      </x:c>
      <x:c r="HA28" s="16"/>
      <x:c r="HB28" s="16"/>
      <x:c r="HC28" s="16"/>
      <x:c r="HD28" s="16"/>
      <x:c r="HE28" s="16" t="s">
        <x:v>426</x:v>
      </x:c>
      <x:c r="HF28" s="16"/>
      <x:c r="HG28" s="16"/>
      <x:c r="HH28" s="16"/>
      <x:c r="HI28" s="16"/>
      <x:c r="HJ28" s="16"/>
      <x:c r="HK28" s="17"/>
      <x:c r="HL28" s="12">
        <x:f t="shared" si="23"/>
        <x:v>1</x:v>
      </x:c>
      <x:c r="HM28" s="13"/>
      <x:c r="HN28" s="16"/>
      <x:c r="HO28" s="16"/>
      <x:c r="HP28" s="16"/>
      <x:c r="HQ28" s="16"/>
      <x:c r="HR28" s="16"/>
      <x:c r="HS28" s="16"/>
      <x:c r="HT28" s="16"/>
      <x:c r="HU28" s="16"/>
      <x:c r="HV28" s="17"/>
      <x:c r="HW28" s="12">
        <x:f t="shared" si="24"/>
        <x:v>0</x:v>
      </x:c>
      <x:c r="HX28" s="13"/>
      <x:c r="HY28" s="16"/>
      <x:c r="HZ28" s="16"/>
      <x:c r="IA28" s="16"/>
      <x:c r="IB28" s="16"/>
      <x:c r="IC28" s="12">
        <x:f t="shared" si="25"/>
        <x:v>0</x:v>
      </x:c>
      <x:c r="ID28" s="13"/>
      <x:c r="IE28" s="16"/>
      <x:c r="IF28" s="16"/>
      <x:c r="IG28" s="16"/>
      <x:c r="IH28" s="16" t="s">
        <x:v>426</x:v>
      </x:c>
      <x:c r="II28" s="16"/>
      <x:c r="IJ28" s="16"/>
      <x:c r="IK28" s="16"/>
      <x:c r="IL28" s="16"/>
      <x:c r="IM28" s="16"/>
      <x:c r="IN28" s="17"/>
      <x:c r="IO28" s="12">
        <x:f t="shared" si="26"/>
        <x:v>1</x:v>
      </x:c>
      <x:c r="IP28" s="13"/>
      <x:c r="IQ28" s="16" t="s">
        <x:v>426</x:v>
      </x:c>
      <x:c r="IR28" s="16"/>
      <x:c r="IS28" s="16"/>
      <x:c r="IT28" s="16"/>
      <x:c r="IU28" s="16"/>
      <x:c r="IV28" s="16"/>
      <x:c r="IW28" s="16"/>
      <x:c r="IX28" s="17"/>
      <x:c r="IY28" s="12">
        <x:f t="shared" si="27"/>
        <x:v>1</x:v>
      </x:c>
      <x:c r="IZ28" s="13"/>
      <x:c r="JA28" s="16"/>
      <x:c r="JB28" s="16"/>
      <x:c r="JC28" s="16"/>
      <x:c r="JD28" s="16"/>
      <x:c r="JE28" s="16"/>
      <x:c r="JF28" s="16"/>
      <x:c r="JG28" s="16"/>
      <x:c r="JH28" s="16"/>
      <x:c r="JI28" s="16"/>
      <x:c r="JJ28" s="16"/>
      <x:c r="JK28" s="16"/>
      <x:c r="JL28" s="16"/>
      <x:c r="JM28" s="16"/>
      <x:c r="JN28" s="16"/>
      <x:c r="JO28" s="16"/>
      <x:c r="JP28" s="16"/>
      <x:c r="JQ28" s="16"/>
      <x:c r="JR28" s="16"/>
      <x:c r="JS28" s="12">
        <x:f t="shared" si="28"/>
        <x:v>0</x:v>
      </x:c>
      <x:c r="JT28" s="13"/>
      <x:c r="JU28" s="16"/>
      <x:c r="JV28" s="16"/>
      <x:c r="JW28" s="16"/>
      <x:c r="JX28" s="16"/>
      <x:c r="JY28" s="16"/>
      <x:c r="JZ28" s="16"/>
      <x:c r="KA28" s="16"/>
      <x:c r="KB28" s="16"/>
      <x:c r="KC28" s="16"/>
      <x:c r="KD28" s="16"/>
      <x:c r="KE28" s="16"/>
      <x:c r="KF28" s="16"/>
      <x:c r="KG28" s="16"/>
      <x:c r="KH28" s="16"/>
      <x:c r="KI28" s="16"/>
      <x:c r="KJ28" s="16"/>
      <x:c r="KK28" s="16"/>
      <x:c r="KL28" s="16"/>
      <x:c r="KM28" s="12">
        <x:f t="shared" si="29"/>
        <x:v>0</x:v>
      </x:c>
      <x:c r="KN28" s="13"/>
      <x:c r="KO28" s="16"/>
      <x:c r="KP28" s="16"/>
      <x:c r="KQ28" s="16"/>
      <x:c r="KR28" s="16"/>
      <x:c r="KS28" s="16"/>
      <x:c r="KT28" s="16"/>
      <x:c r="KU28" s="16"/>
      <x:c r="KV28" s="16"/>
      <x:c r="KW28" s="16"/>
      <x:c r="KX28" s="16"/>
      <x:c r="KY28" s="16"/>
      <x:c r="KZ28" s="16"/>
      <x:c r="LA28" s="16"/>
      <x:c r="LB28" s="16"/>
      <x:c r="LC28" s="16"/>
      <x:c r="LD28" s="16"/>
      <x:c r="LE28" s="16"/>
      <x:c r="LF28" s="16"/>
      <x:c r="LG28" s="12">
        <x:f t="shared" si="30"/>
        <x:v>0</x:v>
      </x:c>
      <x:c r="LH28" s="13" t="s">
        <x:v>426</x:v>
      </x:c>
      <x:c r="LI28" s="16"/>
      <x:c r="LJ28" s="16" t="s">
        <x:v>426</x:v>
      </x:c>
      <x:c r="LK28" s="16"/>
      <x:c r="LL28" s="16"/>
      <x:c r="LM28" s="16"/>
      <x:c r="LN28" s="16"/>
      <x:c r="LO28" s="16"/>
      <x:c r="LP28" s="16"/>
      <x:c r="LQ28" s="17"/>
      <x:c r="LR28" s="12">
        <x:f t="shared" si="31"/>
        <x:v>1</x:v>
      </x:c>
      <x:c r="LS28" s="13"/>
      <x:c r="LT28" s="16"/>
      <x:c r="LU28" s="16"/>
      <x:c r="LV28" s="16"/>
      <x:c r="LW28" s="16"/>
      <x:c r="LX28" s="16"/>
      <x:c r="LY28" s="16"/>
      <x:c r="LZ28" s="16"/>
      <x:c r="MA28" s="16"/>
      <x:c r="MB28" s="17"/>
      <x:c r="MC28" s="12">
        <x:f t="shared" si="32"/>
        <x:v>0</x:v>
      </x:c>
      <x:c r="MD28" s="13"/>
      <x:c r="ME28" s="16"/>
      <x:c r="MF28" s="16"/>
      <x:c r="MG28" s="16"/>
      <x:c r="MH28" s="16"/>
      <x:c r="MI28" s="16"/>
      <x:c r="MJ28" s="16"/>
      <x:c r="MK28" s="12">
        <x:f t="shared" si="33"/>
        <x:v>0</x:v>
      </x:c>
      <x:c r="ML28" s="13"/>
      <x:c r="MM28" s="16"/>
      <x:c r="MN28" s="16"/>
      <x:c r="MO28" s="16"/>
      <x:c r="MP28" s="16"/>
      <x:c r="MQ28" s="16"/>
      <x:c r="MR28" s="16" t="s">
        <x:v>426</x:v>
      </x:c>
      <x:c r="MS28" s="16"/>
      <x:c r="MT28" s="16"/>
      <x:c r="MU28" s="17"/>
      <x:c r="MV28" s="12">
        <x:f t="shared" si="34"/>
        <x:v>1</x:v>
      </x:c>
      <x:c r="MW28" s="13"/>
      <x:c r="MX28" s="16" t="s">
        <x:v>426</x:v>
      </x:c>
      <x:c r="MY28" s="16"/>
      <x:c r="MZ28" s="16"/>
      <x:c r="NA28" s="16"/>
      <x:c r="NB28" s="16"/>
      <x:c r="NC28" s="16"/>
      <x:c r="ND28" s="16"/>
      <x:c r="NE28" s="16"/>
      <x:c r="NF28" s="17"/>
      <x:c r="NG28" s="12">
        <x:f t="shared" si="35"/>
        <x:v>1</x:v>
      </x:c>
      <x:c r="NH28" s="13"/>
      <x:c r="NI28" s="16"/>
      <x:c r="NJ28" s="16"/>
      <x:c r="NK28" s="16" t="s">
        <x:v>426</x:v>
      </x:c>
      <x:c r="NL28" s="16" t="s">
        <x:v>426</x:v>
      </x:c>
      <x:c r="NM28" s="16"/>
      <x:c r="NN28" s="16"/>
      <x:c r="NO28" s="16"/>
      <x:c r="NP28" s="16"/>
      <x:c r="NQ28" s="16"/>
      <x:c r="NR28" s="17"/>
      <x:c r="NS28" s="12">
        <x:f t="shared" si="36"/>
        <x:v>1</x:v>
      </x:c>
      <x:c r="NT28" s="13"/>
      <x:c r="NU28" s="16" t="s">
        <x:v>426</x:v>
      </x:c>
      <x:c r="NV28" s="16"/>
      <x:c r="NW28" s="16"/>
      <x:c r="NX28" s="16"/>
      <x:c r="NY28" s="12">
        <x:f t="shared" si="37"/>
        <x:v>1</x:v>
      </x:c>
      <x:c r="NZ28" s="13"/>
      <x:c r="OA28" s="16" t="s">
        <x:v>426</x:v>
      </x:c>
      <x:c r="OB28" s="16"/>
      <x:c r="OC28" s="16"/>
      <x:c r="OD28" s="16"/>
      <x:c r="OE28" s="16"/>
      <x:c r="OF28" s="16"/>
      <x:c r="OG28" s="16"/>
      <x:c r="OH28" s="16"/>
      <x:c r="OI28" s="16"/>
      <x:c r="OJ28" s="16"/>
      <x:c r="OK28" s="17"/>
      <x:c r="OL28" s="12">
        <x:f t="shared" si="38"/>
        <x:v>1</x:v>
      </x:c>
      <x:c r="OM28" s="13"/>
      <x:c r="ON28" s="16"/>
      <x:c r="OO28" s="16"/>
      <x:c r="OP28" s="16" t="s">
        <x:v>426</x:v>
      </x:c>
      <x:c r="OQ28" s="16" t="s">
        <x:v>426</x:v>
      </x:c>
      <x:c r="OR28" s="16"/>
      <x:c r="OS28" s="16"/>
      <x:c r="OT28" s="16"/>
      <x:c r="OU28" s="16"/>
      <x:c r="OV28" s="17"/>
      <x:c r="OW28" s="12">
        <x:f t="shared" si="39"/>
        <x:v>1</x:v>
      </x:c>
      <x:c r="OX28" s="13"/>
      <x:c r="OY28" s="16"/>
      <x:c r="OZ28" s="16" t="s">
        <x:v>426</x:v>
      </x:c>
      <x:c r="PA28" s="16"/>
      <x:c r="PB28" s="16"/>
      <x:c r="PC28" s="12">
        <x:f t="shared" si="40"/>
        <x:v>1</x:v>
      </x:c>
      <x:c r="PD28" s="13"/>
      <x:c r="PE28" s="16" t="s">
        <x:v>426</x:v>
      </x:c>
      <x:c r="PF28" s="16"/>
      <x:c r="PG28" s="16"/>
      <x:c r="PH28" s="16"/>
      <x:c r="PI28" s="16"/>
      <x:c r="PJ28" s="16"/>
      <x:c r="PK28" s="16"/>
      <x:c r="PL28" s="16"/>
      <x:c r="PM28" s="16"/>
      <x:c r="PN28" s="17"/>
      <x:c r="PO28" s="12">
        <x:f t="shared" si="41"/>
        <x:v>1</x:v>
      </x:c>
      <x:c r="PP28" s="13"/>
      <x:c r="PQ28" s="16"/>
      <x:c r="PR28" s="16" t="s">
        <x:v>426</x:v>
      </x:c>
      <x:c r="PS28" s="16"/>
      <x:c r="PT28" s="12">
        <x:f t="shared" si="42"/>
        <x:v>1</x:v>
      </x:c>
      <x:c r="PU28" s="13" t="s">
        <x:v>426</x:v>
      </x:c>
      <x:c r="PV28" s="16"/>
      <x:c r="PW28" s="16"/>
      <x:c r="PX28" s="16"/>
      <x:c r="PY28" s="16"/>
      <x:c r="PZ28" s="16"/>
      <x:c r="QA28" s="16"/>
      <x:c r="QB28" s="16"/>
      <x:c r="QC28" s="16"/>
      <x:c r="QD28" s="17"/>
      <x:c r="QE28" s="12">
        <x:f t="shared" si="43"/>
        <x:v>1</x:v>
      </x:c>
      <x:c r="QF28" s="13"/>
      <x:c r="QG28" s="16"/>
      <x:c r="QH28" s="16"/>
      <x:c r="QI28" s="16"/>
      <x:c r="QJ28" s="16" t="s">
        <x:v>426</x:v>
      </x:c>
      <x:c r="QK28" s="16"/>
      <x:c r="QL28" s="16" t="s">
        <x:v>426</x:v>
      </x:c>
      <x:c r="QM28" s="16"/>
      <x:c r="QN28" s="16"/>
      <x:c r="QO28" s="17"/>
      <x:c r="QP28" s="12">
        <x:f t="shared" si="44"/>
        <x:v>1</x:v>
      </x:c>
      <x:c r="QQ28" s="13"/>
      <x:c r="QR28" s="16"/>
      <x:c r="QS28" s="16"/>
      <x:c r="QT28" s="16"/>
      <x:c r="QU28" s="16"/>
      <x:c r="QV28" s="16"/>
      <x:c r="QW28" s="16"/>
      <x:c r="QX28" s="16"/>
      <x:c r="QY28" s="16"/>
      <x:c r="QZ28" s="17"/>
      <x:c r="RA28" s="12">
        <x:f t="shared" si="45"/>
        <x:v>0</x:v>
      </x:c>
      <x:c r="RB28" s="13"/>
      <x:c r="RC28" s="16"/>
      <x:c r="RD28" s="16"/>
      <x:c r="RE28" s="16"/>
      <x:c r="RF28" s="16"/>
      <x:c r="RG28" s="16"/>
      <x:c r="RH28" s="16"/>
      <x:c r="RI28" s="16"/>
      <x:c r="RJ28" s="17"/>
      <x:c r="RK28" s="12">
        <x:f t="shared" si="46"/>
        <x:v>0</x:v>
      </x:c>
      <x:c r="RL28" s="13"/>
      <x:c r="RM28" s="16"/>
      <x:c r="RN28" s="16" t="s">
        <x:v>426</x:v>
      </x:c>
      <x:c r="RO28" s="16" t="s">
        <x:v>426</x:v>
      </x:c>
      <x:c r="RP28" s="16"/>
      <x:c r="RQ28" s="16"/>
      <x:c r="RR28" s="16"/>
      <x:c r="RS28" s="16"/>
      <x:c r="RT28" s="16"/>
      <x:c r="RU28" s="17"/>
      <x:c r="RV28" s="12">
        <x:f t="shared" si="47"/>
        <x:v>1</x:v>
      </x:c>
      <x:c r="RW28" s="13"/>
      <x:c r="RX28" s="12">
        <x:f t="shared" si="48"/>
        <x:v>0</x:v>
      </x:c>
    </x:row>
    <x:row r="29" ht="16.5">
      <x:c r="A29" s="7" t="s">
        <x:v>472</x:v>
      </x:c>
      <x:c r="B29" s="8"/>
      <x:c r="C29" s="8"/>
      <x:c r="D29" s="8"/>
      <x:c r="E29" s="8"/>
      <x:c r="F29" s="8"/>
      <x:c r="G29" s="8"/>
      <x:c r="H29" s="8"/>
      <x:c r="I29" s="8"/>
      <x:c r="J29" s="8"/>
      <x:c r="K29" s="9"/>
      <x:c r="L29" s="7" t="s">
        <x:v>426</x:v>
      </x:c>
      <x:c r="M29" s="10"/>
      <x:c r="N29" s="10"/>
      <x:c r="O29" s="10"/>
      <x:c r="P29" s="11"/>
      <x:c r="Q29" s="12">
        <x:f t="shared" si="0"/>
        <x:v>1</x:v>
      </x:c>
      <x:c r="R29" s="7" t="s">
        <x:v>426</x:v>
      </x:c>
      <x:c r="S29" s="10"/>
      <x:c r="T29" s="10"/>
      <x:c r="U29" s="10"/>
      <x:c r="V29" s="10"/>
      <x:c r="W29" s="11"/>
      <x:c r="X29" s="12">
        <x:f t="shared" si="1"/>
        <x:v>1</x:v>
      </x:c>
      <x:c r="Y29" s="7"/>
      <x:c r="Z29" s="10" t="s">
        <x:v>426</x:v>
      </x:c>
      <x:c r="AA29" s="10"/>
      <x:c r="AB29" s="10"/>
      <x:c r="AC29" s="10"/>
      <x:c r="AD29" s="12">
        <x:f t="shared" si="2"/>
        <x:v>1</x:v>
      </x:c>
      <x:c r="AE29" s="7"/>
      <x:c r="AF29" s="10"/>
      <x:c r="AG29" s="10"/>
      <x:c r="AH29" s="10" t="s">
        <x:v>426</x:v>
      </x:c>
      <x:c r="AI29" s="10"/>
      <x:c r="AJ29" s="11"/>
      <x:c r="AK29" s="12">
        <x:f t="shared" si="3"/>
        <x:v>1</x:v>
      </x:c>
      <x:c r="AL29" s="7" t="s">
        <x:v>426</x:v>
      </x:c>
      <x:c r="AM29" s="10"/>
      <x:c r="AN29" s="10"/>
      <x:c r="AO29" s="12">
        <x:f t="shared" si="4"/>
        <x:v>1</x:v>
      </x:c>
      <x:c r="AP29" s="7"/>
      <x:c r="AQ29" s="10"/>
      <x:c r="AR29" s="10" t="s">
        <x:v>426</x:v>
      </x:c>
      <x:c r="AS29" s="10"/>
      <x:c r="AT29" s="10"/>
      <x:c r="AU29" s="10"/>
      <x:c r="AV29" s="10"/>
      <x:c r="AW29" s="11"/>
      <x:c r="AX29" s="12">
        <x:f t="shared" si="5"/>
        <x:v>1</x:v>
      </x:c>
      <x:c r="AY29" s="7"/>
      <x:c r="AZ29" s="10"/>
      <x:c r="BA29" s="10"/>
      <x:c r="BB29" s="10" t="s">
        <x:v>426</x:v>
      </x:c>
      <x:c r="BC29" s="10"/>
      <x:c r="BD29" s="10"/>
      <x:c r="BE29" s="10"/>
      <x:c r="BF29" s="10"/>
      <x:c r="BG29" s="11"/>
      <x:c r="BH29" s="12">
        <x:f t="shared" si="6"/>
        <x:v>1</x:v>
      </x:c>
      <x:c r="BI29" s="7" t="s">
        <x:v>426</x:v>
      </x:c>
      <x:c r="BJ29" s="10"/>
      <x:c r="BK29" s="10"/>
      <x:c r="BL29" s="10"/>
      <x:c r="BM29" s="10"/>
      <x:c r="BN29" s="10"/>
      <x:c r="BO29" s="10"/>
      <x:c r="BP29" s="11"/>
      <x:c r="BQ29" s="12">
        <x:f t="shared" si="7"/>
        <x:v>1</x:v>
      </x:c>
      <x:c r="BR29" s="7"/>
      <x:c r="BS29" s="10"/>
      <x:c r="BT29" s="10" t="s">
        <x:v>426</x:v>
      </x:c>
      <x:c r="BU29" s="10"/>
      <x:c r="BV29" s="10" t="s">
        <x:v>426</x:v>
      </x:c>
      <x:c r="BW29" s="10"/>
      <x:c r="BX29" s="10"/>
      <x:c r="BY29" s="11"/>
      <x:c r="BZ29" s="12">
        <x:f t="shared" si="8"/>
        <x:v>1</x:v>
      </x:c>
      <x:c r="CA29" s="7" t="s">
        <x:v>426</x:v>
      </x:c>
      <x:c r="CB29" s="10"/>
      <x:c r="CC29" s="10"/>
      <x:c r="CD29" s="10"/>
      <x:c r="CE29" s="10"/>
      <x:c r="CF29" s="10"/>
      <x:c r="CG29" s="10"/>
      <x:c r="CH29" s="10"/>
      <x:c r="CI29" s="10"/>
      <x:c r="CJ29" s="10"/>
      <x:c r="CK29" s="11"/>
      <x:c r="CL29" s="12">
        <x:f t="shared" si="9"/>
        <x:v>1</x:v>
      </x:c>
      <x:c r="CM29" s="7"/>
      <x:c r="CN29" s="10"/>
      <x:c r="CO29" s="10"/>
      <x:c r="CP29" s="10"/>
      <x:c r="CQ29" s="10"/>
      <x:c r="CR29" s="10"/>
      <x:c r="CS29" s="10"/>
      <x:c r="CT29" s="10"/>
      <x:c r="CU29" s="10"/>
      <x:c r="CV29" s="10"/>
      <x:c r="CW29" s="10"/>
      <x:c r="CX29" s="10"/>
      <x:c r="CY29" s="10" t="s">
        <x:v>426</x:v>
      </x:c>
      <x:c r="CZ29" s="10"/>
      <x:c r="DA29" s="11"/>
      <x:c r="DB29" s="12">
        <x:f t="shared" si="10"/>
        <x:v>1</x:v>
      </x:c>
      <x:c r="DC29" s="7"/>
      <x:c r="DD29" s="12">
        <x:f t="shared" si="11"/>
        <x:v>0</x:v>
      </x:c>
      <x:c r="DE29" s="7" t="s">
        <x:v>426</x:v>
      </x:c>
      <x:c r="DF29" s="10"/>
      <x:c r="DG29" s="10"/>
      <x:c r="DH29" s="10"/>
      <x:c r="DI29" s="10"/>
      <x:c r="DJ29" s="10"/>
      <x:c r="DK29" s="10"/>
      <x:c r="DL29" s="10"/>
      <x:c r="DM29" s="11"/>
      <x:c r="DN29" s="12">
        <x:f t="shared" si="12"/>
        <x:v>1</x:v>
      </x:c>
      <x:c r="DO29" s="7" t="s">
        <x:v>426</x:v>
      </x:c>
      <x:c r="DP29" s="10"/>
      <x:c r="DQ29" s="10"/>
      <x:c r="DR29" s="10"/>
      <x:c r="DS29" s="10"/>
      <x:c r="DT29" s="12">
        <x:f t="shared" si="13"/>
        <x:v>1</x:v>
      </x:c>
      <x:c r="DU29" s="7"/>
      <x:c r="DV29" s="10" t="s">
        <x:v>426</x:v>
      </x:c>
      <x:c r="DW29" s="10"/>
      <x:c r="DX29" s="10"/>
      <x:c r="DY29" s="10" t="s">
        <x:v>426</x:v>
      </x:c>
      <x:c r="DZ29" s="10"/>
      <x:c r="EA29" s="10"/>
      <x:c r="EB29" s="10"/>
      <x:c r="EC29" s="10"/>
      <x:c r="ED29" s="11"/>
      <x:c r="EE29" s="12">
        <x:f t="shared" si="14"/>
        <x:v>1</x:v>
      </x:c>
      <x:c r="EF29" s="7" t="s">
        <x:v>426</x:v>
      </x:c>
      <x:c r="EG29" s="10" t="s">
        <x:v>426</x:v>
      </x:c>
      <x:c r="EH29" s="10"/>
      <x:c r="EI29" s="10"/>
      <x:c r="EJ29" s="10"/>
      <x:c r="EK29" s="10"/>
      <x:c r="EL29" s="10"/>
      <x:c r="EM29" s="10"/>
      <x:c r="EN29" s="10"/>
      <x:c r="EO29" s="10"/>
      <x:c r="EP29" s="11"/>
      <x:c r="EQ29" s="12">
        <x:f t="shared" si="15"/>
        <x:v>1</x:v>
      </x:c>
      <x:c r="ER29" s="7"/>
      <x:c r="ES29" s="10" t="s">
        <x:v>426</x:v>
      </x:c>
      <x:c r="ET29" s="10"/>
      <x:c r="EU29" s="10"/>
      <x:c r="EV29" s="12">
        <x:f t="shared" si="16"/>
        <x:v>1</x:v>
      </x:c>
      <x:c r="EW29" s="7"/>
      <x:c r="EX29" s="10"/>
      <x:c r="EY29" s="10"/>
      <x:c r="EZ29" s="10"/>
      <x:c r="FA29" s="10"/>
      <x:c r="FB29" s="10"/>
      <x:c r="FC29" s="10" t="s">
        <x:v>426</x:v>
      </x:c>
      <x:c r="FD29" s="10"/>
      <x:c r="FE29" s="11"/>
      <x:c r="FF29" s="12">
        <x:f t="shared" si="17"/>
        <x:v>1</x:v>
      </x:c>
      <x:c r="FG29" s="7" t="s">
        <x:v>426</x:v>
      </x:c>
      <x:c r="FH29" s="10"/>
      <x:c r="FI29" s="10"/>
      <x:c r="FJ29" s="10"/>
      <x:c r="FK29" s="10"/>
      <x:c r="FL29" s="10"/>
      <x:c r="FM29" s="10"/>
      <x:c r="FN29" s="10"/>
      <x:c r="FO29" s="10"/>
      <x:c r="FP29" s="10"/>
      <x:c r="FQ29" s="10"/>
      <x:c r="FR29" s="10"/>
      <x:c r="FS29" s="10"/>
      <x:c r="FT29" s="10"/>
      <x:c r="FU29" s="11"/>
      <x:c r="FV29" s="12">
        <x:f t="shared" si="18"/>
        <x:v>1</x:v>
      </x:c>
      <x:c r="FW29" s="7"/>
      <x:c r="FX29" s="10"/>
      <x:c r="FY29" s="10"/>
      <x:c r="FZ29" s="10"/>
      <x:c r="GA29" s="10"/>
      <x:c r="GB29" s="10"/>
      <x:c r="GC29" s="10" t="s">
        <x:v>426</x:v>
      </x:c>
      <x:c r="GD29" s="10"/>
      <x:c r="GE29" s="11"/>
      <x:c r="GF29" s="12">
        <x:f t="shared" si="19"/>
        <x:v>1</x:v>
      </x:c>
      <x:c r="GG29" s="7"/>
      <x:c r="GH29" s="10"/>
      <x:c r="GI29" s="10"/>
      <x:c r="GJ29" s="10"/>
      <x:c r="GK29" s="10"/>
      <x:c r="GL29" s="10" t="s">
        <x:v>426</x:v>
      </x:c>
      <x:c r="GM29" s="12">
        <x:f t="shared" si="20"/>
        <x:v>1</x:v>
      </x:c>
      <x:c r="GN29" s="7"/>
      <x:c r="GO29" s="10"/>
      <x:c r="GP29" s="10"/>
      <x:c r="GQ29" s="10"/>
      <x:c r="GR29" s="10"/>
      <x:c r="GS29" s="10" t="s">
        <x:v>426</x:v>
      </x:c>
      <x:c r="GT29" s="12">
        <x:f t="shared" si="21"/>
        <x:v>1</x:v>
      </x:c>
      <x:c r="GU29" s="7"/>
      <x:c r="GV29" s="10"/>
      <x:c r="GW29" s="10" t="s">
        <x:v>426</x:v>
      </x:c>
      <x:c r="GX29" s="10"/>
      <x:c r="GY29" s="12">
        <x:f t="shared" si="22"/>
        <x:v>1</x:v>
      </x:c>
      <x:c r="GZ29" s="7" t="s">
        <x:v>426</x:v>
      </x:c>
      <x:c r="HA29" s="10"/>
      <x:c r="HB29" s="10"/>
      <x:c r="HC29" s="10" t="s">
        <x:v>426</x:v>
      </x:c>
      <x:c r="HD29" s="10"/>
      <x:c r="HE29" s="10"/>
      <x:c r="HF29" s="10"/>
      <x:c r="HG29" s="10"/>
      <x:c r="HH29" s="10"/>
      <x:c r="HI29" s="10"/>
      <x:c r="HJ29" s="10"/>
      <x:c r="HK29" s="11"/>
      <x:c r="HL29" s="12">
        <x:f t="shared" si="23"/>
        <x:v>1</x:v>
      </x:c>
      <x:c r="HM29" s="7"/>
      <x:c r="HN29" s="10"/>
      <x:c r="HO29" s="10"/>
      <x:c r="HP29" s="10"/>
      <x:c r="HQ29" s="10"/>
      <x:c r="HR29" s="10"/>
      <x:c r="HS29" s="10" t="s">
        <x:v>426</x:v>
      </x:c>
      <x:c r="HT29" s="10"/>
      <x:c r="HU29" s="10"/>
      <x:c r="HV29" s="11"/>
      <x:c r="HW29" s="12">
        <x:f t="shared" si="24"/>
        <x:v>1</x:v>
      </x:c>
      <x:c r="HX29" s="7"/>
      <x:c r="HY29" s="10" t="s">
        <x:v>426</x:v>
      </x:c>
      <x:c r="HZ29" s="10"/>
      <x:c r="IA29" s="10"/>
      <x:c r="IB29" s="10"/>
      <x:c r="IC29" s="12">
        <x:f t="shared" si="25"/>
        <x:v>1</x:v>
      </x:c>
      <x:c r="ID29" s="7"/>
      <x:c r="IE29" s="10"/>
      <x:c r="IF29" s="10" t="s">
        <x:v>426</x:v>
      </x:c>
      <x:c r="IG29" s="10"/>
      <x:c r="IH29" s="10"/>
      <x:c r="II29" s="10"/>
      <x:c r="IJ29" s="10"/>
      <x:c r="IK29" s="10"/>
      <x:c r="IL29" s="10"/>
      <x:c r="IM29" s="10"/>
      <x:c r="IN29" s="11"/>
      <x:c r="IO29" s="12">
        <x:f t="shared" si="26"/>
        <x:v>1</x:v>
      </x:c>
      <x:c r="IP29" s="7" t="s">
        <x:v>426</x:v>
      </x:c>
      <x:c r="IQ29" s="10" t="s">
        <x:v>426</x:v>
      </x:c>
      <x:c r="IR29" s="10" t="s">
        <x:v>426</x:v>
      </x:c>
      <x:c r="IS29" s="10"/>
      <x:c r="IT29" s="10"/>
      <x:c r="IU29" s="10" t="s">
        <x:v>426</x:v>
      </x:c>
      <x:c r="IV29" s="10"/>
      <x:c r="IW29" s="10"/>
      <x:c r="IX29" s="11"/>
      <x:c r="IY29" s="12">
        <x:f t="shared" si="27"/>
        <x:v>1</x:v>
      </x:c>
      <x:c r="IZ29" s="7"/>
      <x:c r="JA29" s="10"/>
      <x:c r="JB29" s="10"/>
      <x:c r="JC29" s="10"/>
      <x:c r="JD29" s="10"/>
      <x:c r="JE29" s="10"/>
      <x:c r="JF29" s="10"/>
      <x:c r="JG29" s="10" t="s">
        <x:v>426</x:v>
      </x:c>
      <x:c r="JH29" s="10"/>
      <x:c r="JI29" s="10"/>
      <x:c r="JJ29" s="10"/>
      <x:c r="JK29" s="10"/>
      <x:c r="JL29" s="10"/>
      <x:c r="JM29" s="10"/>
      <x:c r="JN29" s="10"/>
      <x:c r="JO29" s="10"/>
      <x:c r="JP29" s="10"/>
      <x:c r="JQ29" s="10"/>
      <x:c r="JR29" s="10"/>
      <x:c r="JS29" s="12">
        <x:f t="shared" si="28"/>
        <x:v>1</x:v>
      </x:c>
      <x:c r="JT29" s="7"/>
      <x:c r="JU29" s="10"/>
      <x:c r="JV29" s="10"/>
      <x:c r="JW29" s="10"/>
      <x:c r="JX29" s="10"/>
      <x:c r="JY29" s="10" t="s">
        <x:v>426</x:v>
      </x:c>
      <x:c r="JZ29" s="10"/>
      <x:c r="KA29" s="10"/>
      <x:c r="KB29" s="10"/>
      <x:c r="KC29" s="10"/>
      <x:c r="KD29" s="10"/>
      <x:c r="KE29" s="10"/>
      <x:c r="KF29" s="10"/>
      <x:c r="KG29" s="10"/>
      <x:c r="KH29" s="10"/>
      <x:c r="KI29" s="10"/>
      <x:c r="KJ29" s="10"/>
      <x:c r="KK29" s="10"/>
      <x:c r="KL29" s="10"/>
      <x:c r="KM29" s="12">
        <x:f t="shared" si="29"/>
        <x:v>1</x:v>
      </x:c>
      <x:c r="KN29" s="7"/>
      <x:c r="KO29" s="10"/>
      <x:c r="KP29" s="10"/>
      <x:c r="KQ29" s="10"/>
      <x:c r="KR29" s="10"/>
      <x:c r="KS29" s="10" t="s">
        <x:v>426</x:v>
      </x:c>
      <x:c r="KT29" s="10"/>
      <x:c r="KU29" s="10"/>
      <x:c r="KV29" s="10"/>
      <x:c r="KW29" s="10"/>
      <x:c r="KX29" s="10"/>
      <x:c r="KY29" s="10"/>
      <x:c r="KZ29" s="10"/>
      <x:c r="LA29" s="10"/>
      <x:c r="LB29" s="10"/>
      <x:c r="LC29" s="10"/>
      <x:c r="LD29" s="10"/>
      <x:c r="LE29" s="10"/>
      <x:c r="LF29" s="10"/>
      <x:c r="LG29" s="12">
        <x:f t="shared" si="30"/>
        <x:v>1</x:v>
      </x:c>
      <x:c r="LH29" s="7"/>
      <x:c r="LI29" s="10"/>
      <x:c r="LJ29" s="10"/>
      <x:c r="LK29" s="10"/>
      <x:c r="LL29" s="10"/>
      <x:c r="LM29" s="10"/>
      <x:c r="LN29" s="10"/>
      <x:c r="LO29" s="10" t="s">
        <x:v>426</x:v>
      </x:c>
      <x:c r="LP29" s="10"/>
      <x:c r="LQ29" s="11"/>
      <x:c r="LR29" s="12">
        <x:f t="shared" si="31"/>
        <x:v>1</x:v>
      </x:c>
      <x:c r="LS29" s="7" t="s">
        <x:v>426</x:v>
      </x:c>
      <x:c r="LT29" s="10"/>
      <x:c r="LU29" s="10"/>
      <x:c r="LV29" s="10"/>
      <x:c r="LW29" s="10" t="s">
        <x:v>426</x:v>
      </x:c>
      <x:c r="LX29" s="10" t="s">
        <x:v>426</x:v>
      </x:c>
      <x:c r="LY29" s="10"/>
      <x:c r="LZ29" s="10"/>
      <x:c r="MA29" s="10"/>
      <x:c r="MB29" s="11"/>
      <x:c r="MC29" s="12">
        <x:f t="shared" si="32"/>
        <x:v>1</x:v>
      </x:c>
      <x:c r="MD29" s="7"/>
      <x:c r="ME29" s="10" t="s">
        <x:v>426</x:v>
      </x:c>
      <x:c r="MF29" s="10"/>
      <x:c r="MG29" s="10"/>
      <x:c r="MH29" s="10"/>
      <x:c r="MI29" s="10"/>
      <x:c r="MJ29" s="10"/>
      <x:c r="MK29" s="12">
        <x:f t="shared" si="33"/>
        <x:v>1</x:v>
      </x:c>
      <x:c r="ML29" s="7"/>
      <x:c r="MM29" s="10"/>
      <x:c r="MN29" s="10"/>
      <x:c r="MO29" s="10" t="s">
        <x:v>426</x:v>
      </x:c>
      <x:c r="MP29" s="10"/>
      <x:c r="MQ29" s="10"/>
      <x:c r="MR29" s="10"/>
      <x:c r="MS29" s="10"/>
      <x:c r="MT29" s="10"/>
      <x:c r="MU29" s="11"/>
      <x:c r="MV29" s="12">
        <x:f t="shared" si="34"/>
        <x:v>1</x:v>
      </x:c>
      <x:c r="MW29" s="7"/>
      <x:c r="MX29" s="10" t="s">
        <x:v>426</x:v>
      </x:c>
      <x:c r="MY29" s="10"/>
      <x:c r="MZ29" s="10"/>
      <x:c r="NA29" s="10"/>
      <x:c r="NB29" s="10"/>
      <x:c r="NC29" s="10"/>
      <x:c r="ND29" s="10"/>
      <x:c r="NE29" s="10"/>
      <x:c r="NF29" s="11"/>
      <x:c r="NG29" s="12">
        <x:f t="shared" si="35"/>
        <x:v>1</x:v>
      </x:c>
      <x:c r="NH29" s="7" t="s">
        <x:v>426</x:v>
      </x:c>
      <x:c r="NI29" s="10" t="s">
        <x:v>426</x:v>
      </x:c>
      <x:c r="NJ29" s="10" t="s">
        <x:v>426</x:v>
      </x:c>
      <x:c r="NK29" s="10" t="s">
        <x:v>426</x:v>
      </x:c>
      <x:c r="NL29" s="10" t="s">
        <x:v>426</x:v>
      </x:c>
      <x:c r="NM29" s="10"/>
      <x:c r="NN29" s="10"/>
      <x:c r="NO29" s="10"/>
      <x:c r="NP29" s="10"/>
      <x:c r="NQ29" s="10"/>
      <x:c r="NR29" s="11"/>
      <x:c r="NS29" s="12">
        <x:f t="shared" si="36"/>
        <x:v>1</x:v>
      </x:c>
      <x:c r="NT29" s="7"/>
      <x:c r="NU29" s="10"/>
      <x:c r="NV29" s="10"/>
      <x:c r="NW29" s="10" t="s">
        <x:v>426</x:v>
      </x:c>
      <x:c r="NX29" s="10"/>
      <x:c r="NY29" s="12">
        <x:f t="shared" si="37"/>
        <x:v>1</x:v>
      </x:c>
      <x:c r="NZ29" s="7"/>
      <x:c r="OA29" s="10"/>
      <x:c r="OB29" s="10"/>
      <x:c r="OC29" s="10"/>
      <x:c r="OD29" s="10"/>
      <x:c r="OE29" s="10"/>
      <x:c r="OF29" s="10"/>
      <x:c r="OG29" s="10"/>
      <x:c r="OH29" s="10"/>
      <x:c r="OI29" s="10" t="s">
        <x:v>426</x:v>
      </x:c>
      <x:c r="OJ29" s="10"/>
      <x:c r="OK29" s="11"/>
      <x:c r="OL29" s="12">
        <x:f t="shared" si="38"/>
        <x:v>1</x:v>
      </x:c>
      <x:c r="OM29" s="7" t="s">
        <x:v>426</x:v>
      </x:c>
      <x:c r="ON29" s="10"/>
      <x:c r="OO29" s="10"/>
      <x:c r="OP29" s="10"/>
      <x:c r="OQ29" s="10"/>
      <x:c r="OR29" s="10"/>
      <x:c r="OS29" s="10"/>
      <x:c r="OT29" s="10"/>
      <x:c r="OU29" s="10"/>
      <x:c r="OV29" s="11"/>
      <x:c r="OW29" s="12">
        <x:f t="shared" si="39"/>
        <x:v>1</x:v>
      </x:c>
      <x:c r="OX29" s="7"/>
      <x:c r="OY29" s="10"/>
      <x:c r="OZ29" s="10" t="s">
        <x:v>426</x:v>
      </x:c>
      <x:c r="PA29" s="10"/>
      <x:c r="PB29" s="10"/>
      <x:c r="PC29" s="12">
        <x:f t="shared" si="40"/>
        <x:v>1</x:v>
      </x:c>
      <x:c r="PD29" s="7"/>
      <x:c r="PE29" s="10" t="s">
        <x:v>426</x:v>
      </x:c>
      <x:c r="PF29" s="10" t="s">
        <x:v>426</x:v>
      </x:c>
      <x:c r="PG29" s="10"/>
      <x:c r="PH29" s="10"/>
      <x:c r="PI29" s="10"/>
      <x:c r="PJ29" s="10" t="s">
        <x:v>426</x:v>
      </x:c>
      <x:c r="PK29" s="10"/>
      <x:c r="PL29" s="10"/>
      <x:c r="PM29" s="10"/>
      <x:c r="PN29" s="11"/>
      <x:c r="PO29" s="12">
        <x:f t="shared" si="41"/>
        <x:v>1</x:v>
      </x:c>
      <x:c r="PP29" s="7"/>
      <x:c r="PQ29" s="10"/>
      <x:c r="PR29" s="10" t="s">
        <x:v>426</x:v>
      </x:c>
      <x:c r="PS29" s="10"/>
      <x:c r="PT29" s="12">
        <x:f t="shared" si="42"/>
        <x:v>1</x:v>
      </x:c>
      <x:c r="PU29" s="7" t="s">
        <x:v>426</x:v>
      </x:c>
      <x:c r="PV29" s="10"/>
      <x:c r="PW29" s="10" t="s">
        <x:v>426</x:v>
      </x:c>
      <x:c r="PX29" s="10"/>
      <x:c r="PY29" s="10"/>
      <x:c r="PZ29" s="10" t="s">
        <x:v>426</x:v>
      </x:c>
      <x:c r="QA29" s="10" t="s">
        <x:v>426</x:v>
      </x:c>
      <x:c r="QB29" s="10"/>
      <x:c r="QC29" s="10"/>
      <x:c r="QD29" s="11"/>
      <x:c r="QE29" s="12">
        <x:f t="shared" si="43"/>
        <x:v>1</x:v>
      </x:c>
      <x:c r="QF29" s="7" t="s">
        <x:v>426</x:v>
      </x:c>
      <x:c r="QG29" s="10"/>
      <x:c r="QH29" s="10"/>
      <x:c r="QI29" s="10"/>
      <x:c r="QJ29" s="10"/>
      <x:c r="QK29" s="10"/>
      <x:c r="QL29" s="10"/>
      <x:c r="QM29" s="10"/>
      <x:c r="QN29" s="10"/>
      <x:c r="QO29" s="11"/>
      <x:c r="QP29" s="12">
        <x:f t="shared" si="44"/>
        <x:v>1</x:v>
      </x:c>
      <x:c r="QQ29" s="7" t="s">
        <x:v>426</x:v>
      </x:c>
      <x:c r="QR29" s="10" t="s">
        <x:v>426</x:v>
      </x:c>
      <x:c r="QS29" s="10" t="s">
        <x:v>426</x:v>
      </x:c>
      <x:c r="QT29" s="10" t="s">
        <x:v>426</x:v>
      </x:c>
      <x:c r="QU29" s="10" t="s">
        <x:v>426</x:v>
      </x:c>
      <x:c r="QV29" s="10"/>
      <x:c r="QW29" s="10"/>
      <x:c r="QX29" s="10"/>
      <x:c r="QY29" s="10"/>
      <x:c r="QZ29" s="11"/>
      <x:c r="RA29" s="12">
        <x:f t="shared" si="45"/>
        <x:v>1</x:v>
      </x:c>
      <x:c r="RB29" s="7"/>
      <x:c r="RC29" s="10"/>
      <x:c r="RD29" s="10" t="s">
        <x:v>426</x:v>
      </x:c>
      <x:c r="RE29" s="10" t="s">
        <x:v>426</x:v>
      </x:c>
      <x:c r="RF29" s="10"/>
      <x:c r="RG29" s="10" t="s">
        <x:v>426</x:v>
      </x:c>
      <x:c r="RH29" s="10"/>
      <x:c r="RI29" s="10"/>
      <x:c r="RJ29" s="11"/>
      <x:c r="RK29" s="12">
        <x:f t="shared" si="46"/>
        <x:v>1</x:v>
      </x:c>
      <x:c r="RL29" s="7"/>
      <x:c r="RM29" s="10"/>
      <x:c r="RN29" s="10"/>
      <x:c r="RO29" s="10"/>
      <x:c r="RP29" s="10"/>
      <x:c r="RQ29" s="10"/>
      <x:c r="RR29" s="10"/>
      <x:c r="RS29" s="10"/>
      <x:c r="RT29" s="10"/>
      <x:c r="RU29" s="11"/>
      <x:c r="RV29" s="12">
        <x:f t="shared" si="47"/>
        <x:v>0</x:v>
      </x:c>
      <x:c r="RW29" s="7"/>
      <x:c r="RX29" s="12">
        <x:f t="shared" si="48"/>
        <x:v>0</x:v>
      </x:c>
    </x:row>
    <x:row r="30" ht="16.5">
      <x:c r="A30" s="13" t="s">
        <x:v>473</x:v>
      </x:c>
      <x:c r="B30" s="14"/>
      <x:c r="C30" s="14"/>
      <x:c r="D30" s="14"/>
      <x:c r="E30" s="14"/>
      <x:c r="F30" s="14"/>
      <x:c r="G30" s="14"/>
      <x:c r="H30" s="14"/>
      <x:c r="I30" s="14"/>
      <x:c r="J30" s="14"/>
      <x:c r="K30" s="15"/>
      <x:c r="L30" s="13"/>
      <x:c r="M30" s="16" t="s">
        <x:v>426</x:v>
      </x:c>
      <x:c r="N30" s="16"/>
      <x:c r="O30" s="16"/>
      <x:c r="P30" s="17"/>
      <x:c r="Q30" s="12">
        <x:f t="shared" si="0"/>
        <x:v>1</x:v>
      </x:c>
      <x:c r="R30" s="13"/>
      <x:c r="S30" s="16"/>
      <x:c r="T30" s="16"/>
      <x:c r="U30" s="16" t="s">
        <x:v>426</x:v>
      </x:c>
      <x:c r="V30" s="16"/>
      <x:c r="W30" s="17"/>
      <x:c r="X30" s="12">
        <x:f t="shared" si="1"/>
        <x:v>1</x:v>
      </x:c>
      <x:c r="Y30" s="13"/>
      <x:c r="Z30" s="16"/>
      <x:c r="AA30" s="16"/>
      <x:c r="AB30" s="16"/>
      <x:c r="AC30" s="16" t="s">
        <x:v>426</x:v>
      </x:c>
      <x:c r="AD30" s="12">
        <x:f t="shared" si="2"/>
        <x:v>1</x:v>
      </x:c>
      <x:c r="AE30" s="13" t="s">
        <x:v>426</x:v>
      </x:c>
      <x:c r="AF30" s="16"/>
      <x:c r="AG30" s="16"/>
      <x:c r="AH30" s="16"/>
      <x:c r="AI30" s="16"/>
      <x:c r="AJ30" s="17"/>
      <x:c r="AK30" s="12">
        <x:f t="shared" si="3"/>
        <x:v>1</x:v>
      </x:c>
      <x:c r="AL30" s="13"/>
      <x:c r="AM30" s="16" t="s">
        <x:v>426</x:v>
      </x:c>
      <x:c r="AN30" s="16"/>
      <x:c r="AO30" s="12">
        <x:f t="shared" si="4"/>
        <x:v>1</x:v>
      </x:c>
      <x:c r="AP30" s="13" t="s">
        <x:v>426</x:v>
      </x:c>
      <x:c r="AQ30" s="16"/>
      <x:c r="AR30" s="16"/>
      <x:c r="AS30" s="16"/>
      <x:c r="AT30" s="16"/>
      <x:c r="AU30" s="16"/>
      <x:c r="AV30" s="16"/>
      <x:c r="AW30" s="17"/>
      <x:c r="AX30" s="12">
        <x:f t="shared" si="5"/>
        <x:v>1</x:v>
      </x:c>
      <x:c r="AY30" s="13"/>
      <x:c r="AZ30" s="16"/>
      <x:c r="BA30" s="16" t="s">
        <x:v>426</x:v>
      </x:c>
      <x:c r="BB30" s="16"/>
      <x:c r="BC30" s="16"/>
      <x:c r="BD30" s="16"/>
      <x:c r="BE30" s="16"/>
      <x:c r="BF30" s="16"/>
      <x:c r="BG30" s="17"/>
      <x:c r="BH30" s="12">
        <x:f t="shared" si="6"/>
        <x:v>1</x:v>
      </x:c>
      <x:c r="BI30" s="13"/>
      <x:c r="BJ30" s="16"/>
      <x:c r="BK30" s="16"/>
      <x:c r="BL30" s="16"/>
      <x:c r="BM30" s="16"/>
      <x:c r="BN30" s="16" t="s">
        <x:v>426</x:v>
      </x:c>
      <x:c r="BO30" s="16"/>
      <x:c r="BP30" s="17"/>
      <x:c r="BQ30" s="12">
        <x:f t="shared" si="7"/>
        <x:v>1</x:v>
      </x:c>
      <x:c r="BR30" s="13"/>
      <x:c r="BS30" s="16"/>
      <x:c r="BT30" s="16"/>
      <x:c r="BU30" s="16"/>
      <x:c r="BV30" s="16"/>
      <x:c r="BW30" s="16"/>
      <x:c r="BX30" s="16"/>
      <x:c r="BY30" s="17"/>
      <x:c r="BZ30" s="12">
        <x:f t="shared" si="8"/>
        <x:v>0</x:v>
      </x:c>
      <x:c r="CA30" s="13"/>
      <x:c r="CB30" s="16"/>
      <x:c r="CC30" s="16"/>
      <x:c r="CD30" s="16"/>
      <x:c r="CE30" s="16"/>
      <x:c r="CF30" s="16" t="s">
        <x:v>426</x:v>
      </x:c>
      <x:c r="CG30" s="16"/>
      <x:c r="CH30" s="16"/>
      <x:c r="CI30" s="16"/>
      <x:c r="CJ30" s="16"/>
      <x:c r="CK30" s="17"/>
      <x:c r="CL30" s="12">
        <x:f t="shared" si="9"/>
        <x:v>1</x:v>
      </x:c>
      <x:c r="CM30" s="13"/>
      <x:c r="CN30" s="16"/>
      <x:c r="CO30" s="16"/>
      <x:c r="CP30" s="16"/>
      <x:c r="CQ30" s="16"/>
      <x:c r="CR30" s="16"/>
      <x:c r="CS30" s="16"/>
      <x:c r="CT30" s="16"/>
      <x:c r="CU30" s="16"/>
      <x:c r="CV30" s="16"/>
      <x:c r="CW30" s="16"/>
      <x:c r="CX30" s="16"/>
      <x:c r="CY30" s="16" t="s">
        <x:v>426</x:v>
      </x:c>
      <x:c r="CZ30" s="16"/>
      <x:c r="DA30" s="17"/>
      <x:c r="DB30" s="12">
        <x:f t="shared" si="10"/>
        <x:v>1</x:v>
      </x:c>
      <x:c r="DC30" s="13"/>
      <x:c r="DD30" s="12">
        <x:f t="shared" si="11"/>
        <x:v>0</x:v>
      </x:c>
      <x:c r="DE30" s="13"/>
      <x:c r="DF30" s="16"/>
      <x:c r="DG30" s="16"/>
      <x:c r="DH30" s="16"/>
      <x:c r="DI30" s="16" t="s">
        <x:v>426</x:v>
      </x:c>
      <x:c r="DJ30" s="16"/>
      <x:c r="DK30" s="16"/>
      <x:c r="DL30" s="16"/>
      <x:c r="DM30" s="17"/>
      <x:c r="DN30" s="12">
        <x:f t="shared" si="12"/>
        <x:v>1</x:v>
      </x:c>
      <x:c r="DO30" s="13"/>
      <x:c r="DP30" s="16"/>
      <x:c r="DQ30" s="16"/>
      <x:c r="DR30" s="16"/>
      <x:c r="DS30" s="16" t="s">
        <x:v>426</x:v>
      </x:c>
      <x:c r="DT30" s="12">
        <x:f t="shared" si="13"/>
        <x:v>1</x:v>
      </x:c>
      <x:c r="DU30" s="13"/>
      <x:c r="DV30" s="16"/>
      <x:c r="DW30" s="16"/>
      <x:c r="DX30" s="16"/>
      <x:c r="DY30" s="16"/>
      <x:c r="DZ30" s="16"/>
      <x:c r="EA30" s="16"/>
      <x:c r="EB30" s="16"/>
      <x:c r="EC30" s="16" t="s">
        <x:v>426</x:v>
      </x:c>
      <x:c r="ED30" s="17" t="s">
        <x:v>438</x:v>
      </x:c>
      <x:c r="EE30" s="12">
        <x:f t="shared" si="14"/>
        <x:v>1</x:v>
      </x:c>
      <x:c r="EF30" s="13"/>
      <x:c r="EG30" s="16"/>
      <x:c r="EH30" s="16"/>
      <x:c r="EI30" s="16"/>
      <x:c r="EJ30" s="16"/>
      <x:c r="EK30" s="16"/>
      <x:c r="EL30" s="16"/>
      <x:c r="EM30" s="16"/>
      <x:c r="EN30" s="16" t="s">
        <x:v>426</x:v>
      </x:c>
      <x:c r="EO30" s="16"/>
      <x:c r="EP30" s="17"/>
      <x:c r="EQ30" s="12">
        <x:f t="shared" si="15"/>
        <x:v>1</x:v>
      </x:c>
      <x:c r="ER30" s="13"/>
      <x:c r="ES30" s="16"/>
      <x:c r="ET30" s="16"/>
      <x:c r="EU30" s="16" t="s">
        <x:v>426</x:v>
      </x:c>
      <x:c r="EV30" s="12">
        <x:f t="shared" si="16"/>
        <x:v>1</x:v>
      </x:c>
      <x:c r="EW30" s="13"/>
      <x:c r="EX30" s="16"/>
      <x:c r="EY30" s="16"/>
      <x:c r="EZ30" s="16"/>
      <x:c r="FA30" s="16"/>
      <x:c r="FB30" s="16"/>
      <x:c r="FC30" s="16" t="s">
        <x:v>426</x:v>
      </x:c>
      <x:c r="FD30" s="16"/>
      <x:c r="FE30" s="17"/>
      <x:c r="FF30" s="12">
        <x:f t="shared" si="17"/>
        <x:v>1</x:v>
      </x:c>
      <x:c r="FG30" s="13" t="s">
        <x:v>426</x:v>
      </x:c>
      <x:c r="FH30" s="16"/>
      <x:c r="FI30" s="16"/>
      <x:c r="FJ30" s="16"/>
      <x:c r="FK30" s="16"/>
      <x:c r="FL30" s="16"/>
      <x:c r="FM30" s="16"/>
      <x:c r="FN30" s="16"/>
      <x:c r="FO30" s="16"/>
      <x:c r="FP30" s="16"/>
      <x:c r="FQ30" s="16"/>
      <x:c r="FR30" s="16"/>
      <x:c r="FS30" s="16"/>
      <x:c r="FT30" s="16"/>
      <x:c r="FU30" s="17"/>
      <x:c r="FV30" s="12">
        <x:f t="shared" si="18"/>
        <x:v>1</x:v>
      </x:c>
      <x:c r="FW30" s="13"/>
      <x:c r="FX30" s="16"/>
      <x:c r="FY30" s="16"/>
      <x:c r="FZ30" s="16"/>
      <x:c r="GA30" s="16"/>
      <x:c r="GB30" s="16" t="s">
        <x:v>426</x:v>
      </x:c>
      <x:c r="GC30" s="16"/>
      <x:c r="GD30" s="16"/>
      <x:c r="GE30" s="17"/>
      <x:c r="GF30" s="12">
        <x:f t="shared" si="19"/>
        <x:v>1</x:v>
      </x:c>
      <x:c r="GG30" s="13"/>
      <x:c r="GH30" s="16"/>
      <x:c r="GI30" s="16"/>
      <x:c r="GJ30" s="16"/>
      <x:c r="GK30" s="16"/>
      <x:c r="GL30" s="16" t="s">
        <x:v>426</x:v>
      </x:c>
      <x:c r="GM30" s="12">
        <x:f t="shared" si="20"/>
        <x:v>1</x:v>
      </x:c>
      <x:c r="GN30" s="13"/>
      <x:c r="GO30" s="16"/>
      <x:c r="GP30" s="16"/>
      <x:c r="GQ30" s="16"/>
      <x:c r="GR30" s="16"/>
      <x:c r="GS30" s="16" t="s">
        <x:v>426</x:v>
      </x:c>
      <x:c r="GT30" s="12">
        <x:f t="shared" si="21"/>
        <x:v>1</x:v>
      </x:c>
      <x:c r="GU30" s="13"/>
      <x:c r="GV30" s="16"/>
      <x:c r="GW30" s="16"/>
      <x:c r="GX30" s="16" t="s">
        <x:v>426</x:v>
      </x:c>
      <x:c r="GY30" s="12">
        <x:f t="shared" si="22"/>
        <x:v>1</x:v>
      </x:c>
      <x:c r="GZ30" s="13" t="s">
        <x:v>426</x:v>
      </x:c>
      <x:c r="HA30" s="16"/>
      <x:c r="HB30" s="16"/>
      <x:c r="HC30" s="16"/>
      <x:c r="HD30" s="16"/>
      <x:c r="HE30" s="16"/>
      <x:c r="HF30" s="16"/>
      <x:c r="HG30" s="16"/>
      <x:c r="HH30" s="16"/>
      <x:c r="HI30" s="16"/>
      <x:c r="HJ30" s="16"/>
      <x:c r="HK30" s="17"/>
      <x:c r="HL30" s="12">
        <x:f t="shared" si="23"/>
        <x:v>1</x:v>
      </x:c>
      <x:c r="HM30" s="13"/>
      <x:c r="HN30" s="16"/>
      <x:c r="HO30" s="16"/>
      <x:c r="HP30" s="16"/>
      <x:c r="HQ30" s="16"/>
      <x:c r="HR30" s="16"/>
      <x:c r="HS30" s="16" t="s">
        <x:v>426</x:v>
      </x:c>
      <x:c r="HT30" s="16"/>
      <x:c r="HU30" s="16"/>
      <x:c r="HV30" s="17"/>
      <x:c r="HW30" s="12">
        <x:f t="shared" si="24"/>
        <x:v>1</x:v>
      </x:c>
      <x:c r="HX30" s="13"/>
      <x:c r="HY30" s="16" t="s">
        <x:v>426</x:v>
      </x:c>
      <x:c r="HZ30" s="16"/>
      <x:c r="IA30" s="16"/>
      <x:c r="IB30" s="16"/>
      <x:c r="IC30" s="12">
        <x:f t="shared" si="25"/>
        <x:v>1</x:v>
      </x:c>
      <x:c r="ID30" s="13"/>
      <x:c r="IE30" s="16"/>
      <x:c r="IF30" s="16"/>
      <x:c r="IG30" s="16" t="s">
        <x:v>426</x:v>
      </x:c>
      <x:c r="IH30" s="16"/>
      <x:c r="II30" s="16"/>
      <x:c r="IJ30" s="16"/>
      <x:c r="IK30" s="16"/>
      <x:c r="IL30" s="16"/>
      <x:c r="IM30" s="16"/>
      <x:c r="IN30" s="17"/>
      <x:c r="IO30" s="12">
        <x:f t="shared" si="26"/>
        <x:v>1</x:v>
      </x:c>
      <x:c r="IP30" s="13"/>
      <x:c r="IQ30" s="16"/>
      <x:c r="IR30" s="16"/>
      <x:c r="IS30" s="16"/>
      <x:c r="IT30" s="16"/>
      <x:c r="IU30" s="16" t="s">
        <x:v>426</x:v>
      </x:c>
      <x:c r="IV30" s="16" t="s">
        <x:v>426</x:v>
      </x:c>
      <x:c r="IW30" s="16"/>
      <x:c r="IX30" s="17"/>
      <x:c r="IY30" s="12">
        <x:f t="shared" si="27"/>
        <x:v>1</x:v>
      </x:c>
      <x:c r="IZ30" s="13"/>
      <x:c r="JA30" s="16"/>
      <x:c r="JB30" s="16"/>
      <x:c r="JC30" s="16"/>
      <x:c r="JD30" s="16"/>
      <x:c r="JE30" s="16"/>
      <x:c r="JF30" s="16"/>
      <x:c r="JG30" s="16"/>
      <x:c r="JH30" s="16"/>
      <x:c r="JI30" s="16"/>
      <x:c r="JJ30" s="16"/>
      <x:c r="JK30" s="16"/>
      <x:c r="JL30" s="16" t="s">
        <x:v>426</x:v>
      </x:c>
      <x:c r="JM30" s="16"/>
      <x:c r="JN30" s="16"/>
      <x:c r="JO30" s="16"/>
      <x:c r="JP30" s="16"/>
      <x:c r="JQ30" s="16"/>
      <x:c r="JR30" s="16"/>
      <x:c r="JS30" s="12">
        <x:f t="shared" si="28"/>
        <x:v>1</x:v>
      </x:c>
      <x:c r="JT30" s="13"/>
      <x:c r="JU30" s="16" t="s">
        <x:v>426</x:v>
      </x:c>
      <x:c r="JV30" s="16"/>
      <x:c r="JW30" s="16"/>
      <x:c r="JX30" s="16"/>
      <x:c r="JY30" s="16"/>
      <x:c r="JZ30" s="16"/>
      <x:c r="KA30" s="16"/>
      <x:c r="KB30" s="16"/>
      <x:c r="KC30" s="16"/>
      <x:c r="KD30" s="16"/>
      <x:c r="KE30" s="16"/>
      <x:c r="KF30" s="16"/>
      <x:c r="KG30" s="16"/>
      <x:c r="KH30" s="16"/>
      <x:c r="KI30" s="16"/>
      <x:c r="KJ30" s="16"/>
      <x:c r="KK30" s="16"/>
      <x:c r="KL30" s="16"/>
      <x:c r="KM30" s="12">
        <x:f t="shared" si="29"/>
        <x:v>1</x:v>
      </x:c>
      <x:c r="KN30" s="13"/>
      <x:c r="KO30" s="16"/>
      <x:c r="KP30" s="16"/>
      <x:c r="KQ30" s="16"/>
      <x:c r="KR30" s="16"/>
      <x:c r="KS30" s="16"/>
      <x:c r="KT30" s="16"/>
      <x:c r="KU30" s="16"/>
      <x:c r="KV30" s="16"/>
      <x:c r="KW30" s="16"/>
      <x:c r="KX30" s="16"/>
      <x:c r="KY30" s="16"/>
      <x:c r="KZ30" s="16"/>
      <x:c r="LA30" s="16"/>
      <x:c r="LB30" s="16"/>
      <x:c r="LC30" s="16"/>
      <x:c r="LD30" s="16"/>
      <x:c r="LE30" s="16"/>
      <x:c r="LF30" s="16" t="s">
        <x:v>426</x:v>
      </x:c>
      <x:c r="LG30" s="12">
        <x:f t="shared" si="30"/>
        <x:v>1</x:v>
      </x:c>
      <x:c r="LH30" s="13"/>
      <x:c r="LI30" s="16"/>
      <x:c r="LJ30" s="16"/>
      <x:c r="LK30" s="16"/>
      <x:c r="LL30" s="16"/>
      <x:c r="LM30" s="16"/>
      <x:c r="LN30" s="16"/>
      <x:c r="LO30" s="16" t="s">
        <x:v>426</x:v>
      </x:c>
      <x:c r="LP30" s="16"/>
      <x:c r="LQ30" s="17"/>
      <x:c r="LR30" s="12">
        <x:f t="shared" si="31"/>
        <x:v>1</x:v>
      </x:c>
      <x:c r="LS30" s="13" t="s">
        <x:v>426</x:v>
      </x:c>
      <x:c r="LT30" s="16" t="s">
        <x:v>426</x:v>
      </x:c>
      <x:c r="LU30" s="16"/>
      <x:c r="LV30" s="16"/>
      <x:c r="LW30" s="16"/>
      <x:c r="LX30" s="16" t="s">
        <x:v>426</x:v>
      </x:c>
      <x:c r="LY30" s="16"/>
      <x:c r="LZ30" s="16"/>
      <x:c r="MA30" s="16"/>
      <x:c r="MB30" s="17"/>
      <x:c r="MC30" s="12">
        <x:f t="shared" si="32"/>
        <x:v>1</x:v>
      </x:c>
      <x:c r="MD30" s="13"/>
      <x:c r="ME30" s="16"/>
      <x:c r="MF30" s="16"/>
      <x:c r="MG30" s="16"/>
      <x:c r="MH30" s="16" t="s">
        <x:v>426</x:v>
      </x:c>
      <x:c r="MI30" s="16"/>
      <x:c r="MJ30" s="16"/>
      <x:c r="MK30" s="12">
        <x:f t="shared" si="33"/>
        <x:v>1</x:v>
      </x:c>
      <x:c r="ML30" s="13"/>
      <x:c r="MM30" s="16"/>
      <x:c r="MN30" s="16"/>
      <x:c r="MO30" s="16"/>
      <x:c r="MP30" s="16"/>
      <x:c r="MQ30" s="16"/>
      <x:c r="MR30" s="16"/>
      <x:c r="MS30" s="16" t="s">
        <x:v>426</x:v>
      </x:c>
      <x:c r="MT30" s="16"/>
      <x:c r="MU30" s="17"/>
      <x:c r="MV30" s="12">
        <x:f t="shared" si="34"/>
        <x:v>1</x:v>
      </x:c>
      <x:c r="MW30" s="13"/>
      <x:c r="MX30" s="16"/>
      <x:c r="MY30" s="16"/>
      <x:c r="MZ30" s="16"/>
      <x:c r="NA30" s="16"/>
      <x:c r="NB30" s="16"/>
      <x:c r="NC30" s="16" t="s">
        <x:v>426</x:v>
      </x:c>
      <x:c r="ND30" s="16"/>
      <x:c r="NE30" s="16"/>
      <x:c r="NF30" s="17"/>
      <x:c r="NG30" s="12">
        <x:f t="shared" si="35"/>
        <x:v>1</x:v>
      </x:c>
      <x:c r="NH30" s="13"/>
      <x:c r="NI30" s="16"/>
      <x:c r="NJ30" s="16"/>
      <x:c r="NK30" s="16"/>
      <x:c r="NL30" s="16"/>
      <x:c r="NM30" s="16"/>
      <x:c r="NN30" s="16"/>
      <x:c r="NO30" s="16"/>
      <x:c r="NP30" s="16" t="s">
        <x:v>426</x:v>
      </x:c>
      <x:c r="NQ30" s="16"/>
      <x:c r="NR30" s="17"/>
      <x:c r="NS30" s="12">
        <x:f t="shared" si="36"/>
        <x:v>1</x:v>
      </x:c>
      <x:c r="NT30" s="13"/>
      <x:c r="NU30" s="16"/>
      <x:c r="NV30" s="16" t="s">
        <x:v>426</x:v>
      </x:c>
      <x:c r="NW30" s="16"/>
      <x:c r="NX30" s="16"/>
      <x:c r="NY30" s="12">
        <x:f t="shared" si="37"/>
        <x:v>1</x:v>
      </x:c>
      <x:c r="NZ30" s="13"/>
      <x:c r="OA30" s="16"/>
      <x:c r="OB30" s="16"/>
      <x:c r="OC30" s="16"/>
      <x:c r="OD30" s="16"/>
      <x:c r="OE30" s="16"/>
      <x:c r="OF30" s="16"/>
      <x:c r="OG30" s="16"/>
      <x:c r="OH30" s="16"/>
      <x:c r="OI30" s="16" t="s">
        <x:v>426</x:v>
      </x:c>
      <x:c r="OJ30" s="16"/>
      <x:c r="OK30" s="17"/>
      <x:c r="OL30" s="12">
        <x:f t="shared" si="38"/>
        <x:v>1</x:v>
      </x:c>
      <x:c r="OM30" s="13"/>
      <x:c r="ON30" s="16"/>
      <x:c r="OO30" s="16"/>
      <x:c r="OP30" s="16"/>
      <x:c r="OQ30" s="16"/>
      <x:c r="OR30" s="16"/>
      <x:c r="OS30" s="16"/>
      <x:c r="OT30" s="16" t="s">
        <x:v>426</x:v>
      </x:c>
      <x:c r="OU30" s="16"/>
      <x:c r="OV30" s="17"/>
      <x:c r="OW30" s="12">
        <x:f t="shared" si="39"/>
        <x:v>1</x:v>
      </x:c>
      <x:c r="OX30" s="13"/>
      <x:c r="OY30" s="16"/>
      <x:c r="OZ30" s="16"/>
      <x:c r="PA30" s="16"/>
      <x:c r="PB30" s="16" t="s">
        <x:v>426</x:v>
      </x:c>
      <x:c r="PC30" s="12">
        <x:f t="shared" si="40"/>
        <x:v>1</x:v>
      </x:c>
      <x:c r="PD30" s="13"/>
      <x:c r="PE30" s="16"/>
      <x:c r="PF30" s="16"/>
      <x:c r="PG30" s="16"/>
      <x:c r="PH30" s="16"/>
      <x:c r="PI30" s="16"/>
      <x:c r="PJ30" s="16"/>
      <x:c r="PK30" s="16"/>
      <x:c r="PL30" s="16" t="s">
        <x:v>426</x:v>
      </x:c>
      <x:c r="PM30" s="16"/>
      <x:c r="PN30" s="17"/>
      <x:c r="PO30" s="12">
        <x:f t="shared" si="41"/>
        <x:v>1</x:v>
      </x:c>
      <x:c r="PP30" s="13"/>
      <x:c r="PQ30" s="16"/>
      <x:c r="PR30" s="16"/>
      <x:c r="PS30" s="16" t="s">
        <x:v>426</x:v>
      </x:c>
      <x:c r="PT30" s="12">
        <x:f t="shared" si="42"/>
        <x:v>1</x:v>
      </x:c>
      <x:c r="PU30" s="13"/>
      <x:c r="PV30" s="16" t="s">
        <x:v>426</x:v>
      </x:c>
      <x:c r="PW30" s="16"/>
      <x:c r="PX30" s="16"/>
      <x:c r="PY30" s="16"/>
      <x:c r="PZ30" s="16"/>
      <x:c r="QA30" s="16"/>
      <x:c r="QB30" s="16"/>
      <x:c r="QC30" s="16"/>
      <x:c r="QD30" s="17"/>
      <x:c r="QE30" s="12">
        <x:f t="shared" si="43"/>
        <x:v>1</x:v>
      </x:c>
      <x:c r="QF30" s="13"/>
      <x:c r="QG30" s="16"/>
      <x:c r="QH30" s="16" t="s">
        <x:v>426</x:v>
      </x:c>
      <x:c r="QI30" s="16" t="s">
        <x:v>426</x:v>
      </x:c>
      <x:c r="QJ30" s="16"/>
      <x:c r="QK30" s="16" t="s">
        <x:v>426</x:v>
      </x:c>
      <x:c r="QL30" s="16"/>
      <x:c r="QM30" s="16"/>
      <x:c r="QN30" s="16"/>
      <x:c r="QO30" s="17"/>
      <x:c r="QP30" s="12">
        <x:f t="shared" si="44"/>
        <x:v>1</x:v>
      </x:c>
      <x:c r="QQ30" s="13"/>
      <x:c r="QR30" s="16"/>
      <x:c r="QS30" s="16"/>
      <x:c r="QT30" s="16"/>
      <x:c r="QU30" s="16"/>
      <x:c r="QV30" s="16"/>
      <x:c r="QW30" s="16"/>
      <x:c r="QX30" s="16" t="s">
        <x:v>426</x:v>
      </x:c>
      <x:c r="QY30" s="16"/>
      <x:c r="QZ30" s="17"/>
      <x:c r="RA30" s="12">
        <x:f t="shared" si="45"/>
        <x:v>1</x:v>
      </x:c>
      <x:c r="RB30" s="13"/>
      <x:c r="RC30" s="16"/>
      <x:c r="RD30" s="16"/>
      <x:c r="RE30" s="16"/>
      <x:c r="RF30" s="16"/>
      <x:c r="RG30" s="16"/>
      <x:c r="RH30" s="16" t="s">
        <x:v>426</x:v>
      </x:c>
      <x:c r="RI30" s="16"/>
      <x:c r="RJ30" s="17"/>
      <x:c r="RK30" s="12">
        <x:f t="shared" si="46"/>
        <x:v>1</x:v>
      </x:c>
      <x:c r="RL30" s="13" t="s">
        <x:v>426</x:v>
      </x:c>
      <x:c r="RM30" s="16"/>
      <x:c r="RN30" s="16"/>
      <x:c r="RO30" s="16"/>
      <x:c r="RP30" s="16"/>
      <x:c r="RQ30" s="16"/>
      <x:c r="RR30" s="16" t="s">
        <x:v>426</x:v>
      </x:c>
      <x:c r="RS30" s="16" t="s">
        <x:v>426</x:v>
      </x:c>
      <x:c r="RT30" s="16"/>
      <x:c r="RU30" s="17"/>
      <x:c r="RV30" s="12">
        <x:f t="shared" si="47"/>
        <x:v>1</x:v>
      </x:c>
      <x:c r="RW30" s="13"/>
      <x:c r="RX30" s="12">
        <x:f t="shared" si="48"/>
        <x:v>0</x:v>
      </x:c>
    </x:row>
    <x:row r="31" ht="16.5">
      <x:c r="A31" s="7" t="s">
        <x:v>474</x:v>
      </x:c>
      <x:c r="B31" s="8"/>
      <x:c r="C31" s="8"/>
      <x:c r="D31" s="8"/>
      <x:c r="E31" s="8"/>
      <x:c r="F31" s="8"/>
      <x:c r="G31" s="8"/>
      <x:c r="H31" s="8"/>
      <x:c r="I31" s="8"/>
      <x:c r="J31" s="8"/>
      <x:c r="K31" s="9"/>
      <x:c r="L31" s="7"/>
      <x:c r="M31" s="10"/>
      <x:c r="N31" s="10"/>
      <x:c r="O31" s="10" t="s">
        <x:v>426</x:v>
      </x:c>
      <x:c r="P31" s="11" t="s">
        <x:v>475</x:v>
      </x:c>
      <x:c r="Q31" s="12">
        <x:f t="shared" si="0"/>
        <x:v>1</x:v>
      </x:c>
      <x:c r="R31" s="7"/>
      <x:c r="S31" s="10" t="s">
        <x:v>426</x:v>
      </x:c>
      <x:c r="T31" s="10"/>
      <x:c r="U31" s="10"/>
      <x:c r="V31" s="10"/>
      <x:c r="W31" s="11"/>
      <x:c r="X31" s="12">
        <x:f t="shared" si="1"/>
        <x:v>1</x:v>
      </x:c>
      <x:c r="Y31" s="7"/>
      <x:c r="Z31" s="10"/>
      <x:c r="AA31" s="10"/>
      <x:c r="AB31" s="10"/>
      <x:c r="AC31" s="10" t="s">
        <x:v>426</x:v>
      </x:c>
      <x:c r="AD31" s="12">
        <x:f t="shared" si="2"/>
        <x:v>1</x:v>
      </x:c>
      <x:c r="AE31" s="7" t="s">
        <x:v>426</x:v>
      </x:c>
      <x:c r="AF31" s="10"/>
      <x:c r="AG31" s="10"/>
      <x:c r="AH31" s="10"/>
      <x:c r="AI31" s="10"/>
      <x:c r="AJ31" s="11"/>
      <x:c r="AK31" s="12">
        <x:f t="shared" si="3"/>
        <x:v>1</x:v>
      </x:c>
      <x:c r="AL31" s="7"/>
      <x:c r="AM31" s="10" t="s">
        <x:v>426</x:v>
      </x:c>
      <x:c r="AN31" s="10"/>
      <x:c r="AO31" s="12">
        <x:f t="shared" si="4"/>
        <x:v>1</x:v>
      </x:c>
      <x:c r="AP31" s="7"/>
      <x:c r="AQ31" s="10"/>
      <x:c r="AR31" s="10" t="s">
        <x:v>426</x:v>
      </x:c>
      <x:c r="AS31" s="10"/>
      <x:c r="AT31" s="10"/>
      <x:c r="AU31" s="10"/>
      <x:c r="AV31" s="10"/>
      <x:c r="AW31" s="11"/>
      <x:c r="AX31" s="12">
        <x:f t="shared" si="5"/>
        <x:v>1</x:v>
      </x:c>
      <x:c r="AY31" s="7"/>
      <x:c r="AZ31" s="10"/>
      <x:c r="BA31" s="10" t="s">
        <x:v>426</x:v>
      </x:c>
      <x:c r="BB31" s="10"/>
      <x:c r="BC31" s="10"/>
      <x:c r="BD31" s="10"/>
      <x:c r="BE31" s="10"/>
      <x:c r="BF31" s="10"/>
      <x:c r="BG31" s="11"/>
      <x:c r="BH31" s="12">
        <x:f t="shared" si="6"/>
        <x:v>1</x:v>
      </x:c>
      <x:c r="BI31" s="7"/>
      <x:c r="BJ31" s="10"/>
      <x:c r="BK31" s="10" t="s">
        <x:v>426</x:v>
      </x:c>
      <x:c r="BL31" s="10"/>
      <x:c r="BM31" s="10"/>
      <x:c r="BN31" s="10"/>
      <x:c r="BO31" s="10"/>
      <x:c r="BP31" s="11"/>
      <x:c r="BQ31" s="12">
        <x:f t="shared" si="7"/>
        <x:v>1</x:v>
      </x:c>
      <x:c r="BR31" s="7"/>
      <x:c r="BS31" s="10"/>
      <x:c r="BT31" s="10"/>
      <x:c r="BU31" s="10"/>
      <x:c r="BV31" s="10"/>
      <x:c r="BW31" s="10"/>
      <x:c r="BX31" s="10" t="s">
        <x:v>426</x:v>
      </x:c>
      <x:c r="BY31" s="11"/>
      <x:c r="BZ31" s="12">
        <x:f t="shared" si="8"/>
        <x:v>1</x:v>
      </x:c>
      <x:c r="CA31" s="7"/>
      <x:c r="CB31" s="10"/>
      <x:c r="CC31" s="10"/>
      <x:c r="CD31" s="10"/>
      <x:c r="CE31" s="10"/>
      <x:c r="CF31" s="10"/>
      <x:c r="CG31" s="10"/>
      <x:c r="CH31" s="10" t="s">
        <x:v>426</x:v>
      </x:c>
      <x:c r="CI31" s="10"/>
      <x:c r="CJ31" s="10"/>
      <x:c r="CK31" s="11"/>
      <x:c r="CL31" s="12">
        <x:f t="shared" si="9"/>
        <x:v>1</x:v>
      </x:c>
      <x:c r="CM31" s="7"/>
      <x:c r="CN31" s="10"/>
      <x:c r="CO31" s="10"/>
      <x:c r="CP31" s="10"/>
      <x:c r="CQ31" s="10"/>
      <x:c r="CR31" s="10"/>
      <x:c r="CS31" s="10"/>
      <x:c r="CT31" s="10"/>
      <x:c r="CU31" s="10"/>
      <x:c r="CV31" s="10"/>
      <x:c r="CW31" s="10"/>
      <x:c r="CX31" s="10"/>
      <x:c r="CY31" s="10" t="s">
        <x:v>426</x:v>
      </x:c>
      <x:c r="CZ31" s="10"/>
      <x:c r="DA31" s="11"/>
      <x:c r="DB31" s="12">
        <x:f t="shared" si="10"/>
        <x:v>1</x:v>
      </x:c>
      <x:c r="DC31" s="7"/>
      <x:c r="DD31" s="12">
        <x:f t="shared" si="11"/>
        <x:v>0</x:v>
      </x:c>
      <x:c r="DE31" s="7"/>
      <x:c r="DF31" s="10"/>
      <x:c r="DG31" s="10"/>
      <x:c r="DH31" s="10" t="s">
        <x:v>426</x:v>
      </x:c>
      <x:c r="DI31" s="10"/>
      <x:c r="DJ31" s="10"/>
      <x:c r="DK31" s="10"/>
      <x:c r="DL31" s="10"/>
      <x:c r="DM31" s="11"/>
      <x:c r="DN31" s="12">
        <x:f t="shared" si="12"/>
        <x:v>1</x:v>
      </x:c>
      <x:c r="DO31" s="7"/>
      <x:c r="DP31" s="10"/>
      <x:c r="DQ31" s="10"/>
      <x:c r="DR31" s="10"/>
      <x:c r="DS31" s="10" t="s">
        <x:v>426</x:v>
      </x:c>
      <x:c r="DT31" s="12">
        <x:f t="shared" si="13"/>
        <x:v>1</x:v>
      </x:c>
      <x:c r="DU31" s="7"/>
      <x:c r="DV31" s="10"/>
      <x:c r="DW31" s="10"/>
      <x:c r="DX31" s="10"/>
      <x:c r="DY31" s="10"/>
      <x:c r="DZ31" s="10"/>
      <x:c r="EA31" s="10"/>
      <x:c r="EB31" s="10" t="s">
        <x:v>426</x:v>
      </x:c>
      <x:c r="EC31" s="10"/>
      <x:c r="ED31" s="11"/>
      <x:c r="EE31" s="12">
        <x:f t="shared" si="14"/>
        <x:v>1</x:v>
      </x:c>
      <x:c r="EF31" s="7"/>
      <x:c r="EG31" s="10"/>
      <x:c r="EH31" s="10"/>
      <x:c r="EI31" s="10" t="s">
        <x:v>426</x:v>
      </x:c>
      <x:c r="EJ31" s="10"/>
      <x:c r="EK31" s="10"/>
      <x:c r="EL31" s="10"/>
      <x:c r="EM31" s="10"/>
      <x:c r="EN31" s="10"/>
      <x:c r="EO31" s="10"/>
      <x:c r="EP31" s="11"/>
      <x:c r="EQ31" s="12">
        <x:f t="shared" si="15"/>
        <x:v>1</x:v>
      </x:c>
      <x:c r="ER31" s="7"/>
      <x:c r="ES31" s="10"/>
      <x:c r="ET31" s="10" t="s">
        <x:v>426</x:v>
      </x:c>
      <x:c r="EU31" s="10"/>
      <x:c r="EV31" s="12">
        <x:f t="shared" si="16"/>
        <x:v>1</x:v>
      </x:c>
      <x:c r="EW31" s="7"/>
      <x:c r="EX31" s="10" t="s">
        <x:v>426</x:v>
      </x:c>
      <x:c r="EY31" s="10"/>
      <x:c r="EZ31" s="10"/>
      <x:c r="FA31" s="10"/>
      <x:c r="FB31" s="10"/>
      <x:c r="FC31" s="10"/>
      <x:c r="FD31" s="10"/>
      <x:c r="FE31" s="11"/>
      <x:c r="FF31" s="12">
        <x:f t="shared" si="17"/>
        <x:v>1</x:v>
      </x:c>
      <x:c r="FG31" s="7" t="s">
        <x:v>426</x:v>
      </x:c>
      <x:c r="FH31" s="10"/>
      <x:c r="FI31" s="10"/>
      <x:c r="FJ31" s="10"/>
      <x:c r="FK31" s="10"/>
      <x:c r="FL31" s="10"/>
      <x:c r="FM31" s="10"/>
      <x:c r="FN31" s="10"/>
      <x:c r="FO31" s="10"/>
      <x:c r="FP31" s="10"/>
      <x:c r="FQ31" s="10"/>
      <x:c r="FR31" s="10"/>
      <x:c r="FS31" s="10"/>
      <x:c r="FT31" s="10"/>
      <x:c r="FU31" s="11"/>
      <x:c r="FV31" s="12">
        <x:f t="shared" si="18"/>
        <x:v>1</x:v>
      </x:c>
      <x:c r="FW31" s="7"/>
      <x:c r="FX31" s="10"/>
      <x:c r="FY31" s="10"/>
      <x:c r="FZ31" s="10"/>
      <x:c r="GA31" s="10"/>
      <x:c r="GB31" s="10" t="s">
        <x:v>426</x:v>
      </x:c>
      <x:c r="GC31" s="10"/>
      <x:c r="GD31" s="10"/>
      <x:c r="GE31" s="11"/>
      <x:c r="GF31" s="12">
        <x:f t="shared" si="19"/>
        <x:v>1</x:v>
      </x:c>
      <x:c r="GG31" s="7" t="s">
        <x:v>426</x:v>
      </x:c>
      <x:c r="GH31" s="10"/>
      <x:c r="GI31" s="10"/>
      <x:c r="GJ31" s="10"/>
      <x:c r="GK31" s="10"/>
      <x:c r="GL31" s="10"/>
      <x:c r="GM31" s="12">
        <x:f t="shared" si="20"/>
        <x:v>1</x:v>
      </x:c>
      <x:c r="GN31" s="7"/>
      <x:c r="GO31" s="10"/>
      <x:c r="GP31" s="10"/>
      <x:c r="GQ31" s="10" t="s">
        <x:v>426</x:v>
      </x:c>
      <x:c r="GR31" s="10" t="s">
        <x:v>426</x:v>
      </x:c>
      <x:c r="GS31" s="10"/>
      <x:c r="GT31" s="12">
        <x:f t="shared" si="21"/>
        <x:v>1</x:v>
      </x:c>
      <x:c r="GU31" s="7" t="s">
        <x:v>426</x:v>
      </x:c>
      <x:c r="GV31" s="10"/>
      <x:c r="GW31" s="10"/>
      <x:c r="GX31" s="10"/>
      <x:c r="GY31" s="12">
        <x:f t="shared" si="22"/>
        <x:v>1</x:v>
      </x:c>
      <x:c r="GZ31" s="7"/>
      <x:c r="HA31" s="10"/>
      <x:c r="HB31" s="10"/>
      <x:c r="HC31" s="10"/>
      <x:c r="HD31" s="10" t="s">
        <x:v>426</x:v>
      </x:c>
      <x:c r="HE31" s="10"/>
      <x:c r="HF31" s="10"/>
      <x:c r="HG31" s="10"/>
      <x:c r="HH31" s="10"/>
      <x:c r="HI31" s="10"/>
      <x:c r="HJ31" s="10"/>
      <x:c r="HK31" s="11"/>
      <x:c r="HL31" s="12">
        <x:f t="shared" si="23"/>
        <x:v>1</x:v>
      </x:c>
      <x:c r="HM31" s="7"/>
      <x:c r="HN31" s="10"/>
      <x:c r="HO31" s="10"/>
      <x:c r="HP31" s="10"/>
      <x:c r="HQ31" s="10"/>
      <x:c r="HR31" s="10"/>
      <x:c r="HS31" s="10"/>
      <x:c r="HT31" s="10" t="s">
        <x:v>426</x:v>
      </x:c>
      <x:c r="HU31" s="10"/>
      <x:c r="HV31" s="11"/>
      <x:c r="HW31" s="12">
        <x:f t="shared" si="24"/>
        <x:v>1</x:v>
      </x:c>
      <x:c r="HX31" s="7"/>
      <x:c r="HY31" s="10"/>
      <x:c r="HZ31" s="10" t="s">
        <x:v>426</x:v>
      </x:c>
      <x:c r="IA31" s="10"/>
      <x:c r="IB31" s="10"/>
      <x:c r="IC31" s="12">
        <x:f t="shared" si="25"/>
        <x:v>1</x:v>
      </x:c>
      <x:c r="ID31" s="7"/>
      <x:c r="IE31" s="10"/>
      <x:c r="IF31" s="10"/>
      <x:c r="IG31" s="10" t="s">
        <x:v>426</x:v>
      </x:c>
      <x:c r="IH31" s="10"/>
      <x:c r="II31" s="10"/>
      <x:c r="IJ31" s="10"/>
      <x:c r="IK31" s="10" t="s">
        <x:v>426</x:v>
      </x:c>
      <x:c r="IL31" s="10"/>
      <x:c r="IM31" s="10"/>
      <x:c r="IN31" s="11"/>
      <x:c r="IO31" s="12">
        <x:f t="shared" si="26"/>
        <x:v>1</x:v>
      </x:c>
      <x:c r="IP31" s="7"/>
      <x:c r="IQ31" s="10"/>
      <x:c r="IR31" s="10"/>
      <x:c r="IS31" s="10"/>
      <x:c r="IT31" s="10"/>
      <x:c r="IU31" s="10"/>
      <x:c r="IV31" s="10" t="s">
        <x:v>426</x:v>
      </x:c>
      <x:c r="IW31" s="10"/>
      <x:c r="IX31" s="11"/>
      <x:c r="IY31" s="12">
        <x:f t="shared" si="27"/>
        <x:v>1</x:v>
      </x:c>
      <x:c r="IZ31" s="7"/>
      <x:c r="JA31" s="10"/>
      <x:c r="JB31" s="10"/>
      <x:c r="JC31" s="10"/>
      <x:c r="JD31" s="10"/>
      <x:c r="JE31" s="10"/>
      <x:c r="JF31" s="10"/>
      <x:c r="JG31" s="10"/>
      <x:c r="JH31" s="10"/>
      <x:c r="JI31" s="10"/>
      <x:c r="JJ31" s="10"/>
      <x:c r="JK31" s="10"/>
      <x:c r="JL31" s="10"/>
      <x:c r="JM31" s="10"/>
      <x:c r="JN31" s="10"/>
      <x:c r="JO31" s="10"/>
      <x:c r="JP31" s="10"/>
      <x:c r="JQ31" s="10"/>
      <x:c r="JR31" s="10" t="s">
        <x:v>426</x:v>
      </x:c>
      <x:c r="JS31" s="12">
        <x:f t="shared" si="28"/>
        <x:v>1</x:v>
      </x:c>
      <x:c r="JT31" s="7"/>
      <x:c r="JU31" s="10"/>
      <x:c r="JV31" s="10"/>
      <x:c r="JW31" s="10"/>
      <x:c r="JX31" s="10"/>
      <x:c r="JY31" s="10"/>
      <x:c r="JZ31" s="10"/>
      <x:c r="KA31" s="10"/>
      <x:c r="KB31" s="10" t="s">
        <x:v>426</x:v>
      </x:c>
      <x:c r="KC31" s="10"/>
      <x:c r="KD31" s="10"/>
      <x:c r="KE31" s="10"/>
      <x:c r="KF31" s="10"/>
      <x:c r="KG31" s="10"/>
      <x:c r="KH31" s="10"/>
      <x:c r="KI31" s="10"/>
      <x:c r="KJ31" s="10"/>
      <x:c r="KK31" s="10"/>
      <x:c r="KL31" s="10"/>
      <x:c r="KM31" s="12">
        <x:f t="shared" si="29"/>
        <x:v>1</x:v>
      </x:c>
      <x:c r="KN31" s="7"/>
      <x:c r="KO31" s="10"/>
      <x:c r="KP31" s="10"/>
      <x:c r="KQ31" s="10"/>
      <x:c r="KR31" s="10"/>
      <x:c r="KS31" s="10"/>
      <x:c r="KT31" s="10"/>
      <x:c r="KU31" s="10"/>
      <x:c r="KV31" s="10"/>
      <x:c r="KW31" s="10"/>
      <x:c r="KX31" s="10"/>
      <x:c r="KY31" s="10"/>
      <x:c r="KZ31" s="10"/>
      <x:c r="LA31" s="10"/>
      <x:c r="LB31" s="10"/>
      <x:c r="LC31" s="10"/>
      <x:c r="LD31" s="10"/>
      <x:c r="LE31" s="10"/>
      <x:c r="LF31" s="10" t="s">
        <x:v>426</x:v>
      </x:c>
      <x:c r="LG31" s="12">
        <x:f t="shared" si="30"/>
        <x:v>1</x:v>
      </x:c>
      <x:c r="LH31" s="7" t="s">
        <x:v>426</x:v>
      </x:c>
      <x:c r="LI31" s="10"/>
      <x:c r="LJ31" s="10"/>
      <x:c r="LK31" s="10"/>
      <x:c r="LL31" s="10"/>
      <x:c r="LM31" s="10"/>
      <x:c r="LN31" s="10"/>
      <x:c r="LO31" s="10"/>
      <x:c r="LP31" s="10"/>
      <x:c r="LQ31" s="11"/>
      <x:c r="LR31" s="12">
        <x:f t="shared" si="31"/>
        <x:v>1</x:v>
      </x:c>
      <x:c r="LS31" s="7"/>
      <x:c r="LT31" s="10"/>
      <x:c r="LU31" s="10"/>
      <x:c r="LV31" s="10"/>
      <x:c r="LW31" s="10"/>
      <x:c r="LX31" s="10" t="s">
        <x:v>426</x:v>
      </x:c>
      <x:c r="LY31" s="10"/>
      <x:c r="LZ31" s="10"/>
      <x:c r="MA31" s="10"/>
      <x:c r="MB31" s="11"/>
      <x:c r="MC31" s="12">
        <x:f t="shared" si="32"/>
        <x:v>1</x:v>
      </x:c>
      <x:c r="MD31" s="7" t="s">
        <x:v>426</x:v>
      </x:c>
      <x:c r="ME31" s="10"/>
      <x:c r="MF31" s="10"/>
      <x:c r="MG31" s="10"/>
      <x:c r="MH31" s="10"/>
      <x:c r="MI31" s="10"/>
      <x:c r="MJ31" s="10"/>
      <x:c r="MK31" s="12">
        <x:f t="shared" si="33"/>
        <x:v>1</x:v>
      </x:c>
      <x:c r="ML31" s="7"/>
      <x:c r="MM31" s="10"/>
      <x:c r="MN31" s="10"/>
      <x:c r="MO31" s="10"/>
      <x:c r="MP31" s="10"/>
      <x:c r="MQ31" s="10"/>
      <x:c r="MR31" s="10"/>
      <x:c r="MS31" s="10" t="s">
        <x:v>426</x:v>
      </x:c>
      <x:c r="MT31" s="10"/>
      <x:c r="MU31" s="11"/>
      <x:c r="MV31" s="12">
        <x:f t="shared" si="34"/>
        <x:v>1</x:v>
      </x:c>
      <x:c r="MW31" s="7"/>
      <x:c r="MX31" s="10"/>
      <x:c r="MY31" s="10"/>
      <x:c r="MZ31" s="10"/>
      <x:c r="NA31" s="10"/>
      <x:c r="NB31" s="10"/>
      <x:c r="NC31" s="10" t="s">
        <x:v>426</x:v>
      </x:c>
      <x:c r="ND31" s="10"/>
      <x:c r="NE31" s="10"/>
      <x:c r="NF31" s="11"/>
      <x:c r="NG31" s="12">
        <x:f t="shared" si="35"/>
        <x:v>1</x:v>
      </x:c>
      <x:c r="NH31" s="7" t="s">
        <x:v>426</x:v>
      </x:c>
      <x:c r="NI31" s="10" t="s">
        <x:v>426</x:v>
      </x:c>
      <x:c r="NJ31" s="10" t="s">
        <x:v>426</x:v>
      </x:c>
      <x:c r="NK31" s="10" t="s">
        <x:v>426</x:v>
      </x:c>
      <x:c r="NL31" s="10" t="s">
        <x:v>426</x:v>
      </x:c>
      <x:c r="NM31" s="10" t="s">
        <x:v>426</x:v>
      </x:c>
      <x:c r="NN31" s="10" t="s">
        <x:v>426</x:v>
      </x:c>
      <x:c r="NO31" s="10"/>
      <x:c r="NP31" s="10"/>
      <x:c r="NQ31" s="10"/>
      <x:c r="NR31" s="11"/>
      <x:c r="NS31" s="12">
        <x:f t="shared" si="36"/>
        <x:v>1</x:v>
      </x:c>
      <x:c r="NT31" s="7"/>
      <x:c r="NU31" s="10"/>
      <x:c r="NV31" s="10"/>
      <x:c r="NW31" s="10"/>
      <x:c r="NX31" s="10" t="s">
        <x:v>426</x:v>
      </x:c>
      <x:c r="NY31" s="12">
        <x:f t="shared" si="37"/>
        <x:v>1</x:v>
      </x:c>
      <x:c r="NZ31" s="7"/>
      <x:c r="OA31" s="10" t="s">
        <x:v>426</x:v>
      </x:c>
      <x:c r="OB31" s="10"/>
      <x:c r="OC31" s="10"/>
      <x:c r="OD31" s="10"/>
      <x:c r="OE31" s="10"/>
      <x:c r="OF31" s="10"/>
      <x:c r="OG31" s="10"/>
      <x:c r="OH31" s="10"/>
      <x:c r="OI31" s="10"/>
      <x:c r="OJ31" s="10"/>
      <x:c r="OK31" s="11"/>
      <x:c r="OL31" s="12">
        <x:f t="shared" si="38"/>
        <x:v>1</x:v>
      </x:c>
      <x:c r="OM31" s="7"/>
      <x:c r="ON31" s="10"/>
      <x:c r="OO31" s="10"/>
      <x:c r="OP31" s="10"/>
      <x:c r="OQ31" s="10"/>
      <x:c r="OR31" s="10" t="s">
        <x:v>426</x:v>
      </x:c>
      <x:c r="OS31" s="10"/>
      <x:c r="OT31" s="10"/>
      <x:c r="OU31" s="10"/>
      <x:c r="OV31" s="11"/>
      <x:c r="OW31" s="12">
        <x:f t="shared" si="39"/>
        <x:v>1</x:v>
      </x:c>
      <x:c r="OX31" s="7" t="s">
        <x:v>426</x:v>
      </x:c>
      <x:c r="OY31" s="10"/>
      <x:c r="OZ31" s="10"/>
      <x:c r="PA31" s="10"/>
      <x:c r="PB31" s="10"/>
      <x:c r="PC31" s="12">
        <x:f t="shared" si="40"/>
        <x:v>1</x:v>
      </x:c>
      <x:c r="PD31" s="7"/>
      <x:c r="PE31" s="10" t="s">
        <x:v>426</x:v>
      </x:c>
      <x:c r="PF31" s="10"/>
      <x:c r="PG31" s="10"/>
      <x:c r="PH31" s="10"/>
      <x:c r="PI31" s="10"/>
      <x:c r="PJ31" s="10"/>
      <x:c r="PK31" s="10"/>
      <x:c r="PL31" s="10"/>
      <x:c r="PM31" s="10"/>
      <x:c r="PN31" s="11"/>
      <x:c r="PO31" s="12">
        <x:f t="shared" si="41"/>
        <x:v>1</x:v>
      </x:c>
      <x:c r="PP31" s="7"/>
      <x:c r="PQ31" s="10"/>
      <x:c r="PR31" s="10" t="s">
        <x:v>426</x:v>
      </x:c>
      <x:c r="PS31" s="10"/>
      <x:c r="PT31" s="12">
        <x:f t="shared" si="42"/>
        <x:v>1</x:v>
      </x:c>
      <x:c r="PU31" s="7"/>
      <x:c r="PV31" s="10"/>
      <x:c r="PW31" s="10"/>
      <x:c r="PX31" s="10"/>
      <x:c r="PY31" s="10" t="s">
        <x:v>426</x:v>
      </x:c>
      <x:c r="PZ31" s="10"/>
      <x:c r="QA31" s="10"/>
      <x:c r="QB31" s="10"/>
      <x:c r="QC31" s="10"/>
      <x:c r="QD31" s="11"/>
      <x:c r="QE31" s="12">
        <x:f t="shared" si="43"/>
        <x:v>1</x:v>
      </x:c>
      <x:c r="QF31" s="7"/>
      <x:c r="QG31" s="10"/>
      <x:c r="QH31" s="10"/>
      <x:c r="QI31" s="10"/>
      <x:c r="QJ31" s="10"/>
      <x:c r="QK31" s="10" t="s">
        <x:v>426</x:v>
      </x:c>
      <x:c r="QL31" s="10" t="s">
        <x:v>426</x:v>
      </x:c>
      <x:c r="QM31" s="10" t="s">
        <x:v>426</x:v>
      </x:c>
      <x:c r="QN31" s="10"/>
      <x:c r="QO31" s="11"/>
      <x:c r="QP31" s="12">
        <x:f t="shared" si="44"/>
        <x:v>1</x:v>
      </x:c>
      <x:c r="QQ31" s="7"/>
      <x:c r="QR31" s="10"/>
      <x:c r="QS31" s="10"/>
      <x:c r="QT31" s="10"/>
      <x:c r="QU31" s="10"/>
      <x:c r="QV31" s="10"/>
      <x:c r="QW31" s="10"/>
      <x:c r="QX31" s="10" t="s">
        <x:v>426</x:v>
      </x:c>
      <x:c r="QY31" s="10"/>
      <x:c r="QZ31" s="11"/>
      <x:c r="RA31" s="12">
        <x:f t="shared" si="45"/>
        <x:v>1</x:v>
      </x:c>
      <x:c r="RB31" s="7"/>
      <x:c r="RC31" s="10"/>
      <x:c r="RD31" s="10"/>
      <x:c r="RE31" s="10"/>
      <x:c r="RF31" s="10" t="s">
        <x:v>426</x:v>
      </x:c>
      <x:c r="RG31" s="10"/>
      <x:c r="RH31" s="10"/>
      <x:c r="RI31" s="10"/>
      <x:c r="RJ31" s="11"/>
      <x:c r="RK31" s="12">
        <x:f t="shared" si="46"/>
        <x:v>1</x:v>
      </x:c>
      <x:c r="RL31" s="7"/>
      <x:c r="RM31" s="10" t="s">
        <x:v>426</x:v>
      </x:c>
      <x:c r="RN31" s="10"/>
      <x:c r="RO31" s="10" t="s">
        <x:v>426</x:v>
      </x:c>
      <x:c r="RP31" s="10"/>
      <x:c r="RQ31" s="10"/>
      <x:c r="RR31" s="10"/>
      <x:c r="RS31" s="10" t="s">
        <x:v>426</x:v>
      </x:c>
      <x:c r="RT31" s="10"/>
      <x:c r="RU31" s="11"/>
      <x:c r="RV31" s="12">
        <x:f t="shared" si="47"/>
        <x:v>1</x:v>
      </x:c>
      <x:c r="RW31" s="7"/>
      <x:c r="RX31" s="12">
        <x:f t="shared" si="48"/>
        <x:v>0</x:v>
      </x:c>
    </x:row>
    <x:row r="32" ht="16.5">
      <x:c r="A32" s="13" t="s">
        <x:v>476</x:v>
      </x:c>
      <x:c r="B32" s="14"/>
      <x:c r="C32" s="14"/>
      <x:c r="D32" s="14"/>
      <x:c r="E32" s="14"/>
      <x:c r="F32" s="14"/>
      <x:c r="G32" s="14"/>
      <x:c r="H32" s="14"/>
      <x:c r="I32" s="14"/>
      <x:c r="J32" s="14"/>
      <x:c r="K32" s="15"/>
      <x:c r="L32" s="13"/>
      <x:c r="M32" s="16"/>
      <x:c r="N32" s="16" t="s">
        <x:v>426</x:v>
      </x:c>
      <x:c r="O32" s="16"/>
      <x:c r="P32" s="17"/>
      <x:c r="Q32" s="12">
        <x:f t="shared" si="0"/>
        <x:v>1</x:v>
      </x:c>
      <x:c r="R32" s="13"/>
      <x:c r="S32" s="16"/>
      <x:c r="T32" s="16"/>
      <x:c r="U32" s="16" t="s">
        <x:v>426</x:v>
      </x:c>
      <x:c r="V32" s="16"/>
      <x:c r="W32" s="17"/>
      <x:c r="X32" s="12">
        <x:f t="shared" si="1"/>
        <x:v>1</x:v>
      </x:c>
      <x:c r="Y32" s="13"/>
      <x:c r="Z32" s="16"/>
      <x:c r="AA32" s="16"/>
      <x:c r="AB32" s="16" t="s">
        <x:v>426</x:v>
      </x:c>
      <x:c r="AC32" s="16"/>
      <x:c r="AD32" s="12">
        <x:f t="shared" si="2"/>
        <x:v>1</x:v>
      </x:c>
      <x:c r="AE32" s="13" t="s">
        <x:v>426</x:v>
      </x:c>
      <x:c r="AF32" s="16"/>
      <x:c r="AG32" s="16"/>
      <x:c r="AH32" s="16"/>
      <x:c r="AI32" s="16"/>
      <x:c r="AJ32" s="17"/>
      <x:c r="AK32" s="12">
        <x:f t="shared" si="3"/>
        <x:v>1</x:v>
      </x:c>
      <x:c r="AL32" s="13" t="s">
        <x:v>426</x:v>
      </x:c>
      <x:c r="AM32" s="16"/>
      <x:c r="AN32" s="16"/>
      <x:c r="AO32" s="12">
        <x:f t="shared" si="4"/>
        <x:v>1</x:v>
      </x:c>
      <x:c r="AP32" s="13" t="s">
        <x:v>426</x:v>
      </x:c>
      <x:c r="AQ32" s="16" t="s">
        <x:v>426</x:v>
      </x:c>
      <x:c r="AR32" s="16"/>
      <x:c r="AS32" s="16"/>
      <x:c r="AT32" s="16"/>
      <x:c r="AU32" s="16"/>
      <x:c r="AV32" s="16"/>
      <x:c r="AW32" s="17"/>
      <x:c r="AX32" s="12">
        <x:f t="shared" si="5"/>
        <x:v>1</x:v>
      </x:c>
      <x:c r="AY32" s="13"/>
      <x:c r="AZ32" s="16" t="s">
        <x:v>426</x:v>
      </x:c>
      <x:c r="BA32" s="16"/>
      <x:c r="BB32" s="16"/>
      <x:c r="BC32" s="16"/>
      <x:c r="BD32" s="16"/>
      <x:c r="BE32" s="16"/>
      <x:c r="BF32" s="16"/>
      <x:c r="BG32" s="17"/>
      <x:c r="BH32" s="12">
        <x:f t="shared" si="6"/>
        <x:v>1</x:v>
      </x:c>
      <x:c r="BI32" s="13"/>
      <x:c r="BJ32" s="16"/>
      <x:c r="BK32" s="16"/>
      <x:c r="BL32" s="16" t="s">
        <x:v>426</x:v>
      </x:c>
      <x:c r="BM32" s="16"/>
      <x:c r="BN32" s="16"/>
      <x:c r="BO32" s="16"/>
      <x:c r="BP32" s="17"/>
      <x:c r="BQ32" s="12">
        <x:f t="shared" si="7"/>
        <x:v>1</x:v>
      </x:c>
      <x:c r="BR32" s="13" t="s">
        <x:v>426</x:v>
      </x:c>
      <x:c r="BS32" s="16"/>
      <x:c r="BT32" s="16"/>
      <x:c r="BU32" s="16"/>
      <x:c r="BV32" s="16"/>
      <x:c r="BW32" s="16"/>
      <x:c r="BX32" s="16"/>
      <x:c r="BY32" s="17"/>
      <x:c r="BZ32" s="12">
        <x:f t="shared" si="8"/>
        <x:v>1</x:v>
      </x:c>
      <x:c r="CA32" s="13"/>
      <x:c r="CB32" s="16"/>
      <x:c r="CC32" s="16"/>
      <x:c r="CD32" s="16"/>
      <x:c r="CE32" s="16"/>
      <x:c r="CF32" s="16"/>
      <x:c r="CG32" s="16"/>
      <x:c r="CH32" s="16" t="s">
        <x:v>426</x:v>
      </x:c>
      <x:c r="CI32" s="16"/>
      <x:c r="CJ32" s="16"/>
      <x:c r="CK32" s="17"/>
      <x:c r="CL32" s="12">
        <x:f t="shared" si="9"/>
        <x:v>1</x:v>
      </x:c>
      <x:c r="CM32" s="13"/>
      <x:c r="CN32" s="16"/>
      <x:c r="CO32" s="16"/>
      <x:c r="CP32" s="16"/>
      <x:c r="CQ32" s="16"/>
      <x:c r="CR32" s="16"/>
      <x:c r="CS32" s="16"/>
      <x:c r="CT32" s="16" t="s">
        <x:v>426</x:v>
      </x:c>
      <x:c r="CU32" s="16"/>
      <x:c r="CV32" s="16" t="s">
        <x:v>426</x:v>
      </x:c>
      <x:c r="CW32" s="16"/>
      <x:c r="CX32" s="16" t="s">
        <x:v>426</x:v>
      </x:c>
      <x:c r="CY32" s="16"/>
      <x:c r="CZ32" s="16"/>
      <x:c r="DA32" s="17"/>
      <x:c r="DB32" s="12">
        <x:f t="shared" si="10"/>
        <x:v>1</x:v>
      </x:c>
      <x:c r="DC32" s="13"/>
      <x:c r="DD32" s="12">
        <x:f t="shared" si="11"/>
        <x:v>0</x:v>
      </x:c>
      <x:c r="DE32" s="13"/>
      <x:c r="DF32" s="16"/>
      <x:c r="DG32" s="16"/>
      <x:c r="DH32" s="16"/>
      <x:c r="DI32" s="16"/>
      <x:c r="DJ32" s="16"/>
      <x:c r="DK32" s="16" t="s">
        <x:v>426</x:v>
      </x:c>
      <x:c r="DL32" s="16"/>
      <x:c r="DM32" s="17"/>
      <x:c r="DN32" s="12">
        <x:f t="shared" si="12"/>
        <x:v>1</x:v>
      </x:c>
      <x:c r="DO32" s="13"/>
      <x:c r="DP32" s="16"/>
      <x:c r="DQ32" s="16"/>
      <x:c r="DR32" s="16"/>
      <x:c r="DS32" s="16" t="s">
        <x:v>426</x:v>
      </x:c>
      <x:c r="DT32" s="12">
        <x:f t="shared" si="13"/>
        <x:v>1</x:v>
      </x:c>
      <x:c r="DU32" s="13"/>
      <x:c r="DV32" s="16"/>
      <x:c r="DW32" s="16"/>
      <x:c r="DX32" s="16"/>
      <x:c r="DY32" s="16"/>
      <x:c r="DZ32" s="16"/>
      <x:c r="EA32" s="16"/>
      <x:c r="EB32" s="16" t="s">
        <x:v>426</x:v>
      </x:c>
      <x:c r="EC32" s="16"/>
      <x:c r="ED32" s="17"/>
      <x:c r="EE32" s="12">
        <x:f t="shared" si="14"/>
        <x:v>1</x:v>
      </x:c>
      <x:c r="EF32" s="13"/>
      <x:c r="EG32" s="16"/>
      <x:c r="EH32" s="16"/>
      <x:c r="EI32" s="16"/>
      <x:c r="EJ32" s="16"/>
      <x:c r="EK32" s="16"/>
      <x:c r="EL32" s="16" t="s">
        <x:v>426</x:v>
      </x:c>
      <x:c r="EM32" s="16"/>
      <x:c r="EN32" s="16"/>
      <x:c r="EO32" s="16"/>
      <x:c r="EP32" s="17"/>
      <x:c r="EQ32" s="12">
        <x:f t="shared" si="15"/>
        <x:v>1</x:v>
      </x:c>
      <x:c r="ER32" s="13" t="s">
        <x:v>426</x:v>
      </x:c>
      <x:c r="ES32" s="16"/>
      <x:c r="ET32" s="16"/>
      <x:c r="EU32" s="16"/>
      <x:c r="EV32" s="12">
        <x:f t="shared" si="16"/>
        <x:v>1</x:v>
      </x:c>
      <x:c r="EW32" s="13"/>
      <x:c r="EX32" s="16"/>
      <x:c r="EY32" s="16" t="s">
        <x:v>426</x:v>
      </x:c>
      <x:c r="EZ32" s="16"/>
      <x:c r="FA32" s="16"/>
      <x:c r="FB32" s="16"/>
      <x:c r="FC32" s="16"/>
      <x:c r="FD32" s="16"/>
      <x:c r="FE32" s="17"/>
      <x:c r="FF32" s="12">
        <x:f t="shared" si="17"/>
        <x:v>1</x:v>
      </x:c>
      <x:c r="FG32" s="13" t="s">
        <x:v>426</x:v>
      </x:c>
      <x:c r="FH32" s="16"/>
      <x:c r="FI32" s="16"/>
      <x:c r="FJ32" s="16"/>
      <x:c r="FK32" s="16"/>
      <x:c r="FL32" s="16"/>
      <x:c r="FM32" s="16"/>
      <x:c r="FN32" s="16"/>
      <x:c r="FO32" s="16"/>
      <x:c r="FP32" s="16"/>
      <x:c r="FQ32" s="16"/>
      <x:c r="FR32" s="16"/>
      <x:c r="FS32" s="16"/>
      <x:c r="FT32" s="16"/>
      <x:c r="FU32" s="17"/>
      <x:c r="FV32" s="12">
        <x:f t="shared" si="18"/>
        <x:v>1</x:v>
      </x:c>
      <x:c r="FW32" s="13" t="s">
        <x:v>426</x:v>
      </x:c>
      <x:c r="FX32" s="16" t="s">
        <x:v>426</x:v>
      </x:c>
      <x:c r="FY32" s="16"/>
      <x:c r="FZ32" s="16"/>
      <x:c r="GA32" s="16"/>
      <x:c r="GB32" s="16" t="s">
        <x:v>426</x:v>
      </x:c>
      <x:c r="GC32" s="16"/>
      <x:c r="GD32" s="16"/>
      <x:c r="GE32" s="17"/>
      <x:c r="GF32" s="12">
        <x:f t="shared" si="19"/>
        <x:v>1</x:v>
      </x:c>
      <x:c r="GG32" s="13"/>
      <x:c r="GH32" s="16" t="s">
        <x:v>426</x:v>
      </x:c>
      <x:c r="GI32" s="16"/>
      <x:c r="GJ32" s="16" t="s">
        <x:v>426</x:v>
      </x:c>
      <x:c r="GK32" s="16"/>
      <x:c r="GL32" s="16"/>
      <x:c r="GM32" s="12">
        <x:f t="shared" si="20"/>
        <x:v>1</x:v>
      </x:c>
      <x:c r="GN32" s="13"/>
      <x:c r="GO32" s="16" t="s">
        <x:v>426</x:v>
      </x:c>
      <x:c r="GP32" s="16"/>
      <x:c r="GQ32" s="16" t="s">
        <x:v>426</x:v>
      </x:c>
      <x:c r="GR32" s="16"/>
      <x:c r="GS32" s="16"/>
      <x:c r="GT32" s="12">
        <x:f t="shared" si="21"/>
        <x:v>1</x:v>
      </x:c>
      <x:c r="GU32" s="13"/>
      <x:c r="GV32" s="16" t="s">
        <x:v>426</x:v>
      </x:c>
      <x:c r="GW32" s="16"/>
      <x:c r="GX32" s="16"/>
      <x:c r="GY32" s="12">
        <x:f t="shared" si="22"/>
        <x:v>1</x:v>
      </x:c>
      <x:c r="GZ32" s="13"/>
      <x:c r="HA32" s="16"/>
      <x:c r="HB32" s="16"/>
      <x:c r="HC32" s="16" t="s">
        <x:v>426</x:v>
      </x:c>
      <x:c r="HD32" s="16" t="s">
        <x:v>426</x:v>
      </x:c>
      <x:c r="HE32" s="16" t="s">
        <x:v>426</x:v>
      </x:c>
      <x:c r="HF32" s="16"/>
      <x:c r="HG32" s="16"/>
      <x:c r="HH32" s="16"/>
      <x:c r="HI32" s="16"/>
      <x:c r="HJ32" s="16"/>
      <x:c r="HK32" s="17"/>
      <x:c r="HL32" s="12">
        <x:f t="shared" si="23"/>
        <x:v>1</x:v>
      </x:c>
      <x:c r="HM32" s="13"/>
      <x:c r="HN32" s="16"/>
      <x:c r="HO32" s="16"/>
      <x:c r="HP32" s="16"/>
      <x:c r="HQ32" s="16"/>
      <x:c r="HR32" s="16"/>
      <x:c r="HS32" s="16"/>
      <x:c r="HT32" s="16" t="s">
        <x:v>426</x:v>
      </x:c>
      <x:c r="HU32" s="16"/>
      <x:c r="HV32" s="17"/>
      <x:c r="HW32" s="12">
        <x:f t="shared" si="24"/>
        <x:v>1</x:v>
      </x:c>
      <x:c r="HX32" s="13"/>
      <x:c r="HY32" s="16" t="s">
        <x:v>426</x:v>
      </x:c>
      <x:c r="HZ32" s="16"/>
      <x:c r="IA32" s="16"/>
      <x:c r="IB32" s="16"/>
      <x:c r="IC32" s="12">
        <x:f t="shared" si="25"/>
        <x:v>1</x:v>
      </x:c>
      <x:c r="ID32" s="13"/>
      <x:c r="IE32" s="16"/>
      <x:c r="IF32" s="16" t="s">
        <x:v>426</x:v>
      </x:c>
      <x:c r="IG32" s="16" t="s">
        <x:v>426</x:v>
      </x:c>
      <x:c r="IH32" s="16"/>
      <x:c r="II32" s="16"/>
      <x:c r="IJ32" s="16"/>
      <x:c r="IK32" s="16"/>
      <x:c r="IL32" s="16"/>
      <x:c r="IM32" s="16"/>
      <x:c r="IN32" s="17"/>
      <x:c r="IO32" s="12">
        <x:f t="shared" si="26"/>
        <x:v>1</x:v>
      </x:c>
      <x:c r="IP32" s="13" t="s">
        <x:v>426</x:v>
      </x:c>
      <x:c r="IQ32" s="16" t="s">
        <x:v>426</x:v>
      </x:c>
      <x:c r="IR32" s="16"/>
      <x:c r="IS32" s="16" t="s">
        <x:v>426</x:v>
      </x:c>
      <x:c r="IT32" s="16"/>
      <x:c r="IU32" s="16" t="s">
        <x:v>426</x:v>
      </x:c>
      <x:c r="IV32" s="16"/>
      <x:c r="IW32" s="16"/>
      <x:c r="IX32" s="17"/>
      <x:c r="IY32" s="12">
        <x:f t="shared" si="27"/>
        <x:v>1</x:v>
      </x:c>
      <x:c r="IZ32" s="13"/>
      <x:c r="JA32" s="16"/>
      <x:c r="JB32" s="16"/>
      <x:c r="JC32" s="16" t="s">
        <x:v>426</x:v>
      </x:c>
      <x:c r="JD32" s="16"/>
      <x:c r="JE32" s="16"/>
      <x:c r="JF32" s="16"/>
      <x:c r="JG32" s="16"/>
      <x:c r="JH32" s="16"/>
      <x:c r="JI32" s="16"/>
      <x:c r="JJ32" s="16"/>
      <x:c r="JK32" s="16"/>
      <x:c r="JL32" s="16" t="s">
        <x:v>426</x:v>
      </x:c>
      <x:c r="JM32" s="16"/>
      <x:c r="JN32" s="16"/>
      <x:c r="JO32" s="16"/>
      <x:c r="JP32" s="16"/>
      <x:c r="JQ32" s="16"/>
      <x:c r="JR32" s="16"/>
      <x:c r="JS32" s="12">
        <x:f t="shared" si="28"/>
        <x:v>1</x:v>
      </x:c>
      <x:c r="JT32" s="13"/>
      <x:c r="JU32" s="16"/>
      <x:c r="JV32" s="16"/>
      <x:c r="JW32" s="16"/>
      <x:c r="JX32" s="16"/>
      <x:c r="JY32" s="16"/>
      <x:c r="JZ32" s="16"/>
      <x:c r="KA32" s="16"/>
      <x:c r="KB32" s="16"/>
      <x:c r="KC32" s="16"/>
      <x:c r="KD32" s="16"/>
      <x:c r="KE32" s="16"/>
      <x:c r="KF32" s="16"/>
      <x:c r="KG32" s="16"/>
      <x:c r="KH32" s="16"/>
      <x:c r="KI32" s="16"/>
      <x:c r="KJ32" s="16"/>
      <x:c r="KK32" s="16"/>
      <x:c r="KL32" s="16" t="s">
        <x:v>426</x:v>
      </x:c>
      <x:c r="KM32" s="12">
        <x:f t="shared" si="29"/>
        <x:v>1</x:v>
      </x:c>
      <x:c r="KN32" s="13"/>
      <x:c r="KO32" s="16"/>
      <x:c r="KP32" s="16"/>
      <x:c r="KQ32" s="16" t="s">
        <x:v>426</x:v>
      </x:c>
      <x:c r="KR32" s="16"/>
      <x:c r="KS32" s="16"/>
      <x:c r="KT32" s="16"/>
      <x:c r="KU32" s="16"/>
      <x:c r="KV32" s="16"/>
      <x:c r="KW32" s="16"/>
      <x:c r="KX32" s="16"/>
      <x:c r="KY32" s="16"/>
      <x:c r="KZ32" s="16" t="s">
        <x:v>426</x:v>
      </x:c>
      <x:c r="LA32" s="16" t="s">
        <x:v>426</x:v>
      </x:c>
      <x:c r="LB32" s="16"/>
      <x:c r="LC32" s="16"/>
      <x:c r="LD32" s="16"/>
      <x:c r="LE32" s="16"/>
      <x:c r="LF32" s="16"/>
      <x:c r="LG32" s="12">
        <x:f t="shared" si="30"/>
        <x:v>1</x:v>
      </x:c>
      <x:c r="LH32" s="13"/>
      <x:c r="LI32" s="16"/>
      <x:c r="LJ32" s="16"/>
      <x:c r="LK32" s="16"/>
      <x:c r="LL32" s="16"/>
      <x:c r="LM32" s="16"/>
      <x:c r="LN32" s="16"/>
      <x:c r="LO32" s="16" t="s">
        <x:v>426</x:v>
      </x:c>
      <x:c r="LP32" s="16"/>
      <x:c r="LQ32" s="17"/>
      <x:c r="LR32" s="12">
        <x:f t="shared" si="31"/>
        <x:v>1</x:v>
      </x:c>
      <x:c r="LS32" s="13"/>
      <x:c r="LT32" s="16" t="s">
        <x:v>426</x:v>
      </x:c>
      <x:c r="LU32" s="16"/>
      <x:c r="LV32" s="16"/>
      <x:c r="LW32" s="16"/>
      <x:c r="LX32" s="16"/>
      <x:c r="LY32" s="16"/>
      <x:c r="LZ32" s="16"/>
      <x:c r="MA32" s="16"/>
      <x:c r="MB32" s="17"/>
      <x:c r="MC32" s="12">
        <x:f t="shared" si="32"/>
        <x:v>1</x:v>
      </x:c>
      <x:c r="MD32" s="13" t="s">
        <x:v>426</x:v>
      </x:c>
      <x:c r="ME32" s="16"/>
      <x:c r="MF32" s="16"/>
      <x:c r="MG32" s="16"/>
      <x:c r="MH32" s="16"/>
      <x:c r="MI32" s="16"/>
      <x:c r="MJ32" s="16"/>
      <x:c r="MK32" s="12">
        <x:f t="shared" si="33"/>
        <x:v>1</x:v>
      </x:c>
      <x:c r="ML32" s="13"/>
      <x:c r="MM32" s="16"/>
      <x:c r="MN32" s="16"/>
      <x:c r="MO32" s="16"/>
      <x:c r="MP32" s="16"/>
      <x:c r="MQ32" s="16"/>
      <x:c r="MR32" s="16"/>
      <x:c r="MS32" s="16" t="s">
        <x:v>426</x:v>
      </x:c>
      <x:c r="MT32" s="16"/>
      <x:c r="MU32" s="17"/>
      <x:c r="MV32" s="12">
        <x:f t="shared" si="34"/>
        <x:v>1</x:v>
      </x:c>
      <x:c r="MW32" s="13"/>
      <x:c r="MX32" s="16"/>
      <x:c r="MY32" s="16"/>
      <x:c r="MZ32" s="16"/>
      <x:c r="NA32" s="16"/>
      <x:c r="NB32" s="16"/>
      <x:c r="NC32" s="16" t="s">
        <x:v>426</x:v>
      </x:c>
      <x:c r="ND32" s="16"/>
      <x:c r="NE32" s="16"/>
      <x:c r="NF32" s="17"/>
      <x:c r="NG32" s="12">
        <x:f t="shared" si="35"/>
        <x:v>1</x:v>
      </x:c>
      <x:c r="NH32" s="13"/>
      <x:c r="NI32" s="16" t="s">
        <x:v>426</x:v>
      </x:c>
      <x:c r="NJ32" s="16"/>
      <x:c r="NK32" s="16" t="s">
        <x:v>426</x:v>
      </x:c>
      <x:c r="NL32" s="16" t="s">
        <x:v>426</x:v>
      </x:c>
      <x:c r="NM32" s="16" t="s">
        <x:v>426</x:v>
      </x:c>
      <x:c r="NN32" s="16"/>
      <x:c r="NO32" s="16"/>
      <x:c r="NP32" s="16"/>
      <x:c r="NQ32" s="16"/>
      <x:c r="NR32" s="17"/>
      <x:c r="NS32" s="12">
        <x:f t="shared" si="36"/>
        <x:v>1</x:v>
      </x:c>
      <x:c r="NT32" s="13"/>
      <x:c r="NU32" s="16"/>
      <x:c r="NV32" s="16"/>
      <x:c r="NW32" s="16"/>
      <x:c r="NX32" s="16" t="s">
        <x:v>426</x:v>
      </x:c>
      <x:c r="NY32" s="12">
        <x:f t="shared" si="37"/>
        <x:v>1</x:v>
      </x:c>
      <x:c r="NZ32" s="13"/>
      <x:c r="OA32" s="16"/>
      <x:c r="OB32" s="16"/>
      <x:c r="OC32" s="16"/>
      <x:c r="OD32" s="16"/>
      <x:c r="OE32" s="16"/>
      <x:c r="OF32" s="16"/>
      <x:c r="OG32" s="16"/>
      <x:c r="OH32" s="16"/>
      <x:c r="OI32" s="16" t="s">
        <x:v>426</x:v>
      </x:c>
      <x:c r="OJ32" s="16"/>
      <x:c r="OK32" s="17"/>
      <x:c r="OL32" s="12">
        <x:f t="shared" si="38"/>
        <x:v>1</x:v>
      </x:c>
      <x:c r="OM32" s="13"/>
      <x:c r="ON32" s="16"/>
      <x:c r="OO32" s="16"/>
      <x:c r="OP32" s="16"/>
      <x:c r="OQ32" s="16" t="s">
        <x:v>426</x:v>
      </x:c>
      <x:c r="OR32" s="16" t="s">
        <x:v>426</x:v>
      </x:c>
      <x:c r="OS32" s="16"/>
      <x:c r="OT32" s="16"/>
      <x:c r="OU32" s="16"/>
      <x:c r="OV32" s="17"/>
      <x:c r="OW32" s="12">
        <x:f t="shared" si="39"/>
        <x:v>1</x:v>
      </x:c>
      <x:c r="OX32" s="13"/>
      <x:c r="OY32" s="16"/>
      <x:c r="OZ32" s="16"/>
      <x:c r="PA32" s="16"/>
      <x:c r="PB32" s="16" t="s">
        <x:v>426</x:v>
      </x:c>
      <x:c r="PC32" s="12">
        <x:f t="shared" si="40"/>
        <x:v>1</x:v>
      </x:c>
      <x:c r="PD32" s="13"/>
      <x:c r="PE32" s="16" t="s">
        <x:v>426</x:v>
      </x:c>
      <x:c r="PF32" s="16" t="s">
        <x:v>426</x:v>
      </x:c>
      <x:c r="PG32" s="16" t="s">
        <x:v>426</x:v>
      </x:c>
      <x:c r="PH32" s="16"/>
      <x:c r="PI32" s="16"/>
      <x:c r="PJ32" s="16" t="s">
        <x:v>426</x:v>
      </x:c>
      <x:c r="PK32" s="16"/>
      <x:c r="PL32" s="16"/>
      <x:c r="PM32" s="16"/>
      <x:c r="PN32" s="17"/>
      <x:c r="PO32" s="12">
        <x:f t="shared" si="41"/>
        <x:v>1</x:v>
      </x:c>
      <x:c r="PP32" s="13"/>
      <x:c r="PQ32" s="16"/>
      <x:c r="PR32" s="16" t="s">
        <x:v>426</x:v>
      </x:c>
      <x:c r="PS32" s="16"/>
      <x:c r="PT32" s="12">
        <x:f t="shared" si="42"/>
        <x:v>1</x:v>
      </x:c>
      <x:c r="PU32" s="13"/>
      <x:c r="PV32" s="16"/>
      <x:c r="PW32" s="16"/>
      <x:c r="PX32" s="16"/>
      <x:c r="PY32" s="16" t="s">
        <x:v>426</x:v>
      </x:c>
      <x:c r="PZ32" s="16"/>
      <x:c r="QA32" s="16"/>
      <x:c r="QB32" s="16"/>
      <x:c r="QC32" s="16"/>
      <x:c r="QD32" s="17"/>
      <x:c r="QE32" s="12">
        <x:f t="shared" si="43"/>
        <x:v>1</x:v>
      </x:c>
      <x:c r="QF32" s="13"/>
      <x:c r="QG32" s="16"/>
      <x:c r="QH32" s="16" t="s">
        <x:v>426</x:v>
      </x:c>
      <x:c r="QI32" s="16"/>
      <x:c r="QJ32" s="16"/>
      <x:c r="QK32" s="16"/>
      <x:c r="QL32" s="16"/>
      <x:c r="QM32" s="16"/>
      <x:c r="QN32" s="16"/>
      <x:c r="QO32" s="17"/>
      <x:c r="QP32" s="12">
        <x:f t="shared" si="44"/>
        <x:v>1</x:v>
      </x:c>
      <x:c r="QQ32" s="13"/>
      <x:c r="QR32" s="16"/>
      <x:c r="QS32" s="16"/>
      <x:c r="QT32" s="16" t="s">
        <x:v>426</x:v>
      </x:c>
      <x:c r="QU32" s="16"/>
      <x:c r="QV32" s="16"/>
      <x:c r="QW32" s="16"/>
      <x:c r="QX32" s="16"/>
      <x:c r="QY32" s="16"/>
      <x:c r="QZ32" s="17"/>
      <x:c r="RA32" s="12">
        <x:f t="shared" si="45"/>
        <x:v>1</x:v>
      </x:c>
      <x:c r="RB32" s="13" t="s">
        <x:v>426</x:v>
      </x:c>
      <x:c r="RC32" s="16"/>
      <x:c r="RD32" s="16"/>
      <x:c r="RE32" s="16"/>
      <x:c r="RF32" s="16" t="s">
        <x:v>426</x:v>
      </x:c>
      <x:c r="RG32" s="16"/>
      <x:c r="RH32" s="16"/>
      <x:c r="RI32" s="16"/>
      <x:c r="RJ32" s="17"/>
      <x:c r="RK32" s="12">
        <x:f t="shared" si="46"/>
        <x:v>1</x:v>
      </x:c>
      <x:c r="RL32" s="13"/>
      <x:c r="RM32" s="16"/>
      <x:c r="RN32" s="16"/>
      <x:c r="RO32" s="16"/>
      <x:c r="RP32" s="16"/>
      <x:c r="RQ32" s="16"/>
      <x:c r="RR32" s="16"/>
      <x:c r="RS32" s="16" t="s">
        <x:v>426</x:v>
      </x:c>
      <x:c r="RT32" s="16"/>
      <x:c r="RU32" s="17"/>
      <x:c r="RV32" s="12">
        <x:f t="shared" si="47"/>
        <x:v>1</x:v>
      </x:c>
      <x:c r="RW32" s="13"/>
      <x:c r="RX32" s="12">
        <x:f t="shared" si="48"/>
        <x:v>0</x:v>
      </x:c>
    </x:row>
    <x:row r="33" ht="16.5">
      <x:c r="A33" s="7" t="s">
        <x:v>477</x:v>
      </x:c>
      <x:c r="B33" s="8"/>
      <x:c r="C33" s="8"/>
      <x:c r="D33" s="8"/>
      <x:c r="E33" s="8"/>
      <x:c r="F33" s="8"/>
      <x:c r="G33" s="8"/>
      <x:c r="H33" s="8"/>
      <x:c r="I33" s="8"/>
      <x:c r="J33" s="8"/>
      <x:c r="K33" s="9"/>
      <x:c r="L33" s="7"/>
      <x:c r="M33" s="10"/>
      <x:c r="N33" s="10" t="s">
        <x:v>426</x:v>
      </x:c>
      <x:c r="O33" s="10"/>
      <x:c r="P33" s="11"/>
      <x:c r="Q33" s="12">
        <x:f t="shared" si="0"/>
        <x:v>1</x:v>
      </x:c>
      <x:c r="R33" s="7"/>
      <x:c r="S33" s="10"/>
      <x:c r="T33" s="10"/>
      <x:c r="U33" s="10" t="s">
        <x:v>426</x:v>
      </x:c>
      <x:c r="V33" s="10"/>
      <x:c r="W33" s="11"/>
      <x:c r="X33" s="12">
        <x:f t="shared" si="1"/>
        <x:v>1</x:v>
      </x:c>
      <x:c r="Y33" s="7"/>
      <x:c r="Z33" s="10"/>
      <x:c r="AA33" s="10"/>
      <x:c r="AB33" s="10"/>
      <x:c r="AC33" s="10" t="s">
        <x:v>426</x:v>
      </x:c>
      <x:c r="AD33" s="12">
        <x:f t="shared" si="2"/>
        <x:v>1</x:v>
      </x:c>
      <x:c r="AE33" s="7"/>
      <x:c r="AF33" s="10" t="s">
        <x:v>426</x:v>
      </x:c>
      <x:c r="AG33" s="10"/>
      <x:c r="AH33" s="10"/>
      <x:c r="AI33" s="10"/>
      <x:c r="AJ33" s="11"/>
      <x:c r="AK33" s="12">
        <x:f t="shared" si="3"/>
        <x:v>1</x:v>
      </x:c>
      <x:c r="AL33" s="7"/>
      <x:c r="AM33" s="10" t="s">
        <x:v>426</x:v>
      </x:c>
      <x:c r="AN33" s="10"/>
      <x:c r="AO33" s="12">
        <x:f t="shared" si="4"/>
        <x:v>1</x:v>
      </x:c>
      <x:c r="AP33" s="7"/>
      <x:c r="AQ33" s="10" t="s">
        <x:v>426</x:v>
      </x:c>
      <x:c r="AR33" s="10"/>
      <x:c r="AS33" s="10"/>
      <x:c r="AT33" s="10"/>
      <x:c r="AU33" s="10"/>
      <x:c r="AV33" s="10"/>
      <x:c r="AW33" s="11"/>
      <x:c r="AX33" s="12">
        <x:f t="shared" si="5"/>
        <x:v>1</x:v>
      </x:c>
      <x:c r="AY33" s="7"/>
      <x:c r="AZ33" s="10" t="s">
        <x:v>426</x:v>
      </x:c>
      <x:c r="BA33" s="10"/>
      <x:c r="BB33" s="10"/>
      <x:c r="BC33" s="10"/>
      <x:c r="BD33" s="10"/>
      <x:c r="BE33" s="10"/>
      <x:c r="BF33" s="10"/>
      <x:c r="BG33" s="11"/>
      <x:c r="BH33" s="12">
        <x:f t="shared" si="6"/>
        <x:v>1</x:v>
      </x:c>
      <x:c r="BI33" s="7"/>
      <x:c r="BJ33" s="10"/>
      <x:c r="BK33" s="10"/>
      <x:c r="BL33" s="10" t="s">
        <x:v>426</x:v>
      </x:c>
      <x:c r="BM33" s="10"/>
      <x:c r="BN33" s="10"/>
      <x:c r="BO33" s="10"/>
      <x:c r="BP33" s="11"/>
      <x:c r="BQ33" s="12">
        <x:f t="shared" si="7"/>
        <x:v>1</x:v>
      </x:c>
      <x:c r="BR33" s="7"/>
      <x:c r="BS33" s="10"/>
      <x:c r="BT33" s="10"/>
      <x:c r="BU33" s="10"/>
      <x:c r="BV33" s="10"/>
      <x:c r="BW33" s="10"/>
      <x:c r="BX33" s="10" t="s">
        <x:v>426</x:v>
      </x:c>
      <x:c r="BY33" s="11" t="s">
        <x:v>478</x:v>
      </x:c>
      <x:c r="BZ33" s="12">
        <x:f t="shared" si="8"/>
        <x:v>1</x:v>
      </x:c>
      <x:c r="CA33" s="7"/>
      <x:c r="CB33" s="10"/>
      <x:c r="CC33" s="10"/>
      <x:c r="CD33" s="10"/>
      <x:c r="CE33" s="10"/>
      <x:c r="CF33" s="10"/>
      <x:c r="CG33" s="10"/>
      <x:c r="CH33" s="10" t="s">
        <x:v>426</x:v>
      </x:c>
      <x:c r="CI33" s="10"/>
      <x:c r="CJ33" s="10"/>
      <x:c r="CK33" s="11"/>
      <x:c r="CL33" s="12">
        <x:f t="shared" si="9"/>
        <x:v>1</x:v>
      </x:c>
      <x:c r="CM33" s="7" t="s">
        <x:v>426</x:v>
      </x:c>
      <x:c r="CN33" s="10" t="s">
        <x:v>426</x:v>
      </x:c>
      <x:c r="CO33" s="10" t="s">
        <x:v>426</x:v>
      </x:c>
      <x:c r="CP33" s="10"/>
      <x:c r="CQ33" s="10" t="s">
        <x:v>426</x:v>
      </x:c>
      <x:c r="CR33" s="10" t="s">
        <x:v>426</x:v>
      </x:c>
      <x:c r="CS33" s="10" t="s">
        <x:v>426</x:v>
      </x:c>
      <x:c r="CT33" s="10" t="s">
        <x:v>426</x:v>
      </x:c>
      <x:c r="CU33" s="10" t="s">
        <x:v>426</x:v>
      </x:c>
      <x:c r="CV33" s="10" t="s">
        <x:v>426</x:v>
      </x:c>
      <x:c r="CW33" s="10"/>
      <x:c r="CX33" s="10" t="s">
        <x:v>426</x:v>
      </x:c>
      <x:c r="CY33" s="10"/>
      <x:c r="CZ33" s="10"/>
      <x:c r="DA33" s="11"/>
      <x:c r="DB33" s="12">
        <x:f t="shared" si="10"/>
        <x:v>1</x:v>
      </x:c>
      <x:c r="DC33" s="7" t="s">
        <x:v>479</x:v>
      </x:c>
      <x:c r="DD33" s="12">
        <x:f t="shared" si="11"/>
        <x:v>1</x:v>
      </x:c>
      <x:c r="DE33" s="7"/>
      <x:c r="DF33" s="10"/>
      <x:c r="DG33" s="10"/>
      <x:c r="DH33" s="10"/>
      <x:c r="DI33" s="10" t="s">
        <x:v>426</x:v>
      </x:c>
      <x:c r="DJ33" s="10"/>
      <x:c r="DK33" s="10"/>
      <x:c r="DL33" s="10"/>
      <x:c r="DM33" s="11"/>
      <x:c r="DN33" s="12">
        <x:f t="shared" si="12"/>
        <x:v>1</x:v>
      </x:c>
      <x:c r="DO33" s="7"/>
      <x:c r="DP33" s="10"/>
      <x:c r="DQ33" s="10"/>
      <x:c r="DR33" s="10"/>
      <x:c r="DS33" s="10" t="s">
        <x:v>426</x:v>
      </x:c>
      <x:c r="DT33" s="12">
        <x:f t="shared" si="13"/>
        <x:v>1</x:v>
      </x:c>
      <x:c r="DU33" s="7"/>
      <x:c r="DV33" s="10"/>
      <x:c r="DW33" s="10"/>
      <x:c r="DX33" s="10"/>
      <x:c r="DY33" s="10"/>
      <x:c r="DZ33" s="10"/>
      <x:c r="EA33" s="10"/>
      <x:c r="EB33" s="10" t="s">
        <x:v>426</x:v>
      </x:c>
      <x:c r="EC33" s="10"/>
      <x:c r="ED33" s="11"/>
      <x:c r="EE33" s="12">
        <x:f t="shared" si="14"/>
        <x:v>1</x:v>
      </x:c>
      <x:c r="EF33" s="7"/>
      <x:c r="EG33" s="10" t="s">
        <x:v>426</x:v>
      </x:c>
      <x:c r="EH33" s="10"/>
      <x:c r="EI33" s="10"/>
      <x:c r="EJ33" s="10"/>
      <x:c r="EK33" s="10"/>
      <x:c r="EL33" s="10"/>
      <x:c r="EM33" s="10"/>
      <x:c r="EN33" s="10"/>
      <x:c r="EO33" s="10"/>
      <x:c r="EP33" s="11"/>
      <x:c r="EQ33" s="12">
        <x:f t="shared" si="15"/>
        <x:v>1</x:v>
      </x:c>
      <x:c r="ER33" s="7"/>
      <x:c r="ES33" s="10"/>
      <x:c r="ET33" s="10" t="s">
        <x:v>426</x:v>
      </x:c>
      <x:c r="EU33" s="10"/>
      <x:c r="EV33" s="12">
        <x:f t="shared" si="16"/>
        <x:v>1</x:v>
      </x:c>
      <x:c r="EW33" s="7"/>
      <x:c r="EX33" s="10"/>
      <x:c r="EY33" s="10" t="s">
        <x:v>426</x:v>
      </x:c>
      <x:c r="EZ33" s="10"/>
      <x:c r="FA33" s="10" t="s">
        <x:v>426</x:v>
      </x:c>
      <x:c r="FB33" s="10"/>
      <x:c r="FC33" s="10"/>
      <x:c r="FD33" s="10"/>
      <x:c r="FE33" s="11"/>
      <x:c r="FF33" s="12">
        <x:f t="shared" si="17"/>
        <x:v>1</x:v>
      </x:c>
      <x:c r="FG33" s="7"/>
      <x:c r="FH33" s="10"/>
      <x:c r="FI33" s="10"/>
      <x:c r="FJ33" s="10"/>
      <x:c r="FK33" s="10"/>
      <x:c r="FL33" s="10"/>
      <x:c r="FM33" s="10" t="s">
        <x:v>426</x:v>
      </x:c>
      <x:c r="FN33" s="10"/>
      <x:c r="FO33" s="10"/>
      <x:c r="FP33" s="10"/>
      <x:c r="FQ33" s="10"/>
      <x:c r="FR33" s="10"/>
      <x:c r="FS33" s="10"/>
      <x:c r="FT33" s="10"/>
      <x:c r="FU33" s="11"/>
      <x:c r="FV33" s="12">
        <x:f t="shared" si="18"/>
        <x:v>1</x:v>
      </x:c>
      <x:c r="FW33" s="7"/>
      <x:c r="FX33" s="10"/>
      <x:c r="FY33" s="10"/>
      <x:c r="FZ33" s="10"/>
      <x:c r="GA33" s="10"/>
      <x:c r="GB33" s="10" t="s">
        <x:v>426</x:v>
      </x:c>
      <x:c r="GC33" s="10"/>
      <x:c r="GD33" s="10"/>
      <x:c r="GE33" s="11"/>
      <x:c r="GF33" s="12">
        <x:f t="shared" si="19"/>
        <x:v>1</x:v>
      </x:c>
      <x:c r="GG33" s="7"/>
      <x:c r="GH33" s="10"/>
      <x:c r="GI33" s="10" t="s">
        <x:v>426</x:v>
      </x:c>
      <x:c r="GJ33" s="10"/>
      <x:c r="GK33" s="10"/>
      <x:c r="GL33" s="10"/>
      <x:c r="GM33" s="12">
        <x:f t="shared" si="20"/>
        <x:v>1</x:v>
      </x:c>
      <x:c r="GN33" s="7"/>
      <x:c r="GO33" s="10"/>
      <x:c r="GP33" s="10" t="s">
        <x:v>426</x:v>
      </x:c>
      <x:c r="GQ33" s="10"/>
      <x:c r="GR33" s="10"/>
      <x:c r="GS33" s="10"/>
      <x:c r="GT33" s="12">
        <x:f t="shared" si="21"/>
        <x:v>1</x:v>
      </x:c>
      <x:c r="GU33" s="7" t="s">
        <x:v>426</x:v>
      </x:c>
      <x:c r="GV33" s="10"/>
      <x:c r="GW33" s="10"/>
      <x:c r="GX33" s="10"/>
      <x:c r="GY33" s="12">
        <x:f t="shared" si="22"/>
        <x:v>1</x:v>
      </x:c>
      <x:c r="GZ33" s="7" t="s">
        <x:v>426</x:v>
      </x:c>
      <x:c r="HA33" s="10"/>
      <x:c r="HB33" s="10"/>
      <x:c r="HC33" s="10" t="s">
        <x:v>426</x:v>
      </x:c>
      <x:c r="HD33" s="10" t="s">
        <x:v>426</x:v>
      </x:c>
      <x:c r="HE33" s="10"/>
      <x:c r="HF33" s="10"/>
      <x:c r="HG33" s="10"/>
      <x:c r="HH33" s="10"/>
      <x:c r="HI33" s="10"/>
      <x:c r="HJ33" s="10"/>
      <x:c r="HK33" s="11"/>
      <x:c r="HL33" s="12">
        <x:f t="shared" si="23"/>
        <x:v>1</x:v>
      </x:c>
      <x:c r="HM33" s="7"/>
      <x:c r="HN33" s="10"/>
      <x:c r="HO33" s="10" t="s">
        <x:v>426</x:v>
      </x:c>
      <x:c r="HP33" s="10"/>
      <x:c r="HQ33" s="10"/>
      <x:c r="HR33" s="10"/>
      <x:c r="HS33" s="10"/>
      <x:c r="HT33" s="10"/>
      <x:c r="HU33" s="10"/>
      <x:c r="HV33" s="11"/>
      <x:c r="HW33" s="12">
        <x:f t="shared" si="24"/>
        <x:v>1</x:v>
      </x:c>
      <x:c r="HX33" s="7"/>
      <x:c r="HY33" s="10"/>
      <x:c r="HZ33" s="10"/>
      <x:c r="IA33" s="10"/>
      <x:c r="IB33" s="10" t="s">
        <x:v>426</x:v>
      </x:c>
      <x:c r="IC33" s="12">
        <x:f t="shared" si="25"/>
        <x:v>1</x:v>
      </x:c>
      <x:c r="ID33" s="7" t="s">
        <x:v>426</x:v>
      </x:c>
      <x:c r="IE33" s="10"/>
      <x:c r="IF33" s="10" t="s">
        <x:v>426</x:v>
      </x:c>
      <x:c r="IG33" s="10" t="s">
        <x:v>426</x:v>
      </x:c>
      <x:c r="IH33" s="10"/>
      <x:c r="II33" s="10"/>
      <x:c r="IJ33" s="10"/>
      <x:c r="IK33" s="10" t="s">
        <x:v>426</x:v>
      </x:c>
      <x:c r="IL33" s="10"/>
      <x:c r="IM33" s="10"/>
      <x:c r="IN33" s="11"/>
      <x:c r="IO33" s="12">
        <x:f t="shared" si="26"/>
        <x:v>1</x:v>
      </x:c>
      <x:c r="IP33" s="7"/>
      <x:c r="IQ33" s="10"/>
      <x:c r="IR33" s="10"/>
      <x:c r="IS33" s="10"/>
      <x:c r="IT33" s="10"/>
      <x:c r="IU33" s="10"/>
      <x:c r="IV33" s="10" t="s">
        <x:v>426</x:v>
      </x:c>
      <x:c r="IW33" s="10"/>
      <x:c r="IX33" s="11"/>
      <x:c r="IY33" s="12">
        <x:f t="shared" si="27"/>
        <x:v>1</x:v>
      </x:c>
      <x:c r="IZ33" s="7"/>
      <x:c r="JA33" s="10"/>
      <x:c r="JB33" s="10"/>
      <x:c r="JC33" s="10" t="s">
        <x:v>426</x:v>
      </x:c>
      <x:c r="JD33" s="10"/>
      <x:c r="JE33" s="10"/>
      <x:c r="JF33" s="10"/>
      <x:c r="JG33" s="10"/>
      <x:c r="JH33" s="10"/>
      <x:c r="JI33" s="10"/>
      <x:c r="JJ33" s="10"/>
      <x:c r="JK33" s="10"/>
      <x:c r="JL33" s="10" t="s">
        <x:v>426</x:v>
      </x:c>
      <x:c r="JM33" s="10"/>
      <x:c r="JN33" s="10"/>
      <x:c r="JO33" s="10"/>
      <x:c r="JP33" s="10"/>
      <x:c r="JQ33" s="10"/>
      <x:c r="JR33" s="10"/>
      <x:c r="JS33" s="12">
        <x:f t="shared" si="28"/>
        <x:v>1</x:v>
      </x:c>
      <x:c r="JT33" s="7" t="s">
        <x:v>426</x:v>
      </x:c>
      <x:c r="JU33" s="10" t="s">
        <x:v>426</x:v>
      </x:c>
      <x:c r="JV33" s="10" t="s">
        <x:v>426</x:v>
      </x:c>
      <x:c r="JW33" s="10"/>
      <x:c r="JX33" s="10" t="s">
        <x:v>426</x:v>
      </x:c>
      <x:c r="JY33" s="10" t="s">
        <x:v>426</x:v>
      </x:c>
      <x:c r="JZ33" s="10" t="s">
        <x:v>426</x:v>
      </x:c>
      <x:c r="KA33" s="10" t="s">
        <x:v>426</x:v>
      </x:c>
      <x:c r="KB33" s="10" t="s">
        <x:v>426</x:v>
      </x:c>
      <x:c r="KC33" s="10" t="s">
        <x:v>426</x:v>
      </x:c>
      <x:c r="KD33" s="10" t="s">
        <x:v>426</x:v>
      </x:c>
      <x:c r="KE33" s="10" t="s">
        <x:v>426</x:v>
      </x:c>
      <x:c r="KF33" s="10"/>
      <x:c r="KG33" s="10" t="s">
        <x:v>426</x:v>
      </x:c>
      <x:c r="KH33" s="10" t="s">
        <x:v>426</x:v>
      </x:c>
      <x:c r="KI33" s="10" t="s">
        <x:v>426</x:v>
      </x:c>
      <x:c r="KJ33" s="10" t="s">
        <x:v>426</x:v>
      </x:c>
      <x:c r="KK33" s="10" t="s">
        <x:v>426</x:v>
      </x:c>
      <x:c r="KL33" s="10"/>
      <x:c r="KM33" s="12">
        <x:f t="shared" si="29"/>
        <x:v>1</x:v>
      </x:c>
      <x:c r="KN33" s="7"/>
      <x:c r="KO33" s="10"/>
      <x:c r="KP33" s="10"/>
      <x:c r="KQ33" s="10" t="s">
        <x:v>426</x:v>
      </x:c>
      <x:c r="KR33" s="10"/>
      <x:c r="KS33" s="10"/>
      <x:c r="KT33" s="10"/>
      <x:c r="KU33" s="10"/>
      <x:c r="KV33" s="10"/>
      <x:c r="KW33" s="10"/>
      <x:c r="KX33" s="10"/>
      <x:c r="KY33" s="10"/>
      <x:c r="KZ33" s="10" t="s">
        <x:v>426</x:v>
      </x:c>
      <x:c r="LA33" s="10"/>
      <x:c r="LB33" s="10"/>
      <x:c r="LC33" s="10"/>
      <x:c r="LD33" s="10"/>
      <x:c r="LE33" s="10"/>
      <x:c r="LF33" s="10"/>
      <x:c r="LG33" s="12">
        <x:f t="shared" si="30"/>
        <x:v>1</x:v>
      </x:c>
      <x:c r="LH33" s="7"/>
      <x:c r="LI33" s="10"/>
      <x:c r="LJ33" s="10"/>
      <x:c r="LK33" s="10" t="s">
        <x:v>426</x:v>
      </x:c>
      <x:c r="LL33" s="10"/>
      <x:c r="LM33" s="10"/>
      <x:c r="LN33" s="10" t="s">
        <x:v>426</x:v>
      </x:c>
      <x:c r="LO33" s="10"/>
      <x:c r="LP33" s="10"/>
      <x:c r="LQ33" s="11"/>
      <x:c r="LR33" s="12">
        <x:f t="shared" si="31"/>
        <x:v>1</x:v>
      </x:c>
      <x:c r="LS33" s="7"/>
      <x:c r="LT33" s="10"/>
      <x:c r="LU33" s="10"/>
      <x:c r="LV33" s="10"/>
      <x:c r="LW33" s="10"/>
      <x:c r="LX33" s="10"/>
      <x:c r="LY33" s="10" t="s">
        <x:v>426</x:v>
      </x:c>
      <x:c r="LZ33" s="10"/>
      <x:c r="MA33" s="10"/>
      <x:c r="MB33" s="11"/>
      <x:c r="MC33" s="12">
        <x:f t="shared" si="32"/>
        <x:v>1</x:v>
      </x:c>
      <x:c r="MD33" s="7" t="s">
        <x:v>426</x:v>
      </x:c>
      <x:c r="ME33" s="10"/>
      <x:c r="MF33" s="10"/>
      <x:c r="MG33" s="10"/>
      <x:c r="MH33" s="10"/>
      <x:c r="MI33" s="10"/>
      <x:c r="MJ33" s="10"/>
      <x:c r="MK33" s="12">
        <x:f t="shared" si="33"/>
        <x:v>1</x:v>
      </x:c>
      <x:c r="ML33" s="7"/>
      <x:c r="MM33" s="10"/>
      <x:c r="MN33" s="10"/>
      <x:c r="MO33" s="10"/>
      <x:c r="MP33" s="10" t="s">
        <x:v>426</x:v>
      </x:c>
      <x:c r="MQ33" s="10"/>
      <x:c r="MR33" s="10"/>
      <x:c r="MS33" s="10"/>
      <x:c r="MT33" s="10"/>
      <x:c r="MU33" s="11"/>
      <x:c r="MV33" s="12">
        <x:f t="shared" si="34"/>
        <x:v>1</x:v>
      </x:c>
      <x:c r="MW33" s="7"/>
      <x:c r="MX33" s="10"/>
      <x:c r="MY33" s="10"/>
      <x:c r="MZ33" s="10"/>
      <x:c r="NA33" s="10"/>
      <x:c r="NB33" s="10"/>
      <x:c r="NC33" s="10" t="s">
        <x:v>426</x:v>
      </x:c>
      <x:c r="ND33" s="10"/>
      <x:c r="NE33" s="10"/>
      <x:c r="NF33" s="11"/>
      <x:c r="NG33" s="12">
        <x:f t="shared" si="35"/>
        <x:v>1</x:v>
      </x:c>
      <x:c r="NH33" s="7" t="s">
        <x:v>426</x:v>
      </x:c>
      <x:c r="NI33" s="10"/>
      <x:c r="NJ33" s="10" t="s">
        <x:v>426</x:v>
      </x:c>
      <x:c r="NK33" s="10"/>
      <x:c r="NL33" s="10"/>
      <x:c r="NM33" s="10"/>
      <x:c r="NN33" s="10" t="s">
        <x:v>426</x:v>
      </x:c>
      <x:c r="NO33" s="10"/>
      <x:c r="NP33" s="10"/>
      <x:c r="NQ33" s="10"/>
      <x:c r="NR33" s="11"/>
      <x:c r="NS33" s="12">
        <x:f t="shared" si="36"/>
        <x:v>1</x:v>
      </x:c>
      <x:c r="NT33" s="7"/>
      <x:c r="NU33" s="10"/>
      <x:c r="NV33" s="10"/>
      <x:c r="NW33" s="10"/>
      <x:c r="NX33" s="10" t="s">
        <x:v>426</x:v>
      </x:c>
      <x:c r="NY33" s="12">
        <x:f t="shared" si="37"/>
        <x:v>1</x:v>
      </x:c>
      <x:c r="NZ33" s="7"/>
      <x:c r="OA33" s="10"/>
      <x:c r="OB33" s="10"/>
      <x:c r="OC33" s="10"/>
      <x:c r="OD33" s="10"/>
      <x:c r="OE33" s="10"/>
      <x:c r="OF33" s="10"/>
      <x:c r="OG33" s="10"/>
      <x:c r="OH33" s="10"/>
      <x:c r="OI33" s="10"/>
      <x:c r="OJ33" s="10" t="s">
        <x:v>426</x:v>
      </x:c>
      <x:c r="OK33" s="11"/>
      <x:c r="OL33" s="12">
        <x:f t="shared" si="38"/>
        <x:v>1</x:v>
      </x:c>
      <x:c r="OM33" s="7" t="s">
        <x:v>426</x:v>
      </x:c>
      <x:c r="ON33" s="10"/>
      <x:c r="OO33" s="10"/>
      <x:c r="OP33" s="10" t="s">
        <x:v>426</x:v>
      </x:c>
      <x:c r="OQ33" s="10" t="s">
        <x:v>426</x:v>
      </x:c>
      <x:c r="OR33" s="10" t="s">
        <x:v>426</x:v>
      </x:c>
      <x:c r="OS33" s="10"/>
      <x:c r="OT33" s="10"/>
      <x:c r="OU33" s="10"/>
      <x:c r="OV33" s="11"/>
      <x:c r="OW33" s="12">
        <x:f t="shared" si="39"/>
        <x:v>1</x:v>
      </x:c>
      <x:c r="OX33" s="7" t="s">
        <x:v>426</x:v>
      </x:c>
      <x:c r="OY33" s="10"/>
      <x:c r="OZ33" s="10"/>
      <x:c r="PA33" s="10"/>
      <x:c r="PB33" s="10"/>
      <x:c r="PC33" s="12">
        <x:f t="shared" si="40"/>
        <x:v>1</x:v>
      </x:c>
      <x:c r="PD33" s="7" t="s">
        <x:v>426</x:v>
      </x:c>
      <x:c r="PE33" s="10" t="s">
        <x:v>426</x:v>
      </x:c>
      <x:c r="PF33" s="10" t="s">
        <x:v>426</x:v>
      </x:c>
      <x:c r="PG33" s="10"/>
      <x:c r="PH33" s="10" t="s">
        <x:v>426</x:v>
      </x:c>
      <x:c r="PI33" s="10"/>
      <x:c r="PJ33" s="10"/>
      <x:c r="PK33" s="10"/>
      <x:c r="PL33" s="10"/>
      <x:c r="PM33" s="10"/>
      <x:c r="PN33" s="11"/>
      <x:c r="PO33" s="12">
        <x:f t="shared" si="41"/>
        <x:v>1</x:v>
      </x:c>
      <x:c r="PP33" s="7"/>
      <x:c r="PQ33" s="10"/>
      <x:c r="PR33" s="10" t="s">
        <x:v>426</x:v>
      </x:c>
      <x:c r="PS33" s="10"/>
      <x:c r="PT33" s="12">
        <x:f t="shared" si="42"/>
        <x:v>1</x:v>
      </x:c>
      <x:c r="PU33" s="7"/>
      <x:c r="PV33" s="10"/>
      <x:c r="PW33" s="10"/>
      <x:c r="PX33" s="10"/>
      <x:c r="PY33" s="10" t="s">
        <x:v>426</x:v>
      </x:c>
      <x:c r="PZ33" s="10"/>
      <x:c r="QA33" s="10"/>
      <x:c r="QB33" s="10"/>
      <x:c r="QC33" s="10"/>
      <x:c r="QD33" s="11"/>
      <x:c r="QE33" s="12">
        <x:f t="shared" si="43"/>
        <x:v>1</x:v>
      </x:c>
      <x:c r="QF33" s="7"/>
      <x:c r="QG33" s="10"/>
      <x:c r="QH33" s="10"/>
      <x:c r="QI33" s="10" t="s">
        <x:v>426</x:v>
      </x:c>
      <x:c r="QJ33" s="10"/>
      <x:c r="QK33" s="10"/>
      <x:c r="QL33" s="10"/>
      <x:c r="QM33" s="10"/>
      <x:c r="QN33" s="10"/>
      <x:c r="QO33" s="11"/>
      <x:c r="QP33" s="12">
        <x:f t="shared" si="44"/>
        <x:v>1</x:v>
      </x:c>
      <x:c r="QQ33" s="7"/>
      <x:c r="QR33" s="10"/>
      <x:c r="QS33" s="10"/>
      <x:c r="QT33" s="10"/>
      <x:c r="QU33" s="10"/>
      <x:c r="QV33" s="10"/>
      <x:c r="QW33" s="10"/>
      <x:c r="QX33" s="10" t="s">
        <x:v>426</x:v>
      </x:c>
      <x:c r="QY33" s="10"/>
      <x:c r="QZ33" s="11"/>
      <x:c r="RA33" s="12">
        <x:f t="shared" si="45"/>
        <x:v>1</x:v>
      </x:c>
      <x:c r="RB33" s="7"/>
      <x:c r="RC33" s="10"/>
      <x:c r="RD33" s="10"/>
      <x:c r="RE33" s="10"/>
      <x:c r="RF33" s="10" t="s">
        <x:v>426</x:v>
      </x:c>
      <x:c r="RG33" s="10"/>
      <x:c r="RH33" s="10"/>
      <x:c r="RI33" s="10"/>
      <x:c r="RJ33" s="11"/>
      <x:c r="RK33" s="12">
        <x:f t="shared" si="46"/>
        <x:v>1</x:v>
      </x:c>
      <x:c r="RL33" s="7" t="s">
        <x:v>426</x:v>
      </x:c>
      <x:c r="RM33" s="10"/>
      <x:c r="RN33" s="10" t="s">
        <x:v>426</x:v>
      </x:c>
      <x:c r="RO33" s="10"/>
      <x:c r="RP33" s="10"/>
      <x:c r="RQ33" s="10"/>
      <x:c r="RR33" s="10"/>
      <x:c r="RS33" s="10" t="s">
        <x:v>426</x:v>
      </x:c>
      <x:c r="RT33" s="10"/>
      <x:c r="RU33" s="11"/>
      <x:c r="RV33" s="12">
        <x:f t="shared" si="47"/>
        <x:v>1</x:v>
      </x:c>
      <x:c r="RW33" s="7"/>
      <x:c r="RX33" s="12">
        <x:f t="shared" si="48"/>
        <x:v>0</x:v>
      </x:c>
    </x:row>
    <x:row r="34" ht="16.5">
      <x:c r="A34" s="13" t="s">
        <x:v>480</x:v>
      </x:c>
      <x:c r="B34" s="14"/>
      <x:c r="C34" s="14"/>
      <x:c r="D34" s="14"/>
      <x:c r="E34" s="14"/>
      <x:c r="F34" s="14"/>
      <x:c r="G34" s="14"/>
      <x:c r="H34" s="14"/>
      <x:c r="I34" s="14"/>
      <x:c r="J34" s="14"/>
      <x:c r="K34" s="15"/>
      <x:c r="L34" s="13" t="s">
        <x:v>426</x:v>
      </x:c>
      <x:c r="M34" s="16"/>
      <x:c r="N34" s="16"/>
      <x:c r="O34" s="16"/>
      <x:c r="P34" s="17"/>
      <x:c r="Q34" s="12">
        <x:f t="shared" si="0"/>
        <x:v>1</x:v>
      </x:c>
      <x:c r="R34" s="13" t="s">
        <x:v>426</x:v>
      </x:c>
      <x:c r="S34" s="16"/>
      <x:c r="T34" s="16"/>
      <x:c r="U34" s="16"/>
      <x:c r="V34" s="16"/>
      <x:c r="W34" s="17"/>
      <x:c r="X34" s="12">
        <x:f t="shared" si="1"/>
        <x:v>1</x:v>
      </x:c>
      <x:c r="Y34" s="13"/>
      <x:c r="Z34" s="16"/>
      <x:c r="AA34" s="16"/>
      <x:c r="AB34" s="16" t="s">
        <x:v>426</x:v>
      </x:c>
      <x:c r="AC34" s="16"/>
      <x:c r="AD34" s="12">
        <x:f t="shared" si="2"/>
        <x:v>1</x:v>
      </x:c>
      <x:c r="AE34" s="13"/>
      <x:c r="AF34" s="16"/>
      <x:c r="AG34" s="16"/>
      <x:c r="AH34" s="16"/>
      <x:c r="AI34" s="16" t="s">
        <x:v>426</x:v>
      </x:c>
      <x:c r="AJ34" s="17" t="s">
        <x:v>481</x:v>
      </x:c>
      <x:c r="AK34" s="12">
        <x:f t="shared" si="3"/>
        <x:v>1</x:v>
      </x:c>
      <x:c r="AL34" s="13" t="s">
        <x:v>426</x:v>
      </x:c>
      <x:c r="AM34" s="16"/>
      <x:c r="AN34" s="16"/>
      <x:c r="AO34" s="12">
        <x:f t="shared" si="4"/>
        <x:v>1</x:v>
      </x:c>
      <x:c r="AP34" s="13"/>
      <x:c r="AQ34" s="16"/>
      <x:c r="AR34" s="16" t="s">
        <x:v>426</x:v>
      </x:c>
      <x:c r="AS34" s="16"/>
      <x:c r="AT34" s="16"/>
      <x:c r="AU34" s="16"/>
      <x:c r="AV34" s="16"/>
      <x:c r="AW34" s="17"/>
      <x:c r="AX34" s="12">
        <x:f t="shared" si="5"/>
        <x:v>1</x:v>
      </x:c>
      <x:c r="AY34" s="13"/>
      <x:c r="AZ34" s="16"/>
      <x:c r="BA34" s="16" t="s">
        <x:v>426</x:v>
      </x:c>
      <x:c r="BB34" s="16"/>
      <x:c r="BC34" s="16"/>
      <x:c r="BD34" s="16"/>
      <x:c r="BE34" s="16"/>
      <x:c r="BF34" s="16"/>
      <x:c r="BG34" s="17"/>
      <x:c r="BH34" s="12">
        <x:f t="shared" si="6"/>
        <x:v>1</x:v>
      </x:c>
      <x:c r="BI34" s="13"/>
      <x:c r="BJ34" s="16"/>
      <x:c r="BK34" s="16" t="s">
        <x:v>426</x:v>
      </x:c>
      <x:c r="BL34" s="16"/>
      <x:c r="BM34" s="16"/>
      <x:c r="BN34" s="16"/>
      <x:c r="BO34" s="16"/>
      <x:c r="BP34" s="17"/>
      <x:c r="BQ34" s="12">
        <x:f t="shared" si="7"/>
        <x:v>1</x:v>
      </x:c>
      <x:c r="BR34" s="13"/>
      <x:c r="BS34" s="16"/>
      <x:c r="BT34" s="16"/>
      <x:c r="BU34" s="16"/>
      <x:c r="BV34" s="16"/>
      <x:c r="BW34" s="16"/>
      <x:c r="BX34" s="16" t="s">
        <x:v>426</x:v>
      </x:c>
      <x:c r="BY34" s="17" t="s">
        <x:v>482</x:v>
      </x:c>
      <x:c r="BZ34" s="12">
        <x:f t="shared" si="8"/>
        <x:v>1</x:v>
      </x:c>
      <x:c r="CA34" s="13"/>
      <x:c r="CB34" s="16"/>
      <x:c r="CC34" s="16"/>
      <x:c r="CD34" s="16"/>
      <x:c r="CE34" s="16"/>
      <x:c r="CF34" s="16"/>
      <x:c r="CG34" s="16"/>
      <x:c r="CH34" s="16" t="s">
        <x:v>426</x:v>
      </x:c>
      <x:c r="CI34" s="16"/>
      <x:c r="CJ34" s="16"/>
      <x:c r="CK34" s="17"/>
      <x:c r="CL34" s="12">
        <x:f t="shared" si="9"/>
        <x:v>1</x:v>
      </x:c>
      <x:c r="CM34" s="13"/>
      <x:c r="CN34" s="16"/>
      <x:c r="CO34" s="16"/>
      <x:c r="CP34" s="16"/>
      <x:c r="CQ34" s="16"/>
      <x:c r="CR34" s="16"/>
      <x:c r="CS34" s="16"/>
      <x:c r="CT34" s="16"/>
      <x:c r="CU34" s="16"/>
      <x:c r="CV34" s="16"/>
      <x:c r="CW34" s="16"/>
      <x:c r="CX34" s="16"/>
      <x:c r="CY34" s="16" t="s">
        <x:v>426</x:v>
      </x:c>
      <x:c r="CZ34" s="16"/>
      <x:c r="DA34" s="17"/>
      <x:c r="DB34" s="12">
        <x:f t="shared" si="10"/>
        <x:v>1</x:v>
      </x:c>
      <x:c r="DC34" s="13"/>
      <x:c r="DD34" s="12">
        <x:f t="shared" si="11"/>
        <x:v>0</x:v>
      </x:c>
      <x:c r="DE34" s="13"/>
      <x:c r="DF34" s="16"/>
      <x:c r="DG34" s="16"/>
      <x:c r="DH34" s="16" t="s">
        <x:v>426</x:v>
      </x:c>
      <x:c r="DI34" s="16"/>
      <x:c r="DJ34" s="16"/>
      <x:c r="DK34" s="16"/>
      <x:c r="DL34" s="16"/>
      <x:c r="DM34" s="17"/>
      <x:c r="DN34" s="12">
        <x:f t="shared" si="12"/>
        <x:v>1</x:v>
      </x:c>
      <x:c r="DO34" s="13" t="s">
        <x:v>426</x:v>
      </x:c>
      <x:c r="DP34" s="16"/>
      <x:c r="DQ34" s="16"/>
      <x:c r="DR34" s="16"/>
      <x:c r="DS34" s="16"/>
      <x:c r="DT34" s="12">
        <x:f t="shared" si="13"/>
        <x:v>1</x:v>
      </x:c>
      <x:c r="DU34" s="13"/>
      <x:c r="DV34" s="16"/>
      <x:c r="DW34" s="16" t="s">
        <x:v>426</x:v>
      </x:c>
      <x:c r="DX34" s="16" t="s">
        <x:v>426</x:v>
      </x:c>
      <x:c r="DY34" s="16"/>
      <x:c r="DZ34" s="16"/>
      <x:c r="EA34" s="16"/>
      <x:c r="EB34" s="16" t="s">
        <x:v>426</x:v>
      </x:c>
      <x:c r="EC34" s="16"/>
      <x:c r="ED34" s="17"/>
      <x:c r="EE34" s="12">
        <x:f t="shared" si="14"/>
        <x:v>1</x:v>
      </x:c>
      <x:c r="EF34" s="13" t="s">
        <x:v>426</x:v>
      </x:c>
      <x:c r="EG34" s="16"/>
      <x:c r="EH34" s="16"/>
      <x:c r="EI34" s="16" t="s">
        <x:v>426</x:v>
      </x:c>
      <x:c r="EJ34" s="16"/>
      <x:c r="EK34" s="16"/>
      <x:c r="EL34" s="16"/>
      <x:c r="EM34" s="16"/>
      <x:c r="EN34" s="16"/>
      <x:c r="EO34" s="16"/>
      <x:c r="EP34" s="17"/>
      <x:c r="EQ34" s="12">
        <x:f t="shared" si="15"/>
        <x:v>1</x:v>
      </x:c>
      <x:c r="ER34" s="13" t="s">
        <x:v>426</x:v>
      </x:c>
      <x:c r="ES34" s="16"/>
      <x:c r="ET34" s="16"/>
      <x:c r="EU34" s="16"/>
      <x:c r="EV34" s="12">
        <x:f t="shared" si="16"/>
        <x:v>1</x:v>
      </x:c>
      <x:c r="EW34" s="13"/>
      <x:c r="EX34" s="16"/>
      <x:c r="EY34" s="16"/>
      <x:c r="EZ34" s="16"/>
      <x:c r="FA34" s="16"/>
      <x:c r="FB34" s="16"/>
      <x:c r="FC34" s="16" t="s">
        <x:v>426</x:v>
      </x:c>
      <x:c r="FD34" s="16"/>
      <x:c r="FE34" s="17"/>
      <x:c r="FF34" s="12">
        <x:f t="shared" si="17"/>
        <x:v>1</x:v>
      </x:c>
      <x:c r="FG34" s="13"/>
      <x:c r="FH34" s="16"/>
      <x:c r="FI34" s="16"/>
      <x:c r="FJ34" s="16"/>
      <x:c r="FK34" s="16"/>
      <x:c r="FL34" s="16"/>
      <x:c r="FM34" s="16" t="s">
        <x:v>426</x:v>
      </x:c>
      <x:c r="FN34" s="16"/>
      <x:c r="FO34" s="16"/>
      <x:c r="FP34" s="16"/>
      <x:c r="FQ34" s="16"/>
      <x:c r="FR34" s="16"/>
      <x:c r="FS34" s="16"/>
      <x:c r="FT34" s="16"/>
      <x:c r="FU34" s="17"/>
      <x:c r="FV34" s="12">
        <x:f t="shared" si="18"/>
        <x:v>1</x:v>
      </x:c>
      <x:c r="FW34" s="13"/>
      <x:c r="FX34" s="16"/>
      <x:c r="FY34" s="16"/>
      <x:c r="FZ34" s="16"/>
      <x:c r="GA34" s="16"/>
      <x:c r="GB34" s="16"/>
      <x:c r="GC34" s="16" t="s">
        <x:v>426</x:v>
      </x:c>
      <x:c r="GD34" s="16"/>
      <x:c r="GE34" s="17"/>
      <x:c r="GF34" s="12">
        <x:f t="shared" si="19"/>
        <x:v>1</x:v>
      </x:c>
      <x:c r="GG34" s="13"/>
      <x:c r="GH34" s="16"/>
      <x:c r="GI34" s="16"/>
      <x:c r="GJ34" s="16"/>
      <x:c r="GK34" s="16"/>
      <x:c r="GL34" s="16" t="s">
        <x:v>426</x:v>
      </x:c>
      <x:c r="GM34" s="12">
        <x:f t="shared" si="20"/>
        <x:v>1</x:v>
      </x:c>
      <x:c r="GN34" s="13"/>
      <x:c r="GO34" s="16"/>
      <x:c r="GP34" s="16"/>
      <x:c r="GQ34" s="16"/>
      <x:c r="GR34" s="16"/>
      <x:c r="GS34" s="16" t="s">
        <x:v>426</x:v>
      </x:c>
      <x:c r="GT34" s="12">
        <x:f t="shared" si="21"/>
        <x:v>1</x:v>
      </x:c>
      <x:c r="GU34" s="13" t="s">
        <x:v>426</x:v>
      </x:c>
      <x:c r="GV34" s="16"/>
      <x:c r="GW34" s="16"/>
      <x:c r="GX34" s="16"/>
      <x:c r="GY34" s="12">
        <x:f t="shared" si="22"/>
        <x:v>1</x:v>
      </x:c>
      <x:c r="GZ34" s="13"/>
      <x:c r="HA34" s="16"/>
      <x:c r="HB34" s="16"/>
      <x:c r="HC34" s="16" t="s">
        <x:v>426</x:v>
      </x:c>
      <x:c r="HD34" s="16"/>
      <x:c r="HE34" s="16"/>
      <x:c r="HF34" s="16"/>
      <x:c r="HG34" s="16"/>
      <x:c r="HH34" s="16"/>
      <x:c r="HI34" s="16"/>
      <x:c r="HJ34" s="16"/>
      <x:c r="HK34" s="17"/>
      <x:c r="HL34" s="12">
        <x:f t="shared" si="23"/>
        <x:v>1</x:v>
      </x:c>
      <x:c r="HM34" s="13"/>
      <x:c r="HN34" s="16"/>
      <x:c r="HO34" s="16"/>
      <x:c r="HP34" s="16"/>
      <x:c r="HQ34" s="16"/>
      <x:c r="HR34" s="16"/>
      <x:c r="HS34" s="16"/>
      <x:c r="HT34" s="16" t="s">
        <x:v>426</x:v>
      </x:c>
      <x:c r="HU34" s="16"/>
      <x:c r="HV34" s="17"/>
      <x:c r="HW34" s="12">
        <x:f t="shared" si="24"/>
        <x:v>1</x:v>
      </x:c>
      <x:c r="HX34" s="13"/>
      <x:c r="HY34" s="16"/>
      <x:c r="HZ34" s="16"/>
      <x:c r="IA34" s="16" t="s">
        <x:v>426</x:v>
      </x:c>
      <x:c r="IB34" s="16"/>
      <x:c r="IC34" s="12">
        <x:f t="shared" si="25"/>
        <x:v>1</x:v>
      </x:c>
      <x:c r="ID34" s="13"/>
      <x:c r="IE34" s="16"/>
      <x:c r="IF34" s="16" t="s">
        <x:v>426</x:v>
      </x:c>
      <x:c r="IG34" s="16"/>
      <x:c r="IH34" s="16"/>
      <x:c r="II34" s="16"/>
      <x:c r="IJ34" s="16"/>
      <x:c r="IK34" s="16"/>
      <x:c r="IL34" s="16"/>
      <x:c r="IM34" s="16"/>
      <x:c r="IN34" s="17"/>
      <x:c r="IO34" s="12">
        <x:f t="shared" si="26"/>
        <x:v>1</x:v>
      </x:c>
      <x:c r="IP34" s="13"/>
      <x:c r="IQ34" s="16" t="s">
        <x:v>426</x:v>
      </x:c>
      <x:c r="IR34" s="16"/>
      <x:c r="IS34" s="16"/>
      <x:c r="IT34" s="16"/>
      <x:c r="IU34" s="16"/>
      <x:c r="IV34" s="16" t="s">
        <x:v>426</x:v>
      </x:c>
      <x:c r="IW34" s="16"/>
      <x:c r="IX34" s="17"/>
      <x:c r="IY34" s="12">
        <x:f t="shared" si="27"/>
        <x:v>1</x:v>
      </x:c>
      <x:c r="IZ34" s="13"/>
      <x:c r="JA34" s="16"/>
      <x:c r="JB34" s="16"/>
      <x:c r="JC34" s="16" t="s">
        <x:v>426</x:v>
      </x:c>
      <x:c r="JD34" s="16" t="s">
        <x:v>426</x:v>
      </x:c>
      <x:c r="JE34" s="16"/>
      <x:c r="JF34" s="16"/>
      <x:c r="JG34" s="16"/>
      <x:c r="JH34" s="16"/>
      <x:c r="JI34" s="16"/>
      <x:c r="JJ34" s="16"/>
      <x:c r="JK34" s="16" t="s">
        <x:v>426</x:v>
      </x:c>
      <x:c r="JL34" s="16" t="s">
        <x:v>426</x:v>
      </x:c>
      <x:c r="JM34" s="16" t="s">
        <x:v>426</x:v>
      </x:c>
      <x:c r="JN34" s="16" t="s">
        <x:v>426</x:v>
      </x:c>
      <x:c r="JO34" s="16"/>
      <x:c r="JP34" s="16"/>
      <x:c r="JQ34" s="16"/>
      <x:c r="JR34" s="16"/>
      <x:c r="JS34" s="12">
        <x:f t="shared" si="28"/>
        <x:v>1</x:v>
      </x:c>
      <x:c r="JT34" s="13" t="s">
        <x:v>426</x:v>
      </x:c>
      <x:c r="JU34" s="16" t="s">
        <x:v>426</x:v>
      </x:c>
      <x:c r="JV34" s="16"/>
      <x:c r="JW34" s="16"/>
      <x:c r="JX34" s="16"/>
      <x:c r="JY34" s="16"/>
      <x:c r="JZ34" s="16"/>
      <x:c r="KA34" s="16"/>
      <x:c r="KB34" s="16"/>
      <x:c r="KC34" s="16"/>
      <x:c r="KD34" s="16"/>
      <x:c r="KE34" s="16"/>
      <x:c r="KF34" s="16"/>
      <x:c r="KG34" s="16"/>
      <x:c r="KH34" s="16"/>
      <x:c r="KI34" s="16" t="s">
        <x:v>426</x:v>
      </x:c>
      <x:c r="KJ34" s="16"/>
      <x:c r="KK34" s="16"/>
      <x:c r="KL34" s="16"/>
      <x:c r="KM34" s="12">
        <x:f t="shared" si="29"/>
        <x:v>1</x:v>
      </x:c>
      <x:c r="KN34" s="13"/>
      <x:c r="KO34" s="16"/>
      <x:c r="KP34" s="16"/>
      <x:c r="KQ34" s="16" t="s">
        <x:v>426</x:v>
      </x:c>
      <x:c r="KR34" s="16"/>
      <x:c r="KS34" s="16"/>
      <x:c r="KT34" s="16"/>
      <x:c r="KU34" s="16"/>
      <x:c r="KV34" s="16"/>
      <x:c r="KW34" s="16"/>
      <x:c r="KX34" s="16"/>
      <x:c r="KY34" s="16" t="s">
        <x:v>426</x:v>
      </x:c>
      <x:c r="KZ34" s="16" t="s">
        <x:v>426</x:v>
      </x:c>
      <x:c r="LA34" s="16"/>
      <x:c r="LB34" s="16" t="s">
        <x:v>426</x:v>
      </x:c>
      <x:c r="LC34" s="16"/>
      <x:c r="LD34" s="16"/>
      <x:c r="LE34" s="16"/>
      <x:c r="LF34" s="16"/>
      <x:c r="LG34" s="12">
        <x:f t="shared" si="30"/>
        <x:v>1</x:v>
      </x:c>
      <x:c r="LH34" s="13"/>
      <x:c r="LI34" s="16"/>
      <x:c r="LJ34" s="16"/>
      <x:c r="LK34" s="16"/>
      <x:c r="LL34" s="16"/>
      <x:c r="LM34" s="16"/>
      <x:c r="LN34" s="16"/>
      <x:c r="LO34" s="16" t="s">
        <x:v>426</x:v>
      </x:c>
      <x:c r="LP34" s="16"/>
      <x:c r="LQ34" s="17"/>
      <x:c r="LR34" s="12">
        <x:f t="shared" si="31"/>
        <x:v>1</x:v>
      </x:c>
      <x:c r="LS34" s="13" t="s">
        <x:v>426</x:v>
      </x:c>
      <x:c r="LT34" s="16" t="s">
        <x:v>426</x:v>
      </x:c>
      <x:c r="LU34" s="16"/>
      <x:c r="LV34" s="16"/>
      <x:c r="LW34" s="16"/>
      <x:c r="LX34" s="16"/>
      <x:c r="LY34" s="16"/>
      <x:c r="LZ34" s="16"/>
      <x:c r="MA34" s="16"/>
      <x:c r="MB34" s="17"/>
      <x:c r="MC34" s="12">
        <x:f t="shared" si="32"/>
        <x:v>1</x:v>
      </x:c>
      <x:c r="MD34" s="13" t="s">
        <x:v>426</x:v>
      </x:c>
      <x:c r="ME34" s="16"/>
      <x:c r="MF34" s="16"/>
      <x:c r="MG34" s="16"/>
      <x:c r="MH34" s="16"/>
      <x:c r="MI34" s="16"/>
      <x:c r="MJ34" s="16"/>
      <x:c r="MK34" s="12">
        <x:f t="shared" si="33"/>
        <x:v>1</x:v>
      </x:c>
      <x:c r="ML34" s="13"/>
      <x:c r="MM34" s="16"/>
      <x:c r="MN34" s="16"/>
      <x:c r="MO34" s="16"/>
      <x:c r="MP34" s="16"/>
      <x:c r="MQ34" s="16"/>
      <x:c r="MR34" s="16"/>
      <x:c r="MS34" s="16"/>
      <x:c r="MT34" s="16" t="s">
        <x:v>426</x:v>
      </x:c>
      <x:c r="MU34" s="17" t="s">
        <x:v>483</x:v>
      </x:c>
      <x:c r="MV34" s="12">
        <x:f t="shared" si="34"/>
        <x:v>1</x:v>
      </x:c>
      <x:c r="MW34" s="13"/>
      <x:c r="MX34" s="16"/>
      <x:c r="MY34" s="16"/>
      <x:c r="MZ34" s="16"/>
      <x:c r="NA34" s="16"/>
      <x:c r="NB34" s="16"/>
      <x:c r="NC34" s="16" t="s">
        <x:v>426</x:v>
      </x:c>
      <x:c r="ND34" s="16"/>
      <x:c r="NE34" s="16"/>
      <x:c r="NF34" s="17"/>
      <x:c r="NG34" s="12">
        <x:f t="shared" si="35"/>
        <x:v>1</x:v>
      </x:c>
      <x:c r="NH34" s="13"/>
      <x:c r="NI34" s="16"/>
      <x:c r="NJ34" s="16"/>
      <x:c r="NK34" s="16"/>
      <x:c r="NL34" s="16"/>
      <x:c r="NM34" s="16"/>
      <x:c r="NN34" s="16" t="s">
        <x:v>426</x:v>
      </x:c>
      <x:c r="NO34" s="16"/>
      <x:c r="NP34" s="16"/>
      <x:c r="NQ34" s="16"/>
      <x:c r="NR34" s="17"/>
      <x:c r="NS34" s="12">
        <x:f t="shared" si="36"/>
        <x:v>1</x:v>
      </x:c>
      <x:c r="NT34" s="13"/>
      <x:c r="NU34" s="16" t="s">
        <x:v>426</x:v>
      </x:c>
      <x:c r="NV34" s="16"/>
      <x:c r="NW34" s="16"/>
      <x:c r="NX34" s="16"/>
      <x:c r="NY34" s="12">
        <x:f t="shared" si="37"/>
        <x:v>1</x:v>
      </x:c>
      <x:c r="NZ34" s="13"/>
      <x:c r="OA34" s="16"/>
      <x:c r="OB34" s="16"/>
      <x:c r="OC34" s="16"/>
      <x:c r="OD34" s="16"/>
      <x:c r="OE34" s="16" t="s">
        <x:v>426</x:v>
      </x:c>
      <x:c r="OF34" s="16"/>
      <x:c r="OG34" s="16"/>
      <x:c r="OH34" s="16"/>
      <x:c r="OI34" s="16"/>
      <x:c r="OJ34" s="16"/>
      <x:c r="OK34" s="17"/>
      <x:c r="OL34" s="12">
        <x:f t="shared" si="38"/>
        <x:v>1</x:v>
      </x:c>
      <x:c r="OM34" s="13" t="s">
        <x:v>426</x:v>
      </x:c>
      <x:c r="ON34" s="16"/>
      <x:c r="OO34" s="16"/>
      <x:c r="OP34" s="16" t="s">
        <x:v>426</x:v>
      </x:c>
      <x:c r="OQ34" s="16" t="s">
        <x:v>426</x:v>
      </x:c>
      <x:c r="OR34" s="16" t="s">
        <x:v>426</x:v>
      </x:c>
      <x:c r="OS34" s="16"/>
      <x:c r="OT34" s="16"/>
      <x:c r="OU34" s="16"/>
      <x:c r="OV34" s="17"/>
      <x:c r="OW34" s="12">
        <x:f t="shared" si="39"/>
        <x:v>1</x:v>
      </x:c>
      <x:c r="OX34" s="13"/>
      <x:c r="OY34" s="16"/>
      <x:c r="OZ34" s="16" t="s">
        <x:v>426</x:v>
      </x:c>
      <x:c r="PA34" s="16"/>
      <x:c r="PB34" s="16"/>
      <x:c r="PC34" s="12">
        <x:f t="shared" si="40"/>
        <x:v>1</x:v>
      </x:c>
      <x:c r="PD34" s="13" t="s">
        <x:v>426</x:v>
      </x:c>
      <x:c r="PE34" s="16" t="s">
        <x:v>426</x:v>
      </x:c>
      <x:c r="PF34" s="16" t="s">
        <x:v>426</x:v>
      </x:c>
      <x:c r="PG34" s="16"/>
      <x:c r="PH34" s="16"/>
      <x:c r="PI34" s="16"/>
      <x:c r="PJ34" s="16" t="s">
        <x:v>426</x:v>
      </x:c>
      <x:c r="PK34" s="16"/>
      <x:c r="PL34" s="16"/>
      <x:c r="PM34" s="16"/>
      <x:c r="PN34" s="17"/>
      <x:c r="PO34" s="12">
        <x:f t="shared" si="41"/>
        <x:v>1</x:v>
      </x:c>
      <x:c r="PP34" s="13"/>
      <x:c r="PQ34" s="16"/>
      <x:c r="PR34" s="16" t="s">
        <x:v>426</x:v>
      </x:c>
      <x:c r="PS34" s="16"/>
      <x:c r="PT34" s="12">
        <x:f t="shared" si="42"/>
        <x:v>1</x:v>
      </x:c>
      <x:c r="PU34" s="13"/>
      <x:c r="PV34" s="16"/>
      <x:c r="PW34" s="16"/>
      <x:c r="PX34" s="16"/>
      <x:c r="PY34" s="16" t="s">
        <x:v>426</x:v>
      </x:c>
      <x:c r="PZ34" s="16"/>
      <x:c r="QA34" s="16" t="s">
        <x:v>426</x:v>
      </x:c>
      <x:c r="QB34" s="16"/>
      <x:c r="QC34" s="16"/>
      <x:c r="QD34" s="17"/>
      <x:c r="QE34" s="12">
        <x:f t="shared" si="43"/>
        <x:v>1</x:v>
      </x:c>
      <x:c r="QF34" s="13"/>
      <x:c r="QG34" s="16"/>
      <x:c r="QH34" s="16" t="s">
        <x:v>426</x:v>
      </x:c>
      <x:c r="QI34" s="16" t="s">
        <x:v>426</x:v>
      </x:c>
      <x:c r="QJ34" s="16" t="s">
        <x:v>426</x:v>
      </x:c>
      <x:c r="QK34" s="16"/>
      <x:c r="QL34" s="16" t="s">
        <x:v>426</x:v>
      </x:c>
      <x:c r="QM34" s="16"/>
      <x:c r="QN34" s="16"/>
      <x:c r="QO34" s="17"/>
      <x:c r="QP34" s="12">
        <x:f t="shared" si="44"/>
        <x:v>1</x:v>
      </x:c>
      <x:c r="QQ34" s="13"/>
      <x:c r="QR34" s="16"/>
      <x:c r="QS34" s="16"/>
      <x:c r="QT34" s="16"/>
      <x:c r="QU34" s="16"/>
      <x:c r="QV34" s="16"/>
      <x:c r="QW34" s="16"/>
      <x:c r="QX34" s="16" t="s">
        <x:v>426</x:v>
      </x:c>
      <x:c r="QY34" s="16"/>
      <x:c r="QZ34" s="17"/>
      <x:c r="RA34" s="12">
        <x:f t="shared" si="45"/>
        <x:v>1</x:v>
      </x:c>
      <x:c r="RB34" s="13" t="s">
        <x:v>426</x:v>
      </x:c>
      <x:c r="RC34" s="16"/>
      <x:c r="RD34" s="16"/>
      <x:c r="RE34" s="16"/>
      <x:c r="RF34" s="16"/>
      <x:c r="RG34" s="16"/>
      <x:c r="RH34" s="16"/>
      <x:c r="RI34" s="16"/>
      <x:c r="RJ34" s="17"/>
      <x:c r="RK34" s="12">
        <x:f t="shared" si="46"/>
        <x:v>1</x:v>
      </x:c>
      <x:c r="RL34" s="13"/>
      <x:c r="RM34" s="16"/>
      <x:c r="RN34" s="16" t="s">
        <x:v>426</x:v>
      </x:c>
      <x:c r="RO34" s="16"/>
      <x:c r="RP34" s="16" t="s">
        <x:v>426</x:v>
      </x:c>
      <x:c r="RQ34" s="16" t="s">
        <x:v>426</x:v>
      </x:c>
      <x:c r="RR34" s="16"/>
      <x:c r="RS34" s="16"/>
      <x:c r="RT34" s="16"/>
      <x:c r="RU34" s="17"/>
      <x:c r="RV34" s="12">
        <x:f t="shared" si="47"/>
        <x:v>1</x:v>
      </x:c>
      <x:c r="RW34" s="13" t="s">
        <x:v>484</x:v>
      </x:c>
      <x:c r="RX34" s="12">
        <x:f t="shared" si="48"/>
        <x:v>1</x:v>
      </x:c>
    </x:row>
    <x:row r="35" ht="16.5">
      <x:c r="A35" s="7" t="s">
        <x:v>485</x:v>
      </x:c>
      <x:c r="B35" s="8"/>
      <x:c r="C35" s="8"/>
      <x:c r="D35" s="8"/>
      <x:c r="E35" s="8"/>
      <x:c r="F35" s="8"/>
      <x:c r="G35" s="8"/>
      <x:c r="H35" s="8"/>
      <x:c r="I35" s="8"/>
      <x:c r="J35" s="8"/>
      <x:c r="K35" s="9"/>
      <x:c r="L35" s="7" t="s">
        <x:v>426</x:v>
      </x:c>
      <x:c r="M35" s="10"/>
      <x:c r="N35" s="10"/>
      <x:c r="O35" s="10"/>
      <x:c r="P35" s="11"/>
      <x:c r="Q35" s="12">
        <x:f t="shared" si="0"/>
        <x:v>1</x:v>
      </x:c>
      <x:c r="R35" s="7" t="s">
        <x:v>426</x:v>
      </x:c>
      <x:c r="S35" s="10"/>
      <x:c r="T35" s="10"/>
      <x:c r="U35" s="10"/>
      <x:c r="V35" s="10"/>
      <x:c r="W35" s="11"/>
      <x:c r="X35" s="12">
        <x:f t="shared" si="1"/>
        <x:v>1</x:v>
      </x:c>
      <x:c r="Y35" s="7"/>
      <x:c r="Z35" s="10"/>
      <x:c r="AA35" s="10"/>
      <x:c r="AB35" s="10"/>
      <x:c r="AC35" s="10" t="s">
        <x:v>426</x:v>
      </x:c>
      <x:c r="AD35" s="12">
        <x:f t="shared" si="2"/>
        <x:v>1</x:v>
      </x:c>
      <x:c r="AE35" s="7"/>
      <x:c r="AF35" s="10" t="s">
        <x:v>426</x:v>
      </x:c>
      <x:c r="AG35" s="10"/>
      <x:c r="AH35" s="10"/>
      <x:c r="AI35" s="10"/>
      <x:c r="AJ35" s="11"/>
      <x:c r="AK35" s="12">
        <x:f t="shared" si="3"/>
        <x:v>1</x:v>
      </x:c>
      <x:c r="AL35" s="7"/>
      <x:c r="AM35" s="10" t="s">
        <x:v>426</x:v>
      </x:c>
      <x:c r="AN35" s="10"/>
      <x:c r="AO35" s="12">
        <x:f t="shared" si="4"/>
        <x:v>1</x:v>
      </x:c>
      <x:c r="AP35" s="7" t="s">
        <x:v>426</x:v>
      </x:c>
      <x:c r="AQ35" s="10"/>
      <x:c r="AR35" s="10"/>
      <x:c r="AS35" s="10"/>
      <x:c r="AT35" s="10"/>
      <x:c r="AU35" s="10"/>
      <x:c r="AV35" s="10"/>
      <x:c r="AW35" s="11"/>
      <x:c r="AX35" s="12">
        <x:f t="shared" si="5"/>
        <x:v>1</x:v>
      </x:c>
      <x:c r="AY35" s="7" t="s">
        <x:v>426</x:v>
      </x:c>
      <x:c r="AZ35" s="10"/>
      <x:c r="BA35" s="10"/>
      <x:c r="BB35" s="10"/>
      <x:c r="BC35" s="10"/>
      <x:c r="BD35" s="10"/>
      <x:c r="BE35" s="10"/>
      <x:c r="BF35" s="10"/>
      <x:c r="BG35" s="11"/>
      <x:c r="BH35" s="12">
        <x:f t="shared" si="6"/>
        <x:v>1</x:v>
      </x:c>
      <x:c r="BI35" s="7" t="s">
        <x:v>426</x:v>
      </x:c>
      <x:c r="BJ35" s="10"/>
      <x:c r="BK35" s="10"/>
      <x:c r="BL35" s="10"/>
      <x:c r="BM35" s="10"/>
      <x:c r="BN35" s="10"/>
      <x:c r="BO35" s="10"/>
      <x:c r="BP35" s="11"/>
      <x:c r="BQ35" s="12">
        <x:f t="shared" si="7"/>
        <x:v>1</x:v>
      </x:c>
      <x:c r="BR35" s="7"/>
      <x:c r="BS35" s="10" t="s">
        <x:v>426</x:v>
      </x:c>
      <x:c r="BT35" s="10"/>
      <x:c r="BU35" s="10" t="s">
        <x:v>426</x:v>
      </x:c>
      <x:c r="BV35" s="10"/>
      <x:c r="BW35" s="10"/>
      <x:c r="BX35" s="10"/>
      <x:c r="BY35" s="11"/>
      <x:c r="BZ35" s="12">
        <x:f t="shared" si="8"/>
        <x:v>1</x:v>
      </x:c>
      <x:c r="CA35" s="7" t="s">
        <x:v>426</x:v>
      </x:c>
      <x:c r="CB35" s="10"/>
      <x:c r="CC35" s="10" t="s">
        <x:v>426</x:v>
      </x:c>
      <x:c r="CD35" s="10" t="s">
        <x:v>426</x:v>
      </x:c>
      <x:c r="CE35" s="10"/>
      <x:c r="CF35" s="10"/>
      <x:c r="CG35" s="10"/>
      <x:c r="CH35" s="10"/>
      <x:c r="CI35" s="10"/>
      <x:c r="CJ35" s="10"/>
      <x:c r="CK35" s="11"/>
      <x:c r="CL35" s="12">
        <x:f t="shared" si="9"/>
        <x:v>1</x:v>
      </x:c>
      <x:c r="CM35" s="7"/>
      <x:c r="CN35" s="10"/>
      <x:c r="CO35" s="10"/>
      <x:c r="CP35" s="10"/>
      <x:c r="CQ35" s="10"/>
      <x:c r="CR35" s="10"/>
      <x:c r="CS35" s="10"/>
      <x:c r="CT35" s="10"/>
      <x:c r="CU35" s="10"/>
      <x:c r="CV35" s="10"/>
      <x:c r="CW35" s="10"/>
      <x:c r="CX35" s="10"/>
      <x:c r="CY35" s="10" t="s">
        <x:v>426</x:v>
      </x:c>
      <x:c r="CZ35" s="10"/>
      <x:c r="DA35" s="11"/>
      <x:c r="DB35" s="12">
        <x:f t="shared" si="10"/>
        <x:v>1</x:v>
      </x:c>
      <x:c r="DC35" s="7"/>
      <x:c r="DD35" s="12">
        <x:f t="shared" si="11"/>
        <x:v>0</x:v>
      </x:c>
      <x:c r="DE35" s="7" t="s">
        <x:v>426</x:v>
      </x:c>
      <x:c r="DF35" s="10"/>
      <x:c r="DG35" s="10"/>
      <x:c r="DH35" s="10"/>
      <x:c r="DI35" s="10"/>
      <x:c r="DJ35" s="10"/>
      <x:c r="DK35" s="10"/>
      <x:c r="DL35" s="10"/>
      <x:c r="DM35" s="11"/>
      <x:c r="DN35" s="12">
        <x:f t="shared" si="12"/>
        <x:v>1</x:v>
      </x:c>
      <x:c r="DO35" s="7"/>
      <x:c r="DP35" s="10"/>
      <x:c r="DQ35" s="10"/>
      <x:c r="DR35" s="10" t="s">
        <x:v>426</x:v>
      </x:c>
      <x:c r="DS35" s="10"/>
      <x:c r="DT35" s="12">
        <x:f t="shared" si="13"/>
        <x:v>1</x:v>
      </x:c>
      <x:c r="DU35" s="7" t="s">
        <x:v>426</x:v>
      </x:c>
      <x:c r="DV35" s="10" t="s">
        <x:v>426</x:v>
      </x:c>
      <x:c r="DW35" s="10"/>
      <x:c r="DX35" s="10"/>
      <x:c r="DY35" s="10"/>
      <x:c r="DZ35" s="10"/>
      <x:c r="EA35" s="10"/>
      <x:c r="EB35" s="10"/>
      <x:c r="EC35" s="10"/>
      <x:c r="ED35" s="11"/>
      <x:c r="EE35" s="12">
        <x:f t="shared" si="14"/>
        <x:v>1</x:v>
      </x:c>
      <x:c r="EF35" s="7"/>
      <x:c r="EG35" s="10"/>
      <x:c r="EH35" s="10"/>
      <x:c r="EI35" s="10"/>
      <x:c r="EJ35" s="10"/>
      <x:c r="EK35" s="10"/>
      <x:c r="EL35" s="10"/>
      <x:c r="EM35" s="10"/>
      <x:c r="EN35" s="10" t="s">
        <x:v>426</x:v>
      </x:c>
      <x:c r="EO35" s="10"/>
      <x:c r="EP35" s="11"/>
      <x:c r="EQ35" s="12">
        <x:f t="shared" si="15"/>
        <x:v>1</x:v>
      </x:c>
      <x:c r="ER35" s="7" t="s">
        <x:v>426</x:v>
      </x:c>
      <x:c r="ES35" s="10"/>
      <x:c r="ET35" s="10"/>
      <x:c r="EU35" s="10"/>
      <x:c r="EV35" s="12">
        <x:f t="shared" si="16"/>
        <x:v>1</x:v>
      </x:c>
      <x:c r="EW35" s="7"/>
      <x:c r="EX35" s="10"/>
      <x:c r="EY35" s="10"/>
      <x:c r="EZ35" s="10"/>
      <x:c r="FA35" s="10"/>
      <x:c r="FB35" s="10"/>
      <x:c r="FC35" s="10" t="s">
        <x:v>426</x:v>
      </x:c>
      <x:c r="FD35" s="10"/>
      <x:c r="FE35" s="11"/>
      <x:c r="FF35" s="12">
        <x:f t="shared" si="17"/>
        <x:v>1</x:v>
      </x:c>
      <x:c r="FG35" s="7" t="s">
        <x:v>426</x:v>
      </x:c>
      <x:c r="FH35" s="10"/>
      <x:c r="FI35" s="10"/>
      <x:c r="FJ35" s="10"/>
      <x:c r="FK35" s="10"/>
      <x:c r="FL35" s="10"/>
      <x:c r="FM35" s="10"/>
      <x:c r="FN35" s="10"/>
      <x:c r="FO35" s="10"/>
      <x:c r="FP35" s="10"/>
      <x:c r="FQ35" s="10"/>
      <x:c r="FR35" s="10"/>
      <x:c r="FS35" s="10"/>
      <x:c r="FT35" s="10"/>
      <x:c r="FU35" s="11"/>
      <x:c r="FV35" s="12">
        <x:f t="shared" si="18"/>
        <x:v>1</x:v>
      </x:c>
      <x:c r="FW35" s="7"/>
      <x:c r="FX35" s="10"/>
      <x:c r="FY35" s="10"/>
      <x:c r="FZ35" s="10"/>
      <x:c r="GA35" s="10"/>
      <x:c r="GB35" s="10"/>
      <x:c r="GC35" s="10" t="s">
        <x:v>426</x:v>
      </x:c>
      <x:c r="GD35" s="10"/>
      <x:c r="GE35" s="11"/>
      <x:c r="GF35" s="12">
        <x:f t="shared" si="19"/>
        <x:v>1</x:v>
      </x:c>
      <x:c r="GG35" s="7"/>
      <x:c r="GH35" s="10"/>
      <x:c r="GI35" s="10"/>
      <x:c r="GJ35" s="10"/>
      <x:c r="GK35" s="10"/>
      <x:c r="GL35" s="10" t="s">
        <x:v>426</x:v>
      </x:c>
      <x:c r="GM35" s="12">
        <x:f t="shared" si="20"/>
        <x:v>1</x:v>
      </x:c>
      <x:c r="GN35" s="7"/>
      <x:c r="GO35" s="10"/>
      <x:c r="GP35" s="10"/>
      <x:c r="GQ35" s="10"/>
      <x:c r="GR35" s="10"/>
      <x:c r="GS35" s="10" t="s">
        <x:v>426</x:v>
      </x:c>
      <x:c r="GT35" s="12">
        <x:f t="shared" si="21"/>
        <x:v>1</x:v>
      </x:c>
      <x:c r="GU35" s="7"/>
      <x:c r="GV35" s="10"/>
      <x:c r="GW35" s="10"/>
      <x:c r="GX35" s="10"/>
      <x:c r="GY35" s="12">
        <x:f t="shared" si="22"/>
        <x:v>0</x:v>
      </x:c>
      <x:c r="GZ35" s="7" t="s">
        <x:v>426</x:v>
      </x:c>
      <x:c r="HA35" s="10" t="s">
        <x:v>426</x:v>
      </x:c>
      <x:c r="HB35" s="10"/>
      <x:c r="HC35" s="10"/>
      <x:c r="HD35" s="10"/>
      <x:c r="HE35" s="10"/>
      <x:c r="HF35" s="10"/>
      <x:c r="HG35" s="10"/>
      <x:c r="HH35" s="10"/>
      <x:c r="HI35" s="10"/>
      <x:c r="HJ35" s="10"/>
      <x:c r="HK35" s="11"/>
      <x:c r="HL35" s="12">
        <x:f t="shared" si="23"/>
        <x:v>1</x:v>
      </x:c>
      <x:c r="HM35" s="7"/>
      <x:c r="HN35" s="10"/>
      <x:c r="HO35" s="10"/>
      <x:c r="HP35" s="10"/>
      <x:c r="HQ35" s="10"/>
      <x:c r="HR35" s="10"/>
      <x:c r="HS35" s="10"/>
      <x:c r="HT35" s="10" t="s">
        <x:v>426</x:v>
      </x:c>
      <x:c r="HU35" s="10"/>
      <x:c r="HV35" s="11"/>
      <x:c r="HW35" s="12">
        <x:f t="shared" si="24"/>
        <x:v>1</x:v>
      </x:c>
      <x:c r="HX35" s="7"/>
      <x:c r="HY35" s="10"/>
      <x:c r="HZ35" s="10"/>
      <x:c r="IA35" s="10"/>
      <x:c r="IB35" s="10" t="s">
        <x:v>426</x:v>
      </x:c>
      <x:c r="IC35" s="12">
        <x:f t="shared" si="25"/>
        <x:v>1</x:v>
      </x:c>
      <x:c r="ID35" s="7" t="s">
        <x:v>426</x:v>
      </x:c>
      <x:c r="IE35" s="10"/>
      <x:c r="IF35" s="10"/>
      <x:c r="IG35" s="10"/>
      <x:c r="IH35" s="10"/>
      <x:c r="II35" s="10"/>
      <x:c r="IJ35" s="10"/>
      <x:c r="IK35" s="10" t="s">
        <x:v>426</x:v>
      </x:c>
      <x:c r="IL35" s="10"/>
      <x:c r="IM35" s="10"/>
      <x:c r="IN35" s="11"/>
      <x:c r="IO35" s="12">
        <x:f t="shared" si="26"/>
        <x:v>1</x:v>
      </x:c>
      <x:c r="IP35" s="7"/>
      <x:c r="IQ35" s="10"/>
      <x:c r="IR35" s="10"/>
      <x:c r="IS35" s="10"/>
      <x:c r="IT35" s="10"/>
      <x:c r="IU35" s="10"/>
      <x:c r="IV35" s="10"/>
      <x:c r="IW35" s="10"/>
      <x:c r="IX35" s="11"/>
      <x:c r="IY35" s="12">
        <x:f t="shared" si="27"/>
        <x:v>0</x:v>
      </x:c>
      <x:c r="IZ35" s="7"/>
      <x:c r="JA35" s="10"/>
      <x:c r="JB35" s="10"/>
      <x:c r="JC35" s="10"/>
      <x:c r="JD35" s="10"/>
      <x:c r="JE35" s="10"/>
      <x:c r="JF35" s="10"/>
      <x:c r="JG35" s="10"/>
      <x:c r="JH35" s="10"/>
      <x:c r="JI35" s="10"/>
      <x:c r="JJ35" s="10"/>
      <x:c r="JK35" s="10"/>
      <x:c r="JL35" s="10"/>
      <x:c r="JM35" s="10"/>
      <x:c r="JN35" s="10"/>
      <x:c r="JO35" s="10"/>
      <x:c r="JP35" s="10"/>
      <x:c r="JQ35" s="10"/>
      <x:c r="JR35" s="10"/>
      <x:c r="JS35" s="12">
        <x:f t="shared" si="28"/>
        <x:v>0</x:v>
      </x:c>
      <x:c r="JT35" s="7"/>
      <x:c r="JU35" s="10"/>
      <x:c r="JV35" s="10"/>
      <x:c r="JW35" s="10"/>
      <x:c r="JX35" s="10"/>
      <x:c r="JY35" s="10"/>
      <x:c r="JZ35" s="10"/>
      <x:c r="KA35" s="10"/>
      <x:c r="KB35" s="10"/>
      <x:c r="KC35" s="10"/>
      <x:c r="KD35" s="10"/>
      <x:c r="KE35" s="10"/>
      <x:c r="KF35" s="10"/>
      <x:c r="KG35" s="10"/>
      <x:c r="KH35" s="10"/>
      <x:c r="KI35" s="10"/>
      <x:c r="KJ35" s="10"/>
      <x:c r="KK35" s="10"/>
      <x:c r="KL35" s="10"/>
      <x:c r="KM35" s="12">
        <x:f t="shared" si="29"/>
        <x:v>0</x:v>
      </x:c>
      <x:c r="KN35" s="7"/>
      <x:c r="KO35" s="10"/>
      <x:c r="KP35" s="10"/>
      <x:c r="KQ35" s="10"/>
      <x:c r="KR35" s="10"/>
      <x:c r="KS35" s="10"/>
      <x:c r="KT35" s="10"/>
      <x:c r="KU35" s="10"/>
      <x:c r="KV35" s="10"/>
      <x:c r="KW35" s="10"/>
      <x:c r="KX35" s="10"/>
      <x:c r="KY35" s="10"/>
      <x:c r="KZ35" s="10"/>
      <x:c r="LA35" s="10"/>
      <x:c r="LB35" s="10"/>
      <x:c r="LC35" s="10"/>
      <x:c r="LD35" s="10"/>
      <x:c r="LE35" s="10"/>
      <x:c r="LF35" s="10" t="s">
        <x:v>426</x:v>
      </x:c>
      <x:c r="LG35" s="12">
        <x:f t="shared" si="30"/>
        <x:v>1</x:v>
      </x:c>
      <x:c r="LH35" s="7"/>
      <x:c r="LI35" s="10"/>
      <x:c r="LJ35" s="10"/>
      <x:c r="LK35" s="10"/>
      <x:c r="LL35" s="10"/>
      <x:c r="LM35" s="10"/>
      <x:c r="LN35" s="10"/>
      <x:c r="LO35" s="10"/>
      <x:c r="LP35" s="10"/>
      <x:c r="LQ35" s="11"/>
      <x:c r="LR35" s="12">
        <x:f t="shared" si="31"/>
        <x:v>0</x:v>
      </x:c>
      <x:c r="LS35" s="7"/>
      <x:c r="LT35" s="10"/>
      <x:c r="LU35" s="10"/>
      <x:c r="LV35" s="10"/>
      <x:c r="LW35" s="10"/>
      <x:c r="LX35" s="10"/>
      <x:c r="LY35" s="10"/>
      <x:c r="LZ35" s="10"/>
      <x:c r="MA35" s="10"/>
      <x:c r="MB35" s="11"/>
      <x:c r="MC35" s="12">
        <x:f t="shared" si="32"/>
        <x:v>0</x:v>
      </x:c>
      <x:c r="MD35" s="7"/>
      <x:c r="ME35" s="10"/>
      <x:c r="MF35" s="10"/>
      <x:c r="MG35" s="10"/>
      <x:c r="MH35" s="10"/>
      <x:c r="MI35" s="10"/>
      <x:c r="MJ35" s="10" t="s">
        <x:v>426</x:v>
      </x:c>
      <x:c r="MK35" s="12">
        <x:f t="shared" si="33"/>
        <x:v>1</x:v>
      </x:c>
      <x:c r="ML35" s="7"/>
      <x:c r="MM35" s="10"/>
      <x:c r="MN35" s="10"/>
      <x:c r="MO35" s="10"/>
      <x:c r="MP35" s="10"/>
      <x:c r="MQ35" s="10"/>
      <x:c r="MR35" s="10"/>
      <x:c r="MS35" s="10"/>
      <x:c r="MT35" s="10"/>
      <x:c r="MU35" s="11"/>
      <x:c r="MV35" s="12">
        <x:f t="shared" si="34"/>
        <x:v>0</x:v>
      </x:c>
      <x:c r="MW35" s="7"/>
      <x:c r="MX35" s="10"/>
      <x:c r="MY35" s="10"/>
      <x:c r="MZ35" s="10"/>
      <x:c r="NA35" s="10"/>
      <x:c r="NB35" s="10"/>
      <x:c r="NC35" s="10"/>
      <x:c r="ND35" s="10"/>
      <x:c r="NE35" s="10"/>
      <x:c r="NF35" s="11"/>
      <x:c r="NG35" s="12">
        <x:f t="shared" si="35"/>
        <x:v>0</x:v>
      </x:c>
      <x:c r="NH35" s="7"/>
      <x:c r="NI35" s="10"/>
      <x:c r="NJ35" s="10"/>
      <x:c r="NK35" s="10"/>
      <x:c r="NL35" s="10"/>
      <x:c r="NM35" s="10"/>
      <x:c r="NN35" s="10"/>
      <x:c r="NO35" s="10"/>
      <x:c r="NP35" s="10"/>
      <x:c r="NQ35" s="10"/>
      <x:c r="NR35" s="11"/>
      <x:c r="NS35" s="12">
        <x:f t="shared" si="36"/>
        <x:v>0</x:v>
      </x:c>
      <x:c r="NT35" s="7"/>
      <x:c r="NU35" s="10"/>
      <x:c r="NV35" s="10"/>
      <x:c r="NW35" s="10"/>
      <x:c r="NX35" s="10"/>
      <x:c r="NY35" s="12">
        <x:f t="shared" si="37"/>
        <x:v>0</x:v>
      </x:c>
      <x:c r="NZ35" s="7"/>
      <x:c r="OA35" s="10"/>
      <x:c r="OB35" s="10"/>
      <x:c r="OC35" s="10"/>
      <x:c r="OD35" s="10"/>
      <x:c r="OE35" s="10"/>
      <x:c r="OF35" s="10"/>
      <x:c r="OG35" s="10"/>
      <x:c r="OH35" s="10"/>
      <x:c r="OI35" s="10" t="s">
        <x:v>426</x:v>
      </x:c>
      <x:c r="OJ35" s="10"/>
      <x:c r="OK35" s="11"/>
      <x:c r="OL35" s="12">
        <x:f t="shared" si="38"/>
        <x:v>1</x:v>
      </x:c>
      <x:c r="OM35" s="7"/>
      <x:c r="ON35" s="10"/>
      <x:c r="OO35" s="10"/>
      <x:c r="OP35" s="10"/>
      <x:c r="OQ35" s="10"/>
      <x:c r="OR35" s="10"/>
      <x:c r="OS35" s="10"/>
      <x:c r="OT35" s="10"/>
      <x:c r="OU35" s="10"/>
      <x:c r="OV35" s="11"/>
      <x:c r="OW35" s="12">
        <x:f t="shared" si="39"/>
        <x:v>0</x:v>
      </x:c>
      <x:c r="OX35" s="7"/>
      <x:c r="OY35" s="10"/>
      <x:c r="OZ35" s="10"/>
      <x:c r="PA35" s="10"/>
      <x:c r="PB35" s="10" t="s">
        <x:v>426</x:v>
      </x:c>
      <x:c r="PC35" s="12">
        <x:f t="shared" si="40"/>
        <x:v>1</x:v>
      </x:c>
      <x:c r="PD35" s="7"/>
      <x:c r="PE35" s="10"/>
      <x:c r="PF35" s="10"/>
      <x:c r="PG35" s="10"/>
      <x:c r="PH35" s="10"/>
      <x:c r="PI35" s="10"/>
      <x:c r="PJ35" s="10"/>
      <x:c r="PK35" s="10"/>
      <x:c r="PL35" s="10"/>
      <x:c r="PM35" s="10"/>
      <x:c r="PN35" s="11"/>
      <x:c r="PO35" s="12">
        <x:f t="shared" si="41"/>
        <x:v>0</x:v>
      </x:c>
      <x:c r="PP35" s="7"/>
      <x:c r="PQ35" s="10"/>
      <x:c r="PR35" s="10"/>
      <x:c r="PS35" s="10"/>
      <x:c r="PT35" s="12">
        <x:f t="shared" si="42"/>
        <x:v>0</x:v>
      </x:c>
      <x:c r="PU35" s="7"/>
      <x:c r="PV35" s="10"/>
      <x:c r="PW35" s="10"/>
      <x:c r="PX35" s="10"/>
      <x:c r="PY35" s="10"/>
      <x:c r="PZ35" s="10"/>
      <x:c r="QA35" s="10"/>
      <x:c r="QB35" s="10"/>
      <x:c r="QC35" s="10"/>
      <x:c r="QD35" s="11"/>
      <x:c r="QE35" s="12">
        <x:f t="shared" si="43"/>
        <x:v>0</x:v>
      </x:c>
      <x:c r="QF35" s="7"/>
      <x:c r="QG35" s="10"/>
      <x:c r="QH35" s="10"/>
      <x:c r="QI35" s="10"/>
      <x:c r="QJ35" s="10"/>
      <x:c r="QK35" s="10"/>
      <x:c r="QL35" s="10"/>
      <x:c r="QM35" s="10"/>
      <x:c r="QN35" s="10"/>
      <x:c r="QO35" s="11"/>
      <x:c r="QP35" s="12">
        <x:f t="shared" si="44"/>
        <x:v>0</x:v>
      </x:c>
      <x:c r="QQ35" s="7"/>
      <x:c r="QR35" s="10"/>
      <x:c r="QS35" s="10"/>
      <x:c r="QT35" s="10"/>
      <x:c r="QU35" s="10"/>
      <x:c r="QV35" s="10"/>
      <x:c r="QW35" s="10"/>
      <x:c r="QX35" s="10"/>
      <x:c r="QY35" s="10"/>
      <x:c r="QZ35" s="11"/>
      <x:c r="RA35" s="12">
        <x:f t="shared" si="45"/>
        <x:v>0</x:v>
      </x:c>
      <x:c r="RB35" s="7"/>
      <x:c r="RC35" s="10"/>
      <x:c r="RD35" s="10"/>
      <x:c r="RE35" s="10"/>
      <x:c r="RF35" s="10"/>
      <x:c r="RG35" s="10"/>
      <x:c r="RH35" s="10"/>
      <x:c r="RI35" s="10"/>
      <x:c r="RJ35" s="11"/>
      <x:c r="RK35" s="12">
        <x:f t="shared" si="46"/>
        <x:v>0</x:v>
      </x:c>
      <x:c r="RL35" s="7"/>
      <x:c r="RM35" s="10"/>
      <x:c r="RN35" s="10"/>
      <x:c r="RO35" s="10"/>
      <x:c r="RP35" s="10"/>
      <x:c r="RQ35" s="10"/>
      <x:c r="RR35" s="10"/>
      <x:c r="RS35" s="10"/>
      <x:c r="RT35" s="10"/>
      <x:c r="RU35" s="11"/>
      <x:c r="RV35" s="12">
        <x:f t="shared" si="47"/>
        <x:v>0</x:v>
      </x:c>
      <x:c r="RW35" s="7"/>
      <x:c r="RX35" s="12">
        <x:f t="shared" si="48"/>
        <x:v>0</x:v>
      </x:c>
    </x:row>
    <x:row r="36" ht="16.5">
      <x:c r="A36" s="13" t="s">
        <x:v>486</x:v>
      </x:c>
      <x:c r="B36" s="14"/>
      <x:c r="C36" s="14"/>
      <x:c r="D36" s="14"/>
      <x:c r="E36" s="14"/>
      <x:c r="F36" s="14"/>
      <x:c r="G36" s="14"/>
      <x:c r="H36" s="14"/>
      <x:c r="I36" s="14"/>
      <x:c r="J36" s="14"/>
      <x:c r="K36" s="15"/>
      <x:c r="L36" s="13" t="s">
        <x:v>426</x:v>
      </x:c>
      <x:c r="M36" s="16"/>
      <x:c r="N36" s="16"/>
      <x:c r="O36" s="16"/>
      <x:c r="P36" s="17"/>
      <x:c r="Q36" s="12">
        <x:f t="shared" si="0"/>
        <x:v>1</x:v>
      </x:c>
      <x:c r="R36" s="13" t="s">
        <x:v>426</x:v>
      </x:c>
      <x:c r="S36" s="16"/>
      <x:c r="T36" s="16"/>
      <x:c r="U36" s="16"/>
      <x:c r="V36" s="16"/>
      <x:c r="W36" s="17"/>
      <x:c r="X36" s="12">
        <x:f t="shared" si="1"/>
        <x:v>1</x:v>
      </x:c>
      <x:c r="Y36" s="13"/>
      <x:c r="Z36" s="16"/>
      <x:c r="AA36" s="16"/>
      <x:c r="AB36" s="16"/>
      <x:c r="AC36" s="16" t="s">
        <x:v>426</x:v>
      </x:c>
      <x:c r="AD36" s="12">
        <x:f t="shared" si="2"/>
        <x:v>1</x:v>
      </x:c>
      <x:c r="AE36" s="13" t="s">
        <x:v>426</x:v>
      </x:c>
      <x:c r="AF36" s="16"/>
      <x:c r="AG36" s="16"/>
      <x:c r="AH36" s="16"/>
      <x:c r="AI36" s="16"/>
      <x:c r="AJ36" s="17"/>
      <x:c r="AK36" s="12">
        <x:f t="shared" si="3"/>
        <x:v>1</x:v>
      </x:c>
      <x:c r="AL36" s="13" t="s">
        <x:v>426</x:v>
      </x:c>
      <x:c r="AM36" s="16"/>
      <x:c r="AN36" s="16"/>
      <x:c r="AO36" s="12">
        <x:f t="shared" si="4"/>
        <x:v>1</x:v>
      </x:c>
      <x:c r="AP36" s="13" t="s">
        <x:v>426</x:v>
      </x:c>
      <x:c r="AQ36" s="16"/>
      <x:c r="AR36" s="16"/>
      <x:c r="AS36" s="16"/>
      <x:c r="AT36" s="16"/>
      <x:c r="AU36" s="16"/>
      <x:c r="AV36" s="16"/>
      <x:c r="AW36" s="17"/>
      <x:c r="AX36" s="12">
        <x:f t="shared" si="5"/>
        <x:v>1</x:v>
      </x:c>
      <x:c r="AY36" s="13" t="s">
        <x:v>426</x:v>
      </x:c>
      <x:c r="AZ36" s="16"/>
      <x:c r="BA36" s="16"/>
      <x:c r="BB36" s="16"/>
      <x:c r="BC36" s="16"/>
      <x:c r="BD36" s="16"/>
      <x:c r="BE36" s="16"/>
      <x:c r="BF36" s="16"/>
      <x:c r="BG36" s="17"/>
      <x:c r="BH36" s="12">
        <x:f t="shared" si="6"/>
        <x:v>1</x:v>
      </x:c>
      <x:c r="BI36" s="13" t="s">
        <x:v>426</x:v>
      </x:c>
      <x:c r="BJ36" s="16"/>
      <x:c r="BK36" s="16"/>
      <x:c r="BL36" s="16"/>
      <x:c r="BM36" s="16"/>
      <x:c r="BN36" s="16"/>
      <x:c r="BO36" s="16"/>
      <x:c r="BP36" s="17"/>
      <x:c r="BQ36" s="12">
        <x:f t="shared" si="7"/>
        <x:v>1</x:v>
      </x:c>
      <x:c r="BR36" s="13"/>
      <x:c r="BS36" s="16" t="s">
        <x:v>426</x:v>
      </x:c>
      <x:c r="BT36" s="16"/>
      <x:c r="BU36" s="16" t="s">
        <x:v>426</x:v>
      </x:c>
      <x:c r="BV36" s="16"/>
      <x:c r="BW36" s="16"/>
      <x:c r="BX36" s="16"/>
      <x:c r="BY36" s="17"/>
      <x:c r="BZ36" s="12">
        <x:f t="shared" si="8"/>
        <x:v>1</x:v>
      </x:c>
      <x:c r="CA36" s="13"/>
      <x:c r="CB36" s="16"/>
      <x:c r="CC36" s="16" t="s">
        <x:v>426</x:v>
      </x:c>
      <x:c r="CD36" s="16"/>
      <x:c r="CE36" s="16"/>
      <x:c r="CF36" s="16"/>
      <x:c r="CG36" s="16"/>
      <x:c r="CH36" s="16"/>
      <x:c r="CI36" s="16"/>
      <x:c r="CJ36" s="16"/>
      <x:c r="CK36" s="17"/>
      <x:c r="CL36" s="12">
        <x:f t="shared" si="9"/>
        <x:v>1</x:v>
      </x:c>
      <x:c r="CM36" s="13"/>
      <x:c r="CN36" s="16"/>
      <x:c r="CO36" s="16"/>
      <x:c r="CP36" s="16"/>
      <x:c r="CQ36" s="16"/>
      <x:c r="CR36" s="16"/>
      <x:c r="CS36" s="16"/>
      <x:c r="CT36" s="16"/>
      <x:c r="CU36" s="16"/>
      <x:c r="CV36" s="16"/>
      <x:c r="CW36" s="16"/>
      <x:c r="CX36" s="16"/>
      <x:c r="CY36" s="16" t="s">
        <x:v>426</x:v>
      </x:c>
      <x:c r="CZ36" s="16"/>
      <x:c r="DA36" s="17"/>
      <x:c r="DB36" s="12">
        <x:f t="shared" si="10"/>
        <x:v>1</x:v>
      </x:c>
      <x:c r="DC36" s="13"/>
      <x:c r="DD36" s="12">
        <x:f t="shared" si="11"/>
        <x:v>0</x:v>
      </x:c>
      <x:c r="DE36" s="13"/>
      <x:c r="DF36" s="16" t="s">
        <x:v>426</x:v>
      </x:c>
      <x:c r="DG36" s="16"/>
      <x:c r="DH36" s="16"/>
      <x:c r="DI36" s="16"/>
      <x:c r="DJ36" s="16"/>
      <x:c r="DK36" s="16"/>
      <x:c r="DL36" s="16"/>
      <x:c r="DM36" s="17"/>
      <x:c r="DN36" s="12">
        <x:f t="shared" si="12"/>
        <x:v>1</x:v>
      </x:c>
      <x:c r="DO36" s="13"/>
      <x:c r="DP36" s="16"/>
      <x:c r="DQ36" s="16" t="s">
        <x:v>426</x:v>
      </x:c>
      <x:c r="DR36" s="16"/>
      <x:c r="DS36" s="16"/>
      <x:c r="DT36" s="12">
        <x:f t="shared" si="13"/>
        <x:v>1</x:v>
      </x:c>
      <x:c r="DU36" s="13" t="s">
        <x:v>426</x:v>
      </x:c>
      <x:c r="DV36" s="16"/>
      <x:c r="DW36" s="16"/>
      <x:c r="DX36" s="16"/>
      <x:c r="DY36" s="16"/>
      <x:c r="DZ36" s="16"/>
      <x:c r="EA36" s="16"/>
      <x:c r="EB36" s="16"/>
      <x:c r="EC36" s="16"/>
      <x:c r="ED36" s="17"/>
      <x:c r="EE36" s="12">
        <x:f t="shared" si="14"/>
        <x:v>1</x:v>
      </x:c>
      <x:c r="EF36" s="13"/>
      <x:c r="EG36" s="16"/>
      <x:c r="EH36" s="16"/>
      <x:c r="EI36" s="16"/>
      <x:c r="EJ36" s="16"/>
      <x:c r="EK36" s="16"/>
      <x:c r="EL36" s="16"/>
      <x:c r="EM36" s="16"/>
      <x:c r="EN36" s="16" t="s">
        <x:v>426</x:v>
      </x:c>
      <x:c r="EO36" s="16"/>
      <x:c r="EP36" s="17"/>
      <x:c r="EQ36" s="12">
        <x:f t="shared" si="15"/>
        <x:v>1</x:v>
      </x:c>
      <x:c r="ER36" s="13" t="s">
        <x:v>426</x:v>
      </x:c>
      <x:c r="ES36" s="16"/>
      <x:c r="ET36" s="16"/>
      <x:c r="EU36" s="16"/>
      <x:c r="EV36" s="12">
        <x:f t="shared" si="16"/>
        <x:v>1</x:v>
      </x:c>
      <x:c r="EW36" s="13"/>
      <x:c r="EX36" s="16"/>
      <x:c r="EY36" s="16"/>
      <x:c r="EZ36" s="16"/>
      <x:c r="FA36" s="16"/>
      <x:c r="FB36" s="16"/>
      <x:c r="FC36" s="16" t="s">
        <x:v>426</x:v>
      </x:c>
      <x:c r="FD36" s="16"/>
      <x:c r="FE36" s="17"/>
      <x:c r="FF36" s="12">
        <x:f t="shared" si="17"/>
        <x:v>1</x:v>
      </x:c>
      <x:c r="FG36" s="13" t="s">
        <x:v>426</x:v>
      </x:c>
      <x:c r="FH36" s="16"/>
      <x:c r="FI36" s="16"/>
      <x:c r="FJ36" s="16"/>
      <x:c r="FK36" s="16"/>
      <x:c r="FL36" s="16"/>
      <x:c r="FM36" s="16"/>
      <x:c r="FN36" s="16"/>
      <x:c r="FO36" s="16"/>
      <x:c r="FP36" s="16"/>
      <x:c r="FQ36" s="16"/>
      <x:c r="FR36" s="16"/>
      <x:c r="FS36" s="16"/>
      <x:c r="FT36" s="16"/>
      <x:c r="FU36" s="17"/>
      <x:c r="FV36" s="12">
        <x:f t="shared" si="18"/>
        <x:v>1</x:v>
      </x:c>
      <x:c r="FW36" s="13"/>
      <x:c r="FX36" s="16"/>
      <x:c r="FY36" s="16"/>
      <x:c r="FZ36" s="16"/>
      <x:c r="GA36" s="16"/>
      <x:c r="GB36" s="16"/>
      <x:c r="GC36" s="16" t="s">
        <x:v>426</x:v>
      </x:c>
      <x:c r="GD36" s="16"/>
      <x:c r="GE36" s="17"/>
      <x:c r="GF36" s="12">
        <x:f t="shared" si="19"/>
        <x:v>1</x:v>
      </x:c>
      <x:c r="GG36" s="13"/>
      <x:c r="GH36" s="16" t="s">
        <x:v>426</x:v>
      </x:c>
      <x:c r="GI36" s="16"/>
      <x:c r="GJ36" s="16"/>
      <x:c r="GK36" s="16"/>
      <x:c r="GL36" s="16"/>
      <x:c r="GM36" s="12">
        <x:f t="shared" si="20"/>
        <x:v>1</x:v>
      </x:c>
      <x:c r="GN36" s="13"/>
      <x:c r="GO36" s="16"/>
      <x:c r="GP36" s="16"/>
      <x:c r="GQ36" s="16" t="s">
        <x:v>426</x:v>
      </x:c>
      <x:c r="GR36" s="16"/>
      <x:c r="GS36" s="16"/>
      <x:c r="GT36" s="12">
        <x:f t="shared" si="21"/>
        <x:v>1</x:v>
      </x:c>
      <x:c r="GU36" s="13"/>
      <x:c r="GV36" s="16"/>
      <x:c r="GW36" s="16" t="s">
        <x:v>426</x:v>
      </x:c>
      <x:c r="GX36" s="16"/>
      <x:c r="GY36" s="12">
        <x:f t="shared" si="22"/>
        <x:v>1</x:v>
      </x:c>
      <x:c r="GZ36" s="13" t="s">
        <x:v>426</x:v>
      </x:c>
      <x:c r="HA36" s="16"/>
      <x:c r="HB36" s="16"/>
      <x:c r="HC36" s="16"/>
      <x:c r="HD36" s="16"/>
      <x:c r="HE36" s="16"/>
      <x:c r="HF36" s="16"/>
      <x:c r="HG36" s="16"/>
      <x:c r="HH36" s="16"/>
      <x:c r="HI36" s="16"/>
      <x:c r="HJ36" s="16"/>
      <x:c r="HK36" s="17"/>
      <x:c r="HL36" s="12">
        <x:f t="shared" si="23"/>
        <x:v>1</x:v>
      </x:c>
      <x:c r="HM36" s="13"/>
      <x:c r="HN36" s="16"/>
      <x:c r="HO36" s="16"/>
      <x:c r="HP36" s="16" t="s">
        <x:v>426</x:v>
      </x:c>
      <x:c r="HQ36" s="16"/>
      <x:c r="HR36" s="16" t="s">
        <x:v>426</x:v>
      </x:c>
      <x:c r="HS36" s="16"/>
      <x:c r="HT36" s="16"/>
      <x:c r="HU36" s="16"/>
      <x:c r="HV36" s="17"/>
      <x:c r="HW36" s="12">
        <x:f t="shared" si="24"/>
        <x:v>1</x:v>
      </x:c>
      <x:c r="HX36" s="13"/>
      <x:c r="HY36" s="16"/>
      <x:c r="HZ36" s="16" t="s">
        <x:v>426</x:v>
      </x:c>
      <x:c r="IA36" s="16"/>
      <x:c r="IB36" s="16"/>
      <x:c r="IC36" s="12">
        <x:f t="shared" si="25"/>
        <x:v>1</x:v>
      </x:c>
      <x:c r="ID36" s="13" t="s">
        <x:v>426</x:v>
      </x:c>
      <x:c r="IE36" s="16"/>
      <x:c r="IF36" s="16"/>
      <x:c r="IG36" s="16"/>
      <x:c r="IH36" s="16"/>
      <x:c r="II36" s="16"/>
      <x:c r="IJ36" s="16"/>
      <x:c r="IK36" s="16"/>
      <x:c r="IL36" s="16"/>
      <x:c r="IM36" s="16"/>
      <x:c r="IN36" s="17"/>
      <x:c r="IO36" s="12">
        <x:f t="shared" si="26"/>
        <x:v>1</x:v>
      </x:c>
      <x:c r="IP36" s="13" t="s">
        <x:v>426</x:v>
      </x:c>
      <x:c r="IQ36" s="16"/>
      <x:c r="IR36" s="16"/>
      <x:c r="IS36" s="16"/>
      <x:c r="IT36" s="16"/>
      <x:c r="IU36" s="16"/>
      <x:c r="IV36" s="16" t="s">
        <x:v>426</x:v>
      </x:c>
      <x:c r="IW36" s="16"/>
      <x:c r="IX36" s="17"/>
      <x:c r="IY36" s="12">
        <x:f t="shared" si="27"/>
        <x:v>1</x:v>
      </x:c>
      <x:c r="IZ36" s="13"/>
      <x:c r="JA36" s="16"/>
      <x:c r="JB36" s="16"/>
      <x:c r="JC36" s="16"/>
      <x:c r="JD36" s="16"/>
      <x:c r="JE36" s="16"/>
      <x:c r="JF36" s="16" t="s">
        <x:v>426</x:v>
      </x:c>
      <x:c r="JG36" s="16"/>
      <x:c r="JH36" s="16"/>
      <x:c r="JI36" s="16"/>
      <x:c r="JJ36" s="16"/>
      <x:c r="JK36" s="16"/>
      <x:c r="JL36" s="16"/>
      <x:c r="JM36" s="16"/>
      <x:c r="JN36" s="16"/>
      <x:c r="JO36" s="16"/>
      <x:c r="JP36" s="16"/>
      <x:c r="JQ36" s="16"/>
      <x:c r="JR36" s="16" t="s">
        <x:v>426</x:v>
      </x:c>
      <x:c r="JS36" s="12">
        <x:f t="shared" si="28"/>
        <x:v>1</x:v>
      </x:c>
      <x:c r="JT36" s="13"/>
      <x:c r="JU36" s="16"/>
      <x:c r="JV36" s="16"/>
      <x:c r="JW36" s="16"/>
      <x:c r="JX36" s="16"/>
      <x:c r="JY36" s="16"/>
      <x:c r="JZ36" s="16"/>
      <x:c r="KA36" s="16"/>
      <x:c r="KB36" s="16"/>
      <x:c r="KC36" s="16"/>
      <x:c r="KD36" s="16"/>
      <x:c r="KE36" s="16"/>
      <x:c r="KF36" s="16"/>
      <x:c r="KG36" s="16"/>
      <x:c r="KH36" s="16"/>
      <x:c r="KI36" s="16"/>
      <x:c r="KJ36" s="16"/>
      <x:c r="KK36" s="16"/>
      <x:c r="KL36" s="16" t="s">
        <x:v>426</x:v>
      </x:c>
      <x:c r="KM36" s="12">
        <x:f t="shared" si="29"/>
        <x:v>1</x:v>
      </x:c>
      <x:c r="KN36" s="13"/>
      <x:c r="KO36" s="16"/>
      <x:c r="KP36" s="16"/>
      <x:c r="KQ36" s="16"/>
      <x:c r="KR36" s="16"/>
      <x:c r="KS36" s="16"/>
      <x:c r="KT36" s="16"/>
      <x:c r="KU36" s="16"/>
      <x:c r="KV36" s="16"/>
      <x:c r="KW36" s="16"/>
      <x:c r="KX36" s="16"/>
      <x:c r="KY36" s="16"/>
      <x:c r="KZ36" s="16"/>
      <x:c r="LA36" s="16"/>
      <x:c r="LB36" s="16"/>
      <x:c r="LC36" s="16"/>
      <x:c r="LD36" s="16"/>
      <x:c r="LE36" s="16"/>
      <x:c r="LF36" s="16" t="s">
        <x:v>426</x:v>
      </x:c>
      <x:c r="LG36" s="12">
        <x:f t="shared" si="30"/>
        <x:v>1</x:v>
      </x:c>
      <x:c r="LH36" s="13"/>
      <x:c r="LI36" s="16"/>
      <x:c r="LJ36" s="16"/>
      <x:c r="LK36" s="16"/>
      <x:c r="LL36" s="16"/>
      <x:c r="LM36" s="16"/>
      <x:c r="LN36" s="16"/>
      <x:c r="LO36" s="16" t="s">
        <x:v>426</x:v>
      </x:c>
      <x:c r="LP36" s="16"/>
      <x:c r="LQ36" s="17"/>
      <x:c r="LR36" s="12">
        <x:f t="shared" si="31"/>
        <x:v>1</x:v>
      </x:c>
      <x:c r="LS36" s="13"/>
      <x:c r="LT36" s="16" t="s">
        <x:v>426</x:v>
      </x:c>
      <x:c r="LU36" s="16"/>
      <x:c r="LV36" s="16"/>
      <x:c r="LW36" s="16"/>
      <x:c r="LX36" s="16"/>
      <x:c r="LY36" s="16"/>
      <x:c r="LZ36" s="16"/>
      <x:c r="MA36" s="16"/>
      <x:c r="MB36" s="17"/>
      <x:c r="MC36" s="12">
        <x:f t="shared" si="32"/>
        <x:v>1</x:v>
      </x:c>
      <x:c r="MD36" s="13"/>
      <x:c r="ME36" s="16"/>
      <x:c r="MF36" s="16"/>
      <x:c r="MG36" s="16"/>
      <x:c r="MH36" s="16"/>
      <x:c r="MI36" s="16"/>
      <x:c r="MJ36" s="16" t="s">
        <x:v>426</x:v>
      </x:c>
      <x:c r="MK36" s="12">
        <x:f t="shared" si="33"/>
        <x:v>1</x:v>
      </x:c>
      <x:c r="ML36" s="13"/>
      <x:c r="MM36" s="16"/>
      <x:c r="MN36" s="16"/>
      <x:c r="MO36" s="16"/>
      <x:c r="MP36" s="16"/>
      <x:c r="MQ36" s="16"/>
      <x:c r="MR36" s="16" t="s">
        <x:v>426</x:v>
      </x:c>
      <x:c r="MS36" s="16"/>
      <x:c r="MT36" s="16"/>
      <x:c r="MU36" s="17"/>
      <x:c r="MV36" s="12">
        <x:f t="shared" si="34"/>
        <x:v>1</x:v>
      </x:c>
      <x:c r="MW36" s="13"/>
      <x:c r="MX36" s="16"/>
      <x:c r="MY36" s="16"/>
      <x:c r="MZ36" s="16"/>
      <x:c r="NA36" s="16"/>
      <x:c r="NB36" s="16"/>
      <x:c r="NC36" s="16" t="s">
        <x:v>426</x:v>
      </x:c>
      <x:c r="ND36" s="16"/>
      <x:c r="NE36" s="16"/>
      <x:c r="NF36" s="17"/>
      <x:c r="NG36" s="12">
        <x:f t="shared" si="35"/>
        <x:v>1</x:v>
      </x:c>
      <x:c r="NH36" s="13"/>
      <x:c r="NI36" s="16"/>
      <x:c r="NJ36" s="16"/>
      <x:c r="NK36" s="16"/>
      <x:c r="NL36" s="16"/>
      <x:c r="NM36" s="16"/>
      <x:c r="NN36" s="16"/>
      <x:c r="NO36" s="16"/>
      <x:c r="NP36" s="16" t="s">
        <x:v>426</x:v>
      </x:c>
      <x:c r="NQ36" s="16"/>
      <x:c r="NR36" s="17"/>
      <x:c r="NS36" s="12">
        <x:f t="shared" si="36"/>
        <x:v>1</x:v>
      </x:c>
      <x:c r="NT36" s="13"/>
      <x:c r="NU36" s="16"/>
      <x:c r="NV36" s="16"/>
      <x:c r="NW36" s="16" t="s">
        <x:v>426</x:v>
      </x:c>
      <x:c r="NX36" s="16"/>
      <x:c r="NY36" s="12">
        <x:f t="shared" si="37"/>
        <x:v>1</x:v>
      </x:c>
      <x:c r="NZ36" s="13"/>
      <x:c r="OA36" s="16"/>
      <x:c r="OB36" s="16"/>
      <x:c r="OC36" s="16"/>
      <x:c r="OD36" s="16"/>
      <x:c r="OE36" s="16"/>
      <x:c r="OF36" s="16"/>
      <x:c r="OG36" s="16"/>
      <x:c r="OH36" s="16"/>
      <x:c r="OI36" s="16" t="s">
        <x:v>426</x:v>
      </x:c>
      <x:c r="OJ36" s="16"/>
      <x:c r="OK36" s="17"/>
      <x:c r="OL36" s="12">
        <x:f t="shared" si="38"/>
        <x:v>1</x:v>
      </x:c>
      <x:c r="OM36" s="13" t="s">
        <x:v>426</x:v>
      </x:c>
      <x:c r="ON36" s="16"/>
      <x:c r="OO36" s="16"/>
      <x:c r="OP36" s="16" t="s">
        <x:v>426</x:v>
      </x:c>
      <x:c r="OQ36" s="16"/>
      <x:c r="OR36" s="16" t="s">
        <x:v>426</x:v>
      </x:c>
      <x:c r="OS36" s="16"/>
      <x:c r="OT36" s="16"/>
      <x:c r="OU36" s="16"/>
      <x:c r="OV36" s="17"/>
      <x:c r="OW36" s="12">
        <x:f t="shared" si="39"/>
        <x:v>1</x:v>
      </x:c>
      <x:c r="OX36" s="13"/>
      <x:c r="OY36" s="16"/>
      <x:c r="OZ36" s="16"/>
      <x:c r="PA36" s="16"/>
      <x:c r="PB36" s="16" t="s">
        <x:v>426</x:v>
      </x:c>
      <x:c r="PC36" s="12">
        <x:f t="shared" si="40"/>
        <x:v>1</x:v>
      </x:c>
      <x:c r="PD36" s="13"/>
      <x:c r="PE36" s="16"/>
      <x:c r="PF36" s="16" t="s">
        <x:v>426</x:v>
      </x:c>
      <x:c r="PG36" s="16"/>
      <x:c r="PH36" s="16"/>
      <x:c r="PI36" s="16"/>
      <x:c r="PJ36" s="16" t="s">
        <x:v>426</x:v>
      </x:c>
      <x:c r="PK36" s="16"/>
      <x:c r="PL36" s="16"/>
      <x:c r="PM36" s="16"/>
      <x:c r="PN36" s="17"/>
      <x:c r="PO36" s="12">
        <x:f t="shared" si="41"/>
        <x:v>1</x:v>
      </x:c>
      <x:c r="PP36" s="13"/>
      <x:c r="PQ36" s="16"/>
      <x:c r="PR36" s="16" t="s">
        <x:v>426</x:v>
      </x:c>
      <x:c r="PS36" s="16"/>
      <x:c r="PT36" s="12">
        <x:f t="shared" si="42"/>
        <x:v>1</x:v>
      </x:c>
      <x:c r="PU36" s="13" t="s">
        <x:v>426</x:v>
      </x:c>
      <x:c r="PV36" s="16"/>
      <x:c r="PW36" s="16"/>
      <x:c r="PX36" s="16"/>
      <x:c r="PY36" s="16"/>
      <x:c r="PZ36" s="16"/>
      <x:c r="QA36" s="16"/>
      <x:c r="QB36" s="16"/>
      <x:c r="QC36" s="16"/>
      <x:c r="QD36" s="17"/>
      <x:c r="QE36" s="12">
        <x:f t="shared" si="43"/>
        <x:v>1</x:v>
      </x:c>
      <x:c r="QF36" s="13"/>
      <x:c r="QG36" s="16"/>
      <x:c r="QH36" s="16"/>
      <x:c r="QI36" s="16" t="s">
        <x:v>426</x:v>
      </x:c>
      <x:c r="QJ36" s="16"/>
      <x:c r="QK36" s="16"/>
      <x:c r="QL36" s="16"/>
      <x:c r="QM36" s="16"/>
      <x:c r="QN36" s="16" t="s">
        <x:v>426</x:v>
      </x:c>
      <x:c r="QO36" s="17" t="s">
        <x:v>487</x:v>
      </x:c>
      <x:c r="QP36" s="12">
        <x:f t="shared" si="44"/>
        <x:v>1</x:v>
      </x:c>
      <x:c r="QQ36" s="13" t="s">
        <x:v>426</x:v>
      </x:c>
      <x:c r="QR36" s="16"/>
      <x:c r="QS36" s="16"/>
      <x:c r="QT36" s="16"/>
      <x:c r="QU36" s="16"/>
      <x:c r="QV36" s="16" t="s">
        <x:v>426</x:v>
      </x:c>
      <x:c r="QW36" s="16"/>
      <x:c r="QX36" s="16"/>
      <x:c r="QY36" s="16"/>
      <x:c r="QZ36" s="17"/>
      <x:c r="RA36" s="12">
        <x:f t="shared" si="45"/>
        <x:v>1</x:v>
      </x:c>
      <x:c r="RB36" s="13" t="s">
        <x:v>426</x:v>
      </x:c>
      <x:c r="RC36" s="16" t="s">
        <x:v>426</x:v>
      </x:c>
      <x:c r="RD36" s="16" t="s">
        <x:v>426</x:v>
      </x:c>
      <x:c r="RE36" s="16"/>
      <x:c r="RF36" s="16"/>
      <x:c r="RG36" s="16"/>
      <x:c r="RH36" s="16"/>
      <x:c r="RI36" s="16"/>
      <x:c r="RJ36" s="17"/>
      <x:c r="RK36" s="12">
        <x:f t="shared" si="46"/>
        <x:v>1</x:v>
      </x:c>
      <x:c r="RL36" s="13"/>
      <x:c r="RM36" s="16"/>
      <x:c r="RN36" s="16" t="s">
        <x:v>426</x:v>
      </x:c>
      <x:c r="RO36" s="16"/>
      <x:c r="RP36" s="16" t="s">
        <x:v>426</x:v>
      </x:c>
      <x:c r="RQ36" s="16"/>
      <x:c r="RR36" s="16" t="s">
        <x:v>426</x:v>
      </x:c>
      <x:c r="RS36" s="16"/>
      <x:c r="RT36" s="16"/>
      <x:c r="RU36" s="17"/>
      <x:c r="RV36" s="12">
        <x:f t="shared" si="47"/>
        <x:v>1</x:v>
      </x:c>
      <x:c r="RW36" s="13"/>
      <x:c r="RX36" s="12">
        <x:f t="shared" si="48"/>
        <x:v>0</x:v>
      </x:c>
    </x:row>
    <x:row r="37" ht="16.5">
      <x:c r="A37" s="7" t="s">
        <x:v>488</x:v>
      </x:c>
      <x:c r="B37" s="8"/>
      <x:c r="C37" s="8"/>
      <x:c r="D37" s="8"/>
      <x:c r="E37" s="8"/>
      <x:c r="F37" s="8"/>
      <x:c r="G37" s="8"/>
      <x:c r="H37" s="8"/>
      <x:c r="I37" s="8"/>
      <x:c r="J37" s="8"/>
      <x:c r="K37" s="9"/>
      <x:c r="L37" s="7" t="s">
        <x:v>426</x:v>
      </x:c>
      <x:c r="M37" s="10"/>
      <x:c r="N37" s="10"/>
      <x:c r="O37" s="10"/>
      <x:c r="P37" s="11"/>
      <x:c r="Q37" s="12">
        <x:f t="shared" si="0"/>
        <x:v>1</x:v>
      </x:c>
      <x:c r="R37" s="7" t="s">
        <x:v>426</x:v>
      </x:c>
      <x:c r="S37" s="10"/>
      <x:c r="T37" s="10"/>
      <x:c r="U37" s="10"/>
      <x:c r="V37" s="10"/>
      <x:c r="W37" s="11"/>
      <x:c r="X37" s="12">
        <x:f t="shared" si="1"/>
        <x:v>1</x:v>
      </x:c>
      <x:c r="Y37" s="7"/>
      <x:c r="Z37" s="10"/>
      <x:c r="AA37" s="10"/>
      <x:c r="AB37" s="10"/>
      <x:c r="AC37" s="10" t="s">
        <x:v>426</x:v>
      </x:c>
      <x:c r="AD37" s="12">
        <x:f t="shared" si="2"/>
        <x:v>1</x:v>
      </x:c>
      <x:c r="AE37" s="7" t="s">
        <x:v>426</x:v>
      </x:c>
      <x:c r="AF37" s="10"/>
      <x:c r="AG37" s="10"/>
      <x:c r="AH37" s="10"/>
      <x:c r="AI37" s="10"/>
      <x:c r="AJ37" s="11"/>
      <x:c r="AK37" s="12">
        <x:f t="shared" si="3"/>
        <x:v>1</x:v>
      </x:c>
      <x:c r="AL37" s="7" t="s">
        <x:v>426</x:v>
      </x:c>
      <x:c r="AM37" s="10"/>
      <x:c r="AN37" s="10"/>
      <x:c r="AO37" s="12">
        <x:f t="shared" si="4"/>
        <x:v>1</x:v>
      </x:c>
      <x:c r="AP37" s="7" t="s">
        <x:v>426</x:v>
      </x:c>
      <x:c r="AQ37" s="10"/>
      <x:c r="AR37" s="10"/>
      <x:c r="AS37" s="10" t="s">
        <x:v>426</x:v>
      </x:c>
      <x:c r="AT37" s="10"/>
      <x:c r="AU37" s="10"/>
      <x:c r="AV37" s="10"/>
      <x:c r="AW37" s="11"/>
      <x:c r="AX37" s="12">
        <x:f t="shared" si="5"/>
        <x:v>1</x:v>
      </x:c>
      <x:c r="AY37" s="7" t="s">
        <x:v>426</x:v>
      </x:c>
      <x:c r="AZ37" s="10"/>
      <x:c r="BA37" s="10"/>
      <x:c r="BB37" s="10"/>
      <x:c r="BC37" s="10"/>
      <x:c r="BD37" s="10"/>
      <x:c r="BE37" s="10"/>
      <x:c r="BF37" s="10"/>
      <x:c r="BG37" s="11"/>
      <x:c r="BH37" s="12">
        <x:f t="shared" si="6"/>
        <x:v>1</x:v>
      </x:c>
      <x:c r="BI37" s="7"/>
      <x:c r="BJ37" s="10"/>
      <x:c r="BK37" s="10"/>
      <x:c r="BL37" s="10"/>
      <x:c r="BM37" s="10" t="s">
        <x:v>426</x:v>
      </x:c>
      <x:c r="BN37" s="10"/>
      <x:c r="BO37" s="10"/>
      <x:c r="BP37" s="11"/>
      <x:c r="BQ37" s="12">
        <x:f t="shared" si="7"/>
        <x:v>1</x:v>
      </x:c>
      <x:c r="BR37" s="7"/>
      <x:c r="BS37" s="10"/>
      <x:c r="BT37" s="10"/>
      <x:c r="BU37" s="10"/>
      <x:c r="BV37" s="10" t="s">
        <x:v>426</x:v>
      </x:c>
      <x:c r="BW37" s="10"/>
      <x:c r="BX37" s="10"/>
      <x:c r="BY37" s="11"/>
      <x:c r="BZ37" s="12">
        <x:f t="shared" si="8"/>
        <x:v>1</x:v>
      </x:c>
      <x:c r="CA37" s="7"/>
      <x:c r="CB37" s="10"/>
      <x:c r="CC37" s="10"/>
      <x:c r="CD37" s="10"/>
      <x:c r="CE37" s="10"/>
      <x:c r="CF37" s="10"/>
      <x:c r="CG37" s="10"/>
      <x:c r="CH37" s="10" t="s">
        <x:v>426</x:v>
      </x:c>
      <x:c r="CI37" s="10"/>
      <x:c r="CJ37" s="10"/>
      <x:c r="CK37" s="11"/>
      <x:c r="CL37" s="12">
        <x:f t="shared" si="9"/>
        <x:v>1</x:v>
      </x:c>
      <x:c r="CM37" s="7"/>
      <x:c r="CN37" s="10" t="s">
        <x:v>426</x:v>
      </x:c>
      <x:c r="CO37" s="10" t="s">
        <x:v>426</x:v>
      </x:c>
      <x:c r="CP37" s="10" t="s">
        <x:v>426</x:v>
      </x:c>
      <x:c r="CQ37" s="10"/>
      <x:c r="CR37" s="10"/>
      <x:c r="CS37" s="10"/>
      <x:c r="CT37" s="10"/>
      <x:c r="CU37" s="10"/>
      <x:c r="CV37" s="10"/>
      <x:c r="CW37" s="10"/>
      <x:c r="CX37" s="10"/>
      <x:c r="CY37" s="10"/>
      <x:c r="CZ37" s="10"/>
      <x:c r="DA37" s="11"/>
      <x:c r="DB37" s="12">
        <x:f t="shared" si="10"/>
        <x:v>1</x:v>
      </x:c>
      <x:c r="DC37" s="7" t="s">
        <x:v>489</x:v>
      </x:c>
      <x:c r="DD37" s="12">
        <x:f t="shared" si="11"/>
        <x:v>1</x:v>
      </x:c>
      <x:c r="DE37" s="7"/>
      <x:c r="DF37" s="10"/>
      <x:c r="DG37" s="10"/>
      <x:c r="DH37" s="10"/>
      <x:c r="DI37" s="10" t="s">
        <x:v>426</x:v>
      </x:c>
      <x:c r="DJ37" s="10"/>
      <x:c r="DK37" s="10"/>
      <x:c r="DL37" s="10"/>
      <x:c r="DM37" s="11"/>
      <x:c r="DN37" s="12">
        <x:f t="shared" si="12"/>
        <x:v>1</x:v>
      </x:c>
      <x:c r="DO37" s="7"/>
      <x:c r="DP37" s="10"/>
      <x:c r="DQ37" s="10"/>
      <x:c r="DR37" s="10"/>
      <x:c r="DS37" s="10" t="s">
        <x:v>426</x:v>
      </x:c>
      <x:c r="DT37" s="12">
        <x:f t="shared" si="13"/>
        <x:v>1</x:v>
      </x:c>
      <x:c r="DU37" s="7"/>
      <x:c r="DV37" s="10"/>
      <x:c r="DW37" s="10"/>
      <x:c r="DX37" s="10"/>
      <x:c r="DY37" s="10"/>
      <x:c r="DZ37" s="10"/>
      <x:c r="EA37" s="10"/>
      <x:c r="EB37" s="10"/>
      <x:c r="EC37" s="10"/>
      <x:c r="ED37" s="11"/>
      <x:c r="EE37" s="12">
        <x:f t="shared" si="14"/>
        <x:v>0</x:v>
      </x:c>
      <x:c r="EF37" s="7"/>
      <x:c r="EG37" s="10"/>
      <x:c r="EH37" s="10"/>
      <x:c r="EI37" s="10"/>
      <x:c r="EJ37" s="10"/>
      <x:c r="EK37" s="10"/>
      <x:c r="EL37" s="10"/>
      <x:c r="EM37" s="10"/>
      <x:c r="EN37" s="10" t="s">
        <x:v>426</x:v>
      </x:c>
      <x:c r="EO37" s="10"/>
      <x:c r="EP37" s="11"/>
      <x:c r="EQ37" s="12">
        <x:f t="shared" si="15"/>
        <x:v>1</x:v>
      </x:c>
      <x:c r="ER37" s="7"/>
      <x:c r="ES37" s="10"/>
      <x:c r="ET37" s="10"/>
      <x:c r="EU37" s="10" t="s">
        <x:v>426</x:v>
      </x:c>
      <x:c r="EV37" s="12">
        <x:f t="shared" si="16"/>
        <x:v>1</x:v>
      </x:c>
      <x:c r="EW37" s="7"/>
      <x:c r="EX37" s="10"/>
      <x:c r="EY37" s="10"/>
      <x:c r="EZ37" s="10"/>
      <x:c r="FA37" s="10"/>
      <x:c r="FB37" s="10"/>
      <x:c r="FC37" s="10" t="s">
        <x:v>426</x:v>
      </x:c>
      <x:c r="FD37" s="10"/>
      <x:c r="FE37" s="11"/>
      <x:c r="FF37" s="12">
        <x:f t="shared" si="17"/>
        <x:v>1</x:v>
      </x:c>
      <x:c r="FG37" s="7"/>
      <x:c r="FH37" s="10" t="s">
        <x:v>426</x:v>
      </x:c>
      <x:c r="FI37" s="10"/>
      <x:c r="FJ37" s="10"/>
      <x:c r="FK37" s="10"/>
      <x:c r="FL37" s="10"/>
      <x:c r="FM37" s="10"/>
      <x:c r="FN37" s="10"/>
      <x:c r="FO37" s="10" t="s">
        <x:v>426</x:v>
      </x:c>
      <x:c r="FP37" s="10"/>
      <x:c r="FQ37" s="10"/>
      <x:c r="FR37" s="10"/>
      <x:c r="FS37" s="10"/>
      <x:c r="FT37" s="10"/>
      <x:c r="FU37" s="11"/>
      <x:c r="FV37" s="12">
        <x:f t="shared" si="18"/>
        <x:v>1</x:v>
      </x:c>
      <x:c r="FW37" s="7"/>
      <x:c r="FX37" s="10"/>
      <x:c r="FY37" s="10"/>
      <x:c r="FZ37" s="10"/>
      <x:c r="GA37" s="10"/>
      <x:c r="GB37" s="10"/>
      <x:c r="GC37" s="10" t="s">
        <x:v>426</x:v>
      </x:c>
      <x:c r="GD37" s="10"/>
      <x:c r="GE37" s="11"/>
      <x:c r="GF37" s="12">
        <x:f t="shared" si="19"/>
        <x:v>1</x:v>
      </x:c>
      <x:c r="GG37" s="7"/>
      <x:c r="GH37" s="10"/>
      <x:c r="GI37" s="10"/>
      <x:c r="GJ37" s="10"/>
      <x:c r="GK37" s="10"/>
      <x:c r="GL37" s="10" t="s">
        <x:v>426</x:v>
      </x:c>
      <x:c r="GM37" s="12">
        <x:f t="shared" si="20"/>
        <x:v>1</x:v>
      </x:c>
      <x:c r="GN37" s="7"/>
      <x:c r="GO37" s="10"/>
      <x:c r="GP37" s="10"/>
      <x:c r="GQ37" s="10"/>
      <x:c r="GR37" s="10"/>
      <x:c r="GS37" s="10" t="s">
        <x:v>426</x:v>
      </x:c>
      <x:c r="GT37" s="12">
        <x:f t="shared" si="21"/>
        <x:v>1</x:v>
      </x:c>
      <x:c r="GU37" s="7"/>
      <x:c r="GV37" s="10" t="s">
        <x:v>426</x:v>
      </x:c>
      <x:c r="GW37" s="10"/>
      <x:c r="GX37" s="10"/>
      <x:c r="GY37" s="12">
        <x:f t="shared" si="22"/>
        <x:v>1</x:v>
      </x:c>
      <x:c r="GZ37" s="7"/>
      <x:c r="HA37" s="10"/>
      <x:c r="HB37" s="10"/>
      <x:c r="HC37" s="10"/>
      <x:c r="HD37" s="10"/>
      <x:c r="HE37" s="10"/>
      <x:c r="HF37" s="10"/>
      <x:c r="HG37" s="10"/>
      <x:c r="HH37" s="10"/>
      <x:c r="HI37" s="10" t="s">
        <x:v>426</x:v>
      </x:c>
      <x:c r="HJ37" s="10"/>
      <x:c r="HK37" s="11"/>
      <x:c r="HL37" s="12">
        <x:f t="shared" si="23"/>
        <x:v>1</x:v>
      </x:c>
      <x:c r="HM37" s="7"/>
      <x:c r="HN37" s="10"/>
      <x:c r="HO37" s="10" t="s">
        <x:v>426</x:v>
      </x:c>
      <x:c r="HP37" s="10"/>
      <x:c r="HQ37" s="10"/>
      <x:c r="HR37" s="10"/>
      <x:c r="HS37" s="10"/>
      <x:c r="HT37" s="10"/>
      <x:c r="HU37" s="10"/>
      <x:c r="HV37" s="11"/>
      <x:c r="HW37" s="12">
        <x:f t="shared" si="24"/>
        <x:v>1</x:v>
      </x:c>
      <x:c r="HX37" s="7"/>
      <x:c r="HY37" s="10"/>
      <x:c r="HZ37" s="10"/>
      <x:c r="IA37" s="10" t="s">
        <x:v>426</x:v>
      </x:c>
      <x:c r="IB37" s="10"/>
      <x:c r="IC37" s="12">
        <x:f t="shared" si="25"/>
        <x:v>1</x:v>
      </x:c>
      <x:c r="ID37" s="7" t="s">
        <x:v>426</x:v>
      </x:c>
      <x:c r="IE37" s="10"/>
      <x:c r="IF37" s="10"/>
      <x:c r="IG37" s="10"/>
      <x:c r="IH37" s="10"/>
      <x:c r="II37" s="10"/>
      <x:c r="IJ37" s="10"/>
      <x:c r="IK37" s="10"/>
      <x:c r="IL37" s="10" t="s">
        <x:v>426</x:v>
      </x:c>
      <x:c r="IM37" s="10"/>
      <x:c r="IN37" s="11"/>
      <x:c r="IO37" s="12">
        <x:f t="shared" si="26"/>
        <x:v>1</x:v>
      </x:c>
      <x:c r="IP37" s="7"/>
      <x:c r="IQ37" s="10"/>
      <x:c r="IR37" s="10"/>
      <x:c r="IS37" s="10"/>
      <x:c r="IT37" s="10"/>
      <x:c r="IU37" s="10"/>
      <x:c r="IV37" s="10" t="s">
        <x:v>426</x:v>
      </x:c>
      <x:c r="IW37" s="10"/>
      <x:c r="IX37" s="11"/>
      <x:c r="IY37" s="12">
        <x:f t="shared" si="27"/>
        <x:v>1</x:v>
      </x:c>
      <x:c r="IZ37" s="7"/>
      <x:c r="JA37" s="10"/>
      <x:c r="JB37" s="10"/>
      <x:c r="JC37" s="10"/>
      <x:c r="JD37" s="10"/>
      <x:c r="JE37" s="10"/>
      <x:c r="JF37" s="10"/>
      <x:c r="JG37" s="10"/>
      <x:c r="JH37" s="10" t="s">
        <x:v>426</x:v>
      </x:c>
      <x:c r="JI37" s="10"/>
      <x:c r="JJ37" s="10"/>
      <x:c r="JK37" s="10"/>
      <x:c r="JL37" s="10"/>
      <x:c r="JM37" s="10"/>
      <x:c r="JN37" s="10"/>
      <x:c r="JO37" s="10"/>
      <x:c r="JP37" s="10"/>
      <x:c r="JQ37" s="10"/>
      <x:c r="JR37" s="10"/>
      <x:c r="JS37" s="12">
        <x:f t="shared" si="28"/>
        <x:v>1</x:v>
      </x:c>
      <x:c r="JT37" s="7"/>
      <x:c r="JU37" s="10" t="s">
        <x:v>426</x:v>
      </x:c>
      <x:c r="JV37" s="10"/>
      <x:c r="JW37" s="10"/>
      <x:c r="JX37" s="10"/>
      <x:c r="JY37" s="10"/>
      <x:c r="JZ37" s="10"/>
      <x:c r="KA37" s="10"/>
      <x:c r="KB37" s="10"/>
      <x:c r="KC37" s="10"/>
      <x:c r="KD37" s="10"/>
      <x:c r="KE37" s="10"/>
      <x:c r="KF37" s="10"/>
      <x:c r="KG37" s="10"/>
      <x:c r="KH37" s="10"/>
      <x:c r="KI37" s="10"/>
      <x:c r="KJ37" s="10"/>
      <x:c r="KK37" s="10"/>
      <x:c r="KL37" s="10"/>
      <x:c r="KM37" s="12">
        <x:f t="shared" si="29"/>
        <x:v>1</x:v>
      </x:c>
      <x:c r="KN37" s="7"/>
      <x:c r="KO37" s="10"/>
      <x:c r="KP37" s="10"/>
      <x:c r="KQ37" s="10"/>
      <x:c r="KR37" s="10"/>
      <x:c r="KS37" s="10"/>
      <x:c r="KT37" s="10"/>
      <x:c r="KU37" s="10"/>
      <x:c r="KV37" s="10"/>
      <x:c r="KW37" s="10"/>
      <x:c r="KX37" s="10"/>
      <x:c r="KY37" s="10"/>
      <x:c r="KZ37" s="10"/>
      <x:c r="LA37" s="10"/>
      <x:c r="LB37" s="10"/>
      <x:c r="LC37" s="10"/>
      <x:c r="LD37" s="10"/>
      <x:c r="LE37" s="10"/>
      <x:c r="LF37" s="10" t="s">
        <x:v>426</x:v>
      </x:c>
      <x:c r="LG37" s="12">
        <x:f t="shared" si="30"/>
        <x:v>1</x:v>
      </x:c>
      <x:c r="LH37" s="7"/>
      <x:c r="LI37" s="10"/>
      <x:c r="LJ37" s="10"/>
      <x:c r="LK37" s="10"/>
      <x:c r="LL37" s="10"/>
      <x:c r="LM37" s="10"/>
      <x:c r="LN37" s="10"/>
      <x:c r="LO37" s="10" t="s">
        <x:v>426</x:v>
      </x:c>
      <x:c r="LP37" s="10"/>
      <x:c r="LQ37" s="11"/>
      <x:c r="LR37" s="12">
        <x:f t="shared" si="31"/>
        <x:v>1</x:v>
      </x:c>
      <x:c r="LS37" s="7" t="s">
        <x:v>426</x:v>
      </x:c>
      <x:c r="LT37" s="10"/>
      <x:c r="LU37" s="10"/>
      <x:c r="LV37" s="10"/>
      <x:c r="LW37" s="10"/>
      <x:c r="LX37" s="10"/>
      <x:c r="LY37" s="10"/>
      <x:c r="LZ37" s="10"/>
      <x:c r="MA37" s="10"/>
      <x:c r="MB37" s="11"/>
      <x:c r="MC37" s="12">
        <x:f t="shared" si="32"/>
        <x:v>1</x:v>
      </x:c>
      <x:c r="MD37" s="7" t="s">
        <x:v>426</x:v>
      </x:c>
      <x:c r="ME37" s="10"/>
      <x:c r="MF37" s="10"/>
      <x:c r="MG37" s="10"/>
      <x:c r="MH37" s="10"/>
      <x:c r="MI37" s="10"/>
      <x:c r="MJ37" s="10"/>
      <x:c r="MK37" s="12">
        <x:f t="shared" si="33"/>
        <x:v>1</x:v>
      </x:c>
      <x:c r="ML37" s="7"/>
      <x:c r="MM37" s="10"/>
      <x:c r="MN37" s="10"/>
      <x:c r="MO37" s="10"/>
      <x:c r="MP37" s="10"/>
      <x:c r="MQ37" s="10"/>
      <x:c r="MR37" s="10"/>
      <x:c r="MS37" s="10" t="s">
        <x:v>426</x:v>
      </x:c>
      <x:c r="MT37" s="10"/>
      <x:c r="MU37" s="11"/>
      <x:c r="MV37" s="12">
        <x:f t="shared" si="34"/>
        <x:v>1</x:v>
      </x:c>
      <x:c r="MW37" s="7"/>
      <x:c r="MX37" s="10"/>
      <x:c r="MY37" s="10"/>
      <x:c r="MZ37" s="10"/>
      <x:c r="NA37" s="10"/>
      <x:c r="NB37" s="10"/>
      <x:c r="NC37" s="10"/>
      <x:c r="ND37" s="10"/>
      <x:c r="NE37" s="10"/>
      <x:c r="NF37" s="11"/>
      <x:c r="NG37" s="12">
        <x:f t="shared" si="35"/>
        <x:v>0</x:v>
      </x:c>
      <x:c r="NH37" s="7"/>
      <x:c r="NI37" s="10"/>
      <x:c r="NJ37" s="10"/>
      <x:c r="NK37" s="10"/>
      <x:c r="NL37" s="10"/>
      <x:c r="NM37" s="10"/>
      <x:c r="NN37" s="10"/>
      <x:c r="NO37" s="10"/>
      <x:c r="NP37" s="10" t="s">
        <x:v>426</x:v>
      </x:c>
      <x:c r="NQ37" s="10"/>
      <x:c r="NR37" s="11"/>
      <x:c r="NS37" s="12">
        <x:f t="shared" si="36"/>
        <x:v>1</x:v>
      </x:c>
      <x:c r="NT37" s="7"/>
      <x:c r="NU37" s="10"/>
      <x:c r="NV37" s="10"/>
      <x:c r="NW37" s="10" t="s">
        <x:v>426</x:v>
      </x:c>
      <x:c r="NX37" s="10"/>
      <x:c r="NY37" s="12">
        <x:f t="shared" si="37"/>
        <x:v>1</x:v>
      </x:c>
      <x:c r="NZ37" s="7"/>
      <x:c r="OA37" s="10"/>
      <x:c r="OB37" s="10"/>
      <x:c r="OC37" s="10"/>
      <x:c r="OD37" s="10"/>
      <x:c r="OE37" s="10"/>
      <x:c r="OF37" s="10"/>
      <x:c r="OG37" s="10"/>
      <x:c r="OH37" s="10"/>
      <x:c r="OI37" s="10" t="s">
        <x:v>426</x:v>
      </x:c>
      <x:c r="OJ37" s="10"/>
      <x:c r="OK37" s="11"/>
      <x:c r="OL37" s="12">
        <x:f t="shared" si="38"/>
        <x:v>1</x:v>
      </x:c>
      <x:c r="OM37" s="7"/>
      <x:c r="ON37" s="10"/>
      <x:c r="OO37" s="10"/>
      <x:c r="OP37" s="10"/>
      <x:c r="OQ37" s="10"/>
      <x:c r="OR37" s="10"/>
      <x:c r="OS37" s="10"/>
      <x:c r="OT37" s="10" t="s">
        <x:v>426</x:v>
      </x:c>
      <x:c r="OU37" s="10"/>
      <x:c r="OV37" s="11"/>
      <x:c r="OW37" s="12">
        <x:f t="shared" si="39"/>
        <x:v>1</x:v>
      </x:c>
      <x:c r="OX37" s="7"/>
      <x:c r="OY37" s="10"/>
      <x:c r="OZ37" s="10"/>
      <x:c r="PA37" s="10"/>
      <x:c r="PB37" s="10" t="s">
        <x:v>426</x:v>
      </x:c>
      <x:c r="PC37" s="12">
        <x:f t="shared" si="40"/>
        <x:v>1</x:v>
      </x:c>
      <x:c r="PD37" s="7"/>
      <x:c r="PE37" s="10"/>
      <x:c r="PF37" s="10"/>
      <x:c r="PG37" s="10"/>
      <x:c r="PH37" s="10"/>
      <x:c r="PI37" s="10"/>
      <x:c r="PJ37" s="10"/>
      <x:c r="PK37" s="10"/>
      <x:c r="PL37" s="10" t="s">
        <x:v>426</x:v>
      </x:c>
      <x:c r="PM37" s="10"/>
      <x:c r="PN37" s="11"/>
      <x:c r="PO37" s="12">
        <x:f t="shared" si="41"/>
        <x:v>1</x:v>
      </x:c>
      <x:c r="PP37" s="7"/>
      <x:c r="PQ37" s="10"/>
      <x:c r="PR37" s="10" t="s">
        <x:v>426</x:v>
      </x:c>
      <x:c r="PS37" s="10"/>
      <x:c r="PT37" s="12">
        <x:f t="shared" si="42"/>
        <x:v>1</x:v>
      </x:c>
      <x:c r="PU37" s="7" t="s">
        <x:v>426</x:v>
      </x:c>
      <x:c r="PV37" s="10"/>
      <x:c r="PW37" s="10"/>
      <x:c r="PX37" s="10"/>
      <x:c r="PY37" s="10"/>
      <x:c r="PZ37" s="10"/>
      <x:c r="QA37" s="10"/>
      <x:c r="QB37" s="10"/>
      <x:c r="QC37" s="10"/>
      <x:c r="QD37" s="11"/>
      <x:c r="QE37" s="12">
        <x:f t="shared" si="43"/>
        <x:v>1</x:v>
      </x:c>
      <x:c r="QF37" s="7"/>
      <x:c r="QG37" s="10"/>
      <x:c r="QH37" s="10"/>
      <x:c r="QI37" s="10" t="s">
        <x:v>426</x:v>
      </x:c>
      <x:c r="QJ37" s="10"/>
      <x:c r="QK37" s="10"/>
      <x:c r="QL37" s="10"/>
      <x:c r="QM37" s="10"/>
      <x:c r="QN37" s="10"/>
      <x:c r="QO37" s="11"/>
      <x:c r="QP37" s="12">
        <x:f t="shared" si="44"/>
        <x:v>1</x:v>
      </x:c>
      <x:c r="QQ37" s="7"/>
      <x:c r="QR37" s="10"/>
      <x:c r="QS37" s="10"/>
      <x:c r="QT37" s="10"/>
      <x:c r="QU37" s="10"/>
      <x:c r="QV37" s="10"/>
      <x:c r="QW37" s="10"/>
      <x:c r="QX37" s="10" t="s">
        <x:v>426</x:v>
      </x:c>
      <x:c r="QY37" s="10"/>
      <x:c r="QZ37" s="11"/>
      <x:c r="RA37" s="12">
        <x:f t="shared" si="45"/>
        <x:v>1</x:v>
      </x:c>
      <x:c r="RB37" s="7"/>
      <x:c r="RC37" s="10"/>
      <x:c r="RD37" s="10"/>
      <x:c r="RE37" s="10"/>
      <x:c r="RF37" s="10"/>
      <x:c r="RG37" s="10"/>
      <x:c r="RH37" s="10" t="s">
        <x:v>426</x:v>
      </x:c>
      <x:c r="RI37" s="10"/>
      <x:c r="RJ37" s="11"/>
      <x:c r="RK37" s="12">
        <x:f t="shared" si="46"/>
        <x:v>1</x:v>
      </x:c>
      <x:c r="RL37" s="7" t="s">
        <x:v>426</x:v>
      </x:c>
      <x:c r="RM37" s="10"/>
      <x:c r="RN37" s="10"/>
      <x:c r="RO37" s="10"/>
      <x:c r="RP37" s="10"/>
      <x:c r="RQ37" s="10"/>
      <x:c r="RR37" s="10"/>
      <x:c r="RS37" s="10"/>
      <x:c r="RT37" s="10"/>
      <x:c r="RU37" s="11"/>
      <x:c r="RV37" s="12">
        <x:f t="shared" si="47"/>
        <x:v>1</x:v>
      </x:c>
      <x:c r="RW37" s="7" t="s">
        <x:v>490</x:v>
      </x:c>
      <x:c r="RX37" s="12">
        <x:f t="shared" si="48"/>
        <x:v>1</x:v>
      </x:c>
    </x:row>
    <x:row r="38" ht="16.5">
      <x:c r="A38" s="13" t="s">
        <x:v>491</x:v>
      </x:c>
      <x:c r="B38" s="14"/>
      <x:c r="C38" s="14"/>
      <x:c r="D38" s="14"/>
      <x:c r="E38" s="14"/>
      <x:c r="F38" s="14"/>
      <x:c r="G38" s="14"/>
      <x:c r="H38" s="14"/>
      <x:c r="I38" s="14"/>
      <x:c r="J38" s="14"/>
      <x:c r="K38" s="15"/>
      <x:c r="L38" s="13" t="s">
        <x:v>426</x:v>
      </x:c>
      <x:c r="M38" s="16"/>
      <x:c r="N38" s="16"/>
      <x:c r="O38" s="16"/>
      <x:c r="P38" s="17"/>
      <x:c r="Q38" s="12">
        <x:f t="shared" si="0"/>
        <x:v>1</x:v>
      </x:c>
      <x:c r="R38" s="13" t="s">
        <x:v>426</x:v>
      </x:c>
      <x:c r="S38" s="16"/>
      <x:c r="T38" s="16"/>
      <x:c r="U38" s="16"/>
      <x:c r="V38" s="16"/>
      <x:c r="W38" s="17"/>
      <x:c r="X38" s="12">
        <x:f t="shared" si="1"/>
        <x:v>1</x:v>
      </x:c>
      <x:c r="Y38" s="13"/>
      <x:c r="Z38" s="16"/>
      <x:c r="AA38" s="16"/>
      <x:c r="AB38" s="16" t="s">
        <x:v>426</x:v>
      </x:c>
      <x:c r="AC38" s="16"/>
      <x:c r="AD38" s="12">
        <x:f t="shared" si="2"/>
        <x:v>1</x:v>
      </x:c>
      <x:c r="AE38" s="13" t="s">
        <x:v>426</x:v>
      </x:c>
      <x:c r="AF38" s="16"/>
      <x:c r="AG38" s="16"/>
      <x:c r="AH38" s="16"/>
      <x:c r="AI38" s="16"/>
      <x:c r="AJ38" s="17"/>
      <x:c r="AK38" s="12">
        <x:f t="shared" si="3"/>
        <x:v>1</x:v>
      </x:c>
      <x:c r="AL38" s="13"/>
      <x:c r="AM38" s="16" t="s">
        <x:v>426</x:v>
      </x:c>
      <x:c r="AN38" s="16"/>
      <x:c r="AO38" s="12">
        <x:f t="shared" si="4"/>
        <x:v>1</x:v>
      </x:c>
      <x:c r="AP38" s="13" t="s">
        <x:v>426</x:v>
      </x:c>
      <x:c r="AQ38" s="16"/>
      <x:c r="AR38" s="16"/>
      <x:c r="AS38" s="16"/>
      <x:c r="AT38" s="16"/>
      <x:c r="AU38" s="16"/>
      <x:c r="AV38" s="16"/>
      <x:c r="AW38" s="17"/>
      <x:c r="AX38" s="12">
        <x:f t="shared" si="5"/>
        <x:v>1</x:v>
      </x:c>
      <x:c r="AY38" s="13" t="s">
        <x:v>426</x:v>
      </x:c>
      <x:c r="AZ38" s="16"/>
      <x:c r="BA38" s="16"/>
      <x:c r="BB38" s="16"/>
      <x:c r="BC38" s="16"/>
      <x:c r="BD38" s="16"/>
      <x:c r="BE38" s="16"/>
      <x:c r="BF38" s="16"/>
      <x:c r="BG38" s="17"/>
      <x:c r="BH38" s="12">
        <x:f t="shared" si="6"/>
        <x:v>1</x:v>
      </x:c>
      <x:c r="BI38" s="13"/>
      <x:c r="BJ38" s="16" t="s">
        <x:v>426</x:v>
      </x:c>
      <x:c r="BK38" s="16"/>
      <x:c r="BL38" s="16"/>
      <x:c r="BM38" s="16"/>
      <x:c r="BN38" s="16"/>
      <x:c r="BO38" s="16"/>
      <x:c r="BP38" s="17"/>
      <x:c r="BQ38" s="12">
        <x:f t="shared" si="7"/>
        <x:v>1</x:v>
      </x:c>
      <x:c r="BR38" s="13" t="s">
        <x:v>426</x:v>
      </x:c>
      <x:c r="BS38" s="16"/>
      <x:c r="BT38" s="16"/>
      <x:c r="BU38" s="16"/>
      <x:c r="BV38" s="16"/>
      <x:c r="BW38" s="16"/>
      <x:c r="BX38" s="16"/>
      <x:c r="BY38" s="17"/>
      <x:c r="BZ38" s="12">
        <x:f t="shared" si="8"/>
        <x:v>1</x:v>
      </x:c>
      <x:c r="CA38" s="13"/>
      <x:c r="CB38" s="16"/>
      <x:c r="CC38" s="16"/>
      <x:c r="CD38" s="16" t="s">
        <x:v>426</x:v>
      </x:c>
      <x:c r="CE38" s="16"/>
      <x:c r="CF38" s="16"/>
      <x:c r="CG38" s="16"/>
      <x:c r="CH38" s="16"/>
      <x:c r="CI38" s="16"/>
      <x:c r="CJ38" s="16"/>
      <x:c r="CK38" s="17"/>
      <x:c r="CL38" s="12">
        <x:f t="shared" si="9"/>
        <x:v>1</x:v>
      </x:c>
      <x:c r="CM38" s="13"/>
      <x:c r="CN38" s="16"/>
      <x:c r="CO38" s="16"/>
      <x:c r="CP38" s="16"/>
      <x:c r="CQ38" s="16"/>
      <x:c r="CR38" s="16"/>
      <x:c r="CS38" s="16"/>
      <x:c r="CT38" s="16"/>
      <x:c r="CU38" s="16"/>
      <x:c r="CV38" s="16"/>
      <x:c r="CW38" s="16"/>
      <x:c r="CX38" s="16"/>
      <x:c r="CY38" s="16" t="s">
        <x:v>426</x:v>
      </x:c>
      <x:c r="CZ38" s="16"/>
      <x:c r="DA38" s="17"/>
      <x:c r="DB38" s="12">
        <x:f t="shared" si="10"/>
        <x:v>1</x:v>
      </x:c>
      <x:c r="DC38" s="13"/>
      <x:c r="DD38" s="12">
        <x:f t="shared" si="11"/>
        <x:v>0</x:v>
      </x:c>
      <x:c r="DE38" s="13" t="s">
        <x:v>426</x:v>
      </x:c>
      <x:c r="DF38" s="16"/>
      <x:c r="DG38" s="16"/>
      <x:c r="DH38" s="16"/>
      <x:c r="DI38" s="16"/>
      <x:c r="DJ38" s="16"/>
      <x:c r="DK38" s="16"/>
      <x:c r="DL38" s="16"/>
      <x:c r="DM38" s="17"/>
      <x:c r="DN38" s="12">
        <x:f t="shared" si="12"/>
        <x:v>1</x:v>
      </x:c>
      <x:c r="DO38" s="13" t="s">
        <x:v>426</x:v>
      </x:c>
      <x:c r="DP38" s="16"/>
      <x:c r="DQ38" s="16"/>
      <x:c r="DR38" s="16"/>
      <x:c r="DS38" s="16"/>
      <x:c r="DT38" s="12">
        <x:f t="shared" si="13"/>
        <x:v>1</x:v>
      </x:c>
      <x:c r="DU38" s="13" t="s">
        <x:v>426</x:v>
      </x:c>
      <x:c r="DV38" s="16"/>
      <x:c r="DW38" s="16"/>
      <x:c r="DX38" s="16"/>
      <x:c r="DY38" s="16"/>
      <x:c r="DZ38" s="16"/>
      <x:c r="EA38" s="16"/>
      <x:c r="EB38" s="16"/>
      <x:c r="EC38" s="16"/>
      <x:c r="ED38" s="17"/>
      <x:c r="EE38" s="12">
        <x:f t="shared" si="14"/>
        <x:v>1</x:v>
      </x:c>
      <x:c r="EF38" s="13"/>
      <x:c r="EG38" s="16"/>
      <x:c r="EH38" s="16"/>
      <x:c r="EI38" s="16"/>
      <x:c r="EJ38" s="16"/>
      <x:c r="EK38" s="16"/>
      <x:c r="EL38" s="16"/>
      <x:c r="EM38" s="16"/>
      <x:c r="EN38" s="16" t="s">
        <x:v>426</x:v>
      </x:c>
      <x:c r="EO38" s="16"/>
      <x:c r="EP38" s="17"/>
      <x:c r="EQ38" s="12">
        <x:f t="shared" si="15"/>
        <x:v>1</x:v>
      </x:c>
      <x:c r="ER38" s="13" t="s">
        <x:v>426</x:v>
      </x:c>
      <x:c r="ES38" s="16"/>
      <x:c r="ET38" s="16"/>
      <x:c r="EU38" s="16"/>
      <x:c r="EV38" s="12">
        <x:f t="shared" si="16"/>
        <x:v>1</x:v>
      </x:c>
      <x:c r="EW38" s="13"/>
      <x:c r="EX38" s="16"/>
      <x:c r="EY38" s="16"/>
      <x:c r="EZ38" s="16"/>
      <x:c r="FA38" s="16"/>
      <x:c r="FB38" s="16"/>
      <x:c r="FC38" s="16" t="s">
        <x:v>426</x:v>
      </x:c>
      <x:c r="FD38" s="16"/>
      <x:c r="FE38" s="17"/>
      <x:c r="FF38" s="12">
        <x:f t="shared" si="17"/>
        <x:v>1</x:v>
      </x:c>
      <x:c r="FG38" s="13" t="s">
        <x:v>426</x:v>
      </x:c>
      <x:c r="FH38" s="16"/>
      <x:c r="FI38" s="16"/>
      <x:c r="FJ38" s="16"/>
      <x:c r="FK38" s="16"/>
      <x:c r="FL38" s="16"/>
      <x:c r="FM38" s="16"/>
      <x:c r="FN38" s="16"/>
      <x:c r="FO38" s="16"/>
      <x:c r="FP38" s="16"/>
      <x:c r="FQ38" s="16"/>
      <x:c r="FR38" s="16"/>
      <x:c r="FS38" s="16"/>
      <x:c r="FT38" s="16"/>
      <x:c r="FU38" s="17"/>
      <x:c r="FV38" s="12">
        <x:f t="shared" si="18"/>
        <x:v>1</x:v>
      </x:c>
      <x:c r="FW38" s="13"/>
      <x:c r="FX38" s="16"/>
      <x:c r="FY38" s="16"/>
      <x:c r="FZ38" s="16"/>
      <x:c r="GA38" s="16"/>
      <x:c r="GB38" s="16"/>
      <x:c r="GC38" s="16" t="s">
        <x:v>426</x:v>
      </x:c>
      <x:c r="GD38" s="16"/>
      <x:c r="GE38" s="17"/>
      <x:c r="GF38" s="12">
        <x:f t="shared" si="19"/>
        <x:v>1</x:v>
      </x:c>
      <x:c r="GG38" s="13"/>
      <x:c r="GH38" s="16"/>
      <x:c r="GI38" s="16"/>
      <x:c r="GJ38" s="16"/>
      <x:c r="GK38" s="16"/>
      <x:c r="GL38" s="16" t="s">
        <x:v>426</x:v>
      </x:c>
      <x:c r="GM38" s="12">
        <x:f t="shared" si="20"/>
        <x:v>1</x:v>
      </x:c>
      <x:c r="GN38" s="13"/>
      <x:c r="GO38" s="16"/>
      <x:c r="GP38" s="16"/>
      <x:c r="GQ38" s="16"/>
      <x:c r="GR38" s="16"/>
      <x:c r="GS38" s="16" t="s">
        <x:v>426</x:v>
      </x:c>
      <x:c r="GT38" s="12">
        <x:f t="shared" si="21"/>
        <x:v>1</x:v>
      </x:c>
      <x:c r="GU38" s="13"/>
      <x:c r="GV38" s="16" t="s">
        <x:v>426</x:v>
      </x:c>
      <x:c r="GW38" s="16"/>
      <x:c r="GX38" s="16"/>
      <x:c r="GY38" s="12">
        <x:f t="shared" si="22"/>
        <x:v>1</x:v>
      </x:c>
      <x:c r="GZ38" s="13" t="s">
        <x:v>426</x:v>
      </x:c>
      <x:c r="HA38" s="16"/>
      <x:c r="HB38" s="16"/>
      <x:c r="HC38" s="16"/>
      <x:c r="HD38" s="16"/>
      <x:c r="HE38" s="16"/>
      <x:c r="HF38" s="16"/>
      <x:c r="HG38" s="16"/>
      <x:c r="HH38" s="16"/>
      <x:c r="HI38" s="16"/>
      <x:c r="HJ38" s="16"/>
      <x:c r="HK38" s="17"/>
      <x:c r="HL38" s="12">
        <x:f t="shared" si="23"/>
        <x:v>1</x:v>
      </x:c>
      <x:c r="HM38" s="13"/>
      <x:c r="HN38" s="16"/>
      <x:c r="HO38" s="16"/>
      <x:c r="HP38" s="16"/>
      <x:c r="HQ38" s="16"/>
      <x:c r="HR38" s="16"/>
      <x:c r="HS38" s="16"/>
      <x:c r="HT38" s="16" t="s">
        <x:v>426</x:v>
      </x:c>
      <x:c r="HU38" s="16"/>
      <x:c r="HV38" s="17"/>
      <x:c r="HW38" s="12">
        <x:f t="shared" si="24"/>
        <x:v>1</x:v>
      </x:c>
      <x:c r="HX38" s="13"/>
      <x:c r="HY38" s="16"/>
      <x:c r="HZ38" s="16"/>
      <x:c r="IA38" s="16"/>
      <x:c r="IB38" s="16" t="s">
        <x:v>426</x:v>
      </x:c>
      <x:c r="IC38" s="12">
        <x:f t="shared" si="25"/>
        <x:v>1</x:v>
      </x:c>
      <x:c r="ID38" s="13"/>
      <x:c r="IE38" s="16"/>
      <x:c r="IF38" s="16"/>
      <x:c r="IG38" s="16"/>
      <x:c r="IH38" s="16"/>
      <x:c r="II38" s="16"/>
      <x:c r="IJ38" s="16" t="s">
        <x:v>426</x:v>
      </x:c>
      <x:c r="IK38" s="16"/>
      <x:c r="IL38" s="16"/>
      <x:c r="IM38" s="16"/>
      <x:c r="IN38" s="17"/>
      <x:c r="IO38" s="12">
        <x:f t="shared" si="26"/>
        <x:v>1</x:v>
      </x:c>
      <x:c r="IP38" s="13"/>
      <x:c r="IQ38" s="16"/>
      <x:c r="IR38" s="16"/>
      <x:c r="IS38" s="16"/>
      <x:c r="IT38" s="16"/>
      <x:c r="IU38" s="16"/>
      <x:c r="IV38" s="16" t="s">
        <x:v>426</x:v>
      </x:c>
      <x:c r="IW38" s="16"/>
      <x:c r="IX38" s="17"/>
      <x:c r="IY38" s="12">
        <x:f t="shared" si="27"/>
        <x:v>1</x:v>
      </x:c>
      <x:c r="IZ38" s="13"/>
      <x:c r="JA38" s="16"/>
      <x:c r="JB38" s="16"/>
      <x:c r="JC38" s="16"/>
      <x:c r="JD38" s="16"/>
      <x:c r="JE38" s="16"/>
      <x:c r="JF38" s="16"/>
      <x:c r="JG38" s="16"/>
      <x:c r="JH38" s="16"/>
      <x:c r="JI38" s="16"/>
      <x:c r="JJ38" s="16"/>
      <x:c r="JK38" s="16"/>
      <x:c r="JL38" s="16"/>
      <x:c r="JM38" s="16"/>
      <x:c r="JN38" s="16"/>
      <x:c r="JO38" s="16"/>
      <x:c r="JP38" s="16"/>
      <x:c r="JQ38" s="16"/>
      <x:c r="JR38" s="16" t="s">
        <x:v>426</x:v>
      </x:c>
      <x:c r="JS38" s="12">
        <x:f t="shared" si="28"/>
        <x:v>1</x:v>
      </x:c>
      <x:c r="JT38" s="13"/>
      <x:c r="JU38" s="16"/>
      <x:c r="JV38" s="16"/>
      <x:c r="JW38" s="16"/>
      <x:c r="JX38" s="16"/>
      <x:c r="JY38" s="16"/>
      <x:c r="JZ38" s="16"/>
      <x:c r="KA38" s="16"/>
      <x:c r="KB38" s="16"/>
      <x:c r="KC38" s="16"/>
      <x:c r="KD38" s="16"/>
      <x:c r="KE38" s="16"/>
      <x:c r="KF38" s="16"/>
      <x:c r="KG38" s="16"/>
      <x:c r="KH38" s="16"/>
      <x:c r="KI38" s="16"/>
      <x:c r="KJ38" s="16"/>
      <x:c r="KK38" s="16"/>
      <x:c r="KL38" s="16" t="s">
        <x:v>426</x:v>
      </x:c>
      <x:c r="KM38" s="12">
        <x:f t="shared" si="29"/>
        <x:v>1</x:v>
      </x:c>
      <x:c r="KN38" s="13"/>
      <x:c r="KO38" s="16"/>
      <x:c r="KP38" s="16"/>
      <x:c r="KQ38" s="16"/>
      <x:c r="KR38" s="16"/>
      <x:c r="KS38" s="16"/>
      <x:c r="KT38" s="16"/>
      <x:c r="KU38" s="16"/>
      <x:c r="KV38" s="16"/>
      <x:c r="KW38" s="16"/>
      <x:c r="KX38" s="16"/>
      <x:c r="KY38" s="16"/>
      <x:c r="KZ38" s="16"/>
      <x:c r="LA38" s="16"/>
      <x:c r="LB38" s="16"/>
      <x:c r="LC38" s="16"/>
      <x:c r="LD38" s="16"/>
      <x:c r="LE38" s="16"/>
      <x:c r="LF38" s="16" t="s">
        <x:v>426</x:v>
      </x:c>
      <x:c r="LG38" s="12">
        <x:f t="shared" si="30"/>
        <x:v>1</x:v>
      </x:c>
      <x:c r="LH38" s="13"/>
      <x:c r="LI38" s="16"/>
      <x:c r="LJ38" s="16"/>
      <x:c r="LK38" s="16"/>
      <x:c r="LL38" s="16"/>
      <x:c r="LM38" s="16"/>
      <x:c r="LN38" s="16"/>
      <x:c r="LO38" s="16" t="s">
        <x:v>426</x:v>
      </x:c>
      <x:c r="LP38" s="16"/>
      <x:c r="LQ38" s="17"/>
      <x:c r="LR38" s="12">
        <x:f t="shared" si="31"/>
        <x:v>1</x:v>
      </x:c>
      <x:c r="LS38" s="13"/>
      <x:c r="LT38" s="16"/>
      <x:c r="LU38" s="16"/>
      <x:c r="LV38" s="16"/>
      <x:c r="LW38" s="16"/>
      <x:c r="LX38" s="16"/>
      <x:c r="LY38" s="16"/>
      <x:c r="LZ38" s="16"/>
      <x:c r="MA38" s="16"/>
      <x:c r="MB38" s="17"/>
      <x:c r="MC38" s="12">
        <x:f t="shared" si="32"/>
        <x:v>0</x:v>
      </x:c>
      <x:c r="MD38" s="13"/>
      <x:c r="ME38" s="16"/>
      <x:c r="MF38" s="16"/>
      <x:c r="MG38" s="16"/>
      <x:c r="MH38" s="16"/>
      <x:c r="MI38" s="16" t="s">
        <x:v>426</x:v>
      </x:c>
      <x:c r="MJ38" s="16"/>
      <x:c r="MK38" s="12">
        <x:f t="shared" si="33"/>
        <x:v>1</x:v>
      </x:c>
      <x:c r="ML38" s="13" t="s">
        <x:v>426</x:v>
      </x:c>
      <x:c r="MM38" s="16"/>
      <x:c r="MN38" s="16"/>
      <x:c r="MO38" s="16"/>
      <x:c r="MP38" s="16"/>
      <x:c r="MQ38" s="16"/>
      <x:c r="MR38" s="16"/>
      <x:c r="MS38" s="16"/>
      <x:c r="MT38" s="16"/>
      <x:c r="MU38" s="17"/>
      <x:c r="MV38" s="12">
        <x:f t="shared" si="34"/>
        <x:v>1</x:v>
      </x:c>
      <x:c r="MW38" s="13"/>
      <x:c r="MX38" s="16"/>
      <x:c r="MY38" s="16"/>
      <x:c r="MZ38" s="16"/>
      <x:c r="NA38" s="16"/>
      <x:c r="NB38" s="16"/>
      <x:c r="NC38" s="16" t="s">
        <x:v>426</x:v>
      </x:c>
      <x:c r="ND38" s="16"/>
      <x:c r="NE38" s="16"/>
      <x:c r="NF38" s="17"/>
      <x:c r="NG38" s="12">
        <x:f t="shared" si="35"/>
        <x:v>1</x:v>
      </x:c>
      <x:c r="NH38" s="13"/>
      <x:c r="NI38" s="16"/>
      <x:c r="NJ38" s="16"/>
      <x:c r="NK38" s="16"/>
      <x:c r="NL38" s="16"/>
      <x:c r="NM38" s="16"/>
      <x:c r="NN38" s="16"/>
      <x:c r="NO38" s="16"/>
      <x:c r="NP38" s="16" t="s">
        <x:v>426</x:v>
      </x:c>
      <x:c r="NQ38" s="16"/>
      <x:c r="NR38" s="17"/>
      <x:c r="NS38" s="12">
        <x:f t="shared" si="36"/>
        <x:v>1</x:v>
      </x:c>
      <x:c r="NT38" s="13" t="s">
        <x:v>426</x:v>
      </x:c>
      <x:c r="NU38" s="16"/>
      <x:c r="NV38" s="16"/>
      <x:c r="NW38" s="16"/>
      <x:c r="NX38" s="16"/>
      <x:c r="NY38" s="12">
        <x:f t="shared" si="37"/>
        <x:v>1</x:v>
      </x:c>
      <x:c r="NZ38" s="13"/>
      <x:c r="OA38" s="16"/>
      <x:c r="OB38" s="16"/>
      <x:c r="OC38" s="16"/>
      <x:c r="OD38" s="16"/>
      <x:c r="OE38" s="16"/>
      <x:c r="OF38" s="16"/>
      <x:c r="OG38" s="16"/>
      <x:c r="OH38" s="16"/>
      <x:c r="OI38" s="16" t="s">
        <x:v>426</x:v>
      </x:c>
      <x:c r="OJ38" s="16"/>
      <x:c r="OK38" s="17"/>
      <x:c r="OL38" s="12">
        <x:f t="shared" si="38"/>
        <x:v>1</x:v>
      </x:c>
      <x:c r="OM38" s="13" t="s">
        <x:v>426</x:v>
      </x:c>
      <x:c r="ON38" s="16" t="s">
        <x:v>426</x:v>
      </x:c>
      <x:c r="OO38" s="16"/>
      <x:c r="OP38" s="16"/>
      <x:c r="OQ38" s="16" t="s">
        <x:v>426</x:v>
      </x:c>
      <x:c r="OR38" s="16"/>
      <x:c r="OS38" s="16"/>
      <x:c r="OT38" s="16"/>
      <x:c r="OU38" s="16"/>
      <x:c r="OV38" s="17"/>
      <x:c r="OW38" s="12">
        <x:f t="shared" si="39"/>
        <x:v>1</x:v>
      </x:c>
      <x:c r="OX38" s="13"/>
      <x:c r="OY38" s="16" t="s">
        <x:v>426</x:v>
      </x:c>
      <x:c r="OZ38" s="16"/>
      <x:c r="PA38" s="16"/>
      <x:c r="PB38" s="16"/>
      <x:c r="PC38" s="12">
        <x:f t="shared" si="40"/>
        <x:v>1</x:v>
      </x:c>
      <x:c r="PD38" s="13"/>
      <x:c r="PE38" s="16"/>
      <x:c r="PF38" s="16"/>
      <x:c r="PG38" s="16"/>
      <x:c r="PH38" s="16"/>
      <x:c r="PI38" s="16" t="s">
        <x:v>426</x:v>
      </x:c>
      <x:c r="PJ38" s="16"/>
      <x:c r="PK38" s="16"/>
      <x:c r="PL38" s="16"/>
      <x:c r="PM38" s="16"/>
      <x:c r="PN38" s="17"/>
      <x:c r="PO38" s="12">
        <x:f t="shared" si="41"/>
        <x:v>1</x:v>
      </x:c>
      <x:c r="PP38" s="13"/>
      <x:c r="PQ38" s="16"/>
      <x:c r="PR38" s="16" t="s">
        <x:v>426</x:v>
      </x:c>
      <x:c r="PS38" s="16"/>
      <x:c r="PT38" s="12">
        <x:f t="shared" si="42"/>
        <x:v>1</x:v>
      </x:c>
      <x:c r="PU38" s="13"/>
      <x:c r="PV38" s="16" t="s">
        <x:v>426</x:v>
      </x:c>
      <x:c r="PW38" s="16"/>
      <x:c r="PX38" s="16"/>
      <x:c r="PY38" s="16"/>
      <x:c r="PZ38" s="16"/>
      <x:c r="QA38" s="16"/>
      <x:c r="QB38" s="16"/>
      <x:c r="QC38" s="16"/>
      <x:c r="QD38" s="17"/>
      <x:c r="QE38" s="12">
        <x:f t="shared" si="43"/>
        <x:v>1</x:v>
      </x:c>
      <x:c r="QF38" s="13" t="s">
        <x:v>426</x:v>
      </x:c>
      <x:c r="QG38" s="16"/>
      <x:c r="QH38" s="16"/>
      <x:c r="QI38" s="16"/>
      <x:c r="QJ38" s="16"/>
      <x:c r="QK38" s="16"/>
      <x:c r="QL38" s="16"/>
      <x:c r="QM38" s="16" t="s">
        <x:v>426</x:v>
      </x:c>
      <x:c r="QN38" s="16"/>
      <x:c r="QO38" s="17"/>
      <x:c r="QP38" s="12">
        <x:f t="shared" si="44"/>
        <x:v>1</x:v>
      </x:c>
      <x:c r="QQ38" s="13"/>
      <x:c r="QR38" s="16"/>
      <x:c r="QS38" s="16"/>
      <x:c r="QT38" s="16"/>
      <x:c r="QU38" s="16"/>
      <x:c r="QV38" s="16"/>
      <x:c r="QW38" s="16"/>
      <x:c r="QX38" s="16" t="s">
        <x:v>426</x:v>
      </x:c>
      <x:c r="QY38" s="16"/>
      <x:c r="QZ38" s="17"/>
      <x:c r="RA38" s="12">
        <x:f t="shared" si="45"/>
        <x:v>1</x:v>
      </x:c>
      <x:c r="RB38" s="13"/>
      <x:c r="RC38" s="16"/>
      <x:c r="RD38" s="16"/>
      <x:c r="RE38" s="16" t="s">
        <x:v>426</x:v>
      </x:c>
      <x:c r="RF38" s="16"/>
      <x:c r="RG38" s="16"/>
      <x:c r="RH38" s="16"/>
      <x:c r="RI38" s="16"/>
      <x:c r="RJ38" s="17"/>
      <x:c r="RK38" s="12">
        <x:f t="shared" si="46"/>
        <x:v>1</x:v>
      </x:c>
      <x:c r="RL38" s="13" t="s">
        <x:v>426</x:v>
      </x:c>
      <x:c r="RM38" s="16"/>
      <x:c r="RN38" s="16"/>
      <x:c r="RO38" s="16"/>
      <x:c r="RP38" s="16" t="s">
        <x:v>426</x:v>
      </x:c>
      <x:c r="RQ38" s="16"/>
      <x:c r="RR38" s="16"/>
      <x:c r="RS38" s="16"/>
      <x:c r="RT38" s="16"/>
      <x:c r="RU38" s="17"/>
      <x:c r="RV38" s="12">
        <x:f t="shared" si="47"/>
        <x:v>1</x:v>
      </x:c>
      <x:c r="RW38" s="13" t="s">
        <x:v>492</x:v>
      </x:c>
      <x:c r="RX38" s="12">
        <x:f t="shared" si="48"/>
        <x:v>1</x:v>
      </x:c>
    </x:row>
    <x:row r="39" ht="16.5">
      <x:c r="A39" s="7" t="s">
        <x:v>493</x:v>
      </x:c>
      <x:c r="B39" s="8"/>
      <x:c r="C39" s="8"/>
      <x:c r="D39" s="8"/>
      <x:c r="E39" s="8"/>
      <x:c r="F39" s="8"/>
      <x:c r="G39" s="8"/>
      <x:c r="H39" s="8"/>
      <x:c r="I39" s="8"/>
      <x:c r="J39" s="8"/>
      <x:c r="K39" s="9"/>
      <x:c r="L39" s="7" t="s">
        <x:v>426</x:v>
      </x:c>
      <x:c r="M39" s="10"/>
      <x:c r="N39" s="10"/>
      <x:c r="O39" s="10"/>
      <x:c r="P39" s="11"/>
      <x:c r="Q39" s="12">
        <x:f t="shared" si="0"/>
        <x:v>1</x:v>
      </x:c>
      <x:c r="R39" s="7" t="s">
        <x:v>426</x:v>
      </x:c>
      <x:c r="S39" s="10"/>
      <x:c r="T39" s="10"/>
      <x:c r="U39" s="10"/>
      <x:c r="V39" s="10"/>
      <x:c r="W39" s="11"/>
      <x:c r="X39" s="12">
        <x:f t="shared" si="1"/>
        <x:v>1</x:v>
      </x:c>
      <x:c r="Y39" s="7"/>
      <x:c r="Z39" s="10"/>
      <x:c r="AA39" s="10"/>
      <x:c r="AB39" s="10" t="s">
        <x:v>426</x:v>
      </x:c>
      <x:c r="AC39" s="10"/>
      <x:c r="AD39" s="12">
        <x:f t="shared" si="2"/>
        <x:v>1</x:v>
      </x:c>
      <x:c r="AE39" s="7"/>
      <x:c r="AF39" s="10" t="s">
        <x:v>426</x:v>
      </x:c>
      <x:c r="AG39" s="10"/>
      <x:c r="AH39" s="10"/>
      <x:c r="AI39" s="10"/>
      <x:c r="AJ39" s="11"/>
      <x:c r="AK39" s="12">
        <x:f t="shared" si="3"/>
        <x:v>1</x:v>
      </x:c>
      <x:c r="AL39" s="7" t="s">
        <x:v>426</x:v>
      </x:c>
      <x:c r="AM39" s="10"/>
      <x:c r="AN39" s="10"/>
      <x:c r="AO39" s="12">
        <x:f t="shared" si="4"/>
        <x:v>1</x:v>
      </x:c>
      <x:c r="AP39" s="7"/>
      <x:c r="AQ39" s="10"/>
      <x:c r="AR39" s="10" t="s">
        <x:v>426</x:v>
      </x:c>
      <x:c r="AS39" s="10"/>
      <x:c r="AT39" s="10"/>
      <x:c r="AU39" s="10"/>
      <x:c r="AV39" s="10"/>
      <x:c r="AW39" s="11"/>
      <x:c r="AX39" s="12">
        <x:f t="shared" si="5"/>
        <x:v>1</x:v>
      </x:c>
      <x:c r="AY39" s="7"/>
      <x:c r="AZ39" s="10"/>
      <x:c r="BA39" s="10"/>
      <x:c r="BB39" s="10" t="s">
        <x:v>426</x:v>
      </x:c>
      <x:c r="BC39" s="10"/>
      <x:c r="BD39" s="10"/>
      <x:c r="BE39" s="10"/>
      <x:c r="BF39" s="10"/>
      <x:c r="BG39" s="11"/>
      <x:c r="BH39" s="12">
        <x:f t="shared" si="6"/>
        <x:v>1</x:v>
      </x:c>
      <x:c r="BI39" s="7" t="s">
        <x:v>426</x:v>
      </x:c>
      <x:c r="BJ39" s="10"/>
      <x:c r="BK39" s="10"/>
      <x:c r="BL39" s="10"/>
      <x:c r="BM39" s="10"/>
      <x:c r="BN39" s="10"/>
      <x:c r="BO39" s="10"/>
      <x:c r="BP39" s="11"/>
      <x:c r="BQ39" s="12">
        <x:f t="shared" si="7"/>
        <x:v>1</x:v>
      </x:c>
      <x:c r="BR39" s="7"/>
      <x:c r="BS39" s="10"/>
      <x:c r="BT39" s="10" t="s">
        <x:v>426</x:v>
      </x:c>
      <x:c r="BU39" s="10"/>
      <x:c r="BV39" s="10"/>
      <x:c r="BW39" s="10"/>
      <x:c r="BX39" s="10"/>
      <x:c r="BY39" s="11"/>
      <x:c r="BZ39" s="12">
        <x:f t="shared" si="8"/>
        <x:v>1</x:v>
      </x:c>
      <x:c r="CA39" s="7"/>
      <x:c r="CB39" s="10" t="s">
        <x:v>426</x:v>
      </x:c>
      <x:c r="CC39" s="10"/>
      <x:c r="CD39" s="10"/>
      <x:c r="CE39" s="10"/>
      <x:c r="CF39" s="10"/>
      <x:c r="CG39" s="10"/>
      <x:c r="CH39" s="10"/>
      <x:c r="CI39" s="10"/>
      <x:c r="CJ39" s="10"/>
      <x:c r="CK39" s="11"/>
      <x:c r="CL39" s="12">
        <x:f t="shared" si="9"/>
        <x:v>1</x:v>
      </x:c>
      <x:c r="CM39" s="7"/>
      <x:c r="CN39" s="10"/>
      <x:c r="CO39" s="10"/>
      <x:c r="CP39" s="10"/>
      <x:c r="CQ39" s="10"/>
      <x:c r="CR39" s="10" t="s">
        <x:v>426</x:v>
      </x:c>
      <x:c r="CS39" s="10"/>
      <x:c r="CT39" s="10"/>
      <x:c r="CU39" s="10"/>
      <x:c r="CV39" s="10"/>
      <x:c r="CW39" s="10"/>
      <x:c r="CX39" s="10" t="s">
        <x:v>426</x:v>
      </x:c>
      <x:c r="CY39" s="10"/>
      <x:c r="CZ39" s="10"/>
      <x:c r="DA39" s="11"/>
      <x:c r="DB39" s="12">
        <x:f t="shared" si="10"/>
        <x:v>1</x:v>
      </x:c>
      <x:c r="DC39" s="7"/>
      <x:c r="DD39" s="12">
        <x:f t="shared" si="11"/>
        <x:v>0</x:v>
      </x:c>
      <x:c r="DE39" s="7"/>
      <x:c r="DF39" s="10"/>
      <x:c r="DG39" s="10"/>
      <x:c r="DH39" s="10"/>
      <x:c r="DI39" s="10"/>
      <x:c r="DJ39" s="10"/>
      <x:c r="DK39" s="10"/>
      <x:c r="DL39" s="10" t="s">
        <x:v>426</x:v>
      </x:c>
      <x:c r="DM39" s="11" t="s">
        <x:v>494</x:v>
      </x:c>
      <x:c r="DN39" s="12">
        <x:f t="shared" si="12"/>
        <x:v>1</x:v>
      </x:c>
      <x:c r="DO39" s="7"/>
      <x:c r="DP39" s="10" t="s">
        <x:v>426</x:v>
      </x:c>
      <x:c r="DQ39" s="10"/>
      <x:c r="DR39" s="10"/>
      <x:c r="DS39" s="10"/>
      <x:c r="DT39" s="12">
        <x:f t="shared" si="13"/>
        <x:v>1</x:v>
      </x:c>
      <x:c r="DU39" s="7" t="s">
        <x:v>426</x:v>
      </x:c>
      <x:c r="DV39" s="10" t="s">
        <x:v>426</x:v>
      </x:c>
      <x:c r="DW39" s="10"/>
      <x:c r="DX39" s="10"/>
      <x:c r="DY39" s="10"/>
      <x:c r="DZ39" s="10"/>
      <x:c r="EA39" s="10"/>
      <x:c r="EB39" s="10"/>
      <x:c r="EC39" s="10"/>
      <x:c r="ED39" s="11"/>
      <x:c r="EE39" s="12">
        <x:f t="shared" si="14"/>
        <x:v>1</x:v>
      </x:c>
      <x:c r="EF39" s="7"/>
      <x:c r="EG39" s="10"/>
      <x:c r="EH39" s="10"/>
      <x:c r="EI39" s="10" t="s">
        <x:v>426</x:v>
      </x:c>
      <x:c r="EJ39" s="10"/>
      <x:c r="EK39" s="10"/>
      <x:c r="EL39" s="10" t="s">
        <x:v>426</x:v>
      </x:c>
      <x:c r="EM39" s="10"/>
      <x:c r="EN39" s="10"/>
      <x:c r="EO39" s="10"/>
      <x:c r="EP39" s="11"/>
      <x:c r="EQ39" s="12">
        <x:f t="shared" si="15"/>
        <x:v>1</x:v>
      </x:c>
      <x:c r="ER39" s="7" t="s">
        <x:v>426</x:v>
      </x:c>
      <x:c r="ES39" s="10"/>
      <x:c r="ET39" s="10"/>
      <x:c r="EU39" s="10"/>
      <x:c r="EV39" s="12">
        <x:f t="shared" si="16"/>
        <x:v>1</x:v>
      </x:c>
      <x:c r="EW39" s="7"/>
      <x:c r="EX39" s="10"/>
      <x:c r="EY39" s="10"/>
      <x:c r="EZ39" s="10" t="s">
        <x:v>426</x:v>
      </x:c>
      <x:c r="FA39" s="10"/>
      <x:c r="FB39" s="10"/>
      <x:c r="FC39" s="10"/>
      <x:c r="FD39" s="10"/>
      <x:c r="FE39" s="11"/>
      <x:c r="FF39" s="12">
        <x:f t="shared" si="17"/>
        <x:v>1</x:v>
      </x:c>
      <x:c r="FG39" s="7" t="s">
        <x:v>426</x:v>
      </x:c>
      <x:c r="FH39" s="10"/>
      <x:c r="FI39" s="10"/>
      <x:c r="FJ39" s="10"/>
      <x:c r="FK39" s="10"/>
      <x:c r="FL39" s="10"/>
      <x:c r="FM39" s="10"/>
      <x:c r="FN39" s="10"/>
      <x:c r="FO39" s="10"/>
      <x:c r="FP39" s="10"/>
      <x:c r="FQ39" s="10"/>
      <x:c r="FR39" s="10"/>
      <x:c r="FS39" s="10"/>
      <x:c r="FT39" s="10"/>
      <x:c r="FU39" s="11"/>
      <x:c r="FV39" s="12">
        <x:f t="shared" si="18"/>
        <x:v>1</x:v>
      </x:c>
      <x:c r="FW39" s="7" t="s">
        <x:v>426</x:v>
      </x:c>
      <x:c r="FX39" s="10"/>
      <x:c r="FY39" s="10"/>
      <x:c r="FZ39" s="10"/>
      <x:c r="GA39" s="10"/>
      <x:c r="GB39" s="10" t="s">
        <x:v>426</x:v>
      </x:c>
      <x:c r="GC39" s="10"/>
      <x:c r="GD39" s="10"/>
      <x:c r="GE39" s="11"/>
      <x:c r="GF39" s="12">
        <x:f t="shared" si="19"/>
        <x:v>1</x:v>
      </x:c>
      <x:c r="GG39" s="7"/>
      <x:c r="GH39" s="10"/>
      <x:c r="GI39" s="10"/>
      <x:c r="GJ39" s="10" t="s">
        <x:v>426</x:v>
      </x:c>
      <x:c r="GK39" s="10"/>
      <x:c r="GL39" s="10"/>
      <x:c r="GM39" s="12">
        <x:f t="shared" si="20"/>
        <x:v>1</x:v>
      </x:c>
      <x:c r="GN39" s="7"/>
      <x:c r="GO39" s="10"/>
      <x:c r="GP39" s="10"/>
      <x:c r="GQ39" s="10"/>
      <x:c r="GR39" s="10"/>
      <x:c r="GS39" s="10"/>
      <x:c r="GT39" s="12">
        <x:f t="shared" si="21"/>
        <x:v>0</x:v>
      </x:c>
      <x:c r="GU39" s="7"/>
      <x:c r="GV39" s="10" t="s">
        <x:v>426</x:v>
      </x:c>
      <x:c r="GW39" s="10"/>
      <x:c r="GX39" s="10"/>
      <x:c r="GY39" s="12">
        <x:f t="shared" si="22"/>
        <x:v>1</x:v>
      </x:c>
      <x:c r="GZ39" s="7" t="s">
        <x:v>426</x:v>
      </x:c>
      <x:c r="HA39" s="10"/>
      <x:c r="HB39" s="10"/>
      <x:c r="HC39" s="10"/>
      <x:c r="HD39" s="10"/>
      <x:c r="HE39" s="10"/>
      <x:c r="HF39" s="10"/>
      <x:c r="HG39" s="10"/>
      <x:c r="HH39" s="10"/>
      <x:c r="HI39" s="10"/>
      <x:c r="HJ39" s="10"/>
      <x:c r="HK39" s="11"/>
      <x:c r="HL39" s="12">
        <x:f t="shared" si="23"/>
        <x:v>1</x:v>
      </x:c>
      <x:c r="HM39" s="7"/>
      <x:c r="HN39" s="10"/>
      <x:c r="HO39" s="10"/>
      <x:c r="HP39" s="10" t="s">
        <x:v>426</x:v>
      </x:c>
      <x:c r="HQ39" s="10"/>
      <x:c r="HR39" s="10"/>
      <x:c r="HS39" s="10"/>
      <x:c r="HT39" s="10"/>
      <x:c r="HU39" s="10"/>
      <x:c r="HV39" s="11"/>
      <x:c r="HW39" s="12">
        <x:f t="shared" si="24"/>
        <x:v>1</x:v>
      </x:c>
      <x:c r="HX39" s="7"/>
      <x:c r="HY39" s="10"/>
      <x:c r="HZ39" s="10"/>
      <x:c r="IA39" s="10" t="s">
        <x:v>426</x:v>
      </x:c>
      <x:c r="IB39" s="10"/>
      <x:c r="IC39" s="12">
        <x:f t="shared" si="25"/>
        <x:v>1</x:v>
      </x:c>
      <x:c r="ID39" s="7"/>
      <x:c r="IE39" s="10"/>
      <x:c r="IF39" s="10" t="s">
        <x:v>426</x:v>
      </x:c>
      <x:c r="IG39" s="10"/>
      <x:c r="IH39" s="10"/>
      <x:c r="II39" s="10"/>
      <x:c r="IJ39" s="10" t="s">
        <x:v>426</x:v>
      </x:c>
      <x:c r="IK39" s="10"/>
      <x:c r="IL39" s="10"/>
      <x:c r="IM39" s="10"/>
      <x:c r="IN39" s="11"/>
      <x:c r="IO39" s="12">
        <x:f t="shared" si="26"/>
        <x:v>1</x:v>
      </x:c>
      <x:c r="IP39" s="7" t="s">
        <x:v>426</x:v>
      </x:c>
      <x:c r="IQ39" s="10"/>
      <x:c r="IR39" s="10"/>
      <x:c r="IS39" s="10" t="s">
        <x:v>426</x:v>
      </x:c>
      <x:c r="IT39" s="10"/>
      <x:c r="IU39" s="10"/>
      <x:c r="IV39" s="10"/>
      <x:c r="IW39" s="10"/>
      <x:c r="IX39" s="11"/>
      <x:c r="IY39" s="12">
        <x:f t="shared" si="27"/>
        <x:v>1</x:v>
      </x:c>
      <x:c r="IZ39" s="7"/>
      <x:c r="JA39" s="10"/>
      <x:c r="JB39" s="10"/>
      <x:c r="JC39" s="10"/>
      <x:c r="JD39" s="10"/>
      <x:c r="JE39" s="10"/>
      <x:c r="JF39" s="10"/>
      <x:c r="JG39" s="10"/>
      <x:c r="JH39" s="10"/>
      <x:c r="JI39" s="10"/>
      <x:c r="JJ39" s="10"/>
      <x:c r="JK39" s="10"/>
      <x:c r="JL39" s="10"/>
      <x:c r="JM39" s="10"/>
      <x:c r="JN39" s="10"/>
      <x:c r="JO39" s="10"/>
      <x:c r="JP39" s="10"/>
      <x:c r="JQ39" s="10"/>
      <x:c r="JR39" s="10" t="s">
        <x:v>426</x:v>
      </x:c>
      <x:c r="JS39" s="12">
        <x:f t="shared" si="28"/>
        <x:v>1</x:v>
      </x:c>
      <x:c r="JT39" s="7"/>
      <x:c r="JU39" s="10"/>
      <x:c r="JV39" s="10" t="s">
        <x:v>426</x:v>
      </x:c>
      <x:c r="JW39" s="10" t="s">
        <x:v>426</x:v>
      </x:c>
      <x:c r="JX39" s="10" t="s">
        <x:v>426</x:v>
      </x:c>
      <x:c r="JY39" s="10" t="s">
        <x:v>426</x:v>
      </x:c>
      <x:c r="JZ39" s="10" t="s">
        <x:v>426</x:v>
      </x:c>
      <x:c r="KA39" s="10" t="s">
        <x:v>426</x:v>
      </x:c>
      <x:c r="KB39" s="10" t="s">
        <x:v>426</x:v>
      </x:c>
      <x:c r="KC39" s="10" t="s">
        <x:v>426</x:v>
      </x:c>
      <x:c r="KD39" s="10"/>
      <x:c r="KE39" s="10"/>
      <x:c r="KF39" s="10"/>
      <x:c r="KG39" s="10" t="s">
        <x:v>426</x:v>
      </x:c>
      <x:c r="KH39" s="10" t="s">
        <x:v>426</x:v>
      </x:c>
      <x:c r="KI39" s="10" t="s">
        <x:v>426</x:v>
      </x:c>
      <x:c r="KJ39" s="10" t="s">
        <x:v>426</x:v>
      </x:c>
      <x:c r="KK39" s="10"/>
      <x:c r="KL39" s="10"/>
      <x:c r="KM39" s="12">
        <x:f t="shared" si="29"/>
        <x:v>1</x:v>
      </x:c>
      <x:c r="KN39" s="7"/>
      <x:c r="KO39" s="10"/>
      <x:c r="KP39" s="10"/>
      <x:c r="KQ39" s="10"/>
      <x:c r="KR39" s="10"/>
      <x:c r="KS39" s="10"/>
      <x:c r="KT39" s="10"/>
      <x:c r="KU39" s="10"/>
      <x:c r="KV39" s="10"/>
      <x:c r="KW39" s="10"/>
      <x:c r="KX39" s="10"/>
      <x:c r="KY39" s="10"/>
      <x:c r="KZ39" s="10"/>
      <x:c r="LA39" s="10"/>
      <x:c r="LB39" s="10"/>
      <x:c r="LC39" s="10"/>
      <x:c r="LD39" s="10"/>
      <x:c r="LE39" s="10"/>
      <x:c r="LF39" s="10" t="s">
        <x:v>426</x:v>
      </x:c>
      <x:c r="LG39" s="12">
        <x:f t="shared" si="30"/>
        <x:v>1</x:v>
      </x:c>
      <x:c r="LH39" s="7"/>
      <x:c r="LI39" s="10"/>
      <x:c r="LJ39" s="10"/>
      <x:c r="LK39" s="10"/>
      <x:c r="LL39" s="10" t="s">
        <x:v>426</x:v>
      </x:c>
      <x:c r="LM39" s="10"/>
      <x:c r="LN39" s="10"/>
      <x:c r="LO39" s="10"/>
      <x:c r="LP39" s="10"/>
      <x:c r="LQ39" s="11"/>
      <x:c r="LR39" s="12">
        <x:f t="shared" si="31"/>
        <x:v>1</x:v>
      </x:c>
      <x:c r="LS39" s="7"/>
      <x:c r="LT39" s="10" t="s">
        <x:v>426</x:v>
      </x:c>
      <x:c r="LU39" s="10"/>
      <x:c r="LV39" s="10"/>
      <x:c r="LW39" s="10"/>
      <x:c r="LX39" s="10"/>
      <x:c r="LY39" s="10" t="s">
        <x:v>426</x:v>
      </x:c>
      <x:c r="LZ39" s="10"/>
      <x:c r="MA39" s="10"/>
      <x:c r="MB39" s="11"/>
      <x:c r="MC39" s="12">
        <x:f t="shared" si="32"/>
        <x:v>1</x:v>
      </x:c>
      <x:c r="MD39" s="7"/>
      <x:c r="ME39" s="10"/>
      <x:c r="MF39" s="10"/>
      <x:c r="MG39" s="10"/>
      <x:c r="MH39" s="10"/>
      <x:c r="MI39" s="10"/>
      <x:c r="MJ39" s="10" t="s">
        <x:v>426</x:v>
      </x:c>
      <x:c r="MK39" s="12">
        <x:f t="shared" si="33"/>
        <x:v>1</x:v>
      </x:c>
      <x:c r="ML39" s="7"/>
      <x:c r="MM39" s="10"/>
      <x:c r="MN39" s="10"/>
      <x:c r="MO39" s="10"/>
      <x:c r="MP39" s="10"/>
      <x:c r="MQ39" s="10"/>
      <x:c r="MR39" s="10" t="s">
        <x:v>426</x:v>
      </x:c>
      <x:c r="MS39" s="10"/>
      <x:c r="MT39" s="10"/>
      <x:c r="MU39" s="11"/>
      <x:c r="MV39" s="12">
        <x:f t="shared" si="34"/>
        <x:v>1</x:v>
      </x:c>
      <x:c r="MW39" s="7"/>
      <x:c r="MX39" s="10"/>
      <x:c r="MY39" s="10"/>
      <x:c r="MZ39" s="10"/>
      <x:c r="NA39" s="10"/>
      <x:c r="NB39" s="10"/>
      <x:c r="NC39" s="10"/>
      <x:c r="ND39" s="10"/>
      <x:c r="NE39" s="10" t="s">
        <x:v>426</x:v>
      </x:c>
      <x:c r="NF39" s="11" t="s">
        <x:v>495</x:v>
      </x:c>
      <x:c r="NG39" s="12">
        <x:f t="shared" si="35"/>
        <x:v>1</x:v>
      </x:c>
      <x:c r="NH39" s="7"/>
      <x:c r="NI39" s="10"/>
      <x:c r="NJ39" s="10"/>
      <x:c r="NK39" s="10" t="s">
        <x:v>426</x:v>
      </x:c>
      <x:c r="NL39" s="10"/>
      <x:c r="NM39" s="10"/>
      <x:c r="NN39" s="10"/>
      <x:c r="NO39" s="10"/>
      <x:c r="NP39" s="10"/>
      <x:c r="NQ39" s="10"/>
      <x:c r="NR39" s="11"/>
      <x:c r="NS39" s="12">
        <x:f t="shared" si="36"/>
        <x:v>1</x:v>
      </x:c>
      <x:c r="NT39" s="7"/>
      <x:c r="NU39" s="10"/>
      <x:c r="NV39" s="10"/>
      <x:c r="NW39" s="10"/>
      <x:c r="NX39" s="10" t="s">
        <x:v>426</x:v>
      </x:c>
      <x:c r="NY39" s="12">
        <x:f t="shared" si="37"/>
        <x:v>1</x:v>
      </x:c>
      <x:c r="NZ39" s="7"/>
      <x:c r="OA39" s="10"/>
      <x:c r="OB39" s="10"/>
      <x:c r="OC39" s="10"/>
      <x:c r="OD39" s="10"/>
      <x:c r="OE39" s="10"/>
      <x:c r="OF39" s="10"/>
      <x:c r="OG39" s="10"/>
      <x:c r="OH39" s="10"/>
      <x:c r="OI39" s="10" t="s">
        <x:v>426</x:v>
      </x:c>
      <x:c r="OJ39" s="10"/>
      <x:c r="OK39" s="11"/>
      <x:c r="OL39" s="12">
        <x:f t="shared" si="38"/>
        <x:v>1</x:v>
      </x:c>
      <x:c r="OM39" s="7" t="s">
        <x:v>426</x:v>
      </x:c>
      <x:c r="ON39" s="10"/>
      <x:c r="OO39" s="10"/>
      <x:c r="OP39" s="10"/>
      <x:c r="OQ39" s="10" t="s">
        <x:v>426</x:v>
      </x:c>
      <x:c r="OR39" s="10"/>
      <x:c r="OS39" s="10"/>
      <x:c r="OT39" s="10"/>
      <x:c r="OU39" s="10"/>
      <x:c r="OV39" s="11"/>
      <x:c r="OW39" s="12">
        <x:f t="shared" si="39"/>
        <x:v>1</x:v>
      </x:c>
      <x:c r="OX39" s="7"/>
      <x:c r="OY39" s="10"/>
      <x:c r="OZ39" s="10"/>
      <x:c r="PA39" s="10"/>
      <x:c r="PB39" s="10" t="s">
        <x:v>426</x:v>
      </x:c>
      <x:c r="PC39" s="12">
        <x:f t="shared" si="40"/>
        <x:v>1</x:v>
      </x:c>
      <x:c r="PD39" s="7"/>
      <x:c r="PE39" s="10" t="s">
        <x:v>426</x:v>
      </x:c>
      <x:c r="PF39" s="10"/>
      <x:c r="PG39" s="10"/>
      <x:c r="PH39" s="10"/>
      <x:c r="PI39" s="10"/>
      <x:c r="PJ39" s="10" t="s">
        <x:v>426</x:v>
      </x:c>
      <x:c r="PK39" s="10"/>
      <x:c r="PL39" s="10"/>
      <x:c r="PM39" s="10"/>
      <x:c r="PN39" s="11"/>
      <x:c r="PO39" s="12">
        <x:f t="shared" si="41"/>
        <x:v>1</x:v>
      </x:c>
      <x:c r="PP39" s="7"/>
      <x:c r="PQ39" s="10"/>
      <x:c r="PR39" s="10" t="s">
        <x:v>426</x:v>
      </x:c>
      <x:c r="PS39" s="10"/>
      <x:c r="PT39" s="12">
        <x:f t="shared" si="42"/>
        <x:v>1</x:v>
      </x:c>
      <x:c r="PU39" s="7" t="s">
        <x:v>426</x:v>
      </x:c>
      <x:c r="PV39" s="10"/>
      <x:c r="PW39" s="10" t="s">
        <x:v>426</x:v>
      </x:c>
      <x:c r="PX39" s="10"/>
      <x:c r="PY39" s="10"/>
      <x:c r="PZ39" s="10"/>
      <x:c r="QA39" s="10"/>
      <x:c r="QB39" s="10"/>
      <x:c r="QC39" s="10"/>
      <x:c r="QD39" s="11"/>
      <x:c r="QE39" s="12">
        <x:f t="shared" si="43"/>
        <x:v>1</x:v>
      </x:c>
      <x:c r="QF39" s="7" t="s">
        <x:v>426</x:v>
      </x:c>
      <x:c r="QG39" s="10" t="s">
        <x:v>426</x:v>
      </x:c>
      <x:c r="QH39" s="10" t="s">
        <x:v>426</x:v>
      </x:c>
      <x:c r="QI39" s="10" t="s">
        <x:v>426</x:v>
      </x:c>
      <x:c r="QJ39" s="10" t="s">
        <x:v>426</x:v>
      </x:c>
      <x:c r="QK39" s="10" t="s">
        <x:v>426</x:v>
      </x:c>
      <x:c r="QL39" s="10" t="s">
        <x:v>426</x:v>
      </x:c>
      <x:c r="QM39" s="10" t="s">
        <x:v>426</x:v>
      </x:c>
      <x:c r="QN39" s="10"/>
      <x:c r="QO39" s="11"/>
      <x:c r="QP39" s="12">
        <x:f t="shared" si="44"/>
        <x:v>1</x:v>
      </x:c>
      <x:c r="QQ39" s="7"/>
      <x:c r="QR39" s="10"/>
      <x:c r="QS39" s="10"/>
      <x:c r="QT39" s="10"/>
      <x:c r="QU39" s="10"/>
      <x:c r="QV39" s="10" t="s">
        <x:v>426</x:v>
      </x:c>
      <x:c r="QW39" s="10"/>
      <x:c r="QX39" s="10"/>
      <x:c r="QY39" s="10"/>
      <x:c r="QZ39" s="11"/>
      <x:c r="RA39" s="12">
        <x:f t="shared" si="45"/>
        <x:v>1</x:v>
      </x:c>
      <x:c r="RB39" s="7"/>
      <x:c r="RC39" s="10"/>
      <x:c r="RD39" s="10"/>
      <x:c r="RE39" s="10" t="s">
        <x:v>426</x:v>
      </x:c>
      <x:c r="RF39" s="10"/>
      <x:c r="RG39" s="10"/>
      <x:c r="RH39" s="10"/>
      <x:c r="RI39" s="10"/>
      <x:c r="RJ39" s="11"/>
      <x:c r="RK39" s="12">
        <x:f t="shared" si="46"/>
        <x:v>1</x:v>
      </x:c>
      <x:c r="RL39" s="7" t="s">
        <x:v>426</x:v>
      </x:c>
      <x:c r="RM39" s="10"/>
      <x:c r="RN39" s="10"/>
      <x:c r="RO39" s="10"/>
      <x:c r="RP39" s="10"/>
      <x:c r="RQ39" s="10"/>
      <x:c r="RR39" s="10" t="s">
        <x:v>426</x:v>
      </x:c>
      <x:c r="RS39" s="10"/>
      <x:c r="RT39" s="10"/>
      <x:c r="RU39" s="11"/>
      <x:c r="RV39" s="12">
        <x:f t="shared" si="47"/>
        <x:v>1</x:v>
      </x:c>
      <x:c r="RW39" s="7"/>
      <x:c r="RX39" s="12">
        <x:f t="shared" si="48"/>
        <x:v>0</x:v>
      </x:c>
    </x:row>
    <x:row r="40" ht="16.5">
      <x:c r="A40" s="13" t="s">
        <x:v>496</x:v>
      </x:c>
      <x:c r="B40" s="14"/>
      <x:c r="C40" s="14"/>
      <x:c r="D40" s="14"/>
      <x:c r="E40" s="14"/>
      <x:c r="F40" s="14"/>
      <x:c r="G40" s="14"/>
      <x:c r="H40" s="14"/>
      <x:c r="I40" s="14"/>
      <x:c r="J40" s="14"/>
      <x:c r="K40" s="15"/>
      <x:c r="L40" s="13" t="s">
        <x:v>426</x:v>
      </x:c>
      <x:c r="M40" s="16"/>
      <x:c r="N40" s="16"/>
      <x:c r="O40" s="16"/>
      <x:c r="P40" s="17"/>
      <x:c r="Q40" s="12">
        <x:f t="shared" si="0"/>
        <x:v>1</x:v>
      </x:c>
      <x:c r="R40" s="13" t="s">
        <x:v>426</x:v>
      </x:c>
      <x:c r="S40" s="16"/>
      <x:c r="T40" s="16"/>
      <x:c r="U40" s="16"/>
      <x:c r="V40" s="16"/>
      <x:c r="W40" s="17"/>
      <x:c r="X40" s="12">
        <x:f t="shared" si="1"/>
        <x:v>1</x:v>
      </x:c>
      <x:c r="Y40" s="13"/>
      <x:c r="Z40" s="16"/>
      <x:c r="AA40" s="16"/>
      <x:c r="AB40" s="16"/>
      <x:c r="AC40" s="16" t="s">
        <x:v>426</x:v>
      </x:c>
      <x:c r="AD40" s="12">
        <x:f t="shared" si="2"/>
        <x:v>1</x:v>
      </x:c>
      <x:c r="AE40" s="13"/>
      <x:c r="AF40" s="16"/>
      <x:c r="AG40" s="16"/>
      <x:c r="AH40" s="16" t="s">
        <x:v>426</x:v>
      </x:c>
      <x:c r="AI40" s="16"/>
      <x:c r="AJ40" s="17"/>
      <x:c r="AK40" s="12">
        <x:f t="shared" si="3"/>
        <x:v>1</x:v>
      </x:c>
      <x:c r="AL40" s="13"/>
      <x:c r="AM40" s="16" t="s">
        <x:v>426</x:v>
      </x:c>
      <x:c r="AN40" s="16"/>
      <x:c r="AO40" s="12">
        <x:f t="shared" si="4"/>
        <x:v>1</x:v>
      </x:c>
      <x:c r="AP40" s="13" t="s">
        <x:v>426</x:v>
      </x:c>
      <x:c r="AQ40" s="16"/>
      <x:c r="AR40" s="16"/>
      <x:c r="AS40" s="16"/>
      <x:c r="AT40" s="16"/>
      <x:c r="AU40" s="16"/>
      <x:c r="AV40" s="16"/>
      <x:c r="AW40" s="17"/>
      <x:c r="AX40" s="12">
        <x:f t="shared" si="5"/>
        <x:v>1</x:v>
      </x:c>
      <x:c r="AY40" s="13" t="s">
        <x:v>426</x:v>
      </x:c>
      <x:c r="AZ40" s="16"/>
      <x:c r="BA40" s="16"/>
      <x:c r="BB40" s="16"/>
      <x:c r="BC40" s="16"/>
      <x:c r="BD40" s="16"/>
      <x:c r="BE40" s="16"/>
      <x:c r="BF40" s="16"/>
      <x:c r="BG40" s="17"/>
      <x:c r="BH40" s="12">
        <x:f t="shared" si="6"/>
        <x:v>1</x:v>
      </x:c>
      <x:c r="BI40" s="13" t="s">
        <x:v>426</x:v>
      </x:c>
      <x:c r="BJ40" s="16"/>
      <x:c r="BK40" s="16"/>
      <x:c r="BL40" s="16"/>
      <x:c r="BM40" s="16"/>
      <x:c r="BN40" s="16"/>
      <x:c r="BO40" s="16"/>
      <x:c r="BP40" s="17"/>
      <x:c r="BQ40" s="12">
        <x:f t="shared" si="7"/>
        <x:v>1</x:v>
      </x:c>
      <x:c r="BR40" s="13"/>
      <x:c r="BS40" s="16" t="s">
        <x:v>426</x:v>
      </x:c>
      <x:c r="BT40" s="16"/>
      <x:c r="BU40" s="16"/>
      <x:c r="BV40" s="16"/>
      <x:c r="BW40" s="16"/>
      <x:c r="BX40" s="16"/>
      <x:c r="BY40" s="17"/>
      <x:c r="BZ40" s="12">
        <x:f t="shared" si="8"/>
        <x:v>1</x:v>
      </x:c>
      <x:c r="CA40" s="13" t="s">
        <x:v>426</x:v>
      </x:c>
      <x:c r="CB40" s="16"/>
      <x:c r="CC40" s="16"/>
      <x:c r="CD40" s="16"/>
      <x:c r="CE40" s="16"/>
      <x:c r="CF40" s="16"/>
      <x:c r="CG40" s="16"/>
      <x:c r="CH40" s="16"/>
      <x:c r="CI40" s="16"/>
      <x:c r="CJ40" s="16"/>
      <x:c r="CK40" s="17"/>
      <x:c r="CL40" s="12">
        <x:f t="shared" si="9"/>
        <x:v>1</x:v>
      </x:c>
      <x:c r="CM40" s="13"/>
      <x:c r="CN40" s="16"/>
      <x:c r="CO40" s="16"/>
      <x:c r="CP40" s="16"/>
      <x:c r="CQ40" s="16"/>
      <x:c r="CR40" s="16"/>
      <x:c r="CS40" s="16"/>
      <x:c r="CT40" s="16"/>
      <x:c r="CU40" s="16"/>
      <x:c r="CV40" s="16"/>
      <x:c r="CW40" s="16"/>
      <x:c r="CX40" s="16"/>
      <x:c r="CY40" s="16" t="s">
        <x:v>426</x:v>
      </x:c>
      <x:c r="CZ40" s="16"/>
      <x:c r="DA40" s="17"/>
      <x:c r="DB40" s="12">
        <x:f t="shared" si="10"/>
        <x:v>1</x:v>
      </x:c>
      <x:c r="DC40" s="13"/>
      <x:c r="DD40" s="12">
        <x:f t="shared" si="11"/>
        <x:v>0</x:v>
      </x:c>
      <x:c r="DE40" s="13"/>
      <x:c r="DF40" s="16"/>
      <x:c r="DG40" s="16"/>
      <x:c r="DH40" s="16"/>
      <x:c r="DI40" s="16"/>
      <x:c r="DJ40" s="16"/>
      <x:c r="DK40" s="16"/>
      <x:c r="DL40" s="16"/>
      <x:c r="DM40" s="17"/>
      <x:c r="DN40" s="12">
        <x:f t="shared" si="12"/>
        <x:v>0</x:v>
      </x:c>
      <x:c r="DO40" s="13" t="s">
        <x:v>426</x:v>
      </x:c>
      <x:c r="DP40" s="16"/>
      <x:c r="DQ40" s="16"/>
      <x:c r="DR40" s="16"/>
      <x:c r="DS40" s="16"/>
      <x:c r="DT40" s="12">
        <x:f t="shared" si="13"/>
        <x:v>1</x:v>
      </x:c>
      <x:c r="DU40" s="13" t="s">
        <x:v>426</x:v>
      </x:c>
      <x:c r="DV40" s="16" t="s">
        <x:v>426</x:v>
      </x:c>
      <x:c r="DW40" s="16"/>
      <x:c r="DX40" s="16"/>
      <x:c r="DY40" s="16"/>
      <x:c r="DZ40" s="16"/>
      <x:c r="EA40" s="16"/>
      <x:c r="EB40" s="16"/>
      <x:c r="EC40" s="16"/>
      <x:c r="ED40" s="17"/>
      <x:c r="EE40" s="12">
        <x:f t="shared" si="14"/>
        <x:v>1</x:v>
      </x:c>
      <x:c r="EF40" s="13"/>
      <x:c r="EG40" s="16"/>
      <x:c r="EH40" s="16"/>
      <x:c r="EI40" s="16"/>
      <x:c r="EJ40" s="16"/>
      <x:c r="EK40" s="16"/>
      <x:c r="EL40" s="16"/>
      <x:c r="EM40" s="16"/>
      <x:c r="EN40" s="16" t="s">
        <x:v>426</x:v>
      </x:c>
      <x:c r="EO40" s="16"/>
      <x:c r="EP40" s="17"/>
      <x:c r="EQ40" s="12">
        <x:f t="shared" si="15"/>
        <x:v>1</x:v>
      </x:c>
      <x:c r="ER40" s="13"/>
      <x:c r="ES40" s="16"/>
      <x:c r="ET40" s="16"/>
      <x:c r="EU40" s="16"/>
      <x:c r="EV40" s="12">
        <x:f t="shared" si="16"/>
        <x:v>0</x:v>
      </x:c>
      <x:c r="EW40" s="13"/>
      <x:c r="EX40" s="16"/>
      <x:c r="EY40" s="16"/>
      <x:c r="EZ40" s="16"/>
      <x:c r="FA40" s="16"/>
      <x:c r="FB40" s="16"/>
      <x:c r="FC40" s="16"/>
      <x:c r="FD40" s="16"/>
      <x:c r="FE40" s="17"/>
      <x:c r="FF40" s="12">
        <x:f t="shared" si="17"/>
        <x:v>0</x:v>
      </x:c>
      <x:c r="FG40" s="13" t="s">
        <x:v>426</x:v>
      </x:c>
      <x:c r="FH40" s="16"/>
      <x:c r="FI40" s="16"/>
      <x:c r="FJ40" s="16"/>
      <x:c r="FK40" s="16"/>
      <x:c r="FL40" s="16"/>
      <x:c r="FM40" s="16"/>
      <x:c r="FN40" s="16"/>
      <x:c r="FO40" s="16"/>
      <x:c r="FP40" s="16"/>
      <x:c r="FQ40" s="16"/>
      <x:c r="FR40" s="16"/>
      <x:c r="FS40" s="16"/>
      <x:c r="FT40" s="16"/>
      <x:c r="FU40" s="17"/>
      <x:c r="FV40" s="12">
        <x:f t="shared" si="18"/>
        <x:v>1</x:v>
      </x:c>
      <x:c r="FW40" s="13"/>
      <x:c r="FX40" s="16"/>
      <x:c r="FY40" s="16"/>
      <x:c r="FZ40" s="16"/>
      <x:c r="GA40" s="16"/>
      <x:c r="GB40" s="16"/>
      <x:c r="GC40" s="16"/>
      <x:c r="GD40" s="16"/>
      <x:c r="GE40" s="17"/>
      <x:c r="GF40" s="12">
        <x:f t="shared" si="19"/>
        <x:v>0</x:v>
      </x:c>
      <x:c r="GG40" s="13"/>
      <x:c r="GH40" s="16"/>
      <x:c r="GI40" s="16"/>
      <x:c r="GJ40" s="16"/>
      <x:c r="GK40" s="16"/>
      <x:c r="GL40" s="16"/>
      <x:c r="GM40" s="12">
        <x:f t="shared" si="20"/>
        <x:v>0</x:v>
      </x:c>
      <x:c r="GN40" s="13"/>
      <x:c r="GO40" s="16"/>
      <x:c r="GP40" s="16"/>
      <x:c r="GQ40" s="16"/>
      <x:c r="GR40" s="16"/>
      <x:c r="GS40" s="16"/>
      <x:c r="GT40" s="12">
        <x:f t="shared" si="21"/>
        <x:v>0</x:v>
      </x:c>
      <x:c r="GU40" s="13"/>
      <x:c r="GV40" s="16"/>
      <x:c r="GW40" s="16"/>
      <x:c r="GX40" s="16"/>
      <x:c r="GY40" s="12">
        <x:f t="shared" si="22"/>
        <x:v>0</x:v>
      </x:c>
      <x:c r="GZ40" s="13" t="s">
        <x:v>426</x:v>
      </x:c>
      <x:c r="HA40" s="16"/>
      <x:c r="HB40" s="16"/>
      <x:c r="HC40" s="16"/>
      <x:c r="HD40" s="16"/>
      <x:c r="HE40" s="16"/>
      <x:c r="HF40" s="16"/>
      <x:c r="HG40" s="16"/>
      <x:c r="HH40" s="16"/>
      <x:c r="HI40" s="16"/>
      <x:c r="HJ40" s="16"/>
      <x:c r="HK40" s="17"/>
      <x:c r="HL40" s="12">
        <x:f t="shared" si="23"/>
        <x:v>1</x:v>
      </x:c>
      <x:c r="HM40" s="13"/>
      <x:c r="HN40" s="16"/>
      <x:c r="HO40" s="16"/>
      <x:c r="HP40" s="16"/>
      <x:c r="HQ40" s="16"/>
      <x:c r="HR40" s="16"/>
      <x:c r="HS40" s="16"/>
      <x:c r="HT40" s="16"/>
      <x:c r="HU40" s="16"/>
      <x:c r="HV40" s="17"/>
      <x:c r="HW40" s="12">
        <x:f t="shared" si="24"/>
        <x:v>0</x:v>
      </x:c>
      <x:c r="HX40" s="13"/>
      <x:c r="HY40" s="16"/>
      <x:c r="HZ40" s="16"/>
      <x:c r="IA40" s="16" t="s">
        <x:v>426</x:v>
      </x:c>
      <x:c r="IB40" s="16"/>
      <x:c r="IC40" s="12">
        <x:f t="shared" si="25"/>
        <x:v>1</x:v>
      </x:c>
      <x:c r="ID40" s="13"/>
      <x:c r="IE40" s="16"/>
      <x:c r="IF40" s="16"/>
      <x:c r="IG40" s="16"/>
      <x:c r="IH40" s="16"/>
      <x:c r="II40" s="16"/>
      <x:c r="IJ40" s="16"/>
      <x:c r="IK40" s="16"/>
      <x:c r="IL40" s="16"/>
      <x:c r="IM40" s="16"/>
      <x:c r="IN40" s="17"/>
      <x:c r="IO40" s="12">
        <x:f t="shared" si="26"/>
        <x:v>0</x:v>
      </x:c>
      <x:c r="IP40" s="13"/>
      <x:c r="IQ40" s="16"/>
      <x:c r="IR40" s="16"/>
      <x:c r="IS40" s="16"/>
      <x:c r="IT40" s="16"/>
      <x:c r="IU40" s="16"/>
      <x:c r="IV40" s="16"/>
      <x:c r="IW40" s="16"/>
      <x:c r="IX40" s="17"/>
      <x:c r="IY40" s="12">
        <x:f t="shared" si="27"/>
        <x:v>0</x:v>
      </x:c>
      <x:c r="IZ40" s="13"/>
      <x:c r="JA40" s="16"/>
      <x:c r="JB40" s="16"/>
      <x:c r="JC40" s="16"/>
      <x:c r="JD40" s="16"/>
      <x:c r="JE40" s="16"/>
      <x:c r="JF40" s="16"/>
      <x:c r="JG40" s="16"/>
      <x:c r="JH40" s="16"/>
      <x:c r="JI40" s="16"/>
      <x:c r="JJ40" s="16"/>
      <x:c r="JK40" s="16"/>
      <x:c r="JL40" s="16"/>
      <x:c r="JM40" s="16"/>
      <x:c r="JN40" s="16"/>
      <x:c r="JO40" s="16"/>
      <x:c r="JP40" s="16"/>
      <x:c r="JQ40" s="16"/>
      <x:c r="JR40" s="16"/>
      <x:c r="JS40" s="12">
        <x:f t="shared" si="28"/>
        <x:v>0</x:v>
      </x:c>
      <x:c r="JT40" s="13"/>
      <x:c r="JU40" s="16"/>
      <x:c r="JV40" s="16"/>
      <x:c r="JW40" s="16"/>
      <x:c r="JX40" s="16"/>
      <x:c r="JY40" s="16"/>
      <x:c r="JZ40" s="16"/>
      <x:c r="KA40" s="16"/>
      <x:c r="KB40" s="16"/>
      <x:c r="KC40" s="16"/>
      <x:c r="KD40" s="16"/>
      <x:c r="KE40" s="16"/>
      <x:c r="KF40" s="16"/>
      <x:c r="KG40" s="16"/>
      <x:c r="KH40" s="16"/>
      <x:c r="KI40" s="16"/>
      <x:c r="KJ40" s="16"/>
      <x:c r="KK40" s="16"/>
      <x:c r="KL40" s="16"/>
      <x:c r="KM40" s="12">
        <x:f t="shared" si="29"/>
        <x:v>0</x:v>
      </x:c>
      <x:c r="KN40" s="13"/>
      <x:c r="KO40" s="16"/>
      <x:c r="KP40" s="16"/>
      <x:c r="KQ40" s="16"/>
      <x:c r="KR40" s="16"/>
      <x:c r="KS40" s="16"/>
      <x:c r="KT40" s="16"/>
      <x:c r="KU40" s="16"/>
      <x:c r="KV40" s="16"/>
      <x:c r="KW40" s="16"/>
      <x:c r="KX40" s="16"/>
      <x:c r="KY40" s="16"/>
      <x:c r="KZ40" s="16"/>
      <x:c r="LA40" s="16"/>
      <x:c r="LB40" s="16"/>
      <x:c r="LC40" s="16"/>
      <x:c r="LD40" s="16"/>
      <x:c r="LE40" s="16"/>
      <x:c r="LF40" s="16"/>
      <x:c r="LG40" s="12">
        <x:f t="shared" si="30"/>
        <x:v>0</x:v>
      </x:c>
      <x:c r="LH40" s="13"/>
      <x:c r="LI40" s="16"/>
      <x:c r="LJ40" s="16"/>
      <x:c r="LK40" s="16"/>
      <x:c r="LL40" s="16"/>
      <x:c r="LM40" s="16"/>
      <x:c r="LN40" s="16"/>
      <x:c r="LO40" s="16"/>
      <x:c r="LP40" s="16"/>
      <x:c r="LQ40" s="17"/>
      <x:c r="LR40" s="12">
        <x:f t="shared" si="31"/>
        <x:v>0</x:v>
      </x:c>
      <x:c r="LS40" s="13"/>
      <x:c r="LT40" s="16"/>
      <x:c r="LU40" s="16"/>
      <x:c r="LV40" s="16"/>
      <x:c r="LW40" s="16"/>
      <x:c r="LX40" s="16"/>
      <x:c r="LY40" s="16"/>
      <x:c r="LZ40" s="16" t="s">
        <x:v>426</x:v>
      </x:c>
      <x:c r="MA40" s="16"/>
      <x:c r="MB40" s="17"/>
      <x:c r="MC40" s="12">
        <x:f t="shared" si="32"/>
        <x:v>1</x:v>
      </x:c>
      <x:c r="MD40" s="13"/>
      <x:c r="ME40" s="16"/>
      <x:c r="MF40" s="16"/>
      <x:c r="MG40" s="16"/>
      <x:c r="MH40" s="16"/>
      <x:c r="MI40" s="16" t="s">
        <x:v>426</x:v>
      </x:c>
      <x:c r="MJ40" s="16"/>
      <x:c r="MK40" s="12">
        <x:f t="shared" si="33"/>
        <x:v>1</x:v>
      </x:c>
      <x:c r="ML40" s="13"/>
      <x:c r="MM40" s="16"/>
      <x:c r="MN40" s="16"/>
      <x:c r="MO40" s="16"/>
      <x:c r="MP40" s="16" t="s">
        <x:v>426</x:v>
      </x:c>
      <x:c r="MQ40" s="16"/>
      <x:c r="MR40" s="16"/>
      <x:c r="MS40" s="16"/>
      <x:c r="MT40" s="16"/>
      <x:c r="MU40" s="17"/>
      <x:c r="MV40" s="12">
        <x:f t="shared" si="34"/>
        <x:v>1</x:v>
      </x:c>
      <x:c r="MW40" s="13"/>
      <x:c r="MX40" s="16"/>
      <x:c r="MY40" s="16"/>
      <x:c r="MZ40" s="16" t="s">
        <x:v>426</x:v>
      </x:c>
      <x:c r="NA40" s="16"/>
      <x:c r="NB40" s="16"/>
      <x:c r="NC40" s="16"/>
      <x:c r="ND40" s="16"/>
      <x:c r="NE40" s="16"/>
      <x:c r="NF40" s="17"/>
      <x:c r="NG40" s="12">
        <x:f t="shared" si="35"/>
        <x:v>1</x:v>
      </x:c>
      <x:c r="NH40" s="13"/>
      <x:c r="NI40" s="16"/>
      <x:c r="NJ40" s="16" t="s">
        <x:v>426</x:v>
      </x:c>
      <x:c r="NK40" s="16"/>
      <x:c r="NL40" s="16"/>
      <x:c r="NM40" s="16"/>
      <x:c r="NN40" s="16"/>
      <x:c r="NO40" s="16"/>
      <x:c r="NP40" s="16"/>
      <x:c r="NQ40" s="16"/>
      <x:c r="NR40" s="17"/>
      <x:c r="NS40" s="12">
        <x:f t="shared" si="36"/>
        <x:v>1</x:v>
      </x:c>
      <x:c r="NT40" s="13"/>
      <x:c r="NU40" s="16"/>
      <x:c r="NV40" s="16"/>
      <x:c r="NW40" s="16"/>
      <x:c r="NX40" s="16"/>
      <x:c r="NY40" s="12">
        <x:f t="shared" si="37"/>
        <x:v>0</x:v>
      </x:c>
      <x:c r="NZ40" s="13"/>
      <x:c r="OA40" s="16"/>
      <x:c r="OB40" s="16"/>
      <x:c r="OC40" s="16"/>
      <x:c r="OD40" s="16"/>
      <x:c r="OE40" s="16"/>
      <x:c r="OF40" s="16"/>
      <x:c r="OG40" s="16"/>
      <x:c r="OH40" s="16"/>
      <x:c r="OI40" s="16"/>
      <x:c r="OJ40" s="16"/>
      <x:c r="OK40" s="17"/>
      <x:c r="OL40" s="12">
        <x:f t="shared" si="38"/>
        <x:v>0</x:v>
      </x:c>
      <x:c r="OM40" s="13"/>
      <x:c r="ON40" s="16"/>
      <x:c r="OO40" s="16"/>
      <x:c r="OP40" s="16"/>
      <x:c r="OQ40" s="16"/>
      <x:c r="OR40" s="16"/>
      <x:c r="OS40" s="16"/>
      <x:c r="OT40" s="16"/>
      <x:c r="OU40" s="16"/>
      <x:c r="OV40" s="17"/>
      <x:c r="OW40" s="12">
        <x:f t="shared" si="39"/>
        <x:v>0</x:v>
      </x:c>
      <x:c r="OX40" s="13"/>
      <x:c r="OY40" s="16"/>
      <x:c r="OZ40" s="16"/>
      <x:c r="PA40" s="16"/>
      <x:c r="PB40" s="16" t="s">
        <x:v>426</x:v>
      </x:c>
      <x:c r="PC40" s="12">
        <x:f t="shared" si="40"/>
        <x:v>1</x:v>
      </x:c>
      <x:c r="PD40" s="13"/>
      <x:c r="PE40" s="16"/>
      <x:c r="PF40" s="16"/>
      <x:c r="PG40" s="16" t="s">
        <x:v>426</x:v>
      </x:c>
      <x:c r="PH40" s="16"/>
      <x:c r="PI40" s="16"/>
      <x:c r="PJ40" s="16"/>
      <x:c r="PK40" s="16"/>
      <x:c r="PL40" s="16"/>
      <x:c r="PM40" s="16"/>
      <x:c r="PN40" s="17"/>
      <x:c r="PO40" s="12">
        <x:f t="shared" si="41"/>
        <x:v>1</x:v>
      </x:c>
      <x:c r="PP40" s="13"/>
      <x:c r="PQ40" s="16"/>
      <x:c r="PR40" s="16" t="s">
        <x:v>426</x:v>
      </x:c>
      <x:c r="PS40" s="16"/>
      <x:c r="PT40" s="12">
        <x:f t="shared" si="42"/>
        <x:v>1</x:v>
      </x:c>
      <x:c r="PU40" s="13" t="s">
        <x:v>426</x:v>
      </x:c>
      <x:c r="PV40" s="16"/>
      <x:c r="PW40" s="16"/>
      <x:c r="PX40" s="16"/>
      <x:c r="PY40" s="16"/>
      <x:c r="PZ40" s="16"/>
      <x:c r="QA40" s="16"/>
      <x:c r="QB40" s="16"/>
      <x:c r="QC40" s="16"/>
      <x:c r="QD40" s="17"/>
      <x:c r="QE40" s="12">
        <x:f t="shared" si="43"/>
        <x:v>1</x:v>
      </x:c>
      <x:c r="QF40" s="13"/>
      <x:c r="QG40" s="16"/>
      <x:c r="QH40" s="16"/>
      <x:c r="QI40" s="16" t="s">
        <x:v>426</x:v>
      </x:c>
      <x:c r="QJ40" s="16"/>
      <x:c r="QK40" s="16"/>
      <x:c r="QL40" s="16"/>
      <x:c r="QM40" s="16" t="s">
        <x:v>426</x:v>
      </x:c>
      <x:c r="QN40" s="16"/>
      <x:c r="QO40" s="17"/>
      <x:c r="QP40" s="12">
        <x:f t="shared" si="44"/>
        <x:v>1</x:v>
      </x:c>
      <x:c r="QQ40" s="13"/>
      <x:c r="QR40" s="16"/>
      <x:c r="QS40" s="16"/>
      <x:c r="QT40" s="16"/>
      <x:c r="QU40" s="16"/>
      <x:c r="QV40" s="16"/>
      <x:c r="QW40" s="16"/>
      <x:c r="QX40" s="16" t="s">
        <x:v>426</x:v>
      </x:c>
      <x:c r="QY40" s="16"/>
      <x:c r="QZ40" s="17"/>
      <x:c r="RA40" s="12">
        <x:f t="shared" si="45"/>
        <x:v>1</x:v>
      </x:c>
      <x:c r="RB40" s="13" t="s">
        <x:v>426</x:v>
      </x:c>
      <x:c r="RC40" s="16"/>
      <x:c r="RD40" s="16"/>
      <x:c r="RE40" s="16"/>
      <x:c r="RF40" s="16"/>
      <x:c r="RG40" s="16"/>
      <x:c r="RH40" s="16"/>
      <x:c r="RI40" s="16"/>
      <x:c r="RJ40" s="17"/>
      <x:c r="RK40" s="12">
        <x:f t="shared" si="46"/>
        <x:v>1</x:v>
      </x:c>
      <x:c r="RL40" s="13"/>
      <x:c r="RM40" s="16"/>
      <x:c r="RN40" s="16"/>
      <x:c r="RO40" s="16"/>
      <x:c r="RP40" s="16"/>
      <x:c r="RQ40" s="16"/>
      <x:c r="RR40" s="16"/>
      <x:c r="RS40" s="16"/>
      <x:c r="RT40" s="16"/>
      <x:c r="RU40" s="17"/>
      <x:c r="RV40" s="12">
        <x:f t="shared" si="47"/>
        <x:v>0</x:v>
      </x:c>
      <x:c r="RW40" s="13"/>
      <x:c r="RX40" s="12">
        <x:f t="shared" si="48"/>
        <x:v>0</x:v>
      </x:c>
    </x:row>
    <x:row r="41" ht="16.5">
      <x:c r="A41" s="7" t="s">
        <x:v>497</x:v>
      </x:c>
      <x:c r="B41" s="8"/>
      <x:c r="C41" s="8"/>
      <x:c r="D41" s="8"/>
      <x:c r="E41" s="8"/>
      <x:c r="F41" s="8"/>
      <x:c r="G41" s="8"/>
      <x:c r="H41" s="8"/>
      <x:c r="I41" s="8"/>
      <x:c r="J41" s="8"/>
      <x:c r="K41" s="9"/>
      <x:c r="L41" s="7"/>
      <x:c r="M41" s="10" t="s">
        <x:v>426</x:v>
      </x:c>
      <x:c r="N41" s="10"/>
      <x:c r="O41" s="10"/>
      <x:c r="P41" s="11"/>
      <x:c r="Q41" s="12">
        <x:f t="shared" si="0"/>
        <x:v>1</x:v>
      </x:c>
      <x:c r="R41" s="7"/>
      <x:c r="S41" s="10" t="s">
        <x:v>426</x:v>
      </x:c>
      <x:c r="T41" s="10"/>
      <x:c r="U41" s="10"/>
      <x:c r="V41" s="10"/>
      <x:c r="W41" s="11"/>
      <x:c r="X41" s="12">
        <x:f t="shared" si="1"/>
        <x:v>1</x:v>
      </x:c>
      <x:c r="Y41" s="7"/>
      <x:c r="Z41" s="10"/>
      <x:c r="AA41" s="10"/>
      <x:c r="AB41" s="10"/>
      <x:c r="AC41" s="10" t="s">
        <x:v>426</x:v>
      </x:c>
      <x:c r="AD41" s="12">
        <x:f t="shared" si="2"/>
        <x:v>1</x:v>
      </x:c>
      <x:c r="AE41" s="7" t="s">
        <x:v>426</x:v>
      </x:c>
      <x:c r="AF41" s="10"/>
      <x:c r="AG41" s="10"/>
      <x:c r="AH41" s="10"/>
      <x:c r="AI41" s="10"/>
      <x:c r="AJ41" s="11"/>
      <x:c r="AK41" s="12">
        <x:f t="shared" si="3"/>
        <x:v>1</x:v>
      </x:c>
      <x:c r="AL41" s="7"/>
      <x:c r="AM41" s="10" t="s">
        <x:v>426</x:v>
      </x:c>
      <x:c r="AN41" s="10"/>
      <x:c r="AO41" s="12">
        <x:f t="shared" si="4"/>
        <x:v>1</x:v>
      </x:c>
      <x:c r="AP41" s="7" t="s">
        <x:v>426</x:v>
      </x:c>
      <x:c r="AQ41" s="10"/>
      <x:c r="AR41" s="10"/>
      <x:c r="AS41" s="10"/>
      <x:c r="AT41" s="10"/>
      <x:c r="AU41" s="10"/>
      <x:c r="AV41" s="10"/>
      <x:c r="AW41" s="11"/>
      <x:c r="AX41" s="12">
        <x:f t="shared" si="5"/>
        <x:v>1</x:v>
      </x:c>
      <x:c r="AY41" s="7" t="s">
        <x:v>426</x:v>
      </x:c>
      <x:c r="AZ41" s="10"/>
      <x:c r="BA41" s="10"/>
      <x:c r="BB41" s="10"/>
      <x:c r="BC41" s="10"/>
      <x:c r="BD41" s="10"/>
      <x:c r="BE41" s="10"/>
      <x:c r="BF41" s="10"/>
      <x:c r="BG41" s="11"/>
      <x:c r="BH41" s="12">
        <x:f t="shared" si="6"/>
        <x:v>1</x:v>
      </x:c>
      <x:c r="BI41" s="7"/>
      <x:c r="BJ41" s="10" t="s">
        <x:v>426</x:v>
      </x:c>
      <x:c r="BK41" s="10"/>
      <x:c r="BL41" s="10"/>
      <x:c r="BM41" s="10"/>
      <x:c r="BN41" s="10"/>
      <x:c r="BO41" s="10"/>
      <x:c r="BP41" s="11"/>
      <x:c r="BQ41" s="12">
        <x:f t="shared" si="7"/>
        <x:v>1</x:v>
      </x:c>
      <x:c r="BR41" s="7" t="s">
        <x:v>426</x:v>
      </x:c>
      <x:c r="BS41" s="10"/>
      <x:c r="BT41" s="10"/>
      <x:c r="BU41" s="10"/>
      <x:c r="BV41" s="10"/>
      <x:c r="BW41" s="10"/>
      <x:c r="BX41" s="10"/>
      <x:c r="BY41" s="11"/>
      <x:c r="BZ41" s="12">
        <x:f t="shared" si="8"/>
        <x:v>1</x:v>
      </x:c>
      <x:c r="CA41" s="7"/>
      <x:c r="CB41" s="10"/>
      <x:c r="CC41" s="10"/>
      <x:c r="CD41" s="10"/>
      <x:c r="CE41" s="10"/>
      <x:c r="CF41" s="10"/>
      <x:c r="CG41" s="10" t="s">
        <x:v>426</x:v>
      </x:c>
      <x:c r="CH41" s="10"/>
      <x:c r="CI41" s="10" t="s">
        <x:v>426</x:v>
      </x:c>
      <x:c r="CJ41" s="10"/>
      <x:c r="CK41" s="11"/>
      <x:c r="CL41" s="12">
        <x:f t="shared" si="9"/>
        <x:v>1</x:v>
      </x:c>
      <x:c r="CM41" s="7"/>
      <x:c r="CN41" s="10" t="s">
        <x:v>426</x:v>
      </x:c>
      <x:c r="CO41" s="10"/>
      <x:c r="CP41" s="10"/>
      <x:c r="CQ41" s="10"/>
      <x:c r="CR41" s="10"/>
      <x:c r="CS41" s="10"/>
      <x:c r="CT41" s="10" t="s">
        <x:v>426</x:v>
      </x:c>
      <x:c r="CU41" s="10" t="s">
        <x:v>426</x:v>
      </x:c>
      <x:c r="CV41" s="10"/>
      <x:c r="CW41" s="10"/>
      <x:c r="CX41" s="10"/>
      <x:c r="CY41" s="10"/>
      <x:c r="CZ41" s="10"/>
      <x:c r="DA41" s="11"/>
      <x:c r="DB41" s="12">
        <x:f t="shared" si="10"/>
        <x:v>1</x:v>
      </x:c>
      <x:c r="DC41" s="7"/>
      <x:c r="DD41" s="12">
        <x:f t="shared" si="11"/>
        <x:v>0</x:v>
      </x:c>
      <x:c r="DE41" s="7" t="s">
        <x:v>426</x:v>
      </x:c>
      <x:c r="DF41" s="10"/>
      <x:c r="DG41" s="10"/>
      <x:c r="DH41" s="10"/>
      <x:c r="DI41" s="10"/>
      <x:c r="DJ41" s="10"/>
      <x:c r="DK41" s="10"/>
      <x:c r="DL41" s="10"/>
      <x:c r="DM41" s="11"/>
      <x:c r="DN41" s="12">
        <x:f t="shared" si="12"/>
        <x:v>1</x:v>
      </x:c>
      <x:c r="DO41" s="7"/>
      <x:c r="DP41" s="10"/>
      <x:c r="DQ41" s="10" t="s">
        <x:v>426</x:v>
      </x:c>
      <x:c r="DR41" s="10"/>
      <x:c r="DS41" s="10"/>
      <x:c r="DT41" s="12">
        <x:f t="shared" si="13"/>
        <x:v>1</x:v>
      </x:c>
      <x:c r="DU41" s="7"/>
      <x:c r="DV41" s="10"/>
      <x:c r="DW41" s="10"/>
      <x:c r="DX41" s="10"/>
      <x:c r="DY41" s="10"/>
      <x:c r="DZ41" s="10" t="s">
        <x:v>426</x:v>
      </x:c>
      <x:c r="EA41" s="10"/>
      <x:c r="EB41" s="10"/>
      <x:c r="EC41" s="10"/>
      <x:c r="ED41" s="11"/>
      <x:c r="EE41" s="12">
        <x:f t="shared" si="14"/>
        <x:v>1</x:v>
      </x:c>
      <x:c r="EF41" s="7" t="s">
        <x:v>426</x:v>
      </x:c>
      <x:c r="EG41" s="10"/>
      <x:c r="EH41" s="10" t="s">
        <x:v>426</x:v>
      </x:c>
      <x:c r="EI41" s="10" t="s">
        <x:v>426</x:v>
      </x:c>
      <x:c r="EJ41" s="10"/>
      <x:c r="EK41" s="10"/>
      <x:c r="EL41" s="10"/>
      <x:c r="EM41" s="10" t="s">
        <x:v>426</x:v>
      </x:c>
      <x:c r="EN41" s="10"/>
      <x:c r="EO41" s="10"/>
      <x:c r="EP41" s="11"/>
      <x:c r="EQ41" s="12">
        <x:f t="shared" si="15"/>
        <x:v>1</x:v>
      </x:c>
      <x:c r="ER41" s="7" t="s">
        <x:v>426</x:v>
      </x:c>
      <x:c r="ES41" s="10"/>
      <x:c r="ET41" s="10"/>
      <x:c r="EU41" s="10"/>
      <x:c r="EV41" s="12">
        <x:f t="shared" si="16"/>
        <x:v>1</x:v>
      </x:c>
      <x:c r="EW41" s="7" t="s">
        <x:v>426</x:v>
      </x:c>
      <x:c r="EX41" s="10" t="s">
        <x:v>426</x:v>
      </x:c>
      <x:c r="EY41" s="10"/>
      <x:c r="EZ41" s="10" t="s">
        <x:v>426</x:v>
      </x:c>
      <x:c r="FA41" s="10"/>
      <x:c r="FB41" s="10"/>
      <x:c r="FC41" s="10"/>
      <x:c r="FD41" s="10"/>
      <x:c r="FE41" s="11"/>
      <x:c r="FF41" s="12">
        <x:f t="shared" si="17"/>
        <x:v>1</x:v>
      </x:c>
      <x:c r="FG41" s="7"/>
      <x:c r="FH41" s="10"/>
      <x:c r="FI41" s="10"/>
      <x:c r="FJ41" s="10"/>
      <x:c r="FK41" s="10"/>
      <x:c r="FL41" s="10"/>
      <x:c r="FM41" s="10" t="s">
        <x:v>426</x:v>
      </x:c>
      <x:c r="FN41" s="10"/>
      <x:c r="FO41" s="10"/>
      <x:c r="FP41" s="10"/>
      <x:c r="FQ41" s="10"/>
      <x:c r="FR41" s="10"/>
      <x:c r="FS41" s="10"/>
      <x:c r="FT41" s="10"/>
      <x:c r="FU41" s="11"/>
      <x:c r="FV41" s="12">
        <x:f t="shared" si="18"/>
        <x:v>1</x:v>
      </x:c>
      <x:c r="FW41" s="7"/>
      <x:c r="FX41" s="10"/>
      <x:c r="FY41" s="10"/>
      <x:c r="FZ41" s="10" t="s">
        <x:v>426</x:v>
      </x:c>
      <x:c r="GA41" s="10"/>
      <x:c r="GB41" s="10"/>
      <x:c r="GC41" s="10"/>
      <x:c r="GD41" s="10"/>
      <x:c r="GE41" s="11"/>
      <x:c r="GF41" s="12">
        <x:f t="shared" si="19"/>
        <x:v>1</x:v>
      </x:c>
      <x:c r="GG41" s="7" t="s">
        <x:v>426</x:v>
      </x:c>
      <x:c r="GH41" s="10" t="s">
        <x:v>426</x:v>
      </x:c>
      <x:c r="GI41" s="10"/>
      <x:c r="GJ41" s="10"/>
      <x:c r="GK41" s="10"/>
      <x:c r="GL41" s="10"/>
      <x:c r="GM41" s="12">
        <x:f t="shared" si="20"/>
        <x:v>1</x:v>
      </x:c>
      <x:c r="GN41" s="7" t="s">
        <x:v>426</x:v>
      </x:c>
      <x:c r="GO41" s="10" t="s">
        <x:v>426</x:v>
      </x:c>
      <x:c r="GP41" s="10"/>
      <x:c r="GQ41" s="10"/>
      <x:c r="GR41" s="10"/>
      <x:c r="GS41" s="10"/>
      <x:c r="GT41" s="12">
        <x:f t="shared" si="21"/>
        <x:v>1</x:v>
      </x:c>
      <x:c r="GU41" s="7"/>
      <x:c r="GV41" s="10" t="s">
        <x:v>426</x:v>
      </x:c>
      <x:c r="GW41" s="10"/>
      <x:c r="GX41" s="10"/>
      <x:c r="GY41" s="12">
        <x:f t="shared" si="22"/>
        <x:v>1</x:v>
      </x:c>
      <x:c r="GZ41" s="7" t="s">
        <x:v>426</x:v>
      </x:c>
      <x:c r="HA41" s="10"/>
      <x:c r="HB41" s="10"/>
      <x:c r="HC41" s="10"/>
      <x:c r="HD41" s="10"/>
      <x:c r="HE41" s="10"/>
      <x:c r="HF41" s="10"/>
      <x:c r="HG41" s="10" t="s">
        <x:v>426</x:v>
      </x:c>
      <x:c r="HH41" s="10"/>
      <x:c r="HI41" s="10"/>
      <x:c r="HJ41" s="10"/>
      <x:c r="HK41" s="11"/>
      <x:c r="HL41" s="12">
        <x:f t="shared" si="23"/>
        <x:v>1</x:v>
      </x:c>
      <x:c r="HM41" s="7"/>
      <x:c r="HN41" s="10"/>
      <x:c r="HO41" s="10"/>
      <x:c r="HP41" s="10" t="s">
        <x:v>426</x:v>
      </x:c>
      <x:c r="HQ41" s="10"/>
      <x:c r="HR41" s="10"/>
      <x:c r="HS41" s="10"/>
      <x:c r="HT41" s="10"/>
      <x:c r="HU41" s="10"/>
      <x:c r="HV41" s="11"/>
      <x:c r="HW41" s="12">
        <x:f t="shared" si="24"/>
        <x:v>1</x:v>
      </x:c>
      <x:c r="HX41" s="7"/>
      <x:c r="HY41" s="10" t="s">
        <x:v>426</x:v>
      </x:c>
      <x:c r="HZ41" s="10"/>
      <x:c r="IA41" s="10"/>
      <x:c r="IB41" s="10"/>
      <x:c r="IC41" s="12">
        <x:f t="shared" si="25"/>
        <x:v>1</x:v>
      </x:c>
      <x:c r="ID41" s="7"/>
      <x:c r="IE41" s="10"/>
      <x:c r="IF41" s="10" t="s">
        <x:v>426</x:v>
      </x:c>
      <x:c r="IG41" s="10" t="s">
        <x:v>426</x:v>
      </x:c>
      <x:c r="IH41" s="10"/>
      <x:c r="II41" s="10"/>
      <x:c r="IJ41" s="10"/>
      <x:c r="IK41" s="10"/>
      <x:c r="IL41" s="10"/>
      <x:c r="IM41" s="10"/>
      <x:c r="IN41" s="11"/>
      <x:c r="IO41" s="12">
        <x:f t="shared" si="26"/>
        <x:v>1</x:v>
      </x:c>
      <x:c r="IP41" s="7"/>
      <x:c r="IQ41" s="10" t="s">
        <x:v>426</x:v>
      </x:c>
      <x:c r="IR41" s="10"/>
      <x:c r="IS41" s="10"/>
      <x:c r="IT41" s="10"/>
      <x:c r="IU41" s="10"/>
      <x:c r="IV41" s="10"/>
      <x:c r="IW41" s="10"/>
      <x:c r="IX41" s="11"/>
      <x:c r="IY41" s="12">
        <x:f t="shared" si="27"/>
        <x:v>1</x:v>
      </x:c>
      <x:c r="IZ41" s="7"/>
      <x:c r="JA41" s="10"/>
      <x:c r="JB41" s="10"/>
      <x:c r="JC41" s="10" t="s">
        <x:v>426</x:v>
      </x:c>
      <x:c r="JD41" s="10"/>
      <x:c r="JE41" s="10"/>
      <x:c r="JF41" s="10"/>
      <x:c r="JG41" s="10"/>
      <x:c r="JH41" s="10"/>
      <x:c r="JI41" s="10"/>
      <x:c r="JJ41" s="10"/>
      <x:c r="JK41" s="10" t="s">
        <x:v>426</x:v>
      </x:c>
      <x:c r="JL41" s="10" t="s">
        <x:v>426</x:v>
      </x:c>
      <x:c r="JM41" s="10"/>
      <x:c r="JN41" s="10"/>
      <x:c r="JO41" s="10"/>
      <x:c r="JP41" s="10"/>
      <x:c r="JQ41" s="10"/>
      <x:c r="JR41" s="10"/>
      <x:c r="JS41" s="12">
        <x:f t="shared" si="28"/>
        <x:v>1</x:v>
      </x:c>
      <x:c r="JT41" s="7" t="s">
        <x:v>426</x:v>
      </x:c>
      <x:c r="JU41" s="10"/>
      <x:c r="JV41" s="10"/>
      <x:c r="JW41" s="10" t="s">
        <x:v>426</x:v>
      </x:c>
      <x:c r="JX41" s="10"/>
      <x:c r="JY41" s="10"/>
      <x:c r="JZ41" s="10"/>
      <x:c r="KA41" s="10"/>
      <x:c r="KB41" s="10"/>
      <x:c r="KC41" s="10"/>
      <x:c r="KD41" s="10"/>
      <x:c r="KE41" s="10"/>
      <x:c r="KF41" s="10" t="s">
        <x:v>426</x:v>
      </x:c>
      <x:c r="KG41" s="10"/>
      <x:c r="KH41" s="10"/>
      <x:c r="KI41" s="10"/>
      <x:c r="KJ41" s="10"/>
      <x:c r="KK41" s="10"/>
      <x:c r="KL41" s="10"/>
      <x:c r="KM41" s="12">
        <x:f t="shared" si="29"/>
        <x:v>1</x:v>
      </x:c>
      <x:c r="KN41" s="7"/>
      <x:c r="KO41" s="10"/>
      <x:c r="KP41" s="10"/>
      <x:c r="KQ41" s="10"/>
      <x:c r="KR41" s="10"/>
      <x:c r="KS41" s="10"/>
      <x:c r="KT41" s="10"/>
      <x:c r="KU41" s="10"/>
      <x:c r="KV41" s="10"/>
      <x:c r="KW41" s="10"/>
      <x:c r="KX41" s="10"/>
      <x:c r="KY41" s="10" t="s">
        <x:v>426</x:v>
      </x:c>
      <x:c r="KZ41" s="10" t="s">
        <x:v>426</x:v>
      </x:c>
      <x:c r="LA41" s="10"/>
      <x:c r="LB41" s="10"/>
      <x:c r="LC41" s="10"/>
      <x:c r="LD41" s="10"/>
      <x:c r="LE41" s="10"/>
      <x:c r="LF41" s="10"/>
      <x:c r="LG41" s="12">
        <x:f t="shared" si="30"/>
        <x:v>1</x:v>
      </x:c>
      <x:c r="LH41" s="7"/>
      <x:c r="LI41" s="10" t="s">
        <x:v>426</x:v>
      </x:c>
      <x:c r="LJ41" s="10"/>
      <x:c r="LK41" s="10"/>
      <x:c r="LL41" s="10"/>
      <x:c r="LM41" s="10"/>
      <x:c r="LN41" s="10"/>
      <x:c r="LO41" s="10"/>
      <x:c r="LP41" s="10"/>
      <x:c r="LQ41" s="11"/>
      <x:c r="LR41" s="12">
        <x:f t="shared" si="31"/>
        <x:v>1</x:v>
      </x:c>
      <x:c r="LS41" s="7"/>
      <x:c r="LT41" s="10"/>
      <x:c r="LU41" s="10"/>
      <x:c r="LV41" s="10" t="s">
        <x:v>426</x:v>
      </x:c>
      <x:c r="LW41" s="10"/>
      <x:c r="LX41" s="10"/>
      <x:c r="LY41" s="10"/>
      <x:c r="LZ41" s="10"/>
      <x:c r="MA41" s="10"/>
      <x:c r="MB41" s="11"/>
      <x:c r="MC41" s="12">
        <x:f t="shared" si="32"/>
        <x:v>1</x:v>
      </x:c>
      <x:c r="MD41" s="7"/>
      <x:c r="ME41" s="10" t="s">
        <x:v>426</x:v>
      </x:c>
      <x:c r="MF41" s="10"/>
      <x:c r="MG41" s="10"/>
      <x:c r="MH41" s="10"/>
      <x:c r="MI41" s="10"/>
      <x:c r="MJ41" s="10"/>
      <x:c r="MK41" s="12">
        <x:f t="shared" si="33"/>
        <x:v>1</x:v>
      </x:c>
      <x:c r="ML41" s="7"/>
      <x:c r="MM41" s="10"/>
      <x:c r="MN41" s="10"/>
      <x:c r="MO41" s="10"/>
      <x:c r="MP41" s="10"/>
      <x:c r="MQ41" s="10"/>
      <x:c r="MR41" s="10" t="s">
        <x:v>426</x:v>
      </x:c>
      <x:c r="MS41" s="10"/>
      <x:c r="MT41" s="10"/>
      <x:c r="MU41" s="11"/>
      <x:c r="MV41" s="12">
        <x:f t="shared" si="34"/>
        <x:v>1</x:v>
      </x:c>
      <x:c r="MW41" s="7"/>
      <x:c r="MX41" s="10"/>
      <x:c r="MY41" s="10"/>
      <x:c r="MZ41" s="10"/>
      <x:c r="NA41" s="10" t="s">
        <x:v>426</x:v>
      </x:c>
      <x:c r="NB41" s="10"/>
      <x:c r="NC41" s="10"/>
      <x:c r="ND41" s="10"/>
      <x:c r="NE41" s="10"/>
      <x:c r="NF41" s="11"/>
      <x:c r="NG41" s="12">
        <x:f t="shared" si="35"/>
        <x:v>1</x:v>
      </x:c>
      <x:c r="NH41" s="7"/>
      <x:c r="NI41" s="10"/>
      <x:c r="NJ41" s="10"/>
      <x:c r="NK41" s="10"/>
      <x:c r="NL41" s="10"/>
      <x:c r="NM41" s="10"/>
      <x:c r="NN41" s="10" t="s">
        <x:v>426</x:v>
      </x:c>
      <x:c r="NO41" s="10"/>
      <x:c r="NP41" s="10"/>
      <x:c r="NQ41" s="10"/>
      <x:c r="NR41" s="11"/>
      <x:c r="NS41" s="12">
        <x:f t="shared" si="36"/>
        <x:v>1</x:v>
      </x:c>
      <x:c r="NT41" s="7"/>
      <x:c r="NU41" s="10" t="s">
        <x:v>426</x:v>
      </x:c>
      <x:c r="NV41" s="10"/>
      <x:c r="NW41" s="10"/>
      <x:c r="NX41" s="10"/>
      <x:c r="NY41" s="12">
        <x:f t="shared" si="37"/>
        <x:v>1</x:v>
      </x:c>
      <x:c r="NZ41" s="7"/>
      <x:c r="OA41" s="10"/>
      <x:c r="OB41" s="10"/>
      <x:c r="OC41" s="10"/>
      <x:c r="OD41" s="10"/>
      <x:c r="OE41" s="10" t="s">
        <x:v>426</x:v>
      </x:c>
      <x:c r="OF41" s="10"/>
      <x:c r="OG41" s="10"/>
      <x:c r="OH41" s="10"/>
      <x:c r="OI41" s="10"/>
      <x:c r="OJ41" s="10"/>
      <x:c r="OK41" s="11"/>
      <x:c r="OL41" s="12">
        <x:f t="shared" si="38"/>
        <x:v>1</x:v>
      </x:c>
      <x:c r="OM41" s="7"/>
      <x:c r="ON41" s="10"/>
      <x:c r="OO41" s="10"/>
      <x:c r="OP41" s="10" t="s">
        <x:v>426</x:v>
      </x:c>
      <x:c r="OQ41" s="10"/>
      <x:c r="OR41" s="10"/>
      <x:c r="OS41" s="10"/>
      <x:c r="OT41" s="10"/>
      <x:c r="OU41" s="10"/>
      <x:c r="OV41" s="11"/>
      <x:c r="OW41" s="12">
        <x:f t="shared" si="39"/>
        <x:v>1</x:v>
      </x:c>
      <x:c r="OX41" s="7"/>
      <x:c r="OY41" s="10" t="s">
        <x:v>426</x:v>
      </x:c>
      <x:c r="OZ41" s="10"/>
      <x:c r="PA41" s="10"/>
      <x:c r="PB41" s="10"/>
      <x:c r="PC41" s="12">
        <x:f t="shared" si="40"/>
        <x:v>1</x:v>
      </x:c>
      <x:c r="PD41" s="7"/>
      <x:c r="PE41" s="10" t="s">
        <x:v>426</x:v>
      </x:c>
      <x:c r="PF41" s="10"/>
      <x:c r="PG41" s="10"/>
      <x:c r="PH41" s="10"/>
      <x:c r="PI41" s="10"/>
      <x:c r="PJ41" s="10" t="s">
        <x:v>426</x:v>
      </x:c>
      <x:c r="PK41" s="10"/>
      <x:c r="PL41" s="10"/>
      <x:c r="PM41" s="10"/>
      <x:c r="PN41" s="11"/>
      <x:c r="PO41" s="12">
        <x:f t="shared" si="41"/>
        <x:v>1</x:v>
      </x:c>
      <x:c r="PP41" s="7"/>
      <x:c r="PQ41" s="10"/>
      <x:c r="PR41" s="10" t="s">
        <x:v>426</x:v>
      </x:c>
      <x:c r="PS41" s="10"/>
      <x:c r="PT41" s="12">
        <x:f t="shared" si="42"/>
        <x:v>1</x:v>
      </x:c>
      <x:c r="PU41" s="7"/>
      <x:c r="PV41" s="10"/>
      <x:c r="PW41" s="10"/>
      <x:c r="PX41" s="10"/>
      <x:c r="PY41" s="10" t="s">
        <x:v>426</x:v>
      </x:c>
      <x:c r="PZ41" s="10"/>
      <x:c r="QA41" s="10"/>
      <x:c r="QB41" s="10"/>
      <x:c r="QC41" s="10"/>
      <x:c r="QD41" s="11"/>
      <x:c r="QE41" s="12">
        <x:f t="shared" si="43"/>
        <x:v>1</x:v>
      </x:c>
      <x:c r="QF41" s="7"/>
      <x:c r="QG41" s="10"/>
      <x:c r="QH41" s="10"/>
      <x:c r="QI41" s="10" t="s">
        <x:v>426</x:v>
      </x:c>
      <x:c r="QJ41" s="10"/>
      <x:c r="QK41" s="10"/>
      <x:c r="QL41" s="10"/>
      <x:c r="QM41" s="10"/>
      <x:c r="QN41" s="10"/>
      <x:c r="QO41" s="11"/>
      <x:c r="QP41" s="12">
        <x:f t="shared" si="44"/>
        <x:v>1</x:v>
      </x:c>
      <x:c r="QQ41" s="7"/>
      <x:c r="QR41" s="10"/>
      <x:c r="QS41" s="10"/>
      <x:c r="QT41" s="10"/>
      <x:c r="QU41" s="10"/>
      <x:c r="QV41" s="10"/>
      <x:c r="QW41" s="10"/>
      <x:c r="QX41" s="10" t="s">
        <x:v>426</x:v>
      </x:c>
      <x:c r="QY41" s="10"/>
      <x:c r="QZ41" s="11"/>
      <x:c r="RA41" s="12">
        <x:f t="shared" si="45"/>
        <x:v>1</x:v>
      </x:c>
      <x:c r="RB41" s="7"/>
      <x:c r="RC41" s="10"/>
      <x:c r="RD41" s="10"/>
      <x:c r="RE41" s="10"/>
      <x:c r="RF41" s="10"/>
      <x:c r="RG41" s="10"/>
      <x:c r="RH41" s="10" t="s">
        <x:v>426</x:v>
      </x:c>
      <x:c r="RI41" s="10"/>
      <x:c r="RJ41" s="11"/>
      <x:c r="RK41" s="12">
        <x:f t="shared" si="46"/>
        <x:v>1</x:v>
      </x:c>
      <x:c r="RL41" s="7"/>
      <x:c r="RM41" s="10" t="s">
        <x:v>426</x:v>
      </x:c>
      <x:c r="RN41" s="10" t="s">
        <x:v>426</x:v>
      </x:c>
      <x:c r="RO41" s="10"/>
      <x:c r="RP41" s="10"/>
      <x:c r="RQ41" s="10"/>
      <x:c r="RR41" s="10"/>
      <x:c r="RS41" s="10" t="s">
        <x:v>426</x:v>
      </x:c>
      <x:c r="RT41" s="10"/>
      <x:c r="RU41" s="11"/>
      <x:c r="RV41" s="12">
        <x:f t="shared" si="47"/>
        <x:v>1</x:v>
      </x:c>
      <x:c r="RW41" s="7"/>
      <x:c r="RX41" s="12">
        <x:f t="shared" si="48"/>
        <x:v>0</x:v>
      </x:c>
    </x:row>
    <x:row r="42" ht="16.5">
      <x:c r="A42" s="13" t="s">
        <x:v>498</x:v>
      </x:c>
      <x:c r="B42" s="14"/>
      <x:c r="C42" s="14"/>
      <x:c r="D42" s="14"/>
      <x:c r="E42" s="14"/>
      <x:c r="F42" s="14"/>
      <x:c r="G42" s="14"/>
      <x:c r="H42" s="14"/>
      <x:c r="I42" s="14"/>
      <x:c r="J42" s="14"/>
      <x:c r="K42" s="15"/>
      <x:c r="L42" s="13" t="s">
        <x:v>426</x:v>
      </x:c>
      <x:c r="M42" s="16"/>
      <x:c r="N42" s="16"/>
      <x:c r="O42" s="16"/>
      <x:c r="P42" s="17"/>
      <x:c r="Q42" s="12">
        <x:f t="shared" si="0"/>
        <x:v>1</x:v>
      </x:c>
      <x:c r="R42" s="13" t="s">
        <x:v>426</x:v>
      </x:c>
      <x:c r="S42" s="16"/>
      <x:c r="T42" s="16"/>
      <x:c r="U42" s="16"/>
      <x:c r="V42" s="16"/>
      <x:c r="W42" s="17"/>
      <x:c r="X42" s="12">
        <x:f t="shared" si="1"/>
        <x:v>1</x:v>
      </x:c>
      <x:c r="Y42" s="13"/>
      <x:c r="Z42" s="16"/>
      <x:c r="AA42" s="16"/>
      <x:c r="AB42" s="16" t="s">
        <x:v>426</x:v>
      </x:c>
      <x:c r="AC42" s="16"/>
      <x:c r="AD42" s="12">
        <x:f t="shared" si="2"/>
        <x:v>1</x:v>
      </x:c>
      <x:c r="AE42" s="13"/>
      <x:c r="AF42" s="16"/>
      <x:c r="AG42" s="16"/>
      <x:c r="AH42" s="16" t="s">
        <x:v>426</x:v>
      </x:c>
      <x:c r="AI42" s="16"/>
      <x:c r="AJ42" s="17"/>
      <x:c r="AK42" s="12">
        <x:f t="shared" si="3"/>
        <x:v>1</x:v>
      </x:c>
      <x:c r="AL42" s="13"/>
      <x:c r="AM42" s="16" t="s">
        <x:v>426</x:v>
      </x:c>
      <x:c r="AN42" s="16"/>
      <x:c r="AO42" s="12">
        <x:f t="shared" si="4"/>
        <x:v>1</x:v>
      </x:c>
      <x:c r="AP42" s="13" t="s">
        <x:v>426</x:v>
      </x:c>
      <x:c r="AQ42" s="16"/>
      <x:c r="AR42" s="16"/>
      <x:c r="AS42" s="16"/>
      <x:c r="AT42" s="16"/>
      <x:c r="AU42" s="16"/>
      <x:c r="AV42" s="16"/>
      <x:c r="AW42" s="17"/>
      <x:c r="AX42" s="12">
        <x:f t="shared" si="5"/>
        <x:v>1</x:v>
      </x:c>
      <x:c r="AY42" s="13" t="s">
        <x:v>426</x:v>
      </x:c>
      <x:c r="AZ42" s="16"/>
      <x:c r="BA42" s="16"/>
      <x:c r="BB42" s="16"/>
      <x:c r="BC42" s="16"/>
      <x:c r="BD42" s="16"/>
      <x:c r="BE42" s="16"/>
      <x:c r="BF42" s="16"/>
      <x:c r="BG42" s="17"/>
      <x:c r="BH42" s="12">
        <x:f t="shared" si="6"/>
        <x:v>1</x:v>
      </x:c>
      <x:c r="BI42" s="13" t="s">
        <x:v>426</x:v>
      </x:c>
      <x:c r="BJ42" s="16"/>
      <x:c r="BK42" s="16"/>
      <x:c r="BL42" s="16"/>
      <x:c r="BM42" s="16"/>
      <x:c r="BN42" s="16"/>
      <x:c r="BO42" s="16"/>
      <x:c r="BP42" s="17"/>
      <x:c r="BQ42" s="12">
        <x:f t="shared" si="7"/>
        <x:v>1</x:v>
      </x:c>
      <x:c r="BR42" s="13"/>
      <x:c r="BS42" s="16" t="s">
        <x:v>426</x:v>
      </x:c>
      <x:c r="BT42" s="16" t="s">
        <x:v>426</x:v>
      </x:c>
      <x:c r="BU42" s="16" t="s">
        <x:v>426</x:v>
      </x:c>
      <x:c r="BV42" s="16"/>
      <x:c r="BW42" s="16"/>
      <x:c r="BX42" s="16"/>
      <x:c r="BY42" s="17"/>
      <x:c r="BZ42" s="12">
        <x:f t="shared" si="8"/>
        <x:v>1</x:v>
      </x:c>
      <x:c r="CA42" s="13"/>
      <x:c r="CB42" s="16" t="s">
        <x:v>426</x:v>
      </x:c>
      <x:c r="CC42" s="16" t="s">
        <x:v>426</x:v>
      </x:c>
      <x:c r="CD42" s="16" t="s">
        <x:v>426</x:v>
      </x:c>
      <x:c r="CE42" s="16"/>
      <x:c r="CF42" s="16"/>
      <x:c r="CG42" s="16" t="s">
        <x:v>426</x:v>
      </x:c>
      <x:c r="CH42" s="16"/>
      <x:c r="CI42" s="16"/>
      <x:c r="CJ42" s="16"/>
      <x:c r="CK42" s="17"/>
      <x:c r="CL42" s="12">
        <x:f t="shared" si="9"/>
        <x:v>1</x:v>
      </x:c>
      <x:c r="CM42" s="13"/>
      <x:c r="CN42" s="16"/>
      <x:c r="CO42" s="16"/>
      <x:c r="CP42" s="16"/>
      <x:c r="CQ42" s="16"/>
      <x:c r="CR42" s="16"/>
      <x:c r="CS42" s="16"/>
      <x:c r="CT42" s="16"/>
      <x:c r="CU42" s="16"/>
      <x:c r="CV42" s="16"/>
      <x:c r="CW42" s="16"/>
      <x:c r="CX42" s="16"/>
      <x:c r="CY42" s="16" t="s">
        <x:v>426</x:v>
      </x:c>
      <x:c r="CZ42" s="16"/>
      <x:c r="DA42" s="17"/>
      <x:c r="DB42" s="12">
        <x:f t="shared" si="10"/>
        <x:v>1</x:v>
      </x:c>
      <x:c r="DC42" s="13"/>
      <x:c r="DD42" s="12">
        <x:f t="shared" si="11"/>
        <x:v>0</x:v>
      </x:c>
      <x:c r="DE42" s="13"/>
      <x:c r="DF42" s="16"/>
      <x:c r="DG42" s="16"/>
      <x:c r="DH42" s="16"/>
      <x:c r="DI42" s="16"/>
      <x:c r="DJ42" s="16"/>
      <x:c r="DK42" s="16" t="s">
        <x:v>426</x:v>
      </x:c>
      <x:c r="DL42" s="16"/>
      <x:c r="DM42" s="17"/>
      <x:c r="DN42" s="12">
        <x:f t="shared" si="12"/>
        <x:v>1</x:v>
      </x:c>
      <x:c r="DO42" s="13"/>
      <x:c r="DP42" s="16"/>
      <x:c r="DQ42" s="16" t="s">
        <x:v>426</x:v>
      </x:c>
      <x:c r="DR42" s="16"/>
      <x:c r="DS42" s="16"/>
      <x:c r="DT42" s="12">
        <x:f t="shared" si="13"/>
        <x:v>1</x:v>
      </x:c>
      <x:c r="DU42" s="13" t="s">
        <x:v>426</x:v>
      </x:c>
      <x:c r="DV42" s="16"/>
      <x:c r="DW42" s="16"/>
      <x:c r="DX42" s="16"/>
      <x:c r="DY42" s="16"/>
      <x:c r="DZ42" s="16"/>
      <x:c r="EA42" s="16"/>
      <x:c r="EB42" s="16"/>
      <x:c r="EC42" s="16"/>
      <x:c r="ED42" s="17"/>
      <x:c r="EE42" s="12">
        <x:f t="shared" si="14"/>
        <x:v>1</x:v>
      </x:c>
      <x:c r="EF42" s="13"/>
      <x:c r="EG42" s="16"/>
      <x:c r="EH42" s="16"/>
      <x:c r="EI42" s="16" t="s">
        <x:v>426</x:v>
      </x:c>
      <x:c r="EJ42" s="16"/>
      <x:c r="EK42" s="16"/>
      <x:c r="EL42" s="16"/>
      <x:c r="EM42" s="16"/>
      <x:c r="EN42" s="16"/>
      <x:c r="EO42" s="16"/>
      <x:c r="EP42" s="17"/>
      <x:c r="EQ42" s="12">
        <x:f t="shared" si="15"/>
        <x:v>1</x:v>
      </x:c>
      <x:c r="ER42" s="13" t="s">
        <x:v>426</x:v>
      </x:c>
      <x:c r="ES42" s="16"/>
      <x:c r="ET42" s="16"/>
      <x:c r="EU42" s="16"/>
      <x:c r="EV42" s="12">
        <x:f t="shared" si="16"/>
        <x:v>1</x:v>
      </x:c>
      <x:c r="EW42" s="13" t="s">
        <x:v>426</x:v>
      </x:c>
      <x:c r="EX42" s="16"/>
      <x:c r="EY42" s="16"/>
      <x:c r="EZ42" s="16"/>
      <x:c r="FA42" s="16"/>
      <x:c r="FB42" s="16"/>
      <x:c r="FC42" s="16"/>
      <x:c r="FD42" s="16"/>
      <x:c r="FE42" s="17"/>
      <x:c r="FF42" s="12">
        <x:f t="shared" si="17"/>
        <x:v>1</x:v>
      </x:c>
      <x:c r="FG42" s="13"/>
      <x:c r="FH42" s="16"/>
      <x:c r="FI42" s="16"/>
      <x:c r="FJ42" s="16"/>
      <x:c r="FK42" s="16" t="s">
        <x:v>426</x:v>
      </x:c>
      <x:c r="FL42" s="16"/>
      <x:c r="FM42" s="16"/>
      <x:c r="FN42" s="16"/>
      <x:c r="FO42" s="16"/>
      <x:c r="FP42" s="16"/>
      <x:c r="FQ42" s="16"/>
      <x:c r="FR42" s="16"/>
      <x:c r="FS42" s="16"/>
      <x:c r="FT42" s="16"/>
      <x:c r="FU42" s="17"/>
      <x:c r="FV42" s="12">
        <x:f t="shared" si="18"/>
        <x:v>1</x:v>
      </x:c>
      <x:c r="FW42" s="13"/>
      <x:c r="FX42" s="16"/>
      <x:c r="FY42" s="16"/>
      <x:c r="FZ42" s="16"/>
      <x:c r="GA42" s="16"/>
      <x:c r="GB42" s="16"/>
      <x:c r="GC42" s="16" t="s">
        <x:v>426</x:v>
      </x:c>
      <x:c r="GD42" s="16"/>
      <x:c r="GE42" s="17"/>
      <x:c r="GF42" s="12">
        <x:f t="shared" si="19"/>
        <x:v>1</x:v>
      </x:c>
      <x:c r="GG42" s="13" t="s">
        <x:v>426</x:v>
      </x:c>
      <x:c r="GH42" s="16" t="s">
        <x:v>426</x:v>
      </x:c>
      <x:c r="GI42" s="16" t="s">
        <x:v>426</x:v>
      </x:c>
      <x:c r="GJ42" s="16" t="s">
        <x:v>426</x:v>
      </x:c>
      <x:c r="GK42" s="16" t="s">
        <x:v>426</x:v>
      </x:c>
      <x:c r="GL42" s="16"/>
      <x:c r="GM42" s="12">
        <x:f t="shared" si="20"/>
        <x:v>1</x:v>
      </x:c>
      <x:c r="GN42" s="13" t="s">
        <x:v>426</x:v>
      </x:c>
      <x:c r="GO42" s="16" t="s">
        <x:v>426</x:v>
      </x:c>
      <x:c r="GP42" s="16" t="s">
        <x:v>426</x:v>
      </x:c>
      <x:c r="GQ42" s="16" t="s">
        <x:v>426</x:v>
      </x:c>
      <x:c r="GR42" s="16" t="s">
        <x:v>426</x:v>
      </x:c>
      <x:c r="GS42" s="16"/>
      <x:c r="GT42" s="12">
        <x:f t="shared" si="21"/>
        <x:v>1</x:v>
      </x:c>
      <x:c r="GU42" s="13"/>
      <x:c r="GV42" s="16"/>
      <x:c r="GW42" s="16" t="s">
        <x:v>426</x:v>
      </x:c>
      <x:c r="GX42" s="16"/>
      <x:c r="GY42" s="12">
        <x:f t="shared" si="22"/>
        <x:v>1</x:v>
      </x:c>
      <x:c r="GZ42" s="13" t="s">
        <x:v>426</x:v>
      </x:c>
      <x:c r="HA42" s="16" t="s">
        <x:v>426</x:v>
      </x:c>
      <x:c r="HB42" s="16"/>
      <x:c r="HC42" s="16" t="s">
        <x:v>426</x:v>
      </x:c>
      <x:c r="HD42" s="16"/>
      <x:c r="HE42" s="16"/>
      <x:c r="HF42" s="16"/>
      <x:c r="HG42" s="16"/>
      <x:c r="HH42" s="16"/>
      <x:c r="HI42" s="16"/>
      <x:c r="HJ42" s="16"/>
      <x:c r="HK42" s="17"/>
      <x:c r="HL42" s="12">
        <x:f t="shared" si="23"/>
        <x:v>1</x:v>
      </x:c>
      <x:c r="HM42" s="13"/>
      <x:c r="HN42" s="16"/>
      <x:c r="HO42" s="16"/>
      <x:c r="HP42" s="16"/>
      <x:c r="HQ42" s="16"/>
      <x:c r="HR42" s="16"/>
      <x:c r="HS42" s="16"/>
      <x:c r="HT42" s="16" t="s">
        <x:v>426</x:v>
      </x:c>
      <x:c r="HU42" s="16"/>
      <x:c r="HV42" s="17"/>
      <x:c r="HW42" s="12">
        <x:f t="shared" si="24"/>
        <x:v>1</x:v>
      </x:c>
      <x:c r="HX42" s="13"/>
      <x:c r="HY42" s="16" t="s">
        <x:v>426</x:v>
      </x:c>
      <x:c r="HZ42" s="16"/>
      <x:c r="IA42" s="16"/>
      <x:c r="IB42" s="16"/>
      <x:c r="IC42" s="12">
        <x:f t="shared" si="25"/>
        <x:v>1</x:v>
      </x:c>
      <x:c r="ID42" s="13" t="s">
        <x:v>426</x:v>
      </x:c>
      <x:c r="IE42" s="16" t="s">
        <x:v>426</x:v>
      </x:c>
      <x:c r="IF42" s="16" t="s">
        <x:v>426</x:v>
      </x:c>
      <x:c r="IG42" s="16"/>
      <x:c r="IH42" s="16"/>
      <x:c r="II42" s="16"/>
      <x:c r="IJ42" s="16"/>
      <x:c r="IK42" s="16"/>
      <x:c r="IL42" s="16"/>
      <x:c r="IM42" s="16"/>
      <x:c r="IN42" s="17"/>
      <x:c r="IO42" s="12">
        <x:f t="shared" si="26"/>
        <x:v>1</x:v>
      </x:c>
      <x:c r="IP42" s="13"/>
      <x:c r="IQ42" s="16"/>
      <x:c r="IR42" s="16"/>
      <x:c r="IS42" s="16"/>
      <x:c r="IT42" s="16"/>
      <x:c r="IU42" s="16"/>
      <x:c r="IV42" s="16" t="s">
        <x:v>426</x:v>
      </x:c>
      <x:c r="IW42" s="16"/>
      <x:c r="IX42" s="17"/>
      <x:c r="IY42" s="12">
        <x:f t="shared" si="27"/>
        <x:v>1</x:v>
      </x:c>
      <x:c r="IZ42" s="13" t="s">
        <x:v>426</x:v>
      </x:c>
      <x:c r="JA42" s="16"/>
      <x:c r="JB42" s="16"/>
      <x:c r="JC42" s="16"/>
      <x:c r="JD42" s="16"/>
      <x:c r="JE42" s="16"/>
      <x:c r="JF42" s="16"/>
      <x:c r="JG42" s="16"/>
      <x:c r="JH42" s="16"/>
      <x:c r="JI42" s="16"/>
      <x:c r="JJ42" s="16"/>
      <x:c r="JK42" s="16"/>
      <x:c r="JL42" s="16"/>
      <x:c r="JM42" s="16"/>
      <x:c r="JN42" s="16"/>
      <x:c r="JO42" s="16"/>
      <x:c r="JP42" s="16"/>
      <x:c r="JQ42" s="16"/>
      <x:c r="JR42" s="16"/>
      <x:c r="JS42" s="12">
        <x:f t="shared" si="28"/>
        <x:v>1</x:v>
      </x:c>
      <x:c r="JT42" s="13"/>
      <x:c r="JU42" s="16"/>
      <x:c r="JV42" s="16"/>
      <x:c r="JW42" s="16"/>
      <x:c r="JX42" s="16"/>
      <x:c r="JY42" s="16"/>
      <x:c r="JZ42" s="16"/>
      <x:c r="KA42" s="16"/>
      <x:c r="KB42" s="16"/>
      <x:c r="KC42" s="16"/>
      <x:c r="KD42" s="16"/>
      <x:c r="KE42" s="16"/>
      <x:c r="KF42" s="16"/>
      <x:c r="KG42" s="16"/>
      <x:c r="KH42" s="16"/>
      <x:c r="KI42" s="16"/>
      <x:c r="KJ42" s="16"/>
      <x:c r="KK42" s="16"/>
      <x:c r="KL42" s="16" t="s">
        <x:v>426</x:v>
      </x:c>
      <x:c r="KM42" s="12">
        <x:f t="shared" si="29"/>
        <x:v>1</x:v>
      </x:c>
      <x:c r="KN42" s="13" t="s">
        <x:v>426</x:v>
      </x:c>
      <x:c r="KO42" s="16"/>
      <x:c r="KP42" s="16"/>
      <x:c r="KQ42" s="16"/>
      <x:c r="KR42" s="16"/>
      <x:c r="KS42" s="16"/>
      <x:c r="KT42" s="16"/>
      <x:c r="KU42" s="16"/>
      <x:c r="KV42" s="16"/>
      <x:c r="KW42" s="16"/>
      <x:c r="KX42" s="16"/>
      <x:c r="KY42" s="16"/>
      <x:c r="KZ42" s="16"/>
      <x:c r="LA42" s="16"/>
      <x:c r="LB42" s="16"/>
      <x:c r="LC42" s="16"/>
      <x:c r="LD42" s="16"/>
      <x:c r="LE42" s="16"/>
      <x:c r="LF42" s="16"/>
      <x:c r="LG42" s="12">
        <x:f t="shared" si="30"/>
        <x:v>1</x:v>
      </x:c>
      <x:c r="LH42" s="13"/>
      <x:c r="LI42" s="16"/>
      <x:c r="LJ42" s="16"/>
      <x:c r="LK42" s="16"/>
      <x:c r="LL42" s="16"/>
      <x:c r="LM42" s="16"/>
      <x:c r="LN42" s="16"/>
      <x:c r="LO42" s="16"/>
      <x:c r="LP42" s="16"/>
      <x:c r="LQ42" s="17"/>
      <x:c r="LR42" s="12">
        <x:f t="shared" si="31"/>
        <x:v>0</x:v>
      </x:c>
      <x:c r="LS42" s="13" t="s">
        <x:v>426</x:v>
      </x:c>
      <x:c r="LT42" s="16"/>
      <x:c r="LU42" s="16"/>
      <x:c r="LV42" s="16"/>
      <x:c r="LW42" s="16"/>
      <x:c r="LX42" s="16"/>
      <x:c r="LY42" s="16"/>
      <x:c r="LZ42" s="16"/>
      <x:c r="MA42" s="16"/>
      <x:c r="MB42" s="17"/>
      <x:c r="MC42" s="12">
        <x:f t="shared" si="32"/>
        <x:v>1</x:v>
      </x:c>
      <x:c r="MD42" s="13" t="s">
        <x:v>426</x:v>
      </x:c>
      <x:c r="ME42" s="16"/>
      <x:c r="MF42" s="16"/>
      <x:c r="MG42" s="16"/>
      <x:c r="MH42" s="16"/>
      <x:c r="MI42" s="16"/>
      <x:c r="MJ42" s="16"/>
      <x:c r="MK42" s="12">
        <x:f t="shared" si="33"/>
        <x:v>1</x:v>
      </x:c>
      <x:c r="ML42" s="13"/>
      <x:c r="MM42" s="16" t="s">
        <x:v>426</x:v>
      </x:c>
      <x:c r="MN42" s="16"/>
      <x:c r="MO42" s="16"/>
      <x:c r="MP42" s="16"/>
      <x:c r="MQ42" s="16"/>
      <x:c r="MR42" s="16"/>
      <x:c r="MS42" s="16"/>
      <x:c r="MT42" s="16"/>
      <x:c r="MU42" s="17"/>
      <x:c r="MV42" s="12">
        <x:f t="shared" si="34"/>
        <x:v>1</x:v>
      </x:c>
      <x:c r="MW42" s="13"/>
      <x:c r="MX42" s="16"/>
      <x:c r="MY42" s="16"/>
      <x:c r="MZ42" s="16"/>
      <x:c r="NA42" s="16"/>
      <x:c r="NB42" s="16"/>
      <x:c r="NC42" s="16" t="s">
        <x:v>426</x:v>
      </x:c>
      <x:c r="ND42" s="16"/>
      <x:c r="NE42" s="16"/>
      <x:c r="NF42" s="17"/>
      <x:c r="NG42" s="12">
        <x:f t="shared" si="35"/>
        <x:v>1</x:v>
      </x:c>
      <x:c r="NH42" s="13"/>
      <x:c r="NI42" s="16"/>
      <x:c r="NJ42" s="16"/>
      <x:c r="NK42" s="16"/>
      <x:c r="NL42" s="16"/>
      <x:c r="NM42" s="16"/>
      <x:c r="NN42" s="16"/>
      <x:c r="NO42" s="16"/>
      <x:c r="NP42" s="16" t="s">
        <x:v>426</x:v>
      </x:c>
      <x:c r="NQ42" s="16"/>
      <x:c r="NR42" s="17"/>
      <x:c r="NS42" s="12">
        <x:f t="shared" si="36"/>
        <x:v>1</x:v>
      </x:c>
      <x:c r="NT42" s="13"/>
      <x:c r="NU42" s="16"/>
      <x:c r="NV42" s="16" t="s">
        <x:v>426</x:v>
      </x:c>
      <x:c r="NW42" s="16"/>
      <x:c r="NX42" s="16"/>
      <x:c r="NY42" s="12">
        <x:f t="shared" si="37"/>
        <x:v>1</x:v>
      </x:c>
      <x:c r="NZ42" s="13"/>
      <x:c r="OA42" s="16"/>
      <x:c r="OB42" s="16"/>
      <x:c r="OC42" s="16"/>
      <x:c r="OD42" s="16"/>
      <x:c r="OE42" s="16"/>
      <x:c r="OF42" s="16" t="s">
        <x:v>426</x:v>
      </x:c>
      <x:c r="OG42" s="16"/>
      <x:c r="OH42" s="16"/>
      <x:c r="OI42" s="16"/>
      <x:c r="OJ42" s="16"/>
      <x:c r="OK42" s="17"/>
      <x:c r="OL42" s="12">
        <x:f t="shared" si="38"/>
        <x:v>1</x:v>
      </x:c>
      <x:c r="OM42" s="13" t="s">
        <x:v>426</x:v>
      </x:c>
      <x:c r="ON42" s="16" t="s">
        <x:v>426</x:v>
      </x:c>
      <x:c r="OO42" s="16" t="s">
        <x:v>426</x:v>
      </x:c>
      <x:c r="OP42" s="16" t="s">
        <x:v>426</x:v>
      </x:c>
      <x:c r="OQ42" s="16" t="s">
        <x:v>426</x:v>
      </x:c>
      <x:c r="OR42" s="16" t="s">
        <x:v>426</x:v>
      </x:c>
      <x:c r="OS42" s="16" t="s">
        <x:v>426</x:v>
      </x:c>
      <x:c r="OT42" s="16"/>
      <x:c r="OU42" s="16"/>
      <x:c r="OV42" s="17"/>
      <x:c r="OW42" s="12">
        <x:f t="shared" si="39"/>
        <x:v>1</x:v>
      </x:c>
      <x:c r="OX42" s="13"/>
      <x:c r="OY42" s="16" t="s">
        <x:v>426</x:v>
      </x:c>
      <x:c r="OZ42" s="16"/>
      <x:c r="PA42" s="16"/>
      <x:c r="PB42" s="16"/>
      <x:c r="PC42" s="12">
        <x:f t="shared" si="40"/>
        <x:v>1</x:v>
      </x:c>
      <x:c r="PD42" s="13" t="s">
        <x:v>426</x:v>
      </x:c>
      <x:c r="PE42" s="16" t="s">
        <x:v>426</x:v>
      </x:c>
      <x:c r="PF42" s="16" t="s">
        <x:v>426</x:v>
      </x:c>
      <x:c r="PG42" s="16"/>
      <x:c r="PH42" s="16"/>
      <x:c r="PI42" s="16"/>
      <x:c r="PJ42" s="16" t="s">
        <x:v>426</x:v>
      </x:c>
      <x:c r="PK42" s="16"/>
      <x:c r="PL42" s="16"/>
      <x:c r="PM42" s="16"/>
      <x:c r="PN42" s="17"/>
      <x:c r="PO42" s="12">
        <x:f t="shared" si="41"/>
        <x:v>1</x:v>
      </x:c>
      <x:c r="PP42" s="13"/>
      <x:c r="PQ42" s="16"/>
      <x:c r="PR42" s="16" t="s">
        <x:v>426</x:v>
      </x:c>
      <x:c r="PS42" s="16"/>
      <x:c r="PT42" s="12">
        <x:f t="shared" si="42"/>
        <x:v>1</x:v>
      </x:c>
      <x:c r="PU42" s="13" t="s">
        <x:v>426</x:v>
      </x:c>
      <x:c r="PV42" s="16"/>
      <x:c r="PW42" s="16"/>
      <x:c r="PX42" s="16"/>
      <x:c r="PY42" s="16"/>
      <x:c r="PZ42" s="16"/>
      <x:c r="QA42" s="16"/>
      <x:c r="QB42" s="16"/>
      <x:c r="QC42" s="16"/>
      <x:c r="QD42" s="17"/>
      <x:c r="QE42" s="12">
        <x:f t="shared" si="43"/>
        <x:v>1</x:v>
      </x:c>
      <x:c r="QF42" s="13" t="s">
        <x:v>426</x:v>
      </x:c>
      <x:c r="QG42" s="16"/>
      <x:c r="QH42" s="16" t="s">
        <x:v>426</x:v>
      </x:c>
      <x:c r="QI42" s="16" t="s">
        <x:v>426</x:v>
      </x:c>
      <x:c r="QJ42" s="16" t="s">
        <x:v>426</x:v>
      </x:c>
      <x:c r="QK42" s="16" t="s">
        <x:v>426</x:v>
      </x:c>
      <x:c r="QL42" s="16" t="s">
        <x:v>426</x:v>
      </x:c>
      <x:c r="QM42" s="16" t="s">
        <x:v>426</x:v>
      </x:c>
      <x:c r="QN42" s="16"/>
      <x:c r="QO42" s="17"/>
      <x:c r="QP42" s="12">
        <x:f t="shared" si="44"/>
        <x:v>1</x:v>
      </x:c>
      <x:c r="QQ42" s="13" t="s">
        <x:v>426</x:v>
      </x:c>
      <x:c r="QR42" s="16"/>
      <x:c r="QS42" s="16"/>
      <x:c r="QT42" s="16"/>
      <x:c r="QU42" s="16" t="s">
        <x:v>426</x:v>
      </x:c>
      <x:c r="QV42" s="16"/>
      <x:c r="QW42" s="16"/>
      <x:c r="QX42" s="16"/>
      <x:c r="QY42" s="16"/>
      <x:c r="QZ42" s="17"/>
      <x:c r="RA42" s="12">
        <x:f t="shared" si="45"/>
        <x:v>1</x:v>
      </x:c>
      <x:c r="RB42" s="13" t="s">
        <x:v>426</x:v>
      </x:c>
      <x:c r="RC42" s="16" t="s">
        <x:v>426</x:v>
      </x:c>
      <x:c r="RD42" s="16" t="s">
        <x:v>426</x:v>
      </x:c>
      <x:c r="RE42" s="16" t="s">
        <x:v>426</x:v>
      </x:c>
      <x:c r="RF42" s="16" t="s">
        <x:v>426</x:v>
      </x:c>
      <x:c r="RG42" s="16" t="s">
        <x:v>426</x:v>
      </x:c>
      <x:c r="RH42" s="16"/>
      <x:c r="RI42" s="16"/>
      <x:c r="RJ42" s="17"/>
      <x:c r="RK42" s="12">
        <x:f t="shared" si="46"/>
        <x:v>1</x:v>
      </x:c>
      <x:c r="RL42" s="13" t="s">
        <x:v>426</x:v>
      </x:c>
      <x:c r="RM42" s="16"/>
      <x:c r="RN42" s="16" t="s">
        <x:v>426</x:v>
      </x:c>
      <x:c r="RO42" s="16"/>
      <x:c r="RP42" s="16" t="s">
        <x:v>426</x:v>
      </x:c>
      <x:c r="RQ42" s="16"/>
      <x:c r="RR42" s="16"/>
      <x:c r="RS42" s="16"/>
      <x:c r="RT42" s="16"/>
      <x:c r="RU42" s="17"/>
      <x:c r="RV42" s="12">
        <x:f t="shared" si="47"/>
        <x:v>1</x:v>
      </x:c>
      <x:c r="RW42" s="13"/>
      <x:c r="RX42" s="12">
        <x:f t="shared" si="48"/>
        <x:v>0</x:v>
      </x:c>
    </x:row>
    <x:row r="44" ht="16.5">
      <x:c r="A44" s="18" t="s">
        <x:v>499</x:v>
      </x:c>
      <x:c r="L44" t="n">
        <x:f>COUNTIF(L5:L42,"〇")</x:f>
        <x:v>24</x:v>
      </x:c>
      <x:c r="M44" t="n">
        <x:f>COUNTIF(M5:M42,"〇")</x:f>
        <x:v>9</x:v>
      </x:c>
      <x:c r="N44" t="n">
        <x:f>COUNTIF(N5:N42,"〇")</x:f>
        <x:v>4</x:v>
      </x:c>
      <x:c r="O44" t="n">
        <x:f>COUNTIF(O5:O42,"〇")</x:f>
        <x:v>1</x:v>
      </x:c>
      <x:c r="Q44" s="19" t="n">
        <x:f>SUM(Q5:Q42)</x:f>
        <x:v>38</x:v>
      </x:c>
      <x:c r="R44" t="n">
        <x:f>COUNTIF(R5:R42,"〇")</x:f>
        <x:v>22</x:v>
      </x:c>
      <x:c r="S44" t="n">
        <x:f>COUNTIF(S5:S42,"〇")</x:f>
        <x:v>8</x:v>
      </x:c>
      <x:c r="T44" t="n">
        <x:f>COUNTIF(T5:T42,"〇")</x:f>
        <x:v>2</x:v>
      </x:c>
      <x:c r="U44" t="n">
        <x:f>COUNTIF(U5:U42,"〇")</x:f>
        <x:v>6</x:v>
      </x:c>
      <x:c r="V44" t="n">
        <x:f>COUNTIF(V5:V42,"〇")</x:f>
        <x:v>0</x:v>
      </x:c>
      <x:c r="X44" s="19" t="n">
        <x:f>SUM(X5:X42)</x:f>
        <x:v>38</x:v>
      </x:c>
      <x:c r="Y44" t="n">
        <x:f>COUNTIF(Y5:Y42,"〇")</x:f>
        <x:v>0</x:v>
      </x:c>
      <x:c r="Z44" t="n">
        <x:f>COUNTIF(Z5:Z42,"〇")</x:f>
        <x:v>3</x:v>
      </x:c>
      <x:c r="AA44" t="n">
        <x:f>COUNTIF(AA5:AA42,"〇")</x:f>
        <x:v>2</x:v>
      </x:c>
      <x:c r="AB44" t="n">
        <x:f>COUNTIF(AB5:AB42,"〇")</x:f>
        <x:v>7</x:v>
      </x:c>
      <x:c r="AC44" t="n">
        <x:f>COUNTIF(AC5:AC42,"〇")</x:f>
        <x:v>25</x:v>
      </x:c>
      <x:c r="AD44" s="19" t="n">
        <x:f>SUM(AD5:AD42)</x:f>
        <x:v>37</x:v>
      </x:c>
      <x:c r="AE44" t="n">
        <x:f>COUNTIF(AE5:AE42,"〇")</x:f>
        <x:v>17</x:v>
      </x:c>
      <x:c r="AF44" t="n">
        <x:f>COUNTIF(AF5:AF42,"〇")</x:f>
        <x:v>7</x:v>
      </x:c>
      <x:c r="AG44" t="n">
        <x:f>COUNTIF(AG5:AG42,"〇")</x:f>
        <x:v>3</x:v>
      </x:c>
      <x:c r="AH44" t="n">
        <x:f>COUNTIF(AH5:AH42,"〇")</x:f>
        <x:v>10</x:v>
      </x:c>
      <x:c r="AI44" t="n">
        <x:f>COUNTIF(AI5:AI42,"〇")</x:f>
        <x:v>1</x:v>
      </x:c>
      <x:c r="AK44" s="19" t="n">
        <x:f>SUM(AK5:AK42)</x:f>
        <x:v>38</x:v>
      </x:c>
      <x:c r="AL44" t="n">
        <x:f>COUNTIF(AL5:AL42,"〇")</x:f>
        <x:v>16</x:v>
      </x:c>
      <x:c r="AM44" t="n">
        <x:f>COUNTIF(AM5:AM42,"〇")</x:f>
        <x:v>22</x:v>
      </x:c>
      <x:c r="AN44" t="n">
        <x:f>COUNTIF(AN5:AN42,"〇")</x:f>
        <x:v>0</x:v>
      </x:c>
      <x:c r="AO44" s="19" t="n">
        <x:f>SUM(AO5:AO42)</x:f>
        <x:v>38</x:v>
      </x:c>
      <x:c r="AP44" t="n">
        <x:f t="shared" ref="AP44:AV44" si="49">COUNTIF(AP5:AP42,"〇")</x:f>
        <x:v>29</x:v>
      </x:c>
      <x:c r="AQ44">
        <x:f t="shared" si="49"/>
        <x:v>2</x:v>
      </x:c>
      <x:c r="AR44">
        <x:f t="shared" si="49"/>
        <x:v>6</x:v>
      </x:c>
      <x:c r="AS44">
        <x:f t="shared" si="49"/>
        <x:v>4</x:v>
      </x:c>
      <x:c r="AT44">
        <x:f t="shared" si="49"/>
        <x:v>0</x:v>
      </x:c>
      <x:c r="AU44">
        <x:f t="shared" si="49"/>
        <x:v>0</x:v>
      </x:c>
      <x:c r="AV44">
        <x:f t="shared" si="49"/>
        <x:v>2</x:v>
      </x:c>
      <x:c r="AX44" s="19" t="n">
        <x:f>SUM(AX5:AX42)</x:f>
        <x:v>37</x:v>
      </x:c>
      <x:c r="AY44" t="n">
        <x:f t="shared" ref="AY44:BF44" si="50">COUNTIF(AY5:AY42,"〇")</x:f>
        <x:v>26</x:v>
      </x:c>
      <x:c r="AZ44">
        <x:f t="shared" si="50"/>
        <x:v>2</x:v>
      </x:c>
      <x:c r="BA44">
        <x:f t="shared" si="50"/>
        <x:v>4</x:v>
      </x:c>
      <x:c r="BB44">
        <x:f t="shared" si="50"/>
        <x:v>3</x:v>
      </x:c>
      <x:c r="BC44">
        <x:f t="shared" si="50"/>
        <x:v>0</x:v>
      </x:c>
      <x:c r="BD44">
        <x:f t="shared" si="50"/>
        <x:v>0</x:v>
      </x:c>
      <x:c r="BE44">
        <x:f t="shared" si="50"/>
        <x:v>0</x:v>
      </x:c>
      <x:c r="BF44">
        <x:f t="shared" si="50"/>
        <x:v>2</x:v>
      </x:c>
      <x:c r="BH44" s="19" t="n">
        <x:f>SUM(BH5:BH42)</x:f>
        <x:v>37</x:v>
      </x:c>
      <x:c r="BI44" t="n">
        <x:f t="shared" ref="BI44:BO44" si="51">COUNTIF(BI5:BI42,"〇")</x:f>
        <x:v>24</x:v>
      </x:c>
      <x:c r="BJ44">
        <x:f t="shared" si="51"/>
        <x:v>6</x:v>
      </x:c>
      <x:c r="BK44">
        <x:f t="shared" si="51"/>
        <x:v>3</x:v>
      </x:c>
      <x:c r="BL44">
        <x:f t="shared" si="51"/>
        <x:v>2</x:v>
      </x:c>
      <x:c r="BM44">
        <x:f t="shared" si="51"/>
        <x:v>1</x:v>
      </x:c>
      <x:c r="BN44">
        <x:f t="shared" si="51"/>
        <x:v>1</x:v>
      </x:c>
      <x:c r="BO44">
        <x:f t="shared" si="51"/>
        <x:v>0</x:v>
      </x:c>
      <x:c r="BQ44" s="19" t="n">
        <x:f>SUM(BQ5:BQ42)</x:f>
        <x:v>37</x:v>
      </x:c>
      <x:c r="BR44" t="n">
        <x:f t="shared" ref="BR44:BX44" si="52">COUNTIF(BR5:BR42,"〇")</x:f>
        <x:v>5</x:v>
      </x:c>
      <x:c r="BS44">
        <x:f t="shared" si="52"/>
        <x:v>14</x:v>
      </x:c>
      <x:c r="BT44">
        <x:f t="shared" si="52"/>
        <x:v>7</x:v>
      </x:c>
      <x:c r="BU44">
        <x:f t="shared" si="52"/>
        <x:v>11</x:v>
      </x:c>
      <x:c r="BV44">
        <x:f t="shared" si="52"/>
        <x:v>2</x:v>
      </x:c>
      <x:c r="BW44">
        <x:f t="shared" si="52"/>
        <x:v>1</x:v>
      </x:c>
      <x:c r="BX44">
        <x:f t="shared" si="52"/>
        <x:v>3</x:v>
      </x:c>
      <x:c r="BZ44" s="19" t="n">
        <x:f>SUM(BZ5:BZ42)</x:f>
        <x:v>34</x:v>
      </x:c>
      <x:c r="CA44" t="n">
        <x:f t="shared" ref="CA44:CJ44" si="53">COUNTIF(CA5:CA42,"〇")</x:f>
        <x:v>17</x:v>
      </x:c>
      <x:c r="CB44">
        <x:f t="shared" si="53"/>
        <x:v>5</x:v>
      </x:c>
      <x:c r="CC44">
        <x:f t="shared" si="53"/>
        <x:v>6</x:v>
      </x:c>
      <x:c r="CD44">
        <x:f t="shared" si="53"/>
        <x:v>9</x:v>
      </x:c>
      <x:c r="CE44">
        <x:f t="shared" si="53"/>
        <x:v>0</x:v>
      </x:c>
      <x:c r="CF44">
        <x:f t="shared" si="53"/>
        <x:v>1</x:v>
      </x:c>
      <x:c r="CG44">
        <x:f t="shared" si="53"/>
        <x:v>2</x:v>
      </x:c>
      <x:c r="CH44">
        <x:f t="shared" si="53"/>
        <x:v>7</x:v>
      </x:c>
      <x:c r="CI44">
        <x:f t="shared" si="53"/>
        <x:v>1</x:v>
      </x:c>
      <x:c r="CJ44">
        <x:f t="shared" si="53"/>
        <x:v>0</x:v>
      </x:c>
      <x:c r="CL44" s="19" t="n">
        <x:f>SUM(CL5:CL42)</x:f>
        <x:v>37</x:v>
      </x:c>
      <x:c r="CM44" t="n">
        <x:f t="shared" ref="CM44:CZ44" si="54">COUNTIF(CM5:CM42,"〇")</x:f>
        <x:v>1</x:v>
      </x:c>
      <x:c r="CN44">
        <x:f t="shared" si="54"/>
        <x:v>4</x:v>
      </x:c>
      <x:c r="CO44">
        <x:f t="shared" si="54"/>
        <x:v>4</x:v>
      </x:c>
      <x:c r="CP44">
        <x:f t="shared" si="54"/>
        <x:v>2</x:v>
      </x:c>
      <x:c r="CQ44">
        <x:f t="shared" si="54"/>
        <x:v>5</x:v>
      </x:c>
      <x:c r="CR44">
        <x:f t="shared" si="54"/>
        <x:v>4</x:v>
      </x:c>
      <x:c r="CS44">
        <x:f t="shared" si="54"/>
        <x:v>7</x:v>
      </x:c>
      <x:c r="CT44">
        <x:f t="shared" si="54"/>
        <x:v>10</x:v>
      </x:c>
      <x:c r="CU44">
        <x:f t="shared" si="54"/>
        <x:v>5</x:v>
      </x:c>
      <x:c r="CV44">
        <x:f t="shared" si="54"/>
        <x:v>10</x:v>
      </x:c>
      <x:c r="CW44">
        <x:f t="shared" si="54"/>
        <x:v>1</x:v>
      </x:c>
      <x:c r="CX44">
        <x:f t="shared" si="54"/>
        <x:v>11</x:v>
      </x:c>
      <x:c r="CY44">
        <x:f t="shared" si="54"/>
        <x:v>13</x:v>
      </x:c>
      <x:c r="CZ44">
        <x:f t="shared" si="54"/>
        <x:v>1</x:v>
      </x:c>
      <x:c r="DB44" s="19" t="n">
        <x:f>SUM(DB5:DB42)</x:f>
        <x:v>36</x:v>
      </x:c>
      <x:c r="DD44" s="19" t="n">
        <x:f>SUM(DD5:DD42)</x:f>
        <x:v>9</x:v>
      </x:c>
      <x:c r="DE44" t="n">
        <x:f t="shared" ref="DE44:DL44" si="55">COUNTIF(DE5:DE42,"〇")</x:f>
        <x:v>15</x:v>
      </x:c>
      <x:c r="DF44">
        <x:f t="shared" si="55"/>
        <x:v>6</x:v>
      </x:c>
      <x:c r="DG44">
        <x:f t="shared" si="55"/>
        <x:v>2</x:v>
      </x:c>
      <x:c r="DH44">
        <x:f t="shared" si="55"/>
        <x:v>2</x:v>
      </x:c>
      <x:c r="DI44">
        <x:f t="shared" si="55"/>
        <x:v>4</x:v>
      </x:c>
      <x:c r="DJ44">
        <x:f t="shared" si="55"/>
        <x:v>0</x:v>
      </x:c>
      <x:c r="DK44">
        <x:f t="shared" si="55"/>
        <x:v>6</x:v>
      </x:c>
      <x:c r="DL44">
        <x:f t="shared" si="55"/>
        <x:v>1</x:v>
      </x:c>
      <x:c r="DN44" s="19" t="n">
        <x:f>SUM(DN5:DN42)</x:f>
        <x:v>36</x:v>
      </x:c>
      <x:c r="DO44" t="n">
        <x:f>COUNTIF(DO5:DO42,"〇")</x:f>
        <x:v>11</x:v>
      </x:c>
      <x:c r="DP44" t="n">
        <x:f>COUNTIF(DP5:DP42,"〇")</x:f>
        <x:v>6</x:v>
      </x:c>
      <x:c r="DQ44" t="n">
        <x:f>COUNTIF(DQ5:DQ42,"〇")</x:f>
        <x:v>6</x:v>
      </x:c>
      <x:c r="DR44" t="n">
        <x:f>COUNTIF(DR5:DR42,"〇")</x:f>
        <x:v>6</x:v>
      </x:c>
      <x:c r="DS44" t="n">
        <x:f>COUNTIF(DS5:DS42,"〇")</x:f>
        <x:v>8</x:v>
      </x:c>
      <x:c r="DT44" s="19" t="n">
        <x:f>SUM(DT5:DT42)</x:f>
        <x:v>37</x:v>
      </x:c>
      <x:c r="DU44" t="n">
        <x:f t="shared" ref="DU44:EC44" si="56">COUNTIF(DU5:DU42,"〇")</x:f>
        <x:v>17</x:v>
      </x:c>
      <x:c r="DV44">
        <x:f t="shared" si="56"/>
        <x:v>14</x:v>
      </x:c>
      <x:c r="DW44">
        <x:f t="shared" si="56"/>
        <x:v>3</x:v>
      </x:c>
      <x:c r="DX44">
        <x:f t="shared" si="56"/>
        <x:v>1</x:v>
      </x:c>
      <x:c r="DY44">
        <x:f t="shared" si="56"/>
        <x:v>3</x:v>
      </x:c>
      <x:c r="DZ44">
        <x:f t="shared" si="56"/>
        <x:v>2</x:v>
      </x:c>
      <x:c r="EA44">
        <x:f t="shared" si="56"/>
        <x:v>0</x:v>
      </x:c>
      <x:c r="EB44">
        <x:f t="shared" si="56"/>
        <x:v>8</x:v>
      </x:c>
      <x:c r="EC44">
        <x:f t="shared" si="56"/>
        <x:v>2</x:v>
      </x:c>
      <x:c r="EE44" s="19" t="n">
        <x:f>SUM(EE5:EE42)</x:f>
        <x:v>34</x:v>
      </x:c>
      <x:c r="EF44" t="n">
        <x:f t="shared" ref="EF44:EO44" si="57">COUNTIF(EF5:EF42,"〇")</x:f>
        <x:v>6</x:v>
      </x:c>
      <x:c r="EG44">
        <x:f t="shared" si="57"/>
        <x:v>7</x:v>
      </x:c>
      <x:c r="EH44">
        <x:f t="shared" si="57"/>
        <x:v>5</x:v>
      </x:c>
      <x:c r="EI44">
        <x:f t="shared" si="57"/>
        <x:v>13</x:v>
      </x:c>
      <x:c r="EJ44">
        <x:f t="shared" si="57"/>
        <x:v>0</x:v>
      </x:c>
      <x:c r="EK44">
        <x:f t="shared" si="57"/>
        <x:v>2</x:v>
      </x:c>
      <x:c r="EL44">
        <x:f t="shared" si="57"/>
        <x:v>8</x:v>
      </x:c>
      <x:c r="EM44">
        <x:f t="shared" si="57"/>
        <x:v>5</x:v>
      </x:c>
      <x:c r="EN44">
        <x:f t="shared" si="57"/>
        <x:v>11</x:v>
      </x:c>
      <x:c r="EO44">
        <x:f t="shared" si="57"/>
        <x:v>1</x:v>
      </x:c>
      <x:c r="EQ44" s="19" t="n">
        <x:f>SUM(EQ5:EQ42)</x:f>
        <x:v>34</x:v>
      </x:c>
      <x:c r="ER44" t="n">
        <x:f>COUNTIF(ER5:ER42,"〇")</x:f>
        <x:v>27</x:v>
      </x:c>
      <x:c r="ES44" t="n">
        <x:f>COUNTIF(ES5:ES42,"〇")</x:f>
        <x:v>4</x:v>
      </x:c>
      <x:c r="ET44" t="n">
        <x:f>COUNTIF(ET5:ET42,"〇")</x:f>
        <x:v>3</x:v>
      </x:c>
      <x:c r="EU44" t="n">
        <x:f>COUNTIF(EU5:EU42,"〇")</x:f>
        <x:v>2</x:v>
      </x:c>
      <x:c r="EV44" s="19" t="n">
        <x:f>SUM(EV5:EV42)</x:f>
        <x:v>36</x:v>
      </x:c>
      <x:c r="EW44" t="n">
        <x:f t="shared" ref="EW44:FD44" si="58">COUNTIF(EW5:EW42,"〇")</x:f>
        <x:v>8</x:v>
      </x:c>
      <x:c r="EX44">
        <x:f t="shared" si="58"/>
        <x:v>3</x:v>
      </x:c>
      <x:c r="EY44">
        <x:f t="shared" si="58"/>
        <x:v>8</x:v>
      </x:c>
      <x:c r="EZ44">
        <x:f t="shared" si="58"/>
        <x:v>6</x:v>
      </x:c>
      <x:c r="FA44">
        <x:f t="shared" si="58"/>
        <x:v>2</x:v>
      </x:c>
      <x:c r="FB44">
        <x:f t="shared" si="58"/>
        <x:v>6</x:v>
      </x:c>
      <x:c r="FC44">
        <x:f t="shared" si="58"/>
        <x:v>16</x:v>
      </x:c>
      <x:c r="FD44">
        <x:f t="shared" si="58"/>
        <x:v>0</x:v>
      </x:c>
      <x:c r="FF44" s="19" t="n">
        <x:f>SUM(FF5:FF42)</x:f>
        <x:v>36</x:v>
      </x:c>
      <x:c r="FG44" t="n">
        <x:f t="shared" ref="FG44:FT44" si="59">COUNTIF(FG5:FG42,"〇")</x:f>
        <x:v>29</x:v>
      </x:c>
      <x:c r="FH44">
        <x:f t="shared" si="59"/>
        <x:v>1</x:v>
      </x:c>
      <x:c r="FI44">
        <x:f t="shared" si="59"/>
        <x:v>1</x:v>
      </x:c>
      <x:c r="FJ44">
        <x:f t="shared" si="59"/>
        <x:v>0</x:v>
      </x:c>
      <x:c r="FK44">
        <x:f t="shared" si="59"/>
        <x:v>1</x:v>
      </x:c>
      <x:c r="FL44">
        <x:f t="shared" si="59"/>
        <x:v>0</x:v>
      </x:c>
      <x:c r="FM44">
        <x:f t="shared" si="59"/>
        <x:v>3</x:v>
      </x:c>
      <x:c r="FN44">
        <x:f t="shared" si="59"/>
        <x:v>0</x:v>
      </x:c>
      <x:c r="FO44">
        <x:f t="shared" si="59"/>
        <x:v>1</x:v>
      </x:c>
      <x:c r="FP44">
        <x:f t="shared" si="59"/>
        <x:v>0</x:v>
      </x:c>
      <x:c r="FQ44">
        <x:f t="shared" si="59"/>
        <x:v>0</x:v>
      </x:c>
      <x:c r="FR44">
        <x:f t="shared" si="59"/>
        <x:v>0</x:v>
      </x:c>
      <x:c r="FS44">
        <x:f t="shared" si="59"/>
        <x:v>0</x:v>
      </x:c>
      <x:c r="FT44">
        <x:f t="shared" si="59"/>
        <x:v>0</x:v>
      </x:c>
      <x:c r="FV44" s="19" t="n">
        <x:f>SUM(FV5:FV42)</x:f>
        <x:v>35</x:v>
      </x:c>
      <x:c r="FW44" t="n">
        <x:f t="shared" ref="FW44:GD44" si="60">COUNTIF(FW5:FW42,"〇")</x:f>
        <x:v>5</x:v>
      </x:c>
      <x:c r="FX44">
        <x:f t="shared" si="60"/>
        <x:v>2</x:v>
      </x:c>
      <x:c r="FY44">
        <x:f t="shared" si="60"/>
        <x:v>1</x:v>
      </x:c>
      <x:c r="FZ44">
        <x:f t="shared" si="60"/>
        <x:v>3</x:v>
      </x:c>
      <x:c r="GA44">
        <x:f t="shared" si="60"/>
        <x:v>1</x:v>
      </x:c>
      <x:c r="GB44">
        <x:f t="shared" si="60"/>
        <x:v>8</x:v>
      </x:c>
      <x:c r="GC44">
        <x:f t="shared" si="60"/>
        <x:v>21</x:v>
      </x:c>
      <x:c r="GD44">
        <x:f t="shared" si="60"/>
        <x:v>0</x:v>
      </x:c>
      <x:c r="GF44" s="19" t="n">
        <x:f>SUM(GF5:GF42)</x:f>
        <x:v>33</x:v>
      </x:c>
      <x:c r="GG44" t="n">
        <x:f t="shared" ref="GG44:GL44" si="61">COUNTIF(GG5:GG42,"〇")</x:f>
        <x:v>4</x:v>
      </x:c>
      <x:c r="GH44">
        <x:f t="shared" si="61"/>
        <x:v>7</x:v>
      </x:c>
      <x:c r="GI44">
        <x:f t="shared" si="61"/>
        <x:v>6</x:v>
      </x:c>
      <x:c r="GJ44">
        <x:f t="shared" si="61"/>
        <x:v>4</x:v>
      </x:c>
      <x:c r="GK44">
        <x:f t="shared" si="61"/>
        <x:v>1</x:v>
      </x:c>
      <x:c r="GL44">
        <x:f t="shared" si="61"/>
        <x:v>19</x:v>
      </x:c>
      <x:c r="GM44" s="19" t="n">
        <x:f>SUM(GM5:GM42)</x:f>
        <x:v>31</x:v>
      </x:c>
      <x:c r="GN44" t="n">
        <x:f t="shared" ref="GN44:GS44" si="62">COUNTIF(GN5:GN42,"〇")</x:f>
        <x:v>3</x:v>
      </x:c>
      <x:c r="GO44">
        <x:f t="shared" si="62"/>
        <x:v>5</x:v>
      </x:c>
      <x:c r="GP44">
        <x:f t="shared" si="62"/>
        <x:v>5</x:v>
      </x:c>
      <x:c r="GQ44">
        <x:f t="shared" si="62"/>
        <x:v>6</x:v>
      </x:c>
      <x:c r="GR44">
        <x:f t="shared" si="62"/>
        <x:v>3</x:v>
      </x:c>
      <x:c r="GS44">
        <x:f t="shared" si="62"/>
        <x:v>18</x:v>
      </x:c>
      <x:c r="GT44" s="19" t="n">
        <x:f>SUM(GT5:GT42)</x:f>
        <x:v>28</x:v>
      </x:c>
      <x:c r="GU44" t="n">
        <x:f>COUNTIF(GU5:GU42,"〇")</x:f>
        <x:v>8</x:v>
      </x:c>
      <x:c r="GV44" t="n">
        <x:f>COUNTIF(GV5:GV42,"〇")</x:f>
        <x:v>12</x:v>
      </x:c>
      <x:c r="GW44" t="n">
        <x:f>COUNTIF(GW5:GW42,"〇")</x:f>
        <x:v>8</x:v>
      </x:c>
      <x:c r="GX44" t="n">
        <x:f>COUNTIF(GX5:GX42,"〇")</x:f>
        <x:v>5</x:v>
      </x:c>
      <x:c r="GY44" s="19" t="n">
        <x:f>SUM(GY5:GY42)</x:f>
        <x:v>33</x:v>
      </x:c>
      <x:c r="GZ44" t="n">
        <x:f t="shared" ref="GZ44:HJ44" si="63">COUNTIF(GZ5:GZ42,"〇")</x:f>
        <x:v>29</x:v>
      </x:c>
      <x:c r="HA44">
        <x:f t="shared" si="63"/>
        <x:v>6</x:v>
      </x:c>
      <x:c r="HB44">
        <x:f t="shared" si="63"/>
        <x:v>5</x:v>
      </x:c>
      <x:c r="HC44">
        <x:f t="shared" si="63"/>
        <x:v>9</x:v>
      </x:c>
      <x:c r="HD44">
        <x:f t="shared" si="63"/>
        <x:v>5</x:v>
      </x:c>
      <x:c r="HE44">
        <x:f t="shared" si="63"/>
        <x:v>12</x:v>
      </x:c>
      <x:c r="HF44">
        <x:f t="shared" si="63"/>
        <x:v>1</x:v>
      </x:c>
      <x:c r="HG44">
        <x:f t="shared" si="63"/>
        <x:v>4</x:v>
      </x:c>
      <x:c r="HH44">
        <x:f t="shared" si="63"/>
        <x:v>1</x:v>
      </x:c>
      <x:c r="HI44">
        <x:f t="shared" si="63"/>
        <x:v>1</x:v>
      </x:c>
      <x:c r="HJ44">
        <x:f t="shared" si="63"/>
        <x:v>1</x:v>
      </x:c>
      <x:c r="HL44" s="19" t="n">
        <x:f>SUM(HL5:HL42)</x:f>
        <x:v>37</x:v>
      </x:c>
      <x:c r="HM44" t="n">
        <x:f t="shared" ref="HM44:HU44" si="64">COUNTIF(HM5:HM42,"〇")</x:f>
        <x:v>0</x:v>
      </x:c>
      <x:c r="HN44">
        <x:f t="shared" si="64"/>
        <x:v>1</x:v>
      </x:c>
      <x:c r="HO44">
        <x:f t="shared" si="64"/>
        <x:v>4</x:v>
      </x:c>
      <x:c r="HP44">
        <x:f t="shared" si="64"/>
        <x:v>6</x:v>
      </x:c>
      <x:c r="HQ44">
        <x:f t="shared" si="64"/>
        <x:v>1</x:v>
      </x:c>
      <x:c r="HR44">
        <x:f t="shared" si="64"/>
        <x:v>8</x:v>
      </x:c>
      <x:c r="HS44">
        <x:f t="shared" si="64"/>
        <x:v>4</x:v>
      </x:c>
      <x:c r="HT44">
        <x:f t="shared" si="64"/>
        <x:v>15</x:v>
      </x:c>
      <x:c r="HU44">
        <x:f t="shared" si="64"/>
        <x:v>0</x:v>
      </x:c>
      <x:c r="HW44" s="19" t="n">
        <x:f>SUM(HW5:HW42)</x:f>
        <x:v>31</x:v>
      </x:c>
      <x:c r="HX44" t="n">
        <x:f>COUNTIF(HX5:HX42,"〇")</x:f>
        <x:v>0</x:v>
      </x:c>
      <x:c r="HY44" t="n">
        <x:f>COUNTIF(HY5:HY42,"〇")</x:f>
        <x:v>12</x:v>
      </x:c>
      <x:c r="HZ44" t="n">
        <x:f>COUNTIF(HZ5:HZ42,"〇")</x:f>
        <x:v>9</x:v>
      </x:c>
      <x:c r="IA44" t="n">
        <x:f>COUNTIF(IA5:IA42,"〇")</x:f>
        <x:v>6</x:v>
      </x:c>
      <x:c r="IB44" t="n">
        <x:f>COUNTIF(IB5:IB42,"〇")</x:f>
        <x:v>7</x:v>
      </x:c>
      <x:c r="IC44" s="19" t="n">
        <x:f>SUM(IC5:IC42)</x:f>
        <x:v>34</x:v>
      </x:c>
      <x:c r="ID44" t="n">
        <x:f t="shared" ref="ID44:IM44" si="65">COUNTIF(ID5:ID42,"〇")</x:f>
        <x:v>16</x:v>
      </x:c>
      <x:c r="IE44">
        <x:f t="shared" si="65"/>
        <x:v>8</x:v>
      </x:c>
      <x:c r="IF44">
        <x:f t="shared" si="65"/>
        <x:v>13</x:v>
      </x:c>
      <x:c r="IG44">
        <x:f t="shared" si="65"/>
        <x:v>9</x:v>
      </x:c>
      <x:c r="IH44">
        <x:f t="shared" si="65"/>
        <x:v>8</x:v>
      </x:c>
      <x:c r="II44">
        <x:f t="shared" si="65"/>
        <x:v>0</x:v>
      </x:c>
      <x:c r="IJ44">
        <x:f t="shared" si="65"/>
        <x:v>4</x:v>
      </x:c>
      <x:c r="IK44">
        <x:f t="shared" si="65"/>
        <x:v>13</x:v>
      </x:c>
      <x:c r="IL44">
        <x:f t="shared" si="65"/>
        <x:v>1</x:v>
      </x:c>
      <x:c r="IM44">
        <x:f t="shared" si="65"/>
        <x:v>0</x:v>
      </x:c>
      <x:c r="IO44" s="19" t="n">
        <x:f>SUM(IO5:IO42)</x:f>
        <x:v>36</x:v>
      </x:c>
      <x:c r="IP44" t="n">
        <x:f t="shared" ref="IP44:IW44" si="66">COUNTIF(IP5:IP42,"〇")</x:f>
        <x:v>13</x:v>
      </x:c>
      <x:c r="IQ44">
        <x:f t="shared" si="66"/>
        <x:v>12</x:v>
      </x:c>
      <x:c r="IR44">
        <x:f t="shared" si="66"/>
        <x:v>1</x:v>
      </x:c>
      <x:c r="IS44">
        <x:f t="shared" si="66"/>
        <x:v>7</x:v>
      </x:c>
      <x:c r="IT44">
        <x:f t="shared" si="66"/>
        <x:v>3</x:v>
      </x:c>
      <x:c r="IU44">
        <x:f t="shared" si="66"/>
        <x:v>9</x:v>
      </x:c>
      <x:c r="IV44">
        <x:f t="shared" si="66"/>
        <x:v>14</x:v>
      </x:c>
      <x:c r="IW44">
        <x:f t="shared" si="66"/>
        <x:v>1</x:v>
      </x:c>
      <x:c r="IY44" s="19" t="n">
        <x:f>SUM(IY5:IY42)</x:f>
        <x:v>29</x:v>
      </x:c>
      <x:c r="IZ44" t="n">
        <x:f t="shared" ref="IZ44:JR44" si="67">COUNTIF(IZ5:IZ42,"〇")</x:f>
        <x:v>1</x:v>
      </x:c>
      <x:c r="JA44">
        <x:f t="shared" si="67"/>
        <x:v>0</x:v>
      </x:c>
      <x:c r="JB44">
        <x:f t="shared" si="67"/>
        <x:v>1</x:v>
      </x:c>
      <x:c r="JC44">
        <x:f t="shared" si="67"/>
        <x:v>4</x:v>
      </x:c>
      <x:c r="JD44">
        <x:f t="shared" si="67"/>
        <x:v>2</x:v>
      </x:c>
      <x:c r="JE44">
        <x:f t="shared" si="67"/>
        <x:v>0</x:v>
      </x:c>
      <x:c r="JF44">
        <x:f t="shared" si="67"/>
        <x:v>1</x:v>
      </x:c>
      <x:c r="JG44">
        <x:f t="shared" si="67"/>
        <x:v>2</x:v>
      </x:c>
      <x:c r="JH44">
        <x:f t="shared" si="67"/>
        <x:v>1</x:v>
      </x:c>
      <x:c r="JI44">
        <x:f t="shared" si="67"/>
        <x:v>0</x:v>
      </x:c>
      <x:c r="JJ44">
        <x:f t="shared" si="67"/>
        <x:v>2</x:v>
      </x:c>
      <x:c r="JK44">
        <x:f t="shared" si="67"/>
        <x:v>3</x:v>
      </x:c>
      <x:c r="JL44">
        <x:f t="shared" si="67"/>
        <x:v>5</x:v>
      </x:c>
      <x:c r="JM44">
        <x:f t="shared" si="67"/>
        <x:v>2</x:v>
      </x:c>
      <x:c r="JN44">
        <x:f t="shared" si="67"/>
        <x:v>1</x:v>
      </x:c>
      <x:c r="JO44">
        <x:f t="shared" si="67"/>
        <x:v>1</x:v>
      </x:c>
      <x:c r="JP44">
        <x:f t="shared" si="67"/>
        <x:v>1</x:v>
      </x:c>
      <x:c r="JQ44">
        <x:f t="shared" si="67"/>
        <x:v>0</x:v>
      </x:c>
      <x:c r="JR44">
        <x:f t="shared" si="67"/>
        <x:v>17</x:v>
      </x:c>
      <x:c r="JS44" s="19" t="n">
        <x:f>SUM(JS5:JS42)</x:f>
        <x:v>30</x:v>
      </x:c>
      <x:c r="JT44" t="n">
        <x:f t="shared" ref="JT44:KL44" si="68">COUNTIF(JT5:JT42,"〇")</x:f>
        <x:v>6</x:v>
      </x:c>
      <x:c r="JU44">
        <x:f t="shared" si="68"/>
        <x:v>9</x:v>
      </x:c>
      <x:c r="JV44">
        <x:f t="shared" si="68"/>
        <x:v>9</x:v>
      </x:c>
      <x:c r="JW44">
        <x:f t="shared" si="68"/>
        <x:v>6</x:v>
      </x:c>
      <x:c r="JX44">
        <x:f t="shared" si="68"/>
        <x:v>8</x:v>
      </x:c>
      <x:c r="JY44">
        <x:f t="shared" si="68"/>
        <x:v>8</x:v>
      </x:c>
      <x:c r="JZ44">
        <x:f t="shared" si="68"/>
        <x:v>8</x:v>
      </x:c>
      <x:c r="KA44">
        <x:f t="shared" si="68"/>
        <x:v>8</x:v>
      </x:c>
      <x:c r="KB44">
        <x:f t="shared" si="68"/>
        <x:v>9</x:v>
      </x:c>
      <x:c r="KC44">
        <x:f t="shared" si="68"/>
        <x:v>8</x:v>
      </x:c>
      <x:c r="KD44">
        <x:f t="shared" si="68"/>
        <x:v>4</x:v>
      </x:c>
      <x:c r="KE44">
        <x:f t="shared" si="68"/>
        <x:v>5</x:v>
      </x:c>
      <x:c r="KF44">
        <x:f t="shared" si="68"/>
        <x:v>6</x:v>
      </x:c>
      <x:c r="KG44">
        <x:f t="shared" si="68"/>
        <x:v>7</x:v>
      </x:c>
      <x:c r="KH44">
        <x:f t="shared" si="68"/>
        <x:v>9</x:v>
      </x:c>
      <x:c r="KI44">
        <x:f t="shared" si="68"/>
        <x:v>8</x:v>
      </x:c>
      <x:c r="KJ44">
        <x:f t="shared" si="68"/>
        <x:v>6</x:v>
      </x:c>
      <x:c r="KK44">
        <x:f t="shared" si="68"/>
        <x:v>5</x:v>
      </x:c>
      <x:c r="KL44">
        <x:f t="shared" si="68"/>
        <x:v>7</x:v>
      </x:c>
      <x:c r="KM44" s="19" t="n">
        <x:f>SUM(KM5:KM42)</x:f>
        <x:v>24</x:v>
      </x:c>
      <x:c r="KN44" t="n">
        <x:f t="shared" ref="KN44:LF44" si="69">COUNTIF(KN5:KN42,"〇")</x:f>
        <x:v>3</x:v>
      </x:c>
      <x:c r="KO44">
        <x:f t="shared" si="69"/>
        <x:v>0</x:v>
      </x:c>
      <x:c r="KP44">
        <x:f t="shared" si="69"/>
        <x:v>1</x:v>
      </x:c>
      <x:c r="KQ44">
        <x:f t="shared" si="69"/>
        <x:v>3</x:v>
      </x:c>
      <x:c r="KR44">
        <x:f t="shared" si="69"/>
        <x:v>2</x:v>
      </x:c>
      <x:c r="KS44">
        <x:f t="shared" si="69"/>
        <x:v>1</x:v>
      </x:c>
      <x:c r="KT44">
        <x:f t="shared" si="69"/>
        <x:v>0</x:v>
      </x:c>
      <x:c r="KU44">
        <x:f t="shared" si="69"/>
        <x:v>1</x:v>
      </x:c>
      <x:c r="KV44">
        <x:f t="shared" si="69"/>
        <x:v>0</x:v>
      </x:c>
      <x:c r="KW44">
        <x:f t="shared" si="69"/>
        <x:v>0</x:v>
      </x:c>
      <x:c r="KX44">
        <x:f t="shared" si="69"/>
        <x:v>4</x:v>
      </x:c>
      <x:c r="KY44">
        <x:f t="shared" si="69"/>
        <x:v>5</x:v>
      </x:c>
      <x:c r="KZ44">
        <x:f t="shared" si="69"/>
        <x:v>9</x:v>
      </x:c>
      <x:c r="LA44">
        <x:f t="shared" si="69"/>
        <x:v>3</x:v>
      </x:c>
      <x:c r="LB44">
        <x:f t="shared" si="69"/>
        <x:v>2</x:v>
      </x:c>
      <x:c r="LC44">
        <x:f t="shared" si="69"/>
        <x:v>1</x:v>
      </x:c>
      <x:c r="LD44">
        <x:f t="shared" si="69"/>
        <x:v>1</x:v>
      </x:c>
      <x:c r="LE44">
        <x:f t="shared" si="69"/>
        <x:v>0</x:v>
      </x:c>
      <x:c r="LF44">
        <x:f t="shared" si="69"/>
        <x:v>12</x:v>
      </x:c>
      <x:c r="LG44" s="19" t="n">
        <x:f>SUM(LG5:LG42)</x:f>
        <x:v>28</x:v>
      </x:c>
      <x:c r="LH44" t="n">
        <x:f t="shared" ref="LH44:LP44" si="70">COUNTIF(LH5:LH42,"〇")</x:f>
        <x:v>3</x:v>
      </x:c>
      <x:c r="LI44">
        <x:f t="shared" si="70"/>
        <x:v>1</x:v>
      </x:c>
      <x:c r="LJ44">
        <x:f t="shared" si="70"/>
        <x:v>1</x:v>
      </x:c>
      <x:c r="LK44">
        <x:f t="shared" si="70"/>
        <x:v>3</x:v>
      </x:c>
      <x:c r="LL44">
        <x:f t="shared" si="70"/>
        <x:v>4</x:v>
      </x:c>
      <x:c r="LM44">
        <x:f t="shared" si="70"/>
        <x:v>1</x:v>
      </x:c>
      <x:c r="LN44">
        <x:f t="shared" si="70"/>
        <x:v>6</x:v>
      </x:c>
      <x:c r="LO44">
        <x:f t="shared" si="70"/>
        <x:v>11</x:v>
      </x:c>
      <x:c r="LP44">
        <x:f t="shared" si="70"/>
        <x:v>1</x:v>
      </x:c>
      <x:c r="LR44" s="19" t="n">
        <x:f>SUM(LR5:LR42)</x:f>
        <x:v>25</x:v>
      </x:c>
      <x:c r="LS44" t="n">
        <x:f t="shared" ref="LS44:MA44" si="71">COUNTIF(LS5:LS42,"〇")</x:f>
        <x:v>12</x:v>
      </x:c>
      <x:c r="LT44">
        <x:f t="shared" si="71"/>
        <x:v>13</x:v>
      </x:c>
      <x:c r="LU44">
        <x:f t="shared" si="71"/>
        <x:v>3</x:v>
      </x:c>
      <x:c r="LV44">
        <x:f t="shared" si="71"/>
        <x:v>1</x:v>
      </x:c>
      <x:c r="LW44">
        <x:f t="shared" si="71"/>
        <x:v>4</x:v>
      </x:c>
      <x:c r="LX44">
        <x:f t="shared" si="71"/>
        <x:v>7</x:v>
      </x:c>
      <x:c r="LY44">
        <x:f t="shared" si="71"/>
        <x:v>7</x:v>
      </x:c>
      <x:c r="LZ44">
        <x:f t="shared" si="71"/>
        <x:v>5</x:v>
      </x:c>
      <x:c r="MA44">
        <x:f t="shared" si="71"/>
        <x:v>0</x:v>
      </x:c>
      <x:c r="MC44" s="19" t="n">
        <x:f>SUM(MC5:MC42)</x:f>
        <x:v>31</x:v>
      </x:c>
      <x:c r="MD44" t="n">
        <x:f t="shared" ref="MD44:MJ44" si="72">COUNTIF(MD5:MD42,"〇")</x:f>
        <x:v>13</x:v>
      </x:c>
      <x:c r="ME44">
        <x:f t="shared" si="72"/>
        <x:v>3</x:v>
      </x:c>
      <x:c r="MF44">
        <x:f t="shared" si="72"/>
        <x:v>1</x:v>
      </x:c>
      <x:c r="MG44">
        <x:f t="shared" si="72"/>
        <x:v>0</x:v>
      </x:c>
      <x:c r="MH44">
        <x:f t="shared" si="72"/>
        <x:v>1</x:v>
      </x:c>
      <x:c r="MI44">
        <x:f t="shared" si="72"/>
        <x:v>3</x:v>
      </x:c>
      <x:c r="MJ44">
        <x:f t="shared" si="72"/>
        <x:v>12</x:v>
      </x:c>
      <x:c r="MK44" s="19" t="n">
        <x:f>SUM(MK5:MK42)</x:f>
        <x:v>33</x:v>
      </x:c>
      <x:c r="ML44" t="n">
        <x:f t="shared" ref="ML44:MT44" si="73">COUNTIF(ML5:ML42,"〇")</x:f>
        <x:v>2</x:v>
      </x:c>
      <x:c r="MM44">
        <x:f t="shared" si="73"/>
        <x:v>4</x:v>
      </x:c>
      <x:c r="MN44">
        <x:f t="shared" si="73"/>
        <x:v>0</x:v>
      </x:c>
      <x:c r="MO44">
        <x:f t="shared" si="73"/>
        <x:v>2</x:v>
      </x:c>
      <x:c r="MP44">
        <x:f t="shared" si="73"/>
        <x:v>2</x:v>
      </x:c>
      <x:c r="MQ44">
        <x:f t="shared" si="73"/>
        <x:v>0</x:v>
      </x:c>
      <x:c r="MR44">
        <x:f t="shared" si="73"/>
        <x:v>14</x:v>
      </x:c>
      <x:c r="MS44">
        <x:f t="shared" si="73"/>
        <x:v>5</x:v>
      </x:c>
      <x:c r="MT44">
        <x:f t="shared" si="73"/>
        <x:v>5</x:v>
      </x:c>
      <x:c r="MV44" s="19" t="n">
        <x:f>SUM(MV5:MV42)</x:f>
        <x:v>34</x:v>
      </x:c>
      <x:c r="MW44" t="n">
        <x:f t="shared" ref="MW44:NE44" si="74">COUNTIF(MW5:MW42,"〇")</x:f>
        <x:v>1</x:v>
      </x:c>
      <x:c r="MX44">
        <x:f t="shared" si="74"/>
        <x:v>3</x:v>
      </x:c>
      <x:c r="MY44">
        <x:f t="shared" si="74"/>
        <x:v>0</x:v>
      </x:c>
      <x:c r="MZ44">
        <x:f t="shared" si="74"/>
        <x:v>1</x:v>
      </x:c>
      <x:c r="NA44">
        <x:f t="shared" si="74"/>
        <x:v>1</x:v>
      </x:c>
      <x:c r="NB44">
        <x:f t="shared" si="74"/>
        <x:v>0</x:v>
      </x:c>
      <x:c r="NC44">
        <x:f t="shared" si="74"/>
        <x:v>21</x:v>
      </x:c>
      <x:c r="ND44">
        <x:f t="shared" si="74"/>
        <x:v>3</x:v>
      </x:c>
      <x:c r="NE44">
        <x:f t="shared" si="74"/>
        <x:v>2</x:v>
      </x:c>
      <x:c r="NG44" s="19" t="n">
        <x:f>SUM(NG5:NG42)</x:f>
        <x:v>32</x:v>
      </x:c>
      <x:c r="NH44" t="n">
        <x:f t="shared" ref="NH44:NQ44" si="75">COUNTIF(NH5:NH42,"〇")</x:f>
        <x:v>4</x:v>
      </x:c>
      <x:c r="NI44">
        <x:f t="shared" si="75"/>
        <x:v>4</x:v>
      </x:c>
      <x:c r="NJ44">
        <x:f t="shared" si="75"/>
        <x:v>5</x:v>
      </x:c>
      <x:c r="NK44">
        <x:f t="shared" si="75"/>
        <x:v>6</x:v>
      </x:c>
      <x:c r="NL44">
        <x:f t="shared" si="75"/>
        <x:v>7</x:v>
      </x:c>
      <x:c r="NM44">
        <x:f t="shared" si="75"/>
        <x:v>2</x:v>
      </x:c>
      <x:c r="NN44">
        <x:f t="shared" si="75"/>
        <x:v>4</x:v>
      </x:c>
      <x:c r="NO44">
        <x:f t="shared" si="75"/>
        <x:v>0</x:v>
      </x:c>
      <x:c r="NP44">
        <x:f t="shared" si="75"/>
        <x:v>19</x:v>
      </x:c>
      <x:c r="NQ44">
        <x:f t="shared" si="75"/>
        <x:v>0</x:v>
      </x:c>
      <x:c r="NS44" s="19" t="n">
        <x:f>SUM(NS5:NS42)</x:f>
        <x:v>31</x:v>
      </x:c>
      <x:c r="NT44" t="n">
        <x:f>COUNTIF(NT5:NT42,"〇")</x:f>
        <x:v>3</x:v>
      </x:c>
      <x:c r="NU44" t="n">
        <x:f>COUNTIF(NU5:NU42,"〇")</x:f>
        <x:v>3</x:v>
      </x:c>
      <x:c r="NV44" t="n">
        <x:f>COUNTIF(NV5:NV42,"〇")</x:f>
        <x:v>3</x:v>
      </x:c>
      <x:c r="NW44" t="n">
        <x:f>COUNTIF(NW5:NW42,"〇")</x:f>
        <x:v>12</x:v>
      </x:c>
      <x:c r="NX44" t="n">
        <x:f>COUNTIF(NX5:NX42,"〇")</x:f>
        <x:v>10</x:v>
      </x:c>
      <x:c r="NY44" s="19" t="n">
        <x:f>SUM(NY5:NY42)</x:f>
        <x:v>31</x:v>
      </x:c>
      <x:c r="NZ44" t="n">
        <x:f t="shared" ref="NZ44:OJ44" si="76">COUNTIF(NZ5:NZ42,"〇")</x:f>
        <x:v>0</x:v>
      </x:c>
      <x:c r="OA44">
        <x:f t="shared" si="76"/>
        <x:v>3</x:v>
      </x:c>
      <x:c r="OB44">
        <x:f t="shared" si="76"/>
        <x:v>2</x:v>
      </x:c>
      <x:c r="OC44">
        <x:f t="shared" si="76"/>
        <x:v>0</x:v>
      </x:c>
      <x:c r="OD44">
        <x:f t="shared" si="76"/>
        <x:v>0</x:v>
      </x:c>
      <x:c r="OE44">
        <x:f t="shared" si="76"/>
        <x:v>3</x:v>
      </x:c>
      <x:c r="OF44">
        <x:f t="shared" si="76"/>
        <x:v>2</x:v>
      </x:c>
      <x:c r="OG44">
        <x:f t="shared" si="76"/>
        <x:v>2</x:v>
      </x:c>
      <x:c r="OH44">
        <x:f t="shared" si="76"/>
        <x:v>0</x:v>
      </x:c>
      <x:c r="OI44">
        <x:f t="shared" si="76"/>
        <x:v>19</x:v>
      </x:c>
      <x:c r="OJ44">
        <x:f t="shared" si="76"/>
        <x:v>3</x:v>
      </x:c>
      <x:c r="OL44" s="19" t="n">
        <x:f>SUM(OL5:OL42)</x:f>
        <x:v>30</x:v>
      </x:c>
      <x:c r="OM44" t="n">
        <x:f t="shared" ref="OM44:OU44" si="77">COUNTIF(OM5:OM42,"〇")</x:f>
        <x:v>16</x:v>
      </x:c>
      <x:c r="ON44">
        <x:f t="shared" si="77"/>
        <x:v>9</x:v>
      </x:c>
      <x:c r="OO44">
        <x:f t="shared" si="77"/>
        <x:v>2</x:v>
      </x:c>
      <x:c r="OP44">
        <x:f t="shared" si="77"/>
        <x:v>9</x:v>
      </x:c>
      <x:c r="OQ44">
        <x:f t="shared" si="77"/>
        <x:v>15</x:v>
      </x:c>
      <x:c r="OR44">
        <x:f t="shared" si="77"/>
        <x:v>12</x:v>
      </x:c>
      <x:c r="OS44">
        <x:f t="shared" si="77"/>
        <x:v>3</x:v>
      </x:c>
      <x:c r="OT44">
        <x:f t="shared" si="77"/>
        <x:v>6</x:v>
      </x:c>
      <x:c r="OU44">
        <x:f t="shared" si="77"/>
        <x:v>0</x:v>
      </x:c>
      <x:c r="OW44" s="19" t="n">
        <x:f>SUM(OW5:OW42)</x:f>
        <x:v>32</x:v>
      </x:c>
      <x:c r="OX44" t="n">
        <x:f>COUNTIF(OX5:OX42,"〇")</x:f>
        <x:v>2</x:v>
      </x:c>
      <x:c r="OY44" t="n">
        <x:f>COUNTIF(OY5:OY42,"〇")</x:f>
        <x:v>9</x:v>
      </x:c>
      <x:c r="OZ44" t="n">
        <x:f>COUNTIF(OZ5:OZ42,"〇")</x:f>
        <x:v>8</x:v>
      </x:c>
      <x:c r="PA44" t="n">
        <x:f>COUNTIF(PA5:PA42,"〇")</x:f>
        <x:v>0</x:v>
      </x:c>
      <x:c r="PB44" t="n">
        <x:f>COUNTIF(PB5:PB42,"〇")</x:f>
        <x:v>14</x:v>
      </x:c>
      <x:c r="PC44" s="19" t="n">
        <x:f>SUM(PC5:PC42)</x:f>
        <x:v>33</x:v>
      </x:c>
      <x:c r="PD44" t="n">
        <x:f t="shared" ref="PD44:PM44" si="78">COUNTIF(PD5:PD42,"〇")</x:f>
        <x:v>13</x:v>
      </x:c>
      <x:c r="PE44">
        <x:f t="shared" si="78"/>
        <x:v>24</x:v>
      </x:c>
      <x:c r="PF44">
        <x:f t="shared" si="78"/>
        <x:v>17</x:v>
      </x:c>
      <x:c r="PG44">
        <x:f t="shared" si="78"/>
        <x:v>6</x:v>
      </x:c>
      <x:c r="PH44">
        <x:f t="shared" si="78"/>
        <x:v>3</x:v>
      </x:c>
      <x:c r="PI44">
        <x:f t="shared" si="78"/>
        <x:v>5</x:v>
      </x:c>
      <x:c r="PJ44">
        <x:f t="shared" si="78"/>
        <x:v>16</x:v>
      </x:c>
      <x:c r="PK44">
        <x:f t="shared" si="78"/>
        <x:v>0</x:v>
      </x:c>
      <x:c r="PL44">
        <x:f t="shared" si="78"/>
        <x:v>3</x:v>
      </x:c>
      <x:c r="PM44">
        <x:f t="shared" si="78"/>
        <x:v>0</x:v>
      </x:c>
      <x:c r="PO44" s="19" t="n">
        <x:f>SUM(PO5:PO42)</x:f>
        <x:v>34</x:v>
      </x:c>
      <x:c r="PP44" t="n">
        <x:f>COUNTIF(PP5:PP42,"〇")</x:f>
        <x:v>2</x:v>
      </x:c>
      <x:c r="PQ44" t="n">
        <x:f>COUNTIF(PQ5:PQ42,"〇")</x:f>
        <x:v>5</x:v>
      </x:c>
      <x:c r="PR44" t="n">
        <x:f>COUNTIF(PR5:PR42,"〇")</x:f>
        <x:v>26</x:v>
      </x:c>
      <x:c r="PS44" t="n">
        <x:f>COUNTIF(PS5:PS42,"〇")</x:f>
        <x:v>1</x:v>
      </x:c>
      <x:c r="PT44" s="19" t="n">
        <x:f>SUM(PT5:PT42)</x:f>
        <x:v>34</x:v>
      </x:c>
      <x:c r="PU44" t="n">
        <x:f t="shared" ref="PU44:QC44" si="79">COUNTIF(PU5:PU42,"〇")</x:f>
        <x:v>23</x:v>
      </x:c>
      <x:c r="PV44">
        <x:f t="shared" si="79"/>
        <x:v>10</x:v>
      </x:c>
      <x:c r="PW44">
        <x:f t="shared" si="79"/>
        <x:v>6</x:v>
      </x:c>
      <x:c r="PX44">
        <x:f t="shared" si="79"/>
        <x:v>3</x:v>
      </x:c>
      <x:c r="PY44">
        <x:f t="shared" si="79"/>
        <x:v>6</x:v>
      </x:c>
      <x:c r="PZ44">
        <x:f t="shared" si="79"/>
        <x:v>4</x:v>
      </x:c>
      <x:c r="QA44">
        <x:f t="shared" si="79"/>
        <x:v>4</x:v>
      </x:c>
      <x:c r="QB44">
        <x:f t="shared" si="79"/>
        <x:v>1</x:v>
      </x:c>
      <x:c r="QC44">
        <x:f t="shared" si="79"/>
        <x:v>1</x:v>
      </x:c>
      <x:c r="QE44" s="19" t="n">
        <x:f>SUM(QE5:QE42)</x:f>
        <x:v>35</x:v>
      </x:c>
      <x:c r="QF44" t="n">
        <x:f t="shared" ref="QF44:QN44" si="80">COUNTIF(QF5:QF42,"〇")</x:f>
        <x:v>6</x:v>
      </x:c>
      <x:c r="QG44">
        <x:f t="shared" si="80"/>
        <x:v>5</x:v>
      </x:c>
      <x:c r="QH44">
        <x:f t="shared" si="80"/>
        <x:v>12</x:v>
      </x:c>
      <x:c r="QI44">
        <x:f t="shared" si="80"/>
        <x:v>21</x:v>
      </x:c>
      <x:c r="QJ44">
        <x:f t="shared" si="80"/>
        <x:v>12</x:v>
      </x:c>
      <x:c r="QK44">
        <x:f t="shared" si="80"/>
        <x:v>12</x:v>
      </x:c>
      <x:c r="QL44">
        <x:f t="shared" si="80"/>
        <x:v>11</x:v>
      </x:c>
      <x:c r="QM44">
        <x:f t="shared" si="80"/>
        <x:v>12</x:v>
      </x:c>
      <x:c r="QN44">
        <x:f t="shared" si="80"/>
        <x:v>1</x:v>
      </x:c>
      <x:c r="QP44" s="19" t="n">
        <x:f>SUM(QP5:QP42)</x:f>
        <x:v>33</x:v>
      </x:c>
      <x:c r="QQ44" t="n">
        <x:f t="shared" ref="QQ44:QY44" si="81">COUNTIF(QQ5:QQ42,"〇")</x:f>
        <x:v>7</x:v>
      </x:c>
      <x:c r="QR44">
        <x:f t="shared" si="81"/>
        <x:v>2</x:v>
      </x:c>
      <x:c r="QS44">
        <x:f t="shared" si="81"/>
        <x:v>6</x:v>
      </x:c>
      <x:c r="QT44">
        <x:f t="shared" si="81"/>
        <x:v>3</x:v>
      </x:c>
      <x:c r="QU44">
        <x:f t="shared" si="81"/>
        <x:v>3</x:v>
      </x:c>
      <x:c r="QV44">
        <x:f t="shared" si="81"/>
        <x:v>3</x:v>
      </x:c>
      <x:c r="QW44">
        <x:f t="shared" si="81"/>
        <x:v>0</x:v>
      </x:c>
      <x:c r="QX44">
        <x:f t="shared" si="81"/>
        <x:v>19</x:v>
      </x:c>
      <x:c r="QY44">
        <x:f t="shared" si="81"/>
        <x:v>0</x:v>
      </x:c>
      <x:c r="RA44" s="19" t="n">
        <x:f>SUM(RA5:RA42)</x:f>
        <x:v>30</x:v>
      </x:c>
      <x:c r="RB44" t="n">
        <x:f t="shared" ref="RB44:RI44" si="82">COUNTIF(RB5:RB42,"〇")</x:f>
        <x:v>9</x:v>
      </x:c>
      <x:c r="RC44">
        <x:f t="shared" si="82"/>
        <x:v>6</x:v>
      </x:c>
      <x:c r="RD44">
        <x:f t="shared" si="82"/>
        <x:v>5</x:v>
      </x:c>
      <x:c r="RE44">
        <x:f t="shared" si="82"/>
        <x:v>12</x:v>
      </x:c>
      <x:c r="RF44">
        <x:f t="shared" si="82"/>
        <x:v>10</x:v>
      </x:c>
      <x:c r="RG44">
        <x:f t="shared" si="82"/>
        <x:v>5</x:v>
      </x:c>
      <x:c r="RH44">
        <x:f t="shared" si="82"/>
        <x:v>7</x:v>
      </x:c>
      <x:c r="RI44">
        <x:f t="shared" si="82"/>
        <x:v>0</x:v>
      </x:c>
      <x:c r="RK44" s="19" t="n">
        <x:f>SUM(RK5:RK42)</x:f>
        <x:v>31</x:v>
      </x:c>
      <x:c r="RL44" t="n">
        <x:f t="shared" ref="RL44:RT44" si="83">COUNTIF(RL5:RL42,"〇")</x:f>
        <x:v>13</x:v>
      </x:c>
      <x:c r="RM44">
        <x:f t="shared" si="83"/>
        <x:v>10</x:v>
      </x:c>
      <x:c r="RN44">
        <x:f t="shared" si="83"/>
        <x:v>10</x:v>
      </x:c>
      <x:c r="RO44">
        <x:f t="shared" si="83"/>
        <x:v>3</x:v>
      </x:c>
      <x:c r="RP44">
        <x:f t="shared" si="83"/>
        <x:v>13</x:v>
      </x:c>
      <x:c r="RQ44">
        <x:f t="shared" si="83"/>
        <x:v>5</x:v>
      </x:c>
      <x:c r="RR44">
        <x:f t="shared" si="83"/>
        <x:v>8</x:v>
      </x:c>
      <x:c r="RS44">
        <x:f t="shared" si="83"/>
        <x:v>10</x:v>
      </x:c>
      <x:c r="RT44">
        <x:f t="shared" si="83"/>
        <x:v>0</x:v>
      </x:c>
      <x:c r="RV44" s="19" t="n">
        <x:f>SUM(RV5:RV42)</x:f>
        <x:v>31</x:v>
      </x:c>
      <x:c r="RX44" s="19" t="n">
        <x:f>SUM(RX5:RX42)</x:f>
        <x:v>6</x:v>
      </x:c>
    </x:row>
    <x:row r="45" ht="16.5">
      <x:c r="Q45" s="20" t="n">
        <x:f>Q44/SUMPRODUCT(--(A5:A42&lt;&gt;""))</x:f>
        <x:v>1</x:v>
      </x:c>
      <x:c r="X45" s="20" t="n">
        <x:f>X44/SUMPRODUCT(--(A5:A42&lt;&gt;""))</x:f>
        <x:v>1</x:v>
      </x:c>
      <x:c r="AD45" s="20" t="n">
        <x:f>AD44/SUMPRODUCT(--(A5:A42&lt;&gt;""))</x:f>
        <x:v>0.9736842105263158</x:v>
      </x:c>
      <x:c r="AK45" s="20" t="n">
        <x:f>AK44/SUMPRODUCT(--(A5:A42&lt;&gt;""))</x:f>
        <x:v>1</x:v>
      </x:c>
      <x:c r="AO45" s="20" t="n">
        <x:f>AO44/SUMPRODUCT(--(A5:A42&lt;&gt;""))</x:f>
        <x:v>1</x:v>
      </x:c>
      <x:c r="AX45" s="20" t="n">
        <x:f>AX44/SUMPRODUCT(--(A5:A42&lt;&gt;""))</x:f>
        <x:v>0.9736842105263158</x:v>
      </x:c>
      <x:c r="BH45" s="20" t="n">
        <x:f>BH44/SUMPRODUCT(--(A5:A42&lt;&gt;""))</x:f>
        <x:v>0.9736842105263158</x:v>
      </x:c>
      <x:c r="BQ45" s="20" t="n">
        <x:f>BQ44/SUMPRODUCT(--(A5:A42&lt;&gt;""))</x:f>
        <x:v>0.9736842105263158</x:v>
      </x:c>
      <x:c r="BZ45" s="20" t="n">
        <x:f>BZ44/SUMPRODUCT(--(A5:A42&lt;&gt;""))</x:f>
        <x:v>0.8947368421052632</x:v>
      </x:c>
      <x:c r="CL45" s="20" t="n">
        <x:f>CL44/SUMPRODUCT(--(A5:A42&lt;&gt;""))</x:f>
        <x:v>0.9736842105263158</x:v>
      </x:c>
      <x:c r="DB45" s="20" t="n">
        <x:f>DB44/SUMPRODUCT(--(A5:A42&lt;&gt;""))</x:f>
        <x:v>0.9473684210526315</x:v>
      </x:c>
      <x:c r="DD45" s="20" t="n">
        <x:f>DD44/SUMPRODUCT(--(A5:A42&lt;&gt;""))</x:f>
        <x:v>0.23684210526315788</x:v>
      </x:c>
      <x:c r="DN45" s="20" t="n">
        <x:f>DN44/SUMPRODUCT(--(A5:A42&lt;&gt;""))</x:f>
        <x:v>0.9473684210526315</x:v>
      </x:c>
      <x:c r="DT45" s="20" t="n">
        <x:f>DT44/SUMPRODUCT(--(A5:A42&lt;&gt;""))</x:f>
        <x:v>0.9736842105263158</x:v>
      </x:c>
      <x:c r="EE45" s="20" t="n">
        <x:f>EE44/SUMPRODUCT(--(A5:A42&lt;&gt;""))</x:f>
        <x:v>0.8947368421052632</x:v>
      </x:c>
      <x:c r="EQ45" s="20" t="n">
        <x:f>EQ44/SUMPRODUCT(--(A5:A42&lt;&gt;""))</x:f>
        <x:v>0.8947368421052632</x:v>
      </x:c>
      <x:c r="EV45" s="20" t="n">
        <x:f>EV44/SUMPRODUCT(--(A5:A42&lt;&gt;""))</x:f>
        <x:v>0.9473684210526315</x:v>
      </x:c>
      <x:c r="FF45" s="20" t="n">
        <x:f>FF44/SUMPRODUCT(--(A5:A42&lt;&gt;""))</x:f>
        <x:v>0.9473684210526315</x:v>
      </x:c>
      <x:c r="FV45" s="20" t="n">
        <x:f>FV44/SUMPRODUCT(--(A5:A42&lt;&gt;""))</x:f>
        <x:v>0.9210526315789473</x:v>
      </x:c>
      <x:c r="GF45" s="20" t="n">
        <x:f>GF44/SUMPRODUCT(--(A5:A42&lt;&gt;""))</x:f>
        <x:v>0.868421052631579</x:v>
      </x:c>
      <x:c r="GM45" s="20" t="n">
        <x:f>GM44/SUMPRODUCT(--(A5:A42&lt;&gt;""))</x:f>
        <x:v>0.8157894736842105</x:v>
      </x:c>
      <x:c r="GT45" s="20" t="n">
        <x:f>GT44/SUMPRODUCT(--(A5:A42&lt;&gt;""))</x:f>
        <x:v>0.7368421052631579</x:v>
      </x:c>
      <x:c r="GY45" s="20" t="n">
        <x:f>GY44/SUMPRODUCT(--(A5:A42&lt;&gt;""))</x:f>
        <x:v>0.868421052631579</x:v>
      </x:c>
      <x:c r="HL45" s="20" t="n">
        <x:f>HL44/SUMPRODUCT(--(A5:A42&lt;&gt;""))</x:f>
        <x:v>0.9736842105263158</x:v>
      </x:c>
      <x:c r="HW45" s="20" t="n">
        <x:f>HW44/SUMPRODUCT(--(A5:A42&lt;&gt;""))</x:f>
        <x:v>0.8157894736842105</x:v>
      </x:c>
      <x:c r="IC45" s="20" t="n">
        <x:f>IC44/SUMPRODUCT(--(A5:A42&lt;&gt;""))</x:f>
        <x:v>0.8947368421052632</x:v>
      </x:c>
      <x:c r="IO45" s="20" t="n">
        <x:f>IO44/SUMPRODUCT(--(A5:A42&lt;&gt;""))</x:f>
        <x:v>0.9473684210526315</x:v>
      </x:c>
      <x:c r="IY45" s="20" t="n">
        <x:f>IY44/SUMPRODUCT(--(A5:A42&lt;&gt;""))</x:f>
        <x:v>0.7631578947368421</x:v>
      </x:c>
      <x:c r="JS45" s="20" t="n">
        <x:f>JS44/SUMPRODUCT(--(A5:A42&lt;&gt;""))</x:f>
        <x:v>0.7894736842105263</x:v>
      </x:c>
      <x:c r="KM45" s="20" t="n">
        <x:f>KM44/SUMPRODUCT(--(A5:A42&lt;&gt;""))</x:f>
        <x:v>0.631578947368421</x:v>
      </x:c>
      <x:c r="LG45" s="20" t="n">
        <x:f>LG44/SUMPRODUCT(--(A5:A42&lt;&gt;""))</x:f>
        <x:v>0.7368421052631579</x:v>
      </x:c>
      <x:c r="LR45" s="20" t="n">
        <x:f>LR44/SUMPRODUCT(--(A5:A42&lt;&gt;""))</x:f>
        <x:v>0.6578947368421053</x:v>
      </x:c>
      <x:c r="MC45" s="20" t="n">
        <x:f>MC44/SUMPRODUCT(--(A5:A42&lt;&gt;""))</x:f>
        <x:v>0.8157894736842105</x:v>
      </x:c>
      <x:c r="MK45" s="20" t="n">
        <x:f>MK44/SUMPRODUCT(--(A5:A42&lt;&gt;""))</x:f>
        <x:v>0.868421052631579</x:v>
      </x:c>
      <x:c r="MV45" s="20" t="n">
        <x:f>MV44/SUMPRODUCT(--(A5:A42&lt;&gt;""))</x:f>
        <x:v>0.8947368421052632</x:v>
      </x:c>
      <x:c r="NG45" s="20" t="n">
        <x:f>NG44/SUMPRODUCT(--(A5:A42&lt;&gt;""))</x:f>
        <x:v>0.8421052631578947</x:v>
      </x:c>
      <x:c r="NS45" s="20" t="n">
        <x:f>NS44/SUMPRODUCT(--(A5:A42&lt;&gt;""))</x:f>
        <x:v>0.8157894736842105</x:v>
      </x:c>
      <x:c r="NY45" s="20" t="n">
        <x:f>NY44/SUMPRODUCT(--(A5:A42&lt;&gt;""))</x:f>
        <x:v>0.8157894736842105</x:v>
      </x:c>
      <x:c r="OL45" s="20" t="n">
        <x:f>OL44/SUMPRODUCT(--(A5:A42&lt;&gt;""))</x:f>
        <x:v>0.7894736842105263</x:v>
      </x:c>
      <x:c r="OW45" s="20" t="n">
        <x:f>OW44/SUMPRODUCT(--(A5:A42&lt;&gt;""))</x:f>
        <x:v>0.8421052631578947</x:v>
      </x:c>
      <x:c r="PC45" s="20" t="n">
        <x:f>PC44/SUMPRODUCT(--(A5:A42&lt;&gt;""))</x:f>
        <x:v>0.868421052631579</x:v>
      </x:c>
      <x:c r="PO45" s="20" t="n">
        <x:f>PO44/SUMPRODUCT(--(A5:A42&lt;&gt;""))</x:f>
        <x:v>0.8947368421052632</x:v>
      </x:c>
      <x:c r="PT45" s="20" t="n">
        <x:f>PT44/SUMPRODUCT(--(A5:A42&lt;&gt;""))</x:f>
        <x:v>0.8947368421052632</x:v>
      </x:c>
      <x:c r="QE45" s="20" t="n">
        <x:f>QE44/SUMPRODUCT(--(A5:A42&lt;&gt;""))</x:f>
        <x:v>0.9210526315789473</x:v>
      </x:c>
      <x:c r="QP45" s="20" t="n">
        <x:f>QP44/SUMPRODUCT(--(A5:A42&lt;&gt;""))</x:f>
        <x:v>0.868421052631579</x:v>
      </x:c>
      <x:c r="RA45" s="20" t="n">
        <x:f>RA44/SUMPRODUCT(--(A5:A42&lt;&gt;""))</x:f>
        <x:v>0.7894736842105263</x:v>
      </x:c>
      <x:c r="RK45" s="20" t="n">
        <x:f>RK44/SUMPRODUCT(--(A5:A42&lt;&gt;""))</x:f>
        <x:v>0.8157894736842105</x:v>
      </x:c>
      <x:c r="RV45" s="20" t="n">
        <x:f>RV44/SUMPRODUCT(--(A5:A42&lt;&gt;""))</x:f>
        <x:v>0.8157894736842105</x:v>
      </x:c>
      <x:c r="RX45" s="20" t="n">
        <x:f>RX44/SUMPRODUCT(--(A5:A42&lt;&gt;""))</x:f>
        <x:v>0.15789473684210525</x:v>
      </x:c>
    </x:row>
  </x:sheetData>
  <x:mergeCells>
    <x:mergeCell ref="R2:X2"/>
    <x:mergeCell ref="MW2:NG2"/>
    <x:mergeCell ref="HX1:IC1"/>
    <x:mergeCell ref="DE2:DN2"/>
    <x:mergeCell ref="EW2:FF2"/>
    <x:mergeCell ref="ML1:MV1"/>
    <x:mergeCell ref="GN1:GT1"/>
    <x:mergeCell ref="DU2:EE2"/>
    <x:mergeCell ref="GU1:GY1"/>
    <x:mergeCell ref="BR2:BZ2"/>
    <x:mergeCell ref="FW2:GF2"/>
    <x:mergeCell ref="IP2:IY2"/>
    <x:mergeCell ref="MD2:MK2"/>
    <x:mergeCell ref="AE1:AK1"/>
    <x:mergeCell ref="EF1:EQ1"/>
    <x:mergeCell ref="AP2:AX2"/>
    <x:mergeCell ref="B1:B4"/>
    <x:mergeCell ref="KN2:LG2"/>
    <x:mergeCell ref="BI1:BQ1"/>
    <x:mergeCell ref="DO1:DT1"/>
    <x:mergeCell ref="PD1:PO1"/>
    <x:mergeCell ref="AE2:AK2"/>
    <x:mergeCell ref="IP1:IY1"/>
    <x:mergeCell ref="RL2:RV2"/>
    <x:mergeCell ref="ML2:MV2"/>
    <x:mergeCell ref="DO2:DT2"/>
    <x:mergeCell ref="HX2:IC2"/>
    <x:mergeCell ref="GZ1:HL1"/>
    <x:mergeCell ref="Y2:AD2"/>
    <x:mergeCell ref="ER1:EV1"/>
    <x:mergeCell ref="MW1:NG1"/>
    <x:mergeCell ref="QF2:QP2"/>
    <x:mergeCell ref="OM1:OW1"/>
    <x:mergeCell ref="QQ1:RA1"/>
    <x:mergeCell ref="NZ2:OL2"/>
    <x:mergeCell ref="NT1:NY1"/>
    <x:mergeCell ref="C1:C4"/>
    <x:mergeCell ref="GG2:GM2"/>
    <x:mergeCell ref="E1:E4"/>
    <x:mergeCell ref="RW3:RX3"/>
    <x:mergeCell ref="GG1:GM1"/>
    <x:mergeCell ref="EW1:FF1"/>
    <x:mergeCell ref="FG2:FV2"/>
    <x:mergeCell ref="G1:G4"/>
    <x:mergeCell ref="I1:I4"/>
    <x:mergeCell ref="L2:Q2"/>
    <x:mergeCell ref="BI2:BQ2"/>
    <x:mergeCell ref="CM2:DB2"/>
    <x:mergeCell ref="BR1:BZ1"/>
    <x:mergeCell ref="CA1:CL1"/>
    <x:mergeCell ref="DC1:DD1"/>
    <x:mergeCell ref="FW1:GF1"/>
    <x:mergeCell ref="PD2:PO2"/>
    <x:mergeCell ref="EF2:EQ2"/>
    <x:mergeCell ref="OX1:PC1"/>
    <x:mergeCell ref="LS2:MC2"/>
    <x:mergeCell ref="AP1:AX1"/>
    <x:mergeCell ref="Y1:AD1"/>
    <x:mergeCell ref="HM1:HW1"/>
    <x:mergeCell ref="JT1:KM1"/>
    <x:mergeCell ref="IZ2:JS2"/>
    <x:mergeCell ref="DC2:DD2"/>
    <x:mergeCell ref="KN1:LG1"/>
    <x:mergeCell ref="RW2:RX2"/>
    <x:mergeCell ref="L1:Q1"/>
    <x:mergeCell ref="DE1:DN1"/>
    <x:mergeCell ref="PU1:QE1"/>
    <x:mergeCell ref="NH2:NS2"/>
    <x:mergeCell ref="AL2:AO2"/>
    <x:mergeCell ref="DU1:EE1"/>
    <x:mergeCell ref="PP1:PT1"/>
    <x:mergeCell ref="NT2:NY2"/>
    <x:mergeCell ref="MD1:MK1"/>
    <x:mergeCell ref="RW1:RX1"/>
    <x:mergeCell ref="LH1:LR1"/>
    <x:mergeCell ref="AY2:BH2"/>
    <x:mergeCell ref="CM1:DB1"/>
    <x:mergeCell ref="CA2:CL2"/>
    <x:mergeCell ref="GN2:GT2"/>
    <x:mergeCell ref="NH1:NS1"/>
    <x:mergeCell ref="ID2:IO2"/>
    <x:mergeCell ref="QF1:QP1"/>
    <x:mergeCell ref="R1:X1"/>
    <x:mergeCell ref="HM2:HW2"/>
    <x:mergeCell ref="JT2:KM2"/>
    <x:mergeCell ref="NZ1:OL1"/>
    <x:mergeCell ref="RL1:RV1"/>
    <x:mergeCell ref="AY1:BH1"/>
    <x:mergeCell ref="GU2:GY2"/>
    <x:mergeCell ref="ID1:IO1"/>
    <x:mergeCell ref="LH2:LR2"/>
    <x:mergeCell ref="A1:A4"/>
    <x:mergeCell ref="RB2:RK2"/>
    <x:mergeCell ref="AL1:AO1"/>
    <x:mergeCell ref="K1:K4"/>
    <x:mergeCell ref="FG1:FV1"/>
    <x:mergeCell ref="IZ1:JS1"/>
    <x:mergeCell ref="LS1:MC1"/>
    <x:mergeCell ref="D1:D4"/>
    <x:mergeCell ref="F1:F4"/>
    <x:mergeCell ref="H1:H4"/>
    <x:mergeCell ref="J1:J4"/>
    <x:mergeCell ref="DC3:DD3"/>
    <x:mergeCell ref="RB1:RK1"/>
    <x:mergeCell ref="GZ2:HL2"/>
    <x:mergeCell ref="OX2:PC2"/>
    <x:mergeCell ref="OM2:OW2"/>
    <x:mergeCell ref="PP2:PT2"/>
    <x:mergeCell ref="PU2:QE2"/>
    <x:mergeCell ref="ER2:EV2"/>
    <x:mergeCell ref="QQ2:RA2"/>
  </x:mergeCells>
  <x:pageMargins left="0.7" right="0.7" top="0.75" bottom="0.75" header="0.3" footer="0.3"/>
</x:worksheet>
</file>

<file path=xl/worksheets/sheet2.xml><?xml version="1.0" encoding="utf-8"?>
<x:worksheet xmlns:x="http://schemas.openxmlformats.org/spreadsheetml/2006/main">
  <x:sheetFormatPr defaultRowHeight="13.5"/>
  <x:sheetData>
    <x:row r="1">
      <x:c r="A1" t="s">
        <x:v>500</x:v>
      </x:c>
      <x:c r="B1" t="s">
        <x:v>501</x:v>
      </x:c>
    </x:row>
    <x:row r="2">
      <x:c r="A2" t="s">
        <x:v>502</x:v>
      </x:c>
      <x:c r="B2">
        <x:v>1</x:v>
      </x:c>
    </x:row>
    <x:row r="3">
      <x:c r="A3" t="s">
        <x:v>503</x:v>
      </x:c>
      <x:c r="B3" t="s">
        <x:v>504</x:v>
      </x:c>
    </x:row>
    <x:row r="4">
      <x:c r="A4" t="s">
        <x:v>505</x:v>
      </x:c>
      <x:c r="B4" t="s">
        <x:v>506</x:v>
      </x:c>
    </x:row>
    <x:row r="5">
      <x:c r="A5" t="s">
        <x:v>507</x:v>
      </x:c>
      <x:c r="B5">
        <x:v>1</x:v>
      </x:c>
    </x:row>
    <x:row r="6">
      <x:c r="A6" t="s">
        <x:v>508</x:v>
      </x:c>
      <x:c r="B6" t="s">
        <x:v>509</x:v>
      </x:c>
    </x:row>
    <x:row r="7">
      <x:c r="A7" t="s">
        <x:v>510</x:v>
      </x:c>
      <x:c r="B7" t="s">
        <x:v>511</x:v>
      </x:c>
    </x:row>
    <x:row r="8">
      <x:c r="A8" t="s">
        <x:v>512</x:v>
      </x:c>
      <x:c r="B8" t="s">
        <x:v>513</x:v>
      </x:c>
    </x:row>
    <x:row r="9">
      <x:c r="A9" t="s">
        <x:v>514</x:v>
      </x:c>
      <x:c r="B9" t="s">
        <x:v>515</x:v>
      </x:c>
    </x:row>
    <x:row r="10">
      <x:c r="A10" t="s">
        <x:v>516</x:v>
      </x:c>
      <x:c r="B10" t="s">
        <x:v>517</x:v>
      </x:c>
    </x:row>
    <x:row r="11">
      <x:c r="A11" t="s">
        <x:v>518</x:v>
      </x:c>
      <x:c r="B11" t="s">
        <x:v>519</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48" hidden="0" customWidth="1"/>
    <x:col min="4" max="4" width="28" hidden="0" customWidth="1"/>
    <x:col min="5" max="5" width="15" hidden="0" customWidth="1"/>
    <x:col min="6" max="6" width="38" hidden="0" customWidth="1"/>
  </x:cols>
  <x:sheetData>
    <x:row r="1" ht="26" customHeight="1">
      <x:c r="A1" s="79" t="str">
        <x:v>北塩原村 障がい福祉アンケート 集計・クロス分析</x:v>
      </x:c>
      <x:c r="B1" s="79"/>
      <x:c r="C1" s="79"/>
      <x:c r="D1" s="79"/>
      <x:c r="E1" s="79"/>
      <x:c r="F1" s="79"/>
      <x:c r="G1" s="79"/>
      <x:c r="H1" s="79"/>
    </x:row>
    <x:row r="2" ht="26" customHeight="1">
      <x:c r="A2" s="79"/>
      <x:c r="B2" s="79"/>
      <x:c r="C2" s="79"/>
      <x:c r="D2" s="79"/>
      <x:c r="E2" s="79"/>
      <x:c r="F2" s="79"/>
      <x:c r="G2" s="79"/>
      <x:c r="H2" s="79"/>
    </x:row>
    <x:row r="4">
      <x:c r="A4" s="96" t="str">
        <x:v>項目</x:v>
      </x:c>
      <x:c r="B4" s="97" t="str">
        <x:v>内容</x:v>
      </x:c>
      <x:c r="D4" s="88" t="str">
        <x:v>クロス分析テーマ</x:v>
      </x:c>
      <x:c r="E4" s="88"/>
      <x:c r="F4" s="88"/>
      <x:c r="G4" s="88"/>
      <x:c r="H4" s="88"/>
    </x:row>
    <x:row r="5">
      <x:c r="A5" s="98" t="str">
        <x:v>分析対象</x:v>
      </x:c>
      <x:c r="B5" s="99" t="str">
        <x:v>38件（元データの回答レコード：5～42行）</x:v>
      </x:c>
      <x:c r="D5" s="118" t="str">
        <x:v>シート</x:v>
      </x:c>
      <x:c r="E5" s="119" t="str">
        <x:v>クロス軸</x:v>
      </x:c>
      <x:c r="F5" s="120" t="str">
        <x:v>分析目的</x:v>
      </x:c>
    </x:row>
    <x:row r="6">
      <x:c r="A6" s="98" t="str">
        <x:v>除外行</x:v>
      </x:c>
      <x:c r="B6" s="99" t="str">
        <x:v>43行目以降の空白・集計行（「計」・割合）</x:v>
      </x:c>
      <x:c r="D6" s="98" t="str">
        <x:v>C01_障がい×今後サービス</x:v>
      </x:c>
      <x:c r="E6" s="94" t="str">
        <x:v>問6 × 問27-3</x:v>
      </x:c>
      <x:c r="F6" s="99" t="str">
        <x:v>障がい種別ごとの今後のサービス利用ニーズ</x:v>
      </x:c>
    </x:row>
    <x:row r="7">
      <x:c r="A7" s="100" t="str">
        <x:v>集計方法</x:v>
      </x:c>
      <x:c r="B7" s="101" t="str">
        <x:v>単純集計＋主要10テーマのクロス分析</x:v>
      </x:c>
      <x:c r="D7" s="98" t="str">
        <x:v>C02_地区×外出困難</x:v>
      </x:c>
      <x:c r="E7" s="94" t="str">
        <x:v>問3 × 問14</x:v>
      </x:c>
      <x:c r="F7" s="99" t="str">
        <x:v>地区別の外出・交通上の課題</x:v>
      </x:c>
    </x:row>
    <x:row r="8">
      <x:c r="D8" s="98" t="str">
        <x:v>C03_地区×利用困難理由</x:v>
      </x:c>
      <x:c r="E8" s="94" t="str">
        <x:v>問3 × 問28</x:v>
      </x:c>
      <x:c r="F8" s="99" t="str">
        <x:v>地区別のサービス利用阻害要因</x:v>
      </x:c>
    </x:row>
    <x:row r="9">
      <x:c r="D9" s="98" t="str">
        <x:v>C04_現在暮らし×将来</x:v>
      </x:c>
      <x:c r="E9" s="94" t="str">
        <x:v>問7 × 問11</x:v>
      </x:c>
      <x:c r="F9" s="99" t="str">
        <x:v>現在の暮らしと将来希望のギャップ</x:v>
      </x:c>
    </x:row>
    <x:row r="10">
      <x:c r="A10" s="139" t="str">
        <x:v>参考：問44 村が特に力を入れるべきこと</x:v>
      </x:c>
      <x:c r="B10" s="139"/>
      <x:c r="C10" s="139"/>
      <x:c r="D10" s="98" t="str">
        <x:v>C05_年齢×生活課題</x:v>
      </x:c>
      <x:c r="E10" s="94" t="str">
        <x:v>問2 × 問10</x:v>
      </x:c>
      <x:c r="F10" s="99" t="str">
        <x:v>年齢別の日常生活上の困りごと</x:v>
      </x:c>
    </x:row>
    <x:row r="11">
      <x:c r="A11" s="96" t="str">
        <x:v>選択肢</x:v>
      </x:c>
      <x:c r="B11" s="145" t="str">
        <x:v>件数</x:v>
      </x:c>
      <x:c r="C11" s="97" t="str">
        <x:v>割合</x:v>
      </x:c>
      <x:c r="D11" s="98" t="str">
        <x:v>C06_日中活動×希望</x:v>
      </x:c>
      <x:c r="E11" s="94" t="str">
        <x:v>問31 × 問32</x:v>
      </x:c>
      <x:c r="F11" s="99" t="str">
        <x:v>現在の日中活動と希望する働き方・活動</x:v>
      </x:c>
    </x:row>
    <x:row r="12">
      <x:c r="A12" s="121" t="str">
        <x:v>相談支援体制</x:v>
      </x:c>
      <x:c r="B12" s="122" t="n">
        <x:f>COUNTIF('データ'!$RL$5:$RL$42,"〇")</x:f>
        <x:v>13</x:v>
      </x:c>
      <x:c r="C12" s="146" t="n">
        <x:f>IF(COUNTIF('データ'!$RV$5:$RV$42,"&gt;0")=0,"",B12/COUNTIF('データ'!$RV$5:$RV$42,"&gt;0"))</x:f>
        <x:v>0.41935483870967744</x:v>
      </x:c>
      <x:c r="D12" s="98" t="str">
        <x:v>C07_避難計画×災害不安</x:v>
      </x:c>
      <x:c r="E12" s="94" t="str">
        <x:v>問39 × 問38</x:v>
      </x:c>
      <x:c r="F12" s="99" t="str">
        <x:v>個別避難計画の認知と災害時不安</x:v>
      </x:c>
    </x:row>
    <x:row r="13">
      <x:c r="A13" s="121" t="str">
        <x:v>在宅生活支援</x:v>
      </x:c>
      <x:c r="B13" s="122" t="n">
        <x:f>COUNTIF('データ'!$RM$5:$RM$42,"〇")</x:f>
        <x:v>10</x:v>
      </x:c>
      <x:c r="C13" s="146" t="n">
        <x:f>IF(COUNTIF('データ'!$RV$5:$RV$42,"&gt;0")=0,"",B13/COUNTIF('データ'!$RV$5:$RV$42,"&gt;0"))</x:f>
        <x:v>0.3225806451612903</x:v>
      </x:c>
      <x:c r="D13" s="98" t="str">
        <x:v>C08_障がい×合理的配慮</x:v>
      </x:c>
      <x:c r="E13" s="94" t="str">
        <x:v>問6 × 問36</x:v>
      </x:c>
      <x:c r="F13" s="99" t="str">
        <x:v>障がい種別ごとに必要な合理的配慮</x:v>
      </x:c>
    </x:row>
    <x:row r="14">
      <x:c r="A14" s="121" t="str">
        <x:v>移動支援</x:v>
      </x:c>
      <x:c r="B14" s="122" t="n">
        <x:f>COUNTIF('データ'!$RN$5:$RN$42,"〇")</x:f>
        <x:v>10</x:v>
      </x:c>
      <x:c r="C14" s="146" t="n">
        <x:f>IF(COUNTIF('データ'!$RV$5:$RV$42,"&gt;0")=0,"",B14/COUNTIF('データ'!$RV$5:$RV$42,"&gt;0"))</x:f>
        <x:v>0.3225806451612903</x:v>
      </x:c>
      <x:c r="D14" s="98" t="str">
        <x:v>C09_相談先×相談期待</x:v>
      </x:c>
      <x:c r="E14" s="94" t="str">
        <x:v>問22 × 問26</x:v>
      </x:c>
      <x:c r="F14" s="99" t="str">
        <x:v>相談先別の相談支援への期待</x:v>
      </x:c>
    </x:row>
    <x:row r="15">
      <x:c r="A15" s="121" t="str">
        <x:v>就労支援</x:v>
      </x:c>
      <x:c r="B15" s="122" t="n">
        <x:f>COUNTIF('データ'!$RO$5:$RO$42,"〇")</x:f>
        <x:v>3</x:v>
      </x:c>
      <x:c r="C15" s="146" t="n">
        <x:f>IF(COUNTIF('データ'!$RV$5:$RV$42,"&gt;0")=0,"",B15/COUNTIF('データ'!$RV$5:$RV$42,"&gt;0"))</x:f>
        <x:v>0.0967741935483871</x:v>
      </x:c>
      <x:c r="D15" s="100" t="str">
        <x:v>C10_介助者×拠点期待</x:v>
      </x:c>
      <x:c r="E15" s="135" t="str">
        <x:v>問9 × 問29</x:v>
      </x:c>
      <x:c r="F15" s="101" t="str">
        <x:v>主な介助者別の地域生活支援拠点への期待</x:v>
      </x:c>
    </x:row>
    <x:row r="16">
      <x:c r="A16" s="121" t="str">
        <x:v>災害時支援</x:v>
      </x:c>
      <x:c r="B16" s="122" t="n">
        <x:f>COUNTIF('データ'!$RP$5:$RP$42,"〇")</x:f>
        <x:v>13</x:v>
      </x:c>
      <x:c r="C16" s="146" t="n">
        <x:f>IF(COUNTIF('データ'!$RV$5:$RV$42,"&gt;0")=0,"",B16/COUNTIF('データ'!$RV$5:$RV$42,"&gt;0"))</x:f>
        <x:v>0.41935483870967744</x:v>
      </x:c>
    </x:row>
    <x:row r="17">
      <x:c r="A17" s="121" t="str">
        <x:v>差別解消・権利擁護</x:v>
      </x:c>
      <x:c r="B17" s="122" t="n">
        <x:f>COUNTIF('データ'!$RQ$5:$RQ$42,"〇")</x:f>
        <x:v>5</x:v>
      </x:c>
      <x:c r="C17" s="146" t="n">
        <x:f>IF(COUNTIF('データ'!$RV$5:$RV$42,"&gt;0")=0,"",B17/COUNTIF('データ'!$RV$5:$RV$42,"&gt;0"))</x:f>
        <x:v>0.16129032258064516</x:v>
      </x:c>
    </x:row>
    <x:row r="18">
      <x:c r="A18" s="121" t="str">
        <x:v>家族支援</x:v>
      </x:c>
      <x:c r="B18" s="122" t="n">
        <x:f>COUNTIF('データ'!$RR$5:$RR$42,"〇")</x:f>
        <x:v>8</x:v>
      </x:c>
      <x:c r="C18" s="146" t="n">
        <x:f>IF(COUNTIF('データ'!$RV$5:$RV$42,"&gt;0")=0,"",B18/COUNTIF('データ'!$RV$5:$RV$42,"&gt;0"))</x:f>
        <x:v>0.25806451612903225</x:v>
      </x:c>
    </x:row>
    <x:row r="19">
      <x:c r="A19" s="121" t="str">
        <x:v>サービス事業所の確保</x:v>
      </x:c>
      <x:c r="B19" s="122" t="n">
        <x:f>COUNTIF('データ'!$RS$5:$RS$42,"〇")</x:f>
        <x:v>10</x:v>
      </x:c>
      <x:c r="C19" s="146" t="n">
        <x:f>IF(COUNTIF('データ'!$RV$5:$RV$42,"&gt;0")=0,"",B19/COUNTIF('データ'!$RV$5:$RV$42,"&gt;0"))</x:f>
        <x:v>0.3225806451612903</x:v>
      </x:c>
    </x:row>
    <x:row r="20">
      <x:c r="A20" s="124" t="str">
        <x:v>その他</x:v>
      </x:c>
      <x:c r="B20" s="125" t="n">
        <x:f>COUNTIF('データ'!$RT$5:$RT$42,"〇")</x:f>
        <x:v>0</x:v>
      </x:c>
      <x:c r="C20" s="147" t="n">
        <x:f>IF(COUNTIF('データ'!$RV$5:$RV$42,"&gt;0")=0,"",B20/COUNTIF('データ'!$RV$5:$RV$42,"&gt;0"))</x:f>
        <x:v>0</x:v>
      </x:c>
    </x:row>
    <x:row r="23">
      <x:c r="A23" s="154" t="str">
        <x:v>注意：このブックのクロス分析は、添付Excelに含まれる38件の個票を対象にしています。各クロス表は「件数」と「行％」を併記し、nが小さい区分（目安：5未満）は解釈に注意してください。複数回答設問を含む表では、行％の合計が100％を超える場合があります。</x:v>
      </x:c>
      <x:c r="B23" s="154"/>
      <x:c r="C23" s="154"/>
      <x:c r="D23" s="154"/>
      <x:c r="E23" s="154"/>
      <x:c r="F23" s="154"/>
      <x:c r="G23" s="154"/>
      <x:c r="H23" s="154"/>
    </x:row>
    <x:row r="24">
      <x:c r="A24" s="154"/>
      <x:c r="B24" s="154"/>
      <x:c r="C24" s="154"/>
      <x:c r="D24" s="154"/>
      <x:c r="E24" s="154"/>
      <x:c r="F24" s="154"/>
      <x:c r="G24" s="154"/>
      <x:c r="H24" s="154"/>
    </x:row>
    <x:row r="25">
      <x:c r="A25" s="154"/>
      <x:c r="B25" s="154"/>
      <x:c r="C25" s="154"/>
      <x:c r="D25" s="154"/>
      <x:c r="E25" s="154"/>
      <x:c r="F25" s="154"/>
      <x:c r="G25" s="154"/>
      <x:c r="H25" s="154"/>
    </x:row>
    <x:row r="26">
      <x:c r="A26" s="154"/>
      <x:c r="B26" s="154"/>
      <x:c r="C26" s="154"/>
      <x:c r="D26" s="154"/>
      <x:c r="E26" s="154"/>
      <x:c r="F26" s="154"/>
      <x:c r="G26" s="154"/>
      <x:c r="H26" s="154"/>
    </x:row>
  </x:sheetData>
  <x:mergeCells>
    <x:mergeCell ref="A1:H2"/>
    <x:mergeCell ref="D4:H4"/>
    <x:mergeCell ref="A10:C10"/>
    <x:mergeCell ref="A23:H26"/>
  </x:mergeCells>
  <x:pageMargins left="0.7" right="0.7" top="0.75" bottom="0.75" header="0.3" footer="0.3"/>
  <x:drawing xmlns:r="http://schemas.openxmlformats.org/officeDocument/2006/relationships" r:id="Rd2c9cfa80f1c4351"/>
</x:worksheet>
</file>

<file path=xl/worksheets/sheet4.xml><?xml version="1.0" encoding="utf-8"?>
<x:worksheet xmlns:x="http://schemas.openxmlformats.org/spreadsheetml/2006/main">
  <x:sheetFormatPr defaultRowHeight="15"/>
  <x:cols>
    <x:col min="1" max="1" width="10" hidden="0" customWidth="1"/>
    <x:col min="2" max="2" width="46" hidden="0" customWidth="1"/>
    <x:col min="3" max="3" width="38" hidden="0" customWidth="1"/>
    <x:col min="4" max="4" width="12" hidden="0" customWidth="1"/>
    <x:col min="5" max="5" width="12" hidden="0" customWidth="1"/>
    <x:col min="6" max="6" width="12" hidden="0" customWidth="1"/>
    <x:col min="7" max="7" width="12" hidden="0" customWidth="1"/>
  </x:cols>
  <x:sheetData>
    <x:row r="1">
      <x:c r="A1" s="79" t="str">
        <x:v>単純集計表</x:v>
      </x:c>
      <x:c r="B1" s="79"/>
      <x:c r="C1" s="79"/>
      <x:c r="D1" s="79"/>
      <x:c r="E1" s="79"/>
      <x:c r="F1" s="79"/>
      <x:c r="G1" s="79"/>
    </x:row>
    <x:row r="2">
      <x:c r="A2" s="79"/>
      <x:c r="B2" s="79"/>
      <x:c r="C2" s="79"/>
      <x:c r="D2" s="79"/>
      <x:c r="E2" s="79"/>
      <x:c r="F2" s="79"/>
      <x:c r="G2" s="79"/>
    </x:row>
    <x:row r="3">
      <x:c r="A3" s="96" t="str">
        <x:v>設問番号</x:v>
      </x:c>
      <x:c r="B3" s="145" t="str">
        <x:v>設問</x:v>
      </x:c>
      <x:c r="C3" s="145" t="str">
        <x:v>選択肢</x:v>
      </x:c>
      <x:c r="D3" s="145" t="str">
        <x:v>件数</x:v>
      </x:c>
      <x:c r="E3" s="145" t="str">
        <x:v>割合</x:v>
      </x:c>
      <x:c r="F3" s="145" t="str">
        <x:v>有効回答数</x:v>
      </x:c>
      <x:c r="G3" s="97" t="str">
        <x:v>回答形式</x:v>
      </x:c>
    </x:row>
    <x:row r="4">
      <x:c r="A4" s="98" t="str">
        <x:v>問1</x:v>
      </x:c>
      <x:c r="B4" s="94" t="str">
        <x:v>この調査票を記入された方はどなたですか</x:v>
      </x:c>
      <x:c r="C4" s="94" t="str">
        <x:v>宛名のご本人</x:v>
      </x:c>
      <x:c r="D4" s="94" t="n">
        <x:f>COUNTIF('データ'!$L$5:$L$42,"〇")</x:f>
        <x:v>24</x:v>
      </x:c>
      <x:c r="E4" s="161" t="n">
        <x:f>IF(F4=0,"",D4/F4)</x:f>
        <x:v>0.631578947368421</x:v>
      </x:c>
      <x:c r="F4" s="94" t="n">
        <x:f>COUNTIF('データ'!$Q$5:$Q$42,"&gt;0")</x:f>
        <x:v>38</x:v>
      </x:c>
      <x:c r="G4" s="99" t="str">
        <x:v>単一回答</x:v>
      </x:c>
    </x:row>
    <x:row r="5">
      <x:c r="A5" s="98" t="str">
        <x:v>問1</x:v>
      </x:c>
      <x:c r="B5" s="94" t="str">
        <x:v>この調査票を記入された方はどなたですか</x:v>
      </x:c>
      <x:c r="C5" s="94" t="str">
        <x:v>ご家族</x:v>
      </x:c>
      <x:c r="D5" s="94" t="n">
        <x:f>COUNTIF('データ'!$M$5:$M$42,"〇")</x:f>
        <x:v>9</x:v>
      </x:c>
      <x:c r="E5" s="161" t="n">
        <x:f>IF(F5=0,"",D5/F5)</x:f>
        <x:v>0.23684210526315788</x:v>
      </x:c>
      <x:c r="F5" s="94" t="n">
        <x:f>COUNTIF('データ'!$Q$5:$Q$42,"&gt;0")</x:f>
        <x:v>38</x:v>
      </x:c>
      <x:c r="G5" s="99" t="str">
        <x:v>単一回答</x:v>
      </x:c>
    </x:row>
    <x:row r="6">
      <x:c r="A6" s="98" t="str">
        <x:v>問1</x:v>
      </x:c>
      <x:c r="B6" s="94" t="str">
        <x:v>この調査票を記入された方はどなたですか</x:v>
      </x:c>
      <x:c r="C6" s="94" t="str">
        <x:v>支援者・事業所職員</x:v>
      </x:c>
      <x:c r="D6" s="94" t="n">
        <x:f>COUNTIF('データ'!$N$5:$N$42,"〇")</x:f>
        <x:v>4</x:v>
      </x:c>
      <x:c r="E6" s="161" t="n">
        <x:f>IF(F6=0,"",D6/F6)</x:f>
        <x:v>0.10526315789473684</x:v>
      </x:c>
      <x:c r="F6" s="94" t="n">
        <x:f>COUNTIF('データ'!$Q$5:$Q$42,"&gt;0")</x:f>
        <x:v>38</x:v>
      </x:c>
      <x:c r="G6" s="99" t="str">
        <x:v>単一回答</x:v>
      </x:c>
    </x:row>
    <x:row r="7">
      <x:c r="A7" s="98" t="str">
        <x:v>問1</x:v>
      </x:c>
      <x:c r="B7" s="94" t="str">
        <x:v>この調査票を記入された方はどなたですか</x:v>
      </x:c>
      <x:c r="C7" s="94" t="str">
        <x:v>その他</x:v>
      </x:c>
      <x:c r="D7" s="94" t="n">
        <x:f>COUNTIF('データ'!$O$5:$O$42,"〇")</x:f>
        <x:v>1</x:v>
      </x:c>
      <x:c r="E7" s="161" t="n">
        <x:f>IF(F7=0,"",D7/F7)</x:f>
        <x:v>0.02631578947368421</x:v>
      </x:c>
      <x:c r="F7" s="94" t="n">
        <x:f>COUNTIF('データ'!$Q$5:$Q$42,"&gt;0")</x:f>
        <x:v>38</x:v>
      </x:c>
      <x:c r="G7" s="99" t="str">
        <x:v>単一回答</x:v>
      </x:c>
    </x:row>
    <x:row r="8">
      <x:c r="A8" s="98" t="str">
        <x:v>問1-2</x:v>
      </x:c>
      <x:c r="B8" s="94" t="str">
        <x:v>この回答は、宛名のご本人の意向をどのように反映していますか</x:v>
      </x:c>
      <x:c r="C8" s="94" t="str">
        <x:v>本人が回答した</x:v>
      </x:c>
      <x:c r="D8" s="94" t="n">
        <x:f>COUNTIF('データ'!$R$5:$R$42,"〇")</x:f>
        <x:v>22</x:v>
      </x:c>
      <x:c r="E8" s="161" t="n">
        <x:f>IF(F8=0,"",D8/F8)</x:f>
        <x:v>0.5789473684210527</x:v>
      </x:c>
      <x:c r="F8" s="94" t="n">
        <x:f>COUNTIF('データ'!$X$5:$X$42,"&gt;0")</x:f>
        <x:v>38</x:v>
      </x:c>
      <x:c r="G8" s="99" t="str">
        <x:v>単一回答</x:v>
      </x:c>
    </x:row>
    <x:row r="9">
      <x:c r="A9" s="98" t="str">
        <x:v>問1-2</x:v>
      </x:c>
      <x:c r="B9" s="94" t="str">
        <x:v>この回答は、宛名のご本人の意向をどのように反映していますか</x:v>
      </x:c>
      <x:c r="C9" s="94" t="str">
        <x:v>本人に確認して代理記入した</x:v>
      </x:c>
      <x:c r="D9" s="94" t="n">
        <x:f>COUNTIF('データ'!$S$5:$S$42,"〇")</x:f>
        <x:v>8</x:v>
      </x:c>
      <x:c r="E9" s="161" t="n">
        <x:f>IF(F9=0,"",D9/F9)</x:f>
        <x:v>0.21052631578947367</x:v>
      </x:c>
      <x:c r="F9" s="94" t="n">
        <x:f>COUNTIF('データ'!$X$5:$X$42,"&gt;0")</x:f>
        <x:v>38</x:v>
      </x:c>
      <x:c r="G9" s="99" t="str">
        <x:v>単一回答</x:v>
      </x:c>
    </x:row>
    <x:row r="10">
      <x:c r="A10" s="98" t="str">
        <x:v>問1-2</x:v>
      </x:c>
      <x:c r="B10" s="94" t="str">
        <x:v>この回答は、宛名のご本人の意向をどのように反映していますか</x:v>
      </x:c>
      <x:c r="C10" s="94" t="str">
        <x:v>本人の様子や日頃の意向を踏まえて代理記入した</x:v>
      </x:c>
      <x:c r="D10" s="94" t="n">
        <x:f>COUNTIF('データ'!$T$5:$T$42,"〇")</x:f>
        <x:v>2</x:v>
      </x:c>
      <x:c r="E10" s="161" t="n">
        <x:f>IF(F10=0,"",D10/F10)</x:f>
        <x:v>0.05263157894736842</x:v>
      </x:c>
      <x:c r="F10" s="94" t="n">
        <x:f>COUNTIF('データ'!$X$5:$X$42,"&gt;0")</x:f>
        <x:v>38</x:v>
      </x:c>
      <x:c r="G10" s="99" t="str">
        <x:v>単一回答</x:v>
      </x:c>
    </x:row>
    <x:row r="11">
      <x:c r="A11" s="98" t="str">
        <x:v>問1-2</x:v>
      </x:c>
      <x:c r="B11" s="94" t="str">
        <x:v>この回答は、宛名のご本人の意向をどのように反映していますか</x:v>
      </x:c>
      <x:c r="C11" s="94" t="str">
        <x:v>本人に確認することが難しく、家族・支援者の判断で記入した</x:v>
      </x:c>
      <x:c r="D11" s="94" t="n">
        <x:f>COUNTIF('データ'!$U$5:$U$42,"〇")</x:f>
        <x:v>6</x:v>
      </x:c>
      <x:c r="E11" s="161" t="n">
        <x:f>IF(F11=0,"",D11/F11)</x:f>
        <x:v>0.15789473684210525</x:v>
      </x:c>
      <x:c r="F11" s="94" t="n">
        <x:f>COUNTIF('データ'!$X$5:$X$42,"&gt;0")</x:f>
        <x:v>38</x:v>
      </x:c>
      <x:c r="G11" s="99" t="str">
        <x:v>単一回答</x:v>
      </x:c>
    </x:row>
    <x:row r="12">
      <x:c r="A12" s="98" t="str">
        <x:v>問1-2</x:v>
      </x:c>
      <x:c r="B12" s="94" t="str">
        <x:v>この回答は、宛名のご本人の意向をどのように反映していますか</x:v>
      </x:c>
      <x:c r="C12" s="94" t="str">
        <x:v>その他</x:v>
      </x:c>
      <x:c r="D12" s="94" t="n">
        <x:f>COUNTIF('データ'!$V$5:$V$42,"〇")</x:f>
        <x:v>0</x:v>
      </x:c>
      <x:c r="E12" s="161" t="n">
        <x:f>IF(F12=0,"",D12/F12)</x:f>
        <x:v>0</x:v>
      </x:c>
      <x:c r="F12" s="94" t="n">
        <x:f>COUNTIF('データ'!$X$5:$X$42,"&gt;0")</x:f>
        <x:v>38</x:v>
      </x:c>
      <x:c r="G12" s="99" t="str">
        <x:v>単一回答</x:v>
      </x:c>
    </x:row>
    <x:row r="13">
      <x:c r="A13" s="98" t="str">
        <x:v>問2</x:v>
      </x:c>
      <x:c r="B13" s="94" t="str">
        <x:v>あなた（宛名の方）の年齢を教えてください</x:v>
      </x:c>
      <x:c r="C13" s="94" t="str">
        <x:v>18～29歳</x:v>
      </x:c>
      <x:c r="D13" s="94" t="n">
        <x:f>COUNTIF('データ'!$Y$5:$Y$42,"〇")</x:f>
        <x:v>0</x:v>
      </x:c>
      <x:c r="E13" s="161" t="n">
        <x:f>IF(F13=0,"",D13/F13)</x:f>
        <x:v>0</x:v>
      </x:c>
      <x:c r="F13" s="94" t="n">
        <x:f>COUNTIF('データ'!$AD$5:$AD$42,"&gt;0")</x:f>
        <x:v>37</x:v>
      </x:c>
      <x:c r="G13" s="99" t="str">
        <x:v>単一回答</x:v>
      </x:c>
    </x:row>
    <x:row r="14">
      <x:c r="A14" s="98" t="str">
        <x:v>問2</x:v>
      </x:c>
      <x:c r="B14" s="94" t="str">
        <x:v>あなた（宛名の方）の年齢を教えてください</x:v>
      </x:c>
      <x:c r="C14" s="94" t="str">
        <x:v>30～39歳</x:v>
      </x:c>
      <x:c r="D14" s="94" t="n">
        <x:f>COUNTIF('データ'!$Z$5:$Z$42,"〇")</x:f>
        <x:v>3</x:v>
      </x:c>
      <x:c r="E14" s="161" t="n">
        <x:f>IF(F14=0,"",D14/F14)</x:f>
        <x:v>0.08108108108108109</x:v>
      </x:c>
      <x:c r="F14" s="94" t="n">
        <x:f>COUNTIF('データ'!$AD$5:$AD$42,"&gt;0")</x:f>
        <x:v>37</x:v>
      </x:c>
      <x:c r="G14" s="99" t="str">
        <x:v>単一回答</x:v>
      </x:c>
    </x:row>
    <x:row r="15">
      <x:c r="A15" s="98" t="str">
        <x:v>問2</x:v>
      </x:c>
      <x:c r="B15" s="94" t="str">
        <x:v>あなた（宛名の方）の年齢を教えてください</x:v>
      </x:c>
      <x:c r="C15" s="94" t="str">
        <x:v>40～49歳</x:v>
      </x:c>
      <x:c r="D15" s="94" t="n">
        <x:f>COUNTIF('データ'!$AA$5:$AA$42,"〇")</x:f>
        <x:v>2</x:v>
      </x:c>
      <x:c r="E15" s="161" t="n">
        <x:f>IF(F15=0,"",D15/F15)</x:f>
        <x:v>0.05405405405405406</x:v>
      </x:c>
      <x:c r="F15" s="94" t="n">
        <x:f>COUNTIF('データ'!$AD$5:$AD$42,"&gt;0")</x:f>
        <x:v>37</x:v>
      </x:c>
      <x:c r="G15" s="99" t="str">
        <x:v>単一回答</x:v>
      </x:c>
    </x:row>
    <x:row r="16">
      <x:c r="A16" s="98" t="str">
        <x:v>問2</x:v>
      </x:c>
      <x:c r="B16" s="94" t="str">
        <x:v>あなた（宛名の方）の年齢を教えてください</x:v>
      </x:c>
      <x:c r="C16" s="94" t="str">
        <x:v>50～64歳</x:v>
      </x:c>
      <x:c r="D16" s="94" t="n">
        <x:f>COUNTIF('データ'!$AB$5:$AB$42,"〇")</x:f>
        <x:v>7</x:v>
      </x:c>
      <x:c r="E16" s="161" t="n">
        <x:f>IF(F16=0,"",D16/F16)</x:f>
        <x:v>0.1891891891891892</x:v>
      </x:c>
      <x:c r="F16" s="94" t="n">
        <x:f>COUNTIF('データ'!$AD$5:$AD$42,"&gt;0")</x:f>
        <x:v>37</x:v>
      </x:c>
      <x:c r="G16" s="99" t="str">
        <x:v>単一回答</x:v>
      </x:c>
    </x:row>
    <x:row r="17">
      <x:c r="A17" s="98" t="str">
        <x:v>問2</x:v>
      </x:c>
      <x:c r="B17" s="94" t="str">
        <x:v>あなた（宛名の方）の年齢を教えてください</x:v>
      </x:c>
      <x:c r="C17" s="94" t="str">
        <x:v>65歳以上</x:v>
      </x:c>
      <x:c r="D17" s="94" t="n">
        <x:f>COUNTIF('データ'!$AC$5:$AC$42,"〇")</x:f>
        <x:v>25</x:v>
      </x:c>
      <x:c r="E17" s="161" t="n">
        <x:f>IF(F17=0,"",D17/F17)</x:f>
        <x:v>0.6756756756756757</x:v>
      </x:c>
      <x:c r="F17" s="94" t="n">
        <x:f>COUNTIF('データ'!$AD$5:$AD$42,"&gt;0")</x:f>
        <x:v>37</x:v>
      </x:c>
      <x:c r="G17" s="99" t="str">
        <x:v>単一回答</x:v>
      </x:c>
    </x:row>
    <x:row r="18">
      <x:c r="A18" s="98" t="str">
        <x:v>問3</x:v>
      </x:c>
      <x:c r="B18" s="94" t="str">
        <x:v>あなたのお住まいの地区を教えてください</x:v>
      </x:c>
      <x:c r="C18" s="94" t="str">
        <x:v>北山地区</x:v>
      </x:c>
      <x:c r="D18" s="94" t="n">
        <x:f>COUNTIF('データ'!$AE$5:$AE$42,"〇")</x:f>
        <x:v>17</x:v>
      </x:c>
      <x:c r="E18" s="161" t="n">
        <x:f>IF(F18=0,"",D18/F18)</x:f>
        <x:v>0.4473684210526316</x:v>
      </x:c>
      <x:c r="F18" s="94" t="n">
        <x:f>COUNTIF('データ'!$AK$5:$AK$42,"&gt;0")</x:f>
        <x:v>38</x:v>
      </x:c>
      <x:c r="G18" s="99" t="str">
        <x:v>単一回答</x:v>
      </x:c>
    </x:row>
    <x:row r="19">
      <x:c r="A19" s="98" t="str">
        <x:v>問3</x:v>
      </x:c>
      <x:c r="B19" s="94" t="str">
        <x:v>あなたのお住まいの地区を教えてください</x:v>
      </x:c>
      <x:c r="C19" s="94" t="str">
        <x:v>大塩地区</x:v>
      </x:c>
      <x:c r="D19" s="94" t="n">
        <x:f>COUNTIF('データ'!$AF$5:$AF$42,"〇")</x:f>
        <x:v>7</x:v>
      </x:c>
      <x:c r="E19" s="161" t="n">
        <x:f>IF(F19=0,"",D19/F19)</x:f>
        <x:v>0.18421052631578946</x:v>
      </x:c>
      <x:c r="F19" s="94" t="n">
        <x:f>COUNTIF('データ'!$AK$5:$AK$42,"&gt;0")</x:f>
        <x:v>38</x:v>
      </x:c>
      <x:c r="G19" s="99" t="str">
        <x:v>単一回答</x:v>
      </x:c>
    </x:row>
    <x:row r="20">
      <x:c r="A20" s="98" t="str">
        <x:v>問3</x:v>
      </x:c>
      <x:c r="B20" s="94" t="str">
        <x:v>あなたのお住まいの地区を教えてください</x:v>
      </x:c>
      <x:c r="C20" s="94" t="str">
        <x:v>桧原地区</x:v>
      </x:c>
      <x:c r="D20" s="94" t="n">
        <x:f>COUNTIF('データ'!$AG$5:$AG$42,"〇")</x:f>
        <x:v>3</x:v>
      </x:c>
      <x:c r="E20" s="161" t="n">
        <x:f>IF(F20=0,"",D20/F20)</x:f>
        <x:v>0.07894736842105263</x:v>
      </x:c>
      <x:c r="F20" s="94" t="n">
        <x:f>COUNTIF('データ'!$AK$5:$AK$42,"&gt;0")</x:f>
        <x:v>38</x:v>
      </x:c>
      <x:c r="G20" s="99" t="str">
        <x:v>単一回答</x:v>
      </x:c>
    </x:row>
    <x:row r="21">
      <x:c r="A21" s="98" t="str">
        <x:v>問3</x:v>
      </x:c>
      <x:c r="B21" s="94" t="str">
        <x:v>あなたのお住まいの地区を教えてください</x:v>
      </x:c>
      <x:c r="C21" s="94" t="str">
        <x:v>裏磐梯地区</x:v>
      </x:c>
      <x:c r="D21" s="94" t="n">
        <x:f>COUNTIF('データ'!$AH$5:$AH$42,"〇")</x:f>
        <x:v>10</x:v>
      </x:c>
      <x:c r="E21" s="161" t="n">
        <x:f>IF(F21=0,"",D21/F21)</x:f>
        <x:v>0.2631578947368421</x:v>
      </x:c>
      <x:c r="F21" s="94" t="n">
        <x:f>COUNTIF('データ'!$AK$5:$AK$42,"&gt;0")</x:f>
        <x:v>38</x:v>
      </x:c>
      <x:c r="G21" s="99" t="str">
        <x:v>単一回答</x:v>
      </x:c>
    </x:row>
    <x:row r="22">
      <x:c r="A22" s="98" t="str">
        <x:v>問3</x:v>
      </x:c>
      <x:c r="B22" s="94" t="str">
        <x:v>あなたのお住まいの地区を教えてください</x:v>
      </x:c>
      <x:c r="C22" s="94" t="str">
        <x:v>その他</x:v>
      </x:c>
      <x:c r="D22" s="94" t="n">
        <x:f>COUNTIF('データ'!$AI$5:$AI$42,"〇")</x:f>
        <x:v>1</x:v>
      </x:c>
      <x:c r="E22" s="161" t="n">
        <x:f>IF(F22=0,"",D22/F22)</x:f>
        <x:v>0.02631578947368421</x:v>
      </x:c>
      <x:c r="F22" s="94" t="n">
        <x:f>COUNTIF('データ'!$AK$5:$AK$42,"&gt;0")</x:f>
        <x:v>38</x:v>
      </x:c>
      <x:c r="G22" s="99" t="str">
        <x:v>単一回答</x:v>
      </x:c>
    </x:row>
    <x:row r="23">
      <x:c r="A23" s="98" t="str">
        <x:v>問4</x:v>
      </x:c>
      <x:c r="B23" s="94" t="str">
        <x:v>あなたの性別を教えてください</x:v>
      </x:c>
      <x:c r="C23" s="94" t="str">
        <x:v>男性</x:v>
      </x:c>
      <x:c r="D23" s="94" t="n">
        <x:f>COUNTIF('データ'!$AL$5:$AL$42,"〇")</x:f>
        <x:v>16</x:v>
      </x:c>
      <x:c r="E23" s="161" t="n">
        <x:f>IF(F23=0,"",D23/F23)</x:f>
        <x:v>0.42105263157894735</x:v>
      </x:c>
      <x:c r="F23" s="94" t="n">
        <x:f>COUNTIF('データ'!$AO$5:$AO$42,"&gt;0")</x:f>
        <x:v>38</x:v>
      </x:c>
      <x:c r="G23" s="99" t="str">
        <x:v>単一回答</x:v>
      </x:c>
    </x:row>
    <x:row r="24">
      <x:c r="A24" s="98" t="str">
        <x:v>問4</x:v>
      </x:c>
      <x:c r="B24" s="94" t="str">
        <x:v>あなたの性別を教えてください</x:v>
      </x:c>
      <x:c r="C24" s="94" t="str">
        <x:v>女性</x:v>
      </x:c>
      <x:c r="D24" s="94" t="n">
        <x:f>COUNTIF('データ'!$AM$5:$AM$42,"〇")</x:f>
        <x:v>22</x:v>
      </x:c>
      <x:c r="E24" s="161" t="n">
        <x:f>IF(F24=0,"",D24/F24)</x:f>
        <x:v>0.5789473684210527</x:v>
      </x:c>
      <x:c r="F24" s="94" t="n">
        <x:f>COUNTIF('データ'!$AO$5:$AO$42,"&gt;0")</x:f>
        <x:v>38</x:v>
      </x:c>
      <x:c r="G24" s="99" t="str">
        <x:v>単一回答</x:v>
      </x:c>
    </x:row>
    <x:row r="25">
      <x:c r="A25" s="98" t="str">
        <x:v>問4</x:v>
      </x:c>
      <x:c r="B25" s="94" t="str">
        <x:v>あなたの性別を教えてください</x:v>
      </x:c>
      <x:c r="C25" s="94" t="str">
        <x:v>回答しない</x:v>
      </x:c>
      <x:c r="D25" s="94" t="n">
        <x:f>COUNTIF('データ'!$AN$5:$AN$42,"〇")</x:f>
        <x:v>0</x:v>
      </x:c>
      <x:c r="E25" s="161" t="n">
        <x:f>IF(F25=0,"",D25/F25)</x:f>
        <x:v>0</x:v>
      </x:c>
      <x:c r="F25" s="94" t="n">
        <x:f>COUNTIF('データ'!$AO$5:$AO$42,"&gt;0")</x:f>
        <x:v>38</x:v>
      </x:c>
      <x:c r="G25" s="99" t="str">
        <x:v>単一回答</x:v>
      </x:c>
    </x:row>
    <x:row r="26">
      <x:c r="A26" s="98" t="str">
        <x:v>問5</x:v>
      </x:c>
      <x:c r="B26" s="94" t="str">
        <x:v>お持ちの手帳等を教えてください（あてはまるものすべて）</x:v>
      </x:c>
      <x:c r="C26" s="94" t="str">
        <x:v>身体障がい者手帳</x:v>
      </x:c>
      <x:c r="D26" s="94" t="n">
        <x:f>COUNTIF('データ'!$AP$5:$AP$42,"〇")</x:f>
        <x:v>29</x:v>
      </x:c>
      <x:c r="E26" s="161" t="n">
        <x:f>IF(F26=0,"",D26/F26)</x:f>
        <x:v>0.7837837837837838</x:v>
      </x:c>
      <x:c r="F26" s="94" t="n">
        <x:f>COUNTIF('データ'!$AX$5:$AX$42,"&gt;0")</x:f>
        <x:v>37</x:v>
      </x:c>
      <x:c r="G26" s="99" t="str">
        <x:v>複数回答</x:v>
      </x:c>
    </x:row>
    <x:row r="27">
      <x:c r="A27" s="98" t="str">
        <x:v>問5</x:v>
      </x:c>
      <x:c r="B27" s="94" t="str">
        <x:v>お持ちの手帳等を教えてください（あてはまるものすべて）</x:v>
      </x:c>
      <x:c r="C27" s="94" t="str">
        <x:v>療育手帳</x:v>
      </x:c>
      <x:c r="D27" s="94" t="n">
        <x:f>COUNTIF('データ'!$AQ$5:$AQ$42,"〇")</x:f>
        <x:v>2</x:v>
      </x:c>
      <x:c r="E27" s="161" t="n">
        <x:f>IF(F27=0,"",D27/F27)</x:f>
        <x:v>0.05405405405405406</x:v>
      </x:c>
      <x:c r="F27" s="94" t="n">
        <x:f>COUNTIF('データ'!$AX$5:$AX$42,"&gt;0")</x:f>
        <x:v>37</x:v>
      </x:c>
      <x:c r="G27" s="99" t="str">
        <x:v>複数回答</x:v>
      </x:c>
    </x:row>
    <x:row r="28">
      <x:c r="A28" s="98" t="str">
        <x:v>問5</x:v>
      </x:c>
      <x:c r="B28" s="94" t="str">
        <x:v>お持ちの手帳等を教えてください（あてはまるものすべて）</x:v>
      </x:c>
      <x:c r="C28" s="94" t="str">
        <x:v>精神障がい者保健福祉手帳</x:v>
      </x:c>
      <x:c r="D28" s="94" t="n">
        <x:f>COUNTIF('データ'!$AR$5:$AR$42,"〇")</x:f>
        <x:v>6</x:v>
      </x:c>
      <x:c r="E28" s="161" t="n">
        <x:f>IF(F28=0,"",D28/F28)</x:f>
        <x:v>0.16216216216216217</x:v>
      </x:c>
      <x:c r="F28" s="94" t="n">
        <x:f>COUNTIF('データ'!$AX$5:$AX$42,"&gt;0")</x:f>
        <x:v>37</x:v>
      </x:c>
      <x:c r="G28" s="99" t="str">
        <x:v>複数回答</x:v>
      </x:c>
    </x:row>
    <x:row r="29">
      <x:c r="A29" s="98" t="str">
        <x:v>問5</x:v>
      </x:c>
      <x:c r="B29" s="94" t="str">
        <x:v>お持ちの手帳等を教えてください（あてはまるものすべて）</x:v>
      </x:c>
      <x:c r="C29" s="94" t="str">
        <x:v>自立支援医療受給者証</x:v>
      </x:c>
      <x:c r="D29" s="94" t="n">
        <x:f>COUNTIF('データ'!$AS$5:$AS$42,"〇")</x:f>
        <x:v>4</x:v>
      </x:c>
      <x:c r="E29" s="161" t="n">
        <x:f>IF(F29=0,"",D29/F29)</x:f>
        <x:v>0.10810810810810811</x:v>
      </x:c>
      <x:c r="F29" s="94" t="n">
        <x:f>COUNTIF('データ'!$AX$5:$AX$42,"&gt;0")</x:f>
        <x:v>37</x:v>
      </x:c>
      <x:c r="G29" s="99" t="str">
        <x:v>複数回答</x:v>
      </x:c>
    </x:row>
    <x:row r="30">
      <x:c r="A30" s="98" t="str">
        <x:v>問5</x:v>
      </x:c>
      <x:c r="B30" s="94" t="str">
        <x:v>お持ちの手帳等を教えてください（あてはまるものすべて）</x:v>
      </x:c>
      <x:c r="C30" s="94" t="str">
        <x:v>難病に関する医療受給者証等</x:v>
      </x:c>
      <x:c r="D30" s="94" t="n">
        <x:f>COUNTIF('データ'!$AT$5:$AT$42,"〇")</x:f>
        <x:v>0</x:v>
      </x:c>
      <x:c r="E30" s="161" t="n">
        <x:f>IF(F30=0,"",D30/F30)</x:f>
        <x:v>0</x:v>
      </x:c>
      <x:c r="F30" s="94" t="n">
        <x:f>COUNTIF('データ'!$AX$5:$AX$42,"&gt;0")</x:f>
        <x:v>37</x:v>
      </x:c>
      <x:c r="G30" s="99" t="str">
        <x:v>複数回答</x:v>
      </x:c>
    </x:row>
    <x:row r="31">
      <x:c r="A31" s="98" t="str">
        <x:v>問5</x:v>
      </x:c>
      <x:c r="B31" s="94" t="str">
        <x:v>お持ちの手帳等を教えてください（あてはまるものすべて）</x:v>
      </x:c>
      <x:c r="C31" s="94" t="str">
        <x:v>手帳等は持っていないが障がい福祉サービスを利用している</x:v>
      </x:c>
      <x:c r="D31" s="94" t="n">
        <x:f>COUNTIF('データ'!$AU$5:$AU$42,"〇")</x:f>
        <x:v>0</x:v>
      </x:c>
      <x:c r="E31" s="161" t="n">
        <x:f>IF(F31=0,"",D31/F31)</x:f>
        <x:v>0</x:v>
      </x:c>
      <x:c r="F31" s="94" t="n">
        <x:f>COUNTIF('データ'!$AX$5:$AX$42,"&gt;0")</x:f>
        <x:v>37</x:v>
      </x:c>
      <x:c r="G31" s="99" t="str">
        <x:v>複数回答</x:v>
      </x:c>
    </x:row>
    <x:row r="32">
      <x:c r="A32" s="98" t="str">
        <x:v>問5</x:v>
      </x:c>
      <x:c r="B32" s="94" t="str">
        <x:v>お持ちの手帳等を教えてください（あてはまるものすべて）</x:v>
      </x:c>
      <x:c r="C32" s="94" t="str">
        <x:v>その他</x:v>
      </x:c>
      <x:c r="D32" s="94" t="n">
        <x:f>COUNTIF('データ'!$AV$5:$AV$42,"〇")</x:f>
        <x:v>2</x:v>
      </x:c>
      <x:c r="E32" s="161" t="n">
        <x:f>IF(F32=0,"",D32/F32)</x:f>
        <x:v>0.05405405405405406</x:v>
      </x:c>
      <x:c r="F32" s="94" t="n">
        <x:f>COUNTIF('データ'!$AX$5:$AX$42,"&gt;0")</x:f>
        <x:v>37</x:v>
      </x:c>
      <x:c r="G32" s="99" t="str">
        <x:v>複数回答</x:v>
      </x:c>
    </x:row>
    <x:row r="33">
      <x:c r="A33" s="98" t="str">
        <x:v>問6</x:v>
      </x:c>
      <x:c r="B33" s="94" t="str">
        <x:v>主たる障がい種別を1つ選ぶとすれば、どれにあたりますか</x:v>
      </x:c>
      <x:c r="C33" s="94" t="str">
        <x:v>身体障がい</x:v>
      </x:c>
      <x:c r="D33" s="94" t="n">
        <x:f>COUNTIF('データ'!$AY$5:$AY$42,"〇")</x:f>
        <x:v>26</x:v>
      </x:c>
      <x:c r="E33" s="161" t="n">
        <x:f>IF(F33=0,"",D33/F33)</x:f>
        <x:v>0.7027027027027027</x:v>
      </x:c>
      <x:c r="F33" s="94" t="n">
        <x:f>COUNTIF('データ'!$BH$5:$BH$42,"&gt;0")</x:f>
        <x:v>37</x:v>
      </x:c>
      <x:c r="G33" s="99" t="str">
        <x:v>単一回答</x:v>
      </x:c>
    </x:row>
    <x:row r="34">
      <x:c r="A34" s="98" t="str">
        <x:v>問6</x:v>
      </x:c>
      <x:c r="B34" s="94" t="str">
        <x:v>主たる障がい種別を1つ選ぶとすれば、どれにあたりますか</x:v>
      </x:c>
      <x:c r="C34" s="94" t="str">
        <x:v>知的障がい</x:v>
      </x:c>
      <x:c r="D34" s="94" t="n">
        <x:f>COUNTIF('データ'!$AZ$5:$AZ$42,"〇")</x:f>
        <x:v>2</x:v>
      </x:c>
      <x:c r="E34" s="161" t="n">
        <x:f>IF(F34=0,"",D34/F34)</x:f>
        <x:v>0.05405405405405406</x:v>
      </x:c>
      <x:c r="F34" s="94" t="n">
        <x:f>COUNTIF('データ'!$BH$5:$BH$42,"&gt;0")</x:f>
        <x:v>37</x:v>
      </x:c>
      <x:c r="G34" s="99" t="str">
        <x:v>単一回答</x:v>
      </x:c>
    </x:row>
    <x:row r="35">
      <x:c r="A35" s="98" t="str">
        <x:v>問6</x:v>
      </x:c>
      <x:c r="B35" s="94" t="str">
        <x:v>主たる障がい種別を1つ選ぶとすれば、どれにあたりますか</x:v>
      </x:c>
      <x:c r="C35" s="94" t="str">
        <x:v>精神障がい</x:v>
      </x:c>
      <x:c r="D35" s="94" t="n">
        <x:f>COUNTIF('データ'!$BA$5:$BA$42,"〇")</x:f>
        <x:v>4</x:v>
      </x:c>
      <x:c r="E35" s="161" t="n">
        <x:f>IF(F35=0,"",D35/F35)</x:f>
        <x:v>0.10810810810810811</x:v>
      </x:c>
      <x:c r="F35" s="94" t="n">
        <x:f>COUNTIF('データ'!$BH$5:$BH$42,"&gt;0")</x:f>
        <x:v>37</x:v>
      </x:c>
      <x:c r="G35" s="99" t="str">
        <x:v>単一回答</x:v>
      </x:c>
    </x:row>
    <x:row r="36">
      <x:c r="A36" s="98" t="str">
        <x:v>問6</x:v>
      </x:c>
      <x:c r="B36" s="94" t="str">
        <x:v>主たる障がい種別を1つ選ぶとすれば、どれにあたりますか</x:v>
      </x:c>
      <x:c r="C36" s="94" t="str">
        <x:v>発達障がい</x:v>
      </x:c>
      <x:c r="D36" s="94" t="n">
        <x:f>COUNTIF('データ'!$BB$5:$BB$42,"〇")</x:f>
        <x:v>3</x:v>
      </x:c>
      <x:c r="E36" s="161" t="n">
        <x:f>IF(F36=0,"",D36/F36)</x:f>
        <x:v>0.08108108108108109</x:v>
      </x:c>
      <x:c r="F36" s="94" t="n">
        <x:f>COUNTIF('データ'!$BH$5:$BH$42,"&gt;0")</x:f>
        <x:v>37</x:v>
      </x:c>
      <x:c r="G36" s="99" t="str">
        <x:v>単一回答</x:v>
      </x:c>
    </x:row>
    <x:row r="37">
      <x:c r="A37" s="98" t="str">
        <x:v>問6</x:v>
      </x:c>
      <x:c r="B37" s="94" t="str">
        <x:v>主たる障がい種別を1つ選ぶとすれば、どれにあたりますか</x:v>
      </x:c>
      <x:c r="C37" s="94" t="str">
        <x:v>難病</x:v>
      </x:c>
      <x:c r="D37" s="94" t="n">
        <x:f>COUNTIF('データ'!$BC$5:$BC$42,"〇")</x:f>
        <x:v>0</x:v>
      </x:c>
      <x:c r="E37" s="161" t="n">
        <x:f>IF(F37=0,"",D37/F37)</x:f>
        <x:v>0</x:v>
      </x:c>
      <x:c r="F37" s="94" t="n">
        <x:f>COUNTIF('データ'!$BH$5:$BH$42,"&gt;0")</x:f>
        <x:v>37</x:v>
      </x:c>
      <x:c r="G37" s="99" t="str">
        <x:v>単一回答</x:v>
      </x:c>
    </x:row>
    <x:row r="38">
      <x:c r="A38" s="98" t="str">
        <x:v>問6</x:v>
      </x:c>
      <x:c r="B38" s="94" t="str">
        <x:v>主たる障がい種別を1つ選ぶとすれば、どれにあたりますか</x:v>
      </x:c>
      <x:c r="C38" s="94" t="str">
        <x:v>高次脳機能障がい</x:v>
      </x:c>
      <x:c r="D38" s="94" t="n">
        <x:f>COUNTIF('データ'!$BD$5:$BD$42,"〇")</x:f>
        <x:v>0</x:v>
      </x:c>
      <x:c r="E38" s="161" t="n">
        <x:f>IF(F38=0,"",D38/F38)</x:f>
        <x:v>0</x:v>
      </x:c>
      <x:c r="F38" s="94" t="n">
        <x:f>COUNTIF('データ'!$BH$5:$BH$42,"&gt;0")</x:f>
        <x:v>37</x:v>
      </x:c>
      <x:c r="G38" s="99" t="str">
        <x:v>単一回答</x:v>
      </x:c>
    </x:row>
    <x:row r="39">
      <x:c r="A39" s="98" t="str">
        <x:v>問6</x:v>
      </x:c>
      <x:c r="B39" s="94" t="str">
        <x:v>主たる障がい種別を1つ選ぶとすれば、どれにあたりますか</x:v>
      </x:c>
      <x:c r="C39" s="94" t="str">
        <x:v>重症心身障がい</x:v>
      </x:c>
      <x:c r="D39" s="94" t="n">
        <x:f>COUNTIF('データ'!$BE$5:$BE$42,"〇")</x:f>
        <x:v>0</x:v>
      </x:c>
      <x:c r="E39" s="161" t="n">
        <x:f>IF(F39=0,"",D39/F39)</x:f>
        <x:v>0</x:v>
      </x:c>
      <x:c r="F39" s="94" t="n">
        <x:f>COUNTIF('データ'!$BH$5:$BH$42,"&gt;0")</x:f>
        <x:v>37</x:v>
      </x:c>
      <x:c r="G39" s="99" t="str">
        <x:v>単一回答</x:v>
      </x:c>
    </x:row>
    <x:row r="40">
      <x:c r="A40" s="98" t="str">
        <x:v>問6</x:v>
      </x:c>
      <x:c r="B40" s="94" t="str">
        <x:v>主たる障がい種別を1つ選ぶとすれば、どれにあたりますか</x:v>
      </x:c>
      <x:c r="C40" s="94" t="str">
        <x:v>わからない・その他</x:v>
      </x:c>
      <x:c r="D40" s="94" t="n">
        <x:f>COUNTIF('データ'!$BF$5:$BF$42,"〇")</x:f>
        <x:v>2</x:v>
      </x:c>
      <x:c r="E40" s="161" t="n">
        <x:f>IF(F40=0,"",D40/F40)</x:f>
        <x:v>0.05405405405405406</x:v>
      </x:c>
      <x:c r="F40" s="94" t="n">
        <x:f>COUNTIF('データ'!$BH$5:$BH$42,"&gt;0")</x:f>
        <x:v>37</x:v>
      </x:c>
      <x:c r="G40" s="99" t="str">
        <x:v>単一回答</x:v>
      </x:c>
    </x:row>
    <x:row r="41">
      <x:c r="A41" s="98" t="str">
        <x:v>問7</x:v>
      </x:c>
      <x:c r="B41" s="94" t="str">
        <x:v>現在、どこで暮らしていますか</x:v>
      </x:c>
      <x:c r="C41" s="94" t="str">
        <x:v>自宅で家族と暮らしている</x:v>
      </x:c>
      <x:c r="D41" s="94" t="n">
        <x:f>COUNTIF('データ'!$BI$5:$BI$42,"〇")</x:f>
        <x:v>24</x:v>
      </x:c>
      <x:c r="E41" s="161" t="n">
        <x:f>IF(F41=0,"",D41/F41)</x:f>
        <x:v>0.6486486486486487</x:v>
      </x:c>
      <x:c r="F41" s="94" t="n">
        <x:f>COUNTIF('データ'!$BQ$5:$BQ$42,"&gt;0")</x:f>
        <x:v>37</x:v>
      </x:c>
      <x:c r="G41" s="99" t="str">
        <x:v>単一回答</x:v>
      </x:c>
    </x:row>
    <x:row r="42">
      <x:c r="A42" s="98" t="str">
        <x:v>問7</x:v>
      </x:c>
      <x:c r="B42" s="94" t="str">
        <x:v>現在、どこで暮らしていますか</x:v>
      </x:c>
      <x:c r="C42" s="94" t="str">
        <x:v>自宅で一人暮らし</x:v>
      </x:c>
      <x:c r="D42" s="94" t="n">
        <x:f>COUNTIF('データ'!$BJ$5:$BJ$42,"〇")</x:f>
        <x:v>6</x:v>
      </x:c>
      <x:c r="E42" s="161" t="n">
        <x:f>IF(F42=0,"",D42/F42)</x:f>
        <x:v>0.16216216216216217</x:v>
      </x:c>
      <x:c r="F42" s="94" t="n">
        <x:f>COUNTIF('データ'!$BQ$5:$BQ$42,"&gt;0")</x:f>
        <x:v>37</x:v>
      </x:c>
      <x:c r="G42" s="99" t="str">
        <x:v>単一回答</x:v>
      </x:c>
    </x:row>
    <x:row r="43">
      <x:c r="A43" s="98" t="str">
        <x:v>問7</x:v>
      </x:c>
      <x:c r="B43" s="94" t="str">
        <x:v>現在、どこで暮らしていますか</x:v>
      </x:c>
      <x:c r="C43" s="94" t="str">
        <x:v>グループホーム</x:v>
      </x:c>
      <x:c r="D43" s="94" t="n">
        <x:f>COUNTIF('データ'!$BK$5:$BK$42,"〇")</x:f>
        <x:v>3</x:v>
      </x:c>
      <x:c r="E43" s="161" t="n">
        <x:f>IF(F43=0,"",D43/F43)</x:f>
        <x:v>0.08108108108108109</x:v>
      </x:c>
      <x:c r="F43" s="94" t="n">
        <x:f>COUNTIF('データ'!$BQ$5:$BQ$42,"&gt;0")</x:f>
        <x:v>37</x:v>
      </x:c>
      <x:c r="G43" s="99" t="str">
        <x:v>単一回答</x:v>
      </x:c>
    </x:row>
    <x:row r="44">
      <x:c r="A44" s="98" t="str">
        <x:v>問7</x:v>
      </x:c>
      <x:c r="B44" s="94" t="str">
        <x:v>現在、どこで暮らしていますか</x:v>
      </x:c>
      <x:c r="C44" s="94" t="str">
        <x:v>障がい者支援施設</x:v>
      </x:c>
      <x:c r="D44" s="94" t="n">
        <x:f>COUNTIF('データ'!$BL$5:$BL$42,"〇")</x:f>
        <x:v>2</x:v>
      </x:c>
      <x:c r="E44" s="161" t="n">
        <x:f>IF(F44=0,"",D44/F44)</x:f>
        <x:v>0.05405405405405406</x:v>
      </x:c>
      <x:c r="F44" s="94" t="n">
        <x:f>COUNTIF('データ'!$BQ$5:$BQ$42,"&gt;0")</x:f>
        <x:v>37</x:v>
      </x:c>
      <x:c r="G44" s="99" t="str">
        <x:v>単一回答</x:v>
      </x:c>
    </x:row>
    <x:row r="45">
      <x:c r="A45" s="98" t="str">
        <x:v>問7</x:v>
      </x:c>
      <x:c r="B45" s="94" t="str">
        <x:v>現在、どこで暮らしていますか</x:v>
      </x:c>
      <x:c r="C45" s="94" t="str">
        <x:v>病院に入院中</x:v>
      </x:c>
      <x:c r="D45" s="94" t="n">
        <x:f>COUNTIF('データ'!$BM$5:$BM$42,"〇")</x:f>
        <x:v>1</x:v>
      </x:c>
      <x:c r="E45" s="161" t="n">
        <x:f>IF(F45=0,"",D45/F45)</x:f>
        <x:v>0.02702702702702703</x:v>
      </x:c>
      <x:c r="F45" s="94" t="n">
        <x:f>COUNTIF('データ'!$BQ$5:$BQ$42,"&gt;0")</x:f>
        <x:v>37</x:v>
      </x:c>
      <x:c r="G45" s="99" t="str">
        <x:v>単一回答</x:v>
      </x:c>
    </x:row>
    <x:row r="46">
      <x:c r="A46" s="98" t="str">
        <x:v>問7</x:v>
      </x:c>
      <x:c r="B46" s="94" t="str">
        <x:v>現在、どこで暮らしていますか</x:v>
      </x:c>
      <x:c r="C46" s="94" t="str">
        <x:v>高齢者施設等</x:v>
      </x:c>
      <x:c r="D46" s="94" t="n">
        <x:f>COUNTIF('データ'!$BN$5:$BN$42,"〇")</x:f>
        <x:v>1</x:v>
      </x:c>
      <x:c r="E46" s="161" t="n">
        <x:f>IF(F46=0,"",D46/F46)</x:f>
        <x:v>0.02702702702702703</x:v>
      </x:c>
      <x:c r="F46" s="94" t="n">
        <x:f>COUNTIF('データ'!$BQ$5:$BQ$42,"&gt;0")</x:f>
        <x:v>37</x:v>
      </x:c>
      <x:c r="G46" s="99" t="str">
        <x:v>単一回答</x:v>
      </x:c>
    </x:row>
    <x:row r="47">
      <x:c r="A47" s="98" t="str">
        <x:v>問7</x:v>
      </x:c>
      <x:c r="B47" s="94" t="str">
        <x:v>現在、どこで暮らしていますか</x:v>
      </x:c>
      <x:c r="C47" s="94" t="str">
        <x:v>その他</x:v>
      </x:c>
      <x:c r="D47" s="94" t="n">
        <x:f>COUNTIF('データ'!$BO$5:$BO$42,"〇")</x:f>
        <x:v>0</x:v>
      </x:c>
      <x:c r="E47" s="161" t="n">
        <x:f>IF(F47=0,"",D47/F47)</x:f>
        <x:v>0</x:v>
      </x:c>
      <x:c r="F47" s="94" t="n">
        <x:f>COUNTIF('データ'!$BQ$5:$BQ$42,"&gt;0")</x:f>
        <x:v>37</x:v>
      </x:c>
      <x:c r="G47" s="99" t="str">
        <x:v>単一回答</x:v>
      </x:c>
    </x:row>
    <x:row r="48">
      <x:c r="A48" s="98" t="str">
        <x:v>問8</x:v>
      </x:c>
      <x:c r="B48" s="94" t="str">
        <x:v>現在一緒に暮らしている方を教えてください（あてはまるものすべて）</x:v>
      </x:c>
      <x:c r="C48" s="94" t="str">
        <x:v>一人暮らし</x:v>
      </x:c>
      <x:c r="D48" s="94" t="n">
        <x:f>COUNTIF('データ'!$BR$5:$BR$42,"〇")</x:f>
        <x:v>5</x:v>
      </x:c>
      <x:c r="E48" s="161" t="n">
        <x:f>IF(F48=0,"",D48/F48)</x:f>
        <x:v>0.14705882352941177</x:v>
      </x:c>
      <x:c r="F48" s="94" t="n">
        <x:f>COUNTIF('データ'!$BZ$5:$BZ$42,"&gt;0")</x:f>
        <x:v>34</x:v>
      </x:c>
      <x:c r="G48" s="99" t="str">
        <x:v>複数回答</x:v>
      </x:c>
    </x:row>
    <x:row r="49">
      <x:c r="A49" s="98" t="str">
        <x:v>問8</x:v>
      </x:c>
      <x:c r="B49" s="94" t="str">
        <x:v>現在一緒に暮らしている方を教えてください（あてはまるものすべて）</x:v>
      </x:c>
      <x:c r="C49" s="94" t="str">
        <x:v>配偶者</x:v>
      </x:c>
      <x:c r="D49" s="94" t="n">
        <x:f>COUNTIF('データ'!$BS$5:$BS$42,"〇")</x:f>
        <x:v>14</x:v>
      </x:c>
      <x:c r="E49" s="161" t="n">
        <x:f>IF(F49=0,"",D49/F49)</x:f>
        <x:v>0.4117647058823529</x:v>
      </x:c>
      <x:c r="F49" s="94" t="n">
        <x:f>COUNTIF('データ'!$BZ$5:$BZ$42,"&gt;0")</x:f>
        <x:v>34</x:v>
      </x:c>
      <x:c r="G49" s="99" t="str">
        <x:v>複数回答</x:v>
      </x:c>
    </x:row>
    <x:row r="50">
      <x:c r="A50" s="98" t="str">
        <x:v>問8</x:v>
      </x:c>
      <x:c r="B50" s="94" t="str">
        <x:v>現在一緒に暮らしている方を教えてください（あてはまるものすべて）</x:v>
      </x:c>
      <x:c r="C50" s="94" t="str">
        <x:v>親</x:v>
      </x:c>
      <x:c r="D50" s="94" t="n">
        <x:f>COUNTIF('データ'!$BT$5:$BT$42,"〇")</x:f>
        <x:v>7</x:v>
      </x:c>
      <x:c r="E50" s="161" t="n">
        <x:f>IF(F50=0,"",D50/F50)</x:f>
        <x:v>0.20588235294117646</x:v>
      </x:c>
      <x:c r="F50" s="94" t="n">
        <x:f>COUNTIF('データ'!$BZ$5:$BZ$42,"&gt;0")</x:f>
        <x:v>34</x:v>
      </x:c>
      <x:c r="G50" s="99" t="str">
        <x:v>複数回答</x:v>
      </x:c>
    </x:row>
    <x:row r="51">
      <x:c r="A51" s="98" t="str">
        <x:v>問8</x:v>
      </x:c>
      <x:c r="B51" s="94" t="str">
        <x:v>現在一緒に暮らしている方を教えてください（あてはまるものすべて）</x:v>
      </x:c>
      <x:c r="C51" s="94" t="str">
        <x:v>子ども</x:v>
      </x:c>
      <x:c r="D51" s="94" t="n">
        <x:f>COUNTIF('データ'!$BU$5:$BU$42,"〇")</x:f>
        <x:v>11</x:v>
      </x:c>
      <x:c r="E51" s="161" t="n">
        <x:f>IF(F51=0,"",D51/F51)</x:f>
        <x:v>0.3235294117647059</x:v>
      </x:c>
      <x:c r="F51" s="94" t="n">
        <x:f>COUNTIF('データ'!$BZ$5:$BZ$42,"&gt;0")</x:f>
        <x:v>34</x:v>
      </x:c>
      <x:c r="G51" s="99" t="str">
        <x:v>複数回答</x:v>
      </x:c>
    </x:row>
    <x:row r="52">
      <x:c r="A52" s="98" t="str">
        <x:v>問8</x:v>
      </x:c>
      <x:c r="B52" s="94" t="str">
        <x:v>現在一緒に暮らしている方を教えてください（あてはまるものすべて）</x:v>
      </x:c>
      <x:c r="C52" s="94" t="str">
        <x:v>兄弟姉妹</x:v>
      </x:c>
      <x:c r="D52" s="94" t="n">
        <x:f>COUNTIF('データ'!$BV$5:$BV$42,"〇")</x:f>
        <x:v>2</x:v>
      </x:c>
      <x:c r="E52" s="161" t="n">
        <x:f>IF(F52=0,"",D52/F52)</x:f>
        <x:v>0.058823529411764705</x:v>
      </x:c>
      <x:c r="F52" s="94" t="n">
        <x:f>COUNTIF('データ'!$BZ$5:$BZ$42,"&gt;0")</x:f>
        <x:v>34</x:v>
      </x:c>
      <x:c r="G52" s="99" t="str">
        <x:v>複数回答</x:v>
      </x:c>
    </x:row>
    <x:row r="53">
      <x:c r="A53" s="98" t="str">
        <x:v>問8</x:v>
      </x:c>
      <x:c r="B53" s="94" t="str">
        <x:v>現在一緒に暮らしている方を教えてください（あてはまるものすべて）</x:v>
      </x:c>
      <x:c r="C53" s="94" t="str">
        <x:v>祖父母</x:v>
      </x:c>
      <x:c r="D53" s="94" t="n">
        <x:f>COUNTIF('データ'!$BW$5:$BW$42,"〇")</x:f>
        <x:v>1</x:v>
      </x:c>
      <x:c r="E53" s="161" t="n">
        <x:f>IF(F53=0,"",D53/F53)</x:f>
        <x:v>0.029411764705882353</x:v>
      </x:c>
      <x:c r="F53" s="94" t="n">
        <x:f>COUNTIF('データ'!$BZ$5:$BZ$42,"&gt;0")</x:f>
        <x:v>34</x:v>
      </x:c>
      <x:c r="G53" s="99" t="str">
        <x:v>複数回答</x:v>
      </x:c>
    </x:row>
    <x:row r="54">
      <x:c r="A54" s="98" t="str">
        <x:v>問8</x:v>
      </x:c>
      <x:c r="B54" s="94" t="str">
        <x:v>現在一緒に暮らしている方を教えてください（あてはまるものすべて）</x:v>
      </x:c>
      <x:c r="C54" s="94" t="str">
        <x:v>その他</x:v>
      </x:c>
      <x:c r="D54" s="94" t="n">
        <x:f>COUNTIF('データ'!$BX$5:$BX$42,"〇")</x:f>
        <x:v>3</x:v>
      </x:c>
      <x:c r="E54" s="161" t="n">
        <x:f>IF(F54=0,"",D54/F54)</x:f>
        <x:v>0.08823529411764706</x:v>
      </x:c>
      <x:c r="F54" s="94" t="n">
        <x:f>COUNTIF('データ'!$BZ$5:$BZ$42,"&gt;0")</x:f>
        <x:v>34</x:v>
      </x:c>
      <x:c r="G54" s="99" t="str">
        <x:v>複数回答</x:v>
      </x:c>
    </x:row>
    <x:row r="55">
      <x:c r="A55" s="98" t="str">
        <x:v>問9</x:v>
      </x:c>
      <x:c r="B55" s="94" t="str">
        <x:v>日常生活で主に支援・介助してくれる方はどなたですか（あてはまるものすべて）</x:v>
      </x:c>
      <x:c r="C55" s="94" t="str">
        <x:v>介助は必要ない</x:v>
      </x:c>
      <x:c r="D55" s="94" t="n">
        <x:f>COUNTIF('データ'!$CA$5:$CA$42,"〇")</x:f>
        <x:v>17</x:v>
      </x:c>
      <x:c r="E55" s="161" t="n">
        <x:f>IF(F55=0,"",D55/F55)</x:f>
        <x:v>0.4594594594594595</x:v>
      </x:c>
      <x:c r="F55" s="94" t="n">
        <x:f>COUNTIF('データ'!$CL$5:$CL$42,"&gt;0")</x:f>
        <x:v>37</x:v>
      </x:c>
      <x:c r="G55" s="99" t="str">
        <x:v>複数回答</x:v>
      </x:c>
    </x:row>
    <x:row r="56">
      <x:c r="A56" s="98" t="str">
        <x:v>問9</x:v>
      </x:c>
      <x:c r="B56" s="94" t="str">
        <x:v>日常生活で主に支援・介助してくれる方はどなたですか（あてはまるものすべて）</x:v>
      </x:c>
      <x:c r="C56" s="94" t="str">
        <x:v>親</x:v>
      </x:c>
      <x:c r="D56" s="94" t="n">
        <x:f>COUNTIF('データ'!$CB$5:$CB$42,"〇")</x:f>
        <x:v>5</x:v>
      </x:c>
      <x:c r="E56" s="161" t="n">
        <x:f>IF(F56=0,"",D56/F56)</x:f>
        <x:v>0.13513513513513514</x:v>
      </x:c>
      <x:c r="F56" s="94" t="n">
        <x:f>COUNTIF('データ'!$CL$5:$CL$42,"&gt;0")</x:f>
        <x:v>37</x:v>
      </x:c>
      <x:c r="G56" s="99" t="str">
        <x:v>複数回答</x:v>
      </x:c>
    </x:row>
    <x:row r="57">
      <x:c r="A57" s="98" t="str">
        <x:v>問9</x:v>
      </x:c>
      <x:c r="B57" s="94" t="str">
        <x:v>日常生活で主に支援・介助してくれる方はどなたですか（あてはまるものすべて）</x:v>
      </x:c>
      <x:c r="C57" s="94" t="str">
        <x:v>配偶者</x:v>
      </x:c>
      <x:c r="D57" s="94" t="n">
        <x:f>COUNTIF('データ'!$CC$5:$CC$42,"〇")</x:f>
        <x:v>6</x:v>
      </x:c>
      <x:c r="E57" s="161" t="n">
        <x:f>IF(F57=0,"",D57/F57)</x:f>
        <x:v>0.16216216216216217</x:v>
      </x:c>
      <x:c r="F57" s="94" t="n">
        <x:f>COUNTIF('データ'!$CL$5:$CL$42,"&gt;0")</x:f>
        <x:v>37</x:v>
      </x:c>
      <x:c r="G57" s="99" t="str">
        <x:v>複数回答</x:v>
      </x:c>
    </x:row>
    <x:row r="58">
      <x:c r="A58" s="98" t="str">
        <x:v>問9</x:v>
      </x:c>
      <x:c r="B58" s="94" t="str">
        <x:v>日常生活で主に支援・介助してくれる方はどなたですか（あてはまるものすべて）</x:v>
      </x:c>
      <x:c r="C58" s="94" t="str">
        <x:v>子ども</x:v>
      </x:c>
      <x:c r="D58" s="94" t="n">
        <x:f>COUNTIF('データ'!$CD$5:$CD$42,"〇")</x:f>
        <x:v>9</x:v>
      </x:c>
      <x:c r="E58" s="161" t="n">
        <x:f>IF(F58=0,"",D58/F58)</x:f>
        <x:v>0.24324324324324326</x:v>
      </x:c>
      <x:c r="F58" s="94" t="n">
        <x:f>COUNTIF('データ'!$CL$5:$CL$42,"&gt;0")</x:f>
        <x:v>37</x:v>
      </x:c>
      <x:c r="G58" s="99" t="str">
        <x:v>複数回答</x:v>
      </x:c>
    </x:row>
    <x:row r="59">
      <x:c r="A59" s="98" t="str">
        <x:v>問9</x:v>
      </x:c>
      <x:c r="B59" s="94" t="str">
        <x:v>日常生活で主に支援・介助してくれる方はどなたですか（あてはまるものすべて）</x:v>
      </x:c>
      <x:c r="C59" s="94" t="str">
        <x:v>兄弟姉妹</x:v>
      </x:c>
      <x:c r="D59" s="94" t="n">
        <x:f>COUNTIF('データ'!$CE$5:$CE$42,"〇")</x:f>
        <x:v>0</x:v>
      </x:c>
      <x:c r="E59" s="161" t="n">
        <x:f>IF(F59=0,"",D59/F59)</x:f>
        <x:v>0</x:v>
      </x:c>
      <x:c r="F59" s="94" t="n">
        <x:f>COUNTIF('データ'!$CL$5:$CL$42,"&gt;0")</x:f>
        <x:v>37</x:v>
      </x:c>
      <x:c r="G59" s="99" t="str">
        <x:v>複数回答</x:v>
      </x:c>
    </x:row>
    <x:row r="60">
      <x:c r="A60" s="98" t="str">
        <x:v>問9</x:v>
      </x:c>
      <x:c r="B60" s="94" t="str">
        <x:v>日常生活で主に支援・介助してくれる方はどなたですか（あてはまるものすべて）</x:v>
      </x:c>
      <x:c r="C60" s="94" t="str">
        <x:v>その他の親族</x:v>
      </x:c>
      <x:c r="D60" s="94" t="n">
        <x:f>COUNTIF('データ'!$CF$5:$CF$42,"〇")</x:f>
        <x:v>1</x:v>
      </x:c>
      <x:c r="E60" s="161" t="n">
        <x:f>IF(F60=0,"",D60/F60)</x:f>
        <x:v>0.02702702702702703</x:v>
      </x:c>
      <x:c r="F60" s="94" t="n">
        <x:f>COUNTIF('データ'!$CL$5:$CL$42,"&gt;0")</x:f>
        <x:v>37</x:v>
      </x:c>
      <x:c r="G60" s="99" t="str">
        <x:v>複数回答</x:v>
      </x:c>
    </x:row>
    <x:row r="61">
      <x:c r="A61" s="98" t="str">
        <x:v>問9</x:v>
      </x:c>
      <x:c r="B61" s="94" t="str">
        <x:v>日常生活で主に支援・介助してくれる方はどなたですか（あてはまるものすべて）</x:v>
      </x:c>
      <x:c r="C61" s="94" t="str">
        <x:v>ホームヘルパー等</x:v>
      </x:c>
      <x:c r="D61" s="94" t="n">
        <x:f>COUNTIF('データ'!$CG$5:$CG$42,"〇")</x:f>
        <x:v>2</x:v>
      </x:c>
      <x:c r="E61" s="161" t="n">
        <x:f>IF(F61=0,"",D61/F61)</x:f>
        <x:v>0.05405405405405406</x:v>
      </x:c>
      <x:c r="F61" s="94" t="n">
        <x:f>COUNTIF('データ'!$CL$5:$CL$42,"&gt;0")</x:f>
        <x:v>37</x:v>
      </x:c>
      <x:c r="G61" s="99" t="str">
        <x:v>複数回答</x:v>
      </x:c>
    </x:row>
    <x:row r="62">
      <x:c r="A62" s="98" t="str">
        <x:v>問9</x:v>
      </x:c>
      <x:c r="B62" s="94" t="str">
        <x:v>日常生活で主に支援・介助してくれる方はどなたですか（あてはまるものすべて）</x:v>
      </x:c>
      <x:c r="C62" s="94" t="str">
        <x:v>施設・事業所職員</x:v>
      </x:c>
      <x:c r="D62" s="94" t="n">
        <x:f>COUNTIF('データ'!$CH$5:$CH$42,"〇")</x:f>
        <x:v>7</x:v>
      </x:c>
      <x:c r="E62" s="161" t="n">
        <x:f>IF(F62=0,"",D62/F62)</x:f>
        <x:v>0.1891891891891892</x:v>
      </x:c>
      <x:c r="F62" s="94" t="n">
        <x:f>COUNTIF('データ'!$CL$5:$CL$42,"&gt;0")</x:f>
        <x:v>37</x:v>
      </x:c>
      <x:c r="G62" s="99" t="str">
        <x:v>複数回答</x:v>
      </x:c>
    </x:row>
    <x:row r="63">
      <x:c r="A63" s="98" t="str">
        <x:v>問9</x:v>
      </x:c>
      <x:c r="B63" s="94" t="str">
        <x:v>日常生活で主に支援・介助してくれる方はどなたですか（あてはまるものすべて）</x:v>
      </x:c>
      <x:c r="C63" s="94" t="str">
        <x:v>主な支援者はいない</x:v>
      </x:c>
      <x:c r="D63" s="94" t="n">
        <x:f>COUNTIF('データ'!$CI$5:$CI$42,"〇")</x:f>
        <x:v>1</x:v>
      </x:c>
      <x:c r="E63" s="161" t="n">
        <x:f>IF(F63=0,"",D63/F63)</x:f>
        <x:v>0.02702702702702703</x:v>
      </x:c>
      <x:c r="F63" s="94" t="n">
        <x:f>COUNTIF('データ'!$CL$5:$CL$42,"&gt;0")</x:f>
        <x:v>37</x:v>
      </x:c>
      <x:c r="G63" s="99" t="str">
        <x:v>複数回答</x:v>
      </x:c>
    </x:row>
    <x:row r="64">
      <x:c r="A64" s="98" t="str">
        <x:v>問9</x:v>
      </x:c>
      <x:c r="B64" s="94" t="str">
        <x:v>日常生活で主に支援・介助してくれる方はどなたですか（あてはまるものすべて）</x:v>
      </x:c>
      <x:c r="C64" s="94" t="str">
        <x:v>その他</x:v>
      </x:c>
      <x:c r="D64" s="94" t="n">
        <x:f>COUNTIF('データ'!$CJ$5:$CJ$42,"〇")</x:f>
        <x:v>0</x:v>
      </x:c>
      <x:c r="E64" s="161" t="n">
        <x:f>IF(F64=0,"",D64/F64)</x:f>
        <x:v>0</x:v>
      </x:c>
      <x:c r="F64" s="94" t="n">
        <x:f>COUNTIF('データ'!$CL$5:$CL$42,"&gt;0")</x:f>
        <x:v>37</x:v>
      </x:c>
      <x:c r="G64" s="99" t="str">
        <x:v>複数回答</x:v>
      </x:c>
    </x:row>
    <x:row r="65">
      <x:c r="A65" s="98" t="str">
        <x:v>問10</x:v>
      </x:c>
      <x:c r="B65" s="94" t="str">
        <x:v>日常生活で困っていることは何ですか（あてはまるものすべて）</x:v>
      </x:c>
      <x:c r="C65" s="94" t="str">
        <x:v>家事</x:v>
      </x:c>
      <x:c r="D65" s="94" t="n">
        <x:f>COUNTIF('データ'!$CM$5:$CM$42,"〇")</x:f>
        <x:v>1</x:v>
      </x:c>
      <x:c r="E65" s="161" t="n">
        <x:f>IF(F65=0,"",D65/F65)</x:f>
        <x:v>0.027777777777777776</x:v>
      </x:c>
      <x:c r="F65" s="94" t="n">
        <x:f>COUNTIF('データ'!$DB$5:$DB$42,"&gt;0")</x:f>
        <x:v>36</x:v>
      </x:c>
      <x:c r="G65" s="99" t="str">
        <x:v>複数回答</x:v>
      </x:c>
    </x:row>
    <x:row r="66">
      <x:c r="A66" s="98" t="str">
        <x:v>問10</x:v>
      </x:c>
      <x:c r="B66" s="94" t="str">
        <x:v>日常生活で困っていることは何ですか（あてはまるものすべて）</x:v>
      </x:c>
      <x:c r="C66" s="94" t="str">
        <x:v>食事</x:v>
      </x:c>
      <x:c r="D66" s="94" t="n">
        <x:f>COUNTIF('データ'!$CN$5:$CN$42,"〇")</x:f>
        <x:v>4</x:v>
      </x:c>
      <x:c r="E66" s="161" t="n">
        <x:f>IF(F66=0,"",D66/F66)</x:f>
        <x:v>0.1111111111111111</x:v>
      </x:c>
      <x:c r="F66" s="94" t="n">
        <x:f>COUNTIF('データ'!$DB$5:$DB$42,"&gt;0")</x:f>
        <x:v>36</x:v>
      </x:c>
      <x:c r="G66" s="99" t="str">
        <x:v>複数回答</x:v>
      </x:c>
    </x:row>
    <x:row r="67">
      <x:c r="A67" s="98" t="str">
        <x:v>問10</x:v>
      </x:c>
      <x:c r="B67" s="94" t="str">
        <x:v>日常生活で困っていることは何ですか（あてはまるものすべて）</x:v>
      </x:c>
      <x:c r="C67" s="94" t="str">
        <x:v>入浴</x:v>
      </x:c>
      <x:c r="D67" s="94" t="n">
        <x:f>COUNTIF('データ'!$CO$5:$CO$42,"〇")</x:f>
        <x:v>4</x:v>
      </x:c>
      <x:c r="E67" s="161" t="n">
        <x:f>IF(F67=0,"",D67/F67)</x:f>
        <x:v>0.1111111111111111</x:v>
      </x:c>
      <x:c r="F67" s="94" t="n">
        <x:f>COUNTIF('データ'!$DB$5:$DB$42,"&gt;0")</x:f>
        <x:v>36</x:v>
      </x:c>
      <x:c r="G67" s="99" t="str">
        <x:v>複数回答</x:v>
      </x:c>
    </x:row>
    <x:row r="68">
      <x:c r="A68" s="98" t="str">
        <x:v>問10</x:v>
      </x:c>
      <x:c r="B68" s="94" t="str">
        <x:v>日常生活で困っていることは何ですか（あてはまるものすべて）</x:v>
      </x:c>
      <x:c r="C68" s="94" t="str">
        <x:v>排せつ</x:v>
      </x:c>
      <x:c r="D68" s="94" t="n">
        <x:f>COUNTIF('データ'!$CP$5:$CP$42,"〇")</x:f>
        <x:v>2</x:v>
      </x:c>
      <x:c r="E68" s="161" t="n">
        <x:f>IF(F68=0,"",D68/F68)</x:f>
        <x:v>0.05555555555555555</x:v>
      </x:c>
      <x:c r="F68" s="94" t="n">
        <x:f>COUNTIF('データ'!$DB$5:$DB$42,"&gt;0")</x:f>
        <x:v>36</x:v>
      </x:c>
      <x:c r="G68" s="99" t="str">
        <x:v>複数回答</x:v>
      </x:c>
    </x:row>
    <x:row r="69">
      <x:c r="A69" s="98" t="str">
        <x:v>問10</x:v>
      </x:c>
      <x:c r="B69" s="94" t="str">
        <x:v>日常生活で困っていることは何ですか（あてはまるものすべて）</x:v>
      </x:c>
      <x:c r="C69" s="94" t="str">
        <x:v>服薬管理</x:v>
      </x:c>
      <x:c r="D69" s="94" t="n">
        <x:f>COUNTIF('データ'!$CQ$5:$CQ$42,"〇")</x:f>
        <x:v>5</x:v>
      </x:c>
      <x:c r="E69" s="161" t="n">
        <x:f>IF(F69=0,"",D69/F69)</x:f>
        <x:v>0.1388888888888889</x:v>
      </x:c>
      <x:c r="F69" s="94" t="n">
        <x:f>COUNTIF('データ'!$DB$5:$DB$42,"&gt;0")</x:f>
        <x:v>36</x:v>
      </x:c>
      <x:c r="G69" s="99" t="str">
        <x:v>複数回答</x:v>
      </x:c>
    </x:row>
    <x:row r="70">
      <x:c r="A70" s="98" t="str">
        <x:v>問10</x:v>
      </x:c>
      <x:c r="B70" s="94" t="str">
        <x:v>日常生活で困っていることは何ですか（あてはまるものすべて）</x:v>
      </x:c>
      <x:c r="C70" s="94" t="str">
        <x:v>金銭管理</x:v>
      </x:c>
      <x:c r="D70" s="94" t="n">
        <x:f>COUNTIF('データ'!$CR$5:$CR$42,"〇")</x:f>
        <x:v>4</x:v>
      </x:c>
      <x:c r="E70" s="161" t="n">
        <x:f>IF(F70=0,"",D70/F70)</x:f>
        <x:v>0.1111111111111111</x:v>
      </x:c>
      <x:c r="F70" s="94" t="n">
        <x:f>COUNTIF('データ'!$DB$5:$DB$42,"&gt;0")</x:f>
        <x:v>36</x:v>
      </x:c>
      <x:c r="G70" s="99" t="str">
        <x:v>複数回答</x:v>
      </x:c>
    </x:row>
    <x:row r="71">
      <x:c r="A71" s="98" t="str">
        <x:v>問10</x:v>
      </x:c>
      <x:c r="B71" s="94" t="str">
        <x:v>日常生活で困っていることは何ですか（あてはまるものすべて）</x:v>
      </x:c>
      <x:c r="C71" s="94" t="str">
        <x:v>通院</x:v>
      </x:c>
      <x:c r="D71" s="94" t="n">
        <x:f>COUNTIF('データ'!$CS$5:$CS$42,"〇")</x:f>
        <x:v>7</x:v>
      </x:c>
      <x:c r="E71" s="161" t="n">
        <x:f>IF(F71=0,"",D71/F71)</x:f>
        <x:v>0.19444444444444445</x:v>
      </x:c>
      <x:c r="F71" s="94" t="n">
        <x:f>COUNTIF('データ'!$DB$5:$DB$42,"&gt;0")</x:f>
        <x:v>36</x:v>
      </x:c>
      <x:c r="G71" s="99" t="str">
        <x:v>複数回答</x:v>
      </x:c>
    </x:row>
    <x:row r="72">
      <x:c r="A72" s="98" t="str">
        <x:v>問10</x:v>
      </x:c>
      <x:c r="B72" s="94" t="str">
        <x:v>日常生活で困っていることは何ですか（あてはまるものすべて）</x:v>
      </x:c>
      <x:c r="C72" s="94" t="str">
        <x:v>外出・移動</x:v>
      </x:c>
      <x:c r="D72" s="94" t="n">
        <x:f>COUNTIF('データ'!$CT$5:$CT$42,"〇")</x:f>
        <x:v>10</x:v>
      </x:c>
      <x:c r="E72" s="161" t="n">
        <x:f>IF(F72=0,"",D72/F72)</x:f>
        <x:v>0.2777777777777778</x:v>
      </x:c>
      <x:c r="F72" s="94" t="n">
        <x:f>COUNTIF('データ'!$DB$5:$DB$42,"&gt;0")</x:f>
        <x:v>36</x:v>
      </x:c>
      <x:c r="G72" s="99" t="str">
        <x:v>複数回答</x:v>
      </x:c>
    </x:row>
    <x:row r="73">
      <x:c r="A73" s="98" t="str">
        <x:v>問10</x:v>
      </x:c>
      <x:c r="B73" s="94" t="str">
        <x:v>日常生活で困っていることは何ですか（あてはまるものすべて）</x:v>
      </x:c>
      <x:c r="C73" s="94" t="str">
        <x:v>買い物</x:v>
      </x:c>
      <x:c r="D73" s="94" t="n">
        <x:f>COUNTIF('データ'!$CU$5:$CU$42,"〇")</x:f>
        <x:v>5</x:v>
      </x:c>
      <x:c r="E73" s="161" t="n">
        <x:f>IF(F73=0,"",D73/F73)</x:f>
        <x:v>0.1388888888888889</x:v>
      </x:c>
      <x:c r="F73" s="94" t="n">
        <x:f>COUNTIF('データ'!$DB$5:$DB$42,"&gt;0")</x:f>
        <x:v>36</x:v>
      </x:c>
      <x:c r="G73" s="99" t="str">
        <x:v>複数回答</x:v>
      </x:c>
    </x:row>
    <x:row r="74">
      <x:c r="A74" s="98" t="str">
        <x:v>問10</x:v>
      </x:c>
      <x:c r="B74" s="94" t="str">
        <x:v>日常生活で困っていることは何ですか（あてはまるものすべて）</x:v>
      </x:c>
      <x:c r="C74" s="94" t="str">
        <x:v>災害時の避難</x:v>
      </x:c>
      <x:c r="D74" s="94" t="n">
        <x:f>COUNTIF('データ'!$CV$5:$CV$42,"〇")</x:f>
        <x:v>10</x:v>
      </x:c>
      <x:c r="E74" s="161" t="n">
        <x:f>IF(F74=0,"",D74/F74)</x:f>
        <x:v>0.2777777777777778</x:v>
      </x:c>
      <x:c r="F74" s="94" t="n">
        <x:f>COUNTIF('データ'!$DB$5:$DB$42,"&gt;0")</x:f>
        <x:v>36</x:v>
      </x:c>
      <x:c r="G74" s="99" t="str">
        <x:v>複数回答</x:v>
      </x:c>
    </x:row>
    <x:row r="75">
      <x:c r="A75" s="98" t="str">
        <x:v>問10</x:v>
      </x:c>
      <x:c r="B75" s="94" t="str">
        <x:v>日常生活で困っていることは何ですか（あてはまるものすべて）</x:v>
      </x:c>
      <x:c r="C75" s="94" t="str">
        <x:v>相談先がない</x:v>
      </x:c>
      <x:c r="D75" s="94" t="n">
        <x:f>COUNTIF('データ'!$CW$5:$CW$42,"〇")</x:f>
        <x:v>1</x:v>
      </x:c>
      <x:c r="E75" s="161" t="n">
        <x:f>IF(F75=0,"",D75/F75)</x:f>
        <x:v>0.027777777777777776</x:v>
      </x:c>
      <x:c r="F75" s="94" t="n">
        <x:f>COUNTIF('データ'!$DB$5:$DB$42,"&gt;0")</x:f>
        <x:v>36</x:v>
      </x:c>
      <x:c r="G75" s="99" t="str">
        <x:v>複数回答</x:v>
      </x:c>
    </x:row>
    <x:row r="76">
      <x:c r="A76" s="98" t="str">
        <x:v>問10</x:v>
      </x:c>
      <x:c r="B76" s="94" t="str">
        <x:v>日常生活で困っていることは何ですか（あてはまるものすべて）</x:v>
      </x:c>
      <x:c r="C76" s="94" t="str">
        <x:v>将来の生活</x:v>
      </x:c>
      <x:c r="D76" s="94" t="n">
        <x:f>COUNTIF('データ'!$CX$5:$CX$42,"〇")</x:f>
        <x:v>11</x:v>
      </x:c>
      <x:c r="E76" s="161" t="n">
        <x:f>IF(F76=0,"",D76/F76)</x:f>
        <x:v>0.3055555555555556</x:v>
      </x:c>
      <x:c r="F76" s="94" t="n">
        <x:f>COUNTIF('データ'!$DB$5:$DB$42,"&gt;0")</x:f>
        <x:v>36</x:v>
      </x:c>
      <x:c r="G76" s="99" t="str">
        <x:v>複数回答</x:v>
      </x:c>
    </x:row>
    <x:row r="77">
      <x:c r="A77" s="98" t="str">
        <x:v>問10</x:v>
      </x:c>
      <x:c r="B77" s="94" t="str">
        <x:v>日常生活で困っていることは何ですか（あてはまるものすべて）</x:v>
      </x:c>
      <x:c r="C77" s="94" t="str">
        <x:v>特にない</x:v>
      </x:c>
      <x:c r="D77" s="94" t="n">
        <x:f>COUNTIF('データ'!$CY$5:$CY$42,"〇")</x:f>
        <x:v>13</x:v>
      </x:c>
      <x:c r="E77" s="161" t="n">
        <x:f>IF(F77=0,"",D77/F77)</x:f>
        <x:v>0.3611111111111111</x:v>
      </x:c>
      <x:c r="F77" s="94" t="n">
        <x:f>COUNTIF('データ'!$DB$5:$DB$42,"&gt;0")</x:f>
        <x:v>36</x:v>
      </x:c>
      <x:c r="G77" s="99" t="str">
        <x:v>複数回答</x:v>
      </x:c>
    </x:row>
    <x:row r="78">
      <x:c r="A78" s="98" t="str">
        <x:v>問10</x:v>
      </x:c>
      <x:c r="B78" s="94" t="str">
        <x:v>日常生活で困っていることは何ですか（あてはまるものすべて）</x:v>
      </x:c>
      <x:c r="C78" s="94" t="str">
        <x:v>その他</x:v>
      </x:c>
      <x:c r="D78" s="94" t="n">
        <x:f>COUNTIF('データ'!$CZ$5:$CZ$42,"〇")</x:f>
        <x:v>1</x:v>
      </x:c>
      <x:c r="E78" s="161" t="n">
        <x:f>IF(F78=0,"",D78/F78)</x:f>
        <x:v>0.027777777777777776</x:v>
      </x:c>
      <x:c r="F78" s="94" t="n">
        <x:f>COUNTIF('データ'!$DB$5:$DB$42,"&gt;0")</x:f>
        <x:v>36</x:v>
      </x:c>
      <x:c r="G78" s="99" t="str">
        <x:v>複数回答</x:v>
      </x:c>
    </x:row>
    <x:row r="79">
      <x:c r="A79" s="98" t="str">
        <x:v>問10-2</x:v>
      </x:c>
      <x:c r="B79" s="94" t="str">
        <x:v>困っていることについて、自由に記入してください</x:v>
      </x:c>
      <x:c r="C79" s="94" t="str">
        <x:v>自由記述回答あり</x:v>
      </x:c>
      <x:c r="D79" s="94" t="n">
        <x:f>COUNTIF('データ'!$DC$5:$DC$42,"&lt;&gt;")</x:f>
        <x:v>9</x:v>
      </x:c>
      <x:c r="E79" s="161" t="n">
        <x:f>IF(F79=0,"",D79/F79)</x:f>
        <x:v>1</x:v>
      </x:c>
      <x:c r="F79" s="94" t="n">
        <x:f>COUNTIF('データ'!$DD$5:$DD$42,"&gt;0")</x:f>
        <x:v>9</x:v>
      </x:c>
      <x:c r="G79" s="99" t="str">
        <x:v>自由記述</x:v>
      </x:c>
    </x:row>
    <x:row r="80">
      <x:c r="A80" s="98" t="str">
        <x:v>問11</x:v>
      </x:c>
      <x:c r="B80" s="94" t="str">
        <x:v>将来、どのような暮らし方を希望しますか</x:v>
      </x:c>
      <x:c r="C80" s="94" t="str">
        <x:v>今の自宅で暮らしたい</x:v>
      </x:c>
      <x:c r="D80" s="94" t="n">
        <x:f>COUNTIF('データ'!$DE$5:$DE$42,"〇")</x:f>
        <x:v>15</x:v>
      </x:c>
      <x:c r="E80" s="161" t="n">
        <x:f>IF(F80=0,"",D80/F80)</x:f>
        <x:v>0.4166666666666667</x:v>
      </x:c>
      <x:c r="F80" s="94" t="n">
        <x:f>COUNTIF('データ'!$DN$5:$DN$42,"&gt;0")</x:f>
        <x:v>36</x:v>
      </x:c>
      <x:c r="G80" s="99" t="str">
        <x:v>単一回答</x:v>
      </x:c>
    </x:row>
    <x:row r="81">
      <x:c r="A81" s="98" t="str">
        <x:v>問11</x:v>
      </x:c>
      <x:c r="B81" s="94" t="str">
        <x:v>将来、どのような暮らし方を希望しますか</x:v>
      </x:c>
      <x:c r="C81" s="94" t="str">
        <x:v>家族と一緒に暮らしたい</x:v>
      </x:c>
      <x:c r="D81" s="94" t="n">
        <x:f>COUNTIF('データ'!$DF$5:$DF$42,"〇")</x:f>
        <x:v>6</x:v>
      </x:c>
      <x:c r="E81" s="161" t="n">
        <x:f>IF(F81=0,"",D81/F81)</x:f>
        <x:v>0.16666666666666666</x:v>
      </x:c>
      <x:c r="F81" s="94" t="n">
        <x:f>COUNTIF('データ'!$DN$5:$DN$42,"&gt;0")</x:f>
        <x:v>36</x:v>
      </x:c>
      <x:c r="G81" s="99" t="str">
        <x:v>単一回答</x:v>
      </x:c>
    </x:row>
    <x:row r="82">
      <x:c r="A82" s="98" t="str">
        <x:v>問11</x:v>
      </x:c>
      <x:c r="B82" s="94" t="str">
        <x:v>将来、どのような暮らし方を希望しますか</x:v>
      </x:c>
      <x:c r="C82" s="94" t="str">
        <x:v>一人暮らしをしたい</x:v>
      </x:c>
      <x:c r="D82" s="94" t="n">
        <x:f>COUNTIF('データ'!$DG$5:$DG$42,"〇")</x:f>
        <x:v>2</x:v>
      </x:c>
      <x:c r="E82" s="161" t="n">
        <x:f>IF(F82=0,"",D82/F82)</x:f>
        <x:v>0.05555555555555555</x:v>
      </x:c>
      <x:c r="F82" s="94" t="n">
        <x:f>COUNTIF('データ'!$DN$5:$DN$42,"&gt;0")</x:f>
        <x:v>36</x:v>
      </x:c>
      <x:c r="G82" s="99" t="str">
        <x:v>単一回答</x:v>
      </x:c>
    </x:row>
    <x:row r="83">
      <x:c r="A83" s="98" t="str">
        <x:v>問11</x:v>
      </x:c>
      <x:c r="B83" s="94" t="str">
        <x:v>将来、どのような暮らし方を希望しますか</x:v>
      </x:c>
      <x:c r="C83" s="94" t="str">
        <x:v>グループホームで暮らしたい</x:v>
      </x:c>
      <x:c r="D83" s="94" t="n">
        <x:f>COUNTIF('データ'!$DH$5:$DH$42,"〇")</x:f>
        <x:v>2</x:v>
      </x:c>
      <x:c r="E83" s="161" t="n">
        <x:f>IF(F83=0,"",D83/F83)</x:f>
        <x:v>0.05555555555555555</x:v>
      </x:c>
      <x:c r="F83" s="94" t="n">
        <x:f>COUNTIF('データ'!$DN$5:$DN$42,"&gt;0")</x:f>
        <x:v>36</x:v>
      </x:c>
      <x:c r="G83" s="99" t="str">
        <x:v>単一回答</x:v>
      </x:c>
    </x:row>
    <x:row r="84">
      <x:c r="A84" s="98" t="str">
        <x:v>問11</x:v>
      </x:c>
      <x:c r="B84" s="94" t="str">
        <x:v>将来、どのような暮らし方を希望しますか</x:v>
      </x:c>
      <x:c r="C84" s="94" t="str">
        <x:v>施設で暮らしたい</x:v>
      </x:c>
      <x:c r="D84" s="94" t="n">
        <x:f>COUNTIF('データ'!$DI$5:$DI$42,"〇")</x:f>
        <x:v>4</x:v>
      </x:c>
      <x:c r="E84" s="161" t="n">
        <x:f>IF(F84=0,"",D84/F84)</x:f>
        <x:v>0.1111111111111111</x:v>
      </x:c>
      <x:c r="F84" s="94" t="n">
        <x:f>COUNTIF('データ'!$DN$5:$DN$42,"&gt;0")</x:f>
        <x:v>36</x:v>
      </x:c>
      <x:c r="G84" s="99" t="str">
        <x:v>単一回答</x:v>
      </x:c>
    </x:row>
    <x:row r="85">
      <x:c r="A85" s="98" t="str">
        <x:v>問11</x:v>
      </x:c>
      <x:c r="B85" s="94" t="str">
        <x:v>将来、どのような暮らし方を希望しますか</x:v>
      </x:c>
      <x:c r="C85" s="94" t="str">
        <x:v>病院・施設から地域で暮らしたい</x:v>
      </x:c>
      <x:c r="D85" s="94" t="n">
        <x:f>COUNTIF('データ'!$DJ$5:$DJ$42,"〇")</x:f>
        <x:v>0</x:v>
      </x:c>
      <x:c r="E85" s="161" t="n">
        <x:f>IF(F85=0,"",D85/F85)</x:f>
        <x:v>0</x:v>
      </x:c>
      <x:c r="F85" s="94" t="n">
        <x:f>COUNTIF('データ'!$DN$5:$DN$42,"&gt;0")</x:f>
        <x:v>36</x:v>
      </x:c>
      <x:c r="G85" s="99" t="str">
        <x:v>単一回答</x:v>
      </x:c>
    </x:row>
    <x:row r="86">
      <x:c r="A86" s="98" t="str">
        <x:v>問11</x:v>
      </x:c>
      <x:c r="B86" s="94" t="str">
        <x:v>将来、どのような暮らし方を希望しますか</x:v>
      </x:c>
      <x:c r="C86" s="94" t="str">
        <x:v>まだわからない</x:v>
      </x:c>
      <x:c r="D86" s="94" t="n">
        <x:f>COUNTIF('データ'!$DK$5:$DK$42,"〇")</x:f>
        <x:v>6</x:v>
      </x:c>
      <x:c r="E86" s="161" t="n">
        <x:f>IF(F86=0,"",D86/F86)</x:f>
        <x:v>0.16666666666666666</x:v>
      </x:c>
      <x:c r="F86" s="94" t="n">
        <x:f>COUNTIF('データ'!$DN$5:$DN$42,"&gt;0")</x:f>
        <x:v>36</x:v>
      </x:c>
      <x:c r="G86" s="99" t="str">
        <x:v>単一回答</x:v>
      </x:c>
    </x:row>
    <x:row r="87">
      <x:c r="A87" s="98" t="str">
        <x:v>問11</x:v>
      </x:c>
      <x:c r="B87" s="94" t="str">
        <x:v>将来、どのような暮らし方を希望しますか</x:v>
      </x:c>
      <x:c r="C87" s="94" t="str">
        <x:v>その他</x:v>
      </x:c>
      <x:c r="D87" s="94" t="n">
        <x:f>COUNTIF('データ'!$DL$5:$DL$42,"〇")</x:f>
        <x:v>1</x:v>
      </x:c>
      <x:c r="E87" s="161" t="n">
        <x:f>IF(F87=0,"",D87/F87)</x:f>
        <x:v>0.027777777777777776</x:v>
      </x:c>
      <x:c r="F87" s="94" t="n">
        <x:f>COUNTIF('データ'!$DN$5:$DN$42,"&gt;0")</x:f>
        <x:v>36</x:v>
      </x:c>
      <x:c r="G87" s="99" t="str">
        <x:v>単一回答</x:v>
      </x:c>
    </x:row>
    <x:row r="88">
      <x:c r="A88" s="98" t="str">
        <x:v>問12</x:v>
      </x:c>
      <x:c r="B88" s="94" t="str">
        <x:v>外出の頻度を教えてください</x:v>
      </x:c>
      <x:c r="C88" s="94" t="str">
        <x:v>ほぼ毎日</x:v>
      </x:c>
      <x:c r="D88" s="94" t="n">
        <x:f>COUNTIF('データ'!$DO$5:$DO$42,"〇")</x:f>
        <x:v>11</x:v>
      </x:c>
      <x:c r="E88" s="161" t="n">
        <x:f>IF(F88=0,"",D88/F88)</x:f>
        <x:v>0.2972972972972973</x:v>
      </x:c>
      <x:c r="F88" s="94" t="n">
        <x:f>COUNTIF('データ'!$DT$5:$DT$42,"&gt;0")</x:f>
        <x:v>37</x:v>
      </x:c>
      <x:c r="G88" s="99" t="str">
        <x:v>単一回答</x:v>
      </x:c>
    </x:row>
    <x:row r="89">
      <x:c r="A89" s="98" t="str">
        <x:v>問12</x:v>
      </x:c>
      <x:c r="B89" s="94" t="str">
        <x:v>外出の頻度を教えてください</x:v>
      </x:c>
      <x:c r="C89" s="94" t="str">
        <x:v>週に2～4回</x:v>
      </x:c>
      <x:c r="D89" s="94" t="n">
        <x:f>COUNTIF('データ'!$DP$5:$DP$42,"〇")</x:f>
        <x:v>6</x:v>
      </x:c>
      <x:c r="E89" s="161" t="n">
        <x:f>IF(F89=0,"",D89/F89)</x:f>
        <x:v>0.16216216216216217</x:v>
      </x:c>
      <x:c r="F89" s="94" t="n">
        <x:f>COUNTIF('データ'!$DT$5:$DT$42,"&gt;0")</x:f>
        <x:v>37</x:v>
      </x:c>
      <x:c r="G89" s="99" t="str">
        <x:v>単一回答</x:v>
      </x:c>
    </x:row>
    <x:row r="90">
      <x:c r="A90" s="98" t="str">
        <x:v>問12</x:v>
      </x:c>
      <x:c r="B90" s="94" t="str">
        <x:v>外出の頻度を教えてください</x:v>
      </x:c>
      <x:c r="C90" s="94" t="str">
        <x:v>週に1回程度</x:v>
      </x:c>
      <x:c r="D90" s="94" t="n">
        <x:f>COUNTIF('データ'!$DQ$5:$DQ$42,"〇")</x:f>
        <x:v>6</x:v>
      </x:c>
      <x:c r="E90" s="161" t="n">
        <x:f>IF(F90=0,"",D90/F90)</x:f>
        <x:v>0.16216216216216217</x:v>
      </x:c>
      <x:c r="F90" s="94" t="n">
        <x:f>COUNTIF('データ'!$DT$5:$DT$42,"&gt;0")</x:f>
        <x:v>37</x:v>
      </x:c>
      <x:c r="G90" s="99" t="str">
        <x:v>単一回答</x:v>
      </x:c>
    </x:row>
    <x:row r="91">
      <x:c r="A91" s="98" t="str">
        <x:v>問12</x:v>
      </x:c>
      <x:c r="B91" s="94" t="str">
        <x:v>外出の頻度を教えてください</x:v>
      </x:c>
      <x:c r="C91" s="94" t="str">
        <x:v>月に数回</x:v>
      </x:c>
      <x:c r="D91" s="94" t="n">
        <x:f>COUNTIF('データ'!$DR$5:$DR$42,"〇")</x:f>
        <x:v>6</x:v>
      </x:c>
      <x:c r="E91" s="161" t="n">
        <x:f>IF(F91=0,"",D91/F91)</x:f>
        <x:v>0.16216216216216217</x:v>
      </x:c>
      <x:c r="F91" s="94" t="n">
        <x:f>COUNTIF('データ'!$DT$5:$DT$42,"&gt;0")</x:f>
        <x:v>37</x:v>
      </x:c>
      <x:c r="G91" s="99" t="str">
        <x:v>単一回答</x:v>
      </x:c>
    </x:row>
    <x:row r="92">
      <x:c r="A92" s="98" t="str">
        <x:v>問12</x:v>
      </x:c>
      <x:c r="B92" s="94" t="str">
        <x:v>外出の頻度を教えてください</x:v>
      </x:c>
      <x:c r="C92" s="94" t="str">
        <x:v>ほとんど外出しない</x:v>
      </x:c>
      <x:c r="D92" s="94" t="n">
        <x:f>COUNTIF('データ'!$DS$5:$DS$42,"〇")</x:f>
        <x:v>8</x:v>
      </x:c>
      <x:c r="E92" s="161" t="n">
        <x:f>IF(F92=0,"",D92/F92)</x:f>
        <x:v>0.21621621621621623</x:v>
      </x:c>
      <x:c r="F92" s="94" t="n">
        <x:f>COUNTIF('データ'!$DT$5:$DT$42,"&gt;0")</x:f>
        <x:v>37</x:v>
      </x:c>
      <x:c r="G92" s="99" t="str">
        <x:v>単一回答</x:v>
      </x:c>
    </x:row>
    <x:row r="93">
      <x:c r="A93" s="98" t="str">
        <x:v>問13</x:v>
      </x:c>
      <x:c r="B93" s="94" t="str">
        <x:v>外出時の主な移動手段を教えてください（あてはまるものすべて）</x:v>
      </x:c>
      <x:c r="C93" s="94" t="str">
        <x:v>自分で運転</x:v>
      </x:c>
      <x:c r="D93" s="94" t="n">
        <x:f>COUNTIF('データ'!$DU$5:$DU$42,"〇")</x:f>
        <x:v>17</x:v>
      </x:c>
      <x:c r="E93" s="161" t="n">
        <x:f>IF(F93=0,"",D93/F93)</x:f>
        <x:v>0.5</x:v>
      </x:c>
      <x:c r="F93" s="94" t="n">
        <x:f>COUNTIF('データ'!$EE$5:$EE$42,"&gt;0")</x:f>
        <x:v>34</x:v>
      </x:c>
      <x:c r="G93" s="99" t="str">
        <x:v>複数回答</x:v>
      </x:c>
    </x:row>
    <x:row r="94">
      <x:c r="A94" s="98" t="str">
        <x:v>問13</x:v>
      </x:c>
      <x:c r="B94" s="94" t="str">
        <x:v>外出時の主な移動手段を教えてください（あてはまるものすべて）</x:v>
      </x:c>
      <x:c r="C94" s="94" t="str">
        <x:v>家族・知人の送迎</x:v>
      </x:c>
      <x:c r="D94" s="94" t="n">
        <x:f>COUNTIF('データ'!$DV$5:$DV$42,"〇")</x:f>
        <x:v>14</x:v>
      </x:c>
      <x:c r="E94" s="161" t="n">
        <x:f>IF(F94=0,"",D94/F94)</x:f>
        <x:v>0.4117647058823529</x:v>
      </x:c>
      <x:c r="F94" s="94" t="n">
        <x:f>COUNTIF('データ'!$EE$5:$EE$42,"&gt;0")</x:f>
        <x:v>34</x:v>
      </x:c>
      <x:c r="G94" s="99" t="str">
        <x:v>複数回答</x:v>
      </x:c>
    </x:row>
    <x:row r="95">
      <x:c r="A95" s="98" t="str">
        <x:v>問13</x:v>
      </x:c>
      <x:c r="B95" s="94" t="str">
        <x:v>外出時の主な移動手段を教えてください（あてはまるものすべて）</x:v>
      </x:c>
      <x:c r="C95" s="94" t="str">
        <x:v>徒歩</x:v>
      </x:c>
      <x:c r="D95" s="94" t="n">
        <x:f>COUNTIF('データ'!$DW$5:$DW$42,"〇")</x:f>
        <x:v>3</x:v>
      </x:c>
      <x:c r="E95" s="161" t="n">
        <x:f>IF(F95=0,"",D95/F95)</x:f>
        <x:v>0.08823529411764706</x:v>
      </x:c>
      <x:c r="F95" s="94" t="n">
        <x:f>COUNTIF('データ'!$EE$5:$EE$42,"&gt;0")</x:f>
        <x:v>34</x:v>
      </x:c>
      <x:c r="G95" s="99" t="str">
        <x:v>複数回答</x:v>
      </x:c>
    </x:row>
    <x:row r="96">
      <x:c r="A96" s="98" t="str">
        <x:v>問13</x:v>
      </x:c>
      <x:c r="B96" s="94" t="str">
        <x:v>外出時の主な移動手段を教えてください（あてはまるものすべて）</x:v>
      </x:c>
      <x:c r="C96" s="94" t="str">
        <x:v>自転車</x:v>
      </x:c>
      <x:c r="D96" s="94" t="n">
        <x:f>COUNTIF('データ'!$DX$5:$DX$42,"〇")</x:f>
        <x:v>1</x:v>
      </x:c>
      <x:c r="E96" s="161" t="n">
        <x:f>IF(F96=0,"",D96/F96)</x:f>
        <x:v>0.029411764705882353</x:v>
      </x:c>
      <x:c r="F96" s="94" t="n">
        <x:f>COUNTIF('データ'!$EE$5:$EE$42,"&gt;0")</x:f>
        <x:v>34</x:v>
      </x:c>
      <x:c r="G96" s="99" t="str">
        <x:v>複数回答</x:v>
      </x:c>
    </x:row>
    <x:row r="97">
      <x:c r="A97" s="98" t="str">
        <x:v>問13</x:v>
      </x:c>
      <x:c r="B97" s="94" t="str">
        <x:v>外出時の主な移動手段を教えてください（あてはまるものすべて）</x:v>
      </x:c>
      <x:c r="C97" s="94" t="str">
        <x:v>路線バス</x:v>
      </x:c>
      <x:c r="D97" s="94" t="n">
        <x:f>COUNTIF('データ'!$DY$5:$DY$42,"〇")</x:f>
        <x:v>3</x:v>
      </x:c>
      <x:c r="E97" s="161" t="n">
        <x:f>IF(F97=0,"",D97/F97)</x:f>
        <x:v>0.08823529411764706</x:v>
      </x:c>
      <x:c r="F97" s="94" t="n">
        <x:f>COUNTIF('データ'!$EE$5:$EE$42,"&gt;0")</x:f>
        <x:v>34</x:v>
      </x:c>
      <x:c r="G97" s="99" t="str">
        <x:v>複数回答</x:v>
      </x:c>
    </x:row>
    <x:row r="98">
      <x:c r="A98" s="98" t="str">
        <x:v>問13</x:v>
      </x:c>
      <x:c r="B98" s="94" t="str">
        <x:v>外出時の主な移動手段を教えてください（あてはまるものすべて）</x:v>
      </x:c>
      <x:c r="C98" s="94" t="str">
        <x:v>タクシー</x:v>
      </x:c>
      <x:c r="D98" s="94" t="n">
        <x:f>COUNTIF('データ'!$DZ$5:$DZ$42,"〇")</x:f>
        <x:v>2</x:v>
      </x:c>
      <x:c r="E98" s="161" t="n">
        <x:f>IF(F98=0,"",D98/F98)</x:f>
        <x:v>0.058823529411764705</x:v>
      </x:c>
      <x:c r="F98" s="94" t="n">
        <x:f>COUNTIF('データ'!$EE$5:$EE$42,"&gt;0")</x:f>
        <x:v>34</x:v>
      </x:c>
      <x:c r="G98" s="99" t="str">
        <x:v>複数回答</x:v>
      </x:c>
    </x:row>
    <x:row r="99">
      <x:c r="A99" s="98" t="str">
        <x:v>問13</x:v>
      </x:c>
      <x:c r="B99" s="94" t="str">
        <x:v>外出時の主な移動手段を教えてください（あてはまるものすべて）</x:v>
      </x:c>
      <x:c r="C99" s="94" t="str">
        <x:v>福祉タクシー等</x:v>
      </x:c>
      <x:c r="D99" s="94" t="n">
        <x:f>COUNTIF('データ'!$EA$5:$EA$42,"〇")</x:f>
        <x:v>0</x:v>
      </x:c>
      <x:c r="E99" s="161" t="n">
        <x:f>IF(F99=0,"",D99/F99)</x:f>
        <x:v>0</x:v>
      </x:c>
      <x:c r="F99" s="94" t="n">
        <x:f>COUNTIF('データ'!$EE$5:$EE$42,"&gt;0")</x:f>
        <x:v>34</x:v>
      </x:c>
      <x:c r="G99" s="99" t="str">
        <x:v>複数回答</x:v>
      </x:c>
    </x:row>
    <x:row r="100">
      <x:c r="A100" s="98" t="str">
        <x:v>問13</x:v>
      </x:c>
      <x:c r="B100" s="94" t="str">
        <x:v>外出時の主な移動手段を教えてください（あてはまるものすべて）</x:v>
      </x:c>
      <x:c r="C100" s="94" t="str">
        <x:v>事業所・施設の送迎</x:v>
      </x:c>
      <x:c r="D100" s="94" t="n">
        <x:f>COUNTIF('データ'!$EB$5:$EB$42,"〇")</x:f>
        <x:v>8</x:v>
      </x:c>
      <x:c r="E100" s="161" t="n">
        <x:f>IF(F100=0,"",D100/F100)</x:f>
        <x:v>0.23529411764705882</x:v>
      </x:c>
      <x:c r="F100" s="94" t="n">
        <x:f>COUNTIF('データ'!$EE$5:$EE$42,"&gt;0")</x:f>
        <x:v>34</x:v>
      </x:c>
      <x:c r="G100" s="99" t="str">
        <x:v>複数回答</x:v>
      </x:c>
    </x:row>
    <x:row r="101">
      <x:c r="A101" s="98" t="str">
        <x:v>問13</x:v>
      </x:c>
      <x:c r="B101" s="94" t="str">
        <x:v>外出時の主な移動手段を教えてください（あてはまるものすべて）</x:v>
      </x:c>
      <x:c r="C101" s="94" t="str">
        <x:v>その他</x:v>
      </x:c>
      <x:c r="D101" s="94" t="n">
        <x:f>COUNTIF('データ'!$EC$5:$EC$42,"〇")</x:f>
        <x:v>2</x:v>
      </x:c>
      <x:c r="E101" s="161" t="n">
        <x:f>IF(F101=0,"",D101/F101)</x:f>
        <x:v>0.058823529411764705</x:v>
      </x:c>
      <x:c r="F101" s="94" t="n">
        <x:f>COUNTIF('データ'!$EE$5:$EE$42,"&gt;0")</x:f>
        <x:v>34</x:v>
      </x:c>
      <x:c r="G101" s="99" t="str">
        <x:v>複数回答</x:v>
      </x:c>
    </x:row>
    <x:row r="102">
      <x:c r="A102" s="98" t="str">
        <x:v>問14</x:v>
      </x:c>
      <x:c r="B102" s="94" t="str">
        <x:v>外出するときに困ることは何ですか（あてはまるものすべて）</x:v>
      </x:c>
      <x:c r="C102" s="94" t="str">
        <x:v>交通手段が少ない</x:v>
      </x:c>
      <x:c r="D102" s="94" t="n">
        <x:f>COUNTIF('データ'!$EF$5:$EF$42,"〇")</x:f>
        <x:v>6</x:v>
      </x:c>
      <x:c r="E102" s="161" t="n">
        <x:f>IF(F102=0,"",D102/F102)</x:f>
        <x:v>0.17647058823529413</x:v>
      </x:c>
      <x:c r="F102" s="94" t="n">
        <x:f>COUNTIF('データ'!$EQ$5:$EQ$42,"&gt;0")</x:f>
        <x:v>34</x:v>
      </x:c>
      <x:c r="G102" s="99" t="str">
        <x:v>複数回答</x:v>
      </x:c>
    </x:row>
    <x:row r="103">
      <x:c r="A103" s="98" t="str">
        <x:v>問14</x:v>
      </x:c>
      <x:c r="B103" s="94" t="str">
        <x:v>外出するときに困ることは何ですか（あてはまるものすべて）</x:v>
      </x:c>
      <x:c r="C103" s="94" t="str">
        <x:v>家族等の付き添いが必要</x:v>
      </x:c>
      <x:c r="D103" s="94" t="n">
        <x:f>COUNTIF('データ'!$EG$5:$EG$42,"〇")</x:f>
        <x:v>7</x:v>
      </x:c>
      <x:c r="E103" s="161" t="n">
        <x:f>IF(F103=0,"",D103/F103)</x:f>
        <x:v>0.20588235294117646</x:v>
      </x:c>
      <x:c r="F103" s="94" t="n">
        <x:f>COUNTIF('データ'!$EQ$5:$EQ$42,"&gt;0")</x:f>
        <x:v>34</x:v>
      </x:c>
      <x:c r="G103" s="99" t="str">
        <x:v>複数回答</x:v>
      </x:c>
    </x:row>
    <x:row r="104">
      <x:c r="A104" s="98" t="str">
        <x:v>問14</x:v>
      </x:c>
      <x:c r="B104" s="94" t="str">
        <x:v>外出するときに困ることは何ですか（あてはまるものすべて）</x:v>
      </x:c>
      <x:c r="C104" s="94" t="str">
        <x:v>送迎がない</x:v>
      </x:c>
      <x:c r="D104" s="94" t="n">
        <x:f>COUNTIF('データ'!$EH$5:$EH$42,"〇")</x:f>
        <x:v>5</x:v>
      </x:c>
      <x:c r="E104" s="161" t="n">
        <x:f>IF(F104=0,"",D104/F104)</x:f>
        <x:v>0.14705882352941177</x:v>
      </x:c>
      <x:c r="F104" s="94" t="n">
        <x:f>COUNTIF('データ'!$EQ$5:$EQ$42,"&gt;0")</x:f>
        <x:v>34</x:v>
      </x:c>
      <x:c r="G104" s="99" t="str">
        <x:v>複数回答</x:v>
      </x:c>
    </x:row>
    <x:row r="105">
      <x:c r="A105" s="98" t="str">
        <x:v>問14</x:v>
      </x:c>
      <x:c r="B105" s="94" t="str">
        <x:v>外出するときに困ることは何ですか（あてはまるものすべて）</x:v>
      </x:c>
      <x:c r="C105" s="94" t="str">
        <x:v>冬季・積雪時に外出しにくい</x:v>
      </x:c>
      <x:c r="D105" s="94" t="n">
        <x:f>COUNTIF('データ'!$EI$5:$EI$42,"〇")</x:f>
        <x:v>13</x:v>
      </x:c>
      <x:c r="E105" s="161" t="n">
        <x:f>IF(F105=0,"",D105/F105)</x:f>
        <x:v>0.38235294117647056</x:v>
      </x:c>
      <x:c r="F105" s="94" t="n">
        <x:f>COUNTIF('データ'!$EQ$5:$EQ$42,"&gt;0")</x:f>
        <x:v>34</x:v>
      </x:c>
      <x:c r="G105" s="99" t="str">
        <x:v>複数回答</x:v>
      </x:c>
    </x:row>
    <x:row r="106">
      <x:c r="A106" s="98" t="str">
        <x:v>問14</x:v>
      </x:c>
      <x:c r="B106" s="94" t="str">
        <x:v>外出するときに困ることは何ですか（あてはまるものすべて）</x:v>
      </x:c>
      <x:c r="C106" s="94" t="str">
        <x:v>道路・建物が利用しにくい</x:v>
      </x:c>
      <x:c r="D106" s="94" t="n">
        <x:f>COUNTIF('データ'!$EJ$5:$EJ$42,"〇")</x:f>
        <x:v>0</x:v>
      </x:c>
      <x:c r="E106" s="161" t="n">
        <x:f>IF(F106=0,"",D106/F106)</x:f>
        <x:v>0</x:v>
      </x:c>
      <x:c r="F106" s="94" t="n">
        <x:f>COUNTIF('データ'!$EQ$5:$EQ$42,"&gt;0")</x:f>
        <x:v>34</x:v>
      </x:c>
      <x:c r="G106" s="99" t="str">
        <x:v>複数回答</x:v>
      </x:c>
    </x:row>
    <x:row r="107">
      <x:c r="A107" s="98" t="str">
        <x:v>問14</x:v>
      </x:c>
      <x:c r="B107" s="94" t="str">
        <x:v>外出するときに困ることは何ですか（あてはまるものすべて）</x:v>
      </x:c>
      <x:c r="C107" s="94" t="str">
        <x:v>周囲の理解が不安</x:v>
      </x:c>
      <x:c r="D107" s="94" t="n">
        <x:f>COUNTIF('データ'!$EK$5:$EK$42,"〇")</x:f>
        <x:v>2</x:v>
      </x:c>
      <x:c r="E107" s="161" t="n">
        <x:f>IF(F107=0,"",D107/F107)</x:f>
        <x:v>0.058823529411764705</x:v>
      </x:c>
      <x:c r="F107" s="94" t="n">
        <x:f>COUNTIF('データ'!$EQ$5:$EQ$42,"&gt;0")</x:f>
        <x:v>34</x:v>
      </x:c>
      <x:c r="G107" s="99" t="str">
        <x:v>複数回答</x:v>
      </x:c>
    </x:row>
    <x:row r="108">
      <x:c r="A108" s="98" t="str">
        <x:v>問14</x:v>
      </x:c>
      <x:c r="B108" s="94" t="str">
        <x:v>外出するときに困ることは何ですか（あてはまるものすべて）</x:v>
      </x:c>
      <x:c r="C108" s="94" t="str">
        <x:v>体調面が不安</x:v>
      </x:c>
      <x:c r="D108" s="94" t="n">
        <x:f>COUNTIF('データ'!$EL$5:$EL$42,"〇")</x:f>
        <x:v>8</x:v>
      </x:c>
      <x:c r="E108" s="161" t="n">
        <x:f>IF(F108=0,"",D108/F108)</x:f>
        <x:v>0.23529411764705882</x:v>
      </x:c>
      <x:c r="F108" s="94" t="n">
        <x:f>COUNTIF('データ'!$EQ$5:$EQ$42,"&gt;0")</x:f>
        <x:v>34</x:v>
      </x:c>
      <x:c r="G108" s="99" t="str">
        <x:v>複数回答</x:v>
      </x:c>
    </x:row>
    <x:row r="109">
      <x:c r="A109" s="98" t="str">
        <x:v>問14</x:v>
      </x:c>
      <x:c r="B109" s="94" t="str">
        <x:v>外出するときに困ることは何ですか（あてはまるものすべて）</x:v>
      </x:c>
      <x:c r="C109" s="94" t="str">
        <x:v>費用がかかる</x:v>
      </x:c>
      <x:c r="D109" s="94" t="n">
        <x:f>COUNTIF('データ'!$EM$5:$EM$42,"〇")</x:f>
        <x:v>5</x:v>
      </x:c>
      <x:c r="E109" s="161" t="n">
        <x:f>IF(F109=0,"",D109/F109)</x:f>
        <x:v>0.14705882352941177</x:v>
      </x:c>
      <x:c r="F109" s="94" t="n">
        <x:f>COUNTIF('データ'!$EQ$5:$EQ$42,"&gt;0")</x:f>
        <x:v>34</x:v>
      </x:c>
      <x:c r="G109" s="99" t="str">
        <x:v>複数回答</x:v>
      </x:c>
    </x:row>
    <x:row r="110">
      <x:c r="A110" s="98" t="str">
        <x:v>問14</x:v>
      </x:c>
      <x:c r="B110" s="94" t="str">
        <x:v>外出するときに困ることは何ですか（あてはまるものすべて）</x:v>
      </x:c>
      <x:c r="C110" s="94" t="str">
        <x:v>特に困らない</x:v>
      </x:c>
      <x:c r="D110" s="94" t="n">
        <x:f>COUNTIF('データ'!$EN$5:$EN$42,"〇")</x:f>
        <x:v>11</x:v>
      </x:c>
      <x:c r="E110" s="161" t="n">
        <x:f>IF(F110=0,"",D110/F110)</x:f>
        <x:v>0.3235294117647059</x:v>
      </x:c>
      <x:c r="F110" s="94" t="n">
        <x:f>COUNTIF('データ'!$EQ$5:$EQ$42,"&gt;0")</x:f>
        <x:v>34</x:v>
      </x:c>
      <x:c r="G110" s="99" t="str">
        <x:v>複数回答</x:v>
      </x:c>
    </x:row>
    <x:row r="111">
      <x:c r="A111" s="98" t="str">
        <x:v>問14</x:v>
      </x:c>
      <x:c r="B111" s="94" t="str">
        <x:v>外出するときに困ることは何ですか（あてはまるものすべて）</x:v>
      </x:c>
      <x:c r="C111" s="94" t="str">
        <x:v>その他</x:v>
      </x:c>
      <x:c r="D111" s="94" t="n">
        <x:f>COUNTIF('データ'!$EO$5:$EO$42,"〇")</x:f>
        <x:v>1</x:v>
      </x:c>
      <x:c r="E111" s="161" t="n">
        <x:f>IF(F111=0,"",D111/F111)</x:f>
        <x:v>0.029411764705882353</x:v>
      </x:c>
      <x:c r="F111" s="94" t="n">
        <x:f>COUNTIF('データ'!$EQ$5:$EQ$42,"&gt;0")</x:f>
        <x:v>34</x:v>
      </x:c>
      <x:c r="G111" s="99" t="str">
        <x:v>複数回答</x:v>
      </x:c>
    </x:row>
    <x:row r="112">
      <x:c r="A112" s="98" t="str">
        <x:v>問15</x:v>
      </x:c>
      <x:c r="B112" s="94" t="str">
        <x:v>現在、定期的に通院していますか</x:v>
      </x:c>
      <x:c r="C112" s="94" t="str">
        <x:v>通院している</x:v>
      </x:c>
      <x:c r="D112" s="94" t="n">
        <x:f>COUNTIF('データ'!$ER$5:$ER$42,"〇")</x:f>
        <x:v>27</x:v>
      </x:c>
      <x:c r="E112" s="161" t="n">
        <x:f>IF(F112=0,"",D112/F112)</x:f>
        <x:v>0.75</x:v>
      </x:c>
      <x:c r="F112" s="94" t="n">
        <x:f>COUNTIF('データ'!$EV$5:$EV$42,"&gt;0")</x:f>
        <x:v>36</x:v>
      </x:c>
      <x:c r="G112" s="99" t="str">
        <x:v>単一回答</x:v>
      </x:c>
    </x:row>
    <x:row r="113">
      <x:c r="A113" s="98" t="str">
        <x:v>問15</x:v>
      </x:c>
      <x:c r="B113" s="94" t="str">
        <x:v>現在、定期的に通院していますか</x:v>
      </x:c>
      <x:c r="C113" s="94" t="str">
        <x:v>通院していない</x:v>
      </x:c>
      <x:c r="D113" s="94" t="n">
        <x:f>COUNTIF('データ'!$ES$5:$ES$42,"〇")</x:f>
        <x:v>4</x:v>
      </x:c>
      <x:c r="E113" s="161" t="n">
        <x:f>IF(F113=0,"",D113/F113)</x:f>
        <x:v>0.1111111111111111</x:v>
      </x:c>
      <x:c r="F113" s="94" t="n">
        <x:f>COUNTIF('データ'!$EV$5:$EV$42,"&gt;0")</x:f>
        <x:v>36</x:v>
      </x:c>
      <x:c r="G113" s="99" t="str">
        <x:v>単一回答</x:v>
      </x:c>
    </x:row>
    <x:row r="114">
      <x:c r="A114" s="98" t="str">
        <x:v>問15</x:v>
      </x:c>
      <x:c r="B114" s="94" t="str">
        <x:v>現在、定期的に通院していますか</x:v>
      </x:c>
      <x:c r="C114" s="94" t="str">
        <x:v>訪問診療・往診を受けている</x:v>
      </x:c>
      <x:c r="D114" s="94" t="n">
        <x:f>COUNTIF('データ'!$ET$5:$ET$42,"〇")</x:f>
        <x:v>3</x:v>
      </x:c>
      <x:c r="E114" s="161" t="n">
        <x:f>IF(F114=0,"",D114/F114)</x:f>
        <x:v>0.08333333333333333</x:v>
      </x:c>
      <x:c r="F114" s="94" t="n">
        <x:f>COUNTIF('データ'!$EV$5:$EV$42,"&gt;0")</x:f>
        <x:v>36</x:v>
      </x:c>
      <x:c r="G114" s="99" t="str">
        <x:v>単一回答</x:v>
      </x:c>
    </x:row>
    <x:row r="115">
      <x:c r="A115" s="98" t="str">
        <x:v>問15</x:v>
      </x:c>
      <x:c r="B115" s="94" t="str">
        <x:v>現在、定期的に通院していますか</x:v>
      </x:c>
      <x:c r="C115" s="94" t="str">
        <x:v>わからない</x:v>
      </x:c>
      <x:c r="D115" s="94" t="n">
        <x:f>COUNTIF('データ'!$EU$5:$EU$42,"〇")</x:f>
        <x:v>2</x:v>
      </x:c>
      <x:c r="E115" s="161" t="n">
        <x:f>IF(F115=0,"",D115/F115)</x:f>
        <x:v>0.05555555555555555</x:v>
      </x:c>
      <x:c r="F115" s="94" t="n">
        <x:f>COUNTIF('データ'!$EV$5:$EV$42,"&gt;0")</x:f>
        <x:v>36</x:v>
      </x:c>
      <x:c r="G115" s="99" t="str">
        <x:v>単一回答</x:v>
      </x:c>
    </x:row>
    <x:row r="116">
      <x:c r="A116" s="98" t="str">
        <x:v>問16</x:v>
      </x:c>
      <x:c r="B116" s="94" t="str">
        <x:v>通院や医療で困っていることはありますか（あてはまるものすべて）</x:v>
      </x:c>
      <x:c r="C116" s="94" t="str">
        <x:v>専門医療機関が遠い</x:v>
      </x:c>
      <x:c r="D116" s="94" t="n">
        <x:f>COUNTIF('データ'!$EW$5:$EW$42,"〇")</x:f>
        <x:v>8</x:v>
      </x:c>
      <x:c r="E116" s="161" t="n">
        <x:f>IF(F116=0,"",D116/F116)</x:f>
        <x:v>0.2222222222222222</x:v>
      </x:c>
      <x:c r="F116" s="94" t="n">
        <x:f>COUNTIF('データ'!$FF$5:$FF$42,"&gt;0")</x:f>
        <x:v>36</x:v>
      </x:c>
      <x:c r="G116" s="99" t="str">
        <x:v>複数回答</x:v>
      </x:c>
    </x:row>
    <x:row r="117">
      <x:c r="A117" s="98" t="str">
        <x:v>問16</x:v>
      </x:c>
      <x:c r="B117" s="94" t="str">
        <x:v>通院や医療で困っていることはありますか（あてはまるものすべて）</x:v>
      </x:c>
      <x:c r="C117" s="94" t="str">
        <x:v>通院の交通手段がない</x:v>
      </x:c>
      <x:c r="D117" s="94" t="n">
        <x:f>COUNTIF('データ'!$EX$5:$EX$42,"〇")</x:f>
        <x:v>3</x:v>
      </x:c>
      <x:c r="E117" s="161" t="n">
        <x:f>IF(F117=0,"",D117/F117)</x:f>
        <x:v>0.08333333333333333</x:v>
      </x:c>
      <x:c r="F117" s="94" t="n">
        <x:f>COUNTIF('データ'!$FF$5:$FF$42,"&gt;0")</x:f>
        <x:v>36</x:v>
      </x:c>
      <x:c r="G117" s="99" t="str">
        <x:v>複数回答</x:v>
      </x:c>
    </x:row>
    <x:row r="118">
      <x:c r="A118" s="98" t="str">
        <x:v>問16</x:v>
      </x:c>
      <x:c r="B118" s="94" t="str">
        <x:v>通院や医療で困っていることはありますか（あてはまるものすべて）</x:v>
      </x:c>
      <x:c r="C118" s="94" t="str">
        <x:v>付き添いが必要</x:v>
      </x:c>
      <x:c r="D118" s="94" t="n">
        <x:f>COUNTIF('データ'!$EY$5:$EY$42,"〇")</x:f>
        <x:v>8</x:v>
      </x:c>
      <x:c r="E118" s="161" t="n">
        <x:f>IF(F118=0,"",D118/F118)</x:f>
        <x:v>0.2222222222222222</x:v>
      </x:c>
      <x:c r="F118" s="94" t="n">
        <x:f>COUNTIF('データ'!$FF$5:$FF$42,"&gt;0")</x:f>
        <x:v>36</x:v>
      </x:c>
      <x:c r="G118" s="99" t="str">
        <x:v>複数回答</x:v>
      </x:c>
    </x:row>
    <x:row r="119">
      <x:c r="A119" s="98" t="str">
        <x:v>問16</x:v>
      </x:c>
      <x:c r="B119" s="94" t="str">
        <x:v>通院や医療で困っていることはありますか（あてはまるものすべて）</x:v>
      </x:c>
      <x:c r="C119" s="94" t="str">
        <x:v>医療費や交通費の負担が大きい</x:v>
      </x:c>
      <x:c r="D119" s="94" t="n">
        <x:f>COUNTIF('データ'!$EZ$5:$EZ$42,"〇")</x:f>
        <x:v>6</x:v>
      </x:c>
      <x:c r="E119" s="161" t="n">
        <x:f>IF(F119=0,"",D119/F119)</x:f>
        <x:v>0.16666666666666666</x:v>
      </x:c>
      <x:c r="F119" s="94" t="n">
        <x:f>COUNTIF('データ'!$FF$5:$FF$42,"&gt;0")</x:f>
        <x:v>36</x:v>
      </x:c>
      <x:c r="G119" s="99" t="str">
        <x:v>複数回答</x:v>
      </x:c>
    </x:row>
    <x:row r="120">
      <x:c r="A120" s="98" t="str">
        <x:v>問16</x:v>
      </x:c>
      <x:c r="B120" s="94" t="str">
        <x:v>通院や医療で困っていることはありますか（あてはまるものすべて）</x:v>
      </x:c>
      <x:c r="C120" s="94" t="str">
        <x:v>予約・受診手続きが難しい</x:v>
      </x:c>
      <x:c r="D120" s="94" t="n">
        <x:f>COUNTIF('データ'!$FA$5:$FA$42,"〇")</x:f>
        <x:v>2</x:v>
      </x:c>
      <x:c r="E120" s="161" t="n">
        <x:f>IF(F120=0,"",D120/F120)</x:f>
        <x:v>0.05555555555555555</x:v>
      </x:c>
      <x:c r="F120" s="94" t="n">
        <x:f>COUNTIF('データ'!$FF$5:$FF$42,"&gt;0")</x:f>
        <x:v>36</x:v>
      </x:c>
      <x:c r="G120" s="99" t="str">
        <x:v>複数回答</x:v>
      </x:c>
    </x:row>
    <x:row r="121">
      <x:c r="A121" s="98" t="str">
        <x:v>問16</x:v>
      </x:c>
      <x:c r="B121" s="94" t="str">
        <x:v>通院や医療で困っていることはありますか（あてはまるものすべて）</x:v>
      </x:c>
      <x:c r="C121" s="94" t="str">
        <x:v>緊急時の対応が不安</x:v>
      </x:c>
      <x:c r="D121" s="94" t="n">
        <x:f>COUNTIF('データ'!$FB$5:$FB$42,"〇")</x:f>
        <x:v>6</x:v>
      </x:c>
      <x:c r="E121" s="161" t="n">
        <x:f>IF(F121=0,"",D121/F121)</x:f>
        <x:v>0.16666666666666666</x:v>
      </x:c>
      <x:c r="F121" s="94" t="n">
        <x:f>COUNTIF('データ'!$FF$5:$FF$42,"&gt;0")</x:f>
        <x:v>36</x:v>
      </x:c>
      <x:c r="G121" s="99" t="str">
        <x:v>複数回答</x:v>
      </x:c>
    </x:row>
    <x:row r="122">
      <x:c r="A122" s="98" t="str">
        <x:v>問16</x:v>
      </x:c>
      <x:c r="B122" s="94" t="str">
        <x:v>通院や医療で困っていることはありますか（あてはまるものすべて）</x:v>
      </x:c>
      <x:c r="C122" s="94" t="str">
        <x:v>特に困っていない</x:v>
      </x:c>
      <x:c r="D122" s="94" t="n">
        <x:f>COUNTIF('データ'!$FC$5:$FC$42,"〇")</x:f>
        <x:v>16</x:v>
      </x:c>
      <x:c r="E122" s="161" t="n">
        <x:f>IF(F122=0,"",D122/F122)</x:f>
        <x:v>0.4444444444444444</x:v>
      </x:c>
      <x:c r="F122" s="94" t="n">
        <x:f>COUNTIF('データ'!$FF$5:$FF$42,"&gt;0")</x:f>
        <x:v>36</x:v>
      </x:c>
      <x:c r="G122" s="99" t="str">
        <x:v>複数回答</x:v>
      </x:c>
    </x:row>
    <x:row r="123">
      <x:c r="A123" s="98" t="str">
        <x:v>問16</x:v>
      </x:c>
      <x:c r="B123" s="94" t="str">
        <x:v>通院や医療で困っていることはありますか（あてはまるものすべて）</x:v>
      </x:c>
      <x:c r="C123" s="94" t="str">
        <x:v>その他</x:v>
      </x:c>
      <x:c r="D123" s="94" t="n">
        <x:f>COUNTIF('データ'!$FD$5:$FD$42,"〇")</x:f>
        <x:v>0</x:v>
      </x:c>
      <x:c r="E123" s="161" t="n">
        <x:f>IF(F123=0,"",D123/F123)</x:f>
        <x:v>0</x:v>
      </x:c>
      <x:c r="F123" s="94" t="n">
        <x:f>COUNTIF('データ'!$FF$5:$FF$42,"&gt;0")</x:f>
        <x:v>36</x:v>
      </x:c>
      <x:c r="G123" s="99" t="str">
        <x:v>複数回答</x:v>
      </x:c>
    </x:row>
    <x:row r="124">
      <x:c r="A124" s="98" t="str">
        <x:v>問17</x:v>
      </x:c>
      <x:c r="B124" s="94" t="str">
        <x:v>医療的ケアを必要としていますか（あてはまるものすべて）</x:v>
      </x:c>
      <x:c r="C124" s="94" t="str">
        <x:v>必要としていない</x:v>
      </x:c>
      <x:c r="D124" s="94" t="n">
        <x:f>COUNTIF('データ'!$FG$5:$FG$42,"〇")</x:f>
        <x:v>29</x:v>
      </x:c>
      <x:c r="E124" s="161" t="n">
        <x:f>IF(F124=0,"",D124/F124)</x:f>
        <x:v>0.8285714285714286</x:v>
      </x:c>
      <x:c r="F124" s="94" t="n">
        <x:f>COUNTIF('データ'!$FV$5:$FV$42,"&gt;0")</x:f>
        <x:v>35</x:v>
      </x:c>
      <x:c r="G124" s="99" t="str">
        <x:v>複数回答</x:v>
      </x:c>
    </x:row>
    <x:row r="125">
      <x:c r="A125" s="98" t="str">
        <x:v>問17</x:v>
      </x:c>
      <x:c r="B125" s="94" t="str">
        <x:v>医療的ケアを必要としていますか（あてはまるものすべて）</x:v>
      </x:c>
      <x:c r="C125" s="94" t="str">
        <x:v>吸引</x:v>
      </x:c>
      <x:c r="D125" s="94" t="n">
        <x:f>COUNTIF('データ'!$FH$5:$FH$42,"〇")</x:f>
        <x:v>1</x:v>
      </x:c>
      <x:c r="E125" s="161" t="n">
        <x:f>IF(F125=0,"",D125/F125)</x:f>
        <x:v>0.02857142857142857</x:v>
      </x:c>
      <x:c r="F125" s="94" t="n">
        <x:f>COUNTIF('データ'!$FV$5:$FV$42,"&gt;0")</x:f>
        <x:v>35</x:v>
      </x:c>
      <x:c r="G125" s="99" t="str">
        <x:v>複数回答</x:v>
      </x:c>
    </x:row>
    <x:row r="126">
      <x:c r="A126" s="98" t="str">
        <x:v>問17</x:v>
      </x:c>
      <x:c r="B126" s="94" t="str">
        <x:v>医療的ケアを必要としていますか（あてはまるものすべて）</x:v>
      </x:c>
      <x:c r="C126" s="94" t="str">
        <x:v>酸素療法</x:v>
      </x:c>
      <x:c r="D126" s="94" t="n">
        <x:f>COUNTIF('データ'!$FI$5:$FI$42,"〇")</x:f>
        <x:v>1</x:v>
      </x:c>
      <x:c r="E126" s="161" t="n">
        <x:f>IF(F126=0,"",D126/F126)</x:f>
        <x:v>0.02857142857142857</x:v>
      </x:c>
      <x:c r="F126" s="94" t="n">
        <x:f>COUNTIF('データ'!$FV$5:$FV$42,"&gt;0")</x:f>
        <x:v>35</x:v>
      </x:c>
      <x:c r="G126" s="99" t="str">
        <x:v>複数回答</x:v>
      </x:c>
    </x:row>
    <x:row r="127">
      <x:c r="A127" s="98" t="str">
        <x:v>問17</x:v>
      </x:c>
      <x:c r="B127" s="94" t="str">
        <x:v>医療的ケアを必要としていますか（あてはまるものすべて）</x:v>
      </x:c>
      <x:c r="C127" s="94" t="str">
        <x:v>人工呼吸器（レスピレーター）</x:v>
      </x:c>
      <x:c r="D127" s="94" t="n">
        <x:f>COUNTIF('データ'!$FJ$5:$FJ$42,"〇")</x:f>
        <x:v>0</x:v>
      </x:c>
      <x:c r="E127" s="161" t="n">
        <x:f>IF(F127=0,"",D127/F127)</x:f>
        <x:v>0</x:v>
      </x:c>
      <x:c r="F127" s="94" t="n">
        <x:f>COUNTIF('データ'!$FV$5:$FV$42,"&gt;0")</x:f>
        <x:v>35</x:v>
      </x:c>
      <x:c r="G127" s="99" t="str">
        <x:v>複数回答</x:v>
      </x:c>
    </x:row>
    <x:row r="128">
      <x:c r="A128" s="98" t="str">
        <x:v>問17</x:v>
      </x:c>
      <x:c r="B128" s="94" t="str">
        <x:v>医療的ケアを必要としていますか（あてはまるものすべて）</x:v>
      </x:c>
      <x:c r="C128" s="94" t="str">
        <x:v>導尿</x:v>
      </x:c>
      <x:c r="D128" s="94" t="n">
        <x:f>COUNTIF('データ'!$FK$5:$FK$42,"〇")</x:f>
        <x:v>1</x:v>
      </x:c>
      <x:c r="E128" s="161" t="n">
        <x:f>IF(F128=0,"",D128/F128)</x:f>
        <x:v>0.02857142857142857</x:v>
      </x:c>
      <x:c r="F128" s="94" t="n">
        <x:f>COUNTIF('データ'!$FV$5:$FV$42,"&gt;0")</x:f>
        <x:v>35</x:v>
      </x:c>
      <x:c r="G128" s="99" t="str">
        <x:v>複数回答</x:v>
      </x:c>
    </x:row>
    <x:row r="129">
      <x:c r="A129" s="98" t="str">
        <x:v>問17</x:v>
      </x:c>
      <x:c r="B129" s="94" t="str">
        <x:v>医療的ケアを必要としていますか（あてはまるものすべて）</x:v>
      </x:c>
      <x:c r="C129" s="94" t="str">
        <x:v>ストマ（人工肛門・人工膀胱）</x:v>
      </x:c>
      <x:c r="D129" s="94" t="n">
        <x:f>COUNTIF('データ'!$FL$5:$FL$42,"〇")</x:f>
        <x:v>0</x:v>
      </x:c>
      <x:c r="E129" s="161" t="n">
        <x:f>IF(F129=0,"",D129/F129)</x:f>
        <x:v>0</x:v>
      </x:c>
      <x:c r="F129" s="94" t="n">
        <x:f>COUNTIF('データ'!$FV$5:$FV$42,"&gt;0")</x:f>
        <x:v>35</x:v>
      </x:c>
      <x:c r="G129" s="99" t="str">
        <x:v>複数回答</x:v>
      </x:c>
    </x:row>
    <x:row r="130">
      <x:c r="A130" s="98" t="str">
        <x:v>問17</x:v>
      </x:c>
      <x:c r="B130" s="94" t="str">
        <x:v>医療的ケアを必要としていますか（あてはまるものすべて）</x:v>
      </x:c>
      <x:c r="C130" s="94" t="str">
        <x:v>服薬管理等の継続支援</x:v>
      </x:c>
      <x:c r="D130" s="94" t="n">
        <x:f>COUNTIF('データ'!$FM$5:$FM$42,"〇")</x:f>
        <x:v>3</x:v>
      </x:c>
      <x:c r="E130" s="161" t="n">
        <x:f>IF(F130=0,"",D130/F130)</x:f>
        <x:v>0.08571428571428572</x:v>
      </x:c>
      <x:c r="F130" s="94" t="n">
        <x:f>COUNTIF('データ'!$FV$5:$FV$42,"&gt;0")</x:f>
        <x:v>35</x:v>
      </x:c>
      <x:c r="G130" s="99" t="str">
        <x:v>複数回答</x:v>
      </x:c>
    </x:row>
    <x:row r="131">
      <x:c r="A131" s="98" t="str">
        <x:v>問17</x:v>
      </x:c>
      <x:c r="B131" s="94" t="str">
        <x:v>医療的ケアを必要としていますか（あてはまるものすべて）</x:v>
      </x:c>
      <x:c r="C131" s="94" t="str">
        <x:v>気管切開</x:v>
      </x:c>
      <x:c r="D131" s="94" t="n">
        <x:f>COUNTIF('データ'!$FN$5:$FN$42,"〇")</x:f>
        <x:v>0</x:v>
      </x:c>
      <x:c r="E131" s="161" t="n">
        <x:f>IF(F131=0,"",D131/F131)</x:f>
        <x:v>0</x:v>
      </x:c>
      <x:c r="F131" s="94" t="n">
        <x:f>COUNTIF('データ'!$FV$5:$FV$42,"&gt;0")</x:f>
        <x:v>35</x:v>
      </x:c>
      <x:c r="G131" s="99" t="str">
        <x:v>複数回答</x:v>
      </x:c>
    </x:row>
    <x:row r="132">
      <x:c r="A132" s="98" t="str">
        <x:v>問17</x:v>
      </x:c>
      <x:c r="B132" s="94" t="str">
        <x:v>医療的ケアを必要としていますか（あてはまるものすべて）</x:v>
      </x:c>
      <x:c r="C132" s="94" t="str">
        <x:v>胃ろう・腸ろう</x:v>
      </x:c>
      <x:c r="D132" s="94" t="n">
        <x:f>COUNTIF('データ'!$FO$5:$FO$42,"〇")</x:f>
        <x:v>1</x:v>
      </x:c>
      <x:c r="E132" s="161" t="n">
        <x:f>IF(F132=0,"",D132/F132)</x:f>
        <x:v>0.02857142857142857</x:v>
      </x:c>
      <x:c r="F132" s="94" t="n">
        <x:f>COUNTIF('データ'!$FV$5:$FV$42,"&gt;0")</x:f>
        <x:v>35</x:v>
      </x:c>
      <x:c r="G132" s="99" t="str">
        <x:v>複数回答</x:v>
      </x:c>
    </x:row>
    <x:row r="133">
      <x:c r="A133" s="98" t="str">
        <x:v>問17</x:v>
      </x:c>
      <x:c r="B133" s="94" t="str">
        <x:v>医療的ケアを必要としていますか（あてはまるものすべて）</x:v>
      </x:c>
      <x:c r="C133" s="94" t="str">
        <x:v>鼻腔管栄養</x:v>
      </x:c>
      <x:c r="D133" s="94" t="n">
        <x:f>COUNTIF('データ'!$FP$5:$FP$42,"〇")</x:f>
        <x:v>0</x:v>
      </x:c>
      <x:c r="E133" s="161" t="n">
        <x:f>IF(F133=0,"",D133/F133)</x:f>
        <x:v>0</x:v>
      </x:c>
      <x:c r="F133" s="94" t="n">
        <x:f>COUNTIF('データ'!$FV$5:$FV$42,"&gt;0")</x:f>
        <x:v>35</x:v>
      </x:c>
      <x:c r="G133" s="99" t="str">
        <x:v>複数回答</x:v>
      </x:c>
    </x:row>
    <x:row r="134">
      <x:c r="A134" s="98" t="str">
        <x:v>問17</x:v>
      </x:c>
      <x:c r="B134" s="94" t="str">
        <x:v>医療的ケアを必要としていますか（あてはまるものすべて）</x:v>
      </x:c>
      <x:c r="C134" s="94" t="str">
        <x:v>中心静脈栄養（IVH）</x:v>
      </x:c>
      <x:c r="D134" s="94" t="n">
        <x:f>COUNTIF('データ'!$FQ$5:$FQ$42,"〇")</x:f>
        <x:v>0</x:v>
      </x:c>
      <x:c r="E134" s="161" t="n">
        <x:f>IF(F134=0,"",D134/F134)</x:f>
        <x:v>0</x:v>
      </x:c>
      <x:c r="F134" s="94" t="n">
        <x:f>COUNTIF('データ'!$FV$5:$FV$42,"&gt;0")</x:f>
        <x:v>35</x:v>
      </x:c>
      <x:c r="G134" s="99" t="str">
        <x:v>複数回答</x:v>
      </x:c>
    </x:row>
    <x:row r="135">
      <x:c r="A135" s="98" t="str">
        <x:v>問17</x:v>
      </x:c>
      <x:c r="B135" s="94" t="str">
        <x:v>医療的ケアを必要としていますか（あてはまるものすべて）</x:v>
      </x:c>
      <x:c r="C135" s="94" t="str">
        <x:v>透析</x:v>
      </x:c>
      <x:c r="D135" s="94" t="n">
        <x:f>COUNTIF('データ'!$FR$5:$FR$42,"〇")</x:f>
        <x:v>0</x:v>
      </x:c>
      <x:c r="E135" s="161" t="n">
        <x:f>IF(F135=0,"",D135/F135)</x:f>
        <x:v>0</x:v>
      </x:c>
      <x:c r="F135" s="94" t="n">
        <x:f>COUNTIF('データ'!$FV$5:$FV$42,"&gt;0")</x:f>
        <x:v>35</x:v>
      </x:c>
      <x:c r="G135" s="99" t="str">
        <x:v>複数回答</x:v>
      </x:c>
    </x:row>
    <x:row r="136">
      <x:c r="A136" s="98" t="str">
        <x:v>問17</x:v>
      </x:c>
      <x:c r="B136" s="94" t="str">
        <x:v>医療的ケアを必要としていますか（あてはまるものすべて）</x:v>
      </x:c>
      <x:c r="C136" s="94" t="str">
        <x:v>カテーテル留置</x:v>
      </x:c>
      <x:c r="D136" s="94" t="n">
        <x:f>COUNTIF('データ'!$FS$5:$FS$42,"〇")</x:f>
        <x:v>0</x:v>
      </x:c>
      <x:c r="E136" s="161" t="n">
        <x:f>IF(F136=0,"",D136/F136)</x:f>
        <x:v>0</x:v>
      </x:c>
      <x:c r="F136" s="94" t="n">
        <x:f>COUNTIF('データ'!$FV$5:$FV$42,"&gt;0")</x:f>
        <x:v>35</x:v>
      </x:c>
      <x:c r="G136" s="99" t="str">
        <x:v>複数回答</x:v>
      </x:c>
    </x:row>
    <x:row r="137">
      <x:c r="A137" s="98" t="str">
        <x:v>問17</x:v>
      </x:c>
      <x:c r="B137" s="94" t="str">
        <x:v>医療的ケアを必要としていますか（あてはまるものすべて）</x:v>
      </x:c>
      <x:c r="C137" s="94" t="str">
        <x:v>その他</x:v>
      </x:c>
      <x:c r="D137" s="94" t="n">
        <x:f>COUNTIF('データ'!$FT$5:$FT$42,"〇")</x:f>
        <x:v>0</x:v>
      </x:c>
      <x:c r="E137" s="161" t="n">
        <x:f>IF(F137=0,"",D137/F137)</x:f>
        <x:v>0</x:v>
      </x:c>
      <x:c r="F137" s="94" t="n">
        <x:f>COUNTIF('データ'!$FV$5:$FV$42,"&gt;0")</x:f>
        <x:v>35</x:v>
      </x:c>
      <x:c r="G137" s="99" t="str">
        <x:v>複数回答</x:v>
      </x:c>
    </x:row>
    <x:row r="138">
      <x:c r="A138" s="98" t="str">
        <x:v>問18</x:v>
      </x:c>
      <x:c r="B138" s="94" t="str">
        <x:v>医療的ケアや重い障がいに関して、必要だと思う支援は何ですか（あてはまるものすべて）</x:v>
      </x:c>
      <x:c r="C138" s="94" t="str">
        <x:v>身近な相談先</x:v>
      </x:c>
      <x:c r="D138" s="94" t="n">
        <x:f>COUNTIF('データ'!$FW$5:$FW$42,"〇")</x:f>
        <x:v>5</x:v>
      </x:c>
      <x:c r="E138" s="161" t="n">
        <x:f>IF(F138=0,"",D138/F138)</x:f>
        <x:v>0.15151515151515152</x:v>
      </x:c>
      <x:c r="F138" s="94" t="n">
        <x:f>COUNTIF('データ'!$GF$5:$GF$42,"&gt;0")</x:f>
        <x:v>33</x:v>
      </x:c>
      <x:c r="G138" s="99" t="str">
        <x:v>複数回答</x:v>
      </x:c>
    </x:row>
    <x:row r="139">
      <x:c r="A139" s="98" t="str">
        <x:v>問18</x:v>
      </x:c>
      <x:c r="B139" s="94" t="str">
        <x:v>医療的ケアや重い障がいに関して、必要だと思う支援は何ですか（あてはまるものすべて）</x:v>
      </x:c>
      <x:c r="C139" s="94" t="str">
        <x:v>通所先での医療的ケア対応</x:v>
      </x:c>
      <x:c r="D139" s="94" t="n">
        <x:f>COUNTIF('データ'!$FX$5:$FX$42,"〇")</x:f>
        <x:v>2</x:v>
      </x:c>
      <x:c r="E139" s="161" t="n">
        <x:f>IF(F139=0,"",D139/F139)</x:f>
        <x:v>0.06060606060606061</x:v>
      </x:c>
      <x:c r="F139" s="94" t="n">
        <x:f>COUNTIF('データ'!$GF$5:$GF$42,"&gt;0")</x:f>
        <x:v>33</x:v>
      </x:c>
      <x:c r="G139" s="99" t="str">
        <x:v>複数回答</x:v>
      </x:c>
    </x:row>
    <x:row r="140">
      <x:c r="A140" s="98" t="str">
        <x:v>問18</x:v>
      </x:c>
      <x:c r="B140" s="94" t="str">
        <x:v>医療的ケアや重い障がいに関して、必要だと思う支援は何ですか（あてはまるものすべて）</x:v>
      </x:c>
      <x:c r="C140" s="94" t="str">
        <x:v>短期入所・レスパイトケア</x:v>
      </x:c>
      <x:c r="D140" s="94" t="n">
        <x:f>COUNTIF('データ'!$FY$5:$FY$42,"〇")</x:f>
        <x:v>1</x:v>
      </x:c>
      <x:c r="E140" s="161" t="n">
        <x:f>IF(F140=0,"",D140/F140)</x:f>
        <x:v>0.030303030303030304</x:v>
      </x:c>
      <x:c r="F140" s="94" t="n">
        <x:f>COUNTIF('データ'!$GF$5:$GF$42,"&gt;0")</x:f>
        <x:v>33</x:v>
      </x:c>
      <x:c r="G140" s="99" t="str">
        <x:v>複数回答</x:v>
      </x:c>
    </x:row>
    <x:row r="141">
      <x:c r="A141" s="98" t="str">
        <x:v>問18</x:v>
      </x:c>
      <x:c r="B141" s="94" t="str">
        <x:v>医療的ケアや重い障がいに関して、必要だと思う支援は何ですか（あてはまるものすべて）</x:v>
      </x:c>
      <x:c r="C141" s="94" t="str">
        <x:v>訪問看護等との連携</x:v>
      </x:c>
      <x:c r="D141" s="94" t="n">
        <x:f>COUNTIF('データ'!$FZ$5:$FZ$42,"〇")</x:f>
        <x:v>3</x:v>
      </x:c>
      <x:c r="E141" s="161" t="n">
        <x:f>IF(F141=0,"",D141/F141)</x:f>
        <x:v>0.09090909090909091</x:v>
      </x:c>
      <x:c r="F141" s="94" t="n">
        <x:f>COUNTIF('データ'!$GF$5:$GF$42,"&gt;0")</x:f>
        <x:v>33</x:v>
      </x:c>
      <x:c r="G141" s="99" t="str">
        <x:v>複数回答</x:v>
      </x:c>
    </x:row>
    <x:row r="142">
      <x:c r="A142" s="98" t="str">
        <x:v>問18</x:v>
      </x:c>
      <x:c r="B142" s="94" t="str">
        <x:v>医療的ケアや重い障がいに関して、必要だと思う支援は何ですか（あてはまるものすべて）</x:v>
      </x:c>
      <x:c r="C142" s="94" t="str">
        <x:v>災害時の電源・医療機器対応</x:v>
      </x:c>
      <x:c r="D142" s="94" t="n">
        <x:f>COUNTIF('データ'!$GA$5:$GA$42,"〇")</x:f>
        <x:v>1</x:v>
      </x:c>
      <x:c r="E142" s="161" t="n">
        <x:f>IF(F142=0,"",D142/F142)</x:f>
        <x:v>0.030303030303030304</x:v>
      </x:c>
      <x:c r="F142" s="94" t="n">
        <x:f>COUNTIF('データ'!$GF$5:$GF$42,"&gt;0")</x:f>
        <x:v>33</x:v>
      </x:c>
      <x:c r="G142" s="99" t="str">
        <x:v>複数回答</x:v>
      </x:c>
    </x:row>
    <x:row r="143">
      <x:c r="A143" s="98" t="str">
        <x:v>問18</x:v>
      </x:c>
      <x:c r="B143" s="94" t="str">
        <x:v>医療的ケアや重い障がいに関して、必要だと思う支援は何ですか（あてはまるものすべて）</x:v>
      </x:c>
      <x:c r="C143" s="94" t="str">
        <x:v>家族の負担軽減</x:v>
      </x:c>
      <x:c r="D143" s="94" t="n">
        <x:f>COUNTIF('データ'!$GB$5:$GB$42,"〇")</x:f>
        <x:v>8</x:v>
      </x:c>
      <x:c r="E143" s="161" t="n">
        <x:f>IF(F143=0,"",D143/F143)</x:f>
        <x:v>0.24242424242424243</x:v>
      </x:c>
      <x:c r="F143" s="94" t="n">
        <x:f>COUNTIF('データ'!$GF$5:$GF$42,"&gt;0")</x:f>
        <x:v>33</x:v>
      </x:c>
      <x:c r="G143" s="99" t="str">
        <x:v>複数回答</x:v>
      </x:c>
    </x:row>
    <x:row r="144">
      <x:c r="A144" s="98" t="str">
        <x:v>問18</x:v>
      </x:c>
      <x:c r="B144" s="94" t="str">
        <x:v>医療的ケアや重い障がいに関して、必要だと思う支援は何ですか（あてはまるものすべて）</x:v>
      </x:c>
      <x:c r="C144" s="94" t="str">
        <x:v>特にない</x:v>
      </x:c>
      <x:c r="D144" s="94" t="n">
        <x:f>COUNTIF('データ'!$GC$5:$GC$42,"〇")</x:f>
        <x:v>21</x:v>
      </x:c>
      <x:c r="E144" s="161" t="n">
        <x:f>IF(F144=0,"",D144/F144)</x:f>
        <x:v>0.6363636363636364</x:v>
      </x:c>
      <x:c r="F144" s="94" t="n">
        <x:f>COUNTIF('データ'!$GF$5:$GF$42,"&gt;0")</x:f>
        <x:v>33</x:v>
      </x:c>
      <x:c r="G144" s="99" t="str">
        <x:v>複数回答</x:v>
      </x:c>
    </x:row>
    <x:row r="145">
      <x:c r="A145" s="98" t="str">
        <x:v>問18</x:v>
      </x:c>
      <x:c r="B145" s="94" t="str">
        <x:v>医療的ケアや重い障がいに関して、必要だと思う支援は何ですか（あてはまるものすべて）</x:v>
      </x:c>
      <x:c r="C145" s="94" t="str">
        <x:v>その他</x:v>
      </x:c>
      <x:c r="D145" s="94" t="n">
        <x:f>COUNTIF('データ'!$GD$5:$GD$42,"〇")</x:f>
        <x:v>0</x:v>
      </x:c>
      <x:c r="E145" s="161" t="n">
        <x:f>IF(F145=0,"",D145/F145)</x:f>
        <x:v>0</x:v>
      </x:c>
      <x:c r="F145" s="94" t="n">
        <x:f>COUNTIF('データ'!$GF$5:$GF$42,"&gt;0")</x:f>
        <x:v>33</x:v>
      </x:c>
      <x:c r="G145" s="99" t="str">
        <x:v>複数回答</x:v>
      </x:c>
    </x:row>
    <x:row r="146">
      <x:c r="A146" s="98" t="str">
        <x:v>問19</x:v>
      </x:c>
      <x:c r="B146" s="94" t="str">
        <x:v>強度行動障がい支援（自傷や強いこだわり、パニックがある方）に関して、必要だと思う支援は何ですか（あてはまるものすべて）</x:v>
      </x:c>
      <x:c r="C146" s="94" t="str">
        <x:v>ヘルパーやスタッフの派遣・増員</x:v>
      </x:c>
      <x:c r="D146" s="94" t="n">
        <x:f>COUNTIF('データ'!$GG$5:$GG$42,"〇")</x:f>
        <x:v>4</x:v>
      </x:c>
      <x:c r="E146" s="161" t="n">
        <x:f>IF(F146=0,"",D146/F146)</x:f>
        <x:v>0.12903225806451613</x:v>
      </x:c>
      <x:c r="F146" s="94" t="n">
        <x:f>COUNTIF('データ'!$GM$5:$GM$42,"&gt;0")</x:f>
        <x:v>31</x:v>
      </x:c>
      <x:c r="G146" s="99" t="str">
        <x:v>複数回答</x:v>
      </x:c>
    </x:row>
    <x:row r="147">
      <x:c r="A147" s="98" t="str">
        <x:v>問19</x:v>
      </x:c>
      <x:c r="B147" s="94" t="str">
        <x:v>強度行動障がい支援（自傷や強いこだわり、パニックがある方）に関して、必要だと思う支援は何ですか（あてはまるものすべて）</x:v>
      </x:c>
      <x:c r="C147" s="94" t="str">
        <x:v>パニック時や緊急時に一時的に受け入れてくれる施設の整備</x:v>
      </x:c>
      <x:c r="D147" s="94" t="n">
        <x:f>COUNTIF('データ'!$GH$5:$GH$42,"〇")</x:f>
        <x:v>7</x:v>
      </x:c>
      <x:c r="E147" s="161" t="n">
        <x:f>IF(F147=0,"",D147/F147)</x:f>
        <x:v>0.22580645161290322</x:v>
      </x:c>
      <x:c r="F147" s="94" t="n">
        <x:f>COUNTIF('データ'!$GM$5:$GM$42,"&gt;0")</x:f>
        <x:v>31</x:v>
      </x:c>
      <x:c r="G147" s="99" t="str">
        <x:v>複数回答</x:v>
      </x:c>
    </x:row>
    <x:row r="148">
      <x:c r="A148" s="98" t="str">
        <x:v>問19</x:v>
      </x:c>
      <x:c r="B148" s="94" t="str">
        <x:v>強度行動障がい支援（自傷や強いこだわり、パニックがある方）に関して、必要だと思う支援は何ですか（あてはまるものすべて）</x:v>
      </x:c>
      <x:c r="C148" s="94" t="str">
        <x:v>自宅以外で落ち着いて過ごせる居場所や日中活動の場の確保</x:v>
      </x:c>
      <x:c r="D148" s="94" t="n">
        <x:f>COUNTIF('データ'!$GI$5:$GI$42,"〇")</x:f>
        <x:v>6</x:v>
      </x:c>
      <x:c r="E148" s="161" t="n">
        <x:f>IF(F148=0,"",D148/F148)</x:f>
        <x:v>0.1935483870967742</x:v>
      </x:c>
      <x:c r="F148" s="94" t="n">
        <x:f>COUNTIF('データ'!$GM$5:$GM$42,"&gt;0")</x:f>
        <x:v>31</x:v>
      </x:c>
      <x:c r="G148" s="99" t="str">
        <x:v>複数回答</x:v>
      </x:c>
    </x:row>
    <x:row r="149">
      <x:c r="A149" s="98" t="str">
        <x:v>問19</x:v>
      </x:c>
      <x:c r="B149" s="94" t="str">
        <x:v>強度行動障がい支援（自傷や強いこだわり、パニックがある方）に関して、必要だと思う支援は何ですか（あてはまるものすべて）</x:v>
      </x:c>
      <x:c r="C149" s="94" t="str">
        <x:v>医療機関や発達障害支援センターなどの専門機関との連携強化</x:v>
      </x:c>
      <x:c r="D149" s="94" t="n">
        <x:f>COUNTIF('データ'!$GJ$5:$GJ$42,"〇")</x:f>
        <x:v>4</x:v>
      </x:c>
      <x:c r="E149" s="161" t="n">
        <x:f>IF(F149=0,"",D149/F149)</x:f>
        <x:v>0.12903225806451613</x:v>
      </x:c>
      <x:c r="F149" s="94" t="n">
        <x:f>COUNTIF('データ'!$GM$5:$GM$42,"&gt;0")</x:f>
        <x:v>31</x:v>
      </x:c>
      <x:c r="G149" s="99" t="str">
        <x:v>複数回答</x:v>
      </x:c>
    </x:row>
    <x:row r="150">
      <x:c r="A150" s="98" t="str">
        <x:v>問19</x:v>
      </x:c>
      <x:c r="B150" s="94" t="str">
        <x:v>強度行動障がい支援（自傷や強いこだわり、パニックがある方）に関して、必要だと思う支援は何ですか（あてはまるものすべて）</x:v>
      </x:c>
      <x:c r="C150" s="94" t="str">
        <x:v>家族（介護者）が対応方法を学ぶための研修や、悩みを相談できる機会の提供</x:v>
      </x:c>
      <x:c r="D150" s="94" t="n">
        <x:f>COUNTIF('データ'!$GK$5:$GK$42,"〇")</x:f>
        <x:v>1</x:v>
      </x:c>
      <x:c r="E150" s="161" t="n">
        <x:f>IF(F150=0,"",D150/F150)</x:f>
        <x:v>0.03225806451612903</x:v>
      </x:c>
      <x:c r="F150" s="94" t="n">
        <x:f>COUNTIF('データ'!$GM$5:$GM$42,"&gt;0")</x:f>
        <x:v>31</x:v>
      </x:c>
      <x:c r="G150" s="99" t="str">
        <x:v>複数回答</x:v>
      </x:c>
    </x:row>
    <x:row r="151">
      <x:c r="A151" s="98" t="str">
        <x:v>問19</x:v>
      </x:c>
      <x:c r="B151" s="94" t="str">
        <x:v>強度行動障がい支援（自傷や強いこだわり、パニックがある方）に関して、必要だと思う支援は何ですか（あてはまるものすべて）</x:v>
      </x:c>
      <x:c r="C151" s="94" t="str">
        <x:v>特にない</x:v>
      </x:c>
      <x:c r="D151" s="94" t="n">
        <x:f>COUNTIF('データ'!$GL$5:$GL$42,"〇")</x:f>
        <x:v>19</x:v>
      </x:c>
      <x:c r="E151" s="161" t="n">
        <x:f>IF(F151=0,"",D151/F151)</x:f>
        <x:v>0.6129032258064516</x:v>
      </x:c>
      <x:c r="F151" s="94" t="n">
        <x:f>COUNTIF('データ'!$GM$5:$GM$42,"&gt;0")</x:f>
        <x:v>31</x:v>
      </x:c>
      <x:c r="G151" s="99" t="str">
        <x:v>複数回答</x:v>
      </x:c>
    </x:row>
    <x:row r="152">
      <x:c r="A152" s="98" t="str">
        <x:v>問20</x:v>
      </x:c>
      <x:c r="B152" s="94" t="str">
        <x:v>高次脳機能障がい支援に関して、必要だと思う支援は何ですか（あてはまるものすべて）</x:v>
      </x:c>
      <x:c r="C152" s="94" t="str">
        <x:v>ヘルパーやスタッフの派遣・増員</x:v>
      </x:c>
      <x:c r="D152" s="94" t="n">
        <x:f>COUNTIF('データ'!$GN$5:$GN$42,"〇")</x:f>
        <x:v>3</x:v>
      </x:c>
      <x:c r="E152" s="161" t="n">
        <x:f>IF(F152=0,"",D152/F152)</x:f>
        <x:v>0.10714285714285714</x:v>
      </x:c>
      <x:c r="F152" s="94" t="n">
        <x:f>COUNTIF('データ'!$GT$5:$GT$42,"&gt;0")</x:f>
        <x:v>28</x:v>
      </x:c>
      <x:c r="G152" s="99" t="str">
        <x:v>複数回答</x:v>
      </x:c>
    </x:row>
    <x:row r="153">
      <x:c r="A153" s="98" t="str">
        <x:v>問20</x:v>
      </x:c>
      <x:c r="B153" s="94" t="str">
        <x:v>高次脳機能障がい支援に関して、必要だと思う支援は何ですか（あてはまるものすべて）</x:v>
      </x:c>
      <x:c r="C153" s="94" t="str">
        <x:v>パニック時や緊急時に一時的に受け入れてくれる施設の整備</x:v>
      </x:c>
      <x:c r="D153" s="94" t="n">
        <x:f>COUNTIF('データ'!$GO$5:$GO$42,"〇")</x:f>
        <x:v>5</x:v>
      </x:c>
      <x:c r="E153" s="161" t="n">
        <x:f>IF(F153=0,"",D153/F153)</x:f>
        <x:v>0.17857142857142858</x:v>
      </x:c>
      <x:c r="F153" s="94" t="n">
        <x:f>COUNTIF('データ'!$GT$5:$GT$42,"&gt;0")</x:f>
        <x:v>28</x:v>
      </x:c>
      <x:c r="G153" s="99" t="str">
        <x:v>複数回答</x:v>
      </x:c>
    </x:row>
    <x:row r="154">
      <x:c r="A154" s="98" t="str">
        <x:v>問20</x:v>
      </x:c>
      <x:c r="B154" s="94" t="str">
        <x:v>高次脳機能障がい支援に関して、必要だと思う支援は何ですか（あてはまるものすべて）</x:v>
      </x:c>
      <x:c r="C154" s="94" t="str">
        <x:v>自宅以外で落ち着いて過ごせる居場所や日中活動の場の確保</x:v>
      </x:c>
      <x:c r="D154" s="94" t="n">
        <x:f>COUNTIF('データ'!$GP$5:$GP$42,"〇")</x:f>
        <x:v>5</x:v>
      </x:c>
      <x:c r="E154" s="161" t="n">
        <x:f>IF(F154=0,"",D154/F154)</x:f>
        <x:v>0.17857142857142858</x:v>
      </x:c>
      <x:c r="F154" s="94" t="n">
        <x:f>COUNTIF('データ'!$GT$5:$GT$42,"&gt;0")</x:f>
        <x:v>28</x:v>
      </x:c>
      <x:c r="G154" s="99" t="str">
        <x:v>複数回答</x:v>
      </x:c>
    </x:row>
    <x:row r="155">
      <x:c r="A155" s="98" t="str">
        <x:v>問20</x:v>
      </x:c>
      <x:c r="B155" s="94" t="str">
        <x:v>高次脳機能障がい支援に関して、必要だと思う支援は何ですか（あてはまるものすべて）</x:v>
      </x:c>
      <x:c r="C155" s="94" t="str">
        <x:v>医療機関や発達障害支援センターなどの専門機関との連携強化</x:v>
      </x:c>
      <x:c r="D155" s="94" t="n">
        <x:f>COUNTIF('データ'!$GQ$5:$GQ$42,"〇")</x:f>
        <x:v>6</x:v>
      </x:c>
      <x:c r="E155" s="161" t="n">
        <x:f>IF(F155=0,"",D155/F155)</x:f>
        <x:v>0.21428571428571427</x:v>
      </x:c>
      <x:c r="F155" s="94" t="n">
        <x:f>COUNTIF('データ'!$GT$5:$GT$42,"&gt;0")</x:f>
        <x:v>28</x:v>
      </x:c>
      <x:c r="G155" s="99" t="str">
        <x:v>複数回答</x:v>
      </x:c>
    </x:row>
    <x:row r="156">
      <x:c r="A156" s="98" t="str">
        <x:v>問20</x:v>
      </x:c>
      <x:c r="B156" s="94" t="str">
        <x:v>高次脳機能障がい支援に関して、必要だと思う支援は何ですか（あてはまるものすべて）</x:v>
      </x:c>
      <x:c r="C156" s="94" t="str">
        <x:v>家族（介護者）が対応方法を学ぶための研修や、悩みを相談できる機会の提供</x:v>
      </x:c>
      <x:c r="D156" s="94" t="n">
        <x:f>COUNTIF('データ'!$GR$5:$GR$42,"〇")</x:f>
        <x:v>3</x:v>
      </x:c>
      <x:c r="E156" s="161" t="n">
        <x:f>IF(F156=0,"",D156/F156)</x:f>
        <x:v>0.10714285714285714</x:v>
      </x:c>
      <x:c r="F156" s="94" t="n">
        <x:f>COUNTIF('データ'!$GT$5:$GT$42,"&gt;0")</x:f>
        <x:v>28</x:v>
      </x:c>
      <x:c r="G156" s="99" t="str">
        <x:v>複数回答</x:v>
      </x:c>
    </x:row>
    <x:row r="157">
      <x:c r="A157" s="98" t="str">
        <x:v>問20</x:v>
      </x:c>
      <x:c r="B157" s="94" t="str">
        <x:v>高次脳機能障がい支援に関して、必要だと思う支援は何ですか（あてはまるものすべて）</x:v>
      </x:c>
      <x:c r="C157" s="94" t="str">
        <x:v>特にない</x:v>
      </x:c>
      <x:c r="D157" s="94" t="n">
        <x:f>COUNTIF('データ'!$GS$5:$GS$42,"〇")</x:f>
        <x:v>18</x:v>
      </x:c>
      <x:c r="E157" s="161" t="n">
        <x:f>IF(F157=0,"",D157/F157)</x:f>
        <x:v>0.6428571428571429</x:v>
      </x:c>
      <x:c r="F157" s="94" t="n">
        <x:f>COUNTIF('データ'!$GT$5:$GT$42,"&gt;0")</x:f>
        <x:v>28</x:v>
      </x:c>
      <x:c r="G157" s="99" t="str">
        <x:v>複数回答</x:v>
      </x:c>
    </x:row>
    <x:row r="158">
      <x:c r="A158" s="98" t="str">
        <x:v>問21</x:v>
      </x:c>
      <x:c r="B158" s="94" t="str">
        <x:v>意思決定支援（本人が自分の希望を伝え、選択していくための支援）に関して、必要だと思う支援は何ですか</x:v>
      </x:c>
      <x:c r="C158" s="94" t="str">
        <x:v>必要である（現在すでに支援を受けている、または今後受けたい）</x:v>
      </x:c>
      <x:c r="D158" s="94" t="n">
        <x:f>COUNTIF('データ'!$GU$5:$GU$42,"〇")</x:f>
        <x:v>8</x:v>
      </x:c>
      <x:c r="E158" s="161" t="n">
        <x:f>IF(F158=0,"",D158/F158)</x:f>
        <x:v>0.24242424242424243</x:v>
      </x:c>
      <x:c r="F158" s="94" t="n">
        <x:f>COUNTIF('データ'!$GY$5:$GY$42,"&gt;0")</x:f>
        <x:v>33</x:v>
      </x:c>
      <x:c r="G158" s="99" t="str">
        <x:v>単一回答</x:v>
      </x:c>
    </x:row>
    <x:row r="159">
      <x:c r="A159" s="98" t="str">
        <x:v>問21</x:v>
      </x:c>
      <x:c r="B159" s="94" t="str">
        <x:v>意思決定支援（本人が自分の希望を伝え、選択していくための支援）に関して、必要だと思う支援は何ですか</x:v>
      </x:c>
      <x:c r="C159" s="94" t="str">
        <x:v>今は必要ないが、将来的には必要になると思う</x:v>
      </x:c>
      <x:c r="D159" s="94" t="n">
        <x:f>COUNTIF('データ'!$GV$5:$GV$42,"〇")</x:f>
        <x:v>12</x:v>
      </x:c>
      <x:c r="E159" s="161" t="n">
        <x:f>IF(F159=0,"",D159/F159)</x:f>
        <x:v>0.36363636363636365</x:v>
      </x:c>
      <x:c r="F159" s="94" t="n">
        <x:f>COUNTIF('データ'!$GY$5:$GY$42,"&gt;0")</x:f>
        <x:v>33</x:v>
      </x:c>
      <x:c r="G159" s="99" t="str">
        <x:v>単一回答</x:v>
      </x:c>
    </x:row>
    <x:row r="160">
      <x:c r="A160" s="98" t="str">
        <x:v>問21</x:v>
      </x:c>
      <x:c r="B160" s="94" t="str">
        <x:v>意思決定支援（本人が自分の希望を伝え、選択していくための支援）に関して、必要だと思う支援は何ですか</x:v>
      </x:c>
      <x:c r="C160" s="94" t="str">
        <x:v>必要ない（自分や家族等と相談して意思決定ができる）</x:v>
      </x:c>
      <x:c r="D160" s="94" t="n">
        <x:f>COUNTIF('データ'!$GW$5:$GW$42,"〇")</x:f>
        <x:v>8</x:v>
      </x:c>
      <x:c r="E160" s="161" t="n">
        <x:f>IF(F160=0,"",D160/F160)</x:f>
        <x:v>0.24242424242424243</x:v>
      </x:c>
      <x:c r="F160" s="94" t="n">
        <x:f>COUNTIF('データ'!$GY$5:$GY$42,"&gt;0")</x:f>
        <x:v>33</x:v>
      </x:c>
      <x:c r="G160" s="99" t="str">
        <x:v>単一回答</x:v>
      </x:c>
    </x:row>
    <x:row r="161">
      <x:c r="A161" s="98" t="str">
        <x:v>問21</x:v>
      </x:c>
      <x:c r="B161" s="94" t="str">
        <x:v>意思決定支援（本人が自分の希望を伝え、選択していくための支援）に関して、必要だと思う支援は何ですか</x:v>
      </x:c>
      <x:c r="C161" s="94" t="str">
        <x:v>わからない（意思決定支援がどのようなものか知らない）</x:v>
      </x:c>
      <x:c r="D161" s="94" t="n">
        <x:f>COUNTIF('データ'!$GX$5:$GX$42,"〇")</x:f>
        <x:v>5</x:v>
      </x:c>
      <x:c r="E161" s="161" t="n">
        <x:f>IF(F161=0,"",D161/F161)</x:f>
        <x:v>0.15151515151515152</x:v>
      </x:c>
      <x:c r="F161" s="94" t="n">
        <x:f>COUNTIF('データ'!$GY$5:$GY$42,"&gt;0")</x:f>
        <x:v>33</x:v>
      </x:c>
      <x:c r="G161" s="99" t="str">
        <x:v>単一回答</x:v>
      </x:c>
    </x:row>
    <x:row r="162">
      <x:c r="A162" s="98" t="str">
        <x:v>問22</x:v>
      </x:c>
      <x:c r="B162" s="94" t="str">
        <x:v>困ったときに相談する相手・場所はどこですか（あてはまるものすべて）</x:v>
      </x:c>
      <x:c r="C162" s="94" t="str">
        <x:v>家族・親族</x:v>
      </x:c>
      <x:c r="D162" s="94" t="n">
        <x:f>COUNTIF('データ'!$GZ$5:$GZ$42,"〇")</x:f>
        <x:v>29</x:v>
      </x:c>
      <x:c r="E162" s="161" t="n">
        <x:f>IF(F162=0,"",D162/F162)</x:f>
        <x:v>0.7837837837837838</x:v>
      </x:c>
      <x:c r="F162" s="94" t="n">
        <x:f>COUNTIF('データ'!$HL$5:$HL$42,"&gt;0")</x:f>
        <x:v>37</x:v>
      </x:c>
      <x:c r="G162" s="99" t="str">
        <x:v>複数回答</x:v>
      </x:c>
    </x:row>
    <x:row r="163">
      <x:c r="A163" s="98" t="str">
        <x:v>問22</x:v>
      </x:c>
      <x:c r="B163" s="94" t="str">
        <x:v>困ったときに相談する相手・場所はどこですか（あてはまるものすべて）</x:v>
      </x:c>
      <x:c r="C163" s="94" t="str">
        <x:v>友人・知人</x:v>
      </x:c>
      <x:c r="D163" s="94" t="n">
        <x:f>COUNTIF('データ'!$HA$5:$HA$42,"〇")</x:f>
        <x:v>6</x:v>
      </x:c>
      <x:c r="E163" s="161" t="n">
        <x:f>IF(F163=0,"",D163/F163)</x:f>
        <x:v>0.16216216216216217</x:v>
      </x:c>
      <x:c r="F163" s="94" t="n">
        <x:f>COUNTIF('データ'!$HL$5:$HL$42,"&gt;0")</x:f>
        <x:v>37</x:v>
      </x:c>
      <x:c r="G163" s="99" t="str">
        <x:v>複数回答</x:v>
      </x:c>
    </x:row>
    <x:row r="164">
      <x:c r="A164" s="98" t="str">
        <x:v>問22</x:v>
      </x:c>
      <x:c r="B164" s="94" t="str">
        <x:v>困ったときに相談する相手・場所はどこですか（あてはまるものすべて）</x:v>
      </x:c>
      <x:c r="C164" s="94" t="str">
        <x:v>村役場</x:v>
      </x:c>
      <x:c r="D164" s="94" t="n">
        <x:f>COUNTIF('データ'!$HB$5:$HB$42,"〇")</x:f>
        <x:v>5</x:v>
      </x:c>
      <x:c r="E164" s="161" t="n">
        <x:f>IF(F164=0,"",D164/F164)</x:f>
        <x:v>0.13513513513513514</x:v>
      </x:c>
      <x:c r="F164" s="94" t="n">
        <x:f>COUNTIF('データ'!$HL$5:$HL$42,"&gt;0")</x:f>
        <x:v>37</x:v>
      </x:c>
      <x:c r="G164" s="99" t="str">
        <x:v>複数回答</x:v>
      </x:c>
    </x:row>
    <x:row r="165">
      <x:c r="A165" s="98" t="str">
        <x:v>問22</x:v>
      </x:c>
      <x:c r="B165" s="94" t="str">
        <x:v>困ったときに相談する相手・場所はどこですか（あてはまるものすべて）</x:v>
      </x:c>
      <x:c r="C165" s="94" t="str">
        <x:v>相談支援専門員</x:v>
      </x:c>
      <x:c r="D165" s="94" t="n">
        <x:f>COUNTIF('データ'!$HC$5:$HC$42,"〇")</x:f>
        <x:v>9</x:v>
      </x:c>
      <x:c r="E165" s="161" t="n">
        <x:f>IF(F165=0,"",D165/F165)</x:f>
        <x:v>0.24324324324324326</x:v>
      </x:c>
      <x:c r="F165" s="94" t="n">
        <x:f>COUNTIF('データ'!$HL$5:$HL$42,"&gt;0")</x:f>
        <x:v>37</x:v>
      </x:c>
      <x:c r="G165" s="99" t="str">
        <x:v>複数回答</x:v>
      </x:c>
    </x:row>
    <x:row r="166">
      <x:c r="A166" s="98" t="str">
        <x:v>問22</x:v>
      </x:c>
      <x:c r="B166" s="94" t="str">
        <x:v>困ったときに相談する相手・場所はどこですか（あてはまるものすべて）</x:v>
      </x:c>
      <x:c r="C166" s="94" t="str">
        <x:v>福祉サービス事業所</x:v>
      </x:c>
      <x:c r="D166" s="94" t="n">
        <x:f>COUNTIF('データ'!$HD$5:$HD$42,"〇")</x:f>
        <x:v>5</x:v>
      </x:c>
      <x:c r="E166" s="161" t="n">
        <x:f>IF(F166=0,"",D166/F166)</x:f>
        <x:v>0.13513513513513514</x:v>
      </x:c>
      <x:c r="F166" s="94" t="n">
        <x:f>COUNTIF('データ'!$HL$5:$HL$42,"&gt;0")</x:f>
        <x:v>37</x:v>
      </x:c>
      <x:c r="G166" s="99" t="str">
        <x:v>複数回答</x:v>
      </x:c>
    </x:row>
    <x:row r="167">
      <x:c r="A167" s="98" t="str">
        <x:v>問22</x:v>
      </x:c>
      <x:c r="B167" s="94" t="str">
        <x:v>困ったときに相談する相手・場所はどこですか（あてはまるものすべて）</x:v>
      </x:c>
      <x:c r="C167" s="94" t="str">
        <x:v>医療機関</x:v>
      </x:c>
      <x:c r="D167" s="94" t="n">
        <x:f>COUNTIF('データ'!$HE$5:$HE$42,"〇")</x:f>
        <x:v>12</x:v>
      </x:c>
      <x:c r="E167" s="161" t="n">
        <x:f>IF(F167=0,"",D167/F167)</x:f>
        <x:v>0.32432432432432434</x:v>
      </x:c>
      <x:c r="F167" s="94" t="n">
        <x:f>COUNTIF('データ'!$HL$5:$HL$42,"&gt;0")</x:f>
        <x:v>37</x:v>
      </x:c>
      <x:c r="G167" s="99" t="str">
        <x:v>複数回答</x:v>
      </x:c>
    </x:row>
    <x:row r="168">
      <x:c r="A168" s="98" t="str">
        <x:v>問22</x:v>
      </x:c>
      <x:c r="B168" s="94" t="str">
        <x:v>困ったときに相談する相手・場所はどこですか（あてはまるものすべて）</x:v>
      </x:c>
      <x:c r="C168" s="94" t="str">
        <x:v>SNS・インターネット・AI</x:v>
      </x:c>
      <x:c r="D168" s="94" t="n">
        <x:f>COUNTIF('データ'!$HF$5:$HF$42,"〇")</x:f>
        <x:v>1</x:v>
      </x:c>
      <x:c r="E168" s="161" t="n">
        <x:f>IF(F168=0,"",D168/F168)</x:f>
        <x:v>0.02702702702702703</x:v>
      </x:c>
      <x:c r="F168" s="94" t="n">
        <x:f>COUNTIF('データ'!$HL$5:$HL$42,"&gt;0")</x:f>
        <x:v>37</x:v>
      </x:c>
      <x:c r="G168" s="99" t="str">
        <x:v>複数回答</x:v>
      </x:c>
    </x:row>
    <x:row r="169">
      <x:c r="A169" s="98" t="str">
        <x:v>問22</x:v>
      </x:c>
      <x:c r="B169" s="94" t="str">
        <x:v>困ったときに相談する相手・場所はどこですか（あてはまるものすべて）</x:v>
      </x:c>
      <x:c r="C169" s="94" t="str">
        <x:v>社会福祉協議会</x:v>
      </x:c>
      <x:c r="D169" s="94" t="n">
        <x:f>COUNTIF('データ'!$HG$5:$HG$42,"〇")</x:f>
        <x:v>4</x:v>
      </x:c>
      <x:c r="E169" s="161" t="n">
        <x:f>IF(F169=0,"",D169/F169)</x:f>
        <x:v>0.10810810810810811</x:v>
      </x:c>
      <x:c r="F169" s="94" t="n">
        <x:f>COUNTIF('データ'!$HL$5:$HL$42,"&gt;0")</x:f>
        <x:v>37</x:v>
      </x:c>
      <x:c r="G169" s="99" t="str">
        <x:v>複数回答</x:v>
      </x:c>
    </x:row>
    <x:row r="170">
      <x:c r="A170" s="98" t="str">
        <x:v>問22</x:v>
      </x:c>
      <x:c r="B170" s="94" t="str">
        <x:v>困ったときに相談する相手・場所はどこですか（あてはまるものすべて）</x:v>
      </x:c>
      <x:c r="C170" s="94" t="str">
        <x:v>民生委員・児童委員</x:v>
      </x:c>
      <x:c r="D170" s="94" t="n">
        <x:f>COUNTIF('データ'!$HH$5:$HH$42,"〇")</x:f>
        <x:v>1</x:v>
      </x:c>
      <x:c r="E170" s="161" t="n">
        <x:f>IF(F170=0,"",D170/F170)</x:f>
        <x:v>0.02702702702702703</x:v>
      </x:c>
      <x:c r="F170" s="94" t="n">
        <x:f>COUNTIF('データ'!$HL$5:$HL$42,"&gt;0")</x:f>
        <x:v>37</x:v>
      </x:c>
      <x:c r="G170" s="99" t="str">
        <x:v>複数回答</x:v>
      </x:c>
    </x:row>
    <x:row r="171">
      <x:c r="A171" s="98" t="str">
        <x:v>問22</x:v>
      </x:c>
      <x:c r="B171" s="94" t="str">
        <x:v>困ったときに相談する相手・場所はどこですか（あてはまるものすべて）</x:v>
      </x:c>
      <x:c r="C171" s="94" t="str">
        <x:v>相談する相手がいない</x:v>
      </x:c>
      <x:c r="D171" s="94" t="n">
        <x:f>COUNTIF('データ'!$HI$5:$HI$42,"〇")</x:f>
        <x:v>1</x:v>
      </x:c>
      <x:c r="E171" s="161" t="n">
        <x:f>IF(F171=0,"",D171/F171)</x:f>
        <x:v>0.02702702702702703</x:v>
      </x:c>
      <x:c r="F171" s="94" t="n">
        <x:f>COUNTIF('データ'!$HL$5:$HL$42,"&gt;0")</x:f>
        <x:v>37</x:v>
      </x:c>
      <x:c r="G171" s="99" t="str">
        <x:v>複数回答</x:v>
      </x:c>
    </x:row>
    <x:row r="172">
      <x:c r="A172" s="98" t="str">
        <x:v>問22</x:v>
      </x:c>
      <x:c r="B172" s="94" t="str">
        <x:v>困ったときに相談する相手・場所はどこですか（あてはまるものすべて）</x:v>
      </x:c>
      <x:c r="C172" s="94" t="str">
        <x:v>その他</x:v>
      </x:c>
      <x:c r="D172" s="94" t="n">
        <x:f>COUNTIF('データ'!$HJ$5:$HJ$42,"〇")</x:f>
        <x:v>1</x:v>
      </x:c>
      <x:c r="E172" s="161" t="n">
        <x:f>IF(F172=0,"",D172/F172)</x:f>
        <x:v>0.02702702702702703</x:v>
      </x:c>
      <x:c r="F172" s="94" t="n">
        <x:f>COUNTIF('データ'!$HL$5:$HL$42,"&gt;0")</x:f>
        <x:v>37</x:v>
      </x:c>
      <x:c r="G172" s="99" t="str">
        <x:v>複数回答</x:v>
      </x:c>
    </x:row>
    <x:row r="173">
      <x:c r="A173" s="98" t="str">
        <x:v>問23</x:v>
      </x:c>
      <x:c r="B173" s="94" t="str">
        <x:v>相談しにくい、又は相談できない理由は何ですか（あてはまるものすべて）</x:v>
      </x:c>
      <x:c r="C173" s="94" t="str">
        <x:v>相談先がわからない</x:v>
      </x:c>
      <x:c r="D173" s="94" t="n">
        <x:f>COUNTIF('データ'!$HM$5:$HM$42,"〇")</x:f>
        <x:v>0</x:v>
      </x:c>
      <x:c r="E173" s="161" t="n">
        <x:f>IF(F173=0,"",D173/F173)</x:f>
        <x:v>0</x:v>
      </x:c>
      <x:c r="F173" s="94" t="n">
        <x:f>COUNTIF('データ'!$HW$5:$HW$42,"&gt;0")</x:f>
        <x:v>31</x:v>
      </x:c>
      <x:c r="G173" s="99" t="str">
        <x:v>複数回答</x:v>
      </x:c>
    </x:row>
    <x:row r="174">
      <x:c r="A174" s="98" t="str">
        <x:v>問23</x:v>
      </x:c>
      <x:c r="B174" s="94" t="str">
        <x:v>相談しにくい、又は相談できない理由は何ですか（あてはまるものすべて）</x:v>
      </x:c>
      <x:c r="C174" s="94" t="str">
        <x:v>身近に相談先がない</x:v>
      </x:c>
      <x:c r="D174" s="94" t="n">
        <x:f>COUNTIF('データ'!$HN$5:$HN$42,"〇")</x:f>
        <x:v>1</x:v>
      </x:c>
      <x:c r="E174" s="161" t="n">
        <x:f>IF(F174=0,"",D174/F174)</x:f>
        <x:v>0.03225806451612903</x:v>
      </x:c>
      <x:c r="F174" s="94" t="n">
        <x:f>COUNTIF('データ'!$HW$5:$HW$42,"&gt;0")</x:f>
        <x:v>31</x:v>
      </x:c>
      <x:c r="G174" s="99" t="str">
        <x:v>複数回答</x:v>
      </x:c>
    </x:row>
    <x:row r="175">
      <x:c r="A175" s="98" t="str">
        <x:v>問23</x:v>
      </x:c>
      <x:c r="B175" s="94" t="str">
        <x:v>相談しにくい、又は相談できない理由は何ですか（あてはまるものすべて）</x:v>
      </x:c>
      <x:c r="C175" s="94" t="str">
        <x:v>何を相談してよいかわからない</x:v>
      </x:c>
      <x:c r="D175" s="94" t="n">
        <x:f>COUNTIF('データ'!$HO$5:$HO$42,"〇")</x:f>
        <x:v>4</x:v>
      </x:c>
      <x:c r="E175" s="161" t="n">
        <x:f>IF(F175=0,"",D175/F175)</x:f>
        <x:v>0.12903225806451613</x:v>
      </x:c>
      <x:c r="F175" s="94" t="n">
        <x:f>COUNTIF('データ'!$HW$5:$HW$42,"&gt;0")</x:f>
        <x:v>31</x:v>
      </x:c>
      <x:c r="G175" s="99" t="str">
        <x:v>複数回答</x:v>
      </x:c>
    </x:row>
    <x:row r="176">
      <x:c r="A176" s="98" t="str">
        <x:v>問23</x:v>
      </x:c>
      <x:c r="B176" s="94" t="str">
        <x:v>相談しにくい、又は相談できない理由は何ですか（あてはまるものすべて）</x:v>
      </x:c>
      <x:c r="C176" s="94" t="str">
        <x:v>相談しても解決しないと思う</x:v>
      </x:c>
      <x:c r="D176" s="94" t="n">
        <x:f>COUNTIF('データ'!$HP$5:$HP$42,"〇")</x:f>
        <x:v>6</x:v>
      </x:c>
      <x:c r="E176" s="161" t="n">
        <x:f>IF(F176=0,"",D176/F176)</x:f>
        <x:v>0.1935483870967742</x:v>
      </x:c>
      <x:c r="F176" s="94" t="n">
        <x:f>COUNTIF('データ'!$HW$5:$HW$42,"&gt;0")</x:f>
        <x:v>31</x:v>
      </x:c>
      <x:c r="G176" s="99" t="str">
        <x:v>複数回答</x:v>
      </x:c>
    </x:row>
    <x:row r="177">
      <x:c r="A177" s="98" t="str">
        <x:v>問23</x:v>
      </x:c>
      <x:c r="B177" s="94" t="str">
        <x:v>相談しにくい、又は相談できない理由は何ですか（あてはまるものすべて）</x:v>
      </x:c>
      <x:c r="C177" s="94" t="str">
        <x:v>交通手段がない</x:v>
      </x:c>
      <x:c r="D177" s="94" t="n">
        <x:f>COUNTIF('データ'!$HQ$5:$HQ$42,"〇")</x:f>
        <x:v>1</x:v>
      </x:c>
      <x:c r="E177" s="161" t="n">
        <x:f>IF(F177=0,"",D177/F177)</x:f>
        <x:v>0.03225806451612903</x:v>
      </x:c>
      <x:c r="F177" s="94" t="n">
        <x:f>COUNTIF('データ'!$HW$5:$HW$42,"&gt;0")</x:f>
        <x:v>31</x:v>
      </x:c>
      <x:c r="G177" s="99" t="str">
        <x:v>複数回答</x:v>
      </x:c>
    </x:row>
    <x:row r="178">
      <x:c r="A178" s="98" t="str">
        <x:v>問23</x:v>
      </x:c>
      <x:c r="B178" s="94" t="str">
        <x:v>相談しにくい、又は相談できない理由は何ですか（あてはまるものすべて）</x:v>
      </x:c>
      <x:c r="C178" s="94" t="str">
        <x:v>家族が対応している</x:v>
      </x:c>
      <x:c r="D178" s="94" t="n">
        <x:f>COUNTIF('データ'!$HR$5:$HR$42,"〇")</x:f>
        <x:v>8</x:v>
      </x:c>
      <x:c r="E178" s="161" t="n">
        <x:f>IF(F178=0,"",D178/F178)</x:f>
        <x:v>0.25806451612903225</x:v>
      </x:c>
      <x:c r="F178" s="94" t="n">
        <x:f>COUNTIF('データ'!$HW$5:$HW$42,"&gt;0")</x:f>
        <x:v>31</x:v>
      </x:c>
      <x:c r="G178" s="99" t="str">
        <x:v>複数回答</x:v>
      </x:c>
    </x:row>
    <x:row r="179">
      <x:c r="A179" s="98" t="str">
        <x:v>問23</x:v>
      </x:c>
      <x:c r="B179" s="94" t="str">
        <x:v>相談しにくい、又は相談できない理由は何ですか（あてはまるものすべて）</x:v>
      </x:c>
      <x:c r="C179" s="94" t="str">
        <x:v>プライバシーが不安</x:v>
      </x:c>
      <x:c r="D179" s="94" t="n">
        <x:f>COUNTIF('データ'!$HS$5:$HS$42,"〇")</x:f>
        <x:v>4</x:v>
      </x:c>
      <x:c r="E179" s="161" t="n">
        <x:f>IF(F179=0,"",D179/F179)</x:f>
        <x:v>0.12903225806451613</x:v>
      </x:c>
      <x:c r="F179" s="94" t="n">
        <x:f>COUNTIF('データ'!$HW$5:$HW$42,"&gt;0")</x:f>
        <x:v>31</x:v>
      </x:c>
      <x:c r="G179" s="99" t="str">
        <x:v>複数回答</x:v>
      </x:c>
    </x:row>
    <x:row r="180">
      <x:c r="A180" s="98" t="str">
        <x:v>問23</x:v>
      </x:c>
      <x:c r="B180" s="94" t="str">
        <x:v>相談しにくい、又は相談できない理由は何ですか（あてはまるものすべて）</x:v>
      </x:c>
      <x:c r="C180" s="94" t="str">
        <x:v>特に困っていない</x:v>
      </x:c>
      <x:c r="D180" s="94" t="n">
        <x:f>COUNTIF('データ'!$HT$5:$HT$42,"〇")</x:f>
        <x:v>15</x:v>
      </x:c>
      <x:c r="E180" s="161" t="n">
        <x:f>IF(F180=0,"",D180/F180)</x:f>
        <x:v>0.4838709677419355</x:v>
      </x:c>
      <x:c r="F180" s="94" t="n">
        <x:f>COUNTIF('データ'!$HW$5:$HW$42,"&gt;0")</x:f>
        <x:v>31</x:v>
      </x:c>
      <x:c r="G180" s="99" t="str">
        <x:v>複数回答</x:v>
      </x:c>
    </x:row>
    <x:row r="181">
      <x:c r="A181" s="98" t="str">
        <x:v>問23</x:v>
      </x:c>
      <x:c r="B181" s="94" t="str">
        <x:v>相談しにくい、又は相談できない理由は何ですか（あてはまるものすべて）</x:v>
      </x:c>
      <x:c r="C181" s="94" t="str">
        <x:v>その他</x:v>
      </x:c>
      <x:c r="D181" s="94" t="n">
        <x:f>COUNTIF('データ'!$HU$5:$HU$42,"〇")</x:f>
        <x:v>0</x:v>
      </x:c>
      <x:c r="E181" s="161" t="n">
        <x:f>IF(F181=0,"",D181/F181)</x:f>
        <x:v>0</x:v>
      </x:c>
      <x:c r="F181" s="94" t="n">
        <x:f>COUNTIF('データ'!$HW$5:$HW$42,"&gt;0")</x:f>
        <x:v>31</x:v>
      </x:c>
      <x:c r="G181" s="99" t="str">
        <x:v>複数回答</x:v>
      </x:c>
    </x:row>
    <x:row r="182">
      <x:c r="A182" s="98" t="str">
        <x:v>問24</x:v>
      </x:c>
      <x:c r="B182" s="94" t="str">
        <x:v>同じ障がいのある人（ピアサポーター）に相談をしたいと感じますか</x:v>
      </x:c>
      <x:c r="C182" s="94" t="str">
        <x:v>相談したい（現在も相談している）</x:v>
      </x:c>
      <x:c r="D182" s="94" t="n">
        <x:f>COUNTIF('データ'!$HX$5:$HX$42,"〇")</x:f>
        <x:v>0</x:v>
      </x:c>
      <x:c r="E182" s="161" t="n">
        <x:f>IF(F182=0,"",D182/F182)</x:f>
        <x:v>0</x:v>
      </x:c>
      <x:c r="F182" s="94" t="n">
        <x:f>COUNTIF('データ'!$IC$5:$IC$42,"&gt;0")</x:f>
        <x:v>34</x:v>
      </x:c>
      <x:c r="G182" s="99" t="str">
        <x:v>単一回答</x:v>
      </x:c>
    </x:row>
    <x:row r="183">
      <x:c r="A183" s="98" t="str">
        <x:v>問24</x:v>
      </x:c>
      <x:c r="B183" s="94" t="str">
        <x:v>同じ障がいのある人（ピアサポーター）に相談をしたいと感じますか</x:v>
      </x:c>
      <x:c r="C183" s="94" t="str">
        <x:v>機会があれば相談してみたい</x:v>
      </x:c>
      <x:c r="D183" s="94" t="n">
        <x:f>COUNTIF('データ'!$HY$5:$HY$42,"〇")</x:f>
        <x:v>12</x:v>
      </x:c>
      <x:c r="E183" s="161" t="n">
        <x:f>IF(F183=0,"",D183/F183)</x:f>
        <x:v>0.35294117647058826</x:v>
      </x:c>
      <x:c r="F183" s="94" t="n">
        <x:f>COUNTIF('データ'!$IC$5:$IC$42,"&gt;0")</x:f>
        <x:v>34</x:v>
      </x:c>
      <x:c r="G183" s="99" t="str">
        <x:v>単一回答</x:v>
      </x:c>
    </x:row>
    <x:row r="184">
      <x:c r="A184" s="98" t="str">
        <x:v>問24</x:v>
      </x:c>
      <x:c r="B184" s="94" t="str">
        <x:v>同じ障がいのある人（ピアサポーター）に相談をしたいと感じますか</x:v>
      </x:c>
      <x:c r="C184" s="94" t="str">
        <x:v>あまり相談したいとは思わない</x:v>
      </x:c>
      <x:c r="D184" s="94" t="n">
        <x:f>COUNTIF('データ'!$HZ$5:$HZ$42,"〇")</x:f>
        <x:v>9</x:v>
      </x:c>
      <x:c r="E184" s="161" t="n">
        <x:f>IF(F184=0,"",D184/F184)</x:f>
        <x:v>0.2647058823529412</x:v>
      </x:c>
      <x:c r="F184" s="94" t="n">
        <x:f>COUNTIF('データ'!$IC$5:$IC$42,"&gt;0")</x:f>
        <x:v>34</x:v>
      </x:c>
      <x:c r="G184" s="99" t="str">
        <x:v>単一回答</x:v>
      </x:c>
    </x:row>
    <x:row r="185">
      <x:c r="A185" s="98" t="str">
        <x:v>問24</x:v>
      </x:c>
      <x:c r="B185" s="94" t="str">
        <x:v>同じ障がいのある人（ピアサポーター）に相談をしたいと感じますか</x:v>
      </x:c>
      <x:c r="C185" s="94" t="str">
        <x:v>まったく相談したいとは思わない</x:v>
      </x:c>
      <x:c r="D185" s="94" t="n">
        <x:f>COUNTIF('データ'!$IA$5:$IA$42,"〇")</x:f>
        <x:v>6</x:v>
      </x:c>
      <x:c r="E185" s="161" t="n">
        <x:f>IF(F185=0,"",D185/F185)</x:f>
        <x:v>0.17647058823529413</x:v>
      </x:c>
      <x:c r="F185" s="94" t="n">
        <x:f>COUNTIF('データ'!$IC$5:$IC$42,"&gt;0")</x:f>
        <x:v>34</x:v>
      </x:c>
      <x:c r="G185" s="99" t="str">
        <x:v>単一回答</x:v>
      </x:c>
    </x:row>
    <x:row r="186">
      <x:c r="A186" s="98" t="str">
        <x:v>問24</x:v>
      </x:c>
      <x:c r="B186" s="94" t="str">
        <x:v>同じ障がいのある人（ピアサポーター）に相談をしたいと感じますか</x:v>
      </x:c>
      <x:c r="C186" s="94" t="str">
        <x:v>わからない</x:v>
      </x:c>
      <x:c r="D186" s="94" t="n">
        <x:f>COUNTIF('データ'!$IB$5:$IB$42,"〇")</x:f>
        <x:v>7</x:v>
      </x:c>
      <x:c r="E186" s="161" t="n">
        <x:f>IF(F186=0,"",D186/F186)</x:f>
        <x:v>0.20588235294117646</x:v>
      </x:c>
      <x:c r="F186" s="94" t="n">
        <x:f>COUNTIF('データ'!$IC$5:$IC$42,"&gt;0")</x:f>
        <x:v>34</x:v>
      </x:c>
      <x:c r="G186" s="99" t="str">
        <x:v>単一回答</x:v>
      </x:c>
    </x:row>
    <x:row r="187">
      <x:c r="A187" s="98" t="str">
        <x:v>問25</x:v>
      </x:c>
      <x:c r="B187" s="94" t="str">
        <x:v>福祉に関する情報はどこから得ていますか（あてはまるものすべて）</x:v>
      </x:c>
      <x:c r="C187" s="94" t="str">
        <x:v>村広報・ホームページ</x:v>
      </x:c>
      <x:c r="D187" s="94" t="n">
        <x:f>COUNTIF('データ'!$ID$5:$ID$42,"〇")</x:f>
        <x:v>16</x:v>
      </x:c>
      <x:c r="E187" s="161" t="n">
        <x:f>IF(F187=0,"",D187/F187)</x:f>
        <x:v>0.4444444444444444</x:v>
      </x:c>
      <x:c r="F187" s="94" t="n">
        <x:f>COUNTIF('データ'!$IO$5:$IO$42,"&gt;0")</x:f>
        <x:v>36</x:v>
      </x:c>
      <x:c r="G187" s="99" t="str">
        <x:v>複数回答</x:v>
      </x:c>
    </x:row>
    <x:row r="188">
      <x:c r="A188" s="98" t="str">
        <x:v>問25</x:v>
      </x:c>
      <x:c r="B188" s="94" t="str">
        <x:v>福祉に関する情報はどこから得ていますか（あてはまるものすべて）</x:v>
      </x:c>
      <x:c r="C188" s="94" t="str">
        <x:v>家族・知人</x:v>
      </x:c>
      <x:c r="D188" s="94" t="n">
        <x:f>COUNTIF('データ'!$IE$5:$IE$42,"〇")</x:f>
        <x:v>8</x:v>
      </x:c>
      <x:c r="E188" s="161" t="n">
        <x:f>IF(F188=0,"",D188/F188)</x:f>
        <x:v>0.2222222222222222</x:v>
      </x:c>
      <x:c r="F188" s="94" t="n">
        <x:f>COUNTIF('データ'!$IO$5:$IO$42,"&gt;0")</x:f>
        <x:v>36</x:v>
      </x:c>
      <x:c r="G188" s="99" t="str">
        <x:v>複数回答</x:v>
      </x:c>
    </x:row>
    <x:row r="189">
      <x:c r="A189" s="98" t="str">
        <x:v>問25</x:v>
      </x:c>
      <x:c r="B189" s="94" t="str">
        <x:v>福祉に関する情報はどこから得ていますか（あてはまるものすべて）</x:v>
      </x:c>
      <x:c r="C189" s="94" t="str">
        <x:v>相談支援専門員</x:v>
      </x:c>
      <x:c r="D189" s="94" t="n">
        <x:f>COUNTIF('データ'!$IF$5:$IF$42,"〇")</x:f>
        <x:v>13</x:v>
      </x:c>
      <x:c r="E189" s="161" t="n">
        <x:f>IF(F189=0,"",D189/F189)</x:f>
        <x:v>0.3611111111111111</x:v>
      </x:c>
      <x:c r="F189" s="94" t="n">
        <x:f>COUNTIF('データ'!$IO$5:$IO$42,"&gt;0")</x:f>
        <x:v>36</x:v>
      </x:c>
      <x:c r="G189" s="99" t="str">
        <x:v>複数回答</x:v>
      </x:c>
    </x:row>
    <x:row r="190">
      <x:c r="A190" s="98" t="str">
        <x:v>問25</x:v>
      </x:c>
      <x:c r="B190" s="94" t="str">
        <x:v>福祉に関する情報はどこから得ていますか（あてはまるものすべて）</x:v>
      </x:c>
      <x:c r="C190" s="94" t="str">
        <x:v>福祉サービス事業所</x:v>
      </x:c>
      <x:c r="D190" s="94" t="n">
        <x:f>COUNTIF('データ'!$IG$5:$IG$42,"〇")</x:f>
        <x:v>9</x:v>
      </x:c>
      <x:c r="E190" s="161" t="n">
        <x:f>IF(F190=0,"",D190/F190)</x:f>
        <x:v>0.25</x:v>
      </x:c>
      <x:c r="F190" s="94" t="n">
        <x:f>COUNTIF('データ'!$IO$5:$IO$42,"&gt;0")</x:f>
        <x:v>36</x:v>
      </x:c>
      <x:c r="G190" s="99" t="str">
        <x:v>複数回答</x:v>
      </x:c>
    </x:row>
    <x:row r="191">
      <x:c r="A191" s="98" t="str">
        <x:v>問25</x:v>
      </x:c>
      <x:c r="B191" s="94" t="str">
        <x:v>福祉に関する情報はどこから得ていますか（あてはまるものすべて）</x:v>
      </x:c>
      <x:c r="C191" s="94" t="str">
        <x:v>医療機関</x:v>
      </x:c>
      <x:c r="D191" s="94" t="n">
        <x:f>COUNTIF('データ'!$IH$5:$IH$42,"〇")</x:f>
        <x:v>8</x:v>
      </x:c>
      <x:c r="E191" s="161" t="n">
        <x:f>IF(F191=0,"",D191/F191)</x:f>
        <x:v>0.2222222222222222</x:v>
      </x:c>
      <x:c r="F191" s="94" t="n">
        <x:f>COUNTIF('データ'!$IO$5:$IO$42,"&gt;0")</x:f>
        <x:v>36</x:v>
      </x:c>
      <x:c r="G191" s="99" t="str">
        <x:v>複数回答</x:v>
      </x:c>
    </x:row>
    <x:row r="192">
      <x:c r="A192" s="98" t="str">
        <x:v>問25</x:v>
      </x:c>
      <x:c r="B192" s="94" t="str">
        <x:v>福祉に関する情報はどこから得ていますか（あてはまるものすべて）</x:v>
      </x:c>
      <x:c r="C192" s="94" t="str">
        <x:v>学校</x:v>
      </x:c>
      <x:c r="D192" s="94" t="n">
        <x:f>COUNTIF('データ'!$II$5:$II$42,"〇")</x:f>
        <x:v>0</x:v>
      </x:c>
      <x:c r="E192" s="161" t="n">
        <x:f>IF(F192=0,"",D192/F192)</x:f>
        <x:v>0</x:v>
      </x:c>
      <x:c r="F192" s="94" t="n">
        <x:f>COUNTIF('データ'!$IO$5:$IO$42,"&gt;0")</x:f>
        <x:v>36</x:v>
      </x:c>
      <x:c r="G192" s="99" t="str">
        <x:v>複数回答</x:v>
      </x:c>
    </x:row>
    <x:row r="193">
      <x:c r="A193" s="98" t="str">
        <x:v>問25</x:v>
      </x:c>
      <x:c r="B193" s="94" t="str">
        <x:v>福祉に関する情報はどこから得ていますか（あてはまるものすべて）</x:v>
      </x:c>
      <x:c r="C193" s="94" t="str">
        <x:v>SNS・インターネット・AI</x:v>
      </x:c>
      <x:c r="D193" s="94" t="n">
        <x:f>COUNTIF('データ'!$IJ$5:$IJ$42,"〇")</x:f>
        <x:v>4</x:v>
      </x:c>
      <x:c r="E193" s="161" t="n">
        <x:f>IF(F193=0,"",D193/F193)</x:f>
        <x:v>0.1111111111111111</x:v>
      </x:c>
      <x:c r="F193" s="94" t="n">
        <x:f>COUNTIF('データ'!$IO$5:$IO$42,"&gt;0")</x:f>
        <x:v>36</x:v>
      </x:c>
      <x:c r="G193" s="99" t="str">
        <x:v>複数回答</x:v>
      </x:c>
    </x:row>
    <x:row r="194">
      <x:c r="A194" s="98" t="str">
        <x:v>問25</x:v>
      </x:c>
      <x:c r="B194" s="94" t="str">
        <x:v>福祉に関する情報はどこから得ていますか（あてはまるものすべて）</x:v>
      </x:c>
      <x:c r="C194" s="94" t="str">
        <x:v>新聞・テレビ</x:v>
      </x:c>
      <x:c r="D194" s="94" t="n">
        <x:f>COUNTIF('データ'!$IK$5:$IK$42,"〇")</x:f>
        <x:v>13</x:v>
      </x:c>
      <x:c r="E194" s="161" t="n">
        <x:f>IF(F194=0,"",D194/F194)</x:f>
        <x:v>0.3611111111111111</x:v>
      </x:c>
      <x:c r="F194" s="94" t="n">
        <x:f>COUNTIF('データ'!$IO$5:$IO$42,"&gt;0")</x:f>
        <x:v>36</x:v>
      </x:c>
      <x:c r="G194" s="99" t="str">
        <x:v>複数回答</x:v>
      </x:c>
    </x:row>
    <x:row r="195">
      <x:c r="A195" s="98" t="str">
        <x:v>問25</x:v>
      </x:c>
      <x:c r="B195" s="94" t="str">
        <x:v>福祉に関する情報はどこから得ていますか（あてはまるものすべて）</x:v>
      </x:c>
      <x:c r="C195" s="94" t="str">
        <x:v>情報を得られていない</x:v>
      </x:c>
      <x:c r="D195" s="94" t="n">
        <x:f>COUNTIF('データ'!$IL$5:$IL$42,"〇")</x:f>
        <x:v>1</x:v>
      </x:c>
      <x:c r="E195" s="161" t="n">
        <x:f>IF(F195=0,"",D195/F195)</x:f>
        <x:v>0.027777777777777776</x:v>
      </x:c>
      <x:c r="F195" s="94" t="n">
        <x:f>COUNTIF('データ'!$IO$5:$IO$42,"&gt;0")</x:f>
        <x:v>36</x:v>
      </x:c>
      <x:c r="G195" s="99" t="str">
        <x:v>複数回答</x:v>
      </x:c>
    </x:row>
    <x:row r="196">
      <x:c r="A196" s="98" t="str">
        <x:v>問25</x:v>
      </x:c>
      <x:c r="B196" s="94" t="str">
        <x:v>福祉に関する情報はどこから得ていますか（あてはまるものすべて）</x:v>
      </x:c>
      <x:c r="C196" s="94" t="str">
        <x:v>その他</x:v>
      </x:c>
      <x:c r="D196" s="94" t="n">
        <x:f>COUNTIF('データ'!$IM$5:$IM$42,"〇")</x:f>
        <x:v>0</x:v>
      </x:c>
      <x:c r="E196" s="161" t="n">
        <x:f>IF(F196=0,"",D196/F196)</x:f>
        <x:v>0</x:v>
      </x:c>
      <x:c r="F196" s="94" t="n">
        <x:f>COUNTIF('データ'!$IO$5:$IO$42,"&gt;0")</x:f>
        <x:v>36</x:v>
      </x:c>
      <x:c r="G196" s="99" t="str">
        <x:v>複数回答</x:v>
      </x:c>
    </x:row>
    <x:row r="197">
      <x:c r="A197" s="98" t="str">
        <x:v>問26</x:v>
      </x:c>
      <x:c r="B197" s="94" t="str">
        <x:v>相談支援に期待することは何ですか（あてはまるものすべて）</x:v>
      </x:c>
      <x:c r="C197" s="94" t="str">
        <x:v>サービス利用の相談</x:v>
      </x:c>
      <x:c r="D197" s="94" t="n">
        <x:f>COUNTIF('データ'!$IP$5:$IP$42,"〇")</x:f>
        <x:v>13</x:v>
      </x:c>
      <x:c r="E197" s="161" t="n">
        <x:f>IF(F197=0,"",D197/F197)</x:f>
        <x:v>0.4482758620689655</x:v>
      </x:c>
      <x:c r="F197" s="94" t="n">
        <x:f>COUNTIF('データ'!$IY$5:$IY$42,"&gt;0")</x:f>
        <x:v>29</x:v>
      </x:c>
      <x:c r="G197" s="99" t="str">
        <x:v>複数回答</x:v>
      </x:c>
    </x:row>
    <x:row r="198">
      <x:c r="A198" s="98" t="str">
        <x:v>問26</x:v>
      </x:c>
      <x:c r="B198" s="94" t="str">
        <x:v>相談支援に期待することは何ですか（あてはまるものすべて）</x:v>
      </x:c>
      <x:c r="C198" s="94" t="str">
        <x:v>将来の暮らしの相談</x:v>
      </x:c>
      <x:c r="D198" s="94" t="n">
        <x:f>COUNTIF('データ'!$IQ$5:$IQ$42,"〇")</x:f>
        <x:v>12</x:v>
      </x:c>
      <x:c r="E198" s="161" t="n">
        <x:f>IF(F198=0,"",D198/F198)</x:f>
        <x:v>0.41379310344827586</x:v>
      </x:c>
      <x:c r="F198" s="94" t="n">
        <x:f>COUNTIF('データ'!$IY$5:$IY$42,"&gt;0")</x:f>
        <x:v>29</x:v>
      </x:c>
      <x:c r="G198" s="99" t="str">
        <x:v>複数回答</x:v>
      </x:c>
    </x:row>
    <x:row r="199">
      <x:c r="A199" s="98" t="str">
        <x:v>問26</x:v>
      </x:c>
      <x:c r="B199" s="94" t="str">
        <x:v>相談支援に期待することは何ですか（あてはまるものすべて）</x:v>
      </x:c>
      <x:c r="C199" s="94" t="str">
        <x:v>就労・日中活動の相談</x:v>
      </x:c>
      <x:c r="D199" s="94" t="n">
        <x:f>COUNTIF('データ'!$IR$5:$IR$42,"〇")</x:f>
        <x:v>1</x:v>
      </x:c>
      <x:c r="E199" s="161" t="n">
        <x:f>IF(F199=0,"",D199/F199)</x:f>
        <x:v>0.034482758620689655</x:v>
      </x:c>
      <x:c r="F199" s="94" t="n">
        <x:f>COUNTIF('データ'!$IY$5:$IY$42,"&gt;0")</x:f>
        <x:v>29</x:v>
      </x:c>
      <x:c r="G199" s="99" t="str">
        <x:v>複数回答</x:v>
      </x:c>
    </x:row>
    <x:row r="200">
      <x:c r="A200" s="98" t="str">
        <x:v>問26</x:v>
      </x:c>
      <x:c r="B200" s="94" t="str">
        <x:v>相談支援に期待することは何ですか（あてはまるものすべて）</x:v>
      </x:c>
      <x:c r="C200" s="94" t="str">
        <x:v>医療・通院の相談</x:v>
      </x:c>
      <x:c r="D200" s="94" t="n">
        <x:f>COUNTIF('データ'!$IS$5:$IS$42,"〇")</x:f>
        <x:v>7</x:v>
      </x:c>
      <x:c r="E200" s="161" t="n">
        <x:f>IF(F200=0,"",D200/F200)</x:f>
        <x:v>0.2413793103448276</x:v>
      </x:c>
      <x:c r="F200" s="94" t="n">
        <x:f>COUNTIF('データ'!$IY$5:$IY$42,"&gt;0")</x:f>
        <x:v>29</x:v>
      </x:c>
      <x:c r="G200" s="99" t="str">
        <x:v>複数回答</x:v>
      </x:c>
    </x:row>
    <x:row r="201">
      <x:c r="A201" s="98" t="str">
        <x:v>問26</x:v>
      </x:c>
      <x:c r="B201" s="94" t="str">
        <x:v>相談支援に期待することは何ですか（あてはまるものすべて）</x:v>
      </x:c>
      <x:c r="C201" s="94" t="str">
        <x:v>家族の負担軽減</x:v>
      </x:c>
      <x:c r="D201" s="94" t="n">
        <x:f>COUNTIF('データ'!$IT$5:$IT$42,"〇")</x:f>
        <x:v>3</x:v>
      </x:c>
      <x:c r="E201" s="161" t="n">
        <x:f>IF(F201=0,"",D201/F201)</x:f>
        <x:v>0.10344827586206896</x:v>
      </x:c>
      <x:c r="F201" s="94" t="n">
        <x:f>COUNTIF('データ'!$IY$5:$IY$42,"&gt;0")</x:f>
        <x:v>29</x:v>
      </x:c>
      <x:c r="G201" s="99" t="str">
        <x:v>複数回答</x:v>
      </x:c>
    </x:row>
    <x:row r="202">
      <x:c r="A202" s="98" t="str">
        <x:v>問26</x:v>
      </x:c>
      <x:c r="B202" s="94" t="str">
        <x:v>相談支援に期待することは何ですか（あてはまるものすべて）</x:v>
      </x:c>
      <x:c r="C202" s="94" t="str">
        <x:v>緊急時の相談</x:v>
      </x:c>
      <x:c r="D202" s="94" t="n">
        <x:f>COUNTIF('データ'!$IU$5:$IU$42,"〇")</x:f>
        <x:v>9</x:v>
      </x:c>
      <x:c r="E202" s="161" t="n">
        <x:f>IF(F202=0,"",D202/F202)</x:f>
        <x:v>0.3103448275862069</x:v>
      </x:c>
      <x:c r="F202" s="94" t="n">
        <x:f>COUNTIF('データ'!$IY$5:$IY$42,"&gt;0")</x:f>
        <x:v>29</x:v>
      </x:c>
      <x:c r="G202" s="99" t="str">
        <x:v>複数回答</x:v>
      </x:c>
    </x:row>
    <x:row r="203">
      <x:c r="A203" s="98" t="str">
        <x:v>問26</x:v>
      </x:c>
      <x:c r="B203" s="94" t="str">
        <x:v>相談支援に期待することは何ですか（あてはまるものすべて）</x:v>
      </x:c>
      <x:c r="C203" s="94" t="str">
        <x:v>わかりやすい情報提供</x:v>
      </x:c>
      <x:c r="D203" s="94" t="n">
        <x:f>COUNTIF('データ'!$IV$5:$IV$42,"〇")</x:f>
        <x:v>14</x:v>
      </x:c>
      <x:c r="E203" s="161" t="n">
        <x:f>IF(F203=0,"",D203/F203)</x:f>
        <x:v>0.4827586206896552</x:v>
      </x:c>
      <x:c r="F203" s="94" t="n">
        <x:f>COUNTIF('データ'!$IY$5:$IY$42,"&gt;0")</x:f>
        <x:v>29</x:v>
      </x:c>
      <x:c r="G203" s="99" t="str">
        <x:v>複数回答</x:v>
      </x:c>
    </x:row>
    <x:row r="204">
      <x:c r="A204" s="98" t="str">
        <x:v>問26</x:v>
      </x:c>
      <x:c r="B204" s="94" t="str">
        <x:v>相談支援に期待することは何ですか（あてはまるものすべて）</x:v>
      </x:c>
      <x:c r="C204" s="94" t="str">
        <x:v>その他</x:v>
      </x:c>
      <x:c r="D204" s="94" t="n">
        <x:f>COUNTIF('データ'!$IW$5:$IW$42,"〇")</x:f>
        <x:v>1</x:v>
      </x:c>
      <x:c r="E204" s="161" t="n">
        <x:f>IF(F204=0,"",D204/F204)</x:f>
        <x:v>0.034482758620689655</x:v>
      </x:c>
      <x:c r="F204" s="94" t="n">
        <x:f>COUNTIF('データ'!$IY$5:$IY$42,"&gt;0")</x:f>
        <x:v>29</x:v>
      </x:c>
      <x:c r="G204" s="99" t="str">
        <x:v>複数回答</x:v>
      </x:c>
    </x:row>
    <x:row r="205">
      <x:c r="A205" s="98" t="str">
        <x:v>問27-1</x:v>
      </x:c>
      <x:c r="B205" s="94" t="str">
        <x:v>現在利用しているサービスを選んでください（あてはまるものすべて）</x:v>
      </x:c>
      <x:c r="C205" s="94" t="str">
        <x:v>居宅介護（ホームヘルプ）</x:v>
      </x:c>
      <x:c r="D205" s="94" t="n">
        <x:f>COUNTIF('データ'!$IZ$5:$IZ$42,"〇")</x:f>
        <x:v>1</x:v>
      </x:c>
      <x:c r="E205" s="161" t="n">
        <x:f>IF(F205=0,"",D205/F205)</x:f>
        <x:v>0.03333333333333333</x:v>
      </x:c>
      <x:c r="F205" s="94" t="n">
        <x:f>COUNTIF('データ'!$JS$5:$JS$42,"&gt;0")</x:f>
        <x:v>30</x:v>
      </x:c>
      <x:c r="G205" s="99" t="str">
        <x:v>複数回答</x:v>
      </x:c>
    </x:row>
    <x:row r="206">
      <x:c r="A206" s="98" t="str">
        <x:v>問27-1</x:v>
      </x:c>
      <x:c r="B206" s="94" t="str">
        <x:v>現在利用しているサービスを選んでください（あてはまるものすべて）</x:v>
      </x:c>
      <x:c r="C206" s="94" t="str">
        <x:v>重度訪問介護</x:v>
      </x:c>
      <x:c r="D206" s="94" t="n">
        <x:f>COUNTIF('データ'!$JA$5:$JA$42,"〇")</x:f>
        <x:v>0</x:v>
      </x:c>
      <x:c r="E206" s="161" t="n">
        <x:f>IF(F206=0,"",D206/F206)</x:f>
        <x:v>0</x:v>
      </x:c>
      <x:c r="F206" s="94" t="n">
        <x:f>COUNTIF('データ'!$JS$5:$JS$42,"&gt;0")</x:f>
        <x:v>30</x:v>
      </x:c>
      <x:c r="G206" s="99" t="str">
        <x:v>複数回答</x:v>
      </x:c>
    </x:row>
    <x:row r="207">
      <x:c r="A207" s="98" t="str">
        <x:v>問27-1</x:v>
      </x:c>
      <x:c r="B207" s="94" t="str">
        <x:v>現在利用しているサービスを選んでください（あてはまるものすべて）</x:v>
      </x:c>
      <x:c r="C207" s="94" t="str">
        <x:v>同行援護・行動援護</x:v>
      </x:c>
      <x:c r="D207" s="94" t="n">
        <x:f>COUNTIF('データ'!$JB$5:$JB$42,"〇")</x:f>
        <x:v>1</x:v>
      </x:c>
      <x:c r="E207" s="161" t="n">
        <x:f>IF(F207=0,"",D207/F207)</x:f>
        <x:v>0.03333333333333333</x:v>
      </x:c>
      <x:c r="F207" s="94" t="n">
        <x:f>COUNTIF('データ'!$JS$5:$JS$42,"&gt;0")</x:f>
        <x:v>30</x:v>
      </x:c>
      <x:c r="G207" s="99" t="str">
        <x:v>複数回答</x:v>
      </x:c>
    </x:row>
    <x:row r="208">
      <x:c r="A208" s="98" t="str">
        <x:v>問27-1</x:v>
      </x:c>
      <x:c r="B208" s="94" t="str">
        <x:v>現在利用しているサービスを選んでください（あてはまるものすべて）</x:v>
      </x:c>
      <x:c r="C208" s="94" t="str">
        <x:v>生活介護</x:v>
      </x:c>
      <x:c r="D208" s="94" t="n">
        <x:f>COUNTIF('データ'!$JC$5:$JC$42,"〇")</x:f>
        <x:v>4</x:v>
      </x:c>
      <x:c r="E208" s="161" t="n">
        <x:f>IF(F208=0,"",D208/F208)</x:f>
        <x:v>0.13333333333333333</x:v>
      </x:c>
      <x:c r="F208" s="94" t="n">
        <x:f>COUNTIF('データ'!$JS$5:$JS$42,"&gt;0")</x:f>
        <x:v>30</x:v>
      </x:c>
      <x:c r="G208" s="99" t="str">
        <x:v>複数回答</x:v>
      </x:c>
    </x:row>
    <x:row r="209">
      <x:c r="A209" s="98" t="str">
        <x:v>問27-1</x:v>
      </x:c>
      <x:c r="B209" s="94" t="str">
        <x:v>現在利用しているサービスを選んでください（あてはまるものすべて）</x:v>
      </x:c>
      <x:c r="C209" s="94" t="str">
        <x:v>自立訓練</x:v>
      </x:c>
      <x:c r="D209" s="94" t="n">
        <x:f>COUNTIF('データ'!$JD$5:$JD$42,"〇")</x:f>
        <x:v>2</x:v>
      </x:c>
      <x:c r="E209" s="161" t="n">
        <x:f>IF(F209=0,"",D209/F209)</x:f>
        <x:v>0.06666666666666667</x:v>
      </x:c>
      <x:c r="F209" s="94" t="n">
        <x:f>COUNTIF('データ'!$JS$5:$JS$42,"&gt;0")</x:f>
        <x:v>30</x:v>
      </x:c>
      <x:c r="G209" s="99" t="str">
        <x:v>複数回答</x:v>
      </x:c>
    </x:row>
    <x:row r="210">
      <x:c r="A210" s="98" t="str">
        <x:v>問27-1</x:v>
      </x:c>
      <x:c r="B210" s="94" t="str">
        <x:v>現在利用しているサービスを選んでください（あてはまるものすべて）</x:v>
      </x:c>
      <x:c r="C210" s="94" t="str">
        <x:v>就労移行支援</x:v>
      </x:c>
      <x:c r="D210" s="94" t="n">
        <x:f>COUNTIF('データ'!$JE$5:$JE$42,"〇")</x:f>
        <x:v>0</x:v>
      </x:c>
      <x:c r="E210" s="161" t="n">
        <x:f>IF(F210=0,"",D210/F210)</x:f>
        <x:v>0</x:v>
      </x:c>
      <x:c r="F210" s="94" t="n">
        <x:f>COUNTIF('データ'!$JS$5:$JS$42,"&gt;0")</x:f>
        <x:v>30</x:v>
      </x:c>
      <x:c r="G210" s="99" t="str">
        <x:v>複数回答</x:v>
      </x:c>
    </x:row>
    <x:row r="211">
      <x:c r="A211" s="98" t="str">
        <x:v>問27-1</x:v>
      </x:c>
      <x:c r="B211" s="94" t="str">
        <x:v>現在利用しているサービスを選んでください（あてはまるものすべて）</x:v>
      </x:c>
      <x:c r="C211" s="94" t="str">
        <x:v>就労継続支援A型</x:v>
      </x:c>
      <x:c r="D211" s="94" t="n">
        <x:f>COUNTIF('データ'!$JF$5:$JF$42,"〇")</x:f>
        <x:v>1</x:v>
      </x:c>
      <x:c r="E211" s="161" t="n">
        <x:f>IF(F211=0,"",D211/F211)</x:f>
        <x:v>0.03333333333333333</x:v>
      </x:c>
      <x:c r="F211" s="94" t="n">
        <x:f>COUNTIF('データ'!$JS$5:$JS$42,"&gt;0")</x:f>
        <x:v>30</x:v>
      </x:c>
      <x:c r="G211" s="99" t="str">
        <x:v>複数回答</x:v>
      </x:c>
    </x:row>
    <x:row r="212">
      <x:c r="A212" s="98" t="str">
        <x:v>問27-1</x:v>
      </x:c>
      <x:c r="B212" s="94" t="str">
        <x:v>現在利用しているサービスを選んでください（あてはまるものすべて）</x:v>
      </x:c>
      <x:c r="C212" s="94" t="str">
        <x:v>就労継続支援B型</x:v>
      </x:c>
      <x:c r="D212" s="94" t="n">
        <x:f>COUNTIF('データ'!$JG$5:$JG$42,"〇")</x:f>
        <x:v>2</x:v>
      </x:c>
      <x:c r="E212" s="161" t="n">
        <x:f>IF(F212=0,"",D212/F212)</x:f>
        <x:v>0.06666666666666667</x:v>
      </x:c>
      <x:c r="F212" s="94" t="n">
        <x:f>COUNTIF('データ'!$JS$5:$JS$42,"&gt;0")</x:f>
        <x:v>30</x:v>
      </x:c>
      <x:c r="G212" s="99" t="str">
        <x:v>複数回答</x:v>
      </x:c>
    </x:row>
    <x:row r="213">
      <x:c r="A213" s="98" t="str">
        <x:v>問27-1</x:v>
      </x:c>
      <x:c r="B213" s="94" t="str">
        <x:v>現在利用しているサービスを選んでください（あてはまるものすべて）</x:v>
      </x:c>
      <x:c r="C213" s="94" t="str">
        <x:v>就労選択支援</x:v>
      </x:c>
      <x:c r="D213" s="94" t="n">
        <x:f>COUNTIF('データ'!$JH$5:$JH$42,"〇")</x:f>
        <x:v>1</x:v>
      </x:c>
      <x:c r="E213" s="161" t="n">
        <x:f>IF(F213=0,"",D213/F213)</x:f>
        <x:v>0.03333333333333333</x:v>
      </x:c>
      <x:c r="F213" s="94" t="n">
        <x:f>COUNTIF('データ'!$JS$5:$JS$42,"&gt;0")</x:f>
        <x:v>30</x:v>
      </x:c>
      <x:c r="G213" s="99" t="str">
        <x:v>複数回答</x:v>
      </x:c>
    </x:row>
    <x:row r="214">
      <x:c r="A214" s="98" t="str">
        <x:v>問27-1</x:v>
      </x:c>
      <x:c r="B214" s="94" t="str">
        <x:v>現在利用しているサービスを選んでください（あてはまるものすべて）</x:v>
      </x:c>
      <x:c r="C214" s="94" t="str">
        <x:v>就労定着支援</x:v>
      </x:c>
      <x:c r="D214" s="94" t="n">
        <x:f>COUNTIF('データ'!$JI$5:$JI$42,"〇")</x:f>
        <x:v>0</x:v>
      </x:c>
      <x:c r="E214" s="161" t="n">
        <x:f>IF(F214=0,"",D214/F214)</x:f>
        <x:v>0</x:v>
      </x:c>
      <x:c r="F214" s="94" t="n">
        <x:f>COUNTIF('データ'!$JS$5:$JS$42,"&gt;0")</x:f>
        <x:v>30</x:v>
      </x:c>
      <x:c r="G214" s="99" t="str">
        <x:v>複数回答</x:v>
      </x:c>
    </x:row>
    <x:row r="215">
      <x:c r="A215" s="98" t="str">
        <x:v>問27-1</x:v>
      </x:c>
      <x:c r="B215" s="94" t="str">
        <x:v>現在利用しているサービスを選んでください（あてはまるものすべて）</x:v>
      </x:c>
      <x:c r="C215" s="94" t="str">
        <x:v>短期入所（ショートステイ）</x:v>
      </x:c>
      <x:c r="D215" s="94" t="n">
        <x:f>COUNTIF('データ'!$JJ$5:$JJ$42,"〇")</x:f>
        <x:v>2</x:v>
      </x:c>
      <x:c r="E215" s="161" t="n">
        <x:f>IF(F215=0,"",D215/F215)</x:f>
        <x:v>0.06666666666666667</x:v>
      </x:c>
      <x:c r="F215" s="94" t="n">
        <x:f>COUNTIF('データ'!$JS$5:$JS$42,"&gt;0")</x:f>
        <x:v>30</x:v>
      </x:c>
      <x:c r="G215" s="99" t="str">
        <x:v>複数回答</x:v>
      </x:c>
    </x:row>
    <x:row r="216">
      <x:c r="A216" s="98" t="str">
        <x:v>問27-1</x:v>
      </x:c>
      <x:c r="B216" s="94" t="str">
        <x:v>現在利用しているサービスを選んでください（あてはまるものすべて）</x:v>
      </x:c>
      <x:c r="C216" s="94" t="str">
        <x:v>グループホーム</x:v>
      </x:c>
      <x:c r="D216" s="94" t="n">
        <x:f>COUNTIF('データ'!$JK$5:$JK$42,"〇")</x:f>
        <x:v>3</x:v>
      </x:c>
      <x:c r="E216" s="161" t="n">
        <x:f>IF(F216=0,"",D216/F216)</x:f>
        <x:v>0.1</x:v>
      </x:c>
      <x:c r="F216" s="94" t="n">
        <x:f>COUNTIF('データ'!$JS$5:$JS$42,"&gt;0")</x:f>
        <x:v>30</x:v>
      </x:c>
      <x:c r="G216" s="99" t="str">
        <x:v>複数回答</x:v>
      </x:c>
    </x:row>
    <x:row r="217">
      <x:c r="A217" s="98" t="str">
        <x:v>問27-1</x:v>
      </x:c>
      <x:c r="B217" s="94" t="str">
        <x:v>現在利用しているサービスを選んでください（あてはまるものすべて）</x:v>
      </x:c>
      <x:c r="C217" s="94" t="str">
        <x:v>施設入所支援</x:v>
      </x:c>
      <x:c r="D217" s="94" t="n">
        <x:f>COUNTIF('データ'!$JL$5:$JL$42,"〇")</x:f>
        <x:v>5</x:v>
      </x:c>
      <x:c r="E217" s="161" t="n">
        <x:f>IF(F217=0,"",D217/F217)</x:f>
        <x:v>0.16666666666666666</x:v>
      </x:c>
      <x:c r="F217" s="94" t="n">
        <x:f>COUNTIF('データ'!$JS$5:$JS$42,"&gt;0")</x:f>
        <x:v>30</x:v>
      </x:c>
      <x:c r="G217" s="99" t="str">
        <x:v>複数回答</x:v>
      </x:c>
    </x:row>
    <x:row r="218">
      <x:c r="A218" s="98" t="str">
        <x:v>問27-1</x:v>
      </x:c>
      <x:c r="B218" s="94" t="str">
        <x:v>現在利用しているサービスを選んでください（あてはまるものすべて）</x:v>
      </x:c>
      <x:c r="C218" s="94" t="str">
        <x:v>計画相談支援</x:v>
      </x:c>
      <x:c r="D218" s="94" t="n">
        <x:f>COUNTIF('データ'!$JM$5:$JM$42,"〇")</x:f>
        <x:v>2</x:v>
      </x:c>
      <x:c r="E218" s="161" t="n">
        <x:f>IF(F218=0,"",D218/F218)</x:f>
        <x:v>0.06666666666666667</x:v>
      </x:c>
      <x:c r="F218" s="94" t="n">
        <x:f>COUNTIF('データ'!$JS$5:$JS$42,"&gt;0")</x:f>
        <x:v>30</x:v>
      </x:c>
      <x:c r="G218" s="99" t="str">
        <x:v>複数回答</x:v>
      </x:c>
    </x:row>
    <x:row r="219">
      <x:c r="A219" s="98" t="str">
        <x:v>問27-1</x:v>
      </x:c>
      <x:c r="B219" s="94" t="str">
        <x:v>現在利用しているサービスを選んでください（あてはまるものすべて）</x:v>
      </x:c>
      <x:c r="C219" s="94" t="str">
        <x:v>移動支援</x:v>
      </x:c>
      <x:c r="D219" s="94" t="n">
        <x:f>COUNTIF('データ'!$JN$5:$JN$42,"〇")</x:f>
        <x:v>1</x:v>
      </x:c>
      <x:c r="E219" s="161" t="n">
        <x:f>IF(F219=0,"",D219/F219)</x:f>
        <x:v>0.03333333333333333</x:v>
      </x:c>
      <x:c r="F219" s="94" t="n">
        <x:f>COUNTIF('データ'!$JS$5:$JS$42,"&gt;0")</x:f>
        <x:v>30</x:v>
      </x:c>
      <x:c r="G219" s="99" t="str">
        <x:v>複数回答</x:v>
      </x:c>
    </x:row>
    <x:row r="220">
      <x:c r="A220" s="98" t="str">
        <x:v>問27-1</x:v>
      </x:c>
      <x:c r="B220" s="94" t="str">
        <x:v>現在利用しているサービスを選んでください（あてはまるものすべて）</x:v>
      </x:c>
      <x:c r="C220" s="94" t="str">
        <x:v>日中一時支援</x:v>
      </x:c>
      <x:c r="D220" s="94" t="n">
        <x:f>COUNTIF('データ'!$JO$5:$JO$42,"〇")</x:f>
        <x:v>1</x:v>
      </x:c>
      <x:c r="E220" s="161" t="n">
        <x:f>IF(F220=0,"",D220/F220)</x:f>
        <x:v>0.03333333333333333</x:v>
      </x:c>
      <x:c r="F220" s="94" t="n">
        <x:f>COUNTIF('データ'!$JS$5:$JS$42,"&gt;0")</x:f>
        <x:v>30</x:v>
      </x:c>
      <x:c r="G220" s="99" t="str">
        <x:v>複数回答</x:v>
      </x:c>
    </x:row>
    <x:row r="221">
      <x:c r="A221" s="98" t="str">
        <x:v>問27-1</x:v>
      </x:c>
      <x:c r="B221" s="94" t="str">
        <x:v>現在利用しているサービスを選んでください（あてはまるものすべて）</x:v>
      </x:c>
      <x:c r="C221" s="94" t="str">
        <x:v>日常生活用具</x:v>
      </x:c>
      <x:c r="D221" s="94" t="n">
        <x:f>COUNTIF('データ'!$JP$5:$JP$42,"〇")</x:f>
        <x:v>1</x:v>
      </x:c>
      <x:c r="E221" s="161" t="n">
        <x:f>IF(F221=0,"",D221/F221)</x:f>
        <x:v>0.03333333333333333</x:v>
      </x:c>
      <x:c r="F221" s="94" t="n">
        <x:f>COUNTIF('データ'!$JS$5:$JS$42,"&gt;0")</x:f>
        <x:v>30</x:v>
      </x:c>
      <x:c r="G221" s="99" t="str">
        <x:v>複数回答</x:v>
      </x:c>
    </x:row>
    <x:row r="222">
      <x:c r="A222" s="98" t="str">
        <x:v>問27-1</x:v>
      </x:c>
      <x:c r="B222" s="94" t="str">
        <x:v>現在利用しているサービスを選んでください（あてはまるものすべて）</x:v>
      </x:c>
      <x:c r="C222" s="94" t="str">
        <x:v>訪問入浴</x:v>
      </x:c>
      <x:c r="D222" s="94" t="n">
        <x:f>COUNTIF('データ'!$JQ$5:$JQ$42,"〇")</x:f>
        <x:v>0</x:v>
      </x:c>
      <x:c r="E222" s="161" t="n">
        <x:f>IF(F222=0,"",D222/F222)</x:f>
        <x:v>0</x:v>
      </x:c>
      <x:c r="F222" s="94" t="n">
        <x:f>COUNTIF('データ'!$JS$5:$JS$42,"&gt;0")</x:f>
        <x:v>30</x:v>
      </x:c>
      <x:c r="G222" s="99" t="str">
        <x:v>複数回答</x:v>
      </x:c>
    </x:row>
    <x:row r="223">
      <x:c r="A223" s="98" t="str">
        <x:v>問27-1</x:v>
      </x:c>
      <x:c r="B223" s="94" t="str">
        <x:v>現在利用しているサービスを選んでください（あてはまるものすべて）</x:v>
      </x:c>
      <x:c r="C223" s="94" t="str">
        <x:v>現在利用しているサービスは特にない</x:v>
      </x:c>
      <x:c r="D223" s="94" t="n">
        <x:f>COUNTIF('データ'!$JR$5:$JR$42,"〇")</x:f>
        <x:v>17</x:v>
      </x:c>
      <x:c r="E223" s="161" t="n">
        <x:f>IF(F223=0,"",D223/F223)</x:f>
        <x:v>0.5666666666666667</x:v>
      </x:c>
      <x:c r="F223" s="94" t="n">
        <x:f>COUNTIF('データ'!$JS$5:$JS$42,"&gt;0")</x:f>
        <x:v>30</x:v>
      </x:c>
      <x:c r="G223" s="99" t="str">
        <x:v>複数回答</x:v>
      </x:c>
    </x:row>
    <x:row r="224">
      <x:c r="A224" s="98" t="str">
        <x:v>問27-2</x:v>
      </x:c>
      <x:c r="B224" s="94" t="str">
        <x:v>内容をよく知らないサービスがあれば選んでください（あてはまるものすべて）</x:v>
      </x:c>
      <x:c r="C224" s="94" t="str">
        <x:v>居宅介護（ホームヘルプ）</x:v>
      </x:c>
      <x:c r="D224" s="94" t="n">
        <x:f>COUNTIF('データ'!$JT$5:$JT$42,"〇")</x:f>
        <x:v>6</x:v>
      </x:c>
      <x:c r="E224" s="161" t="n">
        <x:f>IF(F224=0,"",D224/F224)</x:f>
        <x:v>0.25</x:v>
      </x:c>
      <x:c r="F224" s="94" t="n">
        <x:f>COUNTIF('データ'!$KM$5:$KM$42,"&gt;0")</x:f>
        <x:v>24</x:v>
      </x:c>
      <x:c r="G224" s="99" t="str">
        <x:v>複数回答</x:v>
      </x:c>
    </x:row>
    <x:row r="225">
      <x:c r="A225" s="98" t="str">
        <x:v>問27-2</x:v>
      </x:c>
      <x:c r="B225" s="94" t="str">
        <x:v>内容をよく知らないサービスがあれば選んでください（あてはまるものすべて）</x:v>
      </x:c>
      <x:c r="C225" s="94" t="str">
        <x:v>重度訪問介護</x:v>
      </x:c>
      <x:c r="D225" s="94" t="n">
        <x:f>COUNTIF('データ'!$JU$5:$JU$42,"〇")</x:f>
        <x:v>9</x:v>
      </x:c>
      <x:c r="E225" s="161" t="n">
        <x:f>IF(F225=0,"",D225/F225)</x:f>
        <x:v>0.375</x:v>
      </x:c>
      <x:c r="F225" s="94" t="n">
        <x:f>COUNTIF('データ'!$KM$5:$KM$42,"&gt;0")</x:f>
        <x:v>24</x:v>
      </x:c>
      <x:c r="G225" s="99" t="str">
        <x:v>複数回答</x:v>
      </x:c>
    </x:row>
    <x:row r="226">
      <x:c r="A226" s="98" t="str">
        <x:v>問27-2</x:v>
      </x:c>
      <x:c r="B226" s="94" t="str">
        <x:v>内容をよく知らないサービスがあれば選んでください（あてはまるものすべて）</x:v>
      </x:c>
      <x:c r="C226" s="94" t="str">
        <x:v>同行援護・行動援護</x:v>
      </x:c>
      <x:c r="D226" s="94" t="n">
        <x:f>COUNTIF('データ'!$JV$5:$JV$42,"〇")</x:f>
        <x:v>9</x:v>
      </x:c>
      <x:c r="E226" s="161" t="n">
        <x:f>IF(F226=0,"",D226/F226)</x:f>
        <x:v>0.375</x:v>
      </x:c>
      <x:c r="F226" s="94" t="n">
        <x:f>COUNTIF('データ'!$KM$5:$KM$42,"&gt;0")</x:f>
        <x:v>24</x:v>
      </x:c>
      <x:c r="G226" s="99" t="str">
        <x:v>複数回答</x:v>
      </x:c>
    </x:row>
    <x:row r="227">
      <x:c r="A227" s="98" t="str">
        <x:v>問27-2</x:v>
      </x:c>
      <x:c r="B227" s="94" t="str">
        <x:v>内容をよく知らないサービスがあれば選んでください（あてはまるものすべて）</x:v>
      </x:c>
      <x:c r="C227" s="94" t="str">
        <x:v>生活介護</x:v>
      </x:c>
      <x:c r="D227" s="94" t="n">
        <x:f>COUNTIF('データ'!$JW$5:$JW$42,"〇")</x:f>
        <x:v>6</x:v>
      </x:c>
      <x:c r="E227" s="161" t="n">
        <x:f>IF(F227=0,"",D227/F227)</x:f>
        <x:v>0.25</x:v>
      </x:c>
      <x:c r="F227" s="94" t="n">
        <x:f>COUNTIF('データ'!$KM$5:$KM$42,"&gt;0")</x:f>
        <x:v>24</x:v>
      </x:c>
      <x:c r="G227" s="99" t="str">
        <x:v>複数回答</x:v>
      </x:c>
    </x:row>
    <x:row r="228">
      <x:c r="A228" s="98" t="str">
        <x:v>問27-2</x:v>
      </x:c>
      <x:c r="B228" s="94" t="str">
        <x:v>内容をよく知らないサービスがあれば選んでください（あてはまるものすべて）</x:v>
      </x:c>
      <x:c r="C228" s="94" t="str">
        <x:v>自立訓練</x:v>
      </x:c>
      <x:c r="D228" s="94" t="n">
        <x:f>COUNTIF('データ'!$JX$5:$JX$42,"〇")</x:f>
        <x:v>8</x:v>
      </x:c>
      <x:c r="E228" s="161" t="n">
        <x:f>IF(F228=0,"",D228/F228)</x:f>
        <x:v>0.3333333333333333</x:v>
      </x:c>
      <x:c r="F228" s="94" t="n">
        <x:f>COUNTIF('データ'!$KM$5:$KM$42,"&gt;0")</x:f>
        <x:v>24</x:v>
      </x:c>
      <x:c r="G228" s="99" t="str">
        <x:v>複数回答</x:v>
      </x:c>
    </x:row>
    <x:row r="229">
      <x:c r="A229" s="98" t="str">
        <x:v>問27-2</x:v>
      </x:c>
      <x:c r="B229" s="94" t="str">
        <x:v>内容をよく知らないサービスがあれば選んでください（あてはまるものすべて）</x:v>
      </x:c>
      <x:c r="C229" s="94" t="str">
        <x:v>就労移行支援</x:v>
      </x:c>
      <x:c r="D229" s="94" t="n">
        <x:f>COUNTIF('データ'!$JY$5:$JY$42,"〇")</x:f>
        <x:v>8</x:v>
      </x:c>
      <x:c r="E229" s="161" t="n">
        <x:f>IF(F229=0,"",D229/F229)</x:f>
        <x:v>0.3333333333333333</x:v>
      </x:c>
      <x:c r="F229" s="94" t="n">
        <x:f>COUNTIF('データ'!$KM$5:$KM$42,"&gt;0")</x:f>
        <x:v>24</x:v>
      </x:c>
      <x:c r="G229" s="99" t="str">
        <x:v>複数回答</x:v>
      </x:c>
    </x:row>
    <x:row r="230">
      <x:c r="A230" s="98" t="str">
        <x:v>問27-2</x:v>
      </x:c>
      <x:c r="B230" s="94" t="str">
        <x:v>内容をよく知らないサービスがあれば選んでください（あてはまるものすべて）</x:v>
      </x:c>
      <x:c r="C230" s="94" t="str">
        <x:v>就労継続支援A型</x:v>
      </x:c>
      <x:c r="D230" s="94" t="n">
        <x:f>COUNTIF('データ'!$JZ$5:$JZ$42,"〇")</x:f>
        <x:v>8</x:v>
      </x:c>
      <x:c r="E230" s="161" t="n">
        <x:f>IF(F230=0,"",D230/F230)</x:f>
        <x:v>0.3333333333333333</x:v>
      </x:c>
      <x:c r="F230" s="94" t="n">
        <x:f>COUNTIF('データ'!$KM$5:$KM$42,"&gt;0")</x:f>
        <x:v>24</x:v>
      </x:c>
      <x:c r="G230" s="99" t="str">
        <x:v>複数回答</x:v>
      </x:c>
    </x:row>
    <x:row r="231">
      <x:c r="A231" s="98" t="str">
        <x:v>問27-2</x:v>
      </x:c>
      <x:c r="B231" s="94" t="str">
        <x:v>内容をよく知らないサービスがあれば選んでください（あてはまるものすべて）</x:v>
      </x:c>
      <x:c r="C231" s="94" t="str">
        <x:v>就労継続支援B型</x:v>
      </x:c>
      <x:c r="D231" s="94" t="n">
        <x:f>COUNTIF('データ'!$KA$5:$KA$42,"〇")</x:f>
        <x:v>8</x:v>
      </x:c>
      <x:c r="E231" s="161" t="n">
        <x:f>IF(F231=0,"",D231/F231)</x:f>
        <x:v>0.3333333333333333</x:v>
      </x:c>
      <x:c r="F231" s="94" t="n">
        <x:f>COUNTIF('データ'!$KM$5:$KM$42,"&gt;0")</x:f>
        <x:v>24</x:v>
      </x:c>
      <x:c r="G231" s="99" t="str">
        <x:v>複数回答</x:v>
      </x:c>
    </x:row>
    <x:row r="232">
      <x:c r="A232" s="98" t="str">
        <x:v>問27-2</x:v>
      </x:c>
      <x:c r="B232" s="94" t="str">
        <x:v>内容をよく知らないサービスがあれば選んでください（あてはまるものすべて）</x:v>
      </x:c>
      <x:c r="C232" s="94" t="str">
        <x:v>就労選択支援</x:v>
      </x:c>
      <x:c r="D232" s="94" t="n">
        <x:f>COUNTIF('データ'!$KB$5:$KB$42,"〇")</x:f>
        <x:v>9</x:v>
      </x:c>
      <x:c r="E232" s="161" t="n">
        <x:f>IF(F232=0,"",D232/F232)</x:f>
        <x:v>0.375</x:v>
      </x:c>
      <x:c r="F232" s="94" t="n">
        <x:f>COUNTIF('データ'!$KM$5:$KM$42,"&gt;0")</x:f>
        <x:v>24</x:v>
      </x:c>
      <x:c r="G232" s="99" t="str">
        <x:v>複数回答</x:v>
      </x:c>
    </x:row>
    <x:row r="233">
      <x:c r="A233" s="98" t="str">
        <x:v>問27-2</x:v>
      </x:c>
      <x:c r="B233" s="94" t="str">
        <x:v>内容をよく知らないサービスがあれば選んでください（あてはまるものすべて）</x:v>
      </x:c>
      <x:c r="C233" s="94" t="str">
        <x:v>就労定着支援</x:v>
      </x:c>
      <x:c r="D233" s="94" t="n">
        <x:f>COUNTIF('データ'!$KC$5:$KC$42,"〇")</x:f>
        <x:v>8</x:v>
      </x:c>
      <x:c r="E233" s="161" t="n">
        <x:f>IF(F233=0,"",D233/F233)</x:f>
        <x:v>0.3333333333333333</x:v>
      </x:c>
      <x:c r="F233" s="94" t="n">
        <x:f>COUNTIF('データ'!$KM$5:$KM$42,"&gt;0")</x:f>
        <x:v>24</x:v>
      </x:c>
      <x:c r="G233" s="99" t="str">
        <x:v>複数回答</x:v>
      </x:c>
    </x:row>
    <x:row r="234">
      <x:c r="A234" s="98" t="str">
        <x:v>問27-2</x:v>
      </x:c>
      <x:c r="B234" s="94" t="str">
        <x:v>内容をよく知らないサービスがあれば選んでください（あてはまるものすべて）</x:v>
      </x:c>
      <x:c r="C234" s="94" t="str">
        <x:v>短期入所（ショートステイ）</x:v>
      </x:c>
      <x:c r="D234" s="94" t="n">
        <x:f>COUNTIF('データ'!$KD$5:$KD$42,"〇")</x:f>
        <x:v>4</x:v>
      </x:c>
      <x:c r="E234" s="161" t="n">
        <x:f>IF(F234=0,"",D234/F234)</x:f>
        <x:v>0.16666666666666666</x:v>
      </x:c>
      <x:c r="F234" s="94" t="n">
        <x:f>COUNTIF('データ'!$KM$5:$KM$42,"&gt;0")</x:f>
        <x:v>24</x:v>
      </x:c>
      <x:c r="G234" s="99" t="str">
        <x:v>複数回答</x:v>
      </x:c>
    </x:row>
    <x:row r="235">
      <x:c r="A235" s="98" t="str">
        <x:v>問27-2</x:v>
      </x:c>
      <x:c r="B235" s="94" t="str">
        <x:v>内容をよく知らないサービスがあれば選んでください（あてはまるものすべて）</x:v>
      </x:c>
      <x:c r="C235" s="94" t="str">
        <x:v>グループホーム</x:v>
      </x:c>
      <x:c r="D235" s="94" t="n">
        <x:f>COUNTIF('データ'!$KE$5:$KE$42,"〇")</x:f>
        <x:v>5</x:v>
      </x:c>
      <x:c r="E235" s="161" t="n">
        <x:f>IF(F235=0,"",D235/F235)</x:f>
        <x:v>0.20833333333333334</x:v>
      </x:c>
      <x:c r="F235" s="94" t="n">
        <x:f>COUNTIF('データ'!$KM$5:$KM$42,"&gt;0")</x:f>
        <x:v>24</x:v>
      </x:c>
      <x:c r="G235" s="99" t="str">
        <x:v>複数回答</x:v>
      </x:c>
    </x:row>
    <x:row r="236">
      <x:c r="A236" s="98" t="str">
        <x:v>問27-2</x:v>
      </x:c>
      <x:c r="B236" s="94" t="str">
        <x:v>内容をよく知らないサービスがあれば選んでください（あてはまるものすべて）</x:v>
      </x:c>
      <x:c r="C236" s="94" t="str">
        <x:v>施設入所支援</x:v>
      </x:c>
      <x:c r="D236" s="94" t="n">
        <x:f>COUNTIF('データ'!$KF$5:$KF$42,"〇")</x:f>
        <x:v>6</x:v>
      </x:c>
      <x:c r="E236" s="161" t="n">
        <x:f>IF(F236=0,"",D236/F236)</x:f>
        <x:v>0.25</x:v>
      </x:c>
      <x:c r="F236" s="94" t="n">
        <x:f>COUNTIF('データ'!$KM$5:$KM$42,"&gt;0")</x:f>
        <x:v>24</x:v>
      </x:c>
      <x:c r="G236" s="99" t="str">
        <x:v>複数回答</x:v>
      </x:c>
    </x:row>
    <x:row r="237">
      <x:c r="A237" s="98" t="str">
        <x:v>問27-2</x:v>
      </x:c>
      <x:c r="B237" s="94" t="str">
        <x:v>内容をよく知らないサービスがあれば選んでください（あてはまるものすべて）</x:v>
      </x:c>
      <x:c r="C237" s="94" t="str">
        <x:v>計画相談支援</x:v>
      </x:c>
      <x:c r="D237" s="94" t="n">
        <x:f>COUNTIF('データ'!$KG$5:$KG$42,"〇")</x:f>
        <x:v>7</x:v>
      </x:c>
      <x:c r="E237" s="161" t="n">
        <x:f>IF(F237=0,"",D237/F237)</x:f>
        <x:v>0.2916666666666667</x:v>
      </x:c>
      <x:c r="F237" s="94" t="n">
        <x:f>COUNTIF('データ'!$KM$5:$KM$42,"&gt;0")</x:f>
        <x:v>24</x:v>
      </x:c>
      <x:c r="G237" s="99" t="str">
        <x:v>複数回答</x:v>
      </x:c>
    </x:row>
    <x:row r="238">
      <x:c r="A238" s="98" t="str">
        <x:v>問27-2</x:v>
      </x:c>
      <x:c r="B238" s="94" t="str">
        <x:v>内容をよく知らないサービスがあれば選んでください（あてはまるものすべて）</x:v>
      </x:c>
      <x:c r="C238" s="94" t="str">
        <x:v>移動支援</x:v>
      </x:c>
      <x:c r="D238" s="94" t="n">
        <x:f>COUNTIF('データ'!$KH$5:$KH$42,"〇")</x:f>
        <x:v>9</x:v>
      </x:c>
      <x:c r="E238" s="161" t="n">
        <x:f>IF(F238=0,"",D238/F238)</x:f>
        <x:v>0.375</x:v>
      </x:c>
      <x:c r="F238" s="94" t="n">
        <x:f>COUNTIF('データ'!$KM$5:$KM$42,"&gt;0")</x:f>
        <x:v>24</x:v>
      </x:c>
      <x:c r="G238" s="99" t="str">
        <x:v>複数回答</x:v>
      </x:c>
    </x:row>
    <x:row r="239">
      <x:c r="A239" s="98" t="str">
        <x:v>問27-2</x:v>
      </x:c>
      <x:c r="B239" s="94" t="str">
        <x:v>内容をよく知らないサービスがあれば選んでください（あてはまるものすべて）</x:v>
      </x:c>
      <x:c r="C239" s="94" t="str">
        <x:v>日中一時支援</x:v>
      </x:c>
      <x:c r="D239" s="94" t="n">
        <x:f>COUNTIF('データ'!$KI$5:$KI$42,"〇")</x:f>
        <x:v>8</x:v>
      </x:c>
      <x:c r="E239" s="161" t="n">
        <x:f>IF(F239=0,"",D239/F239)</x:f>
        <x:v>0.3333333333333333</x:v>
      </x:c>
      <x:c r="F239" s="94" t="n">
        <x:f>COUNTIF('データ'!$KM$5:$KM$42,"&gt;0")</x:f>
        <x:v>24</x:v>
      </x:c>
      <x:c r="G239" s="99" t="str">
        <x:v>複数回答</x:v>
      </x:c>
    </x:row>
    <x:row r="240">
      <x:c r="A240" s="98" t="str">
        <x:v>問27-2</x:v>
      </x:c>
      <x:c r="B240" s="94" t="str">
        <x:v>内容をよく知らないサービスがあれば選んでください（あてはまるものすべて）</x:v>
      </x:c>
      <x:c r="C240" s="94" t="str">
        <x:v>日常生活用具</x:v>
      </x:c>
      <x:c r="D240" s="94" t="n">
        <x:f>COUNTIF('データ'!$KJ$5:$KJ$42,"〇")</x:f>
        <x:v>6</x:v>
      </x:c>
      <x:c r="E240" s="161" t="n">
        <x:f>IF(F240=0,"",D240/F240)</x:f>
        <x:v>0.25</x:v>
      </x:c>
      <x:c r="F240" s="94" t="n">
        <x:f>COUNTIF('データ'!$KM$5:$KM$42,"&gt;0")</x:f>
        <x:v>24</x:v>
      </x:c>
      <x:c r="G240" s="99" t="str">
        <x:v>複数回答</x:v>
      </x:c>
    </x:row>
    <x:row r="241">
      <x:c r="A241" s="98" t="str">
        <x:v>問27-2</x:v>
      </x:c>
      <x:c r="B241" s="94" t="str">
        <x:v>内容をよく知らないサービスがあれば選んでください（あてはまるものすべて）</x:v>
      </x:c>
      <x:c r="C241" s="94" t="str">
        <x:v>訪問入浴</x:v>
      </x:c>
      <x:c r="D241" s="94" t="n">
        <x:f>COUNTIF('データ'!$KK$5:$KK$42,"〇")</x:f>
        <x:v>5</x:v>
      </x:c>
      <x:c r="E241" s="161" t="n">
        <x:f>IF(F241=0,"",D241/F241)</x:f>
        <x:v>0.20833333333333334</x:v>
      </x:c>
      <x:c r="F241" s="94" t="n">
        <x:f>COUNTIF('データ'!$KM$5:$KM$42,"&gt;0")</x:f>
        <x:v>24</x:v>
      </x:c>
      <x:c r="G241" s="99" t="str">
        <x:v>複数回答</x:v>
      </x:c>
    </x:row>
    <x:row r="242">
      <x:c r="A242" s="98" t="str">
        <x:v>問27-2</x:v>
      </x:c>
      <x:c r="B242" s="94" t="str">
        <x:v>内容をよく知らないサービスがあれば選んでください（あてはまるものすべて）</x:v>
      </x:c>
      <x:c r="C242" s="94" t="str">
        <x:v>知らないサービスは特にない</x:v>
      </x:c>
      <x:c r="D242" s="94" t="n">
        <x:f>COUNTIF('データ'!$KL$5:$KL$42,"〇")</x:f>
        <x:v>7</x:v>
      </x:c>
      <x:c r="E242" s="161" t="n">
        <x:f>IF(F242=0,"",D242/F242)</x:f>
        <x:v>0.2916666666666667</x:v>
      </x:c>
      <x:c r="F242" s="94" t="n">
        <x:f>COUNTIF('データ'!$KM$5:$KM$42,"&gt;0")</x:f>
        <x:v>24</x:v>
      </x:c>
      <x:c r="G242" s="99" t="str">
        <x:v>複数回答</x:v>
      </x:c>
    </x:row>
    <x:row r="243">
      <x:c r="A243" s="98" t="str">
        <x:v>問27-3</x:v>
      </x:c>
      <x:c r="B243" s="94" t="str">
        <x:v>今後3年間で利用したい、または利用を続けたいサービスを選んでください（あてはまるものすべて）</x:v>
      </x:c>
      <x:c r="C243" s="94" t="str">
        <x:v>居宅介護（ホームヘルプ）</x:v>
      </x:c>
      <x:c r="D243" s="94" t="n">
        <x:f>COUNTIF('データ'!$KN$5:$KN$42,"〇")</x:f>
        <x:v>3</x:v>
      </x:c>
      <x:c r="E243" s="161" t="n">
        <x:f>IF(F243=0,"",D243/F243)</x:f>
        <x:v>0.10714285714285714</x:v>
      </x:c>
      <x:c r="F243" s="94" t="n">
        <x:f>COUNTIF('データ'!$LG$5:$LG$42,"&gt;0")</x:f>
        <x:v>28</x:v>
      </x:c>
      <x:c r="G243" s="99" t="str">
        <x:v>複数回答</x:v>
      </x:c>
    </x:row>
    <x:row r="244">
      <x:c r="A244" s="98" t="str">
        <x:v>問27-3</x:v>
      </x:c>
      <x:c r="B244" s="94" t="str">
        <x:v>今後3年間で利用したい、または利用を続けたいサービスを選んでください（あてはまるものすべて）</x:v>
      </x:c>
      <x:c r="C244" s="94" t="str">
        <x:v>重度訪問介護</x:v>
      </x:c>
      <x:c r="D244" s="94" t="n">
        <x:f>COUNTIF('データ'!$KO$5:$KO$42,"〇")</x:f>
        <x:v>0</x:v>
      </x:c>
      <x:c r="E244" s="161" t="n">
        <x:f>IF(F244=0,"",D244/F244)</x:f>
        <x:v>0</x:v>
      </x:c>
      <x:c r="F244" s="94" t="n">
        <x:f>COUNTIF('データ'!$LG$5:$LG$42,"&gt;0")</x:f>
        <x:v>28</x:v>
      </x:c>
      <x:c r="G244" s="99" t="str">
        <x:v>複数回答</x:v>
      </x:c>
    </x:row>
    <x:row r="245">
      <x:c r="A245" s="98" t="str">
        <x:v>問27-3</x:v>
      </x:c>
      <x:c r="B245" s="94" t="str">
        <x:v>今後3年間で利用したい、または利用を続けたいサービスを選んでください（あてはまるものすべて）</x:v>
      </x:c>
      <x:c r="C245" s="94" t="str">
        <x:v>同行援護・行動援護</x:v>
      </x:c>
      <x:c r="D245" s="94" t="n">
        <x:f>COUNTIF('データ'!$KP$5:$KP$42,"〇")</x:f>
        <x:v>1</x:v>
      </x:c>
      <x:c r="E245" s="161" t="n">
        <x:f>IF(F245=0,"",D245/F245)</x:f>
        <x:v>0.03571428571428571</x:v>
      </x:c>
      <x:c r="F245" s="94" t="n">
        <x:f>COUNTIF('データ'!$LG$5:$LG$42,"&gt;0")</x:f>
        <x:v>28</x:v>
      </x:c>
      <x:c r="G245" s="99" t="str">
        <x:v>複数回答</x:v>
      </x:c>
    </x:row>
    <x:row r="246">
      <x:c r="A246" s="98" t="str">
        <x:v>問27-3</x:v>
      </x:c>
      <x:c r="B246" s="94" t="str">
        <x:v>今後3年間で利用したい、または利用を続けたいサービスを選んでください（あてはまるものすべて）</x:v>
      </x:c>
      <x:c r="C246" s="94" t="str">
        <x:v>生活介護</x:v>
      </x:c>
      <x:c r="D246" s="94" t="n">
        <x:f>COUNTIF('データ'!$KQ$5:$KQ$42,"〇")</x:f>
        <x:v>3</x:v>
      </x:c>
      <x:c r="E246" s="161" t="n">
        <x:f>IF(F246=0,"",D246/F246)</x:f>
        <x:v>0.10714285714285714</x:v>
      </x:c>
      <x:c r="F246" s="94" t="n">
        <x:f>COUNTIF('データ'!$LG$5:$LG$42,"&gt;0")</x:f>
        <x:v>28</x:v>
      </x:c>
      <x:c r="G246" s="99" t="str">
        <x:v>複数回答</x:v>
      </x:c>
    </x:row>
    <x:row r="247">
      <x:c r="A247" s="98" t="str">
        <x:v>問27-3</x:v>
      </x:c>
      <x:c r="B247" s="94" t="str">
        <x:v>今後3年間で利用したい、または利用を続けたいサービスを選んでください（あてはまるものすべて）</x:v>
      </x:c>
      <x:c r="C247" s="94" t="str">
        <x:v>自立訓練</x:v>
      </x:c>
      <x:c r="D247" s="94" t="n">
        <x:f>COUNTIF('データ'!$KR$5:$KR$42,"〇")</x:f>
        <x:v>2</x:v>
      </x:c>
      <x:c r="E247" s="161" t="n">
        <x:f>IF(F247=0,"",D247/F247)</x:f>
        <x:v>0.07142857142857142</x:v>
      </x:c>
      <x:c r="F247" s="94" t="n">
        <x:f>COUNTIF('データ'!$LG$5:$LG$42,"&gt;0")</x:f>
        <x:v>28</x:v>
      </x:c>
      <x:c r="G247" s="99" t="str">
        <x:v>複数回答</x:v>
      </x:c>
    </x:row>
    <x:row r="248">
      <x:c r="A248" s="98" t="str">
        <x:v>問27-3</x:v>
      </x:c>
      <x:c r="B248" s="94" t="str">
        <x:v>今後3年間で利用したい、または利用を続けたいサービスを選んでください（あてはまるものすべて）</x:v>
      </x:c>
      <x:c r="C248" s="94" t="str">
        <x:v>就労移行支援</x:v>
      </x:c>
      <x:c r="D248" s="94" t="n">
        <x:f>COUNTIF('データ'!$KS$5:$KS$42,"〇")</x:f>
        <x:v>1</x:v>
      </x:c>
      <x:c r="E248" s="161" t="n">
        <x:f>IF(F248=0,"",D248/F248)</x:f>
        <x:v>0.03571428571428571</x:v>
      </x:c>
      <x:c r="F248" s="94" t="n">
        <x:f>COUNTIF('データ'!$LG$5:$LG$42,"&gt;0")</x:f>
        <x:v>28</x:v>
      </x:c>
      <x:c r="G248" s="99" t="str">
        <x:v>複数回答</x:v>
      </x:c>
    </x:row>
    <x:row r="249">
      <x:c r="A249" s="98" t="str">
        <x:v>問27-3</x:v>
      </x:c>
      <x:c r="B249" s="94" t="str">
        <x:v>今後3年間で利用したい、または利用を続けたいサービスを選んでください（あてはまるものすべて）</x:v>
      </x:c>
      <x:c r="C249" s="94" t="str">
        <x:v>就労継続支援A型</x:v>
      </x:c>
      <x:c r="D249" s="94" t="n">
        <x:f>COUNTIF('データ'!$KT$5:$KT$42,"〇")</x:f>
        <x:v>0</x:v>
      </x:c>
      <x:c r="E249" s="161" t="n">
        <x:f>IF(F249=0,"",D249/F249)</x:f>
        <x:v>0</x:v>
      </x:c>
      <x:c r="F249" s="94" t="n">
        <x:f>COUNTIF('データ'!$LG$5:$LG$42,"&gt;0")</x:f>
        <x:v>28</x:v>
      </x:c>
      <x:c r="G249" s="99" t="str">
        <x:v>複数回答</x:v>
      </x:c>
    </x:row>
    <x:row r="250">
      <x:c r="A250" s="98" t="str">
        <x:v>問27-3</x:v>
      </x:c>
      <x:c r="B250" s="94" t="str">
        <x:v>今後3年間で利用したい、または利用を続けたいサービスを選んでください（あてはまるものすべて）</x:v>
      </x:c>
      <x:c r="C250" s="94" t="str">
        <x:v>就労継続支援B型</x:v>
      </x:c>
      <x:c r="D250" s="94" t="n">
        <x:f>COUNTIF('データ'!$KU$5:$KU$42,"〇")</x:f>
        <x:v>1</x:v>
      </x:c>
      <x:c r="E250" s="161" t="n">
        <x:f>IF(F250=0,"",D250/F250)</x:f>
        <x:v>0.03571428571428571</x:v>
      </x:c>
      <x:c r="F250" s="94" t="n">
        <x:f>COUNTIF('データ'!$LG$5:$LG$42,"&gt;0")</x:f>
        <x:v>28</x:v>
      </x:c>
      <x:c r="G250" s="99" t="str">
        <x:v>複数回答</x:v>
      </x:c>
    </x:row>
    <x:row r="251">
      <x:c r="A251" s="98" t="str">
        <x:v>問27-3</x:v>
      </x:c>
      <x:c r="B251" s="94" t="str">
        <x:v>今後3年間で利用したい、または利用を続けたいサービスを選んでください（あてはまるものすべて）</x:v>
      </x:c>
      <x:c r="C251" s="94" t="str">
        <x:v>就労選択支援</x:v>
      </x:c>
      <x:c r="D251" s="94" t="n">
        <x:f>COUNTIF('データ'!$KV$5:$KV$42,"〇")</x:f>
        <x:v>0</x:v>
      </x:c>
      <x:c r="E251" s="161" t="n">
        <x:f>IF(F251=0,"",D251/F251)</x:f>
        <x:v>0</x:v>
      </x:c>
      <x:c r="F251" s="94" t="n">
        <x:f>COUNTIF('データ'!$LG$5:$LG$42,"&gt;0")</x:f>
        <x:v>28</x:v>
      </x:c>
      <x:c r="G251" s="99" t="str">
        <x:v>複数回答</x:v>
      </x:c>
    </x:row>
    <x:row r="252">
      <x:c r="A252" s="98" t="str">
        <x:v>問27-3</x:v>
      </x:c>
      <x:c r="B252" s="94" t="str">
        <x:v>今後3年間で利用したい、または利用を続けたいサービスを選んでください（あてはまるものすべて）</x:v>
      </x:c>
      <x:c r="C252" s="94" t="str">
        <x:v>就労定着支援</x:v>
      </x:c>
      <x:c r="D252" s="94" t="n">
        <x:f>COUNTIF('データ'!$KW$5:$KW$42,"〇")</x:f>
        <x:v>0</x:v>
      </x:c>
      <x:c r="E252" s="161" t="n">
        <x:f>IF(F252=0,"",D252/F252)</x:f>
        <x:v>0</x:v>
      </x:c>
      <x:c r="F252" s="94" t="n">
        <x:f>COUNTIF('データ'!$LG$5:$LG$42,"&gt;0")</x:f>
        <x:v>28</x:v>
      </x:c>
      <x:c r="G252" s="99" t="str">
        <x:v>複数回答</x:v>
      </x:c>
    </x:row>
    <x:row r="253">
      <x:c r="A253" s="98" t="str">
        <x:v>問27-3</x:v>
      </x:c>
      <x:c r="B253" s="94" t="str">
        <x:v>今後3年間で利用したい、または利用を続けたいサービスを選んでください（あてはまるものすべて）</x:v>
      </x:c>
      <x:c r="C253" s="94" t="str">
        <x:v>短期入所（ショートステイ）</x:v>
      </x:c>
      <x:c r="D253" s="94" t="n">
        <x:f>COUNTIF('データ'!$KX$5:$KX$42,"〇")</x:f>
        <x:v>4</x:v>
      </x:c>
      <x:c r="E253" s="161" t="n">
        <x:f>IF(F253=0,"",D253/F253)</x:f>
        <x:v>0.14285714285714285</x:v>
      </x:c>
      <x:c r="F253" s="94" t="n">
        <x:f>COUNTIF('データ'!$LG$5:$LG$42,"&gt;0")</x:f>
        <x:v>28</x:v>
      </x:c>
      <x:c r="G253" s="99" t="str">
        <x:v>複数回答</x:v>
      </x:c>
    </x:row>
    <x:row r="254">
      <x:c r="A254" s="98" t="str">
        <x:v>問27-3</x:v>
      </x:c>
      <x:c r="B254" s="94" t="str">
        <x:v>今後3年間で利用したい、または利用を続けたいサービスを選んでください（あてはまるものすべて）</x:v>
      </x:c>
      <x:c r="C254" s="94" t="str">
        <x:v>グループホーム</x:v>
      </x:c>
      <x:c r="D254" s="94" t="n">
        <x:f>COUNTIF('データ'!$KY$5:$KY$42,"〇")</x:f>
        <x:v>5</x:v>
      </x:c>
      <x:c r="E254" s="161" t="n">
        <x:f>IF(F254=0,"",D254/F254)</x:f>
        <x:v>0.17857142857142858</x:v>
      </x:c>
      <x:c r="F254" s="94" t="n">
        <x:f>COUNTIF('データ'!$LG$5:$LG$42,"&gt;0")</x:f>
        <x:v>28</x:v>
      </x:c>
      <x:c r="G254" s="99" t="str">
        <x:v>複数回答</x:v>
      </x:c>
    </x:row>
    <x:row r="255">
      <x:c r="A255" s="98" t="str">
        <x:v>問27-3</x:v>
      </x:c>
      <x:c r="B255" s="94" t="str">
        <x:v>今後3年間で利用したい、または利用を続けたいサービスを選んでください（あてはまるものすべて）</x:v>
      </x:c>
      <x:c r="C255" s="94" t="str">
        <x:v>施設入所支援</x:v>
      </x:c>
      <x:c r="D255" s="94" t="n">
        <x:f>COUNTIF('データ'!$KZ$5:$KZ$42,"〇")</x:f>
        <x:v>9</x:v>
      </x:c>
      <x:c r="E255" s="161" t="n">
        <x:f>IF(F255=0,"",D255/F255)</x:f>
        <x:v>0.32142857142857145</x:v>
      </x:c>
      <x:c r="F255" s="94" t="n">
        <x:f>COUNTIF('データ'!$LG$5:$LG$42,"&gt;0")</x:f>
        <x:v>28</x:v>
      </x:c>
      <x:c r="G255" s="99" t="str">
        <x:v>複数回答</x:v>
      </x:c>
    </x:row>
    <x:row r="256">
      <x:c r="A256" s="98" t="str">
        <x:v>問27-3</x:v>
      </x:c>
      <x:c r="B256" s="94" t="str">
        <x:v>今後3年間で利用したい、または利用を続けたいサービスを選んでください（あてはまるものすべて）</x:v>
      </x:c>
      <x:c r="C256" s="94" t="str">
        <x:v>計画相談支援</x:v>
      </x:c>
      <x:c r="D256" s="94" t="n">
        <x:f>COUNTIF('データ'!$LA$5:$LA$42,"〇")</x:f>
        <x:v>3</x:v>
      </x:c>
      <x:c r="E256" s="161" t="n">
        <x:f>IF(F256=0,"",D256/F256)</x:f>
        <x:v>0.10714285714285714</x:v>
      </x:c>
      <x:c r="F256" s="94" t="n">
        <x:f>COUNTIF('データ'!$LG$5:$LG$42,"&gt;0")</x:f>
        <x:v>28</x:v>
      </x:c>
      <x:c r="G256" s="99" t="str">
        <x:v>複数回答</x:v>
      </x:c>
    </x:row>
    <x:row r="257">
      <x:c r="A257" s="98" t="str">
        <x:v>問27-3</x:v>
      </x:c>
      <x:c r="B257" s="94" t="str">
        <x:v>今後3年間で利用したい、または利用を続けたいサービスを選んでください（あてはまるものすべて）</x:v>
      </x:c>
      <x:c r="C257" s="94" t="str">
        <x:v>移動支援</x:v>
      </x:c>
      <x:c r="D257" s="94" t="n">
        <x:f>COUNTIF('データ'!$LB$5:$LB$42,"〇")</x:f>
        <x:v>2</x:v>
      </x:c>
      <x:c r="E257" s="161" t="n">
        <x:f>IF(F257=0,"",D257/F257)</x:f>
        <x:v>0.07142857142857142</x:v>
      </x:c>
      <x:c r="F257" s="94" t="n">
        <x:f>COUNTIF('データ'!$LG$5:$LG$42,"&gt;0")</x:f>
        <x:v>28</x:v>
      </x:c>
      <x:c r="G257" s="99" t="str">
        <x:v>複数回答</x:v>
      </x:c>
    </x:row>
    <x:row r="258">
      <x:c r="A258" s="98" t="str">
        <x:v>問27-3</x:v>
      </x:c>
      <x:c r="B258" s="94" t="str">
        <x:v>今後3年間で利用したい、または利用を続けたいサービスを選んでください（あてはまるものすべて）</x:v>
      </x:c>
      <x:c r="C258" s="94" t="str">
        <x:v>日中一時支援</x:v>
      </x:c>
      <x:c r="D258" s="94" t="n">
        <x:f>COUNTIF('データ'!$LC$5:$LC$42,"〇")</x:f>
        <x:v>1</x:v>
      </x:c>
      <x:c r="E258" s="161" t="n">
        <x:f>IF(F258=0,"",D258/F258)</x:f>
        <x:v>0.03571428571428571</x:v>
      </x:c>
      <x:c r="F258" s="94" t="n">
        <x:f>COUNTIF('データ'!$LG$5:$LG$42,"&gt;0")</x:f>
        <x:v>28</x:v>
      </x:c>
      <x:c r="G258" s="99" t="str">
        <x:v>複数回答</x:v>
      </x:c>
    </x:row>
    <x:row r="259">
      <x:c r="A259" s="98" t="str">
        <x:v>問27-3</x:v>
      </x:c>
      <x:c r="B259" s="94" t="str">
        <x:v>今後3年間で利用したい、または利用を続けたいサービスを選んでください（あてはまるものすべて）</x:v>
      </x:c>
      <x:c r="C259" s="94" t="str">
        <x:v>日常生活用具</x:v>
      </x:c>
      <x:c r="D259" s="94" t="n">
        <x:f>COUNTIF('データ'!$LD$5:$LD$42,"〇")</x:f>
        <x:v>1</x:v>
      </x:c>
      <x:c r="E259" s="161" t="n">
        <x:f>IF(F259=0,"",D259/F259)</x:f>
        <x:v>0.03571428571428571</x:v>
      </x:c>
      <x:c r="F259" s="94" t="n">
        <x:f>COUNTIF('データ'!$LG$5:$LG$42,"&gt;0")</x:f>
        <x:v>28</x:v>
      </x:c>
      <x:c r="G259" s="99" t="str">
        <x:v>複数回答</x:v>
      </x:c>
    </x:row>
    <x:row r="260">
      <x:c r="A260" s="98" t="str">
        <x:v>問27-3</x:v>
      </x:c>
      <x:c r="B260" s="94" t="str">
        <x:v>今後3年間で利用したい、または利用を続けたいサービスを選んでください（あてはまるものすべて）</x:v>
      </x:c>
      <x:c r="C260" s="94" t="str">
        <x:v>訪問入浴</x:v>
      </x:c>
      <x:c r="D260" s="94" t="n">
        <x:f>COUNTIF('データ'!$LE$5:$LE$42,"〇")</x:f>
        <x:v>0</x:v>
      </x:c>
      <x:c r="E260" s="161" t="n">
        <x:f>IF(F260=0,"",D260/F260)</x:f>
        <x:v>0</x:v>
      </x:c>
      <x:c r="F260" s="94" t="n">
        <x:f>COUNTIF('データ'!$LG$5:$LG$42,"&gt;0")</x:f>
        <x:v>28</x:v>
      </x:c>
      <x:c r="G260" s="99" t="str">
        <x:v>複数回答</x:v>
      </x:c>
    </x:row>
    <x:row r="261">
      <x:c r="A261" s="98" t="str">
        <x:v>問27-3</x:v>
      </x:c>
      <x:c r="B261" s="94" t="str">
        <x:v>今後3年間で利用したい、または利用を続けたいサービスを選んでください（あてはまるものすべて）</x:v>
      </x:c>
      <x:c r="C261" s="94" t="str">
        <x:v>利用したいサービスは特にない</x:v>
      </x:c>
      <x:c r="D261" s="94" t="n">
        <x:f>COUNTIF('データ'!$LF$5:$LF$42,"〇")</x:f>
        <x:v>12</x:v>
      </x:c>
      <x:c r="E261" s="161" t="n">
        <x:f>IF(F261=0,"",D261/F261)</x:f>
        <x:v>0.42857142857142855</x:v>
      </x:c>
      <x:c r="F261" s="94" t="n">
        <x:f>COUNTIF('データ'!$LG$5:$LG$42,"&gt;0")</x:f>
        <x:v>28</x:v>
      </x:c>
      <x:c r="G261" s="99" t="str">
        <x:v>複数回答</x:v>
      </x:c>
    </x:row>
    <x:row r="262">
      <x:c r="A262" s="98" t="str">
        <x:v>問28</x:v>
      </x:c>
      <x:c r="B262" s="94" t="str">
        <x:v>サービスを利用したいが利用できない理由は何ですか（あてはまるものすべて）</x:v>
      </x:c>
      <x:c r="C262" s="94" t="str">
        <x:v>近くに事業所がない</x:v>
      </x:c>
      <x:c r="D262" s="94" t="n">
        <x:f>COUNTIF('データ'!$LH$5:$LH$42,"〇")</x:f>
        <x:v>3</x:v>
      </x:c>
      <x:c r="E262" s="161" t="n">
        <x:f>IF(F262=0,"",D262/F262)</x:f>
        <x:v>0.12</x:v>
      </x:c>
      <x:c r="F262" s="94" t="n">
        <x:f>COUNTIF('データ'!$LR$5:$LR$42,"&gt;0")</x:f>
        <x:v>25</x:v>
      </x:c>
      <x:c r="G262" s="99" t="str">
        <x:v>複数回答</x:v>
      </x:c>
    </x:row>
    <x:row r="263">
      <x:c r="A263" s="98" t="str">
        <x:v>問28</x:v>
      </x:c>
      <x:c r="B263" s="94" t="str">
        <x:v>サービスを利用したいが利用できない理由は何ですか（あてはまるものすべて）</x:v>
      </x:c>
      <x:c r="C263" s="94" t="str">
        <x:v>空きがない</x:v>
      </x:c>
      <x:c r="D263" s="94" t="n">
        <x:f>COUNTIF('データ'!$LI$5:$LI$42,"〇")</x:f>
        <x:v>1</x:v>
      </x:c>
      <x:c r="E263" s="161" t="n">
        <x:f>IF(F263=0,"",D263/F263)</x:f>
        <x:v>0.04</x:v>
      </x:c>
      <x:c r="F263" s="94" t="n">
        <x:f>COUNTIF('データ'!$LR$5:$LR$42,"&gt;0")</x:f>
        <x:v>25</x:v>
      </x:c>
      <x:c r="G263" s="99" t="str">
        <x:v>複数回答</x:v>
      </x:c>
    </x:row>
    <x:row r="264">
      <x:c r="A264" s="98" t="str">
        <x:v>問28</x:v>
      </x:c>
      <x:c r="B264" s="94" t="str">
        <x:v>サービスを利用したいが利用できない理由は何ですか（あてはまるものすべて）</x:v>
      </x:c>
      <x:c r="C264" s="94" t="str">
        <x:v>送迎がない</x:v>
      </x:c>
      <x:c r="D264" s="94" t="n">
        <x:f>COUNTIF('データ'!$LJ$5:$LJ$42,"〇")</x:f>
        <x:v>1</x:v>
      </x:c>
      <x:c r="E264" s="161" t="n">
        <x:f>IF(F264=0,"",D264/F264)</x:f>
        <x:v>0.04</x:v>
      </x:c>
      <x:c r="F264" s="94" t="n">
        <x:f>COUNTIF('データ'!$LR$5:$LR$42,"&gt;0")</x:f>
        <x:v>25</x:v>
      </x:c>
      <x:c r="G264" s="99" t="str">
        <x:v>複数回答</x:v>
      </x:c>
    </x:row>
    <x:row r="265">
      <x:c r="A265" s="98" t="str">
        <x:v>問28</x:v>
      </x:c>
      <x:c r="B265" s="94" t="str">
        <x:v>サービスを利用したいが利用できない理由は何ですか（あてはまるものすべて）</x:v>
      </x:c>
      <x:c r="C265" s="94" t="str">
        <x:v>利用方法がわからない</x:v>
      </x:c>
      <x:c r="D265" s="94" t="n">
        <x:f>COUNTIF('データ'!$LK$5:$LK$42,"〇")</x:f>
        <x:v>3</x:v>
      </x:c>
      <x:c r="E265" s="161" t="n">
        <x:f>IF(F265=0,"",D265/F265)</x:f>
        <x:v>0.12</x:v>
      </x:c>
      <x:c r="F265" s="94" t="n">
        <x:f>COUNTIF('データ'!$LR$5:$LR$42,"&gt;0")</x:f>
        <x:v>25</x:v>
      </x:c>
      <x:c r="G265" s="99" t="str">
        <x:v>複数回答</x:v>
      </x:c>
    </x:row>
    <x:row r="266">
      <x:c r="A266" s="98" t="str">
        <x:v>問28</x:v>
      </x:c>
      <x:c r="B266" s="94" t="str">
        <x:v>サービスを利用したいが利用できない理由は何ですか（あてはまるものすべて）</x:v>
      </x:c>
      <x:c r="C266" s="94" t="str">
        <x:v>費用が心配</x:v>
      </x:c>
      <x:c r="D266" s="94" t="n">
        <x:f>COUNTIF('データ'!$LL$5:$LL$42,"〇")</x:f>
        <x:v>4</x:v>
      </x:c>
      <x:c r="E266" s="161" t="n">
        <x:f>IF(F266=0,"",D266/F266)</x:f>
        <x:v>0.16</x:v>
      </x:c>
      <x:c r="F266" s="94" t="n">
        <x:f>COUNTIF('データ'!$LR$5:$LR$42,"&gt;0")</x:f>
        <x:v>25</x:v>
      </x:c>
      <x:c r="G266" s="99" t="str">
        <x:v>複数回答</x:v>
      </x:c>
    </x:row>
    <x:row r="267">
      <x:c r="A267" s="98" t="str">
        <x:v>問28</x:v>
      </x:c>
      <x:c r="B267" s="94" t="str">
        <x:v>サービスを利用したいが利用できない理由は何ですか（あてはまるものすべて）</x:v>
      </x:c>
      <x:c r="C267" s="94" t="str">
        <x:v>本人に合うサービスがない</x:v>
      </x:c>
      <x:c r="D267" s="94" t="n">
        <x:f>COUNTIF('データ'!$LM$5:$LM$42,"〇")</x:f>
        <x:v>1</x:v>
      </x:c>
      <x:c r="E267" s="161" t="n">
        <x:f>IF(F267=0,"",D267/F267)</x:f>
        <x:v>0.04</x:v>
      </x:c>
      <x:c r="F267" s="94" t="n">
        <x:f>COUNTIF('データ'!$LR$5:$LR$42,"&gt;0")</x:f>
        <x:v>25</x:v>
      </x:c>
      <x:c r="G267" s="99" t="str">
        <x:v>複数回答</x:v>
      </x:c>
    </x:row>
    <x:row r="268">
      <x:c r="A268" s="98" t="str">
        <x:v>問28</x:v>
      </x:c>
      <x:c r="B268" s="94" t="str">
        <x:v>サービスを利用したいが利用できない理由は何ですか（あてはまるものすべて）</x:v>
      </x:c>
      <x:c r="C268" s="94" t="str">
        <x:v>家族が対応している</x:v>
      </x:c>
      <x:c r="D268" s="94" t="n">
        <x:f>COUNTIF('データ'!$LN$5:$LN$42,"〇")</x:f>
        <x:v>6</x:v>
      </x:c>
      <x:c r="E268" s="161" t="n">
        <x:f>IF(F268=0,"",D268/F268)</x:f>
        <x:v>0.24</x:v>
      </x:c>
      <x:c r="F268" s="94" t="n">
        <x:f>COUNTIF('データ'!$LR$5:$LR$42,"&gt;0")</x:f>
        <x:v>25</x:v>
      </x:c>
      <x:c r="G268" s="99" t="str">
        <x:v>複数回答</x:v>
      </x:c>
    </x:row>
    <x:row r="269">
      <x:c r="A269" s="98" t="str">
        <x:v>問28</x:v>
      </x:c>
      <x:c r="B269" s="94" t="str">
        <x:v>サービスを利用したいが利用できない理由は何ですか（あてはまるものすべて）</x:v>
      </x:c>
      <x:c r="C269" s="94" t="str">
        <x:v>必要性を感じない</x:v>
      </x:c>
      <x:c r="D269" s="94" t="n">
        <x:f>COUNTIF('データ'!$LO$5:$LO$42,"〇")</x:f>
        <x:v>11</x:v>
      </x:c>
      <x:c r="E269" s="161" t="n">
        <x:f>IF(F269=0,"",D269/F269)</x:f>
        <x:v>0.44</x:v>
      </x:c>
      <x:c r="F269" s="94" t="n">
        <x:f>COUNTIF('データ'!$LR$5:$LR$42,"&gt;0")</x:f>
        <x:v>25</x:v>
      </x:c>
      <x:c r="G269" s="99" t="str">
        <x:v>複数回答</x:v>
      </x:c>
    </x:row>
    <x:row r="270">
      <x:c r="A270" s="98" t="str">
        <x:v>問28</x:v>
      </x:c>
      <x:c r="B270" s="94" t="str">
        <x:v>サービスを利用したいが利用できない理由は何ですか（あてはまるものすべて）</x:v>
      </x:c>
      <x:c r="C270" s="94" t="str">
        <x:v>その他</x:v>
      </x:c>
      <x:c r="D270" s="94" t="n">
        <x:f>COUNTIF('データ'!$LP$5:$LP$42,"〇")</x:f>
        <x:v>1</x:v>
      </x:c>
      <x:c r="E270" s="161" t="n">
        <x:f>IF(F270=0,"",D270/F270)</x:f>
        <x:v>0.04</x:v>
      </x:c>
      <x:c r="F270" s="94" t="n">
        <x:f>COUNTIF('データ'!$LR$5:$LR$42,"&gt;0")</x:f>
        <x:v>25</x:v>
      </x:c>
      <x:c r="G270" s="99" t="str">
        <x:v>複数回答</x:v>
      </x:c>
    </x:row>
    <x:row r="271">
      <x:c r="A271" s="98" t="str">
        <x:v>問29</x:v>
      </x:c>
      <x:c r="B271" s="94" t="str">
        <x:v>緊急時の相談や短期入所など支援を行う地域生活支援拠点について期待する機能は何ですか（あてはまるものすべて）</x:v>
      </x:c>
      <x:c r="C271" s="94" t="str">
        <x:v>緊急時の相談</x:v>
      </x:c>
      <x:c r="D271" s="94" t="n">
        <x:f>COUNTIF('データ'!$LS$5:$LS$42,"〇")</x:f>
        <x:v>12</x:v>
      </x:c>
      <x:c r="E271" s="161" t="n">
        <x:f>IF(F271=0,"",D271/F271)</x:f>
        <x:v>0.3870967741935484</x:v>
      </x:c>
      <x:c r="F271" s="94" t="n">
        <x:f>COUNTIF('データ'!$MC$5:$MC$42,"&gt;0")</x:f>
        <x:v>31</x:v>
      </x:c>
      <x:c r="G271" s="99" t="str">
        <x:v>複数回答</x:v>
      </x:c>
    </x:row>
    <x:row r="272">
      <x:c r="A272" s="98" t="str">
        <x:v>問29</x:v>
      </x:c>
      <x:c r="B272" s="94" t="str">
        <x:v>緊急時の相談や短期入所など支援を行う地域生活支援拠点について期待する機能は何ですか（あてはまるものすべて）</x:v>
      </x:c>
      <x:c r="C272" s="94" t="str">
        <x:v>緊急時の受入れ</x:v>
      </x:c>
      <x:c r="D272" s="94" t="n">
        <x:f>COUNTIF('データ'!$LT$5:$LT$42,"〇")</x:f>
        <x:v>13</x:v>
      </x:c>
      <x:c r="E272" s="161" t="n">
        <x:f>IF(F272=0,"",D272/F272)</x:f>
        <x:v>0.41935483870967744</x:v>
      </x:c>
      <x:c r="F272" s="94" t="n">
        <x:f>COUNTIF('データ'!$MC$5:$MC$42,"&gt;0")</x:f>
        <x:v>31</x:v>
      </x:c>
      <x:c r="G272" s="99" t="str">
        <x:v>複数回答</x:v>
      </x:c>
    </x:row>
    <x:row r="273">
      <x:c r="A273" s="98" t="str">
        <x:v>問29</x:v>
      </x:c>
      <x:c r="B273" s="94" t="str">
        <x:v>緊急時の相談や短期入所など支援を行う地域生活支援拠点について期待する機能は何ですか（あてはまるものすべて）</x:v>
      </x:c>
      <x:c r="C273" s="94" t="str">
        <x:v>短期入所の確保</x:v>
      </x:c>
      <x:c r="D273" s="94" t="n">
        <x:f>COUNTIF('データ'!$LU$5:$LU$42,"〇")</x:f>
        <x:v>3</x:v>
      </x:c>
      <x:c r="E273" s="161" t="n">
        <x:f>IF(F273=0,"",D273/F273)</x:f>
        <x:v>0.0967741935483871</x:v>
      </x:c>
      <x:c r="F273" s="94" t="n">
        <x:f>COUNTIF('データ'!$MC$5:$MC$42,"&gt;0")</x:f>
        <x:v>31</x:v>
      </x:c>
      <x:c r="G273" s="99" t="str">
        <x:v>複数回答</x:v>
      </x:c>
    </x:row>
    <x:row r="274">
      <x:c r="A274" s="98" t="str">
        <x:v>問29</x:v>
      </x:c>
      <x:c r="B274" s="94" t="str">
        <x:v>緊急時の相談や短期入所など支援を行う地域生活支援拠点について期待する機能は何ですか（あてはまるものすべて）</x:v>
      </x:c>
      <x:c r="C274" s="94" t="str">
        <x:v>一人暮らし・グループホーム体験</x:v>
      </x:c>
      <x:c r="D274" s="94" t="n">
        <x:f>COUNTIF('データ'!$LV$5:$LV$42,"〇")</x:f>
        <x:v>1</x:v>
      </x:c>
      <x:c r="E274" s="161" t="n">
        <x:f>IF(F274=0,"",D274/F274)</x:f>
        <x:v>0.03225806451612903</x:v>
      </x:c>
      <x:c r="F274" s="94" t="n">
        <x:f>COUNTIF('データ'!$MC$5:$MC$42,"&gt;0")</x:f>
        <x:v>31</x:v>
      </x:c>
      <x:c r="G274" s="99" t="str">
        <x:v>複数回答</x:v>
      </x:c>
    </x:row>
    <x:row r="275">
      <x:c r="A275" s="98" t="str">
        <x:v>問29</x:v>
      </x:c>
      <x:c r="B275" s="94" t="str">
        <x:v>緊急時の相談や短期入所など支援を行う地域生活支援拠点について期待する機能は何ですか（あてはまるものすべて）</x:v>
      </x:c>
      <x:c r="C275" s="94" t="str">
        <x:v>専門的人材の確保</x:v>
      </x:c>
      <x:c r="D275" s="94" t="n">
        <x:f>COUNTIF('データ'!$LW$5:$LW$42,"〇")</x:f>
        <x:v>4</x:v>
      </x:c>
      <x:c r="E275" s="161" t="n">
        <x:f>IF(F275=0,"",D275/F275)</x:f>
        <x:v>0.12903225806451613</x:v>
      </x:c>
      <x:c r="F275" s="94" t="n">
        <x:f>COUNTIF('データ'!$MC$5:$MC$42,"&gt;0")</x:f>
        <x:v>31</x:v>
      </x:c>
      <x:c r="G275" s="99" t="str">
        <x:v>複数回答</x:v>
      </x:c>
    </x:row>
    <x:row r="276">
      <x:c r="A276" s="98" t="str">
        <x:v>問29</x:v>
      </x:c>
      <x:c r="B276" s="94" t="str">
        <x:v>緊急時の相談や短期入所など支援を行う地域生活支援拠点について期待する機能は何ですか（あてはまるものすべて）</x:v>
      </x:c>
      <x:c r="C276" s="94" t="str">
        <x:v>地域の事業所との連携</x:v>
      </x:c>
      <x:c r="D276" s="94" t="n">
        <x:f>COUNTIF('データ'!$LX$5:$LX$42,"〇")</x:f>
        <x:v>7</x:v>
      </x:c>
      <x:c r="E276" s="161" t="n">
        <x:f>IF(F276=0,"",D276/F276)</x:f>
        <x:v>0.22580645161290322</x:v>
      </x:c>
      <x:c r="F276" s="94" t="n">
        <x:f>COUNTIF('データ'!$MC$5:$MC$42,"&gt;0")</x:f>
        <x:v>31</x:v>
      </x:c>
      <x:c r="G276" s="99" t="str">
        <x:v>複数回答</x:v>
      </x:c>
    </x:row>
    <x:row r="277">
      <x:c r="A277" s="98" t="str">
        <x:v>問29</x:v>
      </x:c>
      <x:c r="B277" s="94" t="str">
        <x:v>緊急時の相談や短期入所など支援を行う地域生活支援拠点について期待する機能は何ですか（あてはまるものすべて）</x:v>
      </x:c>
      <x:c r="C277" s="94" t="str">
        <x:v>制度を知らない</x:v>
      </x:c>
      <x:c r="D277" s="94" t="n">
        <x:f>COUNTIF('データ'!$LY$5:$LY$42,"〇")</x:f>
        <x:v>7</x:v>
      </x:c>
      <x:c r="E277" s="161" t="n">
        <x:f>IF(F277=0,"",D277/F277)</x:f>
        <x:v>0.22580645161290322</x:v>
      </x:c>
      <x:c r="F277" s="94" t="n">
        <x:f>COUNTIF('データ'!$MC$5:$MC$42,"&gt;0")</x:f>
        <x:v>31</x:v>
      </x:c>
      <x:c r="G277" s="99" t="str">
        <x:v>複数回答</x:v>
      </x:c>
    </x:row>
    <x:row r="278">
      <x:c r="A278" s="98" t="str">
        <x:v>問29</x:v>
      </x:c>
      <x:c r="B278" s="94" t="str">
        <x:v>緊急時の相談や短期入所など支援を行う地域生活支援拠点について期待する機能は何ですか（あてはまるものすべて）</x:v>
      </x:c>
      <x:c r="C278" s="94" t="str">
        <x:v>特にない</x:v>
      </x:c>
      <x:c r="D278" s="94" t="n">
        <x:f>COUNTIF('データ'!$LZ$5:$LZ$42,"〇")</x:f>
        <x:v>5</x:v>
      </x:c>
      <x:c r="E278" s="161" t="n">
        <x:f>IF(F278=0,"",D278/F278)</x:f>
        <x:v>0.16129032258064516</x:v>
      </x:c>
      <x:c r="F278" s="94" t="n">
        <x:f>COUNTIF('データ'!$MC$5:$MC$42,"&gt;0")</x:f>
        <x:v>31</x:v>
      </x:c>
      <x:c r="G278" s="99" t="str">
        <x:v>複数回答</x:v>
      </x:c>
    </x:row>
    <x:row r="279">
      <x:c r="A279" s="98" t="str">
        <x:v>問29</x:v>
      </x:c>
      <x:c r="B279" s="94" t="str">
        <x:v>緊急時の相談や短期入所など支援を行う地域生活支援拠点について期待する機能は何ですか（あてはまるものすべて）</x:v>
      </x:c>
      <x:c r="C279" s="94" t="str">
        <x:v>その他</x:v>
      </x:c>
      <x:c r="D279" s="94" t="n">
        <x:f>COUNTIF('データ'!$MA$5:$MA$42,"〇")</x:f>
        <x:v>0</x:v>
      </x:c>
      <x:c r="E279" s="161" t="n">
        <x:f>IF(F279=0,"",D279/F279)</x:f>
        <x:v>0</x:v>
      </x:c>
      <x:c r="F279" s="94" t="n">
        <x:f>COUNTIF('データ'!$MC$5:$MC$42,"&gt;0")</x:f>
        <x:v>31</x:v>
      </x:c>
      <x:c r="G279" s="99" t="str">
        <x:v>複数回答</x:v>
      </x:c>
    </x:row>
    <x:row r="280">
      <x:c r="A280" s="98" t="str">
        <x:v>問30</x:v>
      </x:c>
      <x:c r="B280" s="94" t="str">
        <x:v>今利用している福祉サービスに満足していますか</x:v>
      </x:c>
      <x:c r="C280" s="94" t="str">
        <x:v>満足している</x:v>
      </x:c>
      <x:c r="D280" s="94" t="n">
        <x:f>COUNTIF('データ'!$MD$5:$MD$42,"〇")</x:f>
        <x:v>13</x:v>
      </x:c>
      <x:c r="E280" s="161" t="n">
        <x:f>IF(F280=0,"",D280/F280)</x:f>
        <x:v>0.3939393939393939</x:v>
      </x:c>
      <x:c r="F280" s="94" t="n">
        <x:f>COUNTIF('データ'!$MK$5:$MK$42,"&gt;0")</x:f>
        <x:v>33</x:v>
      </x:c>
      <x:c r="G280" s="99" t="str">
        <x:v>単一回答</x:v>
      </x:c>
    </x:row>
    <x:row r="281">
      <x:c r="A281" s="98" t="str">
        <x:v>問30</x:v>
      </x:c>
      <x:c r="B281" s="94" t="str">
        <x:v>今利用している福祉サービスに満足していますか</x:v>
      </x:c>
      <x:c r="C281" s="94" t="str">
        <x:v>適切なサービスがわからない</x:v>
      </x:c>
      <x:c r="D281" s="94" t="n">
        <x:f>COUNTIF('データ'!$ME$5:$ME$42,"〇")</x:f>
        <x:v>3</x:v>
      </x:c>
      <x:c r="E281" s="161" t="n">
        <x:f>IF(F281=0,"",D281/F281)</x:f>
        <x:v>0.09090909090909091</x:v>
      </x:c>
      <x:c r="F281" s="94" t="n">
        <x:f>COUNTIF('データ'!$MK$5:$MK$42,"&gt;0")</x:f>
        <x:v>33</x:v>
      </x:c>
      <x:c r="G281" s="99" t="str">
        <x:v>単一回答</x:v>
      </x:c>
    </x:row>
    <x:row r="282">
      <x:c r="A282" s="98" t="str">
        <x:v>問30</x:v>
      </x:c>
      <x:c r="B282" s="94" t="str">
        <x:v>今利用している福祉サービスに満足していますか</x:v>
      </x:c>
      <x:c r="C282" s="94" t="str">
        <x:v>サービスの量が足りない</x:v>
      </x:c>
      <x:c r="D282" s="94" t="n">
        <x:f>COUNTIF('データ'!$MF$5:$MF$42,"〇")</x:f>
        <x:v>1</x:v>
      </x:c>
      <x:c r="E282" s="161" t="n">
        <x:f>IF(F282=0,"",D282/F282)</x:f>
        <x:v>0.030303030303030304</x:v>
      </x:c>
      <x:c r="F282" s="94" t="n">
        <x:f>COUNTIF('データ'!$MK$5:$MK$42,"&gt;0")</x:f>
        <x:v>33</x:v>
      </x:c>
      <x:c r="G282" s="99" t="str">
        <x:v>単一回答</x:v>
      </x:c>
    </x:row>
    <x:row r="283">
      <x:c r="A283" s="98" t="str">
        <x:v>問30</x:v>
      </x:c>
      <x:c r="B283" s="94" t="str">
        <x:v>今利用している福祉サービスに満足していますか</x:v>
      </x:c>
      <x:c r="C283" s="94" t="str">
        <x:v>サービスの質がよくない</x:v>
      </x:c>
      <x:c r="D283" s="94" t="n">
        <x:f>COUNTIF('データ'!$MG$5:$MG$42,"〇")</x:f>
        <x:v>0</x:v>
      </x:c>
      <x:c r="E283" s="161" t="n">
        <x:f>IF(F283=0,"",D283/F283)</x:f>
        <x:v>0</x:v>
      </x:c>
      <x:c r="F283" s="94" t="n">
        <x:f>COUNTIF('データ'!$MK$5:$MK$42,"&gt;0")</x:f>
        <x:v>33</x:v>
      </x:c>
      <x:c r="G283" s="99" t="str">
        <x:v>単一回答</x:v>
      </x:c>
    </x:row>
    <x:row r="284">
      <x:c r="A284" s="98" t="str">
        <x:v>問30</x:v>
      </x:c>
      <x:c r="B284" s="94" t="str">
        <x:v>今利用している福祉サービスに満足していますか</x:v>
      </x:c>
      <x:c r="C284" s="94" t="str">
        <x:v>利用できる事業所が少ない</x:v>
      </x:c>
      <x:c r="D284" s="94" t="n">
        <x:f>COUNTIF('データ'!$MH$5:$MH$42,"〇")</x:f>
        <x:v>1</x:v>
      </x:c>
      <x:c r="E284" s="161" t="n">
        <x:f>IF(F284=0,"",D284/F284)</x:f>
        <x:v>0.030303030303030304</x:v>
      </x:c>
      <x:c r="F284" s="94" t="n">
        <x:f>COUNTIF('データ'!$MK$5:$MK$42,"&gt;0")</x:f>
        <x:v>33</x:v>
      </x:c>
      <x:c r="G284" s="99" t="str">
        <x:v>単一回答</x:v>
      </x:c>
    </x:row>
    <x:row r="285">
      <x:c r="A285" s="98" t="str">
        <x:v>問30</x:v>
      </x:c>
      <x:c r="B285" s="94" t="str">
        <x:v>今利用している福祉サービスに満足していますか</x:v>
      </x:c>
      <x:c r="C285" s="94" t="str">
        <x:v>サービスの使い方がわからない</x:v>
      </x:c>
      <x:c r="D285" s="94" t="n">
        <x:f>COUNTIF('データ'!$MI$5:$MI$42,"〇")</x:f>
        <x:v>3</x:v>
      </x:c>
      <x:c r="E285" s="161" t="n">
        <x:f>IF(F285=0,"",D285/F285)</x:f>
        <x:v>0.09090909090909091</x:v>
      </x:c>
      <x:c r="F285" s="94" t="n">
        <x:f>COUNTIF('データ'!$MK$5:$MK$42,"&gt;0")</x:f>
        <x:v>33</x:v>
      </x:c>
      <x:c r="G285" s="99" t="str">
        <x:v>単一回答</x:v>
      </x:c>
    </x:row>
    <x:row r="286">
      <x:c r="A286" s="98" t="str">
        <x:v>問30</x:v>
      </x:c>
      <x:c r="B286" s="94" t="str">
        <x:v>今利用している福祉サービスに満足していますか</x:v>
      </x:c>
      <x:c r="C286" s="94" t="str">
        <x:v>利用していない</x:v>
      </x:c>
      <x:c r="D286" s="94" t="n">
        <x:f>COUNTIF('データ'!$MJ$5:$MJ$42,"〇")</x:f>
        <x:v>12</x:v>
      </x:c>
      <x:c r="E286" s="161" t="n">
        <x:f>IF(F286=0,"",D286/F286)</x:f>
        <x:v>0.36363636363636365</x:v>
      </x:c>
      <x:c r="F286" s="94" t="n">
        <x:f>COUNTIF('データ'!$MK$5:$MK$42,"&gt;0")</x:f>
        <x:v>33</x:v>
      </x:c>
      <x:c r="G286" s="99" t="str">
        <x:v>単一回答</x:v>
      </x:c>
    </x:row>
    <x:row r="287">
      <x:c r="A287" s="98" t="str">
        <x:v>問31</x:v>
      </x:c>
      <x:c r="B287" s="94" t="str">
        <x:v>現在の日中の過ごし方を教えてください</x:v>
      </x:c>
      <x:c r="C287" s="94" t="str">
        <x:v>一般企業等で働いている</x:v>
      </x:c>
      <x:c r="D287" s="94" t="n">
        <x:f>COUNTIF('データ'!$ML$5:$ML$42,"〇")</x:f>
        <x:v>2</x:v>
      </x:c>
      <x:c r="E287" s="161" t="n">
        <x:f>IF(F287=0,"",D287/F287)</x:f>
        <x:v>0.058823529411764705</x:v>
      </x:c>
      <x:c r="F287" s="94" t="n">
        <x:f>COUNTIF('データ'!$MV$5:$MV$42,"&gt;0")</x:f>
        <x:v>34</x:v>
      </x:c>
      <x:c r="G287" s="99" t="str">
        <x:v>単一回答</x:v>
      </x:c>
    </x:row>
    <x:row r="288">
      <x:c r="A288" s="98" t="str">
        <x:v>問31</x:v>
      </x:c>
      <x:c r="B288" s="94" t="str">
        <x:v>現在の日中の過ごし方を教えてください</x:v>
      </x:c>
      <x:c r="C288" s="94" t="str">
        <x:v>自営業・農業等をしている</x:v>
      </x:c>
      <x:c r="D288" s="94" t="n">
        <x:f>COUNTIF('データ'!$MM$5:$MM$42,"〇")</x:f>
        <x:v>4</x:v>
      </x:c>
      <x:c r="E288" s="161" t="n">
        <x:f>IF(F288=0,"",D288/F288)</x:f>
        <x:v>0.11764705882352941</x:v>
      </x:c>
      <x:c r="F288" s="94" t="n">
        <x:f>COUNTIF('データ'!$MV$5:$MV$42,"&gt;0")</x:f>
        <x:v>34</x:v>
      </x:c>
      <x:c r="G288" s="99" t="str">
        <x:v>単一回答</x:v>
      </x:c>
    </x:row>
    <x:row r="289">
      <x:c r="A289" s="98" t="str">
        <x:v>問31</x:v>
      </x:c>
      <x:c r="B289" s="94" t="str">
        <x:v>現在の日中の過ごし方を教えてください</x:v>
      </x:c>
      <x:c r="C289" s="94" t="str">
        <x:v>就労継続支援A型を利用</x:v>
      </x:c>
      <x:c r="D289" s="94" t="n">
        <x:f>COUNTIF('データ'!$MN$5:$MN$42,"〇")</x:f>
        <x:v>0</x:v>
      </x:c>
      <x:c r="E289" s="161" t="n">
        <x:f>IF(F289=0,"",D289/F289)</x:f>
        <x:v>0</x:v>
      </x:c>
      <x:c r="F289" s="94" t="n">
        <x:f>COUNTIF('データ'!$MV$5:$MV$42,"&gt;0")</x:f>
        <x:v>34</x:v>
      </x:c>
      <x:c r="G289" s="99" t="str">
        <x:v>単一回答</x:v>
      </x:c>
    </x:row>
    <x:row r="290">
      <x:c r="A290" s="98" t="str">
        <x:v>問31</x:v>
      </x:c>
      <x:c r="B290" s="94" t="str">
        <x:v>現在の日中の過ごし方を教えてください</x:v>
      </x:c>
      <x:c r="C290" s="94" t="str">
        <x:v>就労継続支援B型を利用</x:v>
      </x:c>
      <x:c r="D290" s="94" t="n">
        <x:f>COUNTIF('データ'!$MO$5:$MO$42,"〇")</x:f>
        <x:v>2</x:v>
      </x:c>
      <x:c r="E290" s="161" t="n">
        <x:f>IF(F290=0,"",D290/F290)</x:f>
        <x:v>0.058823529411764705</x:v>
      </x:c>
      <x:c r="F290" s="94" t="n">
        <x:f>COUNTIF('データ'!$MV$5:$MV$42,"&gt;0")</x:f>
        <x:v>34</x:v>
      </x:c>
      <x:c r="G290" s="99" t="str">
        <x:v>単一回答</x:v>
      </x:c>
    </x:row>
    <x:row r="291">
      <x:c r="A291" s="98" t="str">
        <x:v>問31</x:v>
      </x:c>
      <x:c r="B291" s="94" t="str">
        <x:v>現在の日中の過ごし方を教えてください</x:v>
      </x:c>
      <x:c r="C291" s="94" t="str">
        <x:v>生活介護を利用</x:v>
      </x:c>
      <x:c r="D291" s="94" t="n">
        <x:f>COUNTIF('データ'!$MP$5:$MP$42,"〇")</x:f>
        <x:v>2</x:v>
      </x:c>
      <x:c r="E291" s="161" t="n">
        <x:f>IF(F291=0,"",D291/F291)</x:f>
        <x:v>0.058823529411764705</x:v>
      </x:c>
      <x:c r="F291" s="94" t="n">
        <x:f>COUNTIF('データ'!$MV$5:$MV$42,"&gt;0")</x:f>
        <x:v>34</x:v>
      </x:c>
      <x:c r="G291" s="99" t="str">
        <x:v>単一回答</x:v>
      </x:c>
    </x:row>
    <x:row r="292">
      <x:c r="A292" s="98" t="str">
        <x:v>問31</x:v>
      </x:c>
      <x:c r="B292" s="94" t="str">
        <x:v>現在の日中の過ごし方を教えてください</x:v>
      </x:c>
      <x:c r="C292" s="94" t="str">
        <x:v>学校に通っている</x:v>
      </x:c>
      <x:c r="D292" s="94" t="n">
        <x:f>COUNTIF('データ'!$MQ$5:$MQ$42,"〇")</x:f>
        <x:v>0</x:v>
      </x:c>
      <x:c r="E292" s="161" t="n">
        <x:f>IF(F292=0,"",D292/F292)</x:f>
        <x:v>0</x:v>
      </x:c>
      <x:c r="F292" s="94" t="n">
        <x:f>COUNTIF('データ'!$MV$5:$MV$42,"&gt;0")</x:f>
        <x:v>34</x:v>
      </x:c>
      <x:c r="G292" s="99" t="str">
        <x:v>単一回答</x:v>
      </x:c>
    </x:row>
    <x:row r="293">
      <x:c r="A293" s="98" t="str">
        <x:v>問31</x:v>
      </x:c>
      <x:c r="B293" s="94" t="str">
        <x:v>現在の日中の過ごし方を教えてください</x:v>
      </x:c>
      <x:c r="C293" s="94" t="str">
        <x:v>自宅で過ごすことが多い</x:v>
      </x:c>
      <x:c r="D293" s="94" t="n">
        <x:f>COUNTIF('データ'!$MR$5:$MR$42,"〇")</x:f>
        <x:v>14</x:v>
      </x:c>
      <x:c r="E293" s="161" t="n">
        <x:f>IF(F293=0,"",D293/F293)</x:f>
        <x:v>0.4117647058823529</x:v>
      </x:c>
      <x:c r="F293" s="94" t="n">
        <x:f>COUNTIF('データ'!$MV$5:$MV$42,"&gt;0")</x:f>
        <x:v>34</x:v>
      </x:c>
      <x:c r="G293" s="99" t="str">
        <x:v>単一回答</x:v>
      </x:c>
    </x:row>
    <x:row r="294">
      <x:c r="A294" s="98" t="str">
        <x:v>問31</x:v>
      </x:c>
      <x:c r="B294" s="94" t="str">
        <x:v>現在の日中の過ごし方を教えてください</x:v>
      </x:c>
      <x:c r="C294" s="94" t="str">
        <x:v>入院・入所中</x:v>
      </x:c>
      <x:c r="D294" s="94" t="n">
        <x:f>COUNTIF('データ'!$MS$5:$MS$42,"〇")</x:f>
        <x:v>5</x:v>
      </x:c>
      <x:c r="E294" s="161" t="n">
        <x:f>IF(F294=0,"",D294/F294)</x:f>
        <x:v>0.14705882352941177</x:v>
      </x:c>
      <x:c r="F294" s="94" t="n">
        <x:f>COUNTIF('データ'!$MV$5:$MV$42,"&gt;0")</x:f>
        <x:v>34</x:v>
      </x:c>
      <x:c r="G294" s="99" t="str">
        <x:v>単一回答</x:v>
      </x:c>
    </x:row>
    <x:row r="295">
      <x:c r="A295" s="98" t="str">
        <x:v>問31</x:v>
      </x:c>
      <x:c r="B295" s="94" t="str">
        <x:v>現在の日中の過ごし方を教えてください</x:v>
      </x:c>
      <x:c r="C295" s="94" t="str">
        <x:v>その他</x:v>
      </x:c>
      <x:c r="D295" s="94" t="n">
        <x:f>COUNTIF('データ'!$MT$5:$MT$42,"〇")</x:f>
        <x:v>5</x:v>
      </x:c>
      <x:c r="E295" s="161" t="n">
        <x:f>IF(F295=0,"",D295/F295)</x:f>
        <x:v>0.14705882352941177</x:v>
      </x:c>
      <x:c r="F295" s="94" t="n">
        <x:f>COUNTIF('データ'!$MV$5:$MV$42,"&gt;0")</x:f>
        <x:v>34</x:v>
      </x:c>
      <x:c r="G295" s="99" t="str">
        <x:v>単一回答</x:v>
      </x:c>
    </x:row>
    <x:row r="296">
      <x:c r="A296" s="98" t="str">
        <x:v>問32</x:v>
      </x:c>
      <x:c r="B296" s="94" t="str">
        <x:v>今後希望する日中活動・働き方を教えてください</x:v>
      </x:c>
      <x:c r="C296" s="94" t="str">
        <x:v>一般企業等で働きたい</x:v>
      </x:c>
      <x:c r="D296" s="94" t="n">
        <x:f>COUNTIF('データ'!$MW$5:$MW$42,"〇")</x:f>
        <x:v>1</x:v>
      </x:c>
      <x:c r="E296" s="161" t="n">
        <x:f>IF(F296=0,"",D296/F296)</x:f>
        <x:v>0.03125</x:v>
      </x:c>
      <x:c r="F296" s="94" t="n">
        <x:f>COUNTIF('データ'!$NG$5:$NG$42,"&gt;0")</x:f>
        <x:v>32</x:v>
      </x:c>
      <x:c r="G296" s="99" t="str">
        <x:v>単一回答</x:v>
      </x:c>
    </x:row>
    <x:row r="297">
      <x:c r="A297" s="98" t="str">
        <x:v>問32</x:v>
      </x:c>
      <x:c r="B297" s="94" t="str">
        <x:v>今後希望する日中活動・働き方を教えてください</x:v>
      </x:c>
      <x:c r="C297" s="94" t="str">
        <x:v>短時間・体調に合わせて働きたい</x:v>
      </x:c>
      <x:c r="D297" s="94" t="n">
        <x:f>COUNTIF('データ'!$MX$5:$MX$42,"〇")</x:f>
        <x:v>3</x:v>
      </x:c>
      <x:c r="E297" s="161" t="n">
        <x:f>IF(F297=0,"",D297/F297)</x:f>
        <x:v>0.09375</x:v>
      </x:c>
      <x:c r="F297" s="94" t="n">
        <x:f>COUNTIF('データ'!$NG$5:$NG$42,"&gt;0")</x:f>
        <x:v>32</x:v>
      </x:c>
      <x:c r="G297" s="99" t="str">
        <x:v>単一回答</x:v>
      </x:c>
    </x:row>
    <x:row r="298">
      <x:c r="A298" s="98" t="str">
        <x:v>問32</x:v>
      </x:c>
      <x:c r="B298" s="94" t="str">
        <x:v>今後希望する日中活動・働き方を教えてください</x:v>
      </x:c>
      <x:c r="C298" s="94" t="str">
        <x:v>就労継続支援A型を利用したい</x:v>
      </x:c>
      <x:c r="D298" s="94" t="n">
        <x:f>COUNTIF('データ'!$MY$5:$MY$42,"〇")</x:f>
        <x:v>0</x:v>
      </x:c>
      <x:c r="E298" s="161" t="n">
        <x:f>IF(F298=0,"",D298/F298)</x:f>
        <x:v>0</x:v>
      </x:c>
      <x:c r="F298" s="94" t="n">
        <x:f>COUNTIF('データ'!$NG$5:$NG$42,"&gt;0")</x:f>
        <x:v>32</x:v>
      </x:c>
      <x:c r="G298" s="99" t="str">
        <x:v>単一回答</x:v>
      </x:c>
    </x:row>
    <x:row r="299">
      <x:c r="A299" s="98" t="str">
        <x:v>問32</x:v>
      </x:c>
      <x:c r="B299" s="94" t="str">
        <x:v>今後希望する日中活動・働き方を教えてください</x:v>
      </x:c>
      <x:c r="C299" s="94" t="str">
        <x:v>就労継続支援B型を利用したい</x:v>
      </x:c>
      <x:c r="D299" s="94" t="n">
        <x:f>COUNTIF('データ'!$MZ$5:$MZ$42,"〇")</x:f>
        <x:v>1</x:v>
      </x:c>
      <x:c r="E299" s="161" t="n">
        <x:f>IF(F299=0,"",D299/F299)</x:f>
        <x:v>0.03125</x:v>
      </x:c>
      <x:c r="F299" s="94" t="n">
        <x:f>COUNTIF('データ'!$NG$5:$NG$42,"&gt;0")</x:f>
        <x:v>32</x:v>
      </x:c>
      <x:c r="G299" s="99" t="str">
        <x:v>単一回答</x:v>
      </x:c>
    </x:row>
    <x:row r="300">
      <x:c r="A300" s="98" t="str">
        <x:v>問32</x:v>
      </x:c>
      <x:c r="B300" s="94" t="str">
        <x:v>今後希望する日中活動・働き方を教えてください</x:v>
      </x:c>
      <x:c r="C300" s="94" t="str">
        <x:v>生活介護を利用したい</x:v>
      </x:c>
      <x:c r="D300" s="94" t="n">
        <x:f>COUNTIF('データ'!$NA$5:$NA$42,"〇")</x:f>
        <x:v>1</x:v>
      </x:c>
      <x:c r="E300" s="161" t="n">
        <x:f>IF(F300=0,"",D300/F300)</x:f>
        <x:v>0.03125</x:v>
      </x:c>
      <x:c r="F300" s="94" t="n">
        <x:f>COUNTIF('データ'!$NG$5:$NG$42,"&gt;0")</x:f>
        <x:v>32</x:v>
      </x:c>
      <x:c r="G300" s="99" t="str">
        <x:v>単一回答</x:v>
      </x:c>
    </x:row>
    <x:row r="301">
      <x:c r="A301" s="98" t="str">
        <x:v>問32</x:v>
      </x:c>
      <x:c r="B301" s="94" t="str">
        <x:v>今後希望する日中活動・働き方を教えてください</x:v>
      </x:c>
      <x:c r="C301" s="94" t="str">
        <x:v>訓練を受けたい</x:v>
      </x:c>
      <x:c r="D301" s="94" t="n">
        <x:f>COUNTIF('データ'!$NB$5:$NB$42,"〇")</x:f>
        <x:v>0</x:v>
      </x:c>
      <x:c r="E301" s="161" t="n">
        <x:f>IF(F301=0,"",D301/F301)</x:f>
        <x:v>0</x:v>
      </x:c>
      <x:c r="F301" s="94" t="n">
        <x:f>COUNTIF('データ'!$NG$5:$NG$42,"&gt;0")</x:f>
        <x:v>32</x:v>
      </x:c>
      <x:c r="G301" s="99" t="str">
        <x:v>単一回答</x:v>
      </x:c>
    </x:row>
    <x:row r="302">
      <x:c r="A302" s="98" t="str">
        <x:v>問32</x:v>
      </x:c>
      <x:c r="B302" s="94" t="str">
        <x:v>今後希望する日中活動・働き方を教えてください</x:v>
      </x:c>
      <x:c r="C302" s="94" t="str">
        <x:v>今のままでよい</x:v>
      </x:c>
      <x:c r="D302" s="94" t="n">
        <x:f>COUNTIF('データ'!$NC$5:$NC$42,"〇")</x:f>
        <x:v>21</x:v>
      </x:c>
      <x:c r="E302" s="161" t="n">
        <x:f>IF(F302=0,"",D302/F302)</x:f>
        <x:v>0.65625</x:v>
      </x:c>
      <x:c r="F302" s="94" t="n">
        <x:f>COUNTIF('データ'!$NG$5:$NG$42,"&gt;0")</x:f>
        <x:v>32</x:v>
      </x:c>
      <x:c r="G302" s="99" t="str">
        <x:v>単一回答</x:v>
      </x:c>
    </x:row>
    <x:row r="303">
      <x:c r="A303" s="98" t="str">
        <x:v>問32</x:v>
      </x:c>
      <x:c r="B303" s="94" t="str">
        <x:v>今後希望する日中活動・働き方を教えてください</x:v>
      </x:c>
      <x:c r="C303" s="94" t="str">
        <x:v>まだわからない</x:v>
      </x:c>
      <x:c r="D303" s="94" t="n">
        <x:f>COUNTIF('データ'!$ND$5:$ND$42,"〇")</x:f>
        <x:v>3</x:v>
      </x:c>
      <x:c r="E303" s="161" t="n">
        <x:f>IF(F303=0,"",D303/F303)</x:f>
        <x:v>0.09375</x:v>
      </x:c>
      <x:c r="F303" s="94" t="n">
        <x:f>COUNTIF('データ'!$NG$5:$NG$42,"&gt;0")</x:f>
        <x:v>32</x:v>
      </x:c>
      <x:c r="G303" s="99" t="str">
        <x:v>単一回答</x:v>
      </x:c>
    </x:row>
    <x:row r="304">
      <x:c r="A304" s="98" t="str">
        <x:v>問32</x:v>
      </x:c>
      <x:c r="B304" s="94" t="str">
        <x:v>今後希望する日中活動・働き方を教えてください</x:v>
      </x:c>
      <x:c r="C304" s="94" t="str">
        <x:v>その他</x:v>
      </x:c>
      <x:c r="D304" s="94" t="n">
        <x:f>COUNTIF('データ'!$NE$5:$NE$42,"〇")</x:f>
        <x:v>2</x:v>
      </x:c>
      <x:c r="E304" s="161" t="n">
        <x:f>IF(F304=0,"",D304/F304)</x:f>
        <x:v>0.0625</x:v>
      </x:c>
      <x:c r="F304" s="94" t="n">
        <x:f>COUNTIF('データ'!$NG$5:$NG$42,"&gt;0")</x:f>
        <x:v>32</x:v>
      </x:c>
      <x:c r="G304" s="99" t="str">
        <x:v>単一回答</x:v>
      </x:c>
    </x:row>
    <x:row r="305">
      <x:c r="A305" s="98" t="str">
        <x:v>問33</x:v>
      </x:c>
      <x:c r="B305" s="94" t="str">
        <x:v>働くため、又は日中活動を続けるために必要な支援は何ですか（あてはまるものすべて）</x:v>
      </x:c>
      <x:c r="C305" s="94" t="str">
        <x:v>職場・作業内容の体験</x:v>
      </x:c>
      <x:c r="D305" s="94" t="n">
        <x:f>COUNTIF('データ'!$NH$5:$NH$42,"〇")</x:f>
        <x:v>4</x:v>
      </x:c>
      <x:c r="E305" s="161" t="n">
        <x:f>IF(F305=0,"",D305/F305)</x:f>
        <x:v>0.12903225806451613</x:v>
      </x:c>
      <x:c r="F305" s="94" t="n">
        <x:f>COUNTIF('データ'!$NS$5:$NS$42,"&gt;0")</x:f>
        <x:v>31</x:v>
      </x:c>
      <x:c r="G305" s="99" t="str">
        <x:v>複数回答</x:v>
      </x:c>
    </x:row>
    <x:row r="306">
      <x:c r="A306" s="98" t="str">
        <x:v>問33</x:v>
      </x:c>
      <x:c r="B306" s="94" t="str">
        <x:v>働くため、又は日中活動を続けるために必要な支援は何ですか（あてはまるものすべて）</x:v>
      </x:c>
      <x:c r="C306" s="94" t="str">
        <x:v>就労に向けた相談</x:v>
      </x:c>
      <x:c r="D306" s="94" t="n">
        <x:f>COUNTIF('データ'!$NI$5:$NI$42,"〇")</x:f>
        <x:v>4</x:v>
      </x:c>
      <x:c r="E306" s="161" t="n">
        <x:f>IF(F306=0,"",D306/F306)</x:f>
        <x:v>0.12903225806451613</x:v>
      </x:c>
      <x:c r="F306" s="94" t="n">
        <x:f>COUNTIF('データ'!$NS$5:$NS$42,"&gt;0")</x:f>
        <x:v>31</x:v>
      </x:c>
      <x:c r="G306" s="99" t="str">
        <x:v>複数回答</x:v>
      </x:c>
    </x:row>
    <x:row r="307">
      <x:c r="A307" s="98" t="str">
        <x:v>問33</x:v>
      </x:c>
      <x:c r="B307" s="94" t="str">
        <x:v>働くため、又は日中活動を続けるために必要な支援は何ですか（あてはまるものすべて）</x:v>
      </x:c>
      <x:c r="C307" s="94" t="str">
        <x:v>通勤・通所の支援</x:v>
      </x:c>
      <x:c r="D307" s="94" t="n">
        <x:f>COUNTIF('データ'!$NJ$5:$NJ$42,"〇")</x:f>
        <x:v>5</x:v>
      </x:c>
      <x:c r="E307" s="161" t="n">
        <x:f>IF(F307=0,"",D307/F307)</x:f>
        <x:v>0.16129032258064516</x:v>
      </x:c>
      <x:c r="F307" s="94" t="n">
        <x:f>COUNTIF('データ'!$NS$5:$NS$42,"&gt;0")</x:f>
        <x:v>31</x:v>
      </x:c>
      <x:c r="G307" s="99" t="str">
        <x:v>複数回答</x:v>
      </x:c>
    </x:row>
    <x:row r="308">
      <x:c r="A308" s="98" t="str">
        <x:v>問33</x:v>
      </x:c>
      <x:c r="B308" s="94" t="str">
        <x:v>働くため、又は日中活動を続けるために必要な支援は何ですか（あてはまるものすべて）</x:v>
      </x:c>
      <x:c r="C308" s="94" t="str">
        <x:v>体調に合わせた勤務</x:v>
      </x:c>
      <x:c r="D308" s="94" t="n">
        <x:f>COUNTIF('データ'!$NK$5:$NK$42,"〇")</x:f>
        <x:v>6</x:v>
      </x:c>
      <x:c r="E308" s="161" t="n">
        <x:f>IF(F308=0,"",D308/F308)</x:f>
        <x:v>0.1935483870967742</x:v>
      </x:c>
      <x:c r="F308" s="94" t="n">
        <x:f>COUNTIF('データ'!$NS$5:$NS$42,"&gt;0")</x:f>
        <x:v>31</x:v>
      </x:c>
      <x:c r="G308" s="99" t="str">
        <x:v>複数回答</x:v>
      </x:c>
    </x:row>
    <x:row r="309">
      <x:c r="A309" s="98" t="str">
        <x:v>問33</x:v>
      </x:c>
      <x:c r="B309" s="94" t="str">
        <x:v>働くため、又は日中活動を続けるために必要な支援は何ですか（あてはまるものすべて）</x:v>
      </x:c>
      <x:c r="C309" s="94" t="str">
        <x:v>職場の障がい理解</x:v>
      </x:c>
      <x:c r="D309" s="94" t="n">
        <x:f>COUNTIF('データ'!$NL$5:$NL$42,"〇")</x:f>
        <x:v>7</x:v>
      </x:c>
      <x:c r="E309" s="161" t="n">
        <x:f>IF(F309=0,"",D309/F309)</x:f>
        <x:v>0.22580645161290322</x:v>
      </x:c>
      <x:c r="F309" s="94" t="n">
        <x:f>COUNTIF('データ'!$NS$5:$NS$42,"&gt;0")</x:f>
        <x:v>31</x:v>
      </x:c>
      <x:c r="G309" s="99" t="str">
        <x:v>複数回答</x:v>
      </x:c>
    </x:row>
    <x:row r="310">
      <x:c r="A310" s="98" t="str">
        <x:v>問33</x:v>
      </x:c>
      <x:c r="B310" s="94" t="str">
        <x:v>働くため、又は日中活動を続けるために必要な支援は何ですか（あてはまるものすべて）</x:v>
      </x:c>
      <x:c r="C310" s="94" t="str">
        <x:v>仕事後の相談・定着支援</x:v>
      </x:c>
      <x:c r="D310" s="94" t="n">
        <x:f>COUNTIF('データ'!$NM$5:$NM$42,"〇")</x:f>
        <x:v>2</x:v>
      </x:c>
      <x:c r="E310" s="161" t="n">
        <x:f>IF(F310=0,"",D310/F310)</x:f>
        <x:v>0.06451612903225806</x:v>
      </x:c>
      <x:c r="F310" s="94" t="n">
        <x:f>COUNTIF('データ'!$NS$5:$NS$42,"&gt;0")</x:f>
        <x:v>31</x:v>
      </x:c>
      <x:c r="G310" s="99" t="str">
        <x:v>複数回答</x:v>
      </x:c>
    </x:row>
    <x:row r="311">
      <x:c r="A311" s="98" t="str">
        <x:v>問33</x:v>
      </x:c>
      <x:c r="B311" s="94" t="str">
        <x:v>働くため、又は日中活動を続けるために必要な支援は何ですか（あてはまるものすべて）</x:v>
      </x:c>
      <x:c r="C311" s="94" t="str">
        <x:v>生活リズムの支援</x:v>
      </x:c>
      <x:c r="D311" s="94" t="n">
        <x:f>COUNTIF('データ'!$NN$5:$NN$42,"〇")</x:f>
        <x:v>4</x:v>
      </x:c>
      <x:c r="E311" s="161" t="n">
        <x:f>IF(F311=0,"",D311/F311)</x:f>
        <x:v>0.12903225806451613</x:v>
      </x:c>
      <x:c r="F311" s="94" t="n">
        <x:f>COUNTIF('データ'!$NS$5:$NS$42,"&gt;0")</x:f>
        <x:v>31</x:v>
      </x:c>
      <x:c r="G311" s="99" t="str">
        <x:v>複数回答</x:v>
      </x:c>
    </x:row>
    <x:row r="312">
      <x:c r="A312" s="98" t="str">
        <x:v>問33</x:v>
      </x:c>
      <x:c r="B312" s="94" t="str">
        <x:v>働くため、又は日中活動を続けるために必要な支援は何ですか（あてはまるものすべて）</x:v>
      </x:c>
      <x:c r="C312" s="94" t="str">
        <x:v>家族への説明</x:v>
      </x:c>
      <x:c r="D312" s="94" t="n">
        <x:f>COUNTIF('データ'!$NO$5:$NO$42,"〇")</x:f>
        <x:v>0</x:v>
      </x:c>
      <x:c r="E312" s="161" t="n">
        <x:f>IF(F312=0,"",D312/F312)</x:f>
        <x:v>0</x:v>
      </x:c>
      <x:c r="F312" s="94" t="n">
        <x:f>COUNTIF('データ'!$NS$5:$NS$42,"&gt;0")</x:f>
        <x:v>31</x:v>
      </x:c>
      <x:c r="G312" s="99" t="str">
        <x:v>複数回答</x:v>
      </x:c>
    </x:row>
    <x:row r="313">
      <x:c r="A313" s="98" t="str">
        <x:v>問33</x:v>
      </x:c>
      <x:c r="B313" s="94" t="str">
        <x:v>働くため、又は日中活動を続けるために必要な支援は何ですか（あてはまるものすべて）</x:v>
      </x:c>
      <x:c r="C313" s="94" t="str">
        <x:v>特にない</x:v>
      </x:c>
      <x:c r="D313" s="94" t="n">
        <x:f>COUNTIF('データ'!$NP$5:$NP$42,"〇")</x:f>
        <x:v>19</x:v>
      </x:c>
      <x:c r="E313" s="161" t="n">
        <x:f>IF(F313=0,"",D313/F313)</x:f>
        <x:v>0.6129032258064516</x:v>
      </x:c>
      <x:c r="F313" s="94" t="n">
        <x:f>COUNTIF('データ'!$NS$5:$NS$42,"&gt;0")</x:f>
        <x:v>31</x:v>
      </x:c>
      <x:c r="G313" s="99" t="str">
        <x:v>複数回答</x:v>
      </x:c>
    </x:row>
    <x:row r="314">
      <x:c r="A314" s="98" t="str">
        <x:v>問33</x:v>
      </x:c>
      <x:c r="B314" s="94" t="str">
        <x:v>働くため、又は日中活動を続けるために必要な支援は何ですか（あてはまるものすべて）</x:v>
      </x:c>
      <x:c r="C314" s="94" t="str">
        <x:v>その他</x:v>
      </x:c>
      <x:c r="D314" s="94" t="n">
        <x:f>COUNTIF('データ'!$NQ$5:$NQ$42,"〇")</x:f>
        <x:v>0</x:v>
      </x:c>
      <x:c r="E314" s="161" t="n">
        <x:f>IF(F314=0,"",D314/F314)</x:f>
        <x:v>0</x:v>
      </x:c>
      <x:c r="F314" s="94" t="n">
        <x:f>COUNTIF('データ'!$NS$5:$NS$42,"&gt;0")</x:f>
        <x:v>31</x:v>
      </x:c>
      <x:c r="G314" s="99" t="str">
        <x:v>複数回答</x:v>
      </x:c>
    </x:row>
    <x:row r="315">
      <x:c r="A315" s="98" t="str">
        <x:v>問34</x:v>
      </x:c>
      <x:c r="B315" s="94" t="str">
        <x:v>障がいがあることで差別や偏見、不利益を感じたことはありますか</x:v>
      </x:c>
      <x:c r="C315" s="94" t="str">
        <x:v>週に１回程度</x:v>
      </x:c>
      <x:c r="D315" s="94" t="n">
        <x:f>COUNTIF('データ'!$NT$5:$NT$42,"〇")</x:f>
        <x:v>3</x:v>
      </x:c>
      <x:c r="E315" s="161" t="n">
        <x:f>IF(F315=0,"",D315/F315)</x:f>
        <x:v>0.0967741935483871</x:v>
      </x:c>
      <x:c r="F315" s="94" t="n">
        <x:f>COUNTIF('データ'!$NY$5:$NY$42,"&gt;0")</x:f>
        <x:v>31</x:v>
      </x:c>
      <x:c r="G315" s="99" t="str">
        <x:v>単一回答</x:v>
      </x:c>
    </x:row>
    <x:row r="316">
      <x:c r="A316" s="98" t="str">
        <x:v>問34</x:v>
      </x:c>
      <x:c r="B316" s="94" t="str">
        <x:v>障がいがあることで差別や偏見、不利益を感じたことはありますか</x:v>
      </x:c>
      <x:c r="C316" s="94" t="str">
        <x:v>月に１回程度</x:v>
      </x:c>
      <x:c r="D316" s="94" t="n">
        <x:f>COUNTIF('データ'!$NU$5:$NU$42,"〇")</x:f>
        <x:v>3</x:v>
      </x:c>
      <x:c r="E316" s="161" t="n">
        <x:f>IF(F316=0,"",D316/F316)</x:f>
        <x:v>0.0967741935483871</x:v>
      </x:c>
      <x:c r="F316" s="94" t="n">
        <x:f>COUNTIF('データ'!$NY$5:$NY$42,"&gt;0")</x:f>
        <x:v>31</x:v>
      </x:c>
      <x:c r="G316" s="99" t="str">
        <x:v>単一回答</x:v>
      </x:c>
    </x:row>
    <x:row r="317">
      <x:c r="A317" s="98" t="str">
        <x:v>問34</x:v>
      </x:c>
      <x:c r="B317" s="94" t="str">
        <x:v>障がいがあることで差別や偏見、不利益を感じたことはありますか</x:v>
      </x:c>
      <x:c r="C317" s="94" t="str">
        <x:v>年に１回程度</x:v>
      </x:c>
      <x:c r="D317" s="94" t="n">
        <x:f>COUNTIF('データ'!$NV$5:$NV$42,"〇")</x:f>
        <x:v>3</x:v>
      </x:c>
      <x:c r="E317" s="161" t="n">
        <x:f>IF(F317=0,"",D317/F317)</x:f>
        <x:v>0.0967741935483871</x:v>
      </x:c>
      <x:c r="F317" s="94" t="n">
        <x:f>COUNTIF('データ'!$NY$5:$NY$42,"&gt;0")</x:f>
        <x:v>31</x:v>
      </x:c>
      <x:c r="G317" s="99" t="str">
        <x:v>単一回答</x:v>
      </x:c>
    </x:row>
    <x:row r="318">
      <x:c r="A318" s="98" t="str">
        <x:v>問34</x:v>
      </x:c>
      <x:c r="B318" s="94" t="str">
        <x:v>障がいがあることで差別や偏見、不利益を感じたことはありますか</x:v>
      </x:c>
      <x:c r="C318" s="94" t="str">
        <x:v>ない</x:v>
      </x:c>
      <x:c r="D318" s="94" t="n">
        <x:f>COUNTIF('データ'!$NW$5:$NW$42,"〇")</x:f>
        <x:v>12</x:v>
      </x:c>
      <x:c r="E318" s="161" t="n">
        <x:f>IF(F318=0,"",D318/F318)</x:f>
        <x:v>0.3870967741935484</x:v>
      </x:c>
      <x:c r="F318" s="94" t="n">
        <x:f>COUNTIF('データ'!$NY$5:$NY$42,"&gt;0")</x:f>
        <x:v>31</x:v>
      </x:c>
      <x:c r="G318" s="99" t="str">
        <x:v>単一回答</x:v>
      </x:c>
    </x:row>
    <x:row r="319">
      <x:c r="A319" s="98" t="str">
        <x:v>問34</x:v>
      </x:c>
      <x:c r="B319" s="94" t="str">
        <x:v>障がいがあることで差別や偏見、不利益を感じたことはありますか</x:v>
      </x:c>
      <x:c r="C319" s="94" t="str">
        <x:v>わからない</x:v>
      </x:c>
      <x:c r="D319" s="94" t="n">
        <x:f>COUNTIF('データ'!$NX$5:$NX$42,"〇")</x:f>
        <x:v>10</x:v>
      </x:c>
      <x:c r="E319" s="161" t="n">
        <x:f>IF(F319=0,"",D319/F319)</x:f>
        <x:v>0.3225806451612903</x:v>
      </x:c>
      <x:c r="F319" s="94" t="n">
        <x:f>COUNTIF('データ'!$NY$5:$NY$42,"&gt;0")</x:f>
        <x:v>31</x:v>
      </x:c>
      <x:c r="G319" s="99" t="str">
        <x:v>単一回答</x:v>
      </x:c>
    </x:row>
    <x:row r="320">
      <x:c r="A320" s="98" t="str">
        <x:v>問35</x:v>
      </x:c>
      <x:c r="B320" s="94" t="str">
        <x:v>差別や偏見、不利益を感じた場面はありますか（あてはまるものすべて）</x:v>
      </x:c>
      <x:c r="C320" s="94" t="str">
        <x:v>学校等</x:v>
      </x:c>
      <x:c r="D320" s="94" t="n">
        <x:f>COUNTIF('データ'!$NZ$5:$NZ$42,"〇")</x:f>
        <x:v>0</x:v>
      </x:c>
      <x:c r="E320" s="161" t="n">
        <x:f>IF(F320=0,"",D320/F320)</x:f>
        <x:v>0</x:v>
      </x:c>
      <x:c r="F320" s="94" t="n">
        <x:f>COUNTIF('データ'!$OL$5:$OL$42,"&gt;0")</x:f>
        <x:v>30</x:v>
      </x:c>
      <x:c r="G320" s="99" t="str">
        <x:v>複数回答</x:v>
      </x:c>
    </x:row>
    <x:row r="321">
      <x:c r="A321" s="98" t="str">
        <x:v>問35</x:v>
      </x:c>
      <x:c r="B321" s="94" t="str">
        <x:v>差別や偏見、不利益を感じた場面はありますか（あてはまるものすべて）</x:v>
      </x:c>
      <x:c r="C321" s="94" t="str">
        <x:v>アルバイト先・職場</x:v>
      </x:c>
      <x:c r="D321" s="94" t="n">
        <x:f>COUNTIF('データ'!$OA$5:$OA$42,"〇")</x:f>
        <x:v>3</x:v>
      </x:c>
      <x:c r="E321" s="161" t="n">
        <x:f>IF(F321=0,"",D321/F321)</x:f>
        <x:v>0.1</x:v>
      </x:c>
      <x:c r="F321" s="94" t="n">
        <x:f>COUNTIF('データ'!$OL$5:$OL$42,"&gt;0")</x:f>
        <x:v>30</x:v>
      </x:c>
      <x:c r="G321" s="99" t="str">
        <x:v>複数回答</x:v>
      </x:c>
    </x:row>
    <x:row r="322">
      <x:c r="A322" s="98" t="str">
        <x:v>問35</x:v>
      </x:c>
      <x:c r="B322" s="94" t="str">
        <x:v>差別や偏見、不利益を感じた場面はありますか（あてはまるものすべて）</x:v>
      </x:c>
      <x:c r="C322" s="94" t="str">
        <x:v>医療機関</x:v>
      </x:c>
      <x:c r="D322" s="94" t="n">
        <x:f>COUNTIF('データ'!$OB$5:$OB$42,"〇")</x:f>
        <x:v>2</x:v>
      </x:c>
      <x:c r="E322" s="161" t="n">
        <x:f>IF(F322=0,"",D322/F322)</x:f>
        <x:v>0.06666666666666667</x:v>
      </x:c>
      <x:c r="F322" s="94" t="n">
        <x:f>COUNTIF('データ'!$OL$5:$OL$42,"&gt;0")</x:f>
        <x:v>30</x:v>
      </x:c>
      <x:c r="G322" s="99" t="str">
        <x:v>複数回答</x:v>
      </x:c>
    </x:row>
    <x:row r="323">
      <x:c r="A323" s="98" t="str">
        <x:v>問35</x:v>
      </x:c>
      <x:c r="B323" s="94" t="str">
        <x:v>差別や偏見、不利益を感じた場面はありますか（あてはまるものすべて）</x:v>
      </x:c>
      <x:c r="C323" s="94" t="str">
        <x:v>福祉サービス事業所</x:v>
      </x:c>
      <x:c r="D323" s="94" t="n">
        <x:f>COUNTIF('データ'!$OC$5:$OC$42,"〇")</x:f>
        <x:v>0</x:v>
      </x:c>
      <x:c r="E323" s="161" t="n">
        <x:f>IF(F323=0,"",D323/F323)</x:f>
        <x:v>0</x:v>
      </x:c>
      <x:c r="F323" s="94" t="n">
        <x:f>COUNTIF('データ'!$OL$5:$OL$42,"&gt;0")</x:f>
        <x:v>30</x:v>
      </x:c>
      <x:c r="G323" s="99" t="str">
        <x:v>複数回答</x:v>
      </x:c>
    </x:row>
    <x:row r="324">
      <x:c r="A324" s="98" t="str">
        <x:v>問35</x:v>
      </x:c>
      <x:c r="B324" s="94" t="str">
        <x:v>差別や偏見、不利益を感じた場面はありますか（あてはまるものすべて）</x:v>
      </x:c>
      <x:c r="C324" s="94" t="str">
        <x:v>役場・公共施設</x:v>
      </x:c>
      <x:c r="D324" s="94" t="n">
        <x:f>COUNTIF('データ'!$OD$5:$OD$42,"〇")</x:f>
        <x:v>0</x:v>
      </x:c>
      <x:c r="E324" s="161" t="n">
        <x:f>IF(F324=0,"",D324/F324)</x:f>
        <x:v>0</x:v>
      </x:c>
      <x:c r="F324" s="94" t="n">
        <x:f>COUNTIF('データ'!$OL$5:$OL$42,"&gt;0")</x:f>
        <x:v>30</x:v>
      </x:c>
      <x:c r="G324" s="99" t="str">
        <x:v>複数回答</x:v>
      </x:c>
    </x:row>
    <x:row r="325">
      <x:c r="A325" s="98" t="str">
        <x:v>問35</x:v>
      </x:c>
      <x:c r="B325" s="94" t="str">
        <x:v>差別や偏見、不利益を感じた場面はありますか（あてはまるものすべて）</x:v>
      </x:c>
      <x:c r="C325" s="94" t="str">
        <x:v>地域活動・行事</x:v>
      </x:c>
      <x:c r="D325" s="94" t="n">
        <x:f>COUNTIF('データ'!$OE$5:$OE$42,"〇")</x:f>
        <x:v>3</x:v>
      </x:c>
      <x:c r="E325" s="161" t="n">
        <x:f>IF(F325=0,"",D325/F325)</x:f>
        <x:v>0.1</x:v>
      </x:c>
      <x:c r="F325" s="94" t="n">
        <x:f>COUNTIF('データ'!$OL$5:$OL$42,"&gt;0")</x:f>
        <x:v>30</x:v>
      </x:c>
      <x:c r="G325" s="99" t="str">
        <x:v>複数回答</x:v>
      </x:c>
    </x:row>
    <x:row r="326">
      <x:c r="A326" s="98" t="str">
        <x:v>問35</x:v>
      </x:c>
      <x:c r="B326" s="94" t="str">
        <x:v>差別や偏見、不利益を感じた場面はありますか（あてはまるものすべて）</x:v>
      </x:c>
      <x:c r="C326" s="94" t="str">
        <x:v>公共交通機関・飲食店・買い物等</x:v>
      </x:c>
      <x:c r="D326" s="94" t="n">
        <x:f>COUNTIF('データ'!$OF$5:$OF$42,"〇")</x:f>
        <x:v>2</x:v>
      </x:c>
      <x:c r="E326" s="161" t="n">
        <x:f>IF(F326=0,"",D326/F326)</x:f>
        <x:v>0.06666666666666667</x:v>
      </x:c>
      <x:c r="F326" s="94" t="n">
        <x:f>COUNTIF('データ'!$OL$5:$OL$42,"&gt;0")</x:f>
        <x:v>30</x:v>
      </x:c>
      <x:c r="G326" s="99" t="str">
        <x:v>複数回答</x:v>
      </x:c>
    </x:row>
    <x:row r="327">
      <x:c r="A327" s="98" t="str">
        <x:v>問35</x:v>
      </x:c>
      <x:c r="B327" s="94" t="str">
        <x:v>差別や偏見、不利益を感じた場面はありますか（あてはまるものすべて）</x:v>
      </x:c>
      <x:c r="C327" s="94" t="str">
        <x:v>趣味・余暇活動</x:v>
      </x:c>
      <x:c r="D327" s="94" t="n">
        <x:f>COUNTIF('データ'!$OG$5:$OG$42,"〇")</x:f>
        <x:v>2</x:v>
      </x:c>
      <x:c r="E327" s="161" t="n">
        <x:f>IF(F327=0,"",D327/F327)</x:f>
        <x:v>0.06666666666666667</x:v>
      </x:c>
      <x:c r="F327" s="94" t="n">
        <x:f>COUNTIF('データ'!$OL$5:$OL$42,"&gt;0")</x:f>
        <x:v>30</x:v>
      </x:c>
      <x:c r="G327" s="99" t="str">
        <x:v>複数回答</x:v>
      </x:c>
    </x:row>
    <x:row r="328">
      <x:c r="A328" s="98" t="str">
        <x:v>問35</x:v>
      </x:c>
      <x:c r="B328" s="94" t="str">
        <x:v>差別や偏見、不利益を感じた場面はありますか（あてはまるものすべて）</x:v>
      </x:c>
      <x:c r="C328" s="94" t="str">
        <x:v>インターネット・SNS・AI</x:v>
      </x:c>
      <x:c r="D328" s="94" t="n">
        <x:f>COUNTIF('データ'!$OH$5:$OH$42,"〇")</x:f>
        <x:v>0</x:v>
      </x:c>
      <x:c r="E328" s="161" t="n">
        <x:f>IF(F328=0,"",D328/F328)</x:f>
        <x:v>0</x:v>
      </x:c>
      <x:c r="F328" s="94" t="n">
        <x:f>COUNTIF('データ'!$OL$5:$OL$42,"&gt;0")</x:f>
        <x:v>30</x:v>
      </x:c>
      <x:c r="G328" s="99" t="str">
        <x:v>複数回答</x:v>
      </x:c>
    </x:row>
    <x:row r="329">
      <x:c r="A329" s="98" t="str">
        <x:v>問35</x:v>
      </x:c>
      <x:c r="B329" s="94" t="str">
        <x:v>差別や偏見、不利益を感じた場面はありますか（あてはまるものすべて）</x:v>
      </x:c>
      <x:c r="C329" s="94" t="str">
        <x:v>特にない</x:v>
      </x:c>
      <x:c r="D329" s="94" t="n">
        <x:f>COUNTIF('データ'!$OI$5:$OI$42,"〇")</x:f>
        <x:v>19</x:v>
      </x:c>
      <x:c r="E329" s="161" t="n">
        <x:f>IF(F329=0,"",D329/F329)</x:f>
        <x:v>0.6333333333333333</x:v>
      </x:c>
      <x:c r="F329" s="94" t="n">
        <x:f>COUNTIF('データ'!$OL$5:$OL$42,"&gt;0")</x:f>
        <x:v>30</x:v>
      </x:c>
      <x:c r="G329" s="99" t="str">
        <x:v>複数回答</x:v>
      </x:c>
    </x:row>
    <x:row r="330">
      <x:c r="A330" s="98" t="str">
        <x:v>問35</x:v>
      </x:c>
      <x:c r="B330" s="94" t="str">
        <x:v>差別や偏見、不利益を感じた場面はありますか（あてはまるものすべて）</x:v>
      </x:c>
      <x:c r="C330" s="94" t="str">
        <x:v>その他</x:v>
      </x:c>
      <x:c r="D330" s="94" t="n">
        <x:f>COUNTIF('データ'!$OJ$5:$OJ$42,"〇")</x:f>
        <x:v>3</x:v>
      </x:c>
      <x:c r="E330" s="161" t="n">
        <x:f>IF(F330=0,"",D330/F330)</x:f>
        <x:v>0.1</x:v>
      </x:c>
      <x:c r="F330" s="94" t="n">
        <x:f>COUNTIF('データ'!$OL$5:$OL$42,"&gt;0")</x:f>
        <x:v>30</x:v>
      </x:c>
      <x:c r="G330" s="99" t="str">
        <x:v>複数回答</x:v>
      </x:c>
    </x:row>
    <x:row r="331">
      <x:c r="A331" s="98" t="str">
        <x:v>問36</x:v>
      </x:c>
      <x:c r="B331" s="94" t="str">
        <x:v>障がいのある人が利用しやすくするための配慮（合理的配慮）として必要だと思うことは何ですか（あてはまるものすべて）</x:v>
      </x:c>
      <x:c r="C331" s="94" t="str">
        <x:v>わかりやすい説明</x:v>
      </x:c>
      <x:c r="D331" s="94" t="n">
        <x:f>COUNTIF('データ'!$OM$5:$OM$42,"〇")</x:f>
        <x:v>16</x:v>
      </x:c>
      <x:c r="E331" s="161" t="n">
        <x:f>IF(F331=0,"",D331/F331)</x:f>
        <x:v>0.5</x:v>
      </x:c>
      <x:c r="F331" s="94" t="n">
        <x:f>COUNTIF('データ'!$OW$5:$OW$42,"&gt;0")</x:f>
        <x:v>32</x:v>
      </x:c>
      <x:c r="G331" s="99" t="str">
        <x:v>複数回答</x:v>
      </x:c>
    </x:row>
    <x:row r="332">
      <x:c r="A332" s="98" t="str">
        <x:v>問36</x:v>
      </x:c>
      <x:c r="B332" s="94" t="str">
        <x:v>障がいのある人が利用しやすくするための配慮（合理的配慮）として必要だと思うことは何ですか（あてはまるものすべて）</x:v>
      </x:c>
      <x:c r="C332" s="94" t="str">
        <x:v>筆談・手話・要約筆記・字幕等の意思疎通支援</x:v>
      </x:c>
      <x:c r="D332" s="94" t="n">
        <x:f>COUNTIF('データ'!$ON$5:$ON$42,"〇")</x:f>
        <x:v>9</x:v>
      </x:c>
      <x:c r="E332" s="161" t="n">
        <x:f>IF(F332=0,"",D332/F332)</x:f>
        <x:v>0.28125</x:v>
      </x:c>
      <x:c r="F332" s="94" t="n">
        <x:f>COUNTIF('データ'!$OW$5:$OW$42,"&gt;0")</x:f>
        <x:v>32</x:v>
      </x:c>
      <x:c r="G332" s="99" t="str">
        <x:v>複数回答</x:v>
      </x:c>
    </x:row>
    <x:row r="333">
      <x:c r="A333" s="98" t="str">
        <x:v>問36</x:v>
      </x:c>
      <x:c r="B333" s="94" t="str">
        <x:v>障がいのある人が利用しやすくするための配慮（合理的配慮）として必要だと思うことは何ですか（あてはまるものすべて）</x:v>
      </x:c>
      <x:c r="C333" s="94" t="str">
        <x:v>静かな場所での相談</x:v>
      </x:c>
      <x:c r="D333" s="94" t="n">
        <x:f>COUNTIF('データ'!$OO$5:$OO$42,"〇")</x:f>
        <x:v>2</x:v>
      </x:c>
      <x:c r="E333" s="161" t="n">
        <x:f>IF(F333=0,"",D333/F333)</x:f>
        <x:v>0.0625</x:v>
      </x:c>
      <x:c r="F333" s="94" t="n">
        <x:f>COUNTIF('データ'!$OW$5:$OW$42,"&gt;0")</x:f>
        <x:v>32</x:v>
      </x:c>
      <x:c r="G333" s="99" t="str">
        <x:v>複数回答</x:v>
      </x:c>
    </x:row>
    <x:row r="334">
      <x:c r="A334" s="98" t="str">
        <x:v>問36</x:v>
      </x:c>
      <x:c r="B334" s="94" t="str">
        <x:v>障がいのある人が利用しやすくするための配慮（合理的配慮）として必要だと思うことは何ですか（あてはまるものすべて）</x:v>
      </x:c>
      <x:c r="C334" s="94" t="str">
        <x:v>移動しやすい環境</x:v>
      </x:c>
      <x:c r="D334" s="94" t="n">
        <x:f>COUNTIF('データ'!$OP$5:$OP$42,"〇")</x:f>
        <x:v>9</x:v>
      </x:c>
      <x:c r="E334" s="161" t="n">
        <x:f>IF(F334=0,"",D334/F334)</x:f>
        <x:v>0.28125</x:v>
      </x:c>
      <x:c r="F334" s="94" t="n">
        <x:f>COUNTIF('データ'!$OW$5:$OW$42,"&gt;0")</x:f>
        <x:v>32</x:v>
      </x:c>
      <x:c r="G334" s="99" t="str">
        <x:v>複数回答</x:v>
      </x:c>
    </x:row>
    <x:row r="335">
      <x:c r="A335" s="98" t="str">
        <x:v>問36</x:v>
      </x:c>
      <x:c r="B335" s="94" t="str">
        <x:v>障がいのある人が利用しやすくするための配慮（合理的配慮）として必要だと思うことは何ですか（あてはまるものすべて）</x:v>
      </x:c>
      <x:c r="C335" s="94" t="str">
        <x:v>手続きの支援</x:v>
      </x:c>
      <x:c r="D335" s="94" t="n">
        <x:f>COUNTIF('データ'!$OQ$5:$OQ$42,"〇")</x:f>
        <x:v>15</x:v>
      </x:c>
      <x:c r="E335" s="161" t="n">
        <x:f>IF(F335=0,"",D335/F335)</x:f>
        <x:v>0.46875</x:v>
      </x:c>
      <x:c r="F335" s="94" t="n">
        <x:f>COUNTIF('データ'!$OW$5:$OW$42,"&gt;0")</x:f>
        <x:v>32</x:v>
      </x:c>
      <x:c r="G335" s="99" t="str">
        <x:v>複数回答</x:v>
      </x:c>
    </x:row>
    <x:row r="336">
      <x:c r="A336" s="98" t="str">
        <x:v>問36</x:v>
      </x:c>
      <x:c r="B336" s="94" t="str">
        <x:v>障がいのある人が利用しやすくするための配慮（合理的配慮）として必要だと思うことは何ですか（あてはまるものすべて）</x:v>
      </x:c>
      <x:c r="C336" s="94" t="str">
        <x:v>本人の意思確認を丁寧に行うこと</x:v>
      </x:c>
      <x:c r="D336" s="94" t="n">
        <x:f>COUNTIF('データ'!$OR$5:$OR$42,"〇")</x:f>
        <x:v>12</x:v>
      </x:c>
      <x:c r="E336" s="161" t="n">
        <x:f>IF(F336=0,"",D336/F336)</x:f>
        <x:v>0.375</x:v>
      </x:c>
      <x:c r="F336" s="94" t="n">
        <x:f>COUNTIF('データ'!$OW$5:$OW$42,"&gt;0")</x:f>
        <x:v>32</x:v>
      </x:c>
      <x:c r="G336" s="99" t="str">
        <x:v>複数回答</x:v>
      </x:c>
    </x:row>
    <x:row r="337">
      <x:c r="A337" s="98" t="str">
        <x:v>問36</x:v>
      </x:c>
      <x:c r="B337" s="94" t="str">
        <x:v>障がいのある人が利用しやすくするための配慮（合理的配慮）として必要だと思うことは何ですか（あてはまるものすべて）</x:v>
      </x:c>
      <x:c r="C337" s="94" t="str">
        <x:v>職場・学校での配慮</x:v>
      </x:c>
      <x:c r="D337" s="94" t="n">
        <x:f>COUNTIF('データ'!$OS$5:$OS$42,"〇")</x:f>
        <x:v>3</x:v>
      </x:c>
      <x:c r="E337" s="161" t="n">
        <x:f>IF(F337=0,"",D337/F337)</x:f>
        <x:v>0.09375</x:v>
      </x:c>
      <x:c r="F337" s="94" t="n">
        <x:f>COUNTIF('データ'!$OW$5:$OW$42,"&gt;0")</x:f>
        <x:v>32</x:v>
      </x:c>
      <x:c r="G337" s="99" t="str">
        <x:v>複数回答</x:v>
      </x:c>
    </x:row>
    <x:row r="338">
      <x:c r="A338" s="98" t="str">
        <x:v>問36</x:v>
      </x:c>
      <x:c r="B338" s="94" t="str">
        <x:v>障がいのある人が利用しやすくするための配慮（合理的配慮）として必要だと思うことは何ですか（あてはまるものすべて）</x:v>
      </x:c>
      <x:c r="C338" s="94" t="str">
        <x:v>特にない</x:v>
      </x:c>
      <x:c r="D338" s="94" t="n">
        <x:f>COUNTIF('データ'!$OT$5:$OT$42,"〇")</x:f>
        <x:v>6</x:v>
      </x:c>
      <x:c r="E338" s="161" t="n">
        <x:f>IF(F338=0,"",D338/F338)</x:f>
        <x:v>0.1875</x:v>
      </x:c>
      <x:c r="F338" s="94" t="n">
        <x:f>COUNTIF('データ'!$OW$5:$OW$42,"&gt;0")</x:f>
        <x:v>32</x:v>
      </x:c>
      <x:c r="G338" s="99" t="str">
        <x:v>複数回答</x:v>
      </x:c>
    </x:row>
    <x:row r="339">
      <x:c r="A339" s="98" t="str">
        <x:v>問36</x:v>
      </x:c>
      <x:c r="B339" s="94" t="str">
        <x:v>障がいのある人が利用しやすくするための配慮（合理的配慮）として必要だと思うことは何ですか（あてはまるものすべて）</x:v>
      </x:c>
      <x:c r="C339" s="94" t="str">
        <x:v>その他</x:v>
      </x:c>
      <x:c r="D339" s="94" t="n">
        <x:f>COUNTIF('データ'!$OU$5:$OU$42,"〇")</x:f>
        <x:v>0</x:v>
      </x:c>
      <x:c r="E339" s="161" t="n">
        <x:f>IF(F339=0,"",D339/F339)</x:f>
        <x:v>0</x:v>
      </x:c>
      <x:c r="F339" s="94" t="n">
        <x:f>COUNTIF('データ'!$OW$5:$OW$42,"&gt;0")</x:f>
        <x:v>32</x:v>
      </x:c>
      <x:c r="G339" s="99" t="str">
        <x:v>複数回答</x:v>
      </x:c>
    </x:row>
    <x:row r="340">
      <x:c r="A340" s="98" t="str">
        <x:v>問37</x:v>
      </x:c>
      <x:c r="B340" s="94" t="str">
        <x:v>成年後見制度や権利擁護支援について知っていますか</x:v>
      </x:c>
      <x:c r="C340" s="94" t="str">
        <x:v>利用している</x:v>
      </x:c>
      <x:c r="D340" s="94" t="n">
        <x:f>COUNTIF('データ'!$OX$5:$OX$42,"〇")</x:f>
        <x:v>2</x:v>
      </x:c>
      <x:c r="E340" s="161" t="n">
        <x:f>IF(F340=0,"",D340/F340)</x:f>
        <x:v>0.06060606060606061</x:v>
      </x:c>
      <x:c r="F340" s="94" t="n">
        <x:f>COUNTIF('データ'!$PC$5:$PC$42,"&gt;0")</x:f>
        <x:v>33</x:v>
      </x:c>
      <x:c r="G340" s="99" t="str">
        <x:v>単一回答</x:v>
      </x:c>
    </x:row>
    <x:row r="341">
      <x:c r="A341" s="98" t="str">
        <x:v>問37</x:v>
      </x:c>
      <x:c r="B341" s="94" t="str">
        <x:v>成年後見制度や権利擁護支援について知っていますか</x:v>
      </x:c>
      <x:c r="C341" s="94" t="str">
        <x:v>知っている</x:v>
      </x:c>
      <x:c r="D341" s="94" t="n">
        <x:f>COUNTIF('データ'!$OY$5:$OY$42,"〇")</x:f>
        <x:v>9</x:v>
      </x:c>
      <x:c r="E341" s="161" t="n">
        <x:f>IF(F341=0,"",D341/F341)</x:f>
        <x:v>0.2727272727272727</x:v>
      </x:c>
      <x:c r="F341" s="94" t="n">
        <x:f>COUNTIF('データ'!$PC$5:$PC$42,"&gt;0")</x:f>
        <x:v>33</x:v>
      </x:c>
      <x:c r="G341" s="99" t="str">
        <x:v>単一回答</x:v>
      </x:c>
    </x:row>
    <x:row r="342">
      <x:c r="A342" s="98" t="str">
        <x:v>問37</x:v>
      </x:c>
      <x:c r="B342" s="94" t="str">
        <x:v>成年後見制度や権利擁護支援について知っていますか</x:v>
      </x:c>
      <x:c r="C342" s="94" t="str">
        <x:v>名前だけ聞いたことがある</x:v>
      </x:c>
      <x:c r="D342" s="94" t="n">
        <x:f>COUNTIF('データ'!$OZ$5:$OZ$42,"〇")</x:f>
        <x:v>8</x:v>
      </x:c>
      <x:c r="E342" s="161" t="n">
        <x:f>IF(F342=0,"",D342/F342)</x:f>
        <x:v>0.24242424242424243</x:v>
      </x:c>
      <x:c r="F342" s="94" t="n">
        <x:f>COUNTIF('データ'!$PC$5:$PC$42,"&gt;0")</x:f>
        <x:v>33</x:v>
      </x:c>
      <x:c r="G342" s="99" t="str">
        <x:v>単一回答</x:v>
      </x:c>
    </x:row>
    <x:row r="343">
      <x:c r="A343" s="98" t="str">
        <x:v>問37</x:v>
      </x:c>
      <x:c r="B343" s="94" t="str">
        <x:v>成年後見制度や権利擁護支援について知っていますか</x:v>
      </x:c>
      <x:c r="C343" s="94" t="str">
        <x:v>利用したいが手続きがわからない</x:v>
      </x:c>
      <x:c r="D343" s="94" t="n">
        <x:f>COUNTIF('データ'!$PA$5:$PA$42,"〇")</x:f>
        <x:v>0</x:v>
      </x:c>
      <x:c r="E343" s="161" t="n">
        <x:f>IF(F343=0,"",D343/F343)</x:f>
        <x:v>0</x:v>
      </x:c>
      <x:c r="F343" s="94" t="n">
        <x:f>COUNTIF('データ'!$PC$5:$PC$42,"&gt;0")</x:f>
        <x:v>33</x:v>
      </x:c>
      <x:c r="G343" s="99" t="str">
        <x:v>単一回答</x:v>
      </x:c>
    </x:row>
    <x:row r="344">
      <x:c r="A344" s="98" t="str">
        <x:v>問37</x:v>
      </x:c>
      <x:c r="B344" s="94" t="str">
        <x:v>成年後見制度や権利擁護支援について知っていますか</x:v>
      </x:c>
      <x:c r="C344" s="94" t="str">
        <x:v>知らない</x:v>
      </x:c>
      <x:c r="D344" s="94" t="n">
        <x:f>COUNTIF('データ'!$PB$5:$PB$42,"〇")</x:f>
        <x:v>14</x:v>
      </x:c>
      <x:c r="E344" s="161" t="n">
        <x:f>IF(F344=0,"",D344/F344)</x:f>
        <x:v>0.42424242424242425</x:v>
      </x:c>
      <x:c r="F344" s="94" t="n">
        <x:f>COUNTIF('データ'!$PC$5:$PC$42,"&gt;0")</x:f>
        <x:v>33</x:v>
      </x:c>
      <x:c r="G344" s="99" t="str">
        <x:v>単一回答</x:v>
      </x:c>
    </x:row>
    <x:row r="345">
      <x:c r="A345" s="98" t="str">
        <x:v>問38</x:v>
      </x:c>
      <x:c r="B345" s="94" t="str">
        <x:v>災害時に不安なことは何ですか（あてはまるものすべて）</x:v>
      </x:c>
      <x:c r="C345" s="94" t="str">
        <x:v>避難する方法</x:v>
      </x:c>
      <x:c r="D345" s="94" t="n">
        <x:f>COUNTIF('データ'!$PD$5:$PD$42,"〇")</x:f>
        <x:v>13</x:v>
      </x:c>
      <x:c r="E345" s="161" t="n">
        <x:f>IF(F345=0,"",D345/F345)</x:f>
        <x:v>0.38235294117647056</x:v>
      </x:c>
      <x:c r="F345" s="94" t="n">
        <x:f>COUNTIF('データ'!$PO$5:$PO$42,"&gt;0")</x:f>
        <x:v>34</x:v>
      </x:c>
      <x:c r="G345" s="99" t="str">
        <x:v>複数回答</x:v>
      </x:c>
    </x:row>
    <x:row r="346">
      <x:c r="A346" s="98" t="str">
        <x:v>問38</x:v>
      </x:c>
      <x:c r="B346" s="94" t="str">
        <x:v>災害時に不安なことは何ですか（あてはまるものすべて）</x:v>
      </x:c>
      <x:c r="C346" s="94" t="str">
        <x:v>避難先での生活</x:v>
      </x:c>
      <x:c r="D346" s="94" t="n">
        <x:f>COUNTIF('データ'!$PE$5:$PE$42,"〇")</x:f>
        <x:v>24</x:v>
      </x:c>
      <x:c r="E346" s="161" t="n">
        <x:f>IF(F346=0,"",D346/F346)</x:f>
        <x:v>0.7058823529411765</x:v>
      </x:c>
      <x:c r="F346" s="94" t="n">
        <x:f>COUNTIF('データ'!$PO$5:$PO$42,"&gt;0")</x:f>
        <x:v>34</x:v>
      </x:c>
      <x:c r="G346" s="99" t="str">
        <x:v>複数回答</x:v>
      </x:c>
    </x:row>
    <x:row r="347">
      <x:c r="A347" s="98" t="str">
        <x:v>問38</x:v>
      </x:c>
      <x:c r="B347" s="94" t="str">
        <x:v>災害時に不安なことは何ですか（あてはまるものすべて）</x:v>
      </x:c>
      <x:c r="C347" s="94" t="str">
        <x:v>薬・医療機器</x:v>
      </x:c>
      <x:c r="D347" s="94" t="n">
        <x:f>COUNTIF('データ'!$PF$5:$PF$42,"〇")</x:f>
        <x:v>17</x:v>
      </x:c>
      <x:c r="E347" s="161" t="n">
        <x:f>IF(F347=0,"",D347/F347)</x:f>
        <x:v>0.5</x:v>
      </x:c>
      <x:c r="F347" s="94" t="n">
        <x:f>COUNTIF('データ'!$PO$5:$PO$42,"&gt;0")</x:f>
        <x:v>34</x:v>
      </x:c>
      <x:c r="G347" s="99" t="str">
        <x:v>複数回答</x:v>
      </x:c>
    </x:row>
    <x:row r="348">
      <x:c r="A348" s="98" t="str">
        <x:v>問38</x:v>
      </x:c>
      <x:c r="B348" s="94" t="str">
        <x:v>災害時に不安なことは何ですか（あてはまるものすべて）</x:v>
      </x:c>
      <x:c r="C348" s="94" t="str">
        <x:v>電源の確保</x:v>
      </x:c>
      <x:c r="D348" s="94" t="n">
        <x:f>COUNTIF('データ'!$PG$5:$PG$42,"〇")</x:f>
        <x:v>6</x:v>
      </x:c>
      <x:c r="E348" s="161" t="n">
        <x:f>IF(F348=0,"",D348/F348)</x:f>
        <x:v>0.17647058823529413</x:v>
      </x:c>
      <x:c r="F348" s="94" t="n">
        <x:f>COUNTIF('データ'!$PO$5:$PO$42,"&gt;0")</x:f>
        <x:v>34</x:v>
      </x:c>
      <x:c r="G348" s="99" t="str">
        <x:v>複数回答</x:v>
      </x:c>
    </x:row>
    <x:row r="349">
      <x:c r="A349" s="98" t="str">
        <x:v>問38</x:v>
      </x:c>
      <x:c r="B349" s="94" t="str">
        <x:v>災害時に不安なことは何ですか（あてはまるものすべて）</x:v>
      </x:c>
      <x:c r="C349" s="94" t="str">
        <x:v>介助者がいないこと</x:v>
      </x:c>
      <x:c r="D349" s="94" t="n">
        <x:f>COUNTIF('データ'!$PH$5:$PH$42,"〇")</x:f>
        <x:v>3</x:v>
      </x:c>
      <x:c r="E349" s="161" t="n">
        <x:f>IF(F349=0,"",D349/F349)</x:f>
        <x:v>0.08823529411764706</x:v>
      </x:c>
      <x:c r="F349" s="94" t="n">
        <x:f>COUNTIF('データ'!$PO$5:$PO$42,"&gt;0")</x:f>
        <x:v>34</x:v>
      </x:c>
      <x:c r="G349" s="99" t="str">
        <x:v>複数回答</x:v>
      </x:c>
    </x:row>
    <x:row r="350">
      <x:c r="A350" s="98" t="str">
        <x:v>問38</x:v>
      </x:c>
      <x:c r="B350" s="94" t="str">
        <x:v>災害時に不安なことは何ですか（あてはまるものすべて）</x:v>
      </x:c>
      <x:c r="C350" s="94" t="str">
        <x:v>情報が届かないこと</x:v>
      </x:c>
      <x:c r="D350" s="94" t="n">
        <x:f>COUNTIF('データ'!$PI$5:$PI$42,"〇")</x:f>
        <x:v>5</x:v>
      </x:c>
      <x:c r="E350" s="161" t="n">
        <x:f>IF(F350=0,"",D350/F350)</x:f>
        <x:v>0.14705882352941177</x:v>
      </x:c>
      <x:c r="F350" s="94" t="n">
        <x:f>COUNTIF('データ'!$PO$5:$PO$42,"&gt;0")</x:f>
        <x:v>34</x:v>
      </x:c>
      <x:c r="G350" s="99" t="str">
        <x:v>複数回答</x:v>
      </x:c>
    </x:row>
    <x:row r="351">
      <x:c r="A351" s="98" t="str">
        <x:v>問38</x:v>
      </x:c>
      <x:c r="B351" s="94" t="str">
        <x:v>災害時に不安なことは何ですか（あてはまるものすべて）</x:v>
      </x:c>
      <x:c r="C351" s="94" t="str">
        <x:v>冬季・積雪時の避難</x:v>
      </x:c>
      <x:c r="D351" s="94" t="n">
        <x:f>COUNTIF('データ'!$PJ$5:$PJ$42,"〇")</x:f>
        <x:v>16</x:v>
      </x:c>
      <x:c r="E351" s="161" t="n">
        <x:f>IF(F351=0,"",D351/F351)</x:f>
        <x:v>0.47058823529411764</x:v>
      </x:c>
      <x:c r="F351" s="94" t="n">
        <x:f>COUNTIF('データ'!$PO$5:$PO$42,"&gt;0")</x:f>
        <x:v>34</x:v>
      </x:c>
      <x:c r="G351" s="99" t="str">
        <x:v>複数回答</x:v>
      </x:c>
    </x:row>
    <x:row r="352">
      <x:c r="A352" s="98" t="str">
        <x:v>問38</x:v>
      </x:c>
      <x:c r="B352" s="94" t="str">
        <x:v>災害時に不安なことは何ですか（あてはまるものすべて）</x:v>
      </x:c>
      <x:c r="C352" s="94" t="str">
        <x:v>ペット・補助犬等</x:v>
      </x:c>
      <x:c r="D352" s="94" t="n">
        <x:f>COUNTIF('データ'!$PK$5:$PK$42,"〇")</x:f>
        <x:v>0</x:v>
      </x:c>
      <x:c r="E352" s="161" t="n">
        <x:f>IF(F352=0,"",D352/F352)</x:f>
        <x:v>0</x:v>
      </x:c>
      <x:c r="F352" s="94" t="n">
        <x:f>COUNTIF('データ'!$PO$5:$PO$42,"&gt;0")</x:f>
        <x:v>34</x:v>
      </x:c>
      <x:c r="G352" s="99" t="str">
        <x:v>複数回答</x:v>
      </x:c>
    </x:row>
    <x:row r="353">
      <x:c r="A353" s="98" t="str">
        <x:v>問38</x:v>
      </x:c>
      <x:c r="B353" s="94" t="str">
        <x:v>災害時に不安なことは何ですか（あてはまるものすべて）</x:v>
      </x:c>
      <x:c r="C353" s="94" t="str">
        <x:v>特に不安はない</x:v>
      </x:c>
      <x:c r="D353" s="94" t="n">
        <x:f>COUNTIF('データ'!$PL$5:$PL$42,"〇")</x:f>
        <x:v>3</x:v>
      </x:c>
      <x:c r="E353" s="161" t="n">
        <x:f>IF(F353=0,"",D353/F353)</x:f>
        <x:v>0.08823529411764706</x:v>
      </x:c>
      <x:c r="F353" s="94" t="n">
        <x:f>COUNTIF('データ'!$PO$5:$PO$42,"&gt;0")</x:f>
        <x:v>34</x:v>
      </x:c>
      <x:c r="G353" s="99" t="str">
        <x:v>複数回答</x:v>
      </x:c>
    </x:row>
    <x:row r="354">
      <x:c r="A354" s="98" t="str">
        <x:v>問38</x:v>
      </x:c>
      <x:c r="B354" s="94" t="str">
        <x:v>災害時に不安なことは何ですか（あてはまるものすべて）</x:v>
      </x:c>
      <x:c r="C354" s="94" t="str">
        <x:v>その他</x:v>
      </x:c>
      <x:c r="D354" s="94" t="n">
        <x:f>COUNTIF('データ'!$PM$5:$PM$42,"〇")</x:f>
        <x:v>0</x:v>
      </x:c>
      <x:c r="E354" s="161" t="n">
        <x:f>IF(F354=0,"",D354/F354)</x:f>
        <x:v>0</x:v>
      </x:c>
      <x:c r="F354" s="94" t="n">
        <x:f>COUNTIF('データ'!$PO$5:$PO$42,"&gt;0")</x:f>
        <x:v>34</x:v>
      </x:c>
      <x:c r="G354" s="99" t="str">
        <x:v>複数回答</x:v>
      </x:c>
    </x:row>
    <x:row r="355">
      <x:c r="A355" s="98" t="str">
        <x:v>問39</x:v>
      </x:c>
      <x:c r="B355" s="94" t="str">
        <x:v>避難行動要支援者名簿や個別避難計画について知っていますか</x:v>
      </x:c>
      <x:c r="C355" s="94" t="str">
        <x:v>制度を知っており作成したい</x:v>
      </x:c>
      <x:c r="D355" s="94" t="n">
        <x:f>COUNTIF('データ'!$PP$5:$PP$42,"〇")</x:f>
        <x:v>2</x:v>
      </x:c>
      <x:c r="E355" s="161" t="n">
        <x:f>IF(F355=0,"",D355/F355)</x:f>
        <x:v>0.058823529411764705</x:v>
      </x:c>
      <x:c r="F355" s="94" t="n">
        <x:f>COUNTIF('データ'!$PT$5:$PT$42,"&gt;0")</x:f>
        <x:v>34</x:v>
      </x:c>
      <x:c r="G355" s="99" t="str">
        <x:v>単一回答</x:v>
      </x:c>
    </x:row>
    <x:row r="356">
      <x:c r="A356" s="98" t="str">
        <x:v>問39</x:v>
      </x:c>
      <x:c r="B356" s="94" t="str">
        <x:v>避難行動要支援者名簿や個別避難計画について知っていますか</x:v>
      </x:c>
      <x:c r="C356" s="94" t="str">
        <x:v>名前だけ聞いたことがある</x:v>
      </x:c>
      <x:c r="D356" s="94" t="n">
        <x:f>COUNTIF('データ'!$PQ$5:$PQ$42,"〇")</x:f>
        <x:v>5</x:v>
      </x:c>
      <x:c r="E356" s="161" t="n">
        <x:f>IF(F356=0,"",D356/F356)</x:f>
        <x:v>0.14705882352941177</x:v>
      </x:c>
      <x:c r="F356" s="94" t="n">
        <x:f>COUNTIF('データ'!$PT$5:$PT$42,"&gt;0")</x:f>
        <x:v>34</x:v>
      </x:c>
      <x:c r="G356" s="99" t="str">
        <x:v>単一回答</x:v>
      </x:c>
    </x:row>
    <x:row r="357">
      <x:c r="A357" s="98" t="str">
        <x:v>問39</x:v>
      </x:c>
      <x:c r="B357" s="94" t="str">
        <x:v>避難行動要支援者名簿や個別避難計画について知っていますか</x:v>
      </x:c>
      <x:c r="C357" s="94" t="str">
        <x:v>知らない</x:v>
      </x:c>
      <x:c r="D357" s="94" t="n">
        <x:f>COUNTIF('データ'!$PR$5:$PR$42,"〇")</x:f>
        <x:v>26</x:v>
      </x:c>
      <x:c r="E357" s="161" t="n">
        <x:f>IF(F357=0,"",D357/F357)</x:f>
        <x:v>0.7647058823529411</x:v>
      </x:c>
      <x:c r="F357" s="94" t="n">
        <x:f>COUNTIF('データ'!$PT$5:$PT$42,"&gt;0")</x:f>
        <x:v>34</x:v>
      </x:c>
      <x:c r="G357" s="99" t="str">
        <x:v>単一回答</x:v>
      </x:c>
    </x:row>
    <x:row r="358">
      <x:c r="A358" s="98" t="str">
        <x:v>問39</x:v>
      </x:c>
      <x:c r="B358" s="94" t="str">
        <x:v>避難行動要支援者名簿や個別避難計画について知っていますか</x:v>
      </x:c>
      <x:c r="C358" s="94" t="str">
        <x:v>必要ない</x:v>
      </x:c>
      <x:c r="D358" s="94" t="n">
        <x:f>COUNTIF('データ'!$PS$5:$PS$42,"〇")</x:f>
        <x:v>1</x:v>
      </x:c>
      <x:c r="E358" s="161" t="n">
        <x:f>IF(F358=0,"",D358/F358)</x:f>
        <x:v>0.029411764705882353</x:v>
      </x:c>
      <x:c r="F358" s="94" t="n">
        <x:f>COUNTIF('データ'!$PT$5:$PT$42,"&gt;0")</x:f>
        <x:v>34</x:v>
      </x:c>
      <x:c r="G358" s="99" t="str">
        <x:v>単一回答</x:v>
      </x:c>
    </x:row>
    <x:row r="359">
      <x:c r="A359" s="98" t="str">
        <x:v>問40</x:v>
      </x:c>
      <x:c r="B359" s="94" t="str">
        <x:v>災害時に支援してくれる人や機関はありますか（あてはまるものすべて）</x:v>
      </x:c>
      <x:c r="C359" s="94" t="str">
        <x:v>同居家族</x:v>
      </x:c>
      <x:c r="D359" s="94" t="n">
        <x:f>COUNTIF('データ'!$PU$5:$PU$42,"〇")</x:f>
        <x:v>23</x:v>
      </x:c>
      <x:c r="E359" s="161" t="n">
        <x:f>IF(F359=0,"",D359/F359)</x:f>
        <x:v>0.6571428571428571</x:v>
      </x:c>
      <x:c r="F359" s="94" t="n">
        <x:f>COUNTIF('データ'!$QE$5:$QE$42,"&gt;0")</x:f>
        <x:v>35</x:v>
      </x:c>
      <x:c r="G359" s="99" t="str">
        <x:v>複数回答</x:v>
      </x:c>
    </x:row>
    <x:row r="360">
      <x:c r="A360" s="98" t="str">
        <x:v>問40</x:v>
      </x:c>
      <x:c r="B360" s="94" t="str">
        <x:v>災害時に支援してくれる人や機関はありますか（あてはまるものすべて）</x:v>
      </x:c>
      <x:c r="C360" s="94" t="str">
        <x:v>別居家族・親族</x:v>
      </x:c>
      <x:c r="D360" s="94" t="n">
        <x:f>COUNTIF('データ'!$PV$5:$PV$42,"〇")</x:f>
        <x:v>10</x:v>
      </x:c>
      <x:c r="E360" s="161" t="n">
        <x:f>IF(F360=0,"",D360/F360)</x:f>
        <x:v>0.2857142857142857</x:v>
      </x:c>
      <x:c r="F360" s="94" t="n">
        <x:f>COUNTIF('データ'!$QE$5:$QE$42,"&gt;0")</x:f>
        <x:v>35</x:v>
      </x:c>
      <x:c r="G360" s="99" t="str">
        <x:v>複数回答</x:v>
      </x:c>
    </x:row>
    <x:row r="361">
      <x:c r="A361" s="98" t="str">
        <x:v>問40</x:v>
      </x:c>
      <x:c r="B361" s="94" t="str">
        <x:v>災害時に支援してくれる人や機関はありますか（あてはまるものすべて）</x:v>
      </x:c>
      <x:c r="C361" s="94" t="str">
        <x:v>近所の人</x:v>
      </x:c>
      <x:c r="D361" s="94" t="n">
        <x:f>COUNTIF('データ'!$PW$5:$PW$42,"〇")</x:f>
        <x:v>6</x:v>
      </x:c>
      <x:c r="E361" s="161" t="n">
        <x:f>IF(F361=0,"",D361/F361)</x:f>
        <x:v>0.17142857142857143</x:v>
      </x:c>
      <x:c r="F361" s="94" t="n">
        <x:f>COUNTIF('データ'!$QE$5:$QE$42,"&gt;0")</x:f>
        <x:v>35</x:v>
      </x:c>
      <x:c r="G361" s="99" t="str">
        <x:v>複数回答</x:v>
      </x:c>
    </x:row>
    <x:row r="362">
      <x:c r="A362" s="98" t="str">
        <x:v>問40</x:v>
      </x:c>
      <x:c r="B362" s="94" t="str">
        <x:v>災害時に支援してくれる人や機関はありますか（あてはまるものすべて）</x:v>
      </x:c>
      <x:c r="C362" s="94" t="str">
        <x:v>民生委員・児童委員</x:v>
      </x:c>
      <x:c r="D362" s="94" t="n">
        <x:f>COUNTIF('データ'!$PX$5:$PX$42,"〇")</x:f>
        <x:v>3</x:v>
      </x:c>
      <x:c r="E362" s="161" t="n">
        <x:f>IF(F362=0,"",D362/F362)</x:f>
        <x:v>0.08571428571428572</x:v>
      </x:c>
      <x:c r="F362" s="94" t="n">
        <x:f>COUNTIF('データ'!$QE$5:$QE$42,"&gt;0")</x:f>
        <x:v>35</x:v>
      </x:c>
      <x:c r="G362" s="99" t="str">
        <x:v>複数回答</x:v>
      </x:c>
    </x:row>
    <x:row r="363">
      <x:c r="A363" s="98" t="str">
        <x:v>問40</x:v>
      </x:c>
      <x:c r="B363" s="94" t="str">
        <x:v>災害時に支援してくれる人や機関はありますか（あてはまるものすべて）</x:v>
      </x:c>
      <x:c r="C363" s="94" t="str">
        <x:v>福祉サービス事業所</x:v>
      </x:c>
      <x:c r="D363" s="94" t="n">
        <x:f>COUNTIF('データ'!$PY$5:$PY$42,"〇")</x:f>
        <x:v>6</x:v>
      </x:c>
      <x:c r="E363" s="161" t="n">
        <x:f>IF(F363=0,"",D363/F363)</x:f>
        <x:v>0.17142857142857143</x:v>
      </x:c>
      <x:c r="F363" s="94" t="n">
        <x:f>COUNTIF('データ'!$QE$5:$QE$42,"&gt;0")</x:f>
        <x:v>35</x:v>
      </x:c>
      <x:c r="G363" s="99" t="str">
        <x:v>複数回答</x:v>
      </x:c>
    </x:row>
    <x:row r="364">
      <x:c r="A364" s="98" t="str">
        <x:v>問40</x:v>
      </x:c>
      <x:c r="B364" s="94" t="str">
        <x:v>災害時に支援してくれる人や機関はありますか（あてはまるものすべて）</x:v>
      </x:c>
      <x:c r="C364" s="94" t="str">
        <x:v>医療機関</x:v>
      </x:c>
      <x:c r="D364" s="94" t="n">
        <x:f>COUNTIF('データ'!$PZ$5:$PZ$42,"〇")</x:f>
        <x:v>4</x:v>
      </x:c>
      <x:c r="E364" s="161" t="n">
        <x:f>IF(F364=0,"",D364/F364)</x:f>
        <x:v>0.11428571428571428</x:v>
      </x:c>
      <x:c r="F364" s="94" t="n">
        <x:f>COUNTIF('データ'!$QE$5:$QE$42,"&gt;0")</x:f>
        <x:v>35</x:v>
      </x:c>
      <x:c r="G364" s="99" t="str">
        <x:v>複数回答</x:v>
      </x:c>
    </x:row>
    <x:row r="365">
      <x:c r="A365" s="98" t="str">
        <x:v>問40</x:v>
      </x:c>
      <x:c r="B365" s="94" t="str">
        <x:v>災害時に支援してくれる人や機関はありますか（あてはまるものすべて）</x:v>
      </x:c>
      <x:c r="C365" s="94" t="str">
        <x:v>消防・警察</x:v>
      </x:c>
      <x:c r="D365" s="94" t="n">
        <x:f>COUNTIF('データ'!$QA$5:$QA$42,"〇")</x:f>
        <x:v>4</x:v>
      </x:c>
      <x:c r="E365" s="161" t="n">
        <x:f>IF(F365=0,"",D365/F365)</x:f>
        <x:v>0.11428571428571428</x:v>
      </x:c>
      <x:c r="F365" s="94" t="n">
        <x:f>COUNTIF('データ'!$QE$5:$QE$42,"&gt;0")</x:f>
        <x:v>35</x:v>
      </x:c>
      <x:c r="G365" s="99" t="str">
        <x:v>複数回答</x:v>
      </x:c>
    </x:row>
    <x:row r="366">
      <x:c r="A366" s="98" t="str">
        <x:v>問40</x:v>
      </x:c>
      <x:c r="B366" s="94" t="str">
        <x:v>災害時に支援してくれる人や機関はありますか（あてはまるものすべて）</x:v>
      </x:c>
      <x:c r="C366" s="94" t="str">
        <x:v>いない・わからない</x:v>
      </x:c>
      <x:c r="D366" s="94" t="n">
        <x:f>COUNTIF('データ'!$QB$5:$QB$42,"〇")</x:f>
        <x:v>1</x:v>
      </x:c>
      <x:c r="E366" s="161" t="n">
        <x:f>IF(F366=0,"",D366/F366)</x:f>
        <x:v>0.02857142857142857</x:v>
      </x:c>
      <x:c r="F366" s="94" t="n">
        <x:f>COUNTIF('データ'!$QE$5:$QE$42,"&gt;0")</x:f>
        <x:v>35</x:v>
      </x:c>
      <x:c r="G366" s="99" t="str">
        <x:v>複数回答</x:v>
      </x:c>
    </x:row>
    <x:row r="367">
      <x:c r="A367" s="98" t="str">
        <x:v>問40</x:v>
      </x:c>
      <x:c r="B367" s="94" t="str">
        <x:v>災害時に支援してくれる人や機関はありますか（あてはまるものすべて）</x:v>
      </x:c>
      <x:c r="C367" s="94" t="str">
        <x:v>その他</x:v>
      </x:c>
      <x:c r="D367" s="94" t="n">
        <x:f>COUNTIF('データ'!$QC$5:$QC$42,"〇")</x:f>
        <x:v>1</x:v>
      </x:c>
      <x:c r="E367" s="161" t="n">
        <x:f>IF(F367=0,"",D367/F367)</x:f>
        <x:v>0.02857142857142857</x:v>
      </x:c>
      <x:c r="F367" s="94" t="n">
        <x:f>COUNTIF('データ'!$QE$5:$QE$42,"&gt;0")</x:f>
        <x:v>35</x:v>
      </x:c>
      <x:c r="G367" s="99" t="str">
        <x:v>複数回答</x:v>
      </x:c>
    </x:row>
    <x:row r="368">
      <x:c r="A368" s="98" t="str">
        <x:v>問41</x:v>
      </x:c>
      <x:c r="B368" s="94" t="str">
        <x:v>災害時に必要だと思う支援は何ですか（あてはまるものすべて）</x:v>
      </x:c>
      <x:c r="C368" s="94" t="str">
        <x:v>個別避難計画の作成支援</x:v>
      </x:c>
      <x:c r="D368" s="94" t="n">
        <x:f>COUNTIF('データ'!$QF$5:$QF$42,"〇")</x:f>
        <x:v>6</x:v>
      </x:c>
      <x:c r="E368" s="161" t="n">
        <x:f>IF(F368=0,"",D368/F368)</x:f>
        <x:v>0.18181818181818182</x:v>
      </x:c>
      <x:c r="F368" s="94" t="n">
        <x:f>COUNTIF('データ'!$QP$5:$QP$42,"&gt;0")</x:f>
        <x:v>33</x:v>
      </x:c>
      <x:c r="G368" s="99" t="str">
        <x:v>複数回答</x:v>
      </x:c>
    </x:row>
    <x:row r="369">
      <x:c r="A369" s="98" t="str">
        <x:v>問41</x:v>
      </x:c>
      <x:c r="B369" s="94" t="str">
        <x:v>災害時に必要だと思う支援は何ですか（あてはまるものすべて）</x:v>
      </x:c>
      <x:c r="C369" s="94" t="str">
        <x:v>避難訓練への参加支援</x:v>
      </x:c>
      <x:c r="D369" s="94" t="n">
        <x:f>COUNTIF('データ'!$QG$5:$QG$42,"〇")</x:f>
        <x:v>5</x:v>
      </x:c>
      <x:c r="E369" s="161" t="n">
        <x:f>IF(F369=0,"",D369/F369)</x:f>
        <x:v>0.15151515151515152</x:v>
      </x:c>
      <x:c r="F369" s="94" t="n">
        <x:f>COUNTIF('データ'!$QP$5:$QP$42,"&gt;0")</x:f>
        <x:v>33</x:v>
      </x:c>
      <x:c r="G369" s="99" t="str">
        <x:v>複数回答</x:v>
      </x:c>
    </x:row>
    <x:row r="370">
      <x:c r="A370" s="98" t="str">
        <x:v>問41</x:v>
      </x:c>
      <x:c r="B370" s="94" t="str">
        <x:v>災害時に必要だと思う支援は何ですか（あてはまるものすべて）</x:v>
      </x:c>
      <x:c r="C370" s="94" t="str">
        <x:v>福祉避難所の情報提供</x:v>
      </x:c>
      <x:c r="D370" s="94" t="n">
        <x:f>COUNTIF('データ'!$QH$5:$QH$42,"〇")</x:f>
        <x:v>12</x:v>
      </x:c>
      <x:c r="E370" s="161" t="n">
        <x:f>IF(F370=0,"",D370/F370)</x:f>
        <x:v>0.36363636363636365</x:v>
      </x:c>
      <x:c r="F370" s="94" t="n">
        <x:f>COUNTIF('データ'!$QP$5:$QP$42,"&gt;0")</x:f>
        <x:v>33</x:v>
      </x:c>
      <x:c r="G370" s="99" t="str">
        <x:v>複数回答</x:v>
      </x:c>
    </x:row>
    <x:row r="371">
      <x:c r="A371" s="98" t="str">
        <x:v>問41</x:v>
      </x:c>
      <x:c r="B371" s="94" t="str">
        <x:v>災害時に必要だと思う支援は何ですか（あてはまるものすべて）</x:v>
      </x:c>
      <x:c r="C371" s="94" t="str">
        <x:v>薬・医療機器・電源の確保</x:v>
      </x:c>
      <x:c r="D371" s="94" t="n">
        <x:f>COUNTIF('データ'!$QI$5:$QI$42,"〇")</x:f>
        <x:v>21</x:v>
      </x:c>
      <x:c r="E371" s="161" t="n">
        <x:f>IF(F371=0,"",D371/F371)</x:f>
        <x:v>0.6363636363636364</x:v>
      </x:c>
      <x:c r="F371" s="94" t="n">
        <x:f>COUNTIF('データ'!$QP$5:$QP$42,"&gt;0")</x:f>
        <x:v>33</x:v>
      </x:c>
      <x:c r="G371" s="99" t="str">
        <x:v>複数回答</x:v>
      </x:c>
    </x:row>
    <x:row r="372">
      <x:c r="A372" s="98" t="str">
        <x:v>問41</x:v>
      </x:c>
      <x:c r="B372" s="94" t="str">
        <x:v>災害時に必要だと思う支援は何ですか（あてはまるものすべて）</x:v>
      </x:c>
      <x:c r="C372" s="94" t="str">
        <x:v>冬季避難の支援</x:v>
      </x:c>
      <x:c r="D372" s="94" t="n">
        <x:f>COUNTIF('データ'!$QJ$5:$QJ$42,"〇")</x:f>
        <x:v>12</x:v>
      </x:c>
      <x:c r="E372" s="161" t="n">
        <x:f>IF(F372=0,"",D372/F372)</x:f>
        <x:v>0.36363636363636365</x:v>
      </x:c>
      <x:c r="F372" s="94" t="n">
        <x:f>COUNTIF('データ'!$QP$5:$QP$42,"&gt;0")</x:f>
        <x:v>33</x:v>
      </x:c>
      <x:c r="G372" s="99" t="str">
        <x:v>複数回答</x:v>
      </x:c>
    </x:row>
    <x:row r="373">
      <x:c r="A373" s="98" t="str">
        <x:v>問41</x:v>
      </x:c>
      <x:c r="B373" s="94" t="str">
        <x:v>災害時に必要だと思う支援は何ですか（あてはまるものすべて）</x:v>
      </x:c>
      <x:c r="C373" s="94" t="str">
        <x:v>安否確認</x:v>
      </x:c>
      <x:c r="D373" s="94" t="n">
        <x:f>COUNTIF('データ'!$QK$5:$QK$42,"〇")</x:f>
        <x:v>12</x:v>
      </x:c>
      <x:c r="E373" s="161" t="n">
        <x:f>IF(F373=0,"",D373/F373)</x:f>
        <x:v>0.36363636363636365</x:v>
      </x:c>
      <x:c r="F373" s="94" t="n">
        <x:f>COUNTIF('データ'!$QP$5:$QP$42,"&gt;0")</x:f>
        <x:v>33</x:v>
      </x:c>
      <x:c r="G373" s="99" t="str">
        <x:v>複数回答</x:v>
      </x:c>
    </x:row>
    <x:row r="374">
      <x:c r="A374" s="98" t="str">
        <x:v>問41</x:v>
      </x:c>
      <x:c r="B374" s="94" t="str">
        <x:v>災害時に必要だと思う支援は何ですか（あてはまるものすべて）</x:v>
      </x:c>
      <x:c r="C374" s="94" t="str">
        <x:v>避難所での合理的配慮</x:v>
      </x:c>
      <x:c r="D374" s="94" t="n">
        <x:f>COUNTIF('データ'!$QL$5:$QL$42,"〇")</x:f>
        <x:v>11</x:v>
      </x:c>
      <x:c r="E374" s="161" t="n">
        <x:f>IF(F374=0,"",D374/F374)</x:f>
        <x:v>0.3333333333333333</x:v>
      </x:c>
      <x:c r="F374" s="94" t="n">
        <x:f>COUNTIF('データ'!$QP$5:$QP$42,"&gt;0")</x:f>
        <x:v>33</x:v>
      </x:c>
      <x:c r="G374" s="99" t="str">
        <x:v>複数回答</x:v>
      </x:c>
    </x:row>
    <x:row r="375">
      <x:c r="A375" s="98" t="str">
        <x:v>問41</x:v>
      </x:c>
      <x:c r="B375" s="94" t="str">
        <x:v>災害時に必要だと思う支援は何ですか（あてはまるものすべて）</x:v>
      </x:c>
      <x:c r="C375" s="94" t="str">
        <x:v>文字・掲示・字幕等の目で見てわかる災害情報</x:v>
      </x:c>
      <x:c r="D375" s="94" t="n">
        <x:f>COUNTIF('データ'!$QM$5:$QM$42,"〇")</x:f>
        <x:v>12</x:v>
      </x:c>
      <x:c r="E375" s="161" t="n">
        <x:f>IF(F375=0,"",D375/F375)</x:f>
        <x:v>0.36363636363636365</x:v>
      </x:c>
      <x:c r="F375" s="94" t="n">
        <x:f>COUNTIF('データ'!$QP$5:$QP$42,"&gt;0")</x:f>
        <x:v>33</x:v>
      </x:c>
      <x:c r="G375" s="99" t="str">
        <x:v>複数回答</x:v>
      </x:c>
    </x:row>
    <x:row r="376">
      <x:c r="A376" s="98" t="str">
        <x:v>問41</x:v>
      </x:c>
      <x:c r="B376" s="94" t="str">
        <x:v>災害時に必要だと思う支援は何ですか（あてはまるものすべて）</x:v>
      </x:c>
      <x:c r="C376" s="94" t="str">
        <x:v>その他</x:v>
      </x:c>
      <x:c r="D376" s="94" t="n">
        <x:f>COUNTIF('データ'!$QN$5:$QN$42,"〇")</x:f>
        <x:v>1</x:v>
      </x:c>
      <x:c r="E376" s="161" t="n">
        <x:f>IF(F376=0,"",D376/F376)</x:f>
        <x:v>0.030303030303030304</x:v>
      </x:c>
      <x:c r="F376" s="94" t="n">
        <x:f>COUNTIF('データ'!$QP$5:$QP$42,"&gt;0")</x:f>
        <x:v>33</x:v>
      </x:c>
      <x:c r="G376" s="99" t="str">
        <x:v>複数回答</x:v>
      </x:c>
    </x:row>
    <x:row r="377">
      <x:c r="A377" s="98" t="str">
        <x:v>問42</x:v>
      </x:c>
      <x:c r="B377" s="94" t="str">
        <x:v>地域活動や社会参加について、今後参加したいものはありますか（あてはまるものすべて）</x:v>
      </x:c>
      <x:c r="C377" s="94" t="str">
        <x:v>趣味・スポーツ</x:v>
      </x:c>
      <x:c r="D377" s="94" t="n">
        <x:f>COUNTIF('データ'!$QQ$5:$QQ$42,"〇")</x:f>
        <x:v>7</x:v>
      </x:c>
      <x:c r="E377" s="161" t="n">
        <x:f>IF(F377=0,"",D377/F377)</x:f>
        <x:v>0.23333333333333334</x:v>
      </x:c>
      <x:c r="F377" s="94" t="n">
        <x:f>COUNTIF('データ'!$RA$5:$RA$42,"&gt;0")</x:f>
        <x:v>30</x:v>
      </x:c>
      <x:c r="G377" s="99" t="str">
        <x:v>複数回答</x:v>
      </x:c>
    </x:row>
    <x:row r="378">
      <x:c r="A378" s="98" t="str">
        <x:v>問42</x:v>
      </x:c>
      <x:c r="B378" s="94" t="str">
        <x:v>地域活動や社会参加について、今後参加したいものはありますか（あてはまるものすべて）</x:v>
      </x:c>
      <x:c r="C378" s="94" t="str">
        <x:v>ボランティア</x:v>
      </x:c>
      <x:c r="D378" s="94" t="n">
        <x:f>COUNTIF('データ'!$QR$5:$QR$42,"〇")</x:f>
        <x:v>2</x:v>
      </x:c>
      <x:c r="E378" s="161" t="n">
        <x:f>IF(F378=0,"",D378/F378)</x:f>
        <x:v>0.06666666666666667</x:v>
      </x:c>
      <x:c r="F378" s="94" t="n">
        <x:f>COUNTIF('データ'!$RA$5:$RA$42,"&gt;0")</x:f>
        <x:v>30</x:v>
      </x:c>
      <x:c r="G378" s="99" t="str">
        <x:v>複数回答</x:v>
      </x:c>
    </x:row>
    <x:row r="379">
      <x:c r="A379" s="98" t="str">
        <x:v>問42</x:v>
      </x:c>
      <x:c r="B379" s="94" t="str">
        <x:v>地域活動や社会参加について、今後参加したいものはありますか（あてはまるものすべて）</x:v>
      </x:c>
      <x:c r="C379" s="94" t="str">
        <x:v>地域行事</x:v>
      </x:c>
      <x:c r="D379" s="94" t="n">
        <x:f>COUNTIF('データ'!$QS$5:$QS$42,"〇")</x:f>
        <x:v>6</x:v>
      </x:c>
      <x:c r="E379" s="161" t="n">
        <x:f>IF(F379=0,"",D379/F379)</x:f>
        <x:v>0.2</x:v>
      </x:c>
      <x:c r="F379" s="94" t="n">
        <x:f>COUNTIF('データ'!$RA$5:$RA$42,"&gt;0")</x:f>
        <x:v>30</x:v>
      </x:c>
      <x:c r="G379" s="99" t="str">
        <x:v>複数回答</x:v>
      </x:c>
    </x:row>
    <x:row r="380">
      <x:c r="A380" s="98" t="str">
        <x:v>問42</x:v>
      </x:c>
      <x:c r="B380" s="94" t="str">
        <x:v>地域活動や社会参加について、今後参加したいものはありますか（あてはまるものすべて）</x:v>
      </x:c>
      <x:c r="C380" s="94" t="str">
        <x:v>障がい者団体・家族会</x:v>
      </x:c>
      <x:c r="D380" s="94" t="n">
        <x:f>COUNTIF('データ'!$QT$5:$QT$42,"〇")</x:f>
        <x:v>3</x:v>
      </x:c>
      <x:c r="E380" s="161" t="n">
        <x:f>IF(F380=0,"",D380/F380)</x:f>
        <x:v>0.1</x:v>
      </x:c>
      <x:c r="F380" s="94" t="n">
        <x:f>COUNTIF('データ'!$RA$5:$RA$42,"&gt;0")</x:f>
        <x:v>30</x:v>
      </x:c>
      <x:c r="G380" s="99" t="str">
        <x:v>複数回答</x:v>
      </x:c>
    </x:row>
    <x:row r="381">
      <x:c r="A381" s="98" t="str">
        <x:v>問42</x:v>
      </x:c>
      <x:c r="B381" s="94" t="str">
        <x:v>地域活動や社会参加について、今後参加したいものはありますか（あてはまるものすべて）</x:v>
      </x:c>
      <x:c r="C381" s="94" t="str">
        <x:v>就労・地域貢献</x:v>
      </x:c>
      <x:c r="D381" s="94" t="n">
        <x:f>COUNTIF('データ'!$QU$5:$QU$42,"〇")</x:f>
        <x:v>3</x:v>
      </x:c>
      <x:c r="E381" s="161" t="n">
        <x:f>IF(F381=0,"",D381/F381)</x:f>
        <x:v>0.1</x:v>
      </x:c>
      <x:c r="F381" s="94" t="n">
        <x:f>COUNTIF('データ'!$RA$5:$RA$42,"&gt;0")</x:f>
        <x:v>30</x:v>
      </x:c>
      <x:c r="G381" s="99" t="str">
        <x:v>複数回答</x:v>
      </x:c>
    </x:row>
    <x:row r="382">
      <x:c r="A382" s="98" t="str">
        <x:v>問42</x:v>
      </x:c>
      <x:c r="B382" s="94" t="str">
        <x:v>地域活動や社会参加について、今後参加したいものはありますか（あてはまるものすべて）</x:v>
      </x:c>
      <x:c r="C382" s="94" t="str">
        <x:v>学習・講座</x:v>
      </x:c>
      <x:c r="D382" s="94" t="n">
        <x:f>COUNTIF('データ'!$QV$5:$QV$42,"〇")</x:f>
        <x:v>3</x:v>
      </x:c>
      <x:c r="E382" s="161" t="n">
        <x:f>IF(F382=0,"",D382/F382)</x:f>
        <x:v>0.1</x:v>
      </x:c>
      <x:c r="F382" s="94" t="n">
        <x:f>COUNTIF('データ'!$RA$5:$RA$42,"&gt;0")</x:f>
        <x:v>30</x:v>
      </x:c>
      <x:c r="G382" s="99" t="str">
        <x:v>複数回答</x:v>
      </x:c>
    </x:row>
    <x:row r="383">
      <x:c r="A383" s="98" t="str">
        <x:v>問42</x:v>
      </x:c>
      <x:c r="B383" s="94" t="str">
        <x:v>地域活動や社会参加について、今後参加したいものはありますか（あてはまるものすべて）</x:v>
      </x:c>
      <x:c r="C383" s="94" t="str">
        <x:v>オンラインでの交流</x:v>
      </x:c>
      <x:c r="D383" s="94" t="n">
        <x:f>COUNTIF('データ'!$QW$5:$QW$42,"〇")</x:f>
        <x:v>0</x:v>
      </x:c>
      <x:c r="E383" s="161" t="n">
        <x:f>IF(F383=0,"",D383/F383)</x:f>
        <x:v>0</x:v>
      </x:c>
      <x:c r="F383" s="94" t="n">
        <x:f>COUNTIF('データ'!$RA$5:$RA$42,"&gt;0")</x:f>
        <x:v>30</x:v>
      </x:c>
      <x:c r="G383" s="99" t="str">
        <x:v>複数回答</x:v>
      </x:c>
    </x:row>
    <x:row r="384">
      <x:c r="A384" s="98" t="str">
        <x:v>問42</x:v>
      </x:c>
      <x:c r="B384" s="94" t="str">
        <x:v>地域活動や社会参加について、今後参加したいものはありますか（あてはまるものすべて）</x:v>
      </x:c>
      <x:c r="C384" s="94" t="str">
        <x:v>特にない</x:v>
      </x:c>
      <x:c r="D384" s="94" t="n">
        <x:f>COUNTIF('データ'!$QX$5:$QX$42,"〇")</x:f>
        <x:v>19</x:v>
      </x:c>
      <x:c r="E384" s="161" t="n">
        <x:f>IF(F384=0,"",D384/F384)</x:f>
        <x:v>0.6333333333333333</x:v>
      </x:c>
      <x:c r="F384" s="94" t="n">
        <x:f>COUNTIF('データ'!$RA$5:$RA$42,"&gt;0")</x:f>
        <x:v>30</x:v>
      </x:c>
      <x:c r="G384" s="99" t="str">
        <x:v>複数回答</x:v>
      </x:c>
    </x:row>
    <x:row r="385">
      <x:c r="A385" s="98" t="str">
        <x:v>問42</x:v>
      </x:c>
      <x:c r="B385" s="94" t="str">
        <x:v>地域活動や社会参加について、今後参加したいものはありますか（あてはまるものすべて）</x:v>
      </x:c>
      <x:c r="C385" s="94" t="str">
        <x:v>その他</x:v>
      </x:c>
      <x:c r="D385" s="94" t="n">
        <x:f>COUNTIF('データ'!$QY$5:$QY$42,"〇")</x:f>
        <x:v>0</x:v>
      </x:c>
      <x:c r="E385" s="161" t="n">
        <x:f>IF(F385=0,"",D385/F385)</x:f>
        <x:v>0</x:v>
      </x:c>
      <x:c r="F385" s="94" t="n">
        <x:f>COUNTIF('データ'!$RA$5:$RA$42,"&gt;0")</x:f>
        <x:v>30</x:v>
      </x:c>
      <x:c r="G385" s="99" t="str">
        <x:v>複数回答</x:v>
      </x:c>
    </x:row>
    <x:row r="386">
      <x:c r="A386" s="98" t="str">
        <x:v>問43</x:v>
      </x:c>
      <x:c r="B386" s="94" t="str">
        <x:v>障がいへの理解を深めるために必要だと思う取組は何ですか（あてはまるものすべて）</x:v>
      </x:c>
      <x:c r="C386" s="94" t="str">
        <x:v>学校での福祉教育</x:v>
      </x:c>
      <x:c r="D386" s="94" t="n">
        <x:f>COUNTIF('データ'!$RB$5:$RB$42,"〇")</x:f>
        <x:v>9</x:v>
      </x:c>
      <x:c r="E386" s="161" t="n">
        <x:f>IF(F386=0,"",D386/F386)</x:f>
        <x:v>0.2903225806451613</x:v>
      </x:c>
      <x:c r="F386" s="94" t="n">
        <x:f>COUNTIF('データ'!$RK$5:$RK$42,"&gt;0")</x:f>
        <x:v>31</x:v>
      </x:c>
      <x:c r="G386" s="99" t="str">
        <x:v>複数回答</x:v>
      </x:c>
    </x:row>
    <x:row r="387">
      <x:c r="A387" s="98" t="str">
        <x:v>問43</x:v>
      </x:c>
      <x:c r="B387" s="94" t="str">
        <x:v>障がいへの理解を深めるために必要だと思う取組は何ですか（あてはまるものすべて）</x:v>
      </x:c>
      <x:c r="C387" s="94" t="str">
        <x:v>地域住民向けの講座</x:v>
      </x:c>
      <x:c r="D387" s="94" t="n">
        <x:f>COUNTIF('データ'!$RC$5:$RC$42,"〇")</x:f>
        <x:v>6</x:v>
      </x:c>
      <x:c r="E387" s="161" t="n">
        <x:f>IF(F387=0,"",D387/F387)</x:f>
        <x:v>0.1935483870967742</x:v>
      </x:c>
      <x:c r="F387" s="94" t="n">
        <x:f>COUNTIF('データ'!$RK$5:$RK$42,"&gt;0")</x:f>
        <x:v>31</x:v>
      </x:c>
      <x:c r="G387" s="99" t="str">
        <x:v>複数回答</x:v>
      </x:c>
    </x:row>
    <x:row r="388">
      <x:c r="A388" s="98" t="str">
        <x:v>問43</x:v>
      </x:c>
      <x:c r="B388" s="94" t="str">
        <x:v>障がいへの理解を深めるために必要だと思う取組は何ですか（あてはまるものすべて）</x:v>
      </x:c>
      <x:c r="C388" s="94" t="str">
        <x:v>事業所・企業への啓発</x:v>
      </x:c>
      <x:c r="D388" s="94" t="n">
        <x:f>COUNTIF('データ'!$RD$5:$RD$42,"〇")</x:f>
        <x:v>5</x:v>
      </x:c>
      <x:c r="E388" s="161" t="n">
        <x:f>IF(F388=0,"",D388/F388)</x:f>
        <x:v>0.16129032258064516</x:v>
      </x:c>
      <x:c r="F388" s="94" t="n">
        <x:f>COUNTIF('データ'!$RK$5:$RK$42,"&gt;0")</x:f>
        <x:v>31</x:v>
      </x:c>
      <x:c r="G388" s="99" t="str">
        <x:v>複数回答</x:v>
      </x:c>
    </x:row>
    <x:row r="389">
      <x:c r="A389" s="98" t="str">
        <x:v>問43</x:v>
      </x:c>
      <x:c r="B389" s="94" t="str">
        <x:v>障がいへの理解を深めるために必要だと思う取組は何ですか（あてはまるものすべて）</x:v>
      </x:c>
      <x:c r="C389" s="94" t="str">
        <x:v>広報・ホームページでの情報発信</x:v>
      </x:c>
      <x:c r="D389" s="94" t="n">
        <x:f>COUNTIF('データ'!$RE$5:$RE$42,"〇")</x:f>
        <x:v>12</x:v>
      </x:c>
      <x:c r="E389" s="161" t="n">
        <x:f>IF(F389=0,"",D389/F389)</x:f>
        <x:v>0.3870967741935484</x:v>
      </x:c>
      <x:c r="F389" s="94" t="n">
        <x:f>COUNTIF('データ'!$RK$5:$RK$42,"&gt;0")</x:f>
        <x:v>31</x:v>
      </x:c>
      <x:c r="G389" s="99" t="str">
        <x:v>複数回答</x:v>
      </x:c>
    </x:row>
    <x:row r="390">
      <x:c r="A390" s="98" t="str">
        <x:v>問43</x:v>
      </x:c>
      <x:c r="B390" s="94" t="str">
        <x:v>障がいへの理解を深めるために必要だと思う取組は何ですか（あてはまるものすべて）</x:v>
      </x:c>
      <x:c r="C390" s="94" t="str">
        <x:v>交流の場づくり</x:v>
      </x:c>
      <x:c r="D390" s="94" t="n">
        <x:f>COUNTIF('データ'!$RF$5:$RF$42,"〇")</x:f>
        <x:v>10</x:v>
      </x:c>
      <x:c r="E390" s="161" t="n">
        <x:f>IF(F390=0,"",D390/F390)</x:f>
        <x:v>0.3225806451612903</x:v>
      </x:c>
      <x:c r="F390" s="94" t="n">
        <x:f>COUNTIF('データ'!$RK$5:$RK$42,"&gt;0")</x:f>
        <x:v>31</x:v>
      </x:c>
      <x:c r="G390" s="99" t="str">
        <x:v>複数回答</x:v>
      </x:c>
    </x:row>
    <x:row r="391">
      <x:c r="A391" s="98" t="str">
        <x:v>問43</x:v>
      </x:c>
      <x:c r="B391" s="94" t="str">
        <x:v>障がいへの理解を深めるために必要だと思う取組は何ですか（あてはまるものすべて）</x:v>
      </x:c>
      <x:c r="C391" s="94" t="str">
        <x:v>障がい当事者の意見発信</x:v>
      </x:c>
      <x:c r="D391" s="94" t="n">
        <x:f>COUNTIF('データ'!$RG$5:$RG$42,"〇")</x:f>
        <x:v>5</x:v>
      </x:c>
      <x:c r="E391" s="161" t="n">
        <x:f>IF(F391=0,"",D391/F391)</x:f>
        <x:v>0.16129032258064516</x:v>
      </x:c>
      <x:c r="F391" s="94" t="n">
        <x:f>COUNTIF('データ'!$RK$5:$RK$42,"&gt;0")</x:f>
        <x:v>31</x:v>
      </x:c>
      <x:c r="G391" s="99" t="str">
        <x:v>複数回答</x:v>
      </x:c>
    </x:row>
    <x:row r="392">
      <x:c r="A392" s="98" t="str">
        <x:v>問43</x:v>
      </x:c>
      <x:c r="B392" s="94" t="str">
        <x:v>障がいへの理解を深めるために必要だと思う取組は何ですか（あてはまるものすべて）</x:v>
      </x:c>
      <x:c r="C392" s="94" t="str">
        <x:v>特にない</x:v>
      </x:c>
      <x:c r="D392" s="94" t="n">
        <x:f>COUNTIF('データ'!$RH$5:$RH$42,"〇")</x:f>
        <x:v>7</x:v>
      </x:c>
      <x:c r="E392" s="161" t="n">
        <x:f>IF(F392=0,"",D392/F392)</x:f>
        <x:v>0.22580645161290322</x:v>
      </x:c>
      <x:c r="F392" s="94" t="n">
        <x:f>COUNTIF('データ'!$RK$5:$RK$42,"&gt;0")</x:f>
        <x:v>31</x:v>
      </x:c>
      <x:c r="G392" s="99" t="str">
        <x:v>複数回答</x:v>
      </x:c>
    </x:row>
    <x:row r="393">
      <x:c r="A393" s="98" t="str">
        <x:v>問43</x:v>
      </x:c>
      <x:c r="B393" s="94" t="str">
        <x:v>障がいへの理解を深めるために必要だと思う取組は何ですか（あてはまるものすべて）</x:v>
      </x:c>
      <x:c r="C393" s="94" t="str">
        <x:v>その他</x:v>
      </x:c>
      <x:c r="D393" s="94" t="n">
        <x:f>COUNTIF('データ'!$RI$5:$RI$42,"〇")</x:f>
        <x:v>0</x:v>
      </x:c>
      <x:c r="E393" s="161" t="n">
        <x:f>IF(F393=0,"",D393/F393)</x:f>
        <x:v>0</x:v>
      </x:c>
      <x:c r="F393" s="94" t="n">
        <x:f>COUNTIF('データ'!$RK$5:$RK$42,"&gt;0")</x:f>
        <x:v>31</x:v>
      </x:c>
      <x:c r="G393" s="99" t="str">
        <x:v>複数回答</x:v>
      </x:c>
    </x:row>
    <x:row r="394">
      <x:c r="A394" s="98" t="str">
        <x:v>問44</x:v>
      </x:c>
      <x:c r="B394" s="94" t="str">
        <x:v>今後、村が特に力を入れるべきことは何ですか（3つまで）</x:v>
      </x:c>
      <x:c r="C394" s="94" t="str">
        <x:v>相談支援体制</x:v>
      </x:c>
      <x:c r="D394" s="94" t="n">
        <x:f>COUNTIF('データ'!$RL$5:$RL$42,"〇")</x:f>
        <x:v>13</x:v>
      </x:c>
      <x:c r="E394" s="161" t="n">
        <x:f>IF(F394=0,"",D394/F394)</x:f>
        <x:v>0.41935483870967744</x:v>
      </x:c>
      <x:c r="F394" s="94" t="n">
        <x:f>COUNTIF('データ'!$RV$5:$RV$42,"&gt;0")</x:f>
        <x:v>31</x:v>
      </x:c>
      <x:c r="G394" s="99" t="str">
        <x:v>複数回答</x:v>
      </x:c>
    </x:row>
    <x:row r="395">
      <x:c r="A395" s="98" t="str">
        <x:v>問44</x:v>
      </x:c>
      <x:c r="B395" s="94" t="str">
        <x:v>今後、村が特に力を入れるべきことは何ですか（3つまで）</x:v>
      </x:c>
      <x:c r="C395" s="94" t="str">
        <x:v>在宅生活支援</x:v>
      </x:c>
      <x:c r="D395" s="94" t="n">
        <x:f>COUNTIF('データ'!$RM$5:$RM$42,"〇")</x:f>
        <x:v>10</x:v>
      </x:c>
      <x:c r="E395" s="161" t="n">
        <x:f>IF(F395=0,"",D395/F395)</x:f>
        <x:v>0.3225806451612903</x:v>
      </x:c>
      <x:c r="F395" s="94" t="n">
        <x:f>COUNTIF('データ'!$RV$5:$RV$42,"&gt;0")</x:f>
        <x:v>31</x:v>
      </x:c>
      <x:c r="G395" s="99" t="str">
        <x:v>複数回答</x:v>
      </x:c>
    </x:row>
    <x:row r="396">
      <x:c r="A396" s="98" t="str">
        <x:v>問44</x:v>
      </x:c>
      <x:c r="B396" s="94" t="str">
        <x:v>今後、村が特に力を入れるべきことは何ですか（3つまで）</x:v>
      </x:c>
      <x:c r="C396" s="94" t="str">
        <x:v>移動支援</x:v>
      </x:c>
      <x:c r="D396" s="94" t="n">
        <x:f>COUNTIF('データ'!$RN$5:$RN$42,"〇")</x:f>
        <x:v>10</x:v>
      </x:c>
      <x:c r="E396" s="161" t="n">
        <x:f>IF(F396=0,"",D396/F396)</x:f>
        <x:v>0.3225806451612903</x:v>
      </x:c>
      <x:c r="F396" s="94" t="n">
        <x:f>COUNTIF('データ'!$RV$5:$RV$42,"&gt;0")</x:f>
        <x:v>31</x:v>
      </x:c>
      <x:c r="G396" s="99" t="str">
        <x:v>複数回答</x:v>
      </x:c>
    </x:row>
    <x:row r="397">
      <x:c r="A397" s="98" t="str">
        <x:v>問44</x:v>
      </x:c>
      <x:c r="B397" s="94" t="str">
        <x:v>今後、村が特に力を入れるべきことは何ですか（3つまで）</x:v>
      </x:c>
      <x:c r="C397" s="94" t="str">
        <x:v>就労支援</x:v>
      </x:c>
      <x:c r="D397" s="94" t="n">
        <x:f>COUNTIF('データ'!$RO$5:$RO$42,"〇")</x:f>
        <x:v>3</x:v>
      </x:c>
      <x:c r="E397" s="161" t="n">
        <x:f>IF(F397=0,"",D397/F397)</x:f>
        <x:v>0.0967741935483871</x:v>
      </x:c>
      <x:c r="F397" s="94" t="n">
        <x:f>COUNTIF('データ'!$RV$5:$RV$42,"&gt;0")</x:f>
        <x:v>31</x:v>
      </x:c>
      <x:c r="G397" s="99" t="str">
        <x:v>複数回答</x:v>
      </x:c>
    </x:row>
    <x:row r="398">
      <x:c r="A398" s="98" t="str">
        <x:v>問44</x:v>
      </x:c>
      <x:c r="B398" s="94" t="str">
        <x:v>今後、村が特に力を入れるべきことは何ですか（3つまで）</x:v>
      </x:c>
      <x:c r="C398" s="94" t="str">
        <x:v>災害時支援</x:v>
      </x:c>
      <x:c r="D398" s="94" t="n">
        <x:f>COUNTIF('データ'!$RP$5:$RP$42,"〇")</x:f>
        <x:v>13</x:v>
      </x:c>
      <x:c r="E398" s="161" t="n">
        <x:f>IF(F398=0,"",D398/F398)</x:f>
        <x:v>0.41935483870967744</x:v>
      </x:c>
      <x:c r="F398" s="94" t="n">
        <x:f>COUNTIF('データ'!$RV$5:$RV$42,"&gt;0")</x:f>
        <x:v>31</x:v>
      </x:c>
      <x:c r="G398" s="99" t="str">
        <x:v>複数回答</x:v>
      </x:c>
    </x:row>
    <x:row r="399">
      <x:c r="A399" s="98" t="str">
        <x:v>問44</x:v>
      </x:c>
      <x:c r="B399" s="94" t="str">
        <x:v>今後、村が特に力を入れるべきことは何ですか（3つまで）</x:v>
      </x:c>
      <x:c r="C399" s="94" t="str">
        <x:v>差別解消・権利擁護</x:v>
      </x:c>
      <x:c r="D399" s="94" t="n">
        <x:f>COUNTIF('データ'!$RQ$5:$RQ$42,"〇")</x:f>
        <x:v>5</x:v>
      </x:c>
      <x:c r="E399" s="161" t="n">
        <x:f>IF(F399=0,"",D399/F399)</x:f>
        <x:v>0.16129032258064516</x:v>
      </x:c>
      <x:c r="F399" s="94" t="n">
        <x:f>COUNTIF('データ'!$RV$5:$RV$42,"&gt;0")</x:f>
        <x:v>31</x:v>
      </x:c>
      <x:c r="G399" s="99" t="str">
        <x:v>複数回答</x:v>
      </x:c>
    </x:row>
    <x:row r="400">
      <x:c r="A400" s="98" t="str">
        <x:v>問44</x:v>
      </x:c>
      <x:c r="B400" s="94" t="str">
        <x:v>今後、村が特に力を入れるべきことは何ですか（3つまで）</x:v>
      </x:c>
      <x:c r="C400" s="94" t="str">
        <x:v>家族支援</x:v>
      </x:c>
      <x:c r="D400" s="94" t="n">
        <x:f>COUNTIF('データ'!$RR$5:$RR$42,"〇")</x:f>
        <x:v>8</x:v>
      </x:c>
      <x:c r="E400" s="161" t="n">
        <x:f>IF(F400=0,"",D400/F400)</x:f>
        <x:v>0.25806451612903225</x:v>
      </x:c>
      <x:c r="F400" s="94" t="n">
        <x:f>COUNTIF('データ'!$RV$5:$RV$42,"&gt;0")</x:f>
        <x:v>31</x:v>
      </x:c>
      <x:c r="G400" s="99" t="str">
        <x:v>複数回答</x:v>
      </x:c>
    </x:row>
    <x:row r="401">
      <x:c r="A401" s="98" t="str">
        <x:v>問44</x:v>
      </x:c>
      <x:c r="B401" s="94" t="str">
        <x:v>今後、村が特に力を入れるべきことは何ですか（3つまで）</x:v>
      </x:c>
      <x:c r="C401" s="94" t="str">
        <x:v>サービス事業所の確保</x:v>
      </x:c>
      <x:c r="D401" s="94" t="n">
        <x:f>COUNTIF('データ'!$RS$5:$RS$42,"〇")</x:f>
        <x:v>10</x:v>
      </x:c>
      <x:c r="E401" s="161" t="n">
        <x:f>IF(F401=0,"",D401/F401)</x:f>
        <x:v>0.3225806451612903</x:v>
      </x:c>
      <x:c r="F401" s="94" t="n">
        <x:f>COUNTIF('データ'!$RV$5:$RV$42,"&gt;0")</x:f>
        <x:v>31</x:v>
      </x:c>
      <x:c r="G401" s="99" t="str">
        <x:v>複数回答</x:v>
      </x:c>
    </x:row>
    <x:row r="402">
      <x:c r="A402" s="98" t="str">
        <x:v>問44</x:v>
      </x:c>
      <x:c r="B402" s="94" t="str">
        <x:v>今後、村が特に力を入れるべきことは何ですか（3つまで）</x:v>
      </x:c>
      <x:c r="C402" s="94" t="str">
        <x:v>その他</x:v>
      </x:c>
      <x:c r="D402" s="94" t="n">
        <x:f>COUNTIF('データ'!$RT$5:$RT$42,"〇")</x:f>
        <x:v>0</x:v>
      </x:c>
      <x:c r="E402" s="161" t="n">
        <x:f>IF(F402=0,"",D402/F402)</x:f>
        <x:v>0</x:v>
      </x:c>
      <x:c r="F402" s="94" t="n">
        <x:f>COUNTIF('データ'!$RV$5:$RV$42,"&gt;0")</x:f>
        <x:v>31</x:v>
      </x:c>
      <x:c r="G402" s="99" t="str">
        <x:v>複数回答</x:v>
      </x:c>
    </x:row>
    <x:row r="403">
      <x:c r="A403" s="100" t="str">
        <x:v>問45</x:v>
      </x:c>
      <x:c r="B403" s="135" t="str">
        <x:v>障がい福祉や暮らしについて、ご意見・ご要望があれば自由に記入してください</x:v>
      </x:c>
      <x:c r="C403" s="135" t="str">
        <x:v>自由記述回答あり</x:v>
      </x:c>
      <x:c r="D403" s="135" t="n">
        <x:f>COUNTIF('データ'!$RW$5:$RW$42,"&lt;&gt;")</x:f>
        <x:v>6</x:v>
      </x:c>
      <x:c r="E403" s="162" t="n">
        <x:f>IF(F403=0,"",D403/F403)</x:f>
        <x:v>1</x:v>
      </x:c>
      <x:c r="F403" s="135" t="n">
        <x:f>COUNTIF('データ'!$RX$5:$RX$42,"&gt;0")</x:f>
        <x:v>6</x:v>
      </x:c>
      <x:c r="G403" s="101" t="str">
        <x:v>自由記述</x:v>
      </x:c>
    </x:row>
  </x:sheetData>
  <x:mergeCells>
    <x:mergeCell ref="A1:G2"/>
  </x:mergeCells>
  <x:conditionalFormatting sqref="E4:E403">
    <x:cfRule type="dataBar" priority="1">
      <x:dataBar>
        <x:cfvo type="min"/>
        <x:cfvo type="max"/>
        <x:color rgb="FF4F81BD"/>
      </x:dataBar>
      <x:extLst>
        <x:ext xmlns:x14="http://schemas.microsoft.com/office/spreadsheetml/2009/9/main" uri="{B025F937-C7B1-47D3-B67F-A62EFF666E3E}">
          <x14:id>{09CF0F1E-F901-CEF1-825F-1A4F1A9A1880}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09CF0F1E-F901-CEF1-825F-1A4F1A9A1880}">
            <x14:dataBar gradient="1">
              <x14:cfvo type="min"/>
              <x14:cfvo type="max"/>
              <x14:fillColor rgb="FF4F81BD"/>
            </x14:dataBar>
          </x14:cfRule>
          <xm:sqref>E4:E403</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48" hidden="0" customWidth="1"/>
    <x:col min="3" max="3" width="12" hidden="0" customWidth="1"/>
    <x:col min="4" max="4" width="60" hidden="0" customWidth="1"/>
  </x:cols>
  <x:sheetData>
    <x:row r="1">
      <x:c r="A1" s="79" t="str">
        <x:v>自由記述一覧</x:v>
      </x:c>
      <x:c r="B1" s="79"/>
      <x:c r="C1" s="79"/>
      <x:c r="D1" s="79"/>
    </x:row>
    <x:row r="2">
      <x:c r="A2" s="79"/>
      <x:c r="B2" s="79"/>
      <x:c r="C2" s="79"/>
      <x:c r="D2" s="79"/>
    </x:row>
    <x:row r="3">
      <x:c r="A3" s="96" t="str">
        <x:v>設問番号</x:v>
      </x:c>
      <x:c r="B3" s="145" t="str">
        <x:v>設問</x:v>
      </x:c>
      <x:c r="C3" s="145" t="str">
        <x:v>回答NO</x:v>
      </x:c>
      <x:c r="D3" s="97" t="str">
        <x:v>自由記述</x:v>
      </x:c>
    </x:row>
    <x:row r="4">
      <x:c r="A4" s="98" t="str">
        <x:v>問1</x:v>
      </x:c>
      <x:c r="B4" s="94" t="str">
        <x:v>この調査票を記入された方はどなたですか</x:v>
      </x:c>
      <x:c r="C4" s="94" t="str">
        <x:v>151</x:v>
      </x:c>
      <x:c r="D4" s="99" t="str">
        <x:v>補助人</x:v>
      </x:c>
    </x:row>
    <x:row r="5">
      <x:c r="A5" s="98" t="str">
        <x:v>問3</x:v>
      </x:c>
      <x:c r="B5" s="94" t="str">
        <x:v>あなたのお住まいの地区を教えてください</x:v>
      </x:c>
      <x:c r="C5" s="94" t="str">
        <x:v>167</x:v>
      </x:c>
      <x:c r="D5" s="99" t="str">
        <x:v>喜多方市上三宮町上三宮</x:v>
      </x:c>
    </x:row>
    <x:row r="6">
      <x:c r="A6" s="98" t="str">
        <x:v>問5</x:v>
      </x:c>
      <x:c r="B6" s="94" t="str">
        <x:v>お持ちの手帳等を教えてください（あてはまるものすべて）</x:v>
      </x:c>
      <x:c r="C6" s="94" t="str">
        <x:v>17</x:v>
      </x:c>
      <x:c r="D6" s="99" t="str">
        <x:v>なし</x:v>
      </x:c>
    </x:row>
    <x:row r="7">
      <x:c r="A7" s="98" t="str">
        <x:v>問5</x:v>
      </x:c>
      <x:c r="B7" s="94" t="str">
        <x:v>お持ちの手帳等を教えてください（あてはまるものすべて）</x:v>
      </x:c>
      <x:c r="C7" s="94" t="str">
        <x:v>63</x:v>
      </x:c>
      <x:c r="D7" s="99" t="str">
        <x:v>身体障がい者手帳を持っているが、更新しているかわかりません</x:v>
      </x:c>
    </x:row>
    <x:row r="8">
      <x:c r="A8" s="98" t="str">
        <x:v>問6</x:v>
      </x:c>
      <x:c r="B8" s="94" t="str">
        <x:v>主たる障がい種別を1つ選ぶとすれば、どれにあたりますか</x:v>
      </x:c>
      <x:c r="C8" s="94" t="str">
        <x:v>17</x:v>
      </x:c>
      <x:c r="D8" s="99" t="str">
        <x:v>なし</x:v>
      </x:c>
    </x:row>
    <x:row r="9">
      <x:c r="A9" s="98" t="str">
        <x:v>問6</x:v>
      </x:c>
      <x:c r="B9" s="94" t="str">
        <x:v>主たる障がい種別を1つ選ぶとすれば、どれにあたりますか</x:v>
      </x:c>
      <x:c r="C9" s="94" t="str">
        <x:v>96</x:v>
      </x:c>
      <x:c r="D9" s="99" t="str">
        <x:v>いくつも障害があり同等の為選ぶ事が出来ない</x:v>
      </x:c>
    </x:row>
    <x:row r="10">
      <x:c r="A10" s="98" t="str">
        <x:v>問8</x:v>
      </x:c>
      <x:c r="B10" s="94" t="str">
        <x:v>現在一緒に暮らしている方を教えてください（あてはまるものすべて）</x:v>
      </x:c>
      <x:c r="C10" s="94" t="str">
        <x:v>161</x:v>
      </x:c>
      <x:c r="D10" s="99" t="str">
        <x:v>施設入所中</x:v>
      </x:c>
    </x:row>
    <x:row r="11">
      <x:c r="A11" s="98" t="str">
        <x:v>問8</x:v>
      </x:c>
      <x:c r="B11" s="94" t="str">
        <x:v>現在一緒に暮らしている方を教えてください（あてはまるものすべて）</x:v>
      </x:c>
      <x:c r="C11" s="94" t="str">
        <x:v>167</x:v>
      </x:c>
      <x:c r="D11" s="99" t="str">
        <x:v>グループホームの同居人</x:v>
      </x:c>
    </x:row>
    <x:row r="12">
      <x:c r="A12" s="98" t="str">
        <x:v>問10-2</x:v>
      </x:c>
      <x:c r="B12" s="94" t="str">
        <x:v>困っていることについて、自由に記入してください</x:v>
      </x:c>
      <x:c r="C12" s="94" t="str">
        <x:v>5</x:v>
      </x:c>
      <x:c r="D12" s="99" t="str">
        <x:v>目が悪いので細かいことができない</x:v>
      </x:c>
    </x:row>
    <x:row r="13">
      <x:c r="A13" s="98" t="str">
        <x:v>問10-2</x:v>
      </x:c>
      <x:c r="B13" s="94" t="str">
        <x:v>困っていることについて、自由に記入してください</x:v>
      </x:c>
      <x:c r="C13" s="94" t="str">
        <x:v>6</x:v>
      </x:c>
      <x:c r="D13" s="99" t="str">
        <x:v>コミュニケーションできる人がいない。理解してもらえず、筆談で通じます</x:v>
      </x:c>
    </x:row>
    <x:row r="14">
      <x:c r="A14" s="98" t="str">
        <x:v>問10-2</x:v>
      </x:c>
      <x:c r="B14" s="94" t="str">
        <x:v>困っていることについて、自由に記入してください</x:v>
      </x:c>
      <x:c r="C14" s="94" t="str">
        <x:v>14</x:v>
      </x:c>
      <x:c r="D14" s="99" t="str">
        <x:v>特になし</x:v>
      </x:c>
    </x:row>
    <x:row r="15">
      <x:c r="A15" s="98" t="str">
        <x:v>問10-2</x:v>
      </x:c>
      <x:c r="B15" s="94" t="str">
        <x:v>困っていることについて、自由に記入してください</x:v>
      </x:c>
      <x:c r="C15" s="94" t="str">
        <x:v>43</x:v>
      </x:c>
      <x:c r="D15" s="99" t="str">
        <x:v>１人で服薬管理や通院ができない。</x:v>
      </x:c>
    </x:row>
    <x:row r="16">
      <x:c r="A16" s="98" t="str">
        <x:v>問10-2</x:v>
      </x:c>
      <x:c r="B16" s="94" t="str">
        <x:v>困っていることについて、自由に記入してください</x:v>
      </x:c>
      <x:c r="C16" s="94" t="str">
        <x:v>44</x:v>
      </x:c>
      <x:c r="D16" s="99" t="str">
        <x:v>特にありません</x:v>
      </x:c>
    </x:row>
    <x:row r="17">
      <x:c r="A17" s="98" t="str">
        <x:v>問10-2</x:v>
      </x:c>
      <x:c r="B17" s="94" t="str">
        <x:v>困っていることについて、自由に記入してください</x:v>
      </x:c>
      <x:c r="C17" s="94" t="str">
        <x:v>63</x:v>
      </x:c>
      <x:c r="D17" s="99" t="str">
        <x:v>足腰の痛みや心臓も弱ってきたため外出が誰かの手をかりないとできない</x:v>
      </x:c>
    </x:row>
    <x:row r="18">
      <x:c r="A18" s="98" t="str">
        <x:v>問10-2</x:v>
      </x:c>
      <x:c r="B18" s="94" t="str">
        <x:v>困っていることについて、自由に記入してください</x:v>
      </x:c>
      <x:c r="C18" s="94" t="str">
        <x:v>96</x:v>
      </x:c>
      <x:c r="D18" s="99" t="str">
        <x:v>日常生活においておおかれ少なかれすべて親の支援が必要</x:v>
      </x:c>
    </x:row>
    <x:row r="19">
      <x:c r="A19" s="98" t="str">
        <x:v>問10-2</x:v>
      </x:c>
      <x:c r="B19" s="94" t="str">
        <x:v>困っていることについて、自由に記入してください</x:v>
      </x:c>
      <x:c r="C19" s="94" t="str">
        <x:v>161</x:v>
      </x:c>
      <x:c r="D19" s="99" t="str">
        <x:v>日常生活全般において介助者がいないと難しい場面がある。</x:v>
      </x:c>
    </x:row>
    <x:row r="20">
      <x:c r="A20" s="98" t="str">
        <x:v>問10-2</x:v>
      </x:c>
      <x:c r="B20" s="94" t="str">
        <x:v>困っていることについて、自由に記入してください</x:v>
      </x:c>
      <x:c r="C20" s="94" t="str">
        <x:v>71</x:v>
      </x:c>
      <x:c r="D20" s="99" t="str">
        <x:v>現在、胃瘻装着している食べたい</x:v>
      </x:c>
    </x:row>
    <x:row r="21">
      <x:c r="A21" s="98" t="str">
        <x:v>問11</x:v>
      </x:c>
      <x:c r="B21" s="94" t="str">
        <x:v>将来、どのような暮らし方を希望しますか</x:v>
      </x:c>
      <x:c r="C21" s="94" t="str">
        <x:v>144</x:v>
      </x:c>
      <x:c r="D21" s="99" t="str">
        <x:v>他の地域で新しい家族と生活したい</x:v>
      </x:c>
    </x:row>
    <x:row r="22">
      <x:c r="A22" s="98" t="str">
        <x:v>問13</x:v>
      </x:c>
      <x:c r="B22" s="94" t="str">
        <x:v>外出時の主な移動手段を教えてください（あてはまるものすべて）</x:v>
      </x:c>
      <x:c r="C22" s="94" t="str">
        <x:v>48</x:v>
      </x:c>
      <x:c r="D22" s="99" t="str">
        <x:v>娘と一緒に</x:v>
      </x:c>
    </x:row>
    <x:row r="23">
      <x:c r="A23" s="98" t="str">
        <x:v>問13</x:v>
      </x:c>
      <x:c r="B23" s="94" t="str">
        <x:v>外出時の主な移動手段を教えてください（あてはまるものすべて）</x:v>
      </x:c>
      <x:c r="C23" s="94" t="str">
        <x:v>131</x:v>
      </x:c>
      <x:c r="D23" s="99" t="str">
        <x:v>なし</x:v>
      </x:c>
    </x:row>
    <x:row r="24">
      <x:c r="A24" s="98" t="str">
        <x:v>問14</x:v>
      </x:c>
      <x:c r="B24" s="94" t="str">
        <x:v>外出するときに困ることは何ですか（あてはまるものすべて）</x:v>
      </x:c>
      <x:c r="C24" s="94" t="str">
        <x:v>63</x:v>
      </x:c>
      <x:c r="D24" s="99" t="str">
        <x:v>トイレが心配</x:v>
      </x:c>
    </x:row>
    <x:row r="25">
      <x:c r="A25" s="98" t="str">
        <x:v>問22</x:v>
      </x:c>
      <x:c r="B25" s="94" t="str">
        <x:v>困ったときに相談する相手・場所はどこですか（あてはまるものすべて）</x:v>
      </x:c>
      <x:c r="C25" s="94" t="str">
        <x:v>43</x:v>
      </x:c>
      <x:c r="D25" s="99" t="str">
        <x:v>包括、保健センター</x:v>
      </x:c>
    </x:row>
    <x:row r="26">
      <x:c r="A26" s="98" t="str">
        <x:v>問26</x:v>
      </x:c>
      <x:c r="B26" s="94" t="str">
        <x:v>相談支援に期待することは何ですか（あてはまるものすべて）</x:v>
      </x:c>
      <x:c r="C26" s="94" t="str">
        <x:v>63</x:v>
      </x:c>
      <x:c r="D26" s="99" t="str">
        <x:v>話し相手</x:v>
      </x:c>
    </x:row>
    <x:row r="27">
      <x:c r="A27" s="98" t="str">
        <x:v>問28</x:v>
      </x:c>
      <x:c r="B27" s="94" t="str">
        <x:v>サービスを利用したいが利用できない理由は何ですか（あてはまるものすべて）</x:v>
      </x:c>
      <x:c r="C27" s="94" t="str">
        <x:v>63</x:v>
      </x:c>
      <x:c r="D27" s="99" t="str">
        <x:v>自立しています</x:v>
      </x:c>
    </x:row>
    <x:row r="28">
      <x:c r="A28" s="98" t="str">
        <x:v>問31</x:v>
      </x:c>
      <x:c r="B28" s="94" t="str">
        <x:v>現在の日中の過ごし方を教えてください</x:v>
      </x:c>
      <x:c r="C28" s="94" t="str">
        <x:v>14</x:v>
      </x:c>
      <x:c r="D28" s="99" t="str">
        <x:v>特になし</x:v>
      </x:c>
    </x:row>
    <x:row r="29">
      <x:c r="A29" s="98" t="str">
        <x:v>問31</x:v>
      </x:c>
      <x:c r="B29" s="94" t="str">
        <x:v>現在の日中の過ごし方を教えてください</x:v>
      </x:c>
      <x:c r="C29" s="94" t="str">
        <x:v>63</x:v>
      </x:c>
      <x:c r="D29" s="99" t="str">
        <x:v>当てはまらない</x:v>
      </x:c>
    </x:row>
    <x:row r="30">
      <x:c r="A30" s="98" t="str">
        <x:v>問31</x:v>
      </x:c>
      <x:c r="B30" s="94" t="str">
        <x:v>現在の日中の過ごし方を教えてください</x:v>
      </x:c>
      <x:c r="C30" s="94" t="str">
        <x:v>74</x:v>
      </x:c>
      <x:c r="D30" s="99" t="str">
        <x:v>アルバイト（パート）</x:v>
      </x:c>
    </x:row>
    <x:row r="31">
      <x:c r="A31" s="98" t="str">
        <x:v>問31</x:v>
      </x:c>
      <x:c r="B31" s="94" t="str">
        <x:v>現在の日中の過ごし方を教えてください</x:v>
      </x:c>
      <x:c r="C31" s="94" t="str">
        <x:v>113</x:v>
      </x:c>
      <x:c r="D31" s="99" t="str">
        <x:v>デイサービス通い</x:v>
      </x:c>
    </x:row>
    <x:row r="32">
      <x:c r="A32" s="98" t="str">
        <x:v>問31</x:v>
      </x:c>
      <x:c r="B32" s="94" t="str">
        <x:v>現在の日中の過ごし方を教えてください</x:v>
      </x:c>
      <x:c r="C32" s="94" t="str">
        <x:v>167</x:v>
      </x:c>
      <x:c r="D32" s="99" t="str">
        <x:v>地域活動支援施設を利用</x:v>
      </x:c>
    </x:row>
    <x:row r="33">
      <x:c r="A33" s="98" t="str">
        <x:v>問32</x:v>
      </x:c>
      <x:c r="B33" s="94" t="str">
        <x:v>今後希望する日中活動・働き方を教えてください</x:v>
      </x:c>
      <x:c r="C33" s="94" t="str">
        <x:v>63</x:v>
      </x:c>
      <x:c r="D33" s="99" t="str">
        <x:v>当てはまらない</x:v>
      </x:c>
    </x:row>
    <x:row r="34">
      <x:c r="A34" s="98" t="str">
        <x:v>問32</x:v>
      </x:c>
      <x:c r="B34" s="94" t="str">
        <x:v>今後希望する日中活動・働き方を教えてください</x:v>
      </x:c>
      <x:c r="C34" s="94" t="str">
        <x:v>144</x:v>
      </x:c>
      <x:c r="D34" s="99" t="str">
        <x:v>融資を受けて自宅で事業を始めたい</x:v>
      </x:c>
    </x:row>
    <x:row r="35">
      <x:c r="A35" s="98" t="str">
        <x:v>問40</x:v>
      </x:c>
      <x:c r="B35" s="94" t="str">
        <x:v>災害時に支援してくれる人や機関はありますか（あてはまるものすべて）</x:v>
      </x:c>
      <x:c r="C35" s="94" t="str">
        <x:v>55</x:v>
      </x:c>
      <x:c r="D35" s="99" t="str">
        <x:v>民生委員・児童委員が何の為の機関かわからない</x:v>
      </x:c>
    </x:row>
    <x:row r="36">
      <x:c r="A36" s="98" t="str">
        <x:v>問41</x:v>
      </x:c>
      <x:c r="B36" s="94" t="str">
        <x:v>災害時に必要だと思う支援は何ですか（あてはまるものすべて）</x:v>
      </x:c>
      <x:c r="C36" s="94" t="str">
        <x:v>36</x:v>
      </x:c>
      <x:c r="D36" s="99" t="str">
        <x:v>かかりつけ医までの移動、交通手段の確保</x:v>
      </x:c>
    </x:row>
    <x:row r="37">
      <x:c r="A37" s="98" t="str">
        <x:v>問45</x:v>
      </x:c>
      <x:c r="B37" s="94" t="str">
        <x:v>障がい福祉や暮らしについて、ご意見・ご要望があれば自由に記入してください</x:v>
      </x:c>
      <x:c r="C37" s="94" t="str">
        <x:v>6</x:v>
      </x:c>
      <x:c r="D37" s="99" t="str">
        <x:v>当村役場に手話通訳者が永年いて欲しいです。聴覚障害者に居るから理解を持つよう、お願いしたい</x:v>
      </x:c>
    </x:row>
    <x:row r="38">
      <x:c r="A38" s="98" t="str">
        <x:v>問45</x:v>
      </x:c>
      <x:c r="B38" s="94" t="str">
        <x:v>障がい福祉や暮らしについて、ご意見・ご要望があれば自由に記入してください</x:v>
      </x:c>
      <x:c r="C38" s="94" t="str">
        <x:v>14</x:v>
      </x:c>
      <x:c r="D38" s="99" t="str">
        <x:v>当村役場に手話通訳者が永年も働いて欲しいです。緊急時の受入れ、例、村外の通院への手話通訳者と付き添い、何日かと予約をしなければならない、どうか、よろしくお願いします。</x:v>
      </x:c>
    </x:row>
    <x:row r="39">
      <x:c r="A39" s="98" t="str">
        <x:v>問45</x:v>
      </x:c>
      <x:c r="B39" s="94" t="str">
        <x:v>障がい福祉や暮らしについて、ご意見・ご要望があれば自由に記入してください</x:v>
      </x:c>
      <x:c r="C39" s="94" t="str">
        <x:v>74</x:v>
      </x:c>
      <x:c r="D39" s="99" t="str">
        <x:v>人口膝関節（両膝）のため、車の運転ができくなったときのことを考えると、とても不安です。
膝を曲げることが困難なので（イス、ベッドの生活）災害時や、移動、生活のことを考えると不安です。
相談や支援を受ける方法が分かりません。
先々のことを考えると、とても不安です。</x:v>
      </x:c>
    </x:row>
    <x:row r="40">
      <x:c r="A40" s="98" t="str">
        <x:v>問45</x:v>
      </x:c>
      <x:c r="B40" s="94" t="str">
        <x:v>障がい福祉や暮らしについて、ご意見・ご要望があれば自由に記入してください</x:v>
      </x:c>
      <x:c r="C40" s="94" t="str">
        <x:v>167</x:v>
      </x:c>
      <x:c r="D40" s="99" t="str">
        <x:v>まちへ出ていく時に、福祉サービス施設の車を月２回と申告してやく１回出してもらえますが、もう少し利用しやすくしてもらいたいです。</x:v>
      </x:c>
    </x:row>
    <x:row r="41">
      <x:c r="A41" s="98" t="str">
        <x:v>問45</x:v>
      </x:c>
      <x:c r="B41" s="94" t="str">
        <x:v>障がい福祉や暮らしについて、ご意見・ご要望があれば自由に記入してください</x:v>
      </x:c>
      <x:c r="C41" s="94" t="str">
        <x:v>71</x:v>
      </x:c>
      <x:c r="D41" s="99" t="str">
        <x:v>本人及び家族が穏やかに生活できるような環境を確保できるようにしていただきたい</x:v>
      </x:c>
    </x:row>
    <x:row r="42">
      <x:c r="A42" s="100" t="str">
        <x:v>問45</x:v>
      </x:c>
      <x:c r="B42" s="135" t="str">
        <x:v>障がい福祉や暮らしについて、ご意見・ご要望があれば自由に記入してください</x:v>
      </x:c>
      <x:c r="C42" s="135" t="str">
        <x:v>25</x:v>
      </x:c>
      <x:c r="D42" s="101" t="str">
        <x:v>夫が突然障害者になった時、相談後スムーズに対応出来ず、思ったより時間がかかり、何も出来ないまま終わりました。</x:v>
      </x:c>
    </x:row>
  </x:sheetData>
  <x:mergeCells>
    <x:mergeCell ref="A1:D2"/>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s>
  <x:sheetData>
    <x:row r="1">
      <x:c r="A1" s="79" t="str">
        <x:v>問6 × 問27-3 クロス分析</x:v>
      </x:c>
      <x:c r="B1" s="79"/>
      <x:c r="C1" s="79"/>
      <x:c r="D1" s="79"/>
      <x:c r="E1" s="79"/>
      <x:c r="F1" s="79"/>
      <x:c r="G1" s="79"/>
      <x:c r="H1" s="79"/>
      <x:c r="I1" s="79"/>
      <x:c r="J1" s="79"/>
      <x:c r="K1" s="79"/>
      <x:c r="L1" s="79"/>
      <x:c r="M1" s="79"/>
      <x:c r="N1" s="79"/>
      <x:c r="O1" s="79"/>
      <x:c r="P1" s="79"/>
      <x:c r="Q1" s="79"/>
      <x:c r="R1" s="79"/>
      <x:c r="S1" s="79"/>
      <x:c r="T1" s="79"/>
      <x:c r="U1" s="79"/>
    </x:row>
    <x:row r="2">
      <x:c r="A2" s="79"/>
      <x:c r="B2" s="79"/>
      <x:c r="C2" s="79"/>
      <x:c r="D2" s="79"/>
      <x:c r="E2" s="79"/>
      <x:c r="F2" s="79"/>
      <x:c r="G2" s="79"/>
      <x:c r="H2" s="79"/>
      <x:c r="I2" s="79"/>
      <x:c r="J2" s="79"/>
      <x:c r="K2" s="79"/>
      <x:c r="L2" s="79"/>
      <x:c r="M2" s="79"/>
      <x:c r="N2" s="79"/>
      <x:c r="O2" s="79"/>
      <x:c r="P2" s="79"/>
      <x:c r="Q2" s="79"/>
      <x:c r="R2" s="79"/>
      <x:c r="S2" s="79"/>
      <x:c r="T2" s="79"/>
      <x:c r="U2" s="79"/>
    </x:row>
    <x:row r="3">
      <x:c r="A3" s="139" t="str">
        <x:v>障がい種別ごとの今後のサービス利用ニーズ</x:v>
      </x:c>
      <x:c r="B3" s="139"/>
      <x:c r="C3" s="139"/>
      <x:c r="D3" s="139"/>
      <x:c r="E3" s="139"/>
      <x:c r="F3" s="139"/>
      <x:c r="G3" s="139"/>
      <x:c r="H3" s="139"/>
      <x:c r="I3" s="139"/>
      <x:c r="J3" s="139"/>
      <x:c r="K3" s="139"/>
      <x:c r="L3" s="139"/>
      <x:c r="M3" s="139"/>
      <x:c r="N3" s="139"/>
      <x:c r="O3" s="139"/>
      <x:c r="P3" s="139"/>
      <x:c r="Q3" s="139"/>
      <x:c r="R3" s="139"/>
      <x:c r="S3" s="139"/>
      <x:c r="T3" s="139"/>
      <x:c r="U3" s="139"/>
    </x:row>
    <x:row r="4">
      <x:c r="A4" s="154" t="str">
        <x:v>行：問6「主たる障がい種別を1つ選ぶとすれば、どれにあたりますか」／列：問27-3「今後3年間で利用したい、または利用を続けたいサービスを選んでください（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c r="L4" s="154"/>
      <x:c r="M4" s="154"/>
      <x:c r="N4" s="154"/>
      <x:c r="O4" s="154"/>
      <x:c r="P4" s="154"/>
      <x:c r="Q4" s="154"/>
      <x:c r="R4" s="154"/>
      <x:c r="S4" s="154"/>
      <x:c r="T4" s="154"/>
      <x:c r="U4" s="154"/>
    </x:row>
    <x:row r="6" ht="54" customHeight="1">
      <x:c r="A6" s="96" t="str">
        <x:v>行区分</x:v>
      </x:c>
      <x:c r="B6" s="145" t="str">
        <x:v>n</x:v>
      </x:c>
      <x:c r="C6" s="145" t="str">
        <x:v>居宅介護（ホームヘルプ）</x:v>
      </x:c>
      <x:c r="D6" s="145" t="str">
        <x:v>重度訪問介護</x:v>
      </x:c>
      <x:c r="E6" s="145" t="str">
        <x:v>同行援護・行動援護</x:v>
      </x:c>
      <x:c r="F6" s="145" t="str">
        <x:v>生活介護</x:v>
      </x:c>
      <x:c r="G6" s="145" t="str">
        <x:v>自立訓練</x:v>
      </x:c>
      <x:c r="H6" s="145" t="str">
        <x:v>就労移行支援</x:v>
      </x:c>
      <x:c r="I6" s="145" t="str">
        <x:v>就労継続支援A型</x:v>
      </x:c>
      <x:c r="J6" s="145" t="str">
        <x:v>就労継続支援B型</x:v>
      </x:c>
      <x:c r="K6" s="145" t="str">
        <x:v>就労選択支援</x:v>
      </x:c>
      <x:c r="L6" s="145" t="str">
        <x:v>就労定着支援</x:v>
      </x:c>
      <x:c r="M6" s="145" t="str">
        <x:v>短期入所（ショートステイ）</x:v>
      </x:c>
      <x:c r="N6" s="145" t="str">
        <x:v>グループホーム</x:v>
      </x:c>
      <x:c r="O6" s="145" t="str">
        <x:v>施設入所支援</x:v>
      </x:c>
      <x:c r="P6" s="145" t="str">
        <x:v>計画相談支援</x:v>
      </x:c>
      <x:c r="Q6" s="145" t="str">
        <x:v>移動支援</x:v>
      </x:c>
      <x:c r="R6" s="145" t="str">
        <x:v>日中一時支援</x:v>
      </x:c>
      <x:c r="S6" s="145" t="str">
        <x:v>日常生活用具</x:v>
      </x:c>
      <x:c r="T6" s="145" t="str">
        <x:v>訪問入浴</x:v>
      </x:c>
      <x:c r="U6" s="97" t="str">
        <x:v>利用したいサービスは特にない</x:v>
      </x:c>
    </x:row>
    <x:row r="7">
      <x:c r="A7" s="98" t="str">
        <x:v>身体障がい</x:v>
      </x:c>
      <x:c r="B7" s="165" t="n">
        <x:f>COUNTIF('データ'!$AY$5:$AY$42,"〇")</x:f>
        <x:v>26</x:v>
      </x:c>
      <x:c r="C7" s="173" t="n">
        <x:f>COUNTIFS('データ'!$AY$5:$AY$42,"〇",'データ'!$KN$5:$KN$42,"〇")</x:f>
        <x:v>3</x:v>
      </x:c>
      <x:c r="D7" s="173" t="n">
        <x:f>COUNTIFS('データ'!$AY$5:$AY$42,"〇",'データ'!$KO$5:$KO$42,"〇")</x:f>
        <x:v>0</x:v>
      </x:c>
      <x:c r="E7" s="173" t="n">
        <x:f>COUNTIFS('データ'!$AY$5:$AY$42,"〇",'データ'!$KP$5:$KP$42,"〇")</x:f>
        <x:v>1</x:v>
      </x:c>
      <x:c r="F7" s="173" t="n">
        <x:f>COUNTIFS('データ'!$AY$5:$AY$42,"〇",'データ'!$KQ$5:$KQ$42,"〇")</x:f>
        <x:v>0</x:v>
      </x:c>
      <x:c r="G7" s="173" t="n">
        <x:f>COUNTIFS('データ'!$AY$5:$AY$42,"〇",'データ'!$KR$5:$KR$42,"〇")</x:f>
        <x:v>1</x:v>
      </x:c>
      <x:c r="H7" s="173" t="n">
        <x:f>COUNTIFS('データ'!$AY$5:$AY$42,"〇",'データ'!$KS$5:$KS$42,"〇")</x:f>
        <x:v>0</x:v>
      </x:c>
      <x:c r="I7" s="173" t="n">
        <x:f>COUNTIFS('データ'!$AY$5:$AY$42,"〇",'データ'!$KT$5:$KT$42,"〇")</x:f>
        <x:v>0</x:v>
      </x:c>
      <x:c r="J7" s="173" t="n">
        <x:f>COUNTIFS('データ'!$AY$5:$AY$42,"〇",'データ'!$KU$5:$KU$42,"〇")</x:f>
        <x:v>0</x:v>
      </x:c>
      <x:c r="K7" s="173" t="n">
        <x:f>COUNTIFS('データ'!$AY$5:$AY$42,"〇",'データ'!$KV$5:$KV$42,"〇")</x:f>
        <x:v>0</x:v>
      </x:c>
      <x:c r="L7" s="173" t="n">
        <x:f>COUNTIFS('データ'!$AY$5:$AY$42,"〇",'データ'!$KW$5:$KW$42,"〇")</x:f>
        <x:v>0</x:v>
      </x:c>
      <x:c r="M7" s="173" t="n">
        <x:f>COUNTIFS('データ'!$AY$5:$AY$42,"〇",'データ'!$KX$5:$KX$42,"〇")</x:f>
        <x:v>3</x:v>
      </x:c>
      <x:c r="N7" s="173" t="n">
        <x:f>COUNTIFS('データ'!$AY$5:$AY$42,"〇",'データ'!$KY$5:$KY$42,"〇")</x:f>
        <x:v>3</x:v>
      </x:c>
      <x:c r="O7" s="173" t="n">
        <x:f>COUNTIFS('データ'!$AY$5:$AY$42,"〇",'データ'!$KZ$5:$KZ$42,"〇")</x:f>
        <x:v>5</x:v>
      </x:c>
      <x:c r="P7" s="173" t="n">
        <x:f>COUNTIFS('データ'!$AY$5:$AY$42,"〇",'データ'!$LA$5:$LA$42,"〇")</x:f>
        <x:v>1</x:v>
      </x:c>
      <x:c r="Q7" s="173" t="n">
        <x:f>COUNTIFS('データ'!$AY$5:$AY$42,"〇",'データ'!$LB$5:$LB$42,"〇")</x:f>
        <x:v>0</x:v>
      </x:c>
      <x:c r="R7" s="173" t="n">
        <x:f>COUNTIFS('データ'!$AY$5:$AY$42,"〇",'データ'!$LC$5:$LC$42,"〇")</x:f>
        <x:v>1</x:v>
      </x:c>
      <x:c r="S7" s="173" t="n">
        <x:f>COUNTIFS('データ'!$AY$5:$AY$42,"〇",'データ'!$LD$5:$LD$42,"〇")</x:f>
        <x:v>1</x:v>
      </x:c>
      <x:c r="T7" s="173" t="n">
        <x:f>COUNTIFS('データ'!$AY$5:$AY$42,"〇",'データ'!$LE$5:$LE$42,"〇")</x:f>
        <x:v>0</x:v>
      </x:c>
      <x:c r="U7" s="174" t="n">
        <x:f>COUNTIFS('データ'!$AY$5:$AY$42,"〇",'データ'!$LF$5:$LF$42,"〇")</x:f>
        <x:v>9</x:v>
      </x:c>
    </x:row>
    <x:row r="8">
      <x:c r="A8" s="98" t="str">
        <x:v>知的障がい</x:v>
      </x:c>
      <x:c r="B8" s="165" t="n">
        <x:f>COUNTIF('データ'!$AZ$5:$AZ$42,"〇")</x:f>
        <x:v>2</x:v>
      </x:c>
      <x:c r="C8" s="173" t="n">
        <x:f>COUNTIFS('データ'!$AZ$5:$AZ$42,"〇",'データ'!$KN$5:$KN$42,"〇")</x:f>
        <x:v>0</x:v>
      </x:c>
      <x:c r="D8" s="173" t="n">
        <x:f>COUNTIFS('データ'!$AZ$5:$AZ$42,"〇",'データ'!$KO$5:$KO$42,"〇")</x:f>
        <x:v>0</x:v>
      </x:c>
      <x:c r="E8" s="173" t="n">
        <x:f>COUNTIFS('データ'!$AZ$5:$AZ$42,"〇",'データ'!$KP$5:$KP$42,"〇")</x:f>
        <x:v>0</x:v>
      </x:c>
      <x:c r="F8" s="173" t="n">
        <x:f>COUNTIFS('データ'!$AZ$5:$AZ$42,"〇",'データ'!$KQ$5:$KQ$42,"〇")</x:f>
        <x:v>2</x:v>
      </x:c>
      <x:c r="G8" s="173" t="n">
        <x:f>COUNTIFS('データ'!$AZ$5:$AZ$42,"〇",'データ'!$KR$5:$KR$42,"〇")</x:f>
        <x:v>0</x:v>
      </x:c>
      <x:c r="H8" s="173" t="n">
        <x:f>COUNTIFS('データ'!$AZ$5:$AZ$42,"〇",'データ'!$KS$5:$KS$42,"〇")</x:f>
        <x:v>0</x:v>
      </x:c>
      <x:c r="I8" s="173" t="n">
        <x:f>COUNTIFS('データ'!$AZ$5:$AZ$42,"〇",'データ'!$KT$5:$KT$42,"〇")</x:f>
        <x:v>0</x:v>
      </x:c>
      <x:c r="J8" s="173" t="n">
        <x:f>COUNTIFS('データ'!$AZ$5:$AZ$42,"〇",'データ'!$KU$5:$KU$42,"〇")</x:f>
        <x:v>0</x:v>
      </x:c>
      <x:c r="K8" s="173" t="n">
        <x:f>COUNTIFS('データ'!$AZ$5:$AZ$42,"〇",'データ'!$KV$5:$KV$42,"〇")</x:f>
        <x:v>0</x:v>
      </x:c>
      <x:c r="L8" s="173" t="n">
        <x:f>COUNTIFS('データ'!$AZ$5:$AZ$42,"〇",'データ'!$KW$5:$KW$42,"〇")</x:f>
        <x:v>0</x:v>
      </x:c>
      <x:c r="M8" s="173" t="n">
        <x:f>COUNTIFS('データ'!$AZ$5:$AZ$42,"〇",'データ'!$KX$5:$KX$42,"〇")</x:f>
        <x:v>0</x:v>
      </x:c>
      <x:c r="N8" s="173" t="n">
        <x:f>COUNTIFS('データ'!$AZ$5:$AZ$42,"〇",'データ'!$KY$5:$KY$42,"〇")</x:f>
        <x:v>0</x:v>
      </x:c>
      <x:c r="O8" s="173" t="n">
        <x:f>COUNTIFS('データ'!$AZ$5:$AZ$42,"〇",'データ'!$KZ$5:$KZ$42,"〇")</x:f>
        <x:v>2</x:v>
      </x:c>
      <x:c r="P8" s="173" t="n">
        <x:f>COUNTIFS('データ'!$AZ$5:$AZ$42,"〇",'データ'!$LA$5:$LA$42,"〇")</x:f>
        <x:v>1</x:v>
      </x:c>
      <x:c r="Q8" s="173" t="n">
        <x:f>COUNTIFS('データ'!$AZ$5:$AZ$42,"〇",'データ'!$LB$5:$LB$42,"〇")</x:f>
        <x:v>0</x:v>
      </x:c>
      <x:c r="R8" s="173" t="n">
        <x:f>COUNTIFS('データ'!$AZ$5:$AZ$42,"〇",'データ'!$LC$5:$LC$42,"〇")</x:f>
        <x:v>0</x:v>
      </x:c>
      <x:c r="S8" s="173" t="n">
        <x:f>COUNTIFS('データ'!$AZ$5:$AZ$42,"〇",'データ'!$LD$5:$LD$42,"〇")</x:f>
        <x:v>0</x:v>
      </x:c>
      <x:c r="T8" s="173" t="n">
        <x:f>COUNTIFS('データ'!$AZ$5:$AZ$42,"〇",'データ'!$LE$5:$LE$42,"〇")</x:f>
        <x:v>0</x:v>
      </x:c>
      <x:c r="U8" s="174" t="n">
        <x:f>COUNTIFS('データ'!$AZ$5:$AZ$42,"〇",'データ'!$LF$5:$LF$42,"〇")</x:f>
        <x:v>0</x:v>
      </x:c>
    </x:row>
    <x:row r="9">
      <x:c r="A9" s="98" t="str">
        <x:v>精神障がい</x:v>
      </x:c>
      <x:c r="B9" s="165" t="n">
        <x:f>COUNTIF('データ'!$BA$5:$BA$42,"〇")</x:f>
        <x:v>4</x:v>
      </x:c>
      <x:c r="C9" s="173" t="n">
        <x:f>COUNTIFS('データ'!$BA$5:$BA$42,"〇",'データ'!$KN$5:$KN$42,"〇")</x:f>
        <x:v>0</x:v>
      </x:c>
      <x:c r="D9" s="173" t="n">
        <x:f>COUNTIFS('データ'!$BA$5:$BA$42,"〇",'データ'!$KO$5:$KO$42,"〇")</x:f>
        <x:v>0</x:v>
      </x:c>
      <x:c r="E9" s="173" t="n">
        <x:f>COUNTIFS('データ'!$BA$5:$BA$42,"〇",'データ'!$KP$5:$KP$42,"〇")</x:f>
        <x:v>0</x:v>
      </x:c>
      <x:c r="F9" s="173" t="n">
        <x:f>COUNTIFS('データ'!$BA$5:$BA$42,"〇",'データ'!$KQ$5:$KQ$42,"〇")</x:f>
        <x:v>1</x:v>
      </x:c>
      <x:c r="G9" s="173" t="n">
        <x:f>COUNTIFS('データ'!$BA$5:$BA$42,"〇",'データ'!$KR$5:$KR$42,"〇")</x:f>
        <x:v>0</x:v>
      </x:c>
      <x:c r="H9" s="173" t="n">
        <x:f>COUNTIFS('データ'!$BA$5:$BA$42,"〇",'データ'!$KS$5:$KS$42,"〇")</x:f>
        <x:v>0</x:v>
      </x:c>
      <x:c r="I9" s="173" t="n">
        <x:f>COUNTIFS('データ'!$BA$5:$BA$42,"〇",'データ'!$KT$5:$KT$42,"〇")</x:f>
        <x:v>0</x:v>
      </x:c>
      <x:c r="J9" s="173" t="n">
        <x:f>COUNTIFS('データ'!$BA$5:$BA$42,"〇",'データ'!$KU$5:$KU$42,"〇")</x:f>
        <x:v>0</x:v>
      </x:c>
      <x:c r="K9" s="173" t="n">
        <x:f>COUNTIFS('データ'!$BA$5:$BA$42,"〇",'データ'!$KV$5:$KV$42,"〇")</x:f>
        <x:v>0</x:v>
      </x:c>
      <x:c r="L9" s="173" t="n">
        <x:f>COUNTIFS('データ'!$BA$5:$BA$42,"〇",'データ'!$KW$5:$KW$42,"〇")</x:f>
        <x:v>0</x:v>
      </x:c>
      <x:c r="M9" s="173" t="n">
        <x:f>COUNTIFS('データ'!$BA$5:$BA$42,"〇",'データ'!$KX$5:$KX$42,"〇")</x:f>
        <x:v>0</x:v>
      </x:c>
      <x:c r="N9" s="173" t="n">
        <x:f>COUNTIFS('データ'!$BA$5:$BA$42,"〇",'データ'!$KY$5:$KY$42,"〇")</x:f>
        <x:v>1</x:v>
      </x:c>
      <x:c r="O9" s="173" t="n">
        <x:f>COUNTIFS('データ'!$BA$5:$BA$42,"〇",'データ'!$KZ$5:$KZ$42,"〇")</x:f>
        <x:v>1</x:v>
      </x:c>
      <x:c r="P9" s="173" t="n">
        <x:f>COUNTIFS('データ'!$BA$5:$BA$42,"〇",'データ'!$LA$5:$LA$42,"〇")</x:f>
        <x:v>0</x:v>
      </x:c>
      <x:c r="Q9" s="173" t="n">
        <x:f>COUNTIFS('データ'!$BA$5:$BA$42,"〇",'データ'!$LB$5:$LB$42,"〇")</x:f>
        <x:v>2</x:v>
      </x:c>
      <x:c r="R9" s="173" t="n">
        <x:f>COUNTIFS('データ'!$BA$5:$BA$42,"〇",'データ'!$LC$5:$LC$42,"〇")</x:f>
        <x:v>0</x:v>
      </x:c>
      <x:c r="S9" s="173" t="n">
        <x:f>COUNTIFS('データ'!$BA$5:$BA$42,"〇",'データ'!$LD$5:$LD$42,"〇")</x:f>
        <x:v>0</x:v>
      </x:c>
      <x:c r="T9" s="173" t="n">
        <x:f>COUNTIFS('データ'!$BA$5:$BA$42,"〇",'データ'!$LE$5:$LE$42,"〇")</x:f>
        <x:v>0</x:v>
      </x:c>
      <x:c r="U9" s="174" t="n">
        <x:f>COUNTIFS('データ'!$BA$5:$BA$42,"〇",'データ'!$LF$5:$LF$42,"〇")</x:f>
        <x:v>2</x:v>
      </x:c>
    </x:row>
    <x:row r="10">
      <x:c r="A10" s="98" t="str">
        <x:v>発達障がい</x:v>
      </x:c>
      <x:c r="B10" s="165" t="n">
        <x:f>COUNTIF('データ'!$BB$5:$BB$42,"〇")</x:f>
        <x:v>3</x:v>
      </x:c>
      <x:c r="C10" s="173" t="n">
        <x:f>COUNTIFS('データ'!$BB$5:$BB$42,"〇",'データ'!$KN$5:$KN$42,"〇")</x:f>
        <x:v>0</x:v>
      </x:c>
      <x:c r="D10" s="173" t="n">
        <x:f>COUNTIFS('データ'!$BB$5:$BB$42,"〇",'データ'!$KO$5:$KO$42,"〇")</x:f>
        <x:v>0</x:v>
      </x:c>
      <x:c r="E10" s="173" t="n">
        <x:f>COUNTIFS('データ'!$BB$5:$BB$42,"〇",'データ'!$KP$5:$KP$42,"〇")</x:f>
        <x:v>0</x:v>
      </x:c>
      <x:c r="F10" s="173" t="n">
        <x:f>COUNTIFS('データ'!$BB$5:$BB$42,"〇",'データ'!$KQ$5:$KQ$42,"〇")</x:f>
        <x:v>0</x:v>
      </x:c>
      <x:c r="G10" s="173" t="n">
        <x:f>COUNTIFS('データ'!$BB$5:$BB$42,"〇",'データ'!$KR$5:$KR$42,"〇")</x:f>
        <x:v>0</x:v>
      </x:c>
      <x:c r="H10" s="173" t="n">
        <x:f>COUNTIFS('データ'!$BB$5:$BB$42,"〇",'データ'!$KS$5:$KS$42,"〇")</x:f>
        <x:v>1</x:v>
      </x:c>
      <x:c r="I10" s="173" t="n">
        <x:f>COUNTIFS('データ'!$BB$5:$BB$42,"〇",'データ'!$KT$5:$KT$42,"〇")</x:f>
        <x:v>0</x:v>
      </x:c>
      <x:c r="J10" s="173" t="n">
        <x:f>COUNTIFS('データ'!$BB$5:$BB$42,"〇",'データ'!$KU$5:$KU$42,"〇")</x:f>
        <x:v>0</x:v>
      </x:c>
      <x:c r="K10" s="173" t="n">
        <x:f>COUNTIFS('データ'!$BB$5:$BB$42,"〇",'データ'!$KV$5:$KV$42,"〇")</x:f>
        <x:v>0</x:v>
      </x:c>
      <x:c r="L10" s="173" t="n">
        <x:f>COUNTIFS('データ'!$BB$5:$BB$42,"〇",'データ'!$KW$5:$KW$42,"〇")</x:f>
        <x:v>0</x:v>
      </x:c>
      <x:c r="M10" s="173" t="n">
        <x:f>COUNTIFS('データ'!$BB$5:$BB$42,"〇",'データ'!$KX$5:$KX$42,"〇")</x:f>
        <x:v>0</x:v>
      </x:c>
      <x:c r="N10" s="173" t="n">
        <x:f>COUNTIFS('データ'!$BB$5:$BB$42,"〇",'データ'!$KY$5:$KY$42,"〇")</x:f>
        <x:v>0</x:v>
      </x:c>
      <x:c r="O10" s="173" t="n">
        <x:f>COUNTIFS('データ'!$BB$5:$BB$42,"〇",'データ'!$KZ$5:$KZ$42,"〇")</x:f>
        <x:v>0</x:v>
      </x:c>
      <x:c r="P10" s="173" t="n">
        <x:f>COUNTIFS('データ'!$BB$5:$BB$42,"〇",'データ'!$LA$5:$LA$42,"〇")</x:f>
        <x:v>0</x:v>
      </x:c>
      <x:c r="Q10" s="173" t="n">
        <x:f>COUNTIFS('データ'!$BB$5:$BB$42,"〇",'データ'!$LB$5:$LB$42,"〇")</x:f>
        <x:v>0</x:v>
      </x:c>
      <x:c r="R10" s="173" t="n">
        <x:f>COUNTIFS('データ'!$BB$5:$BB$42,"〇",'データ'!$LC$5:$LC$42,"〇")</x:f>
        <x:v>0</x:v>
      </x:c>
      <x:c r="S10" s="173" t="n">
        <x:f>COUNTIFS('データ'!$BB$5:$BB$42,"〇",'データ'!$LD$5:$LD$42,"〇")</x:f>
        <x:v>0</x:v>
      </x:c>
      <x:c r="T10" s="173" t="n">
        <x:f>COUNTIFS('データ'!$BB$5:$BB$42,"〇",'データ'!$LE$5:$LE$42,"〇")</x:f>
        <x:v>0</x:v>
      </x:c>
      <x:c r="U10" s="174" t="n">
        <x:f>COUNTIFS('データ'!$BB$5:$BB$42,"〇",'データ'!$LF$5:$LF$42,"〇")</x:f>
        <x:v>1</x:v>
      </x:c>
    </x:row>
    <x:row r="11">
      <x:c r="A11" s="98" t="str">
        <x:v>難病</x:v>
      </x:c>
      <x:c r="B11" s="165" t="n">
        <x:f>COUNTIF('データ'!$BC$5:$BC$42,"〇")</x:f>
        <x:v>0</x:v>
      </x:c>
      <x:c r="C11" s="173" t="n">
        <x:f>COUNTIFS('データ'!$BC$5:$BC$42,"〇",'データ'!$KN$5:$KN$42,"〇")</x:f>
        <x:v>0</x:v>
      </x:c>
      <x:c r="D11" s="173" t="n">
        <x:f>COUNTIFS('データ'!$BC$5:$BC$42,"〇",'データ'!$KO$5:$KO$42,"〇")</x:f>
        <x:v>0</x:v>
      </x:c>
      <x:c r="E11" s="173" t="n">
        <x:f>COUNTIFS('データ'!$BC$5:$BC$42,"〇",'データ'!$KP$5:$KP$42,"〇")</x:f>
        <x:v>0</x:v>
      </x:c>
      <x:c r="F11" s="173" t="n">
        <x:f>COUNTIFS('データ'!$BC$5:$BC$42,"〇",'データ'!$KQ$5:$KQ$42,"〇")</x:f>
        <x:v>0</x:v>
      </x:c>
      <x:c r="G11" s="173" t="n">
        <x:f>COUNTIFS('データ'!$BC$5:$BC$42,"〇",'データ'!$KR$5:$KR$42,"〇")</x:f>
        <x:v>0</x:v>
      </x:c>
      <x:c r="H11" s="173" t="n">
        <x:f>COUNTIFS('データ'!$BC$5:$BC$42,"〇",'データ'!$KS$5:$KS$42,"〇")</x:f>
        <x:v>0</x:v>
      </x:c>
      <x:c r="I11" s="173" t="n">
        <x:f>COUNTIFS('データ'!$BC$5:$BC$42,"〇",'データ'!$KT$5:$KT$42,"〇")</x:f>
        <x:v>0</x:v>
      </x:c>
      <x:c r="J11" s="173" t="n">
        <x:f>COUNTIFS('データ'!$BC$5:$BC$42,"〇",'データ'!$KU$5:$KU$42,"〇")</x:f>
        <x:v>0</x:v>
      </x:c>
      <x:c r="K11" s="173" t="n">
        <x:f>COUNTIFS('データ'!$BC$5:$BC$42,"〇",'データ'!$KV$5:$KV$42,"〇")</x:f>
        <x:v>0</x:v>
      </x:c>
      <x:c r="L11" s="173" t="n">
        <x:f>COUNTIFS('データ'!$BC$5:$BC$42,"〇",'データ'!$KW$5:$KW$42,"〇")</x:f>
        <x:v>0</x:v>
      </x:c>
      <x:c r="M11" s="173" t="n">
        <x:f>COUNTIFS('データ'!$BC$5:$BC$42,"〇",'データ'!$KX$5:$KX$42,"〇")</x:f>
        <x:v>0</x:v>
      </x:c>
      <x:c r="N11" s="173" t="n">
        <x:f>COUNTIFS('データ'!$BC$5:$BC$42,"〇",'データ'!$KY$5:$KY$42,"〇")</x:f>
        <x:v>0</x:v>
      </x:c>
      <x:c r="O11" s="173" t="n">
        <x:f>COUNTIFS('データ'!$BC$5:$BC$42,"〇",'データ'!$KZ$5:$KZ$42,"〇")</x:f>
        <x:v>0</x:v>
      </x:c>
      <x:c r="P11" s="173" t="n">
        <x:f>COUNTIFS('データ'!$BC$5:$BC$42,"〇",'データ'!$LA$5:$LA$42,"〇")</x:f>
        <x:v>0</x:v>
      </x:c>
      <x:c r="Q11" s="173" t="n">
        <x:f>COUNTIFS('データ'!$BC$5:$BC$42,"〇",'データ'!$LB$5:$LB$42,"〇")</x:f>
        <x:v>0</x:v>
      </x:c>
      <x:c r="R11" s="173" t="n">
        <x:f>COUNTIFS('データ'!$BC$5:$BC$42,"〇",'データ'!$LC$5:$LC$42,"〇")</x:f>
        <x:v>0</x:v>
      </x:c>
      <x:c r="S11" s="173" t="n">
        <x:f>COUNTIFS('データ'!$BC$5:$BC$42,"〇",'データ'!$LD$5:$LD$42,"〇")</x:f>
        <x:v>0</x:v>
      </x:c>
      <x:c r="T11" s="173" t="n">
        <x:f>COUNTIFS('データ'!$BC$5:$BC$42,"〇",'データ'!$LE$5:$LE$42,"〇")</x:f>
        <x:v>0</x:v>
      </x:c>
      <x:c r="U11" s="174" t="n">
        <x:f>COUNTIFS('データ'!$BC$5:$BC$42,"〇",'データ'!$LF$5:$LF$42,"〇")</x:f>
        <x:v>0</x:v>
      </x:c>
    </x:row>
    <x:row r="12">
      <x:c r="A12" s="98" t="str">
        <x:v>高次脳機能障がい</x:v>
      </x:c>
      <x:c r="B12" s="165" t="n">
        <x:f>COUNTIF('データ'!$BD$5:$BD$42,"〇")</x:f>
        <x:v>0</x:v>
      </x:c>
      <x:c r="C12" s="173" t="n">
        <x:f>COUNTIFS('データ'!$BD$5:$BD$42,"〇",'データ'!$KN$5:$KN$42,"〇")</x:f>
        <x:v>0</x:v>
      </x:c>
      <x:c r="D12" s="173" t="n">
        <x:f>COUNTIFS('データ'!$BD$5:$BD$42,"〇",'データ'!$KO$5:$KO$42,"〇")</x:f>
        <x:v>0</x:v>
      </x:c>
      <x:c r="E12" s="173" t="n">
        <x:f>COUNTIFS('データ'!$BD$5:$BD$42,"〇",'データ'!$KP$5:$KP$42,"〇")</x:f>
        <x:v>0</x:v>
      </x:c>
      <x:c r="F12" s="173" t="n">
        <x:f>COUNTIFS('データ'!$BD$5:$BD$42,"〇",'データ'!$KQ$5:$KQ$42,"〇")</x:f>
        <x:v>0</x:v>
      </x:c>
      <x:c r="G12" s="173" t="n">
        <x:f>COUNTIFS('データ'!$BD$5:$BD$42,"〇",'データ'!$KR$5:$KR$42,"〇")</x:f>
        <x:v>0</x:v>
      </x:c>
      <x:c r="H12" s="173" t="n">
        <x:f>COUNTIFS('データ'!$BD$5:$BD$42,"〇",'データ'!$KS$5:$KS$42,"〇")</x:f>
        <x:v>0</x:v>
      </x:c>
      <x:c r="I12" s="173" t="n">
        <x:f>COUNTIFS('データ'!$BD$5:$BD$42,"〇",'データ'!$KT$5:$KT$42,"〇")</x:f>
        <x:v>0</x:v>
      </x:c>
      <x:c r="J12" s="173" t="n">
        <x:f>COUNTIFS('データ'!$BD$5:$BD$42,"〇",'データ'!$KU$5:$KU$42,"〇")</x:f>
        <x:v>0</x:v>
      </x:c>
      <x:c r="K12" s="173" t="n">
        <x:f>COUNTIFS('データ'!$BD$5:$BD$42,"〇",'データ'!$KV$5:$KV$42,"〇")</x:f>
        <x:v>0</x:v>
      </x:c>
      <x:c r="L12" s="173" t="n">
        <x:f>COUNTIFS('データ'!$BD$5:$BD$42,"〇",'データ'!$KW$5:$KW$42,"〇")</x:f>
        <x:v>0</x:v>
      </x:c>
      <x:c r="M12" s="173" t="n">
        <x:f>COUNTIFS('データ'!$BD$5:$BD$42,"〇",'データ'!$KX$5:$KX$42,"〇")</x:f>
        <x:v>0</x:v>
      </x:c>
      <x:c r="N12" s="173" t="n">
        <x:f>COUNTIFS('データ'!$BD$5:$BD$42,"〇",'データ'!$KY$5:$KY$42,"〇")</x:f>
        <x:v>0</x:v>
      </x:c>
      <x:c r="O12" s="173" t="n">
        <x:f>COUNTIFS('データ'!$BD$5:$BD$42,"〇",'データ'!$KZ$5:$KZ$42,"〇")</x:f>
        <x:v>0</x:v>
      </x:c>
      <x:c r="P12" s="173" t="n">
        <x:f>COUNTIFS('データ'!$BD$5:$BD$42,"〇",'データ'!$LA$5:$LA$42,"〇")</x:f>
        <x:v>0</x:v>
      </x:c>
      <x:c r="Q12" s="173" t="n">
        <x:f>COUNTIFS('データ'!$BD$5:$BD$42,"〇",'データ'!$LB$5:$LB$42,"〇")</x:f>
        <x:v>0</x:v>
      </x:c>
      <x:c r="R12" s="173" t="n">
        <x:f>COUNTIFS('データ'!$BD$5:$BD$42,"〇",'データ'!$LC$5:$LC$42,"〇")</x:f>
        <x:v>0</x:v>
      </x:c>
      <x:c r="S12" s="173" t="n">
        <x:f>COUNTIFS('データ'!$BD$5:$BD$42,"〇",'データ'!$LD$5:$LD$42,"〇")</x:f>
        <x:v>0</x:v>
      </x:c>
      <x:c r="T12" s="173" t="n">
        <x:f>COUNTIFS('データ'!$BD$5:$BD$42,"〇",'データ'!$LE$5:$LE$42,"〇")</x:f>
        <x:v>0</x:v>
      </x:c>
      <x:c r="U12" s="174" t="n">
        <x:f>COUNTIFS('データ'!$BD$5:$BD$42,"〇",'データ'!$LF$5:$LF$42,"〇")</x:f>
        <x:v>0</x:v>
      </x:c>
    </x:row>
    <x:row r="13">
      <x:c r="A13" s="98" t="str">
        <x:v>重症心身障がい</x:v>
      </x:c>
      <x:c r="B13" s="165" t="n">
        <x:f>COUNTIF('データ'!$BE$5:$BE$42,"〇")</x:f>
        <x:v>0</x:v>
      </x:c>
      <x:c r="C13" s="173" t="n">
        <x:f>COUNTIFS('データ'!$BE$5:$BE$42,"〇",'データ'!$KN$5:$KN$42,"〇")</x:f>
        <x:v>0</x:v>
      </x:c>
      <x:c r="D13" s="173" t="n">
        <x:f>COUNTIFS('データ'!$BE$5:$BE$42,"〇",'データ'!$KO$5:$KO$42,"〇")</x:f>
        <x:v>0</x:v>
      </x:c>
      <x:c r="E13" s="173" t="n">
        <x:f>COUNTIFS('データ'!$BE$5:$BE$42,"〇",'データ'!$KP$5:$KP$42,"〇")</x:f>
        <x:v>0</x:v>
      </x:c>
      <x:c r="F13" s="173" t="n">
        <x:f>COUNTIFS('データ'!$BE$5:$BE$42,"〇",'データ'!$KQ$5:$KQ$42,"〇")</x:f>
        <x:v>0</x:v>
      </x:c>
      <x:c r="G13" s="173" t="n">
        <x:f>COUNTIFS('データ'!$BE$5:$BE$42,"〇",'データ'!$KR$5:$KR$42,"〇")</x:f>
        <x:v>0</x:v>
      </x:c>
      <x:c r="H13" s="173" t="n">
        <x:f>COUNTIFS('データ'!$BE$5:$BE$42,"〇",'データ'!$KS$5:$KS$42,"〇")</x:f>
        <x:v>0</x:v>
      </x:c>
      <x:c r="I13" s="173" t="n">
        <x:f>COUNTIFS('データ'!$BE$5:$BE$42,"〇",'データ'!$KT$5:$KT$42,"〇")</x:f>
        <x:v>0</x:v>
      </x:c>
      <x:c r="J13" s="173" t="n">
        <x:f>COUNTIFS('データ'!$BE$5:$BE$42,"〇",'データ'!$KU$5:$KU$42,"〇")</x:f>
        <x:v>0</x:v>
      </x:c>
      <x:c r="K13" s="173" t="n">
        <x:f>COUNTIFS('データ'!$BE$5:$BE$42,"〇",'データ'!$KV$5:$KV$42,"〇")</x:f>
        <x:v>0</x:v>
      </x:c>
      <x:c r="L13" s="173" t="n">
        <x:f>COUNTIFS('データ'!$BE$5:$BE$42,"〇",'データ'!$KW$5:$KW$42,"〇")</x:f>
        <x:v>0</x:v>
      </x:c>
      <x:c r="M13" s="173" t="n">
        <x:f>COUNTIFS('データ'!$BE$5:$BE$42,"〇",'データ'!$KX$5:$KX$42,"〇")</x:f>
        <x:v>0</x:v>
      </x:c>
      <x:c r="N13" s="173" t="n">
        <x:f>COUNTIFS('データ'!$BE$5:$BE$42,"〇",'データ'!$KY$5:$KY$42,"〇")</x:f>
        <x:v>0</x:v>
      </x:c>
      <x:c r="O13" s="173" t="n">
        <x:f>COUNTIFS('データ'!$BE$5:$BE$42,"〇",'データ'!$KZ$5:$KZ$42,"〇")</x:f>
        <x:v>0</x:v>
      </x:c>
      <x:c r="P13" s="173" t="n">
        <x:f>COUNTIFS('データ'!$BE$5:$BE$42,"〇",'データ'!$LA$5:$LA$42,"〇")</x:f>
        <x:v>0</x:v>
      </x:c>
      <x:c r="Q13" s="173" t="n">
        <x:f>COUNTIFS('データ'!$BE$5:$BE$42,"〇",'データ'!$LB$5:$LB$42,"〇")</x:f>
        <x:v>0</x:v>
      </x:c>
      <x:c r="R13" s="173" t="n">
        <x:f>COUNTIFS('データ'!$BE$5:$BE$42,"〇",'データ'!$LC$5:$LC$42,"〇")</x:f>
        <x:v>0</x:v>
      </x:c>
      <x:c r="S13" s="173" t="n">
        <x:f>COUNTIFS('データ'!$BE$5:$BE$42,"〇",'データ'!$LD$5:$LD$42,"〇")</x:f>
        <x:v>0</x:v>
      </x:c>
      <x:c r="T13" s="173" t="n">
        <x:f>COUNTIFS('データ'!$BE$5:$BE$42,"〇",'データ'!$LE$5:$LE$42,"〇")</x:f>
        <x:v>0</x:v>
      </x:c>
      <x:c r="U13" s="174" t="n">
        <x:f>COUNTIFS('データ'!$BE$5:$BE$42,"〇",'データ'!$LF$5:$LF$42,"〇")</x:f>
        <x:v>0</x:v>
      </x:c>
    </x:row>
    <x:row r="14">
      <x:c r="A14" s="100" t="str">
        <x:v>わからない・その他</x:v>
      </x:c>
      <x:c r="B14" s="167" t="n">
        <x:f>COUNTIF('データ'!$BF$5:$BF$42,"〇")</x:f>
        <x:v>2</x:v>
      </x:c>
      <x:c r="C14" s="175" t="n">
        <x:f>COUNTIFS('データ'!$BF$5:$BF$42,"〇",'データ'!$KN$5:$KN$42,"〇")</x:f>
        <x:v>0</x:v>
      </x:c>
      <x:c r="D14" s="175" t="n">
        <x:f>COUNTIFS('データ'!$BF$5:$BF$42,"〇",'データ'!$KO$5:$KO$42,"〇")</x:f>
        <x:v>0</x:v>
      </x:c>
      <x:c r="E14" s="175" t="n">
        <x:f>COUNTIFS('データ'!$BF$5:$BF$42,"〇",'データ'!$KP$5:$KP$42,"〇")</x:f>
        <x:v>0</x:v>
      </x:c>
      <x:c r="F14" s="175" t="n">
        <x:f>COUNTIFS('データ'!$BF$5:$BF$42,"〇",'データ'!$KQ$5:$KQ$42,"〇")</x:f>
        <x:v>0</x:v>
      </x:c>
      <x:c r="G14" s="175" t="n">
        <x:f>COUNTIFS('データ'!$BF$5:$BF$42,"〇",'データ'!$KR$5:$KR$42,"〇")</x:f>
        <x:v>1</x:v>
      </x:c>
      <x:c r="H14" s="175" t="n">
        <x:f>COUNTIFS('データ'!$BF$5:$BF$42,"〇",'データ'!$KS$5:$KS$42,"〇")</x:f>
        <x:v>0</x:v>
      </x:c>
      <x:c r="I14" s="175" t="n">
        <x:f>COUNTIFS('データ'!$BF$5:$BF$42,"〇",'データ'!$KT$5:$KT$42,"〇")</x:f>
        <x:v>0</x:v>
      </x:c>
      <x:c r="J14" s="175" t="n">
        <x:f>COUNTIFS('データ'!$BF$5:$BF$42,"〇",'データ'!$KU$5:$KU$42,"〇")</x:f>
        <x:v>1</x:v>
      </x:c>
      <x:c r="K14" s="175" t="n">
        <x:f>COUNTIFS('データ'!$BF$5:$BF$42,"〇",'データ'!$KV$5:$KV$42,"〇")</x:f>
        <x:v>0</x:v>
      </x:c>
      <x:c r="L14" s="175" t="n">
        <x:f>COUNTIFS('データ'!$BF$5:$BF$42,"〇",'データ'!$KW$5:$KW$42,"〇")</x:f>
        <x:v>0</x:v>
      </x:c>
      <x:c r="M14" s="175" t="n">
        <x:f>COUNTIFS('データ'!$BF$5:$BF$42,"〇",'データ'!$KX$5:$KX$42,"〇")</x:f>
        <x:v>1</x:v>
      </x:c>
      <x:c r="N14" s="175" t="n">
        <x:f>COUNTIFS('データ'!$BF$5:$BF$42,"〇",'データ'!$KY$5:$KY$42,"〇")</x:f>
        <x:v>1</x:v>
      </x:c>
      <x:c r="O14" s="175" t="n">
        <x:f>COUNTIFS('データ'!$BF$5:$BF$42,"〇",'データ'!$KZ$5:$KZ$42,"〇")</x:f>
        <x:v>1</x:v>
      </x:c>
      <x:c r="P14" s="175" t="n">
        <x:f>COUNTIFS('データ'!$BF$5:$BF$42,"〇",'データ'!$LA$5:$LA$42,"〇")</x:f>
        <x:v>1</x:v>
      </x:c>
      <x:c r="Q14" s="175" t="n">
        <x:f>COUNTIFS('データ'!$BF$5:$BF$42,"〇",'データ'!$LB$5:$LB$42,"〇")</x:f>
        <x:v>0</x:v>
      </x:c>
      <x:c r="R14" s="175" t="n">
        <x:f>COUNTIFS('データ'!$BF$5:$BF$42,"〇",'データ'!$LC$5:$LC$42,"〇")</x:f>
        <x:v>0</x:v>
      </x:c>
      <x:c r="S14" s="175" t="n">
        <x:f>COUNTIFS('データ'!$BF$5:$BF$42,"〇",'データ'!$LD$5:$LD$42,"〇")</x:f>
        <x:v>0</x:v>
      </x:c>
      <x:c r="T14" s="175" t="n">
        <x:f>COUNTIFS('データ'!$BF$5:$BF$42,"〇",'データ'!$LE$5:$LE$42,"〇")</x:f>
        <x:v>0</x:v>
      </x:c>
      <x:c r="U14" s="176" t="n">
        <x:f>COUNTIFS('データ'!$BF$5:$BF$42,"〇",'データ'!$LF$5:$LF$42,"〇")</x:f>
        <x:v>0</x:v>
      </x:c>
    </x:row>
    <x:row r="15">
      <x:c r="C15" s="94"/>
      <x:c r="D15" s="94"/>
      <x:c r="E15" s="94"/>
      <x:c r="F15" s="94"/>
      <x:c r="G15" s="94"/>
      <x:c r="H15" s="94"/>
      <x:c r="I15" s="94"/>
      <x:c r="J15" s="94"/>
      <x:c r="K15" s="94"/>
      <x:c r="L15" s="94"/>
      <x:c r="M15" s="94"/>
      <x:c r="N15" s="94"/>
      <x:c r="O15" s="94"/>
      <x:c r="P15" s="94"/>
      <x:c r="Q15" s="94"/>
      <x:c r="R15" s="94"/>
      <x:c r="S15" s="94"/>
      <x:c r="T15" s="94"/>
      <x:c r="U15" s="94"/>
    </x:row>
    <x:row r="16">
      <x:c r="C16" s="94"/>
      <x:c r="D16" s="94"/>
      <x:c r="E16" s="94"/>
      <x:c r="F16" s="94"/>
      <x:c r="G16" s="94"/>
      <x:c r="H16" s="94"/>
      <x:c r="I16" s="94"/>
      <x:c r="J16" s="94"/>
      <x:c r="K16" s="94"/>
      <x:c r="L16" s="94"/>
      <x:c r="M16" s="94"/>
      <x:c r="N16" s="94"/>
      <x:c r="O16" s="94"/>
      <x:c r="P16" s="94"/>
      <x:c r="Q16" s="94"/>
      <x:c r="R16" s="94"/>
      <x:c r="S16" s="94"/>
      <x:c r="T16" s="94"/>
      <x:c r="U16" s="94"/>
    </x:row>
    <x:row r="17">
      <x:c r="A17" s="139" t="str">
        <x:v>行％（各行のnを100％とした割合）</x:v>
      </x:c>
      <x:c r="B17" s="139"/>
      <x:c r="C17" s="177"/>
      <x:c r="D17" s="177"/>
      <x:c r="E17" s="177"/>
      <x:c r="F17" s="177"/>
      <x:c r="G17" s="177"/>
      <x:c r="H17" s="177"/>
      <x:c r="I17" s="177"/>
      <x:c r="J17" s="177"/>
      <x:c r="K17" s="177"/>
      <x:c r="L17" s="177"/>
      <x:c r="M17" s="177"/>
      <x:c r="N17" s="177"/>
      <x:c r="O17" s="177"/>
      <x:c r="P17" s="177"/>
      <x:c r="Q17" s="177"/>
      <x:c r="R17" s="177"/>
      <x:c r="S17" s="177"/>
      <x:c r="T17" s="177"/>
      <x:c r="U17" s="177"/>
    </x:row>
    <x:row r="18" ht="54" customHeight="1">
      <x:c r="A18" s="96" t="str">
        <x:v>行区分</x:v>
      </x:c>
      <x:c r="B18" s="145" t="str">
        <x:v>n</x:v>
      </x:c>
      <x:c r="C18" s="145" t="str">
        <x:v>居宅介護（ホームヘルプ）</x:v>
      </x:c>
      <x:c r="D18" s="145" t="str">
        <x:v>重度訪問介護</x:v>
      </x:c>
      <x:c r="E18" s="145" t="str">
        <x:v>同行援護・行動援護</x:v>
      </x:c>
      <x:c r="F18" s="145" t="str">
        <x:v>生活介護</x:v>
      </x:c>
      <x:c r="G18" s="145" t="str">
        <x:v>自立訓練</x:v>
      </x:c>
      <x:c r="H18" s="145" t="str">
        <x:v>就労移行支援</x:v>
      </x:c>
      <x:c r="I18" s="145" t="str">
        <x:v>就労継続支援A型</x:v>
      </x:c>
      <x:c r="J18" s="145" t="str">
        <x:v>就労継続支援B型</x:v>
      </x:c>
      <x:c r="K18" s="145" t="str">
        <x:v>就労選択支援</x:v>
      </x:c>
      <x:c r="L18" s="145" t="str">
        <x:v>就労定着支援</x:v>
      </x:c>
      <x:c r="M18" s="145" t="str">
        <x:v>短期入所（ショートステイ）</x:v>
      </x:c>
      <x:c r="N18" s="145" t="str">
        <x:v>グループホーム</x:v>
      </x:c>
      <x:c r="O18" s="145" t="str">
        <x:v>施設入所支援</x:v>
      </x:c>
      <x:c r="P18" s="145" t="str">
        <x:v>計画相談支援</x:v>
      </x:c>
      <x:c r="Q18" s="145" t="str">
        <x:v>移動支援</x:v>
      </x:c>
      <x:c r="R18" s="145" t="str">
        <x:v>日中一時支援</x:v>
      </x:c>
      <x:c r="S18" s="145" t="str">
        <x:v>日常生活用具</x:v>
      </x:c>
      <x:c r="T18" s="145" t="str">
        <x:v>訪問入浴</x:v>
      </x:c>
      <x:c r="U18" s="97" t="str">
        <x:v>利用したいサービスは特にない</x:v>
      </x:c>
    </x:row>
    <x:row r="19">
      <x:c r="A19" s="98" t="str">
        <x:v>身体障がい</x:v>
      </x:c>
      <x:c r="B19" s="122" t="n">
        <x:f>B7</x:f>
        <x:v>26</x:v>
      </x:c>
      <x:c r="C19" s="143" t="n">
        <x:f>IF($B19=0,"",C7/$B19)</x:f>
        <x:v>0.11538461538461539</x:v>
      </x:c>
      <x:c r="D19" s="143" t="n">
        <x:f>IF($B19=0,"",D7/$B19)</x:f>
        <x:v>0</x:v>
      </x:c>
      <x:c r="E19" s="143" t="n">
        <x:f>IF($B19=0,"",E7/$B19)</x:f>
        <x:v>0.038461538461538464</x:v>
      </x:c>
      <x:c r="F19" s="143" t="n">
        <x:f>IF($B19=0,"",F7/$B19)</x:f>
        <x:v>0</x:v>
      </x:c>
      <x:c r="G19" s="143" t="n">
        <x:f>IF($B19=0,"",G7/$B19)</x:f>
        <x:v>0.038461538461538464</x:v>
      </x:c>
      <x:c r="H19" s="143" t="n">
        <x:f>IF($B19=0,"",H7/$B19)</x:f>
        <x:v>0</x:v>
      </x:c>
      <x:c r="I19" s="143" t="n">
        <x:f>IF($B19=0,"",I7/$B19)</x:f>
        <x:v>0</x:v>
      </x:c>
      <x:c r="J19" s="143" t="n">
        <x:f>IF($B19=0,"",J7/$B19)</x:f>
        <x:v>0</x:v>
      </x:c>
      <x:c r="K19" s="143" t="n">
        <x:f>IF($B19=0,"",K7/$B19)</x:f>
        <x:v>0</x:v>
      </x:c>
      <x:c r="L19" s="143" t="n">
        <x:f>IF($B19=0,"",L7/$B19)</x:f>
        <x:v>0</x:v>
      </x:c>
      <x:c r="M19" s="143" t="n">
        <x:f>IF($B19=0,"",M7/$B19)</x:f>
        <x:v>0.11538461538461539</x:v>
      </x:c>
      <x:c r="N19" s="143" t="n">
        <x:f>IF($B19=0,"",N7/$B19)</x:f>
        <x:v>0.11538461538461539</x:v>
      </x:c>
      <x:c r="O19" s="143" t="n">
        <x:f>IF($B19=0,"",O7/$B19)</x:f>
        <x:v>0.19230769230769232</x:v>
      </x:c>
      <x:c r="P19" s="143" t="n">
        <x:f>IF($B19=0,"",P7/$B19)</x:f>
        <x:v>0.038461538461538464</x:v>
      </x:c>
      <x:c r="Q19" s="143" t="n">
        <x:f>IF($B19=0,"",Q7/$B19)</x:f>
        <x:v>0</x:v>
      </x:c>
      <x:c r="R19" s="143" t="n">
        <x:f>IF($B19=0,"",R7/$B19)</x:f>
        <x:v>0.038461538461538464</x:v>
      </x:c>
      <x:c r="S19" s="143" t="n">
        <x:f>IF($B19=0,"",S7/$B19)</x:f>
        <x:v>0.038461538461538464</x:v>
      </x:c>
      <x:c r="T19" s="143" t="n">
        <x:f>IF($B19=0,"",T7/$B19)</x:f>
        <x:v>0</x:v>
      </x:c>
      <x:c r="U19" s="146" t="n">
        <x:f>IF($B19=0,"",U7/$B19)</x:f>
        <x:v>0.34615384615384615</x:v>
      </x:c>
    </x:row>
    <x:row r="20">
      <x:c r="A20" s="98" t="str">
        <x:v>知的障がい</x:v>
      </x:c>
      <x:c r="B20" s="122" t="n">
        <x:f>B8</x:f>
        <x:v>2</x:v>
      </x:c>
      <x:c r="C20" s="143" t="n">
        <x:f>IF($B20=0,"",C8/$B20)</x:f>
        <x:v>0</x:v>
      </x:c>
      <x:c r="D20" s="143" t="n">
        <x:f>IF($B20=0,"",D8/$B20)</x:f>
        <x:v>0</x:v>
      </x:c>
      <x:c r="E20" s="143" t="n">
        <x:f>IF($B20=0,"",E8/$B20)</x:f>
        <x:v>0</x:v>
      </x:c>
      <x:c r="F20" s="143" t="n">
        <x:f>IF($B20=0,"",F8/$B20)</x:f>
        <x:v>1</x:v>
      </x:c>
      <x:c r="G20" s="143" t="n">
        <x:f>IF($B20=0,"",G8/$B20)</x:f>
        <x:v>0</x:v>
      </x:c>
      <x:c r="H20" s="143" t="n">
        <x:f>IF($B20=0,"",H8/$B20)</x:f>
        <x:v>0</x:v>
      </x:c>
      <x:c r="I20" s="143" t="n">
        <x:f>IF($B20=0,"",I8/$B20)</x:f>
        <x:v>0</x:v>
      </x:c>
      <x:c r="J20" s="143" t="n">
        <x:f>IF($B20=0,"",J8/$B20)</x:f>
        <x:v>0</x:v>
      </x:c>
      <x:c r="K20" s="143" t="n">
        <x:f>IF($B20=0,"",K8/$B20)</x:f>
        <x:v>0</x:v>
      </x:c>
      <x:c r="L20" s="143" t="n">
        <x:f>IF($B20=0,"",L8/$B20)</x:f>
        <x:v>0</x:v>
      </x:c>
      <x:c r="M20" s="143" t="n">
        <x:f>IF($B20=0,"",M8/$B20)</x:f>
        <x:v>0</x:v>
      </x:c>
      <x:c r="N20" s="143" t="n">
        <x:f>IF($B20=0,"",N8/$B20)</x:f>
        <x:v>0</x:v>
      </x:c>
      <x:c r="O20" s="143" t="n">
        <x:f>IF($B20=0,"",O8/$B20)</x:f>
        <x:v>1</x:v>
      </x:c>
      <x:c r="P20" s="143" t="n">
        <x:f>IF($B20=0,"",P8/$B20)</x:f>
        <x:v>0.5</x:v>
      </x:c>
      <x:c r="Q20" s="143" t="n">
        <x:f>IF($B20=0,"",Q8/$B20)</x:f>
        <x:v>0</x:v>
      </x:c>
      <x:c r="R20" s="143" t="n">
        <x:f>IF($B20=0,"",R8/$B20)</x:f>
        <x:v>0</x:v>
      </x:c>
      <x:c r="S20" s="143" t="n">
        <x:f>IF($B20=0,"",S8/$B20)</x:f>
        <x:v>0</x:v>
      </x:c>
      <x:c r="T20" s="143" t="n">
        <x:f>IF($B20=0,"",T8/$B20)</x:f>
        <x:v>0</x:v>
      </x:c>
      <x:c r="U20" s="146" t="n">
        <x:f>IF($B20=0,"",U8/$B20)</x:f>
        <x:v>0</x:v>
      </x:c>
    </x:row>
    <x:row r="21">
      <x:c r="A21" s="98" t="str">
        <x:v>精神障がい</x:v>
      </x:c>
      <x:c r="B21" s="122" t="n">
        <x:f>B9</x:f>
        <x:v>4</x:v>
      </x:c>
      <x:c r="C21" s="143" t="n">
        <x:f>IF($B21=0,"",C9/$B21)</x:f>
        <x:v>0</x:v>
      </x:c>
      <x:c r="D21" s="143" t="n">
        <x:f>IF($B21=0,"",D9/$B21)</x:f>
        <x:v>0</x:v>
      </x:c>
      <x:c r="E21" s="143" t="n">
        <x:f>IF($B21=0,"",E9/$B21)</x:f>
        <x:v>0</x:v>
      </x:c>
      <x:c r="F21" s="143" t="n">
        <x:f>IF($B21=0,"",F9/$B21)</x:f>
        <x:v>0.25</x:v>
      </x:c>
      <x:c r="G21" s="143" t="n">
        <x:f>IF($B21=0,"",G9/$B21)</x:f>
        <x:v>0</x:v>
      </x:c>
      <x:c r="H21" s="143" t="n">
        <x:f>IF($B21=0,"",H9/$B21)</x:f>
        <x:v>0</x:v>
      </x:c>
      <x:c r="I21" s="143" t="n">
        <x:f>IF($B21=0,"",I9/$B21)</x:f>
        <x:v>0</x:v>
      </x:c>
      <x:c r="J21" s="143" t="n">
        <x:f>IF($B21=0,"",J9/$B21)</x:f>
        <x:v>0</x:v>
      </x:c>
      <x:c r="K21" s="143" t="n">
        <x:f>IF($B21=0,"",K9/$B21)</x:f>
        <x:v>0</x:v>
      </x:c>
      <x:c r="L21" s="143" t="n">
        <x:f>IF($B21=0,"",L9/$B21)</x:f>
        <x:v>0</x:v>
      </x:c>
      <x:c r="M21" s="143" t="n">
        <x:f>IF($B21=0,"",M9/$B21)</x:f>
        <x:v>0</x:v>
      </x:c>
      <x:c r="N21" s="143" t="n">
        <x:f>IF($B21=0,"",N9/$B21)</x:f>
        <x:v>0.25</x:v>
      </x:c>
      <x:c r="O21" s="143" t="n">
        <x:f>IF($B21=0,"",O9/$B21)</x:f>
        <x:v>0.25</x:v>
      </x:c>
      <x:c r="P21" s="143" t="n">
        <x:f>IF($B21=0,"",P9/$B21)</x:f>
        <x:v>0</x:v>
      </x:c>
      <x:c r="Q21" s="143" t="n">
        <x:f>IF($B21=0,"",Q9/$B21)</x:f>
        <x:v>0.5</x:v>
      </x:c>
      <x:c r="R21" s="143" t="n">
        <x:f>IF($B21=0,"",R9/$B21)</x:f>
        <x:v>0</x:v>
      </x:c>
      <x:c r="S21" s="143" t="n">
        <x:f>IF($B21=0,"",S9/$B21)</x:f>
        <x:v>0</x:v>
      </x:c>
      <x:c r="T21" s="143" t="n">
        <x:f>IF($B21=0,"",T9/$B21)</x:f>
        <x:v>0</x:v>
      </x:c>
      <x:c r="U21" s="146" t="n">
        <x:f>IF($B21=0,"",U9/$B21)</x:f>
        <x:v>0.5</x:v>
      </x:c>
    </x:row>
    <x:row r="22">
      <x:c r="A22" s="98" t="str">
        <x:v>発達障がい</x:v>
      </x:c>
      <x:c r="B22" s="122" t="n">
        <x:f>B10</x:f>
        <x:v>3</x:v>
      </x:c>
      <x:c r="C22" s="143" t="n">
        <x:f>IF($B22=0,"",C10/$B22)</x:f>
        <x:v>0</x:v>
      </x:c>
      <x:c r="D22" s="143" t="n">
        <x:f>IF($B22=0,"",D10/$B22)</x:f>
        <x:v>0</x:v>
      </x:c>
      <x:c r="E22" s="143" t="n">
        <x:f>IF($B22=0,"",E10/$B22)</x:f>
        <x:v>0</x:v>
      </x:c>
      <x:c r="F22" s="143" t="n">
        <x:f>IF($B22=0,"",F10/$B22)</x:f>
        <x:v>0</x:v>
      </x:c>
      <x:c r="G22" s="143" t="n">
        <x:f>IF($B22=0,"",G10/$B22)</x:f>
        <x:v>0</x:v>
      </x:c>
      <x:c r="H22" s="143" t="n">
        <x:f>IF($B22=0,"",H10/$B22)</x:f>
        <x:v>0.3333333333333333</x:v>
      </x:c>
      <x:c r="I22" s="143" t="n">
        <x:f>IF($B22=0,"",I10/$B22)</x:f>
        <x:v>0</x:v>
      </x:c>
      <x:c r="J22" s="143" t="n">
        <x:f>IF($B22=0,"",J10/$B22)</x:f>
        <x:v>0</x:v>
      </x:c>
      <x:c r="K22" s="143" t="n">
        <x:f>IF($B22=0,"",K10/$B22)</x:f>
        <x:v>0</x:v>
      </x:c>
      <x:c r="L22" s="143" t="n">
        <x:f>IF($B22=0,"",L10/$B22)</x:f>
        <x:v>0</x:v>
      </x:c>
      <x:c r="M22" s="143" t="n">
        <x:f>IF($B22=0,"",M10/$B22)</x:f>
        <x:v>0</x:v>
      </x:c>
      <x:c r="N22" s="143" t="n">
        <x:f>IF($B22=0,"",N10/$B22)</x:f>
        <x:v>0</x:v>
      </x:c>
      <x:c r="O22" s="143" t="n">
        <x:f>IF($B22=0,"",O10/$B22)</x:f>
        <x:v>0</x:v>
      </x:c>
      <x:c r="P22" s="143" t="n">
        <x:f>IF($B22=0,"",P10/$B22)</x:f>
        <x:v>0</x:v>
      </x:c>
      <x:c r="Q22" s="143" t="n">
        <x:f>IF($B22=0,"",Q10/$B22)</x:f>
        <x:v>0</x:v>
      </x:c>
      <x:c r="R22" s="143" t="n">
        <x:f>IF($B22=0,"",R10/$B22)</x:f>
        <x:v>0</x:v>
      </x:c>
      <x:c r="S22" s="143" t="n">
        <x:f>IF($B22=0,"",S10/$B22)</x:f>
        <x:v>0</x:v>
      </x:c>
      <x:c r="T22" s="143" t="n">
        <x:f>IF($B22=0,"",T10/$B22)</x:f>
        <x:v>0</x:v>
      </x:c>
      <x:c r="U22" s="146" t="n">
        <x:f>IF($B22=0,"",U10/$B22)</x:f>
        <x:v>0.3333333333333333</x:v>
      </x:c>
    </x:row>
    <x:row r="23">
      <x:c r="A23" s="98" t="str">
        <x:v>難病</x:v>
      </x:c>
      <x:c r="B23" s="122" t="n">
        <x:f>B11</x:f>
        <x:v>0</x:v>
      </x:c>
      <x:c r="C23" s="143" t="str">
        <x:f>IF($B23=0,"",C11/$B23)</x:f>
      </x:c>
      <x:c r="D23" s="143" t="str">
        <x:f>IF($B23=0,"",D11/$B23)</x:f>
      </x:c>
      <x:c r="E23" s="143" t="str">
        <x:f>IF($B23=0,"",E11/$B23)</x:f>
      </x:c>
      <x:c r="F23" s="143" t="str">
        <x:f>IF($B23=0,"",F11/$B23)</x:f>
      </x:c>
      <x:c r="G23" s="143" t="str">
        <x:f>IF($B23=0,"",G11/$B23)</x:f>
      </x:c>
      <x:c r="H23" s="143" t="str">
        <x:f>IF($B23=0,"",H11/$B23)</x:f>
      </x:c>
      <x:c r="I23" s="143" t="str">
        <x:f>IF($B23=0,"",I11/$B23)</x:f>
      </x:c>
      <x:c r="J23" s="143" t="str">
        <x:f>IF($B23=0,"",J11/$B23)</x:f>
      </x:c>
      <x:c r="K23" s="143" t="str">
        <x:f>IF($B23=0,"",K11/$B23)</x:f>
      </x:c>
      <x:c r="L23" s="143" t="str">
        <x:f>IF($B23=0,"",L11/$B23)</x:f>
      </x:c>
      <x:c r="M23" s="143" t="str">
        <x:f>IF($B23=0,"",M11/$B23)</x:f>
      </x:c>
      <x:c r="N23" s="143" t="str">
        <x:f>IF($B23=0,"",N11/$B23)</x:f>
      </x:c>
      <x:c r="O23" s="143" t="str">
        <x:f>IF($B23=0,"",O11/$B23)</x:f>
      </x:c>
      <x:c r="P23" s="143" t="str">
        <x:f>IF($B23=0,"",P11/$B23)</x:f>
      </x:c>
      <x:c r="Q23" s="143" t="str">
        <x:f>IF($B23=0,"",Q11/$B23)</x:f>
      </x:c>
      <x:c r="R23" s="143" t="str">
        <x:f>IF($B23=0,"",R11/$B23)</x:f>
      </x:c>
      <x:c r="S23" s="143" t="str">
        <x:f>IF($B23=0,"",S11/$B23)</x:f>
      </x:c>
      <x:c r="T23" s="143" t="str">
        <x:f>IF($B23=0,"",T11/$B23)</x:f>
      </x:c>
      <x:c r="U23" s="146" t="str">
        <x:f>IF($B23=0,"",U11/$B23)</x:f>
      </x:c>
    </x:row>
    <x:row r="24">
      <x:c r="A24" s="98" t="str">
        <x:v>高次脳機能障がい</x:v>
      </x:c>
      <x:c r="B24" s="122" t="n">
        <x:f>B12</x:f>
        <x:v>0</x:v>
      </x:c>
      <x:c r="C24" s="143" t="str">
        <x:f>IF($B24=0,"",C12/$B24)</x:f>
      </x:c>
      <x:c r="D24" s="143" t="str">
        <x:f>IF($B24=0,"",D12/$B24)</x:f>
      </x:c>
      <x:c r="E24" s="143" t="str">
        <x:f>IF($B24=0,"",E12/$B24)</x:f>
      </x:c>
      <x:c r="F24" s="143" t="str">
        <x:f>IF($B24=0,"",F12/$B24)</x:f>
      </x:c>
      <x:c r="G24" s="143" t="str">
        <x:f>IF($B24=0,"",G12/$B24)</x:f>
      </x:c>
      <x:c r="H24" s="143" t="str">
        <x:f>IF($B24=0,"",H12/$B24)</x:f>
      </x:c>
      <x:c r="I24" s="143" t="str">
        <x:f>IF($B24=0,"",I12/$B24)</x:f>
      </x:c>
      <x:c r="J24" s="143" t="str">
        <x:f>IF($B24=0,"",J12/$B24)</x:f>
      </x:c>
      <x:c r="K24" s="143" t="str">
        <x:f>IF($B24=0,"",K12/$B24)</x:f>
      </x:c>
      <x:c r="L24" s="143" t="str">
        <x:f>IF($B24=0,"",L12/$B24)</x:f>
      </x:c>
      <x:c r="M24" s="143" t="str">
        <x:f>IF($B24=0,"",M12/$B24)</x:f>
      </x:c>
      <x:c r="N24" s="143" t="str">
        <x:f>IF($B24=0,"",N12/$B24)</x:f>
      </x:c>
      <x:c r="O24" s="143" t="str">
        <x:f>IF($B24=0,"",O12/$B24)</x:f>
      </x:c>
      <x:c r="P24" s="143" t="str">
        <x:f>IF($B24=0,"",P12/$B24)</x:f>
      </x:c>
      <x:c r="Q24" s="143" t="str">
        <x:f>IF($B24=0,"",Q12/$B24)</x:f>
      </x:c>
      <x:c r="R24" s="143" t="str">
        <x:f>IF($B24=0,"",R12/$B24)</x:f>
      </x:c>
      <x:c r="S24" s="143" t="str">
        <x:f>IF($B24=0,"",S12/$B24)</x:f>
      </x:c>
      <x:c r="T24" s="143" t="str">
        <x:f>IF($B24=0,"",T12/$B24)</x:f>
      </x:c>
      <x:c r="U24" s="146" t="str">
        <x:f>IF($B24=0,"",U12/$B24)</x:f>
      </x:c>
    </x:row>
    <x:row r="25">
      <x:c r="A25" s="98" t="str">
        <x:v>重症心身障がい</x:v>
      </x:c>
      <x:c r="B25" s="122" t="n">
        <x:f>B13</x:f>
        <x:v>0</x:v>
      </x:c>
      <x:c r="C25" s="143" t="str">
        <x:f>IF($B25=0,"",C13/$B25)</x:f>
      </x:c>
      <x:c r="D25" s="143" t="str">
        <x:f>IF($B25=0,"",D13/$B25)</x:f>
      </x:c>
      <x:c r="E25" s="143" t="str">
        <x:f>IF($B25=0,"",E13/$B25)</x:f>
      </x:c>
      <x:c r="F25" s="143" t="str">
        <x:f>IF($B25=0,"",F13/$B25)</x:f>
      </x:c>
      <x:c r="G25" s="143" t="str">
        <x:f>IF($B25=0,"",G13/$B25)</x:f>
      </x:c>
      <x:c r="H25" s="143" t="str">
        <x:f>IF($B25=0,"",H13/$B25)</x:f>
      </x:c>
      <x:c r="I25" s="143" t="str">
        <x:f>IF($B25=0,"",I13/$B25)</x:f>
      </x:c>
      <x:c r="J25" s="143" t="str">
        <x:f>IF($B25=0,"",J13/$B25)</x:f>
      </x:c>
      <x:c r="K25" s="143" t="str">
        <x:f>IF($B25=0,"",K13/$B25)</x:f>
      </x:c>
      <x:c r="L25" s="143" t="str">
        <x:f>IF($B25=0,"",L13/$B25)</x:f>
      </x:c>
      <x:c r="M25" s="143" t="str">
        <x:f>IF($B25=0,"",M13/$B25)</x:f>
      </x:c>
      <x:c r="N25" s="143" t="str">
        <x:f>IF($B25=0,"",N13/$B25)</x:f>
      </x:c>
      <x:c r="O25" s="143" t="str">
        <x:f>IF($B25=0,"",O13/$B25)</x:f>
      </x:c>
      <x:c r="P25" s="143" t="str">
        <x:f>IF($B25=0,"",P13/$B25)</x:f>
      </x:c>
      <x:c r="Q25" s="143" t="str">
        <x:f>IF($B25=0,"",Q13/$B25)</x:f>
      </x:c>
      <x:c r="R25" s="143" t="str">
        <x:f>IF($B25=0,"",R13/$B25)</x:f>
      </x:c>
      <x:c r="S25" s="143" t="str">
        <x:f>IF($B25=0,"",S13/$B25)</x:f>
      </x:c>
      <x:c r="T25" s="143" t="str">
        <x:f>IF($B25=0,"",T13/$B25)</x:f>
      </x:c>
      <x:c r="U25" s="146" t="str">
        <x:f>IF($B25=0,"",U13/$B25)</x:f>
      </x:c>
    </x:row>
    <x:row r="26">
      <x:c r="A26" s="100" t="str">
        <x:v>わからない・その他</x:v>
      </x:c>
      <x:c r="B26" s="125" t="n">
        <x:f>B14</x:f>
        <x:v>2</x:v>
      </x:c>
      <x:c r="C26" s="159" t="n">
        <x:f>IF($B26=0,"",C14/$B26)</x:f>
        <x:v>0</x:v>
      </x:c>
      <x:c r="D26" s="159" t="n">
        <x:f>IF($B26=0,"",D14/$B26)</x:f>
        <x:v>0</x:v>
      </x:c>
      <x:c r="E26" s="159" t="n">
        <x:f>IF($B26=0,"",E14/$B26)</x:f>
        <x:v>0</x:v>
      </x:c>
      <x:c r="F26" s="159" t="n">
        <x:f>IF($B26=0,"",F14/$B26)</x:f>
        <x:v>0</x:v>
      </x:c>
      <x:c r="G26" s="159" t="n">
        <x:f>IF($B26=0,"",G14/$B26)</x:f>
        <x:v>0.5</x:v>
      </x:c>
      <x:c r="H26" s="159" t="n">
        <x:f>IF($B26=0,"",H14/$B26)</x:f>
        <x:v>0</x:v>
      </x:c>
      <x:c r="I26" s="159" t="n">
        <x:f>IF($B26=0,"",I14/$B26)</x:f>
        <x:v>0</x:v>
      </x:c>
      <x:c r="J26" s="159" t="n">
        <x:f>IF($B26=0,"",J14/$B26)</x:f>
        <x:v>0.5</x:v>
      </x:c>
      <x:c r="K26" s="159" t="n">
        <x:f>IF($B26=0,"",K14/$B26)</x:f>
        <x:v>0</x:v>
      </x:c>
      <x:c r="L26" s="159" t="n">
        <x:f>IF($B26=0,"",L14/$B26)</x:f>
        <x:v>0</x:v>
      </x:c>
      <x:c r="M26" s="159" t="n">
        <x:f>IF($B26=0,"",M14/$B26)</x:f>
        <x:v>0.5</x:v>
      </x:c>
      <x:c r="N26" s="159" t="n">
        <x:f>IF($B26=0,"",N14/$B26)</x:f>
        <x:v>0.5</x:v>
      </x:c>
      <x:c r="O26" s="159" t="n">
        <x:f>IF($B26=0,"",O14/$B26)</x:f>
        <x:v>0.5</x:v>
      </x:c>
      <x:c r="P26" s="159" t="n">
        <x:f>IF($B26=0,"",P14/$B26)</x:f>
        <x:v>0.5</x:v>
      </x:c>
      <x:c r="Q26" s="159" t="n">
        <x:f>IF($B26=0,"",Q14/$B26)</x:f>
        <x:v>0</x:v>
      </x:c>
      <x:c r="R26" s="159" t="n">
        <x:f>IF($B26=0,"",R14/$B26)</x:f>
        <x:v>0</x:v>
      </x:c>
      <x:c r="S26" s="159" t="n">
        <x:f>IF($B26=0,"",S14/$B26)</x:f>
        <x:v>0</x:v>
      </x:c>
      <x:c r="T26" s="159" t="n">
        <x:f>IF($B26=0,"",T14/$B26)</x:f>
        <x:v>0</x:v>
      </x:c>
      <x:c r="U26" s="147" t="n">
        <x:f>IF($B26=0,"",U14/$B26)</x:f>
        <x:v>0</x:v>
      </x:c>
    </x:row>
  </x:sheetData>
  <x:mergeCells>
    <x:mergeCell ref="A1:U2"/>
    <x:mergeCell ref="A3:U3"/>
    <x:mergeCell ref="A4:U4"/>
    <x:mergeCell ref="A17:U17"/>
  </x:mergeCells>
  <x:conditionalFormatting sqref="B7:B14">
    <x:cfRule type="cellIs" dxfId="0" priority="1" operator="lessThan">
      <x:formula>5</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x:c r="A1" s="79" t="str">
        <x:v>問3 × 問14 クロス分析</x:v>
      </x:c>
      <x:c r="B1" s="79"/>
      <x:c r="C1" s="79"/>
      <x:c r="D1" s="79"/>
      <x:c r="E1" s="79"/>
      <x:c r="F1" s="79"/>
      <x:c r="G1" s="79"/>
      <x:c r="H1" s="79"/>
      <x:c r="I1" s="79"/>
      <x:c r="J1" s="79"/>
      <x:c r="K1" s="79"/>
      <x:c r="L1" s="79"/>
    </x:row>
    <x:row r="2">
      <x:c r="A2" s="79"/>
      <x:c r="B2" s="79"/>
      <x:c r="C2" s="79"/>
      <x:c r="D2" s="79"/>
      <x:c r="E2" s="79"/>
      <x:c r="F2" s="79"/>
      <x:c r="G2" s="79"/>
      <x:c r="H2" s="79"/>
      <x:c r="I2" s="79"/>
      <x:c r="J2" s="79"/>
      <x:c r="K2" s="79"/>
      <x:c r="L2" s="79"/>
    </x:row>
    <x:row r="3">
      <x:c r="A3" s="139" t="str">
        <x:v>地区別の外出・交通上の課題</x:v>
      </x:c>
      <x:c r="B3" s="139"/>
      <x:c r="C3" s="139"/>
      <x:c r="D3" s="139"/>
      <x:c r="E3" s="139"/>
      <x:c r="F3" s="139"/>
      <x:c r="G3" s="139"/>
      <x:c r="H3" s="139"/>
      <x:c r="I3" s="139"/>
      <x:c r="J3" s="139"/>
      <x:c r="K3" s="139"/>
      <x:c r="L3" s="139"/>
    </x:row>
    <x:row r="4">
      <x:c r="A4" s="154" t="str">
        <x:v>行：問3「あなたのお住まいの地区を教えてください」／列：問14「外出するときに困ること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c r="L4" s="154"/>
    </x:row>
    <x:row r="6" ht="54" customHeight="1">
      <x:c r="A6" s="96" t="str">
        <x:v>行区分</x:v>
      </x:c>
      <x:c r="B6" s="145" t="str">
        <x:v>n</x:v>
      </x:c>
      <x:c r="C6" s="145" t="str">
        <x:v>交通手段が少ない</x:v>
      </x:c>
      <x:c r="D6" s="145" t="str">
        <x:v>家族等の付き添いが必要</x:v>
      </x:c>
      <x:c r="E6" s="145" t="str">
        <x:v>送迎がない</x:v>
      </x:c>
      <x:c r="F6" s="145" t="str">
        <x:v>冬季・積雪時に外出しにくい</x:v>
      </x:c>
      <x:c r="G6" s="145" t="str">
        <x:v>道路・建物が利用しにくい</x:v>
      </x:c>
      <x:c r="H6" s="145" t="str">
        <x:v>周囲の理解が不安</x:v>
      </x:c>
      <x:c r="I6" s="145" t="str">
        <x:v>体調面が不安</x:v>
      </x:c>
      <x:c r="J6" s="145" t="str">
        <x:v>費用がかかる</x:v>
      </x:c>
      <x:c r="K6" s="145" t="str">
        <x:v>特に困らない</x:v>
      </x:c>
      <x:c r="L6" s="97" t="str">
        <x:v>その他</x:v>
      </x:c>
    </x:row>
    <x:row r="7">
      <x:c r="A7" s="98" t="str">
        <x:v>北山地区</x:v>
      </x:c>
      <x:c r="B7" s="165" t="n">
        <x:f>COUNTIF('データ'!$AE$5:$AE$42,"〇")</x:f>
        <x:v>17</x:v>
      </x:c>
      <x:c r="C7" s="173" t="n">
        <x:f>COUNTIFS('データ'!$AE$5:$AE$42,"〇",'データ'!$EF$5:$EF$42,"〇")</x:f>
        <x:v>2</x:v>
      </x:c>
      <x:c r="D7" s="173" t="n">
        <x:f>COUNTIFS('データ'!$AE$5:$AE$42,"〇",'データ'!$EG$5:$EG$42,"〇")</x:f>
        <x:v>3</x:v>
      </x:c>
      <x:c r="E7" s="173" t="n">
        <x:f>COUNTIFS('データ'!$AE$5:$AE$42,"〇",'データ'!$EH$5:$EH$42,"〇")</x:f>
        <x:v>3</x:v>
      </x:c>
      <x:c r="F7" s="173" t="n">
        <x:f>COUNTIFS('データ'!$AE$5:$AE$42,"〇",'データ'!$EI$5:$EI$42,"〇")</x:f>
        <x:v>4</x:v>
      </x:c>
      <x:c r="G7" s="173" t="n">
        <x:f>COUNTIFS('データ'!$AE$5:$AE$42,"〇",'データ'!$EJ$5:$EJ$42,"〇")</x:f>
        <x:v>0</x:v>
      </x:c>
      <x:c r="H7" s="173" t="n">
        <x:f>COUNTIFS('データ'!$AE$5:$AE$42,"〇",'データ'!$EK$5:$EK$42,"〇")</x:f>
        <x:v>1</x:v>
      </x:c>
      <x:c r="I7" s="173" t="n">
        <x:f>COUNTIFS('データ'!$AE$5:$AE$42,"〇",'データ'!$EL$5:$EL$42,"〇")</x:f>
        <x:v>5</x:v>
      </x:c>
      <x:c r="J7" s="173" t="n">
        <x:f>COUNTIFS('データ'!$AE$5:$AE$42,"〇",'データ'!$EM$5:$EM$42,"〇")</x:f>
        <x:v>4</x:v>
      </x:c>
      <x:c r="K7" s="173" t="n">
        <x:f>COUNTIFS('データ'!$AE$5:$AE$42,"〇",'データ'!$EN$5:$EN$42,"〇")</x:f>
        <x:v>6</x:v>
      </x:c>
      <x:c r="L7" s="174" t="n">
        <x:f>COUNTIFS('データ'!$AE$5:$AE$42,"〇",'データ'!$EO$5:$EO$42,"〇")</x:f>
        <x:v>0</x:v>
      </x:c>
    </x:row>
    <x:row r="8">
      <x:c r="A8" s="98" t="str">
        <x:v>大塩地区</x:v>
      </x:c>
      <x:c r="B8" s="165" t="n">
        <x:f>COUNTIF('データ'!$AF$5:$AF$42,"〇")</x:f>
        <x:v>7</x:v>
      </x:c>
      <x:c r="C8" s="173" t="n">
        <x:f>COUNTIFS('データ'!$AF$5:$AF$42,"〇",'データ'!$EF$5:$EF$42,"〇")</x:f>
        <x:v>0</x:v>
      </x:c>
      <x:c r="D8" s="173" t="n">
        <x:f>COUNTIFS('データ'!$AF$5:$AF$42,"〇",'データ'!$EG$5:$EG$42,"〇")</x:f>
        <x:v>1</x:v>
      </x:c>
      <x:c r="E8" s="173" t="n">
        <x:f>COUNTIFS('データ'!$AF$5:$AF$42,"〇",'データ'!$EH$5:$EH$42,"〇")</x:f>
        <x:v>1</x:v>
      </x:c>
      <x:c r="F8" s="173" t="n">
        <x:f>COUNTIFS('データ'!$AF$5:$AF$42,"〇",'データ'!$EI$5:$EI$42,"〇")</x:f>
        <x:v>2</x:v>
      </x:c>
      <x:c r="G8" s="173" t="n">
        <x:f>COUNTIFS('データ'!$AF$5:$AF$42,"〇",'データ'!$EJ$5:$EJ$42,"〇")</x:f>
        <x:v>0</x:v>
      </x:c>
      <x:c r="H8" s="173" t="n">
        <x:f>COUNTIFS('データ'!$AF$5:$AF$42,"〇",'データ'!$EK$5:$EK$42,"〇")</x:f>
        <x:v>0</x:v>
      </x:c>
      <x:c r="I8" s="173" t="n">
        <x:f>COUNTIFS('データ'!$AF$5:$AF$42,"〇",'データ'!$EL$5:$EL$42,"〇")</x:f>
        <x:v>2</x:v>
      </x:c>
      <x:c r="J8" s="173" t="n">
        <x:f>COUNTIFS('データ'!$AF$5:$AF$42,"〇",'データ'!$EM$5:$EM$42,"〇")</x:f>
        <x:v>0</x:v>
      </x:c>
      <x:c r="K8" s="173" t="n">
        <x:f>COUNTIFS('データ'!$AF$5:$AF$42,"〇",'データ'!$EN$5:$EN$42,"〇")</x:f>
        <x:v>3</x:v>
      </x:c>
      <x:c r="L8" s="174" t="n">
        <x:f>COUNTIFS('データ'!$AF$5:$AF$42,"〇",'データ'!$EO$5:$EO$42,"〇")</x:f>
        <x:v>0</x:v>
      </x:c>
    </x:row>
    <x:row r="9">
      <x:c r="A9" s="98" t="str">
        <x:v>桧原地区</x:v>
      </x:c>
      <x:c r="B9" s="165" t="n">
        <x:f>COUNTIF('データ'!$AG$5:$AG$42,"〇")</x:f>
        <x:v>3</x:v>
      </x:c>
      <x:c r="C9" s="173" t="n">
        <x:f>COUNTIFS('データ'!$AG$5:$AG$42,"〇",'データ'!$EF$5:$EF$42,"〇")</x:f>
        <x:v>1</x:v>
      </x:c>
      <x:c r="D9" s="173" t="n">
        <x:f>COUNTIFS('データ'!$AG$5:$AG$42,"〇",'データ'!$EG$5:$EG$42,"〇")</x:f>
        <x:v>0</x:v>
      </x:c>
      <x:c r="E9" s="173" t="n">
        <x:f>COUNTIFS('データ'!$AG$5:$AG$42,"〇",'データ'!$EH$5:$EH$42,"〇")</x:f>
        <x:v>0</x:v>
      </x:c>
      <x:c r="F9" s="173" t="n">
        <x:f>COUNTIFS('データ'!$AG$5:$AG$42,"〇",'データ'!$EI$5:$EI$42,"〇")</x:f>
        <x:v>1</x:v>
      </x:c>
      <x:c r="G9" s="173" t="n">
        <x:f>COUNTIFS('データ'!$AG$5:$AG$42,"〇",'データ'!$EJ$5:$EJ$42,"〇")</x:f>
        <x:v>0</x:v>
      </x:c>
      <x:c r="H9" s="173" t="n">
        <x:f>COUNTIFS('データ'!$AG$5:$AG$42,"〇",'データ'!$EK$5:$EK$42,"〇")</x:f>
        <x:v>0</x:v>
      </x:c>
      <x:c r="I9" s="173" t="n">
        <x:f>COUNTIFS('データ'!$AG$5:$AG$42,"〇",'データ'!$EL$5:$EL$42,"〇")</x:f>
        <x:v>0</x:v>
      </x:c>
      <x:c r="J9" s="173" t="n">
        <x:f>COUNTIFS('データ'!$AG$5:$AG$42,"〇",'データ'!$EM$5:$EM$42,"〇")</x:f>
        <x:v>0</x:v>
      </x:c>
      <x:c r="K9" s="173" t="n">
        <x:f>COUNTIFS('データ'!$AG$5:$AG$42,"〇",'データ'!$EN$5:$EN$42,"〇")</x:f>
        <x:v>1</x:v>
      </x:c>
      <x:c r="L9" s="174" t="n">
        <x:f>COUNTIFS('データ'!$AG$5:$AG$42,"〇",'データ'!$EO$5:$EO$42,"〇")</x:f>
        <x:v>0</x:v>
      </x:c>
    </x:row>
    <x:row r="10">
      <x:c r="A10" s="98" t="str">
        <x:v>裏磐梯地区</x:v>
      </x:c>
      <x:c r="B10" s="165" t="n">
        <x:f>COUNTIF('データ'!$AH$5:$AH$42,"〇")</x:f>
        <x:v>10</x:v>
      </x:c>
      <x:c r="C10" s="173" t="n">
        <x:f>COUNTIFS('データ'!$AH$5:$AH$42,"〇",'データ'!$EF$5:$EF$42,"〇")</x:f>
        <x:v>2</x:v>
      </x:c>
      <x:c r="D10" s="173" t="n">
        <x:f>COUNTIFS('データ'!$AH$5:$AH$42,"〇",'データ'!$EG$5:$EG$42,"〇")</x:f>
        <x:v>3</x:v>
      </x:c>
      <x:c r="E10" s="173" t="n">
        <x:f>COUNTIFS('データ'!$AH$5:$AH$42,"〇",'データ'!$EH$5:$EH$42,"〇")</x:f>
        <x:v>1</x:v>
      </x:c>
      <x:c r="F10" s="173" t="n">
        <x:f>COUNTIFS('データ'!$AH$5:$AH$42,"〇",'データ'!$EI$5:$EI$42,"〇")</x:f>
        <x:v>5</x:v>
      </x:c>
      <x:c r="G10" s="173" t="n">
        <x:f>COUNTIFS('データ'!$AH$5:$AH$42,"〇",'データ'!$EJ$5:$EJ$42,"〇")</x:f>
        <x:v>0</x:v>
      </x:c>
      <x:c r="H10" s="173" t="n">
        <x:f>COUNTIFS('データ'!$AH$5:$AH$42,"〇",'データ'!$EK$5:$EK$42,"〇")</x:f>
        <x:v>1</x:v>
      </x:c>
      <x:c r="I10" s="173" t="n">
        <x:f>COUNTIFS('データ'!$AH$5:$AH$42,"〇",'データ'!$EL$5:$EL$42,"〇")</x:f>
        <x:v>1</x:v>
      </x:c>
      <x:c r="J10" s="173" t="n">
        <x:f>COUNTIFS('データ'!$AH$5:$AH$42,"〇",'データ'!$EM$5:$EM$42,"〇")</x:f>
        <x:v>1</x:v>
      </x:c>
      <x:c r="K10" s="173" t="n">
        <x:f>COUNTIFS('データ'!$AH$5:$AH$42,"〇",'データ'!$EN$5:$EN$42,"〇")</x:f>
        <x:v>1</x:v>
      </x:c>
      <x:c r="L10" s="174" t="n">
        <x:f>COUNTIFS('データ'!$AH$5:$AH$42,"〇",'データ'!$EO$5:$EO$42,"〇")</x:f>
        <x:v>1</x:v>
      </x:c>
    </x:row>
    <x:row r="11">
      <x:c r="A11" s="100" t="str">
        <x:v>その他</x:v>
      </x:c>
      <x:c r="B11" s="167" t="n">
        <x:f>COUNTIF('データ'!$AI$5:$AI$42,"〇")</x:f>
        <x:v>1</x:v>
      </x:c>
      <x:c r="C11" s="175" t="n">
        <x:f>COUNTIFS('データ'!$AI$5:$AI$42,"〇",'データ'!$EF$5:$EF$42,"〇")</x:f>
        <x:v>1</x:v>
      </x:c>
      <x:c r="D11" s="175" t="n">
        <x:f>COUNTIFS('データ'!$AI$5:$AI$42,"〇",'データ'!$EG$5:$EG$42,"〇")</x:f>
        <x:v>0</x:v>
      </x:c>
      <x:c r="E11" s="175" t="n">
        <x:f>COUNTIFS('データ'!$AI$5:$AI$42,"〇",'データ'!$EH$5:$EH$42,"〇")</x:f>
        <x:v>0</x:v>
      </x:c>
      <x:c r="F11" s="175" t="n">
        <x:f>COUNTIFS('データ'!$AI$5:$AI$42,"〇",'データ'!$EI$5:$EI$42,"〇")</x:f>
        <x:v>1</x:v>
      </x:c>
      <x:c r="G11" s="175" t="n">
        <x:f>COUNTIFS('データ'!$AI$5:$AI$42,"〇",'データ'!$EJ$5:$EJ$42,"〇")</x:f>
        <x:v>0</x:v>
      </x:c>
      <x:c r="H11" s="175" t="n">
        <x:f>COUNTIFS('データ'!$AI$5:$AI$42,"〇",'データ'!$EK$5:$EK$42,"〇")</x:f>
        <x:v>0</x:v>
      </x:c>
      <x:c r="I11" s="175" t="n">
        <x:f>COUNTIFS('データ'!$AI$5:$AI$42,"〇",'データ'!$EL$5:$EL$42,"〇")</x:f>
        <x:v>0</x:v>
      </x:c>
      <x:c r="J11" s="175" t="n">
        <x:f>COUNTIFS('データ'!$AI$5:$AI$42,"〇",'データ'!$EM$5:$EM$42,"〇")</x:f>
        <x:v>0</x:v>
      </x:c>
      <x:c r="K11" s="175" t="n">
        <x:f>COUNTIFS('データ'!$AI$5:$AI$42,"〇",'データ'!$EN$5:$EN$42,"〇")</x:f>
        <x:v>0</x:v>
      </x:c>
      <x:c r="L11" s="176" t="n">
        <x:f>COUNTIFS('データ'!$AI$5:$AI$42,"〇",'データ'!$EO$5:$EO$42,"〇")</x:f>
        <x:v>0</x:v>
      </x:c>
    </x:row>
    <x:row r="12">
      <x:c r="C12" s="94"/>
      <x:c r="D12" s="94"/>
      <x:c r="E12" s="94"/>
      <x:c r="F12" s="94"/>
      <x:c r="G12" s="94"/>
      <x:c r="H12" s="94"/>
      <x:c r="I12" s="94"/>
      <x:c r="J12" s="94"/>
      <x:c r="K12" s="94"/>
      <x:c r="L12" s="94"/>
    </x:row>
    <x:row r="13">
      <x:c r="C13" s="94"/>
      <x:c r="D13" s="94"/>
      <x:c r="E13" s="94"/>
      <x:c r="F13" s="94"/>
      <x:c r="G13" s="94"/>
      <x:c r="H13" s="94"/>
      <x:c r="I13" s="94"/>
      <x:c r="J13" s="94"/>
      <x:c r="K13" s="94"/>
      <x:c r="L13" s="94"/>
    </x:row>
    <x:row r="14">
      <x:c r="A14" s="139" t="str">
        <x:v>行％（各行のnを100％とした割合）</x:v>
      </x:c>
      <x:c r="B14" s="139"/>
      <x:c r="C14" s="177"/>
      <x:c r="D14" s="177"/>
      <x:c r="E14" s="177"/>
      <x:c r="F14" s="177"/>
      <x:c r="G14" s="177"/>
      <x:c r="H14" s="177"/>
      <x:c r="I14" s="177"/>
      <x:c r="J14" s="177"/>
      <x:c r="K14" s="177"/>
      <x:c r="L14" s="177"/>
    </x:row>
    <x:row r="15" ht="54" customHeight="1">
      <x:c r="A15" s="96" t="str">
        <x:v>行区分</x:v>
      </x:c>
      <x:c r="B15" s="145" t="str">
        <x:v>n</x:v>
      </x:c>
      <x:c r="C15" s="145" t="str">
        <x:v>交通手段が少ない</x:v>
      </x:c>
      <x:c r="D15" s="145" t="str">
        <x:v>家族等の付き添いが必要</x:v>
      </x:c>
      <x:c r="E15" s="145" t="str">
        <x:v>送迎がない</x:v>
      </x:c>
      <x:c r="F15" s="145" t="str">
        <x:v>冬季・積雪時に外出しにくい</x:v>
      </x:c>
      <x:c r="G15" s="145" t="str">
        <x:v>道路・建物が利用しにくい</x:v>
      </x:c>
      <x:c r="H15" s="145" t="str">
        <x:v>周囲の理解が不安</x:v>
      </x:c>
      <x:c r="I15" s="145" t="str">
        <x:v>体調面が不安</x:v>
      </x:c>
      <x:c r="J15" s="145" t="str">
        <x:v>費用がかかる</x:v>
      </x:c>
      <x:c r="K15" s="145" t="str">
        <x:v>特に困らない</x:v>
      </x:c>
      <x:c r="L15" s="97" t="str">
        <x:v>その他</x:v>
      </x:c>
    </x:row>
    <x:row r="16">
      <x:c r="A16" s="98" t="str">
        <x:v>北山地区</x:v>
      </x:c>
      <x:c r="B16" s="122" t="n">
        <x:f>B7</x:f>
        <x:v>17</x:v>
      </x:c>
      <x:c r="C16" s="143" t="n">
        <x:f>IF($B16=0,"",C7/$B16)</x:f>
        <x:v>0.11764705882352941</x:v>
      </x:c>
      <x:c r="D16" s="143" t="n">
        <x:f>IF($B16=0,"",D7/$B16)</x:f>
        <x:v>0.17647058823529413</x:v>
      </x:c>
      <x:c r="E16" s="143" t="n">
        <x:f>IF($B16=0,"",E7/$B16)</x:f>
        <x:v>0.17647058823529413</x:v>
      </x:c>
      <x:c r="F16" s="143" t="n">
        <x:f>IF($B16=0,"",F7/$B16)</x:f>
        <x:v>0.23529411764705882</x:v>
      </x:c>
      <x:c r="G16" s="143" t="n">
        <x:f>IF($B16=0,"",G7/$B16)</x:f>
        <x:v>0</x:v>
      </x:c>
      <x:c r="H16" s="143" t="n">
        <x:f>IF($B16=0,"",H7/$B16)</x:f>
        <x:v>0.058823529411764705</x:v>
      </x:c>
      <x:c r="I16" s="143" t="n">
        <x:f>IF($B16=0,"",I7/$B16)</x:f>
        <x:v>0.29411764705882354</x:v>
      </x:c>
      <x:c r="J16" s="143" t="n">
        <x:f>IF($B16=0,"",J7/$B16)</x:f>
        <x:v>0.23529411764705882</x:v>
      </x:c>
      <x:c r="K16" s="143" t="n">
        <x:f>IF($B16=0,"",K7/$B16)</x:f>
        <x:v>0.35294117647058826</x:v>
      </x:c>
      <x:c r="L16" s="146" t="n">
        <x:f>IF($B16=0,"",L7/$B16)</x:f>
        <x:v>0</x:v>
      </x:c>
    </x:row>
    <x:row r="17">
      <x:c r="A17" s="98" t="str">
        <x:v>大塩地区</x:v>
      </x:c>
      <x:c r="B17" s="122" t="n">
        <x:f>B8</x:f>
        <x:v>7</x:v>
      </x:c>
      <x:c r="C17" s="143" t="n">
        <x:f>IF($B17=0,"",C8/$B17)</x:f>
        <x:v>0</x:v>
      </x:c>
      <x:c r="D17" s="143" t="n">
        <x:f>IF($B17=0,"",D8/$B17)</x:f>
        <x:v>0.14285714285714285</x:v>
      </x:c>
      <x:c r="E17" s="143" t="n">
        <x:f>IF($B17=0,"",E8/$B17)</x:f>
        <x:v>0.14285714285714285</x:v>
      </x:c>
      <x:c r="F17" s="143" t="n">
        <x:f>IF($B17=0,"",F8/$B17)</x:f>
        <x:v>0.2857142857142857</x:v>
      </x:c>
      <x:c r="G17" s="143" t="n">
        <x:f>IF($B17=0,"",G8/$B17)</x:f>
        <x:v>0</x:v>
      </x:c>
      <x:c r="H17" s="143" t="n">
        <x:f>IF($B17=0,"",H8/$B17)</x:f>
        <x:v>0</x:v>
      </x:c>
      <x:c r="I17" s="143" t="n">
        <x:f>IF($B17=0,"",I8/$B17)</x:f>
        <x:v>0.2857142857142857</x:v>
      </x:c>
      <x:c r="J17" s="143" t="n">
        <x:f>IF($B17=0,"",J8/$B17)</x:f>
        <x:v>0</x:v>
      </x:c>
      <x:c r="K17" s="143" t="n">
        <x:f>IF($B17=0,"",K8/$B17)</x:f>
        <x:v>0.42857142857142855</x:v>
      </x:c>
      <x:c r="L17" s="146" t="n">
        <x:f>IF($B17=0,"",L8/$B17)</x:f>
        <x:v>0</x:v>
      </x:c>
    </x:row>
    <x:row r="18">
      <x:c r="A18" s="98" t="str">
        <x:v>桧原地区</x:v>
      </x:c>
      <x:c r="B18" s="122" t="n">
        <x:f>B9</x:f>
        <x:v>3</x:v>
      </x:c>
      <x:c r="C18" s="143" t="n">
        <x:f>IF($B18=0,"",C9/$B18)</x:f>
        <x:v>0.3333333333333333</x:v>
      </x:c>
      <x:c r="D18" s="143" t="n">
        <x:f>IF($B18=0,"",D9/$B18)</x:f>
        <x:v>0</x:v>
      </x:c>
      <x:c r="E18" s="143" t="n">
        <x:f>IF($B18=0,"",E9/$B18)</x:f>
        <x:v>0</x:v>
      </x:c>
      <x:c r="F18" s="143" t="n">
        <x:f>IF($B18=0,"",F9/$B18)</x:f>
        <x:v>0.3333333333333333</x:v>
      </x:c>
      <x:c r="G18" s="143" t="n">
        <x:f>IF($B18=0,"",G9/$B18)</x:f>
        <x:v>0</x:v>
      </x:c>
      <x:c r="H18" s="143" t="n">
        <x:f>IF($B18=0,"",H9/$B18)</x:f>
        <x:v>0</x:v>
      </x:c>
      <x:c r="I18" s="143" t="n">
        <x:f>IF($B18=0,"",I9/$B18)</x:f>
        <x:v>0</x:v>
      </x:c>
      <x:c r="J18" s="143" t="n">
        <x:f>IF($B18=0,"",J9/$B18)</x:f>
        <x:v>0</x:v>
      </x:c>
      <x:c r="K18" s="143" t="n">
        <x:f>IF($B18=0,"",K9/$B18)</x:f>
        <x:v>0.3333333333333333</x:v>
      </x:c>
      <x:c r="L18" s="146" t="n">
        <x:f>IF($B18=0,"",L9/$B18)</x:f>
        <x:v>0</x:v>
      </x:c>
    </x:row>
    <x:row r="19">
      <x:c r="A19" s="98" t="str">
        <x:v>裏磐梯地区</x:v>
      </x:c>
      <x:c r="B19" s="122" t="n">
        <x:f>B10</x:f>
        <x:v>10</x:v>
      </x:c>
      <x:c r="C19" s="143" t="n">
        <x:f>IF($B19=0,"",C10/$B19)</x:f>
        <x:v>0.2</x:v>
      </x:c>
      <x:c r="D19" s="143" t="n">
        <x:f>IF($B19=0,"",D10/$B19)</x:f>
        <x:v>0.3</x:v>
      </x:c>
      <x:c r="E19" s="143" t="n">
        <x:f>IF($B19=0,"",E10/$B19)</x:f>
        <x:v>0.1</x:v>
      </x:c>
      <x:c r="F19" s="143" t="n">
        <x:f>IF($B19=0,"",F10/$B19)</x:f>
        <x:v>0.5</x:v>
      </x:c>
      <x:c r="G19" s="143" t="n">
        <x:f>IF($B19=0,"",G10/$B19)</x:f>
        <x:v>0</x:v>
      </x:c>
      <x:c r="H19" s="143" t="n">
        <x:f>IF($B19=0,"",H10/$B19)</x:f>
        <x:v>0.1</x:v>
      </x:c>
      <x:c r="I19" s="143" t="n">
        <x:f>IF($B19=0,"",I10/$B19)</x:f>
        <x:v>0.1</x:v>
      </x:c>
      <x:c r="J19" s="143" t="n">
        <x:f>IF($B19=0,"",J10/$B19)</x:f>
        <x:v>0.1</x:v>
      </x:c>
      <x:c r="K19" s="143" t="n">
        <x:f>IF($B19=0,"",K10/$B19)</x:f>
        <x:v>0.1</x:v>
      </x:c>
      <x:c r="L19" s="146" t="n">
        <x:f>IF($B19=0,"",L10/$B19)</x:f>
        <x:v>0.1</x:v>
      </x:c>
    </x:row>
    <x:row r="20">
      <x:c r="A20" s="100" t="str">
        <x:v>その他</x:v>
      </x:c>
      <x:c r="B20" s="125" t="n">
        <x:f>B11</x:f>
        <x:v>1</x:v>
      </x:c>
      <x:c r="C20" s="159" t="n">
        <x:f>IF($B20=0,"",C11/$B20)</x:f>
        <x:v>1</x:v>
      </x:c>
      <x:c r="D20" s="159" t="n">
        <x:f>IF($B20=0,"",D11/$B20)</x:f>
        <x:v>0</x:v>
      </x:c>
      <x:c r="E20" s="159" t="n">
        <x:f>IF($B20=0,"",E11/$B20)</x:f>
        <x:v>0</x:v>
      </x:c>
      <x:c r="F20" s="159" t="n">
        <x:f>IF($B20=0,"",F11/$B20)</x:f>
        <x:v>1</x:v>
      </x:c>
      <x:c r="G20" s="159" t="n">
        <x:f>IF($B20=0,"",G11/$B20)</x:f>
        <x:v>0</x:v>
      </x:c>
      <x:c r="H20" s="159" t="n">
        <x:f>IF($B20=0,"",H11/$B20)</x:f>
        <x:v>0</x:v>
      </x:c>
      <x:c r="I20" s="159" t="n">
        <x:f>IF($B20=0,"",I11/$B20)</x:f>
        <x:v>0</x:v>
      </x:c>
      <x:c r="J20" s="159" t="n">
        <x:f>IF($B20=0,"",J11/$B20)</x:f>
        <x:v>0</x:v>
      </x:c>
      <x:c r="K20" s="159" t="n">
        <x:f>IF($B20=0,"",K11/$B20)</x:f>
        <x:v>0</x:v>
      </x:c>
      <x:c r="L20" s="147" t="n">
        <x:f>IF($B20=0,"",L11/$B20)</x:f>
        <x:v>0</x:v>
      </x:c>
    </x:row>
  </x:sheetData>
  <x:mergeCells>
    <x:mergeCell ref="A1:L2"/>
    <x:mergeCell ref="A3:L3"/>
    <x:mergeCell ref="A4:L4"/>
    <x:mergeCell ref="A14:L14"/>
  </x:mergeCells>
  <x:conditionalFormatting sqref="B7:B11">
    <x:cfRule type="cellIs" dxfId="1" priority="1" operator="lessThan">
      <x:formula>5</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79" t="str">
        <x:v>問3 × 問28 クロス分析</x:v>
      </x:c>
      <x:c r="B1" s="79"/>
      <x:c r="C1" s="79"/>
      <x:c r="D1" s="79"/>
      <x:c r="E1" s="79"/>
      <x:c r="F1" s="79"/>
      <x:c r="G1" s="79"/>
      <x:c r="H1" s="79"/>
      <x:c r="I1" s="79"/>
      <x:c r="J1" s="79"/>
      <x:c r="K1" s="79"/>
    </x:row>
    <x:row r="2">
      <x:c r="A2" s="79"/>
      <x:c r="B2" s="79"/>
      <x:c r="C2" s="79"/>
      <x:c r="D2" s="79"/>
      <x:c r="E2" s="79"/>
      <x:c r="F2" s="79"/>
      <x:c r="G2" s="79"/>
      <x:c r="H2" s="79"/>
      <x:c r="I2" s="79"/>
      <x:c r="J2" s="79"/>
      <x:c r="K2" s="79"/>
    </x:row>
    <x:row r="3">
      <x:c r="A3" s="139" t="str">
        <x:v>地区別のサービス利用阻害要因</x:v>
      </x:c>
      <x:c r="B3" s="139"/>
      <x:c r="C3" s="139"/>
      <x:c r="D3" s="139"/>
      <x:c r="E3" s="139"/>
      <x:c r="F3" s="139"/>
      <x:c r="G3" s="139"/>
      <x:c r="H3" s="139"/>
      <x:c r="I3" s="139"/>
      <x:c r="J3" s="139"/>
      <x:c r="K3" s="139"/>
    </x:row>
    <x:row r="4">
      <x:c r="A4" s="154" t="str">
        <x:v>行：問3「あなたのお住まいの地区を教えてください」／列：問28「サービスを利用したいが利用できない理由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row>
    <x:row r="6" ht="54" customHeight="1">
      <x:c r="A6" s="96" t="str">
        <x:v>行区分</x:v>
      </x:c>
      <x:c r="B6" s="145" t="str">
        <x:v>n</x:v>
      </x:c>
      <x:c r="C6" s="145" t="str">
        <x:v>近くに事業所がない</x:v>
      </x:c>
      <x:c r="D6" s="145" t="str">
        <x:v>空きがない</x:v>
      </x:c>
      <x:c r="E6" s="145" t="str">
        <x:v>送迎がない</x:v>
      </x:c>
      <x:c r="F6" s="145" t="str">
        <x:v>利用方法がわからない</x:v>
      </x:c>
      <x:c r="G6" s="145" t="str">
        <x:v>費用が心配</x:v>
      </x:c>
      <x:c r="H6" s="145" t="str">
        <x:v>本人に合うサービスがない</x:v>
      </x:c>
      <x:c r="I6" s="145" t="str">
        <x:v>家族が対応している</x:v>
      </x:c>
      <x:c r="J6" s="145" t="str">
        <x:v>必要性を感じない</x:v>
      </x:c>
      <x:c r="K6" s="97" t="str">
        <x:v>その他</x:v>
      </x:c>
    </x:row>
    <x:row r="7">
      <x:c r="A7" s="98" t="str">
        <x:v>北山地区</x:v>
      </x:c>
      <x:c r="B7" s="165" t="n">
        <x:f>COUNTIF('データ'!$AE$5:$AE$42,"〇")</x:f>
        <x:v>17</x:v>
      </x:c>
      <x:c r="C7" s="173" t="n">
        <x:f>COUNTIFS('データ'!$AE$5:$AE$42,"〇",'データ'!$LH$5:$LH$42,"〇")</x:f>
        <x:v>2</x:v>
      </x:c>
      <x:c r="D7" s="173" t="n">
        <x:f>COUNTIFS('データ'!$AE$5:$AE$42,"〇",'データ'!$LI$5:$LI$42,"〇")</x:f>
        <x:v>1</x:v>
      </x:c>
      <x:c r="E7" s="173" t="n">
        <x:f>COUNTIFS('データ'!$AE$5:$AE$42,"〇",'データ'!$LJ$5:$LJ$42,"〇")</x:f>
        <x:v>0</x:v>
      </x:c>
      <x:c r="F7" s="173" t="n">
        <x:f>COUNTIFS('データ'!$AE$5:$AE$42,"〇",'データ'!$LK$5:$LK$42,"〇")</x:f>
        <x:v>2</x:v>
      </x:c>
      <x:c r="G7" s="173" t="n">
        <x:f>COUNTIFS('データ'!$AE$5:$AE$42,"〇",'データ'!$LL$5:$LL$42,"〇")</x:f>
        <x:v>2</x:v>
      </x:c>
      <x:c r="H7" s="173" t="n">
        <x:f>COUNTIFS('データ'!$AE$5:$AE$42,"〇",'データ'!$LM$5:$LM$42,"〇")</x:f>
        <x:v>0</x:v>
      </x:c>
      <x:c r="I7" s="173" t="n">
        <x:f>COUNTIFS('データ'!$AE$5:$AE$42,"〇",'データ'!$LN$5:$LN$42,"〇")</x:f>
        <x:v>3</x:v>
      </x:c>
      <x:c r="J7" s="173" t="n">
        <x:f>COUNTIFS('データ'!$AE$5:$AE$42,"〇",'データ'!$LO$5:$LO$42,"〇")</x:f>
        <x:v>7</x:v>
      </x:c>
      <x:c r="K7" s="174" t="n">
        <x:f>COUNTIFS('データ'!$AE$5:$AE$42,"〇",'データ'!$LP$5:$LP$42,"〇")</x:f>
        <x:v>0</x:v>
      </x:c>
    </x:row>
    <x:row r="8">
      <x:c r="A8" s="98" t="str">
        <x:v>大塩地区</x:v>
      </x:c>
      <x:c r="B8" s="165" t="n">
        <x:f>COUNTIF('データ'!$AF$5:$AF$42,"〇")</x:f>
        <x:v>7</x:v>
      </x:c>
      <x:c r="C8" s="173" t="n">
        <x:f>COUNTIFS('データ'!$AF$5:$AF$42,"〇",'データ'!$LH$5:$LH$42,"〇")</x:f>
        <x:v>0</x:v>
      </x:c>
      <x:c r="D8" s="173" t="n">
        <x:f>COUNTIFS('データ'!$AF$5:$AF$42,"〇",'データ'!$LI$5:$LI$42,"〇")</x:f>
        <x:v>0</x:v>
      </x:c>
      <x:c r="E8" s="173" t="n">
        <x:f>COUNTIFS('データ'!$AF$5:$AF$42,"〇",'データ'!$LJ$5:$LJ$42,"〇")</x:f>
        <x:v>0</x:v>
      </x:c>
      <x:c r="F8" s="173" t="n">
        <x:f>COUNTIFS('データ'!$AF$5:$AF$42,"〇",'データ'!$LK$5:$LK$42,"〇")</x:f>
        <x:v>1</x:v>
      </x:c>
      <x:c r="G8" s="173" t="n">
        <x:f>COUNTIFS('データ'!$AF$5:$AF$42,"〇",'データ'!$LL$5:$LL$42,"〇")</x:f>
        <x:v>1</x:v>
      </x:c>
      <x:c r="H8" s="173" t="n">
        <x:f>COUNTIFS('データ'!$AF$5:$AF$42,"〇",'データ'!$LM$5:$LM$42,"〇")</x:f>
        <x:v>0</x:v>
      </x:c>
      <x:c r="I8" s="173" t="n">
        <x:f>COUNTIFS('データ'!$AF$5:$AF$42,"〇",'データ'!$LN$5:$LN$42,"〇")</x:f>
        <x:v>2</x:v>
      </x:c>
      <x:c r="J8" s="173" t="n">
        <x:f>COUNTIFS('データ'!$AF$5:$AF$42,"〇",'データ'!$LO$5:$LO$42,"〇")</x:f>
        <x:v>2</x:v>
      </x:c>
      <x:c r="K8" s="174" t="n">
        <x:f>COUNTIFS('データ'!$AF$5:$AF$42,"〇",'データ'!$LP$5:$LP$42,"〇")</x:f>
        <x:v>0</x:v>
      </x:c>
    </x:row>
    <x:row r="9">
      <x:c r="A9" s="98" t="str">
        <x:v>桧原地区</x:v>
      </x:c>
      <x:c r="B9" s="165" t="n">
        <x:f>COUNTIF('データ'!$AG$5:$AG$42,"〇")</x:f>
        <x:v>3</x:v>
      </x:c>
      <x:c r="C9" s="173" t="n">
        <x:f>COUNTIFS('データ'!$AG$5:$AG$42,"〇",'データ'!$LH$5:$LH$42,"〇")</x:f>
        <x:v>0</x:v>
      </x:c>
      <x:c r="D9" s="173" t="n">
        <x:f>COUNTIFS('データ'!$AG$5:$AG$42,"〇",'データ'!$LI$5:$LI$42,"〇")</x:f>
        <x:v>0</x:v>
      </x:c>
      <x:c r="E9" s="173" t="n">
        <x:f>COUNTIFS('データ'!$AG$5:$AG$42,"〇",'データ'!$LJ$5:$LJ$42,"〇")</x:f>
        <x:v>0</x:v>
      </x:c>
      <x:c r="F9" s="173" t="n">
        <x:f>COUNTIFS('データ'!$AG$5:$AG$42,"〇",'データ'!$LK$5:$LK$42,"〇")</x:f>
        <x:v>0</x:v>
      </x:c>
      <x:c r="G9" s="173" t="n">
        <x:f>COUNTIFS('データ'!$AG$5:$AG$42,"〇",'データ'!$LL$5:$LL$42,"〇")</x:f>
        <x:v>1</x:v>
      </x:c>
      <x:c r="H9" s="173" t="n">
        <x:f>COUNTIFS('データ'!$AG$5:$AG$42,"〇",'データ'!$LM$5:$LM$42,"〇")</x:f>
        <x:v>0</x:v>
      </x:c>
      <x:c r="I9" s="173" t="n">
        <x:f>COUNTIFS('データ'!$AG$5:$AG$42,"〇",'データ'!$LN$5:$LN$42,"〇")</x:f>
        <x:v>0</x:v>
      </x:c>
      <x:c r="J9" s="173" t="n">
        <x:f>COUNTIFS('データ'!$AG$5:$AG$42,"〇",'データ'!$LO$5:$LO$42,"〇")</x:f>
        <x:v>0</x:v>
      </x:c>
      <x:c r="K9" s="174" t="n">
        <x:f>COUNTIFS('データ'!$AG$5:$AG$42,"〇",'データ'!$LP$5:$LP$42,"〇")</x:f>
        <x:v>0</x:v>
      </x:c>
    </x:row>
    <x:row r="10">
      <x:c r="A10" s="98" t="str">
        <x:v>裏磐梯地区</x:v>
      </x:c>
      <x:c r="B10" s="165" t="n">
        <x:f>COUNTIF('データ'!$AH$5:$AH$42,"〇")</x:f>
        <x:v>10</x:v>
      </x:c>
      <x:c r="C10" s="173" t="n">
        <x:f>COUNTIFS('データ'!$AH$5:$AH$42,"〇",'データ'!$LH$5:$LH$42,"〇")</x:f>
        <x:v>1</x:v>
      </x:c>
      <x:c r="D10" s="173" t="n">
        <x:f>COUNTIFS('データ'!$AH$5:$AH$42,"〇",'データ'!$LI$5:$LI$42,"〇")</x:f>
        <x:v>0</x:v>
      </x:c>
      <x:c r="E10" s="173" t="n">
        <x:f>COUNTIFS('データ'!$AH$5:$AH$42,"〇",'データ'!$LJ$5:$LJ$42,"〇")</x:f>
        <x:v>1</x:v>
      </x:c>
      <x:c r="F10" s="173" t="n">
        <x:f>COUNTIFS('データ'!$AH$5:$AH$42,"〇",'データ'!$LK$5:$LK$42,"〇")</x:f>
        <x:v>0</x:v>
      </x:c>
      <x:c r="G10" s="173" t="n">
        <x:f>COUNTIFS('データ'!$AH$5:$AH$42,"〇",'データ'!$LL$5:$LL$42,"〇")</x:f>
        <x:v>0</x:v>
      </x:c>
      <x:c r="H10" s="173" t="n">
        <x:f>COUNTIFS('データ'!$AH$5:$AH$42,"〇",'データ'!$LM$5:$LM$42,"〇")</x:f>
        <x:v>1</x:v>
      </x:c>
      <x:c r="I10" s="173" t="n">
        <x:f>COUNTIFS('データ'!$AH$5:$AH$42,"〇",'データ'!$LN$5:$LN$42,"〇")</x:f>
        <x:v>1</x:v>
      </x:c>
      <x:c r="J10" s="173" t="n">
        <x:f>COUNTIFS('データ'!$AH$5:$AH$42,"〇",'データ'!$LO$5:$LO$42,"〇")</x:f>
        <x:v>1</x:v>
      </x:c>
      <x:c r="K10" s="174" t="n">
        <x:f>COUNTIFS('データ'!$AH$5:$AH$42,"〇",'データ'!$LP$5:$LP$42,"〇")</x:f>
        <x:v>1</x:v>
      </x:c>
    </x:row>
    <x:row r="11">
      <x:c r="A11" s="100" t="str">
        <x:v>その他</x:v>
      </x:c>
      <x:c r="B11" s="167" t="n">
        <x:f>COUNTIF('データ'!$AI$5:$AI$42,"〇")</x:f>
        <x:v>1</x:v>
      </x:c>
      <x:c r="C11" s="175" t="n">
        <x:f>COUNTIFS('データ'!$AI$5:$AI$42,"〇",'データ'!$LH$5:$LH$42,"〇")</x:f>
        <x:v>0</x:v>
      </x:c>
      <x:c r="D11" s="175" t="n">
        <x:f>COUNTIFS('データ'!$AI$5:$AI$42,"〇",'データ'!$LI$5:$LI$42,"〇")</x:f>
        <x:v>0</x:v>
      </x:c>
      <x:c r="E11" s="175" t="n">
        <x:f>COUNTIFS('データ'!$AI$5:$AI$42,"〇",'データ'!$LJ$5:$LJ$42,"〇")</x:f>
        <x:v>0</x:v>
      </x:c>
      <x:c r="F11" s="175" t="n">
        <x:f>COUNTIFS('データ'!$AI$5:$AI$42,"〇",'データ'!$LK$5:$LK$42,"〇")</x:f>
        <x:v>0</x:v>
      </x:c>
      <x:c r="G11" s="175" t="n">
        <x:f>COUNTIFS('データ'!$AI$5:$AI$42,"〇",'データ'!$LL$5:$LL$42,"〇")</x:f>
        <x:v>0</x:v>
      </x:c>
      <x:c r="H11" s="175" t="n">
        <x:f>COUNTIFS('データ'!$AI$5:$AI$42,"〇",'データ'!$LM$5:$LM$42,"〇")</x:f>
        <x:v>0</x:v>
      </x:c>
      <x:c r="I11" s="175" t="n">
        <x:f>COUNTIFS('データ'!$AI$5:$AI$42,"〇",'データ'!$LN$5:$LN$42,"〇")</x:f>
        <x:v>0</x:v>
      </x:c>
      <x:c r="J11" s="175" t="n">
        <x:f>COUNTIFS('データ'!$AI$5:$AI$42,"〇",'データ'!$LO$5:$LO$42,"〇")</x:f>
        <x:v>1</x:v>
      </x:c>
      <x:c r="K11" s="176" t="n">
        <x:f>COUNTIFS('データ'!$AI$5:$AI$42,"〇",'データ'!$LP$5:$LP$42,"〇")</x:f>
        <x:v>0</x:v>
      </x:c>
    </x:row>
    <x:row r="12">
      <x:c r="C12" s="94"/>
      <x:c r="D12" s="94"/>
      <x:c r="E12" s="94"/>
      <x:c r="F12" s="94"/>
      <x:c r="G12" s="94"/>
      <x:c r="H12" s="94"/>
      <x:c r="I12" s="94"/>
      <x:c r="J12" s="94"/>
      <x:c r="K12" s="94"/>
    </x:row>
    <x:row r="13">
      <x:c r="C13" s="94"/>
      <x:c r="D13" s="94"/>
      <x:c r="E13" s="94"/>
      <x:c r="F13" s="94"/>
      <x:c r="G13" s="94"/>
      <x:c r="H13" s="94"/>
      <x:c r="I13" s="94"/>
      <x:c r="J13" s="94"/>
      <x:c r="K13" s="94"/>
    </x:row>
    <x:row r="14">
      <x:c r="A14" s="139" t="str">
        <x:v>行％（各行のnを100％とした割合）</x:v>
      </x:c>
      <x:c r="B14" s="139"/>
      <x:c r="C14" s="177"/>
      <x:c r="D14" s="177"/>
      <x:c r="E14" s="177"/>
      <x:c r="F14" s="177"/>
      <x:c r="G14" s="177"/>
      <x:c r="H14" s="177"/>
      <x:c r="I14" s="177"/>
      <x:c r="J14" s="177"/>
      <x:c r="K14" s="177"/>
    </x:row>
    <x:row r="15" ht="54" customHeight="1">
      <x:c r="A15" s="96" t="str">
        <x:v>行区分</x:v>
      </x:c>
      <x:c r="B15" s="145" t="str">
        <x:v>n</x:v>
      </x:c>
      <x:c r="C15" s="145" t="str">
        <x:v>近くに事業所がない</x:v>
      </x:c>
      <x:c r="D15" s="145" t="str">
        <x:v>空きがない</x:v>
      </x:c>
      <x:c r="E15" s="145" t="str">
        <x:v>送迎がない</x:v>
      </x:c>
      <x:c r="F15" s="145" t="str">
        <x:v>利用方法がわからない</x:v>
      </x:c>
      <x:c r="G15" s="145" t="str">
        <x:v>費用が心配</x:v>
      </x:c>
      <x:c r="H15" s="145" t="str">
        <x:v>本人に合うサービスがない</x:v>
      </x:c>
      <x:c r="I15" s="145" t="str">
        <x:v>家族が対応している</x:v>
      </x:c>
      <x:c r="J15" s="145" t="str">
        <x:v>必要性を感じない</x:v>
      </x:c>
      <x:c r="K15" s="97" t="str">
        <x:v>その他</x:v>
      </x:c>
    </x:row>
    <x:row r="16">
      <x:c r="A16" s="98" t="str">
        <x:v>北山地区</x:v>
      </x:c>
      <x:c r="B16" s="122" t="n">
        <x:f>B7</x:f>
        <x:v>17</x:v>
      </x:c>
      <x:c r="C16" s="143" t="n">
        <x:f>IF($B16=0,"",C7/$B16)</x:f>
        <x:v>0.11764705882352941</x:v>
      </x:c>
      <x:c r="D16" s="143" t="n">
        <x:f>IF($B16=0,"",D7/$B16)</x:f>
        <x:v>0.058823529411764705</x:v>
      </x:c>
      <x:c r="E16" s="143" t="n">
        <x:f>IF($B16=0,"",E7/$B16)</x:f>
        <x:v>0</x:v>
      </x:c>
      <x:c r="F16" s="143" t="n">
        <x:f>IF($B16=0,"",F7/$B16)</x:f>
        <x:v>0.11764705882352941</x:v>
      </x:c>
      <x:c r="G16" s="143" t="n">
        <x:f>IF($B16=0,"",G7/$B16)</x:f>
        <x:v>0.11764705882352941</x:v>
      </x:c>
      <x:c r="H16" s="143" t="n">
        <x:f>IF($B16=0,"",H7/$B16)</x:f>
        <x:v>0</x:v>
      </x:c>
      <x:c r="I16" s="143" t="n">
        <x:f>IF($B16=0,"",I7/$B16)</x:f>
        <x:v>0.17647058823529413</x:v>
      </x:c>
      <x:c r="J16" s="143" t="n">
        <x:f>IF($B16=0,"",J7/$B16)</x:f>
        <x:v>0.4117647058823529</x:v>
      </x:c>
      <x:c r="K16" s="146" t="n">
        <x:f>IF($B16=0,"",K7/$B16)</x:f>
        <x:v>0</x:v>
      </x:c>
    </x:row>
    <x:row r="17">
      <x:c r="A17" s="98" t="str">
        <x:v>大塩地区</x:v>
      </x:c>
      <x:c r="B17" s="122" t="n">
        <x:f>B8</x:f>
        <x:v>7</x:v>
      </x:c>
      <x:c r="C17" s="143" t="n">
        <x:f>IF($B17=0,"",C8/$B17)</x:f>
        <x:v>0</x:v>
      </x:c>
      <x:c r="D17" s="143" t="n">
        <x:f>IF($B17=0,"",D8/$B17)</x:f>
        <x:v>0</x:v>
      </x:c>
      <x:c r="E17" s="143" t="n">
        <x:f>IF($B17=0,"",E8/$B17)</x:f>
        <x:v>0</x:v>
      </x:c>
      <x:c r="F17" s="143" t="n">
        <x:f>IF($B17=0,"",F8/$B17)</x:f>
        <x:v>0.14285714285714285</x:v>
      </x:c>
      <x:c r="G17" s="143" t="n">
        <x:f>IF($B17=0,"",G8/$B17)</x:f>
        <x:v>0.14285714285714285</x:v>
      </x:c>
      <x:c r="H17" s="143" t="n">
        <x:f>IF($B17=0,"",H8/$B17)</x:f>
        <x:v>0</x:v>
      </x:c>
      <x:c r="I17" s="143" t="n">
        <x:f>IF($B17=0,"",I8/$B17)</x:f>
        <x:v>0.2857142857142857</x:v>
      </x:c>
      <x:c r="J17" s="143" t="n">
        <x:f>IF($B17=0,"",J8/$B17)</x:f>
        <x:v>0.2857142857142857</x:v>
      </x:c>
      <x:c r="K17" s="146" t="n">
        <x:f>IF($B17=0,"",K8/$B17)</x:f>
        <x:v>0</x:v>
      </x:c>
    </x:row>
    <x:row r="18">
      <x:c r="A18" s="98" t="str">
        <x:v>桧原地区</x:v>
      </x:c>
      <x:c r="B18" s="122" t="n">
        <x:f>B9</x:f>
        <x:v>3</x:v>
      </x:c>
      <x:c r="C18" s="143" t="n">
        <x:f>IF($B18=0,"",C9/$B18)</x:f>
        <x:v>0</x:v>
      </x:c>
      <x:c r="D18" s="143" t="n">
        <x:f>IF($B18=0,"",D9/$B18)</x:f>
        <x:v>0</x:v>
      </x:c>
      <x:c r="E18" s="143" t="n">
        <x:f>IF($B18=0,"",E9/$B18)</x:f>
        <x:v>0</x:v>
      </x:c>
      <x:c r="F18" s="143" t="n">
        <x:f>IF($B18=0,"",F9/$B18)</x:f>
        <x:v>0</x:v>
      </x:c>
      <x:c r="G18" s="143" t="n">
        <x:f>IF($B18=0,"",G9/$B18)</x:f>
        <x:v>0.3333333333333333</x:v>
      </x:c>
      <x:c r="H18" s="143" t="n">
        <x:f>IF($B18=0,"",H9/$B18)</x:f>
        <x:v>0</x:v>
      </x:c>
      <x:c r="I18" s="143" t="n">
        <x:f>IF($B18=0,"",I9/$B18)</x:f>
        <x:v>0</x:v>
      </x:c>
      <x:c r="J18" s="143" t="n">
        <x:f>IF($B18=0,"",J9/$B18)</x:f>
        <x:v>0</x:v>
      </x:c>
      <x:c r="K18" s="146" t="n">
        <x:f>IF($B18=0,"",K9/$B18)</x:f>
        <x:v>0</x:v>
      </x:c>
    </x:row>
    <x:row r="19">
      <x:c r="A19" s="98" t="str">
        <x:v>裏磐梯地区</x:v>
      </x:c>
      <x:c r="B19" s="122" t="n">
        <x:f>B10</x:f>
        <x:v>10</x:v>
      </x:c>
      <x:c r="C19" s="143" t="n">
        <x:f>IF($B19=0,"",C10/$B19)</x:f>
        <x:v>0.1</x:v>
      </x:c>
      <x:c r="D19" s="143" t="n">
        <x:f>IF($B19=0,"",D10/$B19)</x:f>
        <x:v>0</x:v>
      </x:c>
      <x:c r="E19" s="143" t="n">
        <x:f>IF($B19=0,"",E10/$B19)</x:f>
        <x:v>0.1</x:v>
      </x:c>
      <x:c r="F19" s="143" t="n">
        <x:f>IF($B19=0,"",F10/$B19)</x:f>
        <x:v>0</x:v>
      </x:c>
      <x:c r="G19" s="143" t="n">
        <x:f>IF($B19=0,"",G10/$B19)</x:f>
        <x:v>0</x:v>
      </x:c>
      <x:c r="H19" s="143" t="n">
        <x:f>IF($B19=0,"",H10/$B19)</x:f>
        <x:v>0.1</x:v>
      </x:c>
      <x:c r="I19" s="143" t="n">
        <x:f>IF($B19=0,"",I10/$B19)</x:f>
        <x:v>0.1</x:v>
      </x:c>
      <x:c r="J19" s="143" t="n">
        <x:f>IF($B19=0,"",J10/$B19)</x:f>
        <x:v>0.1</x:v>
      </x:c>
      <x:c r="K19" s="146" t="n">
        <x:f>IF($B19=0,"",K10/$B19)</x:f>
        <x:v>0.1</x:v>
      </x:c>
    </x:row>
    <x:row r="20">
      <x:c r="A20" s="100" t="str">
        <x:v>その他</x:v>
      </x:c>
      <x:c r="B20" s="125" t="n">
        <x:f>B11</x:f>
        <x:v>1</x:v>
      </x:c>
      <x:c r="C20" s="159" t="n">
        <x:f>IF($B20=0,"",C11/$B20)</x:f>
        <x:v>0</x:v>
      </x:c>
      <x:c r="D20" s="159" t="n">
        <x:f>IF($B20=0,"",D11/$B20)</x:f>
        <x:v>0</x:v>
      </x:c>
      <x:c r="E20" s="159" t="n">
        <x:f>IF($B20=0,"",E11/$B20)</x:f>
        <x:v>0</x:v>
      </x:c>
      <x:c r="F20" s="159" t="n">
        <x:f>IF($B20=0,"",F11/$B20)</x:f>
        <x:v>0</x:v>
      </x:c>
      <x:c r="G20" s="159" t="n">
        <x:f>IF($B20=0,"",G11/$B20)</x:f>
        <x:v>0</x:v>
      </x:c>
      <x:c r="H20" s="159" t="n">
        <x:f>IF($B20=0,"",H11/$B20)</x:f>
        <x:v>0</x:v>
      </x:c>
      <x:c r="I20" s="159" t="n">
        <x:f>IF($B20=0,"",I11/$B20)</x:f>
        <x:v>0</x:v>
      </x:c>
      <x:c r="J20" s="159" t="n">
        <x:f>IF($B20=0,"",J11/$B20)</x:f>
        <x:v>1</x:v>
      </x:c>
      <x:c r="K20" s="147" t="n">
        <x:f>IF($B20=0,"",K11/$B20)</x:f>
        <x:v>0</x:v>
      </x:c>
    </x:row>
  </x:sheetData>
  <x:mergeCells>
    <x:mergeCell ref="A1:K2"/>
    <x:mergeCell ref="A3:K3"/>
    <x:mergeCell ref="A4:K4"/>
    <x:mergeCell ref="A14:K14"/>
  </x:mergeCells>
  <x:conditionalFormatting sqref="B7:B11">
    <x:cfRule type="cellIs" dxfId="2" priority="1" operator="lessThan">
      <x:formula>5</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79" t="str">
        <x:v>問7 × 問11 クロス分析</x:v>
      </x:c>
      <x:c r="B1" s="79"/>
      <x:c r="C1" s="79"/>
      <x:c r="D1" s="79"/>
      <x:c r="E1" s="79"/>
      <x:c r="F1" s="79"/>
      <x:c r="G1" s="79"/>
      <x:c r="H1" s="79"/>
      <x:c r="I1" s="79"/>
      <x:c r="J1" s="79"/>
    </x:row>
    <x:row r="2">
      <x:c r="A2" s="79"/>
      <x:c r="B2" s="79"/>
      <x:c r="C2" s="79"/>
      <x:c r="D2" s="79"/>
      <x:c r="E2" s="79"/>
      <x:c r="F2" s="79"/>
      <x:c r="G2" s="79"/>
      <x:c r="H2" s="79"/>
      <x:c r="I2" s="79"/>
      <x:c r="J2" s="79"/>
    </x:row>
    <x:row r="3">
      <x:c r="A3" s="139" t="str">
        <x:v>現在の暮らしと将来希望のギャップ</x:v>
      </x:c>
      <x:c r="B3" s="139"/>
      <x:c r="C3" s="139"/>
      <x:c r="D3" s="139"/>
      <x:c r="E3" s="139"/>
      <x:c r="F3" s="139"/>
      <x:c r="G3" s="139"/>
      <x:c r="H3" s="139"/>
      <x:c r="I3" s="139"/>
      <x:c r="J3" s="139"/>
    </x:row>
    <x:row r="4">
      <x:c r="A4" s="154" t="str">
        <x:v>行：問7「現在、どこで暮らしていますか」／列：問11「将来、どのような暮らし方を希望しますか」。件数表のnは行カテゴリ該当者数。行％はそのnを分母としています。複数回答設問では行％合計は100％にならない場合があります。</x:v>
      </x:c>
      <x:c r="B4" s="154"/>
      <x:c r="C4" s="154"/>
      <x:c r="D4" s="154"/>
      <x:c r="E4" s="154"/>
      <x:c r="F4" s="154"/>
      <x:c r="G4" s="154"/>
      <x:c r="H4" s="154"/>
      <x:c r="I4" s="154"/>
      <x:c r="J4" s="154"/>
    </x:row>
    <x:row r="6" ht="54" customHeight="1">
      <x:c r="A6" s="96" t="str">
        <x:v>行区分</x:v>
      </x:c>
      <x:c r="B6" s="145" t="str">
        <x:v>n</x:v>
      </x:c>
      <x:c r="C6" s="145" t="str">
        <x:v>今の自宅で暮らしたい</x:v>
      </x:c>
      <x:c r="D6" s="145" t="str">
        <x:v>家族と一緒に暮らしたい</x:v>
      </x:c>
      <x:c r="E6" s="145" t="str">
        <x:v>一人暮らしをしたい</x:v>
      </x:c>
      <x:c r="F6" s="145" t="str">
        <x:v>グループホームで暮らしたい</x:v>
      </x:c>
      <x:c r="G6" s="145" t="str">
        <x:v>施設で暮らしたい</x:v>
      </x:c>
      <x:c r="H6" s="145" t="str">
        <x:v>病院・施設から地域で暮らしたい</x:v>
      </x:c>
      <x:c r="I6" s="145" t="str">
        <x:v>まだわからない</x:v>
      </x:c>
      <x:c r="J6" s="97" t="str">
        <x:v>その他</x:v>
      </x:c>
    </x:row>
    <x:row r="7">
      <x:c r="A7" s="98" t="str">
        <x:v>自宅で家族と暮らしている</x:v>
      </x:c>
      <x:c r="B7" s="165" t="n">
        <x:f>COUNTIF('データ'!$BI$5:$BI$42,"〇")</x:f>
        <x:v>24</x:v>
      </x:c>
      <x:c r="C7" s="173" t="n">
        <x:f>COUNTIFS('データ'!$BI$5:$BI$42,"〇",'データ'!$DE$5:$DE$42,"〇")</x:f>
        <x:v>13</x:v>
      </x:c>
      <x:c r="D7" s="173" t="n">
        <x:f>COUNTIFS('データ'!$BI$5:$BI$42,"〇",'データ'!$DF$5:$DF$42,"〇")</x:f>
        <x:v>4</x:v>
      </x:c>
      <x:c r="E7" s="173" t="n">
        <x:f>COUNTIFS('データ'!$BI$5:$BI$42,"〇",'データ'!$DG$5:$DG$42,"〇")</x:f>
        <x:v>1</x:v>
      </x:c>
      <x:c r="F7" s="173" t="n">
        <x:f>COUNTIFS('データ'!$BI$5:$BI$42,"〇",'データ'!$DH$5:$DH$42,"〇")</x:f>
        <x:v>0</x:v>
      </x:c>
      <x:c r="G7" s="173" t="n">
        <x:f>COUNTIFS('データ'!$BI$5:$BI$42,"〇",'データ'!$DI$5:$DI$42,"〇")</x:f>
        <x:v>0</x:v>
      </x:c>
      <x:c r="H7" s="173" t="n">
        <x:f>COUNTIFS('データ'!$BI$5:$BI$42,"〇",'データ'!$DJ$5:$DJ$42,"〇")</x:f>
        <x:v>0</x:v>
      </x:c>
      <x:c r="I7" s="173" t="n">
        <x:f>COUNTIFS('データ'!$BI$5:$BI$42,"〇",'データ'!$DK$5:$DK$42,"〇")</x:f>
        <x:v>4</x:v>
      </x:c>
      <x:c r="J7" s="174" t="n">
        <x:f>COUNTIFS('データ'!$BI$5:$BI$42,"〇",'データ'!$DL$5:$DL$42,"〇")</x:f>
        <x:v>1</x:v>
      </x:c>
    </x:row>
    <x:row r="8">
      <x:c r="A8" s="98" t="str">
        <x:v>自宅で一人暮らし</x:v>
      </x:c>
      <x:c r="B8" s="165" t="n">
        <x:f>COUNTIF('データ'!$BJ$5:$BJ$42,"〇")</x:f>
        <x:v>6</x:v>
      </x:c>
      <x:c r="C8" s="173" t="n">
        <x:f>COUNTIFS('データ'!$BJ$5:$BJ$42,"〇",'データ'!$DE$5:$DE$42,"〇")</x:f>
        <x:v>2</x:v>
      </x:c>
      <x:c r="D8" s="173" t="n">
        <x:f>COUNTIFS('データ'!$BJ$5:$BJ$42,"〇",'データ'!$DF$5:$DF$42,"〇")</x:f>
        <x:v>0</x:v>
      </x:c>
      <x:c r="E8" s="173" t="n">
        <x:f>COUNTIFS('データ'!$BJ$5:$BJ$42,"〇",'データ'!$DG$5:$DG$42,"〇")</x:f>
        <x:v>1</x:v>
      </x:c>
      <x:c r="F8" s="173" t="n">
        <x:f>COUNTIFS('データ'!$BJ$5:$BJ$42,"〇",'データ'!$DH$5:$DH$42,"〇")</x:f>
        <x:v>0</x:v>
      </x:c>
      <x:c r="G8" s="173" t="n">
        <x:f>COUNTIFS('データ'!$BJ$5:$BJ$42,"〇",'データ'!$DI$5:$DI$42,"〇")</x:f>
        <x:v>1</x:v>
      </x:c>
      <x:c r="H8" s="173" t="n">
        <x:f>COUNTIFS('データ'!$BJ$5:$BJ$42,"〇",'データ'!$DJ$5:$DJ$42,"〇")</x:f>
        <x:v>0</x:v>
      </x:c>
      <x:c r="I8" s="173" t="n">
        <x:f>COUNTIFS('データ'!$BJ$5:$BJ$42,"〇",'データ'!$DK$5:$DK$42,"〇")</x:f>
        <x:v>1</x:v>
      </x:c>
      <x:c r="J8" s="174" t="n">
        <x:f>COUNTIFS('データ'!$BJ$5:$BJ$42,"〇",'データ'!$DL$5:$DL$42,"〇")</x:f>
        <x:v>0</x:v>
      </x:c>
    </x:row>
    <x:row r="9">
      <x:c r="A9" s="98" t="str">
        <x:v>グループホーム</x:v>
      </x:c>
      <x:c r="B9" s="165" t="n">
        <x:f>COUNTIF('データ'!$BK$5:$BK$42,"〇")</x:f>
        <x:v>3</x:v>
      </x:c>
      <x:c r="C9" s="173" t="n">
        <x:f>COUNTIFS('データ'!$BK$5:$BK$42,"〇",'データ'!$DE$5:$DE$42,"〇")</x:f>
        <x:v>0</x:v>
      </x:c>
      <x:c r="D9" s="173" t="n">
        <x:f>COUNTIFS('データ'!$BK$5:$BK$42,"〇",'データ'!$DF$5:$DF$42,"〇")</x:f>
        <x:v>1</x:v>
      </x:c>
      <x:c r="E9" s="173" t="n">
        <x:f>COUNTIFS('データ'!$BK$5:$BK$42,"〇",'データ'!$DG$5:$DG$42,"〇")</x:f>
        <x:v>0</x:v>
      </x:c>
      <x:c r="F9" s="173" t="n">
        <x:f>COUNTIFS('データ'!$BK$5:$BK$42,"〇",'データ'!$DH$5:$DH$42,"〇")</x:f>
        <x:v>2</x:v>
      </x:c>
      <x:c r="G9" s="173" t="n">
        <x:f>COUNTIFS('データ'!$BK$5:$BK$42,"〇",'データ'!$DI$5:$DI$42,"〇")</x:f>
        <x:v>0</x:v>
      </x:c>
      <x:c r="H9" s="173" t="n">
        <x:f>COUNTIFS('データ'!$BK$5:$BK$42,"〇",'データ'!$DJ$5:$DJ$42,"〇")</x:f>
        <x:v>0</x:v>
      </x:c>
      <x:c r="I9" s="173" t="n">
        <x:f>COUNTIFS('データ'!$BK$5:$BK$42,"〇",'データ'!$DK$5:$DK$42,"〇")</x:f>
        <x:v>0</x:v>
      </x:c>
      <x:c r="J9" s="174" t="n">
        <x:f>COUNTIFS('データ'!$BK$5:$BK$42,"〇",'データ'!$DL$5:$DL$42,"〇")</x:f>
        <x:v>0</x:v>
      </x:c>
    </x:row>
    <x:row r="10">
      <x:c r="A10" s="98" t="str">
        <x:v>障がい者支援施設</x:v>
      </x:c>
      <x:c r="B10" s="165" t="n">
        <x:f>COUNTIF('データ'!$BL$5:$BL$42,"〇")</x:f>
        <x:v>2</x:v>
      </x:c>
      <x:c r="C10" s="173" t="n">
        <x:f>COUNTIFS('データ'!$BL$5:$BL$42,"〇",'データ'!$DE$5:$DE$42,"〇")</x:f>
        <x:v>0</x:v>
      </x:c>
      <x:c r="D10" s="173" t="n">
        <x:f>COUNTIFS('データ'!$BL$5:$BL$42,"〇",'データ'!$DF$5:$DF$42,"〇")</x:f>
        <x:v>0</x:v>
      </x:c>
      <x:c r="E10" s="173" t="n">
        <x:f>COUNTIFS('データ'!$BL$5:$BL$42,"〇",'データ'!$DG$5:$DG$42,"〇")</x:f>
        <x:v>0</x:v>
      </x:c>
      <x:c r="F10" s="173" t="n">
        <x:f>COUNTIFS('データ'!$BL$5:$BL$42,"〇",'データ'!$DH$5:$DH$42,"〇")</x:f>
        <x:v>0</x:v>
      </x:c>
      <x:c r="G10" s="173" t="n">
        <x:f>COUNTIFS('データ'!$BL$5:$BL$42,"〇",'データ'!$DI$5:$DI$42,"〇")</x:f>
        <x:v>1</x:v>
      </x:c>
      <x:c r="H10" s="173" t="n">
        <x:f>COUNTIFS('データ'!$BL$5:$BL$42,"〇",'データ'!$DJ$5:$DJ$42,"〇")</x:f>
        <x:v>0</x:v>
      </x:c>
      <x:c r="I10" s="173" t="n">
        <x:f>COUNTIFS('データ'!$BL$5:$BL$42,"〇",'データ'!$DK$5:$DK$42,"〇")</x:f>
        <x:v>1</x:v>
      </x:c>
      <x:c r="J10" s="174" t="n">
        <x:f>COUNTIFS('データ'!$BL$5:$BL$42,"〇",'データ'!$DL$5:$DL$42,"〇")</x:f>
        <x:v>0</x:v>
      </x:c>
    </x:row>
    <x:row r="11">
      <x:c r="A11" s="98" t="str">
        <x:v>病院に入院中</x:v>
      </x:c>
      <x:c r="B11" s="165" t="n">
        <x:f>COUNTIF('データ'!$BM$5:$BM$42,"〇")</x:f>
        <x:v>1</x:v>
      </x:c>
      <x:c r="C11" s="173" t="n">
        <x:f>COUNTIFS('データ'!$BM$5:$BM$42,"〇",'データ'!$DE$5:$DE$42,"〇")</x:f>
        <x:v>0</x:v>
      </x:c>
      <x:c r="D11" s="173" t="n">
        <x:f>COUNTIFS('データ'!$BM$5:$BM$42,"〇",'データ'!$DF$5:$DF$42,"〇")</x:f>
        <x:v>0</x:v>
      </x:c>
      <x:c r="E11" s="173" t="n">
        <x:f>COUNTIFS('データ'!$BM$5:$BM$42,"〇",'データ'!$DG$5:$DG$42,"〇")</x:f>
        <x:v>0</x:v>
      </x:c>
      <x:c r="F11" s="173" t="n">
        <x:f>COUNTIFS('データ'!$BM$5:$BM$42,"〇",'データ'!$DH$5:$DH$42,"〇")</x:f>
        <x:v>0</x:v>
      </x:c>
      <x:c r="G11" s="173" t="n">
        <x:f>COUNTIFS('データ'!$BM$5:$BM$42,"〇",'データ'!$DI$5:$DI$42,"〇")</x:f>
        <x:v>1</x:v>
      </x:c>
      <x:c r="H11" s="173" t="n">
        <x:f>COUNTIFS('データ'!$BM$5:$BM$42,"〇",'データ'!$DJ$5:$DJ$42,"〇")</x:f>
        <x:v>0</x:v>
      </x:c>
      <x:c r="I11" s="173" t="n">
        <x:f>COUNTIFS('データ'!$BM$5:$BM$42,"〇",'データ'!$DK$5:$DK$42,"〇")</x:f>
        <x:v>0</x:v>
      </x:c>
      <x:c r="J11" s="174" t="n">
        <x:f>COUNTIFS('データ'!$BM$5:$BM$42,"〇",'データ'!$DL$5:$DL$42,"〇")</x:f>
        <x:v>0</x:v>
      </x:c>
    </x:row>
    <x:row r="12">
      <x:c r="A12" s="98" t="str">
        <x:v>高齢者施設等</x:v>
      </x:c>
      <x:c r="B12" s="165" t="n">
        <x:f>COUNTIF('データ'!$BN$5:$BN$42,"〇")</x:f>
        <x:v>1</x:v>
      </x:c>
      <x:c r="C12" s="173" t="n">
        <x:f>COUNTIFS('データ'!$BN$5:$BN$42,"〇",'データ'!$DE$5:$DE$42,"〇")</x:f>
        <x:v>0</x:v>
      </x:c>
      <x:c r="D12" s="173" t="n">
        <x:f>COUNTIFS('データ'!$BN$5:$BN$42,"〇",'データ'!$DF$5:$DF$42,"〇")</x:f>
        <x:v>0</x:v>
      </x:c>
      <x:c r="E12" s="173" t="n">
        <x:f>COUNTIFS('データ'!$BN$5:$BN$42,"〇",'データ'!$DG$5:$DG$42,"〇")</x:f>
        <x:v>0</x:v>
      </x:c>
      <x:c r="F12" s="173" t="n">
        <x:f>COUNTIFS('データ'!$BN$5:$BN$42,"〇",'データ'!$DH$5:$DH$42,"〇")</x:f>
        <x:v>0</x:v>
      </x:c>
      <x:c r="G12" s="173" t="n">
        <x:f>COUNTIFS('データ'!$BN$5:$BN$42,"〇",'データ'!$DI$5:$DI$42,"〇")</x:f>
        <x:v>1</x:v>
      </x:c>
      <x:c r="H12" s="173" t="n">
        <x:f>COUNTIFS('データ'!$BN$5:$BN$42,"〇",'データ'!$DJ$5:$DJ$42,"〇")</x:f>
        <x:v>0</x:v>
      </x:c>
      <x:c r="I12" s="173" t="n">
        <x:f>COUNTIFS('データ'!$BN$5:$BN$42,"〇",'データ'!$DK$5:$DK$42,"〇")</x:f>
        <x:v>0</x:v>
      </x:c>
      <x:c r="J12" s="174" t="n">
        <x:f>COUNTIFS('データ'!$BN$5:$BN$42,"〇",'データ'!$DL$5:$DL$42,"〇")</x:f>
        <x:v>0</x:v>
      </x:c>
    </x:row>
    <x:row r="13">
      <x:c r="A13" s="100" t="str">
        <x:v>その他</x:v>
      </x:c>
      <x:c r="B13" s="167" t="n">
        <x:f>COUNTIF('データ'!$BO$5:$BO$42,"〇")</x:f>
        <x:v>0</x:v>
      </x:c>
      <x:c r="C13" s="175" t="n">
        <x:f>COUNTIFS('データ'!$BO$5:$BO$42,"〇",'データ'!$DE$5:$DE$42,"〇")</x:f>
        <x:v>0</x:v>
      </x:c>
      <x:c r="D13" s="175" t="n">
        <x:f>COUNTIFS('データ'!$BO$5:$BO$42,"〇",'データ'!$DF$5:$DF$42,"〇")</x:f>
        <x:v>0</x:v>
      </x:c>
      <x:c r="E13" s="175" t="n">
        <x:f>COUNTIFS('データ'!$BO$5:$BO$42,"〇",'データ'!$DG$5:$DG$42,"〇")</x:f>
        <x:v>0</x:v>
      </x:c>
      <x:c r="F13" s="175" t="n">
        <x:f>COUNTIFS('データ'!$BO$5:$BO$42,"〇",'データ'!$DH$5:$DH$42,"〇")</x:f>
        <x:v>0</x:v>
      </x:c>
      <x:c r="G13" s="175" t="n">
        <x:f>COUNTIFS('データ'!$BO$5:$BO$42,"〇",'データ'!$DI$5:$DI$42,"〇")</x:f>
        <x:v>0</x:v>
      </x:c>
      <x:c r="H13" s="175" t="n">
        <x:f>COUNTIFS('データ'!$BO$5:$BO$42,"〇",'データ'!$DJ$5:$DJ$42,"〇")</x:f>
        <x:v>0</x:v>
      </x:c>
      <x:c r="I13" s="175" t="n">
        <x:f>COUNTIFS('データ'!$BO$5:$BO$42,"〇",'データ'!$DK$5:$DK$42,"〇")</x:f>
        <x:v>0</x:v>
      </x:c>
      <x:c r="J13" s="176" t="n">
        <x:f>COUNTIFS('データ'!$BO$5:$BO$42,"〇",'データ'!$DL$5:$DL$42,"〇")</x:f>
        <x:v>0</x:v>
      </x:c>
    </x:row>
    <x:row r="14">
      <x:c r="C14" s="94"/>
      <x:c r="D14" s="94"/>
      <x:c r="E14" s="94"/>
      <x:c r="F14" s="94"/>
      <x:c r="G14" s="94"/>
      <x:c r="H14" s="94"/>
      <x:c r="I14" s="94"/>
      <x:c r="J14" s="94"/>
    </x:row>
    <x:row r="15">
      <x:c r="C15" s="94"/>
      <x:c r="D15" s="94"/>
      <x:c r="E15" s="94"/>
      <x:c r="F15" s="94"/>
      <x:c r="G15" s="94"/>
      <x:c r="H15" s="94"/>
      <x:c r="I15" s="94"/>
      <x:c r="J15" s="94"/>
    </x:row>
    <x:row r="16">
      <x:c r="A16" s="139" t="str">
        <x:v>行％（各行のnを100％とした割合）</x:v>
      </x:c>
      <x:c r="B16" s="139"/>
      <x:c r="C16" s="177"/>
      <x:c r="D16" s="177"/>
      <x:c r="E16" s="177"/>
      <x:c r="F16" s="177"/>
      <x:c r="G16" s="177"/>
      <x:c r="H16" s="177"/>
      <x:c r="I16" s="177"/>
      <x:c r="J16" s="177"/>
    </x:row>
    <x:row r="17" ht="54" customHeight="1">
      <x:c r="A17" s="96" t="str">
        <x:v>行区分</x:v>
      </x:c>
      <x:c r="B17" s="145" t="str">
        <x:v>n</x:v>
      </x:c>
      <x:c r="C17" s="145" t="str">
        <x:v>今の自宅で暮らしたい</x:v>
      </x:c>
      <x:c r="D17" s="145" t="str">
        <x:v>家族と一緒に暮らしたい</x:v>
      </x:c>
      <x:c r="E17" s="145" t="str">
        <x:v>一人暮らしをしたい</x:v>
      </x:c>
      <x:c r="F17" s="145" t="str">
        <x:v>グループホームで暮らしたい</x:v>
      </x:c>
      <x:c r="G17" s="145" t="str">
        <x:v>施設で暮らしたい</x:v>
      </x:c>
      <x:c r="H17" s="145" t="str">
        <x:v>病院・施設から地域で暮らしたい</x:v>
      </x:c>
      <x:c r="I17" s="145" t="str">
        <x:v>まだわからない</x:v>
      </x:c>
      <x:c r="J17" s="97" t="str">
        <x:v>その他</x:v>
      </x:c>
    </x:row>
    <x:row r="18">
      <x:c r="A18" s="98" t="str">
        <x:v>自宅で家族と暮らしている</x:v>
      </x:c>
      <x:c r="B18" s="122" t="n">
        <x:f>B7</x:f>
        <x:v>24</x:v>
      </x:c>
      <x:c r="C18" s="143" t="n">
        <x:f>IF($B18=0,"",C7/$B18)</x:f>
        <x:v>0.5416666666666666</x:v>
      </x:c>
      <x:c r="D18" s="143" t="n">
        <x:f>IF($B18=0,"",D7/$B18)</x:f>
        <x:v>0.16666666666666666</x:v>
      </x:c>
      <x:c r="E18" s="143" t="n">
        <x:f>IF($B18=0,"",E7/$B18)</x:f>
        <x:v>0.041666666666666664</x:v>
      </x:c>
      <x:c r="F18" s="143" t="n">
        <x:f>IF($B18=0,"",F7/$B18)</x:f>
        <x:v>0</x:v>
      </x:c>
      <x:c r="G18" s="143" t="n">
        <x:f>IF($B18=0,"",G7/$B18)</x:f>
        <x:v>0</x:v>
      </x:c>
      <x:c r="H18" s="143" t="n">
        <x:f>IF($B18=0,"",H7/$B18)</x:f>
        <x:v>0</x:v>
      </x:c>
      <x:c r="I18" s="143" t="n">
        <x:f>IF($B18=0,"",I7/$B18)</x:f>
        <x:v>0.16666666666666666</x:v>
      </x:c>
      <x:c r="J18" s="146" t="n">
        <x:f>IF($B18=0,"",J7/$B18)</x:f>
        <x:v>0.041666666666666664</x:v>
      </x:c>
    </x:row>
    <x:row r="19">
      <x:c r="A19" s="98" t="str">
        <x:v>自宅で一人暮らし</x:v>
      </x:c>
      <x:c r="B19" s="122" t="n">
        <x:f>B8</x:f>
        <x:v>6</x:v>
      </x:c>
      <x:c r="C19" s="143" t="n">
        <x:f>IF($B19=0,"",C8/$B19)</x:f>
        <x:v>0.3333333333333333</x:v>
      </x:c>
      <x:c r="D19" s="143" t="n">
        <x:f>IF($B19=0,"",D8/$B19)</x:f>
        <x:v>0</x:v>
      </x:c>
      <x:c r="E19" s="143" t="n">
        <x:f>IF($B19=0,"",E8/$B19)</x:f>
        <x:v>0.16666666666666666</x:v>
      </x:c>
      <x:c r="F19" s="143" t="n">
        <x:f>IF($B19=0,"",F8/$B19)</x:f>
        <x:v>0</x:v>
      </x:c>
      <x:c r="G19" s="143" t="n">
        <x:f>IF($B19=0,"",G8/$B19)</x:f>
        <x:v>0.16666666666666666</x:v>
      </x:c>
      <x:c r="H19" s="143" t="n">
        <x:f>IF($B19=0,"",H8/$B19)</x:f>
        <x:v>0</x:v>
      </x:c>
      <x:c r="I19" s="143" t="n">
        <x:f>IF($B19=0,"",I8/$B19)</x:f>
        <x:v>0.16666666666666666</x:v>
      </x:c>
      <x:c r="J19" s="146" t="n">
        <x:f>IF($B19=0,"",J8/$B19)</x:f>
        <x:v>0</x:v>
      </x:c>
    </x:row>
    <x:row r="20">
      <x:c r="A20" s="98" t="str">
        <x:v>グループホーム</x:v>
      </x:c>
      <x:c r="B20" s="122" t="n">
        <x:f>B9</x:f>
        <x:v>3</x:v>
      </x:c>
      <x:c r="C20" s="143" t="n">
        <x:f>IF($B20=0,"",C9/$B20)</x:f>
        <x:v>0</x:v>
      </x:c>
      <x:c r="D20" s="143" t="n">
        <x:f>IF($B20=0,"",D9/$B20)</x:f>
        <x:v>0.3333333333333333</x:v>
      </x:c>
      <x:c r="E20" s="143" t="n">
        <x:f>IF($B20=0,"",E9/$B20)</x:f>
        <x:v>0</x:v>
      </x:c>
      <x:c r="F20" s="143" t="n">
        <x:f>IF($B20=0,"",F9/$B20)</x:f>
        <x:v>0.6666666666666666</x:v>
      </x:c>
      <x:c r="G20" s="143" t="n">
        <x:f>IF($B20=0,"",G9/$B20)</x:f>
        <x:v>0</x:v>
      </x:c>
      <x:c r="H20" s="143" t="n">
        <x:f>IF($B20=0,"",H9/$B20)</x:f>
        <x:v>0</x:v>
      </x:c>
      <x:c r="I20" s="143" t="n">
        <x:f>IF($B20=0,"",I9/$B20)</x:f>
        <x:v>0</x:v>
      </x:c>
      <x:c r="J20" s="146" t="n">
        <x:f>IF($B20=0,"",J9/$B20)</x:f>
        <x:v>0</x:v>
      </x:c>
    </x:row>
    <x:row r="21">
      <x:c r="A21" s="98" t="str">
        <x:v>障がい者支援施設</x:v>
      </x:c>
      <x:c r="B21" s="122" t="n">
        <x:f>B10</x:f>
        <x:v>2</x:v>
      </x:c>
      <x:c r="C21" s="143" t="n">
        <x:f>IF($B21=0,"",C10/$B21)</x:f>
        <x:v>0</x:v>
      </x:c>
      <x:c r="D21" s="143" t="n">
        <x:f>IF($B21=0,"",D10/$B21)</x:f>
        <x:v>0</x:v>
      </x:c>
      <x:c r="E21" s="143" t="n">
        <x:f>IF($B21=0,"",E10/$B21)</x:f>
        <x:v>0</x:v>
      </x:c>
      <x:c r="F21" s="143" t="n">
        <x:f>IF($B21=0,"",F10/$B21)</x:f>
        <x:v>0</x:v>
      </x:c>
      <x:c r="G21" s="143" t="n">
        <x:f>IF($B21=0,"",G10/$B21)</x:f>
        <x:v>0.5</x:v>
      </x:c>
      <x:c r="H21" s="143" t="n">
        <x:f>IF($B21=0,"",H10/$B21)</x:f>
        <x:v>0</x:v>
      </x:c>
      <x:c r="I21" s="143" t="n">
        <x:f>IF($B21=0,"",I10/$B21)</x:f>
        <x:v>0.5</x:v>
      </x:c>
      <x:c r="J21" s="146" t="n">
        <x:f>IF($B21=0,"",J10/$B21)</x:f>
        <x:v>0</x:v>
      </x:c>
    </x:row>
    <x:row r="22">
      <x:c r="A22" s="98" t="str">
        <x:v>病院に入院中</x:v>
      </x:c>
      <x:c r="B22" s="122" t="n">
        <x:f>B11</x:f>
        <x:v>1</x:v>
      </x:c>
      <x:c r="C22" s="143" t="n">
        <x:f>IF($B22=0,"",C11/$B22)</x:f>
        <x:v>0</x:v>
      </x:c>
      <x:c r="D22" s="143" t="n">
        <x:f>IF($B22=0,"",D11/$B22)</x:f>
        <x:v>0</x:v>
      </x:c>
      <x:c r="E22" s="143" t="n">
        <x:f>IF($B22=0,"",E11/$B22)</x:f>
        <x:v>0</x:v>
      </x:c>
      <x:c r="F22" s="143" t="n">
        <x:f>IF($B22=0,"",F11/$B22)</x:f>
        <x:v>0</x:v>
      </x:c>
      <x:c r="G22" s="143" t="n">
        <x:f>IF($B22=0,"",G11/$B22)</x:f>
        <x:v>1</x:v>
      </x:c>
      <x:c r="H22" s="143" t="n">
        <x:f>IF($B22=0,"",H11/$B22)</x:f>
        <x:v>0</x:v>
      </x:c>
      <x:c r="I22" s="143" t="n">
        <x:f>IF($B22=0,"",I11/$B22)</x:f>
        <x:v>0</x:v>
      </x:c>
      <x:c r="J22" s="146" t="n">
        <x:f>IF($B22=0,"",J11/$B22)</x:f>
        <x:v>0</x:v>
      </x:c>
    </x:row>
    <x:row r="23">
      <x:c r="A23" s="98" t="str">
        <x:v>高齢者施設等</x:v>
      </x:c>
      <x:c r="B23" s="122" t="n">
        <x:f>B12</x:f>
        <x:v>1</x:v>
      </x:c>
      <x:c r="C23" s="143" t="n">
        <x:f>IF($B23=0,"",C12/$B23)</x:f>
        <x:v>0</x:v>
      </x:c>
      <x:c r="D23" s="143" t="n">
        <x:f>IF($B23=0,"",D12/$B23)</x:f>
        <x:v>0</x:v>
      </x:c>
      <x:c r="E23" s="143" t="n">
        <x:f>IF($B23=0,"",E12/$B23)</x:f>
        <x:v>0</x:v>
      </x:c>
      <x:c r="F23" s="143" t="n">
        <x:f>IF($B23=0,"",F12/$B23)</x:f>
        <x:v>0</x:v>
      </x:c>
      <x:c r="G23" s="143" t="n">
        <x:f>IF($B23=0,"",G12/$B23)</x:f>
        <x:v>1</x:v>
      </x:c>
      <x:c r="H23" s="143" t="n">
        <x:f>IF($B23=0,"",H12/$B23)</x:f>
        <x:v>0</x:v>
      </x:c>
      <x:c r="I23" s="143" t="n">
        <x:f>IF($B23=0,"",I12/$B23)</x:f>
        <x:v>0</x:v>
      </x:c>
      <x:c r="J23" s="146" t="n">
        <x:f>IF($B23=0,"",J12/$B23)</x:f>
        <x:v>0</x:v>
      </x:c>
    </x:row>
    <x:row r="24">
      <x:c r="A24" s="100" t="str">
        <x:v>その他</x:v>
      </x:c>
      <x:c r="B24" s="125" t="n">
        <x:f>B13</x:f>
        <x:v>0</x:v>
      </x:c>
      <x:c r="C24" s="159" t="str">
        <x:f>IF($B24=0,"",C13/$B24)</x:f>
      </x:c>
      <x:c r="D24" s="159" t="str">
        <x:f>IF($B24=0,"",D13/$B24)</x:f>
      </x:c>
      <x:c r="E24" s="159" t="str">
        <x:f>IF($B24=0,"",E13/$B24)</x:f>
      </x:c>
      <x:c r="F24" s="159" t="str">
        <x:f>IF($B24=0,"",F13/$B24)</x:f>
      </x:c>
      <x:c r="G24" s="159" t="str">
        <x:f>IF($B24=0,"",G13/$B24)</x:f>
      </x:c>
      <x:c r="H24" s="159" t="str">
        <x:f>IF($B24=0,"",H13/$B24)</x:f>
      </x:c>
      <x:c r="I24" s="159" t="str">
        <x:f>IF($B24=0,"",I13/$B24)</x:f>
      </x:c>
      <x:c r="J24" s="147" t="str">
        <x:f>IF($B24=0,"",J13/$B24)</x:f>
      </x:c>
    </x:row>
  </x:sheetData>
  <x:mergeCells>
    <x:mergeCell ref="A1:J2"/>
    <x:mergeCell ref="A3:J3"/>
    <x:mergeCell ref="A4:J4"/>
    <x:mergeCell ref="A16:J16"/>
  </x:mergeCells>
  <x:conditionalFormatting sqref="B7:B13">
    <x:cfRule type="cellIs" dxfId="3" priority="1" operator="lessThan">
      <x:formula>5</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s>
  <x:sheetData>
    <x:row r="1">
      <x:c r="A1" s="79" t="str">
        <x:v>問2 × 問10 クロス分析</x:v>
      </x:c>
      <x:c r="B1" s="79"/>
      <x:c r="C1" s="79"/>
      <x:c r="D1" s="79"/>
      <x:c r="E1" s="79"/>
      <x:c r="F1" s="79"/>
      <x:c r="G1" s="79"/>
      <x:c r="H1" s="79"/>
      <x:c r="I1" s="79"/>
      <x:c r="J1" s="79"/>
      <x:c r="K1" s="79"/>
      <x:c r="L1" s="79"/>
      <x:c r="M1" s="79"/>
      <x:c r="N1" s="79"/>
      <x:c r="O1" s="79"/>
      <x:c r="P1" s="79"/>
    </x:row>
    <x:row r="2">
      <x:c r="A2" s="79"/>
      <x:c r="B2" s="79"/>
      <x:c r="C2" s="79"/>
      <x:c r="D2" s="79"/>
      <x:c r="E2" s="79"/>
      <x:c r="F2" s="79"/>
      <x:c r="G2" s="79"/>
      <x:c r="H2" s="79"/>
      <x:c r="I2" s="79"/>
      <x:c r="J2" s="79"/>
      <x:c r="K2" s="79"/>
      <x:c r="L2" s="79"/>
      <x:c r="M2" s="79"/>
      <x:c r="N2" s="79"/>
      <x:c r="O2" s="79"/>
      <x:c r="P2" s="79"/>
    </x:row>
    <x:row r="3">
      <x:c r="A3" s="139" t="str">
        <x:v>年齢別の日常生活上の困りごと</x:v>
      </x:c>
      <x:c r="B3" s="139"/>
      <x:c r="C3" s="139"/>
      <x:c r="D3" s="139"/>
      <x:c r="E3" s="139"/>
      <x:c r="F3" s="139"/>
      <x:c r="G3" s="139"/>
      <x:c r="H3" s="139"/>
      <x:c r="I3" s="139"/>
      <x:c r="J3" s="139"/>
      <x:c r="K3" s="139"/>
      <x:c r="L3" s="139"/>
      <x:c r="M3" s="139"/>
      <x:c r="N3" s="139"/>
      <x:c r="O3" s="139"/>
      <x:c r="P3" s="139"/>
    </x:row>
    <x:row r="4">
      <x:c r="A4" s="154" t="str">
        <x:v>行：問2「あなた（宛名の方）の年齢を教えてください」／列：問10「日常生活で困っていること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c r="L4" s="154"/>
      <x:c r="M4" s="154"/>
      <x:c r="N4" s="154"/>
      <x:c r="O4" s="154"/>
      <x:c r="P4" s="154"/>
    </x:row>
    <x:row r="6" ht="54" customHeight="1">
      <x:c r="A6" s="96" t="str">
        <x:v>行区分</x:v>
      </x:c>
      <x:c r="B6" s="145" t="str">
        <x:v>n</x:v>
      </x:c>
      <x:c r="C6" s="145" t="str">
        <x:v>家事</x:v>
      </x:c>
      <x:c r="D6" s="145" t="str">
        <x:v>食事</x:v>
      </x:c>
      <x:c r="E6" s="145" t="str">
        <x:v>入浴</x:v>
      </x:c>
      <x:c r="F6" s="145" t="str">
        <x:v>排せつ</x:v>
      </x:c>
      <x:c r="G6" s="145" t="str">
        <x:v>服薬管理</x:v>
      </x:c>
      <x:c r="H6" s="145" t="str">
        <x:v>金銭管理</x:v>
      </x:c>
      <x:c r="I6" s="145" t="str">
        <x:v>通院</x:v>
      </x:c>
      <x:c r="J6" s="145" t="str">
        <x:v>外出・移動</x:v>
      </x:c>
      <x:c r="K6" s="145" t="str">
        <x:v>買い物</x:v>
      </x:c>
      <x:c r="L6" s="145" t="str">
        <x:v>災害時の避難</x:v>
      </x:c>
      <x:c r="M6" s="145" t="str">
        <x:v>相談先がない</x:v>
      </x:c>
      <x:c r="N6" s="145" t="str">
        <x:v>将来の生活</x:v>
      </x:c>
      <x:c r="O6" s="145" t="str">
        <x:v>特にない</x:v>
      </x:c>
      <x:c r="P6" s="97" t="str">
        <x:v>その他</x:v>
      </x:c>
    </x:row>
    <x:row r="7">
      <x:c r="A7" s="98" t="str">
        <x:v>18～29歳</x:v>
      </x:c>
      <x:c r="B7" s="165" t="n">
        <x:f>COUNTIF('データ'!$Y$5:$Y$42,"〇")</x:f>
        <x:v>0</x:v>
      </x:c>
      <x:c r="C7" s="173" t="n">
        <x:f>COUNTIFS('データ'!$Y$5:$Y$42,"〇",'データ'!$CM$5:$CM$42,"〇")</x:f>
        <x:v>0</x:v>
      </x:c>
      <x:c r="D7" s="173" t="n">
        <x:f>COUNTIFS('データ'!$Y$5:$Y$42,"〇",'データ'!$CN$5:$CN$42,"〇")</x:f>
        <x:v>0</x:v>
      </x:c>
      <x:c r="E7" s="173" t="n">
        <x:f>COUNTIFS('データ'!$Y$5:$Y$42,"〇",'データ'!$CO$5:$CO$42,"〇")</x:f>
        <x:v>0</x:v>
      </x:c>
      <x:c r="F7" s="173" t="n">
        <x:f>COUNTIFS('データ'!$Y$5:$Y$42,"〇",'データ'!$CP$5:$CP$42,"〇")</x:f>
        <x:v>0</x:v>
      </x:c>
      <x:c r="G7" s="173" t="n">
        <x:f>COUNTIFS('データ'!$Y$5:$Y$42,"〇",'データ'!$CQ$5:$CQ$42,"〇")</x:f>
        <x:v>0</x:v>
      </x:c>
      <x:c r="H7" s="173" t="n">
        <x:f>COUNTIFS('データ'!$Y$5:$Y$42,"〇",'データ'!$CR$5:$CR$42,"〇")</x:f>
        <x:v>0</x:v>
      </x:c>
      <x:c r="I7" s="173" t="n">
        <x:f>COUNTIFS('データ'!$Y$5:$Y$42,"〇",'データ'!$CS$5:$CS$42,"〇")</x:f>
        <x:v>0</x:v>
      </x:c>
      <x:c r="J7" s="173" t="n">
        <x:f>COUNTIFS('データ'!$Y$5:$Y$42,"〇",'データ'!$CT$5:$CT$42,"〇")</x:f>
        <x:v>0</x:v>
      </x:c>
      <x:c r="K7" s="173" t="n">
        <x:f>COUNTIFS('データ'!$Y$5:$Y$42,"〇",'データ'!$CU$5:$CU$42,"〇")</x:f>
        <x:v>0</x:v>
      </x:c>
      <x:c r="L7" s="173" t="n">
        <x:f>COUNTIFS('データ'!$Y$5:$Y$42,"〇",'データ'!$CV$5:$CV$42,"〇")</x:f>
        <x:v>0</x:v>
      </x:c>
      <x:c r="M7" s="173" t="n">
        <x:f>COUNTIFS('データ'!$Y$5:$Y$42,"〇",'データ'!$CW$5:$CW$42,"〇")</x:f>
        <x:v>0</x:v>
      </x:c>
      <x:c r="N7" s="173" t="n">
        <x:f>COUNTIFS('データ'!$Y$5:$Y$42,"〇",'データ'!$CX$5:$CX$42,"〇")</x:f>
        <x:v>0</x:v>
      </x:c>
      <x:c r="O7" s="173" t="n">
        <x:f>COUNTIFS('データ'!$Y$5:$Y$42,"〇",'データ'!$CY$5:$CY$42,"〇")</x:f>
        <x:v>0</x:v>
      </x:c>
      <x:c r="P7" s="174" t="n">
        <x:f>COUNTIFS('データ'!$Y$5:$Y$42,"〇",'データ'!$CZ$5:$CZ$42,"〇")</x:f>
        <x:v>0</x:v>
      </x:c>
    </x:row>
    <x:row r="8">
      <x:c r="A8" s="98" t="str">
        <x:v>30～39歳</x:v>
      </x:c>
      <x:c r="B8" s="165" t="n">
        <x:f>COUNTIF('データ'!$Z$5:$Z$42,"〇")</x:f>
        <x:v>3</x:v>
      </x:c>
      <x:c r="C8" s="173" t="n">
        <x:f>COUNTIFS('データ'!$Z$5:$Z$42,"〇",'データ'!$CM$5:$CM$42,"〇")</x:f>
        <x:v>0</x:v>
      </x:c>
      <x:c r="D8" s="173" t="n">
        <x:f>COUNTIFS('データ'!$Z$5:$Z$42,"〇",'データ'!$CN$5:$CN$42,"〇")</x:f>
        <x:v>0</x:v>
      </x:c>
      <x:c r="E8" s="173" t="n">
        <x:f>COUNTIFS('データ'!$Z$5:$Z$42,"〇",'データ'!$CO$5:$CO$42,"〇")</x:f>
        <x:v>0</x:v>
      </x:c>
      <x:c r="F8" s="173" t="n">
        <x:f>COUNTIFS('データ'!$Z$5:$Z$42,"〇",'データ'!$CP$5:$CP$42,"〇")</x:f>
        <x:v>0</x:v>
      </x:c>
      <x:c r="G8" s="173" t="n">
        <x:f>COUNTIFS('データ'!$Z$5:$Z$42,"〇",'データ'!$CQ$5:$CQ$42,"〇")</x:f>
        <x:v>0</x:v>
      </x:c>
      <x:c r="H8" s="173" t="n">
        <x:f>COUNTIFS('データ'!$Z$5:$Z$42,"〇",'データ'!$CR$5:$CR$42,"〇")</x:f>
        <x:v>1</x:v>
      </x:c>
      <x:c r="I8" s="173" t="n">
        <x:f>COUNTIFS('データ'!$Z$5:$Z$42,"〇",'データ'!$CS$5:$CS$42,"〇")</x:f>
        <x:v>0</x:v>
      </x:c>
      <x:c r="J8" s="173" t="n">
        <x:f>COUNTIFS('データ'!$Z$5:$Z$42,"〇",'データ'!$CT$5:$CT$42,"〇")</x:f>
        <x:v>0</x:v>
      </x:c>
      <x:c r="K8" s="173" t="n">
        <x:f>COUNTIFS('データ'!$Z$5:$Z$42,"〇",'データ'!$CU$5:$CU$42,"〇")</x:f>
        <x:v>0</x:v>
      </x:c>
      <x:c r="L8" s="173" t="n">
        <x:f>COUNTIFS('データ'!$Z$5:$Z$42,"〇",'データ'!$CV$5:$CV$42,"〇")</x:f>
        <x:v>0</x:v>
      </x:c>
      <x:c r="M8" s="173" t="n">
        <x:f>COUNTIFS('データ'!$Z$5:$Z$42,"〇",'データ'!$CW$5:$CW$42,"〇")</x:f>
        <x:v>0</x:v>
      </x:c>
      <x:c r="N8" s="173" t="n">
        <x:f>COUNTIFS('データ'!$Z$5:$Z$42,"〇",'データ'!$CX$5:$CX$42,"〇")</x:f>
        <x:v>1</x:v>
      </x:c>
      <x:c r="O8" s="173" t="n">
        <x:f>COUNTIFS('データ'!$Z$5:$Z$42,"〇",'データ'!$CY$5:$CY$42,"〇")</x:f>
        <x:v>1</x:v>
      </x:c>
      <x:c r="P8" s="174" t="n">
        <x:f>COUNTIFS('データ'!$Z$5:$Z$42,"〇",'データ'!$CZ$5:$CZ$42,"〇")</x:f>
        <x:v>1</x:v>
      </x:c>
    </x:row>
    <x:row r="9">
      <x:c r="A9" s="98" t="str">
        <x:v>40～49歳</x:v>
      </x:c>
      <x:c r="B9" s="165" t="n">
        <x:f>COUNTIF('データ'!$AA$5:$AA$42,"〇")</x:f>
        <x:v>2</x:v>
      </x:c>
      <x:c r="C9" s="173" t="n">
        <x:f>COUNTIFS('データ'!$AA$5:$AA$42,"〇",'データ'!$CM$5:$CM$42,"〇")</x:f>
        <x:v>0</x:v>
      </x:c>
      <x:c r="D9" s="173" t="n">
        <x:f>COUNTIFS('データ'!$AA$5:$AA$42,"〇",'データ'!$CN$5:$CN$42,"〇")</x:f>
        <x:v>0</x:v>
      </x:c>
      <x:c r="E9" s="173" t="n">
        <x:f>COUNTIFS('データ'!$AA$5:$AA$42,"〇",'データ'!$CO$5:$CO$42,"〇")</x:f>
        <x:v>0</x:v>
      </x:c>
      <x:c r="F9" s="173" t="n">
        <x:f>COUNTIFS('データ'!$AA$5:$AA$42,"〇",'データ'!$CP$5:$CP$42,"〇")</x:f>
        <x:v>0</x:v>
      </x:c>
      <x:c r="G9" s="173" t="n">
        <x:f>COUNTIFS('データ'!$AA$5:$AA$42,"〇",'データ'!$CQ$5:$CQ$42,"〇")</x:f>
        <x:v>0</x:v>
      </x:c>
      <x:c r="H9" s="173" t="n">
        <x:f>COUNTIFS('データ'!$AA$5:$AA$42,"〇",'データ'!$CR$5:$CR$42,"〇")</x:f>
        <x:v>1</x:v>
      </x:c>
      <x:c r="I9" s="173" t="n">
        <x:f>COUNTIFS('データ'!$AA$5:$AA$42,"〇",'データ'!$CS$5:$CS$42,"〇")</x:f>
        <x:v>1</x:v>
      </x:c>
      <x:c r="J9" s="173" t="n">
        <x:f>COUNTIFS('データ'!$AA$5:$AA$42,"〇",'データ'!$CT$5:$CT$42,"〇")</x:f>
        <x:v>2</x:v>
      </x:c>
      <x:c r="K9" s="173" t="n">
        <x:f>COUNTIFS('データ'!$AA$5:$AA$42,"〇",'データ'!$CU$5:$CU$42,"〇")</x:f>
        <x:v>1</x:v>
      </x:c>
      <x:c r="L9" s="173" t="n">
        <x:f>COUNTIFS('データ'!$AA$5:$AA$42,"〇",'データ'!$CV$5:$CV$42,"〇")</x:f>
        <x:v>1</x:v>
      </x:c>
      <x:c r="M9" s="173" t="n">
        <x:f>COUNTIFS('データ'!$AA$5:$AA$42,"〇",'データ'!$CW$5:$CW$42,"〇")</x:f>
        <x:v>1</x:v>
      </x:c>
      <x:c r="N9" s="173" t="n">
        <x:f>COUNTIFS('データ'!$AA$5:$AA$42,"〇",'データ'!$CX$5:$CX$42,"〇")</x:f>
        <x:v>2</x:v>
      </x:c>
      <x:c r="O9" s="173" t="n">
        <x:f>COUNTIFS('データ'!$AA$5:$AA$42,"〇",'データ'!$CY$5:$CY$42,"〇")</x:f>
        <x:v>0</x:v>
      </x:c>
      <x:c r="P9" s="174" t="n">
        <x:f>COUNTIFS('データ'!$AA$5:$AA$42,"〇",'データ'!$CZ$5:$CZ$42,"〇")</x:f>
        <x:v>0</x:v>
      </x:c>
    </x:row>
    <x:row r="10">
      <x:c r="A10" s="98" t="str">
        <x:v>50～64歳</x:v>
      </x:c>
      <x:c r="B10" s="165" t="n">
        <x:f>COUNTIF('データ'!$AB$5:$AB$42,"〇")</x:f>
        <x:v>7</x:v>
      </x:c>
      <x:c r="C10" s="173" t="n">
        <x:f>COUNTIFS('データ'!$AB$5:$AB$42,"〇",'データ'!$CM$5:$CM$42,"〇")</x:f>
        <x:v>0</x:v>
      </x:c>
      <x:c r="D10" s="173" t="n">
        <x:f>COUNTIFS('データ'!$AB$5:$AB$42,"〇",'データ'!$CN$5:$CN$42,"〇")</x:f>
        <x:v>0</x:v>
      </x:c>
      <x:c r="E10" s="173" t="n">
        <x:f>COUNTIFS('データ'!$AB$5:$AB$42,"〇",'データ'!$CO$5:$CO$42,"〇")</x:f>
        <x:v>0</x:v>
      </x:c>
      <x:c r="F10" s="173" t="n">
        <x:f>COUNTIFS('データ'!$AB$5:$AB$42,"〇",'データ'!$CP$5:$CP$42,"〇")</x:f>
        <x:v>0</x:v>
      </x:c>
      <x:c r="G10" s="173" t="n">
        <x:f>COUNTIFS('データ'!$AB$5:$AB$42,"〇",'データ'!$CQ$5:$CQ$42,"〇")</x:f>
        <x:v>0</x:v>
      </x:c>
      <x:c r="H10" s="173" t="n">
        <x:f>COUNTIFS('データ'!$AB$5:$AB$42,"〇",'データ'!$CR$5:$CR$42,"〇")</x:f>
        <x:v>1</x:v>
      </x:c>
      <x:c r="I10" s="173" t="n">
        <x:f>COUNTIFS('データ'!$AB$5:$AB$42,"〇",'データ'!$CS$5:$CS$42,"〇")</x:f>
        <x:v>0</x:v>
      </x:c>
      <x:c r="J10" s="173" t="n">
        <x:f>COUNTIFS('データ'!$AB$5:$AB$42,"〇",'データ'!$CT$5:$CT$42,"〇")</x:f>
        <x:v>1</x:v>
      </x:c>
      <x:c r="K10" s="173" t="n">
        <x:f>COUNTIFS('データ'!$AB$5:$AB$42,"〇",'データ'!$CU$5:$CU$42,"〇")</x:f>
        <x:v>0</x:v>
      </x:c>
      <x:c r="L10" s="173" t="n">
        <x:f>COUNTIFS('データ'!$AB$5:$AB$42,"〇",'データ'!$CV$5:$CV$42,"〇")</x:f>
        <x:v>2</x:v>
      </x:c>
      <x:c r="M10" s="173" t="n">
        <x:f>COUNTIFS('データ'!$AB$5:$AB$42,"〇",'データ'!$CW$5:$CW$42,"〇")</x:f>
        <x:v>0</x:v>
      </x:c>
      <x:c r="N10" s="173" t="n">
        <x:f>COUNTIFS('データ'!$AB$5:$AB$42,"〇",'データ'!$CX$5:$CX$42,"〇")</x:f>
        <x:v>4</x:v>
      </x:c>
      <x:c r="O10" s="173" t="n">
        <x:f>COUNTIFS('データ'!$AB$5:$AB$42,"〇",'データ'!$CY$5:$CY$42,"〇")</x:f>
        <x:v>3</x:v>
      </x:c>
      <x:c r="P10" s="174" t="n">
        <x:f>COUNTIFS('データ'!$AB$5:$AB$42,"〇",'データ'!$CZ$5:$CZ$42,"〇")</x:f>
        <x:v>0</x:v>
      </x:c>
    </x:row>
    <x:row r="11">
      <x:c r="A11" s="100" t="str">
        <x:v>65歳以上</x:v>
      </x:c>
      <x:c r="B11" s="167" t="n">
        <x:f>COUNTIF('データ'!$AC$5:$AC$42,"〇")</x:f>
        <x:v>25</x:v>
      </x:c>
      <x:c r="C11" s="175" t="n">
        <x:f>COUNTIFS('データ'!$AC$5:$AC$42,"〇",'データ'!$CM$5:$CM$42,"〇")</x:f>
        <x:v>1</x:v>
      </x:c>
      <x:c r="D11" s="175" t="n">
        <x:f>COUNTIFS('データ'!$AC$5:$AC$42,"〇",'データ'!$CN$5:$CN$42,"〇")</x:f>
        <x:v>4</x:v>
      </x:c>
      <x:c r="E11" s="175" t="n">
        <x:f>COUNTIFS('データ'!$AC$5:$AC$42,"〇",'データ'!$CO$5:$CO$42,"〇")</x:f>
        <x:v>4</x:v>
      </x:c>
      <x:c r="F11" s="175" t="n">
        <x:f>COUNTIFS('データ'!$AC$5:$AC$42,"〇",'データ'!$CP$5:$CP$42,"〇")</x:f>
        <x:v>2</x:v>
      </x:c>
      <x:c r="G11" s="175" t="n">
        <x:f>COUNTIFS('データ'!$AC$5:$AC$42,"〇",'データ'!$CQ$5:$CQ$42,"〇")</x:f>
        <x:v>5</x:v>
      </x:c>
      <x:c r="H11" s="175" t="n">
        <x:f>COUNTIFS('データ'!$AC$5:$AC$42,"〇",'データ'!$CR$5:$CR$42,"〇")</x:f>
        <x:v>1</x:v>
      </x:c>
      <x:c r="I11" s="175" t="n">
        <x:f>COUNTIFS('データ'!$AC$5:$AC$42,"〇",'データ'!$CS$5:$CS$42,"〇")</x:f>
        <x:v>5</x:v>
      </x:c>
      <x:c r="J11" s="175" t="n">
        <x:f>COUNTIFS('データ'!$AC$5:$AC$42,"〇",'データ'!$CT$5:$CT$42,"〇")</x:f>
        <x:v>7</x:v>
      </x:c>
      <x:c r="K11" s="175" t="n">
        <x:f>COUNTIFS('データ'!$AC$5:$AC$42,"〇",'データ'!$CU$5:$CU$42,"〇")</x:f>
        <x:v>4</x:v>
      </x:c>
      <x:c r="L11" s="175" t="n">
        <x:f>COUNTIFS('データ'!$AC$5:$AC$42,"〇",'データ'!$CV$5:$CV$42,"〇")</x:f>
        <x:v>6</x:v>
      </x:c>
      <x:c r="M11" s="175" t="n">
        <x:f>COUNTIFS('データ'!$AC$5:$AC$42,"〇",'データ'!$CW$5:$CW$42,"〇")</x:f>
        <x:v>0</x:v>
      </x:c>
      <x:c r="N11" s="175" t="n">
        <x:f>COUNTIFS('データ'!$AC$5:$AC$42,"〇",'データ'!$CX$5:$CX$42,"〇")</x:f>
        <x:v>4</x:v>
      </x:c>
      <x:c r="O11" s="175" t="n">
        <x:f>COUNTIFS('データ'!$AC$5:$AC$42,"〇",'データ'!$CY$5:$CY$42,"〇")</x:f>
        <x:v>9</x:v>
      </x:c>
      <x:c r="P11" s="176" t="n">
        <x:f>COUNTIFS('データ'!$AC$5:$AC$42,"〇",'データ'!$CZ$5:$CZ$42,"〇")</x:f>
        <x:v>0</x:v>
      </x:c>
    </x:row>
    <x:row r="12">
      <x:c r="C12" s="94"/>
      <x:c r="D12" s="94"/>
      <x:c r="E12" s="94"/>
      <x:c r="F12" s="94"/>
      <x:c r="G12" s="94"/>
      <x:c r="H12" s="94"/>
      <x:c r="I12" s="94"/>
      <x:c r="J12" s="94"/>
      <x:c r="K12" s="94"/>
      <x:c r="L12" s="94"/>
      <x:c r="M12" s="94"/>
      <x:c r="N12" s="94"/>
      <x:c r="O12" s="94"/>
      <x:c r="P12" s="94"/>
    </x:row>
    <x:row r="13">
      <x:c r="C13" s="94"/>
      <x:c r="D13" s="94"/>
      <x:c r="E13" s="94"/>
      <x:c r="F13" s="94"/>
      <x:c r="G13" s="94"/>
      <x:c r="H13" s="94"/>
      <x:c r="I13" s="94"/>
      <x:c r="J13" s="94"/>
      <x:c r="K13" s="94"/>
      <x:c r="L13" s="94"/>
      <x:c r="M13" s="94"/>
      <x:c r="N13" s="94"/>
      <x:c r="O13" s="94"/>
      <x:c r="P13" s="94"/>
    </x:row>
    <x:row r="14">
      <x:c r="A14" s="139" t="str">
        <x:v>行％（各行のnを100％とした割合）</x:v>
      </x:c>
      <x:c r="B14" s="139"/>
      <x:c r="C14" s="177"/>
      <x:c r="D14" s="177"/>
      <x:c r="E14" s="177"/>
      <x:c r="F14" s="177"/>
      <x:c r="G14" s="177"/>
      <x:c r="H14" s="177"/>
      <x:c r="I14" s="177"/>
      <x:c r="J14" s="177"/>
      <x:c r="K14" s="177"/>
      <x:c r="L14" s="177"/>
      <x:c r="M14" s="177"/>
      <x:c r="N14" s="177"/>
      <x:c r="O14" s="177"/>
      <x:c r="P14" s="177"/>
    </x:row>
    <x:row r="15" ht="54" customHeight="1">
      <x:c r="A15" s="96" t="str">
        <x:v>行区分</x:v>
      </x:c>
      <x:c r="B15" s="145" t="str">
        <x:v>n</x:v>
      </x:c>
      <x:c r="C15" s="145" t="str">
        <x:v>家事</x:v>
      </x:c>
      <x:c r="D15" s="145" t="str">
        <x:v>食事</x:v>
      </x:c>
      <x:c r="E15" s="145" t="str">
        <x:v>入浴</x:v>
      </x:c>
      <x:c r="F15" s="145" t="str">
        <x:v>排せつ</x:v>
      </x:c>
      <x:c r="G15" s="145" t="str">
        <x:v>服薬管理</x:v>
      </x:c>
      <x:c r="H15" s="145" t="str">
        <x:v>金銭管理</x:v>
      </x:c>
      <x:c r="I15" s="145" t="str">
        <x:v>通院</x:v>
      </x:c>
      <x:c r="J15" s="145" t="str">
        <x:v>外出・移動</x:v>
      </x:c>
      <x:c r="K15" s="145" t="str">
        <x:v>買い物</x:v>
      </x:c>
      <x:c r="L15" s="145" t="str">
        <x:v>災害時の避難</x:v>
      </x:c>
      <x:c r="M15" s="145" t="str">
        <x:v>相談先がない</x:v>
      </x:c>
      <x:c r="N15" s="145" t="str">
        <x:v>将来の生活</x:v>
      </x:c>
      <x:c r="O15" s="145" t="str">
        <x:v>特にない</x:v>
      </x:c>
      <x:c r="P15" s="97" t="str">
        <x:v>その他</x:v>
      </x:c>
    </x:row>
    <x:row r="16">
      <x:c r="A16" s="98" t="str">
        <x:v>18～29歳</x:v>
      </x:c>
      <x:c r="B16" s="122" t="n">
        <x:f>B7</x:f>
        <x:v>0</x:v>
      </x:c>
      <x:c r="C16" s="143" t="str">
        <x:f>IF($B16=0,"",C7/$B16)</x:f>
      </x:c>
      <x:c r="D16" s="143" t="str">
        <x:f>IF($B16=0,"",D7/$B16)</x:f>
      </x:c>
      <x:c r="E16" s="143" t="str">
        <x:f>IF($B16=0,"",E7/$B16)</x:f>
      </x:c>
      <x:c r="F16" s="143" t="str">
        <x:f>IF($B16=0,"",F7/$B16)</x:f>
      </x:c>
      <x:c r="G16" s="143" t="str">
        <x:f>IF($B16=0,"",G7/$B16)</x:f>
      </x:c>
      <x:c r="H16" s="143" t="str">
        <x:f>IF($B16=0,"",H7/$B16)</x:f>
      </x:c>
      <x:c r="I16" s="143" t="str">
        <x:f>IF($B16=0,"",I7/$B16)</x:f>
      </x:c>
      <x:c r="J16" s="143" t="str">
        <x:f>IF($B16=0,"",J7/$B16)</x:f>
      </x:c>
      <x:c r="K16" s="143" t="str">
        <x:f>IF($B16=0,"",K7/$B16)</x:f>
      </x:c>
      <x:c r="L16" s="143" t="str">
        <x:f>IF($B16=0,"",L7/$B16)</x:f>
      </x:c>
      <x:c r="M16" s="143" t="str">
        <x:f>IF($B16=0,"",M7/$B16)</x:f>
      </x:c>
      <x:c r="N16" s="143" t="str">
        <x:f>IF($B16=0,"",N7/$B16)</x:f>
      </x:c>
      <x:c r="O16" s="143" t="str">
        <x:f>IF($B16=0,"",O7/$B16)</x:f>
      </x:c>
      <x:c r="P16" s="146" t="str">
        <x:f>IF($B16=0,"",P7/$B16)</x:f>
      </x:c>
    </x:row>
    <x:row r="17">
      <x:c r="A17" s="98" t="str">
        <x:v>30～39歳</x:v>
      </x:c>
      <x:c r="B17" s="122" t="n">
        <x:f>B8</x:f>
        <x:v>3</x:v>
      </x:c>
      <x:c r="C17" s="143" t="n">
        <x:f>IF($B17=0,"",C8/$B17)</x:f>
        <x:v>0</x:v>
      </x:c>
      <x:c r="D17" s="143" t="n">
        <x:f>IF($B17=0,"",D8/$B17)</x:f>
        <x:v>0</x:v>
      </x:c>
      <x:c r="E17" s="143" t="n">
        <x:f>IF($B17=0,"",E8/$B17)</x:f>
        <x:v>0</x:v>
      </x:c>
      <x:c r="F17" s="143" t="n">
        <x:f>IF($B17=0,"",F8/$B17)</x:f>
        <x:v>0</x:v>
      </x:c>
      <x:c r="G17" s="143" t="n">
        <x:f>IF($B17=0,"",G8/$B17)</x:f>
        <x:v>0</x:v>
      </x:c>
      <x:c r="H17" s="143" t="n">
        <x:f>IF($B17=0,"",H8/$B17)</x:f>
        <x:v>0.3333333333333333</x:v>
      </x:c>
      <x:c r="I17" s="143" t="n">
        <x:f>IF($B17=0,"",I8/$B17)</x:f>
        <x:v>0</x:v>
      </x:c>
      <x:c r="J17" s="143" t="n">
        <x:f>IF($B17=0,"",J8/$B17)</x:f>
        <x:v>0</x:v>
      </x:c>
      <x:c r="K17" s="143" t="n">
        <x:f>IF($B17=0,"",K8/$B17)</x:f>
        <x:v>0</x:v>
      </x:c>
      <x:c r="L17" s="143" t="n">
        <x:f>IF($B17=0,"",L8/$B17)</x:f>
        <x:v>0</x:v>
      </x:c>
      <x:c r="M17" s="143" t="n">
        <x:f>IF($B17=0,"",M8/$B17)</x:f>
        <x:v>0</x:v>
      </x:c>
      <x:c r="N17" s="143" t="n">
        <x:f>IF($B17=0,"",N8/$B17)</x:f>
        <x:v>0.3333333333333333</x:v>
      </x:c>
      <x:c r="O17" s="143" t="n">
        <x:f>IF($B17=0,"",O8/$B17)</x:f>
        <x:v>0.3333333333333333</x:v>
      </x:c>
      <x:c r="P17" s="146" t="n">
        <x:f>IF($B17=0,"",P8/$B17)</x:f>
        <x:v>0.3333333333333333</x:v>
      </x:c>
    </x:row>
    <x:row r="18">
      <x:c r="A18" s="98" t="str">
        <x:v>40～49歳</x:v>
      </x:c>
      <x:c r="B18" s="122" t="n">
        <x:f>B9</x:f>
        <x:v>2</x:v>
      </x:c>
      <x:c r="C18" s="143" t="n">
        <x:f>IF($B18=0,"",C9/$B18)</x:f>
        <x:v>0</x:v>
      </x:c>
      <x:c r="D18" s="143" t="n">
        <x:f>IF($B18=0,"",D9/$B18)</x:f>
        <x:v>0</x:v>
      </x:c>
      <x:c r="E18" s="143" t="n">
        <x:f>IF($B18=0,"",E9/$B18)</x:f>
        <x:v>0</x:v>
      </x:c>
      <x:c r="F18" s="143" t="n">
        <x:f>IF($B18=0,"",F9/$B18)</x:f>
        <x:v>0</x:v>
      </x:c>
      <x:c r="G18" s="143" t="n">
        <x:f>IF($B18=0,"",G9/$B18)</x:f>
        <x:v>0</x:v>
      </x:c>
      <x:c r="H18" s="143" t="n">
        <x:f>IF($B18=0,"",H9/$B18)</x:f>
        <x:v>0.5</x:v>
      </x:c>
      <x:c r="I18" s="143" t="n">
        <x:f>IF($B18=0,"",I9/$B18)</x:f>
        <x:v>0.5</x:v>
      </x:c>
      <x:c r="J18" s="143" t="n">
        <x:f>IF($B18=0,"",J9/$B18)</x:f>
        <x:v>1</x:v>
      </x:c>
      <x:c r="K18" s="143" t="n">
        <x:f>IF($B18=0,"",K9/$B18)</x:f>
        <x:v>0.5</x:v>
      </x:c>
      <x:c r="L18" s="143" t="n">
        <x:f>IF($B18=0,"",L9/$B18)</x:f>
        <x:v>0.5</x:v>
      </x:c>
      <x:c r="M18" s="143" t="n">
        <x:f>IF($B18=0,"",M9/$B18)</x:f>
        <x:v>0.5</x:v>
      </x:c>
      <x:c r="N18" s="143" t="n">
        <x:f>IF($B18=0,"",N9/$B18)</x:f>
        <x:v>1</x:v>
      </x:c>
      <x:c r="O18" s="143" t="n">
        <x:f>IF($B18=0,"",O9/$B18)</x:f>
        <x:v>0</x:v>
      </x:c>
      <x:c r="P18" s="146" t="n">
        <x:f>IF($B18=0,"",P9/$B18)</x:f>
        <x:v>0</x:v>
      </x:c>
    </x:row>
    <x:row r="19">
      <x:c r="A19" s="98" t="str">
        <x:v>50～64歳</x:v>
      </x:c>
      <x:c r="B19" s="122" t="n">
        <x:f>B10</x:f>
        <x:v>7</x:v>
      </x:c>
      <x:c r="C19" s="143" t="n">
        <x:f>IF($B19=0,"",C10/$B19)</x:f>
        <x:v>0</x:v>
      </x:c>
      <x:c r="D19" s="143" t="n">
        <x:f>IF($B19=0,"",D10/$B19)</x:f>
        <x:v>0</x:v>
      </x:c>
      <x:c r="E19" s="143" t="n">
        <x:f>IF($B19=0,"",E10/$B19)</x:f>
        <x:v>0</x:v>
      </x:c>
      <x:c r="F19" s="143" t="n">
        <x:f>IF($B19=0,"",F10/$B19)</x:f>
        <x:v>0</x:v>
      </x:c>
      <x:c r="G19" s="143" t="n">
        <x:f>IF($B19=0,"",G10/$B19)</x:f>
        <x:v>0</x:v>
      </x:c>
      <x:c r="H19" s="143" t="n">
        <x:f>IF($B19=0,"",H10/$B19)</x:f>
        <x:v>0.14285714285714285</x:v>
      </x:c>
      <x:c r="I19" s="143" t="n">
        <x:f>IF($B19=0,"",I10/$B19)</x:f>
        <x:v>0</x:v>
      </x:c>
      <x:c r="J19" s="143" t="n">
        <x:f>IF($B19=0,"",J10/$B19)</x:f>
        <x:v>0.14285714285714285</x:v>
      </x:c>
      <x:c r="K19" s="143" t="n">
        <x:f>IF($B19=0,"",K10/$B19)</x:f>
        <x:v>0</x:v>
      </x:c>
      <x:c r="L19" s="143" t="n">
        <x:f>IF($B19=0,"",L10/$B19)</x:f>
        <x:v>0.2857142857142857</x:v>
      </x:c>
      <x:c r="M19" s="143" t="n">
        <x:f>IF($B19=0,"",M10/$B19)</x:f>
        <x:v>0</x:v>
      </x:c>
      <x:c r="N19" s="143" t="n">
        <x:f>IF($B19=0,"",N10/$B19)</x:f>
        <x:v>0.5714285714285714</x:v>
      </x:c>
      <x:c r="O19" s="143" t="n">
        <x:f>IF($B19=0,"",O10/$B19)</x:f>
        <x:v>0.42857142857142855</x:v>
      </x:c>
      <x:c r="P19" s="146" t="n">
        <x:f>IF($B19=0,"",P10/$B19)</x:f>
        <x:v>0</x:v>
      </x:c>
    </x:row>
    <x:row r="20">
      <x:c r="A20" s="100" t="str">
        <x:v>65歳以上</x:v>
      </x:c>
      <x:c r="B20" s="125" t="n">
        <x:f>B11</x:f>
        <x:v>25</x:v>
      </x:c>
      <x:c r="C20" s="159" t="n">
        <x:f>IF($B20=0,"",C11/$B20)</x:f>
        <x:v>0.04</x:v>
      </x:c>
      <x:c r="D20" s="159" t="n">
        <x:f>IF($B20=0,"",D11/$B20)</x:f>
        <x:v>0.16</x:v>
      </x:c>
      <x:c r="E20" s="159" t="n">
        <x:f>IF($B20=0,"",E11/$B20)</x:f>
        <x:v>0.16</x:v>
      </x:c>
      <x:c r="F20" s="159" t="n">
        <x:f>IF($B20=0,"",F11/$B20)</x:f>
        <x:v>0.08</x:v>
      </x:c>
      <x:c r="G20" s="159" t="n">
        <x:f>IF($B20=0,"",G11/$B20)</x:f>
        <x:v>0.2</x:v>
      </x:c>
      <x:c r="H20" s="159" t="n">
        <x:f>IF($B20=0,"",H11/$B20)</x:f>
        <x:v>0.04</x:v>
      </x:c>
      <x:c r="I20" s="159" t="n">
        <x:f>IF($B20=0,"",I11/$B20)</x:f>
        <x:v>0.2</x:v>
      </x:c>
      <x:c r="J20" s="159" t="n">
        <x:f>IF($B20=0,"",J11/$B20)</x:f>
        <x:v>0.28</x:v>
      </x:c>
      <x:c r="K20" s="159" t="n">
        <x:f>IF($B20=0,"",K11/$B20)</x:f>
        <x:v>0.16</x:v>
      </x:c>
      <x:c r="L20" s="159" t="n">
        <x:f>IF($B20=0,"",L11/$B20)</x:f>
        <x:v>0.24</x:v>
      </x:c>
      <x:c r="M20" s="159" t="n">
        <x:f>IF($B20=0,"",M11/$B20)</x:f>
        <x:v>0</x:v>
      </x:c>
      <x:c r="N20" s="159" t="n">
        <x:f>IF($B20=0,"",N11/$B20)</x:f>
        <x:v>0.16</x:v>
      </x:c>
      <x:c r="O20" s="159" t="n">
        <x:f>IF($B20=0,"",O11/$B20)</x:f>
        <x:v>0.36</x:v>
      </x:c>
      <x:c r="P20" s="147" t="n">
        <x:f>IF($B20=0,"",P11/$B20)</x:f>
        <x:v>0</x:v>
      </x:c>
    </x:row>
  </x:sheetData>
  <x:mergeCells>
    <x:mergeCell ref="A1:P2"/>
    <x:mergeCell ref="A3:P3"/>
    <x:mergeCell ref="A4:P4"/>
    <x:mergeCell ref="A14:P14"/>
  </x:mergeCells>
  <x:conditionalFormatting sqref="B7:B11">
    <x:cfRule type="cellIs" dxfId="4" priority="1" operator="lessThan">
      <x:formula>5</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79" t="str">
        <x:v>問31 × 問32 クロス分析</x:v>
      </x:c>
      <x:c r="B1" s="79"/>
      <x:c r="C1" s="79"/>
      <x:c r="D1" s="79"/>
      <x:c r="E1" s="79"/>
      <x:c r="F1" s="79"/>
      <x:c r="G1" s="79"/>
      <x:c r="H1" s="79"/>
      <x:c r="I1" s="79"/>
      <x:c r="J1" s="79"/>
      <x:c r="K1" s="79"/>
    </x:row>
    <x:row r="2">
      <x:c r="A2" s="79"/>
      <x:c r="B2" s="79"/>
      <x:c r="C2" s="79"/>
      <x:c r="D2" s="79"/>
      <x:c r="E2" s="79"/>
      <x:c r="F2" s="79"/>
      <x:c r="G2" s="79"/>
      <x:c r="H2" s="79"/>
      <x:c r="I2" s="79"/>
      <x:c r="J2" s="79"/>
      <x:c r="K2" s="79"/>
    </x:row>
    <x:row r="3">
      <x:c r="A3" s="139" t="str">
        <x:v>現在の日中活動と希望する働き方・活動</x:v>
      </x:c>
      <x:c r="B3" s="139"/>
      <x:c r="C3" s="139"/>
      <x:c r="D3" s="139"/>
      <x:c r="E3" s="139"/>
      <x:c r="F3" s="139"/>
      <x:c r="G3" s="139"/>
      <x:c r="H3" s="139"/>
      <x:c r="I3" s="139"/>
      <x:c r="J3" s="139"/>
      <x:c r="K3" s="139"/>
    </x:row>
    <x:row r="4">
      <x:c r="A4" s="154" t="str">
        <x:v>行：問31「現在の日中の過ごし方を教えてください」／列：問32「今後希望する日中活動・働き方を教えてください」。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row>
    <x:row r="6" ht="54" customHeight="1">
      <x:c r="A6" s="96" t="str">
        <x:v>行区分</x:v>
      </x:c>
      <x:c r="B6" s="145" t="str">
        <x:v>n</x:v>
      </x:c>
      <x:c r="C6" s="145" t="str">
        <x:v>一般企業等で働きたい</x:v>
      </x:c>
      <x:c r="D6" s="145" t="str">
        <x:v>短時間・体調に合わせて働きたい</x:v>
      </x:c>
      <x:c r="E6" s="145" t="str">
        <x:v>就労継続支援A型を利用したい</x:v>
      </x:c>
      <x:c r="F6" s="145" t="str">
        <x:v>就労継続支援B型を利用したい</x:v>
      </x:c>
      <x:c r="G6" s="145" t="str">
        <x:v>生活介護を利用したい</x:v>
      </x:c>
      <x:c r="H6" s="145" t="str">
        <x:v>訓練を受けたい</x:v>
      </x:c>
      <x:c r="I6" s="145" t="str">
        <x:v>今のままでよい</x:v>
      </x:c>
      <x:c r="J6" s="145" t="str">
        <x:v>まだわからない</x:v>
      </x:c>
      <x:c r="K6" s="97" t="str">
        <x:v>その他</x:v>
      </x:c>
    </x:row>
    <x:row r="7">
      <x:c r="A7" s="98" t="str">
        <x:v>一般企業等で働いている</x:v>
      </x:c>
      <x:c r="B7" s="165" t="n">
        <x:f>COUNTIF('データ'!$ML$5:$ML$42,"〇")</x:f>
        <x:v>2</x:v>
      </x:c>
      <x:c r="C7" s="173" t="n">
        <x:f>COUNTIFS('データ'!$ML$5:$ML$42,"〇",'データ'!$MW$5:$MW$42,"〇")</x:f>
        <x:v>0</x:v>
      </x:c>
      <x:c r="D7" s="173" t="n">
        <x:f>COUNTIFS('データ'!$ML$5:$ML$42,"〇",'データ'!$MX$5:$MX$42,"〇")</x:f>
        <x:v>0</x:v>
      </x:c>
      <x:c r="E7" s="173" t="n">
        <x:f>COUNTIFS('データ'!$ML$5:$ML$42,"〇",'データ'!$MY$5:$MY$42,"〇")</x:f>
        <x:v>0</x:v>
      </x:c>
      <x:c r="F7" s="173" t="n">
        <x:f>COUNTIFS('データ'!$ML$5:$ML$42,"〇",'データ'!$MZ$5:$MZ$42,"〇")</x:f>
        <x:v>0</x:v>
      </x:c>
      <x:c r="G7" s="173" t="n">
        <x:f>COUNTIFS('データ'!$ML$5:$ML$42,"〇",'データ'!$NA$5:$NA$42,"〇")</x:f>
        <x:v>0</x:v>
      </x:c>
      <x:c r="H7" s="173" t="n">
        <x:f>COUNTIFS('データ'!$ML$5:$ML$42,"〇",'データ'!$NB$5:$NB$42,"〇")</x:f>
        <x:v>0</x:v>
      </x:c>
      <x:c r="I7" s="173" t="n">
        <x:f>COUNTIFS('データ'!$ML$5:$ML$42,"〇",'データ'!$NC$5:$NC$42,"〇")</x:f>
        <x:v>2</x:v>
      </x:c>
      <x:c r="J7" s="173" t="n">
        <x:f>COUNTIFS('データ'!$ML$5:$ML$42,"〇",'データ'!$ND$5:$ND$42,"〇")</x:f>
        <x:v>0</x:v>
      </x:c>
      <x:c r="K7" s="174" t="n">
        <x:f>COUNTIFS('データ'!$ML$5:$ML$42,"〇",'データ'!$NE$5:$NE$42,"〇")</x:f>
        <x:v>0</x:v>
      </x:c>
    </x:row>
    <x:row r="8">
      <x:c r="A8" s="98" t="str">
        <x:v>自営業・農業等をしている</x:v>
      </x:c>
      <x:c r="B8" s="165" t="n">
        <x:f>COUNTIF('データ'!$MM$5:$MM$42,"〇")</x:f>
        <x:v>4</x:v>
      </x:c>
      <x:c r="C8" s="173" t="n">
        <x:f>COUNTIFS('データ'!$MM$5:$MM$42,"〇",'データ'!$MW$5:$MW$42,"〇")</x:f>
        <x:v>0</x:v>
      </x:c>
      <x:c r="D8" s="173" t="n">
        <x:f>COUNTIFS('データ'!$MM$5:$MM$42,"〇",'データ'!$MX$5:$MX$42,"〇")</x:f>
        <x:v>0</x:v>
      </x:c>
      <x:c r="E8" s="173" t="n">
        <x:f>COUNTIFS('データ'!$MM$5:$MM$42,"〇",'データ'!$MY$5:$MY$42,"〇")</x:f>
        <x:v>0</x:v>
      </x:c>
      <x:c r="F8" s="173" t="n">
        <x:f>COUNTIFS('データ'!$MM$5:$MM$42,"〇",'データ'!$MZ$5:$MZ$42,"〇")</x:f>
        <x:v>0</x:v>
      </x:c>
      <x:c r="G8" s="173" t="n">
        <x:f>COUNTIFS('データ'!$MM$5:$MM$42,"〇",'データ'!$NA$5:$NA$42,"〇")</x:f>
        <x:v>0</x:v>
      </x:c>
      <x:c r="H8" s="173" t="n">
        <x:f>COUNTIFS('データ'!$MM$5:$MM$42,"〇",'データ'!$NB$5:$NB$42,"〇")</x:f>
        <x:v>0</x:v>
      </x:c>
      <x:c r="I8" s="173" t="n">
        <x:f>COUNTIFS('データ'!$MM$5:$MM$42,"〇",'データ'!$NC$5:$NC$42,"〇")</x:f>
        <x:v>2</x:v>
      </x:c>
      <x:c r="J8" s="173" t="n">
        <x:f>COUNTIFS('データ'!$MM$5:$MM$42,"〇",'データ'!$ND$5:$ND$42,"〇")</x:f>
        <x:v>1</x:v>
      </x:c>
      <x:c r="K8" s="174" t="n">
        <x:f>COUNTIFS('データ'!$MM$5:$MM$42,"〇",'データ'!$NE$5:$NE$42,"〇")</x:f>
        <x:v>0</x:v>
      </x:c>
    </x:row>
    <x:row r="9">
      <x:c r="A9" s="98" t="str">
        <x:v>就労継続支援A型を利用</x:v>
      </x:c>
      <x:c r="B9" s="165" t="n">
        <x:f>COUNTIF('データ'!$MN$5:$MN$42,"〇")</x:f>
        <x:v>0</x:v>
      </x:c>
      <x:c r="C9" s="173" t="n">
        <x:f>COUNTIFS('データ'!$MN$5:$MN$42,"〇",'データ'!$MW$5:$MW$42,"〇")</x:f>
        <x:v>0</x:v>
      </x:c>
      <x:c r="D9" s="173" t="n">
        <x:f>COUNTIFS('データ'!$MN$5:$MN$42,"〇",'データ'!$MX$5:$MX$42,"〇")</x:f>
        <x:v>0</x:v>
      </x:c>
      <x:c r="E9" s="173" t="n">
        <x:f>COUNTIFS('データ'!$MN$5:$MN$42,"〇",'データ'!$MY$5:$MY$42,"〇")</x:f>
        <x:v>0</x:v>
      </x:c>
      <x:c r="F9" s="173" t="n">
        <x:f>COUNTIFS('データ'!$MN$5:$MN$42,"〇",'データ'!$MZ$5:$MZ$42,"〇")</x:f>
        <x:v>0</x:v>
      </x:c>
      <x:c r="G9" s="173" t="n">
        <x:f>COUNTIFS('データ'!$MN$5:$MN$42,"〇",'データ'!$NA$5:$NA$42,"〇")</x:f>
        <x:v>0</x:v>
      </x:c>
      <x:c r="H9" s="173" t="n">
        <x:f>COUNTIFS('データ'!$MN$5:$MN$42,"〇",'データ'!$NB$5:$NB$42,"〇")</x:f>
        <x:v>0</x:v>
      </x:c>
      <x:c r="I9" s="173" t="n">
        <x:f>COUNTIFS('データ'!$MN$5:$MN$42,"〇",'データ'!$NC$5:$NC$42,"〇")</x:f>
        <x:v>0</x:v>
      </x:c>
      <x:c r="J9" s="173" t="n">
        <x:f>COUNTIFS('データ'!$MN$5:$MN$42,"〇",'データ'!$ND$5:$ND$42,"〇")</x:f>
        <x:v>0</x:v>
      </x:c>
      <x:c r="K9" s="174" t="n">
        <x:f>COUNTIFS('データ'!$MN$5:$MN$42,"〇",'データ'!$NE$5:$NE$42,"〇")</x:f>
        <x:v>0</x:v>
      </x:c>
    </x:row>
    <x:row r="10">
      <x:c r="A10" s="98" t="str">
        <x:v>就労継続支援B型を利用</x:v>
      </x:c>
      <x:c r="B10" s="165" t="n">
        <x:f>COUNTIF('データ'!$MO$5:$MO$42,"〇")</x:f>
        <x:v>2</x:v>
      </x:c>
      <x:c r="C10" s="173" t="n">
        <x:f>COUNTIFS('データ'!$MO$5:$MO$42,"〇",'データ'!$MW$5:$MW$42,"〇")</x:f>
        <x:v>0</x:v>
      </x:c>
      <x:c r="D10" s="173" t="n">
        <x:f>COUNTIFS('データ'!$MO$5:$MO$42,"〇",'データ'!$MX$5:$MX$42,"〇")</x:f>
        <x:v>1</x:v>
      </x:c>
      <x:c r="E10" s="173" t="n">
        <x:f>COUNTIFS('データ'!$MO$5:$MO$42,"〇",'データ'!$MY$5:$MY$42,"〇")</x:f>
        <x:v>0</x:v>
      </x:c>
      <x:c r="F10" s="173" t="n">
        <x:f>COUNTIFS('データ'!$MO$5:$MO$42,"〇",'データ'!$MZ$5:$MZ$42,"〇")</x:f>
        <x:v>0</x:v>
      </x:c>
      <x:c r="G10" s="173" t="n">
        <x:f>COUNTIFS('データ'!$MO$5:$MO$42,"〇",'データ'!$NA$5:$NA$42,"〇")</x:f>
        <x:v>0</x:v>
      </x:c>
      <x:c r="H10" s="173" t="n">
        <x:f>COUNTIFS('データ'!$MO$5:$MO$42,"〇",'データ'!$NB$5:$NB$42,"〇")</x:f>
        <x:v>0</x:v>
      </x:c>
      <x:c r="I10" s="173" t="n">
        <x:f>COUNTIFS('データ'!$MO$5:$MO$42,"〇",'データ'!$NC$5:$NC$42,"〇")</x:f>
        <x:v>1</x:v>
      </x:c>
      <x:c r="J10" s="173" t="n">
        <x:f>COUNTIFS('データ'!$MO$5:$MO$42,"〇",'データ'!$ND$5:$ND$42,"〇")</x:f>
        <x:v>0</x:v>
      </x:c>
      <x:c r="K10" s="174" t="n">
        <x:f>COUNTIFS('データ'!$MO$5:$MO$42,"〇",'データ'!$NE$5:$NE$42,"〇")</x:f>
        <x:v>0</x:v>
      </x:c>
    </x:row>
    <x:row r="11">
      <x:c r="A11" s="98" t="str">
        <x:v>生活介護を利用</x:v>
      </x:c>
      <x:c r="B11" s="165" t="n">
        <x:f>COUNTIF('データ'!$MP$5:$MP$42,"〇")</x:f>
        <x:v>2</x:v>
      </x:c>
      <x:c r="C11" s="173" t="n">
        <x:f>COUNTIFS('データ'!$MP$5:$MP$42,"〇",'データ'!$MW$5:$MW$42,"〇")</x:f>
        <x:v>0</x:v>
      </x:c>
      <x:c r="D11" s="173" t="n">
        <x:f>COUNTIFS('データ'!$MP$5:$MP$42,"〇",'データ'!$MX$5:$MX$42,"〇")</x:f>
        <x:v>0</x:v>
      </x:c>
      <x:c r="E11" s="173" t="n">
        <x:f>COUNTIFS('データ'!$MP$5:$MP$42,"〇",'データ'!$MY$5:$MY$42,"〇")</x:f>
        <x:v>0</x:v>
      </x:c>
      <x:c r="F11" s="173" t="n">
        <x:f>COUNTIFS('データ'!$MP$5:$MP$42,"〇",'データ'!$MZ$5:$MZ$42,"〇")</x:f>
        <x:v>1</x:v>
      </x:c>
      <x:c r="G11" s="173" t="n">
        <x:f>COUNTIFS('データ'!$MP$5:$MP$42,"〇",'データ'!$NA$5:$NA$42,"〇")</x:f>
        <x:v>0</x:v>
      </x:c>
      <x:c r="H11" s="173" t="n">
        <x:f>COUNTIFS('データ'!$MP$5:$MP$42,"〇",'データ'!$NB$5:$NB$42,"〇")</x:f>
        <x:v>0</x:v>
      </x:c>
      <x:c r="I11" s="173" t="n">
        <x:f>COUNTIFS('データ'!$MP$5:$MP$42,"〇",'データ'!$NC$5:$NC$42,"〇")</x:f>
        <x:v>1</x:v>
      </x:c>
      <x:c r="J11" s="173" t="n">
        <x:f>COUNTIFS('データ'!$MP$5:$MP$42,"〇",'データ'!$ND$5:$ND$42,"〇")</x:f>
        <x:v>0</x:v>
      </x:c>
      <x:c r="K11" s="174" t="n">
        <x:f>COUNTIFS('データ'!$MP$5:$MP$42,"〇",'データ'!$NE$5:$NE$42,"〇")</x:f>
        <x:v>0</x:v>
      </x:c>
    </x:row>
    <x:row r="12">
      <x:c r="A12" s="98" t="str">
        <x:v>学校に通っている</x:v>
      </x:c>
      <x:c r="B12" s="165" t="n">
        <x:f>COUNTIF('データ'!$MQ$5:$MQ$42,"〇")</x:f>
        <x:v>0</x:v>
      </x:c>
      <x:c r="C12" s="173" t="n">
        <x:f>COUNTIFS('データ'!$MQ$5:$MQ$42,"〇",'データ'!$MW$5:$MW$42,"〇")</x:f>
        <x:v>0</x:v>
      </x:c>
      <x:c r="D12" s="173" t="n">
        <x:f>COUNTIFS('データ'!$MQ$5:$MQ$42,"〇",'データ'!$MX$5:$MX$42,"〇")</x:f>
        <x:v>0</x:v>
      </x:c>
      <x:c r="E12" s="173" t="n">
        <x:f>COUNTIFS('データ'!$MQ$5:$MQ$42,"〇",'データ'!$MY$5:$MY$42,"〇")</x:f>
        <x:v>0</x:v>
      </x:c>
      <x:c r="F12" s="173" t="n">
        <x:f>COUNTIFS('データ'!$MQ$5:$MQ$42,"〇",'データ'!$MZ$5:$MZ$42,"〇")</x:f>
        <x:v>0</x:v>
      </x:c>
      <x:c r="G12" s="173" t="n">
        <x:f>COUNTIFS('データ'!$MQ$5:$MQ$42,"〇",'データ'!$NA$5:$NA$42,"〇")</x:f>
        <x:v>0</x:v>
      </x:c>
      <x:c r="H12" s="173" t="n">
        <x:f>COUNTIFS('データ'!$MQ$5:$MQ$42,"〇",'データ'!$NB$5:$NB$42,"〇")</x:f>
        <x:v>0</x:v>
      </x:c>
      <x:c r="I12" s="173" t="n">
        <x:f>COUNTIFS('データ'!$MQ$5:$MQ$42,"〇",'データ'!$NC$5:$NC$42,"〇")</x:f>
        <x:v>0</x:v>
      </x:c>
      <x:c r="J12" s="173" t="n">
        <x:f>COUNTIFS('データ'!$MQ$5:$MQ$42,"〇",'データ'!$ND$5:$ND$42,"〇")</x:f>
        <x:v>0</x:v>
      </x:c>
      <x:c r="K12" s="174" t="n">
        <x:f>COUNTIFS('データ'!$MQ$5:$MQ$42,"〇",'データ'!$NE$5:$NE$42,"〇")</x:f>
        <x:v>0</x:v>
      </x:c>
    </x:row>
    <x:row r="13">
      <x:c r="A13" s="98" t="str">
        <x:v>自宅で過ごすことが多い</x:v>
      </x:c>
      <x:c r="B13" s="165" t="n">
        <x:f>COUNTIF('データ'!$MR$5:$MR$42,"〇")</x:f>
        <x:v>14</x:v>
      </x:c>
      <x:c r="C13" s="173" t="n">
        <x:f>COUNTIFS('データ'!$MR$5:$MR$42,"〇",'データ'!$MW$5:$MW$42,"〇")</x:f>
        <x:v>1</x:v>
      </x:c>
      <x:c r="D13" s="173" t="n">
        <x:f>COUNTIFS('データ'!$MR$5:$MR$42,"〇",'データ'!$MX$5:$MX$42,"〇")</x:f>
        <x:v>1</x:v>
      </x:c>
      <x:c r="E13" s="173" t="n">
        <x:f>COUNTIFS('データ'!$MR$5:$MR$42,"〇",'データ'!$MY$5:$MY$42,"〇")</x:f>
        <x:v>0</x:v>
      </x:c>
      <x:c r="F13" s="173" t="n">
        <x:f>COUNTIFS('データ'!$MR$5:$MR$42,"〇",'データ'!$MZ$5:$MZ$42,"〇")</x:f>
        <x:v>0</x:v>
      </x:c>
      <x:c r="G13" s="173" t="n">
        <x:f>COUNTIFS('データ'!$MR$5:$MR$42,"〇",'データ'!$NA$5:$NA$42,"〇")</x:f>
        <x:v>1</x:v>
      </x:c>
      <x:c r="H13" s="173" t="n">
        <x:f>COUNTIFS('データ'!$MR$5:$MR$42,"〇",'データ'!$NB$5:$NB$42,"〇")</x:f>
        <x:v>0</x:v>
      </x:c>
      <x:c r="I13" s="173" t="n">
        <x:f>COUNTIFS('データ'!$MR$5:$MR$42,"〇",'データ'!$NC$5:$NC$42,"〇")</x:f>
        <x:v>8</x:v>
      </x:c>
      <x:c r="J13" s="173" t="n">
        <x:f>COUNTIFS('データ'!$MR$5:$MR$42,"〇",'データ'!$ND$5:$ND$42,"〇")</x:f>
        <x:v>2</x:v>
      </x:c>
      <x:c r="K13" s="174" t="n">
        <x:f>COUNTIFS('データ'!$MR$5:$MR$42,"〇",'データ'!$NE$5:$NE$42,"〇")</x:f>
        <x:v>1</x:v>
      </x:c>
    </x:row>
    <x:row r="14">
      <x:c r="A14" s="98" t="str">
        <x:v>入院・入所中</x:v>
      </x:c>
      <x:c r="B14" s="165" t="n">
        <x:f>COUNTIF('データ'!$MS$5:$MS$42,"〇")</x:f>
        <x:v>5</x:v>
      </x:c>
      <x:c r="C14" s="173" t="n">
        <x:f>COUNTIFS('データ'!$MS$5:$MS$42,"〇",'データ'!$MW$5:$MW$42,"〇")</x:f>
        <x:v>0</x:v>
      </x:c>
      <x:c r="D14" s="173" t="n">
        <x:f>COUNTIFS('データ'!$MS$5:$MS$42,"〇",'データ'!$MX$5:$MX$42,"〇")</x:f>
        <x:v>0</x:v>
      </x:c>
      <x:c r="E14" s="173" t="n">
        <x:f>COUNTIFS('データ'!$MS$5:$MS$42,"〇",'データ'!$MY$5:$MY$42,"〇")</x:f>
        <x:v>0</x:v>
      </x:c>
      <x:c r="F14" s="173" t="n">
        <x:f>COUNTIFS('データ'!$MS$5:$MS$42,"〇",'データ'!$MZ$5:$MZ$42,"〇")</x:f>
        <x:v>0</x:v>
      </x:c>
      <x:c r="G14" s="173" t="n">
        <x:f>COUNTIFS('データ'!$MS$5:$MS$42,"〇",'データ'!$NA$5:$NA$42,"〇")</x:f>
        <x:v>0</x:v>
      </x:c>
      <x:c r="H14" s="173" t="n">
        <x:f>COUNTIFS('データ'!$MS$5:$MS$42,"〇",'データ'!$NB$5:$NB$42,"〇")</x:f>
        <x:v>0</x:v>
      </x:c>
      <x:c r="I14" s="173" t="n">
        <x:f>COUNTIFS('データ'!$MS$5:$MS$42,"〇",'データ'!$NC$5:$NC$42,"〇")</x:f>
        <x:v>4</x:v>
      </x:c>
      <x:c r="J14" s="173" t="n">
        <x:f>COUNTIFS('データ'!$MS$5:$MS$42,"〇",'データ'!$ND$5:$ND$42,"〇")</x:f>
        <x:v>0</x:v>
      </x:c>
      <x:c r="K14" s="174" t="n">
        <x:f>COUNTIFS('データ'!$MS$5:$MS$42,"〇",'データ'!$NE$5:$NE$42,"〇")</x:f>
        <x:v>0</x:v>
      </x:c>
    </x:row>
    <x:row r="15">
      <x:c r="A15" s="100" t="str">
        <x:v>その他</x:v>
      </x:c>
      <x:c r="B15" s="167" t="n">
        <x:f>COUNTIF('データ'!$MT$5:$MT$42,"〇")</x:f>
        <x:v>5</x:v>
      </x:c>
      <x:c r="C15" s="175" t="n">
        <x:f>COUNTIFS('データ'!$MT$5:$MT$42,"〇",'データ'!$MW$5:$MW$42,"〇")</x:f>
        <x:v>0</x:v>
      </x:c>
      <x:c r="D15" s="175" t="n">
        <x:f>COUNTIFS('データ'!$MT$5:$MT$42,"〇",'データ'!$MX$5:$MX$42,"〇")</x:f>
        <x:v>1</x:v>
      </x:c>
      <x:c r="E15" s="175" t="n">
        <x:f>COUNTIFS('データ'!$MT$5:$MT$42,"〇",'データ'!$MY$5:$MY$42,"〇")</x:f>
        <x:v>0</x:v>
      </x:c>
      <x:c r="F15" s="175" t="n">
        <x:f>COUNTIFS('データ'!$MT$5:$MT$42,"〇",'データ'!$MZ$5:$MZ$42,"〇")</x:f>
        <x:v>0</x:v>
      </x:c>
      <x:c r="G15" s="175" t="n">
        <x:f>COUNTIFS('データ'!$MT$5:$MT$42,"〇",'データ'!$NA$5:$NA$42,"〇")</x:f>
        <x:v>0</x:v>
      </x:c>
      <x:c r="H15" s="175" t="n">
        <x:f>COUNTIFS('データ'!$MT$5:$MT$42,"〇",'データ'!$NB$5:$NB$42,"〇")</x:f>
        <x:v>0</x:v>
      </x:c>
      <x:c r="I15" s="175" t="n">
        <x:f>COUNTIFS('データ'!$MT$5:$MT$42,"〇",'データ'!$NC$5:$NC$42,"〇")</x:f>
        <x:v>3</x:v>
      </x:c>
      <x:c r="J15" s="175" t="n">
        <x:f>COUNTIFS('データ'!$MT$5:$MT$42,"〇",'データ'!$ND$5:$ND$42,"〇")</x:f>
        <x:v>0</x:v>
      </x:c>
      <x:c r="K15" s="176" t="n">
        <x:f>COUNTIFS('データ'!$MT$5:$MT$42,"〇",'データ'!$NE$5:$NE$42,"〇")</x:f>
        <x:v>1</x:v>
      </x:c>
    </x:row>
    <x:row r="16">
      <x:c r="C16" s="94"/>
      <x:c r="D16" s="94"/>
      <x:c r="E16" s="94"/>
      <x:c r="F16" s="94"/>
      <x:c r="G16" s="94"/>
      <x:c r="H16" s="94"/>
      <x:c r="I16" s="94"/>
      <x:c r="J16" s="94"/>
      <x:c r="K16" s="94"/>
    </x:row>
    <x:row r="17">
      <x:c r="C17" s="94"/>
      <x:c r="D17" s="94"/>
      <x:c r="E17" s="94"/>
      <x:c r="F17" s="94"/>
      <x:c r="G17" s="94"/>
      <x:c r="H17" s="94"/>
      <x:c r="I17" s="94"/>
      <x:c r="J17" s="94"/>
      <x:c r="K17" s="94"/>
    </x:row>
    <x:row r="18">
      <x:c r="A18" s="139" t="str">
        <x:v>行％（各行のnを100％とした割合）</x:v>
      </x:c>
      <x:c r="B18" s="139"/>
      <x:c r="C18" s="177"/>
      <x:c r="D18" s="177"/>
      <x:c r="E18" s="177"/>
      <x:c r="F18" s="177"/>
      <x:c r="G18" s="177"/>
      <x:c r="H18" s="177"/>
      <x:c r="I18" s="177"/>
      <x:c r="J18" s="177"/>
      <x:c r="K18" s="177"/>
    </x:row>
    <x:row r="19" ht="54" customHeight="1">
      <x:c r="A19" s="96" t="str">
        <x:v>行区分</x:v>
      </x:c>
      <x:c r="B19" s="145" t="str">
        <x:v>n</x:v>
      </x:c>
      <x:c r="C19" s="145" t="str">
        <x:v>一般企業等で働きたい</x:v>
      </x:c>
      <x:c r="D19" s="145" t="str">
        <x:v>短時間・体調に合わせて働きたい</x:v>
      </x:c>
      <x:c r="E19" s="145" t="str">
        <x:v>就労継続支援A型を利用したい</x:v>
      </x:c>
      <x:c r="F19" s="145" t="str">
        <x:v>就労継続支援B型を利用したい</x:v>
      </x:c>
      <x:c r="G19" s="145" t="str">
        <x:v>生活介護を利用したい</x:v>
      </x:c>
      <x:c r="H19" s="145" t="str">
        <x:v>訓練を受けたい</x:v>
      </x:c>
      <x:c r="I19" s="145" t="str">
        <x:v>今のままでよい</x:v>
      </x:c>
      <x:c r="J19" s="145" t="str">
        <x:v>まだわからない</x:v>
      </x:c>
      <x:c r="K19" s="97" t="str">
        <x:v>その他</x:v>
      </x:c>
    </x:row>
    <x:row r="20">
      <x:c r="A20" s="98" t="str">
        <x:v>一般企業等で働いている</x:v>
      </x:c>
      <x:c r="B20" s="122" t="n">
        <x:f>B7</x:f>
        <x:v>2</x:v>
      </x:c>
      <x:c r="C20" s="143" t="n">
        <x:f>IF($B20=0,"",C7/$B20)</x:f>
        <x:v>0</x:v>
      </x:c>
      <x:c r="D20" s="143" t="n">
        <x:f>IF($B20=0,"",D7/$B20)</x:f>
        <x:v>0</x:v>
      </x:c>
      <x:c r="E20" s="143" t="n">
        <x:f>IF($B20=0,"",E7/$B20)</x:f>
        <x:v>0</x:v>
      </x:c>
      <x:c r="F20" s="143" t="n">
        <x:f>IF($B20=0,"",F7/$B20)</x:f>
        <x:v>0</x:v>
      </x:c>
      <x:c r="G20" s="143" t="n">
        <x:f>IF($B20=0,"",G7/$B20)</x:f>
        <x:v>0</x:v>
      </x:c>
      <x:c r="H20" s="143" t="n">
        <x:f>IF($B20=0,"",H7/$B20)</x:f>
        <x:v>0</x:v>
      </x:c>
      <x:c r="I20" s="143" t="n">
        <x:f>IF($B20=0,"",I7/$B20)</x:f>
        <x:v>1</x:v>
      </x:c>
      <x:c r="J20" s="143" t="n">
        <x:f>IF($B20=0,"",J7/$B20)</x:f>
        <x:v>0</x:v>
      </x:c>
      <x:c r="K20" s="146" t="n">
        <x:f>IF($B20=0,"",K7/$B20)</x:f>
        <x:v>0</x:v>
      </x:c>
    </x:row>
    <x:row r="21">
      <x:c r="A21" s="98" t="str">
        <x:v>自営業・農業等をしている</x:v>
      </x:c>
      <x:c r="B21" s="122" t="n">
        <x:f>B8</x:f>
        <x:v>4</x:v>
      </x:c>
      <x:c r="C21" s="143" t="n">
        <x:f>IF($B21=0,"",C8/$B21)</x:f>
        <x:v>0</x:v>
      </x:c>
      <x:c r="D21" s="143" t="n">
        <x:f>IF($B21=0,"",D8/$B21)</x:f>
        <x:v>0</x:v>
      </x:c>
      <x:c r="E21" s="143" t="n">
        <x:f>IF($B21=0,"",E8/$B21)</x:f>
        <x:v>0</x:v>
      </x:c>
      <x:c r="F21" s="143" t="n">
        <x:f>IF($B21=0,"",F8/$B21)</x:f>
        <x:v>0</x:v>
      </x:c>
      <x:c r="G21" s="143" t="n">
        <x:f>IF($B21=0,"",G8/$B21)</x:f>
        <x:v>0</x:v>
      </x:c>
      <x:c r="H21" s="143" t="n">
        <x:f>IF($B21=0,"",H8/$B21)</x:f>
        <x:v>0</x:v>
      </x:c>
      <x:c r="I21" s="143" t="n">
        <x:f>IF($B21=0,"",I8/$B21)</x:f>
        <x:v>0.5</x:v>
      </x:c>
      <x:c r="J21" s="143" t="n">
        <x:f>IF($B21=0,"",J8/$B21)</x:f>
        <x:v>0.25</x:v>
      </x:c>
      <x:c r="K21" s="146" t="n">
        <x:f>IF($B21=0,"",K8/$B21)</x:f>
        <x:v>0</x:v>
      </x:c>
    </x:row>
    <x:row r="22">
      <x:c r="A22" s="98" t="str">
        <x:v>就労継続支援A型を利用</x:v>
      </x:c>
      <x:c r="B22" s="122" t="n">
        <x:f>B9</x:f>
        <x:v>0</x:v>
      </x:c>
      <x:c r="C22" s="143" t="str">
        <x:f>IF($B22=0,"",C9/$B22)</x:f>
      </x:c>
      <x:c r="D22" s="143" t="str">
        <x:f>IF($B22=0,"",D9/$B22)</x:f>
      </x:c>
      <x:c r="E22" s="143" t="str">
        <x:f>IF($B22=0,"",E9/$B22)</x:f>
      </x:c>
      <x:c r="F22" s="143" t="str">
        <x:f>IF($B22=0,"",F9/$B22)</x:f>
      </x:c>
      <x:c r="G22" s="143" t="str">
        <x:f>IF($B22=0,"",G9/$B22)</x:f>
      </x:c>
      <x:c r="H22" s="143" t="str">
        <x:f>IF($B22=0,"",H9/$B22)</x:f>
      </x:c>
      <x:c r="I22" s="143" t="str">
        <x:f>IF($B22=0,"",I9/$B22)</x:f>
      </x:c>
      <x:c r="J22" s="143" t="str">
        <x:f>IF($B22=0,"",J9/$B22)</x:f>
      </x:c>
      <x:c r="K22" s="146" t="str">
        <x:f>IF($B22=0,"",K9/$B22)</x:f>
      </x:c>
    </x:row>
    <x:row r="23">
      <x:c r="A23" s="98" t="str">
        <x:v>就労継続支援B型を利用</x:v>
      </x:c>
      <x:c r="B23" s="122" t="n">
        <x:f>B10</x:f>
        <x:v>2</x:v>
      </x:c>
      <x:c r="C23" s="143" t="n">
        <x:f>IF($B23=0,"",C10/$B23)</x:f>
        <x:v>0</x:v>
      </x:c>
      <x:c r="D23" s="143" t="n">
        <x:f>IF($B23=0,"",D10/$B23)</x:f>
        <x:v>0.5</x:v>
      </x:c>
      <x:c r="E23" s="143" t="n">
        <x:f>IF($B23=0,"",E10/$B23)</x:f>
        <x:v>0</x:v>
      </x:c>
      <x:c r="F23" s="143" t="n">
        <x:f>IF($B23=0,"",F10/$B23)</x:f>
        <x:v>0</x:v>
      </x:c>
      <x:c r="G23" s="143" t="n">
        <x:f>IF($B23=0,"",G10/$B23)</x:f>
        <x:v>0</x:v>
      </x:c>
      <x:c r="H23" s="143" t="n">
        <x:f>IF($B23=0,"",H10/$B23)</x:f>
        <x:v>0</x:v>
      </x:c>
      <x:c r="I23" s="143" t="n">
        <x:f>IF($B23=0,"",I10/$B23)</x:f>
        <x:v>0.5</x:v>
      </x:c>
      <x:c r="J23" s="143" t="n">
        <x:f>IF($B23=0,"",J10/$B23)</x:f>
        <x:v>0</x:v>
      </x:c>
      <x:c r="K23" s="146" t="n">
        <x:f>IF($B23=0,"",K10/$B23)</x:f>
        <x:v>0</x:v>
      </x:c>
    </x:row>
    <x:row r="24">
      <x:c r="A24" s="98" t="str">
        <x:v>生活介護を利用</x:v>
      </x:c>
      <x:c r="B24" s="122" t="n">
        <x:f>B11</x:f>
        <x:v>2</x:v>
      </x:c>
      <x:c r="C24" s="143" t="n">
        <x:f>IF($B24=0,"",C11/$B24)</x:f>
        <x:v>0</x:v>
      </x:c>
      <x:c r="D24" s="143" t="n">
        <x:f>IF($B24=0,"",D11/$B24)</x:f>
        <x:v>0</x:v>
      </x:c>
      <x:c r="E24" s="143" t="n">
        <x:f>IF($B24=0,"",E11/$B24)</x:f>
        <x:v>0</x:v>
      </x:c>
      <x:c r="F24" s="143" t="n">
        <x:f>IF($B24=0,"",F11/$B24)</x:f>
        <x:v>0.5</x:v>
      </x:c>
      <x:c r="G24" s="143" t="n">
        <x:f>IF($B24=0,"",G11/$B24)</x:f>
        <x:v>0</x:v>
      </x:c>
      <x:c r="H24" s="143" t="n">
        <x:f>IF($B24=0,"",H11/$B24)</x:f>
        <x:v>0</x:v>
      </x:c>
      <x:c r="I24" s="143" t="n">
        <x:f>IF($B24=0,"",I11/$B24)</x:f>
        <x:v>0.5</x:v>
      </x:c>
      <x:c r="J24" s="143" t="n">
        <x:f>IF($B24=0,"",J11/$B24)</x:f>
        <x:v>0</x:v>
      </x:c>
      <x:c r="K24" s="146" t="n">
        <x:f>IF($B24=0,"",K11/$B24)</x:f>
        <x:v>0</x:v>
      </x:c>
    </x:row>
    <x:row r="25">
      <x:c r="A25" s="98" t="str">
        <x:v>学校に通っている</x:v>
      </x:c>
      <x:c r="B25" s="122" t="n">
        <x:f>B12</x:f>
        <x:v>0</x:v>
      </x:c>
      <x:c r="C25" s="143" t="str">
        <x:f>IF($B25=0,"",C12/$B25)</x:f>
      </x:c>
      <x:c r="D25" s="143" t="str">
        <x:f>IF($B25=0,"",D12/$B25)</x:f>
      </x:c>
      <x:c r="E25" s="143" t="str">
        <x:f>IF($B25=0,"",E12/$B25)</x:f>
      </x:c>
      <x:c r="F25" s="143" t="str">
        <x:f>IF($B25=0,"",F12/$B25)</x:f>
      </x:c>
      <x:c r="G25" s="143" t="str">
        <x:f>IF($B25=0,"",G12/$B25)</x:f>
      </x:c>
      <x:c r="H25" s="143" t="str">
        <x:f>IF($B25=0,"",H12/$B25)</x:f>
      </x:c>
      <x:c r="I25" s="143" t="str">
        <x:f>IF($B25=0,"",I12/$B25)</x:f>
      </x:c>
      <x:c r="J25" s="143" t="str">
        <x:f>IF($B25=0,"",J12/$B25)</x:f>
      </x:c>
      <x:c r="K25" s="146" t="str">
        <x:f>IF($B25=0,"",K12/$B25)</x:f>
      </x:c>
    </x:row>
    <x:row r="26">
      <x:c r="A26" s="98" t="str">
        <x:v>自宅で過ごすことが多い</x:v>
      </x:c>
      <x:c r="B26" s="122" t="n">
        <x:f>B13</x:f>
        <x:v>14</x:v>
      </x:c>
      <x:c r="C26" s="143" t="n">
        <x:f>IF($B26=0,"",C13/$B26)</x:f>
        <x:v>0.07142857142857142</x:v>
      </x:c>
      <x:c r="D26" s="143" t="n">
        <x:f>IF($B26=0,"",D13/$B26)</x:f>
        <x:v>0.07142857142857142</x:v>
      </x:c>
      <x:c r="E26" s="143" t="n">
        <x:f>IF($B26=0,"",E13/$B26)</x:f>
        <x:v>0</x:v>
      </x:c>
      <x:c r="F26" s="143" t="n">
        <x:f>IF($B26=0,"",F13/$B26)</x:f>
        <x:v>0</x:v>
      </x:c>
      <x:c r="G26" s="143" t="n">
        <x:f>IF($B26=0,"",G13/$B26)</x:f>
        <x:v>0.07142857142857142</x:v>
      </x:c>
      <x:c r="H26" s="143" t="n">
        <x:f>IF($B26=0,"",H13/$B26)</x:f>
        <x:v>0</x:v>
      </x:c>
      <x:c r="I26" s="143" t="n">
        <x:f>IF($B26=0,"",I13/$B26)</x:f>
        <x:v>0.5714285714285714</x:v>
      </x:c>
      <x:c r="J26" s="143" t="n">
        <x:f>IF($B26=0,"",J13/$B26)</x:f>
        <x:v>0.14285714285714285</x:v>
      </x:c>
      <x:c r="K26" s="146" t="n">
        <x:f>IF($B26=0,"",K13/$B26)</x:f>
        <x:v>0.07142857142857142</x:v>
      </x:c>
    </x:row>
    <x:row r="27">
      <x:c r="A27" s="98" t="str">
        <x:v>入院・入所中</x:v>
      </x:c>
      <x:c r="B27" s="122" t="n">
        <x:f>B14</x:f>
        <x:v>5</x:v>
      </x:c>
      <x:c r="C27" s="143" t="n">
        <x:f>IF($B27=0,"",C14/$B27)</x:f>
        <x:v>0</x:v>
      </x:c>
      <x:c r="D27" s="143" t="n">
        <x:f>IF($B27=0,"",D14/$B27)</x:f>
        <x:v>0</x:v>
      </x:c>
      <x:c r="E27" s="143" t="n">
        <x:f>IF($B27=0,"",E14/$B27)</x:f>
        <x:v>0</x:v>
      </x:c>
      <x:c r="F27" s="143" t="n">
        <x:f>IF($B27=0,"",F14/$B27)</x:f>
        <x:v>0</x:v>
      </x:c>
      <x:c r="G27" s="143" t="n">
        <x:f>IF($B27=0,"",G14/$B27)</x:f>
        <x:v>0</x:v>
      </x:c>
      <x:c r="H27" s="143" t="n">
        <x:f>IF($B27=0,"",H14/$B27)</x:f>
        <x:v>0</x:v>
      </x:c>
      <x:c r="I27" s="143" t="n">
        <x:f>IF($B27=0,"",I14/$B27)</x:f>
        <x:v>0.8</x:v>
      </x:c>
      <x:c r="J27" s="143" t="n">
        <x:f>IF($B27=0,"",J14/$B27)</x:f>
        <x:v>0</x:v>
      </x:c>
      <x:c r="K27" s="146" t="n">
        <x:f>IF($B27=0,"",K14/$B27)</x:f>
        <x:v>0</x:v>
      </x:c>
    </x:row>
    <x:row r="28">
      <x:c r="A28" s="100" t="str">
        <x:v>その他</x:v>
      </x:c>
      <x:c r="B28" s="125" t="n">
        <x:f>B15</x:f>
        <x:v>5</x:v>
      </x:c>
      <x:c r="C28" s="159" t="n">
        <x:f>IF($B28=0,"",C15/$B28)</x:f>
        <x:v>0</x:v>
      </x:c>
      <x:c r="D28" s="159" t="n">
        <x:f>IF($B28=0,"",D15/$B28)</x:f>
        <x:v>0.2</x:v>
      </x:c>
      <x:c r="E28" s="159" t="n">
        <x:f>IF($B28=0,"",E15/$B28)</x:f>
        <x:v>0</x:v>
      </x:c>
      <x:c r="F28" s="159" t="n">
        <x:f>IF($B28=0,"",F15/$B28)</x:f>
        <x:v>0</x:v>
      </x:c>
      <x:c r="G28" s="159" t="n">
        <x:f>IF($B28=0,"",G15/$B28)</x:f>
        <x:v>0</x:v>
      </x:c>
      <x:c r="H28" s="159" t="n">
        <x:f>IF($B28=0,"",H15/$B28)</x:f>
        <x:v>0</x:v>
      </x:c>
      <x:c r="I28" s="159" t="n">
        <x:f>IF($B28=0,"",I15/$B28)</x:f>
        <x:v>0.6</x:v>
      </x:c>
      <x:c r="J28" s="159" t="n">
        <x:f>IF($B28=0,"",J15/$B28)</x:f>
        <x:v>0</x:v>
      </x:c>
      <x:c r="K28" s="147" t="n">
        <x:f>IF($B28=0,"",K15/$B28)</x:f>
        <x:v>0.2</x:v>
      </x:c>
    </x:row>
  </x:sheetData>
  <x:mergeCells>
    <x:mergeCell ref="A1:K2"/>
    <x:mergeCell ref="A3:K3"/>
    <x:mergeCell ref="A4:K4"/>
    <x:mergeCell ref="A18:K18"/>
  </x:mergeCells>
  <x:conditionalFormatting sqref="B7:B15">
    <x:cfRule type="cellIs" dxfId="5" priority="1" operator="lessThan">
      <x:formula>5</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x:c r="A1" s="79" t="str">
        <x:v>問39 × 問38 クロス分析</x:v>
      </x:c>
      <x:c r="B1" s="79"/>
      <x:c r="C1" s="79"/>
      <x:c r="D1" s="79"/>
      <x:c r="E1" s="79"/>
      <x:c r="F1" s="79"/>
      <x:c r="G1" s="79"/>
      <x:c r="H1" s="79"/>
      <x:c r="I1" s="79"/>
      <x:c r="J1" s="79"/>
      <x:c r="K1" s="79"/>
      <x:c r="L1" s="79"/>
    </x:row>
    <x:row r="2">
      <x:c r="A2" s="79"/>
      <x:c r="B2" s="79"/>
      <x:c r="C2" s="79"/>
      <x:c r="D2" s="79"/>
      <x:c r="E2" s="79"/>
      <x:c r="F2" s="79"/>
      <x:c r="G2" s="79"/>
      <x:c r="H2" s="79"/>
      <x:c r="I2" s="79"/>
      <x:c r="J2" s="79"/>
      <x:c r="K2" s="79"/>
      <x:c r="L2" s="79"/>
    </x:row>
    <x:row r="3">
      <x:c r="A3" s="139" t="str">
        <x:v>個別避難計画の認知と災害時不安</x:v>
      </x:c>
      <x:c r="B3" s="139"/>
      <x:c r="C3" s="139"/>
      <x:c r="D3" s="139"/>
      <x:c r="E3" s="139"/>
      <x:c r="F3" s="139"/>
      <x:c r="G3" s="139"/>
      <x:c r="H3" s="139"/>
      <x:c r="I3" s="139"/>
      <x:c r="J3" s="139"/>
      <x:c r="K3" s="139"/>
      <x:c r="L3" s="139"/>
    </x:row>
    <x:row r="4">
      <x:c r="A4" s="154" t="str">
        <x:v>行：問39「避難行動要支援者名簿や個別避難計画について知っていますか」／列：問38「災害時に不安なこと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c r="L4" s="154"/>
    </x:row>
    <x:row r="6" ht="54" customHeight="1">
      <x:c r="A6" s="96" t="str">
        <x:v>行区分</x:v>
      </x:c>
      <x:c r="B6" s="145" t="str">
        <x:v>n</x:v>
      </x:c>
      <x:c r="C6" s="145" t="str">
        <x:v>避難する方法</x:v>
      </x:c>
      <x:c r="D6" s="145" t="str">
        <x:v>避難先での生活</x:v>
      </x:c>
      <x:c r="E6" s="145" t="str">
        <x:v>薬・医療機器</x:v>
      </x:c>
      <x:c r="F6" s="145" t="str">
        <x:v>電源の確保</x:v>
      </x:c>
      <x:c r="G6" s="145" t="str">
        <x:v>介助者がいないこと</x:v>
      </x:c>
      <x:c r="H6" s="145" t="str">
        <x:v>情報が届かないこと</x:v>
      </x:c>
      <x:c r="I6" s="145" t="str">
        <x:v>冬季・積雪時の避難</x:v>
      </x:c>
      <x:c r="J6" s="145" t="str">
        <x:v>ペット・補助犬等</x:v>
      </x:c>
      <x:c r="K6" s="145" t="str">
        <x:v>特に不安はない</x:v>
      </x:c>
      <x:c r="L6" s="97" t="str">
        <x:v>その他</x:v>
      </x:c>
    </x:row>
    <x:row r="7">
      <x:c r="A7" s="98" t="str">
        <x:v>制度を知っており作成したい</x:v>
      </x:c>
      <x:c r="B7" s="165" t="n">
        <x:f>COUNTIF('データ'!$PP$5:$PP$42,"〇")</x:f>
        <x:v>2</x:v>
      </x:c>
      <x:c r="C7" s="173" t="n">
        <x:f>COUNTIFS('データ'!$PP$5:$PP$42,"〇",'データ'!$PD$5:$PD$42,"〇")</x:f>
        <x:v>1</x:v>
      </x:c>
      <x:c r="D7" s="173" t="n">
        <x:f>COUNTIFS('データ'!$PP$5:$PP$42,"〇",'データ'!$PE$5:$PE$42,"〇")</x:f>
        <x:v>1</x:v>
      </x:c>
      <x:c r="E7" s="173" t="n">
        <x:f>COUNTIFS('データ'!$PP$5:$PP$42,"〇",'データ'!$PF$5:$PF$42,"〇")</x:f>
        <x:v>1</x:v>
      </x:c>
      <x:c r="F7" s="173" t="n">
        <x:f>COUNTIFS('データ'!$PP$5:$PP$42,"〇",'データ'!$PG$5:$PG$42,"〇")</x:f>
        <x:v>1</x:v>
      </x:c>
      <x:c r="G7" s="173" t="n">
        <x:f>COUNTIFS('データ'!$PP$5:$PP$42,"〇",'データ'!$PH$5:$PH$42,"〇")</x:f>
        <x:v>0</x:v>
      </x:c>
      <x:c r="H7" s="173" t="n">
        <x:f>COUNTIFS('データ'!$PP$5:$PP$42,"〇",'データ'!$PI$5:$PI$42,"〇")</x:f>
        <x:v>2</x:v>
      </x:c>
      <x:c r="I7" s="173" t="n">
        <x:f>COUNTIFS('データ'!$PP$5:$PP$42,"〇",'データ'!$PJ$5:$PJ$42,"〇")</x:f>
        <x:v>0</x:v>
      </x:c>
      <x:c r="J7" s="173" t="n">
        <x:f>COUNTIFS('データ'!$PP$5:$PP$42,"〇",'データ'!$PK$5:$PK$42,"〇")</x:f>
        <x:v>0</x:v>
      </x:c>
      <x:c r="K7" s="173" t="n">
        <x:f>COUNTIFS('データ'!$PP$5:$PP$42,"〇",'データ'!$PL$5:$PL$42,"〇")</x:f>
        <x:v>0</x:v>
      </x:c>
      <x:c r="L7" s="174" t="n">
        <x:f>COUNTIFS('データ'!$PP$5:$PP$42,"〇",'データ'!$PM$5:$PM$42,"〇")</x:f>
        <x:v>0</x:v>
      </x:c>
    </x:row>
    <x:row r="8">
      <x:c r="A8" s="98" t="str">
        <x:v>名前だけ聞いたことがある</x:v>
      </x:c>
      <x:c r="B8" s="165" t="n">
        <x:f>COUNTIF('データ'!$PQ$5:$PQ$42,"〇")</x:f>
        <x:v>5</x:v>
      </x:c>
      <x:c r="C8" s="173" t="n">
        <x:f>COUNTIFS('データ'!$PQ$5:$PQ$42,"〇",'データ'!$PD$5:$PD$42,"〇")</x:f>
        <x:v>3</x:v>
      </x:c>
      <x:c r="D8" s="173" t="n">
        <x:f>COUNTIFS('データ'!$PQ$5:$PQ$42,"〇",'データ'!$PE$5:$PE$42,"〇")</x:f>
        <x:v>4</x:v>
      </x:c>
      <x:c r="E8" s="173" t="n">
        <x:f>COUNTIFS('データ'!$PQ$5:$PQ$42,"〇",'データ'!$PF$5:$PF$42,"〇")</x:f>
        <x:v>3</x:v>
      </x:c>
      <x:c r="F8" s="173" t="n">
        <x:f>COUNTIFS('データ'!$PQ$5:$PQ$42,"〇",'データ'!$PG$5:$PG$42,"〇")</x:f>
        <x:v>1</x:v>
      </x:c>
      <x:c r="G8" s="173" t="n">
        <x:f>COUNTIFS('データ'!$PQ$5:$PQ$42,"〇",'データ'!$PH$5:$PH$42,"〇")</x:f>
        <x:v>1</x:v>
      </x:c>
      <x:c r="H8" s="173" t="n">
        <x:f>COUNTIFS('データ'!$PQ$5:$PQ$42,"〇",'データ'!$PI$5:$PI$42,"〇")</x:f>
        <x:v>1</x:v>
      </x:c>
      <x:c r="I8" s="173" t="n">
        <x:f>COUNTIFS('データ'!$PQ$5:$PQ$42,"〇",'データ'!$PJ$5:$PJ$42,"〇")</x:f>
        <x:v>3</x:v>
      </x:c>
      <x:c r="J8" s="173" t="n">
        <x:f>COUNTIFS('データ'!$PQ$5:$PQ$42,"〇",'データ'!$PK$5:$PK$42,"〇")</x:f>
        <x:v>0</x:v>
      </x:c>
      <x:c r="K8" s="173" t="n">
        <x:f>COUNTIFS('データ'!$PQ$5:$PQ$42,"〇",'データ'!$PL$5:$PL$42,"〇")</x:f>
        <x:v>0</x:v>
      </x:c>
      <x:c r="L8" s="174" t="n">
        <x:f>COUNTIFS('データ'!$PQ$5:$PQ$42,"〇",'データ'!$PM$5:$PM$42,"〇")</x:f>
        <x:v>0</x:v>
      </x:c>
    </x:row>
    <x:row r="9">
      <x:c r="A9" s="98" t="str">
        <x:v>知らない</x:v>
      </x:c>
      <x:c r="B9" s="165" t="n">
        <x:f>COUNTIF('データ'!$PR$5:$PR$42,"〇")</x:f>
        <x:v>26</x:v>
      </x:c>
      <x:c r="C9" s="173" t="n">
        <x:f>COUNTIFS('データ'!$PR$5:$PR$42,"〇",'データ'!$PD$5:$PD$42,"〇")</x:f>
        <x:v>9</x:v>
      </x:c>
      <x:c r="D9" s="173" t="n">
        <x:f>COUNTIFS('データ'!$PR$5:$PR$42,"〇",'データ'!$PE$5:$PE$42,"〇")</x:f>
        <x:v>18</x:v>
      </x:c>
      <x:c r="E9" s="173" t="n">
        <x:f>COUNTIFS('データ'!$PR$5:$PR$42,"〇",'データ'!$PF$5:$PF$42,"〇")</x:f>
        <x:v>12</x:v>
      </x:c>
      <x:c r="F9" s="173" t="n">
        <x:f>COUNTIFS('データ'!$PR$5:$PR$42,"〇",'データ'!$PG$5:$PG$42,"〇")</x:f>
        <x:v>4</x:v>
      </x:c>
      <x:c r="G9" s="173" t="n">
        <x:f>COUNTIFS('データ'!$PR$5:$PR$42,"〇",'データ'!$PH$5:$PH$42,"〇")</x:f>
        <x:v>2</x:v>
      </x:c>
      <x:c r="H9" s="173" t="n">
        <x:f>COUNTIFS('データ'!$PR$5:$PR$42,"〇",'データ'!$PI$5:$PI$42,"〇")</x:f>
        <x:v>2</x:v>
      </x:c>
      <x:c r="I9" s="173" t="n">
        <x:f>COUNTIFS('データ'!$PR$5:$PR$42,"〇",'データ'!$PJ$5:$PJ$42,"〇")</x:f>
        <x:v>12</x:v>
      </x:c>
      <x:c r="J9" s="173" t="n">
        <x:f>COUNTIFS('データ'!$PR$5:$PR$42,"〇",'データ'!$PK$5:$PK$42,"〇")</x:f>
        <x:v>0</x:v>
      </x:c>
      <x:c r="K9" s="173" t="n">
        <x:f>COUNTIFS('データ'!$PR$5:$PR$42,"〇",'データ'!$PL$5:$PL$42,"〇")</x:f>
        <x:v>2</x:v>
      </x:c>
      <x:c r="L9" s="174" t="n">
        <x:f>COUNTIFS('データ'!$PR$5:$PR$42,"〇",'データ'!$PM$5:$PM$42,"〇")</x:f>
        <x:v>0</x:v>
      </x:c>
    </x:row>
    <x:row r="10">
      <x:c r="A10" s="100" t="str">
        <x:v>必要ない</x:v>
      </x:c>
      <x:c r="B10" s="167" t="n">
        <x:f>COUNTIF('データ'!$PS$5:$PS$42,"〇")</x:f>
        <x:v>1</x:v>
      </x:c>
      <x:c r="C10" s="175" t="n">
        <x:f>COUNTIFS('データ'!$PS$5:$PS$42,"〇",'データ'!$PD$5:$PD$42,"〇")</x:f>
        <x:v>0</x:v>
      </x:c>
      <x:c r="D10" s="175" t="n">
        <x:f>COUNTIFS('データ'!$PS$5:$PS$42,"〇",'データ'!$PE$5:$PE$42,"〇")</x:f>
        <x:v>0</x:v>
      </x:c>
      <x:c r="E10" s="175" t="n">
        <x:f>COUNTIFS('データ'!$PS$5:$PS$42,"〇",'データ'!$PF$5:$PF$42,"〇")</x:f>
        <x:v>0</x:v>
      </x:c>
      <x:c r="F10" s="175" t="n">
        <x:f>COUNTIFS('データ'!$PS$5:$PS$42,"〇",'データ'!$PG$5:$PG$42,"〇")</x:f>
        <x:v>0</x:v>
      </x:c>
      <x:c r="G10" s="175" t="n">
        <x:f>COUNTIFS('データ'!$PS$5:$PS$42,"〇",'データ'!$PH$5:$PH$42,"〇")</x:f>
        <x:v>0</x:v>
      </x:c>
      <x:c r="H10" s="175" t="n">
        <x:f>COUNTIFS('データ'!$PS$5:$PS$42,"〇",'データ'!$PI$5:$PI$42,"〇")</x:f>
        <x:v>0</x:v>
      </x:c>
      <x:c r="I10" s="175" t="n">
        <x:f>COUNTIFS('データ'!$PS$5:$PS$42,"〇",'データ'!$PJ$5:$PJ$42,"〇")</x:f>
        <x:v>0</x:v>
      </x:c>
      <x:c r="J10" s="175" t="n">
        <x:f>COUNTIFS('データ'!$PS$5:$PS$42,"〇",'データ'!$PK$5:$PK$42,"〇")</x:f>
        <x:v>0</x:v>
      </x:c>
      <x:c r="K10" s="175" t="n">
        <x:f>COUNTIFS('データ'!$PS$5:$PS$42,"〇",'データ'!$PL$5:$PL$42,"〇")</x:f>
        <x:v>1</x:v>
      </x:c>
      <x:c r="L10" s="176" t="n">
        <x:f>COUNTIFS('データ'!$PS$5:$PS$42,"〇",'データ'!$PM$5:$PM$42,"〇")</x:f>
        <x:v>0</x:v>
      </x:c>
    </x:row>
    <x:row r="11">
      <x:c r="C11" s="94"/>
      <x:c r="D11" s="94"/>
      <x:c r="E11" s="94"/>
      <x:c r="F11" s="94"/>
      <x:c r="G11" s="94"/>
      <x:c r="H11" s="94"/>
      <x:c r="I11" s="94"/>
      <x:c r="J11" s="94"/>
      <x:c r="K11" s="94"/>
      <x:c r="L11" s="94"/>
    </x:row>
    <x:row r="12">
      <x:c r="C12" s="94"/>
      <x:c r="D12" s="94"/>
      <x:c r="E12" s="94"/>
      <x:c r="F12" s="94"/>
      <x:c r="G12" s="94"/>
      <x:c r="H12" s="94"/>
      <x:c r="I12" s="94"/>
      <x:c r="J12" s="94"/>
      <x:c r="K12" s="94"/>
      <x:c r="L12" s="94"/>
    </x:row>
    <x:row r="13">
      <x:c r="A13" s="139" t="str">
        <x:v>行％（各行のnを100％とした割合）</x:v>
      </x:c>
      <x:c r="B13" s="139"/>
      <x:c r="C13" s="177"/>
      <x:c r="D13" s="177"/>
      <x:c r="E13" s="177"/>
      <x:c r="F13" s="177"/>
      <x:c r="G13" s="177"/>
      <x:c r="H13" s="177"/>
      <x:c r="I13" s="177"/>
      <x:c r="J13" s="177"/>
      <x:c r="K13" s="177"/>
      <x:c r="L13" s="177"/>
    </x:row>
    <x:row r="14" ht="54" customHeight="1">
      <x:c r="A14" s="96" t="str">
        <x:v>行区分</x:v>
      </x:c>
      <x:c r="B14" s="145" t="str">
        <x:v>n</x:v>
      </x:c>
      <x:c r="C14" s="145" t="str">
        <x:v>避難する方法</x:v>
      </x:c>
      <x:c r="D14" s="145" t="str">
        <x:v>避難先での生活</x:v>
      </x:c>
      <x:c r="E14" s="145" t="str">
        <x:v>薬・医療機器</x:v>
      </x:c>
      <x:c r="F14" s="145" t="str">
        <x:v>電源の確保</x:v>
      </x:c>
      <x:c r="G14" s="145" t="str">
        <x:v>介助者がいないこと</x:v>
      </x:c>
      <x:c r="H14" s="145" t="str">
        <x:v>情報が届かないこと</x:v>
      </x:c>
      <x:c r="I14" s="145" t="str">
        <x:v>冬季・積雪時の避難</x:v>
      </x:c>
      <x:c r="J14" s="145" t="str">
        <x:v>ペット・補助犬等</x:v>
      </x:c>
      <x:c r="K14" s="145" t="str">
        <x:v>特に不安はない</x:v>
      </x:c>
      <x:c r="L14" s="97" t="str">
        <x:v>その他</x:v>
      </x:c>
    </x:row>
    <x:row r="15">
      <x:c r="A15" s="98" t="str">
        <x:v>制度を知っており作成したい</x:v>
      </x:c>
      <x:c r="B15" s="122" t="n">
        <x:f>B7</x:f>
        <x:v>2</x:v>
      </x:c>
      <x:c r="C15" s="143" t="n">
        <x:f>IF($B15=0,"",C7/$B15)</x:f>
        <x:v>0.5</x:v>
      </x:c>
      <x:c r="D15" s="143" t="n">
        <x:f>IF($B15=0,"",D7/$B15)</x:f>
        <x:v>0.5</x:v>
      </x:c>
      <x:c r="E15" s="143" t="n">
        <x:f>IF($B15=0,"",E7/$B15)</x:f>
        <x:v>0.5</x:v>
      </x:c>
      <x:c r="F15" s="143" t="n">
        <x:f>IF($B15=0,"",F7/$B15)</x:f>
        <x:v>0.5</x:v>
      </x:c>
      <x:c r="G15" s="143" t="n">
        <x:f>IF($B15=0,"",G7/$B15)</x:f>
        <x:v>0</x:v>
      </x:c>
      <x:c r="H15" s="143" t="n">
        <x:f>IF($B15=0,"",H7/$B15)</x:f>
        <x:v>1</x:v>
      </x:c>
      <x:c r="I15" s="143" t="n">
        <x:f>IF($B15=0,"",I7/$B15)</x:f>
        <x:v>0</x:v>
      </x:c>
      <x:c r="J15" s="143" t="n">
        <x:f>IF($B15=0,"",J7/$B15)</x:f>
        <x:v>0</x:v>
      </x:c>
      <x:c r="K15" s="143" t="n">
        <x:f>IF($B15=0,"",K7/$B15)</x:f>
        <x:v>0</x:v>
      </x:c>
      <x:c r="L15" s="146" t="n">
        <x:f>IF($B15=0,"",L7/$B15)</x:f>
        <x:v>0</x:v>
      </x:c>
    </x:row>
    <x:row r="16">
      <x:c r="A16" s="98" t="str">
        <x:v>名前だけ聞いたことがある</x:v>
      </x:c>
      <x:c r="B16" s="122" t="n">
        <x:f>B8</x:f>
        <x:v>5</x:v>
      </x:c>
      <x:c r="C16" s="143" t="n">
        <x:f>IF($B16=0,"",C8/$B16)</x:f>
        <x:v>0.6</x:v>
      </x:c>
      <x:c r="D16" s="143" t="n">
        <x:f>IF($B16=0,"",D8/$B16)</x:f>
        <x:v>0.8</x:v>
      </x:c>
      <x:c r="E16" s="143" t="n">
        <x:f>IF($B16=0,"",E8/$B16)</x:f>
        <x:v>0.6</x:v>
      </x:c>
      <x:c r="F16" s="143" t="n">
        <x:f>IF($B16=0,"",F8/$B16)</x:f>
        <x:v>0.2</x:v>
      </x:c>
      <x:c r="G16" s="143" t="n">
        <x:f>IF($B16=0,"",G8/$B16)</x:f>
        <x:v>0.2</x:v>
      </x:c>
      <x:c r="H16" s="143" t="n">
        <x:f>IF($B16=0,"",H8/$B16)</x:f>
        <x:v>0.2</x:v>
      </x:c>
      <x:c r="I16" s="143" t="n">
        <x:f>IF($B16=0,"",I8/$B16)</x:f>
        <x:v>0.6</x:v>
      </x:c>
      <x:c r="J16" s="143" t="n">
        <x:f>IF($B16=0,"",J8/$B16)</x:f>
        <x:v>0</x:v>
      </x:c>
      <x:c r="K16" s="143" t="n">
        <x:f>IF($B16=0,"",K8/$B16)</x:f>
        <x:v>0</x:v>
      </x:c>
      <x:c r="L16" s="146" t="n">
        <x:f>IF($B16=0,"",L8/$B16)</x:f>
        <x:v>0</x:v>
      </x:c>
    </x:row>
    <x:row r="17">
      <x:c r="A17" s="98" t="str">
        <x:v>知らない</x:v>
      </x:c>
      <x:c r="B17" s="122" t="n">
        <x:f>B9</x:f>
        <x:v>26</x:v>
      </x:c>
      <x:c r="C17" s="143" t="n">
        <x:f>IF($B17=0,"",C9/$B17)</x:f>
        <x:v>0.34615384615384615</x:v>
      </x:c>
      <x:c r="D17" s="143" t="n">
        <x:f>IF($B17=0,"",D9/$B17)</x:f>
        <x:v>0.6923076923076923</x:v>
      </x:c>
      <x:c r="E17" s="143" t="n">
        <x:f>IF($B17=0,"",E9/$B17)</x:f>
        <x:v>0.46153846153846156</x:v>
      </x:c>
      <x:c r="F17" s="143" t="n">
        <x:f>IF($B17=0,"",F9/$B17)</x:f>
        <x:v>0.15384615384615385</x:v>
      </x:c>
      <x:c r="G17" s="143" t="n">
        <x:f>IF($B17=0,"",G9/$B17)</x:f>
        <x:v>0.07692307692307693</x:v>
      </x:c>
      <x:c r="H17" s="143" t="n">
        <x:f>IF($B17=0,"",H9/$B17)</x:f>
        <x:v>0.07692307692307693</x:v>
      </x:c>
      <x:c r="I17" s="143" t="n">
        <x:f>IF($B17=0,"",I9/$B17)</x:f>
        <x:v>0.46153846153846156</x:v>
      </x:c>
      <x:c r="J17" s="143" t="n">
        <x:f>IF($B17=0,"",J9/$B17)</x:f>
        <x:v>0</x:v>
      </x:c>
      <x:c r="K17" s="143" t="n">
        <x:f>IF($B17=0,"",K9/$B17)</x:f>
        <x:v>0.07692307692307693</x:v>
      </x:c>
      <x:c r="L17" s="146" t="n">
        <x:f>IF($B17=0,"",L9/$B17)</x:f>
        <x:v>0</x:v>
      </x:c>
    </x:row>
    <x:row r="18">
      <x:c r="A18" s="100" t="str">
        <x:v>必要ない</x:v>
      </x:c>
      <x:c r="B18" s="125" t="n">
        <x:f>B10</x:f>
        <x:v>1</x:v>
      </x:c>
      <x:c r="C18" s="159" t="n">
        <x:f>IF($B18=0,"",C10/$B18)</x:f>
        <x:v>0</x:v>
      </x:c>
      <x:c r="D18" s="159" t="n">
        <x:f>IF($B18=0,"",D10/$B18)</x:f>
        <x:v>0</x:v>
      </x:c>
      <x:c r="E18" s="159" t="n">
        <x:f>IF($B18=0,"",E10/$B18)</x:f>
        <x:v>0</x:v>
      </x:c>
      <x:c r="F18" s="159" t="n">
        <x:f>IF($B18=0,"",F10/$B18)</x:f>
        <x:v>0</x:v>
      </x:c>
      <x:c r="G18" s="159" t="n">
        <x:f>IF($B18=0,"",G10/$B18)</x:f>
        <x:v>0</x:v>
      </x:c>
      <x:c r="H18" s="159" t="n">
        <x:f>IF($B18=0,"",H10/$B18)</x:f>
        <x:v>0</x:v>
      </x:c>
      <x:c r="I18" s="159" t="n">
        <x:f>IF($B18=0,"",I10/$B18)</x:f>
        <x:v>0</x:v>
      </x:c>
      <x:c r="J18" s="159" t="n">
        <x:f>IF($B18=0,"",J10/$B18)</x:f>
        <x:v>0</x:v>
      </x:c>
      <x:c r="K18" s="159" t="n">
        <x:f>IF($B18=0,"",K10/$B18)</x:f>
        <x:v>1</x:v>
      </x:c>
      <x:c r="L18" s="147" t="n">
        <x:f>IF($B18=0,"",L10/$B18)</x:f>
        <x:v>0</x:v>
      </x:c>
    </x:row>
  </x:sheetData>
  <x:mergeCells>
    <x:mergeCell ref="A1:L2"/>
    <x:mergeCell ref="A3:L3"/>
    <x:mergeCell ref="A4:L4"/>
    <x:mergeCell ref="A13:L13"/>
  </x:mergeCells>
  <x:conditionalFormatting sqref="B7:B10">
    <x:cfRule type="cellIs" dxfId="6" priority="1" operator="lessThan">
      <x:formula>5</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79" t="str">
        <x:v>問6 × 問36 クロス分析</x:v>
      </x:c>
      <x:c r="B1" s="79"/>
      <x:c r="C1" s="79"/>
      <x:c r="D1" s="79"/>
      <x:c r="E1" s="79"/>
      <x:c r="F1" s="79"/>
      <x:c r="G1" s="79"/>
      <x:c r="H1" s="79"/>
      <x:c r="I1" s="79"/>
      <x:c r="J1" s="79"/>
      <x:c r="K1" s="79"/>
    </x:row>
    <x:row r="2">
      <x:c r="A2" s="79"/>
      <x:c r="B2" s="79"/>
      <x:c r="C2" s="79"/>
      <x:c r="D2" s="79"/>
      <x:c r="E2" s="79"/>
      <x:c r="F2" s="79"/>
      <x:c r="G2" s="79"/>
      <x:c r="H2" s="79"/>
      <x:c r="I2" s="79"/>
      <x:c r="J2" s="79"/>
      <x:c r="K2" s="79"/>
    </x:row>
    <x:row r="3">
      <x:c r="A3" s="139" t="str">
        <x:v>障がい種別ごとに必要な合理的配慮</x:v>
      </x:c>
      <x:c r="B3" s="139"/>
      <x:c r="C3" s="139"/>
      <x:c r="D3" s="139"/>
      <x:c r="E3" s="139"/>
      <x:c r="F3" s="139"/>
      <x:c r="G3" s="139"/>
      <x:c r="H3" s="139"/>
      <x:c r="I3" s="139"/>
      <x:c r="J3" s="139"/>
      <x:c r="K3" s="139"/>
    </x:row>
    <x:row r="4">
      <x:c r="A4" s="154" t="str">
        <x:v>行：問6「主たる障がい種別を1つ選ぶとすれば、どれにあたりますか」／列：問36「障がいのある人が利用しやすくするための配慮（合理的配慮）として必要だと思うこと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row>
    <x:row r="6" ht="54" customHeight="1">
      <x:c r="A6" s="96" t="str">
        <x:v>行区分</x:v>
      </x:c>
      <x:c r="B6" s="145" t="str">
        <x:v>n</x:v>
      </x:c>
      <x:c r="C6" s="145" t="str">
        <x:v>わかりやすい説明</x:v>
      </x:c>
      <x:c r="D6" s="145" t="str">
        <x:v>筆談・手話・要約筆記・字幕等の意思疎通支援</x:v>
      </x:c>
      <x:c r="E6" s="145" t="str">
        <x:v>静かな場所での相談</x:v>
      </x:c>
      <x:c r="F6" s="145" t="str">
        <x:v>移動しやすい環境</x:v>
      </x:c>
      <x:c r="G6" s="145" t="str">
        <x:v>手続きの支援</x:v>
      </x:c>
      <x:c r="H6" s="145" t="str">
        <x:v>本人の意思確認を丁寧に行うこと</x:v>
      </x:c>
      <x:c r="I6" s="145" t="str">
        <x:v>職場・学校での配慮</x:v>
      </x:c>
      <x:c r="J6" s="145" t="str">
        <x:v>特にない</x:v>
      </x:c>
      <x:c r="K6" s="97" t="str">
        <x:v>その他</x:v>
      </x:c>
    </x:row>
    <x:row r="7">
      <x:c r="A7" s="98" t="str">
        <x:v>身体障がい</x:v>
      </x:c>
      <x:c r="B7" s="165" t="n">
        <x:f>COUNTIF('データ'!$AY$5:$AY$42,"〇")</x:f>
        <x:v>26</x:v>
      </x:c>
      <x:c r="C7" s="173" t="n">
        <x:f>COUNTIFS('データ'!$AY$5:$AY$42,"〇",'データ'!$OM$5:$OM$42,"〇")</x:f>
        <x:v>10</x:v>
      </x:c>
      <x:c r="D7" s="173" t="n">
        <x:f>COUNTIFS('データ'!$AY$5:$AY$42,"〇",'データ'!$ON$5:$ON$42,"〇")</x:f>
        <x:v>8</x:v>
      </x:c>
      <x:c r="E7" s="173" t="n">
        <x:f>COUNTIFS('データ'!$AY$5:$AY$42,"〇",'データ'!$OO$5:$OO$42,"〇")</x:f>
        <x:v>1</x:v>
      </x:c>
      <x:c r="F7" s="173" t="n">
        <x:f>COUNTIFS('データ'!$AY$5:$AY$42,"〇",'データ'!$OP$5:$OP$42,"〇")</x:f>
        <x:v>5</x:v>
      </x:c>
      <x:c r="G7" s="173" t="n">
        <x:f>COUNTIFS('データ'!$AY$5:$AY$42,"〇",'データ'!$OQ$5:$OQ$42,"〇")</x:f>
        <x:v>8</x:v>
      </x:c>
      <x:c r="H7" s="173" t="n">
        <x:f>COUNTIFS('データ'!$AY$5:$AY$42,"〇",'データ'!$OR$5:$OR$42,"〇")</x:f>
        <x:v>7</x:v>
      </x:c>
      <x:c r="I7" s="173" t="n">
        <x:f>COUNTIFS('データ'!$AY$5:$AY$42,"〇",'データ'!$OS$5:$OS$42,"〇")</x:f>
        <x:v>3</x:v>
      </x:c>
      <x:c r="J7" s="173" t="n">
        <x:f>COUNTIFS('データ'!$AY$5:$AY$42,"〇",'データ'!$OT$5:$OT$42,"〇")</x:f>
        <x:v>4</x:v>
      </x:c>
      <x:c r="K7" s="174" t="n">
        <x:f>COUNTIFS('データ'!$AY$5:$AY$42,"〇",'データ'!$OU$5:$OU$42,"〇")</x:f>
        <x:v>0</x:v>
      </x:c>
    </x:row>
    <x:row r="8">
      <x:c r="A8" s="98" t="str">
        <x:v>知的障がい</x:v>
      </x:c>
      <x:c r="B8" s="165" t="n">
        <x:f>COUNTIF('データ'!$AZ$5:$AZ$42,"〇")</x:f>
        <x:v>2</x:v>
      </x:c>
      <x:c r="C8" s="173" t="n">
        <x:f>COUNTIFS('データ'!$AZ$5:$AZ$42,"〇",'データ'!$OM$5:$OM$42,"〇")</x:f>
        <x:v>1</x:v>
      </x:c>
      <x:c r="D8" s="173" t="n">
        <x:f>COUNTIFS('データ'!$AZ$5:$AZ$42,"〇",'データ'!$ON$5:$ON$42,"〇")</x:f>
        <x:v>0</x:v>
      </x:c>
      <x:c r="E8" s="173" t="n">
        <x:f>COUNTIFS('データ'!$AZ$5:$AZ$42,"〇",'データ'!$OO$5:$OO$42,"〇")</x:f>
        <x:v>0</x:v>
      </x:c>
      <x:c r="F8" s="173" t="n">
        <x:f>COUNTIFS('データ'!$AZ$5:$AZ$42,"〇",'データ'!$OP$5:$OP$42,"〇")</x:f>
        <x:v>1</x:v>
      </x:c>
      <x:c r="G8" s="173" t="n">
        <x:f>COUNTIFS('データ'!$AZ$5:$AZ$42,"〇",'データ'!$OQ$5:$OQ$42,"〇")</x:f>
        <x:v>2</x:v>
      </x:c>
      <x:c r="H8" s="173" t="n">
        <x:f>COUNTIFS('データ'!$AZ$5:$AZ$42,"〇",'データ'!$OR$5:$OR$42,"〇")</x:f>
        <x:v>2</x:v>
      </x:c>
      <x:c r="I8" s="173" t="n">
        <x:f>COUNTIFS('データ'!$AZ$5:$AZ$42,"〇",'データ'!$OS$5:$OS$42,"〇")</x:f>
        <x:v>0</x:v>
      </x:c>
      <x:c r="J8" s="173" t="n">
        <x:f>COUNTIFS('データ'!$AZ$5:$AZ$42,"〇",'データ'!$OT$5:$OT$42,"〇")</x:f>
        <x:v>0</x:v>
      </x:c>
      <x:c r="K8" s="174" t="n">
        <x:f>COUNTIFS('データ'!$AZ$5:$AZ$42,"〇",'データ'!$OU$5:$OU$42,"〇")</x:f>
        <x:v>0</x:v>
      </x:c>
    </x:row>
    <x:row r="9">
      <x:c r="A9" s="98" t="str">
        <x:v>精神障がい</x:v>
      </x:c>
      <x:c r="B9" s="165" t="n">
        <x:f>COUNTIF('データ'!$BA$5:$BA$42,"〇")</x:f>
        <x:v>4</x:v>
      </x:c>
      <x:c r="C9" s="173" t="n">
        <x:f>COUNTIFS('データ'!$BA$5:$BA$42,"〇",'データ'!$OM$5:$OM$42,"〇")</x:f>
        <x:v>2</x:v>
      </x:c>
      <x:c r="D9" s="173" t="n">
        <x:f>COUNTIFS('データ'!$BA$5:$BA$42,"〇",'データ'!$ON$5:$ON$42,"〇")</x:f>
        <x:v>1</x:v>
      </x:c>
      <x:c r="E9" s="173" t="n">
        <x:f>COUNTIFS('データ'!$BA$5:$BA$42,"〇",'データ'!$OO$5:$OO$42,"〇")</x:f>
        <x:v>1</x:v>
      </x:c>
      <x:c r="F9" s="173" t="n">
        <x:f>COUNTIFS('データ'!$BA$5:$BA$42,"〇",'データ'!$OP$5:$OP$42,"〇")</x:f>
        <x:v>2</x:v>
      </x:c>
      <x:c r="G9" s="173" t="n">
        <x:f>COUNTIFS('データ'!$BA$5:$BA$42,"〇",'データ'!$OQ$5:$OQ$42,"〇")</x:f>
        <x:v>2</x:v>
      </x:c>
      <x:c r="H9" s="173" t="n">
        <x:f>COUNTIFS('データ'!$BA$5:$BA$42,"〇",'データ'!$OR$5:$OR$42,"〇")</x:f>
        <x:v>3</x:v>
      </x:c>
      <x:c r="I9" s="173" t="n">
        <x:f>COUNTIFS('データ'!$BA$5:$BA$42,"〇",'データ'!$OS$5:$OS$42,"〇")</x:f>
        <x:v>0</x:v>
      </x:c>
      <x:c r="J9" s="173" t="n">
        <x:f>COUNTIFS('データ'!$BA$5:$BA$42,"〇",'データ'!$OT$5:$OT$42,"〇")</x:f>
        <x:v>1</x:v>
      </x:c>
      <x:c r="K9" s="174" t="n">
        <x:f>COUNTIFS('データ'!$BA$5:$BA$42,"〇",'データ'!$OU$5:$OU$42,"〇")</x:f>
        <x:v>0</x:v>
      </x:c>
    </x:row>
    <x:row r="10">
      <x:c r="A10" s="98" t="str">
        <x:v>発達障がい</x:v>
      </x:c>
      <x:c r="B10" s="165" t="n">
        <x:f>COUNTIF('データ'!$BB$5:$BB$42,"〇")</x:f>
        <x:v>3</x:v>
      </x:c>
      <x:c r="C10" s="173" t="n">
        <x:f>COUNTIFS('データ'!$BB$5:$BB$42,"〇",'データ'!$OM$5:$OM$42,"〇")</x:f>
        <x:v>2</x:v>
      </x:c>
      <x:c r="D10" s="173" t="n">
        <x:f>COUNTIFS('データ'!$BB$5:$BB$42,"〇",'データ'!$ON$5:$ON$42,"〇")</x:f>
        <x:v>0</x:v>
      </x:c>
      <x:c r="E10" s="173" t="n">
        <x:f>COUNTIFS('データ'!$BB$5:$BB$42,"〇",'データ'!$OO$5:$OO$42,"〇")</x:f>
        <x:v>0</x:v>
      </x:c>
      <x:c r="F10" s="173" t="n">
        <x:f>COUNTIFS('データ'!$BB$5:$BB$42,"〇",'データ'!$OP$5:$OP$42,"〇")</x:f>
        <x:v>1</x:v>
      </x:c>
      <x:c r="G10" s="173" t="n">
        <x:f>COUNTIFS('データ'!$BB$5:$BB$42,"〇",'データ'!$OQ$5:$OQ$42,"〇")</x:f>
        <x:v>2</x:v>
      </x:c>
      <x:c r="H10" s="173" t="n">
        <x:f>COUNTIFS('データ'!$BB$5:$BB$42,"〇",'データ'!$OR$5:$OR$42,"〇")</x:f>
        <x:v>0</x:v>
      </x:c>
      <x:c r="I10" s="173" t="n">
        <x:f>COUNTIFS('データ'!$BB$5:$BB$42,"〇",'データ'!$OS$5:$OS$42,"〇")</x:f>
        <x:v>0</x:v>
      </x:c>
      <x:c r="J10" s="173" t="n">
        <x:f>COUNTIFS('データ'!$BB$5:$BB$42,"〇",'データ'!$OT$5:$OT$42,"〇")</x:f>
        <x:v>0</x:v>
      </x:c>
      <x:c r="K10" s="174" t="n">
        <x:f>COUNTIFS('データ'!$BB$5:$BB$42,"〇",'データ'!$OU$5:$OU$42,"〇")</x:f>
        <x:v>0</x:v>
      </x:c>
    </x:row>
    <x:row r="11">
      <x:c r="A11" s="98" t="str">
        <x:v>難病</x:v>
      </x:c>
      <x:c r="B11" s="165" t="n">
        <x:f>COUNTIF('データ'!$BC$5:$BC$42,"〇")</x:f>
        <x:v>0</x:v>
      </x:c>
      <x:c r="C11" s="173" t="n">
        <x:f>COUNTIFS('データ'!$BC$5:$BC$42,"〇",'データ'!$OM$5:$OM$42,"〇")</x:f>
        <x:v>0</x:v>
      </x:c>
      <x:c r="D11" s="173" t="n">
        <x:f>COUNTIFS('データ'!$BC$5:$BC$42,"〇",'データ'!$ON$5:$ON$42,"〇")</x:f>
        <x:v>0</x:v>
      </x:c>
      <x:c r="E11" s="173" t="n">
        <x:f>COUNTIFS('データ'!$BC$5:$BC$42,"〇",'データ'!$OO$5:$OO$42,"〇")</x:f>
        <x:v>0</x:v>
      </x:c>
      <x:c r="F11" s="173" t="n">
        <x:f>COUNTIFS('データ'!$BC$5:$BC$42,"〇",'データ'!$OP$5:$OP$42,"〇")</x:f>
        <x:v>0</x:v>
      </x:c>
      <x:c r="G11" s="173" t="n">
        <x:f>COUNTIFS('データ'!$BC$5:$BC$42,"〇",'データ'!$OQ$5:$OQ$42,"〇")</x:f>
        <x:v>0</x:v>
      </x:c>
      <x:c r="H11" s="173" t="n">
        <x:f>COUNTIFS('データ'!$BC$5:$BC$42,"〇",'データ'!$OR$5:$OR$42,"〇")</x:f>
        <x:v>0</x:v>
      </x:c>
      <x:c r="I11" s="173" t="n">
        <x:f>COUNTIFS('データ'!$BC$5:$BC$42,"〇",'データ'!$OS$5:$OS$42,"〇")</x:f>
        <x:v>0</x:v>
      </x:c>
      <x:c r="J11" s="173" t="n">
        <x:f>COUNTIFS('データ'!$BC$5:$BC$42,"〇",'データ'!$OT$5:$OT$42,"〇")</x:f>
        <x:v>0</x:v>
      </x:c>
      <x:c r="K11" s="174" t="n">
        <x:f>COUNTIFS('データ'!$BC$5:$BC$42,"〇",'データ'!$OU$5:$OU$42,"〇")</x:f>
        <x:v>0</x:v>
      </x:c>
    </x:row>
    <x:row r="12">
      <x:c r="A12" s="98" t="str">
        <x:v>高次脳機能障がい</x:v>
      </x:c>
      <x:c r="B12" s="165" t="n">
        <x:f>COUNTIF('データ'!$BD$5:$BD$42,"〇")</x:f>
        <x:v>0</x:v>
      </x:c>
      <x:c r="C12" s="173" t="n">
        <x:f>COUNTIFS('データ'!$BD$5:$BD$42,"〇",'データ'!$OM$5:$OM$42,"〇")</x:f>
        <x:v>0</x:v>
      </x:c>
      <x:c r="D12" s="173" t="n">
        <x:f>COUNTIFS('データ'!$BD$5:$BD$42,"〇",'データ'!$ON$5:$ON$42,"〇")</x:f>
        <x:v>0</x:v>
      </x:c>
      <x:c r="E12" s="173" t="n">
        <x:f>COUNTIFS('データ'!$BD$5:$BD$42,"〇",'データ'!$OO$5:$OO$42,"〇")</x:f>
        <x:v>0</x:v>
      </x:c>
      <x:c r="F12" s="173" t="n">
        <x:f>COUNTIFS('データ'!$BD$5:$BD$42,"〇",'データ'!$OP$5:$OP$42,"〇")</x:f>
        <x:v>0</x:v>
      </x:c>
      <x:c r="G12" s="173" t="n">
        <x:f>COUNTIFS('データ'!$BD$5:$BD$42,"〇",'データ'!$OQ$5:$OQ$42,"〇")</x:f>
        <x:v>0</x:v>
      </x:c>
      <x:c r="H12" s="173" t="n">
        <x:f>COUNTIFS('データ'!$BD$5:$BD$42,"〇",'データ'!$OR$5:$OR$42,"〇")</x:f>
        <x:v>0</x:v>
      </x:c>
      <x:c r="I12" s="173" t="n">
        <x:f>COUNTIFS('データ'!$BD$5:$BD$42,"〇",'データ'!$OS$5:$OS$42,"〇")</x:f>
        <x:v>0</x:v>
      </x:c>
      <x:c r="J12" s="173" t="n">
        <x:f>COUNTIFS('データ'!$BD$5:$BD$42,"〇",'データ'!$OT$5:$OT$42,"〇")</x:f>
        <x:v>0</x:v>
      </x:c>
      <x:c r="K12" s="174" t="n">
        <x:f>COUNTIFS('データ'!$BD$5:$BD$42,"〇",'データ'!$OU$5:$OU$42,"〇")</x:f>
        <x:v>0</x:v>
      </x:c>
    </x:row>
    <x:row r="13">
      <x:c r="A13" s="98" t="str">
        <x:v>重症心身障がい</x:v>
      </x:c>
      <x:c r="B13" s="165" t="n">
        <x:f>COUNTIF('データ'!$BE$5:$BE$42,"〇")</x:f>
        <x:v>0</x:v>
      </x:c>
      <x:c r="C13" s="173" t="n">
        <x:f>COUNTIFS('データ'!$BE$5:$BE$42,"〇",'データ'!$OM$5:$OM$42,"〇")</x:f>
        <x:v>0</x:v>
      </x:c>
      <x:c r="D13" s="173" t="n">
        <x:f>COUNTIFS('データ'!$BE$5:$BE$42,"〇",'データ'!$ON$5:$ON$42,"〇")</x:f>
        <x:v>0</x:v>
      </x:c>
      <x:c r="E13" s="173" t="n">
        <x:f>COUNTIFS('データ'!$BE$5:$BE$42,"〇",'データ'!$OO$5:$OO$42,"〇")</x:f>
        <x:v>0</x:v>
      </x:c>
      <x:c r="F13" s="173" t="n">
        <x:f>COUNTIFS('データ'!$BE$5:$BE$42,"〇",'データ'!$OP$5:$OP$42,"〇")</x:f>
        <x:v>0</x:v>
      </x:c>
      <x:c r="G13" s="173" t="n">
        <x:f>COUNTIFS('データ'!$BE$5:$BE$42,"〇",'データ'!$OQ$5:$OQ$42,"〇")</x:f>
        <x:v>0</x:v>
      </x:c>
      <x:c r="H13" s="173" t="n">
        <x:f>COUNTIFS('データ'!$BE$5:$BE$42,"〇",'データ'!$OR$5:$OR$42,"〇")</x:f>
        <x:v>0</x:v>
      </x:c>
      <x:c r="I13" s="173" t="n">
        <x:f>COUNTIFS('データ'!$BE$5:$BE$42,"〇",'データ'!$OS$5:$OS$42,"〇")</x:f>
        <x:v>0</x:v>
      </x:c>
      <x:c r="J13" s="173" t="n">
        <x:f>COUNTIFS('データ'!$BE$5:$BE$42,"〇",'データ'!$OT$5:$OT$42,"〇")</x:f>
        <x:v>0</x:v>
      </x:c>
      <x:c r="K13" s="174" t="n">
        <x:f>COUNTIFS('データ'!$BE$5:$BE$42,"〇",'データ'!$OU$5:$OU$42,"〇")</x:f>
        <x:v>0</x:v>
      </x:c>
    </x:row>
    <x:row r="14">
      <x:c r="A14" s="100" t="str">
        <x:v>わからない・その他</x:v>
      </x:c>
      <x:c r="B14" s="167" t="n">
        <x:f>COUNTIF('データ'!$BF$5:$BF$42,"〇")</x:f>
        <x:v>2</x:v>
      </x:c>
      <x:c r="C14" s="175" t="n">
        <x:f>COUNTIFS('データ'!$BF$5:$BF$42,"〇",'データ'!$OM$5:$OM$42,"〇")</x:f>
        <x:v>0</x:v>
      </x:c>
      <x:c r="D14" s="175" t="n">
        <x:f>COUNTIFS('データ'!$BF$5:$BF$42,"〇",'データ'!$ON$5:$ON$42,"〇")</x:f>
        <x:v>0</x:v>
      </x:c>
      <x:c r="E14" s="175" t="n">
        <x:f>COUNTIFS('データ'!$BF$5:$BF$42,"〇",'データ'!$OO$5:$OO$42,"〇")</x:f>
        <x:v>0</x:v>
      </x:c>
      <x:c r="F14" s="175" t="n">
        <x:f>COUNTIFS('データ'!$BF$5:$BF$42,"〇",'データ'!$OP$5:$OP$42,"〇")</x:f>
        <x:v>0</x:v>
      </x:c>
      <x:c r="G14" s="175" t="n">
        <x:f>COUNTIFS('データ'!$BF$5:$BF$42,"〇",'データ'!$OQ$5:$OQ$42,"〇")</x:f>
        <x:v>1</x:v>
      </x:c>
      <x:c r="H14" s="175" t="n">
        <x:f>COUNTIFS('データ'!$BF$5:$BF$42,"〇",'データ'!$OR$5:$OR$42,"〇")</x:f>
        <x:v>0</x:v>
      </x:c>
      <x:c r="I14" s="175" t="n">
        <x:f>COUNTIFS('データ'!$BF$5:$BF$42,"〇",'データ'!$OS$5:$OS$42,"〇")</x:f>
        <x:v>0</x:v>
      </x:c>
      <x:c r="J14" s="175" t="n">
        <x:f>COUNTIFS('データ'!$BF$5:$BF$42,"〇",'データ'!$OT$5:$OT$42,"〇")</x:f>
        <x:v>1</x:v>
      </x:c>
      <x:c r="K14" s="176" t="n">
        <x:f>COUNTIFS('データ'!$BF$5:$BF$42,"〇",'データ'!$OU$5:$OU$42,"〇")</x:f>
        <x:v>0</x:v>
      </x:c>
    </x:row>
    <x:row r="15">
      <x:c r="C15" s="94"/>
      <x:c r="D15" s="94"/>
      <x:c r="E15" s="94"/>
      <x:c r="F15" s="94"/>
      <x:c r="G15" s="94"/>
      <x:c r="H15" s="94"/>
      <x:c r="I15" s="94"/>
      <x:c r="J15" s="94"/>
      <x:c r="K15" s="94"/>
    </x:row>
    <x:row r="16">
      <x:c r="C16" s="94"/>
      <x:c r="D16" s="94"/>
      <x:c r="E16" s="94"/>
      <x:c r="F16" s="94"/>
      <x:c r="G16" s="94"/>
      <x:c r="H16" s="94"/>
      <x:c r="I16" s="94"/>
      <x:c r="J16" s="94"/>
      <x:c r="K16" s="94"/>
    </x:row>
    <x:row r="17">
      <x:c r="A17" s="139" t="str">
        <x:v>行％（各行のnを100％とした割合）</x:v>
      </x:c>
      <x:c r="B17" s="139"/>
      <x:c r="C17" s="177"/>
      <x:c r="D17" s="177"/>
      <x:c r="E17" s="177"/>
      <x:c r="F17" s="177"/>
      <x:c r="G17" s="177"/>
      <x:c r="H17" s="177"/>
      <x:c r="I17" s="177"/>
      <x:c r="J17" s="177"/>
      <x:c r="K17" s="177"/>
    </x:row>
    <x:row r="18" ht="54" customHeight="1">
      <x:c r="A18" s="96" t="str">
        <x:v>行区分</x:v>
      </x:c>
      <x:c r="B18" s="145" t="str">
        <x:v>n</x:v>
      </x:c>
      <x:c r="C18" s="145" t="str">
        <x:v>わかりやすい説明</x:v>
      </x:c>
      <x:c r="D18" s="145" t="str">
        <x:v>筆談・手話・要約筆記・字幕等の意思疎通支援</x:v>
      </x:c>
      <x:c r="E18" s="145" t="str">
        <x:v>静かな場所での相談</x:v>
      </x:c>
      <x:c r="F18" s="145" t="str">
        <x:v>移動しやすい環境</x:v>
      </x:c>
      <x:c r="G18" s="145" t="str">
        <x:v>手続きの支援</x:v>
      </x:c>
      <x:c r="H18" s="145" t="str">
        <x:v>本人の意思確認を丁寧に行うこと</x:v>
      </x:c>
      <x:c r="I18" s="145" t="str">
        <x:v>職場・学校での配慮</x:v>
      </x:c>
      <x:c r="J18" s="145" t="str">
        <x:v>特にない</x:v>
      </x:c>
      <x:c r="K18" s="97" t="str">
        <x:v>その他</x:v>
      </x:c>
    </x:row>
    <x:row r="19">
      <x:c r="A19" s="98" t="str">
        <x:v>身体障がい</x:v>
      </x:c>
      <x:c r="B19" s="122" t="n">
        <x:f>B7</x:f>
        <x:v>26</x:v>
      </x:c>
      <x:c r="C19" s="143" t="n">
        <x:f>IF($B19=0,"",C7/$B19)</x:f>
        <x:v>0.38461538461538464</x:v>
      </x:c>
      <x:c r="D19" s="143" t="n">
        <x:f>IF($B19=0,"",D7/$B19)</x:f>
        <x:v>0.3076923076923077</x:v>
      </x:c>
      <x:c r="E19" s="143" t="n">
        <x:f>IF($B19=0,"",E7/$B19)</x:f>
        <x:v>0.038461538461538464</x:v>
      </x:c>
      <x:c r="F19" s="143" t="n">
        <x:f>IF($B19=0,"",F7/$B19)</x:f>
        <x:v>0.19230769230769232</x:v>
      </x:c>
      <x:c r="G19" s="143" t="n">
        <x:f>IF($B19=0,"",G7/$B19)</x:f>
        <x:v>0.3076923076923077</x:v>
      </x:c>
      <x:c r="H19" s="143" t="n">
        <x:f>IF($B19=0,"",H7/$B19)</x:f>
        <x:v>0.2692307692307692</x:v>
      </x:c>
      <x:c r="I19" s="143" t="n">
        <x:f>IF($B19=0,"",I7/$B19)</x:f>
        <x:v>0.11538461538461539</x:v>
      </x:c>
      <x:c r="J19" s="143" t="n">
        <x:f>IF($B19=0,"",J7/$B19)</x:f>
        <x:v>0.15384615384615385</x:v>
      </x:c>
      <x:c r="K19" s="146" t="n">
        <x:f>IF($B19=0,"",K7/$B19)</x:f>
        <x:v>0</x:v>
      </x:c>
    </x:row>
    <x:row r="20">
      <x:c r="A20" s="98" t="str">
        <x:v>知的障がい</x:v>
      </x:c>
      <x:c r="B20" s="122" t="n">
        <x:f>B8</x:f>
        <x:v>2</x:v>
      </x:c>
      <x:c r="C20" s="143" t="n">
        <x:f>IF($B20=0,"",C8/$B20)</x:f>
        <x:v>0.5</x:v>
      </x:c>
      <x:c r="D20" s="143" t="n">
        <x:f>IF($B20=0,"",D8/$B20)</x:f>
        <x:v>0</x:v>
      </x:c>
      <x:c r="E20" s="143" t="n">
        <x:f>IF($B20=0,"",E8/$B20)</x:f>
        <x:v>0</x:v>
      </x:c>
      <x:c r="F20" s="143" t="n">
        <x:f>IF($B20=0,"",F8/$B20)</x:f>
        <x:v>0.5</x:v>
      </x:c>
      <x:c r="G20" s="143" t="n">
        <x:f>IF($B20=0,"",G8/$B20)</x:f>
        <x:v>1</x:v>
      </x:c>
      <x:c r="H20" s="143" t="n">
        <x:f>IF($B20=0,"",H8/$B20)</x:f>
        <x:v>1</x:v>
      </x:c>
      <x:c r="I20" s="143" t="n">
        <x:f>IF($B20=0,"",I8/$B20)</x:f>
        <x:v>0</x:v>
      </x:c>
      <x:c r="J20" s="143" t="n">
        <x:f>IF($B20=0,"",J8/$B20)</x:f>
        <x:v>0</x:v>
      </x:c>
      <x:c r="K20" s="146" t="n">
        <x:f>IF($B20=0,"",K8/$B20)</x:f>
        <x:v>0</x:v>
      </x:c>
    </x:row>
    <x:row r="21">
      <x:c r="A21" s="98" t="str">
        <x:v>精神障がい</x:v>
      </x:c>
      <x:c r="B21" s="122" t="n">
        <x:f>B9</x:f>
        <x:v>4</x:v>
      </x:c>
      <x:c r="C21" s="143" t="n">
        <x:f>IF($B21=0,"",C9/$B21)</x:f>
        <x:v>0.5</x:v>
      </x:c>
      <x:c r="D21" s="143" t="n">
        <x:f>IF($B21=0,"",D9/$B21)</x:f>
        <x:v>0.25</x:v>
      </x:c>
      <x:c r="E21" s="143" t="n">
        <x:f>IF($B21=0,"",E9/$B21)</x:f>
        <x:v>0.25</x:v>
      </x:c>
      <x:c r="F21" s="143" t="n">
        <x:f>IF($B21=0,"",F9/$B21)</x:f>
        <x:v>0.5</x:v>
      </x:c>
      <x:c r="G21" s="143" t="n">
        <x:f>IF($B21=0,"",G9/$B21)</x:f>
        <x:v>0.5</x:v>
      </x:c>
      <x:c r="H21" s="143" t="n">
        <x:f>IF($B21=0,"",H9/$B21)</x:f>
        <x:v>0.75</x:v>
      </x:c>
      <x:c r="I21" s="143" t="n">
        <x:f>IF($B21=0,"",I9/$B21)</x:f>
        <x:v>0</x:v>
      </x:c>
      <x:c r="J21" s="143" t="n">
        <x:f>IF($B21=0,"",J9/$B21)</x:f>
        <x:v>0.25</x:v>
      </x:c>
      <x:c r="K21" s="146" t="n">
        <x:f>IF($B21=0,"",K9/$B21)</x:f>
        <x:v>0</x:v>
      </x:c>
    </x:row>
    <x:row r="22">
      <x:c r="A22" s="98" t="str">
        <x:v>発達障がい</x:v>
      </x:c>
      <x:c r="B22" s="122" t="n">
        <x:f>B10</x:f>
        <x:v>3</x:v>
      </x:c>
      <x:c r="C22" s="143" t="n">
        <x:f>IF($B22=0,"",C10/$B22)</x:f>
        <x:v>0.6666666666666666</x:v>
      </x:c>
      <x:c r="D22" s="143" t="n">
        <x:f>IF($B22=0,"",D10/$B22)</x:f>
        <x:v>0</x:v>
      </x:c>
      <x:c r="E22" s="143" t="n">
        <x:f>IF($B22=0,"",E10/$B22)</x:f>
        <x:v>0</x:v>
      </x:c>
      <x:c r="F22" s="143" t="n">
        <x:f>IF($B22=0,"",F10/$B22)</x:f>
        <x:v>0.3333333333333333</x:v>
      </x:c>
      <x:c r="G22" s="143" t="n">
        <x:f>IF($B22=0,"",G10/$B22)</x:f>
        <x:v>0.6666666666666666</x:v>
      </x:c>
      <x:c r="H22" s="143" t="n">
        <x:f>IF($B22=0,"",H10/$B22)</x:f>
        <x:v>0</x:v>
      </x:c>
      <x:c r="I22" s="143" t="n">
        <x:f>IF($B22=0,"",I10/$B22)</x:f>
        <x:v>0</x:v>
      </x:c>
      <x:c r="J22" s="143" t="n">
        <x:f>IF($B22=0,"",J10/$B22)</x:f>
        <x:v>0</x:v>
      </x:c>
      <x:c r="K22" s="146" t="n">
        <x:f>IF($B22=0,"",K10/$B22)</x:f>
        <x:v>0</x:v>
      </x:c>
    </x:row>
    <x:row r="23">
      <x:c r="A23" s="98" t="str">
        <x:v>難病</x:v>
      </x:c>
      <x:c r="B23" s="122" t="n">
        <x:f>B11</x:f>
        <x:v>0</x:v>
      </x:c>
      <x:c r="C23" s="143" t="str">
        <x:f>IF($B23=0,"",C11/$B23)</x:f>
      </x:c>
      <x:c r="D23" s="143" t="str">
        <x:f>IF($B23=0,"",D11/$B23)</x:f>
      </x:c>
      <x:c r="E23" s="143" t="str">
        <x:f>IF($B23=0,"",E11/$B23)</x:f>
      </x:c>
      <x:c r="F23" s="143" t="str">
        <x:f>IF($B23=0,"",F11/$B23)</x:f>
      </x:c>
      <x:c r="G23" s="143" t="str">
        <x:f>IF($B23=0,"",G11/$B23)</x:f>
      </x:c>
      <x:c r="H23" s="143" t="str">
        <x:f>IF($B23=0,"",H11/$B23)</x:f>
      </x:c>
      <x:c r="I23" s="143" t="str">
        <x:f>IF($B23=0,"",I11/$B23)</x:f>
      </x:c>
      <x:c r="J23" s="143" t="str">
        <x:f>IF($B23=0,"",J11/$B23)</x:f>
      </x:c>
      <x:c r="K23" s="146" t="str">
        <x:f>IF($B23=0,"",K11/$B23)</x:f>
      </x:c>
    </x:row>
    <x:row r="24">
      <x:c r="A24" s="98" t="str">
        <x:v>高次脳機能障がい</x:v>
      </x:c>
      <x:c r="B24" s="122" t="n">
        <x:f>B12</x:f>
        <x:v>0</x:v>
      </x:c>
      <x:c r="C24" s="143" t="str">
        <x:f>IF($B24=0,"",C12/$B24)</x:f>
      </x:c>
      <x:c r="D24" s="143" t="str">
        <x:f>IF($B24=0,"",D12/$B24)</x:f>
      </x:c>
      <x:c r="E24" s="143" t="str">
        <x:f>IF($B24=0,"",E12/$B24)</x:f>
      </x:c>
      <x:c r="F24" s="143" t="str">
        <x:f>IF($B24=0,"",F12/$B24)</x:f>
      </x:c>
      <x:c r="G24" s="143" t="str">
        <x:f>IF($B24=0,"",G12/$B24)</x:f>
      </x:c>
      <x:c r="H24" s="143" t="str">
        <x:f>IF($B24=0,"",H12/$B24)</x:f>
      </x:c>
      <x:c r="I24" s="143" t="str">
        <x:f>IF($B24=0,"",I12/$B24)</x:f>
      </x:c>
      <x:c r="J24" s="143" t="str">
        <x:f>IF($B24=0,"",J12/$B24)</x:f>
      </x:c>
      <x:c r="K24" s="146" t="str">
        <x:f>IF($B24=0,"",K12/$B24)</x:f>
      </x:c>
    </x:row>
    <x:row r="25">
      <x:c r="A25" s="98" t="str">
        <x:v>重症心身障がい</x:v>
      </x:c>
      <x:c r="B25" s="122" t="n">
        <x:f>B13</x:f>
        <x:v>0</x:v>
      </x:c>
      <x:c r="C25" s="143" t="str">
        <x:f>IF($B25=0,"",C13/$B25)</x:f>
      </x:c>
      <x:c r="D25" s="143" t="str">
        <x:f>IF($B25=0,"",D13/$B25)</x:f>
      </x:c>
      <x:c r="E25" s="143" t="str">
        <x:f>IF($B25=0,"",E13/$B25)</x:f>
      </x:c>
      <x:c r="F25" s="143" t="str">
        <x:f>IF($B25=0,"",F13/$B25)</x:f>
      </x:c>
      <x:c r="G25" s="143" t="str">
        <x:f>IF($B25=0,"",G13/$B25)</x:f>
      </x:c>
      <x:c r="H25" s="143" t="str">
        <x:f>IF($B25=0,"",H13/$B25)</x:f>
      </x:c>
      <x:c r="I25" s="143" t="str">
        <x:f>IF($B25=0,"",I13/$B25)</x:f>
      </x:c>
      <x:c r="J25" s="143" t="str">
        <x:f>IF($B25=0,"",J13/$B25)</x:f>
      </x:c>
      <x:c r="K25" s="146" t="str">
        <x:f>IF($B25=0,"",K13/$B25)</x:f>
      </x:c>
    </x:row>
    <x:row r="26">
      <x:c r="A26" s="100" t="str">
        <x:v>わからない・その他</x:v>
      </x:c>
      <x:c r="B26" s="125" t="n">
        <x:f>B14</x:f>
        <x:v>2</x:v>
      </x:c>
      <x:c r="C26" s="159" t="n">
        <x:f>IF($B26=0,"",C14/$B26)</x:f>
        <x:v>0</x:v>
      </x:c>
      <x:c r="D26" s="159" t="n">
        <x:f>IF($B26=0,"",D14/$B26)</x:f>
        <x:v>0</x:v>
      </x:c>
      <x:c r="E26" s="159" t="n">
        <x:f>IF($B26=0,"",E14/$B26)</x:f>
        <x:v>0</x:v>
      </x:c>
      <x:c r="F26" s="159" t="n">
        <x:f>IF($B26=0,"",F14/$B26)</x:f>
        <x:v>0</x:v>
      </x:c>
      <x:c r="G26" s="159" t="n">
        <x:f>IF($B26=0,"",G14/$B26)</x:f>
        <x:v>0.5</x:v>
      </x:c>
      <x:c r="H26" s="159" t="n">
        <x:f>IF($B26=0,"",H14/$B26)</x:f>
        <x:v>0</x:v>
      </x:c>
      <x:c r="I26" s="159" t="n">
        <x:f>IF($B26=0,"",I14/$B26)</x:f>
        <x:v>0</x:v>
      </x:c>
      <x:c r="J26" s="159" t="n">
        <x:f>IF($B26=0,"",J14/$B26)</x:f>
        <x:v>0.5</x:v>
      </x:c>
      <x:c r="K26" s="147" t="n">
        <x:f>IF($B26=0,"",K14/$B26)</x:f>
        <x:v>0</x:v>
      </x:c>
    </x:row>
  </x:sheetData>
  <x:mergeCells>
    <x:mergeCell ref="A1:K2"/>
    <x:mergeCell ref="A3:K3"/>
    <x:mergeCell ref="A4:K4"/>
    <x:mergeCell ref="A17:K17"/>
  </x:mergeCells>
  <x:conditionalFormatting sqref="B7:B14">
    <x:cfRule type="cellIs" dxfId="7" priority="1" operator="lessThan">
      <x:formula>5</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79" t="str">
        <x:v>問22 × 問26 クロス分析</x:v>
      </x:c>
      <x:c r="B1" s="79"/>
      <x:c r="C1" s="79"/>
      <x:c r="D1" s="79"/>
      <x:c r="E1" s="79"/>
      <x:c r="F1" s="79"/>
      <x:c r="G1" s="79"/>
      <x:c r="H1" s="79"/>
      <x:c r="I1" s="79"/>
      <x:c r="J1" s="79"/>
    </x:row>
    <x:row r="2">
      <x:c r="A2" s="79"/>
      <x:c r="B2" s="79"/>
      <x:c r="C2" s="79"/>
      <x:c r="D2" s="79"/>
      <x:c r="E2" s="79"/>
      <x:c r="F2" s="79"/>
      <x:c r="G2" s="79"/>
      <x:c r="H2" s="79"/>
      <x:c r="I2" s="79"/>
      <x:c r="J2" s="79"/>
    </x:row>
    <x:row r="3">
      <x:c r="A3" s="139" t="str">
        <x:v>相談先別の相談支援への期待</x:v>
      </x:c>
      <x:c r="B3" s="139"/>
      <x:c r="C3" s="139"/>
      <x:c r="D3" s="139"/>
      <x:c r="E3" s="139"/>
      <x:c r="F3" s="139"/>
      <x:c r="G3" s="139"/>
      <x:c r="H3" s="139"/>
      <x:c r="I3" s="139"/>
      <x:c r="J3" s="139"/>
    </x:row>
    <x:row r="4">
      <x:c r="A4" s="154" t="str">
        <x:v>行：問22「困ったときに相談する相手・場所はどこですか（あてはまるものすべて）」／列：問26「相談支援に期待すること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row>
    <x:row r="6" ht="54" customHeight="1">
      <x:c r="A6" s="96" t="str">
        <x:v>行区分</x:v>
      </x:c>
      <x:c r="B6" s="145" t="str">
        <x:v>n</x:v>
      </x:c>
      <x:c r="C6" s="145" t="str">
        <x:v>サービス利用の相談</x:v>
      </x:c>
      <x:c r="D6" s="145" t="str">
        <x:v>将来の暮らしの相談</x:v>
      </x:c>
      <x:c r="E6" s="145" t="str">
        <x:v>就労・日中活動の相談</x:v>
      </x:c>
      <x:c r="F6" s="145" t="str">
        <x:v>医療・通院の相談</x:v>
      </x:c>
      <x:c r="G6" s="145" t="str">
        <x:v>家族の負担軽減</x:v>
      </x:c>
      <x:c r="H6" s="145" t="str">
        <x:v>緊急時の相談</x:v>
      </x:c>
      <x:c r="I6" s="145" t="str">
        <x:v>わかりやすい情報提供</x:v>
      </x:c>
      <x:c r="J6" s="97" t="str">
        <x:v>その他</x:v>
      </x:c>
    </x:row>
    <x:row r="7">
      <x:c r="A7" s="98" t="str">
        <x:v>家族・親族</x:v>
      </x:c>
      <x:c r="B7" s="165" t="n">
        <x:f>COUNTIF('データ'!$GZ$5:$GZ$42,"〇")</x:f>
        <x:v>29</x:v>
      </x:c>
      <x:c r="C7" s="173" t="n">
        <x:f>COUNTIFS('データ'!$GZ$5:$GZ$42,"〇",'データ'!$IP$5:$IP$42,"〇")</x:f>
        <x:v>8</x:v>
      </x:c>
      <x:c r="D7" s="173" t="n">
        <x:f>COUNTIFS('データ'!$GZ$5:$GZ$42,"〇",'データ'!$IQ$5:$IQ$42,"〇")</x:f>
        <x:v>8</x:v>
      </x:c>
      <x:c r="E7" s="173" t="n">
        <x:f>COUNTIFS('データ'!$GZ$5:$GZ$42,"〇",'データ'!$IR$5:$IR$42,"〇")</x:f>
        <x:v>1</x:v>
      </x:c>
      <x:c r="F7" s="173" t="n">
        <x:f>COUNTIFS('データ'!$GZ$5:$GZ$42,"〇",'データ'!$IS$5:$IS$42,"〇")</x:f>
        <x:v>6</x:v>
      </x:c>
      <x:c r="G7" s="173" t="n">
        <x:f>COUNTIFS('データ'!$GZ$5:$GZ$42,"〇",'データ'!$IT$5:$IT$42,"〇")</x:f>
        <x:v>3</x:v>
      </x:c>
      <x:c r="H7" s="173" t="n">
        <x:f>COUNTIFS('データ'!$GZ$5:$GZ$42,"〇",'データ'!$IU$5:$IU$42,"〇")</x:f>
        <x:v>6</x:v>
      </x:c>
      <x:c r="I7" s="173" t="n">
        <x:f>COUNTIFS('データ'!$GZ$5:$GZ$42,"〇",'データ'!$IV$5:$IV$42,"〇")</x:f>
        <x:v>10</x:v>
      </x:c>
      <x:c r="J7" s="174" t="n">
        <x:f>COUNTIFS('データ'!$GZ$5:$GZ$42,"〇",'データ'!$IW$5:$IW$42,"〇")</x:f>
        <x:v>1</x:v>
      </x:c>
    </x:row>
    <x:row r="8">
      <x:c r="A8" s="98" t="str">
        <x:v>友人・知人</x:v>
      </x:c>
      <x:c r="B8" s="165" t="n">
        <x:f>COUNTIF('データ'!$HA$5:$HA$42,"〇")</x:f>
        <x:v>6</x:v>
      </x:c>
      <x:c r="C8" s="173" t="n">
        <x:f>COUNTIFS('データ'!$HA$5:$HA$42,"〇",'データ'!$IP$5:$IP$42,"〇")</x:f>
        <x:v>3</x:v>
      </x:c>
      <x:c r="D8" s="173" t="n">
        <x:f>COUNTIFS('データ'!$HA$5:$HA$42,"〇",'データ'!$IQ$5:$IQ$42,"〇")</x:f>
        <x:v>3</x:v>
      </x:c>
      <x:c r="E8" s="173" t="n">
        <x:f>COUNTIFS('データ'!$HA$5:$HA$42,"〇",'データ'!$IR$5:$IR$42,"〇")</x:f>
        <x:v>0</x:v>
      </x:c>
      <x:c r="F8" s="173" t="n">
        <x:f>COUNTIFS('データ'!$HA$5:$HA$42,"〇",'データ'!$IS$5:$IS$42,"〇")</x:f>
        <x:v>3</x:v>
      </x:c>
      <x:c r="G8" s="173" t="n">
        <x:f>COUNTIFS('データ'!$HA$5:$HA$42,"〇",'データ'!$IT$5:$IT$42,"〇")</x:f>
        <x:v>1</x:v>
      </x:c>
      <x:c r="H8" s="173" t="n">
        <x:f>COUNTIFS('データ'!$HA$5:$HA$42,"〇",'データ'!$IU$5:$IU$42,"〇")</x:f>
        <x:v>1</x:v>
      </x:c>
      <x:c r="I8" s="173" t="n">
        <x:f>COUNTIFS('データ'!$HA$5:$HA$42,"〇",'データ'!$IV$5:$IV$42,"〇")</x:f>
        <x:v>2</x:v>
      </x:c>
      <x:c r="J8" s="174" t="n">
        <x:f>COUNTIFS('データ'!$HA$5:$HA$42,"〇",'データ'!$IW$5:$IW$42,"〇")</x:f>
        <x:v>1</x:v>
      </x:c>
    </x:row>
    <x:row r="9">
      <x:c r="A9" s="98" t="str">
        <x:v>村役場</x:v>
      </x:c>
      <x:c r="B9" s="165" t="n">
        <x:f>COUNTIF('データ'!$HB$5:$HB$42,"〇")</x:f>
        <x:v>5</x:v>
      </x:c>
      <x:c r="C9" s="173" t="n">
        <x:f>COUNTIFS('データ'!$HB$5:$HB$42,"〇",'データ'!$IP$5:$IP$42,"〇")</x:f>
        <x:v>2</x:v>
      </x:c>
      <x:c r="D9" s="173" t="n">
        <x:f>COUNTIFS('データ'!$HB$5:$HB$42,"〇",'データ'!$IQ$5:$IQ$42,"〇")</x:f>
        <x:v>1</x:v>
      </x:c>
      <x:c r="E9" s="173" t="n">
        <x:f>COUNTIFS('データ'!$HB$5:$HB$42,"〇",'データ'!$IR$5:$IR$42,"〇")</x:f>
        <x:v>0</x:v>
      </x:c>
      <x:c r="F9" s="173" t="n">
        <x:f>COUNTIFS('データ'!$HB$5:$HB$42,"〇",'データ'!$IS$5:$IS$42,"〇")</x:f>
        <x:v>3</x:v>
      </x:c>
      <x:c r="G9" s="173" t="n">
        <x:f>COUNTIFS('データ'!$HB$5:$HB$42,"〇",'データ'!$IT$5:$IT$42,"〇")</x:f>
        <x:v>1</x:v>
      </x:c>
      <x:c r="H9" s="173" t="n">
        <x:f>COUNTIFS('データ'!$HB$5:$HB$42,"〇",'データ'!$IU$5:$IU$42,"〇")</x:f>
        <x:v>2</x:v>
      </x:c>
      <x:c r="I9" s="173" t="n">
        <x:f>COUNTIFS('データ'!$HB$5:$HB$42,"〇",'データ'!$IV$5:$IV$42,"〇")</x:f>
        <x:v>3</x:v>
      </x:c>
      <x:c r="J9" s="174" t="n">
        <x:f>COUNTIFS('データ'!$HB$5:$HB$42,"〇",'データ'!$IW$5:$IW$42,"〇")</x:f>
        <x:v>0</x:v>
      </x:c>
    </x:row>
    <x:row r="10">
      <x:c r="A10" s="98" t="str">
        <x:v>相談支援専門員</x:v>
      </x:c>
      <x:c r="B10" s="165" t="n">
        <x:f>COUNTIF('データ'!$HC$5:$HC$42,"〇")</x:f>
        <x:v>9</x:v>
      </x:c>
      <x:c r="C10" s="173" t="n">
        <x:f>COUNTIFS('データ'!$HC$5:$HC$42,"〇",'データ'!$IP$5:$IP$42,"〇")</x:f>
        <x:v>5</x:v>
      </x:c>
      <x:c r="D10" s="173" t="n">
        <x:f>COUNTIFS('データ'!$HC$5:$HC$42,"〇",'データ'!$IQ$5:$IQ$42,"〇")</x:f>
        <x:v>6</x:v>
      </x:c>
      <x:c r="E10" s="173" t="n">
        <x:f>COUNTIFS('データ'!$HC$5:$HC$42,"〇",'データ'!$IR$5:$IR$42,"〇")</x:f>
        <x:v>1</x:v>
      </x:c>
      <x:c r="F10" s="173" t="n">
        <x:f>COUNTIFS('データ'!$HC$5:$HC$42,"〇",'データ'!$IS$5:$IS$42,"〇")</x:f>
        <x:v>1</x:v>
      </x:c>
      <x:c r="G10" s="173" t="n">
        <x:f>COUNTIFS('データ'!$HC$5:$HC$42,"〇",'データ'!$IT$5:$IT$42,"〇")</x:f>
        <x:v>0</x:v>
      </x:c>
      <x:c r="H10" s="173" t="n">
        <x:f>COUNTIFS('データ'!$HC$5:$HC$42,"〇",'データ'!$IU$5:$IU$42,"〇")</x:f>
        <x:v>3</x:v>
      </x:c>
      <x:c r="I10" s="173" t="n">
        <x:f>COUNTIFS('データ'!$HC$5:$HC$42,"〇",'データ'!$IV$5:$IV$42,"〇")</x:f>
        <x:v>3</x:v>
      </x:c>
      <x:c r="J10" s="174" t="n">
        <x:f>COUNTIFS('データ'!$HC$5:$HC$42,"〇",'データ'!$IW$5:$IW$42,"〇")</x:f>
        <x:v>0</x:v>
      </x:c>
    </x:row>
    <x:row r="11">
      <x:c r="A11" s="98" t="str">
        <x:v>福祉サービス事業所</x:v>
      </x:c>
      <x:c r="B11" s="165" t="n">
        <x:f>COUNTIF('データ'!$HD$5:$HD$42,"〇")</x:f>
        <x:v>5</x:v>
      </x:c>
      <x:c r="C11" s="173" t="n">
        <x:f>COUNTIFS('データ'!$HD$5:$HD$42,"〇",'データ'!$IP$5:$IP$42,"〇")</x:f>
        <x:v>3</x:v>
      </x:c>
      <x:c r="D11" s="173" t="n">
        <x:f>COUNTIFS('データ'!$HD$5:$HD$42,"〇",'データ'!$IQ$5:$IQ$42,"〇")</x:f>
        <x:v>2</x:v>
      </x:c>
      <x:c r="E11" s="173" t="n">
        <x:f>COUNTIFS('データ'!$HD$5:$HD$42,"〇",'データ'!$IR$5:$IR$42,"〇")</x:f>
        <x:v>0</x:v>
      </x:c>
      <x:c r="F11" s="173" t="n">
        <x:f>COUNTIFS('データ'!$HD$5:$HD$42,"〇",'データ'!$IS$5:$IS$42,"〇")</x:f>
        <x:v>1</x:v>
      </x:c>
      <x:c r="G11" s="173" t="n">
        <x:f>COUNTIFS('データ'!$HD$5:$HD$42,"〇",'データ'!$IT$5:$IT$42,"〇")</x:f>
        <x:v>0</x:v>
      </x:c>
      <x:c r="H11" s="173" t="n">
        <x:f>COUNTIFS('データ'!$HD$5:$HD$42,"〇",'データ'!$IU$5:$IU$42,"〇")</x:f>
        <x:v>1</x:v>
      </x:c>
      <x:c r="I11" s="173" t="n">
        <x:f>COUNTIFS('データ'!$HD$5:$HD$42,"〇",'データ'!$IV$5:$IV$42,"〇")</x:f>
        <x:v>2</x:v>
      </x:c>
      <x:c r="J11" s="174" t="n">
        <x:f>COUNTIFS('データ'!$HD$5:$HD$42,"〇",'データ'!$IW$5:$IW$42,"〇")</x:f>
        <x:v>0</x:v>
      </x:c>
    </x:row>
    <x:row r="12">
      <x:c r="A12" s="98" t="str">
        <x:v>医療機関</x:v>
      </x:c>
      <x:c r="B12" s="165" t="n">
        <x:f>COUNTIF('データ'!$HE$5:$HE$42,"〇")</x:f>
        <x:v>12</x:v>
      </x:c>
      <x:c r="C12" s="173" t="n">
        <x:f>COUNTIFS('データ'!$HE$5:$HE$42,"〇",'データ'!$IP$5:$IP$42,"〇")</x:f>
        <x:v>6</x:v>
      </x:c>
      <x:c r="D12" s="173" t="n">
        <x:f>COUNTIFS('データ'!$HE$5:$HE$42,"〇",'データ'!$IQ$5:$IQ$42,"〇")</x:f>
        <x:v>7</x:v>
      </x:c>
      <x:c r="E12" s="173" t="n">
        <x:f>COUNTIFS('データ'!$HE$5:$HE$42,"〇",'データ'!$IR$5:$IR$42,"〇")</x:f>
        <x:v>0</x:v>
      </x:c>
      <x:c r="F12" s="173" t="n">
        <x:f>COUNTIFS('データ'!$HE$5:$HE$42,"〇",'データ'!$IS$5:$IS$42,"〇")</x:f>
        <x:v>5</x:v>
      </x:c>
      <x:c r="G12" s="173" t="n">
        <x:f>COUNTIFS('データ'!$HE$5:$HE$42,"〇",'データ'!$IT$5:$IT$42,"〇")</x:f>
        <x:v>2</x:v>
      </x:c>
      <x:c r="H12" s="173" t="n">
        <x:f>COUNTIFS('データ'!$HE$5:$HE$42,"〇",'データ'!$IU$5:$IU$42,"〇")</x:f>
        <x:v>4</x:v>
      </x:c>
      <x:c r="I12" s="173" t="n">
        <x:f>COUNTIFS('データ'!$HE$5:$HE$42,"〇",'データ'!$IV$5:$IV$42,"〇")</x:f>
        <x:v>4</x:v>
      </x:c>
      <x:c r="J12" s="174" t="n">
        <x:f>COUNTIFS('データ'!$HE$5:$HE$42,"〇",'データ'!$IW$5:$IW$42,"〇")</x:f>
        <x:v>1</x:v>
      </x:c>
    </x:row>
    <x:row r="13">
      <x:c r="A13" s="98" t="str">
        <x:v>SNS・インターネット・AI</x:v>
      </x:c>
      <x:c r="B13" s="165" t="n">
        <x:f>COUNTIF('データ'!$HF$5:$HF$42,"〇")</x:f>
        <x:v>1</x:v>
      </x:c>
      <x:c r="C13" s="173" t="n">
        <x:f>COUNTIFS('データ'!$HF$5:$HF$42,"〇",'データ'!$IP$5:$IP$42,"〇")</x:f>
        <x:v>1</x:v>
      </x:c>
      <x:c r="D13" s="173" t="n">
        <x:f>COUNTIFS('データ'!$HF$5:$HF$42,"〇",'データ'!$IQ$5:$IQ$42,"〇")</x:f>
        <x:v>0</x:v>
      </x:c>
      <x:c r="E13" s="173" t="n">
        <x:f>COUNTIFS('データ'!$HF$5:$HF$42,"〇",'データ'!$IR$5:$IR$42,"〇")</x:f>
        <x:v>0</x:v>
      </x:c>
      <x:c r="F13" s="173" t="n">
        <x:f>COUNTIFS('データ'!$HF$5:$HF$42,"〇",'データ'!$IS$5:$IS$42,"〇")</x:f>
        <x:v>1</x:v>
      </x:c>
      <x:c r="G13" s="173" t="n">
        <x:f>COUNTIFS('データ'!$HF$5:$HF$42,"〇",'データ'!$IT$5:$IT$42,"〇")</x:f>
        <x:v>1</x:v>
      </x:c>
      <x:c r="H13" s="173" t="n">
        <x:f>COUNTIFS('データ'!$HF$5:$HF$42,"〇",'データ'!$IU$5:$IU$42,"〇")</x:f>
        <x:v>0</x:v>
      </x:c>
      <x:c r="I13" s="173" t="n">
        <x:f>COUNTIFS('データ'!$HF$5:$HF$42,"〇",'データ'!$IV$5:$IV$42,"〇")</x:f>
        <x:v>0</x:v>
      </x:c>
      <x:c r="J13" s="174" t="n">
        <x:f>COUNTIFS('データ'!$HF$5:$HF$42,"〇",'データ'!$IW$5:$IW$42,"〇")</x:f>
        <x:v>0</x:v>
      </x:c>
    </x:row>
    <x:row r="14">
      <x:c r="A14" s="98" t="str">
        <x:v>社会福祉協議会</x:v>
      </x:c>
      <x:c r="B14" s="165" t="n">
        <x:f>COUNTIF('データ'!$HG$5:$HG$42,"〇")</x:f>
        <x:v>4</x:v>
      </x:c>
      <x:c r="C14" s="173" t="n">
        <x:f>COUNTIFS('データ'!$HG$5:$HG$42,"〇",'データ'!$IP$5:$IP$42,"〇")</x:f>
        <x:v>3</x:v>
      </x:c>
      <x:c r="D14" s="173" t="n">
        <x:f>COUNTIFS('データ'!$HG$5:$HG$42,"〇",'データ'!$IQ$5:$IQ$42,"〇")</x:f>
        <x:v>3</x:v>
      </x:c>
      <x:c r="E14" s="173" t="n">
        <x:f>COUNTIFS('データ'!$HG$5:$HG$42,"〇",'データ'!$IR$5:$IR$42,"〇")</x:f>
        <x:v>0</x:v>
      </x:c>
      <x:c r="F14" s="173" t="n">
        <x:f>COUNTIFS('データ'!$HG$5:$HG$42,"〇",'データ'!$IS$5:$IS$42,"〇")</x:f>
        <x:v>1</x:v>
      </x:c>
      <x:c r="G14" s="173" t="n">
        <x:f>COUNTIFS('データ'!$HG$5:$HG$42,"〇",'データ'!$IT$5:$IT$42,"〇")</x:f>
        <x:v>0</x:v>
      </x:c>
      <x:c r="H14" s="173" t="n">
        <x:f>COUNTIFS('データ'!$HG$5:$HG$42,"〇",'データ'!$IU$5:$IU$42,"〇")</x:f>
        <x:v>0</x:v>
      </x:c>
      <x:c r="I14" s="173" t="n">
        <x:f>COUNTIFS('データ'!$HG$5:$HG$42,"〇",'データ'!$IV$5:$IV$42,"〇")</x:f>
        <x:v>0</x:v>
      </x:c>
      <x:c r="J14" s="174" t="n">
        <x:f>COUNTIFS('データ'!$HG$5:$HG$42,"〇",'データ'!$IW$5:$IW$42,"〇")</x:f>
        <x:v>1</x:v>
      </x:c>
    </x:row>
    <x:row r="15">
      <x:c r="A15" s="98" t="str">
        <x:v>民生委員・児童委員</x:v>
      </x:c>
      <x:c r="B15" s="165" t="n">
        <x:f>COUNTIF('データ'!$HH$5:$HH$42,"〇")</x:f>
        <x:v>1</x:v>
      </x:c>
      <x:c r="C15" s="173" t="n">
        <x:f>COUNTIFS('データ'!$HH$5:$HH$42,"〇",'データ'!$IP$5:$IP$42,"〇")</x:f>
        <x:v>1</x:v>
      </x:c>
      <x:c r="D15" s="173" t="n">
        <x:f>COUNTIFS('データ'!$HH$5:$HH$42,"〇",'データ'!$IQ$5:$IQ$42,"〇")</x:f>
        <x:v>1</x:v>
      </x:c>
      <x:c r="E15" s="173" t="n">
        <x:f>COUNTIFS('データ'!$HH$5:$HH$42,"〇",'データ'!$IR$5:$IR$42,"〇")</x:f>
        <x:v>0</x:v>
      </x:c>
      <x:c r="F15" s="173" t="n">
        <x:f>COUNTIFS('データ'!$HH$5:$HH$42,"〇",'データ'!$IS$5:$IS$42,"〇")</x:f>
        <x:v>1</x:v>
      </x:c>
      <x:c r="G15" s="173" t="n">
        <x:f>COUNTIFS('データ'!$HH$5:$HH$42,"〇",'データ'!$IT$5:$IT$42,"〇")</x:f>
        <x:v>0</x:v>
      </x:c>
      <x:c r="H15" s="173" t="n">
        <x:f>COUNTIFS('データ'!$HH$5:$HH$42,"〇",'データ'!$IU$5:$IU$42,"〇")</x:f>
        <x:v>0</x:v>
      </x:c>
      <x:c r="I15" s="173" t="n">
        <x:f>COUNTIFS('データ'!$HH$5:$HH$42,"〇",'データ'!$IV$5:$IV$42,"〇")</x:f>
        <x:v>0</x:v>
      </x:c>
      <x:c r="J15" s="174" t="n">
        <x:f>COUNTIFS('データ'!$HH$5:$HH$42,"〇",'データ'!$IW$5:$IW$42,"〇")</x:f>
        <x:v>1</x:v>
      </x:c>
    </x:row>
    <x:row r="16">
      <x:c r="A16" s="98" t="str">
        <x:v>相談する相手がいない</x:v>
      </x:c>
      <x:c r="B16" s="165" t="n">
        <x:f>COUNTIF('データ'!$HI$5:$HI$42,"〇")</x:f>
        <x:v>1</x:v>
      </x:c>
      <x:c r="C16" s="173" t="n">
        <x:f>COUNTIFS('データ'!$HI$5:$HI$42,"〇",'データ'!$IP$5:$IP$42,"〇")</x:f>
        <x:v>0</x:v>
      </x:c>
      <x:c r="D16" s="173" t="n">
        <x:f>COUNTIFS('データ'!$HI$5:$HI$42,"〇",'データ'!$IQ$5:$IQ$42,"〇")</x:f>
        <x:v>0</x:v>
      </x:c>
      <x:c r="E16" s="173" t="n">
        <x:f>COUNTIFS('データ'!$HI$5:$HI$42,"〇",'データ'!$IR$5:$IR$42,"〇")</x:f>
        <x:v>0</x:v>
      </x:c>
      <x:c r="F16" s="173" t="n">
        <x:f>COUNTIFS('データ'!$HI$5:$HI$42,"〇",'データ'!$IS$5:$IS$42,"〇")</x:f>
        <x:v>0</x:v>
      </x:c>
      <x:c r="G16" s="173" t="n">
        <x:f>COUNTIFS('データ'!$HI$5:$HI$42,"〇",'データ'!$IT$5:$IT$42,"〇")</x:f>
        <x:v>0</x:v>
      </x:c>
      <x:c r="H16" s="173" t="n">
        <x:f>COUNTIFS('データ'!$HI$5:$HI$42,"〇",'データ'!$IU$5:$IU$42,"〇")</x:f>
        <x:v>0</x:v>
      </x:c>
      <x:c r="I16" s="173" t="n">
        <x:f>COUNTIFS('データ'!$HI$5:$HI$42,"〇",'データ'!$IV$5:$IV$42,"〇")</x:f>
        <x:v>1</x:v>
      </x:c>
      <x:c r="J16" s="174" t="n">
        <x:f>COUNTIFS('データ'!$HI$5:$HI$42,"〇",'データ'!$IW$5:$IW$42,"〇")</x:f>
        <x:v>0</x:v>
      </x:c>
    </x:row>
    <x:row r="17">
      <x:c r="A17" s="100" t="str">
        <x:v>その他</x:v>
      </x:c>
      <x:c r="B17" s="167" t="n">
        <x:f>COUNTIF('データ'!$HJ$5:$HJ$42,"〇")</x:f>
        <x:v>1</x:v>
      </x:c>
      <x:c r="C17" s="175" t="n">
        <x:f>COUNTIFS('データ'!$HJ$5:$HJ$42,"〇",'データ'!$IP$5:$IP$42,"〇")</x:f>
        <x:v>0</x:v>
      </x:c>
      <x:c r="D17" s="175" t="n">
        <x:f>COUNTIFS('データ'!$HJ$5:$HJ$42,"〇",'データ'!$IQ$5:$IQ$42,"〇")</x:f>
        <x:v>0</x:v>
      </x:c>
      <x:c r="E17" s="175" t="n">
        <x:f>COUNTIFS('データ'!$HJ$5:$HJ$42,"〇",'データ'!$IR$5:$IR$42,"〇")</x:f>
        <x:v>0</x:v>
      </x:c>
      <x:c r="F17" s="175" t="n">
        <x:f>COUNTIFS('データ'!$HJ$5:$HJ$42,"〇",'データ'!$IS$5:$IS$42,"〇")</x:f>
        <x:v>0</x:v>
      </x:c>
      <x:c r="G17" s="175" t="n">
        <x:f>COUNTIFS('データ'!$HJ$5:$HJ$42,"〇",'データ'!$IT$5:$IT$42,"〇")</x:f>
        <x:v>1</x:v>
      </x:c>
      <x:c r="H17" s="175" t="n">
        <x:f>COUNTIFS('データ'!$HJ$5:$HJ$42,"〇",'データ'!$IU$5:$IU$42,"〇")</x:f>
        <x:v>1</x:v>
      </x:c>
      <x:c r="I17" s="175" t="n">
        <x:f>COUNTIFS('データ'!$HJ$5:$HJ$42,"〇",'データ'!$IV$5:$IV$42,"〇")</x:f>
        <x:v>0</x:v>
      </x:c>
      <x:c r="J17" s="176" t="n">
        <x:f>COUNTIFS('データ'!$HJ$5:$HJ$42,"〇",'データ'!$IW$5:$IW$42,"〇")</x:f>
        <x:v>0</x:v>
      </x:c>
    </x:row>
    <x:row r="18">
      <x:c r="C18" s="94"/>
      <x:c r="D18" s="94"/>
      <x:c r="E18" s="94"/>
      <x:c r="F18" s="94"/>
      <x:c r="G18" s="94"/>
      <x:c r="H18" s="94"/>
      <x:c r="I18" s="94"/>
      <x:c r="J18" s="94"/>
    </x:row>
    <x:row r="19">
      <x:c r="C19" s="94"/>
      <x:c r="D19" s="94"/>
      <x:c r="E19" s="94"/>
      <x:c r="F19" s="94"/>
      <x:c r="G19" s="94"/>
      <x:c r="H19" s="94"/>
      <x:c r="I19" s="94"/>
      <x:c r="J19" s="94"/>
    </x:row>
    <x:row r="20">
      <x:c r="A20" s="139" t="str">
        <x:v>行％（各行のnを100％とした割合）</x:v>
      </x:c>
      <x:c r="B20" s="139"/>
      <x:c r="C20" s="177"/>
      <x:c r="D20" s="177"/>
      <x:c r="E20" s="177"/>
      <x:c r="F20" s="177"/>
      <x:c r="G20" s="177"/>
      <x:c r="H20" s="177"/>
      <x:c r="I20" s="177"/>
      <x:c r="J20" s="177"/>
    </x:row>
    <x:row r="21" ht="54" customHeight="1">
      <x:c r="A21" s="96" t="str">
        <x:v>行区分</x:v>
      </x:c>
      <x:c r="B21" s="145" t="str">
        <x:v>n</x:v>
      </x:c>
      <x:c r="C21" s="145" t="str">
        <x:v>サービス利用の相談</x:v>
      </x:c>
      <x:c r="D21" s="145" t="str">
        <x:v>将来の暮らしの相談</x:v>
      </x:c>
      <x:c r="E21" s="145" t="str">
        <x:v>就労・日中活動の相談</x:v>
      </x:c>
      <x:c r="F21" s="145" t="str">
        <x:v>医療・通院の相談</x:v>
      </x:c>
      <x:c r="G21" s="145" t="str">
        <x:v>家族の負担軽減</x:v>
      </x:c>
      <x:c r="H21" s="145" t="str">
        <x:v>緊急時の相談</x:v>
      </x:c>
      <x:c r="I21" s="145" t="str">
        <x:v>わかりやすい情報提供</x:v>
      </x:c>
      <x:c r="J21" s="97" t="str">
        <x:v>その他</x:v>
      </x:c>
    </x:row>
    <x:row r="22">
      <x:c r="A22" s="98" t="str">
        <x:v>家族・親族</x:v>
      </x:c>
      <x:c r="B22" s="122" t="n">
        <x:f>B7</x:f>
        <x:v>29</x:v>
      </x:c>
      <x:c r="C22" s="143" t="n">
        <x:f>IF($B22=0,"",C7/$B22)</x:f>
        <x:v>0.27586206896551724</x:v>
      </x:c>
      <x:c r="D22" s="143" t="n">
        <x:f>IF($B22=0,"",D7/$B22)</x:f>
        <x:v>0.27586206896551724</x:v>
      </x:c>
      <x:c r="E22" s="143" t="n">
        <x:f>IF($B22=0,"",E7/$B22)</x:f>
        <x:v>0.034482758620689655</x:v>
      </x:c>
      <x:c r="F22" s="143" t="n">
        <x:f>IF($B22=0,"",F7/$B22)</x:f>
        <x:v>0.20689655172413793</x:v>
      </x:c>
      <x:c r="G22" s="143" t="n">
        <x:f>IF($B22=0,"",G7/$B22)</x:f>
        <x:v>0.10344827586206896</x:v>
      </x:c>
      <x:c r="H22" s="143" t="n">
        <x:f>IF($B22=0,"",H7/$B22)</x:f>
        <x:v>0.20689655172413793</x:v>
      </x:c>
      <x:c r="I22" s="143" t="n">
        <x:f>IF($B22=0,"",I7/$B22)</x:f>
        <x:v>0.3448275862068966</x:v>
      </x:c>
      <x:c r="J22" s="146" t="n">
        <x:f>IF($B22=0,"",J7/$B22)</x:f>
        <x:v>0.034482758620689655</x:v>
      </x:c>
    </x:row>
    <x:row r="23">
      <x:c r="A23" s="98" t="str">
        <x:v>友人・知人</x:v>
      </x:c>
      <x:c r="B23" s="122" t="n">
        <x:f>B8</x:f>
        <x:v>6</x:v>
      </x:c>
      <x:c r="C23" s="143" t="n">
        <x:f>IF($B23=0,"",C8/$B23)</x:f>
        <x:v>0.5</x:v>
      </x:c>
      <x:c r="D23" s="143" t="n">
        <x:f>IF($B23=0,"",D8/$B23)</x:f>
        <x:v>0.5</x:v>
      </x:c>
      <x:c r="E23" s="143" t="n">
        <x:f>IF($B23=0,"",E8/$B23)</x:f>
        <x:v>0</x:v>
      </x:c>
      <x:c r="F23" s="143" t="n">
        <x:f>IF($B23=0,"",F8/$B23)</x:f>
        <x:v>0.5</x:v>
      </x:c>
      <x:c r="G23" s="143" t="n">
        <x:f>IF($B23=0,"",G8/$B23)</x:f>
        <x:v>0.16666666666666666</x:v>
      </x:c>
      <x:c r="H23" s="143" t="n">
        <x:f>IF($B23=0,"",H8/$B23)</x:f>
        <x:v>0.16666666666666666</x:v>
      </x:c>
      <x:c r="I23" s="143" t="n">
        <x:f>IF($B23=0,"",I8/$B23)</x:f>
        <x:v>0.3333333333333333</x:v>
      </x:c>
      <x:c r="J23" s="146" t="n">
        <x:f>IF($B23=0,"",J8/$B23)</x:f>
        <x:v>0.16666666666666666</x:v>
      </x:c>
    </x:row>
    <x:row r="24">
      <x:c r="A24" s="98" t="str">
        <x:v>村役場</x:v>
      </x:c>
      <x:c r="B24" s="122" t="n">
        <x:f>B9</x:f>
        <x:v>5</x:v>
      </x:c>
      <x:c r="C24" s="143" t="n">
        <x:f>IF($B24=0,"",C9/$B24)</x:f>
        <x:v>0.4</x:v>
      </x:c>
      <x:c r="D24" s="143" t="n">
        <x:f>IF($B24=0,"",D9/$B24)</x:f>
        <x:v>0.2</x:v>
      </x:c>
      <x:c r="E24" s="143" t="n">
        <x:f>IF($B24=0,"",E9/$B24)</x:f>
        <x:v>0</x:v>
      </x:c>
      <x:c r="F24" s="143" t="n">
        <x:f>IF($B24=0,"",F9/$B24)</x:f>
        <x:v>0.6</x:v>
      </x:c>
      <x:c r="G24" s="143" t="n">
        <x:f>IF($B24=0,"",G9/$B24)</x:f>
        <x:v>0.2</x:v>
      </x:c>
      <x:c r="H24" s="143" t="n">
        <x:f>IF($B24=0,"",H9/$B24)</x:f>
        <x:v>0.4</x:v>
      </x:c>
      <x:c r="I24" s="143" t="n">
        <x:f>IF($B24=0,"",I9/$B24)</x:f>
        <x:v>0.6</x:v>
      </x:c>
      <x:c r="J24" s="146" t="n">
        <x:f>IF($B24=0,"",J9/$B24)</x:f>
        <x:v>0</x:v>
      </x:c>
    </x:row>
    <x:row r="25">
      <x:c r="A25" s="98" t="str">
        <x:v>相談支援専門員</x:v>
      </x:c>
      <x:c r="B25" s="122" t="n">
        <x:f>B10</x:f>
        <x:v>9</x:v>
      </x:c>
      <x:c r="C25" s="143" t="n">
        <x:f>IF($B25=0,"",C10/$B25)</x:f>
        <x:v>0.5555555555555556</x:v>
      </x:c>
      <x:c r="D25" s="143" t="n">
        <x:f>IF($B25=0,"",D10/$B25)</x:f>
        <x:v>0.6666666666666666</x:v>
      </x:c>
      <x:c r="E25" s="143" t="n">
        <x:f>IF($B25=0,"",E10/$B25)</x:f>
        <x:v>0.1111111111111111</x:v>
      </x:c>
      <x:c r="F25" s="143" t="n">
        <x:f>IF($B25=0,"",F10/$B25)</x:f>
        <x:v>0.1111111111111111</x:v>
      </x:c>
      <x:c r="G25" s="143" t="n">
        <x:f>IF($B25=0,"",G10/$B25)</x:f>
        <x:v>0</x:v>
      </x:c>
      <x:c r="H25" s="143" t="n">
        <x:f>IF($B25=0,"",H10/$B25)</x:f>
        <x:v>0.3333333333333333</x:v>
      </x:c>
      <x:c r="I25" s="143" t="n">
        <x:f>IF($B25=0,"",I10/$B25)</x:f>
        <x:v>0.3333333333333333</x:v>
      </x:c>
      <x:c r="J25" s="146" t="n">
        <x:f>IF($B25=0,"",J10/$B25)</x:f>
        <x:v>0</x:v>
      </x:c>
    </x:row>
    <x:row r="26">
      <x:c r="A26" s="98" t="str">
        <x:v>福祉サービス事業所</x:v>
      </x:c>
      <x:c r="B26" s="122" t="n">
        <x:f>B11</x:f>
        <x:v>5</x:v>
      </x:c>
      <x:c r="C26" s="143" t="n">
        <x:f>IF($B26=0,"",C11/$B26)</x:f>
        <x:v>0.6</x:v>
      </x:c>
      <x:c r="D26" s="143" t="n">
        <x:f>IF($B26=0,"",D11/$B26)</x:f>
        <x:v>0.4</x:v>
      </x:c>
      <x:c r="E26" s="143" t="n">
        <x:f>IF($B26=0,"",E11/$B26)</x:f>
        <x:v>0</x:v>
      </x:c>
      <x:c r="F26" s="143" t="n">
        <x:f>IF($B26=0,"",F11/$B26)</x:f>
        <x:v>0.2</x:v>
      </x:c>
      <x:c r="G26" s="143" t="n">
        <x:f>IF($B26=0,"",G11/$B26)</x:f>
        <x:v>0</x:v>
      </x:c>
      <x:c r="H26" s="143" t="n">
        <x:f>IF($B26=0,"",H11/$B26)</x:f>
        <x:v>0.2</x:v>
      </x:c>
      <x:c r="I26" s="143" t="n">
        <x:f>IF($B26=0,"",I11/$B26)</x:f>
        <x:v>0.4</x:v>
      </x:c>
      <x:c r="J26" s="146" t="n">
        <x:f>IF($B26=0,"",J11/$B26)</x:f>
        <x:v>0</x:v>
      </x:c>
    </x:row>
    <x:row r="27">
      <x:c r="A27" s="98" t="str">
        <x:v>医療機関</x:v>
      </x:c>
      <x:c r="B27" s="122" t="n">
        <x:f>B12</x:f>
        <x:v>12</x:v>
      </x:c>
      <x:c r="C27" s="143" t="n">
        <x:f>IF($B27=0,"",C12/$B27)</x:f>
        <x:v>0.5</x:v>
      </x:c>
      <x:c r="D27" s="143" t="n">
        <x:f>IF($B27=0,"",D12/$B27)</x:f>
        <x:v>0.5833333333333334</x:v>
      </x:c>
      <x:c r="E27" s="143" t="n">
        <x:f>IF($B27=0,"",E12/$B27)</x:f>
        <x:v>0</x:v>
      </x:c>
      <x:c r="F27" s="143" t="n">
        <x:f>IF($B27=0,"",F12/$B27)</x:f>
        <x:v>0.4166666666666667</x:v>
      </x:c>
      <x:c r="G27" s="143" t="n">
        <x:f>IF($B27=0,"",G12/$B27)</x:f>
        <x:v>0.16666666666666666</x:v>
      </x:c>
      <x:c r="H27" s="143" t="n">
        <x:f>IF($B27=0,"",H12/$B27)</x:f>
        <x:v>0.3333333333333333</x:v>
      </x:c>
      <x:c r="I27" s="143" t="n">
        <x:f>IF($B27=0,"",I12/$B27)</x:f>
        <x:v>0.3333333333333333</x:v>
      </x:c>
      <x:c r="J27" s="146" t="n">
        <x:f>IF($B27=0,"",J12/$B27)</x:f>
        <x:v>0.08333333333333333</x:v>
      </x:c>
    </x:row>
    <x:row r="28">
      <x:c r="A28" s="98" t="str">
        <x:v>SNS・インターネット・AI</x:v>
      </x:c>
      <x:c r="B28" s="122" t="n">
        <x:f>B13</x:f>
        <x:v>1</x:v>
      </x:c>
      <x:c r="C28" s="143" t="n">
        <x:f>IF($B28=0,"",C13/$B28)</x:f>
        <x:v>1</x:v>
      </x:c>
      <x:c r="D28" s="143" t="n">
        <x:f>IF($B28=0,"",D13/$B28)</x:f>
        <x:v>0</x:v>
      </x:c>
      <x:c r="E28" s="143" t="n">
        <x:f>IF($B28=0,"",E13/$B28)</x:f>
        <x:v>0</x:v>
      </x:c>
      <x:c r="F28" s="143" t="n">
        <x:f>IF($B28=0,"",F13/$B28)</x:f>
        <x:v>1</x:v>
      </x:c>
      <x:c r="G28" s="143" t="n">
        <x:f>IF($B28=0,"",G13/$B28)</x:f>
        <x:v>1</x:v>
      </x:c>
      <x:c r="H28" s="143" t="n">
        <x:f>IF($B28=0,"",H13/$B28)</x:f>
        <x:v>0</x:v>
      </x:c>
      <x:c r="I28" s="143" t="n">
        <x:f>IF($B28=0,"",I13/$B28)</x:f>
        <x:v>0</x:v>
      </x:c>
      <x:c r="J28" s="146" t="n">
        <x:f>IF($B28=0,"",J13/$B28)</x:f>
        <x:v>0</x:v>
      </x:c>
    </x:row>
    <x:row r="29">
      <x:c r="A29" s="98" t="str">
        <x:v>社会福祉協議会</x:v>
      </x:c>
      <x:c r="B29" s="122" t="n">
        <x:f>B14</x:f>
        <x:v>4</x:v>
      </x:c>
      <x:c r="C29" s="143" t="n">
        <x:f>IF($B29=0,"",C14/$B29)</x:f>
        <x:v>0.75</x:v>
      </x:c>
      <x:c r="D29" s="143" t="n">
        <x:f>IF($B29=0,"",D14/$B29)</x:f>
        <x:v>0.75</x:v>
      </x:c>
      <x:c r="E29" s="143" t="n">
        <x:f>IF($B29=0,"",E14/$B29)</x:f>
        <x:v>0</x:v>
      </x:c>
      <x:c r="F29" s="143" t="n">
        <x:f>IF($B29=0,"",F14/$B29)</x:f>
        <x:v>0.25</x:v>
      </x:c>
      <x:c r="G29" s="143" t="n">
        <x:f>IF($B29=0,"",G14/$B29)</x:f>
        <x:v>0</x:v>
      </x:c>
      <x:c r="H29" s="143" t="n">
        <x:f>IF($B29=0,"",H14/$B29)</x:f>
        <x:v>0</x:v>
      </x:c>
      <x:c r="I29" s="143" t="n">
        <x:f>IF($B29=0,"",I14/$B29)</x:f>
        <x:v>0</x:v>
      </x:c>
      <x:c r="J29" s="146" t="n">
        <x:f>IF($B29=0,"",J14/$B29)</x:f>
        <x:v>0.25</x:v>
      </x:c>
    </x:row>
    <x:row r="30">
      <x:c r="A30" s="98" t="str">
        <x:v>民生委員・児童委員</x:v>
      </x:c>
      <x:c r="B30" s="122" t="n">
        <x:f>B15</x:f>
        <x:v>1</x:v>
      </x:c>
      <x:c r="C30" s="143" t="n">
        <x:f>IF($B30=0,"",C15/$B30)</x:f>
        <x:v>1</x:v>
      </x:c>
      <x:c r="D30" s="143" t="n">
        <x:f>IF($B30=0,"",D15/$B30)</x:f>
        <x:v>1</x:v>
      </x:c>
      <x:c r="E30" s="143" t="n">
        <x:f>IF($B30=0,"",E15/$B30)</x:f>
        <x:v>0</x:v>
      </x:c>
      <x:c r="F30" s="143" t="n">
        <x:f>IF($B30=0,"",F15/$B30)</x:f>
        <x:v>1</x:v>
      </x:c>
      <x:c r="G30" s="143" t="n">
        <x:f>IF($B30=0,"",G15/$B30)</x:f>
        <x:v>0</x:v>
      </x:c>
      <x:c r="H30" s="143" t="n">
        <x:f>IF($B30=0,"",H15/$B30)</x:f>
        <x:v>0</x:v>
      </x:c>
      <x:c r="I30" s="143" t="n">
        <x:f>IF($B30=0,"",I15/$B30)</x:f>
        <x:v>0</x:v>
      </x:c>
      <x:c r="J30" s="146" t="n">
        <x:f>IF($B30=0,"",J15/$B30)</x:f>
        <x:v>1</x:v>
      </x:c>
    </x:row>
    <x:row r="31">
      <x:c r="A31" s="98" t="str">
        <x:v>相談する相手がいない</x:v>
      </x:c>
      <x:c r="B31" s="122" t="n">
        <x:f>B16</x:f>
        <x:v>1</x:v>
      </x:c>
      <x:c r="C31" s="143" t="n">
        <x:f>IF($B31=0,"",C16/$B31)</x:f>
        <x:v>0</x:v>
      </x:c>
      <x:c r="D31" s="143" t="n">
        <x:f>IF($B31=0,"",D16/$B31)</x:f>
        <x:v>0</x:v>
      </x:c>
      <x:c r="E31" s="143" t="n">
        <x:f>IF($B31=0,"",E16/$B31)</x:f>
        <x:v>0</x:v>
      </x:c>
      <x:c r="F31" s="143" t="n">
        <x:f>IF($B31=0,"",F16/$B31)</x:f>
        <x:v>0</x:v>
      </x:c>
      <x:c r="G31" s="143" t="n">
        <x:f>IF($B31=0,"",G16/$B31)</x:f>
        <x:v>0</x:v>
      </x:c>
      <x:c r="H31" s="143" t="n">
        <x:f>IF($B31=0,"",H16/$B31)</x:f>
        <x:v>0</x:v>
      </x:c>
      <x:c r="I31" s="143" t="n">
        <x:f>IF($B31=0,"",I16/$B31)</x:f>
        <x:v>1</x:v>
      </x:c>
      <x:c r="J31" s="146" t="n">
        <x:f>IF($B31=0,"",J16/$B31)</x:f>
        <x:v>0</x:v>
      </x:c>
    </x:row>
    <x:row r="32">
      <x:c r="A32" s="100" t="str">
        <x:v>その他</x:v>
      </x:c>
      <x:c r="B32" s="125" t="n">
        <x:f>B17</x:f>
        <x:v>1</x:v>
      </x:c>
      <x:c r="C32" s="159" t="n">
        <x:f>IF($B32=0,"",C17/$B32)</x:f>
        <x:v>0</x:v>
      </x:c>
      <x:c r="D32" s="159" t="n">
        <x:f>IF($B32=0,"",D17/$B32)</x:f>
        <x:v>0</x:v>
      </x:c>
      <x:c r="E32" s="159" t="n">
        <x:f>IF($B32=0,"",E17/$B32)</x:f>
        <x:v>0</x:v>
      </x:c>
      <x:c r="F32" s="159" t="n">
        <x:f>IF($B32=0,"",F17/$B32)</x:f>
        <x:v>0</x:v>
      </x:c>
      <x:c r="G32" s="159" t="n">
        <x:f>IF($B32=0,"",G17/$B32)</x:f>
        <x:v>1</x:v>
      </x:c>
      <x:c r="H32" s="159" t="n">
        <x:f>IF($B32=0,"",H17/$B32)</x:f>
        <x:v>1</x:v>
      </x:c>
      <x:c r="I32" s="159" t="n">
        <x:f>IF($B32=0,"",I17/$B32)</x:f>
        <x:v>0</x:v>
      </x:c>
      <x:c r="J32" s="147" t="n">
        <x:f>IF($B32=0,"",J17/$B32)</x:f>
        <x:v>0</x:v>
      </x:c>
    </x:row>
  </x:sheetData>
  <x:mergeCells>
    <x:mergeCell ref="A1:J2"/>
    <x:mergeCell ref="A3:J3"/>
    <x:mergeCell ref="A4:J4"/>
    <x:mergeCell ref="A20:J20"/>
  </x:mergeCells>
  <x:conditionalFormatting sqref="B7:B17">
    <x:cfRule type="cellIs" dxfId="8" priority="1" operator="lessThan">
      <x:formula>5</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79" t="str">
        <x:v>問9 × 問29 クロス分析</x:v>
      </x:c>
      <x:c r="B1" s="79"/>
      <x:c r="C1" s="79"/>
      <x:c r="D1" s="79"/>
      <x:c r="E1" s="79"/>
      <x:c r="F1" s="79"/>
      <x:c r="G1" s="79"/>
      <x:c r="H1" s="79"/>
      <x:c r="I1" s="79"/>
      <x:c r="J1" s="79"/>
      <x:c r="K1" s="79"/>
    </x:row>
    <x:row r="2">
      <x:c r="A2" s="79"/>
      <x:c r="B2" s="79"/>
      <x:c r="C2" s="79"/>
      <x:c r="D2" s="79"/>
      <x:c r="E2" s="79"/>
      <x:c r="F2" s="79"/>
      <x:c r="G2" s="79"/>
      <x:c r="H2" s="79"/>
      <x:c r="I2" s="79"/>
      <x:c r="J2" s="79"/>
      <x:c r="K2" s="79"/>
    </x:row>
    <x:row r="3">
      <x:c r="A3" s="139" t="str">
        <x:v>主な介助者別の地域生活支援拠点への期待</x:v>
      </x:c>
      <x:c r="B3" s="139"/>
      <x:c r="C3" s="139"/>
      <x:c r="D3" s="139"/>
      <x:c r="E3" s="139"/>
      <x:c r="F3" s="139"/>
      <x:c r="G3" s="139"/>
      <x:c r="H3" s="139"/>
      <x:c r="I3" s="139"/>
      <x:c r="J3" s="139"/>
      <x:c r="K3" s="139"/>
    </x:row>
    <x:row r="4">
      <x:c r="A4" s="154" t="str">
        <x:v>行：問9「日常生活で主に支援・介助してくれる方はどなたですか（あてはまるものすべて）」／列：問29「緊急時の相談や短期入所など支援を行う地域生活支援拠点について期待する機能は何ですか（あてはまるものすべて）」。件数表のnは行カテゴリ該当者数。行％はそのnを分母としています。複数回答設問では行％合計は100％にならない場合があります。</x:v>
      </x:c>
      <x:c r="B4" s="154"/>
      <x:c r="C4" s="154"/>
      <x:c r="D4" s="154"/>
      <x:c r="E4" s="154"/>
      <x:c r="F4" s="154"/>
      <x:c r="G4" s="154"/>
      <x:c r="H4" s="154"/>
      <x:c r="I4" s="154"/>
      <x:c r="J4" s="154"/>
      <x:c r="K4" s="154"/>
    </x:row>
    <x:row r="6" ht="54" customHeight="1">
      <x:c r="A6" s="96" t="str">
        <x:v>行区分</x:v>
      </x:c>
      <x:c r="B6" s="145" t="str">
        <x:v>n</x:v>
      </x:c>
      <x:c r="C6" s="145" t="str">
        <x:v>緊急時の相談</x:v>
      </x:c>
      <x:c r="D6" s="145" t="str">
        <x:v>緊急時の受入れ</x:v>
      </x:c>
      <x:c r="E6" s="145" t="str">
        <x:v>短期入所の確保</x:v>
      </x:c>
      <x:c r="F6" s="145" t="str">
        <x:v>一人暮らし・グループホーム体験</x:v>
      </x:c>
      <x:c r="G6" s="145" t="str">
        <x:v>専門的人材の確保</x:v>
      </x:c>
      <x:c r="H6" s="145" t="str">
        <x:v>地域の事業所との連携</x:v>
      </x:c>
      <x:c r="I6" s="145" t="str">
        <x:v>制度を知らない</x:v>
      </x:c>
      <x:c r="J6" s="145" t="str">
        <x:v>特にない</x:v>
      </x:c>
      <x:c r="K6" s="97" t="str">
        <x:v>その他</x:v>
      </x:c>
    </x:row>
    <x:row r="7">
      <x:c r="A7" s="98" t="str">
        <x:v>介助は必要ない</x:v>
      </x:c>
      <x:c r="B7" s="165" t="n">
        <x:f>COUNTIF('データ'!$CA$5:$CA$42,"〇")</x:f>
        <x:v>17</x:v>
      </x:c>
      <x:c r="C7" s="173" t="n">
        <x:f>COUNTIFS('データ'!$CA$5:$CA$42,"〇",'データ'!$LS$5:$LS$42,"〇")</x:f>
        <x:v>5</x:v>
      </x:c>
      <x:c r="D7" s="173" t="n">
        <x:f>COUNTIFS('データ'!$CA$5:$CA$42,"〇",'データ'!$LT$5:$LT$42,"〇")</x:f>
        <x:v>4</x:v>
      </x:c>
      <x:c r="E7" s="173" t="n">
        <x:f>COUNTIFS('データ'!$CA$5:$CA$42,"〇",'データ'!$LU$5:$LU$42,"〇")</x:f>
        <x:v>0</x:v>
      </x:c>
      <x:c r="F7" s="173" t="n">
        <x:f>COUNTIFS('データ'!$CA$5:$CA$42,"〇",'データ'!$LV$5:$LV$42,"〇")</x:f>
        <x:v>0</x:v>
      </x:c>
      <x:c r="G7" s="173" t="n">
        <x:f>COUNTIFS('データ'!$CA$5:$CA$42,"〇",'データ'!$LW$5:$LW$42,"〇")</x:f>
        <x:v>4</x:v>
      </x:c>
      <x:c r="H7" s="173" t="n">
        <x:f>COUNTIFS('データ'!$CA$5:$CA$42,"〇",'データ'!$LX$5:$LX$42,"〇")</x:f>
        <x:v>3</x:v>
      </x:c>
      <x:c r="I7" s="173" t="n">
        <x:f>COUNTIFS('データ'!$CA$5:$CA$42,"〇",'データ'!$LY$5:$LY$42,"〇")</x:f>
        <x:v>3</x:v>
      </x:c>
      <x:c r="J7" s="173" t="n">
        <x:f>COUNTIFS('データ'!$CA$5:$CA$42,"〇",'データ'!$LZ$5:$LZ$42,"〇")</x:f>
        <x:v>4</x:v>
      </x:c>
      <x:c r="K7" s="174" t="n">
        <x:f>COUNTIFS('データ'!$CA$5:$CA$42,"〇",'データ'!$MA$5:$MA$42,"〇")</x:f>
        <x:v>0</x:v>
      </x:c>
    </x:row>
    <x:row r="8">
      <x:c r="A8" s="98" t="str">
        <x:v>親</x:v>
      </x:c>
      <x:c r="B8" s="165" t="n">
        <x:f>COUNTIF('データ'!$CB$5:$CB$42,"〇")</x:f>
        <x:v>5</x:v>
      </x:c>
      <x:c r="C8" s="173" t="n">
        <x:f>COUNTIFS('データ'!$CB$5:$CB$42,"〇",'データ'!$LS$5:$LS$42,"〇")</x:f>
        <x:v>1</x:v>
      </x:c>
      <x:c r="D8" s="173" t="n">
        <x:f>COUNTIFS('データ'!$CB$5:$CB$42,"〇",'データ'!$LT$5:$LT$42,"〇")</x:f>
        <x:v>2</x:v>
      </x:c>
      <x:c r="E8" s="173" t="n">
        <x:f>COUNTIFS('データ'!$CB$5:$CB$42,"〇",'データ'!$LU$5:$LU$42,"〇")</x:f>
        <x:v>1</x:v>
      </x:c>
      <x:c r="F8" s="173" t="n">
        <x:f>COUNTIFS('データ'!$CB$5:$CB$42,"〇",'データ'!$LV$5:$LV$42,"〇")</x:f>
        <x:v>0</x:v>
      </x:c>
      <x:c r="G8" s="173" t="n">
        <x:f>COUNTIFS('データ'!$CB$5:$CB$42,"〇",'データ'!$LW$5:$LW$42,"〇")</x:f>
        <x:v>0</x:v>
      </x:c>
      <x:c r="H8" s="173" t="n">
        <x:f>COUNTIFS('データ'!$CB$5:$CB$42,"〇",'データ'!$LX$5:$LX$42,"〇")</x:f>
        <x:v>0</x:v>
      </x:c>
      <x:c r="I8" s="173" t="n">
        <x:f>COUNTIFS('データ'!$CB$5:$CB$42,"〇",'データ'!$LY$5:$LY$42,"〇")</x:f>
        <x:v>2</x:v>
      </x:c>
      <x:c r="J8" s="173" t="n">
        <x:f>COUNTIFS('データ'!$CB$5:$CB$42,"〇",'データ'!$LZ$5:$LZ$42,"〇")</x:f>
        <x:v>0</x:v>
      </x:c>
      <x:c r="K8" s="174" t="n">
        <x:f>COUNTIFS('データ'!$CB$5:$CB$42,"〇",'データ'!$MA$5:$MA$42,"〇")</x:f>
        <x:v>0</x:v>
      </x:c>
    </x:row>
    <x:row r="9">
      <x:c r="A9" s="98" t="str">
        <x:v>配偶者</x:v>
      </x:c>
      <x:c r="B9" s="165" t="n">
        <x:f>COUNTIF('データ'!$CC$5:$CC$42,"〇")</x:f>
        <x:v>6</x:v>
      </x:c>
      <x:c r="C9" s="173" t="n">
        <x:f>COUNTIFS('データ'!$CC$5:$CC$42,"〇",'データ'!$LS$5:$LS$42,"〇")</x:f>
        <x:v>3</x:v>
      </x:c>
      <x:c r="D9" s="173" t="n">
        <x:f>COUNTIFS('データ'!$CC$5:$CC$42,"〇",'データ'!$LT$5:$LT$42,"〇")</x:f>
        <x:v>3</x:v>
      </x:c>
      <x:c r="E9" s="173" t="n">
        <x:f>COUNTIFS('データ'!$CC$5:$CC$42,"〇",'データ'!$LU$5:$LU$42,"〇")</x:f>
        <x:v>1</x:v>
      </x:c>
      <x:c r="F9" s="173" t="n">
        <x:f>COUNTIFS('データ'!$CC$5:$CC$42,"〇",'データ'!$LV$5:$LV$42,"〇")</x:f>
        <x:v>0</x:v>
      </x:c>
      <x:c r="G9" s="173" t="n">
        <x:f>COUNTIFS('データ'!$CC$5:$CC$42,"〇",'データ'!$LW$5:$LW$42,"〇")</x:f>
        <x:v>1</x:v>
      </x:c>
      <x:c r="H9" s="173" t="n">
        <x:f>COUNTIFS('データ'!$CC$5:$CC$42,"〇",'データ'!$LX$5:$LX$42,"〇")</x:f>
        <x:v>1</x:v>
      </x:c>
      <x:c r="I9" s="173" t="n">
        <x:f>COUNTIFS('データ'!$CC$5:$CC$42,"〇",'データ'!$LY$5:$LY$42,"〇")</x:f>
        <x:v>2</x:v>
      </x:c>
      <x:c r="J9" s="173" t="n">
        <x:f>COUNTIFS('データ'!$CC$5:$CC$42,"〇",'データ'!$LZ$5:$LZ$42,"〇")</x:f>
        <x:v>0</x:v>
      </x:c>
      <x:c r="K9" s="174" t="n">
        <x:f>COUNTIFS('データ'!$CC$5:$CC$42,"〇",'データ'!$MA$5:$MA$42,"〇")</x:f>
        <x:v>0</x:v>
      </x:c>
    </x:row>
    <x:row r="10">
      <x:c r="A10" s="98" t="str">
        <x:v>子ども</x:v>
      </x:c>
      <x:c r="B10" s="165" t="n">
        <x:f>COUNTIF('データ'!$CD$5:$CD$42,"〇")</x:f>
        <x:v>9</x:v>
      </x:c>
      <x:c r="C10" s="173" t="n">
        <x:f>COUNTIFS('データ'!$CD$5:$CD$42,"〇",'データ'!$LS$5:$LS$42,"〇")</x:f>
        <x:v>2</x:v>
      </x:c>
      <x:c r="D10" s="173" t="n">
        <x:f>COUNTIFS('データ'!$CD$5:$CD$42,"〇",'データ'!$LT$5:$LT$42,"〇")</x:f>
        <x:v>1</x:v>
      </x:c>
      <x:c r="E10" s="173" t="n">
        <x:f>COUNTIFS('データ'!$CD$5:$CD$42,"〇",'データ'!$LU$5:$LU$42,"〇")</x:f>
        <x:v>0</x:v>
      </x:c>
      <x:c r="F10" s="173" t="n">
        <x:f>COUNTIFS('データ'!$CD$5:$CD$42,"〇",'データ'!$LV$5:$LV$42,"〇")</x:f>
        <x:v>0</x:v>
      </x:c>
      <x:c r="G10" s="173" t="n">
        <x:f>COUNTIFS('データ'!$CD$5:$CD$42,"〇",'データ'!$LW$5:$LW$42,"〇")</x:f>
        <x:v>0</x:v>
      </x:c>
      <x:c r="H10" s="173" t="n">
        <x:f>COUNTIFS('データ'!$CD$5:$CD$42,"〇",'データ'!$LX$5:$LX$42,"〇")</x:f>
        <x:v>1</x:v>
      </x:c>
      <x:c r="I10" s="173" t="n">
        <x:f>COUNTIFS('データ'!$CD$5:$CD$42,"〇",'データ'!$LY$5:$LY$42,"〇")</x:f>
        <x:v>2</x:v>
      </x:c>
      <x:c r="J10" s="173" t="n">
        <x:f>COUNTIFS('データ'!$CD$5:$CD$42,"〇",'データ'!$LZ$5:$LZ$42,"〇")</x:f>
        <x:v>1</x:v>
      </x:c>
      <x:c r="K10" s="174" t="n">
        <x:f>COUNTIFS('データ'!$CD$5:$CD$42,"〇",'データ'!$MA$5:$MA$42,"〇")</x:f>
        <x:v>0</x:v>
      </x:c>
    </x:row>
    <x:row r="11">
      <x:c r="A11" s="98" t="str">
        <x:v>兄弟姉妹</x:v>
      </x:c>
      <x:c r="B11" s="165" t="n">
        <x:f>COUNTIF('データ'!$CE$5:$CE$42,"〇")</x:f>
        <x:v>0</x:v>
      </x:c>
      <x:c r="C11" s="173" t="n">
        <x:f>COUNTIFS('データ'!$CE$5:$CE$42,"〇",'データ'!$LS$5:$LS$42,"〇")</x:f>
        <x:v>0</x:v>
      </x:c>
      <x:c r="D11" s="173" t="n">
        <x:f>COUNTIFS('データ'!$CE$5:$CE$42,"〇",'データ'!$LT$5:$LT$42,"〇")</x:f>
        <x:v>0</x:v>
      </x:c>
      <x:c r="E11" s="173" t="n">
        <x:f>COUNTIFS('データ'!$CE$5:$CE$42,"〇",'データ'!$LU$5:$LU$42,"〇")</x:f>
        <x:v>0</x:v>
      </x:c>
      <x:c r="F11" s="173" t="n">
        <x:f>COUNTIFS('データ'!$CE$5:$CE$42,"〇",'データ'!$LV$5:$LV$42,"〇")</x:f>
        <x:v>0</x:v>
      </x:c>
      <x:c r="G11" s="173" t="n">
        <x:f>COUNTIFS('データ'!$CE$5:$CE$42,"〇",'データ'!$LW$5:$LW$42,"〇")</x:f>
        <x:v>0</x:v>
      </x:c>
      <x:c r="H11" s="173" t="n">
        <x:f>COUNTIFS('データ'!$CE$5:$CE$42,"〇",'データ'!$LX$5:$LX$42,"〇")</x:f>
        <x:v>0</x:v>
      </x:c>
      <x:c r="I11" s="173" t="n">
        <x:f>COUNTIFS('データ'!$CE$5:$CE$42,"〇",'データ'!$LY$5:$LY$42,"〇")</x:f>
        <x:v>0</x:v>
      </x:c>
      <x:c r="J11" s="173" t="n">
        <x:f>COUNTIFS('データ'!$CE$5:$CE$42,"〇",'データ'!$LZ$5:$LZ$42,"〇")</x:f>
        <x:v>0</x:v>
      </x:c>
      <x:c r="K11" s="174" t="n">
        <x:f>COUNTIFS('データ'!$CE$5:$CE$42,"〇",'データ'!$MA$5:$MA$42,"〇")</x:f>
        <x:v>0</x:v>
      </x:c>
    </x:row>
    <x:row r="12">
      <x:c r="A12" s="98" t="str">
        <x:v>その他の親族</x:v>
      </x:c>
      <x:c r="B12" s="165" t="n">
        <x:f>COUNTIF('データ'!$CF$5:$CF$42,"〇")</x:f>
        <x:v>1</x:v>
      </x:c>
      <x:c r="C12" s="173" t="n">
        <x:f>COUNTIFS('データ'!$CF$5:$CF$42,"〇",'データ'!$LS$5:$LS$42,"〇")</x:f>
        <x:v>1</x:v>
      </x:c>
      <x:c r="D12" s="173" t="n">
        <x:f>COUNTIFS('データ'!$CF$5:$CF$42,"〇",'データ'!$LT$5:$LT$42,"〇")</x:f>
        <x:v>1</x:v>
      </x:c>
      <x:c r="E12" s="173" t="n">
        <x:f>COUNTIFS('データ'!$CF$5:$CF$42,"〇",'データ'!$LU$5:$LU$42,"〇")</x:f>
        <x:v>0</x:v>
      </x:c>
      <x:c r="F12" s="173" t="n">
        <x:f>COUNTIFS('データ'!$CF$5:$CF$42,"〇",'データ'!$LV$5:$LV$42,"〇")</x:f>
        <x:v>0</x:v>
      </x:c>
      <x:c r="G12" s="173" t="n">
        <x:f>COUNTIFS('データ'!$CF$5:$CF$42,"〇",'データ'!$LW$5:$LW$42,"〇")</x:f>
        <x:v>0</x:v>
      </x:c>
      <x:c r="H12" s="173" t="n">
        <x:f>COUNTIFS('データ'!$CF$5:$CF$42,"〇",'データ'!$LX$5:$LX$42,"〇")</x:f>
        <x:v>1</x:v>
      </x:c>
      <x:c r="I12" s="173" t="n">
        <x:f>COUNTIFS('データ'!$CF$5:$CF$42,"〇",'データ'!$LY$5:$LY$42,"〇")</x:f>
        <x:v>0</x:v>
      </x:c>
      <x:c r="J12" s="173" t="n">
        <x:f>COUNTIFS('データ'!$CF$5:$CF$42,"〇",'データ'!$LZ$5:$LZ$42,"〇")</x:f>
        <x:v>0</x:v>
      </x:c>
      <x:c r="K12" s="174" t="n">
        <x:f>COUNTIFS('データ'!$CF$5:$CF$42,"〇",'データ'!$MA$5:$MA$42,"〇")</x:f>
        <x:v>0</x:v>
      </x:c>
    </x:row>
    <x:row r="13">
      <x:c r="A13" s="98" t="str">
        <x:v>ホームヘルパー等</x:v>
      </x:c>
      <x:c r="B13" s="165" t="n">
        <x:f>COUNTIF('データ'!$CG$5:$CG$42,"〇")</x:f>
        <x:v>2</x:v>
      </x:c>
      <x:c r="C13" s="173" t="n">
        <x:f>COUNTIFS('データ'!$CG$5:$CG$42,"〇",'データ'!$LS$5:$LS$42,"〇")</x:f>
        <x:v>1</x:v>
      </x:c>
      <x:c r="D13" s="173" t="n">
        <x:f>COUNTIFS('データ'!$CG$5:$CG$42,"〇",'データ'!$LT$5:$LT$42,"〇")</x:f>
        <x:v>0</x:v>
      </x:c>
      <x:c r="E13" s="173" t="n">
        <x:f>COUNTIFS('データ'!$CG$5:$CG$42,"〇",'データ'!$LU$5:$LU$42,"〇")</x:f>
        <x:v>0</x:v>
      </x:c>
      <x:c r="F13" s="173" t="n">
        <x:f>COUNTIFS('データ'!$CG$5:$CG$42,"〇",'データ'!$LV$5:$LV$42,"〇")</x:f>
        <x:v>1</x:v>
      </x:c>
      <x:c r="G13" s="173" t="n">
        <x:f>COUNTIFS('データ'!$CG$5:$CG$42,"〇",'データ'!$LW$5:$LW$42,"〇")</x:f>
        <x:v>0</x:v>
      </x:c>
      <x:c r="H13" s="173" t="n">
        <x:f>COUNTIFS('データ'!$CG$5:$CG$42,"〇",'データ'!$LX$5:$LX$42,"〇")</x:f>
        <x:v>0</x:v>
      </x:c>
      <x:c r="I13" s="173" t="n">
        <x:f>COUNTIFS('データ'!$CG$5:$CG$42,"〇",'データ'!$LY$5:$LY$42,"〇")</x:f>
        <x:v>0</x:v>
      </x:c>
      <x:c r="J13" s="173" t="n">
        <x:f>COUNTIFS('データ'!$CG$5:$CG$42,"〇",'データ'!$LZ$5:$LZ$42,"〇")</x:f>
        <x:v>0</x:v>
      </x:c>
      <x:c r="K13" s="174" t="n">
        <x:f>COUNTIFS('データ'!$CG$5:$CG$42,"〇",'データ'!$MA$5:$MA$42,"〇")</x:f>
        <x:v>0</x:v>
      </x:c>
    </x:row>
    <x:row r="14">
      <x:c r="A14" s="98" t="str">
        <x:v>施設・事業所職員</x:v>
      </x:c>
      <x:c r="B14" s="165" t="n">
        <x:f>COUNTIF('データ'!$CH$5:$CH$42,"〇")</x:f>
        <x:v>7</x:v>
      </x:c>
      <x:c r="C14" s="173" t="n">
        <x:f>COUNTIFS('データ'!$CH$5:$CH$42,"〇",'データ'!$LS$5:$LS$42,"〇")</x:f>
        <x:v>3</x:v>
      </x:c>
      <x:c r="D14" s="173" t="n">
        <x:f>COUNTIFS('データ'!$CH$5:$CH$42,"〇",'データ'!$LT$5:$LT$42,"〇")</x:f>
        <x:v>4</x:v>
      </x:c>
      <x:c r="E14" s="173" t="n">
        <x:f>COUNTIFS('データ'!$CH$5:$CH$42,"〇",'データ'!$LU$5:$LU$42,"〇")</x:f>
        <x:v>1</x:v>
      </x:c>
      <x:c r="F14" s="173" t="n">
        <x:f>COUNTIFS('データ'!$CH$5:$CH$42,"〇",'データ'!$LV$5:$LV$42,"〇")</x:f>
        <x:v>0</x:v>
      </x:c>
      <x:c r="G14" s="173" t="n">
        <x:f>COUNTIFS('データ'!$CH$5:$CH$42,"〇",'データ'!$LW$5:$LW$42,"〇")</x:f>
        <x:v>0</x:v>
      </x:c>
      <x:c r="H14" s="173" t="n">
        <x:f>COUNTIFS('データ'!$CH$5:$CH$42,"〇",'データ'!$LX$5:$LX$42,"〇")</x:f>
        <x:v>1</x:v>
      </x:c>
      <x:c r="I14" s="173" t="n">
        <x:f>COUNTIFS('データ'!$CH$5:$CH$42,"〇",'データ'!$LY$5:$LY$42,"〇")</x:f>
        <x:v>1</x:v>
      </x:c>
      <x:c r="J14" s="173" t="n">
        <x:f>COUNTIFS('データ'!$CH$5:$CH$42,"〇",'データ'!$LZ$5:$LZ$42,"〇")</x:f>
        <x:v>0</x:v>
      </x:c>
      <x:c r="K14" s="174" t="n">
        <x:f>COUNTIFS('データ'!$CH$5:$CH$42,"〇",'データ'!$MA$5:$MA$42,"〇")</x:f>
        <x:v>0</x:v>
      </x:c>
    </x:row>
    <x:row r="15">
      <x:c r="A15" s="98" t="str">
        <x:v>主な支援者はいない</x:v>
      </x:c>
      <x:c r="B15" s="165" t="n">
        <x:f>COUNTIF('データ'!$CI$5:$CI$42,"〇")</x:f>
        <x:v>1</x:v>
      </x:c>
      <x:c r="C15" s="173" t="n">
        <x:f>COUNTIFS('データ'!$CI$5:$CI$42,"〇",'データ'!$LS$5:$LS$42,"〇")</x:f>
        <x:v>0</x:v>
      </x:c>
      <x:c r="D15" s="173" t="n">
        <x:f>COUNTIFS('データ'!$CI$5:$CI$42,"〇",'データ'!$LT$5:$LT$42,"〇")</x:f>
        <x:v>0</x:v>
      </x:c>
      <x:c r="E15" s="173" t="n">
        <x:f>COUNTIFS('データ'!$CI$5:$CI$42,"〇",'データ'!$LU$5:$LU$42,"〇")</x:f>
        <x:v>0</x:v>
      </x:c>
      <x:c r="F15" s="173" t="n">
        <x:f>COUNTIFS('データ'!$CI$5:$CI$42,"〇",'データ'!$LV$5:$LV$42,"〇")</x:f>
        <x:v>1</x:v>
      </x:c>
      <x:c r="G15" s="173" t="n">
        <x:f>COUNTIFS('データ'!$CI$5:$CI$42,"〇",'データ'!$LW$5:$LW$42,"〇")</x:f>
        <x:v>0</x:v>
      </x:c>
      <x:c r="H15" s="173" t="n">
        <x:f>COUNTIFS('データ'!$CI$5:$CI$42,"〇",'データ'!$LX$5:$LX$42,"〇")</x:f>
        <x:v>0</x:v>
      </x:c>
      <x:c r="I15" s="173" t="n">
        <x:f>COUNTIFS('データ'!$CI$5:$CI$42,"〇",'データ'!$LY$5:$LY$42,"〇")</x:f>
        <x:v>0</x:v>
      </x:c>
      <x:c r="J15" s="173" t="n">
        <x:f>COUNTIFS('データ'!$CI$5:$CI$42,"〇",'データ'!$LZ$5:$LZ$42,"〇")</x:f>
        <x:v>0</x:v>
      </x:c>
      <x:c r="K15" s="174" t="n">
        <x:f>COUNTIFS('データ'!$CI$5:$CI$42,"〇",'データ'!$MA$5:$MA$42,"〇")</x:f>
        <x:v>0</x:v>
      </x:c>
    </x:row>
    <x:row r="16">
      <x:c r="A16" s="100" t="str">
        <x:v>その他</x:v>
      </x:c>
      <x:c r="B16" s="167" t="n">
        <x:f>COUNTIF('データ'!$CJ$5:$CJ$42,"〇")</x:f>
        <x:v>0</x:v>
      </x:c>
      <x:c r="C16" s="175" t="n">
        <x:f>COUNTIFS('データ'!$CJ$5:$CJ$42,"〇",'データ'!$LS$5:$LS$42,"〇")</x:f>
        <x:v>0</x:v>
      </x:c>
      <x:c r="D16" s="175" t="n">
        <x:f>COUNTIFS('データ'!$CJ$5:$CJ$42,"〇",'データ'!$LT$5:$LT$42,"〇")</x:f>
        <x:v>0</x:v>
      </x:c>
      <x:c r="E16" s="175" t="n">
        <x:f>COUNTIFS('データ'!$CJ$5:$CJ$42,"〇",'データ'!$LU$5:$LU$42,"〇")</x:f>
        <x:v>0</x:v>
      </x:c>
      <x:c r="F16" s="175" t="n">
        <x:f>COUNTIFS('データ'!$CJ$5:$CJ$42,"〇",'データ'!$LV$5:$LV$42,"〇")</x:f>
        <x:v>0</x:v>
      </x:c>
      <x:c r="G16" s="175" t="n">
        <x:f>COUNTIFS('データ'!$CJ$5:$CJ$42,"〇",'データ'!$LW$5:$LW$42,"〇")</x:f>
        <x:v>0</x:v>
      </x:c>
      <x:c r="H16" s="175" t="n">
        <x:f>COUNTIFS('データ'!$CJ$5:$CJ$42,"〇",'データ'!$LX$5:$LX$42,"〇")</x:f>
        <x:v>0</x:v>
      </x:c>
      <x:c r="I16" s="175" t="n">
        <x:f>COUNTIFS('データ'!$CJ$5:$CJ$42,"〇",'データ'!$LY$5:$LY$42,"〇")</x:f>
        <x:v>0</x:v>
      </x:c>
      <x:c r="J16" s="175" t="n">
        <x:f>COUNTIFS('データ'!$CJ$5:$CJ$42,"〇",'データ'!$LZ$5:$LZ$42,"〇")</x:f>
        <x:v>0</x:v>
      </x:c>
      <x:c r="K16" s="176" t="n">
        <x:f>COUNTIFS('データ'!$CJ$5:$CJ$42,"〇",'データ'!$MA$5:$MA$42,"〇")</x:f>
        <x:v>0</x:v>
      </x:c>
    </x:row>
    <x:row r="17">
      <x:c r="C17" s="94"/>
      <x:c r="D17" s="94"/>
      <x:c r="E17" s="94"/>
      <x:c r="F17" s="94"/>
      <x:c r="G17" s="94"/>
      <x:c r="H17" s="94"/>
      <x:c r="I17" s="94"/>
      <x:c r="J17" s="94"/>
      <x:c r="K17" s="94"/>
    </x:row>
    <x:row r="18">
      <x:c r="C18" s="94"/>
      <x:c r="D18" s="94"/>
      <x:c r="E18" s="94"/>
      <x:c r="F18" s="94"/>
      <x:c r="G18" s="94"/>
      <x:c r="H18" s="94"/>
      <x:c r="I18" s="94"/>
      <x:c r="J18" s="94"/>
      <x:c r="K18" s="94"/>
    </x:row>
    <x:row r="19">
      <x:c r="A19" s="139" t="str">
        <x:v>行％（各行のnを100％とした割合）</x:v>
      </x:c>
      <x:c r="B19" s="139"/>
      <x:c r="C19" s="177"/>
      <x:c r="D19" s="177"/>
      <x:c r="E19" s="177"/>
      <x:c r="F19" s="177"/>
      <x:c r="G19" s="177"/>
      <x:c r="H19" s="177"/>
      <x:c r="I19" s="177"/>
      <x:c r="J19" s="177"/>
      <x:c r="K19" s="177"/>
    </x:row>
    <x:row r="20" ht="54" customHeight="1">
      <x:c r="A20" s="96" t="str">
        <x:v>行区分</x:v>
      </x:c>
      <x:c r="B20" s="145" t="str">
        <x:v>n</x:v>
      </x:c>
      <x:c r="C20" s="145" t="str">
        <x:v>緊急時の相談</x:v>
      </x:c>
      <x:c r="D20" s="145" t="str">
        <x:v>緊急時の受入れ</x:v>
      </x:c>
      <x:c r="E20" s="145" t="str">
        <x:v>短期入所の確保</x:v>
      </x:c>
      <x:c r="F20" s="145" t="str">
        <x:v>一人暮らし・グループホーム体験</x:v>
      </x:c>
      <x:c r="G20" s="145" t="str">
        <x:v>専門的人材の確保</x:v>
      </x:c>
      <x:c r="H20" s="145" t="str">
        <x:v>地域の事業所との連携</x:v>
      </x:c>
      <x:c r="I20" s="145" t="str">
        <x:v>制度を知らない</x:v>
      </x:c>
      <x:c r="J20" s="145" t="str">
        <x:v>特にない</x:v>
      </x:c>
      <x:c r="K20" s="97" t="str">
        <x:v>その他</x:v>
      </x:c>
    </x:row>
    <x:row r="21">
      <x:c r="A21" s="98" t="str">
        <x:v>介助は必要ない</x:v>
      </x:c>
      <x:c r="B21" s="122" t="n">
        <x:f>B7</x:f>
        <x:v>17</x:v>
      </x:c>
      <x:c r="C21" s="143" t="n">
        <x:f>IF($B21=0,"",C7/$B21)</x:f>
        <x:v>0.29411764705882354</x:v>
      </x:c>
      <x:c r="D21" s="143" t="n">
        <x:f>IF($B21=0,"",D7/$B21)</x:f>
        <x:v>0.23529411764705882</x:v>
      </x:c>
      <x:c r="E21" s="143" t="n">
        <x:f>IF($B21=0,"",E7/$B21)</x:f>
        <x:v>0</x:v>
      </x:c>
      <x:c r="F21" s="143" t="n">
        <x:f>IF($B21=0,"",F7/$B21)</x:f>
        <x:v>0</x:v>
      </x:c>
      <x:c r="G21" s="143" t="n">
        <x:f>IF($B21=0,"",G7/$B21)</x:f>
        <x:v>0.23529411764705882</x:v>
      </x:c>
      <x:c r="H21" s="143" t="n">
        <x:f>IF($B21=0,"",H7/$B21)</x:f>
        <x:v>0.17647058823529413</x:v>
      </x:c>
      <x:c r="I21" s="143" t="n">
        <x:f>IF($B21=0,"",I7/$B21)</x:f>
        <x:v>0.17647058823529413</x:v>
      </x:c>
      <x:c r="J21" s="143" t="n">
        <x:f>IF($B21=0,"",J7/$B21)</x:f>
        <x:v>0.23529411764705882</x:v>
      </x:c>
      <x:c r="K21" s="146" t="n">
        <x:f>IF($B21=0,"",K7/$B21)</x:f>
        <x:v>0</x:v>
      </x:c>
    </x:row>
    <x:row r="22">
      <x:c r="A22" s="98" t="str">
        <x:v>親</x:v>
      </x:c>
      <x:c r="B22" s="122" t="n">
        <x:f>B8</x:f>
        <x:v>5</x:v>
      </x:c>
      <x:c r="C22" s="143" t="n">
        <x:f>IF($B22=0,"",C8/$B22)</x:f>
        <x:v>0.2</x:v>
      </x:c>
      <x:c r="D22" s="143" t="n">
        <x:f>IF($B22=0,"",D8/$B22)</x:f>
        <x:v>0.4</x:v>
      </x:c>
      <x:c r="E22" s="143" t="n">
        <x:f>IF($B22=0,"",E8/$B22)</x:f>
        <x:v>0.2</x:v>
      </x:c>
      <x:c r="F22" s="143" t="n">
        <x:f>IF($B22=0,"",F8/$B22)</x:f>
        <x:v>0</x:v>
      </x:c>
      <x:c r="G22" s="143" t="n">
        <x:f>IF($B22=0,"",G8/$B22)</x:f>
        <x:v>0</x:v>
      </x:c>
      <x:c r="H22" s="143" t="n">
        <x:f>IF($B22=0,"",H8/$B22)</x:f>
        <x:v>0</x:v>
      </x:c>
      <x:c r="I22" s="143" t="n">
        <x:f>IF($B22=0,"",I8/$B22)</x:f>
        <x:v>0.4</x:v>
      </x:c>
      <x:c r="J22" s="143" t="n">
        <x:f>IF($B22=0,"",J8/$B22)</x:f>
        <x:v>0</x:v>
      </x:c>
      <x:c r="K22" s="146" t="n">
        <x:f>IF($B22=0,"",K8/$B22)</x:f>
        <x:v>0</x:v>
      </x:c>
    </x:row>
    <x:row r="23">
      <x:c r="A23" s="98" t="str">
        <x:v>配偶者</x:v>
      </x:c>
      <x:c r="B23" s="122" t="n">
        <x:f>B9</x:f>
        <x:v>6</x:v>
      </x:c>
      <x:c r="C23" s="143" t="n">
        <x:f>IF($B23=0,"",C9/$B23)</x:f>
        <x:v>0.5</x:v>
      </x:c>
      <x:c r="D23" s="143" t="n">
        <x:f>IF($B23=0,"",D9/$B23)</x:f>
        <x:v>0.5</x:v>
      </x:c>
      <x:c r="E23" s="143" t="n">
        <x:f>IF($B23=0,"",E9/$B23)</x:f>
        <x:v>0.16666666666666666</x:v>
      </x:c>
      <x:c r="F23" s="143" t="n">
        <x:f>IF($B23=0,"",F9/$B23)</x:f>
        <x:v>0</x:v>
      </x:c>
      <x:c r="G23" s="143" t="n">
        <x:f>IF($B23=0,"",G9/$B23)</x:f>
        <x:v>0.16666666666666666</x:v>
      </x:c>
      <x:c r="H23" s="143" t="n">
        <x:f>IF($B23=0,"",H9/$B23)</x:f>
        <x:v>0.16666666666666666</x:v>
      </x:c>
      <x:c r="I23" s="143" t="n">
        <x:f>IF($B23=0,"",I9/$B23)</x:f>
        <x:v>0.3333333333333333</x:v>
      </x:c>
      <x:c r="J23" s="143" t="n">
        <x:f>IF($B23=0,"",J9/$B23)</x:f>
        <x:v>0</x:v>
      </x:c>
      <x:c r="K23" s="146" t="n">
        <x:f>IF($B23=0,"",K9/$B23)</x:f>
        <x:v>0</x:v>
      </x:c>
    </x:row>
    <x:row r="24">
      <x:c r="A24" s="98" t="str">
        <x:v>子ども</x:v>
      </x:c>
      <x:c r="B24" s="122" t="n">
        <x:f>B10</x:f>
        <x:v>9</x:v>
      </x:c>
      <x:c r="C24" s="143" t="n">
        <x:f>IF($B24=0,"",C10/$B24)</x:f>
        <x:v>0.2222222222222222</x:v>
      </x:c>
      <x:c r="D24" s="143" t="n">
        <x:f>IF($B24=0,"",D10/$B24)</x:f>
        <x:v>0.1111111111111111</x:v>
      </x:c>
      <x:c r="E24" s="143" t="n">
        <x:f>IF($B24=0,"",E10/$B24)</x:f>
        <x:v>0</x:v>
      </x:c>
      <x:c r="F24" s="143" t="n">
        <x:f>IF($B24=0,"",F10/$B24)</x:f>
        <x:v>0</x:v>
      </x:c>
      <x:c r="G24" s="143" t="n">
        <x:f>IF($B24=0,"",G10/$B24)</x:f>
        <x:v>0</x:v>
      </x:c>
      <x:c r="H24" s="143" t="n">
        <x:f>IF($B24=0,"",H10/$B24)</x:f>
        <x:v>0.1111111111111111</x:v>
      </x:c>
      <x:c r="I24" s="143" t="n">
        <x:f>IF($B24=0,"",I10/$B24)</x:f>
        <x:v>0.2222222222222222</x:v>
      </x:c>
      <x:c r="J24" s="143" t="n">
        <x:f>IF($B24=0,"",J10/$B24)</x:f>
        <x:v>0.1111111111111111</x:v>
      </x:c>
      <x:c r="K24" s="146" t="n">
        <x:f>IF($B24=0,"",K10/$B24)</x:f>
        <x:v>0</x:v>
      </x:c>
    </x:row>
    <x:row r="25">
      <x:c r="A25" s="98" t="str">
        <x:v>兄弟姉妹</x:v>
      </x:c>
      <x:c r="B25" s="122" t="n">
        <x:f>B11</x:f>
        <x:v>0</x:v>
      </x:c>
      <x:c r="C25" s="143" t="str">
        <x:f>IF($B25=0,"",C11/$B25)</x:f>
      </x:c>
      <x:c r="D25" s="143" t="str">
        <x:f>IF($B25=0,"",D11/$B25)</x:f>
      </x:c>
      <x:c r="E25" s="143" t="str">
        <x:f>IF($B25=0,"",E11/$B25)</x:f>
      </x:c>
      <x:c r="F25" s="143" t="str">
        <x:f>IF($B25=0,"",F11/$B25)</x:f>
      </x:c>
      <x:c r="G25" s="143" t="str">
        <x:f>IF($B25=0,"",G11/$B25)</x:f>
      </x:c>
      <x:c r="H25" s="143" t="str">
        <x:f>IF($B25=0,"",H11/$B25)</x:f>
      </x:c>
      <x:c r="I25" s="143" t="str">
        <x:f>IF($B25=0,"",I11/$B25)</x:f>
      </x:c>
      <x:c r="J25" s="143" t="str">
        <x:f>IF($B25=0,"",J11/$B25)</x:f>
      </x:c>
      <x:c r="K25" s="146" t="str">
        <x:f>IF($B25=0,"",K11/$B25)</x:f>
      </x:c>
    </x:row>
    <x:row r="26">
      <x:c r="A26" s="98" t="str">
        <x:v>その他の親族</x:v>
      </x:c>
      <x:c r="B26" s="122" t="n">
        <x:f>B12</x:f>
        <x:v>1</x:v>
      </x:c>
      <x:c r="C26" s="143" t="n">
        <x:f>IF($B26=0,"",C12/$B26)</x:f>
        <x:v>1</x:v>
      </x:c>
      <x:c r="D26" s="143" t="n">
        <x:f>IF($B26=0,"",D12/$B26)</x:f>
        <x:v>1</x:v>
      </x:c>
      <x:c r="E26" s="143" t="n">
        <x:f>IF($B26=0,"",E12/$B26)</x:f>
        <x:v>0</x:v>
      </x:c>
      <x:c r="F26" s="143" t="n">
        <x:f>IF($B26=0,"",F12/$B26)</x:f>
        <x:v>0</x:v>
      </x:c>
      <x:c r="G26" s="143" t="n">
        <x:f>IF($B26=0,"",G12/$B26)</x:f>
        <x:v>0</x:v>
      </x:c>
      <x:c r="H26" s="143" t="n">
        <x:f>IF($B26=0,"",H12/$B26)</x:f>
        <x:v>1</x:v>
      </x:c>
      <x:c r="I26" s="143" t="n">
        <x:f>IF($B26=0,"",I12/$B26)</x:f>
        <x:v>0</x:v>
      </x:c>
      <x:c r="J26" s="143" t="n">
        <x:f>IF($B26=0,"",J12/$B26)</x:f>
        <x:v>0</x:v>
      </x:c>
      <x:c r="K26" s="146" t="n">
        <x:f>IF($B26=0,"",K12/$B26)</x:f>
        <x:v>0</x:v>
      </x:c>
    </x:row>
    <x:row r="27">
      <x:c r="A27" s="98" t="str">
        <x:v>ホームヘルパー等</x:v>
      </x:c>
      <x:c r="B27" s="122" t="n">
        <x:f>B13</x:f>
        <x:v>2</x:v>
      </x:c>
      <x:c r="C27" s="143" t="n">
        <x:f>IF($B27=0,"",C13/$B27)</x:f>
        <x:v>0.5</x:v>
      </x:c>
      <x:c r="D27" s="143" t="n">
        <x:f>IF($B27=0,"",D13/$B27)</x:f>
        <x:v>0</x:v>
      </x:c>
      <x:c r="E27" s="143" t="n">
        <x:f>IF($B27=0,"",E13/$B27)</x:f>
        <x:v>0</x:v>
      </x:c>
      <x:c r="F27" s="143" t="n">
        <x:f>IF($B27=0,"",F13/$B27)</x:f>
        <x:v>0.5</x:v>
      </x:c>
      <x:c r="G27" s="143" t="n">
        <x:f>IF($B27=0,"",G13/$B27)</x:f>
        <x:v>0</x:v>
      </x:c>
      <x:c r="H27" s="143" t="n">
        <x:f>IF($B27=0,"",H13/$B27)</x:f>
        <x:v>0</x:v>
      </x:c>
      <x:c r="I27" s="143" t="n">
        <x:f>IF($B27=0,"",I13/$B27)</x:f>
        <x:v>0</x:v>
      </x:c>
      <x:c r="J27" s="143" t="n">
        <x:f>IF($B27=0,"",J13/$B27)</x:f>
        <x:v>0</x:v>
      </x:c>
      <x:c r="K27" s="146" t="n">
        <x:f>IF($B27=0,"",K13/$B27)</x:f>
        <x:v>0</x:v>
      </x:c>
    </x:row>
    <x:row r="28">
      <x:c r="A28" s="98" t="str">
        <x:v>施設・事業所職員</x:v>
      </x:c>
      <x:c r="B28" s="122" t="n">
        <x:f>B14</x:f>
        <x:v>7</x:v>
      </x:c>
      <x:c r="C28" s="143" t="n">
        <x:f>IF($B28=0,"",C14/$B28)</x:f>
        <x:v>0.42857142857142855</x:v>
      </x:c>
      <x:c r="D28" s="143" t="n">
        <x:f>IF($B28=0,"",D14/$B28)</x:f>
        <x:v>0.5714285714285714</x:v>
      </x:c>
      <x:c r="E28" s="143" t="n">
        <x:f>IF($B28=0,"",E14/$B28)</x:f>
        <x:v>0.14285714285714285</x:v>
      </x:c>
      <x:c r="F28" s="143" t="n">
        <x:f>IF($B28=0,"",F14/$B28)</x:f>
        <x:v>0</x:v>
      </x:c>
      <x:c r="G28" s="143" t="n">
        <x:f>IF($B28=0,"",G14/$B28)</x:f>
        <x:v>0</x:v>
      </x:c>
      <x:c r="H28" s="143" t="n">
        <x:f>IF($B28=0,"",H14/$B28)</x:f>
        <x:v>0.14285714285714285</x:v>
      </x:c>
      <x:c r="I28" s="143" t="n">
        <x:f>IF($B28=0,"",I14/$B28)</x:f>
        <x:v>0.14285714285714285</x:v>
      </x:c>
      <x:c r="J28" s="143" t="n">
        <x:f>IF($B28=0,"",J14/$B28)</x:f>
        <x:v>0</x:v>
      </x:c>
      <x:c r="K28" s="146" t="n">
        <x:f>IF($B28=0,"",K14/$B28)</x:f>
        <x:v>0</x:v>
      </x:c>
    </x:row>
    <x:row r="29">
      <x:c r="A29" s="98" t="str">
        <x:v>主な支援者はいない</x:v>
      </x:c>
      <x:c r="B29" s="122" t="n">
        <x:f>B15</x:f>
        <x:v>1</x:v>
      </x:c>
      <x:c r="C29" s="143" t="n">
        <x:f>IF($B29=0,"",C15/$B29)</x:f>
        <x:v>0</x:v>
      </x:c>
      <x:c r="D29" s="143" t="n">
        <x:f>IF($B29=0,"",D15/$B29)</x:f>
        <x:v>0</x:v>
      </x:c>
      <x:c r="E29" s="143" t="n">
        <x:f>IF($B29=0,"",E15/$B29)</x:f>
        <x:v>0</x:v>
      </x:c>
      <x:c r="F29" s="143" t="n">
        <x:f>IF($B29=0,"",F15/$B29)</x:f>
        <x:v>1</x:v>
      </x:c>
      <x:c r="G29" s="143" t="n">
        <x:f>IF($B29=0,"",G15/$B29)</x:f>
        <x:v>0</x:v>
      </x:c>
      <x:c r="H29" s="143" t="n">
        <x:f>IF($B29=0,"",H15/$B29)</x:f>
        <x:v>0</x:v>
      </x:c>
      <x:c r="I29" s="143" t="n">
        <x:f>IF($B29=0,"",I15/$B29)</x:f>
        <x:v>0</x:v>
      </x:c>
      <x:c r="J29" s="143" t="n">
        <x:f>IF($B29=0,"",J15/$B29)</x:f>
        <x:v>0</x:v>
      </x:c>
      <x:c r="K29" s="146" t="n">
        <x:f>IF($B29=0,"",K15/$B29)</x:f>
        <x:v>0</x:v>
      </x:c>
    </x:row>
    <x:row r="30">
      <x:c r="A30" s="100" t="str">
        <x:v>その他</x:v>
      </x:c>
      <x:c r="B30" s="125" t="n">
        <x:f>B16</x:f>
        <x:v>0</x:v>
      </x:c>
      <x:c r="C30" s="159" t="str">
        <x:f>IF($B30=0,"",C16/$B30)</x:f>
      </x:c>
      <x:c r="D30" s="159" t="str">
        <x:f>IF($B30=0,"",D16/$B30)</x:f>
      </x:c>
      <x:c r="E30" s="159" t="str">
        <x:f>IF($B30=0,"",E16/$B30)</x:f>
      </x:c>
      <x:c r="F30" s="159" t="str">
        <x:f>IF($B30=0,"",F16/$B30)</x:f>
      </x:c>
      <x:c r="G30" s="159" t="str">
        <x:f>IF($B30=0,"",G16/$B30)</x:f>
      </x:c>
      <x:c r="H30" s="159" t="str">
        <x:f>IF($B30=0,"",H16/$B30)</x:f>
      </x:c>
      <x:c r="I30" s="159" t="str">
        <x:f>IF($B30=0,"",I16/$B30)</x:f>
      </x:c>
      <x:c r="J30" s="159" t="str">
        <x:f>IF($B30=0,"",J16/$B30)</x:f>
      </x:c>
      <x:c r="K30" s="147" t="str">
        <x:f>IF($B30=0,"",K16/$B30)</x:f>
      </x:c>
    </x:row>
  </x:sheetData>
  <x:mergeCells>
    <x:mergeCell ref="A1:K2"/>
    <x:mergeCell ref="A3:K3"/>
    <x:mergeCell ref="A4:K4"/>
    <x:mergeCell ref="A19:K19"/>
  </x:mergeCells>
  <x:conditionalFormatting sqref="B7:B16">
    <x:cfRule type="cellIs" dxfId="9" priority="1" operator="lessThan">
      <x:formula>5</x:formula>
    </x:cfRule>
  </x:conditionalFormatting>
  <x:pageMargins left="0.7" right="0.7" top="0.75" bottom="0.75" header="0.3" footer="0.3"/>
</x:worksheet>
</file>