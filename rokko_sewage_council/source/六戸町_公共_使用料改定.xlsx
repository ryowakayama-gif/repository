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yas\Downloads\"/>
    </mc:Choice>
  </mc:AlternateContent>
  <xr:revisionPtr revIDLastSave="0" documentId="13_ncr:1_{1B82215C-5E27-4630-B580-F74F7B42B92D}" xr6:coauthVersionLast="47" xr6:coauthVersionMax="47" xr10:uidLastSave="{00000000-0000-0000-0000-000000000000}"/>
  <bookViews>
    <workbookView xWindow="-108" yWindow="-108" windowWidth="23256" windowHeight="13896" tabRatio="500" firstSheet="7" activeTab="11" xr2:uid="{00000000-000D-0000-FFFF-FFFF00000000}"/>
  </bookViews>
  <sheets>
    <sheet name="設定" sheetId="1" r:id="rId1"/>
    <sheet name="使用料マスタ" sheetId="2" r:id="rId2"/>
    <sheet name="料金テーブル" sheetId="3" r:id="rId3"/>
    <sheet name="使用料算定" sheetId="4" r:id="rId4"/>
    <sheet name="財政計画（ベース）" sheetId="5" r:id="rId5"/>
    <sheet name="パターン別比較" sheetId="6" r:id="rId6"/>
    <sheet name="公共案①2か年" sheetId="7" r:id="rId7"/>
    <sheet name="公共案①3か年" sheetId="8" r:id="rId8"/>
    <sheet name="公共案②2か年" sheetId="9" r:id="rId9"/>
    <sheet name="公共案②3か年" sheetId="10" r:id="rId10"/>
    <sheet name="公共案④2か年" sheetId="11" r:id="rId11"/>
    <sheet name="公共案④3か年" sheetId="12" r:id="rId12"/>
    <sheet name="段階単価(3か年)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2" l="1"/>
  <c r="J34" i="12"/>
  <c r="I34" i="12"/>
  <c r="H34" i="12"/>
  <c r="G34" i="12"/>
  <c r="F34" i="12"/>
  <c r="E34" i="12"/>
  <c r="D34" i="12"/>
  <c r="C34" i="12"/>
  <c r="B34" i="12"/>
  <c r="J29" i="12"/>
  <c r="I29" i="12"/>
  <c r="H29" i="12"/>
  <c r="E29" i="12"/>
  <c r="D29" i="12"/>
  <c r="K26" i="12"/>
  <c r="J26" i="12"/>
  <c r="I26" i="12"/>
  <c r="H26" i="12"/>
  <c r="G26" i="12"/>
  <c r="G29" i="12" s="1"/>
  <c r="F26" i="12"/>
  <c r="E26" i="12"/>
  <c r="D26" i="12"/>
  <c r="C26" i="12"/>
  <c r="B26" i="12"/>
  <c r="K18" i="12"/>
  <c r="K29" i="12" s="1"/>
  <c r="J18" i="12"/>
  <c r="I18" i="12"/>
  <c r="H18" i="12"/>
  <c r="G18" i="12"/>
  <c r="F18" i="12"/>
  <c r="F29" i="12" s="1"/>
  <c r="E18" i="12"/>
  <c r="D18" i="12"/>
  <c r="C18" i="12"/>
  <c r="C29" i="12" s="1"/>
  <c r="B18" i="12"/>
  <c r="B29" i="12" s="1"/>
  <c r="K11" i="12"/>
  <c r="J11" i="12"/>
  <c r="I11" i="12"/>
  <c r="H11" i="12"/>
  <c r="G11" i="12"/>
  <c r="F11" i="12"/>
  <c r="E11" i="12"/>
  <c r="D11" i="12"/>
  <c r="C11" i="12"/>
  <c r="B11" i="12"/>
  <c r="K34" i="11"/>
  <c r="J34" i="11"/>
  <c r="I34" i="11"/>
  <c r="H34" i="11"/>
  <c r="G34" i="11"/>
  <c r="F34" i="11"/>
  <c r="E34" i="11"/>
  <c r="D34" i="11"/>
  <c r="C34" i="11"/>
  <c r="B34" i="11"/>
  <c r="K29" i="11"/>
  <c r="J29" i="11"/>
  <c r="G29" i="11"/>
  <c r="K26" i="11"/>
  <c r="J26" i="11"/>
  <c r="I26" i="11"/>
  <c r="I29" i="11" s="1"/>
  <c r="H26" i="11"/>
  <c r="G26" i="11"/>
  <c r="F26" i="11"/>
  <c r="E26" i="11"/>
  <c r="D26" i="11"/>
  <c r="C26" i="11"/>
  <c r="B26" i="11"/>
  <c r="K18" i="11"/>
  <c r="J18" i="11"/>
  <c r="I18" i="11"/>
  <c r="H18" i="11"/>
  <c r="G18" i="11"/>
  <c r="F18" i="11"/>
  <c r="F29" i="11" s="1"/>
  <c r="E18" i="11"/>
  <c r="E29" i="11" s="1"/>
  <c r="D18" i="11"/>
  <c r="D29" i="11" s="1"/>
  <c r="C18" i="11"/>
  <c r="C29" i="11" s="1"/>
  <c r="B18" i="11"/>
  <c r="B29" i="11" s="1"/>
  <c r="K11" i="11"/>
  <c r="J11" i="11"/>
  <c r="I11" i="11"/>
  <c r="H11" i="11"/>
  <c r="G11" i="11"/>
  <c r="F11" i="11"/>
  <c r="E11" i="11"/>
  <c r="D11" i="11"/>
  <c r="C11" i="11"/>
  <c r="B11" i="11"/>
  <c r="K34" i="10"/>
  <c r="J34" i="10"/>
  <c r="I34" i="10"/>
  <c r="H34" i="10"/>
  <c r="G34" i="10"/>
  <c r="F34" i="10"/>
  <c r="E34" i="10"/>
  <c r="D34" i="10"/>
  <c r="C34" i="10"/>
  <c r="B34" i="10"/>
  <c r="I29" i="10"/>
  <c r="B29" i="10"/>
  <c r="K26" i="10"/>
  <c r="J26" i="10"/>
  <c r="I26" i="10"/>
  <c r="H26" i="10"/>
  <c r="G26" i="10"/>
  <c r="G29" i="10" s="1"/>
  <c r="F26" i="10"/>
  <c r="E26" i="10"/>
  <c r="D26" i="10"/>
  <c r="C26" i="10"/>
  <c r="B26" i="10"/>
  <c r="K18" i="10"/>
  <c r="K29" i="10" s="1"/>
  <c r="J18" i="10"/>
  <c r="I18" i="10"/>
  <c r="H18" i="10"/>
  <c r="H29" i="10" s="1"/>
  <c r="G18" i="10"/>
  <c r="F18" i="10"/>
  <c r="E18" i="10"/>
  <c r="E29" i="10" s="1"/>
  <c r="D18" i="10"/>
  <c r="D29" i="10" s="1"/>
  <c r="C18" i="10"/>
  <c r="C29" i="10" s="1"/>
  <c r="B18" i="10"/>
  <c r="K11" i="10"/>
  <c r="J11" i="10"/>
  <c r="I11" i="10"/>
  <c r="H11" i="10"/>
  <c r="G11" i="10"/>
  <c r="F11" i="10"/>
  <c r="E11" i="10"/>
  <c r="D11" i="10"/>
  <c r="C11" i="10"/>
  <c r="B11" i="10"/>
  <c r="K34" i="9"/>
  <c r="J34" i="9"/>
  <c r="I34" i="9"/>
  <c r="H34" i="9"/>
  <c r="G34" i="9"/>
  <c r="F34" i="9"/>
  <c r="E34" i="9"/>
  <c r="D34" i="9"/>
  <c r="C34" i="9"/>
  <c r="B34" i="9"/>
  <c r="K29" i="9"/>
  <c r="J29" i="9"/>
  <c r="D29" i="9"/>
  <c r="C29" i="9"/>
  <c r="B29" i="9"/>
  <c r="K26" i="9"/>
  <c r="J26" i="9"/>
  <c r="I26" i="9"/>
  <c r="I29" i="9" s="1"/>
  <c r="H26" i="9"/>
  <c r="G26" i="9"/>
  <c r="F26" i="9"/>
  <c r="E26" i="9"/>
  <c r="D26" i="9"/>
  <c r="C26" i="9"/>
  <c r="B26" i="9"/>
  <c r="K18" i="9"/>
  <c r="J18" i="9"/>
  <c r="I18" i="9"/>
  <c r="H18" i="9"/>
  <c r="G18" i="9"/>
  <c r="G29" i="9" s="1"/>
  <c r="F18" i="9"/>
  <c r="F29" i="9" s="1"/>
  <c r="E18" i="9"/>
  <c r="E29" i="9" s="1"/>
  <c r="D18" i="9"/>
  <c r="C18" i="9"/>
  <c r="B18" i="9"/>
  <c r="K11" i="9"/>
  <c r="J11" i="9"/>
  <c r="I11" i="9"/>
  <c r="H11" i="9"/>
  <c r="G11" i="9"/>
  <c r="F11" i="9"/>
  <c r="E11" i="9"/>
  <c r="D11" i="9"/>
  <c r="C11" i="9"/>
  <c r="B11" i="9"/>
  <c r="K34" i="8"/>
  <c r="J34" i="8"/>
  <c r="I34" i="8"/>
  <c r="H34" i="8"/>
  <c r="G34" i="8"/>
  <c r="F34" i="8"/>
  <c r="E34" i="8"/>
  <c r="D34" i="8"/>
  <c r="C34" i="8"/>
  <c r="B34" i="8"/>
  <c r="F29" i="8"/>
  <c r="E29" i="8"/>
  <c r="D29" i="8"/>
  <c r="K26" i="8"/>
  <c r="K29" i="8" s="1"/>
  <c r="J26" i="8"/>
  <c r="J29" i="8" s="1"/>
  <c r="I26" i="8"/>
  <c r="H26" i="8"/>
  <c r="G26" i="8"/>
  <c r="F26" i="8"/>
  <c r="E26" i="8"/>
  <c r="D26" i="8"/>
  <c r="C26" i="8"/>
  <c r="B26" i="8"/>
  <c r="K18" i="8"/>
  <c r="J18" i="8"/>
  <c r="I18" i="8"/>
  <c r="I29" i="8" s="1"/>
  <c r="H18" i="8"/>
  <c r="H29" i="8" s="1"/>
  <c r="G18" i="8"/>
  <c r="G29" i="8" s="1"/>
  <c r="F18" i="8"/>
  <c r="E18" i="8"/>
  <c r="D18" i="8"/>
  <c r="C18" i="8"/>
  <c r="C29" i="8" s="1"/>
  <c r="B18" i="8"/>
  <c r="B29" i="8" s="1"/>
  <c r="K11" i="8"/>
  <c r="J11" i="8"/>
  <c r="I11" i="8"/>
  <c r="H11" i="8"/>
  <c r="G11" i="8"/>
  <c r="F11" i="8"/>
  <c r="E11" i="8"/>
  <c r="D11" i="8"/>
  <c r="C11" i="8"/>
  <c r="B11" i="8"/>
  <c r="K34" i="7"/>
  <c r="J34" i="7"/>
  <c r="I34" i="7"/>
  <c r="H34" i="7"/>
  <c r="G34" i="7"/>
  <c r="F34" i="7"/>
  <c r="E34" i="7"/>
  <c r="D34" i="7"/>
  <c r="C34" i="7"/>
  <c r="B34" i="7"/>
  <c r="H29" i="7"/>
  <c r="G29" i="7"/>
  <c r="F29" i="7"/>
  <c r="C29" i="7"/>
  <c r="K26" i="7"/>
  <c r="J26" i="7"/>
  <c r="I26" i="7"/>
  <c r="H26" i="7"/>
  <c r="G26" i="7"/>
  <c r="F26" i="7"/>
  <c r="E26" i="7"/>
  <c r="D26" i="7"/>
  <c r="C26" i="7"/>
  <c r="B26" i="7"/>
  <c r="K18" i="7"/>
  <c r="K29" i="7" s="1"/>
  <c r="J18" i="7"/>
  <c r="J29" i="7" s="1"/>
  <c r="I18" i="7"/>
  <c r="I29" i="7" s="1"/>
  <c r="H18" i="7"/>
  <c r="G18" i="7"/>
  <c r="F18" i="7"/>
  <c r="E18" i="7"/>
  <c r="E29" i="7" s="1"/>
  <c r="D18" i="7"/>
  <c r="D29" i="7" s="1"/>
  <c r="C18" i="7"/>
  <c r="B18" i="7"/>
  <c r="B29" i="7" s="1"/>
  <c r="K11" i="7"/>
  <c r="J11" i="7"/>
  <c r="I11" i="7"/>
  <c r="H11" i="7"/>
  <c r="G11" i="7"/>
  <c r="F11" i="7"/>
  <c r="E11" i="7"/>
  <c r="D11" i="7"/>
  <c r="C11" i="7"/>
  <c r="B11" i="7"/>
  <c r="K32" i="6"/>
  <c r="J32" i="6"/>
  <c r="I32" i="6"/>
  <c r="H32" i="6"/>
  <c r="G32" i="6"/>
  <c r="F32" i="6"/>
  <c r="F13" i="6" s="1"/>
  <c r="E32" i="6"/>
  <c r="E13" i="6" s="1"/>
  <c r="D32" i="6"/>
  <c r="C32" i="6"/>
  <c r="B32" i="6"/>
  <c r="K31" i="6"/>
  <c r="J31" i="6"/>
  <c r="J21" i="6" s="1"/>
  <c r="I31" i="6"/>
  <c r="I12" i="6" s="1"/>
  <c r="H31" i="6"/>
  <c r="G31" i="6"/>
  <c r="F31" i="6"/>
  <c r="E31" i="6"/>
  <c r="D31" i="6"/>
  <c r="D12" i="6" s="1"/>
  <c r="C31" i="6"/>
  <c r="C12" i="6" s="1"/>
  <c r="B31" i="6"/>
  <c r="K30" i="6"/>
  <c r="J30" i="6"/>
  <c r="I30" i="6"/>
  <c r="H30" i="6"/>
  <c r="H20" i="6" s="1"/>
  <c r="G30" i="6"/>
  <c r="G11" i="6" s="1"/>
  <c r="F30" i="6"/>
  <c r="E30" i="6"/>
  <c r="D30" i="6"/>
  <c r="C30" i="6"/>
  <c r="B30" i="6"/>
  <c r="B11" i="6" s="1"/>
  <c r="K29" i="6"/>
  <c r="K10" i="6" s="1"/>
  <c r="J29" i="6"/>
  <c r="I29" i="6"/>
  <c r="H29" i="6"/>
  <c r="G29" i="6"/>
  <c r="F29" i="6"/>
  <c r="F19" i="6" s="1"/>
  <c r="E29" i="6"/>
  <c r="E10" i="6" s="1"/>
  <c r="D29" i="6"/>
  <c r="C29" i="6"/>
  <c r="B29" i="6"/>
  <c r="K28" i="6"/>
  <c r="J28" i="6"/>
  <c r="J9" i="6" s="1"/>
  <c r="I28" i="6"/>
  <c r="I9" i="6" s="1"/>
  <c r="H28" i="6"/>
  <c r="G28" i="6"/>
  <c r="F28" i="6"/>
  <c r="E28" i="6"/>
  <c r="D28" i="6"/>
  <c r="D18" i="6" s="1"/>
  <c r="C28" i="6"/>
  <c r="C9" i="6" s="1"/>
  <c r="B28" i="6"/>
  <c r="K27" i="6"/>
  <c r="J27" i="6"/>
  <c r="I27" i="6"/>
  <c r="H27" i="6"/>
  <c r="H8" i="6" s="1"/>
  <c r="G27" i="6"/>
  <c r="G8" i="6" s="1"/>
  <c r="F27" i="6"/>
  <c r="E27" i="6"/>
  <c r="D27" i="6"/>
  <c r="C27" i="6"/>
  <c r="B27" i="6"/>
  <c r="B17" i="6" s="1"/>
  <c r="K26" i="6"/>
  <c r="K7" i="6" s="1"/>
  <c r="J26" i="6"/>
  <c r="I26" i="6"/>
  <c r="H26" i="6"/>
  <c r="G26" i="6"/>
  <c r="F26" i="6"/>
  <c r="F7" i="6" s="1"/>
  <c r="E26" i="6"/>
  <c r="E7" i="6" s="1"/>
  <c r="D26" i="6"/>
  <c r="C26" i="6"/>
  <c r="B26" i="6"/>
  <c r="K22" i="6"/>
  <c r="J22" i="6"/>
  <c r="I22" i="6"/>
  <c r="H22" i="6"/>
  <c r="G22" i="6"/>
  <c r="C22" i="6"/>
  <c r="B22" i="6"/>
  <c r="I21" i="6"/>
  <c r="H21" i="6"/>
  <c r="G21" i="6"/>
  <c r="F21" i="6"/>
  <c r="E21" i="6"/>
  <c r="K20" i="6"/>
  <c r="J20" i="6"/>
  <c r="G20" i="6"/>
  <c r="F20" i="6"/>
  <c r="E20" i="6"/>
  <c r="D20" i="6"/>
  <c r="C20" i="6"/>
  <c r="I19" i="6"/>
  <c r="H19" i="6"/>
  <c r="E19" i="6"/>
  <c r="D19" i="6"/>
  <c r="C19" i="6"/>
  <c r="B19" i="6"/>
  <c r="K18" i="6"/>
  <c r="G18" i="6"/>
  <c r="F18" i="6"/>
  <c r="C18" i="6"/>
  <c r="B18" i="6"/>
  <c r="K17" i="6"/>
  <c r="J17" i="6"/>
  <c r="I17" i="6"/>
  <c r="E17" i="6"/>
  <c r="D17" i="6"/>
  <c r="K16" i="6"/>
  <c r="J16" i="6"/>
  <c r="I16" i="6"/>
  <c r="H16" i="6"/>
  <c r="G16" i="6"/>
  <c r="C16" i="6"/>
  <c r="B16" i="6"/>
  <c r="K13" i="6"/>
  <c r="J13" i="6"/>
  <c r="I13" i="6"/>
  <c r="H13" i="6"/>
  <c r="G13" i="6"/>
  <c r="C13" i="6"/>
  <c r="B13" i="6"/>
  <c r="J12" i="6"/>
  <c r="H12" i="6"/>
  <c r="G12" i="6"/>
  <c r="F12" i="6"/>
  <c r="E12" i="6"/>
  <c r="K11" i="6"/>
  <c r="J11" i="6"/>
  <c r="H11" i="6"/>
  <c r="F11" i="6"/>
  <c r="E11" i="6"/>
  <c r="D11" i="6"/>
  <c r="C11" i="6"/>
  <c r="I10" i="6"/>
  <c r="H10" i="6"/>
  <c r="D10" i="6"/>
  <c r="C10" i="6"/>
  <c r="B10" i="6"/>
  <c r="K9" i="6"/>
  <c r="G9" i="6"/>
  <c r="F9" i="6"/>
  <c r="D9" i="6"/>
  <c r="B9" i="6"/>
  <c r="K8" i="6"/>
  <c r="J8" i="6"/>
  <c r="I8" i="6"/>
  <c r="E8" i="6"/>
  <c r="D8" i="6"/>
  <c r="B8" i="6"/>
  <c r="J7" i="6"/>
  <c r="I7" i="6"/>
  <c r="H7" i="6"/>
  <c r="G7" i="6"/>
  <c r="C7" i="6"/>
  <c r="B7" i="6"/>
  <c r="A2" i="6"/>
  <c r="K35" i="5"/>
  <c r="H35" i="5"/>
  <c r="G35" i="5"/>
  <c r="K33" i="5"/>
  <c r="J33" i="5"/>
  <c r="I33" i="5"/>
  <c r="H33" i="5"/>
  <c r="G33" i="5"/>
  <c r="F33" i="5"/>
  <c r="E33" i="5"/>
  <c r="D33" i="5"/>
  <c r="C33" i="5"/>
  <c r="B33" i="5"/>
  <c r="J28" i="5"/>
  <c r="I28" i="5"/>
  <c r="C28" i="5"/>
  <c r="B28" i="5"/>
  <c r="K25" i="5"/>
  <c r="J25" i="5"/>
  <c r="I25" i="5"/>
  <c r="H25" i="5"/>
  <c r="H28" i="5" s="1"/>
  <c r="G25" i="5"/>
  <c r="G28" i="5" s="1"/>
  <c r="F25" i="5"/>
  <c r="E25" i="5"/>
  <c r="D25" i="5"/>
  <c r="C25" i="5"/>
  <c r="B25" i="5"/>
  <c r="K17" i="5"/>
  <c r="J17" i="5"/>
  <c r="I17" i="5"/>
  <c r="H17" i="5"/>
  <c r="G17" i="5"/>
  <c r="F17" i="5"/>
  <c r="F28" i="5" s="1"/>
  <c r="E17" i="5"/>
  <c r="E28" i="5" s="1"/>
  <c r="D17" i="5"/>
  <c r="D28" i="5" s="1"/>
  <c r="C17" i="5"/>
  <c r="B17" i="5"/>
  <c r="K10" i="5"/>
  <c r="J10" i="5"/>
  <c r="I10" i="5"/>
  <c r="H10" i="5"/>
  <c r="G10" i="5"/>
  <c r="F10" i="5"/>
  <c r="E10" i="5"/>
  <c r="D10" i="5"/>
  <c r="C10" i="5"/>
  <c r="B10" i="5"/>
  <c r="A2" i="5"/>
  <c r="K51" i="4"/>
  <c r="J51" i="4"/>
  <c r="I51" i="4"/>
  <c r="H51" i="4"/>
  <c r="G51" i="4"/>
  <c r="F51" i="4"/>
  <c r="E51" i="4"/>
  <c r="D51" i="4"/>
  <c r="C51" i="4"/>
  <c r="B51" i="4"/>
  <c r="B47" i="4"/>
  <c r="C39" i="4"/>
  <c r="K37" i="4"/>
  <c r="I36" i="4"/>
  <c r="G35" i="4"/>
  <c r="C33" i="4"/>
  <c r="J32" i="4"/>
  <c r="I32" i="4"/>
  <c r="K29" i="4"/>
  <c r="H29" i="4"/>
  <c r="G29" i="4"/>
  <c r="J28" i="4"/>
  <c r="I28" i="4"/>
  <c r="F28" i="4"/>
  <c r="C28" i="4"/>
  <c r="I27" i="4"/>
  <c r="H27" i="4"/>
  <c r="G27" i="4"/>
  <c r="D27" i="4"/>
  <c r="C27" i="4"/>
  <c r="B26" i="4"/>
  <c r="K25" i="4"/>
  <c r="J25" i="4"/>
  <c r="J36" i="4" s="1"/>
  <c r="I25" i="4"/>
  <c r="C25" i="4"/>
  <c r="J24" i="4"/>
  <c r="I24" i="4"/>
  <c r="H24" i="4"/>
  <c r="H35" i="4" s="1"/>
  <c r="G24" i="4"/>
  <c r="C24" i="4"/>
  <c r="K23" i="4"/>
  <c r="H23" i="4"/>
  <c r="G23" i="4"/>
  <c r="F23" i="4"/>
  <c r="F34" i="4" s="1"/>
  <c r="J22" i="4"/>
  <c r="I22" i="4"/>
  <c r="F22" i="4"/>
  <c r="D22" i="4"/>
  <c r="D33" i="4" s="1"/>
  <c r="C22" i="4"/>
  <c r="I21" i="4"/>
  <c r="H21" i="4"/>
  <c r="G21" i="4"/>
  <c r="D21" i="4"/>
  <c r="C21" i="4"/>
  <c r="K18" i="4"/>
  <c r="K26" i="4" s="1"/>
  <c r="J18" i="4"/>
  <c r="J26" i="4" s="1"/>
  <c r="I18" i="4"/>
  <c r="I26" i="4" s="1"/>
  <c r="H18" i="4"/>
  <c r="H25" i="4" s="1"/>
  <c r="G18" i="4"/>
  <c r="G25" i="4" s="1"/>
  <c r="F18" i="4"/>
  <c r="F35" i="5" s="1"/>
  <c r="E18" i="4"/>
  <c r="E26" i="4" s="1"/>
  <c r="D18" i="4"/>
  <c r="D28" i="4" s="1"/>
  <c r="D39" i="4" s="1"/>
  <c r="C18" i="4"/>
  <c r="C35" i="5" s="1"/>
  <c r="B18" i="4"/>
  <c r="B21" i="4" s="1"/>
  <c r="K17" i="4"/>
  <c r="J17" i="4"/>
  <c r="I17" i="4"/>
  <c r="H17" i="4"/>
  <c r="G17" i="4"/>
  <c r="F17" i="4"/>
  <c r="E17" i="4"/>
  <c r="D17" i="4"/>
  <c r="C17" i="4"/>
  <c r="B17" i="4"/>
  <c r="K14" i="4"/>
  <c r="K40" i="4" s="1"/>
  <c r="J14" i="4"/>
  <c r="I14" i="4"/>
  <c r="H14" i="4"/>
  <c r="H40" i="4" s="1"/>
  <c r="G14" i="4"/>
  <c r="G40" i="4" s="1"/>
  <c r="F14" i="4"/>
  <c r="E14" i="4"/>
  <c r="D14" i="4"/>
  <c r="C14" i="4"/>
  <c r="B14" i="4"/>
  <c r="K13" i="4"/>
  <c r="J13" i="4"/>
  <c r="J39" i="4" s="1"/>
  <c r="I13" i="4"/>
  <c r="H13" i="4"/>
  <c r="G13" i="4"/>
  <c r="F13" i="4"/>
  <c r="E13" i="4"/>
  <c r="D13" i="4"/>
  <c r="C13" i="4"/>
  <c r="B13" i="4"/>
  <c r="K12" i="4"/>
  <c r="J12" i="4"/>
  <c r="I12" i="4"/>
  <c r="I38" i="4" s="1"/>
  <c r="H12" i="4"/>
  <c r="H38" i="4" s="1"/>
  <c r="G12" i="4"/>
  <c r="F12" i="4"/>
  <c r="E12" i="4"/>
  <c r="D12" i="4"/>
  <c r="C12" i="4"/>
  <c r="C38" i="4" s="1"/>
  <c r="B12" i="4"/>
  <c r="K11" i="4"/>
  <c r="J11" i="4"/>
  <c r="J37" i="4" s="1"/>
  <c r="I11" i="4"/>
  <c r="H11" i="4"/>
  <c r="G11" i="4"/>
  <c r="F11" i="4"/>
  <c r="E11" i="4"/>
  <c r="D11" i="4"/>
  <c r="C11" i="4"/>
  <c r="B11" i="4"/>
  <c r="K10" i="4"/>
  <c r="K36" i="4" s="1"/>
  <c r="J10" i="4"/>
  <c r="I10" i="4"/>
  <c r="H10" i="4"/>
  <c r="G10" i="4"/>
  <c r="G36" i="4" s="1"/>
  <c r="F10" i="4"/>
  <c r="E10" i="4"/>
  <c r="D10" i="4"/>
  <c r="C10" i="4"/>
  <c r="B10" i="4"/>
  <c r="K9" i="4"/>
  <c r="J9" i="4"/>
  <c r="I9" i="4"/>
  <c r="H9" i="4"/>
  <c r="G9" i="4"/>
  <c r="F9" i="4"/>
  <c r="E9" i="4"/>
  <c r="D9" i="4"/>
  <c r="C9" i="4"/>
  <c r="C35" i="4" s="1"/>
  <c r="B9" i="4"/>
  <c r="K8" i="4"/>
  <c r="K34" i="4" s="1"/>
  <c r="J8" i="4"/>
  <c r="I8" i="4"/>
  <c r="H8" i="4"/>
  <c r="H34" i="4" s="1"/>
  <c r="G8" i="4"/>
  <c r="G34" i="4" s="1"/>
  <c r="F8" i="4"/>
  <c r="E8" i="4"/>
  <c r="D8" i="4"/>
  <c r="C8" i="4"/>
  <c r="B8" i="4"/>
  <c r="K7" i="4"/>
  <c r="J7" i="4"/>
  <c r="J33" i="4" s="1"/>
  <c r="I7" i="4"/>
  <c r="I33" i="4" s="1"/>
  <c r="H7" i="4"/>
  <c r="G7" i="4"/>
  <c r="F7" i="4"/>
  <c r="E7" i="4"/>
  <c r="D7" i="4"/>
  <c r="C7" i="4"/>
  <c r="B7" i="4"/>
  <c r="K6" i="4"/>
  <c r="K32" i="4" s="1"/>
  <c r="J6" i="4"/>
  <c r="I6" i="4"/>
  <c r="H6" i="4"/>
  <c r="H32" i="4" s="1"/>
  <c r="G6" i="4"/>
  <c r="G32" i="4" s="1"/>
  <c r="F6" i="4"/>
  <c r="F32" i="4" s="1"/>
  <c r="E6" i="4"/>
  <c r="E32" i="4" s="1"/>
  <c r="D6" i="4"/>
  <c r="D32" i="4" s="1"/>
  <c r="C6" i="4"/>
  <c r="B6" i="4"/>
  <c r="A2" i="4"/>
  <c r="K39" i="4" l="1"/>
  <c r="E36" i="4"/>
  <c r="H9" i="6"/>
  <c r="H18" i="6"/>
  <c r="F29" i="10"/>
  <c r="J10" i="6"/>
  <c r="J19" i="6"/>
  <c r="C34" i="4"/>
  <c r="C41" i="4" s="1"/>
  <c r="I37" i="4"/>
  <c r="K38" i="4"/>
  <c r="B39" i="4"/>
  <c r="C56" i="4"/>
  <c r="C57" i="4"/>
  <c r="C7" i="12" s="1"/>
  <c r="C15" i="12" s="1"/>
  <c r="C31" i="12" s="1"/>
  <c r="C52" i="4"/>
  <c r="B12" i="6"/>
  <c r="B21" i="6"/>
  <c r="J29" i="10"/>
  <c r="D7" i="6"/>
  <c r="D16" i="6"/>
  <c r="F10" i="6"/>
  <c r="C32" i="4"/>
  <c r="I35" i="4"/>
  <c r="F33" i="4"/>
  <c r="J35" i="4"/>
  <c r="B37" i="4"/>
  <c r="D38" i="4"/>
  <c r="F39" i="4"/>
  <c r="H29" i="9"/>
  <c r="H29" i="11"/>
  <c r="I34" i="4"/>
  <c r="D36" i="4"/>
  <c r="F8" i="6"/>
  <c r="F17" i="6"/>
  <c r="B33" i="4"/>
  <c r="H36" i="4"/>
  <c r="G33" i="4"/>
  <c r="C37" i="4"/>
  <c r="E38" i="4"/>
  <c r="K53" i="4"/>
  <c r="K7" i="8" s="1"/>
  <c r="K15" i="8" s="1"/>
  <c r="K31" i="8" s="1"/>
  <c r="B27" i="4"/>
  <c r="B38" i="4" s="1"/>
  <c r="B28" i="4"/>
  <c r="B22" i="4"/>
  <c r="B24" i="4"/>
  <c r="B35" i="4" s="1"/>
  <c r="B35" i="5"/>
  <c r="B29" i="4"/>
  <c r="B40" i="4" s="1"/>
  <c r="B23" i="4"/>
  <c r="B34" i="4" s="1"/>
  <c r="B25" i="4"/>
  <c r="B36" i="4" s="1"/>
  <c r="C54" i="4"/>
  <c r="C7" i="9" s="1"/>
  <c r="C15" i="9" s="1"/>
  <c r="C8" i="6"/>
  <c r="C17" i="6"/>
  <c r="E9" i="6"/>
  <c r="E18" i="6"/>
  <c r="G10" i="6"/>
  <c r="G19" i="6"/>
  <c r="I11" i="6"/>
  <c r="I20" i="6"/>
  <c r="K12" i="6"/>
  <c r="K21" i="6"/>
  <c r="E35" i="5"/>
  <c r="E29" i="4"/>
  <c r="E40" i="4" s="1"/>
  <c r="E23" i="4"/>
  <c r="E34" i="4" s="1"/>
  <c r="E24" i="4"/>
  <c r="E35" i="4" s="1"/>
  <c r="E25" i="4"/>
  <c r="E27" i="4"/>
  <c r="E21" i="4"/>
  <c r="D13" i="6"/>
  <c r="D22" i="6"/>
  <c r="E22" i="4"/>
  <c r="E56" i="4" s="1"/>
  <c r="G52" i="4"/>
  <c r="G7" i="7" s="1"/>
  <c r="G15" i="7" s="1"/>
  <c r="E28" i="4"/>
  <c r="E39" i="4" s="1"/>
  <c r="C36" i="4"/>
  <c r="E37" i="4"/>
  <c r="G38" i="4"/>
  <c r="I39" i="4"/>
  <c r="K28" i="5"/>
  <c r="G22" i="4"/>
  <c r="I23" i="4"/>
  <c r="K24" i="4"/>
  <c r="K56" i="4" s="1"/>
  <c r="C26" i="4"/>
  <c r="G28" i="4"/>
  <c r="G39" i="4" s="1"/>
  <c r="I29" i="4"/>
  <c r="I40" i="4" s="1"/>
  <c r="B53" i="4"/>
  <c r="I35" i="5"/>
  <c r="F21" i="4"/>
  <c r="H22" i="4"/>
  <c r="J23" i="4"/>
  <c r="D26" i="4"/>
  <c r="D37" i="4" s="1"/>
  <c r="F27" i="4"/>
  <c r="F38" i="4" s="1"/>
  <c r="H28" i="4"/>
  <c r="H56" i="4" s="1"/>
  <c r="J29" i="4"/>
  <c r="J54" i="4" s="1"/>
  <c r="E54" i="4"/>
  <c r="E7" i="9" s="1"/>
  <c r="E15" i="9" s="1"/>
  <c r="E31" i="9" s="1"/>
  <c r="J35" i="5"/>
  <c r="D25" i="4"/>
  <c r="K22" i="4"/>
  <c r="K54" i="4" s="1"/>
  <c r="K28" i="4"/>
  <c r="J21" i="4"/>
  <c r="D24" i="4"/>
  <c r="D35" i="4" s="1"/>
  <c r="F25" i="4"/>
  <c r="F36" i="4" s="1"/>
  <c r="H26" i="4"/>
  <c r="H37" i="4" s="1"/>
  <c r="J27" i="4"/>
  <c r="J38" i="4" s="1"/>
  <c r="E16" i="6"/>
  <c r="G17" i="6"/>
  <c r="I18" i="6"/>
  <c r="K19" i="6"/>
  <c r="C21" i="6"/>
  <c r="E22" i="6"/>
  <c r="F26" i="4"/>
  <c r="F37" i="4" s="1"/>
  <c r="B32" i="4"/>
  <c r="G26" i="4"/>
  <c r="G37" i="4" s="1"/>
  <c r="K21" i="4"/>
  <c r="C23" i="4"/>
  <c r="C53" i="4" s="1"/>
  <c r="K27" i="4"/>
  <c r="C29" i="4"/>
  <c r="C40" i="4" s="1"/>
  <c r="F16" i="6"/>
  <c r="H17" i="6"/>
  <c r="J18" i="6"/>
  <c r="B20" i="6"/>
  <c r="D21" i="6"/>
  <c r="F22" i="6"/>
  <c r="D23" i="4"/>
  <c r="D53" i="4" s="1"/>
  <c r="F24" i="4"/>
  <c r="F35" i="4" s="1"/>
  <c r="D29" i="4"/>
  <c r="D40" i="4" s="1"/>
  <c r="D35" i="5"/>
  <c r="F29" i="4"/>
  <c r="F40" i="4" s="1"/>
  <c r="J7" i="9" l="1"/>
  <c r="J15" i="9" s="1"/>
  <c r="J35" i="9"/>
  <c r="I41" i="4"/>
  <c r="I42" i="4" s="1"/>
  <c r="I49" i="4" s="1"/>
  <c r="I7" i="5" s="1"/>
  <c r="D7" i="8"/>
  <c r="D15" i="8" s="1"/>
  <c r="D35" i="8"/>
  <c r="H35" i="11"/>
  <c r="H7" i="11"/>
  <c r="H15" i="11" s="1"/>
  <c r="H31" i="11" s="1"/>
  <c r="K35" i="9"/>
  <c r="K7" i="9"/>
  <c r="K15" i="9" s="1"/>
  <c r="K7" i="11"/>
  <c r="K15" i="11" s="1"/>
  <c r="K35" i="11"/>
  <c r="E7" i="11"/>
  <c r="E15" i="11" s="1"/>
  <c r="E35" i="11"/>
  <c r="C7" i="8"/>
  <c r="C15" i="8" s="1"/>
  <c r="C35" i="8"/>
  <c r="C7" i="11"/>
  <c r="C15" i="11" s="1"/>
  <c r="C35" i="11"/>
  <c r="E57" i="4"/>
  <c r="B56" i="4"/>
  <c r="F54" i="4"/>
  <c r="K35" i="4"/>
  <c r="C35" i="9"/>
  <c r="F41" i="4"/>
  <c r="F42" i="4" s="1"/>
  <c r="F49" i="4" s="1"/>
  <c r="F7" i="5" s="1"/>
  <c r="C55" i="4"/>
  <c r="G41" i="4"/>
  <c r="G42" i="4" s="1"/>
  <c r="G49" i="4" s="1"/>
  <c r="G7" i="5" s="1"/>
  <c r="H53" i="4"/>
  <c r="F52" i="4"/>
  <c r="B57" i="4"/>
  <c r="J56" i="4"/>
  <c r="J52" i="4"/>
  <c r="I57" i="4"/>
  <c r="G35" i="7"/>
  <c r="C31" i="9"/>
  <c r="C33" i="9"/>
  <c r="D52" i="4"/>
  <c r="H54" i="4"/>
  <c r="H57" i="4"/>
  <c r="H55" i="4"/>
  <c r="G57" i="4"/>
  <c r="G54" i="4"/>
  <c r="G56" i="4"/>
  <c r="J34" i="4"/>
  <c r="J41" i="4" s="1"/>
  <c r="J42" i="4" s="1"/>
  <c r="J49" i="4" s="1"/>
  <c r="J7" i="5" s="1"/>
  <c r="F57" i="4"/>
  <c r="I52" i="4"/>
  <c r="K35" i="8"/>
  <c r="B55" i="4"/>
  <c r="K52" i="4"/>
  <c r="B35" i="8"/>
  <c r="B7" i="8"/>
  <c r="B15" i="8" s="1"/>
  <c r="E33" i="9"/>
  <c r="C33" i="12"/>
  <c r="E35" i="9"/>
  <c r="D55" i="4"/>
  <c r="I54" i="4"/>
  <c r="I55" i="4"/>
  <c r="H33" i="4"/>
  <c r="J57" i="4"/>
  <c r="D56" i="4"/>
  <c r="D57" i="4"/>
  <c r="E53" i="4"/>
  <c r="E55" i="4"/>
  <c r="H39" i="4"/>
  <c r="I53" i="4"/>
  <c r="G53" i="4"/>
  <c r="K57" i="4"/>
  <c r="B41" i="4"/>
  <c r="J55" i="4"/>
  <c r="D34" i="4"/>
  <c r="D41" i="4" s="1"/>
  <c r="D42" i="4" s="1"/>
  <c r="D49" i="4" s="1"/>
  <c r="D7" i="5" s="1"/>
  <c r="K33" i="4"/>
  <c r="K41" i="4" s="1"/>
  <c r="K42" i="4" s="1"/>
  <c r="K49" i="4" s="1"/>
  <c r="K7" i="5" s="1"/>
  <c r="F56" i="4"/>
  <c r="G31" i="7"/>
  <c r="G33" i="7"/>
  <c r="J40" i="4"/>
  <c r="E52" i="4"/>
  <c r="E33" i="4"/>
  <c r="E41" i="4" s="1"/>
  <c r="E42" i="4" s="1"/>
  <c r="E49" i="4" s="1"/>
  <c r="E7" i="5" s="1"/>
  <c r="I56" i="4"/>
  <c r="F55" i="4"/>
  <c r="K33" i="8"/>
  <c r="B54" i="4"/>
  <c r="B52" i="4"/>
  <c r="K55" i="4"/>
  <c r="F53" i="4"/>
  <c r="J53" i="4"/>
  <c r="C35" i="7"/>
  <c r="C7" i="7"/>
  <c r="C15" i="7" s="1"/>
  <c r="C42" i="4"/>
  <c r="C49" i="4" s="1"/>
  <c r="C7" i="5" s="1"/>
  <c r="B42" i="4"/>
  <c r="B49" i="4" s="1"/>
  <c r="B7" i="5" s="1"/>
  <c r="G55" i="4"/>
  <c r="D54" i="4"/>
  <c r="H52" i="4"/>
  <c r="C35" i="12"/>
  <c r="H33" i="11" l="1"/>
  <c r="K34" i="5"/>
  <c r="K6" i="5"/>
  <c r="K14" i="5" s="1"/>
  <c r="J7" i="12"/>
  <c r="J15" i="12" s="1"/>
  <c r="J35" i="12"/>
  <c r="F6" i="5"/>
  <c r="F14" i="5" s="1"/>
  <c r="F34" i="5"/>
  <c r="D7" i="9"/>
  <c r="D15" i="9" s="1"/>
  <c r="D35" i="9"/>
  <c r="J35" i="10"/>
  <c r="J7" i="10"/>
  <c r="J15" i="10" s="1"/>
  <c r="H41" i="4"/>
  <c r="H42" i="4" s="1"/>
  <c r="H49" i="4" s="1"/>
  <c r="H7" i="5" s="1"/>
  <c r="I7" i="7"/>
  <c r="I15" i="7" s="1"/>
  <c r="I35" i="7"/>
  <c r="K31" i="11"/>
  <c r="K33" i="11"/>
  <c r="B7" i="7"/>
  <c r="B15" i="7" s="1"/>
  <c r="B35" i="7"/>
  <c r="D6" i="5"/>
  <c r="D14" i="5" s="1"/>
  <c r="D34" i="5"/>
  <c r="G7" i="10"/>
  <c r="G15" i="10" s="1"/>
  <c r="G35" i="10"/>
  <c r="F7" i="10"/>
  <c r="F15" i="10" s="1"/>
  <c r="F35" i="10"/>
  <c r="I35" i="10"/>
  <c r="I7" i="10"/>
  <c r="I15" i="10" s="1"/>
  <c r="F35" i="12"/>
  <c r="F7" i="12"/>
  <c r="F15" i="12" s="1"/>
  <c r="K31" i="9"/>
  <c r="K33" i="9"/>
  <c r="I7" i="11"/>
  <c r="I15" i="11" s="1"/>
  <c r="I35" i="11"/>
  <c r="I7" i="9"/>
  <c r="I15" i="9" s="1"/>
  <c r="I35" i="9"/>
  <c r="J34" i="5"/>
  <c r="J6" i="5"/>
  <c r="J14" i="5" s="1"/>
  <c r="I7" i="12"/>
  <c r="I15" i="12" s="1"/>
  <c r="I35" i="12"/>
  <c r="F7" i="9"/>
  <c r="F15" i="9" s="1"/>
  <c r="F35" i="9"/>
  <c r="C7" i="10"/>
  <c r="C15" i="10" s="1"/>
  <c r="C35" i="10"/>
  <c r="C6" i="5"/>
  <c r="C14" i="5" s="1"/>
  <c r="C34" i="5"/>
  <c r="G35" i="11"/>
  <c r="G7" i="11"/>
  <c r="G15" i="11" s="1"/>
  <c r="J7" i="7"/>
  <c r="J15" i="7" s="1"/>
  <c r="J35" i="7"/>
  <c r="B7" i="11"/>
  <c r="B15" i="11" s="1"/>
  <c r="B35" i="11"/>
  <c r="B7" i="10"/>
  <c r="B15" i="10" s="1"/>
  <c r="B35" i="10"/>
  <c r="B6" i="5"/>
  <c r="B14" i="5" s="1"/>
  <c r="B34" i="5"/>
  <c r="E6" i="5"/>
  <c r="E14" i="5" s="1"/>
  <c r="E34" i="5"/>
  <c r="I7" i="8"/>
  <c r="I15" i="8" s="1"/>
  <c r="I35" i="8"/>
  <c r="G7" i="9"/>
  <c r="G15" i="9" s="1"/>
  <c r="G35" i="9"/>
  <c r="J7" i="11"/>
  <c r="J15" i="11" s="1"/>
  <c r="J35" i="11"/>
  <c r="E35" i="12"/>
  <c r="E7" i="12"/>
  <c r="E15" i="12" s="1"/>
  <c r="K7" i="12"/>
  <c r="K15" i="12" s="1"/>
  <c r="K35" i="12"/>
  <c r="D7" i="10"/>
  <c r="D15" i="10" s="1"/>
  <c r="D35" i="10"/>
  <c r="C31" i="7"/>
  <c r="C33" i="7"/>
  <c r="G7" i="12"/>
  <c r="G15" i="12" s="1"/>
  <c r="G35" i="12"/>
  <c r="B7" i="12"/>
  <c r="B15" i="12" s="1"/>
  <c r="B35" i="12"/>
  <c r="B7" i="9"/>
  <c r="B15" i="9" s="1"/>
  <c r="B35" i="9"/>
  <c r="G7" i="8"/>
  <c r="G15" i="8" s="1"/>
  <c r="G35" i="8"/>
  <c r="E7" i="7"/>
  <c r="E15" i="7" s="1"/>
  <c r="E35" i="7"/>
  <c r="E7" i="10"/>
  <c r="E15" i="10" s="1"/>
  <c r="E35" i="10"/>
  <c r="H35" i="10"/>
  <c r="H7" i="10"/>
  <c r="H15" i="10" s="1"/>
  <c r="F7" i="7"/>
  <c r="F15" i="7" s="1"/>
  <c r="F35" i="7"/>
  <c r="C31" i="11"/>
  <c r="C33" i="11"/>
  <c r="D31" i="8"/>
  <c r="D33" i="8"/>
  <c r="H7" i="7"/>
  <c r="H15" i="7" s="1"/>
  <c r="H35" i="7"/>
  <c r="E7" i="8"/>
  <c r="E15" i="8" s="1"/>
  <c r="E35" i="8"/>
  <c r="H7" i="12"/>
  <c r="H15" i="12" s="1"/>
  <c r="H35" i="12"/>
  <c r="H7" i="8"/>
  <c r="H15" i="8" s="1"/>
  <c r="H35" i="8"/>
  <c r="I6" i="5"/>
  <c r="I14" i="5" s="1"/>
  <c r="I34" i="5"/>
  <c r="D7" i="11"/>
  <c r="D15" i="11" s="1"/>
  <c r="D35" i="11"/>
  <c r="E31" i="11"/>
  <c r="E33" i="11"/>
  <c r="J7" i="8"/>
  <c r="J15" i="8" s="1"/>
  <c r="J35" i="8"/>
  <c r="B31" i="8"/>
  <c r="B33" i="8"/>
  <c r="F7" i="8"/>
  <c r="F15" i="8" s="1"/>
  <c r="F35" i="8"/>
  <c r="H7" i="9"/>
  <c r="H15" i="9" s="1"/>
  <c r="H35" i="9"/>
  <c r="C31" i="8"/>
  <c r="C33" i="8"/>
  <c r="K7" i="10"/>
  <c r="K15" i="10" s="1"/>
  <c r="K35" i="10"/>
  <c r="F35" i="11"/>
  <c r="F7" i="11"/>
  <c r="F15" i="11" s="1"/>
  <c r="D35" i="12"/>
  <c r="D7" i="12"/>
  <c r="D15" i="12" s="1"/>
  <c r="K7" i="7"/>
  <c r="K15" i="7" s="1"/>
  <c r="K35" i="7"/>
  <c r="D35" i="7"/>
  <c r="D7" i="7"/>
  <c r="D15" i="7" s="1"/>
  <c r="G6" i="5"/>
  <c r="G14" i="5" s="1"/>
  <c r="G34" i="5"/>
  <c r="J31" i="9"/>
  <c r="J33" i="9"/>
  <c r="F31" i="8" l="1"/>
  <c r="F33" i="8"/>
  <c r="H6" i="5"/>
  <c r="H14" i="5" s="1"/>
  <c r="H34" i="5"/>
  <c r="H31" i="12"/>
  <c r="H33" i="12"/>
  <c r="G31" i="12"/>
  <c r="G33" i="12"/>
  <c r="G31" i="9"/>
  <c r="G33" i="9"/>
  <c r="J31" i="7"/>
  <c r="J33" i="7"/>
  <c r="F31" i="10"/>
  <c r="F33" i="10"/>
  <c r="J31" i="10"/>
  <c r="J33" i="10"/>
  <c r="K31" i="7"/>
  <c r="K33" i="7"/>
  <c r="F31" i="11"/>
  <c r="F33" i="11"/>
  <c r="G31" i="11"/>
  <c r="G33" i="11"/>
  <c r="H31" i="8"/>
  <c r="H33" i="8"/>
  <c r="I31" i="8"/>
  <c r="I33" i="8"/>
  <c r="I31" i="9"/>
  <c r="I33" i="9"/>
  <c r="G31" i="10"/>
  <c r="G33" i="10"/>
  <c r="D31" i="12"/>
  <c r="D33" i="12"/>
  <c r="D31" i="9"/>
  <c r="D33" i="9"/>
  <c r="F31" i="7"/>
  <c r="F33" i="7"/>
  <c r="E31" i="7"/>
  <c r="E33" i="7"/>
  <c r="B31" i="11"/>
  <c r="B33" i="11"/>
  <c r="J30" i="5"/>
  <c r="J32" i="5"/>
  <c r="J31" i="8"/>
  <c r="J33" i="8"/>
  <c r="H31" i="7"/>
  <c r="H33" i="7"/>
  <c r="D31" i="10"/>
  <c r="D33" i="10"/>
  <c r="E30" i="5"/>
  <c r="E32" i="5"/>
  <c r="C30" i="5"/>
  <c r="C32" i="5"/>
  <c r="D30" i="5"/>
  <c r="D32" i="5"/>
  <c r="F30" i="5"/>
  <c r="F32" i="5"/>
  <c r="B31" i="12"/>
  <c r="B33" i="12"/>
  <c r="E31" i="8"/>
  <c r="E33" i="8"/>
  <c r="K31" i="10"/>
  <c r="K33" i="10"/>
  <c r="I31" i="11"/>
  <c r="I33" i="11"/>
  <c r="G30" i="5"/>
  <c r="G32" i="5"/>
  <c r="D31" i="11"/>
  <c r="D33" i="11"/>
  <c r="G31" i="8"/>
  <c r="G33" i="8"/>
  <c r="K31" i="12"/>
  <c r="K33" i="12"/>
  <c r="B30" i="5"/>
  <c r="B32" i="5"/>
  <c r="C31" i="10"/>
  <c r="C33" i="10"/>
  <c r="B31" i="7"/>
  <c r="B33" i="7"/>
  <c r="I31" i="7"/>
  <c r="I33" i="7"/>
  <c r="E31" i="10"/>
  <c r="E33" i="10"/>
  <c r="D31" i="7"/>
  <c r="D33" i="7"/>
  <c r="E31" i="12"/>
  <c r="E33" i="12"/>
  <c r="F31" i="12"/>
  <c r="F33" i="12"/>
  <c r="J31" i="12"/>
  <c r="J33" i="12"/>
  <c r="J31" i="11"/>
  <c r="J33" i="11"/>
  <c r="F31" i="9"/>
  <c r="F33" i="9"/>
  <c r="K30" i="5"/>
  <c r="K32" i="5"/>
  <c r="I31" i="12"/>
  <c r="I33" i="12"/>
  <c r="H31" i="10"/>
  <c r="H33" i="10"/>
  <c r="H31" i="9"/>
  <c r="H33" i="9"/>
  <c r="I30" i="5"/>
  <c r="I32" i="5"/>
  <c r="B31" i="9"/>
  <c r="B33" i="9"/>
  <c r="B31" i="10"/>
  <c r="B33" i="10"/>
  <c r="I31" i="10"/>
  <c r="I33" i="10"/>
  <c r="H30" i="5" l="1"/>
  <c r="H32" i="5"/>
</calcChain>
</file>

<file path=xl/sharedStrings.xml><?xml version="1.0" encoding="utf-8"?>
<sst xmlns="http://schemas.openxmlformats.org/spreadsheetml/2006/main" count="642" uniqueCount="155">
  <si>
    <t>六戸町 公共下水道事業 使用料改定シミュレーション</t>
  </si>
  <si>
    <t>▼ 黄色セルを変更すると「財政計画（ベース）」「パターン別比較」が自動連動します</t>
  </si>
  <si>
    <t>① 人口推計</t>
  </si>
  <si>
    <t>社人研</t>
  </si>
  <si>
    <t>② 料金パターン</t>
  </si>
  <si>
    <t>パターン①（標準型）</t>
  </si>
  <si>
    <t>③ 改定年数</t>
  </si>
  <si>
    <t>3か年</t>
  </si>
  <si>
    <t>使用料収入マスタ（千円）　※設定シートから自動参照</t>
  </si>
  <si>
    <t>人口推計</t>
  </si>
  <si>
    <t>パターン</t>
  </si>
  <si>
    <t>改定年数</t>
  </si>
  <si>
    <t>令和7年度</t>
  </si>
  <si>
    <t>令和8年度</t>
  </si>
  <si>
    <t>令和9年度</t>
  </si>
  <si>
    <t>令和10年度</t>
  </si>
  <si>
    <t>令和11年度</t>
  </si>
  <si>
    <t>令和12年度</t>
  </si>
  <si>
    <t>令和13年度</t>
  </si>
  <si>
    <t>令和14年度</t>
  </si>
  <si>
    <t>令和15年度</t>
  </si>
  <si>
    <t>令和16年度</t>
  </si>
  <si>
    <t>人口ビジョン</t>
  </si>
  <si>
    <t>2か年</t>
  </si>
  <si>
    <t>パターン②（家庭軽減型）</t>
  </si>
  <si>
    <t>パターン④（段階累進型）</t>
  </si>
  <si>
    <t>現行収入（改定なし）</t>
  </si>
  <si>
    <t>現行</t>
  </si>
  <si>
    <t>有収水量（㎥）</t>
  </si>
  <si>
    <t>料金テーブル（税抜き・円）　※黄色セル編集可</t>
  </si>
  <si>
    <t>単価を変更すると「使用料算定」→「財政計画（ベース）」に自動反映されます</t>
  </si>
  <si>
    <t>水量区分</t>
  </si>
  <si>
    <t>パターン①
（標準型）</t>
  </si>
  <si>
    <t>パターン②
（家庭軽減型）</t>
  </si>
  <si>
    <t>パターン④
（段階累進型）</t>
  </si>
  <si>
    <t>基本(0〜10㎥)</t>
  </si>
  <si>
    <t>11〜20㎥</t>
  </si>
  <si>
    <t>21〜30㎥</t>
  </si>
  <si>
    <t>31〜40㎥</t>
  </si>
  <si>
    <t>41〜50㎥</t>
  </si>
  <si>
    <t>51〜70㎥</t>
  </si>
  <si>
    <t>71〜100㎥</t>
  </si>
  <si>
    <t>101〜150㎥</t>
  </si>
  <si>
    <t>151㎥〜</t>
  </si>
  <si>
    <t>使用料収入算定（区分別積み上げ）</t>
  </si>
  <si>
    <t>■ 年度別適用単価（円）</t>
  </si>
  <si>
    <t>■ 調定口数・有収水量推計</t>
  </si>
  <si>
    <t>調定口数（口）</t>
  </si>
  <si>
    <t>有収水量合計（㎥）</t>
  </si>
  <si>
    <t>■ 区分別有収水量（㎥）　※R6比率固定</t>
  </si>
  <si>
    <t>■ 使用料収入算定（千円）</t>
  </si>
  <si>
    <t>基本使用料収入</t>
  </si>
  <si>
    <t>　11〜20㎥</t>
  </si>
  <si>
    <t>　21〜30㎥</t>
  </si>
  <si>
    <t>　31〜40㎥</t>
  </si>
  <si>
    <t>　41〜50㎥</t>
  </si>
  <si>
    <t>　51〜70㎥</t>
  </si>
  <si>
    <t>　71〜100㎥</t>
  </si>
  <si>
    <t>　101〜150㎥</t>
  </si>
  <si>
    <t>　151㎥〜</t>
  </si>
  <si>
    <t>超過使用料収入 小計</t>
  </si>
  <si>
    <t>使用料収入 合計（税抜き）</t>
  </si>
  <si>
    <t>■ R6実績補正</t>
  </si>
  <si>
    <t>R6実績 使用料収入（千円）</t>
  </si>
  <si>
    <t>R6算定値（検算用）</t>
  </si>
  <si>
    <t>補正率（実績÷算定）</t>
  </si>
  <si>
    <t>★ 使用料収入（補正後・千円）</t>
  </si>
  <si>
    <t>■ パターン別 使用料収入（補正後・千円）</t>
  </si>
  <si>
    <t>パターン① 2か年</t>
  </si>
  <si>
    <t>パターン① 3か年</t>
  </si>
  <si>
    <t>パターン② 2か年</t>
  </si>
  <si>
    <t>パターン② 3か年</t>
  </si>
  <si>
    <t>パターン④ 2か年</t>
  </si>
  <si>
    <t>パターン④ 3か年</t>
  </si>
  <si>
    <t>３条 収益的収支（令和7年度～令和16年度）　公共下水道事業</t>
  </si>
  <si>
    <t>区　分</t>
  </si>
  <si>
    <t>（単位：千円）</t>
  </si>
  <si>
    <t>【収入の部】</t>
  </si>
  <si>
    <t>営業収益 (A)</t>
  </si>
  <si>
    <t>　(1) 使用料収入</t>
  </si>
  <si>
    <t>　(2) 雨水処理負担金</t>
  </si>
  <si>
    <t>　(3) その他</t>
  </si>
  <si>
    <t>営業外収益</t>
  </si>
  <si>
    <t>　(1) 補助金</t>
  </si>
  <si>
    <t>　(2) 長期前受金戻入</t>
  </si>
  <si>
    <t>経常収入 (C)</t>
  </si>
  <si>
    <t>【支出の部】</t>
  </si>
  <si>
    <t>営業費用</t>
  </si>
  <si>
    <t>　(1) 職員給与費</t>
  </si>
  <si>
    <t>　(2) 経費</t>
  </si>
  <si>
    <t>　　動力費</t>
  </si>
  <si>
    <t>　　修繕費</t>
  </si>
  <si>
    <t>　　材料費</t>
  </si>
  <si>
    <t>　　その他</t>
  </si>
  <si>
    <t>　(3) 減価償却費</t>
  </si>
  <si>
    <t>営業外費用</t>
  </si>
  <si>
    <t>　(1) 支払利息</t>
  </si>
  <si>
    <t>　(2) その他</t>
  </si>
  <si>
    <t>経常支出 (D)</t>
  </si>
  <si>
    <t>経常損益 (C)-(D)</t>
  </si>
  <si>
    <t>経常収支比率</t>
  </si>
  <si>
    <t>汚水処理費</t>
  </si>
  <si>
    <t>経費回収率</t>
  </si>
  <si>
    <t>パターン別 経常収支比率・経費回収率 比較（公共下水道事業）</t>
  </si>
  <si>
    <t>指標 ／ パターン</t>
  </si>
  <si>
    <t>【経常収支比率】</t>
  </si>
  <si>
    <t>　現行（改定なし）</t>
  </si>
  <si>
    <t>　パターン①（標準型）2か年</t>
  </si>
  <si>
    <t>　パターン①（標準型）3か年</t>
  </si>
  <si>
    <t>　パターン②（家庭軽減型）2か年</t>
  </si>
  <si>
    <t>　パターン②（家庭軽減型）3か年</t>
  </si>
  <si>
    <t>　パターン④（段階累進型）2か年</t>
  </si>
  <si>
    <t>　パターン④（段階累進型）3か年</t>
  </si>
  <si>
    <t>【経費回収率】</t>
  </si>
  <si>
    <t>【参考】パターン別 使用料収入（千円）</t>
  </si>
  <si>
    <t>現行（改定なし）</t>
  </si>
  <si>
    <t>パターン①（標準型）2か年</t>
  </si>
  <si>
    <t>パターン①（標準型）3か年</t>
  </si>
  <si>
    <t>パターン②（家庭軽減型）2か年</t>
  </si>
  <si>
    <t>パターン②（家庭軽減型）3か年</t>
  </si>
  <si>
    <t>パターン④（段階累進型）2か年</t>
  </si>
  <si>
    <t>パターン④（段階累進型）3か年</t>
  </si>
  <si>
    <t>公共下水道事業　投資財政計画　パターン①（標準型）2か年改定</t>
  </si>
  <si>
    <t>３条 収益的収支（令和7年度～令和16年度）</t>
  </si>
  <si>
    <t>４条 資本的収支（令和7年度～令和16年度）</t>
  </si>
  <si>
    <t>※ 打合せ資料より転記予定</t>
  </si>
  <si>
    <t>【資本的収入】</t>
  </si>
  <si>
    <t>　企業債</t>
  </si>
  <si>
    <t>　国庫補助金</t>
  </si>
  <si>
    <t>　他会計負担金</t>
  </si>
  <si>
    <t>　その他</t>
  </si>
  <si>
    <t>資本的収入 合計 (E)</t>
  </si>
  <si>
    <t>【資本的支出】</t>
  </si>
  <si>
    <t>　建設改良費</t>
  </si>
  <si>
    <t>　企業債償還金</t>
  </si>
  <si>
    <t>資本的支出 合計 (F)</t>
  </si>
  <si>
    <t>差引不足額 (E)-(F)</t>
  </si>
  <si>
    <t>【補填財源】</t>
  </si>
  <si>
    <t>　損益勘定留保資金</t>
  </si>
  <si>
    <t>　利益剰余金処分額</t>
  </si>
  <si>
    <t>　積立金取崩額</t>
  </si>
  <si>
    <t>補填財源 合計</t>
  </si>
  <si>
    <t>企業債残高</t>
  </si>
  <si>
    <t>公共下水道事業　投資財政計画　パターン①（標準型）3か年改定</t>
  </si>
  <si>
    <t>公共下水道事業　投資財政計画　パターン②（家庭軽減型）2か年改定</t>
  </si>
  <si>
    <t>公共下水道事業　投資財政計画　パターン②（家庭軽減型）3か年改定</t>
  </si>
  <si>
    <t>公共下水道事業　投資財政計画　パターン④（段階累進型）2か年改定</t>
  </si>
  <si>
    <t>公共下水道事業　投資財政計画　パターン④（段階累進型）3か年改定</t>
  </si>
  <si>
    <t>3か年改定 段階単価（税抜き・円）</t>
  </si>
  <si>
    <t>※ 人口シミュレーションと同一の手動設定値。使用料算定シートが参照。</t>
  </si>
  <si>
    <t>パターン①</t>
  </si>
  <si>
    <t>R8
（第1段）</t>
  </si>
  <si>
    <t>R9
（第2段）</t>
  </si>
  <si>
    <t>パターン②</t>
  </si>
  <si>
    <t>パターン④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</si>
</sst>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0.0000"/>
    <numFmt numFmtId="178" formatCode="#,##0;\(#,##0\);\-"/>
    <numFmt numFmtId="179" formatCode="0.0%"/>
  </numFmts>
  <fonts count="27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b/>
      <sz val="10"/>
      <color rgb="FFFF0000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sz val="11"/>
      <color rgb="FF0000FF"/>
      <name val="Meiryo UI"/>
      <family val="3"/>
      <charset val="128"/>
    </font>
    <font>
      <b/>
      <sz val="12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0000FF"/>
      <name val="Meiryo UI"/>
      <family val="3"/>
      <charset val="128"/>
    </font>
    <font>
      <sz val="10"/>
      <name val="Meiryo UI"/>
      <family val="3"/>
      <charset val="128"/>
    </font>
    <font>
      <sz val="10"/>
      <name val="Noto Sans CJK SC"/>
      <family val="2"/>
    </font>
    <font>
      <b/>
      <sz val="10"/>
      <color rgb="FF4472C4"/>
      <name val="Noto Sans CJK SC"/>
      <family val="2"/>
      <charset val="1"/>
    </font>
    <font>
      <b/>
      <sz val="10"/>
      <name val="Meiryo UI"/>
      <family val="3"/>
      <charset val="128"/>
    </font>
    <font>
      <b/>
      <sz val="10"/>
      <name val="Noto Sans CJK SC"/>
      <family val="2"/>
    </font>
    <font>
      <sz val="9"/>
      <color rgb="FF808080"/>
      <name val="Meiryo UI"/>
      <family val="3"/>
      <charset val="128"/>
    </font>
    <font>
      <b/>
      <sz val="11"/>
      <color rgb="FFFF0000"/>
      <name val="Noto Sans CJK SC"/>
      <family val="2"/>
      <charset val="1"/>
    </font>
    <font>
      <b/>
      <sz val="11"/>
      <name val="Meiryo UI"/>
      <family val="3"/>
      <charset val="128"/>
    </font>
    <font>
      <sz val="10"/>
      <color rgb="FF008000"/>
      <name val="Noto Sans CJK SC"/>
      <family val="2"/>
      <charset val="1"/>
    </font>
    <font>
      <b/>
      <sz val="11"/>
      <name val="Yu Gothic"/>
      <family val="3"/>
      <charset val="128"/>
    </font>
    <font>
      <sz val="9"/>
      <color rgb="FF666666"/>
      <name val="Noto Sans CJK SC"/>
      <family val="2"/>
    </font>
    <font>
      <b/>
      <sz val="10"/>
      <name val="Yu Gothic"/>
      <family val="3"/>
      <charset val="128"/>
    </font>
    <font>
      <sz val="10"/>
      <name val="Yu Gothic"/>
      <family val="3"/>
      <charset val="128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66"/>
      </patternFill>
    </fill>
    <fill>
      <patternFill patternType="solid">
        <fgColor rgb="FFDAEEF3"/>
        <bgColor rgb="FFE2EFDA"/>
      </patternFill>
    </fill>
    <fill>
      <patternFill patternType="solid">
        <fgColor rgb="FFE2EFDA"/>
        <bgColor rgb="FFDAEEF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AEEF3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3" borderId="0" xfId="0" applyFont="1" applyFill="1" applyAlignment="1">
      <alignment horizontal="center"/>
    </xf>
    <xf numFmtId="0" fontId="8" fillId="0" borderId="0" xfId="0" applyFont="1"/>
    <xf numFmtId="3" fontId="0" fillId="0" borderId="0" xfId="0" applyNumberFormat="1"/>
    <xf numFmtId="0" fontId="9" fillId="0" borderId="0" xfId="0" applyFont="1"/>
    <xf numFmtId="0" fontId="10" fillId="0" borderId="0" xfId="0" applyFont="1"/>
    <xf numFmtId="0" fontId="7" fillId="3" borderId="1" xfId="0" applyFont="1" applyFill="1" applyBorder="1" applyAlignment="1">
      <alignment horizontal="center" wrapText="1"/>
    </xf>
    <xf numFmtId="0" fontId="11" fillId="0" borderId="1" xfId="0" applyFont="1" applyBorder="1"/>
    <xf numFmtId="3" fontId="12" fillId="2" borderId="1" xfId="0" applyNumberFormat="1" applyFont="1" applyFill="1" applyBorder="1"/>
    <xf numFmtId="0" fontId="13" fillId="0" borderId="1" xfId="0" applyFont="1" applyBorder="1"/>
    <xf numFmtId="0" fontId="15" fillId="0" borderId="0" xfId="0" applyFont="1"/>
    <xf numFmtId="0" fontId="9" fillId="4" borderId="1" xfId="0" applyFont="1" applyFill="1" applyBorder="1"/>
    <xf numFmtId="0" fontId="0" fillId="0" borderId="1" xfId="0" applyBorder="1"/>
    <xf numFmtId="0" fontId="9" fillId="0" borderId="1" xfId="0" applyFont="1" applyBorder="1"/>
    <xf numFmtId="3" fontId="0" fillId="0" borderId="1" xfId="0" applyNumberFormat="1" applyBorder="1"/>
    <xf numFmtId="0" fontId="9" fillId="5" borderId="1" xfId="0" applyFont="1" applyFill="1" applyBorder="1"/>
    <xf numFmtId="176" fontId="0" fillId="0" borderId="1" xfId="0" applyNumberFormat="1" applyBorder="1"/>
    <xf numFmtId="0" fontId="3" fillId="0" borderId="1" xfId="0" applyFont="1" applyBorder="1"/>
    <xf numFmtId="0" fontId="16" fillId="6" borderId="1" xfId="0" applyFont="1" applyFill="1" applyBorder="1"/>
    <xf numFmtId="0" fontId="18" fillId="0" borderId="1" xfId="0" applyFont="1" applyBorder="1"/>
    <xf numFmtId="0" fontId="9" fillId="6" borderId="1" xfId="0" applyFont="1" applyFill="1" applyBorder="1"/>
    <xf numFmtId="177" fontId="16" fillId="6" borderId="1" xfId="0" applyNumberFormat="1" applyFont="1" applyFill="1" applyBorder="1"/>
    <xf numFmtId="0" fontId="19" fillId="5" borderId="1" xfId="0" applyFont="1" applyFill="1" applyBorder="1"/>
    <xf numFmtId="3" fontId="20" fillId="5" borderId="1" xfId="0" applyNumberFormat="1" applyFont="1" applyFill="1" applyBorder="1"/>
    <xf numFmtId="0" fontId="8" fillId="0" borderId="1" xfId="0" applyFont="1" applyBorder="1"/>
    <xf numFmtId="0" fontId="21" fillId="0" borderId="1" xfId="0" applyFont="1" applyBorder="1"/>
    <xf numFmtId="178" fontId="0" fillId="0" borderId="1" xfId="0" applyNumberFormat="1" applyBorder="1"/>
    <xf numFmtId="179" fontId="0" fillId="0" borderId="1" xfId="0" applyNumberFormat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11" fillId="0" borderId="0" xfId="0" applyFont="1"/>
    <xf numFmtId="178" fontId="0" fillId="0" borderId="0" xfId="0" applyNumberFormat="1"/>
    <xf numFmtId="179" fontId="0" fillId="0" borderId="0" xfId="0" applyNumberFormat="1"/>
    <xf numFmtId="0" fontId="22" fillId="0" borderId="0" xfId="0" applyFont="1"/>
    <xf numFmtId="0" fontId="23" fillId="0" borderId="0" xfId="0" applyFont="1"/>
    <xf numFmtId="0" fontId="17" fillId="0" borderId="0" xfId="0" applyFont="1"/>
    <xf numFmtId="0" fontId="17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3" fontId="25" fillId="5" borderId="1" xfId="0" applyNumberFormat="1" applyFont="1" applyFill="1" applyBorder="1" applyAlignment="1">
      <alignment horizontal="right" vertical="center"/>
    </xf>
    <xf numFmtId="3" fontId="25" fillId="8" borderId="1" xfId="0" applyNumberFormat="1" applyFont="1" applyFill="1" applyBorder="1" applyAlignment="1">
      <alignment horizontal="right" vertical="center"/>
    </xf>
    <xf numFmtId="0" fontId="25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B2:C10"/>
  <sheetViews>
    <sheetView zoomScaleNormal="100" workbookViewId="0"/>
  </sheetViews>
  <sheetFormatPr defaultColWidth="8.6640625" defaultRowHeight="14.4"/>
  <cols>
    <col min="2" max="2" width="22" customWidth="1"/>
    <col min="3" max="3" width="35" customWidth="1"/>
  </cols>
  <sheetData>
    <row r="2" spans="2:3" ht="17.25" customHeight="1">
      <c r="B2" s="1" t="s">
        <v>0</v>
      </c>
    </row>
    <row r="4" spans="2:3" ht="14.25" customHeight="1">
      <c r="B4" s="2" t="s">
        <v>1</v>
      </c>
    </row>
    <row r="6" spans="2:3" ht="14.25" customHeight="1">
      <c r="B6" s="3" t="s">
        <v>2</v>
      </c>
      <c r="C6" s="4" t="s">
        <v>3</v>
      </c>
    </row>
    <row r="8" spans="2:3" ht="14.25" customHeight="1">
      <c r="B8" s="3" t="s">
        <v>4</v>
      </c>
      <c r="C8" s="4" t="s">
        <v>5</v>
      </c>
    </row>
    <row r="10" spans="2:3" ht="15" customHeight="1">
      <c r="B10" s="3" t="s">
        <v>6</v>
      </c>
      <c r="C10" s="5" t="s">
        <v>7</v>
      </c>
    </row>
  </sheetData>
  <phoneticPr fontId="26"/>
  <dataValidations count="3">
    <dataValidation type="list" sqref="C6" xr:uid="{00000000-0002-0000-0000-000000000000}">
      <formula1>"社人研,人口ビジョン"</formula1>
      <formula2>0</formula2>
    </dataValidation>
    <dataValidation type="list" sqref="C8" xr:uid="{00000000-0002-0000-0000-000001000000}">
      <formula1>"パターン①（標準型）,パターン②（家庭軽減型）,パターン④（段階累進型）"</formula1>
      <formula2>0</formula2>
    </dataValidation>
    <dataValidation type="list" sqref="C10" xr:uid="{00000000-0002-0000-0000-000002000000}">
      <formula1>"2か年,3か年"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M23"/>
  <sheetViews>
    <sheetView zoomScaleNormal="100" workbookViewId="0"/>
  </sheetViews>
  <sheetFormatPr defaultColWidth="8.6640625" defaultRowHeight="14.4"/>
  <cols>
    <col min="1" max="1" width="14" customWidth="1"/>
    <col min="2" max="2" width="28" customWidth="1"/>
    <col min="3" max="3" width="10" customWidth="1"/>
    <col min="4" max="13" width="13" customWidth="1"/>
  </cols>
  <sheetData>
    <row r="1" spans="1:13" ht="15" customHeight="1">
      <c r="A1" s="6" t="s">
        <v>8</v>
      </c>
    </row>
    <row r="3" spans="1:13" ht="15" customHeight="1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19</v>
      </c>
      <c r="L3" s="7" t="s">
        <v>20</v>
      </c>
      <c r="M3" s="7" t="s">
        <v>21</v>
      </c>
    </row>
    <row r="4" spans="1:13" ht="16.5" customHeight="1">
      <c r="A4" s="8" t="s">
        <v>22</v>
      </c>
      <c r="B4" s="8" t="s">
        <v>5</v>
      </c>
      <c r="C4" t="s">
        <v>23</v>
      </c>
      <c r="D4" s="9">
        <v>57781</v>
      </c>
      <c r="E4" s="9">
        <v>66470</v>
      </c>
      <c r="F4" s="9">
        <v>76162</v>
      </c>
      <c r="G4" s="9">
        <v>75645</v>
      </c>
      <c r="H4" s="9">
        <v>75110</v>
      </c>
      <c r="I4" s="9">
        <v>74592</v>
      </c>
      <c r="J4" s="9">
        <v>74047</v>
      </c>
      <c r="K4" s="9">
        <v>73501</v>
      </c>
      <c r="L4" s="9">
        <v>72956</v>
      </c>
      <c r="M4" s="9">
        <v>72391</v>
      </c>
    </row>
    <row r="5" spans="1:13" ht="16.5" customHeight="1">
      <c r="A5" s="8" t="s">
        <v>22</v>
      </c>
      <c r="B5" s="8" t="s">
        <v>5</v>
      </c>
      <c r="C5" t="s">
        <v>7</v>
      </c>
      <c r="D5" s="9">
        <v>57781</v>
      </c>
      <c r="E5" s="9">
        <v>63223</v>
      </c>
      <c r="F5" s="9">
        <v>68570</v>
      </c>
      <c r="G5" s="9">
        <v>75645</v>
      </c>
      <c r="H5" s="9">
        <v>75110</v>
      </c>
      <c r="I5" s="9">
        <v>74592</v>
      </c>
      <c r="J5" s="9">
        <v>74047</v>
      </c>
      <c r="K5" s="9">
        <v>73501</v>
      </c>
      <c r="L5" s="9">
        <v>72956</v>
      </c>
      <c r="M5" s="9">
        <v>72391</v>
      </c>
    </row>
    <row r="6" spans="1:13" ht="16.5" customHeight="1">
      <c r="A6" s="8" t="s">
        <v>22</v>
      </c>
      <c r="B6" s="8" t="s">
        <v>24</v>
      </c>
      <c r="C6" t="s">
        <v>23</v>
      </c>
      <c r="D6" s="9">
        <v>57781</v>
      </c>
      <c r="E6" s="9">
        <v>69111</v>
      </c>
      <c r="F6" s="9">
        <v>81408</v>
      </c>
      <c r="G6" s="9">
        <v>80856</v>
      </c>
      <c r="H6" s="9">
        <v>80284</v>
      </c>
      <c r="I6" s="9">
        <v>79731</v>
      </c>
      <c r="J6" s="9">
        <v>79147</v>
      </c>
      <c r="K6" s="9">
        <v>78564</v>
      </c>
      <c r="L6" s="9">
        <v>77980</v>
      </c>
      <c r="M6" s="9">
        <v>77378</v>
      </c>
    </row>
    <row r="7" spans="1:13" ht="16.5" customHeight="1">
      <c r="A7" s="8" t="s">
        <v>22</v>
      </c>
      <c r="B7" s="8" t="s">
        <v>24</v>
      </c>
      <c r="C7" t="s">
        <v>7</v>
      </c>
      <c r="D7" s="9">
        <v>57781</v>
      </c>
      <c r="E7" s="9">
        <v>64984</v>
      </c>
      <c r="F7" s="9">
        <v>72068</v>
      </c>
      <c r="G7" s="9">
        <v>80856</v>
      </c>
      <c r="H7" s="9">
        <v>80284</v>
      </c>
      <c r="I7" s="9">
        <v>79731</v>
      </c>
      <c r="J7" s="9">
        <v>79147</v>
      </c>
      <c r="K7" s="9">
        <v>78564</v>
      </c>
      <c r="L7" s="9">
        <v>77980</v>
      </c>
      <c r="M7" s="9">
        <v>77378</v>
      </c>
    </row>
    <row r="8" spans="1:13" ht="16.5" customHeight="1">
      <c r="A8" s="8" t="s">
        <v>22</v>
      </c>
      <c r="B8" s="8" t="s">
        <v>25</v>
      </c>
      <c r="C8" t="s">
        <v>23</v>
      </c>
      <c r="D8" s="9">
        <v>57781</v>
      </c>
      <c r="E8" s="9">
        <v>67350</v>
      </c>
      <c r="F8" s="9">
        <v>77911</v>
      </c>
      <c r="G8" s="9">
        <v>77382</v>
      </c>
      <c r="H8" s="9">
        <v>76834</v>
      </c>
      <c r="I8" s="9">
        <v>76305</v>
      </c>
      <c r="J8" s="9">
        <v>75747</v>
      </c>
      <c r="K8" s="9">
        <v>75189</v>
      </c>
      <c r="L8" s="9">
        <v>74630</v>
      </c>
      <c r="M8" s="9">
        <v>74054</v>
      </c>
    </row>
    <row r="9" spans="1:13" ht="16.5" customHeight="1">
      <c r="A9" s="8" t="s">
        <v>22</v>
      </c>
      <c r="B9" s="8" t="s">
        <v>25</v>
      </c>
      <c r="C9" t="s">
        <v>7</v>
      </c>
      <c r="D9" s="9">
        <v>57781</v>
      </c>
      <c r="E9" s="9">
        <v>63514</v>
      </c>
      <c r="F9" s="9">
        <v>69149</v>
      </c>
      <c r="G9" s="9">
        <v>77382</v>
      </c>
      <c r="H9" s="9">
        <v>76834</v>
      </c>
      <c r="I9" s="9">
        <v>76305</v>
      </c>
      <c r="J9" s="9">
        <v>75747</v>
      </c>
      <c r="K9" s="9">
        <v>75189</v>
      </c>
      <c r="L9" s="9">
        <v>74630</v>
      </c>
      <c r="M9" s="9">
        <v>74054</v>
      </c>
    </row>
    <row r="10" spans="1:13" ht="16.5" customHeight="1">
      <c r="A10" s="8" t="s">
        <v>3</v>
      </c>
      <c r="B10" s="8" t="s">
        <v>5</v>
      </c>
      <c r="C10" t="s">
        <v>23</v>
      </c>
      <c r="D10" s="9">
        <v>57895</v>
      </c>
      <c r="E10" s="9">
        <v>66578</v>
      </c>
      <c r="F10" s="9">
        <v>76277</v>
      </c>
      <c r="G10" s="9">
        <v>75712</v>
      </c>
      <c r="H10" s="9">
        <v>75167</v>
      </c>
      <c r="I10" s="9">
        <v>74631</v>
      </c>
      <c r="J10" s="9">
        <v>74018</v>
      </c>
      <c r="K10" s="9">
        <v>73405</v>
      </c>
      <c r="L10" s="9">
        <v>72802</v>
      </c>
      <c r="M10" s="9">
        <v>72181</v>
      </c>
    </row>
    <row r="11" spans="1:13" ht="16.5" customHeight="1">
      <c r="A11" s="8" t="s">
        <v>3</v>
      </c>
      <c r="B11" s="8" t="s">
        <v>5</v>
      </c>
      <c r="C11" t="s">
        <v>7</v>
      </c>
      <c r="D11" s="9">
        <v>57895</v>
      </c>
      <c r="E11" s="9">
        <v>63326</v>
      </c>
      <c r="F11" s="9">
        <v>68674</v>
      </c>
      <c r="G11" s="9">
        <v>75712</v>
      </c>
      <c r="H11" s="9">
        <v>75167</v>
      </c>
      <c r="I11" s="9">
        <v>74631</v>
      </c>
      <c r="J11" s="9">
        <v>74018</v>
      </c>
      <c r="K11" s="9">
        <v>73405</v>
      </c>
      <c r="L11" s="9">
        <v>72802</v>
      </c>
      <c r="M11" s="9">
        <v>72181</v>
      </c>
    </row>
    <row r="12" spans="1:13" ht="16.5" customHeight="1">
      <c r="A12" s="8" t="s">
        <v>3</v>
      </c>
      <c r="B12" s="8" t="s">
        <v>24</v>
      </c>
      <c r="C12" t="s">
        <v>23</v>
      </c>
      <c r="D12" s="9">
        <v>57895</v>
      </c>
      <c r="E12" s="9">
        <v>69223</v>
      </c>
      <c r="F12" s="9">
        <v>81531</v>
      </c>
      <c r="G12" s="9">
        <v>80928</v>
      </c>
      <c r="H12" s="9">
        <v>80345</v>
      </c>
      <c r="I12" s="9">
        <v>79773</v>
      </c>
      <c r="J12" s="9">
        <v>79117</v>
      </c>
      <c r="K12" s="9">
        <v>78461</v>
      </c>
      <c r="L12" s="9">
        <v>77816</v>
      </c>
      <c r="M12" s="9">
        <v>77153</v>
      </c>
    </row>
    <row r="13" spans="1:13" ht="16.5" customHeight="1">
      <c r="A13" s="8" t="s">
        <v>3</v>
      </c>
      <c r="B13" s="8" t="s">
        <v>24</v>
      </c>
      <c r="C13" t="s">
        <v>7</v>
      </c>
      <c r="D13" s="9">
        <v>57895</v>
      </c>
      <c r="E13" s="9">
        <v>65090</v>
      </c>
      <c r="F13" s="9">
        <v>72176</v>
      </c>
      <c r="G13" s="9">
        <v>80928</v>
      </c>
      <c r="H13" s="9">
        <v>80345</v>
      </c>
      <c r="I13" s="9">
        <v>79773</v>
      </c>
      <c r="J13" s="9">
        <v>79117</v>
      </c>
      <c r="K13" s="9">
        <v>78461</v>
      </c>
      <c r="L13" s="9">
        <v>77816</v>
      </c>
      <c r="M13" s="9">
        <v>77153</v>
      </c>
    </row>
    <row r="14" spans="1:13" ht="16.5" customHeight="1">
      <c r="A14" s="8" t="s">
        <v>3</v>
      </c>
      <c r="B14" s="8" t="s">
        <v>25</v>
      </c>
      <c r="C14" t="s">
        <v>23</v>
      </c>
      <c r="D14" s="9">
        <v>57895</v>
      </c>
      <c r="E14" s="9">
        <v>67460</v>
      </c>
      <c r="F14" s="9">
        <v>78028</v>
      </c>
      <c r="G14" s="9">
        <v>77451</v>
      </c>
      <c r="H14" s="9">
        <v>76893</v>
      </c>
      <c r="I14" s="9">
        <v>76345</v>
      </c>
      <c r="J14" s="9">
        <v>75718</v>
      </c>
      <c r="K14" s="9">
        <v>75090</v>
      </c>
      <c r="L14" s="9">
        <v>74474</v>
      </c>
      <c r="M14" s="9">
        <v>73838</v>
      </c>
    </row>
    <row r="15" spans="1:13" ht="16.5" customHeight="1">
      <c r="A15" s="8" t="s">
        <v>3</v>
      </c>
      <c r="B15" s="8" t="s">
        <v>25</v>
      </c>
      <c r="C15" t="s">
        <v>7</v>
      </c>
      <c r="D15" s="9">
        <v>57895</v>
      </c>
      <c r="E15" s="9">
        <v>63618</v>
      </c>
      <c r="F15" s="9">
        <v>69254</v>
      </c>
      <c r="G15" s="9">
        <v>77451</v>
      </c>
      <c r="H15" s="9">
        <v>76893</v>
      </c>
      <c r="I15" s="9">
        <v>76345</v>
      </c>
      <c r="J15" s="9">
        <v>75718</v>
      </c>
      <c r="K15" s="9">
        <v>75090</v>
      </c>
      <c r="L15" s="9">
        <v>74474</v>
      </c>
      <c r="M15" s="9">
        <v>73838</v>
      </c>
    </row>
    <row r="17" spans="1:13" ht="14.25" customHeight="1">
      <c r="A17" s="10" t="s">
        <v>26</v>
      </c>
    </row>
    <row r="18" spans="1:13" ht="14.25" customHeight="1">
      <c r="A18" s="8" t="s">
        <v>22</v>
      </c>
      <c r="B18" s="8" t="s">
        <v>27</v>
      </c>
      <c r="D18" s="9">
        <v>57781</v>
      </c>
      <c r="E18" s="9">
        <v>57393</v>
      </c>
      <c r="F18" s="9">
        <v>56993</v>
      </c>
      <c r="G18" s="9">
        <v>56606</v>
      </c>
      <c r="H18" s="9">
        <v>56205</v>
      </c>
      <c r="I18" s="9">
        <v>55818</v>
      </c>
      <c r="J18" s="9">
        <v>55410</v>
      </c>
      <c r="K18" s="9">
        <v>55001</v>
      </c>
      <c r="L18" s="9">
        <v>54593</v>
      </c>
      <c r="M18" s="9">
        <v>54171</v>
      </c>
    </row>
    <row r="19" spans="1:13" ht="14.25" customHeight="1">
      <c r="A19" s="8" t="s">
        <v>3</v>
      </c>
      <c r="B19" s="8" t="s">
        <v>27</v>
      </c>
      <c r="D19" s="9">
        <v>57895</v>
      </c>
      <c r="E19" s="9">
        <v>57487</v>
      </c>
      <c r="F19" s="9">
        <v>57079</v>
      </c>
      <c r="G19" s="9">
        <v>56656</v>
      </c>
      <c r="H19" s="9">
        <v>56248</v>
      </c>
      <c r="I19" s="9">
        <v>55847</v>
      </c>
      <c r="J19" s="9">
        <v>55388</v>
      </c>
      <c r="K19" s="9">
        <v>54930</v>
      </c>
      <c r="L19" s="9">
        <v>54478</v>
      </c>
      <c r="M19" s="9">
        <v>54014</v>
      </c>
    </row>
    <row r="21" spans="1:13" ht="14.25" customHeight="1">
      <c r="A21" s="10" t="s">
        <v>28</v>
      </c>
    </row>
    <row r="22" spans="1:13" ht="14.25" customHeight="1">
      <c r="A22" s="8" t="s">
        <v>22</v>
      </c>
      <c r="D22" s="9">
        <v>452089</v>
      </c>
      <c r="E22" s="9">
        <v>449052</v>
      </c>
      <c r="F22" s="9">
        <v>445934</v>
      </c>
      <c r="G22" s="9">
        <v>442898</v>
      </c>
      <c r="H22" s="9">
        <v>439779</v>
      </c>
      <c r="I22" s="9">
        <v>436743</v>
      </c>
      <c r="J22" s="9">
        <v>433542</v>
      </c>
      <c r="K22" s="9">
        <v>430342</v>
      </c>
      <c r="L22" s="9">
        <v>427141</v>
      </c>
      <c r="M22" s="9">
        <v>423859</v>
      </c>
    </row>
    <row r="23" spans="1:13" ht="14.25" customHeight="1">
      <c r="A23" s="8" t="s">
        <v>3</v>
      </c>
      <c r="D23" s="9">
        <v>452992</v>
      </c>
      <c r="E23" s="9">
        <v>449791</v>
      </c>
      <c r="F23" s="9">
        <v>446591</v>
      </c>
      <c r="G23" s="9">
        <v>443308</v>
      </c>
      <c r="H23" s="9">
        <v>440108</v>
      </c>
      <c r="I23" s="9">
        <v>436989</v>
      </c>
      <c r="J23" s="9">
        <v>433378</v>
      </c>
      <c r="K23" s="9">
        <v>429767</v>
      </c>
      <c r="L23" s="9">
        <v>426239</v>
      </c>
      <c r="M23" s="9">
        <v>422628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E13"/>
  <sheetViews>
    <sheetView zoomScaleNormal="100" workbookViewId="0"/>
  </sheetViews>
  <sheetFormatPr defaultColWidth="8.6640625" defaultRowHeight="14.4"/>
  <cols>
    <col min="1" max="5" width="18" customWidth="1"/>
  </cols>
  <sheetData>
    <row r="1" spans="1:5" ht="15" customHeight="1">
      <c r="A1" s="6" t="s">
        <v>29</v>
      </c>
    </row>
    <row r="2" spans="1:5" ht="14.25" customHeight="1">
      <c r="A2" s="11" t="s">
        <v>30</v>
      </c>
    </row>
    <row r="4" spans="1:5" ht="27" customHeight="1">
      <c r="A4" s="12" t="s">
        <v>31</v>
      </c>
      <c r="B4" s="12" t="s">
        <v>27</v>
      </c>
      <c r="C4" s="12" t="s">
        <v>32</v>
      </c>
      <c r="D4" s="12" t="s">
        <v>33</v>
      </c>
      <c r="E4" s="12" t="s">
        <v>34</v>
      </c>
    </row>
    <row r="5" spans="1:5" ht="15" customHeight="1">
      <c r="A5" s="13" t="s">
        <v>35</v>
      </c>
      <c r="B5" s="14">
        <v>1000</v>
      </c>
      <c r="C5" s="14">
        <v>1500</v>
      </c>
      <c r="D5" s="14">
        <v>1200</v>
      </c>
      <c r="E5" s="14">
        <v>1400</v>
      </c>
    </row>
    <row r="6" spans="1:5" ht="15" customHeight="1">
      <c r="A6" s="15" t="s">
        <v>36</v>
      </c>
      <c r="B6" s="14">
        <v>120</v>
      </c>
      <c r="C6" s="14">
        <v>150</v>
      </c>
      <c r="D6" s="14">
        <v>180</v>
      </c>
      <c r="E6" s="14">
        <v>160</v>
      </c>
    </row>
    <row r="7" spans="1:5" ht="15" customHeight="1">
      <c r="A7" s="15" t="s">
        <v>37</v>
      </c>
      <c r="B7" s="14">
        <v>120</v>
      </c>
      <c r="C7" s="14">
        <v>155</v>
      </c>
      <c r="D7" s="14">
        <v>185</v>
      </c>
      <c r="E7" s="14">
        <v>165</v>
      </c>
    </row>
    <row r="8" spans="1:5" ht="15" customHeight="1">
      <c r="A8" s="15" t="s">
        <v>38</v>
      </c>
      <c r="B8" s="14">
        <v>130</v>
      </c>
      <c r="C8" s="14">
        <v>160</v>
      </c>
      <c r="D8" s="14">
        <v>190</v>
      </c>
      <c r="E8" s="14">
        <v>170</v>
      </c>
    </row>
    <row r="9" spans="1:5" ht="15" customHeight="1">
      <c r="A9" s="15" t="s">
        <v>39</v>
      </c>
      <c r="B9" s="14">
        <v>130</v>
      </c>
      <c r="C9" s="14">
        <v>165</v>
      </c>
      <c r="D9" s="14">
        <v>195</v>
      </c>
      <c r="E9" s="14">
        <v>175</v>
      </c>
    </row>
    <row r="10" spans="1:5" ht="15" customHeight="1">
      <c r="A10" s="15" t="s">
        <v>40</v>
      </c>
      <c r="B10" s="14">
        <v>140</v>
      </c>
      <c r="C10" s="14">
        <v>175</v>
      </c>
      <c r="D10" s="14">
        <v>205</v>
      </c>
      <c r="E10" s="14">
        <v>185</v>
      </c>
    </row>
    <row r="11" spans="1:5" ht="15" customHeight="1">
      <c r="A11" s="15" t="s">
        <v>41</v>
      </c>
      <c r="B11" s="14">
        <v>140</v>
      </c>
      <c r="C11" s="14">
        <v>185</v>
      </c>
      <c r="D11" s="14">
        <v>215</v>
      </c>
      <c r="E11" s="14">
        <v>195</v>
      </c>
    </row>
    <row r="12" spans="1:5" ht="15" customHeight="1">
      <c r="A12" s="15" t="s">
        <v>42</v>
      </c>
      <c r="B12" s="14">
        <v>140</v>
      </c>
      <c r="C12" s="14">
        <v>205</v>
      </c>
      <c r="D12" s="14">
        <v>235</v>
      </c>
      <c r="E12" s="14">
        <v>215</v>
      </c>
    </row>
    <row r="13" spans="1:5" ht="15" customHeight="1">
      <c r="A13" s="15" t="s">
        <v>43</v>
      </c>
      <c r="B13" s="14">
        <v>160</v>
      </c>
      <c r="C13" s="14">
        <v>225</v>
      </c>
      <c r="D13" s="14">
        <v>255</v>
      </c>
      <c r="E13" s="14">
        <v>235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57"/>
  <sheetViews>
    <sheetView topLeftCell="A36" zoomScaleNormal="100" workbookViewId="0">
      <selection activeCell="B57" sqref="B57"/>
    </sheetView>
  </sheetViews>
  <sheetFormatPr defaultColWidth="8.6640625" defaultRowHeight="14.4"/>
  <cols>
    <col min="1" max="1" width="28" customWidth="1"/>
    <col min="2" max="11" width="14" customWidth="1"/>
  </cols>
  <sheetData>
    <row r="1" spans="1:11" ht="15" customHeight="1">
      <c r="A1" s="6" t="s">
        <v>44</v>
      </c>
    </row>
    <row r="2" spans="1:11" ht="15" customHeight="1">
      <c r="A2" s="16" t="str">
        <f>設定!C8&amp;"　"&amp;設定!C10&amp;"改定　（"&amp;設定!C6&amp;"推移）"</f>
        <v>パターン①（標準型）　3か年改定　（社人研推移）</v>
      </c>
    </row>
    <row r="4" spans="1:11" ht="14.25" customHeight="1">
      <c r="A4" s="17" t="s">
        <v>45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15" customHeight="1">
      <c r="A5" s="19" t="s">
        <v>31</v>
      </c>
      <c r="B5" s="19" t="s">
        <v>12</v>
      </c>
      <c r="C5" s="19" t="s">
        <v>13</v>
      </c>
      <c r="D5" s="19" t="s">
        <v>14</v>
      </c>
      <c r="E5" s="19" t="s">
        <v>15</v>
      </c>
      <c r="F5" s="19" t="s">
        <v>16</v>
      </c>
      <c r="G5" s="19" t="s">
        <v>17</v>
      </c>
      <c r="H5" s="19" t="s">
        <v>18</v>
      </c>
      <c r="I5" s="19" t="s">
        <v>19</v>
      </c>
      <c r="J5" s="19" t="s">
        <v>20</v>
      </c>
      <c r="K5" s="19" t="s">
        <v>21</v>
      </c>
    </row>
    <row r="6" spans="1:11" ht="15" customHeight="1">
      <c r="A6" s="13" t="s">
        <v>35</v>
      </c>
      <c r="B6" s="20">
        <f>料金テーブル!$B$5</f>
        <v>1000</v>
      </c>
      <c r="C6" s="20">
        <f>IF(設定!$C$10="2か年",ROUND((料金テーブル!$B$5+IF(設定!$C$8="パターン①（標準型）",料金テーブル!$C$5,IF(設定!$C$8="パターン②（家庭軽減型）",料金テーブル!$D$5,料金テーブル!$E$5)))/2,0),IF(設定!$C$8="パターン①（標準型）",'段階単価(3か年)'!$B$6,IF(設定!$C$8="パターン②（家庭軽減型）",'段階単価(3か年)'!$B$18,'段階単価(3か年)'!$B$30)))</f>
        <v>1150</v>
      </c>
      <c r="D6" s="20">
        <f>IF(設定!$C$10="2か年",IF(設定!$C$8="パターン①（標準型）",料金テーブル!$C$5,IF(設定!$C$8="パターン②（家庭軽減型）",料金テーブル!$D$5,料金テーブル!$E$5)),IF(設定!$C$8="パターン①（標準型）",'段階単価(3か年)'!$C$6,IF(設定!$C$8="パターン②（家庭軽減型）",'段階単価(3か年)'!$C$18,'段階単価(3か年)'!$C$30)))</f>
        <v>1300</v>
      </c>
      <c r="E6" s="20">
        <f>IF(設定!$C$8="パターン①（標準型）",料金テーブル!$C$5,IF(設定!$C$8="パターン②（家庭軽減型）",料金テーブル!$D$5,料金テーブル!$E$5))</f>
        <v>1500</v>
      </c>
      <c r="F6" s="20">
        <f>IF(設定!$C$8="パターン①（標準型）",料金テーブル!$C$5,IF(設定!$C$8="パターン②（家庭軽減型）",料金テーブル!$D$5,料金テーブル!$E$5))</f>
        <v>1500</v>
      </c>
      <c r="G6" s="20">
        <f>IF(設定!$C$8="パターン①（標準型）",料金テーブル!$C$5,IF(設定!$C$8="パターン②（家庭軽減型）",料金テーブル!$D$5,料金テーブル!$E$5))</f>
        <v>1500</v>
      </c>
      <c r="H6" s="20">
        <f>IF(設定!$C$8="パターン①（標準型）",料金テーブル!$C$5,IF(設定!$C$8="パターン②（家庭軽減型）",料金テーブル!$D$5,料金テーブル!$E$5))</f>
        <v>1500</v>
      </c>
      <c r="I6" s="20">
        <f>IF(設定!$C$8="パターン①（標準型）",料金テーブル!$C$5,IF(設定!$C$8="パターン②（家庭軽減型）",料金テーブル!$D$5,料金テーブル!$E$5))</f>
        <v>1500</v>
      </c>
      <c r="J6" s="20">
        <f>IF(設定!$C$8="パターン①（標準型）",料金テーブル!$C$5,IF(設定!$C$8="パターン②（家庭軽減型）",料金テーブル!$D$5,料金テーブル!$E$5))</f>
        <v>1500</v>
      </c>
      <c r="K6" s="20">
        <f>IF(設定!$C$8="パターン①（標準型）",料金テーブル!$C$5,IF(設定!$C$8="パターン②（家庭軽減型）",料金テーブル!$D$5,料金テーブル!$E$5))</f>
        <v>1500</v>
      </c>
    </row>
    <row r="7" spans="1:11" ht="15" customHeight="1">
      <c r="A7" s="15" t="s">
        <v>36</v>
      </c>
      <c r="B7" s="20">
        <f>料金テーブル!$B$6</f>
        <v>120</v>
      </c>
      <c r="C7" s="20">
        <f>IF(設定!$C$10="2か年",ROUND((料金テーブル!$B$6+IF(設定!$C$8="パターン①（標準型）",料金テーブル!$C$6,IF(設定!$C$8="パターン②（家庭軽減型）",料金テーブル!$D$6,料金テーブル!$E$6)))/2,0),IF(設定!$C$8="パターン①（標準型）",'段階単価(3か年)'!$B$7,IF(設定!$C$8="パターン②（家庭軽減型）",'段階単価(3か年)'!$B$19,'段階単価(3か年)'!$B$31)))</f>
        <v>130</v>
      </c>
      <c r="D7" s="20">
        <f>IF(設定!$C$10="2か年",IF(設定!$C$8="パターン①（標準型）",料金テーブル!$C$6,IF(設定!$C$8="パターン②（家庭軽減型）",料金テーブル!$D$6,料金テーブル!$E$6)),IF(設定!$C$8="パターン①（標準型）",'段階単価(3か年)'!$C$7,IF(設定!$C$8="パターン②（家庭軽減型）",'段階単価(3か年)'!$C$19,'段階単価(3か年)'!$C$31)))</f>
        <v>140</v>
      </c>
      <c r="E7" s="20">
        <f>IF(設定!$C$8="パターン①（標準型）",料金テーブル!$C$6,IF(設定!$C$8="パターン②（家庭軽減型）",料金テーブル!$D$6,料金テーブル!$E$6))</f>
        <v>150</v>
      </c>
      <c r="F7" s="20">
        <f>IF(設定!$C$8="パターン①（標準型）",料金テーブル!$C$6,IF(設定!$C$8="パターン②（家庭軽減型）",料金テーブル!$D$6,料金テーブル!$E$6))</f>
        <v>150</v>
      </c>
      <c r="G7" s="20">
        <f>IF(設定!$C$8="パターン①（標準型）",料金テーブル!$C$6,IF(設定!$C$8="パターン②（家庭軽減型）",料金テーブル!$D$6,料金テーブル!$E$6))</f>
        <v>150</v>
      </c>
      <c r="H7" s="20">
        <f>IF(設定!$C$8="パターン①（標準型）",料金テーブル!$C$6,IF(設定!$C$8="パターン②（家庭軽減型）",料金テーブル!$D$6,料金テーブル!$E$6))</f>
        <v>150</v>
      </c>
      <c r="I7" s="20">
        <f>IF(設定!$C$8="パターン①（標準型）",料金テーブル!$C$6,IF(設定!$C$8="パターン②（家庭軽減型）",料金テーブル!$D$6,料金テーブル!$E$6))</f>
        <v>150</v>
      </c>
      <c r="J7" s="20">
        <f>IF(設定!$C$8="パターン①（標準型）",料金テーブル!$C$6,IF(設定!$C$8="パターン②（家庭軽減型）",料金テーブル!$D$6,料金テーブル!$E$6))</f>
        <v>150</v>
      </c>
      <c r="K7" s="20">
        <f>IF(設定!$C$8="パターン①（標準型）",料金テーブル!$C$6,IF(設定!$C$8="パターン②（家庭軽減型）",料金テーブル!$D$6,料金テーブル!$E$6))</f>
        <v>150</v>
      </c>
    </row>
    <row r="8" spans="1:11" ht="15" customHeight="1">
      <c r="A8" s="15" t="s">
        <v>37</v>
      </c>
      <c r="B8" s="20">
        <f>料金テーブル!$B$7</f>
        <v>120</v>
      </c>
      <c r="C8" s="20">
        <f>IF(設定!$C$10="2か年",ROUND((料金テーブル!$B$7+IF(設定!$C$8="パターン①（標準型）",料金テーブル!$C$7,IF(設定!$C$8="パターン②（家庭軽減型）",料金テーブル!$D$7,料金テーブル!$E$7)))/2,0),IF(設定!$C$8="パターン①（標準型）",'段階単価(3か年)'!$B$8,IF(設定!$C$8="パターン②（家庭軽減型）",'段階単価(3か年)'!$B$20,'段階単価(3か年)'!$B$32)))</f>
        <v>130</v>
      </c>
      <c r="D8" s="20">
        <f>IF(設定!$C$10="2か年",IF(設定!$C$8="パターン①（標準型）",料金テーブル!$C$7,IF(設定!$C$8="パターン②（家庭軽減型）",料金テーブル!$D$7,料金テーブル!$E$7)),IF(設定!$C$8="パターン①（標準型）",'段階単価(3か年)'!$C$8,IF(設定!$C$8="パターン②（家庭軽減型）",'段階単価(3か年)'!$C$20,'段階単価(3か年)'!$C$32)))</f>
        <v>140</v>
      </c>
      <c r="E8" s="20">
        <f>IF(設定!$C$8="パターン①（標準型）",料金テーブル!$C$7,IF(設定!$C$8="パターン②（家庭軽減型）",料金テーブル!$D$7,料金テーブル!$E$7))</f>
        <v>155</v>
      </c>
      <c r="F8" s="20">
        <f>IF(設定!$C$8="パターン①（標準型）",料金テーブル!$C$7,IF(設定!$C$8="パターン②（家庭軽減型）",料金テーブル!$D$7,料金テーブル!$E$7))</f>
        <v>155</v>
      </c>
      <c r="G8" s="20">
        <f>IF(設定!$C$8="パターン①（標準型）",料金テーブル!$C$7,IF(設定!$C$8="パターン②（家庭軽減型）",料金テーブル!$D$7,料金テーブル!$E$7))</f>
        <v>155</v>
      </c>
      <c r="H8" s="20">
        <f>IF(設定!$C$8="パターン①（標準型）",料金テーブル!$C$7,IF(設定!$C$8="パターン②（家庭軽減型）",料金テーブル!$D$7,料金テーブル!$E$7))</f>
        <v>155</v>
      </c>
      <c r="I8" s="20">
        <f>IF(設定!$C$8="パターン①（標準型）",料金テーブル!$C$7,IF(設定!$C$8="パターン②（家庭軽減型）",料金テーブル!$D$7,料金テーブル!$E$7))</f>
        <v>155</v>
      </c>
      <c r="J8" s="20">
        <f>IF(設定!$C$8="パターン①（標準型）",料金テーブル!$C$7,IF(設定!$C$8="パターン②（家庭軽減型）",料金テーブル!$D$7,料金テーブル!$E$7))</f>
        <v>155</v>
      </c>
      <c r="K8" s="20">
        <f>IF(設定!$C$8="パターン①（標準型）",料金テーブル!$C$7,IF(設定!$C$8="パターン②（家庭軽減型）",料金テーブル!$D$7,料金テーブル!$E$7))</f>
        <v>155</v>
      </c>
    </row>
    <row r="9" spans="1:11" ht="15" customHeight="1">
      <c r="A9" s="15" t="s">
        <v>38</v>
      </c>
      <c r="B9" s="20">
        <f>料金テーブル!$B$8</f>
        <v>130</v>
      </c>
      <c r="C9" s="20">
        <f>IF(設定!$C$10="2か年",ROUND((料金テーブル!$B$8+IF(設定!$C$8="パターン①（標準型）",料金テーブル!$C$8,IF(設定!$C$8="パターン②（家庭軽減型）",料金テーブル!$D$8,料金テーブル!$E$8)))/2,0),IF(設定!$C$8="パターン①（標準型）",'段階単価(3か年)'!$B$9,IF(設定!$C$8="パターン②（家庭軽減型）",'段階単価(3か年)'!$B$21,'段階単価(3か年)'!$B$33)))</f>
        <v>140</v>
      </c>
      <c r="D9" s="20">
        <f>IF(設定!$C$10="2か年",IF(設定!$C$8="パターン①（標準型）",料金テーブル!$C$8,IF(設定!$C$8="パターン②（家庭軽減型）",料金テーブル!$D$8,料金テーブル!$E$8)),IF(設定!$C$8="パターン①（標準型）",'段階単価(3か年)'!$C$9,IF(設定!$C$8="パターン②（家庭軽減型）",'段階単価(3か年)'!$C$21,'段階単価(3か年)'!$C$33)))</f>
        <v>150</v>
      </c>
      <c r="E9" s="20">
        <f>IF(設定!$C$8="パターン①（標準型）",料金テーブル!$C$8,IF(設定!$C$8="パターン②（家庭軽減型）",料金テーブル!$D$8,料金テーブル!$E$8))</f>
        <v>160</v>
      </c>
      <c r="F9" s="20">
        <f>IF(設定!$C$8="パターン①（標準型）",料金テーブル!$C$8,IF(設定!$C$8="パターン②（家庭軽減型）",料金テーブル!$D$8,料金テーブル!$E$8))</f>
        <v>160</v>
      </c>
      <c r="G9" s="20">
        <f>IF(設定!$C$8="パターン①（標準型）",料金テーブル!$C$8,IF(設定!$C$8="パターン②（家庭軽減型）",料金テーブル!$D$8,料金テーブル!$E$8))</f>
        <v>160</v>
      </c>
      <c r="H9" s="20">
        <f>IF(設定!$C$8="パターン①（標準型）",料金テーブル!$C$8,IF(設定!$C$8="パターン②（家庭軽減型）",料金テーブル!$D$8,料金テーブル!$E$8))</f>
        <v>160</v>
      </c>
      <c r="I9" s="20">
        <f>IF(設定!$C$8="パターン①（標準型）",料金テーブル!$C$8,IF(設定!$C$8="パターン②（家庭軽減型）",料金テーブル!$D$8,料金テーブル!$E$8))</f>
        <v>160</v>
      </c>
      <c r="J9" s="20">
        <f>IF(設定!$C$8="パターン①（標準型）",料金テーブル!$C$8,IF(設定!$C$8="パターン②（家庭軽減型）",料金テーブル!$D$8,料金テーブル!$E$8))</f>
        <v>160</v>
      </c>
      <c r="K9" s="20">
        <f>IF(設定!$C$8="パターン①（標準型）",料金テーブル!$C$8,IF(設定!$C$8="パターン②（家庭軽減型）",料金テーブル!$D$8,料金テーブル!$E$8))</f>
        <v>160</v>
      </c>
    </row>
    <row r="10" spans="1:11" ht="15" customHeight="1">
      <c r="A10" s="15" t="s">
        <v>39</v>
      </c>
      <c r="B10" s="20">
        <f>料金テーブル!$B$9</f>
        <v>130</v>
      </c>
      <c r="C10" s="20">
        <f>IF(設定!$C$10="2か年",ROUND((料金テーブル!$B$9+IF(設定!$C$8="パターン①（標準型）",料金テーブル!$C$9,IF(設定!$C$8="パターン②（家庭軽減型）",料金テーブル!$D$9,料金テーブル!$E$9)))/2,0),IF(設定!$C$8="パターン①（標準型）",'段階単価(3か年)'!$B$10,IF(設定!$C$8="パターン②（家庭軽減型）",'段階単価(3か年)'!$B$22,'段階単価(3か年)'!$B$34)))</f>
        <v>140</v>
      </c>
      <c r="D10" s="20">
        <f>IF(設定!$C$10="2か年",IF(設定!$C$8="パターン①（標準型）",料金テーブル!$C$9,IF(設定!$C$8="パターン②（家庭軽減型）",料金テーブル!$D$9,料金テーブル!$E$9)),IF(設定!$C$8="パターン①（標準型）",'段階単価(3か年)'!$C$10,IF(設定!$C$8="パターン②（家庭軽減型）",'段階単価(3か年)'!$C$22,'段階単価(3か年)'!$C$34)))</f>
        <v>150</v>
      </c>
      <c r="E10" s="20">
        <f>IF(設定!$C$8="パターン①（標準型）",料金テーブル!$C$9,IF(設定!$C$8="パターン②（家庭軽減型）",料金テーブル!$D$9,料金テーブル!$E$9))</f>
        <v>165</v>
      </c>
      <c r="F10" s="20">
        <f>IF(設定!$C$8="パターン①（標準型）",料金テーブル!$C$9,IF(設定!$C$8="パターン②（家庭軽減型）",料金テーブル!$D$9,料金テーブル!$E$9))</f>
        <v>165</v>
      </c>
      <c r="G10" s="20">
        <f>IF(設定!$C$8="パターン①（標準型）",料金テーブル!$C$9,IF(設定!$C$8="パターン②（家庭軽減型）",料金テーブル!$D$9,料金テーブル!$E$9))</f>
        <v>165</v>
      </c>
      <c r="H10" s="20">
        <f>IF(設定!$C$8="パターン①（標準型）",料金テーブル!$C$9,IF(設定!$C$8="パターン②（家庭軽減型）",料金テーブル!$D$9,料金テーブル!$E$9))</f>
        <v>165</v>
      </c>
      <c r="I10" s="20">
        <f>IF(設定!$C$8="パターン①（標準型）",料金テーブル!$C$9,IF(設定!$C$8="パターン②（家庭軽減型）",料金テーブル!$D$9,料金テーブル!$E$9))</f>
        <v>165</v>
      </c>
      <c r="J10" s="20">
        <f>IF(設定!$C$8="パターン①（標準型）",料金テーブル!$C$9,IF(設定!$C$8="パターン②（家庭軽減型）",料金テーブル!$D$9,料金テーブル!$E$9))</f>
        <v>165</v>
      </c>
      <c r="K10" s="20">
        <f>IF(設定!$C$8="パターン①（標準型）",料金テーブル!$C$9,IF(設定!$C$8="パターン②（家庭軽減型）",料金テーブル!$D$9,料金テーブル!$E$9))</f>
        <v>165</v>
      </c>
    </row>
    <row r="11" spans="1:11" ht="15" customHeight="1">
      <c r="A11" s="15" t="s">
        <v>40</v>
      </c>
      <c r="B11" s="20">
        <f>料金テーブル!$B$10</f>
        <v>140</v>
      </c>
      <c r="C11" s="20">
        <f>IF(設定!$C$10="2か年",ROUND((料金テーブル!$B$10+IF(設定!$C$8="パターン①（標準型）",料金テーブル!$C$10,IF(設定!$C$8="パターン②（家庭軽減型）",料金テーブル!$D$10,料金テーブル!$E$10)))/2,0),IF(設定!$C$8="パターン①（標準型）",'段階単価(3か年)'!$B$11,IF(設定!$C$8="パターン②（家庭軽減型）",'段階単価(3か年)'!$B$23,'段階単価(3か年)'!$B$35)))</f>
        <v>150</v>
      </c>
      <c r="D11" s="20">
        <f>IF(設定!$C$10="2か年",IF(設定!$C$8="パターン①（標準型）",料金テーブル!$C$10,IF(設定!$C$8="パターン②（家庭軽減型）",料金テーブル!$D$10,料金テーブル!$E$10)),IF(設定!$C$8="パターン①（標準型）",'段階単価(3か年)'!$C$11,IF(設定!$C$8="パターン②（家庭軽減型）",'段階単価(3か年)'!$C$23,'段階単価(3か年)'!$C$35)))</f>
        <v>160</v>
      </c>
      <c r="E11" s="20">
        <f>IF(設定!$C$8="パターン①（標準型）",料金テーブル!$C$10,IF(設定!$C$8="パターン②（家庭軽減型）",料金テーブル!$D$10,料金テーブル!$E$10))</f>
        <v>175</v>
      </c>
      <c r="F11" s="20">
        <f>IF(設定!$C$8="パターン①（標準型）",料金テーブル!$C$10,IF(設定!$C$8="パターン②（家庭軽減型）",料金テーブル!$D$10,料金テーブル!$E$10))</f>
        <v>175</v>
      </c>
      <c r="G11" s="20">
        <f>IF(設定!$C$8="パターン①（標準型）",料金テーブル!$C$10,IF(設定!$C$8="パターン②（家庭軽減型）",料金テーブル!$D$10,料金テーブル!$E$10))</f>
        <v>175</v>
      </c>
      <c r="H11" s="20">
        <f>IF(設定!$C$8="パターン①（標準型）",料金テーブル!$C$10,IF(設定!$C$8="パターン②（家庭軽減型）",料金テーブル!$D$10,料金テーブル!$E$10))</f>
        <v>175</v>
      </c>
      <c r="I11" s="20">
        <f>IF(設定!$C$8="パターン①（標準型）",料金テーブル!$C$10,IF(設定!$C$8="パターン②（家庭軽減型）",料金テーブル!$D$10,料金テーブル!$E$10))</f>
        <v>175</v>
      </c>
      <c r="J11" s="20">
        <f>IF(設定!$C$8="パターン①（標準型）",料金テーブル!$C$10,IF(設定!$C$8="パターン②（家庭軽減型）",料金テーブル!$D$10,料金テーブル!$E$10))</f>
        <v>175</v>
      </c>
      <c r="K11" s="20">
        <f>IF(設定!$C$8="パターン①（標準型）",料金テーブル!$C$10,IF(設定!$C$8="パターン②（家庭軽減型）",料金テーブル!$D$10,料金テーブル!$E$10))</f>
        <v>175</v>
      </c>
    </row>
    <row r="12" spans="1:11" ht="15" customHeight="1">
      <c r="A12" s="15" t="s">
        <v>41</v>
      </c>
      <c r="B12" s="20">
        <f>料金テーブル!$B$11</f>
        <v>140</v>
      </c>
      <c r="C12" s="20">
        <f>IF(設定!$C$10="2か年",ROUND((料金テーブル!$B$11+IF(設定!$C$8="パターン①（標準型）",料金テーブル!$C$11,IF(設定!$C$8="パターン②（家庭軽減型）",料金テーブル!$D$11,料金テーブル!$E$11)))/2,0),IF(設定!$C$8="パターン①（標準型）",'段階単価(3か年)'!$B$12,IF(設定!$C$8="パターン②（家庭軽減型）",'段階単価(3か年)'!$B$24,'段階単価(3か年)'!$B$36)))</f>
        <v>155</v>
      </c>
      <c r="D12" s="20">
        <f>IF(設定!$C$10="2か年",IF(設定!$C$8="パターン①（標準型）",料金テーブル!$C$11,IF(設定!$C$8="パターン②（家庭軽減型）",料金テーブル!$D$11,料金テーブル!$E$11)),IF(設定!$C$8="パターン①（標準型）",'段階単価(3か年)'!$C$12,IF(設定!$C$8="パターン②（家庭軽減型）",'段階単価(3か年)'!$C$24,'段階単価(3か年)'!$C$36)))</f>
        <v>170</v>
      </c>
      <c r="E12" s="20">
        <f>IF(設定!$C$8="パターン①（標準型）",料金テーブル!$C$11,IF(設定!$C$8="パターン②（家庭軽減型）",料金テーブル!$D$11,料金テーブル!$E$11))</f>
        <v>185</v>
      </c>
      <c r="F12" s="20">
        <f>IF(設定!$C$8="パターン①（標準型）",料金テーブル!$C$11,IF(設定!$C$8="パターン②（家庭軽減型）",料金テーブル!$D$11,料金テーブル!$E$11))</f>
        <v>185</v>
      </c>
      <c r="G12" s="20">
        <f>IF(設定!$C$8="パターン①（標準型）",料金テーブル!$C$11,IF(設定!$C$8="パターン②（家庭軽減型）",料金テーブル!$D$11,料金テーブル!$E$11))</f>
        <v>185</v>
      </c>
      <c r="H12" s="20">
        <f>IF(設定!$C$8="パターン①（標準型）",料金テーブル!$C$11,IF(設定!$C$8="パターン②（家庭軽減型）",料金テーブル!$D$11,料金テーブル!$E$11))</f>
        <v>185</v>
      </c>
      <c r="I12" s="20">
        <f>IF(設定!$C$8="パターン①（標準型）",料金テーブル!$C$11,IF(設定!$C$8="パターン②（家庭軽減型）",料金テーブル!$D$11,料金テーブル!$E$11))</f>
        <v>185</v>
      </c>
      <c r="J12" s="20">
        <f>IF(設定!$C$8="パターン①（標準型）",料金テーブル!$C$11,IF(設定!$C$8="パターン②（家庭軽減型）",料金テーブル!$D$11,料金テーブル!$E$11))</f>
        <v>185</v>
      </c>
      <c r="K12" s="20">
        <f>IF(設定!$C$8="パターン①（標準型）",料金テーブル!$C$11,IF(設定!$C$8="パターン②（家庭軽減型）",料金テーブル!$D$11,料金テーブル!$E$11))</f>
        <v>185</v>
      </c>
    </row>
    <row r="13" spans="1:11" ht="15" customHeight="1">
      <c r="A13" s="15" t="s">
        <v>42</v>
      </c>
      <c r="B13" s="20">
        <f>料金テーブル!$B$12</f>
        <v>140</v>
      </c>
      <c r="C13" s="20">
        <f>IF(設定!$C$10="2か年",ROUND((料金テーブル!$B$12+IF(設定!$C$8="パターン①（標準型）",料金テーブル!$C$12,IF(設定!$C$8="パターン②（家庭軽減型）",料金テーブル!$D$12,料金テーブル!$E$12)))/2,0),IF(設定!$C$8="パターン①（標準型）",'段階単価(3か年)'!$B$13,IF(設定!$C$8="パターン②（家庭軽減型）",'段階単価(3か年)'!$B$25,'段階単価(3か年)'!$B$37)))</f>
        <v>160</v>
      </c>
      <c r="D13" s="20">
        <f>IF(設定!$C$10="2か年",IF(設定!$C$8="パターン①（標準型）",料金テーブル!$C$12,IF(設定!$C$8="パターン②（家庭軽減型）",料金テーブル!$D$12,料金テーブル!$E$12)),IF(設定!$C$8="パターン①（標準型）",'段階単価(3か年)'!$C$13,IF(設定!$C$8="パターン②（家庭軽減型）",'段階単価(3か年)'!$C$25,'段階単価(3か年)'!$C$37)))</f>
        <v>180</v>
      </c>
      <c r="E13" s="20">
        <f>IF(設定!$C$8="パターン①（標準型）",料金テーブル!$C$12,IF(設定!$C$8="パターン②（家庭軽減型）",料金テーブル!$D$12,料金テーブル!$E$12))</f>
        <v>205</v>
      </c>
      <c r="F13" s="20">
        <f>IF(設定!$C$8="パターン①（標準型）",料金テーブル!$C$12,IF(設定!$C$8="パターン②（家庭軽減型）",料金テーブル!$D$12,料金テーブル!$E$12))</f>
        <v>205</v>
      </c>
      <c r="G13" s="20">
        <f>IF(設定!$C$8="パターン①（標準型）",料金テーブル!$C$12,IF(設定!$C$8="パターン②（家庭軽減型）",料金テーブル!$D$12,料金テーブル!$E$12))</f>
        <v>205</v>
      </c>
      <c r="H13" s="20">
        <f>IF(設定!$C$8="パターン①（標準型）",料金テーブル!$C$12,IF(設定!$C$8="パターン②（家庭軽減型）",料金テーブル!$D$12,料金テーブル!$E$12))</f>
        <v>205</v>
      </c>
      <c r="I13" s="20">
        <f>IF(設定!$C$8="パターン①（標準型）",料金テーブル!$C$12,IF(設定!$C$8="パターン②（家庭軽減型）",料金テーブル!$D$12,料金テーブル!$E$12))</f>
        <v>205</v>
      </c>
      <c r="J13" s="20">
        <f>IF(設定!$C$8="パターン①（標準型）",料金テーブル!$C$12,IF(設定!$C$8="パターン②（家庭軽減型）",料金テーブル!$D$12,料金テーブル!$E$12))</f>
        <v>205</v>
      </c>
      <c r="K13" s="20">
        <f>IF(設定!$C$8="パターン①（標準型）",料金テーブル!$C$12,IF(設定!$C$8="パターン②（家庭軽減型）",料金テーブル!$D$12,料金テーブル!$E$12))</f>
        <v>205</v>
      </c>
    </row>
    <row r="14" spans="1:11" ht="15" customHeight="1">
      <c r="A14" s="15" t="s">
        <v>43</v>
      </c>
      <c r="B14" s="20">
        <f>料金テーブル!$B$13</f>
        <v>160</v>
      </c>
      <c r="C14" s="20">
        <f>IF(設定!$C$10="2か年",ROUND((料金テーブル!$B$13+IF(設定!$C$8="パターン①（標準型）",料金テーブル!$C$13,IF(設定!$C$8="パターン②（家庭軽減型）",料金テーブル!$D$13,料金テーブル!$E$13)))/2,0),IF(設定!$C$8="パターン①（標準型）",'段階単価(3か年)'!$B$14,IF(設定!$C$8="パターン②（家庭軽減型）",'段階単価(3か年)'!$B$26,'段階単価(3か年)'!$B$38)))</f>
        <v>180</v>
      </c>
      <c r="D14" s="20">
        <f>IF(設定!$C$10="2か年",IF(設定!$C$8="パターン①（標準型）",料金テーブル!$C$13,IF(設定!$C$8="パターン②（家庭軽減型）",料金テーブル!$D$13,料金テーブル!$E$13)),IF(設定!$C$8="パターン①（標準型）",'段階単価(3か年)'!$C$14,IF(設定!$C$8="パターン②（家庭軽減型）",'段階単価(3か年)'!$C$26,'段階単価(3か年)'!$C$38)))</f>
        <v>200</v>
      </c>
      <c r="E14" s="20">
        <f>IF(設定!$C$8="パターン①（標準型）",料金テーブル!$C$13,IF(設定!$C$8="パターン②（家庭軽減型）",料金テーブル!$D$13,料金テーブル!$E$13))</f>
        <v>225</v>
      </c>
      <c r="F14" s="20">
        <f>IF(設定!$C$8="パターン①（標準型）",料金テーブル!$C$13,IF(設定!$C$8="パターン②（家庭軽減型）",料金テーブル!$D$13,料金テーブル!$E$13))</f>
        <v>225</v>
      </c>
      <c r="G14" s="20">
        <f>IF(設定!$C$8="パターン①（標準型）",料金テーブル!$C$13,IF(設定!$C$8="パターン②（家庭軽減型）",料金テーブル!$D$13,料金テーブル!$E$13))</f>
        <v>225</v>
      </c>
      <c r="H14" s="20">
        <f>IF(設定!$C$8="パターン①（標準型）",料金テーブル!$C$13,IF(設定!$C$8="パターン②（家庭軽減型）",料金テーブル!$D$13,料金テーブル!$E$13))</f>
        <v>225</v>
      </c>
      <c r="I14" s="20">
        <f>IF(設定!$C$8="パターン①（標準型）",料金テーブル!$C$13,IF(設定!$C$8="パターン②（家庭軽減型）",料金テーブル!$D$13,料金テーブル!$E$13))</f>
        <v>225</v>
      </c>
      <c r="J14" s="20">
        <f>IF(設定!$C$8="パターン①（標準型）",料金テーブル!$C$13,IF(設定!$C$8="パターン②（家庭軽減型）",料金テーブル!$D$13,料金テーブル!$E$13))</f>
        <v>225</v>
      </c>
      <c r="K14" s="20">
        <f>IF(設定!$C$8="パターン①（標準型）",料金テーブル!$C$13,IF(設定!$C$8="パターン②（家庭軽減型）",料金テーブル!$D$13,料金テーブル!$E$13))</f>
        <v>225</v>
      </c>
    </row>
    <row r="15" spans="1:11" ht="14.2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 ht="14.25" customHeight="1">
      <c r="A16" s="17" t="s">
        <v>46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14.25" customHeight="1">
      <c r="A17" s="13" t="s">
        <v>47</v>
      </c>
      <c r="B17" s="20">
        <f>IF(設定!$C$6="人口ビジョン",2558,2563)</f>
        <v>2563</v>
      </c>
      <c r="C17" s="20">
        <f>IF(設定!$C$6="人口ビジョン",2541,2545)</f>
        <v>2545</v>
      </c>
      <c r="D17" s="20">
        <f>IF(設定!$C$6="人口ビジョン",2523,2527)</f>
        <v>2527</v>
      </c>
      <c r="E17" s="20">
        <f>IF(設定!$C$6="人口ビジョン",2506,2508)</f>
        <v>2508</v>
      </c>
      <c r="F17" s="20">
        <f>IF(設定!$C$6="人口ビジョン",2488,2490)</f>
        <v>2490</v>
      </c>
      <c r="G17" s="20">
        <f>IF(設定!$C$6="人口ビジョン",2471,2472)</f>
        <v>2472</v>
      </c>
      <c r="H17" s="20">
        <f>IF(設定!$C$6="人口ビジョン",2453,2452)</f>
        <v>2452</v>
      </c>
      <c r="I17" s="20">
        <f>IF(設定!$C$6="人口ビジョン",2435,2432)</f>
        <v>2432</v>
      </c>
      <c r="J17" s="20">
        <f>IF(設定!$C$6="人口ビジョン",2417,2412)</f>
        <v>2412</v>
      </c>
      <c r="K17" s="20">
        <f>IF(設定!$C$6="人口ビジョン",2398,2391)</f>
        <v>2391</v>
      </c>
    </row>
    <row r="18" spans="1:11" ht="14.25" customHeight="1">
      <c r="A18" s="13" t="s">
        <v>48</v>
      </c>
      <c r="B18" s="20">
        <f>IF(設定!$C$6="人口ビジョン",452089,452992)</f>
        <v>452992</v>
      </c>
      <c r="C18" s="20">
        <f>IF(設定!$C$6="人口ビジョン",449052,449791)</f>
        <v>449791</v>
      </c>
      <c r="D18" s="20">
        <f>IF(設定!$C$6="人口ビジョン",445934,446591)</f>
        <v>446591</v>
      </c>
      <c r="E18" s="20">
        <f>IF(設定!$C$6="人口ビジョン",442898,443308)</f>
        <v>443308</v>
      </c>
      <c r="F18" s="20">
        <f>IF(設定!$C$6="人口ビジョン",439779,440108)</f>
        <v>440108</v>
      </c>
      <c r="G18" s="20">
        <f>IF(設定!$C$6="人口ビジョン",436743,436989)</f>
        <v>436989</v>
      </c>
      <c r="H18" s="20">
        <f>IF(設定!$C$6="人口ビジョン",433542,433378)</f>
        <v>433378</v>
      </c>
      <c r="I18" s="20">
        <f>IF(設定!$C$6="人口ビジョン",430342,429767)</f>
        <v>429767</v>
      </c>
      <c r="J18" s="20">
        <f>IF(設定!$C$6="人口ビジョン",427141,426239)</f>
        <v>426239</v>
      </c>
      <c r="K18" s="20">
        <f>IF(設定!$C$6="人口ビジョン",423859,422628)</f>
        <v>422628</v>
      </c>
    </row>
    <row r="19" spans="1:11" ht="14.2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 ht="15" customHeight="1">
      <c r="A20" s="17" t="s">
        <v>49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15" customHeight="1">
      <c r="A21" s="13" t="s">
        <v>35</v>
      </c>
      <c r="B21" s="20">
        <f t="shared" ref="B21:K21" si="0">ROUND(B18*0.03184,0)</f>
        <v>14423</v>
      </c>
      <c r="C21" s="20">
        <f t="shared" si="0"/>
        <v>14321</v>
      </c>
      <c r="D21" s="20">
        <f t="shared" si="0"/>
        <v>14219</v>
      </c>
      <c r="E21" s="20">
        <f t="shared" si="0"/>
        <v>14115</v>
      </c>
      <c r="F21" s="20">
        <f t="shared" si="0"/>
        <v>14013</v>
      </c>
      <c r="G21" s="20">
        <f t="shared" si="0"/>
        <v>13914</v>
      </c>
      <c r="H21" s="20">
        <f t="shared" si="0"/>
        <v>13799</v>
      </c>
      <c r="I21" s="20">
        <f t="shared" si="0"/>
        <v>13684</v>
      </c>
      <c r="J21" s="20">
        <f t="shared" si="0"/>
        <v>13571</v>
      </c>
      <c r="K21" s="20">
        <f t="shared" si="0"/>
        <v>13456</v>
      </c>
    </row>
    <row r="22" spans="1:11" ht="15" customHeight="1">
      <c r="A22" s="15" t="s">
        <v>36</v>
      </c>
      <c r="B22" s="20">
        <f t="shared" ref="B22:K22" si="1">ROUND(B18*0.254673,0)</f>
        <v>115365</v>
      </c>
      <c r="C22" s="20">
        <f t="shared" si="1"/>
        <v>114550</v>
      </c>
      <c r="D22" s="20">
        <f t="shared" si="1"/>
        <v>113735</v>
      </c>
      <c r="E22" s="20">
        <f t="shared" si="1"/>
        <v>112899</v>
      </c>
      <c r="F22" s="20">
        <f t="shared" si="1"/>
        <v>112084</v>
      </c>
      <c r="G22" s="20">
        <f t="shared" si="1"/>
        <v>111289</v>
      </c>
      <c r="H22" s="20">
        <f t="shared" si="1"/>
        <v>110370</v>
      </c>
      <c r="I22" s="20">
        <f t="shared" si="1"/>
        <v>109450</v>
      </c>
      <c r="J22" s="20">
        <f t="shared" si="1"/>
        <v>108552</v>
      </c>
      <c r="K22" s="20">
        <f t="shared" si="1"/>
        <v>107632</v>
      </c>
    </row>
    <row r="23" spans="1:11" ht="15" customHeight="1">
      <c r="A23" s="15" t="s">
        <v>37</v>
      </c>
      <c r="B23" s="20">
        <f t="shared" ref="B23:K23" si="2">ROUND(B18*0.18661,0)</f>
        <v>84533</v>
      </c>
      <c r="C23" s="20">
        <f t="shared" si="2"/>
        <v>83935</v>
      </c>
      <c r="D23" s="20">
        <f t="shared" si="2"/>
        <v>83338</v>
      </c>
      <c r="E23" s="20">
        <f t="shared" si="2"/>
        <v>82726</v>
      </c>
      <c r="F23" s="20">
        <f t="shared" si="2"/>
        <v>82129</v>
      </c>
      <c r="G23" s="20">
        <f t="shared" si="2"/>
        <v>81547</v>
      </c>
      <c r="H23" s="20">
        <f t="shared" si="2"/>
        <v>80873</v>
      </c>
      <c r="I23" s="20">
        <f t="shared" si="2"/>
        <v>80199</v>
      </c>
      <c r="J23" s="20">
        <f t="shared" si="2"/>
        <v>79540</v>
      </c>
      <c r="K23" s="20">
        <f t="shared" si="2"/>
        <v>78867</v>
      </c>
    </row>
    <row r="24" spans="1:11" ht="15" customHeight="1">
      <c r="A24" s="15" t="s">
        <v>38</v>
      </c>
      <c r="B24" s="20">
        <f t="shared" ref="B24:K24" si="3">ROUND(B18*0.115417,0)</f>
        <v>52283</v>
      </c>
      <c r="C24" s="20">
        <f t="shared" si="3"/>
        <v>51914</v>
      </c>
      <c r="D24" s="20">
        <f t="shared" si="3"/>
        <v>51544</v>
      </c>
      <c r="E24" s="20">
        <f t="shared" si="3"/>
        <v>51165</v>
      </c>
      <c r="F24" s="20">
        <f t="shared" si="3"/>
        <v>50796</v>
      </c>
      <c r="G24" s="20">
        <f t="shared" si="3"/>
        <v>50436</v>
      </c>
      <c r="H24" s="20">
        <f t="shared" si="3"/>
        <v>50019</v>
      </c>
      <c r="I24" s="20">
        <f t="shared" si="3"/>
        <v>49602</v>
      </c>
      <c r="J24" s="20">
        <f t="shared" si="3"/>
        <v>49195</v>
      </c>
      <c r="K24" s="20">
        <f t="shared" si="3"/>
        <v>48778</v>
      </c>
    </row>
    <row r="25" spans="1:11" ht="15" customHeight="1">
      <c r="A25" s="15" t="s">
        <v>39</v>
      </c>
      <c r="B25" s="20">
        <f t="shared" ref="B25:K25" si="4">ROUND(B18*0.063915,0)</f>
        <v>28953</v>
      </c>
      <c r="C25" s="20">
        <f t="shared" si="4"/>
        <v>28748</v>
      </c>
      <c r="D25" s="20">
        <f t="shared" si="4"/>
        <v>28544</v>
      </c>
      <c r="E25" s="20">
        <f t="shared" si="4"/>
        <v>28334</v>
      </c>
      <c r="F25" s="20">
        <f t="shared" si="4"/>
        <v>28130</v>
      </c>
      <c r="G25" s="20">
        <f t="shared" si="4"/>
        <v>27930</v>
      </c>
      <c r="H25" s="20">
        <f t="shared" si="4"/>
        <v>27699</v>
      </c>
      <c r="I25" s="20">
        <f t="shared" si="4"/>
        <v>27469</v>
      </c>
      <c r="J25" s="20">
        <f t="shared" si="4"/>
        <v>27243</v>
      </c>
      <c r="K25" s="20">
        <f t="shared" si="4"/>
        <v>27012</v>
      </c>
    </row>
    <row r="26" spans="1:11" ht="15" customHeight="1">
      <c r="A26" s="15" t="s">
        <v>40</v>
      </c>
      <c r="B26" s="20">
        <f t="shared" ref="B26:K26" si="5">ROUND(B18*0.043817,0)</f>
        <v>19849</v>
      </c>
      <c r="C26" s="20">
        <f t="shared" si="5"/>
        <v>19708</v>
      </c>
      <c r="D26" s="20">
        <f t="shared" si="5"/>
        <v>19568</v>
      </c>
      <c r="E26" s="20">
        <f t="shared" si="5"/>
        <v>19424</v>
      </c>
      <c r="F26" s="20">
        <f t="shared" si="5"/>
        <v>19284</v>
      </c>
      <c r="G26" s="20">
        <f t="shared" si="5"/>
        <v>19148</v>
      </c>
      <c r="H26" s="20">
        <f t="shared" si="5"/>
        <v>18989</v>
      </c>
      <c r="I26" s="20">
        <f t="shared" si="5"/>
        <v>18831</v>
      </c>
      <c r="J26" s="20">
        <f t="shared" si="5"/>
        <v>18677</v>
      </c>
      <c r="K26" s="20">
        <f t="shared" si="5"/>
        <v>18518</v>
      </c>
    </row>
    <row r="27" spans="1:11" ht="15" customHeight="1">
      <c r="A27" s="15" t="s">
        <v>41</v>
      </c>
      <c r="B27" s="20">
        <f t="shared" ref="B27:K27" si="6">ROUND(B18*0.026321,0)</f>
        <v>11923</v>
      </c>
      <c r="C27" s="20">
        <f t="shared" si="6"/>
        <v>11839</v>
      </c>
      <c r="D27" s="20">
        <f t="shared" si="6"/>
        <v>11755</v>
      </c>
      <c r="E27" s="20">
        <f t="shared" si="6"/>
        <v>11668</v>
      </c>
      <c r="F27" s="20">
        <f t="shared" si="6"/>
        <v>11584</v>
      </c>
      <c r="G27" s="20">
        <f t="shared" si="6"/>
        <v>11502</v>
      </c>
      <c r="H27" s="20">
        <f t="shared" si="6"/>
        <v>11407</v>
      </c>
      <c r="I27" s="20">
        <f t="shared" si="6"/>
        <v>11312</v>
      </c>
      <c r="J27" s="20">
        <f t="shared" si="6"/>
        <v>11219</v>
      </c>
      <c r="K27" s="20">
        <f t="shared" si="6"/>
        <v>11124</v>
      </c>
    </row>
    <row r="28" spans="1:11" ht="15" customHeight="1">
      <c r="A28" s="15" t="s">
        <v>42</v>
      </c>
      <c r="B28" s="20">
        <f t="shared" ref="B28:K28" si="7">ROUND(B18*0.00904,0)</f>
        <v>4095</v>
      </c>
      <c r="C28" s="20">
        <f t="shared" si="7"/>
        <v>4066</v>
      </c>
      <c r="D28" s="20">
        <f t="shared" si="7"/>
        <v>4037</v>
      </c>
      <c r="E28" s="20">
        <f t="shared" si="7"/>
        <v>4008</v>
      </c>
      <c r="F28" s="20">
        <f t="shared" si="7"/>
        <v>3979</v>
      </c>
      <c r="G28" s="20">
        <f t="shared" si="7"/>
        <v>3950</v>
      </c>
      <c r="H28" s="20">
        <f t="shared" si="7"/>
        <v>3918</v>
      </c>
      <c r="I28" s="20">
        <f t="shared" si="7"/>
        <v>3885</v>
      </c>
      <c r="J28" s="20">
        <f t="shared" si="7"/>
        <v>3853</v>
      </c>
      <c r="K28" s="20">
        <f t="shared" si="7"/>
        <v>3821</v>
      </c>
    </row>
    <row r="29" spans="1:11" ht="15" customHeight="1">
      <c r="A29" s="15" t="s">
        <v>43</v>
      </c>
      <c r="B29" s="20">
        <f t="shared" ref="B29:K29" si="8">ROUND(B18*0.021102,0)</f>
        <v>9559</v>
      </c>
      <c r="C29" s="20">
        <f t="shared" si="8"/>
        <v>9491</v>
      </c>
      <c r="D29" s="20">
        <f t="shared" si="8"/>
        <v>9424</v>
      </c>
      <c r="E29" s="20">
        <f t="shared" si="8"/>
        <v>9355</v>
      </c>
      <c r="F29" s="20">
        <f t="shared" si="8"/>
        <v>9287</v>
      </c>
      <c r="G29" s="20">
        <f t="shared" si="8"/>
        <v>9221</v>
      </c>
      <c r="H29" s="20">
        <f t="shared" si="8"/>
        <v>9145</v>
      </c>
      <c r="I29" s="20">
        <f t="shared" si="8"/>
        <v>9069</v>
      </c>
      <c r="J29" s="20">
        <f t="shared" si="8"/>
        <v>8994</v>
      </c>
      <c r="K29" s="20">
        <f t="shared" si="8"/>
        <v>8918</v>
      </c>
    </row>
    <row r="30" spans="1:11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4.25" customHeight="1">
      <c r="A31" s="21" t="s">
        <v>50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4.25" customHeight="1">
      <c r="A32" s="19" t="s">
        <v>51</v>
      </c>
      <c r="B32" s="22">
        <f t="shared" ref="B32:K32" si="9">ROUND(B6*B17*6/1000,1)</f>
        <v>15378</v>
      </c>
      <c r="C32" s="22">
        <f t="shared" si="9"/>
        <v>17560.5</v>
      </c>
      <c r="D32" s="22">
        <f t="shared" si="9"/>
        <v>19710.599999999999</v>
      </c>
      <c r="E32" s="22">
        <f t="shared" si="9"/>
        <v>22572</v>
      </c>
      <c r="F32" s="22">
        <f t="shared" si="9"/>
        <v>22410</v>
      </c>
      <c r="G32" s="22">
        <f t="shared" si="9"/>
        <v>22248</v>
      </c>
      <c r="H32" s="22">
        <f t="shared" si="9"/>
        <v>22068</v>
      </c>
      <c r="I32" s="22">
        <f t="shared" si="9"/>
        <v>21888</v>
      </c>
      <c r="J32" s="22">
        <f t="shared" si="9"/>
        <v>21708</v>
      </c>
      <c r="K32" s="22">
        <f t="shared" si="9"/>
        <v>21519</v>
      </c>
    </row>
    <row r="33" spans="1:11" ht="15" customHeight="1">
      <c r="A33" s="13" t="s">
        <v>52</v>
      </c>
      <c r="B33" s="22">
        <f t="shared" ref="B33:K33" si="10">ROUND(B7*B22/1000,1)</f>
        <v>13843.8</v>
      </c>
      <c r="C33" s="22">
        <f t="shared" si="10"/>
        <v>14891.5</v>
      </c>
      <c r="D33" s="22">
        <f t="shared" si="10"/>
        <v>15922.9</v>
      </c>
      <c r="E33" s="22">
        <f t="shared" si="10"/>
        <v>16934.900000000001</v>
      </c>
      <c r="F33" s="22">
        <f t="shared" si="10"/>
        <v>16812.599999999999</v>
      </c>
      <c r="G33" s="22">
        <f t="shared" si="10"/>
        <v>16693.400000000001</v>
      </c>
      <c r="H33" s="22">
        <f t="shared" si="10"/>
        <v>16555.5</v>
      </c>
      <c r="I33" s="22">
        <f t="shared" si="10"/>
        <v>16417.5</v>
      </c>
      <c r="J33" s="22">
        <f t="shared" si="10"/>
        <v>16282.8</v>
      </c>
      <c r="K33" s="22">
        <f t="shared" si="10"/>
        <v>16144.8</v>
      </c>
    </row>
    <row r="34" spans="1:11" ht="15" customHeight="1">
      <c r="A34" s="13" t="s">
        <v>53</v>
      </c>
      <c r="B34" s="22">
        <f t="shared" ref="B34:K34" si="11">ROUND(B8*B23/1000,1)</f>
        <v>10144</v>
      </c>
      <c r="C34" s="22">
        <f t="shared" si="11"/>
        <v>10911.6</v>
      </c>
      <c r="D34" s="22">
        <f t="shared" si="11"/>
        <v>11667.3</v>
      </c>
      <c r="E34" s="22">
        <f t="shared" si="11"/>
        <v>12822.5</v>
      </c>
      <c r="F34" s="22">
        <f t="shared" si="11"/>
        <v>12730</v>
      </c>
      <c r="G34" s="22">
        <f t="shared" si="11"/>
        <v>12639.8</v>
      </c>
      <c r="H34" s="22">
        <f t="shared" si="11"/>
        <v>12535.3</v>
      </c>
      <c r="I34" s="22">
        <f t="shared" si="11"/>
        <v>12430.8</v>
      </c>
      <c r="J34" s="22">
        <f t="shared" si="11"/>
        <v>12328.7</v>
      </c>
      <c r="K34" s="22">
        <f t="shared" si="11"/>
        <v>12224.4</v>
      </c>
    </row>
    <row r="35" spans="1:11" ht="15" customHeight="1">
      <c r="A35" s="13" t="s">
        <v>54</v>
      </c>
      <c r="B35" s="22">
        <f t="shared" ref="B35:K35" si="12">ROUND(B9*B24/1000,1)</f>
        <v>6796.8</v>
      </c>
      <c r="C35" s="22">
        <f t="shared" si="12"/>
        <v>7268</v>
      </c>
      <c r="D35" s="22">
        <f t="shared" si="12"/>
        <v>7731.6</v>
      </c>
      <c r="E35" s="22">
        <f t="shared" si="12"/>
        <v>8186.4</v>
      </c>
      <c r="F35" s="22">
        <f t="shared" si="12"/>
        <v>8127.4</v>
      </c>
      <c r="G35" s="22">
        <f t="shared" si="12"/>
        <v>8069.8</v>
      </c>
      <c r="H35" s="22">
        <f t="shared" si="12"/>
        <v>8003</v>
      </c>
      <c r="I35" s="22">
        <f t="shared" si="12"/>
        <v>7936.3</v>
      </c>
      <c r="J35" s="22">
        <f t="shared" si="12"/>
        <v>7871.2</v>
      </c>
      <c r="K35" s="22">
        <f t="shared" si="12"/>
        <v>7804.5</v>
      </c>
    </row>
    <row r="36" spans="1:11" ht="15" customHeight="1">
      <c r="A36" s="13" t="s">
        <v>55</v>
      </c>
      <c r="B36" s="22">
        <f t="shared" ref="B36:K36" si="13">ROUND(B10*B25/1000,1)</f>
        <v>3763.9</v>
      </c>
      <c r="C36" s="22">
        <f t="shared" si="13"/>
        <v>4024.7</v>
      </c>
      <c r="D36" s="22">
        <f t="shared" si="13"/>
        <v>4281.6000000000004</v>
      </c>
      <c r="E36" s="22">
        <f t="shared" si="13"/>
        <v>4675.1000000000004</v>
      </c>
      <c r="F36" s="22">
        <f t="shared" si="13"/>
        <v>4641.5</v>
      </c>
      <c r="G36" s="22">
        <f t="shared" si="13"/>
        <v>4608.5</v>
      </c>
      <c r="H36" s="22">
        <f t="shared" si="13"/>
        <v>4570.3</v>
      </c>
      <c r="I36" s="22">
        <f t="shared" si="13"/>
        <v>4532.3999999999996</v>
      </c>
      <c r="J36" s="22">
        <f t="shared" si="13"/>
        <v>4495.1000000000004</v>
      </c>
      <c r="K36" s="22">
        <f t="shared" si="13"/>
        <v>4457</v>
      </c>
    </row>
    <row r="37" spans="1:11" ht="15" customHeight="1">
      <c r="A37" s="13" t="s">
        <v>56</v>
      </c>
      <c r="B37" s="22">
        <f t="shared" ref="B37:K37" si="14">ROUND(B11*B26/1000,1)</f>
        <v>2778.9</v>
      </c>
      <c r="C37" s="22">
        <f t="shared" si="14"/>
        <v>2956.2</v>
      </c>
      <c r="D37" s="22">
        <f t="shared" si="14"/>
        <v>3130.9</v>
      </c>
      <c r="E37" s="22">
        <f t="shared" si="14"/>
        <v>3399.2</v>
      </c>
      <c r="F37" s="22">
        <f t="shared" si="14"/>
        <v>3374.7</v>
      </c>
      <c r="G37" s="22">
        <f t="shared" si="14"/>
        <v>3350.9</v>
      </c>
      <c r="H37" s="22">
        <f t="shared" si="14"/>
        <v>3323.1</v>
      </c>
      <c r="I37" s="22">
        <f t="shared" si="14"/>
        <v>3295.4</v>
      </c>
      <c r="J37" s="22">
        <f t="shared" si="14"/>
        <v>3268.5</v>
      </c>
      <c r="K37" s="22">
        <f t="shared" si="14"/>
        <v>3240.7</v>
      </c>
    </row>
    <row r="38" spans="1:11" ht="15" customHeight="1">
      <c r="A38" s="13" t="s">
        <v>57</v>
      </c>
      <c r="B38" s="22">
        <f t="shared" ref="B38:K38" si="15">ROUND(B12*B27/1000,1)</f>
        <v>1669.2</v>
      </c>
      <c r="C38" s="22">
        <f t="shared" si="15"/>
        <v>1835</v>
      </c>
      <c r="D38" s="22">
        <f t="shared" si="15"/>
        <v>1998.4</v>
      </c>
      <c r="E38" s="22">
        <f t="shared" si="15"/>
        <v>2158.6</v>
      </c>
      <c r="F38" s="22">
        <f t="shared" si="15"/>
        <v>2143</v>
      </c>
      <c r="G38" s="22">
        <f t="shared" si="15"/>
        <v>2127.9</v>
      </c>
      <c r="H38" s="22">
        <f t="shared" si="15"/>
        <v>2110.3000000000002</v>
      </c>
      <c r="I38" s="22">
        <f t="shared" si="15"/>
        <v>2092.6999999999998</v>
      </c>
      <c r="J38" s="22">
        <f t="shared" si="15"/>
        <v>2075.5</v>
      </c>
      <c r="K38" s="22">
        <f t="shared" si="15"/>
        <v>2057.9</v>
      </c>
    </row>
    <row r="39" spans="1:11" ht="15" customHeight="1">
      <c r="A39" s="13" t="s">
        <v>58</v>
      </c>
      <c r="B39" s="22">
        <f t="shared" ref="B39:K39" si="16">ROUND(B13*B28/1000,1)</f>
        <v>573.29999999999995</v>
      </c>
      <c r="C39" s="22">
        <f t="shared" si="16"/>
        <v>650.6</v>
      </c>
      <c r="D39" s="22">
        <f t="shared" si="16"/>
        <v>726.7</v>
      </c>
      <c r="E39" s="22">
        <f t="shared" si="16"/>
        <v>821.6</v>
      </c>
      <c r="F39" s="22">
        <f t="shared" si="16"/>
        <v>815.7</v>
      </c>
      <c r="G39" s="22">
        <f t="shared" si="16"/>
        <v>809.8</v>
      </c>
      <c r="H39" s="22">
        <f t="shared" si="16"/>
        <v>803.2</v>
      </c>
      <c r="I39" s="22">
        <f t="shared" si="16"/>
        <v>796.4</v>
      </c>
      <c r="J39" s="22">
        <f t="shared" si="16"/>
        <v>789.9</v>
      </c>
      <c r="K39" s="22">
        <f t="shared" si="16"/>
        <v>783.3</v>
      </c>
    </row>
    <row r="40" spans="1:11" ht="15" customHeight="1">
      <c r="A40" s="13" t="s">
        <v>59</v>
      </c>
      <c r="B40" s="22">
        <f t="shared" ref="B40:K40" si="17">ROUND(B14*B29/1000,1)</f>
        <v>1529.4</v>
      </c>
      <c r="C40" s="22">
        <f t="shared" si="17"/>
        <v>1708.4</v>
      </c>
      <c r="D40" s="22">
        <f t="shared" si="17"/>
        <v>1884.8</v>
      </c>
      <c r="E40" s="22">
        <f t="shared" si="17"/>
        <v>2104.9</v>
      </c>
      <c r="F40" s="22">
        <f t="shared" si="17"/>
        <v>2089.6</v>
      </c>
      <c r="G40" s="22">
        <f t="shared" si="17"/>
        <v>2074.6999999999998</v>
      </c>
      <c r="H40" s="22">
        <f t="shared" si="17"/>
        <v>2057.6</v>
      </c>
      <c r="I40" s="22">
        <f t="shared" si="17"/>
        <v>2040.5</v>
      </c>
      <c r="J40" s="22">
        <f t="shared" si="17"/>
        <v>2023.7</v>
      </c>
      <c r="K40" s="22">
        <f t="shared" si="17"/>
        <v>2006.6</v>
      </c>
    </row>
    <row r="41" spans="1:11" ht="14.25" customHeight="1">
      <c r="A41" s="19" t="s">
        <v>60</v>
      </c>
      <c r="B41" s="22">
        <f t="shared" ref="B41:K41" si="18">SUM(B33:B40)</f>
        <v>41099.300000000003</v>
      </c>
      <c r="C41" s="22">
        <f t="shared" si="18"/>
        <v>44245.999999999993</v>
      </c>
      <c r="D41" s="22">
        <f t="shared" si="18"/>
        <v>47344.2</v>
      </c>
      <c r="E41" s="22">
        <f t="shared" si="18"/>
        <v>51103.199999999997</v>
      </c>
      <c r="F41" s="22">
        <f t="shared" si="18"/>
        <v>50734.499999999993</v>
      </c>
      <c r="G41" s="22">
        <f t="shared" si="18"/>
        <v>50374.8</v>
      </c>
      <c r="H41" s="22">
        <f t="shared" si="18"/>
        <v>49958.3</v>
      </c>
      <c r="I41" s="22">
        <f t="shared" si="18"/>
        <v>49542</v>
      </c>
      <c r="J41" s="22">
        <f t="shared" si="18"/>
        <v>49135.399999999994</v>
      </c>
      <c r="K41" s="22">
        <f t="shared" si="18"/>
        <v>48719.199999999997</v>
      </c>
    </row>
    <row r="42" spans="1:11" ht="14.25" customHeight="1">
      <c r="A42" s="23" t="s">
        <v>61</v>
      </c>
      <c r="B42" s="20">
        <f t="shared" ref="B42:K42" si="19">ROUND(B32+B41,0)</f>
        <v>56477</v>
      </c>
      <c r="C42" s="20">
        <f t="shared" si="19"/>
        <v>61807</v>
      </c>
      <c r="D42" s="20">
        <f t="shared" si="19"/>
        <v>67055</v>
      </c>
      <c r="E42" s="20">
        <f t="shared" si="19"/>
        <v>73675</v>
      </c>
      <c r="F42" s="20">
        <f t="shared" si="19"/>
        <v>73145</v>
      </c>
      <c r="G42" s="20">
        <f t="shared" si="19"/>
        <v>72623</v>
      </c>
      <c r="H42" s="20">
        <f t="shared" si="19"/>
        <v>72026</v>
      </c>
      <c r="I42" s="20">
        <f t="shared" si="19"/>
        <v>71430</v>
      </c>
      <c r="J42" s="20">
        <f t="shared" si="19"/>
        <v>70843</v>
      </c>
      <c r="K42" s="20">
        <f t="shared" si="19"/>
        <v>70238</v>
      </c>
    </row>
    <row r="43" spans="1:11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" customHeight="1">
      <c r="A44" s="24" t="s">
        <v>62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4.25" customHeight="1">
      <c r="A45" s="25" t="s">
        <v>63</v>
      </c>
      <c r="B45" s="20">
        <v>61104</v>
      </c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4.25" customHeight="1">
      <c r="A46" s="25" t="s">
        <v>64</v>
      </c>
      <c r="B46" s="20">
        <v>59607</v>
      </c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" customHeight="1">
      <c r="A47" s="26" t="s">
        <v>65</v>
      </c>
      <c r="B47" s="27">
        <f>B45/B46</f>
        <v>1.0251144999748352</v>
      </c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15" customHeight="1">
      <c r="A49" s="28" t="s">
        <v>66</v>
      </c>
      <c r="B49" s="29">
        <f t="shared" ref="B49:K49" si="20">ROUND(B42*$B$47,0)</f>
        <v>57895</v>
      </c>
      <c r="C49" s="29">
        <f t="shared" si="20"/>
        <v>63359</v>
      </c>
      <c r="D49" s="29">
        <f t="shared" si="20"/>
        <v>68739</v>
      </c>
      <c r="E49" s="29">
        <f t="shared" si="20"/>
        <v>75525</v>
      </c>
      <c r="F49" s="29">
        <f t="shared" si="20"/>
        <v>74982</v>
      </c>
      <c r="G49" s="29">
        <f t="shared" si="20"/>
        <v>74447</v>
      </c>
      <c r="H49" s="29">
        <f t="shared" si="20"/>
        <v>73835</v>
      </c>
      <c r="I49" s="29">
        <f t="shared" si="20"/>
        <v>73224</v>
      </c>
      <c r="J49" s="29">
        <f t="shared" si="20"/>
        <v>72622</v>
      </c>
      <c r="K49" s="29">
        <f t="shared" si="20"/>
        <v>72002</v>
      </c>
    </row>
    <row r="51" spans="1:11" ht="16.5" customHeight="1">
      <c r="A51" s="8" t="s">
        <v>67</v>
      </c>
      <c r="B51" t="str">
        <f t="shared" ref="B51:K51" si="21">B5</f>
        <v>令和7年度</v>
      </c>
      <c r="C51" t="str">
        <f t="shared" si="21"/>
        <v>令和8年度</v>
      </c>
      <c r="D51" t="str">
        <f t="shared" si="21"/>
        <v>令和9年度</v>
      </c>
      <c r="E51" t="str">
        <f t="shared" si="21"/>
        <v>令和10年度</v>
      </c>
      <c r="F51" t="str">
        <f t="shared" si="21"/>
        <v>令和11年度</v>
      </c>
      <c r="G51" t="str">
        <f t="shared" si="21"/>
        <v>令和12年度</v>
      </c>
      <c r="H51" t="str">
        <f t="shared" si="21"/>
        <v>令和13年度</v>
      </c>
      <c r="I51" t="str">
        <f t="shared" si="21"/>
        <v>令和14年度</v>
      </c>
      <c r="J51" t="str">
        <f t="shared" si="21"/>
        <v>令和15年度</v>
      </c>
      <c r="K51" t="str">
        <f t="shared" si="21"/>
        <v>令和16年度</v>
      </c>
    </row>
    <row r="52" spans="1:11" ht="16.5" customHeight="1">
      <c r="A52" s="8" t="s">
        <v>68</v>
      </c>
      <c r="B52">
        <f>ROUND((ROUND(料金テーブル!$B$5*B17*6/1000,1)+ROUND(料金テーブル!$B$6*B22/1000,1)+ROUND(料金テーブル!$B$7*B23/1000,1)+ROUND(料金テーブル!$B$8*B24/1000,1)+ROUND(料金テーブル!$B$9*B25/1000,1)+ROUND(料金テーブル!$B$10*B26/1000,1)+ROUND(料金テーブル!$B$11*B27/1000,1)+ROUND(料金テーブル!$B$12*B28/1000,1)+ROUND(料金テーブル!$B$13*B29/1000,1))*$B$47,0)</f>
        <v>57896</v>
      </c>
      <c r="C52">
        <f>ROUND((ROUND(ROUND((料金テーブル!$B$5+料金テーブル!$C$5)/2,0)*C17*6/1000,1)+ROUND(ROUND((料金テーブル!$B$6+料金テーブル!$C$6)/2,0)*C22/1000,1)+ROUND(ROUND((料金テーブル!$B$7+料金テーブル!$C$7)/2,0)*C23/1000,1)+ROUND(ROUND((料金テーブル!$B$8+料金テーブル!$C$8)/2,0)*C24/1000,1)+ROUND(ROUND((料金テーブル!$B$9+料金テーブル!$C$9)/2,0)*C25/1000,1)+ROUND(ROUND((料金テーブル!$B$10+料金テーブル!$C$10)/2,0)*C26/1000,1)+ROUND(ROUND((料金テーブル!$B$11+料金テーブル!$C$11)/2,0)*C27/1000,1)+ROUND(ROUND((料金テーブル!$B$12+料金テーブル!$C$12)/2,0)*C28/1000,1)+ROUND(ROUND((料金テーブル!$B$13+料金テーブル!$C$13)/2,0)*C29/1000,1))*$B$47,0)</f>
        <v>67141</v>
      </c>
      <c r="D52">
        <f>ROUND((ROUND(料金テーブル!$C$5*D17*6/1000,1)+ROUND(料金テーブル!$C$6*D22/1000,1)+ROUND(料金テーブル!$C$7*D23/1000,1)+ROUND(料金テーブル!$C$8*D24/1000,1)+ROUND(料金テーブル!$C$9*D25/1000,1)+ROUND(料金テーブル!$C$10*D26/1000,1)+ROUND(料金テーブル!$C$11*D27/1000,1)+ROUND(料金テーブル!$C$12*D28/1000,1)+ROUND(料金テーブル!$C$13*D29/1000,1))*$B$47,0)</f>
        <v>76089</v>
      </c>
      <c r="E52">
        <f>ROUND((ROUND(料金テーブル!$C$5*E17*6/1000,1)+ROUND(料金テーブル!$C$6*E22/1000,1)+ROUND(料金テーブル!$C$7*E23/1000,1)+ROUND(料金テーブル!$C$8*E24/1000,1)+ROUND(料金テーブル!$C$9*E25/1000,1)+ROUND(料金テーブル!$C$10*E26/1000,1)+ROUND(料金テーブル!$C$11*E27/1000,1)+ROUND(料金テーブル!$C$12*E28/1000,1)+ROUND(料金テーブル!$C$13*E29/1000,1))*$B$47,0)</f>
        <v>75526</v>
      </c>
      <c r="F52">
        <f>ROUND((ROUND(料金テーブル!$C$5*F17*6/1000,1)+ROUND(料金テーブル!$C$6*F22/1000,1)+ROUND(料金テーブル!$C$7*F23/1000,1)+ROUND(料金テーブル!$C$8*F24/1000,1)+ROUND(料金テーブル!$C$9*F25/1000,1)+ROUND(料金テーブル!$C$10*F26/1000,1)+ROUND(料金テーブル!$C$11*F27/1000,1)+ROUND(料金テーブル!$C$12*F28/1000,1)+ROUND(料金テーブル!$C$13*F29/1000,1))*$B$47,0)</f>
        <v>74981</v>
      </c>
      <c r="G52">
        <f>ROUND((ROUND(料金テーブル!$C$5*G17*6/1000,1)+ROUND(料金テーブル!$C$6*G22/1000,1)+ROUND(料金テーブル!$C$7*G23/1000,1)+ROUND(料金テーブル!$C$8*G24/1000,1)+ROUND(料金テーブル!$C$9*G25/1000,1)+ROUND(料金テーブル!$C$10*G26/1000,1)+ROUND(料金テーブル!$C$11*G27/1000,1)+ROUND(料金テーブル!$C$12*G28/1000,1)+ROUND(料金テーブル!$C$13*G29/1000,1))*$B$47,0)</f>
        <v>74447</v>
      </c>
      <c r="H52">
        <f>ROUND((ROUND(料金テーブル!$C$5*H17*6/1000,1)+ROUND(料金テーブル!$C$6*H22/1000,1)+ROUND(料金テーブル!$C$7*H23/1000,1)+ROUND(料金テーブル!$C$8*H24/1000,1)+ROUND(料金テーブル!$C$9*H25/1000,1)+ROUND(料金テーブル!$C$10*H26/1000,1)+ROUND(料金テーブル!$C$11*H27/1000,1)+ROUND(料金テーブル!$C$12*H28/1000,1)+ROUND(料金テーブル!$C$13*H29/1000,1))*$B$47,0)</f>
        <v>73835</v>
      </c>
      <c r="I52">
        <f>ROUND((ROUND(料金テーブル!$C$5*I17*6/1000,1)+ROUND(料金テーブル!$C$6*I22/1000,1)+ROUND(料金テーブル!$C$7*I23/1000,1)+ROUND(料金テーブル!$C$8*I24/1000,1)+ROUND(料金テーブル!$C$9*I25/1000,1)+ROUND(料金テーブル!$C$10*I26/1000,1)+ROUND(料金テーブル!$C$11*I27/1000,1)+ROUND(料金テーブル!$C$12*I28/1000,1)+ROUND(料金テーブル!$C$13*I29/1000,1))*$B$47,0)</f>
        <v>73224</v>
      </c>
      <c r="J52">
        <f>ROUND((ROUND(料金テーブル!$C$5*J17*6/1000,1)+ROUND(料金テーブル!$C$6*J22/1000,1)+ROUND(料金テーブル!$C$7*J23/1000,1)+ROUND(料金テーブル!$C$8*J24/1000,1)+ROUND(料金テーブル!$C$9*J25/1000,1)+ROUND(料金テーブル!$C$10*J26/1000,1)+ROUND(料金テーブル!$C$11*J27/1000,1)+ROUND(料金テーブル!$C$12*J28/1000,1)+ROUND(料金テーブル!$C$13*J29/1000,1))*$B$47,0)</f>
        <v>72623</v>
      </c>
      <c r="K52">
        <f>ROUND((ROUND(料金テーブル!$C$5*K17*6/1000,1)+ROUND(料金テーブル!$C$6*K22/1000,1)+ROUND(料金テーブル!$C$7*K23/1000,1)+ROUND(料金テーブル!$C$8*K24/1000,1)+ROUND(料金テーブル!$C$9*K25/1000,1)+ROUND(料金テーブル!$C$10*K26/1000,1)+ROUND(料金テーブル!$C$11*K27/1000,1)+ROUND(料金テーブル!$C$12*K28/1000,1)+ROUND(料金テーブル!$C$13*K29/1000,1))*$B$47,0)</f>
        <v>72002</v>
      </c>
    </row>
    <row r="53" spans="1:11" ht="16.5" customHeight="1">
      <c r="A53" s="8" t="s">
        <v>69</v>
      </c>
      <c r="B53">
        <f>ROUND((ROUND(料金テーブル!$B$5*B17*6/1000,1)+ROUND(料金テーブル!$B$6*B22/1000,1)+ROUND(料金テーブル!$B$7*B23/1000,1)+ROUND(料金テーブル!$B$8*B24/1000,1)+ROUND(料金テーブル!$B$9*B25/1000,1)+ROUND(料金テーブル!$B$10*B26/1000,1)+ROUND(料金テーブル!$B$11*B27/1000,1)+ROUND(料金テーブル!$B$12*B28/1000,1)+ROUND(料金テーブル!$B$13*B29/1000,1))*$B$47,0)</f>
        <v>57896</v>
      </c>
      <c r="C53">
        <f>ROUND((ROUND('段階単価(3か年)'!$B$6*C17*6/1000,1)+ROUND('段階単価(3か年)'!$B$7*C22/1000,1)+ROUND('段階単価(3か年)'!$B$8*C23/1000,1)+ROUND('段階単価(3か年)'!$B$9*C24/1000,1)+ROUND('段階単価(3か年)'!$B$10*C25/1000,1)+ROUND('段階単価(3か年)'!$B$11*C26/1000,1)+ROUND('段階単価(3か年)'!$B$12*C27/1000,1)+ROUND('段階単価(3か年)'!$B$13*C28/1000,1)+ROUND('段階単価(3か年)'!$B$14*C29/1000,1))*$B$47,0)</f>
        <v>63359</v>
      </c>
      <c r="D53">
        <f>ROUND((ROUND('段階単価(3か年)'!$C$6*D17*6/1000,1)+ROUND('段階単価(3か年)'!$C$7*D22/1000,1)+ROUND('段階単価(3か年)'!$C$8*D23/1000,1)+ROUND('段階単価(3か年)'!$C$9*D24/1000,1)+ROUND('段階単価(3か年)'!$C$10*D25/1000,1)+ROUND('段階単価(3か年)'!$C$11*D26/1000,1)+ROUND('段階単価(3か年)'!$C$12*D27/1000,1)+ROUND('段階単価(3か年)'!$C$13*D28/1000,1)+ROUND('段階単価(3か年)'!$C$14*D29/1000,1))*$B$47,0)</f>
        <v>68739</v>
      </c>
      <c r="E53">
        <f>ROUND((ROUND(料金テーブル!$C$5*E17*6/1000,1)+ROUND(料金テーブル!$C$6*E22/1000,1)+ROUND(料金テーブル!$C$7*E23/1000,1)+ROUND(料金テーブル!$C$8*E24/1000,1)+ROUND(料金テーブル!$C$9*E25/1000,1)+ROUND(料金テーブル!$C$10*E26/1000,1)+ROUND(料金テーブル!$C$11*E27/1000,1)+ROUND(料金テーブル!$C$12*E28/1000,1)+ROUND(料金テーブル!$C$13*E29/1000,1))*$B$47,0)</f>
        <v>75526</v>
      </c>
      <c r="F53">
        <f>ROUND((ROUND(料金テーブル!$C$5*F17*6/1000,1)+ROUND(料金テーブル!$C$6*F22/1000,1)+ROUND(料金テーブル!$C$7*F23/1000,1)+ROUND(料金テーブル!$C$8*F24/1000,1)+ROUND(料金テーブル!$C$9*F25/1000,1)+ROUND(料金テーブル!$C$10*F26/1000,1)+ROUND(料金テーブル!$C$11*F27/1000,1)+ROUND(料金テーブル!$C$12*F28/1000,1)+ROUND(料金テーブル!$C$13*F29/1000,1))*$B$47,0)</f>
        <v>74981</v>
      </c>
      <c r="G53">
        <f>ROUND((ROUND(料金テーブル!$C$5*G17*6/1000,1)+ROUND(料金テーブル!$C$6*G22/1000,1)+ROUND(料金テーブル!$C$7*G23/1000,1)+ROUND(料金テーブル!$C$8*G24/1000,1)+ROUND(料金テーブル!$C$9*G25/1000,1)+ROUND(料金テーブル!$C$10*G26/1000,1)+ROUND(料金テーブル!$C$11*G27/1000,1)+ROUND(料金テーブル!$C$12*G28/1000,1)+ROUND(料金テーブル!$C$13*G29/1000,1))*$B$47,0)</f>
        <v>74447</v>
      </c>
      <c r="H53">
        <f>ROUND((ROUND(料金テーブル!$C$5*H17*6/1000,1)+ROUND(料金テーブル!$C$6*H22/1000,1)+ROUND(料金テーブル!$C$7*H23/1000,1)+ROUND(料金テーブル!$C$8*H24/1000,1)+ROUND(料金テーブル!$C$9*H25/1000,1)+ROUND(料金テーブル!$C$10*H26/1000,1)+ROUND(料金テーブル!$C$11*H27/1000,1)+ROUND(料金テーブル!$C$12*H28/1000,1)+ROUND(料金テーブル!$C$13*H29/1000,1))*$B$47,0)</f>
        <v>73835</v>
      </c>
      <c r="I53">
        <f>ROUND((ROUND(料金テーブル!$C$5*I17*6/1000,1)+ROUND(料金テーブル!$C$6*I22/1000,1)+ROUND(料金テーブル!$C$7*I23/1000,1)+ROUND(料金テーブル!$C$8*I24/1000,1)+ROUND(料金テーブル!$C$9*I25/1000,1)+ROUND(料金テーブル!$C$10*I26/1000,1)+ROUND(料金テーブル!$C$11*I27/1000,1)+ROUND(料金テーブル!$C$12*I28/1000,1)+ROUND(料金テーブル!$C$13*I29/1000,1))*$B$47,0)</f>
        <v>73224</v>
      </c>
      <c r="J53">
        <f>ROUND((ROUND(料金テーブル!$C$5*J17*6/1000,1)+ROUND(料金テーブル!$C$6*J22/1000,1)+ROUND(料金テーブル!$C$7*J23/1000,1)+ROUND(料金テーブル!$C$8*J24/1000,1)+ROUND(料金テーブル!$C$9*J25/1000,1)+ROUND(料金テーブル!$C$10*J26/1000,1)+ROUND(料金テーブル!$C$11*J27/1000,1)+ROUND(料金テーブル!$C$12*J28/1000,1)+ROUND(料金テーブル!$C$13*J29/1000,1))*$B$47,0)</f>
        <v>72623</v>
      </c>
      <c r="K53">
        <f>ROUND((ROUND(料金テーブル!$C$5*K17*6/1000,1)+ROUND(料金テーブル!$C$6*K22/1000,1)+ROUND(料金テーブル!$C$7*K23/1000,1)+ROUND(料金テーブル!$C$8*K24/1000,1)+ROUND(料金テーブル!$C$9*K25/1000,1)+ROUND(料金テーブル!$C$10*K26/1000,1)+ROUND(料金テーブル!$C$11*K27/1000,1)+ROUND(料金テーブル!$C$12*K28/1000,1)+ROUND(料金テーブル!$C$13*K29/1000,1))*$B$47,0)</f>
        <v>72002</v>
      </c>
    </row>
    <row r="54" spans="1:11" ht="16.5" customHeight="1">
      <c r="A54" s="8" t="s">
        <v>70</v>
      </c>
      <c r="B54">
        <f>ROUND((ROUND(料金テーブル!$B$5*B17*6/1000,1)+ROUND(料金テーブル!$B$6*B22/1000,1)+ROUND(料金テーブル!$B$7*B23/1000,1)+ROUND(料金テーブル!$B$8*B24/1000,1)+ROUND(料金テーブル!$B$9*B25/1000,1)+ROUND(料金テーブル!$B$10*B26/1000,1)+ROUND(料金テーブル!$B$11*B27/1000,1)+ROUND(料金テーブル!$B$12*B28/1000,1)+ROUND(料金テーブル!$B$13*B29/1000,1))*$B$47,0)</f>
        <v>57896</v>
      </c>
      <c r="C54">
        <f>ROUND((ROUND(ROUND((料金テーブル!$B$5+料金テーブル!$D$5)/2,0)*C17*6/1000,1)+ROUND(ROUND((料金テーブル!$B$6+料金テーブル!$D$6)/2,0)*C22/1000,1)+ROUND(ROUND((料金テーブル!$B$7+料金テーブル!$D$7)/2,0)*C23/1000,1)+ROUND(ROUND((料金テーブル!$B$8+料金テーブル!$D$8)/2,0)*C24/1000,1)+ROUND(ROUND((料金テーブル!$B$9+料金テーブル!$D$9)/2,0)*C25/1000,1)+ROUND(ROUND((料金テーブル!$B$10+料金テーブル!$D$10)/2,0)*C26/1000,1)+ROUND(ROUND((料金テーブル!$B$11+料金テーブル!$D$11)/2,0)*C27/1000,1)+ROUND(ROUND((料金テーブル!$B$12+料金テーブル!$D$12)/2,0)*C28/1000,1)+ROUND(ROUND((料金テーブル!$B$13+料金テーブル!$D$13)/2,0)*C29/1000,1))*$B$47,0)</f>
        <v>69779</v>
      </c>
      <c r="D54">
        <f>ROUND((ROUND(料金テーブル!$D$5*D17*6/1000,1)+ROUND(料金テーブル!$D$6*D22/1000,1)+ROUND(料金テーブル!$D$7*D23/1000,1)+ROUND(料金テーブル!$D$8*D24/1000,1)+ROUND(料金テーブル!$D$9*D25/1000,1)+ROUND(料金テーブル!$D$10*D26/1000,1)+ROUND(料金テーブル!$D$11*D27/1000,1)+ROUND(料金テーブル!$D$12*D28/1000,1)+ROUND(料金テーブル!$D$13*D29/1000,1))*$B$47,0)</f>
        <v>81327</v>
      </c>
      <c r="E54">
        <f>ROUND((ROUND(料金テーブル!$D$5*E17*6/1000,1)+ROUND(料金テーブル!$D$6*E22/1000,1)+ROUND(料金テーブル!$D$7*E23/1000,1)+ROUND(料金テーブル!$D$8*E24/1000,1)+ROUND(料金テーブル!$D$9*E25/1000,1)+ROUND(料金テーブル!$D$10*E26/1000,1)+ROUND(料金テーブル!$D$11*E27/1000,1)+ROUND(料金テーブル!$D$12*E28/1000,1)+ROUND(料金テーブル!$D$13*E29/1000,1))*$B$47,0)</f>
        <v>80726</v>
      </c>
      <c r="F54">
        <f>ROUND((ROUND(料金テーブル!$D$5*F17*6/1000,1)+ROUND(料金テーブル!$D$6*F22/1000,1)+ROUND(料金テーブル!$D$7*F23/1000,1)+ROUND(料金テーブル!$D$8*F24/1000,1)+ROUND(料金テーブル!$D$9*F25/1000,1)+ROUND(料金テーブル!$D$10*F26/1000,1)+ROUND(料金テーブル!$D$11*F27/1000,1)+ROUND(料金テーブル!$D$12*F28/1000,1)+ROUND(料金テーブル!$D$13*F29/1000,1))*$B$47,0)</f>
        <v>80144</v>
      </c>
      <c r="G54">
        <f>ROUND((ROUND(料金テーブル!$D$5*G17*6/1000,1)+ROUND(料金テーブル!$D$6*G22/1000,1)+ROUND(料金テーブル!$D$7*G23/1000,1)+ROUND(料金テーブル!$D$8*G24/1000,1)+ROUND(料金テーブル!$D$9*G25/1000,1)+ROUND(料金テーブル!$D$10*G26/1000,1)+ROUND(料金テーブル!$D$11*G27/1000,1)+ROUND(料金テーブル!$D$12*G28/1000,1)+ROUND(料金テーブル!$D$13*G29/1000,1))*$B$47,0)</f>
        <v>79573</v>
      </c>
      <c r="H54">
        <f>ROUND((ROUND(料金テーブル!$D$5*H17*6/1000,1)+ROUND(料金テーブル!$D$6*H22/1000,1)+ROUND(料金テーブル!$D$7*H23/1000,1)+ROUND(料金テーブル!$D$8*H24/1000,1)+ROUND(料金テーブル!$D$9*H25/1000,1)+ROUND(料金テーブル!$D$10*H26/1000,1)+ROUND(料金テーブル!$D$11*H27/1000,1)+ROUND(料金テーブル!$D$12*H28/1000,1)+ROUND(料金テーブル!$D$13*H29/1000,1))*$B$47,0)</f>
        <v>78919</v>
      </c>
      <c r="I54">
        <f>ROUND((ROUND(料金テーブル!$D$5*I17*6/1000,1)+ROUND(料金テーブル!$D$6*I22/1000,1)+ROUND(料金テーブル!$D$7*I23/1000,1)+ROUND(料金テーブル!$D$8*I24/1000,1)+ROUND(料金テーブル!$D$9*I25/1000,1)+ROUND(料金テーブル!$D$10*I26/1000,1)+ROUND(料金テーブル!$D$11*I27/1000,1)+ROUND(料金テーブル!$D$12*I28/1000,1)+ROUND(料金テーブル!$D$13*I29/1000,1))*$B$47,0)</f>
        <v>78265</v>
      </c>
      <c r="J54">
        <f>ROUND((ROUND(料金テーブル!$D$5*J17*6/1000,1)+ROUND(料金テーブル!$D$6*J22/1000,1)+ROUND(料金テーブル!$D$7*J23/1000,1)+ROUND(料金テーブル!$D$8*J24/1000,1)+ROUND(料金テーブル!$D$9*J25/1000,1)+ROUND(料金テーブル!$D$10*J26/1000,1)+ROUND(料金テーブル!$D$11*J27/1000,1)+ROUND(料金テーブル!$D$12*J28/1000,1)+ROUND(料金テーブル!$D$13*J29/1000,1))*$B$47,0)</f>
        <v>77622</v>
      </c>
      <c r="K54">
        <f>ROUND((ROUND(料金テーブル!$D$5*K17*6/1000,1)+ROUND(料金テーブル!$D$6*K22/1000,1)+ROUND(料金テーブル!$D$7*K23/1000,1)+ROUND(料金テーブル!$D$8*K24/1000,1)+ROUND(料金テーブル!$D$9*K25/1000,1)+ROUND(料金テーブル!$D$10*K26/1000,1)+ROUND(料金テーブル!$D$11*K27/1000,1)+ROUND(料金テーブル!$D$12*K28/1000,1)+ROUND(料金テーブル!$D$13*K29/1000,1))*$B$47,0)</f>
        <v>76960</v>
      </c>
    </row>
    <row r="55" spans="1:11" ht="16.5" customHeight="1">
      <c r="A55" s="8" t="s">
        <v>71</v>
      </c>
      <c r="B55">
        <f>ROUND((ROUND(料金テーブル!$B$5*B17*6/1000,1)+ROUND(料金テーブル!$B$6*B22/1000,1)+ROUND(料金テーブル!$B$7*B23/1000,1)+ROUND(料金テーブル!$B$8*B24/1000,1)+ROUND(料金テーブル!$B$9*B25/1000,1)+ROUND(料金テーブル!$B$10*B26/1000,1)+ROUND(料金テーブル!$B$11*B27/1000,1)+ROUND(料金テーブル!$B$12*B28/1000,1)+ROUND(料金テーブル!$B$13*B29/1000,1))*$B$47,0)</f>
        <v>57896</v>
      </c>
      <c r="C55">
        <f>ROUND((ROUND('段階単価(3か年)'!$B$18*C17*6/1000,1)+ROUND('段階単価(3か年)'!$B$19*C22/1000,1)+ROUND('段階単価(3か年)'!$B$20*C23/1000,1)+ROUND('段階単価(3か年)'!$B$21*C24/1000,1)+ROUND('段階単価(3か年)'!$B$22*C25/1000,1)+ROUND('段階単価(3か年)'!$B$23*C26/1000,1)+ROUND('段階単価(3か年)'!$B$24*C27/1000,1)+ROUND('段階単価(3か年)'!$B$25*C28/1000,1)+ROUND('段階単価(3か年)'!$B$26*C29/1000,1))*$B$47,0)</f>
        <v>65117</v>
      </c>
      <c r="D55">
        <f>ROUND((ROUND('段階単価(3か年)'!$C$18*D17*6/1000,1)+ROUND('段階単価(3か年)'!$C$19*D22/1000,1)+ROUND('段階単価(3か年)'!$C$20*D23/1000,1)+ROUND('段階単価(3か年)'!$C$21*D24/1000,1)+ROUND('段階単価(3か年)'!$C$22*D25/1000,1)+ROUND('段階単価(3か年)'!$C$23*D26/1000,1)+ROUND('段階単価(3か年)'!$C$24*D27/1000,1)+ROUND('段階単価(3か年)'!$C$25*D28/1000,1)+ROUND('段階単価(3か年)'!$C$26*D29/1000,1))*$B$47,0)</f>
        <v>72231</v>
      </c>
      <c r="E55">
        <f>ROUND((ROUND(料金テーブル!$D$5*E17*6/1000,1)+ROUND(料金テーブル!$D$6*E22/1000,1)+ROUND(料金テーブル!$D$7*E23/1000,1)+ROUND(料金テーブル!$D$8*E24/1000,1)+ROUND(料金テーブル!$D$9*E25/1000,1)+ROUND(料金テーブル!$D$10*E26/1000,1)+ROUND(料金テーブル!$D$11*E27/1000,1)+ROUND(料金テーブル!$D$12*E28/1000,1)+ROUND(料金テーブル!$D$13*E29/1000,1))*$B$47,0)</f>
        <v>80726</v>
      </c>
      <c r="F55">
        <f>ROUND((ROUND(料金テーブル!$D$5*F17*6/1000,1)+ROUND(料金テーブル!$D$6*F22/1000,1)+ROUND(料金テーブル!$D$7*F23/1000,1)+ROUND(料金テーブル!$D$8*F24/1000,1)+ROUND(料金テーブル!$D$9*F25/1000,1)+ROUND(料金テーブル!$D$10*F26/1000,1)+ROUND(料金テーブル!$D$11*F27/1000,1)+ROUND(料金テーブル!$D$12*F28/1000,1)+ROUND(料金テーブル!$D$13*F29/1000,1))*$B$47,0)</f>
        <v>80144</v>
      </c>
      <c r="G55">
        <f>ROUND((ROUND(料金テーブル!$D$5*G17*6/1000,1)+ROUND(料金テーブル!$D$6*G22/1000,1)+ROUND(料金テーブル!$D$7*G23/1000,1)+ROUND(料金テーブル!$D$8*G24/1000,1)+ROUND(料金テーブル!$D$9*G25/1000,1)+ROUND(料金テーブル!$D$10*G26/1000,1)+ROUND(料金テーブル!$D$11*G27/1000,1)+ROUND(料金テーブル!$D$12*G28/1000,1)+ROUND(料金テーブル!$D$13*G29/1000,1))*$B$47,0)</f>
        <v>79573</v>
      </c>
      <c r="H55">
        <f>ROUND((ROUND(料金テーブル!$D$5*H17*6/1000,1)+ROUND(料金テーブル!$D$6*H22/1000,1)+ROUND(料金テーブル!$D$7*H23/1000,1)+ROUND(料金テーブル!$D$8*H24/1000,1)+ROUND(料金テーブル!$D$9*H25/1000,1)+ROUND(料金テーブル!$D$10*H26/1000,1)+ROUND(料金テーブル!$D$11*H27/1000,1)+ROUND(料金テーブル!$D$12*H28/1000,1)+ROUND(料金テーブル!$D$13*H29/1000,1))*$B$47,0)</f>
        <v>78919</v>
      </c>
      <c r="I55">
        <f>ROUND((ROUND(料金テーブル!$D$5*I17*6/1000,1)+ROUND(料金テーブル!$D$6*I22/1000,1)+ROUND(料金テーブル!$D$7*I23/1000,1)+ROUND(料金テーブル!$D$8*I24/1000,1)+ROUND(料金テーブル!$D$9*I25/1000,1)+ROUND(料金テーブル!$D$10*I26/1000,1)+ROUND(料金テーブル!$D$11*I27/1000,1)+ROUND(料金テーブル!$D$12*I28/1000,1)+ROUND(料金テーブル!$D$13*I29/1000,1))*$B$47,0)</f>
        <v>78265</v>
      </c>
      <c r="J55">
        <f>ROUND((ROUND(料金テーブル!$D$5*J17*6/1000,1)+ROUND(料金テーブル!$D$6*J22/1000,1)+ROUND(料金テーブル!$D$7*J23/1000,1)+ROUND(料金テーブル!$D$8*J24/1000,1)+ROUND(料金テーブル!$D$9*J25/1000,1)+ROUND(料金テーブル!$D$10*J26/1000,1)+ROUND(料金テーブル!$D$11*J27/1000,1)+ROUND(料金テーブル!$D$12*J28/1000,1)+ROUND(料金テーブル!$D$13*J29/1000,1))*$B$47,0)</f>
        <v>77622</v>
      </c>
      <c r="K55">
        <f>ROUND((ROUND(料金テーブル!$D$5*K17*6/1000,1)+ROUND(料金テーブル!$D$6*K22/1000,1)+ROUND(料金テーブル!$D$7*K23/1000,1)+ROUND(料金テーブル!$D$8*K24/1000,1)+ROUND(料金テーブル!$D$9*K25/1000,1)+ROUND(料金テーブル!$D$10*K26/1000,1)+ROUND(料金テーブル!$D$11*K27/1000,1)+ROUND(料金テーブル!$D$12*K28/1000,1)+ROUND(料金テーブル!$D$13*K29/1000,1))*$B$47,0)</f>
        <v>76960</v>
      </c>
    </row>
    <row r="56" spans="1:11" ht="16.5" customHeight="1">
      <c r="A56" s="8" t="s">
        <v>72</v>
      </c>
      <c r="B56">
        <f>ROUND((ROUND(料金テーブル!$B$5*B17*6/1000,1)+ROUND(料金テーブル!$B$6*B22/1000,1)+ROUND(料金テーブル!$B$7*B23/1000,1)+ROUND(料金テーブル!$B$8*B24/1000,1)+ROUND(料金テーブル!$B$9*B25/1000,1)+ROUND(料金テーブル!$B$10*B26/1000,1)+ROUND(料金テーブル!$B$11*B27/1000,1)+ROUND(料金テーブル!$B$12*B28/1000,1)+ROUND(料金テーブル!$B$13*B29/1000,1))*$B$47,0)</f>
        <v>57896</v>
      </c>
      <c r="C56">
        <f>ROUND((ROUND(ROUND((料金テーブル!$B$5+料金テーブル!$E$5)/2,0)*C17*6/1000,1)+ROUND(ROUND((料金テーブル!$B$6+料金テーブル!$E$6)/2,0)*C22/1000,1)+ROUND(ROUND((料金テーブル!$B$7+料金テーブル!$E$7)/2,0)*C23/1000,1)+ROUND(ROUND((料金テーブル!$B$8+料金テーブル!$E$8)/2,0)*C24/1000,1)+ROUND(ROUND((料金テーブル!$B$9+料金テーブル!$E$9)/2,0)*C25/1000,1)+ROUND(ROUND((料金テーブル!$B$10+料金テーブル!$E$10)/2,0)*C26/1000,1)+ROUND(ROUND((料金テーブル!$B$11+料金テーブル!$E$11)/2,0)*C27/1000,1)+ROUND(ROUND((料金テーブル!$B$12+料金テーブル!$E$12)/2,0)*C28/1000,1)+ROUND(ROUND((料金テーブル!$B$13+料金テーブル!$E$13)/2,0)*C29/1000,1))*$B$47,0)</f>
        <v>68020</v>
      </c>
      <c r="D56">
        <f>ROUND((ROUND(料金テーブル!$E$5*D17*6/1000,1)+ROUND(料金テーブル!$E$6*D22/1000,1)+ROUND(料金テーブル!$E$7*D23/1000,1)+ROUND(料金テーブル!$E$8*D24/1000,1)+ROUND(料金テーブル!$E$9*D25/1000,1)+ROUND(料金テーブル!$E$10*D26/1000,1)+ROUND(料金テーブル!$E$11*D27/1000,1)+ROUND(料金テーブル!$E$12*D28/1000,1)+ROUND(料金テーブル!$E$13*D29/1000,1))*$B$47,0)</f>
        <v>77835</v>
      </c>
      <c r="E56">
        <f>ROUND((ROUND(料金テーブル!$E$5*E17*6/1000,1)+ROUND(料金テーブル!$E$6*E22/1000,1)+ROUND(料金テーブル!$E$7*E23/1000,1)+ROUND(料金テーブル!$E$8*E24/1000,1)+ROUND(料金テーブル!$E$9*E25/1000,1)+ROUND(料金テーブル!$E$10*E26/1000,1)+ROUND(料金テーブル!$E$11*E27/1000,1)+ROUND(料金テーブル!$E$12*E28/1000,1)+ROUND(料金テーブル!$E$13*E29/1000,1))*$B$47,0)</f>
        <v>77259</v>
      </c>
      <c r="F56">
        <f>ROUND((ROUND(料金テーブル!$E$5*F17*6/1000,1)+ROUND(料金テーブル!$E$6*F22/1000,1)+ROUND(料金テーブル!$E$7*F23/1000,1)+ROUND(料金テーブル!$E$8*F24/1000,1)+ROUND(料金テーブル!$E$9*F25/1000,1)+ROUND(料金テーブル!$E$10*F26/1000,1)+ROUND(料金テーブル!$E$11*F27/1000,1)+ROUND(料金テーブル!$E$12*F28/1000,1)+ROUND(料金テーブル!$E$13*F29/1000,1))*$B$47,0)</f>
        <v>76702</v>
      </c>
      <c r="G56">
        <f>ROUND((ROUND(料金テーブル!$E$5*G17*6/1000,1)+ROUND(料金テーブル!$E$6*G22/1000,1)+ROUND(料金テーブル!$E$7*G23/1000,1)+ROUND(料金テーブル!$E$8*G24/1000,1)+ROUND(料金テーブル!$E$9*G25/1000,1)+ROUND(料金テーブル!$E$10*G26/1000,1)+ROUND(料金テーブル!$E$11*G27/1000,1)+ROUND(料金テーブル!$E$12*G28/1000,1)+ROUND(料金テーブル!$E$13*G29/1000,1))*$B$47,0)</f>
        <v>76155</v>
      </c>
      <c r="H56">
        <f>ROUND((ROUND(料金テーブル!$E$5*H17*6/1000,1)+ROUND(料金テーブル!$E$6*H22/1000,1)+ROUND(料金テーブル!$E$7*H23/1000,1)+ROUND(料金テーブル!$E$8*H24/1000,1)+ROUND(料金テーブル!$E$9*H25/1000,1)+ROUND(料金テーブル!$E$10*H26/1000,1)+ROUND(料金テーブル!$E$11*H27/1000,1)+ROUND(料金テーブル!$E$12*H28/1000,1)+ROUND(料金テーブル!$E$13*H29/1000,1))*$B$47,0)</f>
        <v>75530</v>
      </c>
      <c r="I56">
        <f>ROUND((ROUND(料金テーブル!$E$5*I17*6/1000,1)+ROUND(料金テーブル!$E$6*I22/1000,1)+ROUND(料金テーブル!$E$7*I23/1000,1)+ROUND(料金テーブル!$E$8*I24/1000,1)+ROUND(料金テーブル!$E$9*I25/1000,1)+ROUND(料金テーブル!$E$10*I26/1000,1)+ROUND(料金テーブル!$E$11*I27/1000,1)+ROUND(料金テーブル!$E$12*I28/1000,1)+ROUND(料金テーブル!$E$13*I29/1000,1))*$B$47,0)</f>
        <v>74904</v>
      </c>
      <c r="J56">
        <f>ROUND((ROUND(料金テーブル!$E$5*J17*6/1000,1)+ROUND(料金テーブル!$E$6*J22/1000,1)+ROUND(料金テーブル!$E$7*J23/1000,1)+ROUND(料金テーブル!$E$8*J24/1000,1)+ROUND(料金テーブル!$E$9*J25/1000,1)+ROUND(料金テーブル!$E$10*J26/1000,1)+ROUND(料金テーブル!$E$11*J27/1000,1)+ROUND(料金テーブル!$E$12*J28/1000,1)+ROUND(料金テーブル!$E$13*J29/1000,1))*$B$47,0)</f>
        <v>74289</v>
      </c>
      <c r="K56">
        <f>ROUND((ROUND(料金テーブル!$E$5*K17*6/1000,1)+ROUND(料金テーブル!$E$6*K22/1000,1)+ROUND(料金テーブル!$E$7*K23/1000,1)+ROUND(料金テーブル!$E$8*K24/1000,1)+ROUND(料金テーブル!$E$9*K25/1000,1)+ROUND(料金テーブル!$E$10*K26/1000,1)+ROUND(料金テーブル!$E$11*K27/1000,1)+ROUND(料金テーブル!$E$12*K28/1000,1)+ROUND(料金テーブル!$E$13*K29/1000,1))*$B$47,0)</f>
        <v>73655</v>
      </c>
    </row>
    <row r="57" spans="1:11" ht="16.5" customHeight="1">
      <c r="A57" s="8" t="s">
        <v>73</v>
      </c>
      <c r="B57">
        <f>ROUND((ROUND(料金テーブル!$B$5*B17*6/1000,1)+ROUND(料金テーブル!$B$6*B22/1000,1)+ROUND(料金テーブル!$B$7*B23/1000,1)+ROUND(料金テーブル!$B$8*B24/1000,1)+ROUND(料金テーブル!$B$9*B25/1000,1)+ROUND(料金テーブル!$B$10*B26/1000,1)+ROUND(料金テーブル!$B$11*B27/1000,1)+ROUND(料金テーブル!$B$12*B28/1000,1)+ROUND(料金テーブル!$B$13*B29/1000,1))*$B$47,0)</f>
        <v>57896</v>
      </c>
      <c r="C57">
        <f>ROUND((ROUND('段階単価(3か年)'!$B$30*C17*6/1000,1)+ROUND('段階単価(3か年)'!$B$31*C22/1000,1)+ROUND('段階単価(3か年)'!$B$32*C23/1000,1)+ROUND('段階単価(3か年)'!$B$33*C24/1000,1)+ROUND('段階単価(3か年)'!$B$34*C25/1000,1)+ROUND('段階単価(3か年)'!$B$35*C26/1000,1)+ROUND('段階単価(3か年)'!$B$36*C27/1000,1)+ROUND('段階単価(3か年)'!$B$37*C28/1000,1)+ROUND('段階単価(3か年)'!$B$38*C29/1000,1))*$B$47,0)</f>
        <v>63324</v>
      </c>
      <c r="D57">
        <f>ROUND((ROUND('段階単価(3か年)'!$C$30*D17*6/1000,1)+ROUND('段階単価(3か年)'!$C$31*D22/1000,1)+ROUND('段階単価(3か年)'!$C$32*D23/1000,1)+ROUND('段階単価(3か年)'!$C$33*D24/1000,1)+ROUND('段階単価(3か年)'!$C$34*D25/1000,1)+ROUND('段階単価(3か年)'!$C$35*D26/1000,1)+ROUND('段階単価(3か年)'!$C$36*D27/1000,1)+ROUND('段階単価(3か年)'!$C$37*D28/1000,1)+ROUND('段階単価(3か年)'!$C$38*D29/1000,1))*$B$47,0)</f>
        <v>68670</v>
      </c>
      <c r="E57">
        <f>ROUND((ROUND(料金テーブル!$E$5*E17*6/1000,1)+ROUND(料金テーブル!$E$6*E22/1000,1)+ROUND(料金テーブル!$E$7*E23/1000,1)+ROUND(料金テーブル!$E$8*E24/1000,1)+ROUND(料金テーブル!$E$9*E25/1000,1)+ROUND(料金テーブル!$E$10*E26/1000,1)+ROUND(料金テーブル!$E$11*E27/1000,1)+ROUND(料金テーブル!$E$12*E28/1000,1)+ROUND(料金テーブル!$E$13*E29/1000,1))*$B$47,0)</f>
        <v>77259</v>
      </c>
      <c r="F57">
        <f>ROUND((ROUND(料金テーブル!$E$5*F17*6/1000,1)+ROUND(料金テーブル!$E$6*F22/1000,1)+ROUND(料金テーブル!$E$7*F23/1000,1)+ROUND(料金テーブル!$E$8*F24/1000,1)+ROUND(料金テーブル!$E$9*F25/1000,1)+ROUND(料金テーブル!$E$10*F26/1000,1)+ROUND(料金テーブル!$E$11*F27/1000,1)+ROUND(料金テーブル!$E$12*F28/1000,1)+ROUND(料金テーブル!$E$13*F29/1000,1))*$B$47,0)</f>
        <v>76702</v>
      </c>
      <c r="G57">
        <f>ROUND((ROUND(料金テーブル!$E$5*G17*6/1000,1)+ROUND(料金テーブル!$E$6*G22/1000,1)+ROUND(料金テーブル!$E$7*G23/1000,1)+ROUND(料金テーブル!$E$8*G24/1000,1)+ROUND(料金テーブル!$E$9*G25/1000,1)+ROUND(料金テーブル!$E$10*G26/1000,1)+ROUND(料金テーブル!$E$11*G27/1000,1)+ROUND(料金テーブル!$E$12*G28/1000,1)+ROUND(料金テーブル!$E$13*G29/1000,1))*$B$47,0)</f>
        <v>76155</v>
      </c>
      <c r="H57">
        <f>ROUND((ROUND(料金テーブル!$E$5*H17*6/1000,1)+ROUND(料金テーブル!$E$6*H22/1000,1)+ROUND(料金テーブル!$E$7*H23/1000,1)+ROUND(料金テーブル!$E$8*H24/1000,1)+ROUND(料金テーブル!$E$9*H25/1000,1)+ROUND(料金テーブル!$E$10*H26/1000,1)+ROUND(料金テーブル!$E$11*H27/1000,1)+ROUND(料金テーブル!$E$12*H28/1000,1)+ROUND(料金テーブル!$E$13*H29/1000,1))*$B$47,0)</f>
        <v>75530</v>
      </c>
      <c r="I57">
        <f>ROUND((ROUND(料金テーブル!$E$5*I17*6/1000,1)+ROUND(料金テーブル!$E$6*I22/1000,1)+ROUND(料金テーブル!$E$7*I23/1000,1)+ROUND(料金テーブル!$E$8*I24/1000,1)+ROUND(料金テーブル!$E$9*I25/1000,1)+ROUND(料金テーブル!$E$10*I26/1000,1)+ROUND(料金テーブル!$E$11*I27/1000,1)+ROUND(料金テーブル!$E$12*I28/1000,1)+ROUND(料金テーブル!$E$13*I29/1000,1))*$B$47,0)</f>
        <v>74904</v>
      </c>
      <c r="J57">
        <f>ROUND((ROUND(料金テーブル!$E$5*J17*6/1000,1)+ROUND(料金テーブル!$E$6*J22/1000,1)+ROUND(料金テーブル!$E$7*J23/1000,1)+ROUND(料金テーブル!$E$8*J24/1000,1)+ROUND(料金テーブル!$E$9*J25/1000,1)+ROUND(料金テーブル!$E$10*J26/1000,1)+ROUND(料金テーブル!$E$11*J27/1000,1)+ROUND(料金テーブル!$E$12*J28/1000,1)+ROUND(料金テーブル!$E$13*J29/1000,1))*$B$47,0)</f>
        <v>74289</v>
      </c>
      <c r="K57">
        <f>ROUND((ROUND(料金テーブル!$E$5*K17*6/1000,1)+ROUND(料金テーブル!$E$6*K22/1000,1)+ROUND(料金テーブル!$E$7*K23/1000,1)+ROUND(料金テーブル!$E$8*K24/1000,1)+ROUND(料金テーブル!$E$9*K25/1000,1)+ROUND(料金テーブル!$E$10*K26/1000,1)+ROUND(料金テーブル!$E$11*K27/1000,1)+ROUND(料金テーブル!$E$12*K28/1000,1)+ROUND(料金テーブル!$E$13*K29/1000,1))*$B$47,0)</f>
        <v>73655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35"/>
  <sheetViews>
    <sheetView zoomScaleNormal="100" workbookViewId="0">
      <selection activeCell="F22" sqref="F22"/>
    </sheetView>
  </sheetViews>
  <sheetFormatPr defaultColWidth="8.6640625" defaultRowHeight="14.4"/>
  <cols>
    <col min="1" max="1" width="22" customWidth="1"/>
    <col min="2" max="11" width="14" customWidth="1"/>
  </cols>
  <sheetData>
    <row r="1" spans="1:11" ht="15.75" customHeight="1">
      <c r="A1" s="6" t="s">
        <v>74</v>
      </c>
    </row>
    <row r="2" spans="1:11" ht="15" customHeight="1">
      <c r="A2" s="16" t="str">
        <f>設定!C8&amp;"　"&amp;設定!C10&amp;"改定　（"&amp;設定!C6&amp;"推移）　※使用料収入は設定シート連動"</f>
        <v>パターン①（標準型）　3か年改定　（社人研推移）　※使用料収入は設定シート連動</v>
      </c>
    </row>
    <row r="3" spans="1:11" ht="15" customHeight="1">
      <c r="A3" s="30" t="s">
        <v>75</v>
      </c>
      <c r="B3" s="19" t="s">
        <v>12</v>
      </c>
      <c r="C3" s="19" t="s">
        <v>13</v>
      </c>
      <c r="D3" s="19" t="s">
        <v>14</v>
      </c>
      <c r="E3" s="19" t="s">
        <v>15</v>
      </c>
      <c r="F3" s="19" t="s">
        <v>16</v>
      </c>
      <c r="G3" s="19" t="s">
        <v>17</v>
      </c>
      <c r="H3" s="19" t="s">
        <v>18</v>
      </c>
      <c r="I3" s="19" t="s">
        <v>19</v>
      </c>
      <c r="J3" s="19" t="s">
        <v>20</v>
      </c>
      <c r="K3" s="19" t="s">
        <v>21</v>
      </c>
    </row>
    <row r="4" spans="1:11" ht="14.25" customHeight="1">
      <c r="A4" s="30" t="s">
        <v>76</v>
      </c>
      <c r="B4" s="15">
        <v>2025</v>
      </c>
      <c r="C4" s="15">
        <v>2026</v>
      </c>
      <c r="D4" s="15">
        <v>2027</v>
      </c>
      <c r="E4" s="15">
        <v>2028</v>
      </c>
      <c r="F4" s="15">
        <v>2029</v>
      </c>
      <c r="G4" s="15">
        <v>2030</v>
      </c>
      <c r="H4" s="15">
        <v>2031</v>
      </c>
      <c r="I4" s="15">
        <v>2032</v>
      </c>
      <c r="J4" s="15">
        <v>2033</v>
      </c>
      <c r="K4" s="15">
        <v>2034</v>
      </c>
    </row>
    <row r="5" spans="1:11" ht="14.25" customHeight="1">
      <c r="A5" s="19" t="s">
        <v>77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5" customHeight="1">
      <c r="A6" s="19" t="s">
        <v>78</v>
      </c>
      <c r="B6" s="20">
        <f t="shared" ref="B6:K6" si="0">B7+B8+B9</f>
        <v>58054</v>
      </c>
      <c r="C6" s="20">
        <f t="shared" si="0"/>
        <v>63571</v>
      </c>
      <c r="D6" s="20">
        <f t="shared" si="0"/>
        <v>69022</v>
      </c>
      <c r="E6" s="20">
        <f t="shared" si="0"/>
        <v>75743</v>
      </c>
      <c r="F6" s="20">
        <f t="shared" si="0"/>
        <v>75220</v>
      </c>
      <c r="G6" s="20">
        <f t="shared" si="0"/>
        <v>74693</v>
      </c>
      <c r="H6" s="20">
        <f t="shared" si="0"/>
        <v>74069</v>
      </c>
      <c r="I6" s="20">
        <f t="shared" si="0"/>
        <v>73463</v>
      </c>
      <c r="J6" s="20">
        <f t="shared" si="0"/>
        <v>72862</v>
      </c>
      <c r="K6" s="20">
        <f t="shared" si="0"/>
        <v>72240</v>
      </c>
    </row>
    <row r="7" spans="1:11" ht="15" customHeight="1">
      <c r="A7" s="31" t="s">
        <v>79</v>
      </c>
      <c r="B7" s="20">
        <f>使用料算定!B49</f>
        <v>57895</v>
      </c>
      <c r="C7" s="20">
        <f>使用料算定!C49</f>
        <v>63359</v>
      </c>
      <c r="D7" s="20">
        <f>使用料算定!D49</f>
        <v>68739</v>
      </c>
      <c r="E7" s="20">
        <f>使用料算定!E49</f>
        <v>75525</v>
      </c>
      <c r="F7" s="20">
        <f>使用料算定!F49</f>
        <v>74982</v>
      </c>
      <c r="G7" s="20">
        <f>使用料算定!G49</f>
        <v>74447</v>
      </c>
      <c r="H7" s="20">
        <f>使用料算定!H49</f>
        <v>73835</v>
      </c>
      <c r="I7" s="20">
        <f>使用料算定!I49</f>
        <v>73224</v>
      </c>
      <c r="J7" s="20">
        <f>使用料算定!J49</f>
        <v>72622</v>
      </c>
      <c r="K7" s="20">
        <f>使用料算定!K49</f>
        <v>72002</v>
      </c>
    </row>
    <row r="8" spans="1:11" ht="15" customHeight="1">
      <c r="A8" s="13" t="s">
        <v>80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</row>
    <row r="9" spans="1:11" ht="15" customHeight="1">
      <c r="A9" s="13" t="s">
        <v>81</v>
      </c>
      <c r="B9" s="20">
        <v>159</v>
      </c>
      <c r="C9" s="20">
        <v>212</v>
      </c>
      <c r="D9" s="20">
        <v>283</v>
      </c>
      <c r="E9" s="20">
        <v>218</v>
      </c>
      <c r="F9" s="20">
        <v>238</v>
      </c>
      <c r="G9" s="20">
        <v>246</v>
      </c>
      <c r="H9" s="20">
        <v>234</v>
      </c>
      <c r="I9" s="20">
        <v>239</v>
      </c>
      <c r="J9" s="20">
        <v>240</v>
      </c>
      <c r="K9" s="20">
        <v>238</v>
      </c>
    </row>
    <row r="10" spans="1:11" ht="14.25" customHeight="1">
      <c r="A10" s="19" t="s">
        <v>82</v>
      </c>
      <c r="B10" s="20">
        <f t="shared" ref="B10:K10" si="1">B11+B12+B13</f>
        <v>478588</v>
      </c>
      <c r="C10" s="20">
        <f t="shared" si="1"/>
        <v>479130</v>
      </c>
      <c r="D10" s="20">
        <f t="shared" si="1"/>
        <v>390774</v>
      </c>
      <c r="E10" s="20">
        <f t="shared" si="1"/>
        <v>323775</v>
      </c>
      <c r="F10" s="20">
        <f t="shared" si="1"/>
        <v>310672</v>
      </c>
      <c r="G10" s="20">
        <f t="shared" si="1"/>
        <v>310608</v>
      </c>
      <c r="H10" s="20">
        <f t="shared" si="1"/>
        <v>311431</v>
      </c>
      <c r="I10" s="20">
        <f t="shared" si="1"/>
        <v>312227</v>
      </c>
      <c r="J10" s="20">
        <f t="shared" si="1"/>
        <v>312287</v>
      </c>
      <c r="K10" s="20">
        <f t="shared" si="1"/>
        <v>312117</v>
      </c>
    </row>
    <row r="11" spans="1:11" ht="15" customHeight="1">
      <c r="A11" s="13" t="s">
        <v>83</v>
      </c>
      <c r="B11" s="20">
        <v>151133</v>
      </c>
      <c r="C11" s="20">
        <v>151437</v>
      </c>
      <c r="D11" s="20">
        <v>169454</v>
      </c>
      <c r="E11" s="20">
        <v>183394</v>
      </c>
      <c r="F11" s="20">
        <v>186588</v>
      </c>
      <c r="G11" s="20">
        <v>186657</v>
      </c>
      <c r="H11" s="20">
        <v>186749</v>
      </c>
      <c r="I11" s="20">
        <v>186849</v>
      </c>
      <c r="J11" s="20">
        <v>187381</v>
      </c>
      <c r="K11" s="20">
        <v>188114</v>
      </c>
    </row>
    <row r="12" spans="1:11" ht="15" customHeight="1">
      <c r="A12" s="13" t="s">
        <v>84</v>
      </c>
      <c r="B12" s="20">
        <v>309898</v>
      </c>
      <c r="C12" s="20">
        <v>311906</v>
      </c>
      <c r="D12" s="20">
        <v>208677</v>
      </c>
      <c r="E12" s="20">
        <v>125052</v>
      </c>
      <c r="F12" s="20">
        <v>109497</v>
      </c>
      <c r="G12" s="20">
        <v>109765</v>
      </c>
      <c r="H12" s="20">
        <v>109981</v>
      </c>
      <c r="I12" s="20">
        <v>110887</v>
      </c>
      <c r="J12" s="20">
        <v>110446</v>
      </c>
      <c r="K12" s="20">
        <v>109452</v>
      </c>
    </row>
    <row r="13" spans="1:11" ht="15" customHeight="1">
      <c r="A13" s="13" t="s">
        <v>81</v>
      </c>
      <c r="B13" s="20">
        <v>17557</v>
      </c>
      <c r="C13" s="20">
        <v>15787</v>
      </c>
      <c r="D13" s="20">
        <v>12643</v>
      </c>
      <c r="E13" s="20">
        <v>15329</v>
      </c>
      <c r="F13" s="20">
        <v>14587</v>
      </c>
      <c r="G13" s="20">
        <v>14186</v>
      </c>
      <c r="H13" s="20">
        <v>14701</v>
      </c>
      <c r="I13" s="20">
        <v>14491</v>
      </c>
      <c r="J13" s="20">
        <v>14460</v>
      </c>
      <c r="K13" s="20">
        <v>14551</v>
      </c>
    </row>
    <row r="14" spans="1:11" ht="15" customHeight="1">
      <c r="A14" s="19" t="s">
        <v>85</v>
      </c>
      <c r="B14" s="20">
        <f t="shared" ref="B14:K14" si="2">B6+B10</f>
        <v>536642</v>
      </c>
      <c r="C14" s="20">
        <f t="shared" si="2"/>
        <v>542701</v>
      </c>
      <c r="D14" s="20">
        <f t="shared" si="2"/>
        <v>459796</v>
      </c>
      <c r="E14" s="20">
        <f t="shared" si="2"/>
        <v>399518</v>
      </c>
      <c r="F14" s="20">
        <f t="shared" si="2"/>
        <v>385892</v>
      </c>
      <c r="G14" s="20">
        <f t="shared" si="2"/>
        <v>385301</v>
      </c>
      <c r="H14" s="20">
        <f t="shared" si="2"/>
        <v>385500</v>
      </c>
      <c r="I14" s="20">
        <f t="shared" si="2"/>
        <v>385690</v>
      </c>
      <c r="J14" s="20">
        <f t="shared" si="2"/>
        <v>385149</v>
      </c>
      <c r="K14" s="20">
        <f t="shared" si="2"/>
        <v>384357</v>
      </c>
    </row>
    <row r="15" spans="1:11" ht="14.2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ht="14.25" customHeight="1">
      <c r="A16" s="19" t="s">
        <v>86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 ht="14.25" customHeight="1">
      <c r="A17" s="19" t="s">
        <v>87</v>
      </c>
      <c r="B17" s="20">
        <f t="shared" ref="B17:K17" si="3">B18+B19+B24</f>
        <v>520872</v>
      </c>
      <c r="C17" s="20">
        <f t="shared" si="3"/>
        <v>530785</v>
      </c>
      <c r="D17" s="20">
        <f t="shared" si="3"/>
        <v>445840</v>
      </c>
      <c r="E17" s="20">
        <f t="shared" si="3"/>
        <v>373726</v>
      </c>
      <c r="F17" s="20">
        <f t="shared" si="3"/>
        <v>363986</v>
      </c>
      <c r="G17" s="20">
        <f t="shared" si="3"/>
        <v>365356</v>
      </c>
      <c r="H17" s="20">
        <f t="shared" si="3"/>
        <v>365923</v>
      </c>
      <c r="I17" s="20">
        <f t="shared" si="3"/>
        <v>368372</v>
      </c>
      <c r="J17" s="20">
        <f t="shared" si="3"/>
        <v>368434</v>
      </c>
      <c r="K17" s="20">
        <f t="shared" si="3"/>
        <v>367149</v>
      </c>
    </row>
    <row r="18" spans="1:11" ht="15" customHeight="1">
      <c r="A18" s="13" t="s">
        <v>88</v>
      </c>
      <c r="B18" s="20">
        <v>5936</v>
      </c>
      <c r="C18" s="20">
        <v>5788</v>
      </c>
      <c r="D18" s="20">
        <v>5793</v>
      </c>
      <c r="E18" s="20">
        <v>5839</v>
      </c>
      <c r="F18" s="20">
        <v>5806</v>
      </c>
      <c r="G18" s="20">
        <v>5813</v>
      </c>
      <c r="H18" s="20">
        <v>5819</v>
      </c>
      <c r="I18" s="20">
        <v>5813</v>
      </c>
      <c r="J18" s="20">
        <v>5815</v>
      </c>
      <c r="K18" s="20">
        <v>5816</v>
      </c>
    </row>
    <row r="19" spans="1:11" ht="15" customHeight="1">
      <c r="A19" s="13" t="s">
        <v>89</v>
      </c>
      <c r="B19" s="20">
        <v>162395</v>
      </c>
      <c r="C19" s="20">
        <v>167240</v>
      </c>
      <c r="D19" s="20">
        <v>171181</v>
      </c>
      <c r="E19" s="20">
        <v>168553</v>
      </c>
      <c r="F19" s="20">
        <v>170733</v>
      </c>
      <c r="G19" s="20">
        <v>171855</v>
      </c>
      <c r="H19" s="20">
        <v>172110</v>
      </c>
      <c r="I19" s="20">
        <v>173294</v>
      </c>
      <c r="J19" s="20">
        <v>174163</v>
      </c>
      <c r="K19" s="20">
        <v>174936</v>
      </c>
    </row>
    <row r="20" spans="1:11" ht="14.25" customHeight="1">
      <c r="A20" s="8" t="s">
        <v>90</v>
      </c>
      <c r="B20" s="9">
        <v>4975</v>
      </c>
      <c r="C20" s="9">
        <v>4724</v>
      </c>
      <c r="D20" s="9">
        <v>4898</v>
      </c>
      <c r="E20" s="9">
        <v>4859</v>
      </c>
      <c r="F20" s="9">
        <v>4927</v>
      </c>
      <c r="G20" s="9">
        <v>4942</v>
      </c>
      <c r="H20" s="9">
        <v>4984</v>
      </c>
      <c r="I20" s="9">
        <v>5013</v>
      </c>
      <c r="J20" s="9">
        <v>5048</v>
      </c>
      <c r="K20" s="9">
        <v>5081</v>
      </c>
    </row>
    <row r="21" spans="1:11" ht="14.25" customHeight="1">
      <c r="A21" s="8" t="s">
        <v>91</v>
      </c>
      <c r="B21" s="9">
        <v>912</v>
      </c>
      <c r="C21" s="9">
        <v>983</v>
      </c>
      <c r="D21" s="9">
        <v>1223</v>
      </c>
      <c r="E21" s="9">
        <v>1050</v>
      </c>
      <c r="F21" s="9">
        <v>1096</v>
      </c>
      <c r="G21" s="9">
        <v>1134</v>
      </c>
      <c r="H21" s="9">
        <v>1104</v>
      </c>
      <c r="I21" s="9">
        <v>1122</v>
      </c>
      <c r="J21" s="9">
        <v>1131</v>
      </c>
      <c r="K21" s="9">
        <v>1131</v>
      </c>
    </row>
    <row r="22" spans="1:11" ht="14.25" customHeight="1">
      <c r="A22" s="8" t="s">
        <v>92</v>
      </c>
      <c r="B22" s="9">
        <v>1228</v>
      </c>
      <c r="C22" s="9">
        <v>1197</v>
      </c>
      <c r="D22" s="9">
        <v>1206</v>
      </c>
      <c r="E22" s="9">
        <v>1222</v>
      </c>
      <c r="F22" s="9">
        <v>1220</v>
      </c>
      <c r="G22" s="9">
        <v>1228</v>
      </c>
      <c r="H22" s="9">
        <v>1236</v>
      </c>
      <c r="I22" s="9">
        <v>1240</v>
      </c>
      <c r="J22" s="9">
        <v>1247</v>
      </c>
      <c r="K22" s="9">
        <v>1253</v>
      </c>
    </row>
    <row r="23" spans="1:11" ht="14.25" customHeight="1">
      <c r="A23" s="8" t="s">
        <v>93</v>
      </c>
      <c r="B23" s="9">
        <v>155280</v>
      </c>
      <c r="C23" s="9">
        <v>160337</v>
      </c>
      <c r="D23" s="9">
        <v>163854</v>
      </c>
      <c r="E23" s="9">
        <v>161422</v>
      </c>
      <c r="F23" s="9">
        <v>163490</v>
      </c>
      <c r="G23" s="9">
        <v>164551</v>
      </c>
      <c r="H23" s="9">
        <v>164786</v>
      </c>
      <c r="I23" s="9">
        <v>165918</v>
      </c>
      <c r="J23" s="9">
        <v>166736</v>
      </c>
      <c r="K23" s="9">
        <v>167472</v>
      </c>
    </row>
    <row r="24" spans="1:11" ht="15" customHeight="1">
      <c r="A24" s="13" t="s">
        <v>94</v>
      </c>
      <c r="B24" s="20">
        <v>352541</v>
      </c>
      <c r="C24" s="20">
        <v>357757</v>
      </c>
      <c r="D24" s="20">
        <v>268866</v>
      </c>
      <c r="E24" s="20">
        <v>199334</v>
      </c>
      <c r="F24" s="20">
        <v>187447</v>
      </c>
      <c r="G24" s="20">
        <v>187688</v>
      </c>
      <c r="H24" s="20">
        <v>187994</v>
      </c>
      <c r="I24" s="20">
        <v>189265</v>
      </c>
      <c r="J24" s="20">
        <v>188456</v>
      </c>
      <c r="K24" s="20">
        <v>186397</v>
      </c>
    </row>
    <row r="25" spans="1:11" ht="14.25" customHeight="1">
      <c r="A25" s="19" t="s">
        <v>95</v>
      </c>
      <c r="B25" s="20">
        <f t="shared" ref="B25:K25" si="4">B26+B27</f>
        <v>24189</v>
      </c>
      <c r="C25" s="20">
        <f t="shared" si="4"/>
        <v>28352</v>
      </c>
      <c r="D25" s="20">
        <f t="shared" si="4"/>
        <v>21428</v>
      </c>
      <c r="E25" s="20">
        <f t="shared" si="4"/>
        <v>21542</v>
      </c>
      <c r="F25" s="20">
        <f t="shared" si="4"/>
        <v>20337</v>
      </c>
      <c r="G25" s="20">
        <f t="shared" si="4"/>
        <v>19272</v>
      </c>
      <c r="H25" s="20">
        <f t="shared" si="4"/>
        <v>18037</v>
      </c>
      <c r="I25" s="20">
        <f t="shared" si="4"/>
        <v>17018</v>
      </c>
      <c r="J25" s="20">
        <f t="shared" si="4"/>
        <v>16145</v>
      </c>
      <c r="K25" s="20">
        <f t="shared" si="4"/>
        <v>15309</v>
      </c>
    </row>
    <row r="26" spans="1:11" ht="15" customHeight="1">
      <c r="A26" s="13" t="s">
        <v>96</v>
      </c>
      <c r="B26" s="20">
        <v>22189</v>
      </c>
      <c r="C26" s="20">
        <v>26352</v>
      </c>
      <c r="D26" s="20">
        <v>19428</v>
      </c>
      <c r="E26" s="20">
        <v>19542</v>
      </c>
      <c r="F26" s="20">
        <v>18337</v>
      </c>
      <c r="G26" s="20">
        <v>17272</v>
      </c>
      <c r="H26" s="20">
        <v>16037</v>
      </c>
      <c r="I26" s="20">
        <v>15018</v>
      </c>
      <c r="J26" s="20">
        <v>14145</v>
      </c>
      <c r="K26" s="20">
        <v>13309</v>
      </c>
    </row>
    <row r="27" spans="1:11" ht="15" customHeight="1">
      <c r="A27" s="13" t="s">
        <v>97</v>
      </c>
      <c r="B27" s="20">
        <v>2000</v>
      </c>
      <c r="C27" s="20">
        <v>2000</v>
      </c>
      <c r="D27" s="20">
        <v>2000</v>
      </c>
      <c r="E27" s="20">
        <v>2000</v>
      </c>
      <c r="F27" s="20">
        <v>2000</v>
      </c>
      <c r="G27" s="20">
        <v>2000</v>
      </c>
      <c r="H27" s="20">
        <v>2000</v>
      </c>
      <c r="I27" s="20">
        <v>2000</v>
      </c>
      <c r="J27" s="20">
        <v>2000</v>
      </c>
      <c r="K27" s="20">
        <v>2000</v>
      </c>
    </row>
    <row r="28" spans="1:11" ht="15" customHeight="1">
      <c r="A28" s="19" t="s">
        <v>98</v>
      </c>
      <c r="B28" s="20">
        <f t="shared" ref="B28:K28" si="5">B17+B25</f>
        <v>545061</v>
      </c>
      <c r="C28" s="20">
        <f t="shared" si="5"/>
        <v>559137</v>
      </c>
      <c r="D28" s="20">
        <f t="shared" si="5"/>
        <v>467268</v>
      </c>
      <c r="E28" s="20">
        <f t="shared" si="5"/>
        <v>395268</v>
      </c>
      <c r="F28" s="20">
        <f t="shared" si="5"/>
        <v>384323</v>
      </c>
      <c r="G28" s="20">
        <f t="shared" si="5"/>
        <v>384628</v>
      </c>
      <c r="H28" s="20">
        <f t="shared" si="5"/>
        <v>383960</v>
      </c>
      <c r="I28" s="20">
        <f t="shared" si="5"/>
        <v>385390</v>
      </c>
      <c r="J28" s="20">
        <f t="shared" si="5"/>
        <v>384579</v>
      </c>
      <c r="K28" s="20">
        <f t="shared" si="5"/>
        <v>382458</v>
      </c>
    </row>
    <row r="29" spans="1:11" ht="14.2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 ht="15" customHeight="1">
      <c r="A30" s="19" t="s">
        <v>99</v>
      </c>
      <c r="B30" s="32">
        <f t="shared" ref="B30:K30" si="6">B14-B28</f>
        <v>-8419</v>
      </c>
      <c r="C30" s="32">
        <f t="shared" si="6"/>
        <v>-16436</v>
      </c>
      <c r="D30" s="32">
        <f t="shared" si="6"/>
        <v>-7472</v>
      </c>
      <c r="E30" s="32">
        <f t="shared" si="6"/>
        <v>4250</v>
      </c>
      <c r="F30" s="32">
        <f t="shared" si="6"/>
        <v>1569</v>
      </c>
      <c r="G30" s="32">
        <f t="shared" si="6"/>
        <v>673</v>
      </c>
      <c r="H30" s="32">
        <f t="shared" si="6"/>
        <v>1540</v>
      </c>
      <c r="I30" s="32">
        <f t="shared" si="6"/>
        <v>300</v>
      </c>
      <c r="J30" s="32">
        <f t="shared" si="6"/>
        <v>570</v>
      </c>
      <c r="K30" s="32">
        <f t="shared" si="6"/>
        <v>1899</v>
      </c>
    </row>
    <row r="31" spans="1:11" ht="14.2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11" ht="14.25" customHeight="1">
      <c r="A32" s="19" t="s">
        <v>100</v>
      </c>
      <c r="B32" s="33">
        <f t="shared" ref="B32:K32" si="7">IF(B28=0,"-",B14/B28)</f>
        <v>0.98455402239382384</v>
      </c>
      <c r="C32" s="33">
        <f t="shared" si="7"/>
        <v>0.97060469974263908</v>
      </c>
      <c r="D32" s="33">
        <f t="shared" si="7"/>
        <v>0.98400917674653521</v>
      </c>
      <c r="E32" s="33">
        <f t="shared" si="7"/>
        <v>1.0107521985083538</v>
      </c>
      <c r="F32" s="33">
        <f t="shared" si="7"/>
        <v>1.0040825035191754</v>
      </c>
      <c r="G32" s="33">
        <f t="shared" si="7"/>
        <v>1.0017497426084425</v>
      </c>
      <c r="H32" s="33">
        <f t="shared" si="7"/>
        <v>1.0040108344619232</v>
      </c>
      <c r="I32" s="33">
        <f t="shared" si="7"/>
        <v>1.0007784322374738</v>
      </c>
      <c r="J32" s="33">
        <f t="shared" si="7"/>
        <v>1.0014821402104639</v>
      </c>
      <c r="K32" s="33">
        <f t="shared" si="7"/>
        <v>1.0049652510863938</v>
      </c>
    </row>
    <row r="33" spans="1:11" ht="14.25" customHeight="1">
      <c r="A33" s="13" t="s">
        <v>101</v>
      </c>
      <c r="B33" s="20">
        <f t="shared" ref="B33:K33" si="8">B18+B19</f>
        <v>168331</v>
      </c>
      <c r="C33" s="20">
        <f t="shared" si="8"/>
        <v>173028</v>
      </c>
      <c r="D33" s="20">
        <f t="shared" si="8"/>
        <v>176974</v>
      </c>
      <c r="E33" s="20">
        <f t="shared" si="8"/>
        <v>174392</v>
      </c>
      <c r="F33" s="20">
        <f t="shared" si="8"/>
        <v>176539</v>
      </c>
      <c r="G33" s="20">
        <f t="shared" si="8"/>
        <v>177668</v>
      </c>
      <c r="H33" s="20">
        <f t="shared" si="8"/>
        <v>177929</v>
      </c>
      <c r="I33" s="20">
        <f t="shared" si="8"/>
        <v>179107</v>
      </c>
      <c r="J33" s="20">
        <f t="shared" si="8"/>
        <v>179978</v>
      </c>
      <c r="K33" s="20">
        <f t="shared" si="8"/>
        <v>180752</v>
      </c>
    </row>
    <row r="34" spans="1:11" ht="14.25" customHeight="1">
      <c r="A34" s="19" t="s">
        <v>102</v>
      </c>
      <c r="B34" s="33">
        <f t="shared" ref="B34:K34" si="9">IF(B33=0,"-",B7/B33)</f>
        <v>0.34393546049153156</v>
      </c>
      <c r="C34" s="33">
        <f t="shared" si="9"/>
        <v>0.36617772846013363</v>
      </c>
      <c r="D34" s="33">
        <f t="shared" si="9"/>
        <v>0.38841298721846146</v>
      </c>
      <c r="E34" s="33">
        <f t="shared" si="9"/>
        <v>0.43307605853479519</v>
      </c>
      <c r="F34" s="33">
        <f t="shared" si="9"/>
        <v>0.42473334503990617</v>
      </c>
      <c r="G34" s="33">
        <f t="shared" si="9"/>
        <v>0.41902312177769774</v>
      </c>
      <c r="H34" s="33">
        <f t="shared" si="9"/>
        <v>0.41496889208616922</v>
      </c>
      <c r="I34" s="33">
        <f t="shared" si="9"/>
        <v>0.40882824233558712</v>
      </c>
      <c r="J34" s="33">
        <f t="shared" si="9"/>
        <v>0.40350487281778885</v>
      </c>
      <c r="K34" s="33">
        <f t="shared" si="9"/>
        <v>0.39834690625829866</v>
      </c>
    </row>
    <row r="35" spans="1:11" ht="14.25" customHeight="1">
      <c r="A35" s="13" t="s">
        <v>28</v>
      </c>
      <c r="B35" s="20">
        <f>使用料算定!B18</f>
        <v>452992</v>
      </c>
      <c r="C35" s="20">
        <f>使用料算定!C18</f>
        <v>449791</v>
      </c>
      <c r="D35" s="20">
        <f>使用料算定!D18</f>
        <v>446591</v>
      </c>
      <c r="E35" s="20">
        <f>使用料算定!E18</f>
        <v>443308</v>
      </c>
      <c r="F35" s="20">
        <f>使用料算定!F18</f>
        <v>440108</v>
      </c>
      <c r="G35" s="20">
        <f>使用料算定!G18</f>
        <v>436989</v>
      </c>
      <c r="H35" s="20">
        <f>使用料算定!H18</f>
        <v>433378</v>
      </c>
      <c r="I35" s="20">
        <f>使用料算定!I18</f>
        <v>429767</v>
      </c>
      <c r="J35" s="20">
        <f>使用料算定!J18</f>
        <v>426239</v>
      </c>
      <c r="K35" s="20">
        <f>使用料算定!K18</f>
        <v>422628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K32"/>
  <sheetViews>
    <sheetView zoomScaleNormal="100" workbookViewId="0"/>
  </sheetViews>
  <sheetFormatPr defaultColWidth="8.6640625" defaultRowHeight="14.4"/>
  <cols>
    <col min="1" max="1" width="35" customWidth="1"/>
    <col min="2" max="11" width="13" customWidth="1"/>
  </cols>
  <sheetData>
    <row r="1" spans="1:11" ht="15" customHeight="1">
      <c r="A1" s="6" t="s">
        <v>103</v>
      </c>
    </row>
    <row r="2" spans="1:11" ht="14.25" customHeight="1">
      <c r="A2" t="str">
        <f>"※使用料収入のみパターンにより変動。その他の費用項目は全パターン共通。"&amp;設定!C6&amp;"推移ベース。"</f>
        <v>※使用料収入のみパターンにより変動。その他の費用項目は全パターン共通。社人研推移ベース。</v>
      </c>
    </row>
    <row r="4" spans="1:11" ht="15" customHeight="1">
      <c r="A4" s="34" t="s">
        <v>104</v>
      </c>
      <c r="B4" s="35" t="s">
        <v>12</v>
      </c>
      <c r="C4" s="35" t="s">
        <v>13</v>
      </c>
      <c r="D4" s="35" t="s">
        <v>14</v>
      </c>
      <c r="E4" s="35" t="s">
        <v>15</v>
      </c>
      <c r="F4" s="35" t="s">
        <v>16</v>
      </c>
      <c r="G4" s="35" t="s">
        <v>17</v>
      </c>
      <c r="H4" s="35" t="s">
        <v>18</v>
      </c>
      <c r="I4" s="35" t="s">
        <v>19</v>
      </c>
      <c r="J4" s="35" t="s">
        <v>20</v>
      </c>
      <c r="K4" s="35" t="s">
        <v>21</v>
      </c>
    </row>
    <row r="5" spans="1:11" ht="14.2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4.25" customHeight="1">
      <c r="A6" s="19" t="s">
        <v>105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14.25" customHeight="1">
      <c r="A7" s="13" t="s">
        <v>106</v>
      </c>
      <c r="B7" s="33">
        <f t="shared" ref="B7:B13" si="0">(B26+478747)/545061</f>
        <v>0.98455402239382384</v>
      </c>
      <c r="C7" s="33">
        <f t="shared" ref="C7:C13" si="1">(C26+479342)/559137</f>
        <v>0.96010280128126024</v>
      </c>
      <c r="D7" s="33">
        <f t="shared" ref="D7:D13" si="2">(D26+391057)/467268</f>
        <v>0.95905561690507379</v>
      </c>
      <c r="E7" s="33">
        <f t="shared" ref="E7:E13" si="3">(E26+323993)/395268</f>
        <v>0.96301496706032363</v>
      </c>
      <c r="F7" s="33">
        <f t="shared" ref="F7:F13" si="4">(F26+310910)/384323</f>
        <v>0.95533704722329915</v>
      </c>
      <c r="G7" s="33">
        <f t="shared" ref="G7:G13" si="5">(G26+310854)/384628</f>
        <v>0.95339132876441657</v>
      </c>
      <c r="H7" s="33">
        <f t="shared" ref="H7:H13" si="6">(H26+311665)/383960</f>
        <v>0.95596676737160124</v>
      </c>
      <c r="I7" s="33">
        <f t="shared" ref="I7:I13" si="7">(I26+312466)/385390</f>
        <v>0.95330963439632577</v>
      </c>
      <c r="J7" s="33">
        <f t="shared" ref="J7:J13" si="8">(J26+312527)/384579</f>
        <v>0.95430327709001272</v>
      </c>
      <c r="K7" s="33">
        <f t="shared" ref="K7:K13" si="9">(K26+312355)/382458</f>
        <v>0.957932635740395</v>
      </c>
    </row>
    <row r="8" spans="1:11" ht="15" customHeight="1">
      <c r="A8" s="13" t="s">
        <v>107</v>
      </c>
      <c r="B8" s="33">
        <f t="shared" si="0"/>
        <v>0.98455402239382384</v>
      </c>
      <c r="C8" s="33">
        <f t="shared" si="1"/>
        <v>0.9763617861096654</v>
      </c>
      <c r="D8" s="33">
        <f t="shared" si="2"/>
        <v>1.0001412465651403</v>
      </c>
      <c r="E8" s="33">
        <f t="shared" si="3"/>
        <v>1.0112252952427214</v>
      </c>
      <c r="F8" s="33">
        <f t="shared" si="4"/>
        <v>1.0045638694535586</v>
      </c>
      <c r="G8" s="33">
        <f t="shared" si="5"/>
        <v>1.0022281269174371</v>
      </c>
      <c r="H8" s="33">
        <f t="shared" si="6"/>
        <v>1.0044874466090217</v>
      </c>
      <c r="I8" s="33">
        <f t="shared" si="7"/>
        <v>1.0012480863540829</v>
      </c>
      <c r="J8" s="33">
        <f t="shared" si="8"/>
        <v>1.0019501844874525</v>
      </c>
      <c r="K8" s="33">
        <f t="shared" si="9"/>
        <v>1.0054332763336105</v>
      </c>
    </row>
    <row r="9" spans="1:11" ht="15" customHeight="1">
      <c r="A9" s="13" t="s">
        <v>108</v>
      </c>
      <c r="B9" s="33">
        <f t="shared" si="0"/>
        <v>0.98455402239382384</v>
      </c>
      <c r="C9" s="33">
        <f t="shared" si="1"/>
        <v>0.97054568021790721</v>
      </c>
      <c r="D9" s="33">
        <f t="shared" si="2"/>
        <v>0.9838700702808667</v>
      </c>
      <c r="E9" s="33">
        <f t="shared" si="3"/>
        <v>1.0112252952427214</v>
      </c>
      <c r="F9" s="33">
        <f t="shared" si="4"/>
        <v>1.0045638694535586</v>
      </c>
      <c r="G9" s="33">
        <f t="shared" si="5"/>
        <v>1.0022281269174371</v>
      </c>
      <c r="H9" s="33">
        <f t="shared" si="6"/>
        <v>1.0044874466090217</v>
      </c>
      <c r="I9" s="33">
        <f t="shared" si="7"/>
        <v>1.0012480863540829</v>
      </c>
      <c r="J9" s="33">
        <f t="shared" si="8"/>
        <v>1.0019501844874525</v>
      </c>
      <c r="K9" s="33">
        <f t="shared" si="9"/>
        <v>1.0054332763336105</v>
      </c>
    </row>
    <row r="10" spans="1:11" ht="15" customHeight="1">
      <c r="A10" s="13" t="s">
        <v>109</v>
      </c>
      <c r="B10" s="33">
        <f t="shared" si="0"/>
        <v>0.98455402239382384</v>
      </c>
      <c r="C10" s="33">
        <f t="shared" si="1"/>
        <v>0.98109229044044666</v>
      </c>
      <c r="D10" s="33">
        <f t="shared" si="2"/>
        <v>1.0113853291901007</v>
      </c>
      <c r="E10" s="33">
        <f t="shared" si="3"/>
        <v>1.0244214052237974</v>
      </c>
      <c r="F10" s="33">
        <f t="shared" si="4"/>
        <v>1.0180369116602441</v>
      </c>
      <c r="G10" s="33">
        <f t="shared" si="5"/>
        <v>1.0155968884220599</v>
      </c>
      <c r="H10" s="33">
        <f t="shared" si="6"/>
        <v>1.0177674757787269</v>
      </c>
      <c r="I10" s="33">
        <f t="shared" si="7"/>
        <v>1.0143672643296402</v>
      </c>
      <c r="J10" s="33">
        <f t="shared" si="8"/>
        <v>1.0149878178475684</v>
      </c>
      <c r="K10" s="33">
        <f t="shared" si="9"/>
        <v>1.018433396608255</v>
      </c>
    </row>
    <row r="11" spans="1:11" ht="15" customHeight="1">
      <c r="A11" s="13" t="s">
        <v>110</v>
      </c>
      <c r="B11" s="33">
        <f t="shared" si="0"/>
        <v>0.98455402239382384</v>
      </c>
      <c r="C11" s="33">
        <f t="shared" si="1"/>
        <v>0.97370054208539236</v>
      </c>
      <c r="D11" s="33">
        <f t="shared" si="2"/>
        <v>0.99136469863119236</v>
      </c>
      <c r="E11" s="33">
        <f t="shared" si="3"/>
        <v>1.0244214052237974</v>
      </c>
      <c r="F11" s="33">
        <f t="shared" si="4"/>
        <v>1.0180369116602441</v>
      </c>
      <c r="G11" s="33">
        <f t="shared" si="5"/>
        <v>1.0155968884220599</v>
      </c>
      <c r="H11" s="33">
        <f t="shared" si="6"/>
        <v>1.0177674757787269</v>
      </c>
      <c r="I11" s="33">
        <f t="shared" si="7"/>
        <v>1.0143672643296402</v>
      </c>
      <c r="J11" s="33">
        <f t="shared" si="8"/>
        <v>1.0149878178475684</v>
      </c>
      <c r="K11" s="33">
        <f t="shared" si="9"/>
        <v>1.018433396608255</v>
      </c>
    </row>
    <row r="12" spans="1:11" ht="15" customHeight="1">
      <c r="A12" s="13" t="s">
        <v>111</v>
      </c>
      <c r="B12" s="33">
        <f t="shared" si="0"/>
        <v>0.98455402239382384</v>
      </c>
      <c r="C12" s="33">
        <f t="shared" si="1"/>
        <v>0.97793921704340792</v>
      </c>
      <c r="D12" s="33">
        <f t="shared" si="2"/>
        <v>1.0038885607403032</v>
      </c>
      <c r="E12" s="33">
        <f t="shared" si="3"/>
        <v>1.0156248418794338</v>
      </c>
      <c r="F12" s="33">
        <f t="shared" si="4"/>
        <v>1.0090548835224538</v>
      </c>
      <c r="G12" s="33">
        <f t="shared" si="5"/>
        <v>1.0066843807523114</v>
      </c>
      <c r="H12" s="33">
        <f t="shared" si="6"/>
        <v>1.0089149911449109</v>
      </c>
      <c r="I12" s="33">
        <f t="shared" si="7"/>
        <v>1.0056202807545602</v>
      </c>
      <c r="J12" s="33">
        <f t="shared" si="8"/>
        <v>1.00629779577148</v>
      </c>
      <c r="K12" s="33">
        <f t="shared" si="9"/>
        <v>1.0097657782030969</v>
      </c>
    </row>
    <row r="13" spans="1:11" ht="15" customHeight="1">
      <c r="A13" s="13" t="s">
        <v>112</v>
      </c>
      <c r="B13" s="33">
        <f t="shared" si="0"/>
        <v>0.98455402239382384</v>
      </c>
      <c r="C13" s="33">
        <f t="shared" si="1"/>
        <v>0.97106791358826194</v>
      </c>
      <c r="D13" s="33">
        <f t="shared" si="2"/>
        <v>0.98511132797452428</v>
      </c>
      <c r="E13" s="33">
        <f t="shared" si="3"/>
        <v>1.0156248418794338</v>
      </c>
      <c r="F13" s="33">
        <f t="shared" si="4"/>
        <v>1.0090548835224538</v>
      </c>
      <c r="G13" s="33">
        <f t="shared" si="5"/>
        <v>1.0066843807523114</v>
      </c>
      <c r="H13" s="33">
        <f t="shared" si="6"/>
        <v>1.0089149911449109</v>
      </c>
      <c r="I13" s="33">
        <f t="shared" si="7"/>
        <v>1.0056202807545602</v>
      </c>
      <c r="J13" s="33">
        <f t="shared" si="8"/>
        <v>1.00629779577148</v>
      </c>
      <c r="K13" s="33">
        <f t="shared" si="9"/>
        <v>1.0097657782030969</v>
      </c>
    </row>
    <row r="14" spans="1:11" ht="14.2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1" ht="14.25" customHeight="1">
      <c r="A15" s="19" t="s">
        <v>113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ht="14.25" customHeight="1">
      <c r="A16" s="13" t="s">
        <v>106</v>
      </c>
      <c r="B16" s="33">
        <f t="shared" ref="B16:B22" si="10">B26/168331</f>
        <v>0.34393546049153156</v>
      </c>
      <c r="C16" s="33">
        <f t="shared" ref="C16:C22" si="11">C26/173028</f>
        <v>0.33224102457405735</v>
      </c>
      <c r="D16" s="33">
        <f t="shared" ref="D16:D22" si="12">D26/176974</f>
        <v>0.32252760292472343</v>
      </c>
      <c r="E16" s="33">
        <f t="shared" ref="E16:E22" si="13">E26/174392</f>
        <v>0.32487728794898851</v>
      </c>
      <c r="F16" s="33">
        <f t="shared" ref="F16:F22" si="14">F26/176539</f>
        <v>0.31861515019344167</v>
      </c>
      <c r="G16" s="33">
        <f t="shared" ref="G16:G22" si="15">G26/177668</f>
        <v>0.31433347592138144</v>
      </c>
      <c r="H16" s="33">
        <f t="shared" ref="H16:H22" si="16">H26/177929</f>
        <v>0.31129270664141317</v>
      </c>
      <c r="I16" s="33">
        <f t="shared" ref="I16:I22" si="17">I26/179107</f>
        <v>0.30668818080812027</v>
      </c>
      <c r="J16" s="33">
        <f t="shared" ref="J16:J22" si="18">J26/179978</f>
        <v>0.30269255131182699</v>
      </c>
      <c r="K16" s="33">
        <f t="shared" ref="K16:K22" si="19">K26/180752</f>
        <v>0.29882933522174027</v>
      </c>
    </row>
    <row r="17" spans="1:11" ht="15" customHeight="1">
      <c r="A17" s="13" t="s">
        <v>107</v>
      </c>
      <c r="B17" s="33">
        <f t="shared" si="10"/>
        <v>0.34393546049153156</v>
      </c>
      <c r="C17" s="33">
        <f t="shared" si="11"/>
        <v>0.38478165383637331</v>
      </c>
      <c r="D17" s="33">
        <f t="shared" si="12"/>
        <v>0.43100681456033091</v>
      </c>
      <c r="E17" s="33">
        <f t="shared" si="13"/>
        <v>0.43414835542914815</v>
      </c>
      <c r="F17" s="33">
        <f t="shared" si="14"/>
        <v>0.42578127212683881</v>
      </c>
      <c r="G17" s="33">
        <f t="shared" si="15"/>
        <v>0.42005876128509356</v>
      </c>
      <c r="H17" s="33">
        <f t="shared" si="16"/>
        <v>0.41599739221824433</v>
      </c>
      <c r="I17" s="33">
        <f t="shared" si="17"/>
        <v>0.40983881143673895</v>
      </c>
      <c r="J17" s="33">
        <f t="shared" si="18"/>
        <v>0.40450499505495113</v>
      </c>
      <c r="K17" s="33">
        <f t="shared" si="19"/>
        <v>0.39933721341949191</v>
      </c>
    </row>
    <row r="18" spans="1:11" ht="15" customHeight="1">
      <c r="A18" s="13" t="s">
        <v>108</v>
      </c>
      <c r="B18" s="33">
        <f t="shared" si="10"/>
        <v>0.34393546049153156</v>
      </c>
      <c r="C18" s="33">
        <f t="shared" si="11"/>
        <v>0.36598700788311717</v>
      </c>
      <c r="D18" s="33">
        <f t="shared" si="12"/>
        <v>0.38804570162848778</v>
      </c>
      <c r="E18" s="33">
        <f t="shared" si="13"/>
        <v>0.43414835542914815</v>
      </c>
      <c r="F18" s="33">
        <f t="shared" si="14"/>
        <v>0.42578127212683881</v>
      </c>
      <c r="G18" s="33">
        <f t="shared" si="15"/>
        <v>0.42005876128509356</v>
      </c>
      <c r="H18" s="33">
        <f t="shared" si="16"/>
        <v>0.41599739221824433</v>
      </c>
      <c r="I18" s="33">
        <f t="shared" si="17"/>
        <v>0.40983881143673895</v>
      </c>
      <c r="J18" s="33">
        <f t="shared" si="18"/>
        <v>0.40450499505495113</v>
      </c>
      <c r="K18" s="33">
        <f t="shared" si="19"/>
        <v>0.39933721341949191</v>
      </c>
    </row>
    <row r="19" spans="1:11" ht="15" customHeight="1">
      <c r="A19" s="13" t="s">
        <v>109</v>
      </c>
      <c r="B19" s="33">
        <f t="shared" si="10"/>
        <v>0.34393546049153156</v>
      </c>
      <c r="C19" s="33">
        <f t="shared" si="11"/>
        <v>0.40006819705481195</v>
      </c>
      <c r="D19" s="33">
        <f t="shared" si="12"/>
        <v>0.46069479132527941</v>
      </c>
      <c r="E19" s="33">
        <f t="shared" si="13"/>
        <v>0.46405798431120693</v>
      </c>
      <c r="F19" s="33">
        <f t="shared" si="14"/>
        <v>0.45511190161947218</v>
      </c>
      <c r="G19" s="33">
        <f t="shared" si="15"/>
        <v>0.44900038273633969</v>
      </c>
      <c r="H19" s="33">
        <f t="shared" si="16"/>
        <v>0.44465489043382472</v>
      </c>
      <c r="I19" s="33">
        <f t="shared" si="17"/>
        <v>0.43806774721256009</v>
      </c>
      <c r="J19" s="33">
        <f t="shared" si="18"/>
        <v>0.43236395559457269</v>
      </c>
      <c r="K19" s="33">
        <f t="shared" si="19"/>
        <v>0.42684451624325043</v>
      </c>
    </row>
    <row r="20" spans="1:11" ht="15" customHeight="1">
      <c r="A20" s="13" t="s">
        <v>110</v>
      </c>
      <c r="B20" s="33">
        <f t="shared" si="10"/>
        <v>0.34393546049153156</v>
      </c>
      <c r="C20" s="33">
        <f t="shared" si="11"/>
        <v>0.37618188963635946</v>
      </c>
      <c r="D20" s="33">
        <f t="shared" si="12"/>
        <v>0.40783391910676142</v>
      </c>
      <c r="E20" s="33">
        <f t="shared" si="13"/>
        <v>0.46405798431120693</v>
      </c>
      <c r="F20" s="33">
        <f t="shared" si="14"/>
        <v>0.45511190161947218</v>
      </c>
      <c r="G20" s="33">
        <f t="shared" si="15"/>
        <v>0.44900038273633969</v>
      </c>
      <c r="H20" s="33">
        <f t="shared" si="16"/>
        <v>0.44465489043382472</v>
      </c>
      <c r="I20" s="33">
        <f t="shared" si="17"/>
        <v>0.43806774721256009</v>
      </c>
      <c r="J20" s="33">
        <f t="shared" si="18"/>
        <v>0.43236395559457269</v>
      </c>
      <c r="K20" s="33">
        <f t="shared" si="19"/>
        <v>0.42684451624325043</v>
      </c>
    </row>
    <row r="21" spans="1:11" ht="15" customHeight="1">
      <c r="A21" s="13" t="s">
        <v>111</v>
      </c>
      <c r="B21" s="33">
        <f t="shared" si="10"/>
        <v>0.34393546049153156</v>
      </c>
      <c r="C21" s="33">
        <f t="shared" si="11"/>
        <v>0.38987909471299442</v>
      </c>
      <c r="D21" s="33">
        <f t="shared" si="12"/>
        <v>0.44090092329946773</v>
      </c>
      <c r="E21" s="33">
        <f t="shared" si="13"/>
        <v>0.44412014312583148</v>
      </c>
      <c r="F21" s="33">
        <f t="shared" si="14"/>
        <v>0.4355581486243833</v>
      </c>
      <c r="G21" s="33">
        <f t="shared" si="15"/>
        <v>0.4297059684355089</v>
      </c>
      <c r="H21" s="33">
        <f t="shared" si="16"/>
        <v>0.42555176502987146</v>
      </c>
      <c r="I21" s="33">
        <f t="shared" si="17"/>
        <v>0.41924659561044514</v>
      </c>
      <c r="J21" s="33">
        <f t="shared" si="18"/>
        <v>0.41379501939125896</v>
      </c>
      <c r="K21" s="33">
        <f t="shared" si="19"/>
        <v>0.40850447021333097</v>
      </c>
    </row>
    <row r="22" spans="1:11" ht="15" customHeight="1">
      <c r="A22" s="13" t="s">
        <v>112</v>
      </c>
      <c r="B22" s="33">
        <f t="shared" si="10"/>
        <v>0.34393546049153156</v>
      </c>
      <c r="C22" s="33">
        <f t="shared" si="11"/>
        <v>0.36767459601914143</v>
      </c>
      <c r="D22" s="33">
        <f t="shared" si="12"/>
        <v>0.39132301920056051</v>
      </c>
      <c r="E22" s="33">
        <f t="shared" si="13"/>
        <v>0.44412014312583148</v>
      </c>
      <c r="F22" s="33">
        <f t="shared" si="14"/>
        <v>0.4355581486243833</v>
      </c>
      <c r="G22" s="33">
        <f t="shared" si="15"/>
        <v>0.4297059684355089</v>
      </c>
      <c r="H22" s="33">
        <f t="shared" si="16"/>
        <v>0.42555176502987146</v>
      </c>
      <c r="I22" s="33">
        <f t="shared" si="17"/>
        <v>0.41924659561044514</v>
      </c>
      <c r="J22" s="33">
        <f t="shared" si="18"/>
        <v>0.41379501939125896</v>
      </c>
      <c r="K22" s="33">
        <f t="shared" si="19"/>
        <v>0.40850447021333097</v>
      </c>
    </row>
    <row r="24" spans="1:11" ht="14.25" customHeight="1">
      <c r="A24" s="10" t="s">
        <v>114</v>
      </c>
    </row>
    <row r="25" spans="1:11" ht="15" customHeight="1">
      <c r="A25" s="10" t="s">
        <v>10</v>
      </c>
      <c r="B25" s="10" t="s">
        <v>12</v>
      </c>
      <c r="C25" s="10" t="s">
        <v>13</v>
      </c>
      <c r="D25" s="10" t="s">
        <v>14</v>
      </c>
      <c r="E25" s="10" t="s">
        <v>15</v>
      </c>
      <c r="F25" s="10" t="s">
        <v>16</v>
      </c>
      <c r="G25" s="10" t="s">
        <v>17</v>
      </c>
      <c r="H25" s="10" t="s">
        <v>18</v>
      </c>
      <c r="I25" s="10" t="s">
        <v>19</v>
      </c>
      <c r="J25" s="10" t="s">
        <v>20</v>
      </c>
      <c r="K25" s="10" t="s">
        <v>21</v>
      </c>
    </row>
    <row r="26" spans="1:11" ht="14.25" customHeight="1">
      <c r="A26" s="36" t="s">
        <v>115</v>
      </c>
      <c r="B26" s="9">
        <f>IF(設定!$C$6="人口ビジョン",使用料マスタ!D18,使用料マスタ!D19)</f>
        <v>57895</v>
      </c>
      <c r="C26" s="9">
        <f>IF(設定!$C$6="人口ビジョン",使用料マスタ!E18,使用料マスタ!E19)</f>
        <v>57487</v>
      </c>
      <c r="D26" s="9">
        <f>IF(設定!$C$6="人口ビジョン",使用料マスタ!F18,使用料マスタ!F19)</f>
        <v>57079</v>
      </c>
      <c r="E26" s="9">
        <f>IF(設定!$C$6="人口ビジョン",使用料マスタ!G18,使用料マスタ!G19)</f>
        <v>56656</v>
      </c>
      <c r="F26" s="9">
        <f>IF(設定!$C$6="人口ビジョン",使用料マスタ!H18,使用料マスタ!H19)</f>
        <v>56248</v>
      </c>
      <c r="G26" s="9">
        <f>IF(設定!$C$6="人口ビジョン",使用料マスタ!I18,使用料マスタ!I19)</f>
        <v>55847</v>
      </c>
      <c r="H26" s="9">
        <f>IF(設定!$C$6="人口ビジョン",使用料マスタ!J18,使用料マスタ!J19)</f>
        <v>55388</v>
      </c>
      <c r="I26" s="9">
        <f>IF(設定!$C$6="人口ビジョン",使用料マスタ!K18,使用料マスタ!K19)</f>
        <v>54930</v>
      </c>
      <c r="J26" s="9">
        <f>IF(設定!$C$6="人口ビジョン",使用料マスタ!L18,使用料マスタ!L19)</f>
        <v>54478</v>
      </c>
      <c r="K26" s="9">
        <f>IF(設定!$C$6="人口ビジョン",使用料マスタ!M18,使用料マスタ!M19)</f>
        <v>54014</v>
      </c>
    </row>
    <row r="27" spans="1:11" ht="15" customHeight="1">
      <c r="A27" s="36" t="s">
        <v>116</v>
      </c>
      <c r="B27" s="9">
        <f>IF(設定!$C$6="人口ビジョン",使用料マスタ!D4,使用料マスタ!D10)</f>
        <v>57895</v>
      </c>
      <c r="C27" s="9">
        <f>IF(設定!$C$6="人口ビジョン",使用料マスタ!E4,使用料マスタ!E10)</f>
        <v>66578</v>
      </c>
      <c r="D27" s="9">
        <f>IF(設定!$C$6="人口ビジョン",使用料マスタ!F4,使用料マスタ!F10)</f>
        <v>76277</v>
      </c>
      <c r="E27" s="9">
        <f>IF(設定!$C$6="人口ビジョン",使用料マスタ!G4,使用料マスタ!G10)</f>
        <v>75712</v>
      </c>
      <c r="F27" s="9">
        <f>IF(設定!$C$6="人口ビジョン",使用料マスタ!H4,使用料マスタ!H10)</f>
        <v>75167</v>
      </c>
      <c r="G27" s="9">
        <f>IF(設定!$C$6="人口ビジョン",使用料マスタ!I4,使用料マスタ!I10)</f>
        <v>74631</v>
      </c>
      <c r="H27" s="9">
        <f>IF(設定!$C$6="人口ビジョン",使用料マスタ!J4,使用料マスタ!J10)</f>
        <v>74018</v>
      </c>
      <c r="I27" s="9">
        <f>IF(設定!$C$6="人口ビジョン",使用料マスタ!K4,使用料マスタ!K10)</f>
        <v>73405</v>
      </c>
      <c r="J27" s="9">
        <f>IF(設定!$C$6="人口ビジョン",使用料マスタ!L4,使用料マスタ!L10)</f>
        <v>72802</v>
      </c>
      <c r="K27" s="9">
        <f>IF(設定!$C$6="人口ビジョン",使用料マスタ!M4,使用料マスタ!M10)</f>
        <v>72181</v>
      </c>
    </row>
    <row r="28" spans="1:11" ht="15" customHeight="1">
      <c r="A28" s="36" t="s">
        <v>117</v>
      </c>
      <c r="B28" s="9">
        <f>IF(設定!$C$6="人口ビジョン",使用料マスタ!D5,使用料マスタ!D11)</f>
        <v>57895</v>
      </c>
      <c r="C28" s="9">
        <f>IF(設定!$C$6="人口ビジョン",使用料マスタ!E5,使用料マスタ!E11)</f>
        <v>63326</v>
      </c>
      <c r="D28" s="9">
        <f>IF(設定!$C$6="人口ビジョン",使用料マスタ!F5,使用料マスタ!F11)</f>
        <v>68674</v>
      </c>
      <c r="E28" s="9">
        <f>IF(設定!$C$6="人口ビジョン",使用料マスタ!G5,使用料マスタ!G11)</f>
        <v>75712</v>
      </c>
      <c r="F28" s="9">
        <f>IF(設定!$C$6="人口ビジョン",使用料マスタ!H5,使用料マスタ!H11)</f>
        <v>75167</v>
      </c>
      <c r="G28" s="9">
        <f>IF(設定!$C$6="人口ビジョン",使用料マスタ!I5,使用料マスタ!I11)</f>
        <v>74631</v>
      </c>
      <c r="H28" s="9">
        <f>IF(設定!$C$6="人口ビジョン",使用料マスタ!J5,使用料マスタ!J11)</f>
        <v>74018</v>
      </c>
      <c r="I28" s="9">
        <f>IF(設定!$C$6="人口ビジョン",使用料マスタ!K5,使用料マスタ!K11)</f>
        <v>73405</v>
      </c>
      <c r="J28" s="9">
        <f>IF(設定!$C$6="人口ビジョン",使用料マスタ!L5,使用料マスタ!L11)</f>
        <v>72802</v>
      </c>
      <c r="K28" s="9">
        <f>IF(設定!$C$6="人口ビジョン",使用料マスタ!M5,使用料マスタ!M11)</f>
        <v>72181</v>
      </c>
    </row>
    <row r="29" spans="1:11" ht="15" customHeight="1">
      <c r="A29" s="36" t="s">
        <v>118</v>
      </c>
      <c r="B29" s="9">
        <f>IF(設定!$C$6="人口ビジョン",使用料マスタ!D6,使用料マスタ!D12)</f>
        <v>57895</v>
      </c>
      <c r="C29" s="9">
        <f>IF(設定!$C$6="人口ビジョン",使用料マスタ!E6,使用料マスタ!E12)</f>
        <v>69223</v>
      </c>
      <c r="D29" s="9">
        <f>IF(設定!$C$6="人口ビジョン",使用料マスタ!F6,使用料マスタ!F12)</f>
        <v>81531</v>
      </c>
      <c r="E29" s="9">
        <f>IF(設定!$C$6="人口ビジョン",使用料マスタ!G6,使用料マスタ!G12)</f>
        <v>80928</v>
      </c>
      <c r="F29" s="9">
        <f>IF(設定!$C$6="人口ビジョン",使用料マスタ!H6,使用料マスタ!H12)</f>
        <v>80345</v>
      </c>
      <c r="G29" s="9">
        <f>IF(設定!$C$6="人口ビジョン",使用料マスタ!I6,使用料マスタ!I12)</f>
        <v>79773</v>
      </c>
      <c r="H29" s="9">
        <f>IF(設定!$C$6="人口ビジョン",使用料マスタ!J6,使用料マスタ!J12)</f>
        <v>79117</v>
      </c>
      <c r="I29" s="9">
        <f>IF(設定!$C$6="人口ビジョン",使用料マスタ!K6,使用料マスタ!K12)</f>
        <v>78461</v>
      </c>
      <c r="J29" s="9">
        <f>IF(設定!$C$6="人口ビジョン",使用料マスタ!L6,使用料マスタ!L12)</f>
        <v>77816</v>
      </c>
      <c r="K29" s="9">
        <f>IF(設定!$C$6="人口ビジョン",使用料マスタ!M6,使用料マスタ!M12)</f>
        <v>77153</v>
      </c>
    </row>
    <row r="30" spans="1:11" ht="15" customHeight="1">
      <c r="A30" s="36" t="s">
        <v>119</v>
      </c>
      <c r="B30" s="9">
        <f>IF(設定!$C$6="人口ビジョン",使用料マスタ!D7,使用料マスタ!D13)</f>
        <v>57895</v>
      </c>
      <c r="C30" s="9">
        <f>IF(設定!$C$6="人口ビジョン",使用料マスタ!E7,使用料マスタ!E13)</f>
        <v>65090</v>
      </c>
      <c r="D30" s="9">
        <f>IF(設定!$C$6="人口ビジョン",使用料マスタ!F7,使用料マスタ!F13)</f>
        <v>72176</v>
      </c>
      <c r="E30" s="9">
        <f>IF(設定!$C$6="人口ビジョン",使用料マスタ!G7,使用料マスタ!G13)</f>
        <v>80928</v>
      </c>
      <c r="F30" s="9">
        <f>IF(設定!$C$6="人口ビジョン",使用料マスタ!H7,使用料マスタ!H13)</f>
        <v>80345</v>
      </c>
      <c r="G30" s="9">
        <f>IF(設定!$C$6="人口ビジョン",使用料マスタ!I7,使用料マスタ!I13)</f>
        <v>79773</v>
      </c>
      <c r="H30" s="9">
        <f>IF(設定!$C$6="人口ビジョン",使用料マスタ!J7,使用料マスタ!J13)</f>
        <v>79117</v>
      </c>
      <c r="I30" s="9">
        <f>IF(設定!$C$6="人口ビジョン",使用料マスタ!K7,使用料マスタ!K13)</f>
        <v>78461</v>
      </c>
      <c r="J30" s="9">
        <f>IF(設定!$C$6="人口ビジョン",使用料マスタ!L7,使用料マスタ!L13)</f>
        <v>77816</v>
      </c>
      <c r="K30" s="9">
        <f>IF(設定!$C$6="人口ビジョン",使用料マスタ!M7,使用料マスタ!M13)</f>
        <v>77153</v>
      </c>
    </row>
    <row r="31" spans="1:11" ht="15" customHeight="1">
      <c r="A31" s="36" t="s">
        <v>120</v>
      </c>
      <c r="B31" s="9">
        <f>IF(設定!$C$6="人口ビジョン",使用料マスタ!D8,使用料マスタ!D14)</f>
        <v>57895</v>
      </c>
      <c r="C31" s="9">
        <f>IF(設定!$C$6="人口ビジョン",使用料マスタ!E8,使用料マスタ!E14)</f>
        <v>67460</v>
      </c>
      <c r="D31" s="9">
        <f>IF(設定!$C$6="人口ビジョン",使用料マスタ!F8,使用料マスタ!F14)</f>
        <v>78028</v>
      </c>
      <c r="E31" s="9">
        <f>IF(設定!$C$6="人口ビジョン",使用料マスタ!G8,使用料マスタ!G14)</f>
        <v>77451</v>
      </c>
      <c r="F31" s="9">
        <f>IF(設定!$C$6="人口ビジョン",使用料マスタ!H8,使用料マスタ!H14)</f>
        <v>76893</v>
      </c>
      <c r="G31" s="9">
        <f>IF(設定!$C$6="人口ビジョン",使用料マスタ!I8,使用料マスタ!I14)</f>
        <v>76345</v>
      </c>
      <c r="H31" s="9">
        <f>IF(設定!$C$6="人口ビジョン",使用料マスタ!J8,使用料マスタ!J14)</f>
        <v>75718</v>
      </c>
      <c r="I31" s="9">
        <f>IF(設定!$C$6="人口ビジョン",使用料マスタ!K8,使用料マスタ!K14)</f>
        <v>75090</v>
      </c>
      <c r="J31" s="9">
        <f>IF(設定!$C$6="人口ビジョン",使用料マスタ!L8,使用料マスタ!L14)</f>
        <v>74474</v>
      </c>
      <c r="K31" s="9">
        <f>IF(設定!$C$6="人口ビジョン",使用料マスタ!M8,使用料マスタ!M14)</f>
        <v>73838</v>
      </c>
    </row>
    <row r="32" spans="1:11" ht="15" customHeight="1">
      <c r="A32" s="36" t="s">
        <v>121</v>
      </c>
      <c r="B32" s="9">
        <f>IF(設定!$C$6="人口ビジョン",使用料マスタ!D9,使用料マスタ!D15)</f>
        <v>57895</v>
      </c>
      <c r="C32" s="9">
        <f>IF(設定!$C$6="人口ビジョン",使用料マスタ!E9,使用料マスタ!E15)</f>
        <v>63618</v>
      </c>
      <c r="D32" s="9">
        <f>IF(設定!$C$6="人口ビジョン",使用料マスタ!F9,使用料マスタ!F15)</f>
        <v>69254</v>
      </c>
      <c r="E32" s="9">
        <f>IF(設定!$C$6="人口ビジョン",使用料マスタ!G9,使用料マスタ!G15)</f>
        <v>77451</v>
      </c>
      <c r="F32" s="9">
        <f>IF(設定!$C$6="人口ビジョン",使用料マスタ!H9,使用料マスタ!H15)</f>
        <v>76893</v>
      </c>
      <c r="G32" s="9">
        <f>IF(設定!$C$6="人口ビジョン",使用料マスタ!I9,使用料マスタ!I15)</f>
        <v>76345</v>
      </c>
      <c r="H32" s="9">
        <f>IF(設定!$C$6="人口ビジョン",使用料マスタ!J9,使用料マスタ!J15)</f>
        <v>75718</v>
      </c>
      <c r="I32" s="9">
        <f>IF(設定!$C$6="人口ビジョン",使用料マスタ!K9,使用料マスタ!K15)</f>
        <v>75090</v>
      </c>
      <c r="J32" s="9">
        <f>IF(設定!$C$6="人口ビジョン",使用料マスタ!L9,使用料マスタ!L15)</f>
        <v>74474</v>
      </c>
      <c r="K32" s="9">
        <f>IF(設定!$C$6="人口ビジョン",使用料マスタ!M9,使用料マスタ!M15)</f>
        <v>73838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zoomScaleNormal="100" workbookViewId="0">
      <selection activeCell="F17" sqref="F17"/>
    </sheetView>
  </sheetViews>
  <sheetFormatPr defaultColWidth="8.6640625" defaultRowHeight="14.4"/>
  <cols>
    <col min="1" max="1" width="22" customWidth="1"/>
    <col min="2" max="11" width="14" customWidth="1"/>
  </cols>
  <sheetData>
    <row r="1" spans="1:11" ht="15.75" customHeight="1">
      <c r="A1" s="6" t="s">
        <v>122</v>
      </c>
    </row>
    <row r="2" spans="1:11" ht="16.5" customHeight="1">
      <c r="A2" s="8" t="s">
        <v>123</v>
      </c>
    </row>
    <row r="4" spans="1:11" ht="15" customHeight="1">
      <c r="A4" s="10" t="s">
        <v>75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</row>
    <row r="5" spans="1:11" ht="14.25" customHeight="1">
      <c r="A5" s="36" t="s">
        <v>76</v>
      </c>
      <c r="B5" s="36">
        <v>2025</v>
      </c>
      <c r="C5" s="36">
        <v>2026</v>
      </c>
      <c r="D5" s="36">
        <v>2027</v>
      </c>
      <c r="E5" s="36">
        <v>2028</v>
      </c>
      <c r="F5" s="36">
        <v>2029</v>
      </c>
      <c r="G5" s="36">
        <v>2030</v>
      </c>
      <c r="H5" s="36">
        <v>2031</v>
      </c>
      <c r="I5" s="36">
        <v>2032</v>
      </c>
      <c r="J5" s="36">
        <v>2033</v>
      </c>
      <c r="K5" s="36">
        <v>2034</v>
      </c>
    </row>
    <row r="6" spans="1:11" ht="14.25" customHeight="1">
      <c r="A6" s="36" t="s">
        <v>77</v>
      </c>
    </row>
    <row r="7" spans="1:11" ht="15" customHeight="1">
      <c r="A7" s="36" t="s">
        <v>78</v>
      </c>
      <c r="B7" s="9">
        <f t="shared" ref="B7:K7" si="0">B8+B9+B10</f>
        <v>66628.5</v>
      </c>
      <c r="C7" s="9">
        <f t="shared" si="0"/>
        <v>76374.100000000006</v>
      </c>
      <c r="D7" s="9">
        <f t="shared" si="0"/>
        <v>75928.3</v>
      </c>
      <c r="E7" s="9">
        <f t="shared" si="0"/>
        <v>75327.7</v>
      </c>
      <c r="F7" s="9">
        <f t="shared" si="0"/>
        <v>74830.5</v>
      </c>
      <c r="G7" s="9">
        <f t="shared" si="0"/>
        <v>74292.800000000003</v>
      </c>
      <c r="H7" s="9">
        <f t="shared" si="0"/>
        <v>73735.199999999997</v>
      </c>
      <c r="I7" s="9">
        <f t="shared" si="0"/>
        <v>73194.5</v>
      </c>
      <c r="J7" s="9">
        <f t="shared" si="0"/>
        <v>72631.3</v>
      </c>
      <c r="K7" s="9">
        <f t="shared" si="0"/>
        <v>72093.2</v>
      </c>
    </row>
    <row r="8" spans="1:11" ht="15" customHeight="1">
      <c r="A8" s="36" t="s">
        <v>79</v>
      </c>
      <c r="B8" s="9">
        <v>66469.5</v>
      </c>
      <c r="C8" s="9">
        <v>76162.100000000006</v>
      </c>
      <c r="D8" s="9">
        <v>75645.3</v>
      </c>
      <c r="E8" s="9">
        <v>75109.7</v>
      </c>
      <c r="F8" s="9">
        <v>74592.5</v>
      </c>
      <c r="G8" s="9">
        <v>74046.8</v>
      </c>
      <c r="H8" s="9">
        <v>73501.2</v>
      </c>
      <c r="I8" s="9">
        <v>72955.5</v>
      </c>
      <c r="J8" s="9">
        <v>72391.3</v>
      </c>
      <c r="K8" s="9">
        <v>71855.199999999997</v>
      </c>
    </row>
    <row r="9" spans="1:11" ht="15" customHeight="1">
      <c r="A9" s="36" t="s">
        <v>80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5" customHeight="1">
      <c r="A10" s="36" t="s">
        <v>81</v>
      </c>
      <c r="B10" s="9">
        <v>159</v>
      </c>
      <c r="C10" s="9">
        <v>212</v>
      </c>
      <c r="D10" s="9">
        <v>283</v>
      </c>
      <c r="E10" s="9">
        <v>218</v>
      </c>
      <c r="F10" s="9">
        <v>238</v>
      </c>
      <c r="G10" s="9">
        <v>246</v>
      </c>
      <c r="H10" s="9">
        <v>234</v>
      </c>
      <c r="I10" s="9">
        <v>239</v>
      </c>
      <c r="J10" s="9">
        <v>240</v>
      </c>
      <c r="K10" s="9">
        <v>238</v>
      </c>
    </row>
    <row r="11" spans="1:11" ht="14.25" customHeight="1">
      <c r="A11" s="36" t="s">
        <v>82</v>
      </c>
      <c r="B11" s="9">
        <f t="shared" ref="B11:K11" si="1">B12+B13+B14</f>
        <v>478588</v>
      </c>
      <c r="C11" s="9">
        <f t="shared" si="1"/>
        <v>479130</v>
      </c>
      <c r="D11" s="9">
        <f t="shared" si="1"/>
        <v>390774</v>
      </c>
      <c r="E11" s="9">
        <f t="shared" si="1"/>
        <v>323775</v>
      </c>
      <c r="F11" s="9">
        <f t="shared" si="1"/>
        <v>310672</v>
      </c>
      <c r="G11" s="9">
        <f t="shared" si="1"/>
        <v>310608</v>
      </c>
      <c r="H11" s="9">
        <f t="shared" si="1"/>
        <v>311431</v>
      </c>
      <c r="I11" s="9">
        <f t="shared" si="1"/>
        <v>312227</v>
      </c>
      <c r="J11" s="9">
        <f t="shared" si="1"/>
        <v>312287</v>
      </c>
      <c r="K11" s="9">
        <f t="shared" si="1"/>
        <v>312117</v>
      </c>
    </row>
    <row r="12" spans="1:11" ht="15" customHeight="1">
      <c r="A12" s="36" t="s">
        <v>83</v>
      </c>
      <c r="B12" s="9">
        <v>151133</v>
      </c>
      <c r="C12" s="9">
        <v>151437</v>
      </c>
      <c r="D12" s="9">
        <v>169454</v>
      </c>
      <c r="E12" s="9">
        <v>183394</v>
      </c>
      <c r="F12" s="9">
        <v>186588</v>
      </c>
      <c r="G12" s="9">
        <v>186657</v>
      </c>
      <c r="H12" s="9">
        <v>186749</v>
      </c>
      <c r="I12" s="9">
        <v>186849</v>
      </c>
      <c r="J12" s="9">
        <v>187381</v>
      </c>
      <c r="K12" s="9">
        <v>188114</v>
      </c>
    </row>
    <row r="13" spans="1:11" ht="15" customHeight="1">
      <c r="A13" s="36" t="s">
        <v>84</v>
      </c>
      <c r="B13" s="9">
        <v>309898</v>
      </c>
      <c r="C13" s="9">
        <v>311906</v>
      </c>
      <c r="D13" s="9">
        <v>208677</v>
      </c>
      <c r="E13" s="9">
        <v>125052</v>
      </c>
      <c r="F13" s="9">
        <v>109497</v>
      </c>
      <c r="G13" s="9">
        <v>109765</v>
      </c>
      <c r="H13" s="9">
        <v>109981</v>
      </c>
      <c r="I13" s="9">
        <v>110887</v>
      </c>
      <c r="J13" s="9">
        <v>110446</v>
      </c>
      <c r="K13" s="9">
        <v>109452</v>
      </c>
    </row>
    <row r="14" spans="1:11" ht="15" customHeight="1">
      <c r="A14" s="36" t="s">
        <v>81</v>
      </c>
      <c r="B14" s="9">
        <v>17557</v>
      </c>
      <c r="C14" s="9">
        <v>15787</v>
      </c>
      <c r="D14" s="9">
        <v>12643</v>
      </c>
      <c r="E14" s="9">
        <v>15329</v>
      </c>
      <c r="F14" s="9">
        <v>14587</v>
      </c>
      <c r="G14" s="9">
        <v>14186</v>
      </c>
      <c r="H14" s="9">
        <v>14701</v>
      </c>
      <c r="I14" s="9">
        <v>14491</v>
      </c>
      <c r="J14" s="9">
        <v>14460</v>
      </c>
      <c r="K14" s="9">
        <v>14551</v>
      </c>
    </row>
    <row r="15" spans="1:11" ht="15" customHeight="1">
      <c r="A15" s="36" t="s">
        <v>85</v>
      </c>
      <c r="B15" s="9">
        <f t="shared" ref="B15:K15" si="2">B7+B11</f>
        <v>545216.5</v>
      </c>
      <c r="C15" s="9">
        <f t="shared" si="2"/>
        <v>555504.1</v>
      </c>
      <c r="D15" s="9">
        <f t="shared" si="2"/>
        <v>466702.3</v>
      </c>
      <c r="E15" s="9">
        <f t="shared" si="2"/>
        <v>399102.7</v>
      </c>
      <c r="F15" s="9">
        <f t="shared" si="2"/>
        <v>385502.5</v>
      </c>
      <c r="G15" s="9">
        <f t="shared" si="2"/>
        <v>384900.8</v>
      </c>
      <c r="H15" s="9">
        <f t="shared" si="2"/>
        <v>385166.2</v>
      </c>
      <c r="I15" s="9">
        <f t="shared" si="2"/>
        <v>385421.5</v>
      </c>
      <c r="J15" s="9">
        <f t="shared" si="2"/>
        <v>384918.3</v>
      </c>
      <c r="K15" s="9">
        <f t="shared" si="2"/>
        <v>384210.2</v>
      </c>
    </row>
    <row r="17" spans="1:11" ht="14.25" customHeight="1">
      <c r="A17" s="36" t="s">
        <v>86</v>
      </c>
    </row>
    <row r="18" spans="1:11" ht="14.25" customHeight="1">
      <c r="A18" s="36" t="s">
        <v>87</v>
      </c>
      <c r="B18" s="9">
        <f t="shared" ref="B18:K18" si="3">B19+B20+B25</f>
        <v>520872</v>
      </c>
      <c r="C18" s="9">
        <f t="shared" si="3"/>
        <v>530785</v>
      </c>
      <c r="D18" s="9">
        <f t="shared" si="3"/>
        <v>445840</v>
      </c>
      <c r="E18" s="9">
        <f t="shared" si="3"/>
        <v>373726</v>
      </c>
      <c r="F18" s="9">
        <f t="shared" si="3"/>
        <v>363986</v>
      </c>
      <c r="G18" s="9">
        <f t="shared" si="3"/>
        <v>365356</v>
      </c>
      <c r="H18" s="9">
        <f t="shared" si="3"/>
        <v>365923</v>
      </c>
      <c r="I18" s="9">
        <f t="shared" si="3"/>
        <v>368372</v>
      </c>
      <c r="J18" s="9">
        <f t="shared" si="3"/>
        <v>368434</v>
      </c>
      <c r="K18" s="9">
        <f t="shared" si="3"/>
        <v>367149</v>
      </c>
    </row>
    <row r="19" spans="1:11" ht="15" customHeight="1">
      <c r="A19" s="36" t="s">
        <v>88</v>
      </c>
      <c r="B19" s="9">
        <v>5936</v>
      </c>
      <c r="C19" s="9">
        <v>5788</v>
      </c>
      <c r="D19" s="9">
        <v>5793</v>
      </c>
      <c r="E19" s="9">
        <v>5839</v>
      </c>
      <c r="F19" s="9">
        <v>5806</v>
      </c>
      <c r="G19" s="9">
        <v>5813</v>
      </c>
      <c r="H19" s="9">
        <v>5819</v>
      </c>
      <c r="I19" s="9">
        <v>5813</v>
      </c>
      <c r="J19" s="9">
        <v>5815</v>
      </c>
      <c r="K19" s="9">
        <v>5816</v>
      </c>
    </row>
    <row r="20" spans="1:11" ht="15" customHeight="1">
      <c r="A20" s="36" t="s">
        <v>89</v>
      </c>
      <c r="B20" s="9">
        <v>162395</v>
      </c>
      <c r="C20" s="9">
        <v>167240</v>
      </c>
      <c r="D20" s="9">
        <v>171181</v>
      </c>
      <c r="E20" s="9">
        <v>168553</v>
      </c>
      <c r="F20" s="9">
        <v>170733</v>
      </c>
      <c r="G20" s="9">
        <v>171855</v>
      </c>
      <c r="H20" s="9">
        <v>172110</v>
      </c>
      <c r="I20" s="9">
        <v>173294</v>
      </c>
      <c r="J20" s="9">
        <v>174163</v>
      </c>
      <c r="K20" s="9">
        <v>174936</v>
      </c>
    </row>
    <row r="21" spans="1:11" ht="14.25" customHeight="1">
      <c r="A21" s="8" t="s">
        <v>90</v>
      </c>
      <c r="B21" s="9">
        <v>4975</v>
      </c>
      <c r="C21" s="9">
        <v>4724</v>
      </c>
      <c r="D21" s="9">
        <v>4898</v>
      </c>
      <c r="E21" s="9">
        <v>4859</v>
      </c>
      <c r="F21" s="9">
        <v>4927</v>
      </c>
      <c r="G21" s="9">
        <v>4942</v>
      </c>
      <c r="H21" s="9">
        <v>4984</v>
      </c>
      <c r="I21" s="9">
        <v>5013</v>
      </c>
      <c r="J21" s="9">
        <v>5048</v>
      </c>
      <c r="K21" s="9">
        <v>5081</v>
      </c>
    </row>
    <row r="22" spans="1:11" ht="14.25" customHeight="1">
      <c r="A22" s="8" t="s">
        <v>91</v>
      </c>
      <c r="B22" s="9">
        <v>912</v>
      </c>
      <c r="C22" s="9">
        <v>983</v>
      </c>
      <c r="D22" s="9">
        <v>1223</v>
      </c>
      <c r="E22" s="9">
        <v>1050</v>
      </c>
      <c r="F22" s="9">
        <v>1096</v>
      </c>
      <c r="G22" s="9">
        <v>1134</v>
      </c>
      <c r="H22" s="9">
        <v>1104</v>
      </c>
      <c r="I22" s="9">
        <v>1122</v>
      </c>
      <c r="J22" s="9">
        <v>1131</v>
      </c>
      <c r="K22" s="9">
        <v>1131</v>
      </c>
    </row>
    <row r="23" spans="1:11" ht="14.25" customHeight="1">
      <c r="A23" s="8" t="s">
        <v>92</v>
      </c>
      <c r="B23" s="9">
        <v>1228</v>
      </c>
      <c r="C23" s="9">
        <v>1197</v>
      </c>
      <c r="D23" s="9">
        <v>1206</v>
      </c>
      <c r="E23" s="9">
        <v>1222</v>
      </c>
      <c r="F23" s="9">
        <v>1220</v>
      </c>
      <c r="G23" s="9">
        <v>1228</v>
      </c>
      <c r="H23" s="9">
        <v>1236</v>
      </c>
      <c r="I23" s="9">
        <v>1240</v>
      </c>
      <c r="J23" s="9">
        <v>1247</v>
      </c>
      <c r="K23" s="9">
        <v>1253</v>
      </c>
    </row>
    <row r="24" spans="1:11" ht="14.25" customHeight="1">
      <c r="A24" s="8" t="s">
        <v>93</v>
      </c>
      <c r="B24" s="9">
        <v>155280</v>
      </c>
      <c r="C24" s="9">
        <v>160337</v>
      </c>
      <c r="D24" s="9">
        <v>163854</v>
      </c>
      <c r="E24" s="9">
        <v>161422</v>
      </c>
      <c r="F24" s="9">
        <v>163490</v>
      </c>
      <c r="G24" s="9">
        <v>164551</v>
      </c>
      <c r="H24" s="9">
        <v>164786</v>
      </c>
      <c r="I24" s="9">
        <v>165918</v>
      </c>
      <c r="J24" s="9">
        <v>166736</v>
      </c>
      <c r="K24" s="9">
        <v>167472</v>
      </c>
    </row>
    <row r="25" spans="1:11" ht="15" customHeight="1">
      <c r="A25" s="36" t="s">
        <v>94</v>
      </c>
      <c r="B25" s="9">
        <v>352541</v>
      </c>
      <c r="C25" s="9">
        <v>357757</v>
      </c>
      <c r="D25" s="9">
        <v>268866</v>
      </c>
      <c r="E25" s="9">
        <v>199334</v>
      </c>
      <c r="F25" s="9">
        <v>187447</v>
      </c>
      <c r="G25" s="9">
        <v>187688</v>
      </c>
      <c r="H25" s="9">
        <v>187994</v>
      </c>
      <c r="I25" s="9">
        <v>189265</v>
      </c>
      <c r="J25" s="9">
        <v>188456</v>
      </c>
      <c r="K25" s="9">
        <v>186397</v>
      </c>
    </row>
    <row r="26" spans="1:11" ht="14.25" customHeight="1">
      <c r="A26" s="36" t="s">
        <v>95</v>
      </c>
      <c r="B26" s="9">
        <f t="shared" ref="B26:K26" si="4">B27+B28</f>
        <v>24189</v>
      </c>
      <c r="C26" s="9">
        <f t="shared" si="4"/>
        <v>28352</v>
      </c>
      <c r="D26" s="9">
        <f t="shared" si="4"/>
        <v>21428</v>
      </c>
      <c r="E26" s="9">
        <f t="shared" si="4"/>
        <v>21542</v>
      </c>
      <c r="F26" s="9">
        <f t="shared" si="4"/>
        <v>20337</v>
      </c>
      <c r="G26" s="9">
        <f t="shared" si="4"/>
        <v>19272</v>
      </c>
      <c r="H26" s="9">
        <f t="shared" si="4"/>
        <v>18037</v>
      </c>
      <c r="I26" s="9">
        <f t="shared" si="4"/>
        <v>17018</v>
      </c>
      <c r="J26" s="9">
        <f t="shared" si="4"/>
        <v>16145</v>
      </c>
      <c r="K26" s="9">
        <f t="shared" si="4"/>
        <v>15309</v>
      </c>
    </row>
    <row r="27" spans="1:11" ht="15" customHeight="1">
      <c r="A27" s="36" t="s">
        <v>96</v>
      </c>
      <c r="B27" s="9">
        <v>22189</v>
      </c>
      <c r="C27" s="9">
        <v>26352</v>
      </c>
      <c r="D27" s="9">
        <v>19428</v>
      </c>
      <c r="E27" s="9">
        <v>19542</v>
      </c>
      <c r="F27" s="9">
        <v>18337</v>
      </c>
      <c r="G27" s="9">
        <v>17272</v>
      </c>
      <c r="H27" s="9">
        <v>16037</v>
      </c>
      <c r="I27" s="9">
        <v>15018</v>
      </c>
      <c r="J27" s="9">
        <v>14145</v>
      </c>
      <c r="K27" s="9">
        <v>13309</v>
      </c>
    </row>
    <row r="28" spans="1:11" ht="15" customHeight="1">
      <c r="A28" s="36" t="s">
        <v>97</v>
      </c>
      <c r="B28" s="9">
        <v>2000</v>
      </c>
      <c r="C28" s="9">
        <v>2000</v>
      </c>
      <c r="D28" s="9">
        <v>2000</v>
      </c>
      <c r="E28" s="9">
        <v>2000</v>
      </c>
      <c r="F28" s="9">
        <v>2000</v>
      </c>
      <c r="G28" s="9">
        <v>2000</v>
      </c>
      <c r="H28" s="9">
        <v>2000</v>
      </c>
      <c r="I28" s="9">
        <v>2000</v>
      </c>
      <c r="J28" s="9">
        <v>2000</v>
      </c>
      <c r="K28" s="9">
        <v>2000</v>
      </c>
    </row>
    <row r="29" spans="1:11" ht="15" customHeight="1">
      <c r="A29" s="36" t="s">
        <v>98</v>
      </c>
      <c r="B29" s="9">
        <f t="shared" ref="B29:K29" si="5">B18+B26</f>
        <v>545061</v>
      </c>
      <c r="C29" s="9">
        <f t="shared" si="5"/>
        <v>559137</v>
      </c>
      <c r="D29" s="9">
        <f t="shared" si="5"/>
        <v>467268</v>
      </c>
      <c r="E29" s="9">
        <f t="shared" si="5"/>
        <v>395268</v>
      </c>
      <c r="F29" s="9">
        <f t="shared" si="5"/>
        <v>384323</v>
      </c>
      <c r="G29" s="9">
        <f t="shared" si="5"/>
        <v>384628</v>
      </c>
      <c r="H29" s="9">
        <f t="shared" si="5"/>
        <v>383960</v>
      </c>
      <c r="I29" s="9">
        <f t="shared" si="5"/>
        <v>385390</v>
      </c>
      <c r="J29" s="9">
        <f t="shared" si="5"/>
        <v>384579</v>
      </c>
      <c r="K29" s="9">
        <f t="shared" si="5"/>
        <v>382458</v>
      </c>
    </row>
    <row r="31" spans="1:11" ht="16.5" customHeight="1">
      <c r="A31" s="3" t="s">
        <v>99</v>
      </c>
      <c r="B31" s="37">
        <f t="shared" ref="B31:K31" si="6">B15-B29</f>
        <v>155.5</v>
      </c>
      <c r="C31" s="37">
        <f t="shared" si="6"/>
        <v>-3632.9000000000233</v>
      </c>
      <c r="D31" s="37">
        <f t="shared" si="6"/>
        <v>-565.70000000001164</v>
      </c>
      <c r="E31" s="37">
        <f t="shared" si="6"/>
        <v>3834.7000000000116</v>
      </c>
      <c r="F31" s="37">
        <f t="shared" si="6"/>
        <v>1179.5</v>
      </c>
      <c r="G31" s="37">
        <f t="shared" si="6"/>
        <v>272.79999999998836</v>
      </c>
      <c r="H31" s="37">
        <f t="shared" si="6"/>
        <v>1206.2000000000116</v>
      </c>
      <c r="I31" s="37">
        <f t="shared" si="6"/>
        <v>31.5</v>
      </c>
      <c r="J31" s="37">
        <f t="shared" si="6"/>
        <v>339.29999999998836</v>
      </c>
      <c r="K31" s="37">
        <f t="shared" si="6"/>
        <v>1752.2000000000116</v>
      </c>
    </row>
    <row r="33" spans="1:11" ht="14.25" customHeight="1">
      <c r="A33" s="3" t="s">
        <v>100</v>
      </c>
      <c r="B33" s="38">
        <f t="shared" ref="B33:K33" si="7">IF(B29=0,"-",B15/B29)</f>
        <v>1.0002852891694691</v>
      </c>
      <c r="C33" s="38">
        <f t="shared" si="7"/>
        <v>0.99350266571520029</v>
      </c>
      <c r="D33" s="38">
        <f t="shared" si="7"/>
        <v>0.99878934572878941</v>
      </c>
      <c r="E33" s="38">
        <f t="shared" si="7"/>
        <v>1.0097015189694081</v>
      </c>
      <c r="F33" s="38">
        <f t="shared" si="7"/>
        <v>1.0030690330789467</v>
      </c>
      <c r="G33" s="38">
        <f t="shared" si="7"/>
        <v>1.0007092567363791</v>
      </c>
      <c r="H33" s="38">
        <f t="shared" si="7"/>
        <v>1.0031414730701116</v>
      </c>
      <c r="I33" s="38">
        <f t="shared" si="7"/>
        <v>1.0000817353849347</v>
      </c>
      <c r="J33" s="38">
        <f t="shared" si="7"/>
        <v>1.0008822634621235</v>
      </c>
      <c r="K33" s="38">
        <f t="shared" si="7"/>
        <v>1.0045814180903525</v>
      </c>
    </row>
    <row r="34" spans="1:11" ht="14.25" customHeight="1">
      <c r="A34" s="36" t="s">
        <v>101</v>
      </c>
      <c r="B34" s="9">
        <f t="shared" ref="B34:K34" si="8">B19+B20</f>
        <v>168331</v>
      </c>
      <c r="C34" s="9">
        <f t="shared" si="8"/>
        <v>173028</v>
      </c>
      <c r="D34" s="9">
        <f t="shared" si="8"/>
        <v>176974</v>
      </c>
      <c r="E34" s="9">
        <f t="shared" si="8"/>
        <v>174392</v>
      </c>
      <c r="F34" s="9">
        <f t="shared" si="8"/>
        <v>176539</v>
      </c>
      <c r="G34" s="9">
        <f t="shared" si="8"/>
        <v>177668</v>
      </c>
      <c r="H34" s="9">
        <f t="shared" si="8"/>
        <v>177929</v>
      </c>
      <c r="I34" s="9">
        <f t="shared" si="8"/>
        <v>179107</v>
      </c>
      <c r="J34" s="9">
        <f t="shared" si="8"/>
        <v>179978</v>
      </c>
      <c r="K34" s="9">
        <f t="shared" si="8"/>
        <v>180752</v>
      </c>
    </row>
    <row r="35" spans="1:11" ht="14.25" customHeight="1">
      <c r="A35" s="3" t="s">
        <v>102</v>
      </c>
      <c r="B35" s="38">
        <f t="shared" ref="B35:K35" si="9">IF(B34=0,"-",B8/B34)</f>
        <v>0.39487379032976694</v>
      </c>
      <c r="C35" s="38">
        <f t="shared" si="9"/>
        <v>0.44017211087222879</v>
      </c>
      <c r="D35" s="38">
        <f t="shared" si="9"/>
        <v>0.42743736368054064</v>
      </c>
      <c r="E35" s="38">
        <f t="shared" si="9"/>
        <v>0.430694641956053</v>
      </c>
      <c r="F35" s="38">
        <f t="shared" si="9"/>
        <v>0.42252703368660749</v>
      </c>
      <c r="G35" s="38">
        <f t="shared" si="9"/>
        <v>0.41677060584911185</v>
      </c>
      <c r="H35" s="38">
        <f t="shared" si="9"/>
        <v>0.41309286288350971</v>
      </c>
      <c r="I35" s="38">
        <f t="shared" si="9"/>
        <v>0.40732913844796687</v>
      </c>
      <c r="J35" s="38">
        <f t="shared" si="9"/>
        <v>0.40222304948382581</v>
      </c>
      <c r="K35" s="38">
        <f t="shared" si="9"/>
        <v>0.39753474373727538</v>
      </c>
    </row>
    <row r="36" spans="1:11" ht="14.25" customHeight="1">
      <c r="A36" s="36" t="s">
        <v>28</v>
      </c>
      <c r="B36" s="9">
        <v>452089</v>
      </c>
      <c r="C36" s="9">
        <v>449052</v>
      </c>
      <c r="D36" s="9">
        <v>445934</v>
      </c>
      <c r="E36" s="9">
        <v>442898</v>
      </c>
      <c r="F36" s="9">
        <v>439779</v>
      </c>
      <c r="G36" s="9">
        <v>436743</v>
      </c>
      <c r="H36" s="9">
        <v>433542</v>
      </c>
      <c r="I36" s="9">
        <v>430342</v>
      </c>
      <c r="J36" s="9">
        <v>427141</v>
      </c>
      <c r="K36" s="9">
        <v>423859</v>
      </c>
    </row>
    <row r="38" spans="1:11" ht="15" customHeight="1">
      <c r="A38" s="10" t="s">
        <v>124</v>
      </c>
    </row>
    <row r="39" spans="1:11" ht="14.25" customHeight="1">
      <c r="A39" s="11" t="s">
        <v>125</v>
      </c>
    </row>
    <row r="41" spans="1:11" ht="14.25" customHeight="1">
      <c r="A41" s="36" t="s">
        <v>126</v>
      </c>
    </row>
    <row r="42" spans="1:11" ht="14.25" customHeight="1">
      <c r="A42" s="36" t="s">
        <v>127</v>
      </c>
    </row>
    <row r="43" spans="1:11" ht="14.25" customHeight="1">
      <c r="A43" s="36" t="s">
        <v>128</v>
      </c>
    </row>
    <row r="44" spans="1:11" ht="14.25" customHeight="1">
      <c r="A44" s="36" t="s">
        <v>129</v>
      </c>
    </row>
    <row r="45" spans="1:11" ht="14.25" customHeight="1">
      <c r="A45" s="36" t="s">
        <v>130</v>
      </c>
    </row>
    <row r="46" spans="1:11" ht="15" customHeight="1">
      <c r="A46" s="36" t="s">
        <v>131</v>
      </c>
    </row>
    <row r="48" spans="1:11" ht="14.25" customHeight="1">
      <c r="A48" s="36" t="s">
        <v>132</v>
      </c>
    </row>
    <row r="49" spans="1:1" ht="14.25" customHeight="1">
      <c r="A49" s="36" t="s">
        <v>133</v>
      </c>
    </row>
    <row r="50" spans="1:1" ht="14.25" customHeight="1">
      <c r="A50" s="36" t="s">
        <v>134</v>
      </c>
    </row>
    <row r="51" spans="1:1" ht="14.25" customHeight="1">
      <c r="A51" s="36" t="s">
        <v>130</v>
      </c>
    </row>
    <row r="52" spans="1:1" ht="15" customHeight="1">
      <c r="A52" s="36" t="s">
        <v>135</v>
      </c>
    </row>
    <row r="54" spans="1:1" ht="15" customHeight="1">
      <c r="A54" s="36" t="s">
        <v>136</v>
      </c>
    </row>
    <row r="56" spans="1:1" ht="14.25" customHeight="1">
      <c r="A56" s="36" t="s">
        <v>137</v>
      </c>
    </row>
    <row r="57" spans="1:1" ht="14.25" customHeight="1">
      <c r="A57" s="36" t="s">
        <v>138</v>
      </c>
    </row>
    <row r="58" spans="1:1" ht="14.25" customHeight="1">
      <c r="A58" s="36" t="s">
        <v>139</v>
      </c>
    </row>
    <row r="59" spans="1:1" ht="14.25" customHeight="1">
      <c r="A59" s="36" t="s">
        <v>140</v>
      </c>
    </row>
    <row r="60" spans="1:1" ht="14.25" customHeight="1">
      <c r="A60" s="36" t="s">
        <v>141</v>
      </c>
    </row>
    <row r="62" spans="1:1" ht="14.25" customHeight="1">
      <c r="A62" s="36" t="s">
        <v>142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2"/>
  <sheetViews>
    <sheetView zoomScaleNormal="100" workbookViewId="0">
      <selection activeCell="B8" sqref="B8:K8"/>
    </sheetView>
  </sheetViews>
  <sheetFormatPr defaultColWidth="8.6640625" defaultRowHeight="14.4"/>
  <cols>
    <col min="1" max="1" width="22" customWidth="1"/>
    <col min="2" max="11" width="14" customWidth="1"/>
  </cols>
  <sheetData>
    <row r="1" spans="1:11" ht="15.75" customHeight="1">
      <c r="A1" s="6" t="s">
        <v>143</v>
      </c>
    </row>
    <row r="2" spans="1:11" ht="16.5" customHeight="1">
      <c r="A2" s="8" t="s">
        <v>123</v>
      </c>
    </row>
    <row r="4" spans="1:11" ht="15" customHeight="1">
      <c r="A4" s="10" t="s">
        <v>75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</row>
    <row r="5" spans="1:11" ht="14.25" customHeight="1">
      <c r="A5" s="36" t="s">
        <v>76</v>
      </c>
      <c r="B5" s="36">
        <v>2025</v>
      </c>
      <c r="C5" s="36">
        <v>2026</v>
      </c>
      <c r="D5" s="36">
        <v>2027</v>
      </c>
      <c r="E5" s="36">
        <v>2028</v>
      </c>
      <c r="F5" s="36">
        <v>2029</v>
      </c>
      <c r="G5" s="36">
        <v>2030</v>
      </c>
      <c r="H5" s="36">
        <v>2031</v>
      </c>
      <c r="I5" s="36">
        <v>2032</v>
      </c>
      <c r="J5" s="36">
        <v>2033</v>
      </c>
      <c r="K5" s="36">
        <v>2034</v>
      </c>
    </row>
    <row r="6" spans="1:11" ht="14.25" customHeight="1">
      <c r="A6" s="36" t="s">
        <v>77</v>
      </c>
    </row>
    <row r="7" spans="1:11" ht="15" customHeight="1">
      <c r="A7" s="36" t="s">
        <v>78</v>
      </c>
      <c r="B7" s="9">
        <f t="shared" ref="B7:K7" si="0">B8+B9+B10</f>
        <v>63381.8</v>
      </c>
      <c r="C7" s="9">
        <f t="shared" si="0"/>
        <v>68782.100000000006</v>
      </c>
      <c r="D7" s="9">
        <f t="shared" si="0"/>
        <v>75928.3</v>
      </c>
      <c r="E7" s="9">
        <f t="shared" si="0"/>
        <v>75327.7</v>
      </c>
      <c r="F7" s="9">
        <f t="shared" si="0"/>
        <v>74830.5</v>
      </c>
      <c r="G7" s="9">
        <f t="shared" si="0"/>
        <v>74292.800000000003</v>
      </c>
      <c r="H7" s="9">
        <f t="shared" si="0"/>
        <v>73735.199999999997</v>
      </c>
      <c r="I7" s="9">
        <f t="shared" si="0"/>
        <v>73194.5</v>
      </c>
      <c r="J7" s="9">
        <f t="shared" si="0"/>
        <v>72631.3</v>
      </c>
      <c r="K7" s="9">
        <f t="shared" si="0"/>
        <v>72093.2</v>
      </c>
    </row>
    <row r="8" spans="1:11" ht="15" customHeight="1">
      <c r="A8" s="36" t="s">
        <v>79</v>
      </c>
      <c r="B8" s="9">
        <v>63222.8</v>
      </c>
      <c r="C8" s="9">
        <v>68570.100000000006</v>
      </c>
      <c r="D8" s="9">
        <v>75645.3</v>
      </c>
      <c r="E8" s="9">
        <v>75109.7</v>
      </c>
      <c r="F8" s="9">
        <v>74592.5</v>
      </c>
      <c r="G8" s="9">
        <v>74046.8</v>
      </c>
      <c r="H8" s="9">
        <v>73501.2</v>
      </c>
      <c r="I8" s="9">
        <v>72955.5</v>
      </c>
      <c r="J8" s="9">
        <v>72391.3</v>
      </c>
      <c r="K8" s="9">
        <v>71855.199999999997</v>
      </c>
    </row>
    <row r="9" spans="1:11" ht="15" customHeight="1">
      <c r="A9" s="36" t="s">
        <v>80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5" customHeight="1">
      <c r="A10" s="36" t="s">
        <v>81</v>
      </c>
      <c r="B10" s="9">
        <v>159</v>
      </c>
      <c r="C10" s="9">
        <v>212</v>
      </c>
      <c r="D10" s="9">
        <v>283</v>
      </c>
      <c r="E10" s="9">
        <v>218</v>
      </c>
      <c r="F10" s="9">
        <v>238</v>
      </c>
      <c r="G10" s="9">
        <v>246</v>
      </c>
      <c r="H10" s="9">
        <v>234</v>
      </c>
      <c r="I10" s="9">
        <v>239</v>
      </c>
      <c r="J10" s="9">
        <v>240</v>
      </c>
      <c r="K10" s="9">
        <v>238</v>
      </c>
    </row>
    <row r="11" spans="1:11" ht="14.25" customHeight="1">
      <c r="A11" s="36" t="s">
        <v>82</v>
      </c>
      <c r="B11" s="9">
        <f t="shared" ref="B11:K11" si="1">B12+B13+B14</f>
        <v>478588</v>
      </c>
      <c r="C11" s="9">
        <f t="shared" si="1"/>
        <v>479130</v>
      </c>
      <c r="D11" s="9">
        <f t="shared" si="1"/>
        <v>390774</v>
      </c>
      <c r="E11" s="9">
        <f t="shared" si="1"/>
        <v>323775</v>
      </c>
      <c r="F11" s="9">
        <f t="shared" si="1"/>
        <v>310672</v>
      </c>
      <c r="G11" s="9">
        <f t="shared" si="1"/>
        <v>310608</v>
      </c>
      <c r="H11" s="9">
        <f t="shared" si="1"/>
        <v>311431</v>
      </c>
      <c r="I11" s="9">
        <f t="shared" si="1"/>
        <v>312227</v>
      </c>
      <c r="J11" s="9">
        <f t="shared" si="1"/>
        <v>312287</v>
      </c>
      <c r="K11" s="9">
        <f t="shared" si="1"/>
        <v>312117</v>
      </c>
    </row>
    <row r="12" spans="1:11" ht="15" customHeight="1">
      <c r="A12" s="36" t="s">
        <v>83</v>
      </c>
      <c r="B12" s="9">
        <v>151133</v>
      </c>
      <c r="C12" s="9">
        <v>151437</v>
      </c>
      <c r="D12" s="9">
        <v>169454</v>
      </c>
      <c r="E12" s="9">
        <v>183394</v>
      </c>
      <c r="F12" s="9">
        <v>186588</v>
      </c>
      <c r="G12" s="9">
        <v>186657</v>
      </c>
      <c r="H12" s="9">
        <v>186749</v>
      </c>
      <c r="I12" s="9">
        <v>186849</v>
      </c>
      <c r="J12" s="9">
        <v>187381</v>
      </c>
      <c r="K12" s="9">
        <v>188114</v>
      </c>
    </row>
    <row r="13" spans="1:11" ht="15" customHeight="1">
      <c r="A13" s="36" t="s">
        <v>84</v>
      </c>
      <c r="B13" s="9">
        <v>309898</v>
      </c>
      <c r="C13" s="9">
        <v>311906</v>
      </c>
      <c r="D13" s="9">
        <v>208677</v>
      </c>
      <c r="E13" s="9">
        <v>125052</v>
      </c>
      <c r="F13" s="9">
        <v>109497</v>
      </c>
      <c r="G13" s="9">
        <v>109765</v>
      </c>
      <c r="H13" s="9">
        <v>109981</v>
      </c>
      <c r="I13" s="9">
        <v>110887</v>
      </c>
      <c r="J13" s="9">
        <v>110446</v>
      </c>
      <c r="K13" s="9">
        <v>109452</v>
      </c>
    </row>
    <row r="14" spans="1:11" ht="15" customHeight="1">
      <c r="A14" s="36" t="s">
        <v>81</v>
      </c>
      <c r="B14" s="9">
        <v>17557</v>
      </c>
      <c r="C14" s="9">
        <v>15787</v>
      </c>
      <c r="D14" s="9">
        <v>12643</v>
      </c>
      <c r="E14" s="9">
        <v>15329</v>
      </c>
      <c r="F14" s="9">
        <v>14587</v>
      </c>
      <c r="G14" s="9">
        <v>14186</v>
      </c>
      <c r="H14" s="9">
        <v>14701</v>
      </c>
      <c r="I14" s="9">
        <v>14491</v>
      </c>
      <c r="J14" s="9">
        <v>14460</v>
      </c>
      <c r="K14" s="9">
        <v>14551</v>
      </c>
    </row>
    <row r="15" spans="1:11" ht="15" customHeight="1">
      <c r="A15" s="36" t="s">
        <v>85</v>
      </c>
      <c r="B15" s="9">
        <f t="shared" ref="B15:K15" si="2">B7+B11</f>
        <v>541969.80000000005</v>
      </c>
      <c r="C15" s="9">
        <f t="shared" si="2"/>
        <v>547912.1</v>
      </c>
      <c r="D15" s="9">
        <f t="shared" si="2"/>
        <v>466702.3</v>
      </c>
      <c r="E15" s="9">
        <f t="shared" si="2"/>
        <v>399102.7</v>
      </c>
      <c r="F15" s="9">
        <f t="shared" si="2"/>
        <v>385502.5</v>
      </c>
      <c r="G15" s="9">
        <f t="shared" si="2"/>
        <v>384900.8</v>
      </c>
      <c r="H15" s="9">
        <f t="shared" si="2"/>
        <v>385166.2</v>
      </c>
      <c r="I15" s="9">
        <f t="shared" si="2"/>
        <v>385421.5</v>
      </c>
      <c r="J15" s="9">
        <f t="shared" si="2"/>
        <v>384918.3</v>
      </c>
      <c r="K15" s="9">
        <f t="shared" si="2"/>
        <v>384210.2</v>
      </c>
    </row>
    <row r="17" spans="1:11" ht="14.25" customHeight="1">
      <c r="A17" s="36" t="s">
        <v>86</v>
      </c>
    </row>
    <row r="18" spans="1:11" ht="14.25" customHeight="1">
      <c r="A18" s="36" t="s">
        <v>87</v>
      </c>
      <c r="B18" s="9">
        <f t="shared" ref="B18:K18" si="3">B19+B20+B25</f>
        <v>520872</v>
      </c>
      <c r="C18" s="9">
        <f t="shared" si="3"/>
        <v>530785</v>
      </c>
      <c r="D18" s="9">
        <f t="shared" si="3"/>
        <v>445840</v>
      </c>
      <c r="E18" s="9">
        <f t="shared" si="3"/>
        <v>373726</v>
      </c>
      <c r="F18" s="9">
        <f t="shared" si="3"/>
        <v>363986</v>
      </c>
      <c r="G18" s="9">
        <f t="shared" si="3"/>
        <v>365356</v>
      </c>
      <c r="H18" s="9">
        <f t="shared" si="3"/>
        <v>365923</v>
      </c>
      <c r="I18" s="9">
        <f t="shared" si="3"/>
        <v>368372</v>
      </c>
      <c r="J18" s="9">
        <f t="shared" si="3"/>
        <v>368434</v>
      </c>
      <c r="K18" s="9">
        <f t="shared" si="3"/>
        <v>367149</v>
      </c>
    </row>
    <row r="19" spans="1:11" ht="15" customHeight="1">
      <c r="A19" s="36" t="s">
        <v>88</v>
      </c>
      <c r="B19" s="9">
        <v>5936</v>
      </c>
      <c r="C19" s="9">
        <v>5788</v>
      </c>
      <c r="D19" s="9">
        <v>5793</v>
      </c>
      <c r="E19" s="9">
        <v>5839</v>
      </c>
      <c r="F19" s="9">
        <v>5806</v>
      </c>
      <c r="G19" s="9">
        <v>5813</v>
      </c>
      <c r="H19" s="9">
        <v>5819</v>
      </c>
      <c r="I19" s="9">
        <v>5813</v>
      </c>
      <c r="J19" s="9">
        <v>5815</v>
      </c>
      <c r="K19" s="9">
        <v>5816</v>
      </c>
    </row>
    <row r="20" spans="1:11" ht="15" customHeight="1">
      <c r="A20" s="36" t="s">
        <v>89</v>
      </c>
      <c r="B20" s="9">
        <v>162395</v>
      </c>
      <c r="C20" s="9">
        <v>167240</v>
      </c>
      <c r="D20" s="9">
        <v>171181</v>
      </c>
      <c r="E20" s="9">
        <v>168553</v>
      </c>
      <c r="F20" s="9">
        <v>170733</v>
      </c>
      <c r="G20" s="9">
        <v>171855</v>
      </c>
      <c r="H20" s="9">
        <v>172110</v>
      </c>
      <c r="I20" s="9">
        <v>173294</v>
      </c>
      <c r="J20" s="9">
        <v>174163</v>
      </c>
      <c r="K20" s="9">
        <v>174936</v>
      </c>
    </row>
    <row r="21" spans="1:11" ht="14.25" customHeight="1">
      <c r="A21" s="8" t="s">
        <v>90</v>
      </c>
      <c r="B21" s="9">
        <v>4975</v>
      </c>
      <c r="C21" s="9">
        <v>4724</v>
      </c>
      <c r="D21" s="9">
        <v>4898</v>
      </c>
      <c r="E21" s="9">
        <v>4859</v>
      </c>
      <c r="F21" s="9">
        <v>4927</v>
      </c>
      <c r="G21" s="9">
        <v>4942</v>
      </c>
      <c r="H21" s="9">
        <v>4984</v>
      </c>
      <c r="I21" s="9">
        <v>5013</v>
      </c>
      <c r="J21" s="9">
        <v>5048</v>
      </c>
      <c r="K21" s="9">
        <v>5081</v>
      </c>
    </row>
    <row r="22" spans="1:11" ht="14.25" customHeight="1">
      <c r="A22" s="8" t="s">
        <v>91</v>
      </c>
      <c r="B22" s="9">
        <v>912</v>
      </c>
      <c r="C22" s="9">
        <v>983</v>
      </c>
      <c r="D22" s="9">
        <v>1223</v>
      </c>
      <c r="E22" s="9">
        <v>1050</v>
      </c>
      <c r="F22" s="9">
        <v>1096</v>
      </c>
      <c r="G22" s="9">
        <v>1134</v>
      </c>
      <c r="H22" s="9">
        <v>1104</v>
      </c>
      <c r="I22" s="9">
        <v>1122</v>
      </c>
      <c r="J22" s="9">
        <v>1131</v>
      </c>
      <c r="K22" s="9">
        <v>1131</v>
      </c>
    </row>
    <row r="23" spans="1:11" ht="14.25" customHeight="1">
      <c r="A23" s="8" t="s">
        <v>92</v>
      </c>
      <c r="B23" s="9">
        <v>1228</v>
      </c>
      <c r="C23" s="9">
        <v>1197</v>
      </c>
      <c r="D23" s="9">
        <v>1206</v>
      </c>
      <c r="E23" s="9">
        <v>1222</v>
      </c>
      <c r="F23" s="9">
        <v>1220</v>
      </c>
      <c r="G23" s="9">
        <v>1228</v>
      </c>
      <c r="H23" s="9">
        <v>1236</v>
      </c>
      <c r="I23" s="9">
        <v>1240</v>
      </c>
      <c r="J23" s="9">
        <v>1247</v>
      </c>
      <c r="K23" s="9">
        <v>1253</v>
      </c>
    </row>
    <row r="24" spans="1:11" ht="14.25" customHeight="1">
      <c r="A24" s="8" t="s">
        <v>93</v>
      </c>
      <c r="B24" s="9">
        <v>155280</v>
      </c>
      <c r="C24" s="9">
        <v>160337</v>
      </c>
      <c r="D24" s="9">
        <v>163854</v>
      </c>
      <c r="E24" s="9">
        <v>161422</v>
      </c>
      <c r="F24" s="9">
        <v>163490</v>
      </c>
      <c r="G24" s="9">
        <v>164551</v>
      </c>
      <c r="H24" s="9">
        <v>164786</v>
      </c>
      <c r="I24" s="9">
        <v>165918</v>
      </c>
      <c r="J24" s="9">
        <v>166736</v>
      </c>
      <c r="K24" s="9">
        <v>167472</v>
      </c>
    </row>
    <row r="25" spans="1:11" ht="15" customHeight="1">
      <c r="A25" s="36" t="s">
        <v>94</v>
      </c>
      <c r="B25" s="9">
        <v>352541</v>
      </c>
      <c r="C25" s="9">
        <v>357757</v>
      </c>
      <c r="D25" s="9">
        <v>268866</v>
      </c>
      <c r="E25" s="9">
        <v>199334</v>
      </c>
      <c r="F25" s="9">
        <v>187447</v>
      </c>
      <c r="G25" s="9">
        <v>187688</v>
      </c>
      <c r="H25" s="9">
        <v>187994</v>
      </c>
      <c r="I25" s="9">
        <v>189265</v>
      </c>
      <c r="J25" s="9">
        <v>188456</v>
      </c>
      <c r="K25" s="9">
        <v>186397</v>
      </c>
    </row>
    <row r="26" spans="1:11" ht="14.25" customHeight="1">
      <c r="A26" s="36" t="s">
        <v>95</v>
      </c>
      <c r="B26" s="9">
        <f t="shared" ref="B26:K26" si="4">B27+B28</f>
        <v>24189</v>
      </c>
      <c r="C26" s="9">
        <f t="shared" si="4"/>
        <v>28352</v>
      </c>
      <c r="D26" s="9">
        <f t="shared" si="4"/>
        <v>21428</v>
      </c>
      <c r="E26" s="9">
        <f t="shared" si="4"/>
        <v>21542</v>
      </c>
      <c r="F26" s="9">
        <f t="shared" si="4"/>
        <v>20337</v>
      </c>
      <c r="G26" s="9">
        <f t="shared" si="4"/>
        <v>19272</v>
      </c>
      <c r="H26" s="9">
        <f t="shared" si="4"/>
        <v>18037</v>
      </c>
      <c r="I26" s="9">
        <f t="shared" si="4"/>
        <v>17018</v>
      </c>
      <c r="J26" s="9">
        <f t="shared" si="4"/>
        <v>16145</v>
      </c>
      <c r="K26" s="9">
        <f t="shared" si="4"/>
        <v>15309</v>
      </c>
    </row>
    <row r="27" spans="1:11" ht="15" customHeight="1">
      <c r="A27" s="36" t="s">
        <v>96</v>
      </c>
      <c r="B27" s="9">
        <v>22189</v>
      </c>
      <c r="C27" s="9">
        <v>26352</v>
      </c>
      <c r="D27" s="9">
        <v>19428</v>
      </c>
      <c r="E27" s="9">
        <v>19542</v>
      </c>
      <c r="F27" s="9">
        <v>18337</v>
      </c>
      <c r="G27" s="9">
        <v>17272</v>
      </c>
      <c r="H27" s="9">
        <v>16037</v>
      </c>
      <c r="I27" s="9">
        <v>15018</v>
      </c>
      <c r="J27" s="9">
        <v>14145</v>
      </c>
      <c r="K27" s="9">
        <v>13309</v>
      </c>
    </row>
    <row r="28" spans="1:11" ht="15" customHeight="1">
      <c r="A28" s="36" t="s">
        <v>97</v>
      </c>
      <c r="B28" s="9">
        <v>2000</v>
      </c>
      <c r="C28" s="9">
        <v>2000</v>
      </c>
      <c r="D28" s="9">
        <v>2000</v>
      </c>
      <c r="E28" s="9">
        <v>2000</v>
      </c>
      <c r="F28" s="9">
        <v>2000</v>
      </c>
      <c r="G28" s="9">
        <v>2000</v>
      </c>
      <c r="H28" s="9">
        <v>2000</v>
      </c>
      <c r="I28" s="9">
        <v>2000</v>
      </c>
      <c r="J28" s="9">
        <v>2000</v>
      </c>
      <c r="K28" s="9">
        <v>2000</v>
      </c>
    </row>
    <row r="29" spans="1:11" ht="15" customHeight="1">
      <c r="A29" s="36" t="s">
        <v>98</v>
      </c>
      <c r="B29" s="9">
        <f t="shared" ref="B29:K29" si="5">B18+B26</f>
        <v>545061</v>
      </c>
      <c r="C29" s="9">
        <f t="shared" si="5"/>
        <v>559137</v>
      </c>
      <c r="D29" s="9">
        <f t="shared" si="5"/>
        <v>467268</v>
      </c>
      <c r="E29" s="9">
        <f t="shared" si="5"/>
        <v>395268</v>
      </c>
      <c r="F29" s="9">
        <f t="shared" si="5"/>
        <v>384323</v>
      </c>
      <c r="G29" s="9">
        <f t="shared" si="5"/>
        <v>384628</v>
      </c>
      <c r="H29" s="9">
        <f t="shared" si="5"/>
        <v>383960</v>
      </c>
      <c r="I29" s="9">
        <f t="shared" si="5"/>
        <v>385390</v>
      </c>
      <c r="J29" s="9">
        <f t="shared" si="5"/>
        <v>384579</v>
      </c>
      <c r="K29" s="9">
        <f t="shared" si="5"/>
        <v>382458</v>
      </c>
    </row>
    <row r="31" spans="1:11" ht="16.5" customHeight="1">
      <c r="A31" s="3" t="s">
        <v>99</v>
      </c>
      <c r="B31" s="37">
        <f t="shared" ref="B31:K31" si="6">B15-B29</f>
        <v>-3091.1999999999534</v>
      </c>
      <c r="C31" s="37">
        <f t="shared" si="6"/>
        <v>-11224.900000000023</v>
      </c>
      <c r="D31" s="37">
        <f t="shared" si="6"/>
        <v>-565.70000000001164</v>
      </c>
      <c r="E31" s="37">
        <f t="shared" si="6"/>
        <v>3834.7000000000116</v>
      </c>
      <c r="F31" s="37">
        <f t="shared" si="6"/>
        <v>1179.5</v>
      </c>
      <c r="G31" s="37">
        <f t="shared" si="6"/>
        <v>272.79999999998836</v>
      </c>
      <c r="H31" s="37">
        <f t="shared" si="6"/>
        <v>1206.2000000000116</v>
      </c>
      <c r="I31" s="37">
        <f t="shared" si="6"/>
        <v>31.5</v>
      </c>
      <c r="J31" s="37">
        <f t="shared" si="6"/>
        <v>339.29999999998836</v>
      </c>
      <c r="K31" s="37">
        <f t="shared" si="6"/>
        <v>1752.2000000000116</v>
      </c>
    </row>
    <row r="33" spans="1:11" ht="14.25" customHeight="1">
      <c r="A33" s="3" t="s">
        <v>100</v>
      </c>
      <c r="B33" s="38">
        <f t="shared" ref="B33:K33" si="7">IF(B29=0,"-",B15/B29)</f>
        <v>0.99432870816293961</v>
      </c>
      <c r="C33" s="38">
        <f t="shared" si="7"/>
        <v>0.97992459808597887</v>
      </c>
      <c r="D33" s="38">
        <f t="shared" si="7"/>
        <v>0.99878934572878941</v>
      </c>
      <c r="E33" s="38">
        <f t="shared" si="7"/>
        <v>1.0097015189694081</v>
      </c>
      <c r="F33" s="38">
        <f t="shared" si="7"/>
        <v>1.0030690330789467</v>
      </c>
      <c r="G33" s="38">
        <f t="shared" si="7"/>
        <v>1.0007092567363791</v>
      </c>
      <c r="H33" s="38">
        <f t="shared" si="7"/>
        <v>1.0031414730701116</v>
      </c>
      <c r="I33" s="38">
        <f t="shared" si="7"/>
        <v>1.0000817353849347</v>
      </c>
      <c r="J33" s="38">
        <f t="shared" si="7"/>
        <v>1.0008822634621235</v>
      </c>
      <c r="K33" s="38">
        <f t="shared" si="7"/>
        <v>1.0045814180903525</v>
      </c>
    </row>
    <row r="34" spans="1:11" ht="14.25" customHeight="1">
      <c r="A34" s="36" t="s">
        <v>101</v>
      </c>
      <c r="B34" s="9">
        <f t="shared" ref="B34:K34" si="8">B19+B20</f>
        <v>168331</v>
      </c>
      <c r="C34" s="9">
        <f t="shared" si="8"/>
        <v>173028</v>
      </c>
      <c r="D34" s="9">
        <f t="shared" si="8"/>
        <v>176974</v>
      </c>
      <c r="E34" s="9">
        <f t="shared" si="8"/>
        <v>174392</v>
      </c>
      <c r="F34" s="9">
        <f t="shared" si="8"/>
        <v>176539</v>
      </c>
      <c r="G34" s="9">
        <f t="shared" si="8"/>
        <v>177668</v>
      </c>
      <c r="H34" s="9">
        <f t="shared" si="8"/>
        <v>177929</v>
      </c>
      <c r="I34" s="9">
        <f t="shared" si="8"/>
        <v>179107</v>
      </c>
      <c r="J34" s="9">
        <f t="shared" si="8"/>
        <v>179978</v>
      </c>
      <c r="K34" s="9">
        <f t="shared" si="8"/>
        <v>180752</v>
      </c>
    </row>
    <row r="35" spans="1:11" ht="14.25" customHeight="1">
      <c r="A35" s="3" t="s">
        <v>102</v>
      </c>
      <c r="B35" s="38">
        <f t="shared" ref="B35:K35" si="9">IF(B34=0,"-",B8/B34)</f>
        <v>0.37558619624430439</v>
      </c>
      <c r="C35" s="38">
        <f t="shared" si="9"/>
        <v>0.3962948193355989</v>
      </c>
      <c r="D35" s="38">
        <f t="shared" si="9"/>
        <v>0.42743736368054064</v>
      </c>
      <c r="E35" s="38">
        <f t="shared" si="9"/>
        <v>0.430694641956053</v>
      </c>
      <c r="F35" s="38">
        <f t="shared" si="9"/>
        <v>0.42252703368660749</v>
      </c>
      <c r="G35" s="38">
        <f t="shared" si="9"/>
        <v>0.41677060584911185</v>
      </c>
      <c r="H35" s="38">
        <f t="shared" si="9"/>
        <v>0.41309286288350971</v>
      </c>
      <c r="I35" s="38">
        <f t="shared" si="9"/>
        <v>0.40732913844796687</v>
      </c>
      <c r="J35" s="38">
        <f t="shared" si="9"/>
        <v>0.40222304948382581</v>
      </c>
      <c r="K35" s="38">
        <f t="shared" si="9"/>
        <v>0.39753474373727538</v>
      </c>
    </row>
    <row r="36" spans="1:11" ht="14.25" customHeight="1">
      <c r="A36" s="36" t="s">
        <v>28</v>
      </c>
      <c r="B36" s="9">
        <v>452089</v>
      </c>
      <c r="C36" s="9">
        <v>449052</v>
      </c>
      <c r="D36" s="9">
        <v>445934</v>
      </c>
      <c r="E36" s="9">
        <v>442898</v>
      </c>
      <c r="F36" s="9">
        <v>439779</v>
      </c>
      <c r="G36" s="9">
        <v>436743</v>
      </c>
      <c r="H36" s="9">
        <v>433542</v>
      </c>
      <c r="I36" s="9">
        <v>430342</v>
      </c>
      <c r="J36" s="9">
        <v>427141</v>
      </c>
      <c r="K36" s="9">
        <v>423859</v>
      </c>
    </row>
    <row r="38" spans="1:11" ht="15" customHeight="1">
      <c r="A38" s="10" t="s">
        <v>124</v>
      </c>
    </row>
    <row r="39" spans="1:11" ht="14.25" customHeight="1">
      <c r="A39" s="11" t="s">
        <v>125</v>
      </c>
    </row>
    <row r="41" spans="1:11" ht="14.25" customHeight="1">
      <c r="A41" s="36" t="s">
        <v>126</v>
      </c>
    </row>
    <row r="42" spans="1:11" ht="14.25" customHeight="1">
      <c r="A42" s="36" t="s">
        <v>127</v>
      </c>
    </row>
    <row r="43" spans="1:11" ht="14.25" customHeight="1">
      <c r="A43" s="36" t="s">
        <v>128</v>
      </c>
    </row>
    <row r="44" spans="1:11" ht="14.25" customHeight="1">
      <c r="A44" s="36" t="s">
        <v>129</v>
      </c>
    </row>
    <row r="45" spans="1:11" ht="14.25" customHeight="1">
      <c r="A45" s="36" t="s">
        <v>130</v>
      </c>
    </row>
    <row r="46" spans="1:11" ht="15" customHeight="1">
      <c r="A46" s="36" t="s">
        <v>131</v>
      </c>
    </row>
    <row r="48" spans="1:11" ht="14.25" customHeight="1">
      <c r="A48" s="36" t="s">
        <v>132</v>
      </c>
    </row>
    <row r="49" spans="1:1" ht="14.25" customHeight="1">
      <c r="A49" s="36" t="s">
        <v>133</v>
      </c>
    </row>
    <row r="50" spans="1:1" ht="14.25" customHeight="1">
      <c r="A50" s="36" t="s">
        <v>134</v>
      </c>
    </row>
    <row r="51" spans="1:1" ht="14.25" customHeight="1">
      <c r="A51" s="36" t="s">
        <v>130</v>
      </c>
    </row>
    <row r="52" spans="1:1" ht="15" customHeight="1">
      <c r="A52" s="36" t="s">
        <v>135</v>
      </c>
    </row>
    <row r="54" spans="1:1" ht="15" customHeight="1">
      <c r="A54" s="36" t="s">
        <v>136</v>
      </c>
    </row>
    <row r="56" spans="1:1" ht="14.25" customHeight="1">
      <c r="A56" s="36" t="s">
        <v>137</v>
      </c>
    </row>
    <row r="57" spans="1:1" ht="14.25" customHeight="1">
      <c r="A57" s="36" t="s">
        <v>138</v>
      </c>
    </row>
    <row r="58" spans="1:1" ht="14.25" customHeight="1">
      <c r="A58" s="36" t="s">
        <v>139</v>
      </c>
    </row>
    <row r="59" spans="1:1" ht="14.25" customHeight="1">
      <c r="A59" s="36" t="s">
        <v>140</v>
      </c>
    </row>
    <row r="60" spans="1:1" ht="14.25" customHeight="1">
      <c r="A60" s="36" t="s">
        <v>141</v>
      </c>
    </row>
    <row r="62" spans="1:1" ht="14.25" customHeight="1">
      <c r="A62" s="36" t="s">
        <v>142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2"/>
  <sheetViews>
    <sheetView zoomScaleNormal="100" workbookViewId="0">
      <selection activeCell="B8" sqref="B8:K8"/>
    </sheetView>
  </sheetViews>
  <sheetFormatPr defaultColWidth="8.6640625" defaultRowHeight="14.4"/>
  <cols>
    <col min="1" max="1" width="22" customWidth="1"/>
    <col min="2" max="11" width="14" customWidth="1"/>
  </cols>
  <sheetData>
    <row r="1" spans="1:11" ht="15.75" customHeight="1">
      <c r="A1" s="6" t="s">
        <v>144</v>
      </c>
    </row>
    <row r="2" spans="1:11" ht="16.5" customHeight="1">
      <c r="A2" s="8" t="s">
        <v>123</v>
      </c>
    </row>
    <row r="4" spans="1:11" ht="15" customHeight="1">
      <c r="A4" s="10" t="s">
        <v>75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</row>
    <row r="5" spans="1:11" ht="14.25" customHeight="1">
      <c r="A5" s="36" t="s">
        <v>76</v>
      </c>
      <c r="B5" s="36">
        <v>2025</v>
      </c>
      <c r="C5" s="36">
        <v>2026</v>
      </c>
      <c r="D5" s="36">
        <v>2027</v>
      </c>
      <c r="E5" s="36">
        <v>2028</v>
      </c>
      <c r="F5" s="36">
        <v>2029</v>
      </c>
      <c r="G5" s="36">
        <v>2030</v>
      </c>
      <c r="H5" s="36">
        <v>2031</v>
      </c>
      <c r="I5" s="36">
        <v>2032</v>
      </c>
      <c r="J5" s="36">
        <v>2033</v>
      </c>
      <c r="K5" s="36">
        <v>2034</v>
      </c>
    </row>
    <row r="6" spans="1:11" ht="14.25" customHeight="1">
      <c r="A6" s="36" t="s">
        <v>77</v>
      </c>
    </row>
    <row r="7" spans="1:11" ht="15" customHeight="1">
      <c r="A7" s="36" t="s">
        <v>78</v>
      </c>
      <c r="B7" s="9">
        <f t="shared" ref="B7:K7" si="0">B8+B9+B10</f>
        <v>69269.7</v>
      </c>
      <c r="C7" s="9">
        <f t="shared" si="0"/>
        <v>81620.5</v>
      </c>
      <c r="D7" s="9">
        <f t="shared" si="0"/>
        <v>81138.600000000006</v>
      </c>
      <c r="E7" s="9">
        <f t="shared" si="0"/>
        <v>80502.100000000006</v>
      </c>
      <c r="F7" s="9">
        <f t="shared" si="0"/>
        <v>79968.7</v>
      </c>
      <c r="G7" s="9">
        <f t="shared" si="0"/>
        <v>79393.100000000006</v>
      </c>
      <c r="H7" s="9">
        <f t="shared" si="0"/>
        <v>78797.8</v>
      </c>
      <c r="I7" s="9">
        <f t="shared" si="0"/>
        <v>78219.199999999997</v>
      </c>
      <c r="J7" s="9">
        <f t="shared" si="0"/>
        <v>77618.2</v>
      </c>
      <c r="K7" s="9">
        <f t="shared" si="0"/>
        <v>77044</v>
      </c>
    </row>
    <row r="8" spans="1:11" ht="15" customHeight="1">
      <c r="A8" s="36" t="s">
        <v>79</v>
      </c>
      <c r="B8" s="9">
        <v>69110.7</v>
      </c>
      <c r="C8" s="9">
        <v>81408.5</v>
      </c>
      <c r="D8" s="9">
        <v>80855.600000000006</v>
      </c>
      <c r="E8" s="9">
        <v>80284.100000000006</v>
      </c>
      <c r="F8" s="9">
        <v>79730.7</v>
      </c>
      <c r="G8" s="9">
        <v>79147.100000000006</v>
      </c>
      <c r="H8" s="9">
        <v>78563.8</v>
      </c>
      <c r="I8" s="9">
        <v>77980.2</v>
      </c>
      <c r="J8" s="9">
        <v>77378.2</v>
      </c>
      <c r="K8" s="9">
        <v>76806</v>
      </c>
    </row>
    <row r="9" spans="1:11" ht="15" customHeight="1">
      <c r="A9" s="36" t="s">
        <v>80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5" customHeight="1">
      <c r="A10" s="36" t="s">
        <v>81</v>
      </c>
      <c r="B10" s="9">
        <v>159</v>
      </c>
      <c r="C10" s="9">
        <v>212</v>
      </c>
      <c r="D10" s="9">
        <v>283</v>
      </c>
      <c r="E10" s="9">
        <v>218</v>
      </c>
      <c r="F10" s="9">
        <v>238</v>
      </c>
      <c r="G10" s="9">
        <v>246</v>
      </c>
      <c r="H10" s="9">
        <v>234</v>
      </c>
      <c r="I10" s="9">
        <v>239</v>
      </c>
      <c r="J10" s="9">
        <v>240</v>
      </c>
      <c r="K10" s="9">
        <v>238</v>
      </c>
    </row>
    <row r="11" spans="1:11" ht="14.25" customHeight="1">
      <c r="A11" s="36" t="s">
        <v>82</v>
      </c>
      <c r="B11" s="9">
        <f t="shared" ref="B11:K11" si="1">B12+B13+B14</f>
        <v>478588</v>
      </c>
      <c r="C11" s="9">
        <f t="shared" si="1"/>
        <v>479130</v>
      </c>
      <c r="D11" s="9">
        <f t="shared" si="1"/>
        <v>390774</v>
      </c>
      <c r="E11" s="9">
        <f t="shared" si="1"/>
        <v>323775</v>
      </c>
      <c r="F11" s="9">
        <f t="shared" si="1"/>
        <v>310672</v>
      </c>
      <c r="G11" s="9">
        <f t="shared" si="1"/>
        <v>310608</v>
      </c>
      <c r="H11" s="9">
        <f t="shared" si="1"/>
        <v>311431</v>
      </c>
      <c r="I11" s="9">
        <f t="shared" si="1"/>
        <v>312227</v>
      </c>
      <c r="J11" s="9">
        <f t="shared" si="1"/>
        <v>312287</v>
      </c>
      <c r="K11" s="9">
        <f t="shared" si="1"/>
        <v>312117</v>
      </c>
    </row>
    <row r="12" spans="1:11" ht="15" customHeight="1">
      <c r="A12" s="36" t="s">
        <v>83</v>
      </c>
      <c r="B12" s="9">
        <v>151133</v>
      </c>
      <c r="C12" s="9">
        <v>151437</v>
      </c>
      <c r="D12" s="9">
        <v>169454</v>
      </c>
      <c r="E12" s="9">
        <v>183394</v>
      </c>
      <c r="F12" s="9">
        <v>186588</v>
      </c>
      <c r="G12" s="9">
        <v>186657</v>
      </c>
      <c r="H12" s="9">
        <v>186749</v>
      </c>
      <c r="I12" s="9">
        <v>186849</v>
      </c>
      <c r="J12" s="9">
        <v>187381</v>
      </c>
      <c r="K12" s="9">
        <v>188114</v>
      </c>
    </row>
    <row r="13" spans="1:11" ht="15" customHeight="1">
      <c r="A13" s="36" t="s">
        <v>84</v>
      </c>
      <c r="B13" s="9">
        <v>309898</v>
      </c>
      <c r="C13" s="9">
        <v>311906</v>
      </c>
      <c r="D13" s="9">
        <v>208677</v>
      </c>
      <c r="E13" s="9">
        <v>125052</v>
      </c>
      <c r="F13" s="9">
        <v>109497</v>
      </c>
      <c r="G13" s="9">
        <v>109765</v>
      </c>
      <c r="H13" s="9">
        <v>109981</v>
      </c>
      <c r="I13" s="9">
        <v>110887</v>
      </c>
      <c r="J13" s="9">
        <v>110446</v>
      </c>
      <c r="K13" s="9">
        <v>109452</v>
      </c>
    </row>
    <row r="14" spans="1:11" ht="15" customHeight="1">
      <c r="A14" s="36" t="s">
        <v>81</v>
      </c>
      <c r="B14" s="9">
        <v>17557</v>
      </c>
      <c r="C14" s="9">
        <v>15787</v>
      </c>
      <c r="D14" s="9">
        <v>12643</v>
      </c>
      <c r="E14" s="9">
        <v>15329</v>
      </c>
      <c r="F14" s="9">
        <v>14587</v>
      </c>
      <c r="G14" s="9">
        <v>14186</v>
      </c>
      <c r="H14" s="9">
        <v>14701</v>
      </c>
      <c r="I14" s="9">
        <v>14491</v>
      </c>
      <c r="J14" s="9">
        <v>14460</v>
      </c>
      <c r="K14" s="9">
        <v>14551</v>
      </c>
    </row>
    <row r="15" spans="1:11" ht="15" customHeight="1">
      <c r="A15" s="36" t="s">
        <v>85</v>
      </c>
      <c r="B15" s="9">
        <f t="shared" ref="B15:K15" si="2">B7+B11</f>
        <v>547857.69999999995</v>
      </c>
      <c r="C15" s="9">
        <f t="shared" si="2"/>
        <v>560750.5</v>
      </c>
      <c r="D15" s="9">
        <f t="shared" si="2"/>
        <v>471912.6</v>
      </c>
      <c r="E15" s="9">
        <f t="shared" si="2"/>
        <v>404277.1</v>
      </c>
      <c r="F15" s="9">
        <f t="shared" si="2"/>
        <v>390640.7</v>
      </c>
      <c r="G15" s="9">
        <f t="shared" si="2"/>
        <v>390001.1</v>
      </c>
      <c r="H15" s="9">
        <f t="shared" si="2"/>
        <v>390228.8</v>
      </c>
      <c r="I15" s="9">
        <f t="shared" si="2"/>
        <v>390446.2</v>
      </c>
      <c r="J15" s="9">
        <f t="shared" si="2"/>
        <v>389905.2</v>
      </c>
      <c r="K15" s="9">
        <f t="shared" si="2"/>
        <v>389161</v>
      </c>
    </row>
    <row r="17" spans="1:11" ht="14.25" customHeight="1">
      <c r="A17" s="36" t="s">
        <v>86</v>
      </c>
    </row>
    <row r="18" spans="1:11" ht="14.25" customHeight="1">
      <c r="A18" s="36" t="s">
        <v>87</v>
      </c>
      <c r="B18" s="9">
        <f t="shared" ref="B18:K18" si="3">B19+B20+B25</f>
        <v>520872</v>
      </c>
      <c r="C18" s="9">
        <f t="shared" si="3"/>
        <v>530785</v>
      </c>
      <c r="D18" s="9">
        <f t="shared" si="3"/>
        <v>445840</v>
      </c>
      <c r="E18" s="9">
        <f t="shared" si="3"/>
        <v>373726</v>
      </c>
      <c r="F18" s="9">
        <f t="shared" si="3"/>
        <v>363986</v>
      </c>
      <c r="G18" s="9">
        <f t="shared" si="3"/>
        <v>365356</v>
      </c>
      <c r="H18" s="9">
        <f t="shared" si="3"/>
        <v>365923</v>
      </c>
      <c r="I18" s="9">
        <f t="shared" si="3"/>
        <v>368372</v>
      </c>
      <c r="J18" s="9">
        <f t="shared" si="3"/>
        <v>368434</v>
      </c>
      <c r="K18" s="9">
        <f t="shared" si="3"/>
        <v>367149</v>
      </c>
    </row>
    <row r="19" spans="1:11" ht="15" customHeight="1">
      <c r="A19" s="36" t="s">
        <v>88</v>
      </c>
      <c r="B19" s="9">
        <v>5936</v>
      </c>
      <c r="C19" s="9">
        <v>5788</v>
      </c>
      <c r="D19" s="9">
        <v>5793</v>
      </c>
      <c r="E19" s="9">
        <v>5839</v>
      </c>
      <c r="F19" s="9">
        <v>5806</v>
      </c>
      <c r="G19" s="9">
        <v>5813</v>
      </c>
      <c r="H19" s="9">
        <v>5819</v>
      </c>
      <c r="I19" s="9">
        <v>5813</v>
      </c>
      <c r="J19" s="9">
        <v>5815</v>
      </c>
      <c r="K19" s="9">
        <v>5816</v>
      </c>
    </row>
    <row r="20" spans="1:11" ht="15" customHeight="1">
      <c r="A20" s="36" t="s">
        <v>89</v>
      </c>
      <c r="B20" s="9">
        <v>162395</v>
      </c>
      <c r="C20" s="9">
        <v>167240</v>
      </c>
      <c r="D20" s="9">
        <v>171181</v>
      </c>
      <c r="E20" s="9">
        <v>168553</v>
      </c>
      <c r="F20" s="9">
        <v>170733</v>
      </c>
      <c r="G20" s="9">
        <v>171855</v>
      </c>
      <c r="H20" s="9">
        <v>172110</v>
      </c>
      <c r="I20" s="9">
        <v>173294</v>
      </c>
      <c r="J20" s="9">
        <v>174163</v>
      </c>
      <c r="K20" s="9">
        <v>174936</v>
      </c>
    </row>
    <row r="21" spans="1:11" ht="14.25" customHeight="1">
      <c r="A21" s="8" t="s">
        <v>90</v>
      </c>
      <c r="B21" s="9">
        <v>4975</v>
      </c>
      <c r="C21" s="9">
        <v>4724</v>
      </c>
      <c r="D21" s="9">
        <v>4898</v>
      </c>
      <c r="E21" s="9">
        <v>4859</v>
      </c>
      <c r="F21" s="9">
        <v>4927</v>
      </c>
      <c r="G21" s="9">
        <v>4942</v>
      </c>
      <c r="H21" s="9">
        <v>4984</v>
      </c>
      <c r="I21" s="9">
        <v>5013</v>
      </c>
      <c r="J21" s="9">
        <v>5048</v>
      </c>
      <c r="K21" s="9">
        <v>5081</v>
      </c>
    </row>
    <row r="22" spans="1:11" ht="14.25" customHeight="1">
      <c r="A22" s="8" t="s">
        <v>91</v>
      </c>
      <c r="B22" s="9">
        <v>912</v>
      </c>
      <c r="C22" s="9">
        <v>983</v>
      </c>
      <c r="D22" s="9">
        <v>1223</v>
      </c>
      <c r="E22" s="9">
        <v>1050</v>
      </c>
      <c r="F22" s="9">
        <v>1096</v>
      </c>
      <c r="G22" s="9">
        <v>1134</v>
      </c>
      <c r="H22" s="9">
        <v>1104</v>
      </c>
      <c r="I22" s="9">
        <v>1122</v>
      </c>
      <c r="J22" s="9">
        <v>1131</v>
      </c>
      <c r="K22" s="9">
        <v>1131</v>
      </c>
    </row>
    <row r="23" spans="1:11" ht="14.25" customHeight="1">
      <c r="A23" s="8" t="s">
        <v>92</v>
      </c>
      <c r="B23" s="9">
        <v>1228</v>
      </c>
      <c r="C23" s="9">
        <v>1197</v>
      </c>
      <c r="D23" s="9">
        <v>1206</v>
      </c>
      <c r="E23" s="9">
        <v>1222</v>
      </c>
      <c r="F23" s="9">
        <v>1220</v>
      </c>
      <c r="G23" s="9">
        <v>1228</v>
      </c>
      <c r="H23" s="9">
        <v>1236</v>
      </c>
      <c r="I23" s="9">
        <v>1240</v>
      </c>
      <c r="J23" s="9">
        <v>1247</v>
      </c>
      <c r="K23" s="9">
        <v>1253</v>
      </c>
    </row>
    <row r="24" spans="1:11" ht="14.25" customHeight="1">
      <c r="A24" s="8" t="s">
        <v>93</v>
      </c>
      <c r="B24" s="9">
        <v>155280</v>
      </c>
      <c r="C24" s="9">
        <v>160337</v>
      </c>
      <c r="D24" s="9">
        <v>163854</v>
      </c>
      <c r="E24" s="9">
        <v>161422</v>
      </c>
      <c r="F24" s="9">
        <v>163490</v>
      </c>
      <c r="G24" s="9">
        <v>164551</v>
      </c>
      <c r="H24" s="9">
        <v>164786</v>
      </c>
      <c r="I24" s="9">
        <v>165918</v>
      </c>
      <c r="J24" s="9">
        <v>166736</v>
      </c>
      <c r="K24" s="9">
        <v>167472</v>
      </c>
    </row>
    <row r="25" spans="1:11" ht="15" customHeight="1">
      <c r="A25" s="36" t="s">
        <v>94</v>
      </c>
      <c r="B25" s="9">
        <v>352541</v>
      </c>
      <c r="C25" s="9">
        <v>357757</v>
      </c>
      <c r="D25" s="9">
        <v>268866</v>
      </c>
      <c r="E25" s="9">
        <v>199334</v>
      </c>
      <c r="F25" s="9">
        <v>187447</v>
      </c>
      <c r="G25" s="9">
        <v>187688</v>
      </c>
      <c r="H25" s="9">
        <v>187994</v>
      </c>
      <c r="I25" s="9">
        <v>189265</v>
      </c>
      <c r="J25" s="9">
        <v>188456</v>
      </c>
      <c r="K25" s="9">
        <v>186397</v>
      </c>
    </row>
    <row r="26" spans="1:11" ht="14.25" customHeight="1">
      <c r="A26" s="36" t="s">
        <v>95</v>
      </c>
      <c r="B26" s="9">
        <f t="shared" ref="B26:K26" si="4">B27+B28</f>
        <v>24189</v>
      </c>
      <c r="C26" s="9">
        <f t="shared" si="4"/>
        <v>28352</v>
      </c>
      <c r="D26" s="9">
        <f t="shared" si="4"/>
        <v>21428</v>
      </c>
      <c r="E26" s="9">
        <f t="shared" si="4"/>
        <v>21542</v>
      </c>
      <c r="F26" s="9">
        <f t="shared" si="4"/>
        <v>20337</v>
      </c>
      <c r="G26" s="9">
        <f t="shared" si="4"/>
        <v>19272</v>
      </c>
      <c r="H26" s="9">
        <f t="shared" si="4"/>
        <v>18037</v>
      </c>
      <c r="I26" s="9">
        <f t="shared" si="4"/>
        <v>17018</v>
      </c>
      <c r="J26" s="9">
        <f t="shared" si="4"/>
        <v>16145</v>
      </c>
      <c r="K26" s="9">
        <f t="shared" si="4"/>
        <v>15309</v>
      </c>
    </row>
    <row r="27" spans="1:11" ht="15" customHeight="1">
      <c r="A27" s="36" t="s">
        <v>96</v>
      </c>
      <c r="B27" s="9">
        <v>22189</v>
      </c>
      <c r="C27" s="9">
        <v>26352</v>
      </c>
      <c r="D27" s="9">
        <v>19428</v>
      </c>
      <c r="E27" s="9">
        <v>19542</v>
      </c>
      <c r="F27" s="9">
        <v>18337</v>
      </c>
      <c r="G27" s="9">
        <v>17272</v>
      </c>
      <c r="H27" s="9">
        <v>16037</v>
      </c>
      <c r="I27" s="9">
        <v>15018</v>
      </c>
      <c r="J27" s="9">
        <v>14145</v>
      </c>
      <c r="K27" s="9">
        <v>13309</v>
      </c>
    </row>
    <row r="28" spans="1:11" ht="15" customHeight="1">
      <c r="A28" s="36" t="s">
        <v>97</v>
      </c>
      <c r="B28" s="9">
        <v>2000</v>
      </c>
      <c r="C28" s="9">
        <v>2000</v>
      </c>
      <c r="D28" s="9">
        <v>2000</v>
      </c>
      <c r="E28" s="9">
        <v>2000</v>
      </c>
      <c r="F28" s="9">
        <v>2000</v>
      </c>
      <c r="G28" s="9">
        <v>2000</v>
      </c>
      <c r="H28" s="9">
        <v>2000</v>
      </c>
      <c r="I28" s="9">
        <v>2000</v>
      </c>
      <c r="J28" s="9">
        <v>2000</v>
      </c>
      <c r="K28" s="9">
        <v>2000</v>
      </c>
    </row>
    <row r="29" spans="1:11" ht="15" customHeight="1">
      <c r="A29" s="36" t="s">
        <v>98</v>
      </c>
      <c r="B29" s="9">
        <f t="shared" ref="B29:K29" si="5">B18+B26</f>
        <v>545061</v>
      </c>
      <c r="C29" s="9">
        <f t="shared" si="5"/>
        <v>559137</v>
      </c>
      <c r="D29" s="9">
        <f t="shared" si="5"/>
        <v>467268</v>
      </c>
      <c r="E29" s="9">
        <f t="shared" si="5"/>
        <v>395268</v>
      </c>
      <c r="F29" s="9">
        <f t="shared" si="5"/>
        <v>384323</v>
      </c>
      <c r="G29" s="9">
        <f t="shared" si="5"/>
        <v>384628</v>
      </c>
      <c r="H29" s="9">
        <f t="shared" si="5"/>
        <v>383960</v>
      </c>
      <c r="I29" s="9">
        <f t="shared" si="5"/>
        <v>385390</v>
      </c>
      <c r="J29" s="9">
        <f t="shared" si="5"/>
        <v>384579</v>
      </c>
      <c r="K29" s="9">
        <f t="shared" si="5"/>
        <v>382458</v>
      </c>
    </row>
    <row r="31" spans="1:11" ht="16.5" customHeight="1">
      <c r="A31" s="3" t="s">
        <v>99</v>
      </c>
      <c r="B31" s="37">
        <f t="shared" ref="B31:K31" si="6">B15-B29</f>
        <v>2796.6999999999534</v>
      </c>
      <c r="C31" s="37">
        <f t="shared" si="6"/>
        <v>1613.5</v>
      </c>
      <c r="D31" s="37">
        <f t="shared" si="6"/>
        <v>4644.5999999999767</v>
      </c>
      <c r="E31" s="37">
        <f t="shared" si="6"/>
        <v>9009.0999999999767</v>
      </c>
      <c r="F31" s="37">
        <f t="shared" si="6"/>
        <v>6317.7000000000116</v>
      </c>
      <c r="G31" s="37">
        <f t="shared" si="6"/>
        <v>5373.0999999999767</v>
      </c>
      <c r="H31" s="37">
        <f t="shared" si="6"/>
        <v>6268.7999999999884</v>
      </c>
      <c r="I31" s="37">
        <f t="shared" si="6"/>
        <v>5056.2000000000116</v>
      </c>
      <c r="J31" s="37">
        <f t="shared" si="6"/>
        <v>5326.2000000000116</v>
      </c>
      <c r="K31" s="37">
        <f t="shared" si="6"/>
        <v>6703</v>
      </c>
    </row>
    <row r="33" spans="1:11" ht="14.25" customHeight="1">
      <c r="A33" s="3" t="s">
        <v>100</v>
      </c>
      <c r="B33" s="38">
        <f t="shared" ref="B33:K33" si="7">IF(B29=0,"-",B15/B29)</f>
        <v>1.0051309853392556</v>
      </c>
      <c r="C33" s="38">
        <f t="shared" si="7"/>
        <v>1.0028856970652988</v>
      </c>
      <c r="D33" s="38">
        <f t="shared" si="7"/>
        <v>1.0099399060068313</v>
      </c>
      <c r="E33" s="38">
        <f t="shared" si="7"/>
        <v>1.0227923839015554</v>
      </c>
      <c r="F33" s="38">
        <f t="shared" si="7"/>
        <v>1.0164385165602892</v>
      </c>
      <c r="G33" s="38">
        <f t="shared" si="7"/>
        <v>1.013969601797061</v>
      </c>
      <c r="H33" s="38">
        <f t="shared" si="7"/>
        <v>1.0163267006979892</v>
      </c>
      <c r="I33" s="38">
        <f t="shared" si="7"/>
        <v>1.0131196969303822</v>
      </c>
      <c r="J33" s="38">
        <f t="shared" si="7"/>
        <v>1.0138494301560927</v>
      </c>
      <c r="K33" s="38">
        <f t="shared" si="7"/>
        <v>1.0175261074418629</v>
      </c>
    </row>
    <row r="34" spans="1:11" ht="14.25" customHeight="1">
      <c r="A34" s="36" t="s">
        <v>101</v>
      </c>
      <c r="B34" s="9">
        <f t="shared" ref="B34:K34" si="8">B19+B20</f>
        <v>168331</v>
      </c>
      <c r="C34" s="9">
        <f t="shared" si="8"/>
        <v>173028</v>
      </c>
      <c r="D34" s="9">
        <f t="shared" si="8"/>
        <v>176974</v>
      </c>
      <c r="E34" s="9">
        <f t="shared" si="8"/>
        <v>174392</v>
      </c>
      <c r="F34" s="9">
        <f t="shared" si="8"/>
        <v>176539</v>
      </c>
      <c r="G34" s="9">
        <f t="shared" si="8"/>
        <v>177668</v>
      </c>
      <c r="H34" s="9">
        <f t="shared" si="8"/>
        <v>177929</v>
      </c>
      <c r="I34" s="9">
        <f t="shared" si="8"/>
        <v>179107</v>
      </c>
      <c r="J34" s="9">
        <f t="shared" si="8"/>
        <v>179978</v>
      </c>
      <c r="K34" s="9">
        <f t="shared" si="8"/>
        <v>180752</v>
      </c>
    </row>
    <row r="35" spans="1:11" ht="14.25" customHeight="1">
      <c r="A35" s="3" t="s">
        <v>102</v>
      </c>
      <c r="B35" s="38">
        <f t="shared" ref="B35:K35" si="9">IF(B34=0,"-",B8/B34)</f>
        <v>0.41056430485175038</v>
      </c>
      <c r="C35" s="38">
        <f t="shared" si="9"/>
        <v>0.47049321497098734</v>
      </c>
      <c r="D35" s="38">
        <f t="shared" si="9"/>
        <v>0.45687841151807612</v>
      </c>
      <c r="E35" s="38">
        <f t="shared" si="9"/>
        <v>0.4603657277856783</v>
      </c>
      <c r="F35" s="38">
        <f t="shared" si="9"/>
        <v>0.45163221724378183</v>
      </c>
      <c r="G35" s="38">
        <f t="shared" si="9"/>
        <v>0.44547751986851886</v>
      </c>
      <c r="H35" s="38">
        <f t="shared" si="9"/>
        <v>0.44154578511653525</v>
      </c>
      <c r="I35" s="38">
        <f t="shared" si="9"/>
        <v>0.43538331835159988</v>
      </c>
      <c r="J35" s="38">
        <f t="shared" si="9"/>
        <v>0.42993143606440787</v>
      </c>
      <c r="K35" s="38">
        <f t="shared" si="9"/>
        <v>0.42492475878551828</v>
      </c>
    </row>
    <row r="36" spans="1:11" ht="14.25" customHeight="1">
      <c r="A36" s="36" t="s">
        <v>28</v>
      </c>
      <c r="B36" s="9">
        <v>452089</v>
      </c>
      <c r="C36" s="9">
        <v>449052</v>
      </c>
      <c r="D36" s="9">
        <v>445934</v>
      </c>
      <c r="E36" s="9">
        <v>442898</v>
      </c>
      <c r="F36" s="9">
        <v>439779</v>
      </c>
      <c r="G36" s="9">
        <v>436743</v>
      </c>
      <c r="H36" s="9">
        <v>433542</v>
      </c>
      <c r="I36" s="9">
        <v>430342</v>
      </c>
      <c r="J36" s="9">
        <v>427141</v>
      </c>
      <c r="K36" s="9">
        <v>423859</v>
      </c>
    </row>
    <row r="38" spans="1:11" ht="15" customHeight="1">
      <c r="A38" s="10" t="s">
        <v>124</v>
      </c>
    </row>
    <row r="39" spans="1:11" ht="14.25" customHeight="1">
      <c r="A39" s="11" t="s">
        <v>125</v>
      </c>
    </row>
    <row r="41" spans="1:11" ht="14.25" customHeight="1">
      <c r="A41" s="36" t="s">
        <v>126</v>
      </c>
    </row>
    <row r="42" spans="1:11" ht="14.25" customHeight="1">
      <c r="A42" s="36" t="s">
        <v>127</v>
      </c>
    </row>
    <row r="43" spans="1:11" ht="14.25" customHeight="1">
      <c r="A43" s="36" t="s">
        <v>128</v>
      </c>
    </row>
    <row r="44" spans="1:11" ht="14.25" customHeight="1">
      <c r="A44" s="36" t="s">
        <v>129</v>
      </c>
    </row>
    <row r="45" spans="1:11" ht="14.25" customHeight="1">
      <c r="A45" s="36" t="s">
        <v>130</v>
      </c>
    </row>
    <row r="46" spans="1:11" ht="15" customHeight="1">
      <c r="A46" s="36" t="s">
        <v>131</v>
      </c>
    </row>
    <row r="48" spans="1:11" ht="14.25" customHeight="1">
      <c r="A48" s="36" t="s">
        <v>132</v>
      </c>
    </row>
    <row r="49" spans="1:1" ht="14.25" customHeight="1">
      <c r="A49" s="36" t="s">
        <v>133</v>
      </c>
    </row>
    <row r="50" spans="1:1" ht="14.25" customHeight="1">
      <c r="A50" s="36" t="s">
        <v>134</v>
      </c>
    </row>
    <row r="51" spans="1:1" ht="14.25" customHeight="1">
      <c r="A51" s="36" t="s">
        <v>130</v>
      </c>
    </row>
    <row r="52" spans="1:1" ht="15" customHeight="1">
      <c r="A52" s="36" t="s">
        <v>135</v>
      </c>
    </row>
    <row r="54" spans="1:1" ht="15" customHeight="1">
      <c r="A54" s="36" t="s">
        <v>136</v>
      </c>
    </row>
    <row r="56" spans="1:1" ht="14.25" customHeight="1">
      <c r="A56" s="36" t="s">
        <v>137</v>
      </c>
    </row>
    <row r="57" spans="1:1" ht="14.25" customHeight="1">
      <c r="A57" s="36" t="s">
        <v>138</v>
      </c>
    </row>
    <row r="58" spans="1:1" ht="14.25" customHeight="1">
      <c r="A58" s="36" t="s">
        <v>139</v>
      </c>
    </row>
    <row r="59" spans="1:1" ht="14.25" customHeight="1">
      <c r="A59" s="36" t="s">
        <v>140</v>
      </c>
    </row>
    <row r="60" spans="1:1" ht="14.25" customHeight="1">
      <c r="A60" s="36" t="s">
        <v>141</v>
      </c>
    </row>
    <row r="62" spans="1:1" ht="14.25" customHeight="1">
      <c r="A62" s="36" t="s">
        <v>142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2"/>
  <sheetViews>
    <sheetView zoomScaleNormal="100" workbookViewId="0">
      <selection activeCell="B12" sqref="B12"/>
    </sheetView>
  </sheetViews>
  <sheetFormatPr defaultColWidth="8.6640625" defaultRowHeight="14.4"/>
  <cols>
    <col min="1" max="1" width="22" customWidth="1"/>
    <col min="2" max="11" width="14" customWidth="1"/>
  </cols>
  <sheetData>
    <row r="1" spans="1:11" ht="15.75" customHeight="1">
      <c r="A1" s="6" t="s">
        <v>145</v>
      </c>
    </row>
    <row r="2" spans="1:11" ht="16.5" customHeight="1">
      <c r="A2" s="8" t="s">
        <v>123</v>
      </c>
    </row>
    <row r="4" spans="1:11" ht="15" customHeight="1">
      <c r="A4" s="10" t="s">
        <v>75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</row>
    <row r="5" spans="1:11" ht="14.25" customHeight="1">
      <c r="A5" s="36" t="s">
        <v>76</v>
      </c>
      <c r="B5" s="36">
        <v>2025</v>
      </c>
      <c r="C5" s="36">
        <v>2026</v>
      </c>
      <c r="D5" s="36">
        <v>2027</v>
      </c>
      <c r="E5" s="36">
        <v>2028</v>
      </c>
      <c r="F5" s="36">
        <v>2029</v>
      </c>
      <c r="G5" s="36">
        <v>2030</v>
      </c>
      <c r="H5" s="36">
        <v>2031</v>
      </c>
      <c r="I5" s="36">
        <v>2032</v>
      </c>
      <c r="J5" s="36">
        <v>2033</v>
      </c>
      <c r="K5" s="36">
        <v>2034</v>
      </c>
    </row>
    <row r="6" spans="1:11" ht="14.25" customHeight="1">
      <c r="A6" s="36" t="s">
        <v>77</v>
      </c>
    </row>
    <row r="7" spans="1:11" ht="15" customHeight="1">
      <c r="A7" s="36" t="s">
        <v>78</v>
      </c>
      <c r="B7" s="9">
        <f t="shared" ref="B7:K7" si="0">B8+B9+B10</f>
        <v>65142.6</v>
      </c>
      <c r="C7" s="9">
        <f t="shared" si="0"/>
        <v>72279.600000000006</v>
      </c>
      <c r="D7" s="9">
        <f t="shared" si="0"/>
        <v>81138.600000000006</v>
      </c>
      <c r="E7" s="9">
        <f t="shared" si="0"/>
        <v>80502.100000000006</v>
      </c>
      <c r="F7" s="9">
        <f t="shared" si="0"/>
        <v>79968.7</v>
      </c>
      <c r="G7" s="9">
        <f t="shared" si="0"/>
        <v>79393.100000000006</v>
      </c>
      <c r="H7" s="9">
        <f t="shared" si="0"/>
        <v>78797.8</v>
      </c>
      <c r="I7" s="9">
        <f t="shared" si="0"/>
        <v>78219.199999999997</v>
      </c>
      <c r="J7" s="9">
        <f t="shared" si="0"/>
        <v>77618.2</v>
      </c>
      <c r="K7" s="9">
        <f t="shared" si="0"/>
        <v>77044</v>
      </c>
    </row>
    <row r="8" spans="1:11" ht="15" customHeight="1">
      <c r="A8" s="36" t="s">
        <v>79</v>
      </c>
      <c r="B8" s="9">
        <v>64983.6</v>
      </c>
      <c r="C8" s="9">
        <v>72067.600000000006</v>
      </c>
      <c r="D8" s="9">
        <v>80855.600000000006</v>
      </c>
      <c r="E8" s="9">
        <v>80284.100000000006</v>
      </c>
      <c r="F8" s="9">
        <v>79730.7</v>
      </c>
      <c r="G8" s="9">
        <v>79147.100000000006</v>
      </c>
      <c r="H8" s="9">
        <v>78563.8</v>
      </c>
      <c r="I8" s="9">
        <v>77980.2</v>
      </c>
      <c r="J8" s="9">
        <v>77378.2</v>
      </c>
      <c r="K8" s="9">
        <v>76806</v>
      </c>
    </row>
    <row r="9" spans="1:11" ht="15" customHeight="1">
      <c r="A9" s="36" t="s">
        <v>80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5" customHeight="1">
      <c r="A10" s="36" t="s">
        <v>81</v>
      </c>
      <c r="B10" s="9">
        <v>159</v>
      </c>
      <c r="C10" s="9">
        <v>212</v>
      </c>
      <c r="D10" s="9">
        <v>283</v>
      </c>
      <c r="E10" s="9">
        <v>218</v>
      </c>
      <c r="F10" s="9">
        <v>238</v>
      </c>
      <c r="G10" s="9">
        <v>246</v>
      </c>
      <c r="H10" s="9">
        <v>234</v>
      </c>
      <c r="I10" s="9">
        <v>239</v>
      </c>
      <c r="J10" s="9">
        <v>240</v>
      </c>
      <c r="K10" s="9">
        <v>238</v>
      </c>
    </row>
    <row r="11" spans="1:11" ht="14.25" customHeight="1">
      <c r="A11" s="36" t="s">
        <v>82</v>
      </c>
      <c r="B11" s="9">
        <f t="shared" ref="B11:K11" si="1">B12+B13+B14</f>
        <v>478588</v>
      </c>
      <c r="C11" s="9">
        <f t="shared" si="1"/>
        <v>479130</v>
      </c>
      <c r="D11" s="9">
        <f t="shared" si="1"/>
        <v>390774</v>
      </c>
      <c r="E11" s="9">
        <f t="shared" si="1"/>
        <v>323775</v>
      </c>
      <c r="F11" s="9">
        <f t="shared" si="1"/>
        <v>310672</v>
      </c>
      <c r="G11" s="9">
        <f t="shared" si="1"/>
        <v>310608</v>
      </c>
      <c r="H11" s="9">
        <f t="shared" si="1"/>
        <v>311431</v>
      </c>
      <c r="I11" s="9">
        <f t="shared" si="1"/>
        <v>312227</v>
      </c>
      <c r="J11" s="9">
        <f t="shared" si="1"/>
        <v>312287</v>
      </c>
      <c r="K11" s="9">
        <f t="shared" si="1"/>
        <v>312117</v>
      </c>
    </row>
    <row r="12" spans="1:11" ht="15" customHeight="1">
      <c r="A12" s="36" t="s">
        <v>83</v>
      </c>
      <c r="B12" s="9">
        <v>151133</v>
      </c>
      <c r="C12" s="9">
        <v>151437</v>
      </c>
      <c r="D12" s="9">
        <v>169454</v>
      </c>
      <c r="E12" s="9">
        <v>183394</v>
      </c>
      <c r="F12" s="9">
        <v>186588</v>
      </c>
      <c r="G12" s="9">
        <v>186657</v>
      </c>
      <c r="H12" s="9">
        <v>186749</v>
      </c>
      <c r="I12" s="9">
        <v>186849</v>
      </c>
      <c r="J12" s="9">
        <v>187381</v>
      </c>
      <c r="K12" s="9">
        <v>188114</v>
      </c>
    </row>
    <row r="13" spans="1:11" ht="15" customHeight="1">
      <c r="A13" s="36" t="s">
        <v>84</v>
      </c>
      <c r="B13" s="9">
        <v>309898</v>
      </c>
      <c r="C13" s="9">
        <v>311906</v>
      </c>
      <c r="D13" s="9">
        <v>208677</v>
      </c>
      <c r="E13" s="9">
        <v>125052</v>
      </c>
      <c r="F13" s="9">
        <v>109497</v>
      </c>
      <c r="G13" s="9">
        <v>109765</v>
      </c>
      <c r="H13" s="9">
        <v>109981</v>
      </c>
      <c r="I13" s="9">
        <v>110887</v>
      </c>
      <c r="J13" s="9">
        <v>110446</v>
      </c>
      <c r="K13" s="9">
        <v>109452</v>
      </c>
    </row>
    <row r="14" spans="1:11" ht="15" customHeight="1">
      <c r="A14" s="36" t="s">
        <v>81</v>
      </c>
      <c r="B14" s="9">
        <v>17557</v>
      </c>
      <c r="C14" s="9">
        <v>15787</v>
      </c>
      <c r="D14" s="9">
        <v>12643</v>
      </c>
      <c r="E14" s="9">
        <v>15329</v>
      </c>
      <c r="F14" s="9">
        <v>14587</v>
      </c>
      <c r="G14" s="9">
        <v>14186</v>
      </c>
      <c r="H14" s="9">
        <v>14701</v>
      </c>
      <c r="I14" s="9">
        <v>14491</v>
      </c>
      <c r="J14" s="9">
        <v>14460</v>
      </c>
      <c r="K14" s="9">
        <v>14551</v>
      </c>
    </row>
    <row r="15" spans="1:11" ht="15" customHeight="1">
      <c r="A15" s="36" t="s">
        <v>85</v>
      </c>
      <c r="B15" s="9">
        <f t="shared" ref="B15:K15" si="2">B7+B11</f>
        <v>543730.6</v>
      </c>
      <c r="C15" s="9">
        <f t="shared" si="2"/>
        <v>551409.6</v>
      </c>
      <c r="D15" s="9">
        <f t="shared" si="2"/>
        <v>471912.6</v>
      </c>
      <c r="E15" s="9">
        <f t="shared" si="2"/>
        <v>404277.1</v>
      </c>
      <c r="F15" s="9">
        <f t="shared" si="2"/>
        <v>390640.7</v>
      </c>
      <c r="G15" s="9">
        <f t="shared" si="2"/>
        <v>390001.1</v>
      </c>
      <c r="H15" s="9">
        <f t="shared" si="2"/>
        <v>390228.8</v>
      </c>
      <c r="I15" s="9">
        <f t="shared" si="2"/>
        <v>390446.2</v>
      </c>
      <c r="J15" s="9">
        <f t="shared" si="2"/>
        <v>389905.2</v>
      </c>
      <c r="K15" s="9">
        <f t="shared" si="2"/>
        <v>389161</v>
      </c>
    </row>
    <row r="17" spans="1:11" ht="14.25" customHeight="1">
      <c r="A17" s="36" t="s">
        <v>86</v>
      </c>
    </row>
    <row r="18" spans="1:11" ht="14.25" customHeight="1">
      <c r="A18" s="36" t="s">
        <v>87</v>
      </c>
      <c r="B18" s="9">
        <f t="shared" ref="B18:K18" si="3">B19+B20+B25</f>
        <v>520872</v>
      </c>
      <c r="C18" s="9">
        <f t="shared" si="3"/>
        <v>530785</v>
      </c>
      <c r="D18" s="9">
        <f t="shared" si="3"/>
        <v>445840</v>
      </c>
      <c r="E18" s="9">
        <f t="shared" si="3"/>
        <v>373726</v>
      </c>
      <c r="F18" s="9">
        <f t="shared" si="3"/>
        <v>363986</v>
      </c>
      <c r="G18" s="9">
        <f t="shared" si="3"/>
        <v>365356</v>
      </c>
      <c r="H18" s="9">
        <f t="shared" si="3"/>
        <v>365923</v>
      </c>
      <c r="I18" s="9">
        <f t="shared" si="3"/>
        <v>368372</v>
      </c>
      <c r="J18" s="9">
        <f t="shared" si="3"/>
        <v>368434</v>
      </c>
      <c r="K18" s="9">
        <f t="shared" si="3"/>
        <v>367149</v>
      </c>
    </row>
    <row r="19" spans="1:11" ht="15" customHeight="1">
      <c r="A19" s="36" t="s">
        <v>88</v>
      </c>
      <c r="B19" s="9">
        <v>5936</v>
      </c>
      <c r="C19" s="9">
        <v>5788</v>
      </c>
      <c r="D19" s="9">
        <v>5793</v>
      </c>
      <c r="E19" s="9">
        <v>5839</v>
      </c>
      <c r="F19" s="9">
        <v>5806</v>
      </c>
      <c r="G19" s="9">
        <v>5813</v>
      </c>
      <c r="H19" s="9">
        <v>5819</v>
      </c>
      <c r="I19" s="9">
        <v>5813</v>
      </c>
      <c r="J19" s="9">
        <v>5815</v>
      </c>
      <c r="K19" s="9">
        <v>5816</v>
      </c>
    </row>
    <row r="20" spans="1:11" ht="15" customHeight="1">
      <c r="A20" s="36" t="s">
        <v>89</v>
      </c>
      <c r="B20" s="9">
        <v>162395</v>
      </c>
      <c r="C20" s="9">
        <v>167240</v>
      </c>
      <c r="D20" s="9">
        <v>171181</v>
      </c>
      <c r="E20" s="9">
        <v>168553</v>
      </c>
      <c r="F20" s="9">
        <v>170733</v>
      </c>
      <c r="G20" s="9">
        <v>171855</v>
      </c>
      <c r="H20" s="9">
        <v>172110</v>
      </c>
      <c r="I20" s="9">
        <v>173294</v>
      </c>
      <c r="J20" s="9">
        <v>174163</v>
      </c>
      <c r="K20" s="9">
        <v>174936</v>
      </c>
    </row>
    <row r="21" spans="1:11" ht="14.25" customHeight="1">
      <c r="A21" s="8" t="s">
        <v>90</v>
      </c>
      <c r="B21" s="9">
        <v>4975</v>
      </c>
      <c r="C21" s="9">
        <v>4724</v>
      </c>
      <c r="D21" s="9">
        <v>4898</v>
      </c>
      <c r="E21" s="9">
        <v>4859</v>
      </c>
      <c r="F21" s="9">
        <v>4927</v>
      </c>
      <c r="G21" s="9">
        <v>4942</v>
      </c>
      <c r="H21" s="9">
        <v>4984</v>
      </c>
      <c r="I21" s="9">
        <v>5013</v>
      </c>
      <c r="J21" s="9">
        <v>5048</v>
      </c>
      <c r="K21" s="9">
        <v>5081</v>
      </c>
    </row>
    <row r="22" spans="1:11" ht="14.25" customHeight="1">
      <c r="A22" s="8" t="s">
        <v>91</v>
      </c>
      <c r="B22" s="9">
        <v>912</v>
      </c>
      <c r="C22" s="9">
        <v>983</v>
      </c>
      <c r="D22" s="9">
        <v>1223</v>
      </c>
      <c r="E22" s="9">
        <v>1050</v>
      </c>
      <c r="F22" s="9">
        <v>1096</v>
      </c>
      <c r="G22" s="9">
        <v>1134</v>
      </c>
      <c r="H22" s="9">
        <v>1104</v>
      </c>
      <c r="I22" s="9">
        <v>1122</v>
      </c>
      <c r="J22" s="9">
        <v>1131</v>
      </c>
      <c r="K22" s="9">
        <v>1131</v>
      </c>
    </row>
    <row r="23" spans="1:11" ht="14.25" customHeight="1">
      <c r="A23" s="8" t="s">
        <v>92</v>
      </c>
      <c r="B23" s="9">
        <v>1228</v>
      </c>
      <c r="C23" s="9">
        <v>1197</v>
      </c>
      <c r="D23" s="9">
        <v>1206</v>
      </c>
      <c r="E23" s="9">
        <v>1222</v>
      </c>
      <c r="F23" s="9">
        <v>1220</v>
      </c>
      <c r="G23" s="9">
        <v>1228</v>
      </c>
      <c r="H23" s="9">
        <v>1236</v>
      </c>
      <c r="I23" s="9">
        <v>1240</v>
      </c>
      <c r="J23" s="9">
        <v>1247</v>
      </c>
      <c r="K23" s="9">
        <v>1253</v>
      </c>
    </row>
    <row r="24" spans="1:11" ht="14.25" customHeight="1">
      <c r="A24" s="8" t="s">
        <v>93</v>
      </c>
      <c r="B24" s="9">
        <v>155280</v>
      </c>
      <c r="C24" s="9">
        <v>160337</v>
      </c>
      <c r="D24" s="9">
        <v>163854</v>
      </c>
      <c r="E24" s="9">
        <v>161422</v>
      </c>
      <c r="F24" s="9">
        <v>163490</v>
      </c>
      <c r="G24" s="9">
        <v>164551</v>
      </c>
      <c r="H24" s="9">
        <v>164786</v>
      </c>
      <c r="I24" s="9">
        <v>165918</v>
      </c>
      <c r="J24" s="9">
        <v>166736</v>
      </c>
      <c r="K24" s="9">
        <v>167472</v>
      </c>
    </row>
    <row r="25" spans="1:11" ht="15" customHeight="1">
      <c r="A25" s="36" t="s">
        <v>94</v>
      </c>
      <c r="B25" s="9">
        <v>352541</v>
      </c>
      <c r="C25" s="9">
        <v>357757</v>
      </c>
      <c r="D25" s="9">
        <v>268866</v>
      </c>
      <c r="E25" s="9">
        <v>199334</v>
      </c>
      <c r="F25" s="9">
        <v>187447</v>
      </c>
      <c r="G25" s="9">
        <v>187688</v>
      </c>
      <c r="H25" s="9">
        <v>187994</v>
      </c>
      <c r="I25" s="9">
        <v>189265</v>
      </c>
      <c r="J25" s="9">
        <v>188456</v>
      </c>
      <c r="K25" s="9">
        <v>186397</v>
      </c>
    </row>
    <row r="26" spans="1:11" ht="14.25" customHeight="1">
      <c r="A26" s="36" t="s">
        <v>95</v>
      </c>
      <c r="B26" s="9">
        <f t="shared" ref="B26:K26" si="4">B27+B28</f>
        <v>24189</v>
      </c>
      <c r="C26" s="9">
        <f t="shared" si="4"/>
        <v>28352</v>
      </c>
      <c r="D26" s="9">
        <f t="shared" si="4"/>
        <v>21428</v>
      </c>
      <c r="E26" s="9">
        <f t="shared" si="4"/>
        <v>21542</v>
      </c>
      <c r="F26" s="9">
        <f t="shared" si="4"/>
        <v>20337</v>
      </c>
      <c r="G26" s="9">
        <f t="shared" si="4"/>
        <v>19272</v>
      </c>
      <c r="H26" s="9">
        <f t="shared" si="4"/>
        <v>18037</v>
      </c>
      <c r="I26" s="9">
        <f t="shared" si="4"/>
        <v>17018</v>
      </c>
      <c r="J26" s="9">
        <f t="shared" si="4"/>
        <v>16145</v>
      </c>
      <c r="K26" s="9">
        <f t="shared" si="4"/>
        <v>15309</v>
      </c>
    </row>
    <row r="27" spans="1:11" ht="15" customHeight="1">
      <c r="A27" s="36" t="s">
        <v>96</v>
      </c>
      <c r="B27" s="9">
        <v>22189</v>
      </c>
      <c r="C27" s="9">
        <v>26352</v>
      </c>
      <c r="D27" s="9">
        <v>19428</v>
      </c>
      <c r="E27" s="9">
        <v>19542</v>
      </c>
      <c r="F27" s="9">
        <v>18337</v>
      </c>
      <c r="G27" s="9">
        <v>17272</v>
      </c>
      <c r="H27" s="9">
        <v>16037</v>
      </c>
      <c r="I27" s="9">
        <v>15018</v>
      </c>
      <c r="J27" s="9">
        <v>14145</v>
      </c>
      <c r="K27" s="9">
        <v>13309</v>
      </c>
    </row>
    <row r="28" spans="1:11" ht="15" customHeight="1">
      <c r="A28" s="36" t="s">
        <v>97</v>
      </c>
      <c r="B28" s="9">
        <v>2000</v>
      </c>
      <c r="C28" s="9">
        <v>2000</v>
      </c>
      <c r="D28" s="9">
        <v>2000</v>
      </c>
      <c r="E28" s="9">
        <v>2000</v>
      </c>
      <c r="F28" s="9">
        <v>2000</v>
      </c>
      <c r="G28" s="9">
        <v>2000</v>
      </c>
      <c r="H28" s="9">
        <v>2000</v>
      </c>
      <c r="I28" s="9">
        <v>2000</v>
      </c>
      <c r="J28" s="9">
        <v>2000</v>
      </c>
      <c r="K28" s="9">
        <v>2000</v>
      </c>
    </row>
    <row r="29" spans="1:11" ht="15" customHeight="1">
      <c r="A29" s="36" t="s">
        <v>98</v>
      </c>
      <c r="B29" s="9">
        <f t="shared" ref="B29:K29" si="5">B18+B26</f>
        <v>545061</v>
      </c>
      <c r="C29" s="9">
        <f t="shared" si="5"/>
        <v>559137</v>
      </c>
      <c r="D29" s="9">
        <f t="shared" si="5"/>
        <v>467268</v>
      </c>
      <c r="E29" s="9">
        <f t="shared" si="5"/>
        <v>395268</v>
      </c>
      <c r="F29" s="9">
        <f t="shared" si="5"/>
        <v>384323</v>
      </c>
      <c r="G29" s="9">
        <f t="shared" si="5"/>
        <v>384628</v>
      </c>
      <c r="H29" s="9">
        <f t="shared" si="5"/>
        <v>383960</v>
      </c>
      <c r="I29" s="9">
        <f t="shared" si="5"/>
        <v>385390</v>
      </c>
      <c r="J29" s="9">
        <f t="shared" si="5"/>
        <v>384579</v>
      </c>
      <c r="K29" s="9">
        <f t="shared" si="5"/>
        <v>382458</v>
      </c>
    </row>
    <row r="31" spans="1:11" ht="16.5" customHeight="1">
      <c r="A31" s="3" t="s">
        <v>99</v>
      </c>
      <c r="B31" s="37">
        <f t="shared" ref="B31:K31" si="6">B15-B29</f>
        <v>-1330.4000000000233</v>
      </c>
      <c r="C31" s="37">
        <f t="shared" si="6"/>
        <v>-7727.4000000000233</v>
      </c>
      <c r="D31" s="37">
        <f t="shared" si="6"/>
        <v>4644.5999999999767</v>
      </c>
      <c r="E31" s="37">
        <f t="shared" si="6"/>
        <v>9009.0999999999767</v>
      </c>
      <c r="F31" s="37">
        <f t="shared" si="6"/>
        <v>6317.7000000000116</v>
      </c>
      <c r="G31" s="37">
        <f t="shared" si="6"/>
        <v>5373.0999999999767</v>
      </c>
      <c r="H31" s="37">
        <f t="shared" si="6"/>
        <v>6268.7999999999884</v>
      </c>
      <c r="I31" s="37">
        <f t="shared" si="6"/>
        <v>5056.2000000000116</v>
      </c>
      <c r="J31" s="37">
        <f t="shared" si="6"/>
        <v>5326.2000000000116</v>
      </c>
      <c r="K31" s="37">
        <f t="shared" si="6"/>
        <v>6703</v>
      </c>
    </row>
    <row r="33" spans="1:11" ht="14.25" customHeight="1">
      <c r="A33" s="3" t="s">
        <v>100</v>
      </c>
      <c r="B33" s="38">
        <f t="shared" ref="B33:K33" si="7">IF(B29=0,"-",B15/B29)</f>
        <v>0.99755917227613056</v>
      </c>
      <c r="C33" s="38">
        <f t="shared" si="7"/>
        <v>0.98617977347233321</v>
      </c>
      <c r="D33" s="38">
        <f t="shared" si="7"/>
        <v>1.0099399060068313</v>
      </c>
      <c r="E33" s="38">
        <f t="shared" si="7"/>
        <v>1.0227923839015554</v>
      </c>
      <c r="F33" s="38">
        <f t="shared" si="7"/>
        <v>1.0164385165602892</v>
      </c>
      <c r="G33" s="38">
        <f t="shared" si="7"/>
        <v>1.013969601797061</v>
      </c>
      <c r="H33" s="38">
        <f t="shared" si="7"/>
        <v>1.0163267006979892</v>
      </c>
      <c r="I33" s="38">
        <f t="shared" si="7"/>
        <v>1.0131196969303822</v>
      </c>
      <c r="J33" s="38">
        <f t="shared" si="7"/>
        <v>1.0138494301560927</v>
      </c>
      <c r="K33" s="38">
        <f t="shared" si="7"/>
        <v>1.0175261074418629</v>
      </c>
    </row>
    <row r="34" spans="1:11" ht="14.25" customHeight="1">
      <c r="A34" s="36" t="s">
        <v>101</v>
      </c>
      <c r="B34" s="9">
        <f t="shared" ref="B34:K34" si="8">B19+B20</f>
        <v>168331</v>
      </c>
      <c r="C34" s="9">
        <f t="shared" si="8"/>
        <v>173028</v>
      </c>
      <c r="D34" s="9">
        <f t="shared" si="8"/>
        <v>176974</v>
      </c>
      <c r="E34" s="9">
        <f t="shared" si="8"/>
        <v>174392</v>
      </c>
      <c r="F34" s="9">
        <f t="shared" si="8"/>
        <v>176539</v>
      </c>
      <c r="G34" s="9">
        <f t="shared" si="8"/>
        <v>177668</v>
      </c>
      <c r="H34" s="9">
        <f t="shared" si="8"/>
        <v>177929</v>
      </c>
      <c r="I34" s="9">
        <f t="shared" si="8"/>
        <v>179107</v>
      </c>
      <c r="J34" s="9">
        <f t="shared" si="8"/>
        <v>179978</v>
      </c>
      <c r="K34" s="9">
        <f t="shared" si="8"/>
        <v>180752</v>
      </c>
    </row>
    <row r="35" spans="1:11" ht="14.25" customHeight="1">
      <c r="A35" s="3" t="s">
        <v>102</v>
      </c>
      <c r="B35" s="38">
        <f t="shared" ref="B35:K35" si="9">IF(B34=0,"-",B8/B34)</f>
        <v>0.38604653925896004</v>
      </c>
      <c r="C35" s="38">
        <f t="shared" si="9"/>
        <v>0.41650831079362882</v>
      </c>
      <c r="D35" s="38">
        <f t="shared" si="9"/>
        <v>0.45687841151807612</v>
      </c>
      <c r="E35" s="38">
        <f t="shared" si="9"/>
        <v>0.4603657277856783</v>
      </c>
      <c r="F35" s="38">
        <f t="shared" si="9"/>
        <v>0.45163221724378183</v>
      </c>
      <c r="G35" s="38">
        <f t="shared" si="9"/>
        <v>0.44547751986851886</v>
      </c>
      <c r="H35" s="38">
        <f t="shared" si="9"/>
        <v>0.44154578511653525</v>
      </c>
      <c r="I35" s="38">
        <f t="shared" si="9"/>
        <v>0.43538331835159988</v>
      </c>
      <c r="J35" s="38">
        <f t="shared" si="9"/>
        <v>0.42993143606440787</v>
      </c>
      <c r="K35" s="38">
        <f t="shared" si="9"/>
        <v>0.42492475878551828</v>
      </c>
    </row>
    <row r="36" spans="1:11" ht="14.25" customHeight="1">
      <c r="A36" s="36" t="s">
        <v>28</v>
      </c>
      <c r="B36" s="9">
        <v>452089</v>
      </c>
      <c r="C36" s="9">
        <v>449052</v>
      </c>
      <c r="D36" s="9">
        <v>445934</v>
      </c>
      <c r="E36" s="9">
        <v>442898</v>
      </c>
      <c r="F36" s="9">
        <v>439779</v>
      </c>
      <c r="G36" s="9">
        <v>436743</v>
      </c>
      <c r="H36" s="9">
        <v>433542</v>
      </c>
      <c r="I36" s="9">
        <v>430342</v>
      </c>
      <c r="J36" s="9">
        <v>427141</v>
      </c>
      <c r="K36" s="9">
        <v>423859</v>
      </c>
    </row>
    <row r="38" spans="1:11" ht="15" customHeight="1">
      <c r="A38" s="10" t="s">
        <v>124</v>
      </c>
    </row>
    <row r="39" spans="1:11" ht="14.25" customHeight="1">
      <c r="A39" s="11" t="s">
        <v>125</v>
      </c>
    </row>
    <row r="41" spans="1:11" ht="14.25" customHeight="1">
      <c r="A41" s="36" t="s">
        <v>126</v>
      </c>
    </row>
    <row r="42" spans="1:11" ht="14.25" customHeight="1">
      <c r="A42" s="36" t="s">
        <v>127</v>
      </c>
    </row>
    <row r="43" spans="1:11" ht="14.25" customHeight="1">
      <c r="A43" s="36" t="s">
        <v>128</v>
      </c>
    </row>
    <row r="44" spans="1:11" ht="14.25" customHeight="1">
      <c r="A44" s="36" t="s">
        <v>129</v>
      </c>
    </row>
    <row r="45" spans="1:11" ht="14.25" customHeight="1">
      <c r="A45" s="36" t="s">
        <v>130</v>
      </c>
    </row>
    <row r="46" spans="1:11" ht="15" customHeight="1">
      <c r="A46" s="36" t="s">
        <v>131</v>
      </c>
    </row>
    <row r="48" spans="1:11" ht="14.25" customHeight="1">
      <c r="A48" s="36" t="s">
        <v>132</v>
      </c>
    </row>
    <row r="49" spans="1:1" ht="14.25" customHeight="1">
      <c r="A49" s="36" t="s">
        <v>133</v>
      </c>
    </row>
    <row r="50" spans="1:1" ht="14.25" customHeight="1">
      <c r="A50" s="36" t="s">
        <v>134</v>
      </c>
    </row>
    <row r="51" spans="1:1" ht="14.25" customHeight="1">
      <c r="A51" s="36" t="s">
        <v>130</v>
      </c>
    </row>
    <row r="52" spans="1:1" ht="15" customHeight="1">
      <c r="A52" s="36" t="s">
        <v>135</v>
      </c>
    </row>
    <row r="54" spans="1:1" ht="15" customHeight="1">
      <c r="A54" s="36" t="s">
        <v>136</v>
      </c>
    </row>
    <row r="56" spans="1:1" ht="14.25" customHeight="1">
      <c r="A56" s="36" t="s">
        <v>137</v>
      </c>
    </row>
    <row r="57" spans="1:1" ht="14.25" customHeight="1">
      <c r="A57" s="36" t="s">
        <v>138</v>
      </c>
    </row>
    <row r="58" spans="1:1" ht="14.25" customHeight="1">
      <c r="A58" s="36" t="s">
        <v>139</v>
      </c>
    </row>
    <row r="59" spans="1:1" ht="14.25" customHeight="1">
      <c r="A59" s="36" t="s">
        <v>140</v>
      </c>
    </row>
    <row r="60" spans="1:1" ht="14.25" customHeight="1">
      <c r="A60" s="36" t="s">
        <v>141</v>
      </c>
    </row>
    <row r="62" spans="1:1" ht="14.25" customHeight="1">
      <c r="A62" s="36" t="s">
        <v>142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2"/>
  <sheetViews>
    <sheetView zoomScaleNormal="100" workbookViewId="0">
      <selection activeCell="B8" sqref="B8:K8"/>
    </sheetView>
  </sheetViews>
  <sheetFormatPr defaultColWidth="8.6640625" defaultRowHeight="14.4"/>
  <cols>
    <col min="1" max="1" width="22" customWidth="1"/>
    <col min="2" max="11" width="14" customWidth="1"/>
  </cols>
  <sheetData>
    <row r="1" spans="1:11" ht="15.75" customHeight="1">
      <c r="A1" s="6" t="s">
        <v>146</v>
      </c>
    </row>
    <row r="2" spans="1:11" ht="16.5" customHeight="1">
      <c r="A2" s="8" t="s">
        <v>123</v>
      </c>
    </row>
    <row r="4" spans="1:11" ht="15" customHeight="1">
      <c r="A4" s="10" t="s">
        <v>75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</row>
    <row r="5" spans="1:11" ht="14.25" customHeight="1">
      <c r="A5" s="36" t="s">
        <v>76</v>
      </c>
      <c r="B5" s="36">
        <v>2025</v>
      </c>
      <c r="C5" s="36">
        <v>2026</v>
      </c>
      <c r="D5" s="36">
        <v>2027</v>
      </c>
      <c r="E5" s="36">
        <v>2028</v>
      </c>
      <c r="F5" s="36">
        <v>2029</v>
      </c>
      <c r="G5" s="36">
        <v>2030</v>
      </c>
      <c r="H5" s="36">
        <v>2031</v>
      </c>
      <c r="I5" s="36">
        <v>2032</v>
      </c>
      <c r="J5" s="36">
        <v>2033</v>
      </c>
      <c r="K5" s="36">
        <v>2034</v>
      </c>
    </row>
    <row r="6" spans="1:11" ht="14.25" customHeight="1">
      <c r="A6" s="36" t="s">
        <v>77</v>
      </c>
    </row>
    <row r="7" spans="1:11" ht="15" customHeight="1">
      <c r="A7" s="36" t="s">
        <v>78</v>
      </c>
      <c r="B7" s="9">
        <f t="shared" ref="B7:K7" si="0">B8+B9+B10</f>
        <v>67508.899999999994</v>
      </c>
      <c r="C7" s="9">
        <f t="shared" si="0"/>
        <v>78122.899999999994</v>
      </c>
      <c r="D7" s="9">
        <f t="shared" si="0"/>
        <v>77665.100000000006</v>
      </c>
      <c r="E7" s="9">
        <f t="shared" si="0"/>
        <v>77052.5</v>
      </c>
      <c r="F7" s="9">
        <f t="shared" si="0"/>
        <v>76543.199999999997</v>
      </c>
      <c r="G7" s="9">
        <f t="shared" si="0"/>
        <v>75992.899999999994</v>
      </c>
      <c r="H7" s="9">
        <f t="shared" si="0"/>
        <v>75422.7</v>
      </c>
      <c r="I7" s="9">
        <f t="shared" si="0"/>
        <v>74869.399999999994</v>
      </c>
      <c r="J7" s="9">
        <f t="shared" si="0"/>
        <v>74293.600000000006</v>
      </c>
      <c r="K7" s="9">
        <f t="shared" si="0"/>
        <v>73743.5</v>
      </c>
    </row>
    <row r="8" spans="1:11" ht="15" customHeight="1">
      <c r="A8" s="36" t="s">
        <v>79</v>
      </c>
      <c r="B8" s="9">
        <v>67349.899999999994</v>
      </c>
      <c r="C8" s="9">
        <v>77910.899999999994</v>
      </c>
      <c r="D8" s="9">
        <v>77382.100000000006</v>
      </c>
      <c r="E8" s="9">
        <v>76834.5</v>
      </c>
      <c r="F8" s="9">
        <v>76305.2</v>
      </c>
      <c r="G8" s="9">
        <v>75746.899999999994</v>
      </c>
      <c r="H8" s="9">
        <v>75188.7</v>
      </c>
      <c r="I8" s="9">
        <v>74630.399999999994</v>
      </c>
      <c r="J8" s="9">
        <v>74053.600000000006</v>
      </c>
      <c r="K8" s="9">
        <v>73505.5</v>
      </c>
    </row>
    <row r="9" spans="1:11" ht="15" customHeight="1">
      <c r="A9" s="36" t="s">
        <v>80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5" customHeight="1">
      <c r="A10" s="36" t="s">
        <v>81</v>
      </c>
      <c r="B10" s="9">
        <v>159</v>
      </c>
      <c r="C10" s="9">
        <v>212</v>
      </c>
      <c r="D10" s="9">
        <v>283</v>
      </c>
      <c r="E10" s="9">
        <v>218</v>
      </c>
      <c r="F10" s="9">
        <v>238</v>
      </c>
      <c r="G10" s="9">
        <v>246</v>
      </c>
      <c r="H10" s="9">
        <v>234</v>
      </c>
      <c r="I10" s="9">
        <v>239</v>
      </c>
      <c r="J10" s="9">
        <v>240</v>
      </c>
      <c r="K10" s="9">
        <v>238</v>
      </c>
    </row>
    <row r="11" spans="1:11" ht="14.25" customHeight="1">
      <c r="A11" s="36" t="s">
        <v>82</v>
      </c>
      <c r="B11" s="9">
        <f t="shared" ref="B11:K11" si="1">B12+B13+B14</f>
        <v>478588</v>
      </c>
      <c r="C11" s="9">
        <f t="shared" si="1"/>
        <v>479130</v>
      </c>
      <c r="D11" s="9">
        <f t="shared" si="1"/>
        <v>390774</v>
      </c>
      <c r="E11" s="9">
        <f t="shared" si="1"/>
        <v>323775</v>
      </c>
      <c r="F11" s="9">
        <f t="shared" si="1"/>
        <v>310672</v>
      </c>
      <c r="G11" s="9">
        <f t="shared" si="1"/>
        <v>310608</v>
      </c>
      <c r="H11" s="9">
        <f t="shared" si="1"/>
        <v>311431</v>
      </c>
      <c r="I11" s="9">
        <f t="shared" si="1"/>
        <v>312227</v>
      </c>
      <c r="J11" s="9">
        <f t="shared" si="1"/>
        <v>312287</v>
      </c>
      <c r="K11" s="9">
        <f t="shared" si="1"/>
        <v>312117</v>
      </c>
    </row>
    <row r="12" spans="1:11" ht="15" customHeight="1">
      <c r="A12" s="36" t="s">
        <v>83</v>
      </c>
      <c r="B12" s="9">
        <v>151133</v>
      </c>
      <c r="C12" s="9">
        <v>151437</v>
      </c>
      <c r="D12" s="9">
        <v>169454</v>
      </c>
      <c r="E12" s="9">
        <v>183394</v>
      </c>
      <c r="F12" s="9">
        <v>186588</v>
      </c>
      <c r="G12" s="9">
        <v>186657</v>
      </c>
      <c r="H12" s="9">
        <v>186749</v>
      </c>
      <c r="I12" s="9">
        <v>186849</v>
      </c>
      <c r="J12" s="9">
        <v>187381</v>
      </c>
      <c r="K12" s="9">
        <v>188114</v>
      </c>
    </row>
    <row r="13" spans="1:11" ht="15" customHeight="1">
      <c r="A13" s="36" t="s">
        <v>84</v>
      </c>
      <c r="B13" s="9">
        <v>309898</v>
      </c>
      <c r="C13" s="9">
        <v>311906</v>
      </c>
      <c r="D13" s="9">
        <v>208677</v>
      </c>
      <c r="E13" s="9">
        <v>125052</v>
      </c>
      <c r="F13" s="9">
        <v>109497</v>
      </c>
      <c r="G13" s="9">
        <v>109765</v>
      </c>
      <c r="H13" s="9">
        <v>109981</v>
      </c>
      <c r="I13" s="9">
        <v>110887</v>
      </c>
      <c r="J13" s="9">
        <v>110446</v>
      </c>
      <c r="K13" s="9">
        <v>109452</v>
      </c>
    </row>
    <row r="14" spans="1:11" ht="15" customHeight="1">
      <c r="A14" s="36" t="s">
        <v>81</v>
      </c>
      <c r="B14" s="9">
        <v>17557</v>
      </c>
      <c r="C14" s="9">
        <v>15787</v>
      </c>
      <c r="D14" s="9">
        <v>12643</v>
      </c>
      <c r="E14" s="9">
        <v>15329</v>
      </c>
      <c r="F14" s="9">
        <v>14587</v>
      </c>
      <c r="G14" s="9">
        <v>14186</v>
      </c>
      <c r="H14" s="9">
        <v>14701</v>
      </c>
      <c r="I14" s="9">
        <v>14491</v>
      </c>
      <c r="J14" s="9">
        <v>14460</v>
      </c>
      <c r="K14" s="9">
        <v>14551</v>
      </c>
    </row>
    <row r="15" spans="1:11" ht="15" customHeight="1">
      <c r="A15" s="36" t="s">
        <v>85</v>
      </c>
      <c r="B15" s="9">
        <f t="shared" ref="B15:K15" si="2">B7+B11</f>
        <v>546096.9</v>
      </c>
      <c r="C15" s="9">
        <f t="shared" si="2"/>
        <v>557252.9</v>
      </c>
      <c r="D15" s="9">
        <f t="shared" si="2"/>
        <v>468439.1</v>
      </c>
      <c r="E15" s="9">
        <f t="shared" si="2"/>
        <v>400827.5</v>
      </c>
      <c r="F15" s="9">
        <f t="shared" si="2"/>
        <v>387215.2</v>
      </c>
      <c r="G15" s="9">
        <f t="shared" si="2"/>
        <v>386600.9</v>
      </c>
      <c r="H15" s="9">
        <f t="shared" si="2"/>
        <v>386853.7</v>
      </c>
      <c r="I15" s="9">
        <f t="shared" si="2"/>
        <v>387096.4</v>
      </c>
      <c r="J15" s="9">
        <f t="shared" si="2"/>
        <v>386580.6</v>
      </c>
      <c r="K15" s="9">
        <f t="shared" si="2"/>
        <v>385860.5</v>
      </c>
    </row>
    <row r="17" spans="1:11" ht="14.25" customHeight="1">
      <c r="A17" s="36" t="s">
        <v>86</v>
      </c>
    </row>
    <row r="18" spans="1:11" ht="14.25" customHeight="1">
      <c r="A18" s="36" t="s">
        <v>87</v>
      </c>
      <c r="B18" s="9">
        <f t="shared" ref="B18:K18" si="3">B19+B20+B25</f>
        <v>520872</v>
      </c>
      <c r="C18" s="9">
        <f t="shared" si="3"/>
        <v>530785</v>
      </c>
      <c r="D18" s="9">
        <f t="shared" si="3"/>
        <v>445840</v>
      </c>
      <c r="E18" s="9">
        <f t="shared" si="3"/>
        <v>373726</v>
      </c>
      <c r="F18" s="9">
        <f t="shared" si="3"/>
        <v>363986</v>
      </c>
      <c r="G18" s="9">
        <f t="shared" si="3"/>
        <v>365356</v>
      </c>
      <c r="H18" s="9">
        <f t="shared" si="3"/>
        <v>365923</v>
      </c>
      <c r="I18" s="9">
        <f t="shared" si="3"/>
        <v>368372</v>
      </c>
      <c r="J18" s="9">
        <f t="shared" si="3"/>
        <v>368434</v>
      </c>
      <c r="K18" s="9">
        <f t="shared" si="3"/>
        <v>367149</v>
      </c>
    </row>
    <row r="19" spans="1:11" ht="15" customHeight="1">
      <c r="A19" s="36" t="s">
        <v>88</v>
      </c>
      <c r="B19" s="9">
        <v>5936</v>
      </c>
      <c r="C19" s="9">
        <v>5788</v>
      </c>
      <c r="D19" s="9">
        <v>5793</v>
      </c>
      <c r="E19" s="9">
        <v>5839</v>
      </c>
      <c r="F19" s="9">
        <v>5806</v>
      </c>
      <c r="G19" s="9">
        <v>5813</v>
      </c>
      <c r="H19" s="9">
        <v>5819</v>
      </c>
      <c r="I19" s="9">
        <v>5813</v>
      </c>
      <c r="J19" s="9">
        <v>5815</v>
      </c>
      <c r="K19" s="9">
        <v>5816</v>
      </c>
    </row>
    <row r="20" spans="1:11" ht="15" customHeight="1">
      <c r="A20" s="36" t="s">
        <v>89</v>
      </c>
      <c r="B20" s="9">
        <v>162395</v>
      </c>
      <c r="C20" s="9">
        <v>167240</v>
      </c>
      <c r="D20" s="9">
        <v>171181</v>
      </c>
      <c r="E20" s="9">
        <v>168553</v>
      </c>
      <c r="F20" s="9">
        <v>170733</v>
      </c>
      <c r="G20" s="9">
        <v>171855</v>
      </c>
      <c r="H20" s="9">
        <v>172110</v>
      </c>
      <c r="I20" s="9">
        <v>173294</v>
      </c>
      <c r="J20" s="9">
        <v>174163</v>
      </c>
      <c r="K20" s="9">
        <v>174936</v>
      </c>
    </row>
    <row r="21" spans="1:11" ht="14.25" customHeight="1">
      <c r="A21" s="8" t="s">
        <v>90</v>
      </c>
      <c r="B21" s="9">
        <v>4975</v>
      </c>
      <c r="C21" s="9">
        <v>4724</v>
      </c>
      <c r="D21" s="9">
        <v>4898</v>
      </c>
      <c r="E21" s="9">
        <v>4859</v>
      </c>
      <c r="F21" s="9">
        <v>4927</v>
      </c>
      <c r="G21" s="9">
        <v>4942</v>
      </c>
      <c r="H21" s="9">
        <v>4984</v>
      </c>
      <c r="I21" s="9">
        <v>5013</v>
      </c>
      <c r="J21" s="9">
        <v>5048</v>
      </c>
      <c r="K21" s="9">
        <v>5081</v>
      </c>
    </row>
    <row r="22" spans="1:11" ht="14.25" customHeight="1">
      <c r="A22" s="8" t="s">
        <v>91</v>
      </c>
      <c r="B22" s="9">
        <v>912</v>
      </c>
      <c r="C22" s="9">
        <v>983</v>
      </c>
      <c r="D22" s="9">
        <v>1223</v>
      </c>
      <c r="E22" s="9">
        <v>1050</v>
      </c>
      <c r="F22" s="9">
        <v>1096</v>
      </c>
      <c r="G22" s="9">
        <v>1134</v>
      </c>
      <c r="H22" s="9">
        <v>1104</v>
      </c>
      <c r="I22" s="9">
        <v>1122</v>
      </c>
      <c r="J22" s="9">
        <v>1131</v>
      </c>
      <c r="K22" s="9">
        <v>1131</v>
      </c>
    </row>
    <row r="23" spans="1:11" ht="14.25" customHeight="1">
      <c r="A23" s="8" t="s">
        <v>92</v>
      </c>
      <c r="B23" s="9">
        <v>1228</v>
      </c>
      <c r="C23" s="9">
        <v>1197</v>
      </c>
      <c r="D23" s="9">
        <v>1206</v>
      </c>
      <c r="E23" s="9">
        <v>1222</v>
      </c>
      <c r="F23" s="9">
        <v>1220</v>
      </c>
      <c r="G23" s="9">
        <v>1228</v>
      </c>
      <c r="H23" s="9">
        <v>1236</v>
      </c>
      <c r="I23" s="9">
        <v>1240</v>
      </c>
      <c r="J23" s="9">
        <v>1247</v>
      </c>
      <c r="K23" s="9">
        <v>1253</v>
      </c>
    </row>
    <row r="24" spans="1:11" ht="14.25" customHeight="1">
      <c r="A24" s="8" t="s">
        <v>93</v>
      </c>
      <c r="B24" s="9">
        <v>155280</v>
      </c>
      <c r="C24" s="9">
        <v>160337</v>
      </c>
      <c r="D24" s="9">
        <v>163854</v>
      </c>
      <c r="E24" s="9">
        <v>161422</v>
      </c>
      <c r="F24" s="9">
        <v>163490</v>
      </c>
      <c r="G24" s="9">
        <v>164551</v>
      </c>
      <c r="H24" s="9">
        <v>164786</v>
      </c>
      <c r="I24" s="9">
        <v>165918</v>
      </c>
      <c r="J24" s="9">
        <v>166736</v>
      </c>
      <c r="K24" s="9">
        <v>167472</v>
      </c>
    </row>
    <row r="25" spans="1:11" ht="15" customHeight="1">
      <c r="A25" s="36" t="s">
        <v>94</v>
      </c>
      <c r="B25" s="9">
        <v>352541</v>
      </c>
      <c r="C25" s="9">
        <v>357757</v>
      </c>
      <c r="D25" s="9">
        <v>268866</v>
      </c>
      <c r="E25" s="9">
        <v>199334</v>
      </c>
      <c r="F25" s="9">
        <v>187447</v>
      </c>
      <c r="G25" s="9">
        <v>187688</v>
      </c>
      <c r="H25" s="9">
        <v>187994</v>
      </c>
      <c r="I25" s="9">
        <v>189265</v>
      </c>
      <c r="J25" s="9">
        <v>188456</v>
      </c>
      <c r="K25" s="9">
        <v>186397</v>
      </c>
    </row>
    <row r="26" spans="1:11" ht="14.25" customHeight="1">
      <c r="A26" s="36" t="s">
        <v>95</v>
      </c>
      <c r="B26" s="9">
        <f t="shared" ref="B26:K26" si="4">B27+B28</f>
        <v>24189</v>
      </c>
      <c r="C26" s="9">
        <f t="shared" si="4"/>
        <v>28352</v>
      </c>
      <c r="D26" s="9">
        <f t="shared" si="4"/>
        <v>21428</v>
      </c>
      <c r="E26" s="9">
        <f t="shared" si="4"/>
        <v>21542</v>
      </c>
      <c r="F26" s="9">
        <f t="shared" si="4"/>
        <v>20337</v>
      </c>
      <c r="G26" s="9">
        <f t="shared" si="4"/>
        <v>19272</v>
      </c>
      <c r="H26" s="9">
        <f t="shared" si="4"/>
        <v>18037</v>
      </c>
      <c r="I26" s="9">
        <f t="shared" si="4"/>
        <v>17018</v>
      </c>
      <c r="J26" s="9">
        <f t="shared" si="4"/>
        <v>16145</v>
      </c>
      <c r="K26" s="9">
        <f t="shared" si="4"/>
        <v>15309</v>
      </c>
    </row>
    <row r="27" spans="1:11" ht="15" customHeight="1">
      <c r="A27" s="36" t="s">
        <v>96</v>
      </c>
      <c r="B27" s="9">
        <v>22189</v>
      </c>
      <c r="C27" s="9">
        <v>26352</v>
      </c>
      <c r="D27" s="9">
        <v>19428</v>
      </c>
      <c r="E27" s="9">
        <v>19542</v>
      </c>
      <c r="F27" s="9">
        <v>18337</v>
      </c>
      <c r="G27" s="9">
        <v>17272</v>
      </c>
      <c r="H27" s="9">
        <v>16037</v>
      </c>
      <c r="I27" s="9">
        <v>15018</v>
      </c>
      <c r="J27" s="9">
        <v>14145</v>
      </c>
      <c r="K27" s="9">
        <v>13309</v>
      </c>
    </row>
    <row r="28" spans="1:11" ht="15" customHeight="1">
      <c r="A28" s="36" t="s">
        <v>97</v>
      </c>
      <c r="B28" s="9">
        <v>2000</v>
      </c>
      <c r="C28" s="9">
        <v>2000</v>
      </c>
      <c r="D28" s="9">
        <v>2000</v>
      </c>
      <c r="E28" s="9">
        <v>2000</v>
      </c>
      <c r="F28" s="9">
        <v>2000</v>
      </c>
      <c r="G28" s="9">
        <v>2000</v>
      </c>
      <c r="H28" s="9">
        <v>2000</v>
      </c>
      <c r="I28" s="9">
        <v>2000</v>
      </c>
      <c r="J28" s="9">
        <v>2000</v>
      </c>
      <c r="K28" s="9">
        <v>2000</v>
      </c>
    </row>
    <row r="29" spans="1:11" ht="15" customHeight="1">
      <c r="A29" s="36" t="s">
        <v>98</v>
      </c>
      <c r="B29" s="9">
        <f t="shared" ref="B29:K29" si="5">B18+B26</f>
        <v>545061</v>
      </c>
      <c r="C29" s="9">
        <f t="shared" si="5"/>
        <v>559137</v>
      </c>
      <c r="D29" s="9">
        <f t="shared" si="5"/>
        <v>467268</v>
      </c>
      <c r="E29" s="9">
        <f t="shared" si="5"/>
        <v>395268</v>
      </c>
      <c r="F29" s="9">
        <f t="shared" si="5"/>
        <v>384323</v>
      </c>
      <c r="G29" s="9">
        <f t="shared" si="5"/>
        <v>384628</v>
      </c>
      <c r="H29" s="9">
        <f t="shared" si="5"/>
        <v>383960</v>
      </c>
      <c r="I29" s="9">
        <f t="shared" si="5"/>
        <v>385390</v>
      </c>
      <c r="J29" s="9">
        <f t="shared" si="5"/>
        <v>384579</v>
      </c>
      <c r="K29" s="9">
        <f t="shared" si="5"/>
        <v>382458</v>
      </c>
    </row>
    <row r="31" spans="1:11" ht="16.5" customHeight="1">
      <c r="A31" s="3" t="s">
        <v>99</v>
      </c>
      <c r="B31" s="37">
        <f t="shared" ref="B31:K31" si="6">B15-B29</f>
        <v>1035.9000000000233</v>
      </c>
      <c r="C31" s="37">
        <f t="shared" si="6"/>
        <v>-1884.0999999999767</v>
      </c>
      <c r="D31" s="37">
        <f t="shared" si="6"/>
        <v>1171.0999999999767</v>
      </c>
      <c r="E31" s="37">
        <f t="shared" si="6"/>
        <v>5559.5</v>
      </c>
      <c r="F31" s="37">
        <f t="shared" si="6"/>
        <v>2892.2000000000116</v>
      </c>
      <c r="G31" s="37">
        <f t="shared" si="6"/>
        <v>1972.9000000000233</v>
      </c>
      <c r="H31" s="37">
        <f t="shared" si="6"/>
        <v>2893.7000000000116</v>
      </c>
      <c r="I31" s="37">
        <f t="shared" si="6"/>
        <v>1706.4000000000233</v>
      </c>
      <c r="J31" s="37">
        <f t="shared" si="6"/>
        <v>2001.5999999999767</v>
      </c>
      <c r="K31" s="37">
        <f t="shared" si="6"/>
        <v>3402.5</v>
      </c>
    </row>
    <row r="33" spans="1:11" ht="14.25" customHeight="1">
      <c r="A33" s="3" t="s">
        <v>100</v>
      </c>
      <c r="B33" s="38">
        <f t="shared" ref="B33:K33" si="7">IF(B29=0,"-",B15/B29)</f>
        <v>1.0019005212260645</v>
      </c>
      <c r="C33" s="38">
        <f t="shared" si="7"/>
        <v>0.99663034283189988</v>
      </c>
      <c r="D33" s="38">
        <f t="shared" si="7"/>
        <v>1.0025062704914525</v>
      </c>
      <c r="E33" s="38">
        <f t="shared" si="7"/>
        <v>1.0140651406134571</v>
      </c>
      <c r="F33" s="38">
        <f t="shared" si="7"/>
        <v>1.0075254408401266</v>
      </c>
      <c r="G33" s="38">
        <f t="shared" si="7"/>
        <v>1.0051293717566065</v>
      </c>
      <c r="H33" s="38">
        <f t="shared" si="7"/>
        <v>1.007536462131472</v>
      </c>
      <c r="I33" s="38">
        <f t="shared" si="7"/>
        <v>1.0044277225667506</v>
      </c>
      <c r="J33" s="38">
        <f t="shared" si="7"/>
        <v>1.0052046523601132</v>
      </c>
      <c r="K33" s="38">
        <f t="shared" si="7"/>
        <v>1.0088964016963955</v>
      </c>
    </row>
    <row r="34" spans="1:11" ht="14.25" customHeight="1">
      <c r="A34" s="36" t="s">
        <v>101</v>
      </c>
      <c r="B34" s="9">
        <f t="shared" ref="B34:K34" si="8">B19+B20</f>
        <v>168331</v>
      </c>
      <c r="C34" s="9">
        <f t="shared" si="8"/>
        <v>173028</v>
      </c>
      <c r="D34" s="9">
        <f t="shared" si="8"/>
        <v>176974</v>
      </c>
      <c r="E34" s="9">
        <f t="shared" si="8"/>
        <v>174392</v>
      </c>
      <c r="F34" s="9">
        <f t="shared" si="8"/>
        <v>176539</v>
      </c>
      <c r="G34" s="9">
        <f t="shared" si="8"/>
        <v>177668</v>
      </c>
      <c r="H34" s="9">
        <f t="shared" si="8"/>
        <v>177929</v>
      </c>
      <c r="I34" s="9">
        <f t="shared" si="8"/>
        <v>179107</v>
      </c>
      <c r="J34" s="9">
        <f t="shared" si="8"/>
        <v>179978</v>
      </c>
      <c r="K34" s="9">
        <f t="shared" si="8"/>
        <v>180752</v>
      </c>
    </row>
    <row r="35" spans="1:11" ht="14.25" customHeight="1">
      <c r="A35" s="3" t="s">
        <v>102</v>
      </c>
      <c r="B35" s="38">
        <f t="shared" ref="B35:K35" si="9">IF(B34=0,"-",B8/B34)</f>
        <v>0.40010396183709473</v>
      </c>
      <c r="C35" s="38">
        <f t="shared" si="9"/>
        <v>0.45027914557181492</v>
      </c>
      <c r="D35" s="38">
        <f t="shared" si="9"/>
        <v>0.43725123464463711</v>
      </c>
      <c r="E35" s="38">
        <f t="shared" si="9"/>
        <v>0.44058500389926142</v>
      </c>
      <c r="F35" s="38">
        <f t="shared" si="9"/>
        <v>0.43222857272330756</v>
      </c>
      <c r="G35" s="38">
        <f t="shared" si="9"/>
        <v>0.42633957718891413</v>
      </c>
      <c r="H35" s="38">
        <f t="shared" si="9"/>
        <v>0.42257698295387486</v>
      </c>
      <c r="I35" s="38">
        <f t="shared" si="9"/>
        <v>0.41668053174917785</v>
      </c>
      <c r="J35" s="38">
        <f t="shared" si="9"/>
        <v>0.41145917834401985</v>
      </c>
      <c r="K35" s="38">
        <f t="shared" si="9"/>
        <v>0.40666493316809771</v>
      </c>
    </row>
    <row r="36" spans="1:11" ht="14.25" customHeight="1">
      <c r="A36" s="36" t="s">
        <v>28</v>
      </c>
      <c r="B36" s="9">
        <v>452089</v>
      </c>
      <c r="C36" s="9">
        <v>449052</v>
      </c>
      <c r="D36" s="9">
        <v>445934</v>
      </c>
      <c r="E36" s="9">
        <v>442898</v>
      </c>
      <c r="F36" s="9">
        <v>439779</v>
      </c>
      <c r="G36" s="9">
        <v>436743</v>
      </c>
      <c r="H36" s="9">
        <v>433542</v>
      </c>
      <c r="I36" s="9">
        <v>430342</v>
      </c>
      <c r="J36" s="9">
        <v>427141</v>
      </c>
      <c r="K36" s="9">
        <v>423859</v>
      </c>
    </row>
    <row r="38" spans="1:11" ht="15" customHeight="1">
      <c r="A38" s="10" t="s">
        <v>124</v>
      </c>
    </row>
    <row r="39" spans="1:11" ht="14.25" customHeight="1">
      <c r="A39" s="11" t="s">
        <v>125</v>
      </c>
    </row>
    <row r="41" spans="1:11" ht="14.25" customHeight="1">
      <c r="A41" s="36" t="s">
        <v>126</v>
      </c>
    </row>
    <row r="42" spans="1:11" ht="14.25" customHeight="1">
      <c r="A42" s="36" t="s">
        <v>127</v>
      </c>
    </row>
    <row r="43" spans="1:11" ht="14.25" customHeight="1">
      <c r="A43" s="36" t="s">
        <v>128</v>
      </c>
    </row>
    <row r="44" spans="1:11" ht="14.25" customHeight="1">
      <c r="A44" s="36" t="s">
        <v>129</v>
      </c>
    </row>
    <row r="45" spans="1:11" ht="14.25" customHeight="1">
      <c r="A45" s="36" t="s">
        <v>130</v>
      </c>
    </row>
    <row r="46" spans="1:11" ht="15" customHeight="1">
      <c r="A46" s="36" t="s">
        <v>131</v>
      </c>
    </row>
    <row r="48" spans="1:11" ht="14.25" customHeight="1">
      <c r="A48" s="36" t="s">
        <v>132</v>
      </c>
    </row>
    <row r="49" spans="1:1" ht="14.25" customHeight="1">
      <c r="A49" s="36" t="s">
        <v>133</v>
      </c>
    </row>
    <row r="50" spans="1:1" ht="14.25" customHeight="1">
      <c r="A50" s="36" t="s">
        <v>134</v>
      </c>
    </row>
    <row r="51" spans="1:1" ht="14.25" customHeight="1">
      <c r="A51" s="36" t="s">
        <v>130</v>
      </c>
    </row>
    <row r="52" spans="1:1" ht="15" customHeight="1">
      <c r="A52" s="36" t="s">
        <v>135</v>
      </c>
    </row>
    <row r="54" spans="1:1" ht="15" customHeight="1">
      <c r="A54" s="36" t="s">
        <v>136</v>
      </c>
    </row>
    <row r="56" spans="1:1" ht="14.25" customHeight="1">
      <c r="A56" s="36" t="s">
        <v>137</v>
      </c>
    </row>
    <row r="57" spans="1:1" ht="14.25" customHeight="1">
      <c r="A57" s="36" t="s">
        <v>138</v>
      </c>
    </row>
    <row r="58" spans="1:1" ht="14.25" customHeight="1">
      <c r="A58" s="36" t="s">
        <v>139</v>
      </c>
    </row>
    <row r="59" spans="1:1" ht="14.25" customHeight="1">
      <c r="A59" s="36" t="s">
        <v>140</v>
      </c>
    </row>
    <row r="60" spans="1:1" ht="14.25" customHeight="1">
      <c r="A60" s="36" t="s">
        <v>141</v>
      </c>
    </row>
    <row r="62" spans="1:1" ht="14.25" customHeight="1">
      <c r="A62" s="36" t="s">
        <v>142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2"/>
  <sheetViews>
    <sheetView tabSelected="1" zoomScaleNormal="100" workbookViewId="0">
      <selection activeCell="B8" sqref="B8:K8"/>
    </sheetView>
  </sheetViews>
  <sheetFormatPr defaultColWidth="8.6640625" defaultRowHeight="14.4"/>
  <cols>
    <col min="1" max="1" width="22" customWidth="1"/>
    <col min="2" max="11" width="14" customWidth="1"/>
  </cols>
  <sheetData>
    <row r="1" spans="1:11" ht="15.75" customHeight="1">
      <c r="A1" s="6" t="s">
        <v>147</v>
      </c>
    </row>
    <row r="2" spans="1:11" ht="16.5" customHeight="1">
      <c r="A2" s="8" t="s">
        <v>123</v>
      </c>
    </row>
    <row r="4" spans="1:11" ht="15" customHeight="1">
      <c r="A4" s="10" t="s">
        <v>75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</row>
    <row r="5" spans="1:11" ht="14.25" customHeight="1">
      <c r="A5" s="36" t="s">
        <v>76</v>
      </c>
      <c r="B5" s="36">
        <v>2025</v>
      </c>
      <c r="C5" s="36">
        <v>2026</v>
      </c>
      <c r="D5" s="36">
        <v>2027</v>
      </c>
      <c r="E5" s="36">
        <v>2028</v>
      </c>
      <c r="F5" s="36">
        <v>2029</v>
      </c>
      <c r="G5" s="36">
        <v>2030</v>
      </c>
      <c r="H5" s="36">
        <v>2031</v>
      </c>
      <c r="I5" s="36">
        <v>2032</v>
      </c>
      <c r="J5" s="36">
        <v>2033</v>
      </c>
      <c r="K5" s="36">
        <v>2034</v>
      </c>
    </row>
    <row r="6" spans="1:11" ht="14.25" customHeight="1">
      <c r="A6" s="36" t="s">
        <v>77</v>
      </c>
    </row>
    <row r="7" spans="1:11" ht="15" customHeight="1">
      <c r="A7" s="36" t="s">
        <v>78</v>
      </c>
      <c r="B7" s="9">
        <f t="shared" ref="B7:K7" si="0">B8+B9+B10</f>
        <v>63673.3</v>
      </c>
      <c r="C7" s="9">
        <f t="shared" si="0"/>
        <v>69361.3</v>
      </c>
      <c r="D7" s="9">
        <f t="shared" si="0"/>
        <v>77665.100000000006</v>
      </c>
      <c r="E7" s="9">
        <f t="shared" si="0"/>
        <v>77052.5</v>
      </c>
      <c r="F7" s="9">
        <f t="shared" si="0"/>
        <v>76543.199999999997</v>
      </c>
      <c r="G7" s="9">
        <f t="shared" si="0"/>
        <v>75992.899999999994</v>
      </c>
      <c r="H7" s="9">
        <f t="shared" si="0"/>
        <v>75422.7</v>
      </c>
      <c r="I7" s="9">
        <f t="shared" si="0"/>
        <v>74869.399999999994</v>
      </c>
      <c r="J7" s="9">
        <f t="shared" si="0"/>
        <v>74293.600000000006</v>
      </c>
      <c r="K7" s="9">
        <f t="shared" si="0"/>
        <v>73743.5</v>
      </c>
    </row>
    <row r="8" spans="1:11" ht="15" customHeight="1">
      <c r="A8" s="36" t="s">
        <v>79</v>
      </c>
      <c r="B8" s="9">
        <v>63514.3</v>
      </c>
      <c r="C8" s="9">
        <v>69149.3</v>
      </c>
      <c r="D8" s="9">
        <v>77382.100000000006</v>
      </c>
      <c r="E8" s="9">
        <v>76834.5</v>
      </c>
      <c r="F8" s="9">
        <v>76305.2</v>
      </c>
      <c r="G8" s="9">
        <v>75746.899999999994</v>
      </c>
      <c r="H8" s="9">
        <v>75188.7</v>
      </c>
      <c r="I8" s="9">
        <v>74630.399999999994</v>
      </c>
      <c r="J8" s="9">
        <v>74053.600000000006</v>
      </c>
      <c r="K8" s="9">
        <v>73505.5</v>
      </c>
    </row>
    <row r="9" spans="1:11" ht="15" customHeight="1">
      <c r="A9" s="36" t="s">
        <v>80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5" customHeight="1">
      <c r="A10" s="36" t="s">
        <v>81</v>
      </c>
      <c r="B10" s="9">
        <v>159</v>
      </c>
      <c r="C10" s="9">
        <v>212</v>
      </c>
      <c r="D10" s="9">
        <v>283</v>
      </c>
      <c r="E10" s="9">
        <v>218</v>
      </c>
      <c r="F10" s="9">
        <v>238</v>
      </c>
      <c r="G10" s="9">
        <v>246</v>
      </c>
      <c r="H10" s="9">
        <v>234</v>
      </c>
      <c r="I10" s="9">
        <v>239</v>
      </c>
      <c r="J10" s="9">
        <v>240</v>
      </c>
      <c r="K10" s="9">
        <v>238</v>
      </c>
    </row>
    <row r="11" spans="1:11" ht="14.25" customHeight="1">
      <c r="A11" s="36" t="s">
        <v>82</v>
      </c>
      <c r="B11" s="9">
        <f t="shared" ref="B11:K11" si="1">B12+B13+B14</f>
        <v>478588</v>
      </c>
      <c r="C11" s="9">
        <f t="shared" si="1"/>
        <v>479130</v>
      </c>
      <c r="D11" s="9">
        <f t="shared" si="1"/>
        <v>390774</v>
      </c>
      <c r="E11" s="9">
        <f t="shared" si="1"/>
        <v>323775</v>
      </c>
      <c r="F11" s="9">
        <f t="shared" si="1"/>
        <v>310672</v>
      </c>
      <c r="G11" s="9">
        <f t="shared" si="1"/>
        <v>310608</v>
      </c>
      <c r="H11" s="9">
        <f t="shared" si="1"/>
        <v>311431</v>
      </c>
      <c r="I11" s="9">
        <f t="shared" si="1"/>
        <v>312227</v>
      </c>
      <c r="J11" s="9">
        <f t="shared" si="1"/>
        <v>312287</v>
      </c>
      <c r="K11" s="9">
        <f t="shared" si="1"/>
        <v>312117</v>
      </c>
    </row>
    <row r="12" spans="1:11" ht="15" customHeight="1">
      <c r="A12" s="36" t="s">
        <v>83</v>
      </c>
      <c r="B12" s="9">
        <v>151133</v>
      </c>
      <c r="C12" s="9">
        <v>151437</v>
      </c>
      <c r="D12" s="9">
        <v>169454</v>
      </c>
      <c r="E12" s="9">
        <v>183394</v>
      </c>
      <c r="F12" s="9">
        <v>186588</v>
      </c>
      <c r="G12" s="9">
        <v>186657</v>
      </c>
      <c r="H12" s="9">
        <v>186749</v>
      </c>
      <c r="I12" s="9">
        <v>186849</v>
      </c>
      <c r="J12" s="9">
        <v>187381</v>
      </c>
      <c r="K12" s="9">
        <v>188114</v>
      </c>
    </row>
    <row r="13" spans="1:11" ht="15" customHeight="1">
      <c r="A13" s="36" t="s">
        <v>84</v>
      </c>
      <c r="B13" s="9">
        <v>309898</v>
      </c>
      <c r="C13" s="9">
        <v>311906</v>
      </c>
      <c r="D13" s="9">
        <v>208677</v>
      </c>
      <c r="E13" s="9">
        <v>125052</v>
      </c>
      <c r="F13" s="9">
        <v>109497</v>
      </c>
      <c r="G13" s="9">
        <v>109765</v>
      </c>
      <c r="H13" s="9">
        <v>109981</v>
      </c>
      <c r="I13" s="9">
        <v>110887</v>
      </c>
      <c r="J13" s="9">
        <v>110446</v>
      </c>
      <c r="K13" s="9">
        <v>109452</v>
      </c>
    </row>
    <row r="14" spans="1:11" ht="15" customHeight="1">
      <c r="A14" s="36" t="s">
        <v>81</v>
      </c>
      <c r="B14" s="9">
        <v>17557</v>
      </c>
      <c r="C14" s="9">
        <v>15787</v>
      </c>
      <c r="D14" s="9">
        <v>12643</v>
      </c>
      <c r="E14" s="9">
        <v>15329</v>
      </c>
      <c r="F14" s="9">
        <v>14587</v>
      </c>
      <c r="G14" s="9">
        <v>14186</v>
      </c>
      <c r="H14" s="9">
        <v>14701</v>
      </c>
      <c r="I14" s="9">
        <v>14491</v>
      </c>
      <c r="J14" s="9">
        <v>14460</v>
      </c>
      <c r="K14" s="9">
        <v>14551</v>
      </c>
    </row>
    <row r="15" spans="1:11" ht="15" customHeight="1">
      <c r="A15" s="36" t="s">
        <v>85</v>
      </c>
      <c r="B15" s="9">
        <f t="shared" ref="B15:K15" si="2">B7+B11</f>
        <v>542261.30000000005</v>
      </c>
      <c r="C15" s="9">
        <f t="shared" si="2"/>
        <v>548491.30000000005</v>
      </c>
      <c r="D15" s="9">
        <f t="shared" si="2"/>
        <v>468439.1</v>
      </c>
      <c r="E15" s="9">
        <f t="shared" si="2"/>
        <v>400827.5</v>
      </c>
      <c r="F15" s="9">
        <f t="shared" si="2"/>
        <v>387215.2</v>
      </c>
      <c r="G15" s="9">
        <f t="shared" si="2"/>
        <v>386600.9</v>
      </c>
      <c r="H15" s="9">
        <f t="shared" si="2"/>
        <v>386853.7</v>
      </c>
      <c r="I15" s="9">
        <f t="shared" si="2"/>
        <v>387096.4</v>
      </c>
      <c r="J15" s="9">
        <f t="shared" si="2"/>
        <v>386580.6</v>
      </c>
      <c r="K15" s="9">
        <f t="shared" si="2"/>
        <v>385860.5</v>
      </c>
    </row>
    <row r="17" spans="1:11" ht="14.25" customHeight="1">
      <c r="A17" s="36" t="s">
        <v>86</v>
      </c>
    </row>
    <row r="18" spans="1:11" ht="14.25" customHeight="1">
      <c r="A18" s="36" t="s">
        <v>87</v>
      </c>
      <c r="B18" s="9">
        <f t="shared" ref="B18:K18" si="3">B19+B20+B25</f>
        <v>520872</v>
      </c>
      <c r="C18" s="9">
        <f t="shared" si="3"/>
        <v>530785</v>
      </c>
      <c r="D18" s="9">
        <f t="shared" si="3"/>
        <v>445840</v>
      </c>
      <c r="E18" s="9">
        <f t="shared" si="3"/>
        <v>373726</v>
      </c>
      <c r="F18" s="9">
        <f t="shared" si="3"/>
        <v>363986</v>
      </c>
      <c r="G18" s="9">
        <f t="shared" si="3"/>
        <v>365356</v>
      </c>
      <c r="H18" s="9">
        <f t="shared" si="3"/>
        <v>365923</v>
      </c>
      <c r="I18" s="9">
        <f t="shared" si="3"/>
        <v>368372</v>
      </c>
      <c r="J18" s="9">
        <f t="shared" si="3"/>
        <v>368434</v>
      </c>
      <c r="K18" s="9">
        <f t="shared" si="3"/>
        <v>367149</v>
      </c>
    </row>
    <row r="19" spans="1:11" ht="15" customHeight="1">
      <c r="A19" s="36" t="s">
        <v>88</v>
      </c>
      <c r="B19" s="9">
        <v>5936</v>
      </c>
      <c r="C19" s="9">
        <v>5788</v>
      </c>
      <c r="D19" s="9">
        <v>5793</v>
      </c>
      <c r="E19" s="9">
        <v>5839</v>
      </c>
      <c r="F19" s="9">
        <v>5806</v>
      </c>
      <c r="G19" s="9">
        <v>5813</v>
      </c>
      <c r="H19" s="9">
        <v>5819</v>
      </c>
      <c r="I19" s="9">
        <v>5813</v>
      </c>
      <c r="J19" s="9">
        <v>5815</v>
      </c>
      <c r="K19" s="9">
        <v>5816</v>
      </c>
    </row>
    <row r="20" spans="1:11" ht="15" customHeight="1">
      <c r="A20" s="36" t="s">
        <v>89</v>
      </c>
      <c r="B20" s="9">
        <v>162395</v>
      </c>
      <c r="C20" s="9">
        <v>167240</v>
      </c>
      <c r="D20" s="9">
        <v>171181</v>
      </c>
      <c r="E20" s="9">
        <v>168553</v>
      </c>
      <c r="F20" s="9">
        <v>170733</v>
      </c>
      <c r="G20" s="9">
        <v>171855</v>
      </c>
      <c r="H20" s="9">
        <v>172110</v>
      </c>
      <c r="I20" s="9">
        <v>173294</v>
      </c>
      <c r="J20" s="9">
        <v>174163</v>
      </c>
      <c r="K20" s="9">
        <v>174936</v>
      </c>
    </row>
    <row r="21" spans="1:11" ht="14.25" customHeight="1">
      <c r="A21" s="8" t="s">
        <v>90</v>
      </c>
      <c r="B21" s="9">
        <v>4975</v>
      </c>
      <c r="C21" s="9">
        <v>4724</v>
      </c>
      <c r="D21" s="9">
        <v>4898</v>
      </c>
      <c r="E21" s="9">
        <v>4859</v>
      </c>
      <c r="F21" s="9">
        <v>4927</v>
      </c>
      <c r="G21" s="9">
        <v>4942</v>
      </c>
      <c r="H21" s="9">
        <v>4984</v>
      </c>
      <c r="I21" s="9">
        <v>5013</v>
      </c>
      <c r="J21" s="9">
        <v>5048</v>
      </c>
      <c r="K21" s="9">
        <v>5081</v>
      </c>
    </row>
    <row r="22" spans="1:11" ht="14.25" customHeight="1">
      <c r="A22" s="8" t="s">
        <v>91</v>
      </c>
      <c r="B22" s="9">
        <v>912</v>
      </c>
      <c r="C22" s="9">
        <v>983</v>
      </c>
      <c r="D22" s="9">
        <v>1223</v>
      </c>
      <c r="E22" s="9">
        <v>1050</v>
      </c>
      <c r="F22" s="9">
        <v>1096</v>
      </c>
      <c r="G22" s="9">
        <v>1134</v>
      </c>
      <c r="H22" s="9">
        <v>1104</v>
      </c>
      <c r="I22" s="9">
        <v>1122</v>
      </c>
      <c r="J22" s="9">
        <v>1131</v>
      </c>
      <c r="K22" s="9">
        <v>1131</v>
      </c>
    </row>
    <row r="23" spans="1:11" ht="14.25" customHeight="1">
      <c r="A23" s="8" t="s">
        <v>92</v>
      </c>
      <c r="B23" s="9">
        <v>1228</v>
      </c>
      <c r="C23" s="9">
        <v>1197</v>
      </c>
      <c r="D23" s="9">
        <v>1206</v>
      </c>
      <c r="E23" s="9">
        <v>1222</v>
      </c>
      <c r="F23" s="9">
        <v>1220</v>
      </c>
      <c r="G23" s="9">
        <v>1228</v>
      </c>
      <c r="H23" s="9">
        <v>1236</v>
      </c>
      <c r="I23" s="9">
        <v>1240</v>
      </c>
      <c r="J23" s="9">
        <v>1247</v>
      </c>
      <c r="K23" s="9">
        <v>1253</v>
      </c>
    </row>
    <row r="24" spans="1:11" ht="14.25" customHeight="1">
      <c r="A24" s="8" t="s">
        <v>93</v>
      </c>
      <c r="B24" s="9">
        <v>155280</v>
      </c>
      <c r="C24" s="9">
        <v>160337</v>
      </c>
      <c r="D24" s="9">
        <v>163854</v>
      </c>
      <c r="E24" s="9">
        <v>161422</v>
      </c>
      <c r="F24" s="9">
        <v>163490</v>
      </c>
      <c r="G24" s="9">
        <v>164551</v>
      </c>
      <c r="H24" s="9">
        <v>164786</v>
      </c>
      <c r="I24" s="9">
        <v>165918</v>
      </c>
      <c r="J24" s="9">
        <v>166736</v>
      </c>
      <c r="K24" s="9">
        <v>167472</v>
      </c>
    </row>
    <row r="25" spans="1:11" ht="15" customHeight="1">
      <c r="A25" s="36" t="s">
        <v>94</v>
      </c>
      <c r="B25" s="9">
        <v>352541</v>
      </c>
      <c r="C25" s="9">
        <v>357757</v>
      </c>
      <c r="D25" s="9">
        <v>268866</v>
      </c>
      <c r="E25" s="9">
        <v>199334</v>
      </c>
      <c r="F25" s="9">
        <v>187447</v>
      </c>
      <c r="G25" s="9">
        <v>187688</v>
      </c>
      <c r="H25" s="9">
        <v>187994</v>
      </c>
      <c r="I25" s="9">
        <v>189265</v>
      </c>
      <c r="J25" s="9">
        <v>188456</v>
      </c>
      <c r="K25" s="9">
        <v>186397</v>
      </c>
    </row>
    <row r="26" spans="1:11" ht="14.25" customHeight="1">
      <c r="A26" s="36" t="s">
        <v>95</v>
      </c>
      <c r="B26" s="9">
        <f t="shared" ref="B26:K26" si="4">B27+B28</f>
        <v>24189</v>
      </c>
      <c r="C26" s="9">
        <f t="shared" si="4"/>
        <v>28352</v>
      </c>
      <c r="D26" s="9">
        <f t="shared" si="4"/>
        <v>21428</v>
      </c>
      <c r="E26" s="9">
        <f t="shared" si="4"/>
        <v>21542</v>
      </c>
      <c r="F26" s="9">
        <f t="shared" si="4"/>
        <v>20337</v>
      </c>
      <c r="G26" s="9">
        <f t="shared" si="4"/>
        <v>19272</v>
      </c>
      <c r="H26" s="9">
        <f t="shared" si="4"/>
        <v>18037</v>
      </c>
      <c r="I26" s="9">
        <f t="shared" si="4"/>
        <v>17018</v>
      </c>
      <c r="J26" s="9">
        <f t="shared" si="4"/>
        <v>16145</v>
      </c>
      <c r="K26" s="9">
        <f t="shared" si="4"/>
        <v>15309</v>
      </c>
    </row>
    <row r="27" spans="1:11" ht="15" customHeight="1">
      <c r="A27" s="36" t="s">
        <v>96</v>
      </c>
      <c r="B27" s="9">
        <v>22189</v>
      </c>
      <c r="C27" s="9">
        <v>26352</v>
      </c>
      <c r="D27" s="9">
        <v>19428</v>
      </c>
      <c r="E27" s="9">
        <v>19542</v>
      </c>
      <c r="F27" s="9">
        <v>18337</v>
      </c>
      <c r="G27" s="9">
        <v>17272</v>
      </c>
      <c r="H27" s="9">
        <v>16037</v>
      </c>
      <c r="I27" s="9">
        <v>15018</v>
      </c>
      <c r="J27" s="9">
        <v>14145</v>
      </c>
      <c r="K27" s="9">
        <v>13309</v>
      </c>
    </row>
    <row r="28" spans="1:11" ht="15" customHeight="1">
      <c r="A28" s="36" t="s">
        <v>97</v>
      </c>
      <c r="B28" s="9">
        <v>2000</v>
      </c>
      <c r="C28" s="9">
        <v>2000</v>
      </c>
      <c r="D28" s="9">
        <v>2000</v>
      </c>
      <c r="E28" s="9">
        <v>2000</v>
      </c>
      <c r="F28" s="9">
        <v>2000</v>
      </c>
      <c r="G28" s="9">
        <v>2000</v>
      </c>
      <c r="H28" s="9">
        <v>2000</v>
      </c>
      <c r="I28" s="9">
        <v>2000</v>
      </c>
      <c r="J28" s="9">
        <v>2000</v>
      </c>
      <c r="K28" s="9">
        <v>2000</v>
      </c>
    </row>
    <row r="29" spans="1:11" ht="15" customHeight="1">
      <c r="A29" s="36" t="s">
        <v>98</v>
      </c>
      <c r="B29" s="9">
        <f t="shared" ref="B29:K29" si="5">B18+B26</f>
        <v>545061</v>
      </c>
      <c r="C29" s="9">
        <f t="shared" si="5"/>
        <v>559137</v>
      </c>
      <c r="D29" s="9">
        <f t="shared" si="5"/>
        <v>467268</v>
      </c>
      <c r="E29" s="9">
        <f t="shared" si="5"/>
        <v>395268</v>
      </c>
      <c r="F29" s="9">
        <f t="shared" si="5"/>
        <v>384323</v>
      </c>
      <c r="G29" s="9">
        <f t="shared" si="5"/>
        <v>384628</v>
      </c>
      <c r="H29" s="9">
        <f t="shared" si="5"/>
        <v>383960</v>
      </c>
      <c r="I29" s="9">
        <f t="shared" si="5"/>
        <v>385390</v>
      </c>
      <c r="J29" s="9">
        <f t="shared" si="5"/>
        <v>384579</v>
      </c>
      <c r="K29" s="9">
        <f t="shared" si="5"/>
        <v>382458</v>
      </c>
    </row>
    <row r="31" spans="1:11" ht="16.5" customHeight="1">
      <c r="A31" s="3" t="s">
        <v>99</v>
      </c>
      <c r="B31" s="37">
        <f t="shared" ref="B31:K31" si="6">B15-B29</f>
        <v>-2799.6999999999534</v>
      </c>
      <c r="C31" s="37">
        <f t="shared" si="6"/>
        <v>-10645.699999999953</v>
      </c>
      <c r="D31" s="37">
        <f t="shared" si="6"/>
        <v>1171.0999999999767</v>
      </c>
      <c r="E31" s="37">
        <f t="shared" si="6"/>
        <v>5559.5</v>
      </c>
      <c r="F31" s="37">
        <f t="shared" si="6"/>
        <v>2892.2000000000116</v>
      </c>
      <c r="G31" s="37">
        <f t="shared" si="6"/>
        <v>1972.9000000000233</v>
      </c>
      <c r="H31" s="37">
        <f t="shared" si="6"/>
        <v>2893.7000000000116</v>
      </c>
      <c r="I31" s="37">
        <f t="shared" si="6"/>
        <v>1706.4000000000233</v>
      </c>
      <c r="J31" s="37">
        <f t="shared" si="6"/>
        <v>2001.5999999999767</v>
      </c>
      <c r="K31" s="37">
        <f t="shared" si="6"/>
        <v>3402.5</v>
      </c>
    </row>
    <row r="33" spans="1:11" ht="14.25" customHeight="1">
      <c r="A33" s="3" t="s">
        <v>100</v>
      </c>
      <c r="B33" s="38">
        <f t="shared" ref="B33:K33" si="7">IF(B29=0,"-",B15/B29)</f>
        <v>0.9948635106896293</v>
      </c>
      <c r="C33" s="38">
        <f t="shared" si="7"/>
        <v>0.98096048016854553</v>
      </c>
      <c r="D33" s="38">
        <f t="shared" si="7"/>
        <v>1.0025062704914525</v>
      </c>
      <c r="E33" s="38">
        <f t="shared" si="7"/>
        <v>1.0140651406134571</v>
      </c>
      <c r="F33" s="38">
        <f t="shared" si="7"/>
        <v>1.0075254408401266</v>
      </c>
      <c r="G33" s="38">
        <f t="shared" si="7"/>
        <v>1.0051293717566065</v>
      </c>
      <c r="H33" s="38">
        <f t="shared" si="7"/>
        <v>1.007536462131472</v>
      </c>
      <c r="I33" s="38">
        <f t="shared" si="7"/>
        <v>1.0044277225667506</v>
      </c>
      <c r="J33" s="38">
        <f t="shared" si="7"/>
        <v>1.0052046523601132</v>
      </c>
      <c r="K33" s="38">
        <f t="shared" si="7"/>
        <v>1.0088964016963955</v>
      </c>
    </row>
    <row r="34" spans="1:11" ht="14.25" customHeight="1">
      <c r="A34" s="36" t="s">
        <v>101</v>
      </c>
      <c r="B34" s="9">
        <f t="shared" ref="B34:K34" si="8">B19+B20</f>
        <v>168331</v>
      </c>
      <c r="C34" s="9">
        <f t="shared" si="8"/>
        <v>173028</v>
      </c>
      <c r="D34" s="9">
        <f t="shared" si="8"/>
        <v>176974</v>
      </c>
      <c r="E34" s="9">
        <f t="shared" si="8"/>
        <v>174392</v>
      </c>
      <c r="F34" s="9">
        <f t="shared" si="8"/>
        <v>176539</v>
      </c>
      <c r="G34" s="9">
        <f t="shared" si="8"/>
        <v>177668</v>
      </c>
      <c r="H34" s="9">
        <f t="shared" si="8"/>
        <v>177929</v>
      </c>
      <c r="I34" s="9">
        <f t="shared" si="8"/>
        <v>179107</v>
      </c>
      <c r="J34" s="9">
        <f t="shared" si="8"/>
        <v>179978</v>
      </c>
      <c r="K34" s="9">
        <f t="shared" si="8"/>
        <v>180752</v>
      </c>
    </row>
    <row r="35" spans="1:11" ht="14.25" customHeight="1">
      <c r="A35" s="3" t="s">
        <v>102</v>
      </c>
      <c r="B35" s="38">
        <f t="shared" ref="B35:K35" si="9">IF(B34=0,"-",B8/B34)</f>
        <v>0.37731790341648302</v>
      </c>
      <c r="C35" s="38">
        <f t="shared" si="9"/>
        <v>0.3996422544328086</v>
      </c>
      <c r="D35" s="38">
        <f t="shared" si="9"/>
        <v>0.43725123464463711</v>
      </c>
      <c r="E35" s="38">
        <f t="shared" si="9"/>
        <v>0.44058500389926142</v>
      </c>
      <c r="F35" s="38">
        <f t="shared" si="9"/>
        <v>0.43222857272330756</v>
      </c>
      <c r="G35" s="38">
        <f t="shared" si="9"/>
        <v>0.42633957718891413</v>
      </c>
      <c r="H35" s="38">
        <f t="shared" si="9"/>
        <v>0.42257698295387486</v>
      </c>
      <c r="I35" s="38">
        <f t="shared" si="9"/>
        <v>0.41668053174917785</v>
      </c>
      <c r="J35" s="38">
        <f t="shared" si="9"/>
        <v>0.41145917834401985</v>
      </c>
      <c r="K35" s="38">
        <f t="shared" si="9"/>
        <v>0.40666493316809771</v>
      </c>
    </row>
    <row r="36" spans="1:11" ht="14.25" customHeight="1">
      <c r="A36" s="36" t="s">
        <v>28</v>
      </c>
      <c r="B36" s="9">
        <v>452089</v>
      </c>
      <c r="C36" s="9">
        <v>449052</v>
      </c>
      <c r="D36" s="9">
        <v>445934</v>
      </c>
      <c r="E36" s="9">
        <v>442898</v>
      </c>
      <c r="F36" s="9">
        <v>439779</v>
      </c>
      <c r="G36" s="9">
        <v>436743</v>
      </c>
      <c r="H36" s="9">
        <v>433542</v>
      </c>
      <c r="I36" s="9">
        <v>430342</v>
      </c>
      <c r="J36" s="9">
        <v>427141</v>
      </c>
      <c r="K36" s="9">
        <v>423859</v>
      </c>
    </row>
    <row r="38" spans="1:11" ht="15" customHeight="1">
      <c r="A38" s="10" t="s">
        <v>124</v>
      </c>
    </row>
    <row r="39" spans="1:11" ht="14.25" customHeight="1">
      <c r="A39" s="11" t="s">
        <v>125</v>
      </c>
    </row>
    <row r="41" spans="1:11" ht="14.25" customHeight="1">
      <c r="A41" s="36" t="s">
        <v>126</v>
      </c>
    </row>
    <row r="42" spans="1:11" ht="14.25" customHeight="1">
      <c r="A42" s="36" t="s">
        <v>127</v>
      </c>
    </row>
    <row r="43" spans="1:11" ht="14.25" customHeight="1">
      <c r="A43" s="36" t="s">
        <v>128</v>
      </c>
    </row>
    <row r="44" spans="1:11" ht="14.25" customHeight="1">
      <c r="A44" s="36" t="s">
        <v>129</v>
      </c>
    </row>
    <row r="45" spans="1:11" ht="14.25" customHeight="1">
      <c r="A45" s="36" t="s">
        <v>130</v>
      </c>
    </row>
    <row r="46" spans="1:11" ht="15" customHeight="1">
      <c r="A46" s="36" t="s">
        <v>131</v>
      </c>
    </row>
    <row r="48" spans="1:11" ht="14.25" customHeight="1">
      <c r="A48" s="36" t="s">
        <v>132</v>
      </c>
    </row>
    <row r="49" spans="1:1" ht="14.25" customHeight="1">
      <c r="A49" s="36" t="s">
        <v>133</v>
      </c>
    </row>
    <row r="50" spans="1:1" ht="14.25" customHeight="1">
      <c r="A50" s="36" t="s">
        <v>134</v>
      </c>
    </row>
    <row r="51" spans="1:1" ht="14.25" customHeight="1">
      <c r="A51" s="36" t="s">
        <v>130</v>
      </c>
    </row>
    <row r="52" spans="1:1" ht="15" customHeight="1">
      <c r="A52" s="36" t="s">
        <v>135</v>
      </c>
    </row>
    <row r="54" spans="1:1" ht="15" customHeight="1">
      <c r="A54" s="36" t="s">
        <v>136</v>
      </c>
    </row>
    <row r="56" spans="1:1" ht="14.25" customHeight="1">
      <c r="A56" s="36" t="s">
        <v>137</v>
      </c>
    </row>
    <row r="57" spans="1:1" ht="14.25" customHeight="1">
      <c r="A57" s="36" t="s">
        <v>138</v>
      </c>
    </row>
    <row r="58" spans="1:1" ht="14.25" customHeight="1">
      <c r="A58" s="36" t="s">
        <v>139</v>
      </c>
    </row>
    <row r="59" spans="1:1" ht="14.25" customHeight="1">
      <c r="A59" s="36" t="s">
        <v>140</v>
      </c>
    </row>
    <row r="60" spans="1:1" ht="14.25" customHeight="1">
      <c r="A60" s="36" t="s">
        <v>141</v>
      </c>
    </row>
    <row r="62" spans="1:1" ht="14.25" customHeight="1">
      <c r="A62" s="36" t="s">
        <v>142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C38"/>
  <sheetViews>
    <sheetView zoomScaleNormal="100" workbookViewId="0"/>
  </sheetViews>
  <sheetFormatPr defaultColWidth="8.6640625" defaultRowHeight="14.4"/>
  <cols>
    <col min="1" max="1" width="18" customWidth="1"/>
    <col min="2" max="3" width="14" customWidth="1"/>
  </cols>
  <sheetData>
    <row r="1" spans="1:3" ht="17.100000000000001" customHeight="1">
      <c r="A1" s="39" t="s">
        <v>148</v>
      </c>
    </row>
    <row r="2" spans="1:3" ht="15" customHeight="1">
      <c r="A2" s="40" t="s">
        <v>149</v>
      </c>
    </row>
    <row r="4" spans="1:3" ht="15" customHeight="1">
      <c r="A4" s="41" t="s">
        <v>150</v>
      </c>
    </row>
    <row r="5" spans="1:3" ht="26.85" customHeight="1">
      <c r="A5" s="42" t="s">
        <v>31</v>
      </c>
      <c r="B5" s="43" t="s">
        <v>151</v>
      </c>
      <c r="C5" s="43" t="s">
        <v>152</v>
      </c>
    </row>
    <row r="6" spans="1:3" ht="15" customHeight="1">
      <c r="A6" s="44" t="s">
        <v>35</v>
      </c>
      <c r="B6" s="45">
        <v>1150</v>
      </c>
      <c r="C6" s="46">
        <v>1300</v>
      </c>
    </row>
    <row r="7" spans="1:3" ht="15" customHeight="1">
      <c r="A7" s="47" t="s">
        <v>36</v>
      </c>
      <c r="B7" s="45">
        <v>130</v>
      </c>
      <c r="C7" s="46">
        <v>140</v>
      </c>
    </row>
    <row r="8" spans="1:3" ht="15" customHeight="1">
      <c r="A8" s="47" t="s">
        <v>37</v>
      </c>
      <c r="B8" s="45">
        <v>130</v>
      </c>
      <c r="C8" s="46">
        <v>140</v>
      </c>
    </row>
    <row r="9" spans="1:3" ht="15" customHeight="1">
      <c r="A9" s="47" t="s">
        <v>38</v>
      </c>
      <c r="B9" s="45">
        <v>140</v>
      </c>
      <c r="C9" s="46">
        <v>150</v>
      </c>
    </row>
    <row r="10" spans="1:3" ht="15" customHeight="1">
      <c r="A10" s="47" t="s">
        <v>39</v>
      </c>
      <c r="B10" s="45">
        <v>140</v>
      </c>
      <c r="C10" s="46">
        <v>150</v>
      </c>
    </row>
    <row r="11" spans="1:3" ht="15" customHeight="1">
      <c r="A11" s="47" t="s">
        <v>40</v>
      </c>
      <c r="B11" s="45">
        <v>150</v>
      </c>
      <c r="C11" s="46">
        <v>160</v>
      </c>
    </row>
    <row r="12" spans="1:3" ht="15" customHeight="1">
      <c r="A12" s="47" t="s">
        <v>41</v>
      </c>
      <c r="B12" s="45">
        <v>155</v>
      </c>
      <c r="C12" s="46">
        <v>170</v>
      </c>
    </row>
    <row r="13" spans="1:3" ht="15" customHeight="1">
      <c r="A13" s="47" t="s">
        <v>42</v>
      </c>
      <c r="B13" s="45">
        <v>160</v>
      </c>
      <c r="C13" s="46">
        <v>180</v>
      </c>
    </row>
    <row r="14" spans="1:3" ht="15" customHeight="1">
      <c r="A14" s="47" t="s">
        <v>43</v>
      </c>
      <c r="B14" s="45">
        <v>180</v>
      </c>
      <c r="C14" s="46">
        <v>200</v>
      </c>
    </row>
    <row r="16" spans="1:3" ht="15" customHeight="1">
      <c r="A16" s="41" t="s">
        <v>153</v>
      </c>
    </row>
    <row r="17" spans="1:3" ht="26.85" customHeight="1">
      <c r="A17" s="42" t="s">
        <v>31</v>
      </c>
      <c r="B17" s="43" t="s">
        <v>151</v>
      </c>
      <c r="C17" s="43" t="s">
        <v>152</v>
      </c>
    </row>
    <row r="18" spans="1:3" ht="15" customHeight="1">
      <c r="A18" s="44" t="s">
        <v>35</v>
      </c>
      <c r="B18" s="45">
        <v>1050</v>
      </c>
      <c r="C18" s="46">
        <v>1100</v>
      </c>
    </row>
    <row r="19" spans="1:3" ht="15" customHeight="1">
      <c r="A19" s="47" t="s">
        <v>36</v>
      </c>
      <c r="B19" s="45">
        <v>140</v>
      </c>
      <c r="C19" s="46">
        <v>160</v>
      </c>
    </row>
    <row r="20" spans="1:3" ht="15" customHeight="1">
      <c r="A20" s="47" t="s">
        <v>37</v>
      </c>
      <c r="B20" s="45">
        <v>140</v>
      </c>
      <c r="C20" s="46">
        <v>160</v>
      </c>
    </row>
    <row r="21" spans="1:3" ht="15" customHeight="1">
      <c r="A21" s="47" t="s">
        <v>38</v>
      </c>
      <c r="B21" s="45">
        <v>150</v>
      </c>
      <c r="C21" s="46">
        <v>170</v>
      </c>
    </row>
    <row r="22" spans="1:3" ht="15" customHeight="1">
      <c r="A22" s="47" t="s">
        <v>39</v>
      </c>
      <c r="B22" s="45">
        <v>150</v>
      </c>
      <c r="C22" s="46">
        <v>170</v>
      </c>
    </row>
    <row r="23" spans="1:3" ht="15" customHeight="1">
      <c r="A23" s="47" t="s">
        <v>40</v>
      </c>
      <c r="B23" s="45">
        <v>160</v>
      </c>
      <c r="C23" s="46">
        <v>180</v>
      </c>
    </row>
    <row r="24" spans="1:3" ht="15" customHeight="1">
      <c r="A24" s="47" t="s">
        <v>41</v>
      </c>
      <c r="B24" s="45">
        <v>165</v>
      </c>
      <c r="C24" s="46">
        <v>190</v>
      </c>
    </row>
    <row r="25" spans="1:3" ht="15" customHeight="1">
      <c r="A25" s="47" t="s">
        <v>42</v>
      </c>
      <c r="B25" s="45">
        <v>170</v>
      </c>
      <c r="C25" s="46">
        <v>200</v>
      </c>
    </row>
    <row r="26" spans="1:3" ht="15" customHeight="1">
      <c r="A26" s="47" t="s">
        <v>43</v>
      </c>
      <c r="B26" s="45">
        <v>190</v>
      </c>
      <c r="C26" s="46">
        <v>220</v>
      </c>
    </row>
    <row r="28" spans="1:3" ht="15" customHeight="1">
      <c r="A28" s="41" t="s">
        <v>154</v>
      </c>
    </row>
    <row r="29" spans="1:3" ht="26.85" customHeight="1">
      <c r="A29" s="42" t="s">
        <v>31</v>
      </c>
      <c r="B29" s="43" t="s">
        <v>151</v>
      </c>
      <c r="C29" s="43" t="s">
        <v>152</v>
      </c>
    </row>
    <row r="30" spans="1:3" ht="15" customHeight="1">
      <c r="A30" s="44" t="s">
        <v>35</v>
      </c>
      <c r="B30" s="45">
        <v>1100</v>
      </c>
      <c r="C30" s="46">
        <v>1200</v>
      </c>
    </row>
    <row r="31" spans="1:3" ht="15" customHeight="1">
      <c r="A31" s="47" t="s">
        <v>36</v>
      </c>
      <c r="B31" s="45">
        <v>130</v>
      </c>
      <c r="C31" s="46">
        <v>140</v>
      </c>
    </row>
    <row r="32" spans="1:3" ht="15" customHeight="1">
      <c r="A32" s="47" t="s">
        <v>37</v>
      </c>
      <c r="B32" s="45">
        <v>135</v>
      </c>
      <c r="C32" s="46">
        <v>150</v>
      </c>
    </row>
    <row r="33" spans="1:3" ht="15" customHeight="1">
      <c r="A33" s="47" t="s">
        <v>38</v>
      </c>
      <c r="B33" s="45">
        <v>140</v>
      </c>
      <c r="C33" s="46">
        <v>150</v>
      </c>
    </row>
    <row r="34" spans="1:3" ht="15" customHeight="1">
      <c r="A34" s="47" t="s">
        <v>39</v>
      </c>
      <c r="B34" s="45">
        <v>145</v>
      </c>
      <c r="C34" s="46">
        <v>160</v>
      </c>
    </row>
    <row r="35" spans="1:3" ht="15" customHeight="1">
      <c r="A35" s="47" t="s">
        <v>40</v>
      </c>
      <c r="B35" s="45">
        <v>155</v>
      </c>
      <c r="C35" s="46">
        <v>170</v>
      </c>
    </row>
    <row r="36" spans="1:3" ht="15" customHeight="1">
      <c r="A36" s="47" t="s">
        <v>41</v>
      </c>
      <c r="B36" s="45">
        <v>155</v>
      </c>
      <c r="C36" s="46">
        <v>170</v>
      </c>
    </row>
    <row r="37" spans="1:3" ht="15" customHeight="1">
      <c r="A37" s="47" t="s">
        <v>42</v>
      </c>
      <c r="B37" s="45">
        <v>165</v>
      </c>
      <c r="C37" s="46">
        <v>190</v>
      </c>
    </row>
    <row r="38" spans="1:3" ht="15" customHeight="1">
      <c r="A38" s="47" t="s">
        <v>43</v>
      </c>
      <c r="B38" s="45">
        <v>185</v>
      </c>
      <c r="C38" s="46">
        <v>210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設定</vt:lpstr>
      <vt:lpstr>使用料マスタ</vt:lpstr>
      <vt:lpstr>料金テーブル</vt:lpstr>
      <vt:lpstr>使用料算定</vt:lpstr>
      <vt:lpstr>財政計画（ベース）</vt:lpstr>
      <vt:lpstr>パターン別比較</vt:lpstr>
      <vt:lpstr>公共案①2か年</vt:lpstr>
      <vt:lpstr>公共案①3か年</vt:lpstr>
      <vt:lpstr>公共案②2か年</vt:lpstr>
      <vt:lpstr>公共案②3か年</vt:lpstr>
      <vt:lpstr>公共案④2か年</vt:lpstr>
      <vt:lpstr>公共案④3か年</vt:lpstr>
      <vt:lpstr>段階単価(3か年)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翔吾 林</cp:lastModifiedBy>
  <cp:revision>0</cp:revision>
  <cp:lastPrinted>2026-03-12T08:33:15Z</cp:lastPrinted>
  <dcterms:created xsi:type="dcterms:W3CDTF">2026-03-12T07:12:22Z</dcterms:created>
  <dcterms:modified xsi:type="dcterms:W3CDTF">2026-03-13T04:46:01Z</dcterms:modified>
  <dc:language>en-US</dc:language>
</cp:coreProperties>
</file>