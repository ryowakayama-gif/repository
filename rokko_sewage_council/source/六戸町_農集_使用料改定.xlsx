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yas\Downloads\"/>
    </mc:Choice>
  </mc:AlternateContent>
  <xr:revisionPtr revIDLastSave="0" documentId="13_ncr:1_{4A2157F0-68C1-44C0-B9DB-57ED121C9B22}" xr6:coauthVersionLast="47" xr6:coauthVersionMax="47" xr10:uidLastSave="{00000000-0000-0000-0000-000000000000}"/>
  <bookViews>
    <workbookView xWindow="-108" yWindow="-108" windowWidth="23256" windowHeight="13896" tabRatio="500" xr2:uid="{00000000-000D-0000-FFFF-FFFF00000000}"/>
  </bookViews>
  <sheets>
    <sheet name="設定" sheetId="1" r:id="rId1"/>
    <sheet name="使用料マスタ" sheetId="2" r:id="rId2"/>
    <sheet name="料金テーブル" sheetId="3" r:id="rId3"/>
    <sheet name="使用料算定" sheetId="4" r:id="rId4"/>
    <sheet name="料金改定計画案" sheetId="5" r:id="rId5"/>
    <sheet name="モデルケース別影響額" sheetId="6" r:id="rId6"/>
    <sheet name="財政計画（ベース）" sheetId="7" r:id="rId7"/>
    <sheet name="パターン別比較" sheetId="8" r:id="rId8"/>
    <sheet name="農集案①2か年" sheetId="9" r:id="rId9"/>
    <sheet name="農集案①3か年" sheetId="10" r:id="rId10"/>
    <sheet name="農集案②2か年" sheetId="11" r:id="rId11"/>
    <sheet name="農集案②3か年" sheetId="12" r:id="rId12"/>
    <sheet name="農集案④2か年" sheetId="13" r:id="rId13"/>
    <sheet name="農集案④3か年" sheetId="14" r:id="rId14"/>
    <sheet name="段階単価(3か年)"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0" l="1"/>
  <c r="C52" i="4"/>
  <c r="B23" i="4"/>
  <c r="K27" i="14"/>
  <c r="J27" i="14"/>
  <c r="I27" i="14"/>
  <c r="H27" i="14"/>
  <c r="G27" i="14"/>
  <c r="F27" i="14"/>
  <c r="E27" i="14"/>
  <c r="D27" i="14"/>
  <c r="C27" i="14"/>
  <c r="B27" i="14"/>
  <c r="K27" i="13"/>
  <c r="J27" i="13"/>
  <c r="I27" i="13"/>
  <c r="H27" i="13"/>
  <c r="G27" i="13"/>
  <c r="F27" i="13"/>
  <c r="E27" i="13"/>
  <c r="D27" i="13"/>
  <c r="C27" i="13"/>
  <c r="B27" i="13"/>
  <c r="K27" i="12"/>
  <c r="J27" i="12"/>
  <c r="I27" i="12"/>
  <c r="H27" i="12"/>
  <c r="G27" i="12"/>
  <c r="F27" i="12"/>
  <c r="E27" i="12"/>
  <c r="D27" i="12"/>
  <c r="C27" i="12"/>
  <c r="B27" i="12"/>
  <c r="K27" i="11"/>
  <c r="J27" i="11"/>
  <c r="I27" i="11"/>
  <c r="H27" i="11"/>
  <c r="G27" i="11"/>
  <c r="F27" i="11"/>
  <c r="E27" i="11"/>
  <c r="D27" i="11"/>
  <c r="C27" i="11"/>
  <c r="B27" i="11"/>
  <c r="K27" i="10"/>
  <c r="J27" i="10"/>
  <c r="I27" i="10"/>
  <c r="H27" i="10"/>
  <c r="G27" i="10"/>
  <c r="F27" i="10"/>
  <c r="E27" i="10"/>
  <c r="D27" i="10"/>
  <c r="C27" i="10"/>
  <c r="B27" i="10"/>
  <c r="K27" i="9"/>
  <c r="J27" i="9"/>
  <c r="I27" i="9"/>
  <c r="H27" i="9"/>
  <c r="G27" i="9"/>
  <c r="F27" i="9"/>
  <c r="E27" i="9"/>
  <c r="D27" i="9"/>
  <c r="C27" i="9"/>
  <c r="B27" i="9"/>
  <c r="K32" i="8"/>
  <c r="J32" i="8"/>
  <c r="I32" i="8"/>
  <c r="H32" i="8"/>
  <c r="G32" i="8"/>
  <c r="F32" i="8"/>
  <c r="E32" i="8"/>
  <c r="D32" i="8"/>
  <c r="C32" i="8"/>
  <c r="C13" i="8" s="1"/>
  <c r="B32" i="8"/>
  <c r="B13" i="8" s="1"/>
  <c r="K31" i="8"/>
  <c r="K12" i="8" s="1"/>
  <c r="J31" i="8"/>
  <c r="J12" i="8" s="1"/>
  <c r="I31" i="8"/>
  <c r="H31" i="8"/>
  <c r="G31" i="8"/>
  <c r="F31" i="8"/>
  <c r="E31" i="8"/>
  <c r="D31" i="8"/>
  <c r="C31" i="8"/>
  <c r="B31" i="8"/>
  <c r="K30" i="8"/>
  <c r="K11" i="8" s="1"/>
  <c r="J30" i="8"/>
  <c r="J11" i="8" s="1"/>
  <c r="I30" i="8"/>
  <c r="H30" i="8"/>
  <c r="H20" i="8" s="1"/>
  <c r="G30" i="8"/>
  <c r="F30" i="8"/>
  <c r="E30" i="8"/>
  <c r="D30" i="8"/>
  <c r="C30" i="8"/>
  <c r="B30" i="8"/>
  <c r="K29" i="8"/>
  <c r="J29" i="8"/>
  <c r="I29" i="8"/>
  <c r="I10" i="8" s="1"/>
  <c r="H29" i="8"/>
  <c r="H10" i="8" s="1"/>
  <c r="G29" i="8"/>
  <c r="G19" i="8" s="1"/>
  <c r="F29" i="8"/>
  <c r="F19" i="8" s="1"/>
  <c r="E29" i="8"/>
  <c r="D29" i="8"/>
  <c r="C29" i="8"/>
  <c r="B29" i="8"/>
  <c r="K28" i="8"/>
  <c r="J28" i="8"/>
  <c r="I28" i="8"/>
  <c r="H28" i="8"/>
  <c r="G28" i="8"/>
  <c r="G9" i="8" s="1"/>
  <c r="F28" i="8"/>
  <c r="F9" i="8" s="1"/>
  <c r="E28" i="8"/>
  <c r="E18" i="8" s="1"/>
  <c r="D28" i="8"/>
  <c r="D18" i="8" s="1"/>
  <c r="C28" i="8"/>
  <c r="B28" i="8"/>
  <c r="K27" i="8"/>
  <c r="J27" i="8"/>
  <c r="I27" i="8"/>
  <c r="H27" i="8"/>
  <c r="G27" i="8"/>
  <c r="F27" i="8"/>
  <c r="E27" i="8"/>
  <c r="E8" i="8" s="1"/>
  <c r="D27" i="8"/>
  <c r="D8" i="8" s="1"/>
  <c r="C27" i="8"/>
  <c r="B27" i="8"/>
  <c r="K26" i="8"/>
  <c r="J26" i="8"/>
  <c r="I26" i="8"/>
  <c r="H26" i="8"/>
  <c r="G26" i="8"/>
  <c r="F26" i="8"/>
  <c r="E26" i="8"/>
  <c r="D26" i="8"/>
  <c r="C26" i="8"/>
  <c r="C7" i="8" s="1"/>
  <c r="B26" i="8"/>
  <c r="B7" i="8" s="1"/>
  <c r="K22" i="8"/>
  <c r="J22" i="8"/>
  <c r="I22" i="8"/>
  <c r="H22" i="8"/>
  <c r="G22" i="8"/>
  <c r="F22" i="8"/>
  <c r="K21" i="8"/>
  <c r="J21" i="8"/>
  <c r="I21" i="8"/>
  <c r="H21" i="8"/>
  <c r="G21" i="8"/>
  <c r="F21" i="8"/>
  <c r="E21" i="8"/>
  <c r="D21" i="8"/>
  <c r="I20" i="8"/>
  <c r="G20" i="8"/>
  <c r="F20" i="8"/>
  <c r="E20" i="8"/>
  <c r="D20" i="8"/>
  <c r="C20" i="8"/>
  <c r="B20" i="8"/>
  <c r="E19" i="8"/>
  <c r="D19" i="8"/>
  <c r="C19" i="8"/>
  <c r="B19" i="8"/>
  <c r="K18" i="8"/>
  <c r="J18" i="8"/>
  <c r="F18" i="8"/>
  <c r="C18" i="8"/>
  <c r="B18" i="8"/>
  <c r="K17" i="8"/>
  <c r="J17" i="8"/>
  <c r="I17" i="8"/>
  <c r="H17" i="8"/>
  <c r="D17" i="8"/>
  <c r="C17" i="8"/>
  <c r="B17" i="8"/>
  <c r="K16" i="8"/>
  <c r="J16" i="8"/>
  <c r="I16" i="8"/>
  <c r="H16" i="8"/>
  <c r="G16" i="8"/>
  <c r="F16" i="8"/>
  <c r="B16" i="8"/>
  <c r="K13" i="8"/>
  <c r="J13" i="8"/>
  <c r="I13" i="8"/>
  <c r="H13" i="8"/>
  <c r="G13" i="8"/>
  <c r="F13" i="8"/>
  <c r="I12" i="8"/>
  <c r="H12" i="8"/>
  <c r="G12" i="8"/>
  <c r="F12" i="8"/>
  <c r="E12" i="8"/>
  <c r="D12" i="8"/>
  <c r="I11" i="8"/>
  <c r="H11" i="8"/>
  <c r="G11" i="8"/>
  <c r="F11" i="8"/>
  <c r="E11" i="8"/>
  <c r="D11" i="8"/>
  <c r="C11" i="8"/>
  <c r="B11" i="8"/>
  <c r="G10" i="8"/>
  <c r="F10" i="8"/>
  <c r="E10" i="8"/>
  <c r="D10" i="8"/>
  <c r="C10" i="8"/>
  <c r="B10" i="8"/>
  <c r="K9" i="8"/>
  <c r="J9" i="8"/>
  <c r="C9" i="8"/>
  <c r="B9" i="8"/>
  <c r="K8" i="8"/>
  <c r="J8" i="8"/>
  <c r="I8" i="8"/>
  <c r="H8" i="8"/>
  <c r="C8" i="8"/>
  <c r="B8" i="8"/>
  <c r="K7" i="8"/>
  <c r="J7" i="8"/>
  <c r="I7" i="8"/>
  <c r="H7" i="8"/>
  <c r="G7" i="8"/>
  <c r="F7" i="8"/>
  <c r="A2" i="8"/>
  <c r="K34" i="7"/>
  <c r="J34" i="7"/>
  <c r="I34" i="7"/>
  <c r="H34" i="7"/>
  <c r="G34" i="7"/>
  <c r="K32" i="7"/>
  <c r="J32" i="7"/>
  <c r="I32" i="7"/>
  <c r="H32" i="7"/>
  <c r="G32" i="7"/>
  <c r="F32" i="7"/>
  <c r="E32" i="7"/>
  <c r="D32" i="7"/>
  <c r="C32" i="7"/>
  <c r="B32" i="7"/>
  <c r="K27" i="7"/>
  <c r="I27" i="7"/>
  <c r="H27" i="7"/>
  <c r="B27" i="7"/>
  <c r="K24" i="7"/>
  <c r="J24" i="7"/>
  <c r="I24" i="7"/>
  <c r="H24" i="7"/>
  <c r="G24" i="7"/>
  <c r="F24" i="7"/>
  <c r="E24" i="7"/>
  <c r="D24" i="7"/>
  <c r="C24" i="7"/>
  <c r="B24" i="7"/>
  <c r="K18" i="7"/>
  <c r="J18" i="7"/>
  <c r="J27" i="7" s="1"/>
  <c r="I18" i="7"/>
  <c r="H18" i="7"/>
  <c r="G18" i="7"/>
  <c r="G27" i="7" s="1"/>
  <c r="F18" i="7"/>
  <c r="F27" i="7" s="1"/>
  <c r="E18" i="7"/>
  <c r="E27" i="7" s="1"/>
  <c r="D18" i="7"/>
  <c r="D27" i="7" s="1"/>
  <c r="C18" i="7"/>
  <c r="C27" i="7" s="1"/>
  <c r="B18" i="7"/>
  <c r="K11" i="7"/>
  <c r="J11" i="7"/>
  <c r="I11" i="7"/>
  <c r="H11" i="7"/>
  <c r="G11" i="7"/>
  <c r="F11" i="7"/>
  <c r="E11" i="7"/>
  <c r="D11" i="7"/>
  <c r="C11" i="7"/>
  <c r="B11" i="7"/>
  <c r="A2" i="7"/>
  <c r="K51" i="4"/>
  <c r="J51" i="4"/>
  <c r="I51" i="4"/>
  <c r="H51" i="4"/>
  <c r="G51" i="4"/>
  <c r="F51" i="4"/>
  <c r="E51" i="4"/>
  <c r="D51" i="4"/>
  <c r="C51" i="4"/>
  <c r="B51" i="4"/>
  <c r="B47" i="4"/>
  <c r="I36" i="4"/>
  <c r="H36" i="4"/>
  <c r="G36" i="4"/>
  <c r="H35" i="4"/>
  <c r="K29" i="4"/>
  <c r="J29" i="4"/>
  <c r="I29" i="4"/>
  <c r="H29" i="4"/>
  <c r="G29" i="4"/>
  <c r="I28" i="4"/>
  <c r="H28" i="4"/>
  <c r="G28" i="4"/>
  <c r="F28" i="4"/>
  <c r="D28" i="4"/>
  <c r="H27" i="4"/>
  <c r="G27" i="4"/>
  <c r="F27" i="4"/>
  <c r="K25" i="4"/>
  <c r="J25" i="4"/>
  <c r="I25" i="4"/>
  <c r="H25" i="4"/>
  <c r="I24" i="4"/>
  <c r="H24" i="4"/>
  <c r="G24" i="4"/>
  <c r="G35" i="4" s="1"/>
  <c r="F24" i="4"/>
  <c r="F35" i="4" s="1"/>
  <c r="B24" i="4"/>
  <c r="I23" i="4"/>
  <c r="H23" i="4"/>
  <c r="G23" i="4"/>
  <c r="I22" i="4"/>
  <c r="H22" i="4"/>
  <c r="G22" i="4"/>
  <c r="F22" i="4"/>
  <c r="H21" i="4"/>
  <c r="G21" i="4"/>
  <c r="F21" i="4"/>
  <c r="D21" i="4"/>
  <c r="C21" i="4"/>
  <c r="B21" i="4"/>
  <c r="K18" i="4"/>
  <c r="K24" i="4" s="1"/>
  <c r="J18" i="4"/>
  <c r="J28" i="4" s="1"/>
  <c r="I18" i="4"/>
  <c r="I26" i="4" s="1"/>
  <c r="I37" i="4" s="1"/>
  <c r="H18" i="4"/>
  <c r="H26" i="4" s="1"/>
  <c r="G18" i="4"/>
  <c r="G25" i="4" s="1"/>
  <c r="F18" i="4"/>
  <c r="F25" i="4" s="1"/>
  <c r="E18" i="4"/>
  <c r="E26" i="4" s="1"/>
  <c r="D18" i="4"/>
  <c r="D26" i="4" s="1"/>
  <c r="C18" i="4"/>
  <c r="B18" i="4"/>
  <c r="B26" i="4" s="1"/>
  <c r="K17" i="4"/>
  <c r="J17" i="4"/>
  <c r="I17" i="4"/>
  <c r="H17" i="4"/>
  <c r="H57" i="4" s="1"/>
  <c r="G17" i="4"/>
  <c r="F17" i="4"/>
  <c r="E17" i="4"/>
  <c r="D17" i="4"/>
  <c r="C17" i="4"/>
  <c r="B17" i="4"/>
  <c r="K14" i="4"/>
  <c r="J14" i="4"/>
  <c r="I14" i="4"/>
  <c r="H14" i="4"/>
  <c r="H40" i="4" s="1"/>
  <c r="G14" i="4"/>
  <c r="G40" i="4" s="1"/>
  <c r="F14" i="4"/>
  <c r="E14" i="4"/>
  <c r="D14" i="4"/>
  <c r="C14" i="4"/>
  <c r="B14" i="4"/>
  <c r="K13" i="4"/>
  <c r="J13" i="4"/>
  <c r="I13" i="4"/>
  <c r="I39" i="4" s="1"/>
  <c r="H13" i="4"/>
  <c r="H39" i="4" s="1"/>
  <c r="G13" i="4"/>
  <c r="G39" i="4" s="1"/>
  <c r="F13" i="4"/>
  <c r="F39" i="4" s="1"/>
  <c r="E13" i="4"/>
  <c r="D13" i="4"/>
  <c r="D39" i="4" s="1"/>
  <c r="C13" i="4"/>
  <c r="B13" i="4"/>
  <c r="K12" i="4"/>
  <c r="J12" i="4"/>
  <c r="I12" i="4"/>
  <c r="H12" i="4"/>
  <c r="H38" i="4" s="1"/>
  <c r="G12" i="4"/>
  <c r="F12" i="4"/>
  <c r="F38" i="4" s="1"/>
  <c r="E12" i="4"/>
  <c r="D12" i="4"/>
  <c r="C12" i="4"/>
  <c r="B12" i="4"/>
  <c r="K11" i="4"/>
  <c r="J11" i="4"/>
  <c r="I11" i="4"/>
  <c r="H11" i="4"/>
  <c r="H37" i="4" s="1"/>
  <c r="G11" i="4"/>
  <c r="F11" i="4"/>
  <c r="E11" i="4"/>
  <c r="D11" i="4"/>
  <c r="C11" i="4"/>
  <c r="B11" i="4"/>
  <c r="K10" i="4"/>
  <c r="J10" i="4"/>
  <c r="J36" i="4" s="1"/>
  <c r="I10" i="4"/>
  <c r="H10" i="4"/>
  <c r="G10" i="4"/>
  <c r="F10" i="4"/>
  <c r="F36" i="4" s="1"/>
  <c r="E10" i="4"/>
  <c r="D10" i="4"/>
  <c r="C10" i="4"/>
  <c r="B10" i="4"/>
  <c r="K9" i="4"/>
  <c r="J9" i="4"/>
  <c r="I9" i="4"/>
  <c r="I35" i="4" s="1"/>
  <c r="H9" i="4"/>
  <c r="G9" i="4"/>
  <c r="F9" i="4"/>
  <c r="E9" i="4"/>
  <c r="D9" i="4"/>
  <c r="C9" i="4"/>
  <c r="B9" i="4"/>
  <c r="B35" i="4" s="1"/>
  <c r="K8" i="4"/>
  <c r="J8" i="4"/>
  <c r="I8" i="4"/>
  <c r="I34" i="4" s="1"/>
  <c r="H8" i="4"/>
  <c r="H34" i="4" s="1"/>
  <c r="G8" i="4"/>
  <c r="G34" i="4" s="1"/>
  <c r="F8" i="4"/>
  <c r="E8" i="4"/>
  <c r="D8" i="4"/>
  <c r="C8" i="4"/>
  <c r="B8" i="4"/>
  <c r="K7" i="4"/>
  <c r="J7" i="4"/>
  <c r="I7" i="4"/>
  <c r="H7" i="4"/>
  <c r="G7" i="4"/>
  <c r="F7" i="4"/>
  <c r="F33" i="4" s="1"/>
  <c r="E7" i="4"/>
  <c r="D7" i="4"/>
  <c r="C7" i="4"/>
  <c r="B7" i="4"/>
  <c r="K6" i="4"/>
  <c r="J6" i="4"/>
  <c r="J32" i="4" s="1"/>
  <c r="I6" i="4"/>
  <c r="I32" i="4" s="1"/>
  <c r="H6" i="4"/>
  <c r="H32" i="4" s="1"/>
  <c r="G6" i="4"/>
  <c r="G32" i="4" s="1"/>
  <c r="F6" i="4"/>
  <c r="F32" i="4" s="1"/>
  <c r="E6" i="4"/>
  <c r="E32" i="4" s="1"/>
  <c r="D6" i="4"/>
  <c r="D32" i="4" s="1"/>
  <c r="C6" i="4"/>
  <c r="C32" i="4" s="1"/>
  <c r="B6" i="4"/>
  <c r="B32" i="4" s="1"/>
  <c r="A2" i="4"/>
  <c r="J38" i="4" l="1"/>
  <c r="F34" i="4"/>
  <c r="I57" i="4"/>
  <c r="H33" i="14"/>
  <c r="H7" i="14"/>
  <c r="H15" i="14" s="1"/>
  <c r="J39" i="4"/>
  <c r="J35" i="4"/>
  <c r="G33" i="4"/>
  <c r="C16" i="8"/>
  <c r="G8" i="8"/>
  <c r="G17" i="8"/>
  <c r="C12" i="8"/>
  <c r="C21" i="8"/>
  <c r="E13" i="8"/>
  <c r="E22" i="8"/>
  <c r="I33" i="4"/>
  <c r="I41" i="4" s="1"/>
  <c r="I42" i="4" s="1"/>
  <c r="I49" i="4" s="1"/>
  <c r="I8" i="7" s="1"/>
  <c r="E37" i="4"/>
  <c r="G38" i="4"/>
  <c r="K40" i="4"/>
  <c r="C28" i="4"/>
  <c r="C39" i="4" s="1"/>
  <c r="C34" i="7"/>
  <c r="C29" i="4"/>
  <c r="C40" i="4" s="1"/>
  <c r="C23" i="4"/>
  <c r="C34" i="4" s="1"/>
  <c r="C24" i="4"/>
  <c r="C57" i="4" s="1"/>
  <c r="E21" i="4"/>
  <c r="J22" i="4"/>
  <c r="J53" i="4" s="1"/>
  <c r="C26" i="4"/>
  <c r="E28" i="4"/>
  <c r="H56" i="4"/>
  <c r="B22" i="8"/>
  <c r="J40" i="4"/>
  <c r="I9" i="8"/>
  <c r="I18" i="8"/>
  <c r="C22" i="8"/>
  <c r="E23" i="4"/>
  <c r="E34" i="4" s="1"/>
  <c r="J24" i="4"/>
  <c r="D9" i="8"/>
  <c r="J20" i="8"/>
  <c r="C37" i="4"/>
  <c r="D13" i="8"/>
  <c r="D22" i="8"/>
  <c r="G56" i="4"/>
  <c r="E34" i="7"/>
  <c r="E29" i="4"/>
  <c r="E40" i="4" s="1"/>
  <c r="E24" i="4"/>
  <c r="E35" i="4" s="1"/>
  <c r="E25" i="4"/>
  <c r="E36" i="4" s="1"/>
  <c r="F23" i="4"/>
  <c r="F54" i="4" s="1"/>
  <c r="F26" i="4"/>
  <c r="F37" i="4" s="1"/>
  <c r="E9" i="8"/>
  <c r="K20" i="8"/>
  <c r="D37" i="4"/>
  <c r="B22" i="4"/>
  <c r="B25" i="4"/>
  <c r="B36" i="4" s="1"/>
  <c r="B27" i="4"/>
  <c r="B38" i="4" s="1"/>
  <c r="K32" i="4"/>
  <c r="H19" i="8"/>
  <c r="I40" i="4"/>
  <c r="H9" i="8"/>
  <c r="H18" i="8"/>
  <c r="D34" i="7"/>
  <c r="D29" i="4"/>
  <c r="D40" i="4" s="1"/>
  <c r="D24" i="4"/>
  <c r="D35" i="4" s="1"/>
  <c r="C22" i="4"/>
  <c r="C55" i="4" s="1"/>
  <c r="C25" i="4"/>
  <c r="C36" i="4" s="1"/>
  <c r="C27" i="4"/>
  <c r="F34" i="7"/>
  <c r="I19" i="8"/>
  <c r="G52" i="4"/>
  <c r="E17" i="8"/>
  <c r="F8" i="8"/>
  <c r="F17" i="8"/>
  <c r="E7" i="8"/>
  <c r="E16" i="8"/>
  <c r="D22" i="4"/>
  <c r="D55" i="4" s="1"/>
  <c r="D25" i="4"/>
  <c r="D36" i="4" s="1"/>
  <c r="D27" i="4"/>
  <c r="F29" i="4"/>
  <c r="F40" i="4" s="1"/>
  <c r="D38" i="4"/>
  <c r="K35" i="4"/>
  <c r="D7" i="8"/>
  <c r="D16" i="8"/>
  <c r="J10" i="8"/>
  <c r="J19" i="8"/>
  <c r="H33" i="4"/>
  <c r="H41" i="4" s="1"/>
  <c r="H42" i="4" s="1"/>
  <c r="H49" i="4" s="1"/>
  <c r="H8" i="7" s="1"/>
  <c r="B28" i="4"/>
  <c r="B39" i="4" s="1"/>
  <c r="B34" i="7"/>
  <c r="B29" i="4"/>
  <c r="B40" i="4" s="1"/>
  <c r="B34" i="4"/>
  <c r="K10" i="8"/>
  <c r="K19" i="8"/>
  <c r="D23" i="4"/>
  <c r="D34" i="4" s="1"/>
  <c r="H52" i="4"/>
  <c r="H53" i="4"/>
  <c r="H54" i="4"/>
  <c r="J26" i="4"/>
  <c r="J37" i="4" s="1"/>
  <c r="J27" i="4"/>
  <c r="J21" i="4"/>
  <c r="E22" i="4"/>
  <c r="J23" i="4"/>
  <c r="J34" i="4" s="1"/>
  <c r="E27" i="4"/>
  <c r="H55" i="4"/>
  <c r="G18" i="8"/>
  <c r="B37" i="4"/>
  <c r="E38" i="4"/>
  <c r="B12" i="8"/>
  <c r="B21" i="8"/>
  <c r="E33" i="4"/>
  <c r="K36" i="4"/>
  <c r="C38" i="4"/>
  <c r="E39" i="4"/>
  <c r="K26" i="4"/>
  <c r="K37" i="4" s="1"/>
  <c r="K27" i="4"/>
  <c r="K38" i="4" s="1"/>
  <c r="K21" i="4"/>
  <c r="K28" i="4"/>
  <c r="K39" i="4" s="1"/>
  <c r="K22" i="4"/>
  <c r="K33" i="4" s="1"/>
  <c r="K23" i="4"/>
  <c r="K34" i="4" s="1"/>
  <c r="I21" i="4"/>
  <c r="G26" i="4"/>
  <c r="G54" i="4" s="1"/>
  <c r="I27" i="4"/>
  <c r="I38" i="4" s="1"/>
  <c r="F53" i="4"/>
  <c r="H7" i="7" l="1"/>
  <c r="H15" i="7" s="1"/>
  <c r="H33" i="7"/>
  <c r="G33" i="11"/>
  <c r="G7" i="11"/>
  <c r="G15" i="11" s="1"/>
  <c r="I33" i="7"/>
  <c r="I7" i="7"/>
  <c r="I15" i="7" s="1"/>
  <c r="C33" i="14"/>
  <c r="C7" i="14"/>
  <c r="C15" i="14" s="1"/>
  <c r="C33" i="12"/>
  <c r="C7" i="12"/>
  <c r="C15" i="12" s="1"/>
  <c r="F33" i="11"/>
  <c r="F7" i="11"/>
  <c r="F15" i="11" s="1"/>
  <c r="D33" i="12"/>
  <c r="D7" i="12"/>
  <c r="D15" i="12" s="1"/>
  <c r="F41" i="4"/>
  <c r="F42" i="4" s="1"/>
  <c r="F49" i="4" s="1"/>
  <c r="F8" i="7" s="1"/>
  <c r="J33" i="10"/>
  <c r="J7" i="10"/>
  <c r="J15" i="10" s="1"/>
  <c r="J54" i="4"/>
  <c r="I53" i="4"/>
  <c r="G33" i="13"/>
  <c r="G7" i="13"/>
  <c r="G15" i="13" s="1"/>
  <c r="C35" i="4"/>
  <c r="I33" i="14"/>
  <c r="I7" i="14"/>
  <c r="I15" i="14" s="1"/>
  <c r="C53" i="4"/>
  <c r="I56" i="4"/>
  <c r="D57" i="4"/>
  <c r="J55" i="4"/>
  <c r="K53" i="4"/>
  <c r="H7" i="11"/>
  <c r="H15" i="11" s="1"/>
  <c r="H33" i="11"/>
  <c r="D54" i="4"/>
  <c r="D33" i="4"/>
  <c r="D41" i="4" s="1"/>
  <c r="D42" i="4" s="1"/>
  <c r="D49" i="4" s="1"/>
  <c r="D8" i="7" s="1"/>
  <c r="K57" i="4"/>
  <c r="D53" i="4"/>
  <c r="B56" i="4"/>
  <c r="B54" i="4"/>
  <c r="H33" i="13"/>
  <c r="H7" i="13"/>
  <c r="H15" i="13" s="1"/>
  <c r="J33" i="4"/>
  <c r="J41" i="4" s="1"/>
  <c r="J42" i="4" s="1"/>
  <c r="J49" i="4" s="1"/>
  <c r="J8" i="7" s="1"/>
  <c r="F57" i="4"/>
  <c r="E57" i="4"/>
  <c r="E54" i="4"/>
  <c r="E56" i="4"/>
  <c r="E53" i="4"/>
  <c r="E55" i="4"/>
  <c r="F52" i="4"/>
  <c r="H31" i="14"/>
  <c r="H29" i="14"/>
  <c r="G37" i="4"/>
  <c r="F33" i="10"/>
  <c r="F7" i="10"/>
  <c r="F15" i="10" s="1"/>
  <c r="H7" i="10"/>
  <c r="H15" i="10" s="1"/>
  <c r="H33" i="10"/>
  <c r="D56" i="4"/>
  <c r="I54" i="4"/>
  <c r="J57" i="4"/>
  <c r="C56" i="4"/>
  <c r="B53" i="4"/>
  <c r="K56" i="4"/>
  <c r="C33" i="4"/>
  <c r="C54" i="4"/>
  <c r="K41" i="4"/>
  <c r="B33" i="4"/>
  <c r="B41" i="4" s="1"/>
  <c r="B42" i="4" s="1"/>
  <c r="B49" i="4" s="1"/>
  <c r="B8" i="7" s="1"/>
  <c r="B52" i="4"/>
  <c r="K52" i="4"/>
  <c r="I52" i="4"/>
  <c r="K55" i="4"/>
  <c r="G57" i="4"/>
  <c r="G33" i="9"/>
  <c r="G7" i="9"/>
  <c r="G15" i="9" s="1"/>
  <c r="J52" i="4"/>
  <c r="G53" i="4"/>
  <c r="H7" i="12"/>
  <c r="H15" i="12" s="1"/>
  <c r="H33" i="12"/>
  <c r="B55" i="4"/>
  <c r="E41" i="4"/>
  <c r="E42" i="4" s="1"/>
  <c r="E49" i="4" s="1"/>
  <c r="E8" i="7" s="1"/>
  <c r="F56" i="4"/>
  <c r="J56" i="4"/>
  <c r="G55" i="4"/>
  <c r="E52" i="4"/>
  <c r="K54" i="4"/>
  <c r="F55" i="4"/>
  <c r="H33" i="9"/>
  <c r="H7" i="9"/>
  <c r="H15" i="9" s="1"/>
  <c r="B57" i="4"/>
  <c r="I55" i="4"/>
  <c r="K42" i="4"/>
  <c r="K49" i="4" s="1"/>
  <c r="K8" i="7" s="1"/>
  <c r="D52" i="4"/>
  <c r="G41" i="4"/>
  <c r="G42" i="4" s="1"/>
  <c r="G49" i="4" s="1"/>
  <c r="G8" i="7" s="1"/>
  <c r="K33" i="11" l="1"/>
  <c r="K7" i="11"/>
  <c r="K15" i="11" s="1"/>
  <c r="E33" i="9"/>
  <c r="E7" i="9"/>
  <c r="E15" i="9" s="1"/>
  <c r="G33" i="14"/>
  <c r="G7" i="14"/>
  <c r="G15" i="14" s="1"/>
  <c r="C33" i="13"/>
  <c r="C7" i="13"/>
  <c r="C15" i="13" s="1"/>
  <c r="E33" i="12"/>
  <c r="E7" i="12"/>
  <c r="E15" i="12" s="1"/>
  <c r="K33" i="14"/>
  <c r="K7" i="14"/>
  <c r="K15" i="14" s="1"/>
  <c r="C29" i="12"/>
  <c r="C31" i="12"/>
  <c r="G29" i="9"/>
  <c r="G31" i="9"/>
  <c r="F7" i="9"/>
  <c r="F15" i="9" s="1"/>
  <c r="F33" i="9"/>
  <c r="G33" i="12"/>
  <c r="G7" i="12"/>
  <c r="G15" i="12" s="1"/>
  <c r="K7" i="12"/>
  <c r="K15" i="12" s="1"/>
  <c r="K33" i="12"/>
  <c r="J33" i="14"/>
  <c r="J7" i="14"/>
  <c r="J15" i="14" s="1"/>
  <c r="E33" i="10"/>
  <c r="E7" i="10"/>
  <c r="E15" i="10" s="1"/>
  <c r="D7" i="7"/>
  <c r="D15" i="7" s="1"/>
  <c r="D33" i="7"/>
  <c r="G31" i="13"/>
  <c r="G29" i="13"/>
  <c r="B33" i="10"/>
  <c r="B15" i="10"/>
  <c r="D33" i="13"/>
  <c r="D7" i="13"/>
  <c r="D15" i="13" s="1"/>
  <c r="E33" i="11"/>
  <c r="E7" i="11"/>
  <c r="E15" i="11" s="1"/>
  <c r="I33" i="10"/>
  <c r="I7" i="10"/>
  <c r="I15" i="10" s="1"/>
  <c r="B33" i="13"/>
  <c r="B7" i="13"/>
  <c r="B15" i="13" s="1"/>
  <c r="J7" i="13"/>
  <c r="J15" i="13" s="1"/>
  <c r="J33" i="13"/>
  <c r="C29" i="14"/>
  <c r="C31" i="14"/>
  <c r="E7" i="7"/>
  <c r="E15" i="7" s="1"/>
  <c r="E33" i="7"/>
  <c r="B33" i="9"/>
  <c r="B7" i="9"/>
  <c r="B15" i="9" s="1"/>
  <c r="E33" i="14"/>
  <c r="E7" i="14"/>
  <c r="E15" i="14" s="1"/>
  <c r="H29" i="11"/>
  <c r="H31" i="11"/>
  <c r="J33" i="11"/>
  <c r="J7" i="11"/>
  <c r="J15" i="11" s="1"/>
  <c r="I29" i="7"/>
  <c r="I31" i="7"/>
  <c r="E33" i="13"/>
  <c r="E7" i="13"/>
  <c r="E15" i="13" s="1"/>
  <c r="G7" i="7"/>
  <c r="G15" i="7" s="1"/>
  <c r="G33" i="7"/>
  <c r="F33" i="14"/>
  <c r="F7" i="14"/>
  <c r="F15" i="14" s="1"/>
  <c r="K33" i="10"/>
  <c r="K7" i="10"/>
  <c r="K15" i="10" s="1"/>
  <c r="J29" i="10"/>
  <c r="J31" i="10"/>
  <c r="D33" i="11"/>
  <c r="D7" i="11"/>
  <c r="D15" i="11" s="1"/>
  <c r="B33" i="12"/>
  <c r="B7" i="12"/>
  <c r="B15" i="12" s="1"/>
  <c r="I33" i="12"/>
  <c r="I7" i="12"/>
  <c r="I15" i="12" s="1"/>
  <c r="F29" i="10"/>
  <c r="F31" i="10"/>
  <c r="J33" i="7"/>
  <c r="J7" i="7"/>
  <c r="J15" i="7" s="1"/>
  <c r="J7" i="12"/>
  <c r="J15" i="12" s="1"/>
  <c r="J33" i="12"/>
  <c r="G29" i="11"/>
  <c r="G31" i="11"/>
  <c r="K33" i="13"/>
  <c r="K7" i="13"/>
  <c r="K15" i="13" s="1"/>
  <c r="I31" i="14"/>
  <c r="I29" i="14"/>
  <c r="I33" i="9"/>
  <c r="I7" i="9"/>
  <c r="I15" i="9" s="1"/>
  <c r="D33" i="9"/>
  <c r="D7" i="9"/>
  <c r="D15" i="9" s="1"/>
  <c r="K7" i="7"/>
  <c r="K15" i="7" s="1"/>
  <c r="K33" i="7"/>
  <c r="B33" i="14"/>
  <c r="B7" i="14"/>
  <c r="B15" i="14" s="1"/>
  <c r="H31" i="12"/>
  <c r="H29" i="12"/>
  <c r="C33" i="11"/>
  <c r="C7" i="11"/>
  <c r="C15" i="11" s="1"/>
  <c r="H29" i="13"/>
  <c r="H31" i="13"/>
  <c r="D33" i="14"/>
  <c r="D7" i="14"/>
  <c r="D15" i="14" s="1"/>
  <c r="F7" i="7"/>
  <c r="F15" i="7" s="1"/>
  <c r="F33" i="7"/>
  <c r="D33" i="10"/>
  <c r="D7" i="10"/>
  <c r="D15" i="10" s="1"/>
  <c r="F33" i="13"/>
  <c r="F7" i="13"/>
  <c r="F15" i="13" s="1"/>
  <c r="G7" i="10"/>
  <c r="G15" i="10" s="1"/>
  <c r="G33" i="10"/>
  <c r="C33" i="9"/>
  <c r="C7" i="9"/>
  <c r="C15" i="9" s="1"/>
  <c r="I33" i="13"/>
  <c r="I7" i="13"/>
  <c r="I15" i="13" s="1"/>
  <c r="D31" i="12"/>
  <c r="D29" i="12"/>
  <c r="F33" i="12"/>
  <c r="F7" i="12"/>
  <c r="F15" i="12" s="1"/>
  <c r="F29" i="11"/>
  <c r="F31" i="11"/>
  <c r="I33" i="11"/>
  <c r="I7" i="11"/>
  <c r="I15" i="11" s="1"/>
  <c r="K33" i="9"/>
  <c r="K7" i="9"/>
  <c r="K15" i="9" s="1"/>
  <c r="B7" i="7"/>
  <c r="B15" i="7" s="1"/>
  <c r="B33" i="7"/>
  <c r="H29" i="10"/>
  <c r="H31" i="10"/>
  <c r="H29" i="9"/>
  <c r="H31" i="9"/>
  <c r="J33" i="9"/>
  <c r="J7" i="9"/>
  <c r="J15" i="9" s="1"/>
  <c r="C41" i="4"/>
  <c r="C42" i="4" s="1"/>
  <c r="C49" i="4" s="1"/>
  <c r="C8" i="7" s="1"/>
  <c r="B33" i="11"/>
  <c r="B7" i="11"/>
  <c r="B15" i="11" s="1"/>
  <c r="C33" i="10"/>
  <c r="C7" i="10"/>
  <c r="C15" i="10" s="1"/>
  <c r="H29" i="7"/>
  <c r="H31" i="7"/>
  <c r="K29" i="7" l="1"/>
  <c r="K31" i="7"/>
  <c r="I29" i="11"/>
  <c r="I31" i="11"/>
  <c r="C31" i="11"/>
  <c r="C29" i="11"/>
  <c r="I29" i="12"/>
  <c r="I31" i="12"/>
  <c r="B29" i="9"/>
  <c r="B31" i="9"/>
  <c r="E31" i="11"/>
  <c r="E29" i="11"/>
  <c r="J31" i="14"/>
  <c r="J29" i="14"/>
  <c r="K31" i="14"/>
  <c r="K29" i="14"/>
  <c r="B29" i="14"/>
  <c r="B31" i="14"/>
  <c r="G29" i="10"/>
  <c r="G31" i="10"/>
  <c r="G29" i="7"/>
  <c r="G31" i="7"/>
  <c r="J31" i="9"/>
  <c r="J29" i="9"/>
  <c r="F31" i="13"/>
  <c r="F29" i="13"/>
  <c r="K29" i="13"/>
  <c r="K31" i="13"/>
  <c r="B29" i="12"/>
  <c r="B31" i="12"/>
  <c r="E29" i="13"/>
  <c r="E31" i="13"/>
  <c r="D29" i="13"/>
  <c r="D31" i="13"/>
  <c r="E31" i="12"/>
  <c r="E29" i="12"/>
  <c r="C7" i="7"/>
  <c r="C15" i="7" s="1"/>
  <c r="C33" i="7"/>
  <c r="E29" i="7"/>
  <c r="E31" i="7"/>
  <c r="K29" i="12"/>
  <c r="K31" i="12"/>
  <c r="D31" i="10"/>
  <c r="D29" i="10"/>
  <c r="B31" i="10"/>
  <c r="B29" i="10"/>
  <c r="G31" i="12"/>
  <c r="G29" i="12"/>
  <c r="C29" i="13"/>
  <c r="C31" i="13"/>
  <c r="J29" i="11"/>
  <c r="J31" i="11"/>
  <c r="G29" i="14"/>
  <c r="G31" i="14"/>
  <c r="I31" i="13"/>
  <c r="I29" i="13"/>
  <c r="D29" i="9"/>
  <c r="D31" i="9"/>
  <c r="K29" i="10"/>
  <c r="K31" i="10"/>
  <c r="B29" i="13"/>
  <c r="B31" i="13"/>
  <c r="E29" i="9"/>
  <c r="E31" i="9"/>
  <c r="C31" i="10"/>
  <c r="C29" i="10"/>
  <c r="B29" i="7"/>
  <c r="B31" i="7"/>
  <c r="D31" i="7"/>
  <c r="D29" i="7"/>
  <c r="D29" i="11"/>
  <c r="D31" i="11"/>
  <c r="F29" i="9"/>
  <c r="F31" i="9"/>
  <c r="C31" i="9"/>
  <c r="C29" i="9"/>
  <c r="I29" i="9"/>
  <c r="I31" i="9"/>
  <c r="F29" i="14"/>
  <c r="F31" i="14"/>
  <c r="E29" i="14"/>
  <c r="E31" i="14"/>
  <c r="I29" i="10"/>
  <c r="I31" i="10"/>
  <c r="E29" i="10"/>
  <c r="E31" i="10"/>
  <c r="K29" i="11"/>
  <c r="K31" i="11"/>
  <c r="F31" i="12"/>
  <c r="F29" i="12"/>
  <c r="F29" i="7"/>
  <c r="F31" i="7"/>
  <c r="J29" i="12"/>
  <c r="J31" i="12"/>
  <c r="J29" i="13"/>
  <c r="J31" i="13"/>
  <c r="D29" i="14"/>
  <c r="D31" i="14"/>
  <c r="J29" i="7"/>
  <c r="J31" i="7"/>
  <c r="K31" i="9"/>
  <c r="K29" i="9"/>
  <c r="B31" i="11"/>
  <c r="B29" i="11"/>
  <c r="C31" i="7" l="1"/>
  <c r="C29" i="7"/>
</calcChain>
</file>

<file path=xl/sharedStrings.xml><?xml version="1.0" encoding="utf-8"?>
<sst xmlns="http://schemas.openxmlformats.org/spreadsheetml/2006/main" count="821" uniqueCount="278">
  <si>
    <t>六戸町 農業集落排水事業 使用料改定シミュレーション</t>
  </si>
  <si>
    <t>▼ 黄色セルを変更すると「財政計画（ベース）」「パターン別比較」が自動連動します</t>
  </si>
  <si>
    <t>① 人口推計</t>
  </si>
  <si>
    <t>人口ビジョン</t>
  </si>
  <si>
    <t>② 料金パターン</t>
  </si>
  <si>
    <t>パターン①（標準型）</t>
  </si>
  <si>
    <t>③ 改定年数</t>
  </si>
  <si>
    <t>2か年</t>
  </si>
  <si>
    <t>【連動先】</t>
  </si>
  <si>
    <t>・「財政計画（ベース）」の使用料収入(A7) → 設定に応じた収入を自動反映</t>
  </si>
  <si>
    <t>・「パターン別比較」の経常収支比率・経費回収率 → 人口推計の切替に連動</t>
  </si>
  <si>
    <t>・各パターンシート（農集案①〜④）は元データのまま参照用として保持</t>
  </si>
  <si>
    <t>使用料収入マスタ（千円）　※設定シートから自動参照</t>
  </si>
  <si>
    <t>人口推計</t>
  </si>
  <si>
    <t>パターン</t>
  </si>
  <si>
    <t>改定年数</t>
  </si>
  <si>
    <t>令和7年度</t>
  </si>
  <si>
    <t>令和8年度</t>
  </si>
  <si>
    <t>令和9年度</t>
  </si>
  <si>
    <t>令和10年度</t>
  </si>
  <si>
    <t>令和11年度</t>
  </si>
  <si>
    <t>令和12年度</t>
  </si>
  <si>
    <t>令和13年度</t>
  </si>
  <si>
    <t>令和14年度</t>
  </si>
  <si>
    <t>令和15年度</t>
  </si>
  <si>
    <t>令和16年度</t>
  </si>
  <si>
    <t>3か年</t>
  </si>
  <si>
    <t>パターン②（家庭軽減型）</t>
  </si>
  <si>
    <t>パターン④（段階累進型）</t>
  </si>
  <si>
    <t>社人研</t>
  </si>
  <si>
    <t>現行収入（改定なし）</t>
  </si>
  <si>
    <t>現行</t>
  </si>
  <si>
    <t>有収水量（㎥）</t>
  </si>
  <si>
    <t>料金テーブル（税抜き・円）　※黄色セル編集可</t>
  </si>
  <si>
    <t>単価を変更すると「使用料算定」→「財政計画（ベース）」に自動反映されます</t>
  </si>
  <si>
    <t>水量区分</t>
  </si>
  <si>
    <t>パターン①
（標準型）</t>
  </si>
  <si>
    <t>パターン②
（家庭軽減型）</t>
  </si>
  <si>
    <t>パターン④
（段階累進型）</t>
  </si>
  <si>
    <t>基本(0〜10㎥)</t>
  </si>
  <si>
    <t>11〜20㎥</t>
  </si>
  <si>
    <t>21〜30㎥</t>
  </si>
  <si>
    <t>31〜40㎥</t>
  </si>
  <si>
    <t>41〜50㎥</t>
  </si>
  <si>
    <t>51〜70㎥</t>
  </si>
  <si>
    <t>71〜100㎥</t>
  </si>
  <si>
    <t>101〜150㎥</t>
  </si>
  <si>
    <t>151㎥〜</t>
  </si>
  <si>
    <t>使用料収入算定（区分別積み上げ）</t>
  </si>
  <si>
    <t>■ 年度別適用単価（円）</t>
  </si>
  <si>
    <t>■ 調定口数・有収水量推計</t>
  </si>
  <si>
    <t>調定口数（口）</t>
  </si>
  <si>
    <t>有収水量合計（㎥）</t>
  </si>
  <si>
    <t>■ 区分別有収水量（㎥）　※R6比率固定</t>
  </si>
  <si>
    <t>■ 使用料収入算定（千円）</t>
  </si>
  <si>
    <t>基本使用料収入</t>
  </si>
  <si>
    <t>　11〜20㎥</t>
  </si>
  <si>
    <t>　21〜30㎥</t>
  </si>
  <si>
    <t>　31〜40㎥</t>
  </si>
  <si>
    <t>　41〜50㎥</t>
  </si>
  <si>
    <t>　51〜70㎥</t>
  </si>
  <si>
    <t>　71〜100㎥</t>
  </si>
  <si>
    <t>　101〜150㎥</t>
  </si>
  <si>
    <t>　151㎥〜</t>
  </si>
  <si>
    <t>超過使用料収入 小計</t>
  </si>
  <si>
    <t>使用料収入 合計（税抜き）</t>
  </si>
  <si>
    <t>■ R6実績補正</t>
  </si>
  <si>
    <t>R6実績 使用料収入（千円）</t>
  </si>
  <si>
    <t>R6算定値（検算用）</t>
  </si>
  <si>
    <t>補正率（実績÷算定）</t>
  </si>
  <si>
    <t>★ 使用料収入（補正後・千円）</t>
  </si>
  <si>
    <t>■ パターン別 使用料収入（補正後・千円）</t>
  </si>
  <si>
    <t>パターン① 2か年</t>
  </si>
  <si>
    <t>パターン① 3か年</t>
  </si>
  <si>
    <t>パターン② 2か年</t>
  </si>
  <si>
    <t>パターン② 3か年</t>
  </si>
  <si>
    <t>パターン④ 2か年</t>
  </si>
  <si>
    <t>パターン④ 3か年</t>
  </si>
  <si>
    <t>料金改定計画案・財政計画案</t>
  </si>
  <si>
    <t>１．料金改定計画案</t>
  </si>
  <si>
    <t>１－１．改定の背景と目的</t>
  </si>
  <si>
    <t>・人口減少に伴い使用料収入は減収傾向であり、水洗化率の向上は厳しい見込みである。継続的な使用料改定の検討が必要である。</t>
  </si>
  <si>
    <t>・物価高騰の影響から汚水処理費が増加傾向となっている。今後も労務費単価が増加することが懸念されるため、費用削減の検討が必要である。</t>
  </si>
  <si>
    <t>・今回の料金改定では資産維持費は見込まないが、国の動向を踏まえ今後の検討が必要である。</t>
  </si>
  <si>
    <t>・社会資本整備総合交付金の交付要件を満たすためにも、5年に1回の頻度で改定の必要性の検証を行う。</t>
  </si>
  <si>
    <t>・以上を踏まえ、経費回収率の改善と事業の安定的運営を図るため、使用料改定を行うものとする。</t>
  </si>
  <si>
    <t>１－２．料金体系の検討結果</t>
  </si>
  <si>
    <t>・総括原価を需要家費、固定費、変動費の3費目に分解し、設定した基準に基づき個別原価による料金体系の検討を行った。</t>
  </si>
  <si>
    <t>・基本水量制の廃止及び基本水量の引き下げ、使用水量に応じた負担を適切に求めることができる使用料体系への移行を検討した。</t>
  </si>
  <si>
    <t>・超過使用料における区分数をより細かく設定し、各使用者群に適切に負担を賦課する体系とした。</t>
  </si>
  <si>
    <t>・条件変更により5ケース算出し比較検討を行った結果、以下の3パターンに絞り込み審議会に提案する。</t>
  </si>
  <si>
    <t>・いずれのパターンも20㎥使用時に3,000円（税抜き）を達成する。激変緩和のため、2年または3年での段階的改定を検討する。</t>
  </si>
  <si>
    <t>１－３．改定料金表（３パターン比較）</t>
  </si>
  <si>
    <t>現行単価（円）</t>
  </si>
  <si>
    <t>基本使用料
(0〜10㎥)</t>
  </si>
  <si>
    <t>1,000円</t>
  </si>
  <si>
    <t>1,500円</t>
  </si>
  <si>
    <t>1,200円</t>
  </si>
  <si>
    <t>1,400円</t>
  </si>
  <si>
    <t>120円</t>
  </si>
  <si>
    <t>150円</t>
  </si>
  <si>
    <t>180円</t>
  </si>
  <si>
    <t>160円</t>
  </si>
  <si>
    <t>155円</t>
  </si>
  <si>
    <t>185円</t>
  </si>
  <si>
    <t>165円</t>
  </si>
  <si>
    <t>130円</t>
  </si>
  <si>
    <t>190円</t>
  </si>
  <si>
    <t>170円</t>
  </si>
  <si>
    <t>195円</t>
  </si>
  <si>
    <t>175円</t>
  </si>
  <si>
    <t>140円</t>
  </si>
  <si>
    <t>205円</t>
  </si>
  <si>
    <t>215円</t>
  </si>
  <si>
    <t>235円</t>
  </si>
  <si>
    <t>225円</t>
  </si>
  <si>
    <t>255円</t>
  </si>
  <si>
    <t>区分数</t>
  </si>
  <si>
    <t>4区分</t>
  </si>
  <si>
    <t>8区分</t>
  </si>
  <si>
    <t>累進度</t>
  </si>
  <si>
    <t>1.33倍</t>
  </si>
  <si>
    <t>1.50倍</t>
  </si>
  <si>
    <t>1.42倍</t>
  </si>
  <si>
    <t>1.47倍</t>
  </si>
  <si>
    <t>１－４．改定スケジュール（激変緩和措置：２年または３年の段階的引き上げ）</t>
  </si>
  <si>
    <t>【A】２か年段階改定</t>
  </si>
  <si>
    <t>令和6年度
（現行）</t>
  </si>
  <si>
    <t>令和7年度
（1年目）</t>
  </si>
  <si>
    <t>令和8年度
（2年目・完了）</t>
  </si>
  <si>
    <t>令和9年度〜</t>
  </si>
  <si>
    <t>改定段階</t>
  </si>
  <si>
    <t>現行料金</t>
  </si>
  <si>
    <t>第1段階</t>
  </si>
  <si>
    <t>第2段階（完了）</t>
  </si>
  <si>
    <t>改定後料金</t>
  </si>
  <si>
    <t>改定率</t>
  </si>
  <si>
    <t>―</t>
  </si>
  <si>
    <t>約1/2</t>
  </si>
  <si>
    <t>全額改定</t>
  </si>
  <si>
    <t>20㎥時例（①）</t>
  </si>
  <si>
    <t>2,200円</t>
  </si>
  <si>
    <t>約2,600円</t>
  </si>
  <si>
    <t>3,000円</t>
  </si>
  <si>
    <t>基本使用料例（①）</t>
  </si>
  <si>
    <t>1,250円</t>
  </si>
  <si>
    <t>【B】３か年段階改定</t>
  </si>
  <si>
    <t>令和8年度
（2年目）</t>
  </si>
  <si>
    <t>令和9年度
（3年目・完了）</t>
  </si>
  <si>
    <t>令和10年度〜</t>
  </si>
  <si>
    <t>第2段階</t>
  </si>
  <si>
    <t>第3段階（完了）</t>
  </si>
  <si>
    <t>約1/3</t>
  </si>
  <si>
    <t>約2/3</t>
  </si>
  <si>
    <t>約2,470円</t>
  </si>
  <si>
    <t>約2,730円</t>
  </si>
  <si>
    <t>約1,170円</t>
  </si>
  <si>
    <t>約1,330円</t>
  </si>
  <si>
    <t>１－５．モデルケース別影響額（３パターン比較）</t>
  </si>
  <si>
    <t>いずれのパターンも20㎥使用時に3,000円（税抜き）を達成する</t>
  </si>
  <si>
    <t>使用水量</t>
  </si>
  <si>
    <t>増加額</t>
  </si>
  <si>
    <t>10㎥</t>
  </si>
  <si>
    <t>+500円</t>
  </si>
  <si>
    <t>+200円</t>
  </si>
  <si>
    <t>+400円</t>
  </si>
  <si>
    <t>20㎥</t>
  </si>
  <si>
    <t>+800円</t>
  </si>
  <si>
    <t>30㎥</t>
  </si>
  <si>
    <t>3,400円</t>
  </si>
  <si>
    <t>4,550円</t>
  </si>
  <si>
    <t>+1,150円</t>
  </si>
  <si>
    <t>4,850円</t>
  </si>
  <si>
    <t>+1,450円</t>
  </si>
  <si>
    <t>4,650円</t>
  </si>
  <si>
    <t>+1,250円</t>
  </si>
  <si>
    <t>50㎥</t>
  </si>
  <si>
    <t>6,000円</t>
  </si>
  <si>
    <t>7,800円</t>
  </si>
  <si>
    <t>+1,800円</t>
  </si>
  <si>
    <t>8,700円</t>
  </si>
  <si>
    <t>+2,700円</t>
  </si>
  <si>
    <t>8,100円</t>
  </si>
  <si>
    <t>+2,100円</t>
  </si>
  <si>
    <t>特徴</t>
  </si>
  <si>
    <t>バランス重視</t>
  </si>
  <si>
    <t>少量使用者へ配慮</t>
  </si>
  <si>
    <t>緩急が明確</t>
  </si>
  <si>
    <t>３条 収益的収支（令和7年度～令和16年度）</t>
  </si>
  <si>
    <t>区　分</t>
  </si>
  <si>
    <t>（単位：千円）</t>
  </si>
  <si>
    <t>2025</t>
  </si>
  <si>
    <t>2026</t>
  </si>
  <si>
    <t>2027</t>
  </si>
  <si>
    <t>2028</t>
  </si>
  <si>
    <t>2029</t>
  </si>
  <si>
    <t>2030</t>
  </si>
  <si>
    <t>2031</t>
  </si>
  <si>
    <t>2032</t>
  </si>
  <si>
    <t>2033</t>
  </si>
  <si>
    <t>2034</t>
  </si>
  <si>
    <t>【収入の部】</t>
  </si>
  <si>
    <t>営業収益 (A)</t>
  </si>
  <si>
    <t>　(1) 使用料収入</t>
  </si>
  <si>
    <t>　(2) 雨水処理負担金</t>
  </si>
  <si>
    <t>　(3) その他</t>
  </si>
  <si>
    <t>営業外収益</t>
  </si>
  <si>
    <t>　(1) 補助金</t>
  </si>
  <si>
    <t>　(2) 長期前受金戻入</t>
  </si>
  <si>
    <t>経常収入 (C)</t>
  </si>
  <si>
    <t>【支出の部】</t>
  </si>
  <si>
    <t>営業費用</t>
  </si>
  <si>
    <t>　(1) 経費</t>
  </si>
  <si>
    <t>　　動力費</t>
  </si>
  <si>
    <t>　　修繕費</t>
  </si>
  <si>
    <t>　　その他</t>
  </si>
  <si>
    <t>　(2) 減価償却費</t>
  </si>
  <si>
    <t>営業外費用</t>
  </si>
  <si>
    <t>　(1) 支払利息</t>
  </si>
  <si>
    <t>　(2) その他</t>
  </si>
  <si>
    <t>経常支出 (D)</t>
  </si>
  <si>
    <t>経常損益 (C)-(D)</t>
  </si>
  <si>
    <t>経常収支比率</t>
  </si>
  <si>
    <t>汚水処理費</t>
  </si>
  <si>
    <t>経費回収率</t>
  </si>
  <si>
    <t>パターン別 経常収支比率・経費回収率 比較（農業集落排水事業）</t>
  </si>
  <si>
    <t>指標 ／ パターン</t>
  </si>
  <si>
    <t>【経常収支比率】</t>
  </si>
  <si>
    <t>　現行（改定なし）</t>
  </si>
  <si>
    <t>　パターン①（標準型）2か年</t>
  </si>
  <si>
    <t>　パターン①（標準型）3か年</t>
  </si>
  <si>
    <t>　パターン②（家庭軽減型）2か年</t>
  </si>
  <si>
    <t>　パターン②（家庭軽減型）3か年</t>
  </si>
  <si>
    <t>　パターン④（段階累進型）2か年</t>
  </si>
  <si>
    <t>　パターン④（段階累進型）3か年</t>
  </si>
  <si>
    <t>【経費回収率】</t>
  </si>
  <si>
    <t>【参考】パターン別 使用料収入（千円）</t>
  </si>
  <si>
    <t>現行（改定なし）</t>
  </si>
  <si>
    <t>パターン①（標準型）2か年</t>
  </si>
  <si>
    <t>パターン①（標準型）3か年</t>
  </si>
  <si>
    <t>パターン②（家庭軽減型）2か年</t>
  </si>
  <si>
    <t>パターン②（家庭軽減型）3か年</t>
  </si>
  <si>
    <t>パターン④（段階累進型）2か年</t>
  </si>
  <si>
    <t>パターン④（段階累進型）3か年</t>
  </si>
  <si>
    <t>汚水処理費（共通）</t>
  </si>
  <si>
    <t>経常支出（共通）</t>
  </si>
  <si>
    <t>農業集落排水事業　投資財政計画　パターン①（標準型）2か年改定</t>
  </si>
  <si>
    <t>４条 資本的収支（令和7年度～令和16年度）</t>
  </si>
  <si>
    <t>※ 打合せ資料より転記予定</t>
  </si>
  <si>
    <t>【資本的収入】</t>
  </si>
  <si>
    <t>　企業債</t>
  </si>
  <si>
    <t>　国庫補助金</t>
  </si>
  <si>
    <t>　他会計負担金</t>
  </si>
  <si>
    <t>　その他</t>
  </si>
  <si>
    <t>資本的収入 合計 (E)</t>
  </si>
  <si>
    <t>【資本的支出】</t>
  </si>
  <si>
    <t>　建設改良費</t>
  </si>
  <si>
    <t>　企業債償還金</t>
  </si>
  <si>
    <t>資本的支出 合計 (F)</t>
  </si>
  <si>
    <t>差引不足額 (E)-(F)</t>
  </si>
  <si>
    <t>【補填財源】</t>
  </si>
  <si>
    <t>　損益勘定留保資金</t>
  </si>
  <si>
    <t>　利益剰余金処分額</t>
  </si>
  <si>
    <t>　積立金取崩額</t>
  </si>
  <si>
    <t>補填財源 合計</t>
  </si>
  <si>
    <t>企業債残高</t>
  </si>
  <si>
    <t>農業集落排水事業　投資財政計画　パターン①（標準型）3か年改定</t>
  </si>
  <si>
    <t>農業集落排水事業　投資財政計画　パターン②（家庭軽減型）2か年改定</t>
  </si>
  <si>
    <t>農業集落排水事業　投資財政計画　パターン②（家庭軽減型）3か年改定</t>
  </si>
  <si>
    <t>農業集落排水事業　投資財政計画　パターン④（段階累進型）2か年改定</t>
  </si>
  <si>
    <t>農業集落排水事業　投資財政計画　パターン④（段階累進型）3か年改定</t>
  </si>
  <si>
    <t>3か年改定 段階単価（税抜き・円）</t>
  </si>
  <si>
    <t>※ 人口シミュレーションと同一の手動設定値。使用料算定シートが参照。</t>
  </si>
  <si>
    <t>パターン①</t>
  </si>
  <si>
    <t>R8
（第1段）</t>
  </si>
  <si>
    <t>R9
（第2段）</t>
  </si>
  <si>
    <t>パターン②</t>
  </si>
  <si>
    <t>パターン④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</si>
</sst>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000"/>
    <numFmt numFmtId="178" formatCode="#,##0;\(#,##0\);\-"/>
    <numFmt numFmtId="179" formatCode="0.0%"/>
  </numFmts>
  <fonts count="44">
    <font>
      <sz val="11"/>
      <color theme="1"/>
      <name val="ＭＳ Ｐゴシック"/>
      <family val="2"/>
      <charset val="1"/>
    </font>
    <font>
      <b/>
      <sz val="14"/>
      <name val="Noto Sans CJK SC"/>
      <family val="2"/>
      <charset val="1"/>
    </font>
    <font>
      <b/>
      <sz val="10"/>
      <color rgb="FFFF0000"/>
      <name val="Noto Sans CJK SC"/>
      <family val="2"/>
      <charset val="1"/>
    </font>
    <font>
      <b/>
      <sz val="11"/>
      <name val="Noto Sans CJK SC"/>
      <family val="2"/>
      <charset val="1"/>
    </font>
    <font>
      <sz val="11"/>
      <color rgb="FF0000FF"/>
      <name val="Noto Sans CJK SC"/>
      <family val="2"/>
      <charset val="1"/>
    </font>
    <font>
      <sz val="11"/>
      <color rgb="FF0000FF"/>
      <name val="Meiryo UI"/>
      <family val="3"/>
      <charset val="128"/>
    </font>
    <font>
      <sz val="9"/>
      <color rgb="FF606060"/>
      <name val="Noto Sans CJK SC"/>
      <family val="2"/>
      <charset val="1"/>
    </font>
    <font>
      <b/>
      <sz val="12"/>
      <name val="Noto Sans CJK SC"/>
      <family val="2"/>
      <charset val="1"/>
    </font>
    <font>
      <b/>
      <sz val="10"/>
      <color rgb="FFFFFFFF"/>
      <name val="Noto Sans CJK SC"/>
      <family val="2"/>
      <charset val="1"/>
    </font>
    <font>
      <sz val="10"/>
      <name val="Noto Sans CJK SC"/>
      <family val="2"/>
      <charset val="1"/>
    </font>
    <font>
      <sz val="10"/>
      <name val="Meiryo UI"/>
      <family val="3"/>
      <charset val="128"/>
    </font>
    <font>
      <sz val="10"/>
      <name val="Noto Sans CJK SC"/>
      <family val="2"/>
    </font>
    <font>
      <b/>
      <sz val="10"/>
      <name val="Noto Sans CJK SC"/>
      <family val="2"/>
      <charset val="1"/>
    </font>
    <font>
      <sz val="9"/>
      <color rgb="FF808080"/>
      <name val="Noto Sans CJK SC"/>
      <family val="2"/>
      <charset val="1"/>
    </font>
    <font>
      <sz val="10"/>
      <color rgb="FF0000FF"/>
      <name val="Meiryo UI"/>
      <family val="3"/>
      <charset val="128"/>
    </font>
    <font>
      <b/>
      <sz val="10"/>
      <color rgb="FF4472C4"/>
      <name val="Noto Sans CJK SC"/>
      <family val="2"/>
      <charset val="1"/>
    </font>
    <font>
      <b/>
      <sz val="10"/>
      <name val="Meiryo UI"/>
      <family val="3"/>
      <charset val="128"/>
    </font>
    <font>
      <b/>
      <sz val="10"/>
      <name val="Noto Sans CJK SC"/>
      <family val="2"/>
    </font>
    <font>
      <sz val="9"/>
      <color rgb="FF808080"/>
      <name val="Meiryo UI"/>
      <family val="3"/>
      <charset val="128"/>
    </font>
    <font>
      <b/>
      <sz val="11"/>
      <color rgb="FFFF0000"/>
      <name val="Noto Sans CJK SC"/>
      <family val="2"/>
      <charset val="1"/>
    </font>
    <font>
      <b/>
      <sz val="11"/>
      <name val="Meiryo UI"/>
      <family val="3"/>
      <charset val="128"/>
    </font>
    <font>
      <b/>
      <sz val="11"/>
      <color theme="1"/>
      <name val="Noto Sans CJK SC"/>
      <family val="2"/>
      <charset val="1"/>
    </font>
    <font>
      <sz val="11"/>
      <color theme="1"/>
      <name val="Noto Sans CJK SC"/>
      <family val="2"/>
      <charset val="1"/>
    </font>
    <font>
      <b/>
      <sz val="16"/>
      <name val="Noto Sans CJK SC"/>
      <family val="2"/>
      <charset val="1"/>
    </font>
    <font>
      <b/>
      <u/>
      <sz val="11"/>
      <name val="Noto Sans CJK SC"/>
      <family val="2"/>
      <charset val="1"/>
    </font>
    <font>
      <sz val="10"/>
      <name val="游ゴシック"/>
      <family val="3"/>
      <charset val="128"/>
    </font>
    <font>
      <b/>
      <sz val="10"/>
      <name val="游ゴシック"/>
      <family val="3"/>
      <charset val="128"/>
    </font>
    <font>
      <b/>
      <sz val="13"/>
      <name val="Noto Sans CJK SC"/>
      <family val="2"/>
      <charset val="1"/>
    </font>
    <font>
      <i/>
      <sz val="9"/>
      <color rgb="FF666666"/>
      <name val="Noto Sans CJK SC"/>
      <family val="2"/>
      <charset val="1"/>
    </font>
    <font>
      <b/>
      <sz val="10"/>
      <color rgb="FFFF0000"/>
      <name val="游ゴシック"/>
      <family val="3"/>
      <charset val="128"/>
    </font>
    <font>
      <b/>
      <sz val="9"/>
      <color rgb="FF4472C4"/>
      <name val="Noto Sans CJK SC"/>
      <family val="2"/>
      <charset val="1"/>
    </font>
    <font>
      <sz val="9"/>
      <color rgb="FF666666"/>
      <name val="游ゴシック"/>
      <family val="3"/>
      <charset val="128"/>
    </font>
    <font>
      <b/>
      <sz val="11"/>
      <name val="游ゴシック"/>
      <family val="3"/>
      <charset val="128"/>
    </font>
    <font>
      <sz val="10"/>
      <name val="Arial"/>
      <family val="2"/>
      <charset val="1"/>
    </font>
    <font>
      <i/>
      <sz val="9"/>
      <name val="Noto Sans CJK SC"/>
      <family val="2"/>
      <charset val="1"/>
    </font>
    <font>
      <sz val="9"/>
      <color rgb="FF808080"/>
      <name val="Arial"/>
      <family val="2"/>
      <charset val="1"/>
    </font>
    <font>
      <b/>
      <sz val="10"/>
      <name val="Arial"/>
      <family val="2"/>
      <charset val="1"/>
    </font>
    <font>
      <sz val="10"/>
      <color rgb="FF0000FF"/>
      <name val="Arial"/>
      <family val="2"/>
      <charset val="1"/>
    </font>
    <font>
      <i/>
      <sz val="9"/>
      <color rgb="FFFF0000"/>
      <name val="Noto Sans CJK SC"/>
      <family val="2"/>
      <charset val="1"/>
    </font>
    <font>
      <b/>
      <sz val="11"/>
      <name val="Yu Gothic"/>
      <family val="3"/>
      <charset val="128"/>
    </font>
    <font>
      <sz val="9"/>
      <color rgb="FF666666"/>
      <name val="Noto Sans CJK SC"/>
      <family val="2"/>
    </font>
    <font>
      <b/>
      <sz val="10"/>
      <name val="Yu Gothic"/>
      <family val="3"/>
      <charset val="128"/>
    </font>
    <font>
      <sz val="10"/>
      <name val="Yu Gothic"/>
      <family val="3"/>
      <charset val="128"/>
    </font>
    <font>
      <sz val="6"/>
      <name val="ＭＳ Ｐゴシック"/>
      <family val="3"/>
      <charset val="128"/>
    </font>
  </fonts>
  <fills count="11">
    <fill>
      <patternFill patternType="none"/>
    </fill>
    <fill>
      <patternFill patternType="gray125"/>
    </fill>
    <fill>
      <patternFill patternType="solid">
        <fgColor rgb="FFFFFF00"/>
        <bgColor rgb="FFFFFF00"/>
      </patternFill>
    </fill>
    <fill>
      <patternFill patternType="solid">
        <fgColor rgb="FF4472C4"/>
        <bgColor rgb="FF666666"/>
      </patternFill>
    </fill>
    <fill>
      <patternFill patternType="solid">
        <fgColor rgb="FFDAEEF3"/>
        <bgColor rgb="FFD6E4F0"/>
      </patternFill>
    </fill>
    <fill>
      <patternFill patternType="solid">
        <fgColor rgb="FFE2EFDA"/>
        <bgColor rgb="FFDAEEF3"/>
      </patternFill>
    </fill>
    <fill>
      <patternFill patternType="solid">
        <fgColor rgb="FFFFF2CC"/>
        <bgColor rgb="FFFCE4D6"/>
      </patternFill>
    </fill>
    <fill>
      <patternFill patternType="solid">
        <fgColor rgb="FFD6E4F0"/>
        <bgColor rgb="FFD9E1F2"/>
      </patternFill>
    </fill>
    <fill>
      <patternFill patternType="solid">
        <fgColor rgb="FF333333"/>
        <bgColor rgb="FF333300"/>
      </patternFill>
    </fill>
    <fill>
      <patternFill patternType="solid">
        <fgColor rgb="FFD9E1F2"/>
        <bgColor rgb="FFD6E4F0"/>
      </patternFill>
    </fill>
    <fill>
      <patternFill patternType="solid">
        <fgColor rgb="FFFCE4D6"/>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2">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5" fillId="2" borderId="1" xfId="0" applyFont="1" applyFill="1" applyBorder="1"/>
    <xf numFmtId="0" fontId="6" fillId="0" borderId="0" xfId="0" applyFont="1"/>
    <xf numFmtId="0" fontId="7" fillId="0" borderId="0" xfId="0" applyFont="1"/>
    <xf numFmtId="0" fontId="8" fillId="3" borderId="0" xfId="0" applyFont="1" applyFill="1" applyAlignment="1">
      <alignment horizontal="center"/>
    </xf>
    <xf numFmtId="0" fontId="9" fillId="0" borderId="0" xfId="0" applyFont="1"/>
    <xf numFmtId="0" fontId="10" fillId="0" borderId="0" xfId="0" applyFont="1"/>
    <xf numFmtId="3" fontId="10" fillId="0" borderId="0" xfId="0" applyNumberFormat="1" applyFont="1"/>
    <xf numFmtId="0" fontId="12" fillId="0" borderId="0" xfId="0" applyFont="1"/>
    <xf numFmtId="3" fontId="0" fillId="0" borderId="0" xfId="0" applyNumberFormat="1"/>
    <xf numFmtId="0" fontId="13" fillId="0" borderId="0" xfId="0" applyFont="1"/>
    <xf numFmtId="0" fontId="8" fillId="3" borderId="1" xfId="0" applyFont="1" applyFill="1" applyBorder="1" applyAlignment="1">
      <alignment horizontal="center" wrapText="1"/>
    </xf>
    <xf numFmtId="0" fontId="9" fillId="0" borderId="1" xfId="0" applyFont="1" applyBorder="1"/>
    <xf numFmtId="3" fontId="14" fillId="2" borderId="1" xfId="0" applyNumberFormat="1" applyFont="1" applyFill="1" applyBorder="1"/>
    <xf numFmtId="0" fontId="10" fillId="0" borderId="1" xfId="0" applyFont="1" applyBorder="1"/>
    <xf numFmtId="0" fontId="15" fillId="0" borderId="0" xfId="0" applyFont="1"/>
    <xf numFmtId="0" fontId="12" fillId="4" borderId="1" xfId="0" applyFont="1" applyFill="1" applyBorder="1"/>
    <xf numFmtId="0" fontId="0" fillId="0" borderId="1" xfId="0" applyBorder="1"/>
    <xf numFmtId="0" fontId="12" fillId="0" borderId="1" xfId="0" applyFont="1" applyBorder="1"/>
    <xf numFmtId="3" fontId="0" fillId="0" borderId="1" xfId="0" applyNumberFormat="1" applyBorder="1"/>
    <xf numFmtId="0" fontId="12" fillId="5" borderId="1" xfId="0" applyFont="1" applyFill="1" applyBorder="1"/>
    <xf numFmtId="176" fontId="0" fillId="0" borderId="1" xfId="0" applyNumberFormat="1" applyBorder="1"/>
    <xf numFmtId="0" fontId="3" fillId="0" borderId="1" xfId="0" applyFont="1" applyBorder="1"/>
    <xf numFmtId="0" fontId="16" fillId="6" borderId="1" xfId="0" applyFont="1" applyFill="1" applyBorder="1"/>
    <xf numFmtId="0" fontId="18" fillId="0" borderId="1" xfId="0" applyFont="1" applyBorder="1"/>
    <xf numFmtId="0" fontId="12" fillId="6" borderId="1" xfId="0" applyFont="1" applyFill="1" applyBorder="1"/>
    <xf numFmtId="177" fontId="16" fillId="6" borderId="1" xfId="0" applyNumberFormat="1" applyFont="1" applyFill="1" applyBorder="1"/>
    <xf numFmtId="0" fontId="19" fillId="5" borderId="1" xfId="0" applyFont="1" applyFill="1" applyBorder="1"/>
    <xf numFmtId="3" fontId="20" fillId="5" borderId="1" xfId="0" applyNumberFormat="1" applyFont="1" applyFill="1" applyBorder="1"/>
    <xf numFmtId="0" fontId="21" fillId="6" borderId="1" xfId="0" applyFont="1" applyFill="1" applyBorder="1"/>
    <xf numFmtId="0" fontId="22" fillId="6" borderId="1" xfId="0" applyFont="1" applyFill="1" applyBorder="1"/>
    <xf numFmtId="0" fontId="21" fillId="5" borderId="1" xfId="0" applyFont="1" applyFill="1" applyBorder="1"/>
    <xf numFmtId="3" fontId="0" fillId="5" borderId="1" xfId="0" applyNumberFormat="1" applyFill="1" applyBorder="1"/>
    <xf numFmtId="0" fontId="8" fillId="3"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6" fillId="7"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25" fillId="7"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28" fillId="7" borderId="1" xfId="0" applyFont="1" applyFill="1" applyBorder="1" applyAlignment="1">
      <alignment horizontal="center" vertical="center" wrapText="1"/>
    </xf>
    <xf numFmtId="0" fontId="31" fillId="7" borderId="1"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25" fillId="8" borderId="1" xfId="0" applyFont="1" applyFill="1" applyBorder="1" applyAlignment="1">
      <alignment horizontal="center" vertical="center" wrapText="1"/>
    </xf>
    <xf numFmtId="0" fontId="12" fillId="0" borderId="1" xfId="0" applyFont="1" applyBorder="1" applyAlignment="1">
      <alignment horizontal="left" vertical="center" wrapText="1"/>
    </xf>
    <xf numFmtId="3" fontId="25" fillId="0" borderId="1" xfId="0" applyNumberFormat="1" applyFont="1" applyBorder="1" applyAlignment="1">
      <alignment horizontal="right" vertical="center"/>
    </xf>
    <xf numFmtId="0" fontId="9" fillId="0" borderId="1" xfId="0" applyFont="1" applyBorder="1" applyAlignment="1">
      <alignment horizontal="left" vertical="center" wrapText="1"/>
    </xf>
    <xf numFmtId="0" fontId="12" fillId="6" borderId="1" xfId="0" applyFont="1" applyFill="1" applyBorder="1" applyAlignment="1">
      <alignment horizontal="left" vertical="center" wrapText="1"/>
    </xf>
    <xf numFmtId="3" fontId="25" fillId="6" borderId="1" xfId="0" applyNumberFormat="1" applyFont="1" applyFill="1" applyBorder="1" applyAlignment="1">
      <alignment horizontal="right" vertical="center"/>
    </xf>
    <xf numFmtId="0" fontId="22" fillId="0" borderId="0" xfId="0" applyFont="1"/>
    <xf numFmtId="178" fontId="25" fillId="6" borderId="1" xfId="0" applyNumberFormat="1" applyFont="1" applyFill="1" applyBorder="1" applyAlignment="1">
      <alignment horizontal="right" vertical="center"/>
    </xf>
    <xf numFmtId="0" fontId="3" fillId="6" borderId="1" xfId="0" applyFont="1" applyFill="1" applyBorder="1" applyAlignment="1">
      <alignment horizontal="left" vertical="center" wrapText="1"/>
    </xf>
    <xf numFmtId="179" fontId="32" fillId="6" borderId="1" xfId="0" applyNumberFormat="1" applyFont="1" applyFill="1" applyBorder="1" applyAlignment="1">
      <alignment horizontal="right" vertical="center"/>
    </xf>
    <xf numFmtId="0" fontId="12" fillId="9" borderId="1" xfId="0" applyFont="1" applyFill="1" applyBorder="1" applyAlignment="1">
      <alignment horizontal="center"/>
    </xf>
    <xf numFmtId="179" fontId="33" fillId="0" borderId="1" xfId="0" applyNumberFormat="1" applyFont="1" applyBorder="1"/>
    <xf numFmtId="3" fontId="33" fillId="0" borderId="1" xfId="0" applyNumberFormat="1" applyFont="1" applyBorder="1"/>
    <xf numFmtId="3" fontId="33" fillId="0" borderId="0" xfId="0" applyNumberFormat="1" applyFont="1"/>
    <xf numFmtId="0" fontId="34" fillId="0" borderId="0" xfId="0" applyFont="1"/>
    <xf numFmtId="0" fontId="35" fillId="0" borderId="0" xfId="0" applyFont="1"/>
    <xf numFmtId="3" fontId="36" fillId="0" borderId="1" xfId="0" applyNumberFormat="1" applyFont="1" applyBorder="1"/>
    <xf numFmtId="3" fontId="37" fillId="0" borderId="1" xfId="0" applyNumberFormat="1" applyFont="1" applyBorder="1"/>
    <xf numFmtId="178" fontId="36" fillId="0" borderId="1" xfId="0" applyNumberFormat="1" applyFont="1" applyBorder="1"/>
    <xf numFmtId="179" fontId="36" fillId="0" borderId="1" xfId="0" applyNumberFormat="1" applyFont="1" applyBorder="1"/>
    <xf numFmtId="0" fontId="38" fillId="0" borderId="0" xfId="0" applyFont="1"/>
    <xf numFmtId="0" fontId="39" fillId="0" borderId="0" xfId="0" applyFont="1"/>
    <xf numFmtId="0" fontId="40" fillId="0" borderId="0" xfId="0" applyFont="1"/>
    <xf numFmtId="0" fontId="17" fillId="0" borderId="0" xfId="0" applyFont="1"/>
    <xf numFmtId="0" fontId="17" fillId="9" borderId="1" xfId="0" applyFont="1" applyFill="1" applyBorder="1" applyAlignment="1">
      <alignment horizontal="center" vertical="center" wrapText="1"/>
    </xf>
    <xf numFmtId="0" fontId="41" fillId="9" borderId="1" xfId="0" applyFont="1" applyFill="1" applyBorder="1" applyAlignment="1">
      <alignment horizontal="center" vertical="center" wrapText="1"/>
    </xf>
    <xf numFmtId="0" fontId="11" fillId="0" borderId="1" xfId="0" applyFont="1" applyBorder="1" applyAlignment="1">
      <alignment horizontal="center" vertical="center" wrapText="1"/>
    </xf>
    <xf numFmtId="3" fontId="42" fillId="5" borderId="1" xfId="0" applyNumberFormat="1" applyFont="1" applyFill="1" applyBorder="1" applyAlignment="1">
      <alignment horizontal="right" vertical="center"/>
    </xf>
    <xf numFmtId="3" fontId="42" fillId="10" borderId="1" xfId="0" applyNumberFormat="1" applyFont="1" applyFill="1" applyBorder="1" applyAlignment="1">
      <alignment horizontal="right" vertical="center"/>
    </xf>
    <xf numFmtId="0" fontId="42" fillId="0" borderId="1" xfId="0" applyFont="1" applyBorder="1" applyAlignment="1">
      <alignment horizontal="center" vertical="center" wrapText="1"/>
    </xf>
    <xf numFmtId="0" fontId="24" fillId="0" borderId="0" xfId="0" applyFont="1" applyAlignment="1">
      <alignment horizontal="left" vertical="center" wrapText="1"/>
    </xf>
    <xf numFmtId="0" fontId="0" fillId="0" borderId="0" xfId="0"/>
    <xf numFmtId="0" fontId="23" fillId="0" borderId="0" xfId="0" applyFont="1" applyAlignment="1">
      <alignment horizontal="left" vertical="center" wrapText="1"/>
    </xf>
    <xf numFmtId="0" fontId="9" fillId="0" borderId="0" xfId="0" applyFont="1" applyAlignment="1">
      <alignment horizontal="left" vertical="top" wrapText="1"/>
    </xf>
    <xf numFmtId="0" fontId="7"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vertical="top" wrapText="1"/>
    </xf>
    <xf numFmtId="0" fontId="28" fillId="0" borderId="0" xfId="0" applyFont="1" applyAlignment="1">
      <alignment horizontal="left" vertical="center" wrapText="1"/>
    </xf>
    <xf numFmtId="0" fontId="27"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06060"/>
      <rgbColor rgb="FF800080"/>
      <rgbColor rgb="FF008080"/>
      <rgbColor rgb="FFC0C0C0"/>
      <rgbColor rgb="FF808080"/>
      <rgbColor rgb="FF9999FF"/>
      <rgbColor rgb="FF993366"/>
      <rgbColor rgb="FFFFF2CC"/>
      <rgbColor rgb="FFDAEEF3"/>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6E4F0"/>
      <rgbColor rgb="FFE2EFDA"/>
      <rgbColor rgb="FFFFFF99"/>
      <rgbColor rgb="FF99CCFF"/>
      <rgbColor rgb="FFFF99CC"/>
      <rgbColor rgb="FFCC99FF"/>
      <rgbColor rgb="FFFCE4D6"/>
      <rgbColor rgb="FF4472C4"/>
      <rgbColor rgb="FF33CCCC"/>
      <rgbColor rgb="FF99CC00"/>
      <rgbColor rgb="FFFFC000"/>
      <rgbColor rgb="FFFF9900"/>
      <rgbColor rgb="FFFF6600"/>
      <rgbColor rgb="FF666666"/>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B1:C16"/>
  <sheetViews>
    <sheetView tabSelected="1" zoomScaleNormal="100" workbookViewId="0">
      <selection activeCell="C6" sqref="C6"/>
    </sheetView>
  </sheetViews>
  <sheetFormatPr defaultColWidth="8.5546875" defaultRowHeight="13.2"/>
  <cols>
    <col min="2" max="2" width="22" customWidth="1"/>
    <col min="3" max="3" width="35" customWidth="1"/>
  </cols>
  <sheetData>
    <row r="1" spans="2:3" ht="13.5" customHeight="1"/>
    <row r="2" spans="2:3" ht="17.25" customHeight="1">
      <c r="B2" s="1" t="s">
        <v>0</v>
      </c>
    </row>
    <row r="3" spans="2:3" ht="13.5" customHeight="1"/>
    <row r="4" spans="2:3" ht="13.5" customHeight="1">
      <c r="B4" s="2" t="s">
        <v>1</v>
      </c>
    </row>
    <row r="5" spans="2:3" ht="13.5" customHeight="1"/>
    <row r="6" spans="2:3" ht="13.5" customHeight="1">
      <c r="B6" s="3" t="s">
        <v>2</v>
      </c>
      <c r="C6" s="4" t="s">
        <v>3</v>
      </c>
    </row>
    <row r="7" spans="2:3" ht="13.5" customHeight="1"/>
    <row r="8" spans="2:3" ht="13.5" customHeight="1">
      <c r="B8" s="3" t="s">
        <v>4</v>
      </c>
      <c r="C8" s="4" t="s">
        <v>5</v>
      </c>
    </row>
    <row r="9" spans="2:3" ht="13.5" customHeight="1"/>
    <row r="10" spans="2:3" ht="15" customHeight="1">
      <c r="B10" s="3" t="s">
        <v>6</v>
      </c>
      <c r="C10" s="5" t="s">
        <v>7</v>
      </c>
    </row>
    <row r="11" spans="2:3" ht="13.5" customHeight="1"/>
    <row r="12" spans="2:3" ht="13.5" customHeight="1"/>
    <row r="13" spans="2:3" ht="13.5" customHeight="1">
      <c r="B13" s="3" t="s">
        <v>8</v>
      </c>
    </row>
    <row r="14" spans="2:3" ht="13.5" customHeight="1">
      <c r="B14" s="6" t="s">
        <v>9</v>
      </c>
    </row>
    <row r="15" spans="2:3" ht="13.5" customHeight="1">
      <c r="B15" s="6" t="s">
        <v>10</v>
      </c>
    </row>
    <row r="16" spans="2:3" ht="13.5" customHeight="1">
      <c r="B16" s="6" t="s">
        <v>11</v>
      </c>
    </row>
  </sheetData>
  <phoneticPr fontId="43"/>
  <dataValidations count="3">
    <dataValidation type="list" sqref="C6" xr:uid="{00000000-0002-0000-0000-000000000000}">
      <formula1>"社人研,人口ビジョン"</formula1>
      <formula2>0</formula2>
    </dataValidation>
    <dataValidation type="list" sqref="C8" xr:uid="{00000000-0002-0000-0000-000001000000}">
      <formula1>"パターン①（標準型）,パターン②（家庭軽減型）,パターン④（段階累進型）"</formula1>
      <formula2>0</formula2>
    </dataValidation>
    <dataValidation type="list" sqref="C10" xr:uid="{00000000-0002-0000-0000-000002000000}">
      <formula1>"2か年,3か年"</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M23"/>
  <sheetViews>
    <sheetView zoomScaleNormal="100" workbookViewId="0"/>
  </sheetViews>
  <sheetFormatPr defaultColWidth="8.5546875" defaultRowHeight="13.2"/>
  <cols>
    <col min="1" max="1" width="14" customWidth="1"/>
    <col min="2" max="2" width="28" customWidth="1"/>
    <col min="3" max="3" width="10" customWidth="1"/>
    <col min="4" max="13" width="13" customWidth="1"/>
  </cols>
  <sheetData>
    <row r="1" spans="1:13" ht="15" customHeight="1">
      <c r="A1" s="7" t="s">
        <v>12</v>
      </c>
    </row>
    <row r="2" spans="1:13" ht="13.5" customHeight="1"/>
    <row r="3" spans="1:13" ht="14.25" customHeight="1">
      <c r="A3" s="8" t="s">
        <v>13</v>
      </c>
      <c r="B3" s="8" t="s">
        <v>14</v>
      </c>
      <c r="C3" s="8" t="s">
        <v>15</v>
      </c>
      <c r="D3" s="8" t="s">
        <v>16</v>
      </c>
      <c r="E3" s="8" t="s">
        <v>17</v>
      </c>
      <c r="F3" s="8" t="s">
        <v>18</v>
      </c>
      <c r="G3" s="8" t="s">
        <v>19</v>
      </c>
      <c r="H3" s="8" t="s">
        <v>20</v>
      </c>
      <c r="I3" s="8" t="s">
        <v>21</v>
      </c>
      <c r="J3" s="8" t="s">
        <v>22</v>
      </c>
      <c r="K3" s="8" t="s">
        <v>23</v>
      </c>
      <c r="L3" s="8" t="s">
        <v>24</v>
      </c>
      <c r="M3" s="8" t="s">
        <v>25</v>
      </c>
    </row>
    <row r="4" spans="1:13" ht="14.25" customHeight="1">
      <c r="A4" s="9" t="s">
        <v>3</v>
      </c>
      <c r="B4" s="9" t="s">
        <v>5</v>
      </c>
      <c r="C4" s="10" t="s">
        <v>7</v>
      </c>
      <c r="D4" s="11">
        <v>14942</v>
      </c>
      <c r="E4" s="11">
        <v>17076</v>
      </c>
      <c r="F4" s="11">
        <v>19438</v>
      </c>
      <c r="G4" s="11">
        <v>19296</v>
      </c>
      <c r="H4" s="11">
        <v>19174</v>
      </c>
      <c r="I4" s="11">
        <v>19031</v>
      </c>
      <c r="J4" s="11">
        <v>18889</v>
      </c>
      <c r="K4" s="11">
        <v>18755</v>
      </c>
      <c r="L4" s="11">
        <v>18613</v>
      </c>
      <c r="M4" s="11">
        <v>18470</v>
      </c>
    </row>
    <row r="5" spans="1:13" ht="14.25" customHeight="1">
      <c r="A5" s="9" t="s">
        <v>3</v>
      </c>
      <c r="B5" s="9" t="s">
        <v>5</v>
      </c>
      <c r="C5" s="10" t="s">
        <v>26</v>
      </c>
      <c r="D5" s="11">
        <v>14942</v>
      </c>
      <c r="E5" s="11">
        <v>16285</v>
      </c>
      <c r="F5" s="11">
        <v>17626</v>
      </c>
      <c r="G5" s="11">
        <v>19296</v>
      </c>
      <c r="H5" s="11">
        <v>19174</v>
      </c>
      <c r="I5" s="11">
        <v>19031</v>
      </c>
      <c r="J5" s="11">
        <v>18889</v>
      </c>
      <c r="K5" s="11">
        <v>18755</v>
      </c>
      <c r="L5" s="11">
        <v>18613</v>
      </c>
      <c r="M5" s="11">
        <v>18470</v>
      </c>
    </row>
    <row r="6" spans="1:13" ht="14.25" customHeight="1">
      <c r="A6" s="9" t="s">
        <v>3</v>
      </c>
      <c r="B6" s="9" t="s">
        <v>27</v>
      </c>
      <c r="C6" s="10" t="s">
        <v>7</v>
      </c>
      <c r="D6" s="11">
        <v>14942</v>
      </c>
      <c r="E6" s="11">
        <v>18002</v>
      </c>
      <c r="F6" s="11">
        <v>21278</v>
      </c>
      <c r="G6" s="11">
        <v>21123</v>
      </c>
      <c r="H6" s="11">
        <v>20989</v>
      </c>
      <c r="I6" s="11">
        <v>20834</v>
      </c>
      <c r="J6" s="11">
        <v>20679</v>
      </c>
      <c r="K6" s="11">
        <v>20530</v>
      </c>
      <c r="L6" s="11">
        <v>20375</v>
      </c>
      <c r="M6" s="11">
        <v>20220</v>
      </c>
    </row>
    <row r="7" spans="1:13" ht="14.25" customHeight="1">
      <c r="A7" s="9" t="s">
        <v>3</v>
      </c>
      <c r="B7" s="9" t="s">
        <v>27</v>
      </c>
      <c r="C7" s="10" t="s">
        <v>26</v>
      </c>
      <c r="D7" s="11">
        <v>14942</v>
      </c>
      <c r="E7" s="11">
        <v>16903</v>
      </c>
      <c r="F7" s="11">
        <v>18853</v>
      </c>
      <c r="G7" s="11">
        <v>21123</v>
      </c>
      <c r="H7" s="11">
        <v>20989</v>
      </c>
      <c r="I7" s="11">
        <v>20834</v>
      </c>
      <c r="J7" s="11">
        <v>20679</v>
      </c>
      <c r="K7" s="11">
        <v>20530</v>
      </c>
      <c r="L7" s="11">
        <v>20375</v>
      </c>
      <c r="M7" s="11">
        <v>20220</v>
      </c>
    </row>
    <row r="8" spans="1:13" ht="14.25" customHeight="1">
      <c r="A8" s="9" t="s">
        <v>3</v>
      </c>
      <c r="B8" s="9" t="s">
        <v>28</v>
      </c>
      <c r="C8" s="10" t="s">
        <v>7</v>
      </c>
      <c r="D8" s="11">
        <v>14942</v>
      </c>
      <c r="E8" s="11">
        <v>17385</v>
      </c>
      <c r="F8" s="11">
        <v>20052</v>
      </c>
      <c r="G8" s="11">
        <v>19905</v>
      </c>
      <c r="H8" s="11">
        <v>19779</v>
      </c>
      <c r="I8" s="11">
        <v>19632</v>
      </c>
      <c r="J8" s="11">
        <v>19486</v>
      </c>
      <c r="K8" s="11">
        <v>19347</v>
      </c>
      <c r="L8" s="11">
        <v>19200</v>
      </c>
      <c r="M8" s="11">
        <v>19054</v>
      </c>
    </row>
    <row r="9" spans="1:13" ht="14.25" customHeight="1">
      <c r="A9" s="9" t="s">
        <v>3</v>
      </c>
      <c r="B9" s="9" t="s">
        <v>28</v>
      </c>
      <c r="C9" s="10" t="s">
        <v>26</v>
      </c>
      <c r="D9" s="11">
        <v>14942</v>
      </c>
      <c r="E9" s="11">
        <v>16346</v>
      </c>
      <c r="F9" s="11">
        <v>17747</v>
      </c>
      <c r="G9" s="11">
        <v>19905</v>
      </c>
      <c r="H9" s="11">
        <v>19779</v>
      </c>
      <c r="I9" s="11">
        <v>19632</v>
      </c>
      <c r="J9" s="11">
        <v>19486</v>
      </c>
      <c r="K9" s="11">
        <v>19347</v>
      </c>
      <c r="L9" s="11">
        <v>19200</v>
      </c>
      <c r="M9" s="11">
        <v>19054</v>
      </c>
    </row>
    <row r="10" spans="1:13" ht="14.25" customHeight="1">
      <c r="A10" s="9" t="s">
        <v>29</v>
      </c>
      <c r="B10" s="9" t="s">
        <v>5</v>
      </c>
      <c r="C10" s="10" t="s">
        <v>7</v>
      </c>
      <c r="D10" s="11">
        <v>14976</v>
      </c>
      <c r="E10" s="11">
        <v>17104</v>
      </c>
      <c r="F10" s="11">
        <v>19471</v>
      </c>
      <c r="G10" s="11">
        <v>19316</v>
      </c>
      <c r="H10" s="11">
        <v>19186</v>
      </c>
      <c r="I10" s="11">
        <v>19052</v>
      </c>
      <c r="J10" s="11">
        <v>18877</v>
      </c>
      <c r="K10" s="11">
        <v>18734</v>
      </c>
      <c r="L10" s="11">
        <v>18580</v>
      </c>
      <c r="M10" s="11">
        <v>18414</v>
      </c>
    </row>
    <row r="11" spans="1:13" ht="14.25" customHeight="1">
      <c r="A11" s="9" t="s">
        <v>29</v>
      </c>
      <c r="B11" s="9" t="s">
        <v>5</v>
      </c>
      <c r="C11" s="10" t="s">
        <v>26</v>
      </c>
      <c r="D11" s="11">
        <v>14976</v>
      </c>
      <c r="E11" s="11">
        <v>16312</v>
      </c>
      <c r="F11" s="11">
        <v>17656</v>
      </c>
      <c r="G11" s="11">
        <v>19316</v>
      </c>
      <c r="H11" s="11">
        <v>19186</v>
      </c>
      <c r="I11" s="11">
        <v>19052</v>
      </c>
      <c r="J11" s="11">
        <v>18877</v>
      </c>
      <c r="K11" s="11">
        <v>18734</v>
      </c>
      <c r="L11" s="11">
        <v>18580</v>
      </c>
      <c r="M11" s="11">
        <v>18414</v>
      </c>
    </row>
    <row r="12" spans="1:13" ht="14.25" customHeight="1">
      <c r="A12" s="9" t="s">
        <v>29</v>
      </c>
      <c r="B12" s="9" t="s">
        <v>27</v>
      </c>
      <c r="C12" s="10" t="s">
        <v>7</v>
      </c>
      <c r="D12" s="11">
        <v>14976</v>
      </c>
      <c r="E12" s="11">
        <v>18032</v>
      </c>
      <c r="F12" s="11">
        <v>21314</v>
      </c>
      <c r="G12" s="11">
        <v>21144</v>
      </c>
      <c r="H12" s="11">
        <v>21003</v>
      </c>
      <c r="I12" s="11">
        <v>20855</v>
      </c>
      <c r="J12" s="11">
        <v>20664</v>
      </c>
      <c r="K12" s="11">
        <v>20509</v>
      </c>
      <c r="L12" s="11">
        <v>20340</v>
      </c>
      <c r="M12" s="11">
        <v>20156</v>
      </c>
    </row>
    <row r="13" spans="1:13" ht="14.25" customHeight="1">
      <c r="A13" s="9" t="s">
        <v>29</v>
      </c>
      <c r="B13" s="9" t="s">
        <v>27</v>
      </c>
      <c r="C13" s="10" t="s">
        <v>26</v>
      </c>
      <c r="D13" s="11">
        <v>14976</v>
      </c>
      <c r="E13" s="11">
        <v>16931</v>
      </c>
      <c r="F13" s="11">
        <v>18884</v>
      </c>
      <c r="G13" s="11">
        <v>21144</v>
      </c>
      <c r="H13" s="11">
        <v>21003</v>
      </c>
      <c r="I13" s="11">
        <v>20855</v>
      </c>
      <c r="J13" s="11">
        <v>20664</v>
      </c>
      <c r="K13" s="11">
        <v>20509</v>
      </c>
      <c r="L13" s="11">
        <v>20340</v>
      </c>
      <c r="M13" s="11">
        <v>20156</v>
      </c>
    </row>
    <row r="14" spans="1:13" ht="14.25" customHeight="1">
      <c r="A14" s="9" t="s">
        <v>29</v>
      </c>
      <c r="B14" s="9" t="s">
        <v>28</v>
      </c>
      <c r="C14" s="10" t="s">
        <v>7</v>
      </c>
      <c r="D14" s="11">
        <v>14976</v>
      </c>
      <c r="E14" s="11">
        <v>17414</v>
      </c>
      <c r="F14" s="11">
        <v>20085</v>
      </c>
      <c r="G14" s="11">
        <v>19926</v>
      </c>
      <c r="H14" s="11">
        <v>19792</v>
      </c>
      <c r="I14" s="11">
        <v>19653</v>
      </c>
      <c r="J14" s="11">
        <v>19473</v>
      </c>
      <c r="K14" s="11">
        <v>19326</v>
      </c>
      <c r="L14" s="11">
        <v>19166</v>
      </c>
      <c r="M14" s="11">
        <v>18995</v>
      </c>
    </row>
    <row r="15" spans="1:13" ht="14.25" customHeight="1">
      <c r="A15" s="9" t="s">
        <v>29</v>
      </c>
      <c r="B15" s="9" t="s">
        <v>28</v>
      </c>
      <c r="C15" s="10" t="s">
        <v>26</v>
      </c>
      <c r="D15" s="11">
        <v>14976</v>
      </c>
      <c r="E15" s="11">
        <v>16373</v>
      </c>
      <c r="F15" s="11">
        <v>17777</v>
      </c>
      <c r="G15" s="11">
        <v>19926</v>
      </c>
      <c r="H15" s="11">
        <v>19792</v>
      </c>
      <c r="I15" s="11">
        <v>19653</v>
      </c>
      <c r="J15" s="11">
        <v>19473</v>
      </c>
      <c r="K15" s="11">
        <v>19326</v>
      </c>
      <c r="L15" s="11">
        <v>19166</v>
      </c>
      <c r="M15" s="11">
        <v>18995</v>
      </c>
    </row>
    <row r="16" spans="1:13" ht="13.5" customHeight="1"/>
    <row r="17" spans="1:13" ht="13.5" customHeight="1">
      <c r="A17" s="12" t="s">
        <v>30</v>
      </c>
    </row>
    <row r="18" spans="1:13" ht="13.5" customHeight="1">
      <c r="A18" s="9" t="s">
        <v>3</v>
      </c>
      <c r="B18" s="9" t="s">
        <v>31</v>
      </c>
      <c r="D18" s="13">
        <v>14942</v>
      </c>
      <c r="E18" s="13">
        <v>14834</v>
      </c>
      <c r="F18" s="13">
        <v>14742</v>
      </c>
      <c r="G18" s="13">
        <v>14634</v>
      </c>
      <c r="H18" s="13">
        <v>14541</v>
      </c>
      <c r="I18" s="13">
        <v>14433</v>
      </c>
      <c r="J18" s="13">
        <v>14326</v>
      </c>
      <c r="K18" s="13">
        <v>14223</v>
      </c>
      <c r="L18" s="13">
        <v>14116</v>
      </c>
      <c r="M18" s="13">
        <v>14008</v>
      </c>
    </row>
    <row r="19" spans="1:13" ht="13.5" customHeight="1">
      <c r="A19" s="9" t="s">
        <v>29</v>
      </c>
      <c r="B19" s="9" t="s">
        <v>31</v>
      </c>
      <c r="D19" s="13">
        <v>14976</v>
      </c>
      <c r="E19" s="13">
        <v>14859</v>
      </c>
      <c r="F19" s="13">
        <v>14766</v>
      </c>
      <c r="G19" s="13">
        <v>14649</v>
      </c>
      <c r="H19" s="13">
        <v>14550</v>
      </c>
      <c r="I19" s="13">
        <v>14449</v>
      </c>
      <c r="J19" s="13">
        <v>14316</v>
      </c>
      <c r="K19" s="13">
        <v>14208</v>
      </c>
      <c r="L19" s="13">
        <v>14091</v>
      </c>
      <c r="M19" s="13">
        <v>13964</v>
      </c>
    </row>
    <row r="20" spans="1:13" ht="13.5" customHeight="1"/>
    <row r="21" spans="1:13" ht="13.5" customHeight="1">
      <c r="A21" s="12" t="s">
        <v>32</v>
      </c>
    </row>
    <row r="22" spans="1:13" ht="13.5" customHeight="1">
      <c r="A22" s="9" t="s">
        <v>3</v>
      </c>
      <c r="D22" s="13">
        <v>94131</v>
      </c>
      <c r="E22" s="13">
        <v>93463</v>
      </c>
      <c r="F22" s="13">
        <v>92868</v>
      </c>
      <c r="G22" s="13">
        <v>92200</v>
      </c>
      <c r="H22" s="13">
        <v>91605</v>
      </c>
      <c r="I22" s="13">
        <v>90937</v>
      </c>
      <c r="J22" s="13">
        <v>90268</v>
      </c>
      <c r="K22" s="13">
        <v>89600</v>
      </c>
      <c r="L22" s="13">
        <v>88931</v>
      </c>
      <c r="M22" s="13">
        <v>88262</v>
      </c>
    </row>
    <row r="23" spans="1:13" ht="13.5" customHeight="1">
      <c r="A23" s="9" t="s">
        <v>29</v>
      </c>
      <c r="D23" s="13">
        <v>94354</v>
      </c>
      <c r="E23" s="13">
        <v>93611</v>
      </c>
      <c r="F23" s="13">
        <v>93017</v>
      </c>
      <c r="G23" s="13">
        <v>92274</v>
      </c>
      <c r="H23" s="13">
        <v>91680</v>
      </c>
      <c r="I23" s="13">
        <v>91011</v>
      </c>
      <c r="J23" s="13">
        <v>90194</v>
      </c>
      <c r="K23" s="13">
        <v>89525</v>
      </c>
      <c r="L23" s="13">
        <v>88782</v>
      </c>
      <c r="M23" s="13">
        <v>87965</v>
      </c>
    </row>
  </sheetData>
  <phoneticPr fontId="43"/>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E13"/>
  <sheetViews>
    <sheetView zoomScaleNormal="100" workbookViewId="0">
      <selection activeCell="C5" sqref="C5"/>
    </sheetView>
  </sheetViews>
  <sheetFormatPr defaultColWidth="8.5546875" defaultRowHeight="13.2"/>
  <cols>
    <col min="1" max="5" width="18" customWidth="1"/>
  </cols>
  <sheetData>
    <row r="1" spans="1:5" ht="15" customHeight="1">
      <c r="A1" s="7" t="s">
        <v>33</v>
      </c>
    </row>
    <row r="2" spans="1:5" ht="13.5" customHeight="1">
      <c r="A2" s="14" t="s">
        <v>34</v>
      </c>
    </row>
    <row r="3" spans="1:5" ht="13.5" customHeight="1"/>
    <row r="4" spans="1:5" ht="26.25" customHeight="1">
      <c r="A4" s="15" t="s">
        <v>35</v>
      </c>
      <c r="B4" s="15" t="s">
        <v>31</v>
      </c>
      <c r="C4" s="15" t="s">
        <v>36</v>
      </c>
      <c r="D4" s="15" t="s">
        <v>37</v>
      </c>
      <c r="E4" s="15" t="s">
        <v>38</v>
      </c>
    </row>
    <row r="5" spans="1:5" ht="14.25" customHeight="1">
      <c r="A5" s="16" t="s">
        <v>39</v>
      </c>
      <c r="B5" s="17">
        <v>1000</v>
      </c>
      <c r="C5" s="17">
        <v>1500</v>
      </c>
      <c r="D5" s="17">
        <v>1200</v>
      </c>
      <c r="E5" s="17">
        <v>1400</v>
      </c>
    </row>
    <row r="6" spans="1:5" ht="14.25" customHeight="1">
      <c r="A6" s="18" t="s">
        <v>40</v>
      </c>
      <c r="B6" s="17">
        <v>120</v>
      </c>
      <c r="C6" s="17">
        <v>150</v>
      </c>
      <c r="D6" s="17">
        <v>180</v>
      </c>
      <c r="E6" s="17">
        <v>160</v>
      </c>
    </row>
    <row r="7" spans="1:5" ht="14.25" customHeight="1">
      <c r="A7" s="18" t="s">
        <v>41</v>
      </c>
      <c r="B7" s="17">
        <v>120</v>
      </c>
      <c r="C7" s="17">
        <v>155</v>
      </c>
      <c r="D7" s="17">
        <v>185</v>
      </c>
      <c r="E7" s="17">
        <v>165</v>
      </c>
    </row>
    <row r="8" spans="1:5" ht="14.25" customHeight="1">
      <c r="A8" s="18" t="s">
        <v>42</v>
      </c>
      <c r="B8" s="17">
        <v>130</v>
      </c>
      <c r="C8" s="17">
        <v>160</v>
      </c>
      <c r="D8" s="17">
        <v>190</v>
      </c>
      <c r="E8" s="17">
        <v>170</v>
      </c>
    </row>
    <row r="9" spans="1:5" ht="14.25" customHeight="1">
      <c r="A9" s="18" t="s">
        <v>43</v>
      </c>
      <c r="B9" s="17">
        <v>130</v>
      </c>
      <c r="C9" s="17">
        <v>165</v>
      </c>
      <c r="D9" s="17">
        <v>195</v>
      </c>
      <c r="E9" s="17">
        <v>175</v>
      </c>
    </row>
    <row r="10" spans="1:5" ht="14.25" customHeight="1">
      <c r="A10" s="18" t="s">
        <v>44</v>
      </c>
      <c r="B10" s="17">
        <v>140</v>
      </c>
      <c r="C10" s="17">
        <v>175</v>
      </c>
      <c r="D10" s="17">
        <v>205</v>
      </c>
      <c r="E10" s="17">
        <v>185</v>
      </c>
    </row>
    <row r="11" spans="1:5" ht="14.25" customHeight="1">
      <c r="A11" s="18" t="s">
        <v>45</v>
      </c>
      <c r="B11" s="17">
        <v>140</v>
      </c>
      <c r="C11" s="17">
        <v>185</v>
      </c>
      <c r="D11" s="17">
        <v>215</v>
      </c>
      <c r="E11" s="17">
        <v>195</v>
      </c>
    </row>
    <row r="12" spans="1:5" ht="14.25" customHeight="1">
      <c r="A12" s="18" t="s">
        <v>46</v>
      </c>
      <c r="B12" s="17">
        <v>140</v>
      </c>
      <c r="C12" s="17">
        <v>205</v>
      </c>
      <c r="D12" s="17">
        <v>235</v>
      </c>
      <c r="E12" s="17">
        <v>215</v>
      </c>
    </row>
    <row r="13" spans="1:5" ht="14.25" customHeight="1">
      <c r="A13" s="18" t="s">
        <v>47</v>
      </c>
      <c r="B13" s="17">
        <v>160</v>
      </c>
      <c r="C13" s="17">
        <v>225</v>
      </c>
      <c r="D13" s="17">
        <v>255</v>
      </c>
      <c r="E13" s="17">
        <v>235</v>
      </c>
    </row>
  </sheetData>
  <phoneticPr fontId="43"/>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57"/>
  <sheetViews>
    <sheetView topLeftCell="A24" zoomScaleNormal="100" workbookViewId="0">
      <selection activeCell="C53" sqref="C53"/>
    </sheetView>
  </sheetViews>
  <sheetFormatPr defaultColWidth="8.5546875" defaultRowHeight="13.2"/>
  <cols>
    <col min="1" max="1" width="28" customWidth="1"/>
    <col min="2" max="11" width="14" customWidth="1"/>
  </cols>
  <sheetData>
    <row r="1" spans="1:11" ht="15" customHeight="1">
      <c r="A1" s="7" t="s">
        <v>48</v>
      </c>
    </row>
    <row r="2" spans="1:11" ht="13.5" customHeight="1">
      <c r="A2" s="19" t="str">
        <f>設定!C8&amp;"　"&amp;設定!C10&amp;"改定　（"&amp;設定!C6&amp;"推移）"</f>
        <v>パターン①（標準型）　2か年改定　（人口ビジョン推移）</v>
      </c>
    </row>
    <row r="3" spans="1:11" ht="13.5" customHeight="1"/>
    <row r="4" spans="1:11" ht="13.5" customHeight="1">
      <c r="A4" s="20" t="s">
        <v>49</v>
      </c>
      <c r="B4" s="21"/>
      <c r="C4" s="21"/>
      <c r="D4" s="21"/>
      <c r="E4" s="21"/>
      <c r="F4" s="21"/>
      <c r="G4" s="21"/>
      <c r="H4" s="21"/>
      <c r="I4" s="21"/>
      <c r="J4" s="21"/>
      <c r="K4" s="21"/>
    </row>
    <row r="5" spans="1:11" ht="14.25" customHeight="1">
      <c r="A5" s="22" t="s">
        <v>35</v>
      </c>
      <c r="B5" s="22" t="s">
        <v>16</v>
      </c>
      <c r="C5" s="22" t="s">
        <v>17</v>
      </c>
      <c r="D5" s="22" t="s">
        <v>18</v>
      </c>
      <c r="E5" s="22" t="s">
        <v>19</v>
      </c>
      <c r="F5" s="22" t="s">
        <v>20</v>
      </c>
      <c r="G5" s="22" t="s">
        <v>21</v>
      </c>
      <c r="H5" s="22" t="s">
        <v>22</v>
      </c>
      <c r="I5" s="22" t="s">
        <v>23</v>
      </c>
      <c r="J5" s="22" t="s">
        <v>24</v>
      </c>
      <c r="K5" s="22" t="s">
        <v>25</v>
      </c>
    </row>
    <row r="6" spans="1:11" ht="14.25" customHeight="1">
      <c r="A6" s="16" t="s">
        <v>39</v>
      </c>
      <c r="B6" s="23">
        <f>料金テーブル!$B$5</f>
        <v>1000</v>
      </c>
      <c r="C6" s="23">
        <f>IF(設定!$C$10="2か年",ROUND((料金テーブル!$B$5+IF(設定!$C$8="パターン①（標準型）",料金テーブル!$C$5,IF(設定!$C$8="パターン②（家庭軽減型）",料金テーブル!$D$5,料金テーブル!$E$5)))/2,0),IF(設定!$C$8="パターン①（標準型）",'段階単価(3か年)'!$B$6,IF(設定!$C$8="パターン②（家庭軽減型）",'段階単価(3か年)'!$B$18,'段階単価(3か年)'!$B$30)))</f>
        <v>1250</v>
      </c>
      <c r="D6" s="23">
        <f>IF(設定!$C$10="2か年",IF(設定!$C$8="パターン①（標準型）",料金テーブル!$C$5,IF(設定!$C$8="パターン②（家庭軽減型）",料金テーブル!$D$5,料金テーブル!$E$5)),IF(設定!$C$8="パターン①（標準型）",'段階単価(3か年)'!$C$6,IF(設定!$C$8="パターン②（家庭軽減型）",'段階単価(3か年)'!$C$18,'段階単価(3か年)'!$C$30)))</f>
        <v>1500</v>
      </c>
      <c r="E6" s="23">
        <f>IF(設定!$C$8="パターン①（標準型）",料金テーブル!$C$5,IF(設定!$C$8="パターン②（家庭軽減型）",料金テーブル!$D$5,料金テーブル!$E$5))</f>
        <v>1500</v>
      </c>
      <c r="F6" s="23">
        <f>IF(設定!$C$8="パターン①（標準型）",料金テーブル!$C$5,IF(設定!$C$8="パターン②（家庭軽減型）",料金テーブル!$D$5,料金テーブル!$E$5))</f>
        <v>1500</v>
      </c>
      <c r="G6" s="23">
        <f>IF(設定!$C$8="パターン①（標準型）",料金テーブル!$C$5,IF(設定!$C$8="パターン②（家庭軽減型）",料金テーブル!$D$5,料金テーブル!$E$5))</f>
        <v>1500</v>
      </c>
      <c r="H6" s="23">
        <f>IF(設定!$C$8="パターン①（標準型）",料金テーブル!$C$5,IF(設定!$C$8="パターン②（家庭軽減型）",料金テーブル!$D$5,料金テーブル!$E$5))</f>
        <v>1500</v>
      </c>
      <c r="I6" s="23">
        <f>IF(設定!$C$8="パターン①（標準型）",料金テーブル!$C$5,IF(設定!$C$8="パターン②（家庭軽減型）",料金テーブル!$D$5,料金テーブル!$E$5))</f>
        <v>1500</v>
      </c>
      <c r="J6" s="23">
        <f>IF(設定!$C$8="パターン①（標準型）",料金テーブル!$C$5,IF(設定!$C$8="パターン②（家庭軽減型）",料金テーブル!$D$5,料金テーブル!$E$5))</f>
        <v>1500</v>
      </c>
      <c r="K6" s="23">
        <f>IF(設定!$C$8="パターン①（標準型）",料金テーブル!$C$5,IF(設定!$C$8="パターン②（家庭軽減型）",料金テーブル!$D$5,料金テーブル!$E$5))</f>
        <v>1500</v>
      </c>
    </row>
    <row r="7" spans="1:11" ht="14.25" customHeight="1">
      <c r="A7" s="18" t="s">
        <v>40</v>
      </c>
      <c r="B7" s="23">
        <f>料金テーブル!$B$6</f>
        <v>120</v>
      </c>
      <c r="C7" s="23">
        <f>IF(設定!$C$10="2か年",ROUND((料金テーブル!$B$6+IF(設定!$C$8="パターン①（標準型）",料金テーブル!$C$6,IF(設定!$C$8="パターン②（家庭軽減型）",料金テーブル!$D$6,料金テーブル!$E$6)))/2,0),IF(設定!$C$8="パターン①（標準型）",'段階単価(3か年)'!$B$7,IF(設定!$C$8="パターン②（家庭軽減型）",'段階単価(3か年)'!$B$19,'段階単価(3か年)'!$B$31)))</f>
        <v>135</v>
      </c>
      <c r="D7" s="23">
        <f>IF(設定!$C$10="2か年",IF(設定!$C$8="パターン①（標準型）",料金テーブル!$C$6,IF(設定!$C$8="パターン②（家庭軽減型）",料金テーブル!$D$6,料金テーブル!$E$6)),IF(設定!$C$8="パターン①（標準型）",'段階単価(3か年)'!$C$7,IF(設定!$C$8="パターン②（家庭軽減型）",'段階単価(3か年)'!$C$19,'段階単価(3か年)'!$C$31)))</f>
        <v>150</v>
      </c>
      <c r="E7" s="23">
        <f>IF(設定!$C$8="パターン①（標準型）",料金テーブル!$C$6,IF(設定!$C$8="パターン②（家庭軽減型）",料金テーブル!$D$6,料金テーブル!$E$6))</f>
        <v>150</v>
      </c>
      <c r="F7" s="23">
        <f>IF(設定!$C$8="パターン①（標準型）",料金テーブル!$C$6,IF(設定!$C$8="パターン②（家庭軽減型）",料金テーブル!$D$6,料金テーブル!$E$6))</f>
        <v>150</v>
      </c>
      <c r="G7" s="23">
        <f>IF(設定!$C$8="パターン①（標準型）",料金テーブル!$C$6,IF(設定!$C$8="パターン②（家庭軽減型）",料金テーブル!$D$6,料金テーブル!$E$6))</f>
        <v>150</v>
      </c>
      <c r="H7" s="23">
        <f>IF(設定!$C$8="パターン①（標準型）",料金テーブル!$C$6,IF(設定!$C$8="パターン②（家庭軽減型）",料金テーブル!$D$6,料金テーブル!$E$6))</f>
        <v>150</v>
      </c>
      <c r="I7" s="23">
        <f>IF(設定!$C$8="パターン①（標準型）",料金テーブル!$C$6,IF(設定!$C$8="パターン②（家庭軽減型）",料金テーブル!$D$6,料金テーブル!$E$6))</f>
        <v>150</v>
      </c>
      <c r="J7" s="23">
        <f>IF(設定!$C$8="パターン①（標準型）",料金テーブル!$C$6,IF(設定!$C$8="パターン②（家庭軽減型）",料金テーブル!$D$6,料金テーブル!$E$6))</f>
        <v>150</v>
      </c>
      <c r="K7" s="23">
        <f>IF(設定!$C$8="パターン①（標準型）",料金テーブル!$C$6,IF(設定!$C$8="パターン②（家庭軽減型）",料金テーブル!$D$6,料金テーブル!$E$6))</f>
        <v>150</v>
      </c>
    </row>
    <row r="8" spans="1:11" ht="14.25" customHeight="1">
      <c r="A8" s="18" t="s">
        <v>41</v>
      </c>
      <c r="B8" s="23">
        <f>料金テーブル!$B$7</f>
        <v>120</v>
      </c>
      <c r="C8" s="23">
        <f>IF(設定!$C$10="2か年",ROUND((料金テーブル!$B$7+IF(設定!$C$8="パターン①（標準型）",料金テーブル!$C$7,IF(設定!$C$8="パターン②（家庭軽減型）",料金テーブル!$D$7,料金テーブル!$E$7)))/2,0),IF(設定!$C$8="パターン①（標準型）",'段階単価(3か年)'!$B$8,IF(設定!$C$8="パターン②（家庭軽減型）",'段階単価(3か年)'!$B$20,'段階単価(3か年)'!$B$32)))</f>
        <v>138</v>
      </c>
      <c r="D8" s="23">
        <f>IF(設定!$C$10="2か年",IF(設定!$C$8="パターン①（標準型）",料金テーブル!$C$7,IF(設定!$C$8="パターン②（家庭軽減型）",料金テーブル!$D$7,料金テーブル!$E$7)),IF(設定!$C$8="パターン①（標準型）",'段階単価(3か年)'!$C$8,IF(設定!$C$8="パターン②（家庭軽減型）",'段階単価(3か年)'!$C$20,'段階単価(3か年)'!$C$32)))</f>
        <v>155</v>
      </c>
      <c r="E8" s="23">
        <f>IF(設定!$C$8="パターン①（標準型）",料金テーブル!$C$7,IF(設定!$C$8="パターン②（家庭軽減型）",料金テーブル!$D$7,料金テーブル!$E$7))</f>
        <v>155</v>
      </c>
      <c r="F8" s="23">
        <f>IF(設定!$C$8="パターン①（標準型）",料金テーブル!$C$7,IF(設定!$C$8="パターン②（家庭軽減型）",料金テーブル!$D$7,料金テーブル!$E$7))</f>
        <v>155</v>
      </c>
      <c r="G8" s="23">
        <f>IF(設定!$C$8="パターン①（標準型）",料金テーブル!$C$7,IF(設定!$C$8="パターン②（家庭軽減型）",料金テーブル!$D$7,料金テーブル!$E$7))</f>
        <v>155</v>
      </c>
      <c r="H8" s="23">
        <f>IF(設定!$C$8="パターン①（標準型）",料金テーブル!$C$7,IF(設定!$C$8="パターン②（家庭軽減型）",料金テーブル!$D$7,料金テーブル!$E$7))</f>
        <v>155</v>
      </c>
      <c r="I8" s="23">
        <f>IF(設定!$C$8="パターン①（標準型）",料金テーブル!$C$7,IF(設定!$C$8="パターン②（家庭軽減型）",料金テーブル!$D$7,料金テーブル!$E$7))</f>
        <v>155</v>
      </c>
      <c r="J8" s="23">
        <f>IF(設定!$C$8="パターン①（標準型）",料金テーブル!$C$7,IF(設定!$C$8="パターン②（家庭軽減型）",料金テーブル!$D$7,料金テーブル!$E$7))</f>
        <v>155</v>
      </c>
      <c r="K8" s="23">
        <f>IF(設定!$C$8="パターン①（標準型）",料金テーブル!$C$7,IF(設定!$C$8="パターン②（家庭軽減型）",料金テーブル!$D$7,料金テーブル!$E$7))</f>
        <v>155</v>
      </c>
    </row>
    <row r="9" spans="1:11" ht="14.25" customHeight="1">
      <c r="A9" s="18" t="s">
        <v>42</v>
      </c>
      <c r="B9" s="23">
        <f>料金テーブル!$B$8</f>
        <v>130</v>
      </c>
      <c r="C9" s="23">
        <f>IF(設定!$C$10="2か年",ROUND((料金テーブル!$B$8+IF(設定!$C$8="パターン①（標準型）",料金テーブル!$C$8,IF(設定!$C$8="パターン②（家庭軽減型）",料金テーブル!$D$8,料金テーブル!$E$8)))/2,0),IF(設定!$C$8="パターン①（標準型）",'段階単価(3か年)'!$B$9,IF(設定!$C$8="パターン②（家庭軽減型）",'段階単価(3か年)'!$B$21,'段階単価(3か年)'!$B$33)))</f>
        <v>145</v>
      </c>
      <c r="D9" s="23">
        <f>IF(設定!$C$10="2か年",IF(設定!$C$8="パターン①（標準型）",料金テーブル!$C$8,IF(設定!$C$8="パターン②（家庭軽減型）",料金テーブル!$D$8,料金テーブル!$E$8)),IF(設定!$C$8="パターン①（標準型）",'段階単価(3か年)'!$C$9,IF(設定!$C$8="パターン②（家庭軽減型）",'段階単価(3か年)'!$C$21,'段階単価(3か年)'!$C$33)))</f>
        <v>160</v>
      </c>
      <c r="E9" s="23">
        <f>IF(設定!$C$8="パターン①（標準型）",料金テーブル!$C$8,IF(設定!$C$8="パターン②（家庭軽減型）",料金テーブル!$D$8,料金テーブル!$E$8))</f>
        <v>160</v>
      </c>
      <c r="F9" s="23">
        <f>IF(設定!$C$8="パターン①（標準型）",料金テーブル!$C$8,IF(設定!$C$8="パターン②（家庭軽減型）",料金テーブル!$D$8,料金テーブル!$E$8))</f>
        <v>160</v>
      </c>
      <c r="G9" s="23">
        <f>IF(設定!$C$8="パターン①（標準型）",料金テーブル!$C$8,IF(設定!$C$8="パターン②（家庭軽減型）",料金テーブル!$D$8,料金テーブル!$E$8))</f>
        <v>160</v>
      </c>
      <c r="H9" s="23">
        <f>IF(設定!$C$8="パターン①（標準型）",料金テーブル!$C$8,IF(設定!$C$8="パターン②（家庭軽減型）",料金テーブル!$D$8,料金テーブル!$E$8))</f>
        <v>160</v>
      </c>
      <c r="I9" s="23">
        <f>IF(設定!$C$8="パターン①（標準型）",料金テーブル!$C$8,IF(設定!$C$8="パターン②（家庭軽減型）",料金テーブル!$D$8,料金テーブル!$E$8))</f>
        <v>160</v>
      </c>
      <c r="J9" s="23">
        <f>IF(設定!$C$8="パターン①（標準型）",料金テーブル!$C$8,IF(設定!$C$8="パターン②（家庭軽減型）",料金テーブル!$D$8,料金テーブル!$E$8))</f>
        <v>160</v>
      </c>
      <c r="K9" s="23">
        <f>IF(設定!$C$8="パターン①（標準型）",料金テーブル!$C$8,IF(設定!$C$8="パターン②（家庭軽減型）",料金テーブル!$D$8,料金テーブル!$E$8))</f>
        <v>160</v>
      </c>
    </row>
    <row r="10" spans="1:11" ht="14.25" customHeight="1">
      <c r="A10" s="18" t="s">
        <v>43</v>
      </c>
      <c r="B10" s="23">
        <f>料金テーブル!$B$9</f>
        <v>130</v>
      </c>
      <c r="C10" s="23">
        <f>IF(設定!$C$10="2か年",ROUND((料金テーブル!$B$9+IF(設定!$C$8="パターン①（標準型）",料金テーブル!$C$9,IF(設定!$C$8="パターン②（家庭軽減型）",料金テーブル!$D$9,料金テーブル!$E$9)))/2,0),IF(設定!$C$8="パターン①（標準型）",'段階単価(3か年)'!$B$10,IF(設定!$C$8="パターン②（家庭軽減型）",'段階単価(3か年)'!$B$22,'段階単価(3か年)'!$B$34)))</f>
        <v>148</v>
      </c>
      <c r="D10" s="23">
        <f>IF(設定!$C$10="2か年",IF(設定!$C$8="パターン①（標準型）",料金テーブル!$C$9,IF(設定!$C$8="パターン②（家庭軽減型）",料金テーブル!$D$9,料金テーブル!$E$9)),IF(設定!$C$8="パターン①（標準型）",'段階単価(3か年)'!$C$10,IF(設定!$C$8="パターン②（家庭軽減型）",'段階単価(3か年)'!$C$22,'段階単価(3か年)'!$C$34)))</f>
        <v>165</v>
      </c>
      <c r="E10" s="23">
        <f>IF(設定!$C$8="パターン①（標準型）",料金テーブル!$C$9,IF(設定!$C$8="パターン②（家庭軽減型）",料金テーブル!$D$9,料金テーブル!$E$9))</f>
        <v>165</v>
      </c>
      <c r="F10" s="23">
        <f>IF(設定!$C$8="パターン①（標準型）",料金テーブル!$C$9,IF(設定!$C$8="パターン②（家庭軽減型）",料金テーブル!$D$9,料金テーブル!$E$9))</f>
        <v>165</v>
      </c>
      <c r="G10" s="23">
        <f>IF(設定!$C$8="パターン①（標準型）",料金テーブル!$C$9,IF(設定!$C$8="パターン②（家庭軽減型）",料金テーブル!$D$9,料金テーブル!$E$9))</f>
        <v>165</v>
      </c>
      <c r="H10" s="23">
        <f>IF(設定!$C$8="パターン①（標準型）",料金テーブル!$C$9,IF(設定!$C$8="パターン②（家庭軽減型）",料金テーブル!$D$9,料金テーブル!$E$9))</f>
        <v>165</v>
      </c>
      <c r="I10" s="23">
        <f>IF(設定!$C$8="パターン①（標準型）",料金テーブル!$C$9,IF(設定!$C$8="パターン②（家庭軽減型）",料金テーブル!$D$9,料金テーブル!$E$9))</f>
        <v>165</v>
      </c>
      <c r="J10" s="23">
        <f>IF(設定!$C$8="パターン①（標準型）",料金テーブル!$C$9,IF(設定!$C$8="パターン②（家庭軽減型）",料金テーブル!$D$9,料金テーブル!$E$9))</f>
        <v>165</v>
      </c>
      <c r="K10" s="23">
        <f>IF(設定!$C$8="パターン①（標準型）",料金テーブル!$C$9,IF(設定!$C$8="パターン②（家庭軽減型）",料金テーブル!$D$9,料金テーブル!$E$9))</f>
        <v>165</v>
      </c>
    </row>
    <row r="11" spans="1:11" ht="14.25" customHeight="1">
      <c r="A11" s="18" t="s">
        <v>44</v>
      </c>
      <c r="B11" s="23">
        <f>料金テーブル!$B$10</f>
        <v>140</v>
      </c>
      <c r="C11" s="23">
        <f>IF(設定!$C$10="2か年",ROUND((料金テーブル!$B$10+IF(設定!$C$8="パターン①（標準型）",料金テーブル!$C$10,IF(設定!$C$8="パターン②（家庭軽減型）",料金テーブル!$D$10,料金テーブル!$E$10)))/2,0),IF(設定!$C$8="パターン①（標準型）",'段階単価(3か年)'!$B$11,IF(設定!$C$8="パターン②（家庭軽減型）",'段階単価(3か年)'!$B$23,'段階単価(3か年)'!$B$35)))</f>
        <v>158</v>
      </c>
      <c r="D11" s="23">
        <f>IF(設定!$C$10="2か年",IF(設定!$C$8="パターン①（標準型）",料金テーブル!$C$10,IF(設定!$C$8="パターン②（家庭軽減型）",料金テーブル!$D$10,料金テーブル!$E$10)),IF(設定!$C$8="パターン①（標準型）",'段階単価(3か年)'!$C$11,IF(設定!$C$8="パターン②（家庭軽減型）",'段階単価(3か年)'!$C$23,'段階単価(3か年)'!$C$35)))</f>
        <v>175</v>
      </c>
      <c r="E11" s="23">
        <f>IF(設定!$C$8="パターン①（標準型）",料金テーブル!$C$10,IF(設定!$C$8="パターン②（家庭軽減型）",料金テーブル!$D$10,料金テーブル!$E$10))</f>
        <v>175</v>
      </c>
      <c r="F11" s="23">
        <f>IF(設定!$C$8="パターン①（標準型）",料金テーブル!$C$10,IF(設定!$C$8="パターン②（家庭軽減型）",料金テーブル!$D$10,料金テーブル!$E$10))</f>
        <v>175</v>
      </c>
      <c r="G11" s="23">
        <f>IF(設定!$C$8="パターン①（標準型）",料金テーブル!$C$10,IF(設定!$C$8="パターン②（家庭軽減型）",料金テーブル!$D$10,料金テーブル!$E$10))</f>
        <v>175</v>
      </c>
      <c r="H11" s="23">
        <f>IF(設定!$C$8="パターン①（標準型）",料金テーブル!$C$10,IF(設定!$C$8="パターン②（家庭軽減型）",料金テーブル!$D$10,料金テーブル!$E$10))</f>
        <v>175</v>
      </c>
      <c r="I11" s="23">
        <f>IF(設定!$C$8="パターン①（標準型）",料金テーブル!$C$10,IF(設定!$C$8="パターン②（家庭軽減型）",料金テーブル!$D$10,料金テーブル!$E$10))</f>
        <v>175</v>
      </c>
      <c r="J11" s="23">
        <f>IF(設定!$C$8="パターン①（標準型）",料金テーブル!$C$10,IF(設定!$C$8="パターン②（家庭軽減型）",料金テーブル!$D$10,料金テーブル!$E$10))</f>
        <v>175</v>
      </c>
      <c r="K11" s="23">
        <f>IF(設定!$C$8="パターン①（標準型）",料金テーブル!$C$10,IF(設定!$C$8="パターン②（家庭軽減型）",料金テーブル!$D$10,料金テーブル!$E$10))</f>
        <v>175</v>
      </c>
    </row>
    <row r="12" spans="1:11" ht="14.25" customHeight="1">
      <c r="A12" s="18" t="s">
        <v>45</v>
      </c>
      <c r="B12" s="23">
        <f>料金テーブル!$B$11</f>
        <v>140</v>
      </c>
      <c r="C12" s="23">
        <f>IF(設定!$C$10="2か年",ROUND((料金テーブル!$B$11+IF(設定!$C$8="パターン①（標準型）",料金テーブル!$C$11,IF(設定!$C$8="パターン②（家庭軽減型）",料金テーブル!$D$11,料金テーブル!$E$11)))/2,0),IF(設定!$C$8="パターン①（標準型）",'段階単価(3か年)'!$B$12,IF(設定!$C$8="パターン②（家庭軽減型）",'段階単価(3か年)'!$B$24,'段階単価(3か年)'!$B$36)))</f>
        <v>163</v>
      </c>
      <c r="D12" s="23">
        <f>IF(設定!$C$10="2か年",IF(設定!$C$8="パターン①（標準型）",料金テーブル!$C$11,IF(設定!$C$8="パターン②（家庭軽減型）",料金テーブル!$D$11,料金テーブル!$E$11)),IF(設定!$C$8="パターン①（標準型）",'段階単価(3か年)'!$C$12,IF(設定!$C$8="パターン②（家庭軽減型）",'段階単価(3か年)'!$C$24,'段階単価(3か年)'!$C$36)))</f>
        <v>185</v>
      </c>
      <c r="E12" s="23">
        <f>IF(設定!$C$8="パターン①（標準型）",料金テーブル!$C$11,IF(設定!$C$8="パターン②（家庭軽減型）",料金テーブル!$D$11,料金テーブル!$E$11))</f>
        <v>185</v>
      </c>
      <c r="F12" s="23">
        <f>IF(設定!$C$8="パターン①（標準型）",料金テーブル!$C$11,IF(設定!$C$8="パターン②（家庭軽減型）",料金テーブル!$D$11,料金テーブル!$E$11))</f>
        <v>185</v>
      </c>
      <c r="G12" s="23">
        <f>IF(設定!$C$8="パターン①（標準型）",料金テーブル!$C$11,IF(設定!$C$8="パターン②（家庭軽減型）",料金テーブル!$D$11,料金テーブル!$E$11))</f>
        <v>185</v>
      </c>
      <c r="H12" s="23">
        <f>IF(設定!$C$8="パターン①（標準型）",料金テーブル!$C$11,IF(設定!$C$8="パターン②（家庭軽減型）",料金テーブル!$D$11,料金テーブル!$E$11))</f>
        <v>185</v>
      </c>
      <c r="I12" s="23">
        <f>IF(設定!$C$8="パターン①（標準型）",料金テーブル!$C$11,IF(設定!$C$8="パターン②（家庭軽減型）",料金テーブル!$D$11,料金テーブル!$E$11))</f>
        <v>185</v>
      </c>
      <c r="J12" s="23">
        <f>IF(設定!$C$8="パターン①（標準型）",料金テーブル!$C$11,IF(設定!$C$8="パターン②（家庭軽減型）",料金テーブル!$D$11,料金テーブル!$E$11))</f>
        <v>185</v>
      </c>
      <c r="K12" s="23">
        <f>IF(設定!$C$8="パターン①（標準型）",料金テーブル!$C$11,IF(設定!$C$8="パターン②（家庭軽減型）",料金テーブル!$D$11,料金テーブル!$E$11))</f>
        <v>185</v>
      </c>
    </row>
    <row r="13" spans="1:11" ht="14.25" customHeight="1">
      <c r="A13" s="18" t="s">
        <v>46</v>
      </c>
      <c r="B13" s="23">
        <f>料金テーブル!$B$12</f>
        <v>140</v>
      </c>
      <c r="C13" s="23">
        <f>IF(設定!$C$10="2か年",ROUND((料金テーブル!$B$12+IF(設定!$C$8="パターン①（標準型）",料金テーブル!$C$12,IF(設定!$C$8="パターン②（家庭軽減型）",料金テーブル!$D$12,料金テーブル!$E$12)))/2,0),IF(設定!$C$8="パターン①（標準型）",'段階単価(3か年)'!$B$13,IF(設定!$C$8="パターン②（家庭軽減型）",'段階単価(3か年)'!$B$25,'段階単価(3か年)'!$B$37)))</f>
        <v>173</v>
      </c>
      <c r="D13" s="23">
        <f>IF(設定!$C$10="2か年",IF(設定!$C$8="パターン①（標準型）",料金テーブル!$C$12,IF(設定!$C$8="パターン②（家庭軽減型）",料金テーブル!$D$12,料金テーブル!$E$12)),IF(設定!$C$8="パターン①（標準型）",'段階単価(3か年)'!$C$13,IF(設定!$C$8="パターン②（家庭軽減型）",'段階単価(3か年)'!$C$25,'段階単価(3か年)'!$C$37)))</f>
        <v>205</v>
      </c>
      <c r="E13" s="23">
        <f>IF(設定!$C$8="パターン①（標準型）",料金テーブル!$C$12,IF(設定!$C$8="パターン②（家庭軽減型）",料金テーブル!$D$12,料金テーブル!$E$12))</f>
        <v>205</v>
      </c>
      <c r="F13" s="23">
        <f>IF(設定!$C$8="パターン①（標準型）",料金テーブル!$C$12,IF(設定!$C$8="パターン②（家庭軽減型）",料金テーブル!$D$12,料金テーブル!$E$12))</f>
        <v>205</v>
      </c>
      <c r="G13" s="23">
        <f>IF(設定!$C$8="パターン①（標準型）",料金テーブル!$C$12,IF(設定!$C$8="パターン②（家庭軽減型）",料金テーブル!$D$12,料金テーブル!$E$12))</f>
        <v>205</v>
      </c>
      <c r="H13" s="23">
        <f>IF(設定!$C$8="パターン①（標準型）",料金テーブル!$C$12,IF(設定!$C$8="パターン②（家庭軽減型）",料金テーブル!$D$12,料金テーブル!$E$12))</f>
        <v>205</v>
      </c>
      <c r="I13" s="23">
        <f>IF(設定!$C$8="パターン①（標準型）",料金テーブル!$C$12,IF(設定!$C$8="パターン②（家庭軽減型）",料金テーブル!$D$12,料金テーブル!$E$12))</f>
        <v>205</v>
      </c>
      <c r="J13" s="23">
        <f>IF(設定!$C$8="パターン①（標準型）",料金テーブル!$C$12,IF(設定!$C$8="パターン②（家庭軽減型）",料金テーブル!$D$12,料金テーブル!$E$12))</f>
        <v>205</v>
      </c>
      <c r="K13" s="23">
        <f>IF(設定!$C$8="パターン①（標準型）",料金テーブル!$C$12,IF(設定!$C$8="パターン②（家庭軽減型）",料金テーブル!$D$12,料金テーブル!$E$12))</f>
        <v>205</v>
      </c>
    </row>
    <row r="14" spans="1:11" ht="14.25" customHeight="1">
      <c r="A14" s="18" t="s">
        <v>47</v>
      </c>
      <c r="B14" s="23">
        <f>料金テーブル!$B$13</f>
        <v>160</v>
      </c>
      <c r="C14" s="23">
        <f>IF(設定!$C$10="2か年",ROUND((料金テーブル!$B$13+IF(設定!$C$8="パターン①（標準型）",料金テーブル!$C$13,IF(設定!$C$8="パターン②（家庭軽減型）",料金テーブル!$D$13,料金テーブル!$E$13)))/2,0),IF(設定!$C$8="パターン①（標準型）",'段階単価(3か年)'!$B$14,IF(設定!$C$8="パターン②（家庭軽減型）",'段階単価(3か年)'!$B$26,'段階単価(3か年)'!$B$38)))</f>
        <v>193</v>
      </c>
      <c r="D14" s="23">
        <f>IF(設定!$C$10="2か年",IF(設定!$C$8="パターン①（標準型）",料金テーブル!$C$13,IF(設定!$C$8="パターン②（家庭軽減型）",料金テーブル!$D$13,料金テーブル!$E$13)),IF(設定!$C$8="パターン①（標準型）",'段階単価(3か年)'!$C$14,IF(設定!$C$8="パターン②（家庭軽減型）",'段階単価(3か年)'!$C$26,'段階単価(3か年)'!$C$38)))</f>
        <v>225</v>
      </c>
      <c r="E14" s="23">
        <f>IF(設定!$C$8="パターン①（標準型）",料金テーブル!$C$13,IF(設定!$C$8="パターン②（家庭軽減型）",料金テーブル!$D$13,料金テーブル!$E$13))</f>
        <v>225</v>
      </c>
      <c r="F14" s="23">
        <f>IF(設定!$C$8="パターン①（標準型）",料金テーブル!$C$13,IF(設定!$C$8="パターン②（家庭軽減型）",料金テーブル!$D$13,料金テーブル!$E$13))</f>
        <v>225</v>
      </c>
      <c r="G14" s="23">
        <f>IF(設定!$C$8="パターン①（標準型）",料金テーブル!$C$13,IF(設定!$C$8="パターン②（家庭軽減型）",料金テーブル!$D$13,料金テーブル!$E$13))</f>
        <v>225</v>
      </c>
      <c r="H14" s="23">
        <f>IF(設定!$C$8="パターン①（標準型）",料金テーブル!$C$13,IF(設定!$C$8="パターン②（家庭軽減型）",料金テーブル!$D$13,料金テーブル!$E$13))</f>
        <v>225</v>
      </c>
      <c r="I14" s="23">
        <f>IF(設定!$C$8="パターン①（標準型）",料金テーブル!$C$13,IF(設定!$C$8="パターン②（家庭軽減型）",料金テーブル!$D$13,料金テーブル!$E$13))</f>
        <v>225</v>
      </c>
      <c r="J14" s="23">
        <f>IF(設定!$C$8="パターン①（標準型）",料金テーブル!$C$13,IF(設定!$C$8="パターン②（家庭軽減型）",料金テーブル!$D$13,料金テーブル!$E$13))</f>
        <v>225</v>
      </c>
      <c r="K14" s="23">
        <f>IF(設定!$C$8="パターン①（標準型）",料金テーブル!$C$13,IF(設定!$C$8="パターン②（家庭軽減型）",料金テーブル!$D$13,料金テーブル!$E$13))</f>
        <v>225</v>
      </c>
    </row>
    <row r="15" spans="1:11" ht="13.5" customHeight="1">
      <c r="A15" s="21"/>
      <c r="B15" s="21"/>
      <c r="C15" s="21"/>
      <c r="D15" s="21"/>
      <c r="E15" s="21"/>
      <c r="F15" s="21"/>
      <c r="G15" s="21"/>
      <c r="H15" s="21"/>
      <c r="I15" s="21"/>
      <c r="J15" s="21"/>
      <c r="K15" s="21"/>
    </row>
    <row r="16" spans="1:11" ht="13.5" customHeight="1">
      <c r="A16" s="20" t="s">
        <v>50</v>
      </c>
      <c r="B16" s="21"/>
      <c r="C16" s="21"/>
      <c r="D16" s="21"/>
      <c r="E16" s="21"/>
      <c r="F16" s="21"/>
      <c r="G16" s="21"/>
      <c r="H16" s="21"/>
      <c r="I16" s="21"/>
      <c r="J16" s="21"/>
      <c r="K16" s="21"/>
    </row>
    <row r="17" spans="1:11" ht="13.5" customHeight="1">
      <c r="A17" s="16" t="s">
        <v>51</v>
      </c>
      <c r="B17" s="23">
        <f>IF(設定!$C$6="人口ビジョン",523,524)</f>
        <v>523</v>
      </c>
      <c r="C17" s="23">
        <f>IF(設定!$C$6="人口ビジョン",519,520)</f>
        <v>519</v>
      </c>
      <c r="D17" s="23">
        <f>IF(設定!$C$6="人口ビジョン",516,517)</f>
        <v>516</v>
      </c>
      <c r="E17" s="23">
        <f>IF(設定!$C$6="人口ビジョン",512,513)</f>
        <v>512</v>
      </c>
      <c r="F17" s="23">
        <f>IF(設定!$C$6="人口ビジョン",509,509)</f>
        <v>509</v>
      </c>
      <c r="G17" s="23">
        <f>IF(設定!$C$6="人口ビジョン",505,506)</f>
        <v>505</v>
      </c>
      <c r="H17" s="23">
        <f>IF(設定!$C$6="人口ビジョン",501,501)</f>
        <v>501</v>
      </c>
      <c r="I17" s="23">
        <f>IF(設定!$C$6="人口ビジョン",498,497)</f>
        <v>498</v>
      </c>
      <c r="J17" s="23">
        <f>IF(設定!$C$6="人口ビジョン",494,493)</f>
        <v>494</v>
      </c>
      <c r="K17" s="23">
        <f>IF(設定!$C$6="人口ビジョン",490,489)</f>
        <v>490</v>
      </c>
    </row>
    <row r="18" spans="1:11" ht="13.5" customHeight="1">
      <c r="A18" s="16" t="s">
        <v>52</v>
      </c>
      <c r="B18" s="23">
        <f>IF(設定!$C$6="人口ビジョン",94131,94354)</f>
        <v>94131</v>
      </c>
      <c r="C18" s="23">
        <f>IF(設定!$C$6="人口ビジョン",93463,93611)</f>
        <v>93463</v>
      </c>
      <c r="D18" s="23">
        <f>IF(設定!$C$6="人口ビジョン",92868,93017)</f>
        <v>92868</v>
      </c>
      <c r="E18" s="23">
        <f>IF(設定!$C$6="人口ビジョン",92200,92274)</f>
        <v>92200</v>
      </c>
      <c r="F18" s="23">
        <f>IF(設定!$C$6="人口ビジョン",91605,91680)</f>
        <v>91605</v>
      </c>
      <c r="G18" s="23">
        <f>IF(設定!$C$6="人口ビジョン",90937,91011)</f>
        <v>90937</v>
      </c>
      <c r="H18" s="23">
        <f>IF(設定!$C$6="人口ビジョン",90268,90194)</f>
        <v>90268</v>
      </c>
      <c r="I18" s="23">
        <f>IF(設定!$C$6="人口ビジョン",89600,89525)</f>
        <v>89600</v>
      </c>
      <c r="J18" s="23">
        <f>IF(設定!$C$6="人口ビジョン",88931,88782)</f>
        <v>88931</v>
      </c>
      <c r="K18" s="23">
        <f>IF(設定!$C$6="人口ビジョン",88262,87965)</f>
        <v>88262</v>
      </c>
    </row>
    <row r="19" spans="1:11" ht="13.5" customHeight="1">
      <c r="A19" s="21"/>
      <c r="B19" s="21"/>
      <c r="C19" s="21"/>
      <c r="D19" s="21"/>
      <c r="E19" s="21"/>
      <c r="F19" s="21"/>
      <c r="G19" s="21"/>
      <c r="H19" s="21"/>
      <c r="I19" s="21"/>
      <c r="J19" s="21"/>
      <c r="K19" s="21"/>
    </row>
    <row r="20" spans="1:11" ht="14.25" customHeight="1">
      <c r="A20" s="20" t="s">
        <v>53</v>
      </c>
      <c r="B20" s="21"/>
      <c r="C20" s="21"/>
      <c r="D20" s="21"/>
      <c r="E20" s="21"/>
      <c r="F20" s="21"/>
      <c r="G20" s="21"/>
      <c r="H20" s="21"/>
      <c r="I20" s="21"/>
      <c r="J20" s="21"/>
      <c r="K20" s="21"/>
    </row>
    <row r="21" spans="1:11" ht="14.25" customHeight="1">
      <c r="A21" s="16" t="s">
        <v>39</v>
      </c>
      <c r="B21" s="23">
        <f t="shared" ref="B21:K21" si="0">ROUND(B18*0.295786,0)</f>
        <v>27843</v>
      </c>
      <c r="C21" s="23">
        <f t="shared" si="0"/>
        <v>27645</v>
      </c>
      <c r="D21" s="23">
        <f t="shared" si="0"/>
        <v>27469</v>
      </c>
      <c r="E21" s="23">
        <f t="shared" si="0"/>
        <v>27271</v>
      </c>
      <c r="F21" s="23">
        <f t="shared" si="0"/>
        <v>27095</v>
      </c>
      <c r="G21" s="23">
        <f t="shared" si="0"/>
        <v>26898</v>
      </c>
      <c r="H21" s="23">
        <f t="shared" si="0"/>
        <v>26700</v>
      </c>
      <c r="I21" s="23">
        <f t="shared" si="0"/>
        <v>26502</v>
      </c>
      <c r="J21" s="23">
        <f t="shared" si="0"/>
        <v>26305</v>
      </c>
      <c r="K21" s="23">
        <f t="shared" si="0"/>
        <v>26107</v>
      </c>
    </row>
    <row r="22" spans="1:11" ht="14.25" customHeight="1">
      <c r="A22" s="18" t="s">
        <v>40</v>
      </c>
      <c r="B22" s="23">
        <f t="shared" ref="B22:K22" si="1">ROUND(B18*0.249802,0)</f>
        <v>23514</v>
      </c>
      <c r="C22" s="23">
        <f t="shared" si="1"/>
        <v>23347</v>
      </c>
      <c r="D22" s="23">
        <f t="shared" si="1"/>
        <v>23199</v>
      </c>
      <c r="E22" s="23">
        <f t="shared" si="1"/>
        <v>23032</v>
      </c>
      <c r="F22" s="23">
        <f t="shared" si="1"/>
        <v>22883</v>
      </c>
      <c r="G22" s="23">
        <f t="shared" si="1"/>
        <v>22716</v>
      </c>
      <c r="H22" s="23">
        <f t="shared" si="1"/>
        <v>22549</v>
      </c>
      <c r="I22" s="23">
        <f t="shared" si="1"/>
        <v>22382</v>
      </c>
      <c r="J22" s="23">
        <f t="shared" si="1"/>
        <v>22215</v>
      </c>
      <c r="K22" s="23">
        <f t="shared" si="1"/>
        <v>22048</v>
      </c>
    </row>
    <row r="23" spans="1:11" ht="14.25" customHeight="1">
      <c r="A23" s="18" t="s">
        <v>41</v>
      </c>
      <c r="B23" s="23">
        <f>ROUND(B18*0.180081,0)</f>
        <v>16951</v>
      </c>
      <c r="C23" s="23">
        <f t="shared" ref="B23:K23" si="2">ROUND(C18*0.180081,0)</f>
        <v>16831</v>
      </c>
      <c r="D23" s="23">
        <f t="shared" si="2"/>
        <v>16724</v>
      </c>
      <c r="E23" s="23">
        <f t="shared" si="2"/>
        <v>16603</v>
      </c>
      <c r="F23" s="23">
        <f t="shared" si="2"/>
        <v>16496</v>
      </c>
      <c r="G23" s="23">
        <f t="shared" si="2"/>
        <v>16376</v>
      </c>
      <c r="H23" s="23">
        <f t="shared" si="2"/>
        <v>16256</v>
      </c>
      <c r="I23" s="23">
        <f t="shared" si="2"/>
        <v>16135</v>
      </c>
      <c r="J23" s="23">
        <f t="shared" si="2"/>
        <v>16015</v>
      </c>
      <c r="K23" s="23">
        <f t="shared" si="2"/>
        <v>15894</v>
      </c>
    </row>
    <row r="24" spans="1:11" ht="14.25" customHeight="1">
      <c r="A24" s="18" t="s">
        <v>42</v>
      </c>
      <c r="B24" s="23">
        <f t="shared" ref="B24:K24" si="3">ROUND(B18*0.113113,0)</f>
        <v>10647</v>
      </c>
      <c r="C24" s="23">
        <f t="shared" si="3"/>
        <v>10572</v>
      </c>
      <c r="D24" s="23">
        <f t="shared" si="3"/>
        <v>10505</v>
      </c>
      <c r="E24" s="23">
        <f t="shared" si="3"/>
        <v>10429</v>
      </c>
      <c r="F24" s="23">
        <f t="shared" si="3"/>
        <v>10362</v>
      </c>
      <c r="G24" s="23">
        <f t="shared" si="3"/>
        <v>10286</v>
      </c>
      <c r="H24" s="23">
        <f t="shared" si="3"/>
        <v>10210</v>
      </c>
      <c r="I24" s="23">
        <f t="shared" si="3"/>
        <v>10135</v>
      </c>
      <c r="J24" s="23">
        <f t="shared" si="3"/>
        <v>10059</v>
      </c>
      <c r="K24" s="23">
        <f t="shared" si="3"/>
        <v>9984</v>
      </c>
    </row>
    <row r="25" spans="1:11" ht="14.25" customHeight="1">
      <c r="A25" s="18" t="s">
        <v>43</v>
      </c>
      <c r="B25" s="23">
        <f t="shared" ref="B25:K25" si="4">ROUND(B18*0.068836,0)</f>
        <v>6480</v>
      </c>
      <c r="C25" s="23">
        <f t="shared" si="4"/>
        <v>6434</v>
      </c>
      <c r="D25" s="23">
        <f t="shared" si="4"/>
        <v>6393</v>
      </c>
      <c r="E25" s="23">
        <f t="shared" si="4"/>
        <v>6347</v>
      </c>
      <c r="F25" s="23">
        <f t="shared" si="4"/>
        <v>6306</v>
      </c>
      <c r="G25" s="23">
        <f t="shared" si="4"/>
        <v>6260</v>
      </c>
      <c r="H25" s="23">
        <f t="shared" si="4"/>
        <v>6214</v>
      </c>
      <c r="I25" s="23">
        <f t="shared" si="4"/>
        <v>6168</v>
      </c>
      <c r="J25" s="23">
        <f t="shared" si="4"/>
        <v>6122</v>
      </c>
      <c r="K25" s="23">
        <f t="shared" si="4"/>
        <v>6076</v>
      </c>
    </row>
    <row r="26" spans="1:11" ht="14.25" customHeight="1">
      <c r="A26" s="18" t="s">
        <v>44</v>
      </c>
      <c r="B26" s="23">
        <f t="shared" ref="B26:K26" si="5">ROUND(B18*0.054322,0)</f>
        <v>5113</v>
      </c>
      <c r="C26" s="23">
        <f t="shared" si="5"/>
        <v>5077</v>
      </c>
      <c r="D26" s="23">
        <f t="shared" si="5"/>
        <v>5045</v>
      </c>
      <c r="E26" s="23">
        <f t="shared" si="5"/>
        <v>5008</v>
      </c>
      <c r="F26" s="23">
        <f t="shared" si="5"/>
        <v>4976</v>
      </c>
      <c r="G26" s="23">
        <f t="shared" si="5"/>
        <v>4940</v>
      </c>
      <c r="H26" s="23">
        <f t="shared" si="5"/>
        <v>4904</v>
      </c>
      <c r="I26" s="23">
        <f t="shared" si="5"/>
        <v>4867</v>
      </c>
      <c r="J26" s="23">
        <f t="shared" si="5"/>
        <v>4831</v>
      </c>
      <c r="K26" s="23">
        <f t="shared" si="5"/>
        <v>4795</v>
      </c>
    </row>
    <row r="27" spans="1:11" ht="14.25" customHeight="1">
      <c r="A27" s="18" t="s">
        <v>45</v>
      </c>
      <c r="B27" s="23">
        <f t="shared" ref="B27:K27" si="6">ROUND(B18*0.026809,0)</f>
        <v>2524</v>
      </c>
      <c r="C27" s="23">
        <f t="shared" si="6"/>
        <v>2506</v>
      </c>
      <c r="D27" s="23">
        <f t="shared" si="6"/>
        <v>2490</v>
      </c>
      <c r="E27" s="23">
        <f t="shared" si="6"/>
        <v>2472</v>
      </c>
      <c r="F27" s="23">
        <f t="shared" si="6"/>
        <v>2456</v>
      </c>
      <c r="G27" s="23">
        <f t="shared" si="6"/>
        <v>2438</v>
      </c>
      <c r="H27" s="23">
        <f t="shared" si="6"/>
        <v>2420</v>
      </c>
      <c r="I27" s="23">
        <f t="shared" si="6"/>
        <v>2402</v>
      </c>
      <c r="J27" s="23">
        <f t="shared" si="6"/>
        <v>2384</v>
      </c>
      <c r="K27" s="23">
        <f t="shared" si="6"/>
        <v>2366</v>
      </c>
    </row>
    <row r="28" spans="1:11" ht="14.25" customHeight="1">
      <c r="A28" s="18" t="s">
        <v>46</v>
      </c>
      <c r="B28" s="23">
        <f t="shared" ref="B28:K28" si="7">ROUND(B18*0.005093,0)</f>
        <v>479</v>
      </c>
      <c r="C28" s="23">
        <f t="shared" si="7"/>
        <v>476</v>
      </c>
      <c r="D28" s="23">
        <f t="shared" si="7"/>
        <v>473</v>
      </c>
      <c r="E28" s="23">
        <f t="shared" si="7"/>
        <v>470</v>
      </c>
      <c r="F28" s="23">
        <f t="shared" si="7"/>
        <v>467</v>
      </c>
      <c r="G28" s="23">
        <f t="shared" si="7"/>
        <v>463</v>
      </c>
      <c r="H28" s="23">
        <f t="shared" si="7"/>
        <v>460</v>
      </c>
      <c r="I28" s="23">
        <f t="shared" si="7"/>
        <v>456</v>
      </c>
      <c r="J28" s="23">
        <f t="shared" si="7"/>
        <v>453</v>
      </c>
      <c r="K28" s="23">
        <f t="shared" si="7"/>
        <v>450</v>
      </c>
    </row>
    <row r="29" spans="1:11" ht="14.25" customHeight="1">
      <c r="A29" s="18" t="s">
        <v>47</v>
      </c>
      <c r="B29" s="23">
        <f t="shared" ref="B29:K29" si="8">ROUND(B18*0.003074,0)</f>
        <v>289</v>
      </c>
      <c r="C29" s="23">
        <f t="shared" si="8"/>
        <v>287</v>
      </c>
      <c r="D29" s="23">
        <f t="shared" si="8"/>
        <v>285</v>
      </c>
      <c r="E29" s="23">
        <f t="shared" si="8"/>
        <v>283</v>
      </c>
      <c r="F29" s="23">
        <f t="shared" si="8"/>
        <v>282</v>
      </c>
      <c r="G29" s="23">
        <f t="shared" si="8"/>
        <v>280</v>
      </c>
      <c r="H29" s="23">
        <f t="shared" si="8"/>
        <v>277</v>
      </c>
      <c r="I29" s="23">
        <f t="shared" si="8"/>
        <v>275</v>
      </c>
      <c r="J29" s="23">
        <f t="shared" si="8"/>
        <v>273</v>
      </c>
      <c r="K29" s="23">
        <f t="shared" si="8"/>
        <v>271</v>
      </c>
    </row>
    <row r="30" spans="1:11" ht="13.5" customHeight="1">
      <c r="A30" s="21"/>
      <c r="B30" s="21"/>
      <c r="C30" s="21"/>
      <c r="D30" s="21"/>
      <c r="E30" s="21"/>
      <c r="F30" s="21"/>
      <c r="G30" s="21"/>
      <c r="H30" s="21"/>
      <c r="I30" s="21"/>
      <c r="J30" s="21"/>
      <c r="K30" s="21"/>
    </row>
    <row r="31" spans="1:11" ht="13.5" customHeight="1">
      <c r="A31" s="24" t="s">
        <v>54</v>
      </c>
      <c r="B31" s="21"/>
      <c r="C31" s="21"/>
      <c r="D31" s="21"/>
      <c r="E31" s="21"/>
      <c r="F31" s="21"/>
      <c r="G31" s="21"/>
      <c r="H31" s="21"/>
      <c r="I31" s="21"/>
      <c r="J31" s="21"/>
      <c r="K31" s="21"/>
    </row>
    <row r="32" spans="1:11" ht="13.5" customHeight="1">
      <c r="A32" s="22" t="s">
        <v>55</v>
      </c>
      <c r="B32" s="25">
        <f t="shared" ref="B32:K32" si="9">ROUND(B6*B17*12/1000,1)</f>
        <v>6276</v>
      </c>
      <c r="C32" s="25">
        <f t="shared" si="9"/>
        <v>7785</v>
      </c>
      <c r="D32" s="25">
        <f t="shared" si="9"/>
        <v>9288</v>
      </c>
      <c r="E32" s="25">
        <f t="shared" si="9"/>
        <v>9216</v>
      </c>
      <c r="F32" s="25">
        <f t="shared" si="9"/>
        <v>9162</v>
      </c>
      <c r="G32" s="25">
        <f t="shared" si="9"/>
        <v>9090</v>
      </c>
      <c r="H32" s="25">
        <f t="shared" si="9"/>
        <v>9018</v>
      </c>
      <c r="I32" s="25">
        <f t="shared" si="9"/>
        <v>8964</v>
      </c>
      <c r="J32" s="25">
        <f t="shared" si="9"/>
        <v>8892</v>
      </c>
      <c r="K32" s="25">
        <f t="shared" si="9"/>
        <v>8820</v>
      </c>
    </row>
    <row r="33" spans="1:11" ht="14.25" customHeight="1">
      <c r="A33" s="16" t="s">
        <v>56</v>
      </c>
      <c r="B33" s="25">
        <f t="shared" ref="B33:K33" si="10">ROUND(B7*B22/1000,1)</f>
        <v>2821.7</v>
      </c>
      <c r="C33" s="25">
        <f t="shared" si="10"/>
        <v>3151.8</v>
      </c>
      <c r="D33" s="25">
        <f t="shared" si="10"/>
        <v>3479.9</v>
      </c>
      <c r="E33" s="25">
        <f t="shared" si="10"/>
        <v>3454.8</v>
      </c>
      <c r="F33" s="25">
        <f t="shared" si="10"/>
        <v>3432.5</v>
      </c>
      <c r="G33" s="25">
        <f t="shared" si="10"/>
        <v>3407.4</v>
      </c>
      <c r="H33" s="25">
        <f t="shared" si="10"/>
        <v>3382.4</v>
      </c>
      <c r="I33" s="25">
        <f t="shared" si="10"/>
        <v>3357.3</v>
      </c>
      <c r="J33" s="25">
        <f t="shared" si="10"/>
        <v>3332.3</v>
      </c>
      <c r="K33" s="25">
        <f t="shared" si="10"/>
        <v>3307.2</v>
      </c>
    </row>
    <row r="34" spans="1:11" ht="14.25" customHeight="1">
      <c r="A34" s="16" t="s">
        <v>57</v>
      </c>
      <c r="B34" s="25">
        <f t="shared" ref="B34:K34" si="11">ROUND(B8*B23/1000,1)</f>
        <v>2034.1</v>
      </c>
      <c r="C34" s="25">
        <f t="shared" si="11"/>
        <v>2322.6999999999998</v>
      </c>
      <c r="D34" s="25">
        <f t="shared" si="11"/>
        <v>2592.1999999999998</v>
      </c>
      <c r="E34" s="25">
        <f t="shared" si="11"/>
        <v>2573.5</v>
      </c>
      <c r="F34" s="25">
        <f t="shared" si="11"/>
        <v>2556.9</v>
      </c>
      <c r="G34" s="25">
        <f t="shared" si="11"/>
        <v>2538.3000000000002</v>
      </c>
      <c r="H34" s="25">
        <f t="shared" si="11"/>
        <v>2519.6999999999998</v>
      </c>
      <c r="I34" s="25">
        <f t="shared" si="11"/>
        <v>2500.9</v>
      </c>
      <c r="J34" s="25">
        <f t="shared" si="11"/>
        <v>2482.3000000000002</v>
      </c>
      <c r="K34" s="25">
        <f t="shared" si="11"/>
        <v>2463.6</v>
      </c>
    </row>
    <row r="35" spans="1:11" ht="14.25" customHeight="1">
      <c r="A35" s="16" t="s">
        <v>58</v>
      </c>
      <c r="B35" s="25">
        <f t="shared" ref="B35:K35" si="12">ROUND(B9*B24/1000,1)</f>
        <v>1384.1</v>
      </c>
      <c r="C35" s="25">
        <f t="shared" si="12"/>
        <v>1532.9</v>
      </c>
      <c r="D35" s="25">
        <f t="shared" si="12"/>
        <v>1680.8</v>
      </c>
      <c r="E35" s="25">
        <f t="shared" si="12"/>
        <v>1668.6</v>
      </c>
      <c r="F35" s="25">
        <f t="shared" si="12"/>
        <v>1657.9</v>
      </c>
      <c r="G35" s="25">
        <f t="shared" si="12"/>
        <v>1645.8</v>
      </c>
      <c r="H35" s="25">
        <f t="shared" si="12"/>
        <v>1633.6</v>
      </c>
      <c r="I35" s="25">
        <f t="shared" si="12"/>
        <v>1621.6</v>
      </c>
      <c r="J35" s="25">
        <f t="shared" si="12"/>
        <v>1609.4</v>
      </c>
      <c r="K35" s="25">
        <f t="shared" si="12"/>
        <v>1597.4</v>
      </c>
    </row>
    <row r="36" spans="1:11" ht="14.25" customHeight="1">
      <c r="A36" s="16" t="s">
        <v>59</v>
      </c>
      <c r="B36" s="25">
        <f t="shared" ref="B36:K36" si="13">ROUND(B10*B25/1000,1)</f>
        <v>842.4</v>
      </c>
      <c r="C36" s="25">
        <f t="shared" si="13"/>
        <v>952.2</v>
      </c>
      <c r="D36" s="25">
        <f t="shared" si="13"/>
        <v>1054.8</v>
      </c>
      <c r="E36" s="25">
        <f t="shared" si="13"/>
        <v>1047.3</v>
      </c>
      <c r="F36" s="25">
        <f t="shared" si="13"/>
        <v>1040.5</v>
      </c>
      <c r="G36" s="25">
        <f t="shared" si="13"/>
        <v>1032.9000000000001</v>
      </c>
      <c r="H36" s="25">
        <f t="shared" si="13"/>
        <v>1025.3</v>
      </c>
      <c r="I36" s="25">
        <f t="shared" si="13"/>
        <v>1017.7</v>
      </c>
      <c r="J36" s="25">
        <f t="shared" si="13"/>
        <v>1010.1</v>
      </c>
      <c r="K36" s="25">
        <f t="shared" si="13"/>
        <v>1002.5</v>
      </c>
    </row>
    <row r="37" spans="1:11" ht="14.25" customHeight="1">
      <c r="A37" s="16" t="s">
        <v>60</v>
      </c>
      <c r="B37" s="25">
        <f t="shared" ref="B37:K37" si="14">ROUND(B11*B26/1000,1)</f>
        <v>715.8</v>
      </c>
      <c r="C37" s="25">
        <f t="shared" si="14"/>
        <v>802.2</v>
      </c>
      <c r="D37" s="25">
        <f t="shared" si="14"/>
        <v>882.9</v>
      </c>
      <c r="E37" s="25">
        <f t="shared" si="14"/>
        <v>876.4</v>
      </c>
      <c r="F37" s="25">
        <f t="shared" si="14"/>
        <v>870.8</v>
      </c>
      <c r="G37" s="25">
        <f t="shared" si="14"/>
        <v>864.5</v>
      </c>
      <c r="H37" s="25">
        <f t="shared" si="14"/>
        <v>858.2</v>
      </c>
      <c r="I37" s="25">
        <f t="shared" si="14"/>
        <v>851.7</v>
      </c>
      <c r="J37" s="25">
        <f t="shared" si="14"/>
        <v>845.4</v>
      </c>
      <c r="K37" s="25">
        <f t="shared" si="14"/>
        <v>839.1</v>
      </c>
    </row>
    <row r="38" spans="1:11" ht="14.25" customHeight="1">
      <c r="A38" s="16" t="s">
        <v>61</v>
      </c>
      <c r="B38" s="25">
        <f t="shared" ref="B38:K38" si="15">ROUND(B12*B27/1000,1)</f>
        <v>353.4</v>
      </c>
      <c r="C38" s="25">
        <f t="shared" si="15"/>
        <v>408.5</v>
      </c>
      <c r="D38" s="25">
        <f t="shared" si="15"/>
        <v>460.7</v>
      </c>
      <c r="E38" s="25">
        <f t="shared" si="15"/>
        <v>457.3</v>
      </c>
      <c r="F38" s="25">
        <f t="shared" si="15"/>
        <v>454.4</v>
      </c>
      <c r="G38" s="25">
        <f t="shared" si="15"/>
        <v>451</v>
      </c>
      <c r="H38" s="25">
        <f t="shared" si="15"/>
        <v>447.7</v>
      </c>
      <c r="I38" s="25">
        <f t="shared" si="15"/>
        <v>444.4</v>
      </c>
      <c r="J38" s="25">
        <f t="shared" si="15"/>
        <v>441</v>
      </c>
      <c r="K38" s="25">
        <f t="shared" si="15"/>
        <v>437.7</v>
      </c>
    </row>
    <row r="39" spans="1:11" ht="14.25" customHeight="1">
      <c r="A39" s="16" t="s">
        <v>62</v>
      </c>
      <c r="B39" s="25">
        <f t="shared" ref="B39:K39" si="16">ROUND(B13*B28/1000,1)</f>
        <v>67.099999999999994</v>
      </c>
      <c r="C39" s="25">
        <f t="shared" si="16"/>
        <v>82.3</v>
      </c>
      <c r="D39" s="25">
        <f t="shared" si="16"/>
        <v>97</v>
      </c>
      <c r="E39" s="25">
        <f t="shared" si="16"/>
        <v>96.4</v>
      </c>
      <c r="F39" s="25">
        <f t="shared" si="16"/>
        <v>95.7</v>
      </c>
      <c r="G39" s="25">
        <f t="shared" si="16"/>
        <v>94.9</v>
      </c>
      <c r="H39" s="25">
        <f t="shared" si="16"/>
        <v>94.3</v>
      </c>
      <c r="I39" s="25">
        <f t="shared" si="16"/>
        <v>93.5</v>
      </c>
      <c r="J39" s="25">
        <f t="shared" si="16"/>
        <v>92.9</v>
      </c>
      <c r="K39" s="25">
        <f t="shared" si="16"/>
        <v>92.3</v>
      </c>
    </row>
    <row r="40" spans="1:11" ht="14.25" customHeight="1">
      <c r="A40" s="16" t="s">
        <v>63</v>
      </c>
      <c r="B40" s="25">
        <f t="shared" ref="B40:K40" si="17">ROUND(B14*B29/1000,1)</f>
        <v>46.2</v>
      </c>
      <c r="C40" s="25">
        <f t="shared" si="17"/>
        <v>55.4</v>
      </c>
      <c r="D40" s="25">
        <f t="shared" si="17"/>
        <v>64.099999999999994</v>
      </c>
      <c r="E40" s="25">
        <f t="shared" si="17"/>
        <v>63.7</v>
      </c>
      <c r="F40" s="25">
        <f t="shared" si="17"/>
        <v>63.5</v>
      </c>
      <c r="G40" s="25">
        <f t="shared" si="17"/>
        <v>63</v>
      </c>
      <c r="H40" s="25">
        <f t="shared" si="17"/>
        <v>62.3</v>
      </c>
      <c r="I40" s="25">
        <f t="shared" si="17"/>
        <v>61.9</v>
      </c>
      <c r="J40" s="25">
        <f t="shared" si="17"/>
        <v>61.4</v>
      </c>
      <c r="K40" s="25">
        <f t="shared" si="17"/>
        <v>61</v>
      </c>
    </row>
    <row r="41" spans="1:11" ht="13.5" customHeight="1">
      <c r="A41" s="22" t="s">
        <v>64</v>
      </c>
      <c r="B41" s="25">
        <f t="shared" ref="B41:K41" si="18">SUM(B33:B40)</f>
        <v>8264.7999999999993</v>
      </c>
      <c r="C41" s="25">
        <f t="shared" si="18"/>
        <v>9307.9999999999982</v>
      </c>
      <c r="D41" s="25">
        <f t="shared" si="18"/>
        <v>10312.400000000001</v>
      </c>
      <c r="E41" s="25">
        <f t="shared" si="18"/>
        <v>10237.999999999998</v>
      </c>
      <c r="F41" s="25">
        <f t="shared" si="18"/>
        <v>10172.199999999999</v>
      </c>
      <c r="G41" s="25">
        <f t="shared" si="18"/>
        <v>10097.800000000001</v>
      </c>
      <c r="H41" s="25">
        <f t="shared" si="18"/>
        <v>10023.5</v>
      </c>
      <c r="I41" s="25">
        <f t="shared" si="18"/>
        <v>9949.0000000000018</v>
      </c>
      <c r="J41" s="25">
        <f t="shared" si="18"/>
        <v>9874.7999999999993</v>
      </c>
      <c r="K41" s="25">
        <f t="shared" si="18"/>
        <v>9800.7999999999993</v>
      </c>
    </row>
    <row r="42" spans="1:11" ht="13.5" customHeight="1">
      <c r="A42" s="26" t="s">
        <v>65</v>
      </c>
      <c r="B42" s="23">
        <f t="shared" ref="B42:K42" si="19">ROUND(B32+B41,0)</f>
        <v>14541</v>
      </c>
      <c r="C42" s="23">
        <f t="shared" si="19"/>
        <v>17093</v>
      </c>
      <c r="D42" s="23">
        <f t="shared" si="19"/>
        <v>19600</v>
      </c>
      <c r="E42" s="23">
        <f t="shared" si="19"/>
        <v>19454</v>
      </c>
      <c r="F42" s="23">
        <f t="shared" si="19"/>
        <v>19334</v>
      </c>
      <c r="G42" s="23">
        <f t="shared" si="19"/>
        <v>19188</v>
      </c>
      <c r="H42" s="23">
        <f t="shared" si="19"/>
        <v>19042</v>
      </c>
      <c r="I42" s="23">
        <f t="shared" si="19"/>
        <v>18913</v>
      </c>
      <c r="J42" s="23">
        <f t="shared" si="19"/>
        <v>18767</v>
      </c>
      <c r="K42" s="23">
        <f t="shared" si="19"/>
        <v>18621</v>
      </c>
    </row>
    <row r="43" spans="1:11" ht="13.5" customHeight="1">
      <c r="A43" s="21"/>
      <c r="B43" s="21"/>
      <c r="C43" s="21"/>
      <c r="D43" s="21"/>
      <c r="E43" s="21"/>
      <c r="F43" s="21"/>
      <c r="G43" s="21"/>
      <c r="H43" s="21"/>
      <c r="I43" s="21"/>
      <c r="J43" s="21"/>
      <c r="K43" s="21"/>
    </row>
    <row r="44" spans="1:11" ht="14.25" customHeight="1">
      <c r="A44" s="27" t="s">
        <v>66</v>
      </c>
      <c r="B44" s="21"/>
      <c r="C44" s="21"/>
      <c r="D44" s="21"/>
      <c r="E44" s="21"/>
      <c r="F44" s="21"/>
      <c r="G44" s="21"/>
      <c r="H44" s="21"/>
      <c r="I44" s="21"/>
      <c r="J44" s="21"/>
      <c r="K44" s="21"/>
    </row>
    <row r="45" spans="1:11" ht="13.5" customHeight="1">
      <c r="A45" s="28" t="s">
        <v>67</v>
      </c>
      <c r="B45" s="23">
        <v>15802</v>
      </c>
      <c r="C45" s="21"/>
      <c r="D45" s="21"/>
      <c r="E45" s="21"/>
      <c r="F45" s="21"/>
      <c r="G45" s="21"/>
      <c r="H45" s="21"/>
      <c r="I45" s="21"/>
      <c r="J45" s="21"/>
      <c r="K45" s="21"/>
    </row>
    <row r="46" spans="1:11" ht="13.5" customHeight="1">
      <c r="A46" s="28" t="s">
        <v>68</v>
      </c>
      <c r="B46" s="23">
        <v>15377</v>
      </c>
      <c r="C46" s="21"/>
      <c r="D46" s="21"/>
      <c r="E46" s="21"/>
      <c r="F46" s="21"/>
      <c r="G46" s="21"/>
      <c r="H46" s="21"/>
      <c r="I46" s="21"/>
      <c r="J46" s="21"/>
      <c r="K46" s="21"/>
    </row>
    <row r="47" spans="1:11" ht="14.25" customHeight="1">
      <c r="A47" s="29" t="s">
        <v>69</v>
      </c>
      <c r="B47" s="30">
        <f>B45/B46</f>
        <v>1.0276386811471678</v>
      </c>
      <c r="C47" s="21"/>
      <c r="D47" s="21"/>
      <c r="E47" s="21"/>
      <c r="F47" s="21"/>
      <c r="G47" s="21"/>
      <c r="H47" s="21"/>
      <c r="I47" s="21"/>
      <c r="J47" s="21"/>
      <c r="K47" s="21"/>
    </row>
    <row r="48" spans="1:11" ht="13.5" customHeight="1">
      <c r="A48" s="21"/>
      <c r="B48" s="21"/>
      <c r="C48" s="21"/>
      <c r="D48" s="21"/>
      <c r="E48" s="21"/>
      <c r="F48" s="21"/>
      <c r="G48" s="21"/>
      <c r="H48" s="21"/>
      <c r="I48" s="21"/>
      <c r="J48" s="21"/>
      <c r="K48" s="21"/>
    </row>
    <row r="49" spans="1:11" ht="15" customHeight="1">
      <c r="A49" s="31" t="s">
        <v>70</v>
      </c>
      <c r="B49" s="32">
        <f t="shared" ref="B49:K49" si="20">ROUND(B42*$B$47,0)</f>
        <v>14943</v>
      </c>
      <c r="C49" s="32">
        <f t="shared" si="20"/>
        <v>17565</v>
      </c>
      <c r="D49" s="32">
        <f t="shared" si="20"/>
        <v>20142</v>
      </c>
      <c r="E49" s="32">
        <f t="shared" si="20"/>
        <v>19992</v>
      </c>
      <c r="F49" s="32">
        <f t="shared" si="20"/>
        <v>19868</v>
      </c>
      <c r="G49" s="32">
        <f t="shared" si="20"/>
        <v>19718</v>
      </c>
      <c r="H49" s="32">
        <f t="shared" si="20"/>
        <v>19568</v>
      </c>
      <c r="I49" s="32">
        <f t="shared" si="20"/>
        <v>19436</v>
      </c>
      <c r="J49" s="32">
        <f t="shared" si="20"/>
        <v>19286</v>
      </c>
      <c r="K49" s="32">
        <f t="shared" si="20"/>
        <v>19136</v>
      </c>
    </row>
    <row r="50" spans="1:11" ht="13.5" customHeight="1"/>
    <row r="51" spans="1:11" ht="16.5" customHeight="1">
      <c r="A51" s="33" t="s">
        <v>71</v>
      </c>
      <c r="B51" s="34" t="str">
        <f t="shared" ref="B51:K51" si="21">B5</f>
        <v>令和7年度</v>
      </c>
      <c r="C51" s="34" t="str">
        <f t="shared" si="21"/>
        <v>令和8年度</v>
      </c>
      <c r="D51" s="34" t="str">
        <f t="shared" si="21"/>
        <v>令和9年度</v>
      </c>
      <c r="E51" s="34" t="str">
        <f t="shared" si="21"/>
        <v>令和10年度</v>
      </c>
      <c r="F51" s="34" t="str">
        <f t="shared" si="21"/>
        <v>令和11年度</v>
      </c>
      <c r="G51" s="34" t="str">
        <f t="shared" si="21"/>
        <v>令和12年度</v>
      </c>
      <c r="H51" s="34" t="str">
        <f t="shared" si="21"/>
        <v>令和13年度</v>
      </c>
      <c r="I51" s="34" t="str">
        <f t="shared" si="21"/>
        <v>令和14年度</v>
      </c>
      <c r="J51" s="34" t="str">
        <f t="shared" si="21"/>
        <v>令和15年度</v>
      </c>
      <c r="K51" s="34" t="str">
        <f t="shared" si="21"/>
        <v>令和16年度</v>
      </c>
    </row>
    <row r="52" spans="1:11" ht="16.5" customHeight="1">
      <c r="A52" s="35" t="s">
        <v>72</v>
      </c>
      <c r="B52" s="36">
        <f>ROUND((ROUND(料金テーブル!$B$5*B17*12/1000,1)+ROUND(料金テーブル!$B$6*B22/1000,1)+ROUND(料金テーブル!$B$7*B23/1000,1)+ROUND(料金テーブル!$B$8*B24/1000,1)+ROUND(料金テーブル!$B$9*B25/1000,1)+ROUND(料金テーブル!$B$10*B26/1000,1)+ROUND(料金テーブル!$B$11*B27/1000,1)+ROUND(料金テーブル!$B$12*B28/1000,1)+ROUND(料金テーブル!$B$13*B29/1000,1))*$B$47,0)</f>
        <v>14943</v>
      </c>
      <c r="C52" s="36">
        <f>ROUND((ROUND(ROUND((料金テーブル!$B$5+料金テーブル!$C$5)/2,0)*C17*12/1000,1)+ROUND(ROUND((料金テーブル!$B$6+料金テーブル!$C$6)/2,0)*C22/1000,1)+ROUND(ROUND((料金テーブル!$B$7+料金テーブル!$C$7)/2,0)*C23/1000,1)+ROUND(ROUND((料金テーブル!$B$8+料金テーブル!$C$8)/2,0)*C24/1000,1)+ROUND(ROUND((料金テーブル!$B$9+料金テーブル!$C$9)/2,0)*C25/1000,1)+ROUND(ROUND((料金テーブル!$B$10+料金テーブル!$C$10)/2,0)*C26/1000,1)+ROUND(ROUND((料金テーブル!$B$11+料金テーブル!$C$11)/2,0)*C27/1000,1)+ROUND(ROUND((料金テーブル!$B$12+料金テーブル!$C$12)/2,0)*C28/1000,1)+ROUND(ROUND((料金テーブル!$B$13+料金テーブル!$C$13)/2,0)*C29/1000,1))*$B$47,0)</f>
        <v>17565</v>
      </c>
      <c r="D52" s="36">
        <f>ROUND((ROUND(料金テーブル!$C$5*D17*12/1000,1)+ROUND(料金テーブル!$C$6*D22/1000,1)+ROUND(料金テーブル!$C$7*D23/1000,1)+ROUND(料金テーブル!$C$8*D24/1000,1)+ROUND(料金テーブル!$C$9*D25/1000,1)+ROUND(料金テーブル!$C$10*D26/1000,1)+ROUND(料金テーブル!$C$11*D27/1000,1)+ROUND(料金テーブル!$C$12*D28/1000,1)+ROUND(料金テーブル!$C$13*D29/1000,1))*$B$47,0)</f>
        <v>20142</v>
      </c>
      <c r="E52" s="36">
        <f>ROUND((ROUND(料金テーブル!$C$5*E17*12/1000,1)+ROUND(料金テーブル!$C$6*E22/1000,1)+ROUND(料金テーブル!$C$7*E23/1000,1)+ROUND(料金テーブル!$C$8*E24/1000,1)+ROUND(料金テーブル!$C$9*E25/1000,1)+ROUND(料金テーブル!$C$10*E26/1000,1)+ROUND(料金テーブル!$C$11*E27/1000,1)+ROUND(料金テーブル!$C$12*E28/1000,1)+ROUND(料金テーブル!$C$13*E29/1000,1))*$B$47,0)</f>
        <v>19992</v>
      </c>
      <c r="F52" s="36">
        <f>ROUND((ROUND(料金テーブル!$C$5*F17*12/1000,1)+ROUND(料金テーブル!$C$6*F22/1000,1)+ROUND(料金テーブル!$C$7*F23/1000,1)+ROUND(料金テーブル!$C$8*F24/1000,1)+ROUND(料金テーブル!$C$9*F25/1000,1)+ROUND(料金テーブル!$C$10*F26/1000,1)+ROUND(料金テーブル!$C$11*F27/1000,1)+ROUND(料金テーブル!$C$12*F28/1000,1)+ROUND(料金テーブル!$C$13*F29/1000,1))*$B$47,0)</f>
        <v>19869</v>
      </c>
      <c r="G52" s="36">
        <f>ROUND((ROUND(料金テーブル!$C$5*G17*12/1000,1)+ROUND(料金テーブル!$C$6*G22/1000,1)+ROUND(料金テーブル!$C$7*G23/1000,1)+ROUND(料金テーブル!$C$8*G24/1000,1)+ROUND(料金テーブル!$C$9*G25/1000,1)+ROUND(料金テーブル!$C$10*G26/1000,1)+ROUND(料金テーブル!$C$11*G27/1000,1)+ROUND(料金テーブル!$C$12*G28/1000,1)+ROUND(料金テーブル!$C$13*G29/1000,1))*$B$47,0)</f>
        <v>19718</v>
      </c>
      <c r="H52" s="36">
        <f>ROUND((ROUND(料金テーブル!$C$5*H17*12/1000,1)+ROUND(料金テーブル!$C$6*H22/1000,1)+ROUND(料金テーブル!$C$7*H23/1000,1)+ROUND(料金テーブル!$C$8*H24/1000,1)+ROUND(料金テーブル!$C$9*H25/1000,1)+ROUND(料金テーブル!$C$10*H26/1000,1)+ROUND(料金テーブル!$C$11*H27/1000,1)+ROUND(料金テーブル!$C$12*H28/1000,1)+ROUND(料金テーブル!$C$13*H29/1000,1))*$B$47,0)</f>
        <v>19568</v>
      </c>
      <c r="I52" s="36">
        <f>ROUND((ROUND(料金テーブル!$C$5*I17*12/1000,1)+ROUND(料金テーブル!$C$6*I22/1000,1)+ROUND(料金テーブル!$C$7*I23/1000,1)+ROUND(料金テーブル!$C$8*I24/1000,1)+ROUND(料金テーブル!$C$9*I25/1000,1)+ROUND(料金テーブル!$C$10*I26/1000,1)+ROUND(料金テーブル!$C$11*I27/1000,1)+ROUND(料金テーブル!$C$12*I28/1000,1)+ROUND(料金テーブル!$C$13*I29/1000,1))*$B$47,0)</f>
        <v>19436</v>
      </c>
      <c r="J52" s="36">
        <f>ROUND((ROUND(料金テーブル!$C$5*J17*12/1000,1)+ROUND(料金テーブル!$C$6*J22/1000,1)+ROUND(料金テーブル!$C$7*J23/1000,1)+ROUND(料金テーブル!$C$8*J24/1000,1)+ROUND(料金テーブル!$C$9*J25/1000,1)+ROUND(料金テーブル!$C$10*J26/1000,1)+ROUND(料金テーブル!$C$11*J27/1000,1)+ROUND(料金テーブル!$C$12*J28/1000,1)+ROUND(料金テーブル!$C$13*J29/1000,1))*$B$47,0)</f>
        <v>19285</v>
      </c>
      <c r="K52" s="36">
        <f>ROUND((ROUND(料金テーブル!$C$5*K17*12/1000,1)+ROUND(料金テーブル!$C$6*K22/1000,1)+ROUND(料金テーブル!$C$7*K23/1000,1)+ROUND(料金テーブル!$C$8*K24/1000,1)+ROUND(料金テーブル!$C$9*K25/1000,1)+ROUND(料金テーブル!$C$10*K26/1000,1)+ROUND(料金テーブル!$C$11*K27/1000,1)+ROUND(料金テーブル!$C$12*K28/1000,1)+ROUND(料金テーブル!$C$13*K29/1000,1))*$B$47,0)</f>
        <v>19135</v>
      </c>
    </row>
    <row r="53" spans="1:11" ht="16.5" customHeight="1">
      <c r="A53" s="35" t="s">
        <v>73</v>
      </c>
      <c r="B53" s="36">
        <f>ROUND((ROUND(料金テーブル!$B$5*B17*12/1000,1)+ROUND(料金テーブル!$B$6*B22/1000,1)+ROUND(料金テーブル!$B$7*B23/1000,1)+ROUND(料金テーブル!$B$8*B24/1000,1)+ROUND(料金テーブル!$B$9*B25/1000,1)+ROUND(料金テーブル!$B$10*B26/1000,1)+ROUND(料金テーブル!$B$11*B27/1000,1)+ROUND(料金テーブル!$B$12*B28/1000,1)+ROUND(料金テーブル!$B$13*B29/1000,1))*$B$47,0)</f>
        <v>14943</v>
      </c>
      <c r="C53" s="36">
        <f>ROUND((ROUND('段階単価(3か年)'!$B$6*C17*6/1000,1)+ROUND('段階単価(3か年)'!$B$7*C22/1000,1)+ROUND('段階単価(3か年)'!$B$8*C23/1000,1)+ROUND('段階単価(3か年)'!$B$9*C24/1000,1)+ROUND('段階単価(3か年)'!$B$10*C25/1000,1)+ROUND('段階単価(3か年)'!$B$11*C26/1000,1)+ROUND('段階単価(3か年)'!$B$12*C27/1000,1)+ROUND('段階単価(3か年)'!$B$13*C28/1000,1)+ROUND('段階単価(3か年)'!$B$14*C29/1000,1))*$B$47,0)</f>
        <v>12807</v>
      </c>
      <c r="D53" s="36">
        <f>ROUND((ROUND('段階単価(3か年)'!$C$6*D17*6/1000,1)+ROUND('段階単価(3か年)'!$C$7*D22/1000,1)+ROUND('段階単価(3か年)'!$C$8*D23/1000,1)+ROUND('段階単価(3か年)'!$C$9*D24/1000,1)+ROUND('段階単価(3か年)'!$C$10*D25/1000,1)+ROUND('段階単価(3か年)'!$C$11*D26/1000,1)+ROUND('段階単価(3か年)'!$C$12*D27/1000,1)+ROUND('段階単価(3か年)'!$C$13*D28/1000,1)+ROUND('段階単価(3か年)'!$C$14*D29/1000,1))*$B$47,0)</f>
        <v>13895</v>
      </c>
      <c r="E53" s="36">
        <f>ROUND((ROUND(料金テーブル!$C$5*E17*12/1000,1)+ROUND(料金テーブル!$C$6*E22/1000,1)+ROUND(料金テーブル!$C$7*E23/1000,1)+ROUND(料金テーブル!$C$8*E24/1000,1)+ROUND(料金テーブル!$C$9*E25/1000,1)+ROUND(料金テーブル!$C$10*E26/1000,1)+ROUND(料金テーブル!$C$11*E27/1000,1)+ROUND(料金テーブル!$C$12*E28/1000,1)+ROUND(料金テーブル!$C$13*E29/1000,1))*$B$47,0)</f>
        <v>19992</v>
      </c>
      <c r="F53" s="36">
        <f>ROUND((ROUND(料金テーブル!$C$5*F17*12/1000,1)+ROUND(料金テーブル!$C$6*F22/1000,1)+ROUND(料金テーブル!$C$7*F23/1000,1)+ROUND(料金テーブル!$C$8*F24/1000,1)+ROUND(料金テーブル!$C$9*F25/1000,1)+ROUND(料金テーブル!$C$10*F26/1000,1)+ROUND(料金テーブル!$C$11*F27/1000,1)+ROUND(料金テーブル!$C$12*F28/1000,1)+ROUND(料金テーブル!$C$13*F29/1000,1))*$B$47,0)</f>
        <v>19869</v>
      </c>
      <c r="G53" s="36">
        <f>ROUND((ROUND(料金テーブル!$C$5*G17*12/1000,1)+ROUND(料金テーブル!$C$6*G22/1000,1)+ROUND(料金テーブル!$C$7*G23/1000,1)+ROUND(料金テーブル!$C$8*G24/1000,1)+ROUND(料金テーブル!$C$9*G25/1000,1)+ROUND(料金テーブル!$C$10*G26/1000,1)+ROUND(料金テーブル!$C$11*G27/1000,1)+ROUND(料金テーブル!$C$12*G28/1000,1)+ROUND(料金テーブル!$C$13*G29/1000,1))*$B$47,0)</f>
        <v>19718</v>
      </c>
      <c r="H53" s="36">
        <f>ROUND((ROUND(料金テーブル!$C$5*H17*12/1000,1)+ROUND(料金テーブル!$C$6*H22/1000,1)+ROUND(料金テーブル!$C$7*H23/1000,1)+ROUND(料金テーブル!$C$8*H24/1000,1)+ROUND(料金テーブル!$C$9*H25/1000,1)+ROUND(料金テーブル!$C$10*H26/1000,1)+ROUND(料金テーブル!$C$11*H27/1000,1)+ROUND(料金テーブル!$C$12*H28/1000,1)+ROUND(料金テーブル!$C$13*H29/1000,1))*$B$47,0)</f>
        <v>19568</v>
      </c>
      <c r="I53" s="36">
        <f>ROUND((ROUND(料金テーブル!$C$5*I17*12/1000,1)+ROUND(料金テーブル!$C$6*I22/1000,1)+ROUND(料金テーブル!$C$7*I23/1000,1)+ROUND(料金テーブル!$C$8*I24/1000,1)+ROUND(料金テーブル!$C$9*I25/1000,1)+ROUND(料金テーブル!$C$10*I26/1000,1)+ROUND(料金テーブル!$C$11*I27/1000,1)+ROUND(料金テーブル!$C$12*I28/1000,1)+ROUND(料金テーブル!$C$13*I29/1000,1))*$B$47,0)</f>
        <v>19436</v>
      </c>
      <c r="J53" s="36">
        <f>ROUND((ROUND(料金テーブル!$C$5*J17*12/1000,1)+ROUND(料金テーブル!$C$6*J22/1000,1)+ROUND(料金テーブル!$C$7*J23/1000,1)+ROUND(料金テーブル!$C$8*J24/1000,1)+ROUND(料金テーブル!$C$9*J25/1000,1)+ROUND(料金テーブル!$C$10*J26/1000,1)+ROUND(料金テーブル!$C$11*J27/1000,1)+ROUND(料金テーブル!$C$12*J28/1000,1)+ROUND(料金テーブル!$C$13*J29/1000,1))*$B$47,0)</f>
        <v>19285</v>
      </c>
      <c r="K53" s="36">
        <f>ROUND((ROUND(料金テーブル!$C$5*K17*12/1000,1)+ROUND(料金テーブル!$C$6*K22/1000,1)+ROUND(料金テーブル!$C$7*K23/1000,1)+ROUND(料金テーブル!$C$8*K24/1000,1)+ROUND(料金テーブル!$C$9*K25/1000,1)+ROUND(料金テーブル!$C$10*K26/1000,1)+ROUND(料金テーブル!$C$11*K27/1000,1)+ROUND(料金テーブル!$C$12*K28/1000,1)+ROUND(料金テーブル!$C$13*K29/1000,1))*$B$47,0)</f>
        <v>19135</v>
      </c>
    </row>
    <row r="54" spans="1:11" ht="16.5" customHeight="1">
      <c r="A54" s="35" t="s">
        <v>74</v>
      </c>
      <c r="B54" s="36">
        <f>ROUND((ROUND(料金テーブル!$B$5*B17*12/1000,1)+ROUND(料金テーブル!$B$6*B22/1000,1)+ROUND(料金テーブル!$B$7*B23/1000,1)+ROUND(料金テーブル!$B$8*B24/1000,1)+ROUND(料金テーブル!$B$9*B25/1000,1)+ROUND(料金テーブル!$B$10*B26/1000,1)+ROUND(料金テーブル!$B$11*B27/1000,1)+ROUND(料金テーブル!$B$12*B28/1000,1)+ROUND(料金テーブル!$B$13*B29/1000,1))*$B$47,0)</f>
        <v>14943</v>
      </c>
      <c r="C54" s="36">
        <f>ROUND((ROUND(ROUND((料金テーブル!$B$5+料金テーブル!$D$5)/2,0)*C17*12/1000,1)+ROUND(ROUND((料金テーブル!$B$6+料金テーブル!$D$6)/2,0)*C22/1000,1)+ROUND(ROUND((料金テーブル!$B$7+料金テーブル!$D$7)/2,0)*C23/1000,1)+ROUND(ROUND((料金テーブル!$B$8+料金テーブル!$D$8)/2,0)*C24/1000,1)+ROUND(ROUND((料金テーブル!$B$9+料金テーブル!$D$9)/2,0)*C25/1000,1)+ROUND(ROUND((料金テーブル!$B$10+料金テーブル!$D$10)/2,0)*C26/1000,1)+ROUND(ROUND((料金テーブル!$B$11+料金テーブル!$D$11)/2,0)*C27/1000,1)+ROUND(ROUND((料金テーブル!$B$12+料金テーブル!$D$12)/2,0)*C28/1000,1)+ROUND(ROUND((料金テーブル!$B$13+料金テーブル!$D$13)/2,0)*C29/1000,1))*$B$47,0)</f>
        <v>17616</v>
      </c>
      <c r="D54" s="36">
        <f>ROUND((ROUND(料金テーブル!$D$5*D17*12/1000,1)+ROUND(料金テーブル!$D$6*D22/1000,1)+ROUND(料金テーブル!$D$7*D23/1000,1)+ROUND(料金テーブル!$D$8*D24/1000,1)+ROUND(料金テーブル!$D$9*D25/1000,1)+ROUND(料金テーブル!$D$10*D26/1000,1)+ROUND(料金テーブル!$D$11*D27/1000,1)+ROUND(料金テーブル!$D$12*D28/1000,1)+ROUND(料金テーブル!$D$13*D29/1000,1))*$B$47,0)</f>
        <v>20241</v>
      </c>
      <c r="E54" s="36">
        <f>ROUND((ROUND(料金テーブル!$D$5*E17*12/1000,1)+ROUND(料金テーブル!$D$6*E22/1000,1)+ROUND(料金テーブル!$D$7*E23/1000,1)+ROUND(料金テーブル!$D$8*E24/1000,1)+ROUND(料金テーブル!$D$9*E25/1000,1)+ROUND(料金テーブル!$D$10*E26/1000,1)+ROUND(料金テーブル!$D$11*E27/1000,1)+ROUND(料金テーブル!$D$12*E28/1000,1)+ROUND(料金テーブル!$D$13*E29/1000,1))*$B$47,0)</f>
        <v>20091</v>
      </c>
      <c r="F54" s="36">
        <f>ROUND((ROUND(料金テーブル!$D$5*F17*12/1000,1)+ROUND(料金テーブル!$D$6*F22/1000,1)+ROUND(料金テーブル!$D$7*F23/1000,1)+ROUND(料金テーブル!$D$8*F24/1000,1)+ROUND(料金テーブル!$D$9*F25/1000,1)+ROUND(料金テーブル!$D$10*F26/1000,1)+ROUND(料金テーブル!$D$11*F27/1000,1)+ROUND(料金テーブル!$D$12*F28/1000,1)+ROUND(料金テーブル!$D$13*F29/1000,1))*$B$47,0)</f>
        <v>19965</v>
      </c>
      <c r="G54" s="36">
        <f>ROUND((ROUND(料金テーブル!$D$5*G17*12/1000,1)+ROUND(料金テーブル!$D$6*G22/1000,1)+ROUND(料金テーブル!$D$7*G23/1000,1)+ROUND(料金テーブル!$D$8*G24/1000,1)+ROUND(料金テーブル!$D$9*G25/1000,1)+ROUND(料金テーブル!$D$10*G26/1000,1)+ROUND(料金テーブル!$D$11*G27/1000,1)+ROUND(料金テーブル!$D$12*G28/1000,1)+ROUND(料金テーブル!$D$13*G29/1000,1))*$B$47,0)</f>
        <v>19816</v>
      </c>
      <c r="H54" s="36">
        <f>ROUND((ROUND(料金テーブル!$D$5*H17*12/1000,1)+ROUND(料金テーブル!$D$6*H22/1000,1)+ROUND(料金テーブル!$D$7*H23/1000,1)+ROUND(料金テーブル!$D$8*H24/1000,1)+ROUND(料金テーブル!$D$9*H25/1000,1)+ROUND(料金テーブル!$D$10*H26/1000,1)+ROUND(料金テーブル!$D$11*H27/1000,1)+ROUND(料金テーブル!$D$12*H28/1000,1)+ROUND(料金テーブル!$D$13*H29/1000,1))*$B$47,0)</f>
        <v>19665</v>
      </c>
      <c r="I54" s="36">
        <f>ROUND((ROUND(料金テーブル!$D$5*I17*12/1000,1)+ROUND(料金テーブル!$D$6*I22/1000,1)+ROUND(料金テーブル!$D$7*I23/1000,1)+ROUND(料金テーブル!$D$8*I24/1000,1)+ROUND(料金テーブル!$D$9*I25/1000,1)+ROUND(料金テーブル!$D$10*I26/1000,1)+ROUND(料金テーブル!$D$11*I27/1000,1)+ROUND(料金テーブル!$D$12*I28/1000,1)+ROUND(料金テーブル!$D$13*I29/1000,1))*$B$47,0)</f>
        <v>19530</v>
      </c>
      <c r="J54" s="36">
        <f>ROUND((ROUND(料金テーブル!$D$5*J17*12/1000,1)+ROUND(料金テーブル!$D$6*J22/1000,1)+ROUND(料金テーブル!$D$7*J23/1000,1)+ROUND(料金テーブル!$D$8*J24/1000,1)+ROUND(料金テーブル!$D$9*J25/1000,1)+ROUND(料金テーブル!$D$10*J26/1000,1)+ROUND(料金テーブル!$D$11*J27/1000,1)+ROUND(料金テーブル!$D$12*J28/1000,1)+ROUND(料金テーブル!$D$13*J29/1000,1))*$B$47,0)</f>
        <v>19380</v>
      </c>
      <c r="K54" s="36">
        <f>ROUND((ROUND(料金テーブル!$D$5*K17*12/1000,1)+ROUND(料金テーブル!$D$6*K22/1000,1)+ROUND(料金テーブル!$D$7*K23/1000,1)+ROUND(料金テーブル!$D$8*K24/1000,1)+ROUND(料金テーブル!$D$9*K25/1000,1)+ROUND(料金テーブル!$D$10*K26/1000,1)+ROUND(料金テーブル!$D$11*K27/1000,1)+ROUND(料金テーブル!$D$12*K28/1000,1)+ROUND(料金テーブル!$D$13*K29/1000,1))*$B$47,0)</f>
        <v>19231</v>
      </c>
    </row>
    <row r="55" spans="1:11" ht="16.5" customHeight="1">
      <c r="A55" s="35" t="s">
        <v>75</v>
      </c>
      <c r="B55" s="36">
        <f>ROUND((ROUND(料金テーブル!$B$5*B17*12/1000,1)+ROUND(料金テーブル!$B$6*B22/1000,1)+ROUND(料金テーブル!$B$7*B23/1000,1)+ROUND(料金テーブル!$B$8*B24/1000,1)+ROUND(料金テーブル!$B$9*B25/1000,1)+ROUND(料金テーブル!$B$10*B26/1000,1)+ROUND(料金テーブル!$B$11*B27/1000,1)+ROUND(料金テーブル!$B$12*B28/1000,1)+ROUND(料金テーブル!$B$13*B29/1000,1))*$B$47,0)</f>
        <v>14943</v>
      </c>
      <c r="C55" s="36">
        <f>ROUND((ROUND('段階単価(3か年)'!$B$18*C17*6/1000,1)+ROUND('段階単価(3か年)'!$B$19*C22/1000,1)+ROUND('段階単価(3か年)'!$B$20*C23/1000,1)+ROUND('段階単価(3か年)'!$B$21*C24/1000,1)+ROUND('段階単価(3か年)'!$B$22*C25/1000,1)+ROUND('段階単価(3か年)'!$B$23*C26/1000,1)+ROUND('段階単価(3か年)'!$B$24*C27/1000,1)+ROUND('段階単価(3か年)'!$B$25*C28/1000,1)+ROUND('段階単価(3か年)'!$B$26*C29/1000,1))*$B$47,0)</f>
        <v>13161</v>
      </c>
      <c r="D55" s="36">
        <f>ROUND((ROUND('段階単価(3か年)'!$C$18*D17*6/1000,1)+ROUND('段階単価(3か年)'!$C$19*D22/1000,1)+ROUND('段階単価(3か年)'!$C$20*D23/1000,1)+ROUND('段階単価(3か年)'!$C$21*D24/1000,1)+ROUND('段階単価(3か年)'!$C$22*D25/1000,1)+ROUND('段階単価(3か年)'!$C$23*D26/1000,1)+ROUND('段階単価(3か年)'!$C$24*D27/1000,1)+ROUND('段階単価(3か年)'!$C$25*D28/1000,1)+ROUND('段階単価(3か年)'!$C$26*D29/1000,1))*$B$47,0)</f>
        <v>14597</v>
      </c>
      <c r="E55" s="36">
        <f>ROUND((ROUND(料金テーブル!$D$5*E17*12/1000,1)+ROUND(料金テーブル!$D$6*E22/1000,1)+ROUND(料金テーブル!$D$7*E23/1000,1)+ROUND(料金テーブル!$D$8*E24/1000,1)+ROUND(料金テーブル!$D$9*E25/1000,1)+ROUND(料金テーブル!$D$10*E26/1000,1)+ROUND(料金テーブル!$D$11*E27/1000,1)+ROUND(料金テーブル!$D$12*E28/1000,1)+ROUND(料金テーブル!$D$13*E29/1000,1))*$B$47,0)</f>
        <v>20091</v>
      </c>
      <c r="F55" s="36">
        <f>ROUND((ROUND(料金テーブル!$D$5*F17*12/1000,1)+ROUND(料金テーブル!$D$6*F22/1000,1)+ROUND(料金テーブル!$D$7*F23/1000,1)+ROUND(料金テーブル!$D$8*F24/1000,1)+ROUND(料金テーブル!$D$9*F25/1000,1)+ROUND(料金テーブル!$D$10*F26/1000,1)+ROUND(料金テーブル!$D$11*F27/1000,1)+ROUND(料金テーブル!$D$12*F28/1000,1)+ROUND(料金テーブル!$D$13*F29/1000,1))*$B$47,0)</f>
        <v>19965</v>
      </c>
      <c r="G55" s="36">
        <f>ROUND((ROUND(料金テーブル!$D$5*G17*12/1000,1)+ROUND(料金テーブル!$D$6*G22/1000,1)+ROUND(料金テーブル!$D$7*G23/1000,1)+ROUND(料金テーブル!$D$8*G24/1000,1)+ROUND(料金テーブル!$D$9*G25/1000,1)+ROUND(料金テーブル!$D$10*G26/1000,1)+ROUND(料金テーブル!$D$11*G27/1000,1)+ROUND(料金テーブル!$D$12*G28/1000,1)+ROUND(料金テーブル!$D$13*G29/1000,1))*$B$47,0)</f>
        <v>19816</v>
      </c>
      <c r="H55" s="36">
        <f>ROUND((ROUND(料金テーブル!$D$5*H17*12/1000,1)+ROUND(料金テーブル!$D$6*H22/1000,1)+ROUND(料金テーブル!$D$7*H23/1000,1)+ROUND(料金テーブル!$D$8*H24/1000,1)+ROUND(料金テーブル!$D$9*H25/1000,1)+ROUND(料金テーブル!$D$10*H26/1000,1)+ROUND(料金テーブル!$D$11*H27/1000,1)+ROUND(料金テーブル!$D$12*H28/1000,1)+ROUND(料金テーブル!$D$13*H29/1000,1))*$B$47,0)</f>
        <v>19665</v>
      </c>
      <c r="I55" s="36">
        <f>ROUND((ROUND(料金テーブル!$D$5*I17*12/1000,1)+ROUND(料金テーブル!$D$6*I22/1000,1)+ROUND(料金テーブル!$D$7*I23/1000,1)+ROUND(料金テーブル!$D$8*I24/1000,1)+ROUND(料金テーブル!$D$9*I25/1000,1)+ROUND(料金テーブル!$D$10*I26/1000,1)+ROUND(料金テーブル!$D$11*I27/1000,1)+ROUND(料金テーブル!$D$12*I28/1000,1)+ROUND(料金テーブル!$D$13*I29/1000,1))*$B$47,0)</f>
        <v>19530</v>
      </c>
      <c r="J55" s="36">
        <f>ROUND((ROUND(料金テーブル!$D$5*J17*12/1000,1)+ROUND(料金テーブル!$D$6*J22/1000,1)+ROUND(料金テーブル!$D$7*J23/1000,1)+ROUND(料金テーブル!$D$8*J24/1000,1)+ROUND(料金テーブル!$D$9*J25/1000,1)+ROUND(料金テーブル!$D$10*J26/1000,1)+ROUND(料金テーブル!$D$11*J27/1000,1)+ROUND(料金テーブル!$D$12*J28/1000,1)+ROUND(料金テーブル!$D$13*J29/1000,1))*$B$47,0)</f>
        <v>19380</v>
      </c>
      <c r="K55" s="36">
        <f>ROUND((ROUND(料金テーブル!$D$5*K17*12/1000,1)+ROUND(料金テーブル!$D$6*K22/1000,1)+ROUND(料金テーブル!$D$7*K23/1000,1)+ROUND(料金テーブル!$D$8*K24/1000,1)+ROUND(料金テーブル!$D$9*K25/1000,1)+ROUND(料金テーブル!$D$10*K26/1000,1)+ROUND(料金テーブル!$D$11*K27/1000,1)+ROUND(料金テーブル!$D$12*K28/1000,1)+ROUND(料金テーブル!$D$13*K29/1000,1))*$B$47,0)</f>
        <v>19231</v>
      </c>
    </row>
    <row r="56" spans="1:11" ht="16.5" customHeight="1">
      <c r="A56" s="35" t="s">
        <v>76</v>
      </c>
      <c r="B56" s="36">
        <f>ROUND((ROUND(料金テーブル!$B$5*B17*12/1000,1)+ROUND(料金テーブル!$B$6*B22/1000,1)+ROUND(料金テーブル!$B$7*B23/1000,1)+ROUND(料金テーブル!$B$8*B24/1000,1)+ROUND(料金テーブル!$B$9*B25/1000,1)+ROUND(料金テーブル!$B$10*B26/1000,1)+ROUND(料金テーブル!$B$11*B27/1000,1)+ROUND(料金テーブル!$B$12*B28/1000,1)+ROUND(料金テーブル!$B$13*B29/1000,1))*$B$47,0)</f>
        <v>14943</v>
      </c>
      <c r="C56" s="36">
        <f>ROUND((ROUND(ROUND((料金テーブル!$B$5+料金テーブル!$E$5)/2,0)*C17*12/1000,1)+ROUND(ROUND((料金テーブル!$B$6+料金テーブル!$E$6)/2,0)*C22/1000,1)+ROUND(ROUND((料金テーブル!$B$7+料金テーブル!$E$7)/2,0)*C23/1000,1)+ROUND(ROUND((料金テーブル!$B$8+料金テーブル!$E$8)/2,0)*C24/1000,1)+ROUND(ROUND((料金テーブル!$B$9+料金テーブル!$E$9)/2,0)*C25/1000,1)+ROUND(ROUND((料金テーブル!$B$10+料金テーブル!$E$10)/2,0)*C26/1000,1)+ROUND(ROUND((料金テーブル!$B$11+料金テーブル!$E$11)/2,0)*C27/1000,1)+ROUND(ROUND((料金テーブル!$B$12+料金テーブル!$E$12)/2,0)*C28/1000,1)+ROUND(ROUND((料金テーブル!$B$13+料金テーブル!$E$13)/2,0)*C29/1000,1))*$B$47,0)</f>
        <v>17582</v>
      </c>
      <c r="D56" s="36">
        <f>ROUND((ROUND(料金テーブル!$E$5*D17*12/1000,1)+ROUND(料金テーブル!$E$6*D22/1000,1)+ROUND(料金テーブル!$E$7*D23/1000,1)+ROUND(料金テーブル!$E$8*D24/1000,1)+ROUND(料金テーブル!$E$9*D25/1000,1)+ROUND(料金テーブル!$E$10*D26/1000,1)+ROUND(料金テーブル!$E$11*D27/1000,1)+ROUND(料金テーブル!$E$12*D28/1000,1)+ROUND(料金テーブル!$E$13*D29/1000,1))*$B$47,0)</f>
        <v>20175</v>
      </c>
      <c r="E56" s="36">
        <f>ROUND((ROUND(料金テーブル!$E$5*E17*12/1000,1)+ROUND(料金テーブル!$E$6*E22/1000,1)+ROUND(料金テーブル!$E$7*E23/1000,1)+ROUND(料金テーブル!$E$8*E24/1000,1)+ROUND(料金テーブル!$E$9*E25/1000,1)+ROUND(料金テーブル!$E$10*E26/1000,1)+ROUND(料金テーブル!$E$11*E27/1000,1)+ROUND(料金テーブル!$E$12*E28/1000,1)+ROUND(料金テーブル!$E$13*E29/1000,1))*$B$47,0)</f>
        <v>20024</v>
      </c>
      <c r="F56" s="36">
        <f>ROUND((ROUND(料金テーブル!$E$5*F17*12/1000,1)+ROUND(料金テーブル!$E$6*F22/1000,1)+ROUND(料金テーブル!$E$7*F23/1000,1)+ROUND(料金テーブル!$E$8*F24/1000,1)+ROUND(料金テーブル!$E$9*F25/1000,1)+ROUND(料金テーブル!$E$10*F26/1000,1)+ROUND(料金テーブル!$E$11*F27/1000,1)+ROUND(料金テーブル!$E$12*F28/1000,1)+ROUND(料金テーブル!$E$13*F29/1000,1))*$B$47,0)</f>
        <v>19901</v>
      </c>
      <c r="G56" s="36">
        <f>ROUND((ROUND(料金テーブル!$E$5*G17*12/1000,1)+ROUND(料金テーブル!$E$6*G22/1000,1)+ROUND(料金テーブル!$E$7*G23/1000,1)+ROUND(料金テーブル!$E$8*G24/1000,1)+ROUND(料金テーブル!$E$9*G25/1000,1)+ROUND(料金テーブル!$E$10*G26/1000,1)+ROUND(料金テーブル!$E$11*G27/1000,1)+ROUND(料金テーブル!$E$12*G28/1000,1)+ROUND(料金テーブル!$E$13*G29/1000,1))*$B$47,0)</f>
        <v>19750</v>
      </c>
      <c r="H56" s="36">
        <f>ROUND((ROUND(料金テーブル!$E$5*H17*12/1000,1)+ROUND(料金テーブル!$E$6*H22/1000,1)+ROUND(料金テーブル!$E$7*H23/1000,1)+ROUND(料金テーブル!$E$8*H24/1000,1)+ROUND(料金テーブル!$E$9*H25/1000,1)+ROUND(料金テーブル!$E$10*H26/1000,1)+ROUND(料金テーブル!$E$11*H27/1000,1)+ROUND(料金テーブル!$E$12*H28/1000,1)+ROUND(料金テーブル!$E$13*H29/1000,1))*$B$47,0)</f>
        <v>19600</v>
      </c>
      <c r="I56" s="36">
        <f>ROUND((ROUND(料金テーブル!$E$5*I17*12/1000,1)+ROUND(料金テーブル!$E$6*I22/1000,1)+ROUND(料金テーブル!$E$7*I23/1000,1)+ROUND(料金テーブル!$E$8*I24/1000,1)+ROUND(料金テーブル!$E$9*I25/1000,1)+ROUND(料金テーブル!$E$10*I26/1000,1)+ROUND(料金テーブル!$E$11*I27/1000,1)+ROUND(料金テーブル!$E$12*I28/1000,1)+ROUND(料金テーブル!$E$13*I29/1000,1))*$B$47,0)</f>
        <v>19467</v>
      </c>
      <c r="J56" s="36">
        <f>ROUND((ROUND(料金テーブル!$E$5*J17*12/1000,1)+ROUND(料金テーブル!$E$6*J22/1000,1)+ROUND(料金テーブル!$E$7*J23/1000,1)+ROUND(料金テーブル!$E$8*J24/1000,1)+ROUND(料金テーブル!$E$9*J25/1000,1)+ROUND(料金テーブル!$E$10*J26/1000,1)+ROUND(料金テーブル!$E$11*J27/1000,1)+ROUND(料金テーブル!$E$12*J28/1000,1)+ROUND(料金テーブル!$E$13*J29/1000,1))*$B$47,0)</f>
        <v>19317</v>
      </c>
      <c r="K56" s="36">
        <f>ROUND((ROUND(料金テーブル!$E$5*K17*12/1000,1)+ROUND(料金テーブル!$E$6*K22/1000,1)+ROUND(料金テーブル!$E$7*K23/1000,1)+ROUND(料金テーブル!$E$8*K24/1000,1)+ROUND(料金テーブル!$E$9*K25/1000,1)+ROUND(料金テーブル!$E$10*K26/1000,1)+ROUND(料金テーブル!$E$11*K27/1000,1)+ROUND(料金テーブル!$E$12*K28/1000,1)+ROUND(料金テーブル!$E$13*K29/1000,1))*$B$47,0)</f>
        <v>19167</v>
      </c>
    </row>
    <row r="57" spans="1:11" ht="16.5" customHeight="1">
      <c r="A57" s="35" t="s">
        <v>77</v>
      </c>
      <c r="B57" s="36">
        <f>ROUND((ROUND(料金テーブル!$B$5*B17*12/1000,1)+ROUND(料金テーブル!$B$6*B22/1000,1)+ROUND(料金テーブル!$B$7*B23/1000,1)+ROUND(料金テーブル!$B$8*B24/1000,1)+ROUND(料金テーブル!$B$9*B25/1000,1)+ROUND(料金テーブル!$B$10*B26/1000,1)+ROUND(料金テーブル!$B$11*B27/1000,1)+ROUND(料金テーブル!$B$12*B28/1000,1)+ROUND(料金テーブル!$B$13*B29/1000,1))*$B$47,0)</f>
        <v>14943</v>
      </c>
      <c r="C57" s="36">
        <f>ROUND((ROUND('段階単価(3か年)'!$B$30*C17*6/1000,1)+ROUND('段階単価(3か年)'!$B$31*C22/1000,1)+ROUND('段階単価(3か年)'!$B$32*C23/1000,1)+ROUND('段階単価(3か年)'!$B$33*C24/1000,1)+ROUND('段階単価(3か年)'!$B$34*C25/1000,1)+ROUND('段階単価(3か年)'!$B$35*C26/1000,1)+ROUND('段階単価(3か年)'!$B$36*C27/1000,1)+ROUND('段階単価(3か年)'!$B$37*C28/1000,1)+ROUND('段階単価(3か年)'!$B$38*C29/1000,1))*$B$47,0)</f>
        <v>12797</v>
      </c>
      <c r="D57" s="36">
        <f>ROUND((ROUND('段階単価(3か年)'!$C$30*D17*6/1000,1)+ROUND('段階単価(3か年)'!$C$31*D22/1000,1)+ROUND('段階単価(3か年)'!$C$32*D23/1000,1)+ROUND('段階単価(3か年)'!$C$33*D24/1000,1)+ROUND('段階単価(3か年)'!$C$34*D25/1000,1)+ROUND('段階単価(3か年)'!$C$35*D26/1000,1)+ROUND('段階単価(3か年)'!$C$36*D27/1000,1)+ROUND('段階単価(3か年)'!$C$37*D28/1000,1)+ROUND('段階単価(3か年)'!$C$38*D29/1000,1))*$B$47,0)</f>
        <v>13874</v>
      </c>
      <c r="E57" s="36">
        <f>ROUND((ROUND(料金テーブル!$E$5*E17*12/1000,1)+ROUND(料金テーブル!$E$6*E22/1000,1)+ROUND(料金テーブル!$E$7*E23/1000,1)+ROUND(料金テーブル!$E$8*E24/1000,1)+ROUND(料金テーブル!$E$9*E25/1000,1)+ROUND(料金テーブル!$E$10*E26/1000,1)+ROUND(料金テーブル!$E$11*E27/1000,1)+ROUND(料金テーブル!$E$12*E28/1000,1)+ROUND(料金テーブル!$E$13*E29/1000,1))*$B$47,0)</f>
        <v>20024</v>
      </c>
      <c r="F57" s="36">
        <f>ROUND((ROUND(料金テーブル!$E$5*F17*12/1000,1)+ROUND(料金テーブル!$E$6*F22/1000,1)+ROUND(料金テーブル!$E$7*F23/1000,1)+ROUND(料金テーブル!$E$8*F24/1000,1)+ROUND(料金テーブル!$E$9*F25/1000,1)+ROUND(料金テーブル!$E$10*F26/1000,1)+ROUND(料金テーブル!$E$11*F27/1000,1)+ROUND(料金テーブル!$E$12*F28/1000,1)+ROUND(料金テーブル!$E$13*F29/1000,1))*$B$47,0)</f>
        <v>19901</v>
      </c>
      <c r="G57" s="36">
        <f>ROUND((ROUND(料金テーブル!$E$5*G17*12/1000,1)+ROUND(料金テーブル!$E$6*G22/1000,1)+ROUND(料金テーブル!$E$7*G23/1000,1)+ROUND(料金テーブル!$E$8*G24/1000,1)+ROUND(料金テーブル!$E$9*G25/1000,1)+ROUND(料金テーブル!$E$10*G26/1000,1)+ROUND(料金テーブル!$E$11*G27/1000,1)+ROUND(料金テーブル!$E$12*G28/1000,1)+ROUND(料金テーブル!$E$13*G29/1000,1))*$B$47,0)</f>
        <v>19750</v>
      </c>
      <c r="H57" s="36">
        <f>ROUND((ROUND(料金テーブル!$E$5*H17*12/1000,1)+ROUND(料金テーブル!$E$6*H22/1000,1)+ROUND(料金テーブル!$E$7*H23/1000,1)+ROUND(料金テーブル!$E$8*H24/1000,1)+ROUND(料金テーブル!$E$9*H25/1000,1)+ROUND(料金テーブル!$E$10*H26/1000,1)+ROUND(料金テーブル!$E$11*H27/1000,1)+ROUND(料金テーブル!$E$12*H28/1000,1)+ROUND(料金テーブル!$E$13*H29/1000,1))*$B$47,0)</f>
        <v>19600</v>
      </c>
      <c r="I57" s="36">
        <f>ROUND((ROUND(料金テーブル!$E$5*I17*12/1000,1)+ROUND(料金テーブル!$E$6*I22/1000,1)+ROUND(料金テーブル!$E$7*I23/1000,1)+ROUND(料金テーブル!$E$8*I24/1000,1)+ROUND(料金テーブル!$E$9*I25/1000,1)+ROUND(料金テーブル!$E$10*I26/1000,1)+ROUND(料金テーブル!$E$11*I27/1000,1)+ROUND(料金テーブル!$E$12*I28/1000,1)+ROUND(料金テーブル!$E$13*I29/1000,1))*$B$47,0)</f>
        <v>19467</v>
      </c>
      <c r="J57" s="36">
        <f>ROUND((ROUND(料金テーブル!$E$5*J17*12/1000,1)+ROUND(料金テーブル!$E$6*J22/1000,1)+ROUND(料金テーブル!$E$7*J23/1000,1)+ROUND(料金テーブル!$E$8*J24/1000,1)+ROUND(料金テーブル!$E$9*J25/1000,1)+ROUND(料金テーブル!$E$10*J26/1000,1)+ROUND(料金テーブル!$E$11*J27/1000,1)+ROUND(料金テーブル!$E$12*J28/1000,1)+ROUND(料金テーブル!$E$13*J29/1000,1))*$B$47,0)</f>
        <v>19317</v>
      </c>
      <c r="K57" s="36">
        <f>ROUND((ROUND(料金テーブル!$E$5*K17*12/1000,1)+ROUND(料金テーブル!$E$6*K22/1000,1)+ROUND(料金テーブル!$E$7*K23/1000,1)+ROUND(料金テーブル!$E$8*K24/1000,1)+ROUND(料金テーブル!$E$9*K25/1000,1)+ROUND(料金テーブル!$E$10*K26/1000,1)+ROUND(料金テーブル!$E$11*K27/1000,1)+ROUND(料金テーブル!$E$12*K28/1000,1)+ROUND(料金テーブル!$E$13*K29/1000,1))*$B$47,0)</f>
        <v>19167</v>
      </c>
    </row>
  </sheetData>
  <phoneticPr fontId="43"/>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2"/>
  <sheetViews>
    <sheetView zoomScaleNormal="100" workbookViewId="0">
      <selection activeCell="A21" sqref="A21:G21"/>
    </sheetView>
  </sheetViews>
  <sheetFormatPr defaultColWidth="8.5546875" defaultRowHeight="13.2"/>
  <cols>
    <col min="1" max="1" width="2" customWidth="1"/>
    <col min="2" max="2" width="22" customWidth="1"/>
    <col min="3" max="3" width="14" customWidth="1"/>
    <col min="4" max="4" width="15" customWidth="1"/>
    <col min="5" max="6" width="17" customWidth="1"/>
    <col min="7" max="8" width="14" customWidth="1"/>
  </cols>
  <sheetData>
    <row r="1" spans="1:7" ht="30" customHeight="1">
      <c r="A1" s="83" t="s">
        <v>78</v>
      </c>
      <c r="B1" s="82"/>
      <c r="C1" s="82"/>
      <c r="D1" s="82"/>
      <c r="E1" s="82"/>
      <c r="F1" s="82"/>
      <c r="G1" s="82"/>
    </row>
    <row r="2" spans="1:7" ht="13.5" customHeight="1"/>
    <row r="3" spans="1:7" ht="18.75" customHeight="1">
      <c r="A3" s="85" t="s">
        <v>79</v>
      </c>
      <c r="B3" s="82"/>
      <c r="C3" s="82"/>
      <c r="D3" s="82"/>
      <c r="E3" s="82"/>
      <c r="F3" s="82"/>
      <c r="G3" s="82"/>
    </row>
    <row r="4" spans="1:7" ht="13.5" customHeight="1"/>
    <row r="5" spans="1:7" ht="16.5" customHeight="1">
      <c r="A5" s="81" t="s">
        <v>80</v>
      </c>
      <c r="B5" s="82"/>
      <c r="C5" s="82"/>
      <c r="D5" s="82"/>
      <c r="E5" s="82"/>
      <c r="F5" s="82"/>
      <c r="G5" s="82"/>
    </row>
    <row r="6" spans="1:7" ht="13.5" customHeight="1"/>
    <row r="7" spans="1:7" ht="31.5" customHeight="1">
      <c r="A7" s="84" t="s">
        <v>81</v>
      </c>
      <c r="B7" s="82"/>
      <c r="C7" s="82"/>
      <c r="D7" s="82"/>
      <c r="E7" s="82"/>
      <c r="F7" s="82"/>
      <c r="G7" s="82"/>
    </row>
    <row r="8" spans="1:7" ht="31.5" customHeight="1">
      <c r="A8" s="84" t="s">
        <v>82</v>
      </c>
      <c r="B8" s="82"/>
      <c r="C8" s="82"/>
      <c r="D8" s="82"/>
      <c r="E8" s="82"/>
      <c r="F8" s="82"/>
      <c r="G8" s="82"/>
    </row>
    <row r="9" spans="1:7" ht="27.75" customHeight="1">
      <c r="A9" s="84" t="s">
        <v>83</v>
      </c>
      <c r="B9" s="82"/>
      <c r="C9" s="82"/>
      <c r="D9" s="82"/>
      <c r="E9" s="82"/>
      <c r="F9" s="82"/>
      <c r="G9" s="82"/>
    </row>
    <row r="10" spans="1:7" ht="27.75" customHeight="1">
      <c r="A10" s="84" t="s">
        <v>84</v>
      </c>
      <c r="B10" s="82"/>
      <c r="C10" s="82"/>
      <c r="D10" s="82"/>
      <c r="E10" s="82"/>
      <c r="F10" s="82"/>
      <c r="G10" s="82"/>
    </row>
    <row r="11" spans="1:7" ht="13.5" customHeight="1"/>
    <row r="12" spans="1:7" ht="27.75" customHeight="1">
      <c r="A12" s="87" t="s">
        <v>85</v>
      </c>
      <c r="B12" s="82"/>
      <c r="C12" s="82"/>
      <c r="D12" s="82"/>
      <c r="E12" s="82"/>
      <c r="F12" s="82"/>
      <c r="G12" s="82"/>
    </row>
    <row r="13" spans="1:7" ht="13.5" customHeight="1"/>
    <row r="14" spans="1:7" ht="16.5" customHeight="1">
      <c r="A14" s="81" t="s">
        <v>86</v>
      </c>
      <c r="B14" s="82"/>
      <c r="C14" s="82"/>
      <c r="D14" s="82"/>
      <c r="E14" s="82"/>
      <c r="F14" s="82"/>
      <c r="G14" s="82"/>
    </row>
    <row r="15" spans="1:7" ht="13.5" customHeight="1"/>
    <row r="16" spans="1:7" ht="31.5" customHeight="1">
      <c r="A16" s="84" t="s">
        <v>87</v>
      </c>
      <c r="B16" s="82"/>
      <c r="C16" s="82"/>
      <c r="D16" s="82"/>
      <c r="E16" s="82"/>
      <c r="F16" s="82"/>
      <c r="G16" s="82"/>
    </row>
    <row r="17" spans="1:7" ht="31.5" customHeight="1">
      <c r="A17" s="84" t="s">
        <v>88</v>
      </c>
      <c r="B17" s="82"/>
      <c r="C17" s="82"/>
      <c r="D17" s="82"/>
      <c r="E17" s="82"/>
      <c r="F17" s="82"/>
      <c r="G17" s="82"/>
    </row>
    <row r="18" spans="1:7" ht="27.75" customHeight="1">
      <c r="A18" s="84" t="s">
        <v>89</v>
      </c>
      <c r="B18" s="82"/>
      <c r="C18" s="82"/>
      <c r="D18" s="82"/>
      <c r="E18" s="82"/>
      <c r="F18" s="82"/>
      <c r="G18" s="82"/>
    </row>
    <row r="19" spans="1:7" ht="27.75" customHeight="1">
      <c r="A19" s="84" t="s">
        <v>90</v>
      </c>
      <c r="B19" s="82"/>
      <c r="C19" s="82"/>
      <c r="D19" s="82"/>
      <c r="E19" s="82"/>
      <c r="F19" s="82"/>
      <c r="G19" s="82"/>
    </row>
    <row r="20" spans="1:7" ht="13.5" customHeight="1"/>
    <row r="21" spans="1:7" ht="31.5" customHeight="1">
      <c r="A21" s="84" t="s">
        <v>91</v>
      </c>
      <c r="B21" s="82"/>
      <c r="C21" s="82"/>
      <c r="D21" s="82"/>
      <c r="E21" s="82"/>
      <c r="F21" s="82"/>
      <c r="G21" s="82"/>
    </row>
    <row r="22" spans="1:7" ht="13.5" customHeight="1"/>
    <row r="23" spans="1:7" ht="16.5" customHeight="1">
      <c r="A23" s="81" t="s">
        <v>92</v>
      </c>
      <c r="B23" s="82"/>
      <c r="C23" s="82"/>
      <c r="D23" s="82"/>
      <c r="E23" s="82"/>
      <c r="F23" s="82"/>
      <c r="G23" s="82"/>
    </row>
    <row r="24" spans="1:7" ht="13.5" customHeight="1"/>
    <row r="25" spans="1:7" ht="31.5" customHeight="1">
      <c r="B25" s="37" t="s">
        <v>35</v>
      </c>
      <c r="C25" s="37" t="s">
        <v>93</v>
      </c>
      <c r="D25" s="37" t="s">
        <v>36</v>
      </c>
      <c r="E25" s="37" t="s">
        <v>37</v>
      </c>
      <c r="F25" s="37" t="s">
        <v>38</v>
      </c>
    </row>
    <row r="26" spans="1:7" ht="30" customHeight="1">
      <c r="B26" s="38" t="s">
        <v>94</v>
      </c>
      <c r="C26" s="39" t="s">
        <v>95</v>
      </c>
      <c r="D26" s="39" t="s">
        <v>96</v>
      </c>
      <c r="E26" s="39" t="s">
        <v>97</v>
      </c>
      <c r="F26" s="39" t="s">
        <v>98</v>
      </c>
    </row>
    <row r="27" spans="1:7" ht="15.75" customHeight="1">
      <c r="B27" s="40" t="s">
        <v>40</v>
      </c>
      <c r="C27" s="39" t="s">
        <v>99</v>
      </c>
      <c r="D27" s="39" t="s">
        <v>100</v>
      </c>
      <c r="E27" s="39" t="s">
        <v>101</v>
      </c>
      <c r="F27" s="39" t="s">
        <v>102</v>
      </c>
    </row>
    <row r="28" spans="1:7" ht="15.75" customHeight="1">
      <c r="B28" s="40" t="s">
        <v>41</v>
      </c>
      <c r="C28" s="39" t="s">
        <v>99</v>
      </c>
      <c r="D28" s="39" t="s">
        <v>103</v>
      </c>
      <c r="E28" s="39" t="s">
        <v>104</v>
      </c>
      <c r="F28" s="39" t="s">
        <v>105</v>
      </c>
    </row>
    <row r="29" spans="1:7" ht="15.75" customHeight="1">
      <c r="B29" s="40" t="s">
        <v>42</v>
      </c>
      <c r="C29" s="39" t="s">
        <v>106</v>
      </c>
      <c r="D29" s="39" t="s">
        <v>102</v>
      </c>
      <c r="E29" s="39" t="s">
        <v>107</v>
      </c>
      <c r="F29" s="39" t="s">
        <v>108</v>
      </c>
    </row>
    <row r="30" spans="1:7" ht="15.75" customHeight="1">
      <c r="B30" s="40" t="s">
        <v>43</v>
      </c>
      <c r="C30" s="39" t="s">
        <v>106</v>
      </c>
      <c r="D30" s="39" t="s">
        <v>105</v>
      </c>
      <c r="E30" s="39" t="s">
        <v>109</v>
      </c>
      <c r="F30" s="39" t="s">
        <v>110</v>
      </c>
    </row>
    <row r="31" spans="1:7" ht="15.75" customHeight="1">
      <c r="B31" s="40" t="s">
        <v>44</v>
      </c>
      <c r="C31" s="39" t="s">
        <v>111</v>
      </c>
      <c r="D31" s="39" t="s">
        <v>110</v>
      </c>
      <c r="E31" s="39" t="s">
        <v>112</v>
      </c>
      <c r="F31" s="39" t="s">
        <v>104</v>
      </c>
    </row>
    <row r="32" spans="1:7" ht="15.75" customHeight="1">
      <c r="B32" s="40" t="s">
        <v>45</v>
      </c>
      <c r="C32" s="39" t="s">
        <v>111</v>
      </c>
      <c r="D32" s="39" t="s">
        <v>104</v>
      </c>
      <c r="E32" s="39" t="s">
        <v>113</v>
      </c>
      <c r="F32" s="39" t="s">
        <v>109</v>
      </c>
    </row>
    <row r="33" spans="1:7" ht="15.75" customHeight="1">
      <c r="B33" s="40" t="s">
        <v>46</v>
      </c>
      <c r="C33" s="39" t="s">
        <v>111</v>
      </c>
      <c r="D33" s="39" t="s">
        <v>112</v>
      </c>
      <c r="E33" s="39" t="s">
        <v>114</v>
      </c>
      <c r="F33" s="39" t="s">
        <v>113</v>
      </c>
    </row>
    <row r="34" spans="1:7" ht="15.75" customHeight="1">
      <c r="B34" s="40" t="s">
        <v>47</v>
      </c>
      <c r="C34" s="39" t="s">
        <v>102</v>
      </c>
      <c r="D34" s="39" t="s">
        <v>115</v>
      </c>
      <c r="E34" s="39" t="s">
        <v>116</v>
      </c>
      <c r="F34" s="39" t="s">
        <v>114</v>
      </c>
    </row>
    <row r="35" spans="1:7" ht="15.75" customHeight="1">
      <c r="B35" s="41" t="s">
        <v>117</v>
      </c>
      <c r="C35" s="42" t="s">
        <v>118</v>
      </c>
      <c r="D35" s="42" t="s">
        <v>119</v>
      </c>
      <c r="E35" s="42" t="s">
        <v>119</v>
      </c>
      <c r="F35" s="42" t="s">
        <v>119</v>
      </c>
    </row>
    <row r="36" spans="1:7" ht="15.75" customHeight="1">
      <c r="B36" s="41" t="s">
        <v>120</v>
      </c>
      <c r="C36" s="42" t="s">
        <v>121</v>
      </c>
      <c r="D36" s="42" t="s">
        <v>122</v>
      </c>
      <c r="E36" s="42" t="s">
        <v>123</v>
      </c>
      <c r="F36" s="42" t="s">
        <v>124</v>
      </c>
    </row>
    <row r="37" spans="1:7" ht="13.5" customHeight="1"/>
    <row r="38" spans="1:7" ht="16.5" customHeight="1">
      <c r="A38" s="81" t="s">
        <v>125</v>
      </c>
      <c r="B38" s="82"/>
      <c r="C38" s="82"/>
      <c r="D38" s="82"/>
      <c r="E38" s="82"/>
      <c r="F38" s="82"/>
      <c r="G38" s="82"/>
    </row>
    <row r="39" spans="1:7" ht="13.5" customHeight="1"/>
    <row r="40" spans="1:7" ht="15" customHeight="1">
      <c r="A40" s="86" t="s">
        <v>126</v>
      </c>
      <c r="B40" s="82"/>
      <c r="C40" s="82"/>
      <c r="D40" s="82"/>
      <c r="E40" s="82"/>
      <c r="F40" s="82"/>
      <c r="G40" s="82"/>
    </row>
    <row r="41" spans="1:7" ht="30" customHeight="1">
      <c r="B41" s="37"/>
      <c r="C41" s="37" t="s">
        <v>127</v>
      </c>
      <c r="D41" s="37" t="s">
        <v>128</v>
      </c>
      <c r="E41" s="37" t="s">
        <v>129</v>
      </c>
      <c r="F41" s="37" t="s">
        <v>130</v>
      </c>
    </row>
    <row r="42" spans="1:7" ht="15.75" customHeight="1">
      <c r="B42" s="38" t="s">
        <v>131</v>
      </c>
      <c r="C42" s="43" t="s">
        <v>132</v>
      </c>
      <c r="D42" s="43" t="s">
        <v>133</v>
      </c>
      <c r="E42" s="43" t="s">
        <v>134</v>
      </c>
      <c r="F42" s="43" t="s">
        <v>135</v>
      </c>
    </row>
    <row r="43" spans="1:7" ht="15.75" customHeight="1">
      <c r="B43" s="38" t="s">
        <v>136</v>
      </c>
      <c r="C43" s="39" t="s">
        <v>137</v>
      </c>
      <c r="D43" s="43" t="s">
        <v>138</v>
      </c>
      <c r="E43" s="43" t="s">
        <v>139</v>
      </c>
      <c r="F43" s="39" t="s">
        <v>137</v>
      </c>
    </row>
    <row r="44" spans="1:7" ht="15.75" customHeight="1">
      <c r="B44" s="40" t="s">
        <v>140</v>
      </c>
      <c r="C44" s="39" t="s">
        <v>141</v>
      </c>
      <c r="D44" s="43" t="s">
        <v>142</v>
      </c>
      <c r="E44" s="39" t="s">
        <v>143</v>
      </c>
      <c r="F44" s="39" t="s">
        <v>143</v>
      </c>
    </row>
    <row r="45" spans="1:7" ht="15.75" customHeight="1">
      <c r="B45" s="38" t="s">
        <v>144</v>
      </c>
      <c r="C45" s="39" t="s">
        <v>95</v>
      </c>
      <c r="D45" s="39" t="s">
        <v>145</v>
      </c>
      <c r="E45" s="39" t="s">
        <v>96</v>
      </c>
      <c r="F45" s="39" t="s">
        <v>96</v>
      </c>
    </row>
    <row r="46" spans="1:7" ht="13.5" customHeight="1"/>
    <row r="47" spans="1:7" ht="15" customHeight="1">
      <c r="A47" s="86" t="s">
        <v>146</v>
      </c>
      <c r="B47" s="82"/>
      <c r="C47" s="82"/>
      <c r="D47" s="82"/>
      <c r="E47" s="82"/>
      <c r="F47" s="82"/>
      <c r="G47" s="82"/>
    </row>
    <row r="48" spans="1:7" ht="30" customHeight="1">
      <c r="B48" s="37"/>
      <c r="C48" s="37" t="s">
        <v>127</v>
      </c>
      <c r="D48" s="37" t="s">
        <v>128</v>
      </c>
      <c r="E48" s="37" t="s">
        <v>147</v>
      </c>
      <c r="F48" s="37" t="s">
        <v>148</v>
      </c>
      <c r="G48" s="37" t="s">
        <v>149</v>
      </c>
    </row>
    <row r="49" spans="2:7" ht="15.75" customHeight="1">
      <c r="B49" s="38" t="s">
        <v>131</v>
      </c>
      <c r="C49" s="43" t="s">
        <v>132</v>
      </c>
      <c r="D49" s="43" t="s">
        <v>133</v>
      </c>
      <c r="E49" s="43" t="s">
        <v>150</v>
      </c>
      <c r="F49" s="43" t="s">
        <v>151</v>
      </c>
      <c r="G49" s="43" t="s">
        <v>135</v>
      </c>
    </row>
    <row r="50" spans="2:7" ht="15.75" customHeight="1">
      <c r="B50" s="38" t="s">
        <v>136</v>
      </c>
      <c r="C50" s="39" t="s">
        <v>137</v>
      </c>
      <c r="D50" s="43" t="s">
        <v>152</v>
      </c>
      <c r="E50" s="43" t="s">
        <v>153</v>
      </c>
      <c r="F50" s="43" t="s">
        <v>139</v>
      </c>
      <c r="G50" s="39" t="s">
        <v>137</v>
      </c>
    </row>
    <row r="51" spans="2:7" ht="15.75" customHeight="1">
      <c r="B51" s="40" t="s">
        <v>140</v>
      </c>
      <c r="C51" s="39" t="s">
        <v>141</v>
      </c>
      <c r="D51" s="43" t="s">
        <v>154</v>
      </c>
      <c r="E51" s="43" t="s">
        <v>155</v>
      </c>
      <c r="F51" s="39" t="s">
        <v>143</v>
      </c>
      <c r="G51" s="39" t="s">
        <v>143</v>
      </c>
    </row>
    <row r="52" spans="2:7" ht="15.75" customHeight="1">
      <c r="B52" s="38" t="s">
        <v>144</v>
      </c>
      <c r="C52" s="39" t="s">
        <v>95</v>
      </c>
      <c r="D52" s="43" t="s">
        <v>156</v>
      </c>
      <c r="E52" s="43" t="s">
        <v>157</v>
      </c>
      <c r="F52" s="39" t="s">
        <v>96</v>
      </c>
      <c r="G52" s="39" t="s">
        <v>96</v>
      </c>
    </row>
  </sheetData>
  <mergeCells count="18">
    <mergeCell ref="A47:G47"/>
    <mergeCell ref="A5:G5"/>
    <mergeCell ref="A23:G23"/>
    <mergeCell ref="A21:G21"/>
    <mergeCell ref="A40:G40"/>
    <mergeCell ref="A10:G10"/>
    <mergeCell ref="A12:G12"/>
    <mergeCell ref="A38:G38"/>
    <mergeCell ref="A16:G16"/>
    <mergeCell ref="A19:G19"/>
    <mergeCell ref="A14:G14"/>
    <mergeCell ref="A1:G1"/>
    <mergeCell ref="A17:G17"/>
    <mergeCell ref="A18:G18"/>
    <mergeCell ref="A9:G9"/>
    <mergeCell ref="A8:G8"/>
    <mergeCell ref="A3:G3"/>
    <mergeCell ref="A7:G7"/>
  </mergeCells>
  <phoneticPr fontId="43"/>
  <pageMargins left="0.6" right="0.6" top="0.7" bottom="0.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0"/>
  <sheetViews>
    <sheetView zoomScaleNormal="100" workbookViewId="0">
      <selection activeCell="F22" sqref="F22"/>
    </sheetView>
  </sheetViews>
  <sheetFormatPr defaultColWidth="8.5546875" defaultRowHeight="13.2"/>
  <cols>
    <col min="1" max="2" width="11" customWidth="1"/>
    <col min="3" max="3" width="15" customWidth="1"/>
    <col min="4" max="4" width="11" customWidth="1"/>
    <col min="5" max="5" width="17" customWidth="1"/>
    <col min="6" max="6" width="11" customWidth="1"/>
    <col min="7" max="7" width="17" customWidth="1"/>
    <col min="8" max="8" width="11" customWidth="1"/>
  </cols>
  <sheetData>
    <row r="1" spans="1:8" ht="19.5" customHeight="1">
      <c r="A1" s="89" t="s">
        <v>158</v>
      </c>
      <c r="B1" s="82"/>
      <c r="C1" s="82"/>
      <c r="D1" s="82"/>
      <c r="E1" s="82"/>
      <c r="F1" s="82"/>
      <c r="G1" s="82"/>
      <c r="H1" s="82"/>
    </row>
    <row r="2" spans="1:8" ht="13.5" customHeight="1">
      <c r="A2" s="88" t="s">
        <v>159</v>
      </c>
      <c r="B2" s="82"/>
      <c r="C2" s="82"/>
      <c r="D2" s="82"/>
      <c r="E2" s="82"/>
      <c r="F2" s="82"/>
      <c r="G2" s="82"/>
      <c r="H2" s="82"/>
    </row>
    <row r="3" spans="1:8" ht="13.5" customHeight="1"/>
    <row r="4" spans="1:8" ht="36" customHeight="1">
      <c r="A4" s="37" t="s">
        <v>160</v>
      </c>
      <c r="B4" s="37" t="s">
        <v>132</v>
      </c>
      <c r="C4" s="37" t="s">
        <v>36</v>
      </c>
      <c r="D4" s="37" t="s">
        <v>161</v>
      </c>
      <c r="E4" s="37" t="s">
        <v>37</v>
      </c>
      <c r="F4" s="37" t="s">
        <v>161</v>
      </c>
      <c r="G4" s="37" t="s">
        <v>38</v>
      </c>
      <c r="H4" s="37" t="s">
        <v>161</v>
      </c>
    </row>
    <row r="5" spans="1:8" ht="15.75" customHeight="1">
      <c r="A5" s="44" t="s">
        <v>162</v>
      </c>
      <c r="B5" s="39" t="s">
        <v>95</v>
      </c>
      <c r="C5" s="39" t="s">
        <v>96</v>
      </c>
      <c r="D5" s="45" t="s">
        <v>163</v>
      </c>
      <c r="E5" s="39" t="s">
        <v>97</v>
      </c>
      <c r="F5" s="45" t="s">
        <v>164</v>
      </c>
      <c r="G5" s="39" t="s">
        <v>98</v>
      </c>
      <c r="H5" s="45" t="s">
        <v>165</v>
      </c>
    </row>
    <row r="6" spans="1:8" ht="15.75" customHeight="1">
      <c r="A6" s="44" t="s">
        <v>166</v>
      </c>
      <c r="B6" s="39" t="s">
        <v>141</v>
      </c>
      <c r="C6" s="39" t="s">
        <v>143</v>
      </c>
      <c r="D6" s="45" t="s">
        <v>167</v>
      </c>
      <c r="E6" s="39" t="s">
        <v>143</v>
      </c>
      <c r="F6" s="45" t="s">
        <v>167</v>
      </c>
      <c r="G6" s="39" t="s">
        <v>143</v>
      </c>
      <c r="H6" s="45" t="s">
        <v>167</v>
      </c>
    </row>
    <row r="7" spans="1:8" ht="15.75" customHeight="1">
      <c r="A7" s="44" t="s">
        <v>168</v>
      </c>
      <c r="B7" s="39" t="s">
        <v>169</v>
      </c>
      <c r="C7" s="39" t="s">
        <v>170</v>
      </c>
      <c r="D7" s="45" t="s">
        <v>171</v>
      </c>
      <c r="E7" s="39" t="s">
        <v>172</v>
      </c>
      <c r="F7" s="45" t="s">
        <v>173</v>
      </c>
      <c r="G7" s="39" t="s">
        <v>174</v>
      </c>
      <c r="H7" s="45" t="s">
        <v>175</v>
      </c>
    </row>
    <row r="8" spans="1:8" ht="15.75" customHeight="1">
      <c r="A8" s="44" t="s">
        <v>176</v>
      </c>
      <c r="B8" s="39" t="s">
        <v>177</v>
      </c>
      <c r="C8" s="39" t="s">
        <v>178</v>
      </c>
      <c r="D8" s="45" t="s">
        <v>179</v>
      </c>
      <c r="E8" s="39" t="s">
        <v>180</v>
      </c>
      <c r="F8" s="45" t="s">
        <v>181</v>
      </c>
      <c r="G8" s="39" t="s">
        <v>182</v>
      </c>
      <c r="H8" s="45" t="s">
        <v>183</v>
      </c>
    </row>
    <row r="9" spans="1:8" ht="13.5" customHeight="1"/>
    <row r="10" spans="1:8" ht="15.75" customHeight="1">
      <c r="A10" s="38" t="s">
        <v>184</v>
      </c>
      <c r="B10" s="43"/>
      <c r="C10" s="46" t="s">
        <v>185</v>
      </c>
      <c r="D10" s="43"/>
      <c r="E10" s="47" t="s">
        <v>186</v>
      </c>
      <c r="F10" s="43"/>
      <c r="G10" s="46" t="s">
        <v>187</v>
      </c>
      <c r="H10" s="43"/>
    </row>
  </sheetData>
  <mergeCells count="2">
    <mergeCell ref="A2:H2"/>
    <mergeCell ref="A1:H1"/>
  </mergeCells>
  <phoneticPr fontId="43"/>
  <pageMargins left="0.75" right="0.75" top="1" bottom="1" header="0.511811023622047" footer="0.511811023622047"/>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55"/>
  <sheetViews>
    <sheetView zoomScaleNormal="100" workbookViewId="0">
      <selection activeCell="B8" sqref="B8"/>
    </sheetView>
  </sheetViews>
  <sheetFormatPr defaultColWidth="8.5546875" defaultRowHeight="13.2"/>
  <cols>
    <col min="1" max="1" width="26" customWidth="1"/>
    <col min="2" max="11" width="13" customWidth="1"/>
  </cols>
  <sheetData>
    <row r="1" spans="1:11" ht="16.5" customHeight="1">
      <c r="A1" s="90" t="s">
        <v>188</v>
      </c>
      <c r="B1" s="82"/>
      <c r="C1" s="82"/>
      <c r="D1" s="82"/>
      <c r="E1" s="82"/>
      <c r="F1" s="82"/>
      <c r="G1" s="82"/>
      <c r="H1" s="82"/>
      <c r="I1" s="82"/>
      <c r="J1" s="82"/>
      <c r="K1" s="82"/>
    </row>
    <row r="2" spans="1:11" ht="13.5" customHeight="1">
      <c r="A2" s="19" t="str">
        <f>設定!C8&amp;"　"&amp;設定!C10&amp;"改定　（"&amp;設定!C6&amp;"推移）　※使用料収入は設定シート連動"</f>
        <v>パターン①（標準型）　2か年改定　（人口ビジョン推移）　※使用料収入は設定シート連動</v>
      </c>
    </row>
    <row r="3" spans="1:11" ht="15.75" customHeight="1"/>
    <row r="4" spans="1:11" ht="15" customHeight="1">
      <c r="A4" s="37" t="s">
        <v>189</v>
      </c>
      <c r="B4" s="37" t="s">
        <v>16</v>
      </c>
      <c r="C4" s="37" t="s">
        <v>17</v>
      </c>
      <c r="D4" s="37" t="s">
        <v>18</v>
      </c>
      <c r="E4" s="37" t="s">
        <v>19</v>
      </c>
      <c r="F4" s="37" t="s">
        <v>20</v>
      </c>
      <c r="G4" s="37" t="s">
        <v>21</v>
      </c>
      <c r="H4" s="37" t="s">
        <v>22</v>
      </c>
      <c r="I4" s="37" t="s">
        <v>23</v>
      </c>
      <c r="J4" s="37" t="s">
        <v>24</v>
      </c>
      <c r="K4" s="37" t="s">
        <v>25</v>
      </c>
    </row>
    <row r="5" spans="1:11" ht="15.75" customHeight="1">
      <c r="A5" s="48" t="s">
        <v>190</v>
      </c>
      <c r="B5" s="49" t="s">
        <v>191</v>
      </c>
      <c r="C5" s="49" t="s">
        <v>192</v>
      </c>
      <c r="D5" s="49" t="s">
        <v>193</v>
      </c>
      <c r="E5" s="49" t="s">
        <v>194</v>
      </c>
      <c r="F5" s="49" t="s">
        <v>195</v>
      </c>
      <c r="G5" s="49" t="s">
        <v>196</v>
      </c>
      <c r="H5" s="49" t="s">
        <v>197</v>
      </c>
      <c r="I5" s="49" t="s">
        <v>198</v>
      </c>
      <c r="J5" s="49" t="s">
        <v>199</v>
      </c>
      <c r="K5" s="49" t="s">
        <v>200</v>
      </c>
    </row>
    <row r="6" spans="1:11" ht="15.75" customHeight="1">
      <c r="A6" s="50" t="s">
        <v>201</v>
      </c>
      <c r="B6" s="51"/>
      <c r="C6" s="51"/>
      <c r="D6" s="51"/>
      <c r="E6" s="51"/>
      <c r="F6" s="51"/>
      <c r="G6" s="51"/>
      <c r="H6" s="51"/>
      <c r="I6" s="51"/>
      <c r="J6" s="51"/>
      <c r="K6" s="51"/>
    </row>
    <row r="7" spans="1:11" ht="15.75" customHeight="1">
      <c r="A7" s="52" t="s">
        <v>202</v>
      </c>
      <c r="B7" s="53">
        <f t="shared" ref="B7:K7" si="0">B8+B9+B10</f>
        <v>15754</v>
      </c>
      <c r="C7" s="53">
        <f t="shared" si="0"/>
        <v>18380</v>
      </c>
      <c r="D7" s="53">
        <f t="shared" si="0"/>
        <v>20963</v>
      </c>
      <c r="E7" s="53">
        <f t="shared" si="0"/>
        <v>20808</v>
      </c>
      <c r="F7" s="53">
        <f t="shared" si="0"/>
        <v>20685</v>
      </c>
      <c r="G7" s="53">
        <f t="shared" si="0"/>
        <v>20536</v>
      </c>
      <c r="H7" s="53">
        <f t="shared" si="0"/>
        <v>20385</v>
      </c>
      <c r="I7" s="53">
        <f t="shared" si="0"/>
        <v>20254</v>
      </c>
      <c r="J7" s="53">
        <f t="shared" si="0"/>
        <v>20104</v>
      </c>
      <c r="K7" s="53">
        <f t="shared" si="0"/>
        <v>19953</v>
      </c>
    </row>
    <row r="8" spans="1:11" ht="15.75" customHeight="1">
      <c r="A8" s="54" t="s">
        <v>203</v>
      </c>
      <c r="B8" s="53">
        <f>使用料算定!B49</f>
        <v>14943</v>
      </c>
      <c r="C8" s="53">
        <f>使用料算定!C49</f>
        <v>17565</v>
      </c>
      <c r="D8" s="53">
        <f>使用料算定!D49</f>
        <v>20142</v>
      </c>
      <c r="E8" s="53">
        <f>使用料算定!E49</f>
        <v>19992</v>
      </c>
      <c r="F8" s="53">
        <f>使用料算定!F49</f>
        <v>19868</v>
      </c>
      <c r="G8" s="53">
        <f>使用料算定!G49</f>
        <v>19718</v>
      </c>
      <c r="H8" s="53">
        <f>使用料算定!H49</f>
        <v>19568</v>
      </c>
      <c r="I8" s="53">
        <f>使用料算定!I49</f>
        <v>19436</v>
      </c>
      <c r="J8" s="53">
        <f>使用料算定!J49</f>
        <v>19286</v>
      </c>
      <c r="K8" s="53">
        <f>使用料算定!K49</f>
        <v>19136</v>
      </c>
    </row>
    <row r="9" spans="1:11" ht="15.75" customHeight="1">
      <c r="A9" s="54" t="s">
        <v>204</v>
      </c>
      <c r="B9" s="53">
        <v>799</v>
      </c>
      <c r="C9" s="53">
        <v>799</v>
      </c>
      <c r="D9" s="53">
        <v>799</v>
      </c>
      <c r="E9" s="53">
        <v>799</v>
      </c>
      <c r="F9" s="53">
        <v>799</v>
      </c>
      <c r="G9" s="53">
        <v>799</v>
      </c>
      <c r="H9" s="53">
        <v>799</v>
      </c>
      <c r="I9" s="53">
        <v>799</v>
      </c>
      <c r="J9" s="53">
        <v>799</v>
      </c>
      <c r="K9" s="53">
        <v>799</v>
      </c>
    </row>
    <row r="10" spans="1:11" ht="15.75" customHeight="1">
      <c r="A10" s="54" t="s">
        <v>205</v>
      </c>
      <c r="B10" s="53">
        <v>12</v>
      </c>
      <c r="C10" s="53">
        <v>16</v>
      </c>
      <c r="D10" s="53">
        <v>22</v>
      </c>
      <c r="E10" s="53">
        <v>17</v>
      </c>
      <c r="F10" s="53">
        <v>18</v>
      </c>
      <c r="G10" s="53">
        <v>19</v>
      </c>
      <c r="H10" s="53">
        <v>18</v>
      </c>
      <c r="I10" s="53">
        <v>19</v>
      </c>
      <c r="J10" s="53">
        <v>19</v>
      </c>
      <c r="K10" s="53">
        <v>18</v>
      </c>
    </row>
    <row r="11" spans="1:11" ht="15.75" customHeight="1">
      <c r="A11" s="52" t="s">
        <v>206</v>
      </c>
      <c r="B11" s="53">
        <f t="shared" ref="B11:K11" si="1">B12+B13+B14</f>
        <v>74552</v>
      </c>
      <c r="C11" s="53">
        <f t="shared" si="1"/>
        <v>72722</v>
      </c>
      <c r="D11" s="53">
        <f t="shared" si="1"/>
        <v>70328</v>
      </c>
      <c r="E11" s="53">
        <f t="shared" si="1"/>
        <v>68623</v>
      </c>
      <c r="F11" s="53">
        <f t="shared" si="1"/>
        <v>68233</v>
      </c>
      <c r="G11" s="53">
        <f t="shared" si="1"/>
        <v>70039</v>
      </c>
      <c r="H11" s="53">
        <f t="shared" si="1"/>
        <v>71429</v>
      </c>
      <c r="I11" s="53">
        <f t="shared" si="1"/>
        <v>71237</v>
      </c>
      <c r="J11" s="53">
        <f t="shared" si="1"/>
        <v>71180</v>
      </c>
      <c r="K11" s="53">
        <f t="shared" si="1"/>
        <v>71127</v>
      </c>
    </row>
    <row r="12" spans="1:11" ht="15.75" customHeight="1">
      <c r="A12" s="54" t="s">
        <v>207</v>
      </c>
      <c r="B12" s="53">
        <v>19236</v>
      </c>
      <c r="C12" s="53">
        <v>17406</v>
      </c>
      <c r="D12" s="53">
        <v>16252</v>
      </c>
      <c r="E12" s="53">
        <v>15096</v>
      </c>
      <c r="F12" s="53">
        <v>14864</v>
      </c>
      <c r="G12" s="53">
        <v>16067</v>
      </c>
      <c r="H12" s="53">
        <v>16944</v>
      </c>
      <c r="I12" s="53">
        <v>16879</v>
      </c>
      <c r="J12" s="53">
        <v>16885</v>
      </c>
      <c r="K12" s="53">
        <v>16871</v>
      </c>
    </row>
    <row r="13" spans="1:11" ht="15.75" customHeight="1">
      <c r="A13" s="54" t="s">
        <v>208</v>
      </c>
      <c r="B13" s="53">
        <v>55286</v>
      </c>
      <c r="C13" s="53">
        <v>55286</v>
      </c>
      <c r="D13" s="53">
        <v>54046</v>
      </c>
      <c r="E13" s="53">
        <v>53497</v>
      </c>
      <c r="F13" s="53">
        <v>53339</v>
      </c>
      <c r="G13" s="53">
        <v>53942</v>
      </c>
      <c r="H13" s="53">
        <v>54455</v>
      </c>
      <c r="I13" s="53">
        <v>54328</v>
      </c>
      <c r="J13" s="53">
        <v>54265</v>
      </c>
      <c r="K13" s="53">
        <v>54226</v>
      </c>
    </row>
    <row r="14" spans="1:11" ht="15.75" customHeight="1">
      <c r="A14" s="54" t="s">
        <v>205</v>
      </c>
      <c r="B14" s="53">
        <v>30</v>
      </c>
      <c r="C14" s="53">
        <v>30</v>
      </c>
      <c r="D14" s="53">
        <v>30</v>
      </c>
      <c r="E14" s="53">
        <v>30</v>
      </c>
      <c r="F14" s="53">
        <v>30</v>
      </c>
      <c r="G14" s="53">
        <v>30</v>
      </c>
      <c r="H14" s="53">
        <v>30</v>
      </c>
      <c r="I14" s="53">
        <v>30</v>
      </c>
      <c r="J14" s="53">
        <v>30</v>
      </c>
      <c r="K14" s="53">
        <v>30</v>
      </c>
    </row>
    <row r="15" spans="1:11" ht="13.5" customHeight="1">
      <c r="A15" s="55" t="s">
        <v>209</v>
      </c>
      <c r="B15" s="56">
        <f t="shared" ref="B15:K15" si="2">B7+B11</f>
        <v>90306</v>
      </c>
      <c r="C15" s="56">
        <f t="shared" si="2"/>
        <v>91102</v>
      </c>
      <c r="D15" s="56">
        <f t="shared" si="2"/>
        <v>91291</v>
      </c>
      <c r="E15" s="56">
        <f t="shared" si="2"/>
        <v>89431</v>
      </c>
      <c r="F15" s="56">
        <f t="shared" si="2"/>
        <v>88918</v>
      </c>
      <c r="G15" s="56">
        <f t="shared" si="2"/>
        <v>90575</v>
      </c>
      <c r="H15" s="56">
        <f t="shared" si="2"/>
        <v>91814</v>
      </c>
      <c r="I15" s="56">
        <f t="shared" si="2"/>
        <v>91491</v>
      </c>
      <c r="J15" s="56">
        <f t="shared" si="2"/>
        <v>91284</v>
      </c>
      <c r="K15" s="56">
        <f t="shared" si="2"/>
        <v>91080</v>
      </c>
    </row>
    <row r="16" spans="1:11" ht="15.75" customHeight="1"/>
    <row r="17" spans="1:11" ht="15.75" customHeight="1">
      <c r="A17" s="50" t="s">
        <v>210</v>
      </c>
      <c r="B17" s="51"/>
      <c r="C17" s="51"/>
      <c r="D17" s="51"/>
      <c r="E17" s="51"/>
      <c r="F17" s="51"/>
      <c r="G17" s="51"/>
      <c r="H17" s="51"/>
      <c r="I17" s="51"/>
      <c r="J17" s="51"/>
      <c r="K17" s="51"/>
    </row>
    <row r="18" spans="1:11" ht="15.75" customHeight="1">
      <c r="A18" s="52" t="s">
        <v>211</v>
      </c>
      <c r="B18" s="53">
        <f t="shared" ref="B18:K18" si="3">B19+B23</f>
        <v>105309</v>
      </c>
      <c r="C18" s="53">
        <f t="shared" si="3"/>
        <v>105588</v>
      </c>
      <c r="D18" s="53">
        <f t="shared" si="3"/>
        <v>106021</v>
      </c>
      <c r="E18" s="53">
        <f t="shared" si="3"/>
        <v>104538</v>
      </c>
      <c r="F18" s="53">
        <f t="shared" si="3"/>
        <v>104463</v>
      </c>
      <c r="G18" s="53">
        <f t="shared" si="3"/>
        <v>106466</v>
      </c>
      <c r="H18" s="53">
        <f t="shared" si="3"/>
        <v>107989</v>
      </c>
      <c r="I18" s="53">
        <f t="shared" si="3"/>
        <v>108068</v>
      </c>
      <c r="J18" s="53">
        <f t="shared" si="3"/>
        <v>108251</v>
      </c>
      <c r="K18" s="53">
        <f t="shared" si="3"/>
        <v>108395</v>
      </c>
    </row>
    <row r="19" spans="1:11" ht="15.75" customHeight="1">
      <c r="A19" s="54" t="s">
        <v>212</v>
      </c>
      <c r="B19" s="53">
        <v>37580</v>
      </c>
      <c r="C19" s="53">
        <v>37842</v>
      </c>
      <c r="D19" s="53">
        <v>39293</v>
      </c>
      <c r="E19" s="53">
        <v>38659</v>
      </c>
      <c r="F19" s="53">
        <v>38996</v>
      </c>
      <c r="G19" s="53">
        <v>39398</v>
      </c>
      <c r="H19" s="53">
        <v>39427</v>
      </c>
      <c r="I19" s="53">
        <v>39689</v>
      </c>
      <c r="J19" s="53">
        <v>39920</v>
      </c>
      <c r="K19" s="53">
        <v>40097</v>
      </c>
    </row>
    <row r="20" spans="1:11" ht="15.75" customHeight="1">
      <c r="A20" s="57" t="s">
        <v>213</v>
      </c>
      <c r="B20" s="13">
        <v>6082</v>
      </c>
      <c r="C20" s="13">
        <v>6192</v>
      </c>
      <c r="D20" s="13">
        <v>6198</v>
      </c>
      <c r="E20" s="13">
        <v>6257</v>
      </c>
      <c r="F20" s="13">
        <v>6290</v>
      </c>
      <c r="G20" s="13">
        <v>6336</v>
      </c>
      <c r="H20" s="13">
        <v>6376</v>
      </c>
      <c r="I20" s="13">
        <v>6420</v>
      </c>
      <c r="J20" s="13">
        <v>6462</v>
      </c>
      <c r="K20" s="13">
        <v>6506</v>
      </c>
    </row>
    <row r="21" spans="1:11" ht="15.75" customHeight="1">
      <c r="A21" s="57" t="s">
        <v>214</v>
      </c>
      <c r="B21" s="13">
        <v>195</v>
      </c>
      <c r="C21" s="13">
        <v>256</v>
      </c>
      <c r="D21" s="13">
        <v>311</v>
      </c>
      <c r="E21" s="13">
        <v>257</v>
      </c>
      <c r="F21" s="13">
        <v>277</v>
      </c>
      <c r="G21" s="13">
        <v>284</v>
      </c>
      <c r="H21" s="13">
        <v>275</v>
      </c>
      <c r="I21" s="13">
        <v>282</v>
      </c>
      <c r="J21" s="13">
        <v>283</v>
      </c>
      <c r="K21" s="13">
        <v>283</v>
      </c>
    </row>
    <row r="22" spans="1:11" ht="15.75" customHeight="1">
      <c r="A22" s="57" t="s">
        <v>215</v>
      </c>
      <c r="B22" s="13">
        <v>31303</v>
      </c>
      <c r="C22" s="13">
        <v>31394</v>
      </c>
      <c r="D22" s="13">
        <v>32784</v>
      </c>
      <c r="E22" s="13">
        <v>32145</v>
      </c>
      <c r="F22" s="13">
        <v>32429</v>
      </c>
      <c r="G22" s="13">
        <v>32777</v>
      </c>
      <c r="H22" s="13">
        <v>32775</v>
      </c>
      <c r="I22" s="13">
        <v>32987</v>
      </c>
      <c r="J22" s="13">
        <v>33175</v>
      </c>
      <c r="K22" s="13">
        <v>33309</v>
      </c>
    </row>
    <row r="23" spans="1:11" ht="15.75" customHeight="1">
      <c r="A23" s="54" t="s">
        <v>216</v>
      </c>
      <c r="B23" s="53">
        <v>67729</v>
      </c>
      <c r="C23" s="53">
        <v>67746</v>
      </c>
      <c r="D23" s="53">
        <v>66728</v>
      </c>
      <c r="E23" s="53">
        <v>65879</v>
      </c>
      <c r="F23" s="53">
        <v>65467</v>
      </c>
      <c r="G23" s="53">
        <v>67068</v>
      </c>
      <c r="H23" s="53">
        <v>68562</v>
      </c>
      <c r="I23" s="53">
        <v>68379</v>
      </c>
      <c r="J23" s="53">
        <v>68331</v>
      </c>
      <c r="K23" s="53">
        <v>68298</v>
      </c>
    </row>
    <row r="24" spans="1:11" ht="13.5" customHeight="1">
      <c r="A24" s="52" t="s">
        <v>217</v>
      </c>
      <c r="B24" s="53">
        <f t="shared" ref="B24:K24" si="4">B25+B26</f>
        <v>4922</v>
      </c>
      <c r="C24" s="53">
        <f t="shared" si="4"/>
        <v>3118</v>
      </c>
      <c r="D24" s="53">
        <f t="shared" si="4"/>
        <v>1800</v>
      </c>
      <c r="E24" s="53">
        <f t="shared" si="4"/>
        <v>891</v>
      </c>
      <c r="F24" s="53">
        <f t="shared" si="4"/>
        <v>929</v>
      </c>
      <c r="G24" s="53">
        <f t="shared" si="4"/>
        <v>1141</v>
      </c>
      <c r="H24" s="53">
        <f t="shared" si="4"/>
        <v>1027</v>
      </c>
      <c r="I24" s="53">
        <f t="shared" si="4"/>
        <v>1023</v>
      </c>
      <c r="J24" s="53">
        <f t="shared" si="4"/>
        <v>1014</v>
      </c>
      <c r="K24" s="53">
        <f t="shared" si="4"/>
        <v>992</v>
      </c>
    </row>
    <row r="25" spans="1:11" ht="15.75" customHeight="1">
      <c r="A25" s="54" t="s">
        <v>218</v>
      </c>
      <c r="B25" s="53">
        <v>4793</v>
      </c>
      <c r="C25" s="53">
        <v>2946</v>
      </c>
      <c r="D25" s="53">
        <v>1570</v>
      </c>
      <c r="E25" s="53">
        <v>714</v>
      </c>
      <c r="F25" s="53">
        <v>736</v>
      </c>
      <c r="G25" s="53">
        <v>941</v>
      </c>
      <c r="H25" s="53">
        <v>837</v>
      </c>
      <c r="I25" s="53">
        <v>828</v>
      </c>
      <c r="J25" s="53">
        <v>819</v>
      </c>
      <c r="K25" s="53">
        <v>799</v>
      </c>
    </row>
    <row r="26" spans="1:11" ht="13.5" customHeight="1">
      <c r="A26" s="54" t="s">
        <v>219</v>
      </c>
      <c r="B26" s="53">
        <v>129</v>
      </c>
      <c r="C26" s="53">
        <v>172</v>
      </c>
      <c r="D26" s="53">
        <v>230</v>
      </c>
      <c r="E26" s="53">
        <v>177</v>
      </c>
      <c r="F26" s="53">
        <v>193</v>
      </c>
      <c r="G26" s="53">
        <v>200</v>
      </c>
      <c r="H26" s="53">
        <v>190</v>
      </c>
      <c r="I26" s="53">
        <v>195</v>
      </c>
      <c r="J26" s="53">
        <v>195</v>
      </c>
      <c r="K26" s="53">
        <v>193</v>
      </c>
    </row>
    <row r="27" spans="1:11" ht="18" customHeight="1">
      <c r="A27" s="55" t="s">
        <v>220</v>
      </c>
      <c r="B27" s="56">
        <f t="shared" ref="B27:K27" si="5">B18+B24</f>
        <v>110231</v>
      </c>
      <c r="C27" s="56">
        <f t="shared" si="5"/>
        <v>108706</v>
      </c>
      <c r="D27" s="56">
        <f t="shared" si="5"/>
        <v>107821</v>
      </c>
      <c r="E27" s="56">
        <f t="shared" si="5"/>
        <v>105429</v>
      </c>
      <c r="F27" s="56">
        <f t="shared" si="5"/>
        <v>105392</v>
      </c>
      <c r="G27" s="56">
        <f t="shared" si="5"/>
        <v>107607</v>
      </c>
      <c r="H27" s="56">
        <f t="shared" si="5"/>
        <v>109016</v>
      </c>
      <c r="I27" s="56">
        <f t="shared" si="5"/>
        <v>109091</v>
      </c>
      <c r="J27" s="56">
        <f t="shared" si="5"/>
        <v>109265</v>
      </c>
      <c r="K27" s="56">
        <f t="shared" si="5"/>
        <v>109387</v>
      </c>
    </row>
    <row r="28" spans="1:11" ht="15.75" customHeight="1"/>
    <row r="29" spans="1:11" ht="18" customHeight="1">
      <c r="A29" s="55" t="s">
        <v>221</v>
      </c>
      <c r="B29" s="58">
        <f t="shared" ref="B29:K29" si="6">B15-B27</f>
        <v>-19925</v>
      </c>
      <c r="C29" s="58">
        <f t="shared" si="6"/>
        <v>-17604</v>
      </c>
      <c r="D29" s="58">
        <f t="shared" si="6"/>
        <v>-16530</v>
      </c>
      <c r="E29" s="58">
        <f t="shared" si="6"/>
        <v>-15998</v>
      </c>
      <c r="F29" s="58">
        <f t="shared" si="6"/>
        <v>-16474</v>
      </c>
      <c r="G29" s="58">
        <f t="shared" si="6"/>
        <v>-17032</v>
      </c>
      <c r="H29" s="58">
        <f t="shared" si="6"/>
        <v>-17202</v>
      </c>
      <c r="I29" s="58">
        <f t="shared" si="6"/>
        <v>-17600</v>
      </c>
      <c r="J29" s="58">
        <f t="shared" si="6"/>
        <v>-17981</v>
      </c>
      <c r="K29" s="58">
        <f t="shared" si="6"/>
        <v>-18307</v>
      </c>
    </row>
    <row r="30" spans="1:11" ht="15.75" customHeight="1"/>
    <row r="31" spans="1:11" ht="15.75" customHeight="1">
      <c r="A31" s="59" t="s">
        <v>222</v>
      </c>
      <c r="B31" s="60">
        <f t="shared" ref="B31:K31" si="7">IF(B27=0,"-",B15/B27)</f>
        <v>0.81924322558989759</v>
      </c>
      <c r="C31" s="60">
        <f t="shared" si="7"/>
        <v>0.83805861681967875</v>
      </c>
      <c r="D31" s="60">
        <f t="shared" si="7"/>
        <v>0.84669034789141262</v>
      </c>
      <c r="E31" s="60">
        <f t="shared" si="7"/>
        <v>0.84825806941164195</v>
      </c>
      <c r="F31" s="60">
        <f t="shared" si="7"/>
        <v>0.84368832548960071</v>
      </c>
      <c r="G31" s="60">
        <f t="shared" si="7"/>
        <v>0.84172033417900327</v>
      </c>
      <c r="H31" s="60">
        <f t="shared" si="7"/>
        <v>0.84220664856534821</v>
      </c>
      <c r="I31" s="60">
        <f t="shared" si="7"/>
        <v>0.83866680111099912</v>
      </c>
      <c r="J31" s="60">
        <f t="shared" si="7"/>
        <v>0.83543678213517591</v>
      </c>
      <c r="K31" s="60">
        <f t="shared" si="7"/>
        <v>0.8326400760602265</v>
      </c>
    </row>
    <row r="32" spans="1:11" ht="15" customHeight="1">
      <c r="A32" s="52" t="s">
        <v>223</v>
      </c>
      <c r="B32" s="13">
        <f t="shared" ref="B32:K32" si="8">B19</f>
        <v>37580</v>
      </c>
      <c r="C32" s="13">
        <f t="shared" si="8"/>
        <v>37842</v>
      </c>
      <c r="D32" s="13">
        <f t="shared" si="8"/>
        <v>39293</v>
      </c>
      <c r="E32" s="13">
        <f t="shared" si="8"/>
        <v>38659</v>
      </c>
      <c r="F32" s="13">
        <f t="shared" si="8"/>
        <v>38996</v>
      </c>
      <c r="G32" s="13">
        <f t="shared" si="8"/>
        <v>39398</v>
      </c>
      <c r="H32" s="13">
        <f t="shared" si="8"/>
        <v>39427</v>
      </c>
      <c r="I32" s="13">
        <f t="shared" si="8"/>
        <v>39689</v>
      </c>
      <c r="J32" s="13">
        <f t="shared" si="8"/>
        <v>39920</v>
      </c>
      <c r="K32" s="13">
        <f t="shared" si="8"/>
        <v>40097</v>
      </c>
    </row>
    <row r="33" spans="1:11" ht="16.5" customHeight="1">
      <c r="A33" s="59" t="s">
        <v>224</v>
      </c>
      <c r="B33">
        <f t="shared" ref="B33:K33" si="9">IF(B32=0,"-",B8/B32)</f>
        <v>0.39763171899946781</v>
      </c>
      <c r="C33">
        <f t="shared" si="9"/>
        <v>0.46416679879498968</v>
      </c>
      <c r="D33">
        <f t="shared" si="9"/>
        <v>0.51261038861883801</v>
      </c>
      <c r="E33">
        <f t="shared" si="9"/>
        <v>0.51713701854678085</v>
      </c>
      <c r="F33">
        <f t="shared" si="9"/>
        <v>0.50948815263103908</v>
      </c>
      <c r="G33">
        <f t="shared" si="9"/>
        <v>0.50048225798263868</v>
      </c>
      <c r="H33">
        <f t="shared" si="9"/>
        <v>0.49630963552895224</v>
      </c>
      <c r="I33">
        <f t="shared" si="9"/>
        <v>0.48970747562296857</v>
      </c>
      <c r="J33">
        <f t="shared" si="9"/>
        <v>0.48311623246492985</v>
      </c>
      <c r="K33">
        <f t="shared" si="9"/>
        <v>0.47724268648527324</v>
      </c>
    </row>
    <row r="34" spans="1:11" ht="15.75" customHeight="1">
      <c r="A34" s="52" t="s">
        <v>32</v>
      </c>
      <c r="B34" s="53">
        <f>使用料算定!B18</f>
        <v>94131</v>
      </c>
      <c r="C34" s="53">
        <f>使用料算定!C18</f>
        <v>93463</v>
      </c>
      <c r="D34" s="53">
        <f>使用料算定!D18</f>
        <v>92868</v>
      </c>
      <c r="E34" s="53">
        <f>使用料算定!E18</f>
        <v>92200</v>
      </c>
      <c r="F34" s="53">
        <f>使用料算定!F18</f>
        <v>91605</v>
      </c>
      <c r="G34" s="53">
        <f>使用料算定!G18</f>
        <v>90937</v>
      </c>
      <c r="H34" s="53">
        <f>使用料算定!H18</f>
        <v>90268</v>
      </c>
      <c r="I34" s="53">
        <f>使用料算定!I18</f>
        <v>89600</v>
      </c>
      <c r="J34" s="53">
        <f>使用料算定!J18</f>
        <v>88931</v>
      </c>
      <c r="K34" s="53">
        <f>使用料算定!K18</f>
        <v>88262</v>
      </c>
    </row>
    <row r="35" spans="1:11" ht="15.75" customHeight="1"/>
    <row r="36" spans="1:11" ht="15.75" customHeight="1"/>
    <row r="37" spans="1:11" ht="15.75" customHeight="1"/>
    <row r="38" spans="1:11" ht="15.75" customHeight="1"/>
    <row r="39" spans="1:11" ht="15.75" customHeight="1"/>
    <row r="41" spans="1:11" ht="15.75" customHeight="1"/>
    <row r="42" spans="1:11" ht="15.75" customHeight="1"/>
    <row r="43" spans="1:11" ht="15.75" customHeight="1"/>
    <row r="44" spans="1:11" ht="15.75" customHeight="1"/>
    <row r="45" spans="1:11" ht="15.75" customHeight="1"/>
    <row r="47" spans="1:11" ht="12.75" hidden="1" customHeight="1">
      <c r="A47" s="82"/>
      <c r="B47" s="82"/>
      <c r="C47" s="82"/>
      <c r="D47" s="82"/>
      <c r="E47" s="82"/>
      <c r="F47" s="82"/>
      <c r="G47" s="82"/>
      <c r="H47" s="82"/>
      <c r="I47" s="82"/>
      <c r="J47" s="82"/>
      <c r="K47" s="82"/>
    </row>
    <row r="48" spans="1:11" ht="12.75" hidden="1" customHeight="1">
      <c r="A48" s="82"/>
      <c r="B48" s="82"/>
      <c r="C48" s="82"/>
      <c r="D48" s="82"/>
      <c r="E48" s="82"/>
      <c r="F48" s="82"/>
      <c r="G48" s="82"/>
      <c r="H48" s="82"/>
      <c r="I48" s="82"/>
      <c r="J48" s="82"/>
      <c r="K48" s="82"/>
    </row>
    <row r="49" ht="15.75" hidden="1" customHeight="1"/>
    <row r="50" ht="15.75" hidden="1" customHeight="1"/>
    <row r="51" ht="15.75" hidden="1" customHeight="1"/>
    <row r="52" ht="15.75" hidden="1" customHeight="1"/>
    <row r="53" ht="15.75" hidden="1" customHeight="1"/>
    <row r="54" ht="15.75" hidden="1" customHeight="1"/>
    <row r="55" ht="15.75" hidden="1" customHeight="1"/>
  </sheetData>
  <mergeCells count="3">
    <mergeCell ref="A1:K1"/>
    <mergeCell ref="A47:K47"/>
    <mergeCell ref="A48:K48"/>
  </mergeCells>
  <phoneticPr fontId="43"/>
  <pageMargins left="0.4" right="0.4" top="0.5" bottom="0.5" header="0.511811023622047" footer="0.511811023622047"/>
  <pageSetup paperSize="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5"/>
  <sheetViews>
    <sheetView topLeftCell="A17" zoomScaleNormal="100" workbookViewId="0">
      <selection activeCell="C37" sqref="C37"/>
    </sheetView>
  </sheetViews>
  <sheetFormatPr defaultColWidth="8.5546875" defaultRowHeight="13.2"/>
  <cols>
    <col min="1" max="1" width="28" customWidth="1"/>
    <col min="2" max="11" width="13" customWidth="1"/>
  </cols>
  <sheetData>
    <row r="1" spans="1:11" ht="15" customHeight="1">
      <c r="A1" s="7" t="s">
        <v>225</v>
      </c>
    </row>
    <row r="2" spans="1:11" ht="15" customHeight="1">
      <c r="A2" s="9" t="str">
        <f>"※使用料収入のみパターンにより変動。その他の費用項目は全パターン共通。"&amp;設定!C6&amp;"推移ベース。"</f>
        <v>※使用料収入のみパターンにより変動。その他の費用項目は全パターン共通。人口ビジョン推移ベース。</v>
      </c>
    </row>
    <row r="3" spans="1:11" ht="13.5" customHeight="1"/>
    <row r="4" spans="1:11" ht="15" customHeight="1">
      <c r="A4" s="12" t="s">
        <v>226</v>
      </c>
      <c r="B4" s="61" t="s">
        <v>16</v>
      </c>
      <c r="C4" s="61" t="s">
        <v>17</v>
      </c>
      <c r="D4" s="61" t="s">
        <v>18</v>
      </c>
      <c r="E4" s="61" t="s">
        <v>19</v>
      </c>
      <c r="F4" s="61" t="s">
        <v>20</v>
      </c>
      <c r="G4" s="61" t="s">
        <v>21</v>
      </c>
      <c r="H4" s="61" t="s">
        <v>22</v>
      </c>
      <c r="I4" s="61" t="s">
        <v>23</v>
      </c>
      <c r="J4" s="61" t="s">
        <v>24</v>
      </c>
      <c r="K4" s="61" t="s">
        <v>25</v>
      </c>
    </row>
    <row r="5" spans="1:11" ht="13.5" customHeight="1"/>
    <row r="6" spans="1:11" ht="15" customHeight="1">
      <c r="A6" s="12" t="s">
        <v>227</v>
      </c>
    </row>
    <row r="7" spans="1:11" ht="15" customHeight="1">
      <c r="A7" s="9" t="s">
        <v>228</v>
      </c>
      <c r="B7" s="62">
        <f t="shared" ref="B7:B13" si="0">(B26+75363)/110231</f>
        <v>0.81923415373170883</v>
      </c>
      <c r="C7" s="62">
        <f t="shared" ref="C7:C13" si="1">(C26+73537)/108706</f>
        <v>0.81293580851102976</v>
      </c>
      <c r="D7" s="62">
        <f t="shared" ref="D7:D13" si="2">(D26+71149)/107821</f>
        <v>0.79660733994305377</v>
      </c>
      <c r="E7" s="62">
        <f t="shared" ref="E7:E13" si="3">(E26+69439)/105430</f>
        <v>0.79742957412501181</v>
      </c>
      <c r="F7" s="62">
        <f t="shared" ref="F7:F13" si="4">(F26+69050)/105393</f>
        <v>0.79313616653857466</v>
      </c>
      <c r="G7" s="62">
        <f t="shared" ref="G7:G13" si="5">(G26+70857)/107607</f>
        <v>0.7926064289497895</v>
      </c>
      <c r="H7" s="62">
        <f t="shared" ref="H7:H13" si="6">(H26+72246)/109016</f>
        <v>0.79412196374844057</v>
      </c>
      <c r="I7" s="62">
        <f t="shared" ref="I7:I13" si="7">(I26+72055)/109090</f>
        <v>0.79088825740214497</v>
      </c>
      <c r="J7" s="62">
        <f t="shared" ref="J7:J13" si="8">(J26+71998)/109265</f>
        <v>0.78812062417059447</v>
      </c>
      <c r="K7" s="62">
        <f t="shared" ref="K7:K13" si="9">(K26+71944)/109387</f>
        <v>0.7857606479746222</v>
      </c>
    </row>
    <row r="8" spans="1:11" ht="15" customHeight="1">
      <c r="A8" s="9" t="s">
        <v>229</v>
      </c>
      <c r="B8" s="62">
        <f t="shared" si="0"/>
        <v>0.81923415373170883</v>
      </c>
      <c r="C8" s="62">
        <f t="shared" si="1"/>
        <v>0.83356024506466986</v>
      </c>
      <c r="D8" s="62">
        <f t="shared" si="2"/>
        <v>0.84016100759592283</v>
      </c>
      <c r="E8" s="62">
        <f t="shared" si="3"/>
        <v>0.84164848714787066</v>
      </c>
      <c r="F8" s="62">
        <f t="shared" si="4"/>
        <v>0.83709544277134151</v>
      </c>
      <c r="G8" s="62">
        <f t="shared" si="5"/>
        <v>0.83533599115299195</v>
      </c>
      <c r="H8" s="62">
        <f t="shared" si="6"/>
        <v>0.83597820503412346</v>
      </c>
      <c r="I8" s="62">
        <f t="shared" si="7"/>
        <v>0.83243193693280781</v>
      </c>
      <c r="J8" s="62">
        <f t="shared" si="8"/>
        <v>0.82927744474442866</v>
      </c>
      <c r="K8" s="62">
        <f t="shared" si="9"/>
        <v>0.82655160119575455</v>
      </c>
    </row>
    <row r="9" spans="1:11" ht="15" customHeight="1">
      <c r="A9" s="9" t="s">
        <v>230</v>
      </c>
      <c r="B9" s="62">
        <f t="shared" si="0"/>
        <v>0.81923415373170883</v>
      </c>
      <c r="C9" s="62">
        <f t="shared" si="1"/>
        <v>0.82628373778816255</v>
      </c>
      <c r="D9" s="62">
        <f t="shared" si="2"/>
        <v>0.82335537603991804</v>
      </c>
      <c r="E9" s="62">
        <f t="shared" si="3"/>
        <v>0.84164848714787066</v>
      </c>
      <c r="F9" s="62">
        <f t="shared" si="4"/>
        <v>0.83709544277134151</v>
      </c>
      <c r="G9" s="62">
        <f t="shared" si="5"/>
        <v>0.83533599115299195</v>
      </c>
      <c r="H9" s="62">
        <f t="shared" si="6"/>
        <v>0.83597820503412346</v>
      </c>
      <c r="I9" s="62">
        <f t="shared" si="7"/>
        <v>0.83243193693280781</v>
      </c>
      <c r="J9" s="62">
        <f t="shared" si="8"/>
        <v>0.82927744474442866</v>
      </c>
      <c r="K9" s="62">
        <f t="shared" si="9"/>
        <v>0.82655160119575455</v>
      </c>
    </row>
    <row r="10" spans="1:11" ht="15" customHeight="1">
      <c r="A10" s="9" t="s">
        <v>231</v>
      </c>
      <c r="B10" s="62">
        <f t="shared" si="0"/>
        <v>0.81923415373170883</v>
      </c>
      <c r="C10" s="62">
        <f t="shared" si="1"/>
        <v>0.84207863411403239</v>
      </c>
      <c r="D10" s="62">
        <f t="shared" si="2"/>
        <v>0.85722632882277106</v>
      </c>
      <c r="E10" s="62">
        <f t="shared" si="3"/>
        <v>0.85897752062980182</v>
      </c>
      <c r="F10" s="62">
        <f t="shared" si="4"/>
        <v>0.85431670035011809</v>
      </c>
      <c r="G10" s="62">
        <f t="shared" si="5"/>
        <v>0.85209140669287309</v>
      </c>
      <c r="H10" s="62">
        <f t="shared" si="6"/>
        <v>0.85239781316504004</v>
      </c>
      <c r="I10" s="62">
        <f t="shared" si="7"/>
        <v>0.84870290585754882</v>
      </c>
      <c r="J10" s="62">
        <f t="shared" si="8"/>
        <v>0.84540337711069413</v>
      </c>
      <c r="K10" s="62">
        <f t="shared" si="9"/>
        <v>0.84254984595975757</v>
      </c>
    </row>
    <row r="11" spans="1:11" ht="15" customHeight="1">
      <c r="A11" s="9" t="s">
        <v>232</v>
      </c>
      <c r="B11" s="62">
        <f t="shared" si="0"/>
        <v>0.81923415373170883</v>
      </c>
      <c r="C11" s="62">
        <f t="shared" si="1"/>
        <v>0.83196879657056644</v>
      </c>
      <c r="D11" s="62">
        <f t="shared" si="2"/>
        <v>0.83473534840151731</v>
      </c>
      <c r="E11" s="62">
        <f t="shared" si="3"/>
        <v>0.85897752062980182</v>
      </c>
      <c r="F11" s="62">
        <f t="shared" si="4"/>
        <v>0.85431670035011809</v>
      </c>
      <c r="G11" s="62">
        <f t="shared" si="5"/>
        <v>0.85209140669287309</v>
      </c>
      <c r="H11" s="62">
        <f t="shared" si="6"/>
        <v>0.85239781316504004</v>
      </c>
      <c r="I11" s="62">
        <f t="shared" si="7"/>
        <v>0.84870290585754882</v>
      </c>
      <c r="J11" s="62">
        <f t="shared" si="8"/>
        <v>0.84540337711069413</v>
      </c>
      <c r="K11" s="62">
        <f t="shared" si="9"/>
        <v>0.84254984595975757</v>
      </c>
    </row>
    <row r="12" spans="1:11" ht="15" customHeight="1">
      <c r="A12" s="9" t="s">
        <v>233</v>
      </c>
      <c r="B12" s="62">
        <f t="shared" si="0"/>
        <v>0.81923415373170883</v>
      </c>
      <c r="C12" s="62">
        <f t="shared" si="1"/>
        <v>0.83640277445587186</v>
      </c>
      <c r="D12" s="62">
        <f t="shared" si="2"/>
        <v>0.84585563109227335</v>
      </c>
      <c r="E12" s="62">
        <f t="shared" si="3"/>
        <v>0.84742483164184768</v>
      </c>
      <c r="F12" s="62">
        <f t="shared" si="4"/>
        <v>0.84283586196426707</v>
      </c>
      <c r="G12" s="62">
        <f t="shared" si="5"/>
        <v>0.84092112966628563</v>
      </c>
      <c r="H12" s="62">
        <f t="shared" si="6"/>
        <v>0.84145446539957436</v>
      </c>
      <c r="I12" s="62">
        <f t="shared" si="7"/>
        <v>0.8378586488220735</v>
      </c>
      <c r="J12" s="62">
        <f t="shared" si="8"/>
        <v>0.83464970484601653</v>
      </c>
      <c r="K12" s="62">
        <f t="shared" si="9"/>
        <v>0.83189044401985612</v>
      </c>
    </row>
    <row r="13" spans="1:11" ht="15" customHeight="1">
      <c r="A13" s="9" t="s">
        <v>234</v>
      </c>
      <c r="B13" s="62">
        <f t="shared" si="0"/>
        <v>0.81923415373170883</v>
      </c>
      <c r="C13" s="62">
        <f t="shared" si="1"/>
        <v>0.82684488436700831</v>
      </c>
      <c r="D13" s="62">
        <f t="shared" si="2"/>
        <v>0.82447760640320533</v>
      </c>
      <c r="E13" s="62">
        <f t="shared" si="3"/>
        <v>0.84742483164184768</v>
      </c>
      <c r="F13" s="62">
        <f t="shared" si="4"/>
        <v>0.84283586196426707</v>
      </c>
      <c r="G13" s="62">
        <f t="shared" si="5"/>
        <v>0.84092112966628563</v>
      </c>
      <c r="H13" s="62">
        <f t="shared" si="6"/>
        <v>0.84145446539957436</v>
      </c>
      <c r="I13" s="62">
        <f t="shared" si="7"/>
        <v>0.8378586488220735</v>
      </c>
      <c r="J13" s="62">
        <f t="shared" si="8"/>
        <v>0.83464970484601653</v>
      </c>
      <c r="K13" s="62">
        <f t="shared" si="9"/>
        <v>0.83189044401985612</v>
      </c>
    </row>
    <row r="14" spans="1:11" ht="13.5" customHeight="1"/>
    <row r="15" spans="1:11" ht="15" customHeight="1">
      <c r="A15" s="12" t="s">
        <v>235</v>
      </c>
    </row>
    <row r="16" spans="1:11" ht="15" customHeight="1">
      <c r="A16" s="9" t="s">
        <v>228</v>
      </c>
      <c r="B16" s="62">
        <f t="shared" ref="B16:B22" si="10">B26/37580</f>
        <v>0.39760510910058544</v>
      </c>
      <c r="C16" s="62">
        <f t="shared" ref="C16:C22" si="11">C26/37842</f>
        <v>0.39199830875746527</v>
      </c>
      <c r="D16" s="62">
        <f t="shared" ref="D16:D22" si="12">D26/39293</f>
        <v>0.37518133000788945</v>
      </c>
      <c r="E16" s="62">
        <f t="shared" ref="E16:E22" si="13">E26/38659</f>
        <v>0.37854057269975944</v>
      </c>
      <c r="F16" s="62">
        <f t="shared" ref="F16:F22" si="14">F26/38996</f>
        <v>0.37288439839983589</v>
      </c>
      <c r="G16" s="62">
        <f t="shared" ref="G16:G22" si="15">G26/39398</f>
        <v>0.36633839281181785</v>
      </c>
      <c r="H16" s="62">
        <f t="shared" ref="H16:H22" si="16">H26/39427</f>
        <v>0.36335506125244121</v>
      </c>
      <c r="I16" s="62">
        <f t="shared" ref="I16:I22" si="17">I26/39689</f>
        <v>0.35836125878706948</v>
      </c>
      <c r="J16" s="62">
        <f t="shared" ref="J16:J22" si="18">J26/39920</f>
        <v>0.35360721442885773</v>
      </c>
      <c r="K16" s="62">
        <f t="shared" ref="K16:K22" si="19">K26/40097</f>
        <v>0.34935281941292368</v>
      </c>
    </row>
    <row r="17" spans="1:11" ht="15" customHeight="1">
      <c r="A17" s="9" t="s">
        <v>229</v>
      </c>
      <c r="B17" s="62">
        <f t="shared" si="10"/>
        <v>0.39760510910058544</v>
      </c>
      <c r="C17" s="62">
        <f t="shared" si="11"/>
        <v>0.45124464880291737</v>
      </c>
      <c r="D17" s="62">
        <f t="shared" si="12"/>
        <v>0.49469371134807727</v>
      </c>
      <c r="E17" s="62">
        <f t="shared" si="13"/>
        <v>0.49913344887348354</v>
      </c>
      <c r="F17" s="62">
        <f t="shared" si="14"/>
        <v>0.49169145553390092</v>
      </c>
      <c r="G17" s="62">
        <f t="shared" si="15"/>
        <v>0.48304482461038634</v>
      </c>
      <c r="H17" s="62">
        <f t="shared" si="16"/>
        <v>0.47908793466406269</v>
      </c>
      <c r="I17" s="62">
        <f t="shared" si="17"/>
        <v>0.4725490690115649</v>
      </c>
      <c r="J17" s="62">
        <f t="shared" si="18"/>
        <v>0.46625751503006013</v>
      </c>
      <c r="K17" s="62">
        <f t="shared" si="19"/>
        <v>0.46063296505973017</v>
      </c>
    </row>
    <row r="18" spans="1:11" ht="15" customHeight="1">
      <c r="A18" s="9" t="s">
        <v>230</v>
      </c>
      <c r="B18" s="62">
        <f t="shared" si="10"/>
        <v>0.39760510910058544</v>
      </c>
      <c r="C18" s="62">
        <f t="shared" si="11"/>
        <v>0.43034194809999471</v>
      </c>
      <c r="D18" s="62">
        <f t="shared" si="12"/>
        <v>0.4485786272364034</v>
      </c>
      <c r="E18" s="62">
        <f t="shared" si="13"/>
        <v>0.49913344887348354</v>
      </c>
      <c r="F18" s="62">
        <f t="shared" si="14"/>
        <v>0.49169145553390092</v>
      </c>
      <c r="G18" s="62">
        <f t="shared" si="15"/>
        <v>0.48304482461038634</v>
      </c>
      <c r="H18" s="62">
        <f t="shared" si="16"/>
        <v>0.47908793466406269</v>
      </c>
      <c r="I18" s="62">
        <f t="shared" si="17"/>
        <v>0.4725490690115649</v>
      </c>
      <c r="J18" s="62">
        <f t="shared" si="18"/>
        <v>0.46625751503006013</v>
      </c>
      <c r="K18" s="62">
        <f t="shared" si="19"/>
        <v>0.46063296505973017</v>
      </c>
    </row>
    <row r="19" spans="1:11" ht="15" customHeight="1">
      <c r="A19" s="9" t="s">
        <v>231</v>
      </c>
      <c r="B19" s="62">
        <f t="shared" si="10"/>
        <v>0.39760510910058544</v>
      </c>
      <c r="C19" s="62">
        <f t="shared" si="11"/>
        <v>0.47571481422757783</v>
      </c>
      <c r="D19" s="62">
        <f t="shared" si="12"/>
        <v>0.54152139057847459</v>
      </c>
      <c r="E19" s="62">
        <f t="shared" si="13"/>
        <v>0.5463928192658889</v>
      </c>
      <c r="F19" s="62">
        <f t="shared" si="14"/>
        <v>0.53823469073751151</v>
      </c>
      <c r="G19" s="62">
        <f t="shared" si="15"/>
        <v>0.52880856896289152</v>
      </c>
      <c r="H19" s="62">
        <f t="shared" si="16"/>
        <v>0.52448829482334436</v>
      </c>
      <c r="I19" s="62">
        <f t="shared" si="17"/>
        <v>0.51727178815288866</v>
      </c>
      <c r="J19" s="62">
        <f t="shared" si="18"/>
        <v>0.51039579158316628</v>
      </c>
      <c r="K19" s="62">
        <f t="shared" si="19"/>
        <v>0.5042771279646856</v>
      </c>
    </row>
    <row r="20" spans="1:11" ht="15" customHeight="1">
      <c r="A20" s="9" t="s">
        <v>232</v>
      </c>
      <c r="B20" s="62">
        <f t="shared" si="10"/>
        <v>0.39760510910058544</v>
      </c>
      <c r="C20" s="62">
        <f t="shared" si="11"/>
        <v>0.446673008826172</v>
      </c>
      <c r="D20" s="62">
        <f t="shared" si="12"/>
        <v>0.47980556333189117</v>
      </c>
      <c r="E20" s="62">
        <f t="shared" si="13"/>
        <v>0.5463928192658889</v>
      </c>
      <c r="F20" s="62">
        <f t="shared" si="14"/>
        <v>0.53823469073751151</v>
      </c>
      <c r="G20" s="62">
        <f t="shared" si="15"/>
        <v>0.52880856896289152</v>
      </c>
      <c r="H20" s="62">
        <f t="shared" si="16"/>
        <v>0.52448829482334436</v>
      </c>
      <c r="I20" s="62">
        <f t="shared" si="17"/>
        <v>0.51727178815288866</v>
      </c>
      <c r="J20" s="62">
        <f t="shared" si="18"/>
        <v>0.51039579158316628</v>
      </c>
      <c r="K20" s="62">
        <f t="shared" si="19"/>
        <v>0.5042771279646856</v>
      </c>
    </row>
    <row r="21" spans="1:11" ht="15" customHeight="1">
      <c r="A21" s="9" t="s">
        <v>233</v>
      </c>
      <c r="B21" s="62">
        <f t="shared" si="10"/>
        <v>0.39760510910058544</v>
      </c>
      <c r="C21" s="62">
        <f t="shared" si="11"/>
        <v>0.45941017916600602</v>
      </c>
      <c r="D21" s="62">
        <f t="shared" si="12"/>
        <v>0.51031990430865548</v>
      </c>
      <c r="E21" s="62">
        <f t="shared" si="13"/>
        <v>0.5148865723376187</v>
      </c>
      <c r="F21" s="62">
        <f t="shared" si="14"/>
        <v>0.50720586726843775</v>
      </c>
      <c r="G21" s="62">
        <f t="shared" si="15"/>
        <v>0.49829940606122136</v>
      </c>
      <c r="H21" s="62">
        <f t="shared" si="16"/>
        <v>0.49422984249372259</v>
      </c>
      <c r="I21" s="62">
        <f t="shared" si="17"/>
        <v>0.48746504069137542</v>
      </c>
      <c r="J21" s="62">
        <f t="shared" si="18"/>
        <v>0.48096192384769537</v>
      </c>
      <c r="K21" s="62">
        <f t="shared" si="19"/>
        <v>0.47519764570915529</v>
      </c>
    </row>
    <row r="22" spans="1:11" ht="15" customHeight="1">
      <c r="A22" s="9" t="s">
        <v>234</v>
      </c>
      <c r="B22" s="62">
        <f t="shared" si="10"/>
        <v>0.39760510910058544</v>
      </c>
      <c r="C22" s="62">
        <f t="shared" si="11"/>
        <v>0.43195391364092806</v>
      </c>
      <c r="D22" s="62">
        <f t="shared" si="12"/>
        <v>0.45165805614231541</v>
      </c>
      <c r="E22" s="62">
        <f t="shared" si="13"/>
        <v>0.5148865723376187</v>
      </c>
      <c r="F22" s="62">
        <f t="shared" si="14"/>
        <v>0.50720586726843775</v>
      </c>
      <c r="G22" s="62">
        <f t="shared" si="15"/>
        <v>0.49829940606122136</v>
      </c>
      <c r="H22" s="62">
        <f t="shared" si="16"/>
        <v>0.49422984249372259</v>
      </c>
      <c r="I22" s="62">
        <f t="shared" si="17"/>
        <v>0.48746504069137542</v>
      </c>
      <c r="J22" s="62">
        <f t="shared" si="18"/>
        <v>0.48096192384769537</v>
      </c>
      <c r="K22" s="62">
        <f t="shared" si="19"/>
        <v>0.47519764570915529</v>
      </c>
    </row>
    <row r="23" spans="1:11" ht="13.5" customHeight="1"/>
    <row r="24" spans="1:11" ht="15" customHeight="1">
      <c r="A24" s="12" t="s">
        <v>236</v>
      </c>
    </row>
    <row r="25" spans="1:11" ht="15" customHeight="1">
      <c r="A25" s="12" t="s">
        <v>14</v>
      </c>
      <c r="B25" s="12" t="s">
        <v>16</v>
      </c>
      <c r="C25" s="12" t="s">
        <v>17</v>
      </c>
      <c r="D25" s="12" t="s">
        <v>18</v>
      </c>
      <c r="E25" s="12" t="s">
        <v>19</v>
      </c>
      <c r="F25" s="12" t="s">
        <v>20</v>
      </c>
      <c r="G25" s="12" t="s">
        <v>21</v>
      </c>
      <c r="H25" s="12" t="s">
        <v>22</v>
      </c>
      <c r="I25" s="12" t="s">
        <v>23</v>
      </c>
      <c r="J25" s="12" t="s">
        <v>24</v>
      </c>
      <c r="K25" s="12" t="s">
        <v>25</v>
      </c>
    </row>
    <row r="26" spans="1:11" ht="15" customHeight="1">
      <c r="A26" s="9" t="s">
        <v>237</v>
      </c>
      <c r="B26" s="63">
        <f>IF(設定!$C$6="人口ビジョン",使用料マスタ!D18,使用料マスタ!D19)</f>
        <v>14942</v>
      </c>
      <c r="C26" s="63">
        <f>IF(設定!$C$6="人口ビジョン",使用料マスタ!E18,使用料マスタ!E19)</f>
        <v>14834</v>
      </c>
      <c r="D26" s="63">
        <f>IF(設定!$C$6="人口ビジョン",使用料マスタ!F18,使用料マスタ!F19)</f>
        <v>14742</v>
      </c>
      <c r="E26" s="63">
        <f>IF(設定!$C$6="人口ビジョン",使用料マスタ!G18,使用料マスタ!G19)</f>
        <v>14634</v>
      </c>
      <c r="F26" s="63">
        <f>IF(設定!$C$6="人口ビジョン",使用料マスタ!H18,使用料マスタ!H19)</f>
        <v>14541</v>
      </c>
      <c r="G26" s="63">
        <f>IF(設定!$C$6="人口ビジョン",使用料マスタ!I18,使用料マスタ!I19)</f>
        <v>14433</v>
      </c>
      <c r="H26" s="63">
        <f>IF(設定!$C$6="人口ビジョン",使用料マスタ!J18,使用料マスタ!J19)</f>
        <v>14326</v>
      </c>
      <c r="I26" s="63">
        <f>IF(設定!$C$6="人口ビジョン",使用料マスタ!K18,使用料マスタ!K19)</f>
        <v>14223</v>
      </c>
      <c r="J26" s="63">
        <f>IF(設定!$C$6="人口ビジョン",使用料マスタ!L18,使用料マスタ!L19)</f>
        <v>14116</v>
      </c>
      <c r="K26" s="63">
        <f>IF(設定!$C$6="人口ビジョン",使用料マスタ!M18,使用料マスタ!M19)</f>
        <v>14008</v>
      </c>
    </row>
    <row r="27" spans="1:11" ht="15" customHeight="1">
      <c r="A27" s="9" t="s">
        <v>238</v>
      </c>
      <c r="B27" s="63">
        <f>IF(設定!$C$6="人口ビジョン",使用料マスタ!D4,使用料マスタ!D10)</f>
        <v>14942</v>
      </c>
      <c r="C27" s="63">
        <f>IF(設定!$C$6="人口ビジョン",使用料マスタ!E4,使用料マスタ!E10)</f>
        <v>17076</v>
      </c>
      <c r="D27" s="63">
        <f>IF(設定!$C$6="人口ビジョン",使用料マスタ!F4,使用料マスタ!F10)</f>
        <v>19438</v>
      </c>
      <c r="E27" s="63">
        <f>IF(設定!$C$6="人口ビジョン",使用料マスタ!G4,使用料マスタ!G10)</f>
        <v>19296</v>
      </c>
      <c r="F27" s="63">
        <f>IF(設定!$C$6="人口ビジョン",使用料マスタ!H4,使用料マスタ!H10)</f>
        <v>19174</v>
      </c>
      <c r="G27" s="63">
        <f>IF(設定!$C$6="人口ビジョン",使用料マスタ!I4,使用料マスタ!I10)</f>
        <v>19031</v>
      </c>
      <c r="H27" s="63">
        <f>IF(設定!$C$6="人口ビジョン",使用料マスタ!J4,使用料マスタ!J10)</f>
        <v>18889</v>
      </c>
      <c r="I27" s="63">
        <f>IF(設定!$C$6="人口ビジョン",使用料マスタ!K4,使用料マスタ!K10)</f>
        <v>18755</v>
      </c>
      <c r="J27" s="63">
        <f>IF(設定!$C$6="人口ビジョン",使用料マスタ!L4,使用料マスタ!L10)</f>
        <v>18613</v>
      </c>
      <c r="K27" s="63">
        <f>IF(設定!$C$6="人口ビジョン",使用料マスタ!M4,使用料マスタ!M10)</f>
        <v>18470</v>
      </c>
    </row>
    <row r="28" spans="1:11" ht="15" customHeight="1">
      <c r="A28" s="9" t="s">
        <v>239</v>
      </c>
      <c r="B28" s="63">
        <f>IF(設定!$C$6="人口ビジョン",使用料マスタ!D5,使用料マスタ!D11)</f>
        <v>14942</v>
      </c>
      <c r="C28" s="63">
        <f>IF(設定!$C$6="人口ビジョン",使用料マスタ!E5,使用料マスタ!E11)</f>
        <v>16285</v>
      </c>
      <c r="D28" s="63">
        <f>IF(設定!$C$6="人口ビジョン",使用料マスタ!F5,使用料マスタ!F11)</f>
        <v>17626</v>
      </c>
      <c r="E28" s="63">
        <f>IF(設定!$C$6="人口ビジョン",使用料マスタ!G5,使用料マスタ!G11)</f>
        <v>19296</v>
      </c>
      <c r="F28" s="63">
        <f>IF(設定!$C$6="人口ビジョン",使用料マスタ!H5,使用料マスタ!H11)</f>
        <v>19174</v>
      </c>
      <c r="G28" s="63">
        <f>IF(設定!$C$6="人口ビジョン",使用料マスタ!I5,使用料マスタ!I11)</f>
        <v>19031</v>
      </c>
      <c r="H28" s="63">
        <f>IF(設定!$C$6="人口ビジョン",使用料マスタ!J5,使用料マスタ!J11)</f>
        <v>18889</v>
      </c>
      <c r="I28" s="63">
        <f>IF(設定!$C$6="人口ビジョン",使用料マスタ!K5,使用料マスタ!K11)</f>
        <v>18755</v>
      </c>
      <c r="J28" s="63">
        <f>IF(設定!$C$6="人口ビジョン",使用料マスタ!L5,使用料マスタ!L11)</f>
        <v>18613</v>
      </c>
      <c r="K28" s="63">
        <f>IF(設定!$C$6="人口ビジョン",使用料マスタ!M5,使用料マスタ!M11)</f>
        <v>18470</v>
      </c>
    </row>
    <row r="29" spans="1:11" ht="15" customHeight="1">
      <c r="A29" s="9" t="s">
        <v>240</v>
      </c>
      <c r="B29" s="63">
        <f>IF(設定!$C$6="人口ビジョン",使用料マスタ!D6,使用料マスタ!D12)</f>
        <v>14942</v>
      </c>
      <c r="C29" s="63">
        <f>IF(設定!$C$6="人口ビジョン",使用料マスタ!E6,使用料マスタ!E12)</f>
        <v>18002</v>
      </c>
      <c r="D29" s="63">
        <f>IF(設定!$C$6="人口ビジョン",使用料マスタ!F6,使用料マスタ!F12)</f>
        <v>21278</v>
      </c>
      <c r="E29" s="63">
        <f>IF(設定!$C$6="人口ビジョン",使用料マスタ!G6,使用料マスタ!G12)</f>
        <v>21123</v>
      </c>
      <c r="F29" s="63">
        <f>IF(設定!$C$6="人口ビジョン",使用料マスタ!H6,使用料マスタ!H12)</f>
        <v>20989</v>
      </c>
      <c r="G29" s="63">
        <f>IF(設定!$C$6="人口ビジョン",使用料マスタ!I6,使用料マスタ!I12)</f>
        <v>20834</v>
      </c>
      <c r="H29" s="63">
        <f>IF(設定!$C$6="人口ビジョン",使用料マスタ!J6,使用料マスタ!J12)</f>
        <v>20679</v>
      </c>
      <c r="I29" s="63">
        <f>IF(設定!$C$6="人口ビジョン",使用料マスタ!K6,使用料マスタ!K12)</f>
        <v>20530</v>
      </c>
      <c r="J29" s="63">
        <f>IF(設定!$C$6="人口ビジョン",使用料マスタ!L6,使用料マスタ!L12)</f>
        <v>20375</v>
      </c>
      <c r="K29" s="63">
        <f>IF(設定!$C$6="人口ビジョン",使用料マスタ!M6,使用料マスタ!M12)</f>
        <v>20220</v>
      </c>
    </row>
    <row r="30" spans="1:11" ht="15" customHeight="1">
      <c r="A30" s="9" t="s">
        <v>241</v>
      </c>
      <c r="B30" s="63">
        <f>IF(設定!$C$6="人口ビジョン",使用料マスタ!D7,使用料マスタ!D13)</f>
        <v>14942</v>
      </c>
      <c r="C30" s="63">
        <f>IF(設定!$C$6="人口ビジョン",使用料マスタ!E7,使用料マスタ!E13)</f>
        <v>16903</v>
      </c>
      <c r="D30" s="63">
        <f>IF(設定!$C$6="人口ビジョン",使用料マスタ!F7,使用料マスタ!F13)</f>
        <v>18853</v>
      </c>
      <c r="E30" s="63">
        <f>IF(設定!$C$6="人口ビジョン",使用料マスタ!G7,使用料マスタ!G13)</f>
        <v>21123</v>
      </c>
      <c r="F30" s="63">
        <f>IF(設定!$C$6="人口ビジョン",使用料マスタ!H7,使用料マスタ!H13)</f>
        <v>20989</v>
      </c>
      <c r="G30" s="63">
        <f>IF(設定!$C$6="人口ビジョン",使用料マスタ!I7,使用料マスタ!I13)</f>
        <v>20834</v>
      </c>
      <c r="H30" s="63">
        <f>IF(設定!$C$6="人口ビジョン",使用料マスタ!J7,使用料マスタ!J13)</f>
        <v>20679</v>
      </c>
      <c r="I30" s="63">
        <f>IF(設定!$C$6="人口ビジョン",使用料マスタ!K7,使用料マスタ!K13)</f>
        <v>20530</v>
      </c>
      <c r="J30" s="63">
        <f>IF(設定!$C$6="人口ビジョン",使用料マスタ!L7,使用料マスタ!L13)</f>
        <v>20375</v>
      </c>
      <c r="K30" s="63">
        <f>IF(設定!$C$6="人口ビジョン",使用料マスタ!M7,使用料マスタ!M13)</f>
        <v>20220</v>
      </c>
    </row>
    <row r="31" spans="1:11" ht="15" customHeight="1">
      <c r="A31" s="9" t="s">
        <v>242</v>
      </c>
      <c r="B31" s="63">
        <f>IF(設定!$C$6="人口ビジョン",使用料マスタ!D8,使用料マスタ!D14)</f>
        <v>14942</v>
      </c>
      <c r="C31" s="63">
        <f>IF(設定!$C$6="人口ビジョン",使用料マスタ!E8,使用料マスタ!E14)</f>
        <v>17385</v>
      </c>
      <c r="D31" s="63">
        <f>IF(設定!$C$6="人口ビジョン",使用料マスタ!F8,使用料マスタ!F14)</f>
        <v>20052</v>
      </c>
      <c r="E31" s="63">
        <f>IF(設定!$C$6="人口ビジョン",使用料マスタ!G8,使用料マスタ!G14)</f>
        <v>19905</v>
      </c>
      <c r="F31" s="63">
        <f>IF(設定!$C$6="人口ビジョン",使用料マスタ!H8,使用料マスタ!H14)</f>
        <v>19779</v>
      </c>
      <c r="G31" s="63">
        <f>IF(設定!$C$6="人口ビジョン",使用料マスタ!I8,使用料マスタ!I14)</f>
        <v>19632</v>
      </c>
      <c r="H31" s="63">
        <f>IF(設定!$C$6="人口ビジョン",使用料マスタ!J8,使用料マスタ!J14)</f>
        <v>19486</v>
      </c>
      <c r="I31" s="63">
        <f>IF(設定!$C$6="人口ビジョン",使用料マスタ!K8,使用料マスタ!K14)</f>
        <v>19347</v>
      </c>
      <c r="J31" s="63">
        <f>IF(設定!$C$6="人口ビジョン",使用料マスタ!L8,使用料マスタ!L14)</f>
        <v>19200</v>
      </c>
      <c r="K31" s="63">
        <f>IF(設定!$C$6="人口ビジョン",使用料マスタ!M8,使用料マスタ!M14)</f>
        <v>19054</v>
      </c>
    </row>
    <row r="32" spans="1:11" ht="15" customHeight="1">
      <c r="A32" s="9" t="s">
        <v>243</v>
      </c>
      <c r="B32" s="63">
        <f>IF(設定!$C$6="人口ビジョン",使用料マスタ!D9,使用料マスタ!D15)</f>
        <v>14942</v>
      </c>
      <c r="C32" s="63">
        <f>IF(設定!$C$6="人口ビジョン",使用料マスタ!E9,使用料マスタ!E15)</f>
        <v>16346</v>
      </c>
      <c r="D32" s="63">
        <f>IF(設定!$C$6="人口ビジョン",使用料マスタ!F9,使用料マスタ!F15)</f>
        <v>17747</v>
      </c>
      <c r="E32" s="63">
        <f>IF(設定!$C$6="人口ビジョン",使用料マスタ!G9,使用料マスタ!G15)</f>
        <v>19905</v>
      </c>
      <c r="F32" s="63">
        <f>IF(設定!$C$6="人口ビジョン",使用料マスタ!H9,使用料マスタ!H15)</f>
        <v>19779</v>
      </c>
      <c r="G32" s="63">
        <f>IF(設定!$C$6="人口ビジョン",使用料マスタ!I9,使用料マスタ!I15)</f>
        <v>19632</v>
      </c>
      <c r="H32" s="63">
        <f>IF(設定!$C$6="人口ビジョン",使用料マスタ!J9,使用料マスタ!J15)</f>
        <v>19486</v>
      </c>
      <c r="I32" s="63">
        <f>IF(設定!$C$6="人口ビジョン",使用料マスタ!K9,使用料マスタ!K15)</f>
        <v>19347</v>
      </c>
      <c r="J32" s="63">
        <f>IF(設定!$C$6="人口ビジョン",使用料マスタ!L9,使用料マスタ!L15)</f>
        <v>19200</v>
      </c>
      <c r="K32" s="63">
        <f>IF(設定!$C$6="人口ビジョン",使用料マスタ!M9,使用料マスタ!M15)</f>
        <v>19054</v>
      </c>
    </row>
    <row r="33" spans="1:11" ht="13.5" customHeight="1"/>
    <row r="34" spans="1:11" ht="15" customHeight="1">
      <c r="A34" s="9" t="s">
        <v>244</v>
      </c>
      <c r="B34" s="64">
        <v>37580</v>
      </c>
      <c r="C34" s="64">
        <v>37842</v>
      </c>
      <c r="D34" s="64">
        <v>39293</v>
      </c>
      <c r="E34" s="64">
        <v>38659</v>
      </c>
      <c r="F34" s="64">
        <v>38996</v>
      </c>
      <c r="G34" s="64">
        <v>39398</v>
      </c>
      <c r="H34" s="64">
        <v>39427</v>
      </c>
      <c r="I34" s="64">
        <v>39689</v>
      </c>
      <c r="J34" s="64">
        <v>39920</v>
      </c>
      <c r="K34" s="64">
        <v>40097</v>
      </c>
    </row>
    <row r="35" spans="1:11" ht="15" customHeight="1">
      <c r="A35" s="9" t="s">
        <v>245</v>
      </c>
      <c r="B35" s="64">
        <v>110231</v>
      </c>
      <c r="C35" s="64">
        <v>108706</v>
      </c>
      <c r="D35" s="64">
        <v>107821</v>
      </c>
      <c r="E35" s="64">
        <v>105430</v>
      </c>
      <c r="F35" s="64">
        <v>105393</v>
      </c>
      <c r="G35" s="64">
        <v>107607</v>
      </c>
      <c r="H35" s="64">
        <v>109016</v>
      </c>
      <c r="I35" s="64">
        <v>109090</v>
      </c>
      <c r="J35" s="64">
        <v>109266</v>
      </c>
      <c r="K35" s="64">
        <v>109387</v>
      </c>
    </row>
  </sheetData>
  <phoneticPr fontId="43"/>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60"/>
  <sheetViews>
    <sheetView zoomScaleNormal="100" workbookViewId="0">
      <selection activeCell="C12" sqref="C12"/>
    </sheetView>
  </sheetViews>
  <sheetFormatPr defaultColWidth="8.5546875" defaultRowHeight="13.2"/>
  <cols>
    <col min="1" max="1" width="24" customWidth="1"/>
    <col min="2" max="11" width="13" customWidth="1"/>
  </cols>
  <sheetData>
    <row r="1" spans="1:11" ht="16.5" customHeight="1">
      <c r="A1" s="91" t="s">
        <v>246</v>
      </c>
      <c r="B1" s="82"/>
      <c r="C1" s="82"/>
      <c r="D1" s="82"/>
      <c r="E1" s="82"/>
      <c r="F1" s="82"/>
      <c r="G1" s="82"/>
      <c r="H1" s="82"/>
      <c r="I1" s="82"/>
      <c r="J1" s="82"/>
      <c r="K1" s="82"/>
    </row>
    <row r="2" spans="1:11" ht="15" customHeight="1">
      <c r="A2" s="12" t="s">
        <v>188</v>
      </c>
    </row>
    <row r="3" spans="1:11" ht="13.5" customHeight="1"/>
    <row r="4" spans="1:11" ht="15" customHeight="1">
      <c r="A4" s="12" t="s">
        <v>189</v>
      </c>
      <c r="B4" s="61" t="s">
        <v>16</v>
      </c>
      <c r="C4" s="61" t="s">
        <v>17</v>
      </c>
      <c r="D4" s="61" t="s">
        <v>18</v>
      </c>
      <c r="E4" s="61" t="s">
        <v>19</v>
      </c>
      <c r="F4" s="61" t="s">
        <v>20</v>
      </c>
      <c r="G4" s="61" t="s">
        <v>21</v>
      </c>
      <c r="H4" s="61" t="s">
        <v>22</v>
      </c>
      <c r="I4" s="61" t="s">
        <v>23</v>
      </c>
      <c r="J4" s="61" t="s">
        <v>24</v>
      </c>
      <c r="K4" s="61" t="s">
        <v>25</v>
      </c>
    </row>
    <row r="5" spans="1:11" ht="15" customHeight="1">
      <c r="A5" s="65" t="s">
        <v>190</v>
      </c>
      <c r="B5" s="66">
        <v>2025</v>
      </c>
      <c r="C5" s="66">
        <v>2026</v>
      </c>
      <c r="D5" s="66">
        <v>2027</v>
      </c>
      <c r="E5" s="66">
        <v>2028</v>
      </c>
      <c r="F5" s="66">
        <v>2029</v>
      </c>
      <c r="G5" s="66">
        <v>2030</v>
      </c>
      <c r="H5" s="66">
        <v>2031</v>
      </c>
      <c r="I5" s="66">
        <v>2032</v>
      </c>
      <c r="J5" s="66">
        <v>2033</v>
      </c>
      <c r="K5" s="66">
        <v>2034</v>
      </c>
    </row>
    <row r="6" spans="1:11" ht="15" customHeight="1">
      <c r="A6" s="12" t="s">
        <v>201</v>
      </c>
    </row>
    <row r="7" spans="1:11" ht="15" customHeight="1">
      <c r="A7" s="12" t="s">
        <v>202</v>
      </c>
      <c r="B7" s="67">
        <f t="shared" ref="B7:K7" si="0">SUM(B8:B10)</f>
        <v>17886.900000000001</v>
      </c>
      <c r="C7" s="67">
        <f t="shared" si="0"/>
        <v>20253.3</v>
      </c>
      <c r="D7" s="67">
        <f t="shared" si="0"/>
        <v>20116.8</v>
      </c>
      <c r="E7" s="67">
        <f t="shared" si="0"/>
        <v>19989.900000000001</v>
      </c>
      <c r="F7" s="67">
        <f t="shared" si="0"/>
        <v>19848.400000000001</v>
      </c>
      <c r="G7" s="67">
        <f t="shared" si="0"/>
        <v>19707.2</v>
      </c>
      <c r="H7" s="67">
        <f t="shared" si="0"/>
        <v>19572.2</v>
      </c>
      <c r="I7" s="67">
        <f t="shared" si="0"/>
        <v>19430.900000000001</v>
      </c>
      <c r="J7" s="67">
        <f t="shared" si="0"/>
        <v>19288.3</v>
      </c>
      <c r="K7" s="67">
        <f t="shared" si="0"/>
        <v>19165.400000000001</v>
      </c>
    </row>
    <row r="8" spans="1:11" ht="15" customHeight="1">
      <c r="A8" s="9" t="s">
        <v>203</v>
      </c>
      <c r="B8" s="68">
        <v>17075.900000000001</v>
      </c>
      <c r="C8" s="68">
        <v>19438.3</v>
      </c>
      <c r="D8" s="68">
        <v>19295.8</v>
      </c>
      <c r="E8" s="68">
        <v>19173.900000000001</v>
      </c>
      <c r="F8" s="68">
        <v>19031.400000000001</v>
      </c>
      <c r="G8" s="68">
        <v>18889.2</v>
      </c>
      <c r="H8" s="68">
        <v>18755.2</v>
      </c>
      <c r="I8" s="68">
        <v>18612.900000000001</v>
      </c>
      <c r="J8" s="68">
        <v>18470.3</v>
      </c>
      <c r="K8" s="68">
        <v>18348.400000000001</v>
      </c>
    </row>
    <row r="9" spans="1:11" ht="15" customHeight="1">
      <c r="A9" s="9" t="s">
        <v>204</v>
      </c>
      <c r="B9" s="63">
        <v>799</v>
      </c>
      <c r="C9" s="63">
        <v>799</v>
      </c>
      <c r="D9" s="63">
        <v>799</v>
      </c>
      <c r="E9" s="63">
        <v>799</v>
      </c>
      <c r="F9" s="63">
        <v>799</v>
      </c>
      <c r="G9" s="63">
        <v>799</v>
      </c>
      <c r="H9" s="63">
        <v>799</v>
      </c>
      <c r="I9" s="63">
        <v>799</v>
      </c>
      <c r="J9" s="63">
        <v>799</v>
      </c>
      <c r="K9" s="63">
        <v>799</v>
      </c>
    </row>
    <row r="10" spans="1:11" ht="15" customHeight="1">
      <c r="A10" s="9" t="s">
        <v>205</v>
      </c>
      <c r="B10" s="63">
        <v>12</v>
      </c>
      <c r="C10" s="63">
        <v>16</v>
      </c>
      <c r="D10" s="63">
        <v>22</v>
      </c>
      <c r="E10" s="63">
        <v>17</v>
      </c>
      <c r="F10" s="63">
        <v>18</v>
      </c>
      <c r="G10" s="63">
        <v>19</v>
      </c>
      <c r="H10" s="63">
        <v>18</v>
      </c>
      <c r="I10" s="63">
        <v>19</v>
      </c>
      <c r="J10" s="63">
        <v>19</v>
      </c>
      <c r="K10" s="63">
        <v>18</v>
      </c>
    </row>
    <row r="11" spans="1:11" ht="15" customHeight="1">
      <c r="A11" s="9" t="s">
        <v>206</v>
      </c>
      <c r="B11" s="63">
        <v>74552</v>
      </c>
      <c r="C11" s="63">
        <v>72722</v>
      </c>
      <c r="D11" s="63">
        <v>70328</v>
      </c>
      <c r="E11" s="63">
        <v>68623</v>
      </c>
      <c r="F11" s="63">
        <v>68233</v>
      </c>
      <c r="G11" s="63">
        <v>70039</v>
      </c>
      <c r="H11" s="63">
        <v>71429</v>
      </c>
      <c r="I11" s="63">
        <v>71237</v>
      </c>
      <c r="J11" s="63">
        <v>71180</v>
      </c>
      <c r="K11" s="63">
        <v>71127</v>
      </c>
    </row>
    <row r="12" spans="1:11" ht="15" customHeight="1">
      <c r="A12" s="9" t="s">
        <v>207</v>
      </c>
      <c r="B12" s="63">
        <v>19236</v>
      </c>
      <c r="C12" s="63">
        <v>17406</v>
      </c>
      <c r="D12" s="63">
        <v>16252</v>
      </c>
      <c r="E12" s="63">
        <v>15096</v>
      </c>
      <c r="F12" s="63">
        <v>14864</v>
      </c>
      <c r="G12" s="63">
        <v>16067</v>
      </c>
      <c r="H12" s="63">
        <v>16944</v>
      </c>
      <c r="I12" s="63">
        <v>16879</v>
      </c>
      <c r="J12" s="63">
        <v>16885</v>
      </c>
      <c r="K12" s="63">
        <v>16871</v>
      </c>
    </row>
    <row r="13" spans="1:11" ht="15" customHeight="1">
      <c r="A13" s="9" t="s">
        <v>208</v>
      </c>
      <c r="B13" s="63">
        <v>55286</v>
      </c>
      <c r="C13" s="63">
        <v>55286</v>
      </c>
      <c r="D13" s="63">
        <v>54046</v>
      </c>
      <c r="E13" s="63">
        <v>53497</v>
      </c>
      <c r="F13" s="63">
        <v>53339</v>
      </c>
      <c r="G13" s="63">
        <v>53942</v>
      </c>
      <c r="H13" s="63">
        <v>54455</v>
      </c>
      <c r="I13" s="63">
        <v>54328</v>
      </c>
      <c r="J13" s="63">
        <v>54265</v>
      </c>
      <c r="K13" s="63">
        <v>54226</v>
      </c>
    </row>
    <row r="14" spans="1:11" ht="15" customHeight="1">
      <c r="A14" s="9" t="s">
        <v>205</v>
      </c>
      <c r="B14" s="63">
        <v>30</v>
      </c>
      <c r="C14" s="63">
        <v>30</v>
      </c>
      <c r="D14" s="63">
        <v>30</v>
      </c>
      <c r="E14" s="63">
        <v>30</v>
      </c>
      <c r="F14" s="63">
        <v>30</v>
      </c>
      <c r="G14" s="63">
        <v>30</v>
      </c>
      <c r="H14" s="63">
        <v>30</v>
      </c>
      <c r="I14" s="63">
        <v>30</v>
      </c>
      <c r="J14" s="63">
        <v>30</v>
      </c>
      <c r="K14" s="63">
        <v>30</v>
      </c>
    </row>
    <row r="15" spans="1:11" ht="15" customHeight="1">
      <c r="A15" s="12" t="s">
        <v>209</v>
      </c>
      <c r="B15" s="67">
        <f t="shared" ref="B15:K15" si="1">B7+B11</f>
        <v>92438.9</v>
      </c>
      <c r="C15" s="67">
        <f t="shared" si="1"/>
        <v>92975.3</v>
      </c>
      <c r="D15" s="67">
        <f t="shared" si="1"/>
        <v>90444.800000000003</v>
      </c>
      <c r="E15" s="67">
        <f t="shared" si="1"/>
        <v>88612.9</v>
      </c>
      <c r="F15" s="67">
        <f t="shared" si="1"/>
        <v>88081.4</v>
      </c>
      <c r="G15" s="67">
        <f t="shared" si="1"/>
        <v>89746.2</v>
      </c>
      <c r="H15" s="67">
        <f t="shared" si="1"/>
        <v>91001.2</v>
      </c>
      <c r="I15" s="67">
        <f t="shared" si="1"/>
        <v>90667.9</v>
      </c>
      <c r="J15" s="67">
        <f t="shared" si="1"/>
        <v>90468.3</v>
      </c>
      <c r="K15" s="67">
        <f t="shared" si="1"/>
        <v>90292.4</v>
      </c>
    </row>
    <row r="16" spans="1:11" ht="13.5" customHeight="1"/>
    <row r="17" spans="1:11" ht="15" customHeight="1">
      <c r="A17" s="12" t="s">
        <v>210</v>
      </c>
    </row>
    <row r="18" spans="1:11" ht="15" customHeight="1">
      <c r="A18" s="9" t="s">
        <v>211</v>
      </c>
      <c r="B18" s="63">
        <v>105309</v>
      </c>
      <c r="C18" s="63">
        <v>105588</v>
      </c>
      <c r="D18" s="63">
        <v>106021</v>
      </c>
      <c r="E18" s="63">
        <v>104538</v>
      </c>
      <c r="F18" s="63">
        <v>104463</v>
      </c>
      <c r="G18" s="63">
        <v>106466</v>
      </c>
      <c r="H18" s="63">
        <v>107989</v>
      </c>
      <c r="I18" s="63">
        <v>108068</v>
      </c>
      <c r="J18" s="63">
        <v>108251</v>
      </c>
      <c r="K18" s="63">
        <v>108395</v>
      </c>
    </row>
    <row r="19" spans="1:11" ht="15" customHeight="1">
      <c r="A19" s="9" t="s">
        <v>212</v>
      </c>
      <c r="B19" s="63">
        <v>37580</v>
      </c>
      <c r="C19" s="63">
        <v>37842</v>
      </c>
      <c r="D19" s="63">
        <v>39293</v>
      </c>
      <c r="E19" s="63">
        <v>38659</v>
      </c>
      <c r="F19" s="63">
        <v>38996</v>
      </c>
      <c r="G19" s="63">
        <v>39398</v>
      </c>
      <c r="H19" s="63">
        <v>39427</v>
      </c>
      <c r="I19" s="63">
        <v>39689</v>
      </c>
      <c r="J19" s="63">
        <v>39920</v>
      </c>
      <c r="K19" s="63">
        <v>40097</v>
      </c>
    </row>
    <row r="20" spans="1:11" ht="15" customHeight="1">
      <c r="A20" s="57" t="s">
        <v>213</v>
      </c>
      <c r="B20" s="13">
        <v>6082</v>
      </c>
      <c r="C20" s="13">
        <v>6192</v>
      </c>
      <c r="D20" s="13">
        <v>6198</v>
      </c>
      <c r="E20" s="13">
        <v>6257</v>
      </c>
      <c r="F20" s="13">
        <v>6290</v>
      </c>
      <c r="G20" s="13">
        <v>6336</v>
      </c>
      <c r="H20" s="13">
        <v>6376</v>
      </c>
      <c r="I20" s="13">
        <v>6420</v>
      </c>
      <c r="J20" s="13">
        <v>6462</v>
      </c>
      <c r="K20" s="13">
        <v>6506</v>
      </c>
    </row>
    <row r="21" spans="1:11" ht="15" customHeight="1">
      <c r="A21" s="57" t="s">
        <v>214</v>
      </c>
      <c r="B21" s="13">
        <v>195</v>
      </c>
      <c r="C21" s="13">
        <v>256</v>
      </c>
      <c r="D21" s="13">
        <v>311</v>
      </c>
      <c r="E21" s="13">
        <v>257</v>
      </c>
      <c r="F21" s="13">
        <v>277</v>
      </c>
      <c r="G21" s="13">
        <v>284</v>
      </c>
      <c r="H21" s="13">
        <v>275</v>
      </c>
      <c r="I21" s="13">
        <v>282</v>
      </c>
      <c r="J21" s="13">
        <v>283</v>
      </c>
      <c r="K21" s="13">
        <v>283</v>
      </c>
    </row>
    <row r="22" spans="1:11" ht="15" customHeight="1">
      <c r="A22" s="57" t="s">
        <v>215</v>
      </c>
      <c r="B22" s="13">
        <v>31303</v>
      </c>
      <c r="C22" s="13">
        <v>31394</v>
      </c>
      <c r="D22" s="13">
        <v>32784</v>
      </c>
      <c r="E22" s="13">
        <v>32145</v>
      </c>
      <c r="F22" s="13">
        <v>32429</v>
      </c>
      <c r="G22" s="13">
        <v>32777</v>
      </c>
      <c r="H22" s="13">
        <v>32775</v>
      </c>
      <c r="I22" s="13">
        <v>32987</v>
      </c>
      <c r="J22" s="13">
        <v>33175</v>
      </c>
      <c r="K22" s="13">
        <v>33309</v>
      </c>
    </row>
    <row r="23" spans="1:11" ht="15" customHeight="1">
      <c r="A23" s="9" t="s">
        <v>216</v>
      </c>
      <c r="B23" s="63">
        <v>67729</v>
      </c>
      <c r="C23" s="63">
        <v>67746</v>
      </c>
      <c r="D23" s="63">
        <v>66728</v>
      </c>
      <c r="E23" s="63">
        <v>65879</v>
      </c>
      <c r="F23" s="63">
        <v>65467</v>
      </c>
      <c r="G23" s="63">
        <v>67068</v>
      </c>
      <c r="H23" s="63">
        <v>68562</v>
      </c>
      <c r="I23" s="63">
        <v>68379</v>
      </c>
      <c r="J23" s="63">
        <v>68331</v>
      </c>
      <c r="K23" s="63">
        <v>68298</v>
      </c>
    </row>
    <row r="24" spans="1:11" ht="15" customHeight="1">
      <c r="A24" s="9" t="s">
        <v>217</v>
      </c>
      <c r="B24" s="63">
        <v>4922</v>
      </c>
      <c r="C24" s="63">
        <v>3118</v>
      </c>
      <c r="D24" s="63">
        <v>1800</v>
      </c>
      <c r="E24" s="63">
        <v>892</v>
      </c>
      <c r="F24" s="63">
        <v>930</v>
      </c>
      <c r="G24" s="63">
        <v>1141</v>
      </c>
      <c r="H24" s="63">
        <v>1027</v>
      </c>
      <c r="I24" s="63">
        <v>1022</v>
      </c>
      <c r="J24" s="63">
        <v>1014</v>
      </c>
      <c r="K24" s="63">
        <v>992</v>
      </c>
    </row>
    <row r="25" spans="1:11" ht="15" customHeight="1">
      <c r="A25" s="9" t="s">
        <v>218</v>
      </c>
      <c r="B25" s="63">
        <v>4793</v>
      </c>
      <c r="C25" s="63">
        <v>2946</v>
      </c>
      <c r="D25" s="63">
        <v>1570</v>
      </c>
      <c r="E25" s="63">
        <v>714</v>
      </c>
      <c r="F25" s="63">
        <v>736</v>
      </c>
      <c r="G25" s="63">
        <v>941</v>
      </c>
      <c r="H25" s="63">
        <v>837</v>
      </c>
      <c r="I25" s="63">
        <v>828</v>
      </c>
      <c r="J25" s="63">
        <v>819</v>
      </c>
      <c r="K25" s="63">
        <v>799</v>
      </c>
    </row>
    <row r="26" spans="1:11" ht="15" customHeight="1">
      <c r="A26" s="9" t="s">
        <v>219</v>
      </c>
      <c r="B26" s="63">
        <v>129</v>
      </c>
      <c r="C26" s="63">
        <v>172</v>
      </c>
      <c r="D26" s="63">
        <v>230</v>
      </c>
      <c r="E26" s="63">
        <v>177</v>
      </c>
      <c r="F26" s="63">
        <v>193</v>
      </c>
      <c r="G26" s="63">
        <v>200</v>
      </c>
      <c r="H26" s="63">
        <v>190</v>
      </c>
      <c r="I26" s="63">
        <v>195</v>
      </c>
      <c r="J26" s="63">
        <v>195</v>
      </c>
      <c r="K26" s="63">
        <v>193</v>
      </c>
    </row>
    <row r="27" spans="1:11" ht="15" customHeight="1">
      <c r="A27" s="9" t="s">
        <v>220</v>
      </c>
      <c r="B27" s="67">
        <f t="shared" ref="B27:K27" si="2">B18+B24</f>
        <v>110231</v>
      </c>
      <c r="C27" s="67">
        <f t="shared" si="2"/>
        <v>108706</v>
      </c>
      <c r="D27" s="67">
        <f t="shared" si="2"/>
        <v>107821</v>
      </c>
      <c r="E27" s="67">
        <f t="shared" si="2"/>
        <v>105430</v>
      </c>
      <c r="F27" s="67">
        <f t="shared" si="2"/>
        <v>105393</v>
      </c>
      <c r="G27" s="67">
        <f t="shared" si="2"/>
        <v>107607</v>
      </c>
      <c r="H27" s="67">
        <f t="shared" si="2"/>
        <v>109016</v>
      </c>
      <c r="I27" s="67">
        <f t="shared" si="2"/>
        <v>109090</v>
      </c>
      <c r="J27" s="67">
        <f t="shared" si="2"/>
        <v>109265</v>
      </c>
      <c r="K27" s="67">
        <f t="shared" si="2"/>
        <v>109387</v>
      </c>
    </row>
    <row r="28" spans="1:11" ht="15" customHeight="1"/>
    <row r="29" spans="1:11" ht="15" customHeight="1">
      <c r="A29" s="12" t="s">
        <v>221</v>
      </c>
      <c r="B29" s="69">
        <f t="shared" ref="B29:K29" si="3">B15-B27</f>
        <v>-17792.100000000006</v>
      </c>
      <c r="C29" s="69">
        <f t="shared" si="3"/>
        <v>-15730.699999999997</v>
      </c>
      <c r="D29" s="69">
        <f t="shared" si="3"/>
        <v>-17376.199999999997</v>
      </c>
      <c r="E29" s="69">
        <f t="shared" si="3"/>
        <v>-16817.100000000006</v>
      </c>
      <c r="F29" s="69">
        <f t="shared" si="3"/>
        <v>-17311.600000000006</v>
      </c>
      <c r="G29" s="69">
        <f t="shared" si="3"/>
        <v>-17860.800000000003</v>
      </c>
      <c r="H29" s="69">
        <f t="shared" si="3"/>
        <v>-18014.800000000003</v>
      </c>
      <c r="I29" s="69">
        <f t="shared" si="3"/>
        <v>-18422.100000000006</v>
      </c>
      <c r="J29" s="69">
        <f t="shared" si="3"/>
        <v>-18796.699999999997</v>
      </c>
      <c r="K29" s="69">
        <f t="shared" si="3"/>
        <v>-19094.600000000006</v>
      </c>
    </row>
    <row r="30" spans="1:11" ht="15" customHeight="1"/>
    <row r="31" spans="1:11" ht="15" customHeight="1">
      <c r="A31" s="12" t="s">
        <v>222</v>
      </c>
      <c r="B31" s="70">
        <f t="shared" ref="B31:K31" si="4">B15/B27</f>
        <v>0.83859259192060309</v>
      </c>
      <c r="C31" s="70">
        <f t="shared" si="4"/>
        <v>0.85529133626478759</v>
      </c>
      <c r="D31" s="70">
        <f t="shared" si="4"/>
        <v>0.83884215505328275</v>
      </c>
      <c r="E31" s="70">
        <f t="shared" si="4"/>
        <v>0.8404903727591766</v>
      </c>
      <c r="F31" s="70">
        <f t="shared" si="4"/>
        <v>0.83574241173512465</v>
      </c>
      <c r="G31" s="70">
        <f t="shared" si="4"/>
        <v>0.83401823301458078</v>
      </c>
      <c r="H31" s="70">
        <f t="shared" si="4"/>
        <v>0.83475086225875095</v>
      </c>
      <c r="I31" s="70">
        <f t="shared" si="4"/>
        <v>0.83112934274452277</v>
      </c>
      <c r="J31" s="70">
        <f t="shared" si="4"/>
        <v>0.82797144556811419</v>
      </c>
      <c r="K31" s="70">
        <f t="shared" si="4"/>
        <v>0.82543995173101004</v>
      </c>
    </row>
    <row r="32" spans="1:11" ht="12.75" customHeight="1">
      <c r="A32" s="9" t="s">
        <v>223</v>
      </c>
      <c r="B32" s="63">
        <v>37580</v>
      </c>
      <c r="C32" s="63">
        <v>37842</v>
      </c>
      <c r="D32" s="63">
        <v>39293</v>
      </c>
      <c r="E32" s="63">
        <v>38659</v>
      </c>
      <c r="F32" s="63">
        <v>38996</v>
      </c>
      <c r="G32" s="63">
        <v>39398</v>
      </c>
      <c r="H32" s="63">
        <v>39427</v>
      </c>
      <c r="I32" s="63">
        <v>39689</v>
      </c>
      <c r="J32" s="63">
        <v>39920</v>
      </c>
      <c r="K32" s="63">
        <v>40097</v>
      </c>
    </row>
    <row r="33" spans="1:11" ht="15" customHeight="1">
      <c r="A33" s="12" t="s">
        <v>224</v>
      </c>
      <c r="B33" s="70">
        <f t="shared" ref="B33:K33" si="5">B8/B32</f>
        <v>0.45438797232570521</v>
      </c>
      <c r="C33" s="70">
        <f t="shared" si="5"/>
        <v>0.51366999630040688</v>
      </c>
      <c r="D33" s="70">
        <f t="shared" si="5"/>
        <v>0.49107474613798896</v>
      </c>
      <c r="E33" s="70">
        <f t="shared" si="5"/>
        <v>0.49597506402131458</v>
      </c>
      <c r="F33" s="70">
        <f t="shared" si="5"/>
        <v>0.48803467022258695</v>
      </c>
      <c r="G33" s="70">
        <f t="shared" si="5"/>
        <v>0.47944565713995635</v>
      </c>
      <c r="H33" s="70">
        <f t="shared" si="5"/>
        <v>0.47569432115048066</v>
      </c>
      <c r="I33" s="70">
        <f t="shared" si="5"/>
        <v>0.4689687318904483</v>
      </c>
      <c r="J33" s="70">
        <f t="shared" si="5"/>
        <v>0.46268286573146289</v>
      </c>
      <c r="K33" s="70">
        <f t="shared" si="5"/>
        <v>0.45760031922587729</v>
      </c>
    </row>
    <row r="34" spans="1:11" ht="15" customHeight="1">
      <c r="A34" s="9" t="s">
        <v>32</v>
      </c>
      <c r="B34" s="63">
        <v>94131</v>
      </c>
      <c r="C34" s="63">
        <v>93463</v>
      </c>
      <c r="D34" s="63">
        <v>92868</v>
      </c>
      <c r="E34" s="63">
        <v>92200</v>
      </c>
      <c r="F34" s="63">
        <v>91605</v>
      </c>
      <c r="G34" s="63">
        <v>90937</v>
      </c>
      <c r="H34" s="63">
        <v>90268</v>
      </c>
      <c r="I34" s="63">
        <v>89600</v>
      </c>
      <c r="J34" s="63">
        <v>88931</v>
      </c>
      <c r="K34" s="63">
        <v>88262</v>
      </c>
    </row>
    <row r="35" spans="1:11" ht="13.5" customHeight="1"/>
    <row r="36" spans="1:11" ht="15" customHeight="1">
      <c r="A36" s="12" t="s">
        <v>247</v>
      </c>
    </row>
    <row r="37" spans="1:11" ht="15" customHeight="1">
      <c r="A37" s="71" t="s">
        <v>248</v>
      </c>
    </row>
    <row r="38" spans="1:11" ht="15" customHeight="1"/>
    <row r="39" spans="1:11" ht="15" customHeight="1">
      <c r="A39" s="12" t="s">
        <v>249</v>
      </c>
      <c r="B39" s="21"/>
      <c r="C39" s="21"/>
      <c r="D39" s="21"/>
      <c r="E39" s="21"/>
      <c r="F39" s="21"/>
      <c r="G39" s="21"/>
      <c r="H39" s="21"/>
      <c r="I39" s="21"/>
      <c r="J39" s="21"/>
      <c r="K39" s="21"/>
    </row>
    <row r="40" spans="1:11" ht="15" customHeight="1">
      <c r="A40" s="9" t="s">
        <v>250</v>
      </c>
      <c r="B40" s="21"/>
      <c r="C40" s="21"/>
      <c r="D40" s="21"/>
      <c r="E40" s="21"/>
      <c r="F40" s="21"/>
      <c r="G40" s="21"/>
      <c r="H40" s="21"/>
      <c r="I40" s="21"/>
      <c r="J40" s="21"/>
      <c r="K40" s="21"/>
    </row>
    <row r="41" spans="1:11" ht="15" customHeight="1">
      <c r="A41" s="9" t="s">
        <v>251</v>
      </c>
      <c r="B41" s="21"/>
      <c r="C41" s="21"/>
      <c r="D41" s="21"/>
      <c r="E41" s="21"/>
      <c r="F41" s="21"/>
      <c r="G41" s="21"/>
      <c r="H41" s="21"/>
      <c r="I41" s="21"/>
      <c r="J41" s="21"/>
      <c r="K41" s="21"/>
    </row>
    <row r="42" spans="1:11" ht="13.5" customHeight="1">
      <c r="A42" s="9" t="s">
        <v>252</v>
      </c>
      <c r="B42" s="21"/>
      <c r="C42" s="21"/>
      <c r="D42" s="21"/>
      <c r="E42" s="21"/>
      <c r="F42" s="21"/>
      <c r="G42" s="21"/>
      <c r="H42" s="21"/>
      <c r="I42" s="21"/>
      <c r="J42" s="21"/>
      <c r="K42" s="21"/>
    </row>
    <row r="43" spans="1:11" ht="15" customHeight="1">
      <c r="A43" s="9" t="s">
        <v>253</v>
      </c>
      <c r="B43" s="21"/>
      <c r="C43" s="21"/>
      <c r="D43" s="21"/>
      <c r="E43" s="21"/>
      <c r="F43" s="21"/>
      <c r="G43" s="21"/>
      <c r="H43" s="21"/>
      <c r="I43" s="21"/>
      <c r="J43" s="21"/>
      <c r="K43" s="21"/>
    </row>
    <row r="44" spans="1:11" ht="15" customHeight="1">
      <c r="A44" s="12" t="s">
        <v>254</v>
      </c>
      <c r="B44" s="21"/>
      <c r="C44" s="21"/>
      <c r="D44" s="21"/>
      <c r="E44" s="21"/>
      <c r="F44" s="21"/>
      <c r="G44" s="21"/>
      <c r="H44" s="21"/>
      <c r="I44" s="21"/>
      <c r="J44" s="21"/>
      <c r="K44" s="21"/>
    </row>
    <row r="45" spans="1:11" ht="15" customHeight="1"/>
    <row r="46" spans="1:11" ht="15" customHeight="1">
      <c r="A46" s="12" t="s">
        <v>255</v>
      </c>
      <c r="B46" s="21"/>
      <c r="C46" s="21"/>
      <c r="D46" s="21"/>
      <c r="E46" s="21"/>
      <c r="F46" s="21"/>
      <c r="G46" s="21"/>
      <c r="H46" s="21"/>
      <c r="I46" s="21"/>
      <c r="J46" s="21"/>
      <c r="K46" s="21"/>
    </row>
    <row r="47" spans="1:11" ht="15" customHeight="1">
      <c r="A47" s="9" t="s">
        <v>256</v>
      </c>
      <c r="B47" s="21"/>
      <c r="C47" s="21"/>
      <c r="D47" s="21"/>
      <c r="E47" s="21"/>
      <c r="F47" s="21"/>
      <c r="G47" s="21"/>
      <c r="H47" s="21"/>
      <c r="I47" s="21"/>
      <c r="J47" s="21"/>
      <c r="K47" s="21"/>
    </row>
    <row r="48" spans="1:11" ht="13.5" customHeight="1">
      <c r="A48" s="9" t="s">
        <v>257</v>
      </c>
      <c r="B48" s="21"/>
      <c r="C48" s="21"/>
      <c r="D48" s="21"/>
      <c r="E48" s="21"/>
      <c r="F48" s="21"/>
      <c r="G48" s="21"/>
      <c r="H48" s="21"/>
      <c r="I48" s="21"/>
      <c r="J48" s="21"/>
      <c r="K48" s="21"/>
    </row>
    <row r="49" spans="1:11" ht="15" customHeight="1">
      <c r="A49" s="9" t="s">
        <v>253</v>
      </c>
      <c r="B49" s="21"/>
      <c r="C49" s="21"/>
      <c r="D49" s="21"/>
      <c r="E49" s="21"/>
      <c r="F49" s="21"/>
      <c r="G49" s="21"/>
      <c r="H49" s="21"/>
      <c r="I49" s="21"/>
      <c r="J49" s="21"/>
      <c r="K49" s="21"/>
    </row>
    <row r="50" spans="1:11" ht="15" customHeight="1">
      <c r="A50" s="12" t="s">
        <v>258</v>
      </c>
      <c r="B50" s="21"/>
      <c r="C50" s="21"/>
      <c r="D50" s="21"/>
      <c r="E50" s="21"/>
      <c r="F50" s="21"/>
      <c r="G50" s="21"/>
      <c r="H50" s="21"/>
      <c r="I50" s="21"/>
      <c r="J50" s="21"/>
      <c r="K50" s="21"/>
    </row>
    <row r="51" spans="1:11" ht="15" customHeight="1"/>
    <row r="52" spans="1:11" ht="15" customHeight="1">
      <c r="A52" s="12" t="s">
        <v>259</v>
      </c>
      <c r="B52" s="21"/>
      <c r="C52" s="21"/>
      <c r="D52" s="21"/>
      <c r="E52" s="21"/>
      <c r="F52" s="21"/>
      <c r="G52" s="21"/>
      <c r="H52" s="21"/>
      <c r="I52" s="21"/>
      <c r="J52" s="21"/>
      <c r="K52" s="21"/>
    </row>
    <row r="53" spans="1:11" ht="15" customHeight="1"/>
    <row r="54" spans="1:11" ht="15" customHeight="1">
      <c r="A54" s="12" t="s">
        <v>260</v>
      </c>
      <c r="B54" s="21"/>
      <c r="C54" s="21"/>
      <c r="D54" s="21"/>
      <c r="E54" s="21"/>
      <c r="F54" s="21"/>
      <c r="G54" s="21"/>
      <c r="H54" s="21"/>
      <c r="I54" s="21"/>
      <c r="J54" s="21"/>
      <c r="K54" s="21"/>
    </row>
    <row r="55" spans="1:11" ht="15" customHeight="1">
      <c r="A55" s="9" t="s">
        <v>261</v>
      </c>
      <c r="B55" s="21"/>
      <c r="C55" s="21"/>
      <c r="D55" s="21"/>
      <c r="E55" s="21"/>
      <c r="F55" s="21"/>
      <c r="G55" s="21"/>
      <c r="H55" s="21"/>
      <c r="I55" s="21"/>
      <c r="J55" s="21"/>
      <c r="K55" s="21"/>
    </row>
    <row r="56" spans="1:11" ht="13.5" customHeight="1">
      <c r="A56" s="9" t="s">
        <v>262</v>
      </c>
      <c r="B56" s="21"/>
      <c r="C56" s="21"/>
      <c r="D56" s="21"/>
      <c r="E56" s="21"/>
      <c r="F56" s="21"/>
      <c r="G56" s="21"/>
      <c r="H56" s="21"/>
      <c r="I56" s="21"/>
      <c r="J56" s="21"/>
      <c r="K56" s="21"/>
    </row>
    <row r="57" spans="1:11" ht="15" customHeight="1">
      <c r="A57" s="9" t="s">
        <v>263</v>
      </c>
      <c r="B57" s="21"/>
      <c r="C57" s="21"/>
      <c r="D57" s="21"/>
      <c r="E57" s="21"/>
      <c r="F57" s="21"/>
      <c r="G57" s="21"/>
      <c r="H57" s="21"/>
      <c r="I57" s="21"/>
      <c r="J57" s="21"/>
      <c r="K57" s="21"/>
    </row>
    <row r="58" spans="1:11" ht="13.5" customHeight="1">
      <c r="A58" s="12" t="s">
        <v>264</v>
      </c>
      <c r="B58" s="21"/>
      <c r="C58" s="21"/>
      <c r="D58" s="21"/>
      <c r="E58" s="21"/>
      <c r="F58" s="21"/>
      <c r="G58" s="21"/>
      <c r="H58" s="21"/>
      <c r="I58" s="21"/>
      <c r="J58" s="21"/>
      <c r="K58" s="21"/>
    </row>
    <row r="59" spans="1:11" ht="13.5" customHeight="1"/>
    <row r="60" spans="1:11" ht="13.5" customHeight="1">
      <c r="A60" s="12" t="s">
        <v>265</v>
      </c>
      <c r="B60" s="21"/>
      <c r="C60" s="21"/>
      <c r="D60" s="21"/>
      <c r="E60" s="21"/>
      <c r="F60" s="21"/>
      <c r="G60" s="21"/>
      <c r="H60" s="21"/>
      <c r="I60" s="21"/>
      <c r="J60" s="21"/>
      <c r="K60" s="21"/>
    </row>
  </sheetData>
  <mergeCells count="1">
    <mergeCell ref="A1:K1"/>
  </mergeCells>
  <phoneticPr fontId="43"/>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60"/>
  <sheetViews>
    <sheetView zoomScaleNormal="100" workbookViewId="0">
      <selection activeCell="B8" sqref="B8"/>
    </sheetView>
  </sheetViews>
  <sheetFormatPr defaultColWidth="8.5546875" defaultRowHeight="13.2"/>
  <cols>
    <col min="1" max="1" width="24" customWidth="1"/>
    <col min="2" max="11" width="13" customWidth="1"/>
  </cols>
  <sheetData>
    <row r="1" spans="1:11" ht="16.5" customHeight="1">
      <c r="A1" s="91" t="s">
        <v>266</v>
      </c>
      <c r="B1" s="82"/>
      <c r="C1" s="82"/>
      <c r="D1" s="82"/>
      <c r="E1" s="82"/>
      <c r="F1" s="82"/>
      <c r="G1" s="82"/>
      <c r="H1" s="82"/>
      <c r="I1" s="82"/>
      <c r="J1" s="82"/>
      <c r="K1" s="82"/>
    </row>
    <row r="2" spans="1:11" ht="15" customHeight="1">
      <c r="A2" s="12" t="s">
        <v>188</v>
      </c>
    </row>
    <row r="3" spans="1:11" ht="13.5" customHeight="1"/>
    <row r="4" spans="1:11" ht="15" customHeight="1">
      <c r="A4" s="12" t="s">
        <v>189</v>
      </c>
      <c r="B4" s="61" t="s">
        <v>16</v>
      </c>
      <c r="C4" s="61" t="s">
        <v>17</v>
      </c>
      <c r="D4" s="61" t="s">
        <v>18</v>
      </c>
      <c r="E4" s="61" t="s">
        <v>19</v>
      </c>
      <c r="F4" s="61" t="s">
        <v>20</v>
      </c>
      <c r="G4" s="61" t="s">
        <v>21</v>
      </c>
      <c r="H4" s="61" t="s">
        <v>22</v>
      </c>
      <c r="I4" s="61" t="s">
        <v>23</v>
      </c>
      <c r="J4" s="61" t="s">
        <v>24</v>
      </c>
      <c r="K4" s="61" t="s">
        <v>25</v>
      </c>
    </row>
    <row r="5" spans="1:11" ht="15" customHeight="1">
      <c r="A5" s="65" t="s">
        <v>190</v>
      </c>
      <c r="B5" s="66">
        <v>2025</v>
      </c>
      <c r="C5" s="66">
        <v>2026</v>
      </c>
      <c r="D5" s="66">
        <v>2027</v>
      </c>
      <c r="E5" s="66">
        <v>2028</v>
      </c>
      <c r="F5" s="66">
        <v>2029</v>
      </c>
      <c r="G5" s="66">
        <v>2030</v>
      </c>
      <c r="H5" s="66">
        <v>2031</v>
      </c>
      <c r="I5" s="66">
        <v>2032</v>
      </c>
      <c r="J5" s="66">
        <v>2033</v>
      </c>
      <c r="K5" s="66">
        <v>2034</v>
      </c>
    </row>
    <row r="6" spans="1:11" ht="15" customHeight="1">
      <c r="A6" s="12" t="s">
        <v>201</v>
      </c>
    </row>
    <row r="7" spans="1:11" ht="15" customHeight="1">
      <c r="A7" s="12" t="s">
        <v>202</v>
      </c>
      <c r="B7" s="67">
        <f>SUM(B8:B10)</f>
        <v>17096.2</v>
      </c>
      <c r="C7" s="67">
        <f t="shared" ref="B7:K7" si="0">SUM(C8:C10)</f>
        <v>18441</v>
      </c>
      <c r="D7" s="67">
        <f t="shared" si="0"/>
        <v>20116.8</v>
      </c>
      <c r="E7" s="67">
        <f t="shared" si="0"/>
        <v>19989.900000000001</v>
      </c>
      <c r="F7" s="67">
        <f t="shared" si="0"/>
        <v>19848.400000000001</v>
      </c>
      <c r="G7" s="67">
        <f t="shared" si="0"/>
        <v>19707.2</v>
      </c>
      <c r="H7" s="67">
        <f t="shared" si="0"/>
        <v>19572.2</v>
      </c>
      <c r="I7" s="67">
        <f t="shared" si="0"/>
        <v>19430.900000000001</v>
      </c>
      <c r="J7" s="67">
        <f t="shared" si="0"/>
        <v>19288.3</v>
      </c>
      <c r="K7" s="67">
        <f t="shared" si="0"/>
        <v>19165.400000000001</v>
      </c>
    </row>
    <row r="8" spans="1:11" ht="15" customHeight="1">
      <c r="A8" s="9" t="s">
        <v>203</v>
      </c>
      <c r="B8" s="68">
        <v>16285.2</v>
      </c>
      <c r="C8" s="68">
        <v>17626</v>
      </c>
      <c r="D8" s="68">
        <v>19295.8</v>
      </c>
      <c r="E8" s="68">
        <v>19173.900000000001</v>
      </c>
      <c r="F8" s="68">
        <v>19031.400000000001</v>
      </c>
      <c r="G8" s="68">
        <v>18889.2</v>
      </c>
      <c r="H8" s="68">
        <v>18755.2</v>
      </c>
      <c r="I8" s="68">
        <v>18612.900000000001</v>
      </c>
      <c r="J8" s="68">
        <v>18470.3</v>
      </c>
      <c r="K8" s="68">
        <v>18348.400000000001</v>
      </c>
    </row>
    <row r="9" spans="1:11" ht="15" customHeight="1">
      <c r="A9" s="9" t="s">
        <v>204</v>
      </c>
      <c r="B9" s="63">
        <v>799</v>
      </c>
      <c r="C9" s="63">
        <v>799</v>
      </c>
      <c r="D9" s="63">
        <v>799</v>
      </c>
      <c r="E9" s="63">
        <v>799</v>
      </c>
      <c r="F9" s="63">
        <v>799</v>
      </c>
      <c r="G9" s="63">
        <v>799</v>
      </c>
      <c r="H9" s="63">
        <v>799</v>
      </c>
      <c r="I9" s="63">
        <v>799</v>
      </c>
      <c r="J9" s="63">
        <v>799</v>
      </c>
      <c r="K9" s="63">
        <v>799</v>
      </c>
    </row>
    <row r="10" spans="1:11" ht="15" customHeight="1">
      <c r="A10" s="9" t="s">
        <v>205</v>
      </c>
      <c r="B10" s="63">
        <v>12</v>
      </c>
      <c r="C10" s="63">
        <v>16</v>
      </c>
      <c r="D10" s="63">
        <v>22</v>
      </c>
      <c r="E10" s="63">
        <v>17</v>
      </c>
      <c r="F10" s="63">
        <v>18</v>
      </c>
      <c r="G10" s="63">
        <v>19</v>
      </c>
      <c r="H10" s="63">
        <v>18</v>
      </c>
      <c r="I10" s="63">
        <v>19</v>
      </c>
      <c r="J10" s="63">
        <v>19</v>
      </c>
      <c r="K10" s="63">
        <v>18</v>
      </c>
    </row>
    <row r="11" spans="1:11" ht="15" customHeight="1">
      <c r="A11" s="9" t="s">
        <v>206</v>
      </c>
      <c r="B11" s="63">
        <v>74552</v>
      </c>
      <c r="C11" s="63">
        <v>72722</v>
      </c>
      <c r="D11" s="63">
        <v>70328</v>
      </c>
      <c r="E11" s="63">
        <v>68623</v>
      </c>
      <c r="F11" s="63">
        <v>68233</v>
      </c>
      <c r="G11" s="63">
        <v>70039</v>
      </c>
      <c r="H11" s="63">
        <v>71429</v>
      </c>
      <c r="I11" s="63">
        <v>71237</v>
      </c>
      <c r="J11" s="63">
        <v>71180</v>
      </c>
      <c r="K11" s="63">
        <v>71127</v>
      </c>
    </row>
    <row r="12" spans="1:11" ht="15" customHeight="1">
      <c r="A12" s="9" t="s">
        <v>207</v>
      </c>
      <c r="B12" s="63">
        <v>19236</v>
      </c>
      <c r="C12" s="63">
        <v>17406</v>
      </c>
      <c r="D12" s="63">
        <v>16252</v>
      </c>
      <c r="E12" s="63">
        <v>15096</v>
      </c>
      <c r="F12" s="63">
        <v>14864</v>
      </c>
      <c r="G12" s="63">
        <v>16067</v>
      </c>
      <c r="H12" s="63">
        <v>16944</v>
      </c>
      <c r="I12" s="63">
        <v>16879</v>
      </c>
      <c r="J12" s="63">
        <v>16885</v>
      </c>
      <c r="K12" s="63">
        <v>16871</v>
      </c>
    </row>
    <row r="13" spans="1:11" ht="15" customHeight="1">
      <c r="A13" s="9" t="s">
        <v>208</v>
      </c>
      <c r="B13" s="63">
        <v>55286</v>
      </c>
      <c r="C13" s="63">
        <v>55286</v>
      </c>
      <c r="D13" s="63">
        <v>54046</v>
      </c>
      <c r="E13" s="63">
        <v>53497</v>
      </c>
      <c r="F13" s="63">
        <v>53339</v>
      </c>
      <c r="G13" s="63">
        <v>53942</v>
      </c>
      <c r="H13" s="63">
        <v>54455</v>
      </c>
      <c r="I13" s="63">
        <v>54328</v>
      </c>
      <c r="J13" s="63">
        <v>54265</v>
      </c>
      <c r="K13" s="63">
        <v>54226</v>
      </c>
    </row>
    <row r="14" spans="1:11" ht="15" customHeight="1">
      <c r="A14" s="9" t="s">
        <v>205</v>
      </c>
      <c r="B14" s="63">
        <v>30</v>
      </c>
      <c r="C14" s="63">
        <v>30</v>
      </c>
      <c r="D14" s="63">
        <v>30</v>
      </c>
      <c r="E14" s="63">
        <v>30</v>
      </c>
      <c r="F14" s="63">
        <v>30</v>
      </c>
      <c r="G14" s="63">
        <v>30</v>
      </c>
      <c r="H14" s="63">
        <v>30</v>
      </c>
      <c r="I14" s="63">
        <v>30</v>
      </c>
      <c r="J14" s="63">
        <v>30</v>
      </c>
      <c r="K14" s="63">
        <v>30</v>
      </c>
    </row>
    <row r="15" spans="1:11" ht="15" customHeight="1">
      <c r="A15" s="12" t="s">
        <v>209</v>
      </c>
      <c r="B15" s="67">
        <f t="shared" ref="B15:K15" si="1">B7+B11</f>
        <v>91648.2</v>
      </c>
      <c r="C15" s="67">
        <f t="shared" si="1"/>
        <v>91163</v>
      </c>
      <c r="D15" s="67">
        <f t="shared" si="1"/>
        <v>90444.800000000003</v>
      </c>
      <c r="E15" s="67">
        <f t="shared" si="1"/>
        <v>88612.9</v>
      </c>
      <c r="F15" s="67">
        <f t="shared" si="1"/>
        <v>88081.4</v>
      </c>
      <c r="G15" s="67">
        <f t="shared" si="1"/>
        <v>89746.2</v>
      </c>
      <c r="H15" s="67">
        <f t="shared" si="1"/>
        <v>91001.2</v>
      </c>
      <c r="I15" s="67">
        <f t="shared" si="1"/>
        <v>90667.9</v>
      </c>
      <c r="J15" s="67">
        <f t="shared" si="1"/>
        <v>90468.3</v>
      </c>
      <c r="K15" s="67">
        <f t="shared" si="1"/>
        <v>90292.4</v>
      </c>
    </row>
    <row r="16" spans="1:11" ht="13.5" customHeight="1"/>
    <row r="17" spans="1:11" ht="15" customHeight="1">
      <c r="A17" s="12" t="s">
        <v>210</v>
      </c>
    </row>
    <row r="18" spans="1:11" ht="15" customHeight="1">
      <c r="A18" s="9" t="s">
        <v>211</v>
      </c>
      <c r="B18" s="63">
        <v>105309</v>
      </c>
      <c r="C18" s="63">
        <v>105588</v>
      </c>
      <c r="D18" s="63">
        <v>106021</v>
      </c>
      <c r="E18" s="63">
        <v>104538</v>
      </c>
      <c r="F18" s="63">
        <v>104463</v>
      </c>
      <c r="G18" s="63">
        <v>106466</v>
      </c>
      <c r="H18" s="63">
        <v>107989</v>
      </c>
      <c r="I18" s="63">
        <v>108068</v>
      </c>
      <c r="J18" s="63">
        <v>108251</v>
      </c>
      <c r="K18" s="63">
        <v>108395</v>
      </c>
    </row>
    <row r="19" spans="1:11" ht="15" customHeight="1">
      <c r="A19" s="9" t="s">
        <v>212</v>
      </c>
      <c r="B19" s="63">
        <v>37580</v>
      </c>
      <c r="C19" s="63">
        <v>37842</v>
      </c>
      <c r="D19" s="63">
        <v>39293</v>
      </c>
      <c r="E19" s="63">
        <v>38659</v>
      </c>
      <c r="F19" s="63">
        <v>38996</v>
      </c>
      <c r="G19" s="63">
        <v>39398</v>
      </c>
      <c r="H19" s="63">
        <v>39427</v>
      </c>
      <c r="I19" s="63">
        <v>39689</v>
      </c>
      <c r="J19" s="63">
        <v>39920</v>
      </c>
      <c r="K19" s="63">
        <v>40097</v>
      </c>
    </row>
    <row r="20" spans="1:11" ht="15" customHeight="1">
      <c r="A20" s="57" t="s">
        <v>213</v>
      </c>
      <c r="B20" s="13">
        <v>6082</v>
      </c>
      <c r="C20" s="13">
        <v>6192</v>
      </c>
      <c r="D20" s="13">
        <v>6198</v>
      </c>
      <c r="E20" s="13">
        <v>6257</v>
      </c>
      <c r="F20" s="13">
        <v>6290</v>
      </c>
      <c r="G20" s="13">
        <v>6336</v>
      </c>
      <c r="H20" s="13">
        <v>6376</v>
      </c>
      <c r="I20" s="13">
        <v>6420</v>
      </c>
      <c r="J20" s="13">
        <v>6462</v>
      </c>
      <c r="K20" s="13">
        <v>6506</v>
      </c>
    </row>
    <row r="21" spans="1:11" ht="15" customHeight="1">
      <c r="A21" s="57" t="s">
        <v>214</v>
      </c>
      <c r="B21" s="13">
        <v>195</v>
      </c>
      <c r="C21" s="13">
        <v>256</v>
      </c>
      <c r="D21" s="13">
        <v>311</v>
      </c>
      <c r="E21" s="13">
        <v>257</v>
      </c>
      <c r="F21" s="13">
        <v>277</v>
      </c>
      <c r="G21" s="13">
        <v>284</v>
      </c>
      <c r="H21" s="13">
        <v>275</v>
      </c>
      <c r="I21" s="13">
        <v>282</v>
      </c>
      <c r="J21" s="13">
        <v>283</v>
      </c>
      <c r="K21" s="13">
        <v>283</v>
      </c>
    </row>
    <row r="22" spans="1:11" ht="15" customHeight="1">
      <c r="A22" s="57" t="s">
        <v>215</v>
      </c>
      <c r="B22" s="13">
        <v>31303</v>
      </c>
      <c r="C22" s="13">
        <v>31394</v>
      </c>
      <c r="D22" s="13">
        <v>32784</v>
      </c>
      <c r="E22" s="13">
        <v>32145</v>
      </c>
      <c r="F22" s="13">
        <v>32429</v>
      </c>
      <c r="G22" s="13">
        <v>32777</v>
      </c>
      <c r="H22" s="13">
        <v>32775</v>
      </c>
      <c r="I22" s="13">
        <v>32987</v>
      </c>
      <c r="J22" s="13">
        <v>33175</v>
      </c>
      <c r="K22" s="13">
        <v>33309</v>
      </c>
    </row>
    <row r="23" spans="1:11" ht="15" customHeight="1">
      <c r="A23" s="9" t="s">
        <v>216</v>
      </c>
      <c r="B23" s="63">
        <v>67729</v>
      </c>
      <c r="C23" s="63">
        <v>67746</v>
      </c>
      <c r="D23" s="63">
        <v>66728</v>
      </c>
      <c r="E23" s="63">
        <v>65879</v>
      </c>
      <c r="F23" s="63">
        <v>65467</v>
      </c>
      <c r="G23" s="63">
        <v>67068</v>
      </c>
      <c r="H23" s="63">
        <v>68562</v>
      </c>
      <c r="I23" s="63">
        <v>68379</v>
      </c>
      <c r="J23" s="63">
        <v>68331</v>
      </c>
      <c r="K23" s="63">
        <v>68298</v>
      </c>
    </row>
    <row r="24" spans="1:11" ht="15" customHeight="1">
      <c r="A24" s="9" t="s">
        <v>217</v>
      </c>
      <c r="B24" s="63">
        <v>4922</v>
      </c>
      <c r="C24" s="63">
        <v>3118</v>
      </c>
      <c r="D24" s="63">
        <v>1800</v>
      </c>
      <c r="E24" s="63">
        <v>892</v>
      </c>
      <c r="F24" s="63">
        <v>930</v>
      </c>
      <c r="G24" s="63">
        <v>1141</v>
      </c>
      <c r="H24" s="63">
        <v>1027</v>
      </c>
      <c r="I24" s="63">
        <v>1022</v>
      </c>
      <c r="J24" s="63">
        <v>1014</v>
      </c>
      <c r="K24" s="63">
        <v>992</v>
      </c>
    </row>
    <row r="25" spans="1:11" ht="15" customHeight="1">
      <c r="A25" s="9" t="s">
        <v>218</v>
      </c>
      <c r="B25" s="63">
        <v>4793</v>
      </c>
      <c r="C25" s="63">
        <v>2946</v>
      </c>
      <c r="D25" s="63">
        <v>1570</v>
      </c>
      <c r="E25" s="63">
        <v>714</v>
      </c>
      <c r="F25" s="63">
        <v>736</v>
      </c>
      <c r="G25" s="63">
        <v>941</v>
      </c>
      <c r="H25" s="63">
        <v>837</v>
      </c>
      <c r="I25" s="63">
        <v>828</v>
      </c>
      <c r="J25" s="63">
        <v>819</v>
      </c>
      <c r="K25" s="63">
        <v>799</v>
      </c>
    </row>
    <row r="26" spans="1:11" ht="15" customHeight="1">
      <c r="A26" s="9" t="s">
        <v>219</v>
      </c>
      <c r="B26" s="63">
        <v>129</v>
      </c>
      <c r="C26" s="63">
        <v>172</v>
      </c>
      <c r="D26" s="63">
        <v>230</v>
      </c>
      <c r="E26" s="63">
        <v>177</v>
      </c>
      <c r="F26" s="63">
        <v>193</v>
      </c>
      <c r="G26" s="63">
        <v>200</v>
      </c>
      <c r="H26" s="63">
        <v>190</v>
      </c>
      <c r="I26" s="63">
        <v>195</v>
      </c>
      <c r="J26" s="63">
        <v>195</v>
      </c>
      <c r="K26" s="63">
        <v>193</v>
      </c>
    </row>
    <row r="27" spans="1:11" ht="15" customHeight="1">
      <c r="A27" s="9" t="s">
        <v>220</v>
      </c>
      <c r="B27" s="67">
        <f t="shared" ref="B27:K27" si="2">B18+B24</f>
        <v>110231</v>
      </c>
      <c r="C27" s="67">
        <f t="shared" si="2"/>
        <v>108706</v>
      </c>
      <c r="D27" s="67">
        <f t="shared" si="2"/>
        <v>107821</v>
      </c>
      <c r="E27" s="67">
        <f t="shared" si="2"/>
        <v>105430</v>
      </c>
      <c r="F27" s="67">
        <f t="shared" si="2"/>
        <v>105393</v>
      </c>
      <c r="G27" s="67">
        <f t="shared" si="2"/>
        <v>107607</v>
      </c>
      <c r="H27" s="67">
        <f t="shared" si="2"/>
        <v>109016</v>
      </c>
      <c r="I27" s="67">
        <f t="shared" si="2"/>
        <v>109090</v>
      </c>
      <c r="J27" s="67">
        <f t="shared" si="2"/>
        <v>109265</v>
      </c>
      <c r="K27" s="67">
        <f t="shared" si="2"/>
        <v>109387</v>
      </c>
    </row>
    <row r="28" spans="1:11" ht="15" customHeight="1"/>
    <row r="29" spans="1:11" ht="15" customHeight="1">
      <c r="A29" s="12" t="s">
        <v>221</v>
      </c>
      <c r="B29" s="69">
        <f t="shared" ref="B29:K29" si="3">B15-B27</f>
        <v>-18582.800000000003</v>
      </c>
      <c r="C29" s="69">
        <f t="shared" si="3"/>
        <v>-17543</v>
      </c>
      <c r="D29" s="69">
        <f t="shared" si="3"/>
        <v>-17376.199999999997</v>
      </c>
      <c r="E29" s="69">
        <f t="shared" si="3"/>
        <v>-16817.100000000006</v>
      </c>
      <c r="F29" s="69">
        <f t="shared" si="3"/>
        <v>-17311.600000000006</v>
      </c>
      <c r="G29" s="69">
        <f t="shared" si="3"/>
        <v>-17860.800000000003</v>
      </c>
      <c r="H29" s="69">
        <f t="shared" si="3"/>
        <v>-18014.800000000003</v>
      </c>
      <c r="I29" s="69">
        <f t="shared" si="3"/>
        <v>-18422.100000000006</v>
      </c>
      <c r="J29" s="69">
        <f t="shared" si="3"/>
        <v>-18796.699999999997</v>
      </c>
      <c r="K29" s="69">
        <f t="shared" si="3"/>
        <v>-19094.600000000006</v>
      </c>
    </row>
    <row r="30" spans="1:11" ht="15" customHeight="1"/>
    <row r="31" spans="1:11" ht="15" customHeight="1">
      <c r="A31" s="12" t="s">
        <v>222</v>
      </c>
      <c r="B31" s="70">
        <f t="shared" ref="B31:K31" si="4">B15/B27</f>
        <v>0.83141947365078783</v>
      </c>
      <c r="C31" s="70">
        <f t="shared" si="4"/>
        <v>0.83861976339852451</v>
      </c>
      <c r="D31" s="70">
        <f t="shared" si="4"/>
        <v>0.83884215505328275</v>
      </c>
      <c r="E31" s="70">
        <f t="shared" si="4"/>
        <v>0.8404903727591766</v>
      </c>
      <c r="F31" s="70">
        <f t="shared" si="4"/>
        <v>0.83574241173512465</v>
      </c>
      <c r="G31" s="70">
        <f t="shared" si="4"/>
        <v>0.83401823301458078</v>
      </c>
      <c r="H31" s="70">
        <f t="shared" si="4"/>
        <v>0.83475086225875095</v>
      </c>
      <c r="I31" s="70">
        <f t="shared" si="4"/>
        <v>0.83112934274452277</v>
      </c>
      <c r="J31" s="70">
        <f t="shared" si="4"/>
        <v>0.82797144556811419</v>
      </c>
      <c r="K31" s="70">
        <f t="shared" si="4"/>
        <v>0.82543995173101004</v>
      </c>
    </row>
    <row r="32" spans="1:11" ht="12.75" customHeight="1">
      <c r="A32" s="9" t="s">
        <v>223</v>
      </c>
      <c r="B32" s="63">
        <v>37580</v>
      </c>
      <c r="C32" s="63">
        <v>37842</v>
      </c>
      <c r="D32" s="63">
        <v>39293</v>
      </c>
      <c r="E32" s="63">
        <v>38659</v>
      </c>
      <c r="F32" s="63">
        <v>38996</v>
      </c>
      <c r="G32" s="63">
        <v>39398</v>
      </c>
      <c r="H32" s="63">
        <v>39427</v>
      </c>
      <c r="I32" s="63">
        <v>39689</v>
      </c>
      <c r="J32" s="63">
        <v>39920</v>
      </c>
      <c r="K32" s="63">
        <v>40097</v>
      </c>
    </row>
    <row r="33" spans="1:11" ht="15" customHeight="1">
      <c r="A33" s="12" t="s">
        <v>224</v>
      </c>
      <c r="B33" s="70">
        <f t="shared" ref="B33:K33" si="5">B8/B32</f>
        <v>0.43334752527940396</v>
      </c>
      <c r="C33" s="70">
        <f t="shared" si="5"/>
        <v>0.46577876433592302</v>
      </c>
      <c r="D33" s="70">
        <f t="shared" si="5"/>
        <v>0.49107474613798896</v>
      </c>
      <c r="E33" s="70">
        <f t="shared" si="5"/>
        <v>0.49597506402131458</v>
      </c>
      <c r="F33" s="70">
        <f t="shared" si="5"/>
        <v>0.48803467022258695</v>
      </c>
      <c r="G33" s="70">
        <f t="shared" si="5"/>
        <v>0.47944565713995635</v>
      </c>
      <c r="H33" s="70">
        <f t="shared" si="5"/>
        <v>0.47569432115048066</v>
      </c>
      <c r="I33" s="70">
        <f t="shared" si="5"/>
        <v>0.4689687318904483</v>
      </c>
      <c r="J33" s="70">
        <f t="shared" si="5"/>
        <v>0.46268286573146289</v>
      </c>
      <c r="K33" s="70">
        <f t="shared" si="5"/>
        <v>0.45760031922587729</v>
      </c>
    </row>
    <row r="34" spans="1:11" ht="15" customHeight="1">
      <c r="A34" s="9" t="s">
        <v>32</v>
      </c>
      <c r="B34" s="63">
        <v>94131</v>
      </c>
      <c r="C34" s="63">
        <v>93463</v>
      </c>
      <c r="D34" s="63">
        <v>92868</v>
      </c>
      <c r="E34" s="63">
        <v>92200</v>
      </c>
      <c r="F34" s="63">
        <v>91605</v>
      </c>
      <c r="G34" s="63">
        <v>90937</v>
      </c>
      <c r="H34" s="63">
        <v>90268</v>
      </c>
      <c r="I34" s="63">
        <v>89600</v>
      </c>
      <c r="J34" s="63">
        <v>88931</v>
      </c>
      <c r="K34" s="63">
        <v>88262</v>
      </c>
    </row>
    <row r="35" spans="1:11" ht="13.5" customHeight="1"/>
    <row r="36" spans="1:11" ht="15" customHeight="1">
      <c r="A36" s="12" t="s">
        <v>247</v>
      </c>
    </row>
    <row r="37" spans="1:11" ht="15" customHeight="1">
      <c r="A37" s="71" t="s">
        <v>248</v>
      </c>
    </row>
    <row r="38" spans="1:11" ht="15" customHeight="1"/>
    <row r="39" spans="1:11" ht="15" customHeight="1">
      <c r="A39" s="12" t="s">
        <v>249</v>
      </c>
      <c r="B39" s="21"/>
      <c r="C39" s="21"/>
      <c r="D39" s="21"/>
      <c r="E39" s="21"/>
      <c r="F39" s="21"/>
      <c r="G39" s="21"/>
      <c r="H39" s="21"/>
      <c r="I39" s="21"/>
      <c r="J39" s="21"/>
      <c r="K39" s="21"/>
    </row>
    <row r="40" spans="1:11" ht="15" customHeight="1">
      <c r="A40" s="9" t="s">
        <v>250</v>
      </c>
      <c r="B40" s="21"/>
      <c r="C40" s="21"/>
      <c r="D40" s="21"/>
      <c r="E40" s="21"/>
      <c r="F40" s="21"/>
      <c r="G40" s="21"/>
      <c r="H40" s="21"/>
      <c r="I40" s="21"/>
      <c r="J40" s="21"/>
      <c r="K40" s="21"/>
    </row>
    <row r="41" spans="1:11" ht="15" customHeight="1">
      <c r="A41" s="9" t="s">
        <v>251</v>
      </c>
      <c r="B41" s="21"/>
      <c r="C41" s="21"/>
      <c r="D41" s="21"/>
      <c r="E41" s="21"/>
      <c r="F41" s="21"/>
      <c r="G41" s="21"/>
      <c r="H41" s="21"/>
      <c r="I41" s="21"/>
      <c r="J41" s="21"/>
      <c r="K41" s="21"/>
    </row>
    <row r="42" spans="1:11" ht="13.5" customHeight="1">
      <c r="A42" s="9" t="s">
        <v>252</v>
      </c>
      <c r="B42" s="21"/>
      <c r="C42" s="21"/>
      <c r="D42" s="21"/>
      <c r="E42" s="21"/>
      <c r="F42" s="21"/>
      <c r="G42" s="21"/>
      <c r="H42" s="21"/>
      <c r="I42" s="21"/>
      <c r="J42" s="21"/>
      <c r="K42" s="21"/>
    </row>
    <row r="43" spans="1:11" ht="15" customHeight="1">
      <c r="A43" s="9" t="s">
        <v>253</v>
      </c>
      <c r="B43" s="21"/>
      <c r="C43" s="21"/>
      <c r="D43" s="21"/>
      <c r="E43" s="21"/>
      <c r="F43" s="21"/>
      <c r="G43" s="21"/>
      <c r="H43" s="21"/>
      <c r="I43" s="21"/>
      <c r="J43" s="21"/>
      <c r="K43" s="21"/>
    </row>
    <row r="44" spans="1:11" ht="15" customHeight="1">
      <c r="A44" s="12" t="s">
        <v>254</v>
      </c>
      <c r="B44" s="21"/>
      <c r="C44" s="21"/>
      <c r="D44" s="21"/>
      <c r="E44" s="21"/>
      <c r="F44" s="21"/>
      <c r="G44" s="21"/>
      <c r="H44" s="21"/>
      <c r="I44" s="21"/>
      <c r="J44" s="21"/>
      <c r="K44" s="21"/>
    </row>
    <row r="45" spans="1:11" ht="15" customHeight="1"/>
    <row r="46" spans="1:11" ht="15" customHeight="1">
      <c r="A46" s="12" t="s">
        <v>255</v>
      </c>
      <c r="B46" s="21"/>
      <c r="C46" s="21"/>
      <c r="D46" s="21"/>
      <c r="E46" s="21"/>
      <c r="F46" s="21"/>
      <c r="G46" s="21"/>
      <c r="H46" s="21"/>
      <c r="I46" s="21"/>
      <c r="J46" s="21"/>
      <c r="K46" s="21"/>
    </row>
    <row r="47" spans="1:11" ht="15" customHeight="1">
      <c r="A47" s="9" t="s">
        <v>256</v>
      </c>
      <c r="B47" s="21"/>
      <c r="C47" s="21"/>
      <c r="D47" s="21"/>
      <c r="E47" s="21"/>
      <c r="F47" s="21"/>
      <c r="G47" s="21"/>
      <c r="H47" s="21"/>
      <c r="I47" s="21"/>
      <c r="J47" s="21"/>
      <c r="K47" s="21"/>
    </row>
    <row r="48" spans="1:11" ht="13.5" customHeight="1">
      <c r="A48" s="9" t="s">
        <v>257</v>
      </c>
      <c r="B48" s="21"/>
      <c r="C48" s="21"/>
      <c r="D48" s="21"/>
      <c r="E48" s="21"/>
      <c r="F48" s="21"/>
      <c r="G48" s="21"/>
      <c r="H48" s="21"/>
      <c r="I48" s="21"/>
      <c r="J48" s="21"/>
      <c r="K48" s="21"/>
    </row>
    <row r="49" spans="1:11" ht="15" customHeight="1">
      <c r="A49" s="9" t="s">
        <v>253</v>
      </c>
      <c r="B49" s="21"/>
      <c r="C49" s="21"/>
      <c r="D49" s="21"/>
      <c r="E49" s="21"/>
      <c r="F49" s="21"/>
      <c r="G49" s="21"/>
      <c r="H49" s="21"/>
      <c r="I49" s="21"/>
      <c r="J49" s="21"/>
      <c r="K49" s="21"/>
    </row>
    <row r="50" spans="1:11" ht="15" customHeight="1">
      <c r="A50" s="12" t="s">
        <v>258</v>
      </c>
      <c r="B50" s="21"/>
      <c r="C50" s="21"/>
      <c r="D50" s="21"/>
      <c r="E50" s="21"/>
      <c r="F50" s="21"/>
      <c r="G50" s="21"/>
      <c r="H50" s="21"/>
      <c r="I50" s="21"/>
      <c r="J50" s="21"/>
      <c r="K50" s="21"/>
    </row>
    <row r="51" spans="1:11" ht="15" customHeight="1"/>
    <row r="52" spans="1:11" ht="15" customHeight="1">
      <c r="A52" s="12" t="s">
        <v>259</v>
      </c>
      <c r="B52" s="21"/>
      <c r="C52" s="21"/>
      <c r="D52" s="21"/>
      <c r="E52" s="21"/>
      <c r="F52" s="21"/>
      <c r="G52" s="21"/>
      <c r="H52" s="21"/>
      <c r="I52" s="21"/>
      <c r="J52" s="21"/>
      <c r="K52" s="21"/>
    </row>
    <row r="53" spans="1:11" ht="15" customHeight="1"/>
    <row r="54" spans="1:11" ht="15" customHeight="1">
      <c r="A54" s="12" t="s">
        <v>260</v>
      </c>
      <c r="B54" s="21"/>
      <c r="C54" s="21"/>
      <c r="D54" s="21"/>
      <c r="E54" s="21"/>
      <c r="F54" s="21"/>
      <c r="G54" s="21"/>
      <c r="H54" s="21"/>
      <c r="I54" s="21"/>
      <c r="J54" s="21"/>
      <c r="K54" s="21"/>
    </row>
    <row r="55" spans="1:11" ht="15" customHeight="1">
      <c r="A55" s="9" t="s">
        <v>261</v>
      </c>
      <c r="B55" s="21"/>
      <c r="C55" s="21"/>
      <c r="D55" s="21"/>
      <c r="E55" s="21"/>
      <c r="F55" s="21"/>
      <c r="G55" s="21"/>
      <c r="H55" s="21"/>
      <c r="I55" s="21"/>
      <c r="J55" s="21"/>
      <c r="K55" s="21"/>
    </row>
    <row r="56" spans="1:11" ht="13.5" customHeight="1">
      <c r="A56" s="9" t="s">
        <v>262</v>
      </c>
      <c r="B56" s="21"/>
      <c r="C56" s="21"/>
      <c r="D56" s="21"/>
      <c r="E56" s="21"/>
      <c r="F56" s="21"/>
      <c r="G56" s="21"/>
      <c r="H56" s="21"/>
      <c r="I56" s="21"/>
      <c r="J56" s="21"/>
      <c r="K56" s="21"/>
    </row>
    <row r="57" spans="1:11" ht="15" customHeight="1">
      <c r="A57" s="9" t="s">
        <v>263</v>
      </c>
      <c r="B57" s="21"/>
      <c r="C57" s="21"/>
      <c r="D57" s="21"/>
      <c r="E57" s="21"/>
      <c r="F57" s="21"/>
      <c r="G57" s="21"/>
      <c r="H57" s="21"/>
      <c r="I57" s="21"/>
      <c r="J57" s="21"/>
      <c r="K57" s="21"/>
    </row>
    <row r="58" spans="1:11" ht="13.5" customHeight="1">
      <c r="A58" s="12" t="s">
        <v>264</v>
      </c>
      <c r="B58" s="21"/>
      <c r="C58" s="21"/>
      <c r="D58" s="21"/>
      <c r="E58" s="21"/>
      <c r="F58" s="21"/>
      <c r="G58" s="21"/>
      <c r="H58" s="21"/>
      <c r="I58" s="21"/>
      <c r="J58" s="21"/>
      <c r="K58" s="21"/>
    </row>
    <row r="59" spans="1:11" ht="13.5" customHeight="1"/>
    <row r="60" spans="1:11" ht="13.5" customHeight="1">
      <c r="A60" s="12" t="s">
        <v>265</v>
      </c>
      <c r="B60" s="21"/>
      <c r="C60" s="21"/>
      <c r="D60" s="21"/>
      <c r="E60" s="21"/>
      <c r="F60" s="21"/>
      <c r="G60" s="21"/>
      <c r="H60" s="21"/>
      <c r="I60" s="21"/>
      <c r="J60" s="21"/>
      <c r="K60" s="21"/>
    </row>
  </sheetData>
  <mergeCells count="1">
    <mergeCell ref="A1:K1"/>
  </mergeCells>
  <phoneticPr fontId="43"/>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60"/>
  <sheetViews>
    <sheetView zoomScaleNormal="100" workbookViewId="0">
      <selection activeCell="B8" sqref="B8:K8"/>
    </sheetView>
  </sheetViews>
  <sheetFormatPr defaultColWidth="8.5546875" defaultRowHeight="13.2"/>
  <cols>
    <col min="1" max="1" width="24" customWidth="1"/>
    <col min="2" max="11" width="13" customWidth="1"/>
  </cols>
  <sheetData>
    <row r="1" spans="1:11" ht="16.5" customHeight="1">
      <c r="A1" s="91" t="s">
        <v>267</v>
      </c>
      <c r="B1" s="82"/>
      <c r="C1" s="82"/>
      <c r="D1" s="82"/>
      <c r="E1" s="82"/>
      <c r="F1" s="82"/>
      <c r="G1" s="82"/>
      <c r="H1" s="82"/>
      <c r="I1" s="82"/>
      <c r="J1" s="82"/>
      <c r="K1" s="82"/>
    </row>
    <row r="2" spans="1:11" ht="15" customHeight="1">
      <c r="A2" s="12" t="s">
        <v>188</v>
      </c>
    </row>
    <row r="3" spans="1:11" ht="13.5" customHeight="1"/>
    <row r="4" spans="1:11" ht="15" customHeight="1">
      <c r="A4" s="12" t="s">
        <v>189</v>
      </c>
      <c r="B4" s="61" t="s">
        <v>16</v>
      </c>
      <c r="C4" s="61" t="s">
        <v>17</v>
      </c>
      <c r="D4" s="61" t="s">
        <v>18</v>
      </c>
      <c r="E4" s="61" t="s">
        <v>19</v>
      </c>
      <c r="F4" s="61" t="s">
        <v>20</v>
      </c>
      <c r="G4" s="61" t="s">
        <v>21</v>
      </c>
      <c r="H4" s="61" t="s">
        <v>22</v>
      </c>
      <c r="I4" s="61" t="s">
        <v>23</v>
      </c>
      <c r="J4" s="61" t="s">
        <v>24</v>
      </c>
      <c r="K4" s="61" t="s">
        <v>25</v>
      </c>
    </row>
    <row r="5" spans="1:11" ht="15" customHeight="1">
      <c r="A5" s="65" t="s">
        <v>190</v>
      </c>
      <c r="B5" s="66">
        <v>2025</v>
      </c>
      <c r="C5" s="66">
        <v>2026</v>
      </c>
      <c r="D5" s="66">
        <v>2027</v>
      </c>
      <c r="E5" s="66">
        <v>2028</v>
      </c>
      <c r="F5" s="66">
        <v>2029</v>
      </c>
      <c r="G5" s="66">
        <v>2030</v>
      </c>
      <c r="H5" s="66">
        <v>2031</v>
      </c>
      <c r="I5" s="66">
        <v>2032</v>
      </c>
      <c r="J5" s="66">
        <v>2033</v>
      </c>
      <c r="K5" s="66">
        <v>2034</v>
      </c>
    </row>
    <row r="6" spans="1:11" ht="15" customHeight="1">
      <c r="A6" s="12" t="s">
        <v>201</v>
      </c>
    </row>
    <row r="7" spans="1:11" ht="15" customHeight="1">
      <c r="A7" s="12" t="s">
        <v>202</v>
      </c>
      <c r="B7" s="67">
        <f t="shared" ref="B7:K7" si="0">SUM(B8:B10)</f>
        <v>18813.099999999999</v>
      </c>
      <c r="C7" s="67">
        <f t="shared" si="0"/>
        <v>22093.5</v>
      </c>
      <c r="D7" s="67">
        <f t="shared" si="0"/>
        <v>21944.1</v>
      </c>
      <c r="E7" s="67">
        <f t="shared" si="0"/>
        <v>21804.9</v>
      </c>
      <c r="F7" s="67">
        <f t="shared" si="0"/>
        <v>21650.7</v>
      </c>
      <c r="G7" s="67">
        <f t="shared" si="0"/>
        <v>21496.799999999999</v>
      </c>
      <c r="H7" s="67">
        <f t="shared" si="0"/>
        <v>21347.200000000001</v>
      </c>
      <c r="I7" s="67">
        <f t="shared" si="0"/>
        <v>21193.3</v>
      </c>
      <c r="J7" s="67">
        <f t="shared" si="0"/>
        <v>21037.9</v>
      </c>
      <c r="K7" s="67">
        <f t="shared" si="0"/>
        <v>20902.599999999999</v>
      </c>
    </row>
    <row r="8" spans="1:11" ht="15" customHeight="1">
      <c r="A8" s="9" t="s">
        <v>203</v>
      </c>
      <c r="B8" s="68">
        <v>18002.099999999999</v>
      </c>
      <c r="C8" s="68">
        <v>21278.5</v>
      </c>
      <c r="D8" s="68">
        <v>21123.1</v>
      </c>
      <c r="E8" s="68">
        <v>20988.9</v>
      </c>
      <c r="F8" s="68">
        <v>20833.7</v>
      </c>
      <c r="G8" s="68">
        <v>20678.8</v>
      </c>
      <c r="H8" s="68">
        <v>20530.2</v>
      </c>
      <c r="I8" s="68">
        <v>20375.3</v>
      </c>
      <c r="J8" s="68">
        <v>20219.900000000001</v>
      </c>
      <c r="K8" s="68">
        <v>20085.599999999999</v>
      </c>
    </row>
    <row r="9" spans="1:11" ht="15" customHeight="1">
      <c r="A9" s="9" t="s">
        <v>204</v>
      </c>
      <c r="B9" s="63">
        <v>799</v>
      </c>
      <c r="C9" s="63">
        <v>799</v>
      </c>
      <c r="D9" s="63">
        <v>799</v>
      </c>
      <c r="E9" s="63">
        <v>799</v>
      </c>
      <c r="F9" s="63">
        <v>799</v>
      </c>
      <c r="G9" s="63">
        <v>799</v>
      </c>
      <c r="H9" s="63">
        <v>799</v>
      </c>
      <c r="I9" s="63">
        <v>799</v>
      </c>
      <c r="J9" s="63">
        <v>799</v>
      </c>
      <c r="K9" s="63">
        <v>799</v>
      </c>
    </row>
    <row r="10" spans="1:11" ht="15" customHeight="1">
      <c r="A10" s="9" t="s">
        <v>205</v>
      </c>
      <c r="B10" s="63">
        <v>12</v>
      </c>
      <c r="C10" s="63">
        <v>16</v>
      </c>
      <c r="D10" s="63">
        <v>22</v>
      </c>
      <c r="E10" s="63">
        <v>17</v>
      </c>
      <c r="F10" s="63">
        <v>18</v>
      </c>
      <c r="G10" s="63">
        <v>19</v>
      </c>
      <c r="H10" s="63">
        <v>18</v>
      </c>
      <c r="I10" s="63">
        <v>19</v>
      </c>
      <c r="J10" s="63">
        <v>19</v>
      </c>
      <c r="K10" s="63">
        <v>18</v>
      </c>
    </row>
    <row r="11" spans="1:11" ht="15" customHeight="1">
      <c r="A11" s="9" t="s">
        <v>206</v>
      </c>
      <c r="B11" s="63">
        <v>74552</v>
      </c>
      <c r="C11" s="63">
        <v>72722</v>
      </c>
      <c r="D11" s="63">
        <v>70328</v>
      </c>
      <c r="E11" s="63">
        <v>68623</v>
      </c>
      <c r="F11" s="63">
        <v>68233</v>
      </c>
      <c r="G11" s="63">
        <v>70039</v>
      </c>
      <c r="H11" s="63">
        <v>71429</v>
      </c>
      <c r="I11" s="63">
        <v>71237</v>
      </c>
      <c r="J11" s="63">
        <v>71180</v>
      </c>
      <c r="K11" s="63">
        <v>71127</v>
      </c>
    </row>
    <row r="12" spans="1:11" ht="15" customHeight="1">
      <c r="A12" s="9" t="s">
        <v>207</v>
      </c>
      <c r="B12" s="63">
        <v>19236</v>
      </c>
      <c r="C12" s="63">
        <v>17406</v>
      </c>
      <c r="D12" s="63">
        <v>16252</v>
      </c>
      <c r="E12" s="63">
        <v>15096</v>
      </c>
      <c r="F12" s="63">
        <v>14864</v>
      </c>
      <c r="G12" s="63">
        <v>16067</v>
      </c>
      <c r="H12" s="63">
        <v>16944</v>
      </c>
      <c r="I12" s="63">
        <v>16879</v>
      </c>
      <c r="J12" s="63">
        <v>16885</v>
      </c>
      <c r="K12" s="63">
        <v>16871</v>
      </c>
    </row>
    <row r="13" spans="1:11" ht="15" customHeight="1">
      <c r="A13" s="9" t="s">
        <v>208</v>
      </c>
      <c r="B13" s="63">
        <v>55286</v>
      </c>
      <c r="C13" s="63">
        <v>55286</v>
      </c>
      <c r="D13" s="63">
        <v>54046</v>
      </c>
      <c r="E13" s="63">
        <v>53497</v>
      </c>
      <c r="F13" s="63">
        <v>53339</v>
      </c>
      <c r="G13" s="63">
        <v>53942</v>
      </c>
      <c r="H13" s="63">
        <v>54455</v>
      </c>
      <c r="I13" s="63">
        <v>54328</v>
      </c>
      <c r="J13" s="63">
        <v>54265</v>
      </c>
      <c r="K13" s="63">
        <v>54226</v>
      </c>
    </row>
    <row r="14" spans="1:11" ht="15" customHeight="1">
      <c r="A14" s="9" t="s">
        <v>205</v>
      </c>
      <c r="B14" s="63">
        <v>30</v>
      </c>
      <c r="C14" s="63">
        <v>30</v>
      </c>
      <c r="D14" s="63">
        <v>30</v>
      </c>
      <c r="E14" s="63">
        <v>30</v>
      </c>
      <c r="F14" s="63">
        <v>30</v>
      </c>
      <c r="G14" s="63">
        <v>30</v>
      </c>
      <c r="H14" s="63">
        <v>30</v>
      </c>
      <c r="I14" s="63">
        <v>30</v>
      </c>
      <c r="J14" s="63">
        <v>30</v>
      </c>
      <c r="K14" s="63">
        <v>30</v>
      </c>
    </row>
    <row r="15" spans="1:11" ht="15" customHeight="1">
      <c r="A15" s="12" t="s">
        <v>209</v>
      </c>
      <c r="B15" s="67">
        <f t="shared" ref="B15:K15" si="1">B7+B11</f>
        <v>93365.1</v>
      </c>
      <c r="C15" s="67">
        <f t="shared" si="1"/>
        <v>94815.5</v>
      </c>
      <c r="D15" s="67">
        <f t="shared" si="1"/>
        <v>92272.1</v>
      </c>
      <c r="E15" s="67">
        <f t="shared" si="1"/>
        <v>90427.9</v>
      </c>
      <c r="F15" s="67">
        <f t="shared" si="1"/>
        <v>89883.7</v>
      </c>
      <c r="G15" s="67">
        <f t="shared" si="1"/>
        <v>91535.8</v>
      </c>
      <c r="H15" s="67">
        <f t="shared" si="1"/>
        <v>92776.2</v>
      </c>
      <c r="I15" s="67">
        <f t="shared" si="1"/>
        <v>92430.3</v>
      </c>
      <c r="J15" s="67">
        <f t="shared" si="1"/>
        <v>92217.9</v>
      </c>
      <c r="K15" s="67">
        <f t="shared" si="1"/>
        <v>92029.6</v>
      </c>
    </row>
    <row r="16" spans="1:11" ht="13.5" customHeight="1"/>
    <row r="17" spans="1:11" ht="15" customHeight="1">
      <c r="A17" s="12" t="s">
        <v>210</v>
      </c>
    </row>
    <row r="18" spans="1:11" ht="15" customHeight="1">
      <c r="A18" s="9" t="s">
        <v>211</v>
      </c>
      <c r="B18" s="63">
        <v>105309</v>
      </c>
      <c r="C18" s="63">
        <v>105588</v>
      </c>
      <c r="D18" s="63">
        <v>106021</v>
      </c>
      <c r="E18" s="63">
        <v>104538</v>
      </c>
      <c r="F18" s="63">
        <v>104463</v>
      </c>
      <c r="G18" s="63">
        <v>106466</v>
      </c>
      <c r="H18" s="63">
        <v>107989</v>
      </c>
      <c r="I18" s="63">
        <v>108068</v>
      </c>
      <c r="J18" s="63">
        <v>108251</v>
      </c>
      <c r="K18" s="63">
        <v>108395</v>
      </c>
    </row>
    <row r="19" spans="1:11" ht="15" customHeight="1">
      <c r="A19" s="9" t="s">
        <v>212</v>
      </c>
      <c r="B19" s="63">
        <v>37580</v>
      </c>
      <c r="C19" s="63">
        <v>37842</v>
      </c>
      <c r="D19" s="63">
        <v>39293</v>
      </c>
      <c r="E19" s="63">
        <v>38659</v>
      </c>
      <c r="F19" s="63">
        <v>38996</v>
      </c>
      <c r="G19" s="63">
        <v>39398</v>
      </c>
      <c r="H19" s="63">
        <v>39427</v>
      </c>
      <c r="I19" s="63">
        <v>39689</v>
      </c>
      <c r="J19" s="63">
        <v>39920</v>
      </c>
      <c r="K19" s="63">
        <v>40097</v>
      </c>
    </row>
    <row r="20" spans="1:11" ht="15" customHeight="1">
      <c r="A20" s="57" t="s">
        <v>213</v>
      </c>
      <c r="B20" s="13">
        <v>6082</v>
      </c>
      <c r="C20" s="13">
        <v>6192</v>
      </c>
      <c r="D20" s="13">
        <v>6198</v>
      </c>
      <c r="E20" s="13">
        <v>6257</v>
      </c>
      <c r="F20" s="13">
        <v>6290</v>
      </c>
      <c r="G20" s="13">
        <v>6336</v>
      </c>
      <c r="H20" s="13">
        <v>6376</v>
      </c>
      <c r="I20" s="13">
        <v>6420</v>
      </c>
      <c r="J20" s="13">
        <v>6462</v>
      </c>
      <c r="K20" s="13">
        <v>6506</v>
      </c>
    </row>
    <row r="21" spans="1:11" ht="15" customHeight="1">
      <c r="A21" s="57" t="s">
        <v>214</v>
      </c>
      <c r="B21" s="13">
        <v>195</v>
      </c>
      <c r="C21" s="13">
        <v>256</v>
      </c>
      <c r="D21" s="13">
        <v>311</v>
      </c>
      <c r="E21" s="13">
        <v>257</v>
      </c>
      <c r="F21" s="13">
        <v>277</v>
      </c>
      <c r="G21" s="13">
        <v>284</v>
      </c>
      <c r="H21" s="13">
        <v>275</v>
      </c>
      <c r="I21" s="13">
        <v>282</v>
      </c>
      <c r="J21" s="13">
        <v>283</v>
      </c>
      <c r="K21" s="13">
        <v>283</v>
      </c>
    </row>
    <row r="22" spans="1:11" ht="15" customHeight="1">
      <c r="A22" s="57" t="s">
        <v>215</v>
      </c>
      <c r="B22" s="13">
        <v>31303</v>
      </c>
      <c r="C22" s="13">
        <v>31394</v>
      </c>
      <c r="D22" s="13">
        <v>32784</v>
      </c>
      <c r="E22" s="13">
        <v>32145</v>
      </c>
      <c r="F22" s="13">
        <v>32429</v>
      </c>
      <c r="G22" s="13">
        <v>32777</v>
      </c>
      <c r="H22" s="13">
        <v>32775</v>
      </c>
      <c r="I22" s="13">
        <v>32987</v>
      </c>
      <c r="J22" s="13">
        <v>33175</v>
      </c>
      <c r="K22" s="13">
        <v>33309</v>
      </c>
    </row>
    <row r="23" spans="1:11" ht="15" customHeight="1">
      <c r="A23" s="9" t="s">
        <v>216</v>
      </c>
      <c r="B23" s="63">
        <v>67729</v>
      </c>
      <c r="C23" s="63">
        <v>67746</v>
      </c>
      <c r="D23" s="63">
        <v>66728</v>
      </c>
      <c r="E23" s="63">
        <v>65879</v>
      </c>
      <c r="F23" s="63">
        <v>65467</v>
      </c>
      <c r="G23" s="63">
        <v>67068</v>
      </c>
      <c r="H23" s="63">
        <v>68562</v>
      </c>
      <c r="I23" s="63">
        <v>68379</v>
      </c>
      <c r="J23" s="63">
        <v>68331</v>
      </c>
      <c r="K23" s="63">
        <v>68298</v>
      </c>
    </row>
    <row r="24" spans="1:11" ht="15" customHeight="1">
      <c r="A24" s="9" t="s">
        <v>217</v>
      </c>
      <c r="B24" s="63">
        <v>4922</v>
      </c>
      <c r="C24" s="63">
        <v>3118</v>
      </c>
      <c r="D24" s="63">
        <v>1800</v>
      </c>
      <c r="E24" s="63">
        <v>892</v>
      </c>
      <c r="F24" s="63">
        <v>930</v>
      </c>
      <c r="G24" s="63">
        <v>1141</v>
      </c>
      <c r="H24" s="63">
        <v>1027</v>
      </c>
      <c r="I24" s="63">
        <v>1022</v>
      </c>
      <c r="J24" s="63">
        <v>1014</v>
      </c>
      <c r="K24" s="63">
        <v>992</v>
      </c>
    </row>
    <row r="25" spans="1:11" ht="15" customHeight="1">
      <c r="A25" s="9" t="s">
        <v>218</v>
      </c>
      <c r="B25" s="63">
        <v>4793</v>
      </c>
      <c r="C25" s="63">
        <v>2946</v>
      </c>
      <c r="D25" s="63">
        <v>1570</v>
      </c>
      <c r="E25" s="63">
        <v>714</v>
      </c>
      <c r="F25" s="63">
        <v>736</v>
      </c>
      <c r="G25" s="63">
        <v>941</v>
      </c>
      <c r="H25" s="63">
        <v>837</v>
      </c>
      <c r="I25" s="63">
        <v>828</v>
      </c>
      <c r="J25" s="63">
        <v>819</v>
      </c>
      <c r="K25" s="63">
        <v>799</v>
      </c>
    </row>
    <row r="26" spans="1:11" ht="15" customHeight="1">
      <c r="A26" s="9" t="s">
        <v>219</v>
      </c>
      <c r="B26" s="63">
        <v>129</v>
      </c>
      <c r="C26" s="63">
        <v>172</v>
      </c>
      <c r="D26" s="63">
        <v>230</v>
      </c>
      <c r="E26" s="63">
        <v>177</v>
      </c>
      <c r="F26" s="63">
        <v>193</v>
      </c>
      <c r="G26" s="63">
        <v>200</v>
      </c>
      <c r="H26" s="63">
        <v>190</v>
      </c>
      <c r="I26" s="63">
        <v>195</v>
      </c>
      <c r="J26" s="63">
        <v>195</v>
      </c>
      <c r="K26" s="63">
        <v>193</v>
      </c>
    </row>
    <row r="27" spans="1:11" ht="15" customHeight="1">
      <c r="A27" s="9" t="s">
        <v>220</v>
      </c>
      <c r="B27" s="67">
        <f t="shared" ref="B27:K27" si="2">B18+B24</f>
        <v>110231</v>
      </c>
      <c r="C27" s="67">
        <f t="shared" si="2"/>
        <v>108706</v>
      </c>
      <c r="D27" s="67">
        <f t="shared" si="2"/>
        <v>107821</v>
      </c>
      <c r="E27" s="67">
        <f t="shared" si="2"/>
        <v>105430</v>
      </c>
      <c r="F27" s="67">
        <f t="shared" si="2"/>
        <v>105393</v>
      </c>
      <c r="G27" s="67">
        <f t="shared" si="2"/>
        <v>107607</v>
      </c>
      <c r="H27" s="67">
        <f t="shared" si="2"/>
        <v>109016</v>
      </c>
      <c r="I27" s="67">
        <f t="shared" si="2"/>
        <v>109090</v>
      </c>
      <c r="J27" s="67">
        <f t="shared" si="2"/>
        <v>109265</v>
      </c>
      <c r="K27" s="67">
        <f t="shared" si="2"/>
        <v>109387</v>
      </c>
    </row>
    <row r="28" spans="1:11" ht="15" customHeight="1"/>
    <row r="29" spans="1:11" ht="15" customHeight="1">
      <c r="A29" s="12" t="s">
        <v>221</v>
      </c>
      <c r="B29" s="69">
        <f t="shared" ref="B29:K29" si="3">B15-B27</f>
        <v>-16865.899999999994</v>
      </c>
      <c r="C29" s="69">
        <f t="shared" si="3"/>
        <v>-13890.5</v>
      </c>
      <c r="D29" s="69">
        <f t="shared" si="3"/>
        <v>-15548.899999999994</v>
      </c>
      <c r="E29" s="69">
        <f t="shared" si="3"/>
        <v>-15002.100000000006</v>
      </c>
      <c r="F29" s="69">
        <f t="shared" si="3"/>
        <v>-15509.300000000003</v>
      </c>
      <c r="G29" s="69">
        <f t="shared" si="3"/>
        <v>-16071.199999999997</v>
      </c>
      <c r="H29" s="69">
        <f t="shared" si="3"/>
        <v>-16239.800000000003</v>
      </c>
      <c r="I29" s="69">
        <f t="shared" si="3"/>
        <v>-16659.699999999997</v>
      </c>
      <c r="J29" s="69">
        <f t="shared" si="3"/>
        <v>-17047.100000000006</v>
      </c>
      <c r="K29" s="69">
        <f t="shared" si="3"/>
        <v>-17357.399999999994</v>
      </c>
    </row>
    <row r="30" spans="1:11" ht="15" customHeight="1"/>
    <row r="31" spans="1:11" ht="15" customHeight="1">
      <c r="A31" s="12" t="s">
        <v>222</v>
      </c>
      <c r="B31" s="70">
        <f t="shared" ref="B31:K31" si="4">B15/B27</f>
        <v>0.84699494697498889</v>
      </c>
      <c r="C31" s="70">
        <f t="shared" si="4"/>
        <v>0.87221956469744077</v>
      </c>
      <c r="D31" s="70">
        <f t="shared" si="4"/>
        <v>0.85578968846514136</v>
      </c>
      <c r="E31" s="70">
        <f t="shared" si="4"/>
        <v>0.85770558664516738</v>
      </c>
      <c r="F31" s="70">
        <f t="shared" si="4"/>
        <v>0.85284316795233073</v>
      </c>
      <c r="G31" s="70">
        <f t="shared" si="4"/>
        <v>0.85064912133968984</v>
      </c>
      <c r="H31" s="70">
        <f t="shared" si="4"/>
        <v>0.8510328759081236</v>
      </c>
      <c r="I31" s="70">
        <f t="shared" si="4"/>
        <v>0.84728481070675588</v>
      </c>
      <c r="J31" s="70">
        <f t="shared" si="4"/>
        <v>0.84398389237175664</v>
      </c>
      <c r="K31" s="70">
        <f t="shared" si="4"/>
        <v>0.84132118076188223</v>
      </c>
    </row>
    <row r="32" spans="1:11" ht="12.75" customHeight="1">
      <c r="A32" s="9" t="s">
        <v>223</v>
      </c>
      <c r="B32" s="63">
        <v>37580</v>
      </c>
      <c r="C32" s="63">
        <v>37842</v>
      </c>
      <c r="D32" s="63">
        <v>39293</v>
      </c>
      <c r="E32" s="63">
        <v>38659</v>
      </c>
      <c r="F32" s="63">
        <v>38996</v>
      </c>
      <c r="G32" s="63">
        <v>39398</v>
      </c>
      <c r="H32" s="63">
        <v>39427</v>
      </c>
      <c r="I32" s="63">
        <v>39689</v>
      </c>
      <c r="J32" s="63">
        <v>39920</v>
      </c>
      <c r="K32" s="63">
        <v>40097</v>
      </c>
    </row>
    <row r="33" spans="1:11" ht="15" customHeight="1">
      <c r="A33" s="12" t="s">
        <v>224</v>
      </c>
      <c r="B33" s="70">
        <f t="shared" ref="B33:K33" si="5">B8/B32</f>
        <v>0.47903406067056942</v>
      </c>
      <c r="C33" s="70">
        <f t="shared" si="5"/>
        <v>0.56229850430738337</v>
      </c>
      <c r="D33" s="70">
        <f t="shared" si="5"/>
        <v>0.53757921258239383</v>
      </c>
      <c r="E33" s="70">
        <f t="shared" si="5"/>
        <v>0.54292402804004247</v>
      </c>
      <c r="F33" s="70">
        <f t="shared" si="5"/>
        <v>0.53425223099805108</v>
      </c>
      <c r="G33" s="70">
        <f t="shared" si="5"/>
        <v>0.52486928270470579</v>
      </c>
      <c r="H33" s="70">
        <f t="shared" si="5"/>
        <v>0.52071423136429351</v>
      </c>
      <c r="I33" s="70">
        <f t="shared" si="5"/>
        <v>0.51337398271561385</v>
      </c>
      <c r="J33" s="70">
        <f t="shared" si="5"/>
        <v>0.50651052104208416</v>
      </c>
      <c r="K33" s="70">
        <f t="shared" si="5"/>
        <v>0.50092525625358497</v>
      </c>
    </row>
    <row r="34" spans="1:11" ht="15" customHeight="1">
      <c r="A34" s="9" t="s">
        <v>32</v>
      </c>
      <c r="B34" s="63">
        <v>94131</v>
      </c>
      <c r="C34" s="63">
        <v>93463</v>
      </c>
      <c r="D34" s="63">
        <v>92868</v>
      </c>
      <c r="E34" s="63">
        <v>92200</v>
      </c>
      <c r="F34" s="63">
        <v>91605</v>
      </c>
      <c r="G34" s="63">
        <v>90937</v>
      </c>
      <c r="H34" s="63">
        <v>90268</v>
      </c>
      <c r="I34" s="63">
        <v>89600</v>
      </c>
      <c r="J34" s="63">
        <v>88931</v>
      </c>
      <c r="K34" s="63">
        <v>88262</v>
      </c>
    </row>
    <row r="35" spans="1:11" ht="13.5" customHeight="1"/>
    <row r="36" spans="1:11" ht="15" customHeight="1">
      <c r="A36" s="12" t="s">
        <v>247</v>
      </c>
    </row>
    <row r="37" spans="1:11" ht="15" customHeight="1">
      <c r="A37" s="71" t="s">
        <v>248</v>
      </c>
    </row>
    <row r="38" spans="1:11" ht="15" customHeight="1"/>
    <row r="39" spans="1:11" ht="15" customHeight="1">
      <c r="A39" s="12" t="s">
        <v>249</v>
      </c>
      <c r="B39" s="21"/>
      <c r="C39" s="21"/>
      <c r="D39" s="21"/>
      <c r="E39" s="21"/>
      <c r="F39" s="21"/>
      <c r="G39" s="21"/>
      <c r="H39" s="21"/>
      <c r="I39" s="21"/>
      <c r="J39" s="21"/>
      <c r="K39" s="21"/>
    </row>
    <row r="40" spans="1:11" ht="15" customHeight="1">
      <c r="A40" s="9" t="s">
        <v>250</v>
      </c>
      <c r="B40" s="21"/>
      <c r="C40" s="21"/>
      <c r="D40" s="21"/>
      <c r="E40" s="21"/>
      <c r="F40" s="21"/>
      <c r="G40" s="21"/>
      <c r="H40" s="21"/>
      <c r="I40" s="21"/>
      <c r="J40" s="21"/>
      <c r="K40" s="21"/>
    </row>
    <row r="41" spans="1:11" ht="15" customHeight="1">
      <c r="A41" s="9" t="s">
        <v>251</v>
      </c>
      <c r="B41" s="21"/>
      <c r="C41" s="21"/>
      <c r="D41" s="21"/>
      <c r="E41" s="21"/>
      <c r="F41" s="21"/>
      <c r="G41" s="21"/>
      <c r="H41" s="21"/>
      <c r="I41" s="21"/>
      <c r="J41" s="21"/>
      <c r="K41" s="21"/>
    </row>
    <row r="42" spans="1:11" ht="13.5" customHeight="1">
      <c r="A42" s="9" t="s">
        <v>252</v>
      </c>
      <c r="B42" s="21"/>
      <c r="C42" s="21"/>
      <c r="D42" s="21"/>
      <c r="E42" s="21"/>
      <c r="F42" s="21"/>
      <c r="G42" s="21"/>
      <c r="H42" s="21"/>
      <c r="I42" s="21"/>
      <c r="J42" s="21"/>
      <c r="K42" s="21"/>
    </row>
    <row r="43" spans="1:11" ht="15" customHeight="1">
      <c r="A43" s="9" t="s">
        <v>253</v>
      </c>
      <c r="B43" s="21"/>
      <c r="C43" s="21"/>
      <c r="D43" s="21"/>
      <c r="E43" s="21"/>
      <c r="F43" s="21"/>
      <c r="G43" s="21"/>
      <c r="H43" s="21"/>
      <c r="I43" s="21"/>
      <c r="J43" s="21"/>
      <c r="K43" s="21"/>
    </row>
    <row r="44" spans="1:11" ht="15" customHeight="1">
      <c r="A44" s="12" t="s">
        <v>254</v>
      </c>
      <c r="B44" s="21"/>
      <c r="C44" s="21"/>
      <c r="D44" s="21"/>
      <c r="E44" s="21"/>
      <c r="F44" s="21"/>
      <c r="G44" s="21"/>
      <c r="H44" s="21"/>
      <c r="I44" s="21"/>
      <c r="J44" s="21"/>
      <c r="K44" s="21"/>
    </row>
    <row r="45" spans="1:11" ht="15" customHeight="1"/>
    <row r="46" spans="1:11" ht="15" customHeight="1">
      <c r="A46" s="12" t="s">
        <v>255</v>
      </c>
      <c r="B46" s="21"/>
      <c r="C46" s="21"/>
      <c r="D46" s="21"/>
      <c r="E46" s="21"/>
      <c r="F46" s="21"/>
      <c r="G46" s="21"/>
      <c r="H46" s="21"/>
      <c r="I46" s="21"/>
      <c r="J46" s="21"/>
      <c r="K46" s="21"/>
    </row>
    <row r="47" spans="1:11" ht="15" customHeight="1">
      <c r="A47" s="9" t="s">
        <v>256</v>
      </c>
      <c r="B47" s="21"/>
      <c r="C47" s="21"/>
      <c r="D47" s="21"/>
      <c r="E47" s="21"/>
      <c r="F47" s="21"/>
      <c r="G47" s="21"/>
      <c r="H47" s="21"/>
      <c r="I47" s="21"/>
      <c r="J47" s="21"/>
      <c r="K47" s="21"/>
    </row>
    <row r="48" spans="1:11" ht="13.5" customHeight="1">
      <c r="A48" s="9" t="s">
        <v>257</v>
      </c>
      <c r="B48" s="21"/>
      <c r="C48" s="21"/>
      <c r="D48" s="21"/>
      <c r="E48" s="21"/>
      <c r="F48" s="21"/>
      <c r="G48" s="21"/>
      <c r="H48" s="21"/>
      <c r="I48" s="21"/>
      <c r="J48" s="21"/>
      <c r="K48" s="21"/>
    </row>
    <row r="49" spans="1:11" ht="15" customHeight="1">
      <c r="A49" s="9" t="s">
        <v>253</v>
      </c>
      <c r="B49" s="21"/>
      <c r="C49" s="21"/>
      <c r="D49" s="21"/>
      <c r="E49" s="21"/>
      <c r="F49" s="21"/>
      <c r="G49" s="21"/>
      <c r="H49" s="21"/>
      <c r="I49" s="21"/>
      <c r="J49" s="21"/>
      <c r="K49" s="21"/>
    </row>
    <row r="50" spans="1:11" ht="15" customHeight="1">
      <c r="A50" s="12" t="s">
        <v>258</v>
      </c>
      <c r="B50" s="21"/>
      <c r="C50" s="21"/>
      <c r="D50" s="21"/>
      <c r="E50" s="21"/>
      <c r="F50" s="21"/>
      <c r="G50" s="21"/>
      <c r="H50" s="21"/>
      <c r="I50" s="21"/>
      <c r="J50" s="21"/>
      <c r="K50" s="21"/>
    </row>
    <row r="51" spans="1:11" ht="15" customHeight="1"/>
    <row r="52" spans="1:11" ht="15" customHeight="1">
      <c r="A52" s="12" t="s">
        <v>259</v>
      </c>
      <c r="B52" s="21"/>
      <c r="C52" s="21"/>
      <c r="D52" s="21"/>
      <c r="E52" s="21"/>
      <c r="F52" s="21"/>
      <c r="G52" s="21"/>
      <c r="H52" s="21"/>
      <c r="I52" s="21"/>
      <c r="J52" s="21"/>
      <c r="K52" s="21"/>
    </row>
    <row r="53" spans="1:11" ht="15" customHeight="1"/>
    <row r="54" spans="1:11" ht="15" customHeight="1">
      <c r="A54" s="12" t="s">
        <v>260</v>
      </c>
      <c r="B54" s="21"/>
      <c r="C54" s="21"/>
      <c r="D54" s="21"/>
      <c r="E54" s="21"/>
      <c r="F54" s="21"/>
      <c r="G54" s="21"/>
      <c r="H54" s="21"/>
      <c r="I54" s="21"/>
      <c r="J54" s="21"/>
      <c r="K54" s="21"/>
    </row>
    <row r="55" spans="1:11" ht="15" customHeight="1">
      <c r="A55" s="9" t="s">
        <v>261</v>
      </c>
      <c r="B55" s="21"/>
      <c r="C55" s="21"/>
      <c r="D55" s="21"/>
      <c r="E55" s="21"/>
      <c r="F55" s="21"/>
      <c r="G55" s="21"/>
      <c r="H55" s="21"/>
      <c r="I55" s="21"/>
      <c r="J55" s="21"/>
      <c r="K55" s="21"/>
    </row>
    <row r="56" spans="1:11" ht="13.5" customHeight="1">
      <c r="A56" s="9" t="s">
        <v>262</v>
      </c>
      <c r="B56" s="21"/>
      <c r="C56" s="21"/>
      <c r="D56" s="21"/>
      <c r="E56" s="21"/>
      <c r="F56" s="21"/>
      <c r="G56" s="21"/>
      <c r="H56" s="21"/>
      <c r="I56" s="21"/>
      <c r="J56" s="21"/>
      <c r="K56" s="21"/>
    </row>
    <row r="57" spans="1:11" ht="15" customHeight="1">
      <c r="A57" s="9" t="s">
        <v>263</v>
      </c>
      <c r="B57" s="21"/>
      <c r="C57" s="21"/>
      <c r="D57" s="21"/>
      <c r="E57" s="21"/>
      <c r="F57" s="21"/>
      <c r="G57" s="21"/>
      <c r="H57" s="21"/>
      <c r="I57" s="21"/>
      <c r="J57" s="21"/>
      <c r="K57" s="21"/>
    </row>
    <row r="58" spans="1:11" ht="13.5" customHeight="1">
      <c r="A58" s="12" t="s">
        <v>264</v>
      </c>
      <c r="B58" s="21"/>
      <c r="C58" s="21"/>
      <c r="D58" s="21"/>
      <c r="E58" s="21"/>
      <c r="F58" s="21"/>
      <c r="G58" s="21"/>
      <c r="H58" s="21"/>
      <c r="I58" s="21"/>
      <c r="J58" s="21"/>
      <c r="K58" s="21"/>
    </row>
    <row r="59" spans="1:11" ht="13.5" customHeight="1"/>
    <row r="60" spans="1:11" ht="13.5" customHeight="1">
      <c r="A60" s="12" t="s">
        <v>265</v>
      </c>
      <c r="B60" s="21"/>
      <c r="C60" s="21"/>
      <c r="D60" s="21"/>
      <c r="E60" s="21"/>
      <c r="F60" s="21"/>
      <c r="G60" s="21"/>
      <c r="H60" s="21"/>
      <c r="I60" s="21"/>
      <c r="J60" s="21"/>
      <c r="K60" s="21"/>
    </row>
  </sheetData>
  <mergeCells count="1">
    <mergeCell ref="A1:K1"/>
  </mergeCells>
  <phoneticPr fontId="43"/>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60"/>
  <sheetViews>
    <sheetView zoomScaleNormal="100" workbookViewId="0">
      <selection activeCell="B8" sqref="B8:K8"/>
    </sheetView>
  </sheetViews>
  <sheetFormatPr defaultColWidth="8.5546875" defaultRowHeight="13.2"/>
  <cols>
    <col min="1" max="1" width="24" customWidth="1"/>
    <col min="2" max="11" width="13" customWidth="1"/>
  </cols>
  <sheetData>
    <row r="1" spans="1:11" ht="16.5" customHeight="1">
      <c r="A1" s="91" t="s">
        <v>268</v>
      </c>
      <c r="B1" s="82"/>
      <c r="C1" s="82"/>
      <c r="D1" s="82"/>
      <c r="E1" s="82"/>
      <c r="F1" s="82"/>
      <c r="G1" s="82"/>
      <c r="H1" s="82"/>
      <c r="I1" s="82"/>
      <c r="J1" s="82"/>
      <c r="K1" s="82"/>
    </row>
    <row r="2" spans="1:11" ht="15" customHeight="1">
      <c r="A2" s="12" t="s">
        <v>188</v>
      </c>
    </row>
    <row r="3" spans="1:11" ht="13.5" customHeight="1"/>
    <row r="4" spans="1:11" ht="15" customHeight="1">
      <c r="A4" s="12" t="s">
        <v>189</v>
      </c>
      <c r="B4" s="61" t="s">
        <v>16</v>
      </c>
      <c r="C4" s="61" t="s">
        <v>17</v>
      </c>
      <c r="D4" s="61" t="s">
        <v>18</v>
      </c>
      <c r="E4" s="61" t="s">
        <v>19</v>
      </c>
      <c r="F4" s="61" t="s">
        <v>20</v>
      </c>
      <c r="G4" s="61" t="s">
        <v>21</v>
      </c>
      <c r="H4" s="61" t="s">
        <v>22</v>
      </c>
      <c r="I4" s="61" t="s">
        <v>23</v>
      </c>
      <c r="J4" s="61" t="s">
        <v>24</v>
      </c>
      <c r="K4" s="61" t="s">
        <v>25</v>
      </c>
    </row>
    <row r="5" spans="1:11" ht="15" customHeight="1">
      <c r="A5" s="65" t="s">
        <v>190</v>
      </c>
      <c r="B5" s="66">
        <v>2025</v>
      </c>
      <c r="C5" s="66">
        <v>2026</v>
      </c>
      <c r="D5" s="66">
        <v>2027</v>
      </c>
      <c r="E5" s="66">
        <v>2028</v>
      </c>
      <c r="F5" s="66">
        <v>2029</v>
      </c>
      <c r="G5" s="66">
        <v>2030</v>
      </c>
      <c r="H5" s="66">
        <v>2031</v>
      </c>
      <c r="I5" s="66">
        <v>2032</v>
      </c>
      <c r="J5" s="66">
        <v>2033</v>
      </c>
      <c r="K5" s="66">
        <v>2034</v>
      </c>
    </row>
    <row r="6" spans="1:11" ht="15" customHeight="1">
      <c r="A6" s="12" t="s">
        <v>201</v>
      </c>
    </row>
    <row r="7" spans="1:11" ht="15" customHeight="1">
      <c r="A7" s="12" t="s">
        <v>202</v>
      </c>
      <c r="B7" s="67">
        <f t="shared" ref="B7:K7" si="0">SUM(B8:B10)</f>
        <v>17713.599999999999</v>
      </c>
      <c r="C7" s="67">
        <f t="shared" si="0"/>
        <v>19667.8</v>
      </c>
      <c r="D7" s="67">
        <f t="shared" si="0"/>
        <v>21944.1</v>
      </c>
      <c r="E7" s="67">
        <f t="shared" si="0"/>
        <v>21804.9</v>
      </c>
      <c r="F7" s="67">
        <f t="shared" si="0"/>
        <v>21650.7</v>
      </c>
      <c r="G7" s="67">
        <f t="shared" si="0"/>
        <v>21496.799999999999</v>
      </c>
      <c r="H7" s="67">
        <f t="shared" si="0"/>
        <v>21347.200000000001</v>
      </c>
      <c r="I7" s="67">
        <f t="shared" si="0"/>
        <v>21193.3</v>
      </c>
      <c r="J7" s="67">
        <f t="shared" si="0"/>
        <v>21037.9</v>
      </c>
      <c r="K7" s="67">
        <f t="shared" si="0"/>
        <v>20902.599999999999</v>
      </c>
    </row>
    <row r="8" spans="1:11" ht="15" customHeight="1">
      <c r="A8" s="9" t="s">
        <v>203</v>
      </c>
      <c r="B8" s="68">
        <v>16902.599999999999</v>
      </c>
      <c r="C8" s="68">
        <v>18852.8</v>
      </c>
      <c r="D8" s="68">
        <v>21123.1</v>
      </c>
      <c r="E8" s="68">
        <v>20988.9</v>
      </c>
      <c r="F8" s="68">
        <v>20833.7</v>
      </c>
      <c r="G8" s="68">
        <v>20678.8</v>
      </c>
      <c r="H8" s="68">
        <v>20530.2</v>
      </c>
      <c r="I8" s="68">
        <v>20375.3</v>
      </c>
      <c r="J8" s="68">
        <v>20219.900000000001</v>
      </c>
      <c r="K8" s="68">
        <v>20085.599999999999</v>
      </c>
    </row>
    <row r="9" spans="1:11" ht="15" customHeight="1">
      <c r="A9" s="9" t="s">
        <v>204</v>
      </c>
      <c r="B9" s="63">
        <v>799</v>
      </c>
      <c r="C9" s="63">
        <v>799</v>
      </c>
      <c r="D9" s="63">
        <v>799</v>
      </c>
      <c r="E9" s="63">
        <v>799</v>
      </c>
      <c r="F9" s="63">
        <v>799</v>
      </c>
      <c r="G9" s="63">
        <v>799</v>
      </c>
      <c r="H9" s="63">
        <v>799</v>
      </c>
      <c r="I9" s="63">
        <v>799</v>
      </c>
      <c r="J9" s="63">
        <v>799</v>
      </c>
      <c r="K9" s="63">
        <v>799</v>
      </c>
    </row>
    <row r="10" spans="1:11" ht="15" customHeight="1">
      <c r="A10" s="9" t="s">
        <v>205</v>
      </c>
      <c r="B10" s="63">
        <v>12</v>
      </c>
      <c r="C10" s="63">
        <v>16</v>
      </c>
      <c r="D10" s="63">
        <v>22</v>
      </c>
      <c r="E10" s="63">
        <v>17</v>
      </c>
      <c r="F10" s="63">
        <v>18</v>
      </c>
      <c r="G10" s="63">
        <v>19</v>
      </c>
      <c r="H10" s="63">
        <v>18</v>
      </c>
      <c r="I10" s="63">
        <v>19</v>
      </c>
      <c r="J10" s="63">
        <v>19</v>
      </c>
      <c r="K10" s="63">
        <v>18</v>
      </c>
    </row>
    <row r="11" spans="1:11" ht="15" customHeight="1">
      <c r="A11" s="9" t="s">
        <v>206</v>
      </c>
      <c r="B11" s="63">
        <v>74552</v>
      </c>
      <c r="C11" s="63">
        <v>72722</v>
      </c>
      <c r="D11" s="63">
        <v>70328</v>
      </c>
      <c r="E11" s="63">
        <v>68623</v>
      </c>
      <c r="F11" s="63">
        <v>68233</v>
      </c>
      <c r="G11" s="63">
        <v>70039</v>
      </c>
      <c r="H11" s="63">
        <v>71429</v>
      </c>
      <c r="I11" s="63">
        <v>71237</v>
      </c>
      <c r="J11" s="63">
        <v>71180</v>
      </c>
      <c r="K11" s="63">
        <v>71127</v>
      </c>
    </row>
    <row r="12" spans="1:11" ht="15" customHeight="1">
      <c r="A12" s="9" t="s">
        <v>207</v>
      </c>
      <c r="B12" s="63">
        <v>19236</v>
      </c>
      <c r="C12" s="63">
        <v>17406</v>
      </c>
      <c r="D12" s="63">
        <v>16252</v>
      </c>
      <c r="E12" s="63">
        <v>15096</v>
      </c>
      <c r="F12" s="63">
        <v>14864</v>
      </c>
      <c r="G12" s="63">
        <v>16067</v>
      </c>
      <c r="H12" s="63">
        <v>16944</v>
      </c>
      <c r="I12" s="63">
        <v>16879</v>
      </c>
      <c r="J12" s="63">
        <v>16885</v>
      </c>
      <c r="K12" s="63">
        <v>16871</v>
      </c>
    </row>
    <row r="13" spans="1:11" ht="15" customHeight="1">
      <c r="A13" s="9" t="s">
        <v>208</v>
      </c>
      <c r="B13" s="63">
        <v>55286</v>
      </c>
      <c r="C13" s="63">
        <v>55286</v>
      </c>
      <c r="D13" s="63">
        <v>54046</v>
      </c>
      <c r="E13" s="63">
        <v>53497</v>
      </c>
      <c r="F13" s="63">
        <v>53339</v>
      </c>
      <c r="G13" s="63">
        <v>53942</v>
      </c>
      <c r="H13" s="63">
        <v>54455</v>
      </c>
      <c r="I13" s="63">
        <v>54328</v>
      </c>
      <c r="J13" s="63">
        <v>54265</v>
      </c>
      <c r="K13" s="63">
        <v>54226</v>
      </c>
    </row>
    <row r="14" spans="1:11" ht="15" customHeight="1">
      <c r="A14" s="9" t="s">
        <v>205</v>
      </c>
      <c r="B14" s="63">
        <v>30</v>
      </c>
      <c r="C14" s="63">
        <v>30</v>
      </c>
      <c r="D14" s="63">
        <v>30</v>
      </c>
      <c r="E14" s="63">
        <v>30</v>
      </c>
      <c r="F14" s="63">
        <v>30</v>
      </c>
      <c r="G14" s="63">
        <v>30</v>
      </c>
      <c r="H14" s="63">
        <v>30</v>
      </c>
      <c r="I14" s="63">
        <v>30</v>
      </c>
      <c r="J14" s="63">
        <v>30</v>
      </c>
      <c r="K14" s="63">
        <v>30</v>
      </c>
    </row>
    <row r="15" spans="1:11" ht="15" customHeight="1">
      <c r="A15" s="12" t="s">
        <v>209</v>
      </c>
      <c r="B15" s="67">
        <f t="shared" ref="B15:K15" si="1">B7+B11</f>
        <v>92265.600000000006</v>
      </c>
      <c r="C15" s="67">
        <f t="shared" si="1"/>
        <v>92389.8</v>
      </c>
      <c r="D15" s="67">
        <f t="shared" si="1"/>
        <v>92272.1</v>
      </c>
      <c r="E15" s="67">
        <f t="shared" si="1"/>
        <v>90427.9</v>
      </c>
      <c r="F15" s="67">
        <f t="shared" si="1"/>
        <v>89883.7</v>
      </c>
      <c r="G15" s="67">
        <f t="shared" si="1"/>
        <v>91535.8</v>
      </c>
      <c r="H15" s="67">
        <f t="shared" si="1"/>
        <v>92776.2</v>
      </c>
      <c r="I15" s="67">
        <f t="shared" si="1"/>
        <v>92430.3</v>
      </c>
      <c r="J15" s="67">
        <f t="shared" si="1"/>
        <v>92217.9</v>
      </c>
      <c r="K15" s="67">
        <f t="shared" si="1"/>
        <v>92029.6</v>
      </c>
    </row>
    <row r="16" spans="1:11" ht="13.5" customHeight="1"/>
    <row r="17" spans="1:11" ht="15" customHeight="1">
      <c r="A17" s="12" t="s">
        <v>210</v>
      </c>
    </row>
    <row r="18" spans="1:11" ht="15" customHeight="1">
      <c r="A18" s="9" t="s">
        <v>211</v>
      </c>
      <c r="B18" s="63">
        <v>105309</v>
      </c>
      <c r="C18" s="63">
        <v>105588</v>
      </c>
      <c r="D18" s="63">
        <v>106021</v>
      </c>
      <c r="E18" s="63">
        <v>104538</v>
      </c>
      <c r="F18" s="63">
        <v>104463</v>
      </c>
      <c r="G18" s="63">
        <v>106466</v>
      </c>
      <c r="H18" s="63">
        <v>107989</v>
      </c>
      <c r="I18" s="63">
        <v>108068</v>
      </c>
      <c r="J18" s="63">
        <v>108251</v>
      </c>
      <c r="K18" s="63">
        <v>108395</v>
      </c>
    </row>
    <row r="19" spans="1:11" ht="15" customHeight="1">
      <c r="A19" s="9" t="s">
        <v>212</v>
      </c>
      <c r="B19" s="63">
        <v>37580</v>
      </c>
      <c r="C19" s="63">
        <v>37842</v>
      </c>
      <c r="D19" s="63">
        <v>39293</v>
      </c>
      <c r="E19" s="63">
        <v>38659</v>
      </c>
      <c r="F19" s="63">
        <v>38996</v>
      </c>
      <c r="G19" s="63">
        <v>39398</v>
      </c>
      <c r="H19" s="63">
        <v>39427</v>
      </c>
      <c r="I19" s="63">
        <v>39689</v>
      </c>
      <c r="J19" s="63">
        <v>39920</v>
      </c>
      <c r="K19" s="63">
        <v>40097</v>
      </c>
    </row>
    <row r="20" spans="1:11" ht="15" customHeight="1">
      <c r="A20" s="57" t="s">
        <v>213</v>
      </c>
      <c r="B20" s="13">
        <v>6082</v>
      </c>
      <c r="C20" s="13">
        <v>6192</v>
      </c>
      <c r="D20" s="13">
        <v>6198</v>
      </c>
      <c r="E20" s="13">
        <v>6257</v>
      </c>
      <c r="F20" s="13">
        <v>6290</v>
      </c>
      <c r="G20" s="13">
        <v>6336</v>
      </c>
      <c r="H20" s="13">
        <v>6376</v>
      </c>
      <c r="I20" s="13">
        <v>6420</v>
      </c>
      <c r="J20" s="13">
        <v>6462</v>
      </c>
      <c r="K20" s="13">
        <v>6506</v>
      </c>
    </row>
    <row r="21" spans="1:11" ht="15" customHeight="1">
      <c r="A21" s="57" t="s">
        <v>214</v>
      </c>
      <c r="B21" s="13">
        <v>195</v>
      </c>
      <c r="C21" s="13">
        <v>256</v>
      </c>
      <c r="D21" s="13">
        <v>311</v>
      </c>
      <c r="E21" s="13">
        <v>257</v>
      </c>
      <c r="F21" s="13">
        <v>277</v>
      </c>
      <c r="G21" s="13">
        <v>284</v>
      </c>
      <c r="H21" s="13">
        <v>275</v>
      </c>
      <c r="I21" s="13">
        <v>282</v>
      </c>
      <c r="J21" s="13">
        <v>283</v>
      </c>
      <c r="K21" s="13">
        <v>283</v>
      </c>
    </row>
    <row r="22" spans="1:11" ht="15" customHeight="1">
      <c r="A22" s="57" t="s">
        <v>215</v>
      </c>
      <c r="B22" s="13">
        <v>31303</v>
      </c>
      <c r="C22" s="13">
        <v>31394</v>
      </c>
      <c r="D22" s="13">
        <v>32784</v>
      </c>
      <c r="E22" s="13">
        <v>32145</v>
      </c>
      <c r="F22" s="13">
        <v>32429</v>
      </c>
      <c r="G22" s="13">
        <v>32777</v>
      </c>
      <c r="H22" s="13">
        <v>32775</v>
      </c>
      <c r="I22" s="13">
        <v>32987</v>
      </c>
      <c r="J22" s="13">
        <v>33175</v>
      </c>
      <c r="K22" s="13">
        <v>33309</v>
      </c>
    </row>
    <row r="23" spans="1:11" ht="15" customHeight="1">
      <c r="A23" s="9" t="s">
        <v>216</v>
      </c>
      <c r="B23" s="63">
        <v>67729</v>
      </c>
      <c r="C23" s="63">
        <v>67746</v>
      </c>
      <c r="D23" s="63">
        <v>66728</v>
      </c>
      <c r="E23" s="63">
        <v>65879</v>
      </c>
      <c r="F23" s="63">
        <v>65467</v>
      </c>
      <c r="G23" s="63">
        <v>67068</v>
      </c>
      <c r="H23" s="63">
        <v>68562</v>
      </c>
      <c r="I23" s="63">
        <v>68379</v>
      </c>
      <c r="J23" s="63">
        <v>68331</v>
      </c>
      <c r="K23" s="63">
        <v>68298</v>
      </c>
    </row>
    <row r="24" spans="1:11" ht="15" customHeight="1">
      <c r="A24" s="9" t="s">
        <v>217</v>
      </c>
      <c r="B24" s="63">
        <v>4922</v>
      </c>
      <c r="C24" s="63">
        <v>3118</v>
      </c>
      <c r="D24" s="63">
        <v>1800</v>
      </c>
      <c r="E24" s="63">
        <v>892</v>
      </c>
      <c r="F24" s="63">
        <v>930</v>
      </c>
      <c r="G24" s="63">
        <v>1141</v>
      </c>
      <c r="H24" s="63">
        <v>1027</v>
      </c>
      <c r="I24" s="63">
        <v>1022</v>
      </c>
      <c r="J24" s="63">
        <v>1014</v>
      </c>
      <c r="K24" s="63">
        <v>992</v>
      </c>
    </row>
    <row r="25" spans="1:11" ht="15" customHeight="1">
      <c r="A25" s="9" t="s">
        <v>218</v>
      </c>
      <c r="B25" s="63">
        <v>4793</v>
      </c>
      <c r="C25" s="63">
        <v>2946</v>
      </c>
      <c r="D25" s="63">
        <v>1570</v>
      </c>
      <c r="E25" s="63">
        <v>714</v>
      </c>
      <c r="F25" s="63">
        <v>736</v>
      </c>
      <c r="G25" s="63">
        <v>941</v>
      </c>
      <c r="H25" s="63">
        <v>837</v>
      </c>
      <c r="I25" s="63">
        <v>828</v>
      </c>
      <c r="J25" s="63">
        <v>819</v>
      </c>
      <c r="K25" s="63">
        <v>799</v>
      </c>
    </row>
    <row r="26" spans="1:11" ht="15" customHeight="1">
      <c r="A26" s="9" t="s">
        <v>219</v>
      </c>
      <c r="B26" s="63">
        <v>129</v>
      </c>
      <c r="C26" s="63">
        <v>172</v>
      </c>
      <c r="D26" s="63">
        <v>230</v>
      </c>
      <c r="E26" s="63">
        <v>177</v>
      </c>
      <c r="F26" s="63">
        <v>193</v>
      </c>
      <c r="G26" s="63">
        <v>200</v>
      </c>
      <c r="H26" s="63">
        <v>190</v>
      </c>
      <c r="I26" s="63">
        <v>195</v>
      </c>
      <c r="J26" s="63">
        <v>195</v>
      </c>
      <c r="K26" s="63">
        <v>193</v>
      </c>
    </row>
    <row r="27" spans="1:11" ht="15" customHeight="1">
      <c r="A27" s="9" t="s">
        <v>220</v>
      </c>
      <c r="B27" s="67">
        <f t="shared" ref="B27:K27" si="2">B18+B24</f>
        <v>110231</v>
      </c>
      <c r="C27" s="67">
        <f t="shared" si="2"/>
        <v>108706</v>
      </c>
      <c r="D27" s="67">
        <f t="shared" si="2"/>
        <v>107821</v>
      </c>
      <c r="E27" s="67">
        <f t="shared" si="2"/>
        <v>105430</v>
      </c>
      <c r="F27" s="67">
        <f t="shared" si="2"/>
        <v>105393</v>
      </c>
      <c r="G27" s="67">
        <f t="shared" si="2"/>
        <v>107607</v>
      </c>
      <c r="H27" s="67">
        <f t="shared" si="2"/>
        <v>109016</v>
      </c>
      <c r="I27" s="67">
        <f t="shared" si="2"/>
        <v>109090</v>
      </c>
      <c r="J27" s="67">
        <f t="shared" si="2"/>
        <v>109265</v>
      </c>
      <c r="K27" s="67">
        <f t="shared" si="2"/>
        <v>109387</v>
      </c>
    </row>
    <row r="28" spans="1:11" ht="15" customHeight="1"/>
    <row r="29" spans="1:11" ht="15" customHeight="1">
      <c r="A29" s="12" t="s">
        <v>221</v>
      </c>
      <c r="B29" s="69">
        <f t="shared" ref="B29:K29" si="3">B15-B27</f>
        <v>-17965.399999999994</v>
      </c>
      <c r="C29" s="69">
        <f t="shared" si="3"/>
        <v>-16316.199999999997</v>
      </c>
      <c r="D29" s="69">
        <f t="shared" si="3"/>
        <v>-15548.899999999994</v>
      </c>
      <c r="E29" s="69">
        <f t="shared" si="3"/>
        <v>-15002.100000000006</v>
      </c>
      <c r="F29" s="69">
        <f t="shared" si="3"/>
        <v>-15509.300000000003</v>
      </c>
      <c r="G29" s="69">
        <f t="shared" si="3"/>
        <v>-16071.199999999997</v>
      </c>
      <c r="H29" s="69">
        <f t="shared" si="3"/>
        <v>-16239.800000000003</v>
      </c>
      <c r="I29" s="69">
        <f t="shared" si="3"/>
        <v>-16659.699999999997</v>
      </c>
      <c r="J29" s="69">
        <f t="shared" si="3"/>
        <v>-17047.100000000006</v>
      </c>
      <c r="K29" s="69">
        <f t="shared" si="3"/>
        <v>-17357.399999999994</v>
      </c>
    </row>
    <row r="30" spans="1:11" ht="15" customHeight="1"/>
    <row r="31" spans="1:11" ht="15" customHeight="1">
      <c r="A31" s="12" t="s">
        <v>222</v>
      </c>
      <c r="B31" s="70">
        <f t="shared" ref="B31:K31" si="4">B15/B27</f>
        <v>0.83702043889649924</v>
      </c>
      <c r="C31" s="70">
        <f t="shared" si="4"/>
        <v>0.8499052490202933</v>
      </c>
      <c r="D31" s="70">
        <f t="shared" si="4"/>
        <v>0.85578968846514136</v>
      </c>
      <c r="E31" s="70">
        <f t="shared" si="4"/>
        <v>0.85770558664516738</v>
      </c>
      <c r="F31" s="70">
        <f t="shared" si="4"/>
        <v>0.85284316795233073</v>
      </c>
      <c r="G31" s="70">
        <f t="shared" si="4"/>
        <v>0.85064912133968984</v>
      </c>
      <c r="H31" s="70">
        <f t="shared" si="4"/>
        <v>0.8510328759081236</v>
      </c>
      <c r="I31" s="70">
        <f t="shared" si="4"/>
        <v>0.84728481070675588</v>
      </c>
      <c r="J31" s="70">
        <f t="shared" si="4"/>
        <v>0.84398389237175664</v>
      </c>
      <c r="K31" s="70">
        <f t="shared" si="4"/>
        <v>0.84132118076188223</v>
      </c>
    </row>
    <row r="32" spans="1:11" ht="12.75" customHeight="1">
      <c r="A32" s="9" t="s">
        <v>223</v>
      </c>
      <c r="B32" s="63">
        <v>37580</v>
      </c>
      <c r="C32" s="63">
        <v>37842</v>
      </c>
      <c r="D32" s="63">
        <v>39293</v>
      </c>
      <c r="E32" s="63">
        <v>38659</v>
      </c>
      <c r="F32" s="63">
        <v>38996</v>
      </c>
      <c r="G32" s="63">
        <v>39398</v>
      </c>
      <c r="H32" s="63">
        <v>39427</v>
      </c>
      <c r="I32" s="63">
        <v>39689</v>
      </c>
      <c r="J32" s="63">
        <v>39920</v>
      </c>
      <c r="K32" s="63">
        <v>40097</v>
      </c>
    </row>
    <row r="33" spans="1:11" ht="15" customHeight="1">
      <c r="A33" s="12" t="s">
        <v>224</v>
      </c>
      <c r="B33" s="70">
        <f t="shared" ref="B33:K33" si="5">B8/B32</f>
        <v>0.44977647684938793</v>
      </c>
      <c r="C33" s="70">
        <f t="shared" si="5"/>
        <v>0.49819776967390728</v>
      </c>
      <c r="D33" s="70">
        <f t="shared" si="5"/>
        <v>0.53757921258239383</v>
      </c>
      <c r="E33" s="70">
        <f t="shared" si="5"/>
        <v>0.54292402804004247</v>
      </c>
      <c r="F33" s="70">
        <f t="shared" si="5"/>
        <v>0.53425223099805108</v>
      </c>
      <c r="G33" s="70">
        <f t="shared" si="5"/>
        <v>0.52486928270470579</v>
      </c>
      <c r="H33" s="70">
        <f t="shared" si="5"/>
        <v>0.52071423136429351</v>
      </c>
      <c r="I33" s="70">
        <f t="shared" si="5"/>
        <v>0.51337398271561385</v>
      </c>
      <c r="J33" s="70">
        <f t="shared" si="5"/>
        <v>0.50651052104208416</v>
      </c>
      <c r="K33" s="70">
        <f t="shared" si="5"/>
        <v>0.50092525625358497</v>
      </c>
    </row>
    <row r="34" spans="1:11" ht="15" customHeight="1">
      <c r="A34" s="9" t="s">
        <v>32</v>
      </c>
      <c r="B34" s="63">
        <v>94131</v>
      </c>
      <c r="C34" s="63">
        <v>93463</v>
      </c>
      <c r="D34" s="63">
        <v>92868</v>
      </c>
      <c r="E34" s="63">
        <v>92200</v>
      </c>
      <c r="F34" s="63">
        <v>91605</v>
      </c>
      <c r="G34" s="63">
        <v>90937</v>
      </c>
      <c r="H34" s="63">
        <v>90268</v>
      </c>
      <c r="I34" s="63">
        <v>89600</v>
      </c>
      <c r="J34" s="63">
        <v>88931</v>
      </c>
      <c r="K34" s="63">
        <v>88262</v>
      </c>
    </row>
    <row r="35" spans="1:11" ht="13.5" customHeight="1"/>
    <row r="36" spans="1:11" ht="15" customHeight="1">
      <c r="A36" s="12" t="s">
        <v>247</v>
      </c>
    </row>
    <row r="37" spans="1:11" ht="15" customHeight="1">
      <c r="A37" s="71" t="s">
        <v>248</v>
      </c>
    </row>
    <row r="38" spans="1:11" ht="15" customHeight="1"/>
    <row r="39" spans="1:11" ht="15" customHeight="1">
      <c r="A39" s="12" t="s">
        <v>249</v>
      </c>
      <c r="B39" s="21"/>
      <c r="C39" s="21"/>
      <c r="D39" s="21"/>
      <c r="E39" s="21"/>
      <c r="F39" s="21"/>
      <c r="G39" s="21"/>
      <c r="H39" s="21"/>
      <c r="I39" s="21"/>
      <c r="J39" s="21"/>
      <c r="K39" s="21"/>
    </row>
    <row r="40" spans="1:11" ht="15" customHeight="1">
      <c r="A40" s="9" t="s">
        <v>250</v>
      </c>
      <c r="B40" s="21"/>
      <c r="C40" s="21"/>
      <c r="D40" s="21"/>
      <c r="E40" s="21"/>
      <c r="F40" s="21"/>
      <c r="G40" s="21"/>
      <c r="H40" s="21"/>
      <c r="I40" s="21"/>
      <c r="J40" s="21"/>
      <c r="K40" s="21"/>
    </row>
    <row r="41" spans="1:11" ht="15" customHeight="1">
      <c r="A41" s="9" t="s">
        <v>251</v>
      </c>
      <c r="B41" s="21"/>
      <c r="C41" s="21"/>
      <c r="D41" s="21"/>
      <c r="E41" s="21"/>
      <c r="F41" s="21"/>
      <c r="G41" s="21"/>
      <c r="H41" s="21"/>
      <c r="I41" s="21"/>
      <c r="J41" s="21"/>
      <c r="K41" s="21"/>
    </row>
    <row r="42" spans="1:11" ht="13.5" customHeight="1">
      <c r="A42" s="9" t="s">
        <v>252</v>
      </c>
      <c r="B42" s="21"/>
      <c r="C42" s="21"/>
      <c r="D42" s="21"/>
      <c r="E42" s="21"/>
      <c r="F42" s="21"/>
      <c r="G42" s="21"/>
      <c r="H42" s="21"/>
      <c r="I42" s="21"/>
      <c r="J42" s="21"/>
      <c r="K42" s="21"/>
    </row>
    <row r="43" spans="1:11" ht="15" customHeight="1">
      <c r="A43" s="9" t="s">
        <v>253</v>
      </c>
      <c r="B43" s="21"/>
      <c r="C43" s="21"/>
      <c r="D43" s="21"/>
      <c r="E43" s="21"/>
      <c r="F43" s="21"/>
      <c r="G43" s="21"/>
      <c r="H43" s="21"/>
      <c r="I43" s="21"/>
      <c r="J43" s="21"/>
      <c r="K43" s="21"/>
    </row>
    <row r="44" spans="1:11" ht="15" customHeight="1">
      <c r="A44" s="12" t="s">
        <v>254</v>
      </c>
      <c r="B44" s="21"/>
      <c r="C44" s="21"/>
      <c r="D44" s="21"/>
      <c r="E44" s="21"/>
      <c r="F44" s="21"/>
      <c r="G44" s="21"/>
      <c r="H44" s="21"/>
      <c r="I44" s="21"/>
      <c r="J44" s="21"/>
      <c r="K44" s="21"/>
    </row>
    <row r="45" spans="1:11" ht="15" customHeight="1"/>
    <row r="46" spans="1:11" ht="15" customHeight="1">
      <c r="A46" s="12" t="s">
        <v>255</v>
      </c>
      <c r="B46" s="21"/>
      <c r="C46" s="21"/>
      <c r="D46" s="21"/>
      <c r="E46" s="21"/>
      <c r="F46" s="21"/>
      <c r="G46" s="21"/>
      <c r="H46" s="21"/>
      <c r="I46" s="21"/>
      <c r="J46" s="21"/>
      <c r="K46" s="21"/>
    </row>
    <row r="47" spans="1:11" ht="15" customHeight="1">
      <c r="A47" s="9" t="s">
        <v>256</v>
      </c>
      <c r="B47" s="21"/>
      <c r="C47" s="21"/>
      <c r="D47" s="21"/>
      <c r="E47" s="21"/>
      <c r="F47" s="21"/>
      <c r="G47" s="21"/>
      <c r="H47" s="21"/>
      <c r="I47" s="21"/>
      <c r="J47" s="21"/>
      <c r="K47" s="21"/>
    </row>
    <row r="48" spans="1:11" ht="13.5" customHeight="1">
      <c r="A48" s="9" t="s">
        <v>257</v>
      </c>
      <c r="B48" s="21"/>
      <c r="C48" s="21"/>
      <c r="D48" s="21"/>
      <c r="E48" s="21"/>
      <c r="F48" s="21"/>
      <c r="G48" s="21"/>
      <c r="H48" s="21"/>
      <c r="I48" s="21"/>
      <c r="J48" s="21"/>
      <c r="K48" s="21"/>
    </row>
    <row r="49" spans="1:11" ht="15" customHeight="1">
      <c r="A49" s="9" t="s">
        <v>253</v>
      </c>
      <c r="B49" s="21"/>
      <c r="C49" s="21"/>
      <c r="D49" s="21"/>
      <c r="E49" s="21"/>
      <c r="F49" s="21"/>
      <c r="G49" s="21"/>
      <c r="H49" s="21"/>
      <c r="I49" s="21"/>
      <c r="J49" s="21"/>
      <c r="K49" s="21"/>
    </row>
    <row r="50" spans="1:11" ht="15" customHeight="1">
      <c r="A50" s="12" t="s">
        <v>258</v>
      </c>
      <c r="B50" s="21"/>
      <c r="C50" s="21"/>
      <c r="D50" s="21"/>
      <c r="E50" s="21"/>
      <c r="F50" s="21"/>
      <c r="G50" s="21"/>
      <c r="H50" s="21"/>
      <c r="I50" s="21"/>
      <c r="J50" s="21"/>
      <c r="K50" s="21"/>
    </row>
    <row r="51" spans="1:11" ht="15" customHeight="1"/>
    <row r="52" spans="1:11" ht="15" customHeight="1">
      <c r="A52" s="12" t="s">
        <v>259</v>
      </c>
      <c r="B52" s="21"/>
      <c r="C52" s="21"/>
      <c r="D52" s="21"/>
      <c r="E52" s="21"/>
      <c r="F52" s="21"/>
      <c r="G52" s="21"/>
      <c r="H52" s="21"/>
      <c r="I52" s="21"/>
      <c r="J52" s="21"/>
      <c r="K52" s="21"/>
    </row>
    <row r="53" spans="1:11" ht="15" customHeight="1"/>
    <row r="54" spans="1:11" ht="15" customHeight="1">
      <c r="A54" s="12" t="s">
        <v>260</v>
      </c>
      <c r="B54" s="21"/>
      <c r="C54" s="21"/>
      <c r="D54" s="21"/>
      <c r="E54" s="21"/>
      <c r="F54" s="21"/>
      <c r="G54" s="21"/>
      <c r="H54" s="21"/>
      <c r="I54" s="21"/>
      <c r="J54" s="21"/>
      <c r="K54" s="21"/>
    </row>
    <row r="55" spans="1:11" ht="15" customHeight="1">
      <c r="A55" s="9" t="s">
        <v>261</v>
      </c>
      <c r="B55" s="21"/>
      <c r="C55" s="21"/>
      <c r="D55" s="21"/>
      <c r="E55" s="21"/>
      <c r="F55" s="21"/>
      <c r="G55" s="21"/>
      <c r="H55" s="21"/>
      <c r="I55" s="21"/>
      <c r="J55" s="21"/>
      <c r="K55" s="21"/>
    </row>
    <row r="56" spans="1:11" ht="13.5" customHeight="1">
      <c r="A56" s="9" t="s">
        <v>262</v>
      </c>
      <c r="B56" s="21"/>
      <c r="C56" s="21"/>
      <c r="D56" s="21"/>
      <c r="E56" s="21"/>
      <c r="F56" s="21"/>
      <c r="G56" s="21"/>
      <c r="H56" s="21"/>
      <c r="I56" s="21"/>
      <c r="J56" s="21"/>
      <c r="K56" s="21"/>
    </row>
    <row r="57" spans="1:11" ht="15" customHeight="1">
      <c r="A57" s="9" t="s">
        <v>263</v>
      </c>
      <c r="B57" s="21"/>
      <c r="C57" s="21"/>
      <c r="D57" s="21"/>
      <c r="E57" s="21"/>
      <c r="F57" s="21"/>
      <c r="G57" s="21"/>
      <c r="H57" s="21"/>
      <c r="I57" s="21"/>
      <c r="J57" s="21"/>
      <c r="K57" s="21"/>
    </row>
    <row r="58" spans="1:11" ht="13.5" customHeight="1">
      <c r="A58" s="12" t="s">
        <v>264</v>
      </c>
      <c r="B58" s="21"/>
      <c r="C58" s="21"/>
      <c r="D58" s="21"/>
      <c r="E58" s="21"/>
      <c r="F58" s="21"/>
      <c r="G58" s="21"/>
      <c r="H58" s="21"/>
      <c r="I58" s="21"/>
      <c r="J58" s="21"/>
      <c r="K58" s="21"/>
    </row>
    <row r="59" spans="1:11" ht="13.5" customHeight="1"/>
    <row r="60" spans="1:11" ht="13.5" customHeight="1">
      <c r="A60" s="12" t="s">
        <v>265</v>
      </c>
      <c r="B60" s="21"/>
      <c r="C60" s="21"/>
      <c r="D60" s="21"/>
      <c r="E60" s="21"/>
      <c r="F60" s="21"/>
      <c r="G60" s="21"/>
      <c r="H60" s="21"/>
      <c r="I60" s="21"/>
      <c r="J60" s="21"/>
      <c r="K60" s="21"/>
    </row>
  </sheetData>
  <mergeCells count="1">
    <mergeCell ref="A1:K1"/>
  </mergeCells>
  <phoneticPr fontId="43"/>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60"/>
  <sheetViews>
    <sheetView zoomScaleNormal="100" workbookViewId="0">
      <selection activeCell="B8" sqref="B8:K8"/>
    </sheetView>
  </sheetViews>
  <sheetFormatPr defaultColWidth="8.5546875" defaultRowHeight="13.2"/>
  <cols>
    <col min="1" max="1" width="24" customWidth="1"/>
    <col min="2" max="11" width="13" customWidth="1"/>
  </cols>
  <sheetData>
    <row r="1" spans="1:11" ht="16.5" customHeight="1">
      <c r="A1" s="91" t="s">
        <v>269</v>
      </c>
      <c r="B1" s="82"/>
      <c r="C1" s="82"/>
      <c r="D1" s="82"/>
      <c r="E1" s="82"/>
      <c r="F1" s="82"/>
      <c r="G1" s="82"/>
      <c r="H1" s="82"/>
      <c r="I1" s="82"/>
      <c r="J1" s="82"/>
      <c r="K1" s="82"/>
    </row>
    <row r="2" spans="1:11" ht="15" customHeight="1">
      <c r="A2" s="12" t="s">
        <v>188</v>
      </c>
    </row>
    <row r="3" spans="1:11" ht="13.5" customHeight="1"/>
    <row r="4" spans="1:11" ht="15" customHeight="1">
      <c r="A4" s="12" t="s">
        <v>189</v>
      </c>
      <c r="B4" s="61" t="s">
        <v>16</v>
      </c>
      <c r="C4" s="61" t="s">
        <v>17</v>
      </c>
      <c r="D4" s="61" t="s">
        <v>18</v>
      </c>
      <c r="E4" s="61" t="s">
        <v>19</v>
      </c>
      <c r="F4" s="61" t="s">
        <v>20</v>
      </c>
      <c r="G4" s="61" t="s">
        <v>21</v>
      </c>
      <c r="H4" s="61" t="s">
        <v>22</v>
      </c>
      <c r="I4" s="61" t="s">
        <v>23</v>
      </c>
      <c r="J4" s="61" t="s">
        <v>24</v>
      </c>
      <c r="K4" s="61" t="s">
        <v>25</v>
      </c>
    </row>
    <row r="5" spans="1:11" ht="15" customHeight="1">
      <c r="A5" s="65" t="s">
        <v>190</v>
      </c>
      <c r="B5" s="66">
        <v>2025</v>
      </c>
      <c r="C5" s="66">
        <v>2026</v>
      </c>
      <c r="D5" s="66">
        <v>2027</v>
      </c>
      <c r="E5" s="66">
        <v>2028</v>
      </c>
      <c r="F5" s="66">
        <v>2029</v>
      </c>
      <c r="G5" s="66">
        <v>2030</v>
      </c>
      <c r="H5" s="66">
        <v>2031</v>
      </c>
      <c r="I5" s="66">
        <v>2032</v>
      </c>
      <c r="J5" s="66">
        <v>2033</v>
      </c>
      <c r="K5" s="66">
        <v>2034</v>
      </c>
    </row>
    <row r="6" spans="1:11" ht="15" customHeight="1">
      <c r="A6" s="12" t="s">
        <v>201</v>
      </c>
    </row>
    <row r="7" spans="1:11" ht="15" customHeight="1">
      <c r="A7" s="12" t="s">
        <v>202</v>
      </c>
      <c r="B7" s="67">
        <f t="shared" ref="B7:K7" si="0">SUM(B8:B10)</f>
        <v>18195.599999999999</v>
      </c>
      <c r="C7" s="67">
        <f t="shared" si="0"/>
        <v>20866.7</v>
      </c>
      <c r="D7" s="67">
        <f t="shared" si="0"/>
        <v>20725.900000000001</v>
      </c>
      <c r="E7" s="67">
        <f t="shared" si="0"/>
        <v>20594.900000000001</v>
      </c>
      <c r="F7" s="67">
        <f t="shared" si="0"/>
        <v>20449.2</v>
      </c>
      <c r="G7" s="67">
        <f t="shared" si="0"/>
        <v>20303.7</v>
      </c>
      <c r="H7" s="67">
        <f t="shared" si="0"/>
        <v>20163.900000000001</v>
      </c>
      <c r="I7" s="67">
        <f t="shared" si="0"/>
        <v>20018.400000000001</v>
      </c>
      <c r="J7" s="67">
        <f t="shared" si="0"/>
        <v>19871.5</v>
      </c>
      <c r="K7" s="67">
        <f t="shared" si="0"/>
        <v>19744.5</v>
      </c>
    </row>
    <row r="8" spans="1:11" ht="15" customHeight="1">
      <c r="A8" s="9" t="s">
        <v>203</v>
      </c>
      <c r="B8" s="68">
        <v>17384.599999999999</v>
      </c>
      <c r="C8" s="68">
        <v>20051.7</v>
      </c>
      <c r="D8" s="68">
        <v>19904.900000000001</v>
      </c>
      <c r="E8" s="68">
        <v>19778.900000000001</v>
      </c>
      <c r="F8" s="68">
        <v>19632.2</v>
      </c>
      <c r="G8" s="68">
        <v>19485.7</v>
      </c>
      <c r="H8" s="68">
        <v>19346.900000000001</v>
      </c>
      <c r="I8" s="68">
        <v>19200.400000000001</v>
      </c>
      <c r="J8" s="68">
        <v>19053.5</v>
      </c>
      <c r="K8" s="68">
        <v>18927.5</v>
      </c>
    </row>
    <row r="9" spans="1:11" ht="15" customHeight="1">
      <c r="A9" s="9" t="s">
        <v>204</v>
      </c>
      <c r="B9" s="63">
        <v>799</v>
      </c>
      <c r="C9" s="63">
        <v>799</v>
      </c>
      <c r="D9" s="63">
        <v>799</v>
      </c>
      <c r="E9" s="63">
        <v>799</v>
      </c>
      <c r="F9" s="63">
        <v>799</v>
      </c>
      <c r="G9" s="63">
        <v>799</v>
      </c>
      <c r="H9" s="63">
        <v>799</v>
      </c>
      <c r="I9" s="63">
        <v>799</v>
      </c>
      <c r="J9" s="63">
        <v>799</v>
      </c>
      <c r="K9" s="63">
        <v>799</v>
      </c>
    </row>
    <row r="10" spans="1:11" ht="15" customHeight="1">
      <c r="A10" s="9" t="s">
        <v>205</v>
      </c>
      <c r="B10" s="63">
        <v>12</v>
      </c>
      <c r="C10" s="63">
        <v>16</v>
      </c>
      <c r="D10" s="63">
        <v>22</v>
      </c>
      <c r="E10" s="63">
        <v>17</v>
      </c>
      <c r="F10" s="63">
        <v>18</v>
      </c>
      <c r="G10" s="63">
        <v>19</v>
      </c>
      <c r="H10" s="63">
        <v>18</v>
      </c>
      <c r="I10" s="63">
        <v>19</v>
      </c>
      <c r="J10" s="63">
        <v>19</v>
      </c>
      <c r="K10" s="63">
        <v>18</v>
      </c>
    </row>
    <row r="11" spans="1:11" ht="15" customHeight="1">
      <c r="A11" s="9" t="s">
        <v>206</v>
      </c>
      <c r="B11" s="63">
        <v>74552</v>
      </c>
      <c r="C11" s="63">
        <v>72722</v>
      </c>
      <c r="D11" s="63">
        <v>70328</v>
      </c>
      <c r="E11" s="63">
        <v>68623</v>
      </c>
      <c r="F11" s="63">
        <v>68233</v>
      </c>
      <c r="G11" s="63">
        <v>70039</v>
      </c>
      <c r="H11" s="63">
        <v>71429</v>
      </c>
      <c r="I11" s="63">
        <v>71237</v>
      </c>
      <c r="J11" s="63">
        <v>71180</v>
      </c>
      <c r="K11" s="63">
        <v>71127</v>
      </c>
    </row>
    <row r="12" spans="1:11" ht="15" customHeight="1">
      <c r="A12" s="9" t="s">
        <v>207</v>
      </c>
      <c r="B12" s="63">
        <v>19236</v>
      </c>
      <c r="C12" s="63">
        <v>17406</v>
      </c>
      <c r="D12" s="63">
        <v>16252</v>
      </c>
      <c r="E12" s="63">
        <v>15096</v>
      </c>
      <c r="F12" s="63">
        <v>14864</v>
      </c>
      <c r="G12" s="63">
        <v>16067</v>
      </c>
      <c r="H12" s="63">
        <v>16944</v>
      </c>
      <c r="I12" s="63">
        <v>16879</v>
      </c>
      <c r="J12" s="63">
        <v>16885</v>
      </c>
      <c r="K12" s="63">
        <v>16871</v>
      </c>
    </row>
    <row r="13" spans="1:11" ht="15" customHeight="1">
      <c r="A13" s="9" t="s">
        <v>208</v>
      </c>
      <c r="B13" s="63">
        <v>55286</v>
      </c>
      <c r="C13" s="63">
        <v>55286</v>
      </c>
      <c r="D13" s="63">
        <v>54046</v>
      </c>
      <c r="E13" s="63">
        <v>53497</v>
      </c>
      <c r="F13" s="63">
        <v>53339</v>
      </c>
      <c r="G13" s="63">
        <v>53942</v>
      </c>
      <c r="H13" s="63">
        <v>54455</v>
      </c>
      <c r="I13" s="63">
        <v>54328</v>
      </c>
      <c r="J13" s="63">
        <v>54265</v>
      </c>
      <c r="K13" s="63">
        <v>54226</v>
      </c>
    </row>
    <row r="14" spans="1:11" ht="15" customHeight="1">
      <c r="A14" s="9" t="s">
        <v>205</v>
      </c>
      <c r="B14" s="63">
        <v>30</v>
      </c>
      <c r="C14" s="63">
        <v>30</v>
      </c>
      <c r="D14" s="63">
        <v>30</v>
      </c>
      <c r="E14" s="63">
        <v>30</v>
      </c>
      <c r="F14" s="63">
        <v>30</v>
      </c>
      <c r="G14" s="63">
        <v>30</v>
      </c>
      <c r="H14" s="63">
        <v>30</v>
      </c>
      <c r="I14" s="63">
        <v>30</v>
      </c>
      <c r="J14" s="63">
        <v>30</v>
      </c>
      <c r="K14" s="63">
        <v>30</v>
      </c>
    </row>
    <row r="15" spans="1:11" ht="15" customHeight="1">
      <c r="A15" s="12" t="s">
        <v>209</v>
      </c>
      <c r="B15" s="67">
        <f t="shared" ref="B15:K15" si="1">B7+B11</f>
        <v>92747.6</v>
      </c>
      <c r="C15" s="67">
        <f t="shared" si="1"/>
        <v>93588.7</v>
      </c>
      <c r="D15" s="67">
        <f t="shared" si="1"/>
        <v>91053.9</v>
      </c>
      <c r="E15" s="67">
        <f t="shared" si="1"/>
        <v>89217.9</v>
      </c>
      <c r="F15" s="67">
        <f t="shared" si="1"/>
        <v>88682.2</v>
      </c>
      <c r="G15" s="67">
        <f t="shared" si="1"/>
        <v>90342.7</v>
      </c>
      <c r="H15" s="67">
        <f t="shared" si="1"/>
        <v>91592.9</v>
      </c>
      <c r="I15" s="67">
        <f t="shared" si="1"/>
        <v>91255.4</v>
      </c>
      <c r="J15" s="67">
        <f t="shared" si="1"/>
        <v>91051.5</v>
      </c>
      <c r="K15" s="67">
        <f t="shared" si="1"/>
        <v>90871.5</v>
      </c>
    </row>
    <row r="16" spans="1:11" ht="13.5" customHeight="1"/>
    <row r="17" spans="1:11" ht="15" customHeight="1">
      <c r="A17" s="12" t="s">
        <v>210</v>
      </c>
    </row>
    <row r="18" spans="1:11" ht="15" customHeight="1">
      <c r="A18" s="9" t="s">
        <v>211</v>
      </c>
      <c r="B18" s="63">
        <v>105309</v>
      </c>
      <c r="C18" s="63">
        <v>105588</v>
      </c>
      <c r="D18" s="63">
        <v>106021</v>
      </c>
      <c r="E18" s="63">
        <v>104538</v>
      </c>
      <c r="F18" s="63">
        <v>104463</v>
      </c>
      <c r="G18" s="63">
        <v>106466</v>
      </c>
      <c r="H18" s="63">
        <v>107989</v>
      </c>
      <c r="I18" s="63">
        <v>108068</v>
      </c>
      <c r="J18" s="63">
        <v>108251</v>
      </c>
      <c r="K18" s="63">
        <v>108395</v>
      </c>
    </row>
    <row r="19" spans="1:11" ht="15" customHeight="1">
      <c r="A19" s="9" t="s">
        <v>212</v>
      </c>
      <c r="B19" s="63">
        <v>37580</v>
      </c>
      <c r="C19" s="63">
        <v>37842</v>
      </c>
      <c r="D19" s="63">
        <v>39293</v>
      </c>
      <c r="E19" s="63">
        <v>38659</v>
      </c>
      <c r="F19" s="63">
        <v>38996</v>
      </c>
      <c r="G19" s="63">
        <v>39398</v>
      </c>
      <c r="H19" s="63">
        <v>39427</v>
      </c>
      <c r="I19" s="63">
        <v>39689</v>
      </c>
      <c r="J19" s="63">
        <v>39920</v>
      </c>
      <c r="K19" s="63">
        <v>40097</v>
      </c>
    </row>
    <row r="20" spans="1:11" ht="15" customHeight="1">
      <c r="A20" s="57" t="s">
        <v>213</v>
      </c>
      <c r="B20" s="13">
        <v>6082</v>
      </c>
      <c r="C20" s="13">
        <v>6192</v>
      </c>
      <c r="D20" s="13">
        <v>6198</v>
      </c>
      <c r="E20" s="13">
        <v>6257</v>
      </c>
      <c r="F20" s="13">
        <v>6290</v>
      </c>
      <c r="G20" s="13">
        <v>6336</v>
      </c>
      <c r="H20" s="13">
        <v>6376</v>
      </c>
      <c r="I20" s="13">
        <v>6420</v>
      </c>
      <c r="J20" s="13">
        <v>6462</v>
      </c>
      <c r="K20" s="13">
        <v>6506</v>
      </c>
    </row>
    <row r="21" spans="1:11" ht="15" customHeight="1">
      <c r="A21" s="57" t="s">
        <v>214</v>
      </c>
      <c r="B21" s="13">
        <v>195</v>
      </c>
      <c r="C21" s="13">
        <v>256</v>
      </c>
      <c r="D21" s="13">
        <v>311</v>
      </c>
      <c r="E21" s="13">
        <v>257</v>
      </c>
      <c r="F21" s="13">
        <v>277</v>
      </c>
      <c r="G21" s="13">
        <v>284</v>
      </c>
      <c r="H21" s="13">
        <v>275</v>
      </c>
      <c r="I21" s="13">
        <v>282</v>
      </c>
      <c r="J21" s="13">
        <v>283</v>
      </c>
      <c r="K21" s="13">
        <v>283</v>
      </c>
    </row>
    <row r="22" spans="1:11" ht="15" customHeight="1">
      <c r="A22" s="57" t="s">
        <v>215</v>
      </c>
      <c r="B22" s="13">
        <v>31303</v>
      </c>
      <c r="C22" s="13">
        <v>31394</v>
      </c>
      <c r="D22" s="13">
        <v>32784</v>
      </c>
      <c r="E22" s="13">
        <v>32145</v>
      </c>
      <c r="F22" s="13">
        <v>32429</v>
      </c>
      <c r="G22" s="13">
        <v>32777</v>
      </c>
      <c r="H22" s="13">
        <v>32775</v>
      </c>
      <c r="I22" s="13">
        <v>32987</v>
      </c>
      <c r="J22" s="13">
        <v>33175</v>
      </c>
      <c r="K22" s="13">
        <v>33309</v>
      </c>
    </row>
    <row r="23" spans="1:11" ht="15" customHeight="1">
      <c r="A23" s="9" t="s">
        <v>216</v>
      </c>
      <c r="B23" s="63">
        <v>67729</v>
      </c>
      <c r="C23" s="63">
        <v>67746</v>
      </c>
      <c r="D23" s="63">
        <v>66728</v>
      </c>
      <c r="E23" s="63">
        <v>65879</v>
      </c>
      <c r="F23" s="63">
        <v>65467</v>
      </c>
      <c r="G23" s="63">
        <v>67068</v>
      </c>
      <c r="H23" s="63">
        <v>68562</v>
      </c>
      <c r="I23" s="63">
        <v>68379</v>
      </c>
      <c r="J23" s="63">
        <v>68331</v>
      </c>
      <c r="K23" s="63">
        <v>68298</v>
      </c>
    </row>
    <row r="24" spans="1:11" ht="15" customHeight="1">
      <c r="A24" s="9" t="s">
        <v>217</v>
      </c>
      <c r="B24" s="63">
        <v>4922</v>
      </c>
      <c r="C24" s="63">
        <v>3118</v>
      </c>
      <c r="D24" s="63">
        <v>1800</v>
      </c>
      <c r="E24" s="63">
        <v>892</v>
      </c>
      <c r="F24" s="63">
        <v>930</v>
      </c>
      <c r="G24" s="63">
        <v>1141</v>
      </c>
      <c r="H24" s="63">
        <v>1027</v>
      </c>
      <c r="I24" s="63">
        <v>1022</v>
      </c>
      <c r="J24" s="63">
        <v>1014</v>
      </c>
      <c r="K24" s="63">
        <v>992</v>
      </c>
    </row>
    <row r="25" spans="1:11" ht="15" customHeight="1">
      <c r="A25" s="9" t="s">
        <v>218</v>
      </c>
      <c r="B25" s="63">
        <v>4793</v>
      </c>
      <c r="C25" s="63">
        <v>2946</v>
      </c>
      <c r="D25" s="63">
        <v>1570</v>
      </c>
      <c r="E25" s="63">
        <v>714</v>
      </c>
      <c r="F25" s="63">
        <v>736</v>
      </c>
      <c r="G25" s="63">
        <v>941</v>
      </c>
      <c r="H25" s="63">
        <v>837</v>
      </c>
      <c r="I25" s="63">
        <v>828</v>
      </c>
      <c r="J25" s="63">
        <v>819</v>
      </c>
      <c r="K25" s="63">
        <v>799</v>
      </c>
    </row>
    <row r="26" spans="1:11" ht="15" customHeight="1">
      <c r="A26" s="9" t="s">
        <v>219</v>
      </c>
      <c r="B26" s="63">
        <v>129</v>
      </c>
      <c r="C26" s="63">
        <v>172</v>
      </c>
      <c r="D26" s="63">
        <v>230</v>
      </c>
      <c r="E26" s="63">
        <v>177</v>
      </c>
      <c r="F26" s="63">
        <v>193</v>
      </c>
      <c r="G26" s="63">
        <v>200</v>
      </c>
      <c r="H26" s="63">
        <v>190</v>
      </c>
      <c r="I26" s="63">
        <v>195</v>
      </c>
      <c r="J26" s="63">
        <v>195</v>
      </c>
      <c r="K26" s="63">
        <v>193</v>
      </c>
    </row>
    <row r="27" spans="1:11" ht="15" customHeight="1">
      <c r="A27" s="9" t="s">
        <v>220</v>
      </c>
      <c r="B27" s="67">
        <f t="shared" ref="B27:K27" si="2">B18+B24</f>
        <v>110231</v>
      </c>
      <c r="C27" s="67">
        <f t="shared" si="2"/>
        <v>108706</v>
      </c>
      <c r="D27" s="67">
        <f t="shared" si="2"/>
        <v>107821</v>
      </c>
      <c r="E27" s="67">
        <f t="shared" si="2"/>
        <v>105430</v>
      </c>
      <c r="F27" s="67">
        <f t="shared" si="2"/>
        <v>105393</v>
      </c>
      <c r="G27" s="67">
        <f t="shared" si="2"/>
        <v>107607</v>
      </c>
      <c r="H27" s="67">
        <f t="shared" si="2"/>
        <v>109016</v>
      </c>
      <c r="I27" s="67">
        <f t="shared" si="2"/>
        <v>109090</v>
      </c>
      <c r="J27" s="67">
        <f t="shared" si="2"/>
        <v>109265</v>
      </c>
      <c r="K27" s="67">
        <f t="shared" si="2"/>
        <v>109387</v>
      </c>
    </row>
    <row r="28" spans="1:11" ht="15" customHeight="1"/>
    <row r="29" spans="1:11" ht="15" customHeight="1">
      <c r="A29" s="12" t="s">
        <v>221</v>
      </c>
      <c r="B29" s="69">
        <f t="shared" ref="B29:K29" si="3">B15-B27</f>
        <v>-17483.399999999994</v>
      </c>
      <c r="C29" s="69">
        <f t="shared" si="3"/>
        <v>-15117.300000000003</v>
      </c>
      <c r="D29" s="69">
        <f t="shared" si="3"/>
        <v>-16767.100000000006</v>
      </c>
      <c r="E29" s="69">
        <f t="shared" si="3"/>
        <v>-16212.100000000006</v>
      </c>
      <c r="F29" s="69">
        <f t="shared" si="3"/>
        <v>-16710.800000000003</v>
      </c>
      <c r="G29" s="69">
        <f t="shared" si="3"/>
        <v>-17264.300000000003</v>
      </c>
      <c r="H29" s="69">
        <f t="shared" si="3"/>
        <v>-17423.100000000006</v>
      </c>
      <c r="I29" s="69">
        <f t="shared" si="3"/>
        <v>-17834.600000000006</v>
      </c>
      <c r="J29" s="69">
        <f t="shared" si="3"/>
        <v>-18213.5</v>
      </c>
      <c r="K29" s="69">
        <f t="shared" si="3"/>
        <v>-18515.5</v>
      </c>
    </row>
    <row r="30" spans="1:11" ht="15" customHeight="1"/>
    <row r="31" spans="1:11" ht="15" customHeight="1">
      <c r="A31" s="12" t="s">
        <v>222</v>
      </c>
      <c r="B31" s="70">
        <f t="shared" ref="B31:K31" si="4">B15/B27</f>
        <v>0.8413930745434588</v>
      </c>
      <c r="C31" s="70">
        <f t="shared" si="4"/>
        <v>0.86093407907567199</v>
      </c>
      <c r="D31" s="70">
        <f t="shared" si="4"/>
        <v>0.84449133285723554</v>
      </c>
      <c r="E31" s="70">
        <f t="shared" si="4"/>
        <v>0.84622877738784019</v>
      </c>
      <c r="F31" s="70">
        <f t="shared" si="4"/>
        <v>0.84144298008406626</v>
      </c>
      <c r="G31" s="70">
        <f t="shared" si="4"/>
        <v>0.83956155268709287</v>
      </c>
      <c r="H31" s="70">
        <f t="shared" si="4"/>
        <v>0.84017850590738974</v>
      </c>
      <c r="I31" s="70">
        <f t="shared" si="4"/>
        <v>0.83651480429003566</v>
      </c>
      <c r="J31" s="70">
        <f t="shared" si="4"/>
        <v>0.83330892783599508</v>
      </c>
      <c r="K31" s="70">
        <f t="shared" si="4"/>
        <v>0.83073399946977244</v>
      </c>
    </row>
    <row r="32" spans="1:11" ht="12.75" customHeight="1">
      <c r="A32" s="9" t="s">
        <v>223</v>
      </c>
      <c r="B32" s="63">
        <v>37580</v>
      </c>
      <c r="C32" s="63">
        <v>37842</v>
      </c>
      <c r="D32" s="63">
        <v>39293</v>
      </c>
      <c r="E32" s="63">
        <v>38659</v>
      </c>
      <c r="F32" s="63">
        <v>38996</v>
      </c>
      <c r="G32" s="63">
        <v>39398</v>
      </c>
      <c r="H32" s="63">
        <v>39427</v>
      </c>
      <c r="I32" s="63">
        <v>39689</v>
      </c>
      <c r="J32" s="63">
        <v>39920</v>
      </c>
      <c r="K32" s="63">
        <v>40097</v>
      </c>
    </row>
    <row r="33" spans="1:11" ht="15" customHeight="1">
      <c r="A33" s="12" t="s">
        <v>224</v>
      </c>
      <c r="B33" s="70">
        <f t="shared" ref="B33:K33" si="5">B8/B32</f>
        <v>0.46260244811069712</v>
      </c>
      <c r="C33" s="70">
        <f t="shared" si="5"/>
        <v>0.52987949896939912</v>
      </c>
      <c r="D33" s="70">
        <f t="shared" si="5"/>
        <v>0.50657623495279058</v>
      </c>
      <c r="E33" s="70">
        <f t="shared" si="5"/>
        <v>0.51162471869422388</v>
      </c>
      <c r="F33" s="70">
        <f t="shared" si="5"/>
        <v>0.5034413786029337</v>
      </c>
      <c r="G33" s="70">
        <f t="shared" si="5"/>
        <v>0.49458601959490334</v>
      </c>
      <c r="H33" s="70">
        <f t="shared" si="5"/>
        <v>0.49070180333274155</v>
      </c>
      <c r="I33" s="70">
        <f t="shared" si="5"/>
        <v>0.48377132202877376</v>
      </c>
      <c r="J33" s="70">
        <f t="shared" si="5"/>
        <v>0.47729208416833668</v>
      </c>
      <c r="K33" s="70">
        <f t="shared" si="5"/>
        <v>0.4720427962191685</v>
      </c>
    </row>
    <row r="34" spans="1:11" ht="15" customHeight="1">
      <c r="A34" s="9" t="s">
        <v>32</v>
      </c>
      <c r="B34" s="63">
        <v>94131</v>
      </c>
      <c r="C34" s="63">
        <v>93463</v>
      </c>
      <c r="D34" s="63">
        <v>92868</v>
      </c>
      <c r="E34" s="63">
        <v>92200</v>
      </c>
      <c r="F34" s="63">
        <v>91605</v>
      </c>
      <c r="G34" s="63">
        <v>90937</v>
      </c>
      <c r="H34" s="63">
        <v>90268</v>
      </c>
      <c r="I34" s="63">
        <v>89600</v>
      </c>
      <c r="J34" s="63">
        <v>88931</v>
      </c>
      <c r="K34" s="63">
        <v>88262</v>
      </c>
    </row>
    <row r="35" spans="1:11" ht="13.5" customHeight="1"/>
    <row r="36" spans="1:11" ht="15" customHeight="1">
      <c r="A36" s="12" t="s">
        <v>247</v>
      </c>
    </row>
    <row r="37" spans="1:11" ht="15" customHeight="1">
      <c r="A37" s="71" t="s">
        <v>248</v>
      </c>
    </row>
    <row r="38" spans="1:11" ht="15" customHeight="1"/>
    <row r="39" spans="1:11" ht="15" customHeight="1">
      <c r="A39" s="12" t="s">
        <v>249</v>
      </c>
      <c r="B39" s="21"/>
      <c r="C39" s="21"/>
      <c r="D39" s="21"/>
      <c r="E39" s="21"/>
      <c r="F39" s="21"/>
      <c r="G39" s="21"/>
      <c r="H39" s="21"/>
      <c r="I39" s="21"/>
      <c r="J39" s="21"/>
      <c r="K39" s="21"/>
    </row>
    <row r="40" spans="1:11" ht="15" customHeight="1">
      <c r="A40" s="9" t="s">
        <v>250</v>
      </c>
      <c r="B40" s="21"/>
      <c r="C40" s="21"/>
      <c r="D40" s="21"/>
      <c r="E40" s="21"/>
      <c r="F40" s="21"/>
      <c r="G40" s="21"/>
      <c r="H40" s="21"/>
      <c r="I40" s="21"/>
      <c r="J40" s="21"/>
      <c r="K40" s="21"/>
    </row>
    <row r="41" spans="1:11" ht="15" customHeight="1">
      <c r="A41" s="9" t="s">
        <v>251</v>
      </c>
      <c r="B41" s="21"/>
      <c r="C41" s="21"/>
      <c r="D41" s="21"/>
      <c r="E41" s="21"/>
      <c r="F41" s="21"/>
      <c r="G41" s="21"/>
      <c r="H41" s="21"/>
      <c r="I41" s="21"/>
      <c r="J41" s="21"/>
      <c r="K41" s="21"/>
    </row>
    <row r="42" spans="1:11" ht="13.5" customHeight="1">
      <c r="A42" s="9" t="s">
        <v>252</v>
      </c>
      <c r="B42" s="21"/>
      <c r="C42" s="21"/>
      <c r="D42" s="21"/>
      <c r="E42" s="21"/>
      <c r="F42" s="21"/>
      <c r="G42" s="21"/>
      <c r="H42" s="21"/>
      <c r="I42" s="21"/>
      <c r="J42" s="21"/>
      <c r="K42" s="21"/>
    </row>
    <row r="43" spans="1:11" ht="15" customHeight="1">
      <c r="A43" s="9" t="s">
        <v>253</v>
      </c>
      <c r="B43" s="21"/>
      <c r="C43" s="21"/>
      <c r="D43" s="21"/>
      <c r="E43" s="21"/>
      <c r="F43" s="21"/>
      <c r="G43" s="21"/>
      <c r="H43" s="21"/>
      <c r="I43" s="21"/>
      <c r="J43" s="21"/>
      <c r="K43" s="21"/>
    </row>
    <row r="44" spans="1:11" ht="15" customHeight="1">
      <c r="A44" s="12" t="s">
        <v>254</v>
      </c>
      <c r="B44" s="21"/>
      <c r="C44" s="21"/>
      <c r="D44" s="21"/>
      <c r="E44" s="21"/>
      <c r="F44" s="21"/>
      <c r="G44" s="21"/>
      <c r="H44" s="21"/>
      <c r="I44" s="21"/>
      <c r="J44" s="21"/>
      <c r="K44" s="21"/>
    </row>
    <row r="45" spans="1:11" ht="15" customHeight="1"/>
    <row r="46" spans="1:11" ht="15" customHeight="1">
      <c r="A46" s="12" t="s">
        <v>255</v>
      </c>
      <c r="B46" s="21"/>
      <c r="C46" s="21"/>
      <c r="D46" s="21"/>
      <c r="E46" s="21"/>
      <c r="F46" s="21"/>
      <c r="G46" s="21"/>
      <c r="H46" s="21"/>
      <c r="I46" s="21"/>
      <c r="J46" s="21"/>
      <c r="K46" s="21"/>
    </row>
    <row r="47" spans="1:11" ht="15" customHeight="1">
      <c r="A47" s="9" t="s">
        <v>256</v>
      </c>
      <c r="B47" s="21"/>
      <c r="C47" s="21"/>
      <c r="D47" s="21"/>
      <c r="E47" s="21"/>
      <c r="F47" s="21"/>
      <c r="G47" s="21"/>
      <c r="H47" s="21"/>
      <c r="I47" s="21"/>
      <c r="J47" s="21"/>
      <c r="K47" s="21"/>
    </row>
    <row r="48" spans="1:11" ht="13.5" customHeight="1">
      <c r="A48" s="9" t="s">
        <v>257</v>
      </c>
      <c r="B48" s="21"/>
      <c r="C48" s="21"/>
      <c r="D48" s="21"/>
      <c r="E48" s="21"/>
      <c r="F48" s="21"/>
      <c r="G48" s="21"/>
      <c r="H48" s="21"/>
      <c r="I48" s="21"/>
      <c r="J48" s="21"/>
      <c r="K48" s="21"/>
    </row>
    <row r="49" spans="1:11" ht="15" customHeight="1">
      <c r="A49" s="9" t="s">
        <v>253</v>
      </c>
      <c r="B49" s="21"/>
      <c r="C49" s="21"/>
      <c r="D49" s="21"/>
      <c r="E49" s="21"/>
      <c r="F49" s="21"/>
      <c r="G49" s="21"/>
      <c r="H49" s="21"/>
      <c r="I49" s="21"/>
      <c r="J49" s="21"/>
      <c r="K49" s="21"/>
    </row>
    <row r="50" spans="1:11" ht="15" customHeight="1">
      <c r="A50" s="12" t="s">
        <v>258</v>
      </c>
      <c r="B50" s="21"/>
      <c r="C50" s="21"/>
      <c r="D50" s="21"/>
      <c r="E50" s="21"/>
      <c r="F50" s="21"/>
      <c r="G50" s="21"/>
      <c r="H50" s="21"/>
      <c r="I50" s="21"/>
      <c r="J50" s="21"/>
      <c r="K50" s="21"/>
    </row>
    <row r="51" spans="1:11" ht="15" customHeight="1"/>
    <row r="52" spans="1:11" ht="15" customHeight="1">
      <c r="A52" s="12" t="s">
        <v>259</v>
      </c>
      <c r="B52" s="21"/>
      <c r="C52" s="21"/>
      <c r="D52" s="21"/>
      <c r="E52" s="21"/>
      <c r="F52" s="21"/>
      <c r="G52" s="21"/>
      <c r="H52" s="21"/>
      <c r="I52" s="21"/>
      <c r="J52" s="21"/>
      <c r="K52" s="21"/>
    </row>
    <row r="53" spans="1:11" ht="15" customHeight="1"/>
    <row r="54" spans="1:11" ht="15" customHeight="1">
      <c r="A54" s="12" t="s">
        <v>260</v>
      </c>
      <c r="B54" s="21"/>
      <c r="C54" s="21"/>
      <c r="D54" s="21"/>
      <c r="E54" s="21"/>
      <c r="F54" s="21"/>
      <c r="G54" s="21"/>
      <c r="H54" s="21"/>
      <c r="I54" s="21"/>
      <c r="J54" s="21"/>
      <c r="K54" s="21"/>
    </row>
    <row r="55" spans="1:11" ht="15" customHeight="1">
      <c r="A55" s="9" t="s">
        <v>261</v>
      </c>
      <c r="B55" s="21"/>
      <c r="C55" s="21"/>
      <c r="D55" s="21"/>
      <c r="E55" s="21"/>
      <c r="F55" s="21"/>
      <c r="G55" s="21"/>
      <c r="H55" s="21"/>
      <c r="I55" s="21"/>
      <c r="J55" s="21"/>
      <c r="K55" s="21"/>
    </row>
    <row r="56" spans="1:11" ht="13.5" customHeight="1">
      <c r="A56" s="9" t="s">
        <v>262</v>
      </c>
      <c r="B56" s="21"/>
      <c r="C56" s="21"/>
      <c r="D56" s="21"/>
      <c r="E56" s="21"/>
      <c r="F56" s="21"/>
      <c r="G56" s="21"/>
      <c r="H56" s="21"/>
      <c r="I56" s="21"/>
      <c r="J56" s="21"/>
      <c r="K56" s="21"/>
    </row>
    <row r="57" spans="1:11" ht="15" customHeight="1">
      <c r="A57" s="9" t="s">
        <v>263</v>
      </c>
      <c r="B57" s="21"/>
      <c r="C57" s="21"/>
      <c r="D57" s="21"/>
      <c r="E57" s="21"/>
      <c r="F57" s="21"/>
      <c r="G57" s="21"/>
      <c r="H57" s="21"/>
      <c r="I57" s="21"/>
      <c r="J57" s="21"/>
      <c r="K57" s="21"/>
    </row>
    <row r="58" spans="1:11" ht="13.5" customHeight="1">
      <c r="A58" s="12" t="s">
        <v>264</v>
      </c>
      <c r="B58" s="21"/>
      <c r="C58" s="21"/>
      <c r="D58" s="21"/>
      <c r="E58" s="21"/>
      <c r="F58" s="21"/>
      <c r="G58" s="21"/>
      <c r="H58" s="21"/>
      <c r="I58" s="21"/>
      <c r="J58" s="21"/>
      <c r="K58" s="21"/>
    </row>
    <row r="59" spans="1:11" ht="13.5" customHeight="1"/>
    <row r="60" spans="1:11" ht="13.5" customHeight="1">
      <c r="A60" s="12" t="s">
        <v>265</v>
      </c>
      <c r="B60" s="21"/>
      <c r="C60" s="21"/>
      <c r="D60" s="21"/>
      <c r="E60" s="21"/>
      <c r="F60" s="21"/>
      <c r="G60" s="21"/>
      <c r="H60" s="21"/>
      <c r="I60" s="21"/>
      <c r="J60" s="21"/>
      <c r="K60" s="21"/>
    </row>
  </sheetData>
  <mergeCells count="1">
    <mergeCell ref="A1:K1"/>
  </mergeCells>
  <phoneticPr fontId="43"/>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0"/>
  <sheetViews>
    <sheetView zoomScaleNormal="100" workbookViewId="0">
      <selection activeCell="C15" sqref="C15"/>
    </sheetView>
  </sheetViews>
  <sheetFormatPr defaultColWidth="8.5546875" defaultRowHeight="13.2"/>
  <cols>
    <col min="1" max="1" width="24" customWidth="1"/>
    <col min="2" max="11" width="13" customWidth="1"/>
  </cols>
  <sheetData>
    <row r="1" spans="1:11" ht="16.5" customHeight="1">
      <c r="A1" s="91" t="s">
        <v>270</v>
      </c>
      <c r="B1" s="82"/>
      <c r="C1" s="82"/>
      <c r="D1" s="82"/>
      <c r="E1" s="82"/>
      <c r="F1" s="82"/>
      <c r="G1" s="82"/>
      <c r="H1" s="82"/>
      <c r="I1" s="82"/>
      <c r="J1" s="82"/>
      <c r="K1" s="82"/>
    </row>
    <row r="2" spans="1:11" ht="15" customHeight="1">
      <c r="A2" s="12" t="s">
        <v>188</v>
      </c>
    </row>
    <row r="3" spans="1:11" ht="13.5" customHeight="1"/>
    <row r="4" spans="1:11" ht="15" customHeight="1">
      <c r="A4" s="12" t="s">
        <v>189</v>
      </c>
      <c r="B4" s="61" t="s">
        <v>16</v>
      </c>
      <c r="C4" s="61" t="s">
        <v>17</v>
      </c>
      <c r="D4" s="61" t="s">
        <v>18</v>
      </c>
      <c r="E4" s="61" t="s">
        <v>19</v>
      </c>
      <c r="F4" s="61" t="s">
        <v>20</v>
      </c>
      <c r="G4" s="61" t="s">
        <v>21</v>
      </c>
      <c r="H4" s="61" t="s">
        <v>22</v>
      </c>
      <c r="I4" s="61" t="s">
        <v>23</v>
      </c>
      <c r="J4" s="61" t="s">
        <v>24</v>
      </c>
      <c r="K4" s="61" t="s">
        <v>25</v>
      </c>
    </row>
    <row r="5" spans="1:11" ht="15" customHeight="1">
      <c r="A5" s="65" t="s">
        <v>190</v>
      </c>
      <c r="B5" s="66">
        <v>2025</v>
      </c>
      <c r="C5" s="66">
        <v>2026</v>
      </c>
      <c r="D5" s="66">
        <v>2027</v>
      </c>
      <c r="E5" s="66">
        <v>2028</v>
      </c>
      <c r="F5" s="66">
        <v>2029</v>
      </c>
      <c r="G5" s="66">
        <v>2030</v>
      </c>
      <c r="H5" s="66">
        <v>2031</v>
      </c>
      <c r="I5" s="66">
        <v>2032</v>
      </c>
      <c r="J5" s="66">
        <v>2033</v>
      </c>
      <c r="K5" s="66">
        <v>2034</v>
      </c>
    </row>
    <row r="6" spans="1:11" ht="15" customHeight="1">
      <c r="A6" s="12" t="s">
        <v>201</v>
      </c>
    </row>
    <row r="7" spans="1:11" ht="15" customHeight="1">
      <c r="A7" s="12" t="s">
        <v>202</v>
      </c>
      <c r="B7" s="67">
        <f t="shared" ref="B7:K7" si="0">SUM(B8:B10)</f>
        <v>17157.099999999999</v>
      </c>
      <c r="C7" s="67">
        <f t="shared" si="0"/>
        <v>18562</v>
      </c>
      <c r="D7" s="67">
        <f t="shared" si="0"/>
        <v>20725.900000000001</v>
      </c>
      <c r="E7" s="67">
        <f t="shared" si="0"/>
        <v>20594.900000000001</v>
      </c>
      <c r="F7" s="67">
        <f t="shared" si="0"/>
        <v>20449.2</v>
      </c>
      <c r="G7" s="67">
        <f t="shared" si="0"/>
        <v>20303.7</v>
      </c>
      <c r="H7" s="67">
        <f t="shared" si="0"/>
        <v>20163.900000000001</v>
      </c>
      <c r="I7" s="67">
        <f t="shared" si="0"/>
        <v>20018.400000000001</v>
      </c>
      <c r="J7" s="67">
        <f t="shared" si="0"/>
        <v>19871.5</v>
      </c>
      <c r="K7" s="67">
        <f t="shared" si="0"/>
        <v>19744.5</v>
      </c>
    </row>
    <row r="8" spans="1:11" ht="15" customHeight="1">
      <c r="A8" s="9" t="s">
        <v>203</v>
      </c>
      <c r="B8" s="68">
        <v>16346.1</v>
      </c>
      <c r="C8" s="68">
        <v>17747</v>
      </c>
      <c r="D8" s="68">
        <v>19904.900000000001</v>
      </c>
      <c r="E8" s="68">
        <v>19778.900000000001</v>
      </c>
      <c r="F8" s="68">
        <v>19632.2</v>
      </c>
      <c r="G8" s="68">
        <v>19485.7</v>
      </c>
      <c r="H8" s="68">
        <v>19346.900000000001</v>
      </c>
      <c r="I8" s="68">
        <v>19200.400000000001</v>
      </c>
      <c r="J8" s="68">
        <v>19053.5</v>
      </c>
      <c r="K8" s="68">
        <v>18927.5</v>
      </c>
    </row>
    <row r="9" spans="1:11" ht="15" customHeight="1">
      <c r="A9" s="9" t="s">
        <v>204</v>
      </c>
      <c r="B9" s="63">
        <v>799</v>
      </c>
      <c r="C9" s="63">
        <v>799</v>
      </c>
      <c r="D9" s="63">
        <v>799</v>
      </c>
      <c r="E9" s="63">
        <v>799</v>
      </c>
      <c r="F9" s="63">
        <v>799</v>
      </c>
      <c r="G9" s="63">
        <v>799</v>
      </c>
      <c r="H9" s="63">
        <v>799</v>
      </c>
      <c r="I9" s="63">
        <v>799</v>
      </c>
      <c r="J9" s="63">
        <v>799</v>
      </c>
      <c r="K9" s="63">
        <v>799</v>
      </c>
    </row>
    <row r="10" spans="1:11" ht="15" customHeight="1">
      <c r="A10" s="9" t="s">
        <v>205</v>
      </c>
      <c r="B10" s="63">
        <v>12</v>
      </c>
      <c r="C10" s="63">
        <v>16</v>
      </c>
      <c r="D10" s="63">
        <v>22</v>
      </c>
      <c r="E10" s="63">
        <v>17</v>
      </c>
      <c r="F10" s="63">
        <v>18</v>
      </c>
      <c r="G10" s="63">
        <v>19</v>
      </c>
      <c r="H10" s="63">
        <v>18</v>
      </c>
      <c r="I10" s="63">
        <v>19</v>
      </c>
      <c r="J10" s="63">
        <v>19</v>
      </c>
      <c r="K10" s="63">
        <v>18</v>
      </c>
    </row>
    <row r="11" spans="1:11" ht="15" customHeight="1">
      <c r="A11" s="9" t="s">
        <v>206</v>
      </c>
      <c r="B11" s="63">
        <v>74552</v>
      </c>
      <c r="C11" s="63">
        <v>72722</v>
      </c>
      <c r="D11" s="63">
        <v>70328</v>
      </c>
      <c r="E11" s="63">
        <v>68623</v>
      </c>
      <c r="F11" s="63">
        <v>68233</v>
      </c>
      <c r="G11" s="63">
        <v>70039</v>
      </c>
      <c r="H11" s="63">
        <v>71429</v>
      </c>
      <c r="I11" s="63">
        <v>71237</v>
      </c>
      <c r="J11" s="63">
        <v>71180</v>
      </c>
      <c r="K11" s="63">
        <v>71127</v>
      </c>
    </row>
    <row r="12" spans="1:11" ht="15" customHeight="1">
      <c r="A12" s="9" t="s">
        <v>207</v>
      </c>
      <c r="B12" s="63">
        <v>19236</v>
      </c>
      <c r="C12" s="63">
        <v>17406</v>
      </c>
      <c r="D12" s="63">
        <v>16252</v>
      </c>
      <c r="E12" s="63">
        <v>15096</v>
      </c>
      <c r="F12" s="63">
        <v>14864</v>
      </c>
      <c r="G12" s="63">
        <v>16067</v>
      </c>
      <c r="H12" s="63">
        <v>16944</v>
      </c>
      <c r="I12" s="63">
        <v>16879</v>
      </c>
      <c r="J12" s="63">
        <v>16885</v>
      </c>
      <c r="K12" s="63">
        <v>16871</v>
      </c>
    </row>
    <row r="13" spans="1:11" ht="15" customHeight="1">
      <c r="A13" s="9" t="s">
        <v>208</v>
      </c>
      <c r="B13" s="63">
        <v>55286</v>
      </c>
      <c r="C13" s="63">
        <v>55286</v>
      </c>
      <c r="D13" s="63">
        <v>54046</v>
      </c>
      <c r="E13" s="63">
        <v>53497</v>
      </c>
      <c r="F13" s="63">
        <v>53339</v>
      </c>
      <c r="G13" s="63">
        <v>53942</v>
      </c>
      <c r="H13" s="63">
        <v>54455</v>
      </c>
      <c r="I13" s="63">
        <v>54328</v>
      </c>
      <c r="J13" s="63">
        <v>54265</v>
      </c>
      <c r="K13" s="63">
        <v>54226</v>
      </c>
    </row>
    <row r="14" spans="1:11" ht="15" customHeight="1">
      <c r="A14" s="9" t="s">
        <v>205</v>
      </c>
      <c r="B14" s="63">
        <v>30</v>
      </c>
      <c r="C14" s="63">
        <v>30</v>
      </c>
      <c r="D14" s="63">
        <v>30</v>
      </c>
      <c r="E14" s="63">
        <v>30</v>
      </c>
      <c r="F14" s="63">
        <v>30</v>
      </c>
      <c r="G14" s="63">
        <v>30</v>
      </c>
      <c r="H14" s="63">
        <v>30</v>
      </c>
      <c r="I14" s="63">
        <v>30</v>
      </c>
      <c r="J14" s="63">
        <v>30</v>
      </c>
      <c r="K14" s="63">
        <v>30</v>
      </c>
    </row>
    <row r="15" spans="1:11" ht="15" customHeight="1">
      <c r="A15" s="12" t="s">
        <v>209</v>
      </c>
      <c r="B15" s="67">
        <f t="shared" ref="B15:K15" si="1">B7+B11</f>
        <v>91709.1</v>
      </c>
      <c r="C15" s="67">
        <f t="shared" si="1"/>
        <v>91284</v>
      </c>
      <c r="D15" s="67">
        <f t="shared" si="1"/>
        <v>91053.9</v>
      </c>
      <c r="E15" s="67">
        <f t="shared" si="1"/>
        <v>89217.9</v>
      </c>
      <c r="F15" s="67">
        <f t="shared" si="1"/>
        <v>88682.2</v>
      </c>
      <c r="G15" s="67">
        <f t="shared" si="1"/>
        <v>90342.7</v>
      </c>
      <c r="H15" s="67">
        <f t="shared" si="1"/>
        <v>91592.9</v>
      </c>
      <c r="I15" s="67">
        <f t="shared" si="1"/>
        <v>91255.4</v>
      </c>
      <c r="J15" s="67">
        <f t="shared" si="1"/>
        <v>91051.5</v>
      </c>
      <c r="K15" s="67">
        <f t="shared" si="1"/>
        <v>90871.5</v>
      </c>
    </row>
    <row r="16" spans="1:11" ht="13.5" customHeight="1"/>
    <row r="17" spans="1:11" ht="15" customHeight="1">
      <c r="A17" s="12" t="s">
        <v>210</v>
      </c>
    </row>
    <row r="18" spans="1:11" ht="15" customHeight="1">
      <c r="A18" s="9" t="s">
        <v>211</v>
      </c>
      <c r="B18" s="63">
        <v>105309</v>
      </c>
      <c r="C18" s="63">
        <v>105588</v>
      </c>
      <c r="D18" s="63">
        <v>106021</v>
      </c>
      <c r="E18" s="63">
        <v>104538</v>
      </c>
      <c r="F18" s="63">
        <v>104463</v>
      </c>
      <c r="G18" s="63">
        <v>106466</v>
      </c>
      <c r="H18" s="63">
        <v>107989</v>
      </c>
      <c r="I18" s="63">
        <v>108068</v>
      </c>
      <c r="J18" s="63">
        <v>108251</v>
      </c>
      <c r="K18" s="63">
        <v>108395</v>
      </c>
    </row>
    <row r="19" spans="1:11" ht="15" customHeight="1">
      <c r="A19" s="9" t="s">
        <v>212</v>
      </c>
      <c r="B19" s="63">
        <v>37580</v>
      </c>
      <c r="C19" s="63">
        <v>37842</v>
      </c>
      <c r="D19" s="63">
        <v>39293</v>
      </c>
      <c r="E19" s="63">
        <v>38659</v>
      </c>
      <c r="F19" s="63">
        <v>38996</v>
      </c>
      <c r="G19" s="63">
        <v>39398</v>
      </c>
      <c r="H19" s="63">
        <v>39427</v>
      </c>
      <c r="I19" s="63">
        <v>39689</v>
      </c>
      <c r="J19" s="63">
        <v>39920</v>
      </c>
      <c r="K19" s="63">
        <v>40097</v>
      </c>
    </row>
    <row r="20" spans="1:11" ht="15" customHeight="1">
      <c r="A20" s="57" t="s">
        <v>213</v>
      </c>
      <c r="B20" s="13">
        <v>6082</v>
      </c>
      <c r="C20" s="13">
        <v>6192</v>
      </c>
      <c r="D20" s="13">
        <v>6198</v>
      </c>
      <c r="E20" s="13">
        <v>6257</v>
      </c>
      <c r="F20" s="13">
        <v>6290</v>
      </c>
      <c r="G20" s="13">
        <v>6336</v>
      </c>
      <c r="H20" s="13">
        <v>6376</v>
      </c>
      <c r="I20" s="13">
        <v>6420</v>
      </c>
      <c r="J20" s="13">
        <v>6462</v>
      </c>
      <c r="K20" s="13">
        <v>6506</v>
      </c>
    </row>
    <row r="21" spans="1:11" ht="15" customHeight="1">
      <c r="A21" s="57" t="s">
        <v>214</v>
      </c>
      <c r="B21" s="13">
        <v>195</v>
      </c>
      <c r="C21" s="13">
        <v>256</v>
      </c>
      <c r="D21" s="13">
        <v>311</v>
      </c>
      <c r="E21" s="13">
        <v>257</v>
      </c>
      <c r="F21" s="13">
        <v>277</v>
      </c>
      <c r="G21" s="13">
        <v>284</v>
      </c>
      <c r="H21" s="13">
        <v>275</v>
      </c>
      <c r="I21" s="13">
        <v>282</v>
      </c>
      <c r="J21" s="13">
        <v>283</v>
      </c>
      <c r="K21" s="13">
        <v>283</v>
      </c>
    </row>
    <row r="22" spans="1:11" ht="15" customHeight="1">
      <c r="A22" s="57" t="s">
        <v>215</v>
      </c>
      <c r="B22" s="13">
        <v>31303</v>
      </c>
      <c r="C22" s="13">
        <v>31394</v>
      </c>
      <c r="D22" s="13">
        <v>32784</v>
      </c>
      <c r="E22" s="13">
        <v>32145</v>
      </c>
      <c r="F22" s="13">
        <v>32429</v>
      </c>
      <c r="G22" s="13">
        <v>32777</v>
      </c>
      <c r="H22" s="13">
        <v>32775</v>
      </c>
      <c r="I22" s="13">
        <v>32987</v>
      </c>
      <c r="J22" s="13">
        <v>33175</v>
      </c>
      <c r="K22" s="13">
        <v>33309</v>
      </c>
    </row>
    <row r="23" spans="1:11" ht="15" customHeight="1">
      <c r="A23" s="9" t="s">
        <v>216</v>
      </c>
      <c r="B23" s="63">
        <v>67729</v>
      </c>
      <c r="C23" s="63">
        <v>67746</v>
      </c>
      <c r="D23" s="63">
        <v>66728</v>
      </c>
      <c r="E23" s="63">
        <v>65879</v>
      </c>
      <c r="F23" s="63">
        <v>65467</v>
      </c>
      <c r="G23" s="63">
        <v>67068</v>
      </c>
      <c r="H23" s="63">
        <v>68562</v>
      </c>
      <c r="I23" s="63">
        <v>68379</v>
      </c>
      <c r="J23" s="63">
        <v>68331</v>
      </c>
      <c r="K23" s="63">
        <v>68298</v>
      </c>
    </row>
    <row r="24" spans="1:11" ht="15" customHeight="1">
      <c r="A24" s="9" t="s">
        <v>217</v>
      </c>
      <c r="B24" s="63">
        <v>4922</v>
      </c>
      <c r="C24" s="63">
        <v>3118</v>
      </c>
      <c r="D24" s="63">
        <v>1800</v>
      </c>
      <c r="E24" s="63">
        <v>892</v>
      </c>
      <c r="F24" s="63">
        <v>930</v>
      </c>
      <c r="G24" s="63">
        <v>1141</v>
      </c>
      <c r="H24" s="63">
        <v>1027</v>
      </c>
      <c r="I24" s="63">
        <v>1022</v>
      </c>
      <c r="J24" s="63">
        <v>1014</v>
      </c>
      <c r="K24" s="63">
        <v>992</v>
      </c>
    </row>
    <row r="25" spans="1:11" ht="15" customHeight="1">
      <c r="A25" s="9" t="s">
        <v>218</v>
      </c>
      <c r="B25" s="63">
        <v>4793</v>
      </c>
      <c r="C25" s="63">
        <v>2946</v>
      </c>
      <c r="D25" s="63">
        <v>1570</v>
      </c>
      <c r="E25" s="63">
        <v>714</v>
      </c>
      <c r="F25" s="63">
        <v>736</v>
      </c>
      <c r="G25" s="63">
        <v>941</v>
      </c>
      <c r="H25" s="63">
        <v>837</v>
      </c>
      <c r="I25" s="63">
        <v>828</v>
      </c>
      <c r="J25" s="63">
        <v>819</v>
      </c>
      <c r="K25" s="63">
        <v>799</v>
      </c>
    </row>
    <row r="26" spans="1:11" ht="15" customHeight="1">
      <c r="A26" s="9" t="s">
        <v>219</v>
      </c>
      <c r="B26" s="63">
        <v>129</v>
      </c>
      <c r="C26" s="63">
        <v>172</v>
      </c>
      <c r="D26" s="63">
        <v>230</v>
      </c>
      <c r="E26" s="63">
        <v>177</v>
      </c>
      <c r="F26" s="63">
        <v>193</v>
      </c>
      <c r="G26" s="63">
        <v>200</v>
      </c>
      <c r="H26" s="63">
        <v>190</v>
      </c>
      <c r="I26" s="63">
        <v>195</v>
      </c>
      <c r="J26" s="63">
        <v>195</v>
      </c>
      <c r="K26" s="63">
        <v>193</v>
      </c>
    </row>
    <row r="27" spans="1:11" ht="15" customHeight="1">
      <c r="A27" s="9" t="s">
        <v>220</v>
      </c>
      <c r="B27" s="67">
        <f t="shared" ref="B27:K27" si="2">B18+B24</f>
        <v>110231</v>
      </c>
      <c r="C27" s="67">
        <f t="shared" si="2"/>
        <v>108706</v>
      </c>
      <c r="D27" s="67">
        <f t="shared" si="2"/>
        <v>107821</v>
      </c>
      <c r="E27" s="67">
        <f t="shared" si="2"/>
        <v>105430</v>
      </c>
      <c r="F27" s="67">
        <f t="shared" si="2"/>
        <v>105393</v>
      </c>
      <c r="G27" s="67">
        <f t="shared" si="2"/>
        <v>107607</v>
      </c>
      <c r="H27" s="67">
        <f t="shared" si="2"/>
        <v>109016</v>
      </c>
      <c r="I27" s="67">
        <f t="shared" si="2"/>
        <v>109090</v>
      </c>
      <c r="J27" s="67">
        <f t="shared" si="2"/>
        <v>109265</v>
      </c>
      <c r="K27" s="67">
        <f t="shared" si="2"/>
        <v>109387</v>
      </c>
    </row>
    <row r="28" spans="1:11" ht="15" customHeight="1"/>
    <row r="29" spans="1:11" ht="15" customHeight="1">
      <c r="A29" s="12" t="s">
        <v>221</v>
      </c>
      <c r="B29" s="69">
        <f t="shared" ref="B29:K29" si="3">B15-B27</f>
        <v>-18521.899999999994</v>
      </c>
      <c r="C29" s="69">
        <f t="shared" si="3"/>
        <v>-17422</v>
      </c>
      <c r="D29" s="69">
        <f t="shared" si="3"/>
        <v>-16767.100000000006</v>
      </c>
      <c r="E29" s="69">
        <f t="shared" si="3"/>
        <v>-16212.100000000006</v>
      </c>
      <c r="F29" s="69">
        <f t="shared" si="3"/>
        <v>-16710.800000000003</v>
      </c>
      <c r="G29" s="69">
        <f t="shared" si="3"/>
        <v>-17264.300000000003</v>
      </c>
      <c r="H29" s="69">
        <f t="shared" si="3"/>
        <v>-17423.100000000006</v>
      </c>
      <c r="I29" s="69">
        <f t="shared" si="3"/>
        <v>-17834.600000000006</v>
      </c>
      <c r="J29" s="69">
        <f t="shared" si="3"/>
        <v>-18213.5</v>
      </c>
      <c r="K29" s="69">
        <f t="shared" si="3"/>
        <v>-18515.5</v>
      </c>
    </row>
    <row r="30" spans="1:11" ht="15" customHeight="1"/>
    <row r="31" spans="1:11" ht="15" customHeight="1">
      <c r="A31" s="12" t="s">
        <v>222</v>
      </c>
      <c r="B31" s="70">
        <f t="shared" ref="B31:K31" si="4">B15/B27</f>
        <v>0.83197194981448053</v>
      </c>
      <c r="C31" s="70">
        <f t="shared" si="4"/>
        <v>0.83973285743197246</v>
      </c>
      <c r="D31" s="70">
        <f t="shared" si="4"/>
        <v>0.84449133285723554</v>
      </c>
      <c r="E31" s="70">
        <f t="shared" si="4"/>
        <v>0.84622877738784019</v>
      </c>
      <c r="F31" s="70">
        <f t="shared" si="4"/>
        <v>0.84144298008406626</v>
      </c>
      <c r="G31" s="70">
        <f t="shared" si="4"/>
        <v>0.83956155268709287</v>
      </c>
      <c r="H31" s="70">
        <f t="shared" si="4"/>
        <v>0.84017850590738974</v>
      </c>
      <c r="I31" s="70">
        <f t="shared" si="4"/>
        <v>0.83651480429003566</v>
      </c>
      <c r="J31" s="70">
        <f t="shared" si="4"/>
        <v>0.83330892783599508</v>
      </c>
      <c r="K31" s="70">
        <f t="shared" si="4"/>
        <v>0.83073399946977244</v>
      </c>
    </row>
    <row r="32" spans="1:11" ht="12.75" customHeight="1">
      <c r="A32" s="9" t="s">
        <v>223</v>
      </c>
      <c r="B32" s="63">
        <v>37580</v>
      </c>
      <c r="C32" s="63">
        <v>37842</v>
      </c>
      <c r="D32" s="63">
        <v>39293</v>
      </c>
      <c r="E32" s="63">
        <v>38659</v>
      </c>
      <c r="F32" s="63">
        <v>38996</v>
      </c>
      <c r="G32" s="63">
        <v>39398</v>
      </c>
      <c r="H32" s="63">
        <v>39427</v>
      </c>
      <c r="I32" s="63">
        <v>39689</v>
      </c>
      <c r="J32" s="63">
        <v>39920</v>
      </c>
      <c r="K32" s="63">
        <v>40097</v>
      </c>
    </row>
    <row r="33" spans="1:11" ht="15" customHeight="1">
      <c r="A33" s="12" t="s">
        <v>224</v>
      </c>
      <c r="B33" s="70">
        <f t="shared" ref="B33:K33" si="5">B8/B32</f>
        <v>0.43496806812134114</v>
      </c>
      <c r="C33" s="70">
        <f t="shared" si="5"/>
        <v>0.46897626975318429</v>
      </c>
      <c r="D33" s="70">
        <f t="shared" si="5"/>
        <v>0.50657623495279058</v>
      </c>
      <c r="E33" s="70">
        <f t="shared" si="5"/>
        <v>0.51162471869422388</v>
      </c>
      <c r="F33" s="70">
        <f t="shared" si="5"/>
        <v>0.5034413786029337</v>
      </c>
      <c r="G33" s="70">
        <f t="shared" si="5"/>
        <v>0.49458601959490334</v>
      </c>
      <c r="H33" s="70">
        <f t="shared" si="5"/>
        <v>0.49070180333274155</v>
      </c>
      <c r="I33" s="70">
        <f t="shared" si="5"/>
        <v>0.48377132202877376</v>
      </c>
      <c r="J33" s="70">
        <f t="shared" si="5"/>
        <v>0.47729208416833668</v>
      </c>
      <c r="K33" s="70">
        <f t="shared" si="5"/>
        <v>0.4720427962191685</v>
      </c>
    </row>
    <row r="34" spans="1:11" ht="15" customHeight="1">
      <c r="A34" s="9" t="s">
        <v>32</v>
      </c>
      <c r="B34" s="63">
        <v>94131</v>
      </c>
      <c r="C34" s="63">
        <v>93463</v>
      </c>
      <c r="D34" s="63">
        <v>92868</v>
      </c>
      <c r="E34" s="63">
        <v>92200</v>
      </c>
      <c r="F34" s="63">
        <v>91605</v>
      </c>
      <c r="G34" s="63">
        <v>90937</v>
      </c>
      <c r="H34" s="63">
        <v>90268</v>
      </c>
      <c r="I34" s="63">
        <v>89600</v>
      </c>
      <c r="J34" s="63">
        <v>88931</v>
      </c>
      <c r="K34" s="63">
        <v>88262</v>
      </c>
    </row>
    <row r="35" spans="1:11" ht="13.5" customHeight="1"/>
    <row r="36" spans="1:11" ht="15" customHeight="1">
      <c r="A36" s="12" t="s">
        <v>247</v>
      </c>
    </row>
    <row r="37" spans="1:11" ht="15" customHeight="1">
      <c r="A37" s="71" t="s">
        <v>248</v>
      </c>
    </row>
    <row r="38" spans="1:11" ht="15" customHeight="1"/>
    <row r="39" spans="1:11" ht="15" customHeight="1">
      <c r="A39" s="12" t="s">
        <v>249</v>
      </c>
      <c r="B39" s="21"/>
      <c r="C39" s="21"/>
      <c r="D39" s="21"/>
      <c r="E39" s="21"/>
      <c r="F39" s="21"/>
      <c r="G39" s="21"/>
      <c r="H39" s="21"/>
      <c r="I39" s="21"/>
      <c r="J39" s="21"/>
      <c r="K39" s="21"/>
    </row>
    <row r="40" spans="1:11" ht="15" customHeight="1">
      <c r="A40" s="9" t="s">
        <v>250</v>
      </c>
      <c r="B40" s="21"/>
      <c r="C40" s="21"/>
      <c r="D40" s="21"/>
      <c r="E40" s="21"/>
      <c r="F40" s="21"/>
      <c r="G40" s="21"/>
      <c r="H40" s="21"/>
      <c r="I40" s="21"/>
      <c r="J40" s="21"/>
      <c r="K40" s="21"/>
    </row>
    <row r="41" spans="1:11" ht="15" customHeight="1">
      <c r="A41" s="9" t="s">
        <v>251</v>
      </c>
      <c r="B41" s="21"/>
      <c r="C41" s="21"/>
      <c r="D41" s="21"/>
      <c r="E41" s="21"/>
      <c r="F41" s="21"/>
      <c r="G41" s="21"/>
      <c r="H41" s="21"/>
      <c r="I41" s="21"/>
      <c r="J41" s="21"/>
      <c r="K41" s="21"/>
    </row>
    <row r="42" spans="1:11" ht="13.5" customHeight="1">
      <c r="A42" s="9" t="s">
        <v>252</v>
      </c>
      <c r="B42" s="21"/>
      <c r="C42" s="21"/>
      <c r="D42" s="21"/>
      <c r="E42" s="21"/>
      <c r="F42" s="21"/>
      <c r="G42" s="21"/>
      <c r="H42" s="21"/>
      <c r="I42" s="21"/>
      <c r="J42" s="21"/>
      <c r="K42" s="21"/>
    </row>
    <row r="43" spans="1:11" ht="15" customHeight="1">
      <c r="A43" s="9" t="s">
        <v>253</v>
      </c>
      <c r="B43" s="21"/>
      <c r="C43" s="21"/>
      <c r="D43" s="21"/>
      <c r="E43" s="21"/>
      <c r="F43" s="21"/>
      <c r="G43" s="21"/>
      <c r="H43" s="21"/>
      <c r="I43" s="21"/>
      <c r="J43" s="21"/>
      <c r="K43" s="21"/>
    </row>
    <row r="44" spans="1:11" ht="15" customHeight="1">
      <c r="A44" s="12" t="s">
        <v>254</v>
      </c>
      <c r="B44" s="21"/>
      <c r="C44" s="21"/>
      <c r="D44" s="21"/>
      <c r="E44" s="21"/>
      <c r="F44" s="21"/>
      <c r="G44" s="21"/>
      <c r="H44" s="21"/>
      <c r="I44" s="21"/>
      <c r="J44" s="21"/>
      <c r="K44" s="21"/>
    </row>
    <row r="45" spans="1:11" ht="15" customHeight="1"/>
    <row r="46" spans="1:11" ht="15" customHeight="1">
      <c r="A46" s="12" t="s">
        <v>255</v>
      </c>
      <c r="B46" s="21"/>
      <c r="C46" s="21"/>
      <c r="D46" s="21"/>
      <c r="E46" s="21"/>
      <c r="F46" s="21"/>
      <c r="G46" s="21"/>
      <c r="H46" s="21"/>
      <c r="I46" s="21"/>
      <c r="J46" s="21"/>
      <c r="K46" s="21"/>
    </row>
    <row r="47" spans="1:11" ht="15" customHeight="1">
      <c r="A47" s="9" t="s">
        <v>256</v>
      </c>
      <c r="B47" s="21"/>
      <c r="C47" s="21"/>
      <c r="D47" s="21"/>
      <c r="E47" s="21"/>
      <c r="F47" s="21"/>
      <c r="G47" s="21"/>
      <c r="H47" s="21"/>
      <c r="I47" s="21"/>
      <c r="J47" s="21"/>
      <c r="K47" s="21"/>
    </row>
    <row r="48" spans="1:11" ht="13.5" customHeight="1">
      <c r="A48" s="9" t="s">
        <v>257</v>
      </c>
      <c r="B48" s="21"/>
      <c r="C48" s="21"/>
      <c r="D48" s="21"/>
      <c r="E48" s="21"/>
      <c r="F48" s="21"/>
      <c r="G48" s="21"/>
      <c r="H48" s="21"/>
      <c r="I48" s="21"/>
      <c r="J48" s="21"/>
      <c r="K48" s="21"/>
    </row>
    <row r="49" spans="1:11" ht="15" customHeight="1">
      <c r="A49" s="9" t="s">
        <v>253</v>
      </c>
      <c r="B49" s="21"/>
      <c r="C49" s="21"/>
      <c r="D49" s="21"/>
      <c r="E49" s="21"/>
      <c r="F49" s="21"/>
      <c r="G49" s="21"/>
      <c r="H49" s="21"/>
      <c r="I49" s="21"/>
      <c r="J49" s="21"/>
      <c r="K49" s="21"/>
    </row>
    <row r="50" spans="1:11" ht="15" customHeight="1">
      <c r="A50" s="12" t="s">
        <v>258</v>
      </c>
      <c r="B50" s="21"/>
      <c r="C50" s="21"/>
      <c r="D50" s="21"/>
      <c r="E50" s="21"/>
      <c r="F50" s="21"/>
      <c r="G50" s="21"/>
      <c r="H50" s="21"/>
      <c r="I50" s="21"/>
      <c r="J50" s="21"/>
      <c r="K50" s="21"/>
    </row>
    <row r="51" spans="1:11" ht="15" customHeight="1"/>
    <row r="52" spans="1:11" ht="15" customHeight="1">
      <c r="A52" s="12" t="s">
        <v>259</v>
      </c>
      <c r="B52" s="21"/>
      <c r="C52" s="21"/>
      <c r="D52" s="21"/>
      <c r="E52" s="21"/>
      <c r="F52" s="21"/>
      <c r="G52" s="21"/>
      <c r="H52" s="21"/>
      <c r="I52" s="21"/>
      <c r="J52" s="21"/>
      <c r="K52" s="21"/>
    </row>
    <row r="53" spans="1:11" ht="15" customHeight="1"/>
    <row r="54" spans="1:11" ht="15" customHeight="1">
      <c r="A54" s="12" t="s">
        <v>260</v>
      </c>
      <c r="B54" s="21"/>
      <c r="C54" s="21"/>
      <c r="D54" s="21"/>
      <c r="E54" s="21"/>
      <c r="F54" s="21"/>
      <c r="G54" s="21"/>
      <c r="H54" s="21"/>
      <c r="I54" s="21"/>
      <c r="J54" s="21"/>
      <c r="K54" s="21"/>
    </row>
    <row r="55" spans="1:11" ht="15" customHeight="1">
      <c r="A55" s="9" t="s">
        <v>261</v>
      </c>
      <c r="B55" s="21"/>
      <c r="C55" s="21"/>
      <c r="D55" s="21"/>
      <c r="E55" s="21"/>
      <c r="F55" s="21"/>
      <c r="G55" s="21"/>
      <c r="H55" s="21"/>
      <c r="I55" s="21"/>
      <c r="J55" s="21"/>
      <c r="K55" s="21"/>
    </row>
    <row r="56" spans="1:11" ht="13.5" customHeight="1">
      <c r="A56" s="9" t="s">
        <v>262</v>
      </c>
      <c r="B56" s="21"/>
      <c r="C56" s="21"/>
      <c r="D56" s="21"/>
      <c r="E56" s="21"/>
      <c r="F56" s="21"/>
      <c r="G56" s="21"/>
      <c r="H56" s="21"/>
      <c r="I56" s="21"/>
      <c r="J56" s="21"/>
      <c r="K56" s="21"/>
    </row>
    <row r="57" spans="1:11" ht="15" customHeight="1">
      <c r="A57" s="9" t="s">
        <v>263</v>
      </c>
      <c r="B57" s="21"/>
      <c r="C57" s="21"/>
      <c r="D57" s="21"/>
      <c r="E57" s="21"/>
      <c r="F57" s="21"/>
      <c r="G57" s="21"/>
      <c r="H57" s="21"/>
      <c r="I57" s="21"/>
      <c r="J57" s="21"/>
      <c r="K57" s="21"/>
    </row>
    <row r="58" spans="1:11" ht="13.5" customHeight="1">
      <c r="A58" s="12" t="s">
        <v>264</v>
      </c>
      <c r="B58" s="21"/>
      <c r="C58" s="21"/>
      <c r="D58" s="21"/>
      <c r="E58" s="21"/>
      <c r="F58" s="21"/>
      <c r="G58" s="21"/>
      <c r="H58" s="21"/>
      <c r="I58" s="21"/>
      <c r="J58" s="21"/>
      <c r="K58" s="21"/>
    </row>
    <row r="59" spans="1:11" ht="13.5" customHeight="1"/>
    <row r="60" spans="1:11" ht="13.5" customHeight="1">
      <c r="A60" s="12" t="s">
        <v>265</v>
      </c>
      <c r="B60" s="21"/>
      <c r="C60" s="21"/>
      <c r="D60" s="21"/>
      <c r="E60" s="21"/>
      <c r="F60" s="21"/>
      <c r="G60" s="21"/>
      <c r="H60" s="21"/>
      <c r="I60" s="21"/>
      <c r="J60" s="21"/>
      <c r="K60" s="21"/>
    </row>
  </sheetData>
  <mergeCells count="1">
    <mergeCell ref="A1:K1"/>
  </mergeCells>
  <phoneticPr fontId="43"/>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AD47"/>
  </sheetPr>
  <dimension ref="A1:C38"/>
  <sheetViews>
    <sheetView zoomScaleNormal="100" workbookViewId="0"/>
  </sheetViews>
  <sheetFormatPr defaultColWidth="8.5546875" defaultRowHeight="13.2"/>
  <cols>
    <col min="1" max="1" width="18" customWidth="1"/>
    <col min="2" max="3" width="14" customWidth="1"/>
  </cols>
  <sheetData>
    <row r="1" spans="1:3" ht="17.100000000000001" customHeight="1">
      <c r="A1" s="72" t="s">
        <v>271</v>
      </c>
    </row>
    <row r="2" spans="1:3" ht="15" customHeight="1">
      <c r="A2" s="73" t="s">
        <v>272</v>
      </c>
    </row>
    <row r="4" spans="1:3" ht="15" customHeight="1">
      <c r="A4" s="74" t="s">
        <v>273</v>
      </c>
    </row>
    <row r="5" spans="1:3" ht="26.85" customHeight="1">
      <c r="A5" s="75" t="s">
        <v>35</v>
      </c>
      <c r="B5" s="76" t="s">
        <v>274</v>
      </c>
      <c r="C5" s="76" t="s">
        <v>275</v>
      </c>
    </row>
    <row r="6" spans="1:3" ht="15" customHeight="1">
      <c r="A6" s="77" t="s">
        <v>39</v>
      </c>
      <c r="B6" s="78">
        <v>1150</v>
      </c>
      <c r="C6" s="79">
        <v>1300</v>
      </c>
    </row>
    <row r="7" spans="1:3" ht="15" customHeight="1">
      <c r="A7" s="80" t="s">
        <v>40</v>
      </c>
      <c r="B7" s="78">
        <v>130</v>
      </c>
      <c r="C7" s="79">
        <v>140</v>
      </c>
    </row>
    <row r="8" spans="1:3" ht="15" customHeight="1">
      <c r="A8" s="80" t="s">
        <v>41</v>
      </c>
      <c r="B8" s="78">
        <v>130</v>
      </c>
      <c r="C8" s="79">
        <v>140</v>
      </c>
    </row>
    <row r="9" spans="1:3" ht="15" customHeight="1">
      <c r="A9" s="80" t="s">
        <v>42</v>
      </c>
      <c r="B9" s="78">
        <v>140</v>
      </c>
      <c r="C9" s="79">
        <v>150</v>
      </c>
    </row>
    <row r="10" spans="1:3" ht="15" customHeight="1">
      <c r="A10" s="80" t="s">
        <v>43</v>
      </c>
      <c r="B10" s="78">
        <v>140</v>
      </c>
      <c r="C10" s="79">
        <v>150</v>
      </c>
    </row>
    <row r="11" spans="1:3" ht="15" customHeight="1">
      <c r="A11" s="80" t="s">
        <v>44</v>
      </c>
      <c r="B11" s="78">
        <v>150</v>
      </c>
      <c r="C11" s="79">
        <v>160</v>
      </c>
    </row>
    <row r="12" spans="1:3" ht="15" customHeight="1">
      <c r="A12" s="80" t="s">
        <v>45</v>
      </c>
      <c r="B12" s="78">
        <v>155</v>
      </c>
      <c r="C12" s="79">
        <v>170</v>
      </c>
    </row>
    <row r="13" spans="1:3" ht="15" customHeight="1">
      <c r="A13" s="80" t="s">
        <v>46</v>
      </c>
      <c r="B13" s="78">
        <v>160</v>
      </c>
      <c r="C13" s="79">
        <v>180</v>
      </c>
    </row>
    <row r="14" spans="1:3" ht="15" customHeight="1">
      <c r="A14" s="80" t="s">
        <v>47</v>
      </c>
      <c r="B14" s="78">
        <v>180</v>
      </c>
      <c r="C14" s="79">
        <v>200</v>
      </c>
    </row>
    <row r="16" spans="1:3" ht="15" customHeight="1">
      <c r="A16" s="74" t="s">
        <v>276</v>
      </c>
    </row>
    <row r="17" spans="1:3" ht="26.85" customHeight="1">
      <c r="A17" s="75" t="s">
        <v>35</v>
      </c>
      <c r="B17" s="76" t="s">
        <v>274</v>
      </c>
      <c r="C17" s="76" t="s">
        <v>275</v>
      </c>
    </row>
    <row r="18" spans="1:3" ht="15" customHeight="1">
      <c r="A18" s="77" t="s">
        <v>39</v>
      </c>
      <c r="B18" s="78">
        <v>1050</v>
      </c>
      <c r="C18" s="79">
        <v>1100</v>
      </c>
    </row>
    <row r="19" spans="1:3" ht="15" customHeight="1">
      <c r="A19" s="80" t="s">
        <v>40</v>
      </c>
      <c r="B19" s="78">
        <v>140</v>
      </c>
      <c r="C19" s="79">
        <v>160</v>
      </c>
    </row>
    <row r="20" spans="1:3" ht="15" customHeight="1">
      <c r="A20" s="80" t="s">
        <v>41</v>
      </c>
      <c r="B20" s="78">
        <v>140</v>
      </c>
      <c r="C20" s="79">
        <v>160</v>
      </c>
    </row>
    <row r="21" spans="1:3" ht="15" customHeight="1">
      <c r="A21" s="80" t="s">
        <v>42</v>
      </c>
      <c r="B21" s="78">
        <v>150</v>
      </c>
      <c r="C21" s="79">
        <v>170</v>
      </c>
    </row>
    <row r="22" spans="1:3" ht="15" customHeight="1">
      <c r="A22" s="80" t="s">
        <v>43</v>
      </c>
      <c r="B22" s="78">
        <v>150</v>
      </c>
      <c r="C22" s="79">
        <v>170</v>
      </c>
    </row>
    <row r="23" spans="1:3" ht="15" customHeight="1">
      <c r="A23" s="80" t="s">
        <v>44</v>
      </c>
      <c r="B23" s="78">
        <v>160</v>
      </c>
      <c r="C23" s="79">
        <v>180</v>
      </c>
    </row>
    <row r="24" spans="1:3" ht="15" customHeight="1">
      <c r="A24" s="80" t="s">
        <v>45</v>
      </c>
      <c r="B24" s="78">
        <v>165</v>
      </c>
      <c r="C24" s="79">
        <v>190</v>
      </c>
    </row>
    <row r="25" spans="1:3" ht="15" customHeight="1">
      <c r="A25" s="80" t="s">
        <v>46</v>
      </c>
      <c r="B25" s="78">
        <v>170</v>
      </c>
      <c r="C25" s="79">
        <v>200</v>
      </c>
    </row>
    <row r="26" spans="1:3" ht="15" customHeight="1">
      <c r="A26" s="80" t="s">
        <v>47</v>
      </c>
      <c r="B26" s="78">
        <v>190</v>
      </c>
      <c r="C26" s="79">
        <v>220</v>
      </c>
    </row>
    <row r="28" spans="1:3" ht="15" customHeight="1">
      <c r="A28" s="74" t="s">
        <v>277</v>
      </c>
    </row>
    <row r="29" spans="1:3" ht="26.85" customHeight="1">
      <c r="A29" s="75" t="s">
        <v>35</v>
      </c>
      <c r="B29" s="76" t="s">
        <v>274</v>
      </c>
      <c r="C29" s="76" t="s">
        <v>275</v>
      </c>
    </row>
    <row r="30" spans="1:3" ht="15" customHeight="1">
      <c r="A30" s="77" t="s">
        <v>39</v>
      </c>
      <c r="B30" s="78">
        <v>1100</v>
      </c>
      <c r="C30" s="79">
        <v>1200</v>
      </c>
    </row>
    <row r="31" spans="1:3" ht="15" customHeight="1">
      <c r="A31" s="80" t="s">
        <v>40</v>
      </c>
      <c r="B31" s="78">
        <v>130</v>
      </c>
      <c r="C31" s="79">
        <v>140</v>
      </c>
    </row>
    <row r="32" spans="1:3" ht="15" customHeight="1">
      <c r="A32" s="80" t="s">
        <v>41</v>
      </c>
      <c r="B32" s="78">
        <v>135</v>
      </c>
      <c r="C32" s="79">
        <v>150</v>
      </c>
    </row>
    <row r="33" spans="1:3" ht="15" customHeight="1">
      <c r="A33" s="80" t="s">
        <v>42</v>
      </c>
      <c r="B33" s="78">
        <v>140</v>
      </c>
      <c r="C33" s="79">
        <v>150</v>
      </c>
    </row>
    <row r="34" spans="1:3" ht="15" customHeight="1">
      <c r="A34" s="80" t="s">
        <v>43</v>
      </c>
      <c r="B34" s="78">
        <v>145</v>
      </c>
      <c r="C34" s="79">
        <v>160</v>
      </c>
    </row>
    <row r="35" spans="1:3" ht="15" customHeight="1">
      <c r="A35" s="80" t="s">
        <v>44</v>
      </c>
      <c r="B35" s="78">
        <v>155</v>
      </c>
      <c r="C35" s="79">
        <v>170</v>
      </c>
    </row>
    <row r="36" spans="1:3" ht="15" customHeight="1">
      <c r="A36" s="80" t="s">
        <v>45</v>
      </c>
      <c r="B36" s="78">
        <v>155</v>
      </c>
      <c r="C36" s="79">
        <v>170</v>
      </c>
    </row>
    <row r="37" spans="1:3" ht="15" customHeight="1">
      <c r="A37" s="80" t="s">
        <v>46</v>
      </c>
      <c r="B37" s="78">
        <v>165</v>
      </c>
      <c r="C37" s="79">
        <v>190</v>
      </c>
    </row>
    <row r="38" spans="1:3" ht="15" customHeight="1">
      <c r="A38" s="80" t="s">
        <v>47</v>
      </c>
      <c r="B38" s="78">
        <v>185</v>
      </c>
      <c r="C38" s="79">
        <v>210</v>
      </c>
    </row>
  </sheetData>
  <phoneticPr fontId="43"/>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設定</vt:lpstr>
      <vt:lpstr>使用料マスタ</vt:lpstr>
      <vt:lpstr>料金テーブル</vt:lpstr>
      <vt:lpstr>使用料算定</vt:lpstr>
      <vt:lpstr>料金改定計画案</vt:lpstr>
      <vt:lpstr>モデルケース別影響額</vt:lpstr>
      <vt:lpstr>財政計画（ベース）</vt:lpstr>
      <vt:lpstr>パターン別比較</vt:lpstr>
      <vt:lpstr>農集案①2か年</vt:lpstr>
      <vt:lpstr>農集案①3か年</vt:lpstr>
      <vt:lpstr>農集案②2か年</vt:lpstr>
      <vt:lpstr>農集案②3か年</vt:lpstr>
      <vt:lpstr>農集案④2か年</vt:lpstr>
      <vt:lpstr>農集案④3か年</vt:lpstr>
      <vt:lpstr>段階単価(3か年)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翔吾 林</cp:lastModifiedBy>
  <cp:revision>0</cp:revision>
  <cp:lastPrinted>2026-03-12T05:19:51Z</cp:lastPrinted>
  <dcterms:created xsi:type="dcterms:W3CDTF">2026-03-12T05:13:59Z</dcterms:created>
  <dcterms:modified xsi:type="dcterms:W3CDTF">2026-03-13T04:41:05Z</dcterms:modified>
  <dc:language>en-US</dc:language>
</cp:coreProperties>
</file>