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成果物一覧" sheetId="1" state="visible" r:id="rId1"/>
    <sheet xmlns:r="http://schemas.openxmlformats.org/officeDocument/2006/relationships" name="償還台帳_確認結果" sheetId="2" state="visible" r:id="rId2"/>
    <sheet xmlns:r="http://schemas.openxmlformats.org/officeDocument/2006/relationships" name="料金データ確認" sheetId="3" state="visible" r:id="rId3"/>
    <sheet xmlns:r="http://schemas.openxmlformats.org/officeDocument/2006/relationships" name="評価_MECE_レッドチーム" sheetId="4" state="visible" r:id="rId4"/>
    <sheet xmlns:r="http://schemas.openxmlformats.org/officeDocument/2006/relationships" name="汚水処理費の算定" sheetId="5" state="visible" r:id="rId5"/>
    <sheet xmlns:r="http://schemas.openxmlformats.org/officeDocument/2006/relationships" name="R7決算突合" sheetId="6" state="visible" r:id="rId6"/>
    <sheet xmlns:r="http://schemas.openxmlformats.org/officeDocument/2006/relationships" name="パターン別SIM結果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△#,##0"/>
    <numFmt numFmtId="166" formatCode="+0.0%;△0.0%"/>
  </numFmts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color rgb="FF475569"/>
      <sz val="10"/>
    </font>
    <font>
      <name val="Arial"/>
      <charset val="1"/>
      <family val="0"/>
      <color rgb="FF475569"/>
      <sz val="10"/>
    </font>
    <font>
      <name val="Arial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color rgb="FF1E293B"/>
      <sz val="10"/>
    </font>
    <font>
      <name val="Noto Sans CJK SC"/>
      <charset val="1"/>
      <family val="2"/>
      <b val="1"/>
      <color rgb="FF1E3A8A"/>
      <sz val="10"/>
    </font>
    <font>
      <name val="Arial"/>
      <charset val="1"/>
      <family val="0"/>
      <b val="1"/>
      <color rgb="FF1E3A8A"/>
      <sz val="10"/>
    </font>
    <font>
      <name val="Noto Sans CJK SC"/>
      <charset val="1"/>
      <family val="2"/>
      <color rgb="FF1E293B"/>
      <sz val="10"/>
    </font>
    <font>
      <name val="Noto Sans CJK SC"/>
      <charset val="1"/>
      <family val="2"/>
      <color rgb="FF166534"/>
      <sz val="10"/>
    </font>
    <font>
      <name val="Noto Sans CJK SC"/>
      <charset val="1"/>
      <family val="2"/>
      <color rgb="FF1E293B"/>
      <sz val="9"/>
    </font>
    <font>
      <name val="Arial"/>
      <charset val="1"/>
      <family val="0"/>
      <color rgb="FF1E293B"/>
      <sz val="9"/>
    </font>
    <font>
      <name val="Noto Sans CJK SC"/>
      <charset val="1"/>
      <family val="2"/>
      <color rgb="FF1E40AF"/>
      <sz val="10"/>
    </font>
    <font>
      <name val="Noto Sans CJK SC"/>
      <charset val="1"/>
      <family val="2"/>
      <b val="1"/>
      <color rgb="FFFFFFFF"/>
      <sz val="13"/>
    </font>
    <font>
      <name val="Arial"/>
      <charset val="1"/>
      <family val="0"/>
      <b val="1"/>
      <color rgb="FFFFFFFF"/>
      <sz val="13"/>
    </font>
    <font>
      <name val="Noto Sans CJK SC"/>
      <charset val="1"/>
      <family val="2"/>
      <color rgb="FF475569"/>
      <sz val="9"/>
    </font>
    <font>
      <name val="Arial"/>
      <charset val="1"/>
      <family val="0"/>
      <color rgb="FF475569"/>
      <sz val="9"/>
    </font>
    <font>
      <name val="Arial"/>
      <charset val="1"/>
      <family val="0"/>
      <b val="1"/>
      <color rgb="FF1E293B"/>
      <sz val="10"/>
    </font>
    <font>
      <name val="Noto Sans CJK SC"/>
      <charset val="1"/>
      <family val="2"/>
      <b val="1"/>
      <color rgb="FF1E293B"/>
      <sz val="10"/>
    </font>
    <font>
      <name val="Arial"/>
      <charset val="1"/>
      <family val="0"/>
      <b val="1"/>
      <color rgb="FF166534"/>
      <sz val="10"/>
    </font>
    <font>
      <name val="Noto Sans CJK SC"/>
      <charset val="1"/>
      <family val="2"/>
      <b val="1"/>
      <color rgb="FF166534"/>
      <sz val="10"/>
    </font>
    <font>
      <name val="Arial"/>
      <charset val="1"/>
      <family val="0"/>
      <color rgb="FFEF4444"/>
      <sz val="10"/>
    </font>
    <font>
      <name val="Noto Sans CJK SC"/>
      <charset val="1"/>
      <family val="2"/>
      <color rgb="FFEF4444"/>
      <sz val="10"/>
    </font>
    <font>
      <name val="Arial"/>
      <charset val="1"/>
      <family val="0"/>
      <b val="1"/>
      <color rgb="FFEF4444"/>
      <sz val="10"/>
    </font>
    <font>
      <name val="Noto Sans CJK SC"/>
      <charset val="1"/>
      <family val="2"/>
      <b val="1"/>
      <color rgb="FFEF4444"/>
      <sz val="10"/>
    </font>
    <font>
      <name val="Arial"/>
      <charset val="1"/>
      <family val="0"/>
      <color rgb="FF374151"/>
      <sz val="9"/>
    </font>
    <font>
      <name val="Noto Sans CJK SC"/>
      <charset val="1"/>
      <family val="2"/>
      <color rgb="FF374151"/>
      <sz val="9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color rgb="FF1E40AF"/>
      <sz val="10"/>
    </font>
    <font>
      <name val="Arial"/>
      <charset val="1"/>
      <family val="0"/>
      <color rgb="FF166534"/>
      <sz val="10"/>
    </font>
    <font>
      <name val="Arial"/>
      <charset val="1"/>
      <family val="0"/>
      <color rgb="FFB45309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color rgb="FF374151"/>
      <sz val="10"/>
    </font>
    <font>
      <name val="Noto Sans CJK SC"/>
      <charset val="1"/>
      <family val="2"/>
      <b val="1"/>
      <color rgb="FF374151"/>
      <sz val="10"/>
    </font>
    <font>
      <name val="Arial"/>
      <charset val="1"/>
      <family val="0"/>
      <color rgb="FF374151"/>
      <sz val="10"/>
    </font>
    <font>
      <name val="Noto Sans CJK SC"/>
      <charset val="1"/>
      <family val="2"/>
      <color rgb="FF374151"/>
      <sz val="10"/>
    </font>
    <font>
      <name val="Noto Sans CJK SC"/>
      <charset val="1"/>
      <family val="2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1"/>
    </font>
    <font>
      <name val="Noto Sans CJK SC"/>
      <charset val="1"/>
      <family val="2"/>
      <b val="1"/>
      <color rgb="FF78350F"/>
      <sz val="10"/>
    </font>
    <font>
      <sz val="10"/>
    </font>
    <font>
      <color rgb="00B45309"/>
      <sz val="9"/>
    </font>
    <font>
      <b val="1"/>
      <sz val="12"/>
    </font>
    <font>
      <color rgb="00475569"/>
      <sz val="9"/>
    </font>
    <font>
      <b val="1"/>
      <sz val="10"/>
    </font>
    <font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FF1E3A8A"/>
        <bgColor rgb="FF1E40AF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EFF6FF"/>
      </patternFill>
    </fill>
    <fill>
      <patternFill patternType="solid">
        <fgColor rgb="FFEFF6FF"/>
        <bgColor rgb="FFF8FAFC"/>
      </patternFill>
    </fill>
    <fill>
      <patternFill patternType="solid">
        <fgColor rgb="FFEF4444"/>
        <bgColor rgb="FFB45309"/>
      </patternFill>
    </fill>
    <fill>
      <patternFill patternType="solid">
        <fgColor rgb="FFFEF2F2"/>
        <bgColor rgb="FFF8FAFC"/>
      </patternFill>
    </fill>
    <fill>
      <patternFill patternType="solid">
        <fgColor rgb="FF1E40AF"/>
        <bgColor rgb="FF1E3A8A"/>
      </patternFill>
    </fill>
    <fill>
      <patternFill patternType="solid">
        <fgColor rgb="FF166534"/>
        <bgColor rgb="FF475569"/>
      </patternFill>
    </fill>
    <fill>
      <patternFill patternType="solid">
        <fgColor rgb="FFB45309"/>
        <bgColor rgb="FF92400E"/>
      </patternFill>
    </fill>
    <fill>
      <patternFill patternType="solid">
        <fgColor rgb="FF475569"/>
        <bgColor rgb="FF374151"/>
      </patternFill>
    </fill>
    <fill>
      <patternFill patternType="solid">
        <fgColor rgb="FF92400E"/>
        <bgColor rgb="FF78350F"/>
      </patternFill>
    </fill>
    <fill>
      <patternFill patternType="solid">
        <fgColor rgb="FF7F1D1D"/>
        <bgColor rgb="FF78350F"/>
      </patternFill>
    </fill>
    <fill>
      <patternFill patternType="solid">
        <fgColor rgb="FFFEF9C3"/>
        <bgColor rgb="FFFEF2F2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FFFBEB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righ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right" vertical="center" wrapText="1"/>
    </xf>
    <xf numFmtId="0" fontId="15" fillId="3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right" vertical="center" wrapText="1"/>
    </xf>
    <xf numFmtId="0" fontId="8" fillId="7" borderId="0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 wrapText="1"/>
    </xf>
    <xf numFmtId="0" fontId="29" fillId="8" borderId="2" applyAlignment="1" pivotButton="0" quotePrefix="0" xfId="0">
      <alignment horizontal="left" vertical="center" wrapText="1"/>
    </xf>
    <xf numFmtId="0" fontId="30" fillId="8" borderId="2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31" fillId="9" borderId="0" applyAlignment="1" pivotButton="0" quotePrefix="0" xfId="0">
      <alignment horizontal="center" vertical="center" wrapText="1"/>
    </xf>
    <xf numFmtId="0" fontId="31" fillId="10" borderId="0" applyAlignment="1" pivotButton="0" quotePrefix="0" xfId="0">
      <alignment horizontal="center" vertical="center" wrapText="1"/>
    </xf>
    <xf numFmtId="0" fontId="31" fillId="11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36" fillId="3" borderId="2" applyAlignment="1" pivotButton="0" quotePrefix="0" xfId="0">
      <alignment horizontal="center" vertical="center" wrapText="1"/>
    </xf>
    <xf numFmtId="0" fontId="38" fillId="3" borderId="2" applyAlignment="1" pivotButton="0" quotePrefix="0" xfId="0">
      <alignment horizontal="center" vertical="center" wrapText="1"/>
    </xf>
    <xf numFmtId="0" fontId="39" fillId="3" borderId="2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40" fillId="7" borderId="0" applyAlignment="1" pivotButton="0" quotePrefix="0" xfId="0">
      <alignment horizontal="left" vertical="center" wrapText="1"/>
    </xf>
    <xf numFmtId="0" fontId="41" fillId="14" borderId="1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42" fillId="2" borderId="0" applyAlignment="1" pivotButton="0" quotePrefix="0" xfId="0">
      <alignment horizontal="left" vertical="center" wrapText="1"/>
    </xf>
    <xf numFmtId="0" fontId="31" fillId="2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43" fillId="1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22" fillId="1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44" fillId="0" borderId="0" applyAlignment="1" pivotButton="0" quotePrefix="0" xfId="0">
      <alignment vertical="center" wrapText="1"/>
    </xf>
    <xf numFmtId="0" fontId="17" fillId="2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righ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right" vertical="center" wrapText="1"/>
    </xf>
    <xf numFmtId="0" fontId="15" fillId="3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right" vertical="center" wrapText="1"/>
    </xf>
    <xf numFmtId="0" fontId="8" fillId="7" borderId="0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 wrapText="1"/>
    </xf>
    <xf numFmtId="0" fontId="29" fillId="8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30" fillId="8" borderId="2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31" fillId="9" borderId="0" applyAlignment="1" pivotButton="0" quotePrefix="0" xfId="0">
      <alignment horizontal="center" vertical="center" wrapText="1"/>
    </xf>
    <xf numFmtId="0" fontId="31" fillId="10" borderId="0" applyAlignment="1" pivotButton="0" quotePrefix="0" xfId="0">
      <alignment horizontal="center" vertical="center" wrapText="1"/>
    </xf>
    <xf numFmtId="0" fontId="31" fillId="11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center" vertical="center" wrapText="1"/>
    </xf>
    <xf numFmtId="0" fontId="45" fillId="0" borderId="0" pivotButton="0" quotePrefix="0" xfId="0"/>
    <xf numFmtId="0" fontId="8" fillId="10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36" fillId="3" borderId="2" applyAlignment="1" pivotButton="0" quotePrefix="0" xfId="0">
      <alignment horizontal="center" vertical="center" wrapText="1"/>
    </xf>
    <xf numFmtId="0" fontId="38" fillId="3" borderId="2" applyAlignment="1" pivotButton="0" quotePrefix="0" xfId="0">
      <alignment horizontal="center" vertical="center" wrapText="1"/>
    </xf>
    <xf numFmtId="0" fontId="39" fillId="3" borderId="2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40" fillId="7" borderId="0" applyAlignment="1" pivotButton="0" quotePrefix="0" xfId="0">
      <alignment horizontal="left" vertical="center" wrapText="1"/>
    </xf>
    <xf numFmtId="0" fontId="41" fillId="14" borderId="1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42" fillId="2" borderId="0" applyAlignment="1" pivotButton="0" quotePrefix="0" xfId="0">
      <alignment horizontal="left" vertical="center" wrapText="1"/>
    </xf>
    <xf numFmtId="0" fontId="31" fillId="2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43" fillId="1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22" fillId="15" borderId="0" applyAlignment="1" pivotButton="0" quotePrefix="0" xfId="0">
      <alignment horizontal="left" vertical="center" wrapText="1"/>
    </xf>
    <xf numFmtId="0" fontId="46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16" borderId="5" pivotButton="0" quotePrefix="0" xfId="0"/>
    <xf numFmtId="0" fontId="49" fillId="16" borderId="5" applyAlignment="1" pivotButton="0" quotePrefix="0" xfId="0">
      <alignment horizontal="center"/>
    </xf>
    <xf numFmtId="0" fontId="44" fillId="0" borderId="5" pivotButton="0" quotePrefix="0" xfId="0"/>
    <xf numFmtId="3" fontId="44" fillId="0" borderId="5" applyAlignment="1" pivotButton="0" quotePrefix="0" xfId="0">
      <alignment horizontal="right"/>
    </xf>
    <xf numFmtId="0" fontId="44" fillId="17" borderId="5" pivotButton="0" quotePrefix="0" xfId="0"/>
    <xf numFmtId="3" fontId="44" fillId="17" borderId="5" applyAlignment="1" pivotButton="0" quotePrefix="0" xfId="0">
      <alignment horizontal="right"/>
    </xf>
    <xf numFmtId="0" fontId="48" fillId="18" borderId="5" pivotButton="0" quotePrefix="0" xfId="0"/>
    <xf numFmtId="3" fontId="48" fillId="18" borderId="5" applyAlignment="1" pivotButton="0" quotePrefix="0" xfId="0">
      <alignment horizontal="right"/>
    </xf>
    <xf numFmtId="2" fontId="44" fillId="17" borderId="5" applyAlignment="1" pivotButton="0" quotePrefix="0" xfId="0">
      <alignment horizontal="right"/>
    </xf>
    <xf numFmtId="164" fontId="48" fillId="18" borderId="5" applyAlignment="1" pivotButton="0" quotePrefix="0" xfId="0">
      <alignment horizontal="right"/>
    </xf>
    <xf numFmtId="165" fontId="44" fillId="0" borderId="5" applyAlignment="1" pivotButton="0" quotePrefix="0" xfId="0">
      <alignment horizontal="right"/>
    </xf>
    <xf numFmtId="0" fontId="47" fillId="0" borderId="5" pivotButton="0" quotePrefix="0" xfId="0"/>
    <xf numFmtId="0" fontId="44" fillId="18" borderId="5" pivotButton="0" quotePrefix="0" xfId="0"/>
    <xf numFmtId="165" fontId="44" fillId="18" borderId="5" applyAlignment="1" pivotButton="0" quotePrefix="0" xfId="0">
      <alignment horizontal="right"/>
    </xf>
    <xf numFmtId="0" fontId="47" fillId="18" borderId="5" pivotButton="0" quotePrefix="0" xfId="0"/>
    <xf numFmtId="165" fontId="48" fillId="18" borderId="5" pivotButton="0" quotePrefix="0" xfId="0"/>
    <xf numFmtId="165" fontId="0" fillId="19" borderId="5" pivotButton="0" quotePrefix="0" xfId="0"/>
    <xf numFmtId="165" fontId="0" fillId="18" borderId="5" pivotButton="0" quotePrefix="0" xfId="0"/>
    <xf numFmtId="166" fontId="0" fillId="18" borderId="5" pivotButton="0" quotePrefix="0" xfId="0"/>
    <xf numFmtId="0" fontId="48" fillId="17" borderId="5" pivotButton="0" quotePrefix="0" xfId="0"/>
    <xf numFmtId="165" fontId="44" fillId="17" borderId="5" pivotButton="0" quotePrefix="0" xfId="0"/>
    <xf numFmtId="165" fontId="0" fillId="17" borderId="5" pivotButton="0" quotePrefix="0" xfId="0"/>
    <xf numFmtId="166" fontId="0" fillId="17" borderId="5" pivotButton="0" quotePrefix="0" xfId="0"/>
    <xf numFmtId="0" fontId="47" fillId="17" borderId="5" pivotButton="0" quotePrefix="0" xfId="0"/>
    <xf numFmtId="0" fontId="48" fillId="0" borderId="5" pivotButton="0" quotePrefix="0" xfId="0"/>
    <xf numFmtId="165" fontId="44" fillId="0" borderId="5" pivotButton="0" quotePrefix="0" xfId="0"/>
    <xf numFmtId="165" fontId="0" fillId="0" borderId="5" pivotButton="0" quotePrefix="0" xfId="0"/>
    <xf numFmtId="166" fontId="0" fillId="0" borderId="5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164" fontId="0" fillId="18" borderId="5" pivotButton="0" quotePrefix="0" xfId="0"/>
    <xf numFmtId="164" fontId="44" fillId="0" borderId="5" applyAlignment="1" pivotButton="0" quotePrefix="0" xfId="0">
      <alignment horizontal="center"/>
    </xf>
    <xf numFmtId="164" fontId="44" fillId="17" borderId="5" applyAlignment="1" pivotButton="0" quotePrefix="0" xfId="0">
      <alignment horizontal="center"/>
    </xf>
    <xf numFmtId="164" fontId="48" fillId="17" borderId="5" applyAlignment="1" pivotButton="0" quotePrefix="0" xfId="0">
      <alignment horizontal="center"/>
    </xf>
    <xf numFmtId="164" fontId="48" fillId="0" borderId="5" applyAlignment="1" pivotButton="0" quotePrefix="0" xfId="0">
      <alignment horizontal="center"/>
    </xf>
    <xf numFmtId="3" fontId="48" fillId="17" borderId="5" applyAlignment="1" pivotButton="0" quotePrefix="0" xfId="0">
      <alignment horizontal="right"/>
    </xf>
    <xf numFmtId="3" fontId="48" fillId="0" borderId="5" applyAlignment="1" pivotButton="0" quotePrefix="0" xfId="0">
      <alignment horizontal="right"/>
    </xf>
    <xf numFmtId="0" fontId="49" fillId="16" borderId="5" applyAlignment="1" pivotButton="0" quotePrefix="0" xfId="0">
      <alignment horizont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78350F"/>
      <rgbColor rgb="FFFEF9C3"/>
      <rgbColor rgb="FFDCFCE7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E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444"/>
      <rgbColor rgb="FF475569"/>
      <rgbColor rgb="FF969696"/>
      <rgbColor rgb="FF1E40AF"/>
      <rgbColor rgb="FF339966"/>
      <rgbColor rgb="FF003300"/>
      <rgbColor rgb="FF374151"/>
      <rgbColor rgb="FF92400E"/>
      <rgbColor rgb="FFB45309"/>
      <rgbColor rgb="FF1E3A8A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86" min="1" max="1"/>
    <col width="40" customWidth="1" style="86" min="2" max="2"/>
    <col width="20" customWidth="1" style="86" min="3" max="3"/>
    <col width="12" customWidth="1" style="86" min="4" max="4"/>
    <col width="50" customWidth="1" style="86" min="5" max="5"/>
  </cols>
  <sheetData>
    <row r="1" ht="30" customHeight="1" s="87">
      <c r="A1" s="88" t="inlineStr">
        <is>
          <t>六戸町 使用料改定審議会資料　成果物・エビデンス一覧</t>
        </is>
      </c>
    </row>
    <row r="2" ht="19.5" customHeight="1" s="87">
      <c r="A2" s="89" t="inlineStr">
        <is>
          <t>作成日：2026年08月03日　　対象事業：六戸町 公共下水道・農業集落排水使用料改定検討</t>
        </is>
      </c>
    </row>
    <row r="3"/>
    <row r="4" ht="18" customHeight="1" s="87">
      <c r="A4" s="90" t="inlineStr">
        <is>
          <t>No.</t>
        </is>
      </c>
      <c r="B4" s="91" t="inlineStr">
        <is>
          <t>成果物名</t>
        </is>
      </c>
      <c r="C4" s="91" t="inlineStr">
        <is>
          <t>ファイル形式</t>
        </is>
      </c>
      <c r="D4" s="91" t="inlineStr">
        <is>
          <t>ステータス</t>
        </is>
      </c>
      <c r="E4" s="91" t="inlineStr">
        <is>
          <t>内容・備考</t>
        </is>
      </c>
    </row>
    <row r="5" ht="48" customHeight="1" s="87">
      <c r="A5" s="92" t="n">
        <v>1</v>
      </c>
      <c r="B5" s="93" t="inlineStr">
        <is>
          <t>六戸町_協議会_審議会資料_改訂版.pptx</t>
        </is>
      </c>
      <c r="C5" s="92" t="inlineStr">
        <is>
          <t>PPTX（26スライド）</t>
        </is>
      </c>
      <c r="D5" s="94" t="inlineStr">
        <is>
          <t>✅ 完成</t>
        </is>
      </c>
      <c r="E5" s="95" t="inlineStr">
        <is>
          <t>第1回審議会資料。現状の経営状況（公共・農集）、財政指標、改定パターン①②④比較、社会資本整備交付金要件、ロードマップ、審議会スケジュール等を収録。ページ番号入り。</t>
        </is>
      </c>
    </row>
    <row r="6" ht="48" customHeight="1" s="87">
      <c r="A6" s="96" t="n">
        <v>2</v>
      </c>
      <c r="B6" s="97" t="inlineStr">
        <is>
          <t>六戸町_第2回審議会資料.pptx</t>
        </is>
      </c>
      <c r="C6" s="96" t="inlineStr">
        <is>
          <t>PPTX（31スライド）</t>
        </is>
      </c>
      <c r="D6" s="94" t="inlineStr">
        <is>
          <t>✅ 完成</t>
        </is>
      </c>
      <c r="E6" s="98" t="inlineStr">
        <is>
          <t>第2回審議会資料。パターン①②④それぞれの収支シミュレーション（01-2〜01-4）・段階単価一覧（02-2〜02-4）・経常収支比率見込み（03-1〜03-3）・家庭/事業所別影響額（04-1〜04-3）を3パターン並列で収録。指標値は各使用料改定.xlsx「パターン別比較」（社人研人口推計）から転記。</t>
        </is>
      </c>
    </row>
    <row r="7" ht="48" customHeight="1" s="87">
      <c r="A7" s="92" t="n">
        <v>3</v>
      </c>
      <c r="B7" s="99" t="inlineStr">
        <is>
          <t>⑤_償還台帳__公共_.xls</t>
        </is>
      </c>
      <c r="C7" s="92" t="inlineStr">
        <is>
          <t>XLS（エビデンス）</t>
        </is>
      </c>
      <c r="D7" s="94" t="inlineStr">
        <is>
          <t>✅ 確認済</t>
        </is>
      </c>
      <c r="E7" s="95" t="inlineStr">
        <is>
          <t>公共下水道 消費税関係事業債償還台帳（R7年度）。R7年度末残高136,232,385円確認。特定収入125,039,700円、特定収入以外33,801,704円。</t>
        </is>
      </c>
    </row>
    <row r="8" ht="48" customHeight="1" s="87">
      <c r="A8" s="96" t="n">
        <v>4</v>
      </c>
      <c r="B8" s="100" t="inlineStr">
        <is>
          <t>六戸町_公共_使用料改定.xlsx</t>
        </is>
      </c>
      <c r="C8" s="96" t="inlineStr">
        <is>
          <t>XLSX（エビデンス）</t>
        </is>
      </c>
      <c r="D8" s="101" t="inlineStr">
        <is>
          <t>📎 提供済</t>
        </is>
      </c>
      <c r="E8" s="98" t="inlineStr">
        <is>
          <t>公共下水道使用料改定シミュレーション元データ。改定パターン別料金・収支見込みの算定根拠。</t>
        </is>
      </c>
    </row>
    <row r="9" ht="48" customHeight="1" s="87">
      <c r="A9" s="92" t="n">
        <v>5</v>
      </c>
      <c r="B9" s="102" t="inlineStr">
        <is>
          <t>六戸町_農集_使用料改定.xlsx</t>
        </is>
      </c>
      <c r="C9" s="92" t="inlineStr">
        <is>
          <t>XLSX（エビデンス）</t>
        </is>
      </c>
      <c r="D9" s="101" t="inlineStr">
        <is>
          <t>📎 提供済</t>
        </is>
      </c>
      <c r="E9" s="95" t="inlineStr">
        <is>
          <t>農業集落排水使用料改定シミュレーション元データ。農集パターン別料金・収支見込みの算定根拠。</t>
        </is>
      </c>
    </row>
    <row r="10" ht="48" customHeight="1" s="87">
      <c r="A10" s="96" t="n">
        <v>6</v>
      </c>
      <c r="B10" s="100" t="inlineStr">
        <is>
          <t>改定前後資料_3.ods</t>
        </is>
      </c>
      <c r="C10" s="96" t="inlineStr">
        <is>
          <t>ODS（エビデンス）</t>
        </is>
      </c>
      <c r="D10" s="101" t="inlineStr">
        <is>
          <t>📎 提供済</t>
        </is>
      </c>
      <c r="E10" s="98" t="inlineStr">
        <is>
          <t>改定前後の比較資料。料金体系・収支見込みの変化を整理したエビデンス資料。</t>
        </is>
      </c>
    </row>
    <row r="11" ht="48" customHeight="1" s="87">
      <c r="A11" s="92" t="n">
        <v>7</v>
      </c>
      <c r="B11" s="102" t="inlineStr">
        <is>
          <t>文書名02-1資料1_令和6年度...交付要件.pdf</t>
        </is>
      </c>
      <c r="C11" s="92" t="inlineStr">
        <is>
          <t>PDF（参考資料）</t>
        </is>
      </c>
      <c r="D11" s="101" t="inlineStr">
        <is>
          <t>📎 提供済</t>
        </is>
      </c>
      <c r="E11" s="95" t="inlineStr">
        <is>
          <t>国交省通知：社会資本整備総合交付金の交付要件（経営関係）。公営企業会計移行・使用料改定検証・経費回収率ロードマップの義務付けに関する根拠資料。</t>
        </is>
      </c>
    </row>
    <row r="12">
      <c r="A12" s="103" t="n">
        <v>8</v>
      </c>
      <c r="B12" s="103" t="inlineStr">
        <is>
          <t>本ブック「パターン別SIM結果」シート</t>
        </is>
      </c>
      <c r="C12" s="103" t="inlineStr">
        <is>
          <t>XLSX（算定根拠）</t>
        </is>
      </c>
      <c r="D12" s="103" t="inlineStr">
        <is>
          <t>✅ 追加</t>
        </is>
      </c>
      <c r="E12" s="103" t="inlineStr">
        <is>
          <t>第2回審議会資料に掲載した経常収支比率・経費回収率・モデルケース別月額の元数値。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86" min="1" max="1"/>
    <col width="25" customWidth="1" style="86" min="2" max="2"/>
    <col width="45" customWidth="1" style="86" min="3" max="3"/>
  </cols>
  <sheetData>
    <row r="1" ht="27.75" customHeight="1" s="87">
      <c r="A1" s="104" t="inlineStr">
        <is>
          <t>公共下水道　消費税関係事業債償還台帳（R7年度）確認結果</t>
        </is>
      </c>
    </row>
    <row r="2" ht="15" customHeight="1" s="87">
      <c r="A2" s="105" t="inlineStr">
        <is>
          <t>ファイル：⑤_償還台帳__公共_.xls　シート：R7　　確認日：2026/08/03</t>
        </is>
      </c>
    </row>
    <row r="4" ht="15" customHeight="1" s="87">
      <c r="A4" s="91" t="inlineStr">
        <is>
          <t>確認項目</t>
        </is>
      </c>
      <c r="B4" s="106" t="inlineStr">
        <is>
          <t>金額・内容</t>
        </is>
      </c>
      <c r="C4" s="91" t="inlineStr">
        <is>
          <t>備考・確認ポイント</t>
        </is>
      </c>
    </row>
    <row r="5" ht="39.75" customHeight="1" s="87">
      <c r="A5" s="107" t="inlineStr">
        <is>
          <t>R7年度末 未償還残高合計</t>
        </is>
      </c>
      <c r="B5" s="108" t="inlineStr">
        <is>
          <t>136,232,385円</t>
        </is>
      </c>
      <c r="C5" s="109" t="inlineStr">
        <is>
          <t>R7シート 行78列11。「※償還台帳（現在高調書）と合致」の記載あり。</t>
        </is>
      </c>
    </row>
    <row r="6" ht="39.75" customHeight="1" s="87">
      <c r="A6" s="110" t="inlineStr">
        <is>
          <t>R6年度末 未償還残高（参考）</t>
        </is>
      </c>
      <c r="B6" s="111" t="inlineStr">
        <is>
          <t>188,944,654円</t>
        </is>
      </c>
      <c r="C6" s="112" t="inlineStr">
        <is>
          <t>R6シートの最大値。R7との差額が当年度償還額の概算。</t>
        </is>
      </c>
    </row>
    <row r="7" ht="39.75" customHeight="1" s="87">
      <c r="A7" s="99" t="inlineStr">
        <is>
          <t>R7年度 元金償還額（推定）</t>
        </is>
      </c>
      <c r="B7" s="113" t="inlineStr">
        <is>
          <t>52,712,269円</t>
        </is>
      </c>
      <c r="C7" s="109" t="inlineStr">
        <is>
          <t>R6残高－R7残高。年度別シートの集計基準差に留意。</t>
        </is>
      </c>
    </row>
    <row r="8" ht="39.75" customHeight="1" s="87">
      <c r="A8" s="100" t="inlineStr">
        <is>
          <t>特定収入（課税仕入財源）元金</t>
        </is>
      </c>
      <c r="B8" s="114" t="inlineStr">
        <is>
          <t>125,039,700円</t>
        </is>
      </c>
      <c r="C8" s="98" t="inlineStr">
        <is>
          <t>台帳シートの消費税関係メモより（R7年度）。</t>
        </is>
      </c>
    </row>
    <row r="9" ht="39.75" customHeight="1" s="87">
      <c r="A9" s="102" t="inlineStr">
        <is>
          <t>特定収入以外の元金</t>
        </is>
      </c>
      <c r="B9" s="115" t="inlineStr">
        <is>
          <t>33,801,704円</t>
        </is>
      </c>
      <c r="C9" s="95" t="inlineStr">
        <is>
          <t>台帳シートの消費税関係メモより（R7年度）。</t>
        </is>
      </c>
    </row>
    <row r="10" ht="39.75" customHeight="1" s="87">
      <c r="A10" s="100" t="inlineStr">
        <is>
          <t>一般会計繰入金</t>
        </is>
      </c>
      <c r="B10" s="114" t="inlineStr">
        <is>
          <t>0円</t>
        </is>
      </c>
      <c r="C10" s="98" t="inlineStr">
        <is>
          <t>事業債償還元金に対する繰入なし。</t>
        </is>
      </c>
    </row>
    <row r="11" ht="39.75" customHeight="1" s="87">
      <c r="A11" s="102" t="inlineStr">
        <is>
          <t>受益者負担金</t>
        </is>
      </c>
      <c r="B11" s="115" t="inlineStr">
        <is>
          <t>0円</t>
        </is>
      </c>
      <c r="C11" s="95" t="inlineStr">
        <is>
          <t>受益者負担金なし。</t>
        </is>
      </c>
    </row>
    <row r="12" ht="39.75" customHeight="1" s="87">
      <c r="A12" s="100" t="inlineStr">
        <is>
          <t>残高の年度推移（参考）</t>
        </is>
      </c>
      <c r="B12" s="114" t="inlineStr">
        <is>
          <t>R5:110,185,736円 / R4:168,027,723円</t>
        </is>
      </c>
      <c r="C12" s="112" t="inlineStr">
        <is>
          <t>R5でR4より大幅減少。大きな一括償還または集計基準変更の可能性あり。要確認。</t>
        </is>
      </c>
    </row>
    <row r="14" ht="15" customHeight="1" s="87">
      <c r="A14" s="116" t="inlineStr">
        <is>
          <t>▶ 要確認事項</t>
        </is>
      </c>
    </row>
    <row r="15" ht="39.75" customHeight="1" s="87">
      <c r="A15" s="117" t="inlineStr">
        <is>
          <t>⚠ R5残高がR4より大幅に少ない</t>
        </is>
      </c>
      <c r="B15" s="118" t="inlineStr">
        <is>
          <t>R4:168,027,723 / R5:110,185,736（差約5,784万円）。R5に大きな一括償還があったか、集計基準変更か要確認。</t>
        </is>
      </c>
      <c r="C15" s="119" t="n"/>
    </row>
    <row r="16" ht="39.75" customHeight="1" s="87">
      <c r="A16" s="117" t="inlineStr">
        <is>
          <t>⚠ R6→R7の差額（約5,271万円）の内訳確認</t>
        </is>
      </c>
      <c r="B16" s="120" t="inlineStr">
        <is>
          <t>当該年度元金償還金として正しいか。複数起債の償還スケジュールと照合が必要。</t>
        </is>
      </c>
      <c r="C16" s="119" t="n"/>
    </row>
    <row r="17" ht="39.75" customHeight="1" s="87">
      <c r="A17" s="121" t="inlineStr">
        <is>
          <t>⚠ 特定収入合計（125,039,700＋33,801,704=158,841,404）とR7残高の整合</t>
        </is>
      </c>
      <c r="B17" s="118" t="inlineStr">
        <is>
          <t>136,232,385円（残高）≠158,841,404円（特定収入等）。差額22,609,019円の確認要。</t>
        </is>
      </c>
      <c r="C17" s="119" t="n"/>
    </row>
  </sheetData>
  <mergeCells count="6">
    <mergeCell ref="B16:C16"/>
    <mergeCell ref="B15:C15"/>
    <mergeCell ref="A1:C1"/>
    <mergeCell ref="A14:C14"/>
    <mergeCell ref="B17:C17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6" min="1" max="1"/>
    <col width="12" customWidth="1" style="86" min="2" max="8"/>
  </cols>
  <sheetData>
    <row r="1" ht="27.75" customHeight="1" s="87">
      <c r="A1" s="104" t="inlineStr">
        <is>
          <t>使用料改定 料金データ確認表（税抜き・円）</t>
        </is>
      </c>
    </row>
    <row r="2" ht="18" customHeight="1" s="87">
      <c r="C2" s="122" t="inlineStr">
        <is>
          <t>← パターン①（標準型）</t>
        </is>
      </c>
      <c r="E2" s="123" t="inlineStr">
        <is>
          <t>← パターン②（家庭軽減型）</t>
        </is>
      </c>
      <c r="G2" s="124" t="inlineStr">
        <is>
          <t>← パターン④（段階累進型）</t>
        </is>
      </c>
    </row>
    <row r="3" ht="18" customHeight="1" s="87">
      <c r="A3" s="91" t="inlineStr">
        <is>
          <t>水量区分</t>
        </is>
      </c>
      <c r="B3" s="125" t="inlineStr">
        <is>
          <t>現行</t>
        </is>
      </c>
      <c r="C3" s="126" t="inlineStr">
        <is>
          <t>①R8中間</t>
        </is>
      </c>
      <c r="D3" s="90" t="inlineStr">
        <is>
          <t>①R9最終</t>
        </is>
      </c>
      <c r="E3" s="127" t="inlineStr">
        <is>
          <t>②R8中間</t>
        </is>
      </c>
      <c r="F3" s="127" t="inlineStr">
        <is>
          <t>②R9最終</t>
        </is>
      </c>
      <c r="G3" s="128" t="inlineStr">
        <is>
          <t>④R8中間</t>
        </is>
      </c>
      <c r="H3" s="129" t="inlineStr">
        <is>
          <t>④R9最終</t>
        </is>
      </c>
    </row>
    <row r="4" ht="18" customHeight="1" s="87">
      <c r="A4" s="102" t="inlineStr">
        <is>
          <t>基本(0〜10㎥)</t>
        </is>
      </c>
      <c r="B4" s="130" t="n">
        <v>1000</v>
      </c>
      <c r="C4" s="131" t="n">
        <v>1250</v>
      </c>
      <c r="D4" s="132" t="n">
        <v>1500</v>
      </c>
      <c r="E4" s="133" t="n">
        <v>1100</v>
      </c>
      <c r="F4" s="134" t="n">
        <v>1200</v>
      </c>
      <c r="G4" s="135" t="n">
        <v>1200</v>
      </c>
      <c r="H4" s="136" t="n">
        <v>1400</v>
      </c>
    </row>
    <row r="5" ht="18" customHeight="1" s="87">
      <c r="A5" s="137" t="inlineStr">
        <is>
          <t>11〜20㎥</t>
        </is>
      </c>
      <c r="B5" s="138" t="n">
        <v>120</v>
      </c>
      <c r="C5" s="139" t="n">
        <v>135</v>
      </c>
      <c r="D5" s="140" t="n">
        <v>150</v>
      </c>
      <c r="E5" s="141" t="n">
        <v>150</v>
      </c>
      <c r="F5" s="142" t="n">
        <v>180</v>
      </c>
      <c r="G5" s="143" t="n">
        <v>140</v>
      </c>
      <c r="H5" s="144" t="n">
        <v>160</v>
      </c>
    </row>
    <row r="6" ht="18" customHeight="1" s="87">
      <c r="A6" s="99" t="inlineStr">
        <is>
          <t>21〜30㎥</t>
        </is>
      </c>
      <c r="B6" s="130" t="n">
        <v>120</v>
      </c>
      <c r="C6" s="131" t="n">
        <v>138</v>
      </c>
      <c r="D6" s="132" t="n">
        <v>155</v>
      </c>
      <c r="E6" s="133" t="n">
        <v>153</v>
      </c>
      <c r="F6" s="134" t="n">
        <v>185</v>
      </c>
      <c r="G6" s="135" t="n">
        <v>143</v>
      </c>
      <c r="H6" s="136" t="n">
        <v>165</v>
      </c>
    </row>
    <row r="7" ht="18" customHeight="1" s="87">
      <c r="A7" s="137" t="inlineStr">
        <is>
          <t>31〜40㎥</t>
        </is>
      </c>
      <c r="B7" s="138" t="n">
        <v>130</v>
      </c>
      <c r="C7" s="139" t="n">
        <v>145</v>
      </c>
      <c r="D7" s="140" t="n">
        <v>160</v>
      </c>
      <c r="E7" s="141" t="n">
        <v>160</v>
      </c>
      <c r="F7" s="142" t="n">
        <v>190</v>
      </c>
      <c r="G7" s="143" t="n">
        <v>150</v>
      </c>
      <c r="H7" s="144" t="n">
        <v>170</v>
      </c>
    </row>
    <row r="8" ht="18" customHeight="1" s="87">
      <c r="A8" s="99" t="inlineStr">
        <is>
          <t>41〜50㎥</t>
        </is>
      </c>
      <c r="B8" s="130" t="n">
        <v>130</v>
      </c>
      <c r="C8" s="131" t="n">
        <v>148</v>
      </c>
      <c r="D8" s="132" t="n">
        <v>165</v>
      </c>
      <c r="E8" s="133" t="n">
        <v>163</v>
      </c>
      <c r="F8" s="134" t="n">
        <v>195</v>
      </c>
      <c r="G8" s="135" t="n">
        <v>153</v>
      </c>
      <c r="H8" s="136" t="n">
        <v>175</v>
      </c>
    </row>
    <row r="9" ht="18" customHeight="1" s="87">
      <c r="A9" s="137" t="inlineStr">
        <is>
          <t>51〜70㎥</t>
        </is>
      </c>
      <c r="B9" s="138" t="n">
        <v>140</v>
      </c>
      <c r="C9" s="139" t="n">
        <v>158</v>
      </c>
      <c r="D9" s="140" t="n">
        <v>175</v>
      </c>
      <c r="E9" s="141" t="n">
        <v>173</v>
      </c>
      <c r="F9" s="142" t="n">
        <v>205</v>
      </c>
      <c r="G9" s="143" t="n">
        <v>163</v>
      </c>
      <c r="H9" s="144" t="n">
        <v>185</v>
      </c>
    </row>
    <row r="10" ht="18" customHeight="1" s="87">
      <c r="A10" s="99" t="inlineStr">
        <is>
          <t>71〜100㎥</t>
        </is>
      </c>
      <c r="B10" s="130" t="n">
        <v>140</v>
      </c>
      <c r="C10" s="131" t="n">
        <v>163</v>
      </c>
      <c r="D10" s="132" t="n">
        <v>185</v>
      </c>
      <c r="E10" s="133" t="n">
        <v>178</v>
      </c>
      <c r="F10" s="134" t="n">
        <v>215</v>
      </c>
      <c r="G10" s="135" t="n">
        <v>168</v>
      </c>
      <c r="H10" s="136" t="n">
        <v>195</v>
      </c>
    </row>
    <row r="11" ht="18" customHeight="1" s="87">
      <c r="A11" s="137" t="inlineStr">
        <is>
          <t>101〜150㎥</t>
        </is>
      </c>
      <c r="B11" s="138" t="n">
        <v>140</v>
      </c>
      <c r="C11" s="139" t="n">
        <v>173</v>
      </c>
      <c r="D11" s="140" t="n">
        <v>205</v>
      </c>
      <c r="E11" s="141" t="n">
        <v>188</v>
      </c>
      <c r="F11" s="142" t="n">
        <v>235</v>
      </c>
      <c r="G11" s="143" t="n">
        <v>178</v>
      </c>
      <c r="H11" s="144" t="n">
        <v>215</v>
      </c>
    </row>
    <row r="12" ht="18" customHeight="1" s="87">
      <c r="A12" s="99" t="inlineStr">
        <is>
          <t>151㎥〜</t>
        </is>
      </c>
      <c r="B12" s="130" t="n">
        <v>160</v>
      </c>
      <c r="C12" s="131" t="n">
        <v>193</v>
      </c>
      <c r="D12" s="132" t="n">
        <v>225</v>
      </c>
      <c r="E12" s="133" t="n">
        <v>208</v>
      </c>
      <c r="F12" s="134" t="n">
        <v>255</v>
      </c>
      <c r="G12" s="135" t="n">
        <v>198</v>
      </c>
      <c r="H12" s="136" t="n">
        <v>235</v>
      </c>
    </row>
    <row r="13">
      <c r="A13" s="145" t="inlineStr">
        <is>
          <t>※ R8中間単価は算定ブックの数式どおり（現行＋最終）÷2の四捨五入。第1回審議会資料は切り捨てで提示しており、①71〜100㎥・101〜150㎥・151㎥〜、②21〜30㎥・41〜50㎥の5区分で1円の差があります（R8単年の収入影響は約16万円）。</t>
        </is>
      </c>
    </row>
    <row r="15" ht="19.5" customHeight="1" s="87">
      <c r="A15" s="146" t="inlineStr">
        <is>
          <t>月額使用料確認（20㎥・税抜き）</t>
        </is>
      </c>
    </row>
    <row r="16" ht="15" customHeight="1" s="87">
      <c r="A16" s="147" t="inlineStr">
        <is>
          <t>20㎥時の月額：現行 税抜2,200円／税込2,420円　→　改定後いずれも 税抜3,000円／税込3,300円（税抜＋800円・税込＋880円・＋36.4%）</t>
        </is>
      </c>
      <c r="B16" s="119" t="n"/>
      <c r="C16" s="119" t="n"/>
      <c r="D16" s="119" t="n"/>
      <c r="E16" s="119" t="n"/>
      <c r="F16" s="119" t="n"/>
      <c r="G16" s="119" t="n"/>
      <c r="H16" s="119" t="n"/>
    </row>
    <row r="17" ht="21.75" customHeight="1" s="87">
      <c r="A17" s="100" t="inlineStr">
        <is>
          <t>現行（20㎥）</t>
        </is>
      </c>
      <c r="B17" s="148" t="inlineStr">
        <is>
          <t>2,200円</t>
        </is>
      </c>
      <c r="C17" s="119" t="n"/>
      <c r="D17" s="149" t="inlineStr">
        <is>
          <t>税込 2,420円</t>
        </is>
      </c>
      <c r="E17" s="119" t="n"/>
      <c r="F17" s="119" t="n"/>
      <c r="G17" s="150" t="inlineStr">
        <is>
          <t>目標値の出発点</t>
        </is>
      </c>
      <c r="H17" s="119" t="n"/>
    </row>
    <row r="18" ht="21.75" customHeight="1" s="87">
      <c r="A18" s="151" t="inlineStr">
        <is>
          <t>パターン①最終</t>
        </is>
      </c>
      <c r="B18" s="152" t="inlineStr">
        <is>
          <t>3,000円</t>
        </is>
      </c>
      <c r="C18" s="119" t="n"/>
      <c r="D18" s="153" t="inlineStr">
        <is>
          <t>税込 3,300円</t>
        </is>
      </c>
      <c r="E18" s="119" t="n"/>
      <c r="F18" s="119" t="n"/>
      <c r="G18" s="154" t="inlineStr">
        <is>
          <t>✅ 目標達成確認</t>
        </is>
      </c>
      <c r="H18" s="119" t="n"/>
    </row>
    <row r="19" ht="21.75" customHeight="1" s="87">
      <c r="A19" s="151" t="inlineStr">
        <is>
          <t>パターン②最終</t>
        </is>
      </c>
      <c r="B19" s="152" t="inlineStr">
        <is>
          <t>3,000円</t>
        </is>
      </c>
      <c r="C19" s="119" t="n"/>
      <c r="D19" s="153" t="inlineStr">
        <is>
          <t>税込 3,300円</t>
        </is>
      </c>
      <c r="E19" s="119" t="n"/>
      <c r="F19" s="119" t="n"/>
      <c r="G19" s="154" t="inlineStr">
        <is>
          <t>✅ 目標達成確認</t>
        </is>
      </c>
      <c r="H19" s="119" t="n"/>
    </row>
    <row r="20" ht="21.75" customHeight="1" s="87">
      <c r="A20" s="151" t="inlineStr">
        <is>
          <t>パターン④最終</t>
        </is>
      </c>
      <c r="B20" s="152" t="inlineStr">
        <is>
          <t>3,000円</t>
        </is>
      </c>
      <c r="C20" s="119" t="n"/>
      <c r="D20" s="153" t="inlineStr">
        <is>
          <t>税込 3,300円</t>
        </is>
      </c>
      <c r="E20" s="119" t="n"/>
      <c r="F20" s="119" t="n"/>
      <c r="G20" s="154" t="inlineStr">
        <is>
          <t>✅ 目標達成確認</t>
        </is>
      </c>
      <c r="H20" s="119" t="n"/>
    </row>
  </sheetData>
  <mergeCells count="18">
    <mergeCell ref="G20:H20"/>
    <mergeCell ref="D19:F19"/>
    <mergeCell ref="C2:D2"/>
    <mergeCell ref="A15:H15"/>
    <mergeCell ref="G2:H2"/>
    <mergeCell ref="E2:F2"/>
    <mergeCell ref="B19:C19"/>
    <mergeCell ref="A16:H16"/>
    <mergeCell ref="B20:C20"/>
    <mergeCell ref="D18:F18"/>
    <mergeCell ref="G19:H19"/>
    <mergeCell ref="D17:F17"/>
    <mergeCell ref="A1:H1"/>
    <mergeCell ref="B18:C18"/>
    <mergeCell ref="G18:H18"/>
    <mergeCell ref="D20:F20"/>
    <mergeCell ref="G17:H17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86" min="1" max="1"/>
    <col width="18" customWidth="1" style="86" min="2" max="2"/>
    <col width="55" customWidth="1" style="86" min="3" max="3"/>
    <col width="30" customWidth="1" style="86" min="4" max="4"/>
  </cols>
  <sheetData>
    <row r="1" ht="27.75" customHeight="1" s="87">
      <c r="A1" s="104" t="inlineStr">
        <is>
          <t>第2回審議会資料　MECE評価・レッドチーム評価</t>
        </is>
      </c>
    </row>
    <row r="3" ht="21.75" customHeight="1" s="87">
      <c r="A3" s="155" t="inlineStr">
        <is>
          <t>🔴 レッドチーム評価（弱点・反論）</t>
        </is>
      </c>
    </row>
    <row r="4" ht="18" customHeight="1" s="87">
      <c r="A4" s="156" t="inlineStr">
        <is>
          <t>No.</t>
        </is>
      </c>
      <c r="B4" s="157" t="inlineStr">
        <is>
          <t>分類</t>
        </is>
      </c>
      <c r="C4" s="157" t="inlineStr">
        <is>
          <t>弱点・反論内容</t>
        </is>
      </c>
      <c r="D4" s="157" t="inlineStr">
        <is>
          <t>対応策・補強の方向性</t>
        </is>
      </c>
    </row>
    <row r="5" ht="51.75" customHeight="1" s="87">
      <c r="A5" s="158" t="n">
        <v>1</v>
      </c>
      <c r="B5" s="121" t="inlineStr">
        <is>
          <t>データ根拠不足</t>
        </is>
      </c>
      <c r="C5" s="159" t="inlineStr">
        <is>
          <t>収支シミュレーション数値（R9:経費回収率60%等）の算出根拠が資料内に示されていない。委員から問われた際に対応できない。</t>
        </is>
      </c>
      <c r="D5" s="159" t="inlineStr">
        <is>
          <t>算定根拠シート（六戸町_公共_使用料改定.xlsx）を別添提供し、第2回審議時に説明できるよう準備する。</t>
        </is>
      </c>
    </row>
    <row r="6" ht="51.75" customHeight="1" s="87">
      <c r="A6" s="92" t="n">
        <v>2</v>
      </c>
      <c r="B6" s="160" t="inlineStr">
        <is>
          <t>パターン選定基準</t>
        </is>
      </c>
      <c r="C6" s="95" t="inlineStr">
        <is>
          <t>パターン②推奨の根拠が主観的。評価軸の重みづけが明示されていないため、「なぜ②か」への説明力が弱い。</t>
        </is>
      </c>
      <c r="D6" s="95" t="inlineStr">
        <is>
          <t>評価軸に重みを付けた定量的スコアリングを追加（少量世帯配慮×3点等）するか、委員に判断を委ねる形に修正する。</t>
        </is>
      </c>
    </row>
    <row r="7" ht="51.75" customHeight="1" s="87">
      <c r="A7" s="158" t="n">
        <v>3</v>
      </c>
      <c r="B7" s="117" t="inlineStr">
        <is>
          <t>3か年リスクの不足</t>
        </is>
      </c>
      <c r="C7" s="161" t="inlineStr">
        <is>
          <t>3か年改定のデメリットとして交付金リスクが記載されていない。R10まで経費回収率が目標未達の場合の交付金への影響が不明確。</t>
        </is>
      </c>
      <c r="D7" s="161" t="inlineStr">
        <is>
          <t>p12ロードマップに「交付金要件チェック」を明示済み。ただし3か年選択時のリスクをp10論点整理ページに追記する。</t>
        </is>
      </c>
    </row>
    <row r="8" ht="51.75" customHeight="1" s="87">
      <c r="A8" s="92" t="n">
        <v>4</v>
      </c>
      <c r="B8" s="160" t="inlineStr">
        <is>
          <t>農集と公共の同一扱い</t>
        </is>
      </c>
      <c r="C8" s="95" t="inlineStr">
        <is>
          <t>経費回収率が公共47%・農集35%と大きく異なるのに、同一パターン・同一改定率を適用する根拠が示されていない。</t>
        </is>
      </c>
      <c r="D8" s="109" t="inlineStr">
        <is>
          <t>2事業合算での使用料申告という実務上の制約を明記する。また農集の回収率改善目標を公共より低く設定することも検討。</t>
        </is>
      </c>
    </row>
    <row r="9" ht="51.75" customHeight="1" s="87">
      <c r="A9" s="158" t="n">
        <v>5</v>
      </c>
      <c r="B9" s="121" t="inlineStr">
        <is>
          <t>住民反対時のフロー不在</t>
        </is>
      </c>
      <c r="C9" s="159" t="inlineStr">
        <is>
          <t>住民説明会での反対意見が多かった場合の対応フローが資料にない。答申案策定への影響が不明。</t>
        </is>
      </c>
      <c r="D9" s="159" t="inlineStr">
        <is>
          <t>第3回審議会資料（答申案策定）の中でフィードバック処理フローを明示する計画とする。</t>
        </is>
      </c>
    </row>
    <row r="10" ht="51.75" customHeight="1" s="87">
      <c r="A10" s="92" t="n">
        <v>6</v>
      </c>
      <c r="B10" s="160" t="inlineStr">
        <is>
          <t>根拠数値の出典</t>
        </is>
      </c>
      <c r="C10" s="95" t="inlineStr">
        <is>
          <t>「六戸町平均月収比約0.08%」等の数値の出典が不明。委員が検証できない。</t>
        </is>
      </c>
      <c r="D10" s="95" t="inlineStr">
        <is>
          <t>総務省統計（家計調査）等の出典を明記するか、説明資料として補足メモを用意する。</t>
        </is>
      </c>
    </row>
    <row r="13" ht="21.75" customHeight="1" s="87">
      <c r="A13" s="162" t="inlineStr">
        <is>
          <t>📋 MECE評価（漏れ・重複・整合性）</t>
        </is>
      </c>
    </row>
    <row r="14" ht="18" customHeight="1" s="87">
      <c r="A14" s="163" t="inlineStr">
        <is>
          <t>観点</t>
        </is>
      </c>
      <c r="B14" s="163" t="inlineStr">
        <is>
          <t>現状の対応</t>
        </is>
      </c>
      <c r="C14" s="163" t="inlineStr">
        <is>
          <t>評価</t>
        </is>
      </c>
      <c r="D14" s="163" t="inlineStr">
        <is>
          <t>漏れ・重複・改善案</t>
        </is>
      </c>
    </row>
    <row r="15" ht="45.75" customHeight="1" s="87">
      <c r="A15" s="164" t="inlineStr">
        <is>
          <t>財政的妥当性（収支）</t>
        </is>
      </c>
      <c r="B15" s="165" t="inlineStr">
        <is>
          <t>p6/p7収支SIM・p15経常収支比率・p16経費回収率</t>
        </is>
      </c>
      <c r="C15" s="166" t="inlineStr">
        <is>
          <t>⚠重複気味</t>
        </is>
      </c>
      <c r="D15" s="165" t="inlineStr">
        <is>
          <t>p6とp15/p16に類似内容。p17の指標比較ページで統合表示を追加済み。</t>
        </is>
      </c>
    </row>
    <row r="16" ht="45.75" customHeight="1" s="87">
      <c r="A16" s="167" t="inlineStr">
        <is>
          <t>住民負担</t>
        </is>
      </c>
      <c r="B16" s="168" t="inlineStr">
        <is>
          <t>p8妥当性・p19影響額</t>
        </is>
      </c>
      <c r="C16" s="169" t="inlineStr">
        <is>
          <t>〇対応</t>
        </is>
      </c>
      <c r="D16" s="170" t="inlineStr">
        <is>
          <t>税込・税抜・差額を明示。20㎥標準世帯を強調。20以外の水量比較ページ（p20）追加済み。</t>
        </is>
      </c>
    </row>
    <row r="17" ht="45.75" customHeight="1" s="87">
      <c r="A17" s="167" t="inlineStr">
        <is>
          <t>法令・交付金要件</t>
        </is>
      </c>
      <c r="B17" s="168" t="inlineStr">
        <is>
          <t>p19交付金スライドのみ</t>
        </is>
      </c>
      <c r="C17" s="169" t="inlineStr">
        <is>
          <t>〇対応</t>
        </is>
      </c>
      <c r="D17" s="170" t="inlineStr">
        <is>
          <t>交付要件チェックリストをp13ロードマップにも追記済み。</t>
        </is>
      </c>
    </row>
    <row r="18" ht="45.75" customHeight="1" s="87">
      <c r="A18" s="171" t="inlineStr">
        <is>
          <t>リスク管理</t>
        </is>
      </c>
      <c r="B18" s="159" t="inlineStr">
        <is>
          <t>なし（完全欠如）</t>
        </is>
      </c>
      <c r="C18" s="172" t="inlineStr">
        <is>
          <t>✖欠如</t>
        </is>
      </c>
      <c r="D18" s="159" t="inlineStr">
        <is>
          <t>人口減少・目標未達シナリオ、改定後の再改定コスト等のリスク記載が完全に欠如。次回資料での追記推奨。</t>
        </is>
      </c>
    </row>
    <row r="19" ht="45.75" customHeight="1" s="87">
      <c r="A19" s="164" t="inlineStr">
        <is>
          <t>条例改正・議会手続</t>
        </is>
      </c>
      <c r="B19" s="165" t="inlineStr">
        <is>
          <t>p22住民説明会計画のみ</t>
        </is>
      </c>
      <c r="C19" s="166" t="inlineStr">
        <is>
          <t>△不足</t>
        </is>
      </c>
      <c r="D19" s="173" t="inlineStr">
        <is>
          <t>条例改正・告示の手続きスケジュールが未記載。p22に追記が望ましい。</t>
        </is>
      </c>
    </row>
    <row r="20" ht="45.75" customHeight="1" s="87">
      <c r="A20" s="171" t="inlineStr">
        <is>
          <t>意思決定フロー</t>
        </is>
      </c>
      <c r="B20" s="159" t="inlineStr">
        <is>
          <t>なし</t>
        </is>
      </c>
      <c r="C20" s="172" t="inlineStr">
        <is>
          <t>✖欠如</t>
        </is>
      </c>
      <c r="D20" s="159" t="inlineStr">
        <is>
          <t>誰が何をいつ決定するかの意思決定フローが不在。答申から条例改正までの責任者・期日を明示する必要あり。</t>
        </is>
      </c>
    </row>
    <row r="21" ht="45.75" customHeight="1" s="87">
      <c r="A21" s="167" t="inlineStr">
        <is>
          <t>農集・公共の差異</t>
        </is>
      </c>
      <c r="B21" s="170" t="inlineStr">
        <is>
          <t>各指標で並列記載</t>
        </is>
      </c>
      <c r="C21" s="169" t="inlineStr">
        <is>
          <t>〇対応</t>
        </is>
      </c>
      <c r="D21" s="170" t="inlineStr">
        <is>
          <t>両事業を2列で並記。ただし同一パターン適用の根拠説明が不足（レッドチーム#4参照）。</t>
        </is>
      </c>
    </row>
    <row r="22" ht="45.75" customHeight="1" s="87">
      <c r="A22" s="167" t="inlineStr">
        <is>
          <t>段階改定の選択肢</t>
        </is>
      </c>
      <c r="B22" s="168" t="inlineStr">
        <is>
          <t>p10論点・p11〜12単価比較</t>
        </is>
      </c>
      <c r="C22" s="169" t="inlineStr">
        <is>
          <t>〇対応</t>
        </is>
      </c>
      <c r="D22" s="168" t="inlineStr">
        <is>
          <t>2か年/3か年の比較は整理済み。推奨案の明示はせず委員の判断を仰ぐ形。</t>
        </is>
      </c>
    </row>
    <row r="24" ht="60" customHeight="1" s="87">
      <c r="A24" s="174" t="inlineStr">
        <is>
          <t>【総合評価】 説明資料として読みやすく整理されているが、審議会資料としてはリスク管理・意思決定フロー・評価軸の重みづけが不足。p17（指標比較）・p20（月額比較）の新規追加により委員の判断材料は改善。次回（第3回）に向けてリスクシナリオと答申フローの追加を推奨。</t>
        </is>
      </c>
    </row>
  </sheetData>
  <mergeCells count="4">
    <mergeCell ref="A1:D1"/>
    <mergeCell ref="A3:D3"/>
    <mergeCell ref="A24:D24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style="87" min="1" max="1"/>
    <col width="12" customWidth="1" style="87" min="2" max="2"/>
    <col width="12" customWidth="1" style="87" min="3" max="3"/>
    <col width="12" customWidth="1" style="87" min="4" max="4"/>
    <col width="12" customWidth="1" style="87" min="5" max="5"/>
    <col width="12" customWidth="1" style="87" min="6" max="6"/>
    <col width="12" customWidth="1" style="87" min="7" max="7"/>
    <col width="12" customWidth="1" style="87" min="8" max="8"/>
    <col width="12" customWidth="1" style="87" min="9" max="9"/>
    <col width="12" customWidth="1" style="87" min="10" max="10"/>
    <col width="12" customWidth="1" style="87" min="11" max="11"/>
  </cols>
  <sheetData>
    <row r="1">
      <c r="A1" s="175" t="inlineStr">
        <is>
          <t>経費回収率の分母（汚水処理費）の算定　― 維持管理費ベース ―</t>
        </is>
      </c>
    </row>
    <row r="2">
      <c r="A2" s="176" t="inlineStr">
        <is>
          <t>算定式：汚水処理費（維持管理費分）＝ 経常費用 − 減価償却費 − 支払利息 − その他営業外費用</t>
        </is>
      </c>
    </row>
    <row r="3">
      <c r="A3" s="176" t="inlineStr">
        <is>
          <t xml:space="preserve">　　　　資本費 ＝ 減価償却費 − 長期前受金戻入 ＋ 支払利息　…　分流式下水道等に要する経費（一般会計繰入金）でカバーされるため、分母から全額控除</t>
        </is>
      </c>
    </row>
    <row r="4">
      <c r="A4" s="176" t="inlineStr">
        <is>
          <t>出典：六戸町_公共／農集_使用料改定.xlsx「財政計画（ベース）」（社人研人口推計・現行料金ベース）</t>
        </is>
      </c>
    </row>
    <row r="6">
      <c r="A6" s="177" t="inlineStr">
        <is>
          <t>■ 公共下水道事業（単位：千円）</t>
        </is>
      </c>
    </row>
    <row r="7">
      <c r="A7" s="178" t="inlineStr">
        <is>
          <t>項目</t>
        </is>
      </c>
      <c r="B7" s="179" t="inlineStr">
        <is>
          <t>令和7年度</t>
        </is>
      </c>
      <c r="C7" s="179" t="inlineStr">
        <is>
          <t>令和8年度</t>
        </is>
      </c>
      <c r="D7" s="179" t="inlineStr">
        <is>
          <t>令和9年度</t>
        </is>
      </c>
      <c r="E7" s="179" t="inlineStr">
        <is>
          <t>令和10年度</t>
        </is>
      </c>
      <c r="F7" s="179" t="inlineStr">
        <is>
          <t>令和11年度</t>
        </is>
      </c>
      <c r="G7" s="179" t="inlineStr">
        <is>
          <t>令和12年度</t>
        </is>
      </c>
      <c r="H7" s="179" t="inlineStr">
        <is>
          <t>令和13年度</t>
        </is>
      </c>
      <c r="I7" s="179" t="inlineStr">
        <is>
          <t>令和14年度</t>
        </is>
      </c>
      <c r="J7" s="179" t="inlineStr">
        <is>
          <t>令和15年度</t>
        </is>
      </c>
      <c r="K7" s="179" t="inlineStr">
        <is>
          <t>令和16年度</t>
        </is>
      </c>
    </row>
    <row r="8">
      <c r="A8" s="180" t="inlineStr">
        <is>
          <t>経常費用（経常支出D）</t>
        </is>
      </c>
      <c r="B8" s="181" t="n">
        <v>545061</v>
      </c>
      <c r="C8" s="181" t="n">
        <v>559137</v>
      </c>
      <c r="D8" s="181" t="n">
        <v>467268</v>
      </c>
      <c r="E8" s="181" t="n">
        <v>395268</v>
      </c>
      <c r="F8" s="181" t="n">
        <v>384323</v>
      </c>
      <c r="G8" s="181" t="n">
        <v>384628</v>
      </c>
      <c r="H8" s="181" t="n">
        <v>383960</v>
      </c>
      <c r="I8" s="181" t="n">
        <v>385390</v>
      </c>
      <c r="J8" s="181" t="n">
        <v>384579</v>
      </c>
      <c r="K8" s="181" t="n">
        <v>382458</v>
      </c>
    </row>
    <row r="9">
      <c r="A9" s="182" t="inlineStr">
        <is>
          <t xml:space="preserve">　− 減価償却費</t>
        </is>
      </c>
      <c r="B9" s="183" t="n">
        <v>352541</v>
      </c>
      <c r="C9" s="183" t="n">
        <v>357757</v>
      </c>
      <c r="D9" s="183" t="n">
        <v>268866</v>
      </c>
      <c r="E9" s="183" t="n">
        <v>199334</v>
      </c>
      <c r="F9" s="183" t="n">
        <v>187447</v>
      </c>
      <c r="G9" s="183" t="n">
        <v>187688</v>
      </c>
      <c r="H9" s="183" t="n">
        <v>187994</v>
      </c>
      <c r="I9" s="183" t="n">
        <v>189265</v>
      </c>
      <c r="J9" s="183" t="n">
        <v>188456</v>
      </c>
      <c r="K9" s="183" t="n">
        <v>186397</v>
      </c>
    </row>
    <row r="10">
      <c r="A10" s="180" t="inlineStr">
        <is>
          <t xml:space="preserve">　− 支払利息</t>
        </is>
      </c>
      <c r="B10" s="181" t="n">
        <v>22189</v>
      </c>
      <c r="C10" s="181" t="n">
        <v>26352</v>
      </c>
      <c r="D10" s="181" t="n">
        <v>19428</v>
      </c>
      <c r="E10" s="181" t="n">
        <v>19542</v>
      </c>
      <c r="F10" s="181" t="n">
        <v>18337</v>
      </c>
      <c r="G10" s="181" t="n">
        <v>17272</v>
      </c>
      <c r="H10" s="181" t="n">
        <v>16037</v>
      </c>
      <c r="I10" s="181" t="n">
        <v>15018</v>
      </c>
      <c r="J10" s="181" t="n">
        <v>14145</v>
      </c>
      <c r="K10" s="181" t="n">
        <v>13309</v>
      </c>
    </row>
    <row r="11">
      <c r="A11" s="182" t="inlineStr">
        <is>
          <t xml:space="preserve">　− その他営業外費用</t>
        </is>
      </c>
      <c r="B11" s="183" t="n">
        <v>2000</v>
      </c>
      <c r="C11" s="183" t="n">
        <v>2000</v>
      </c>
      <c r="D11" s="183" t="n">
        <v>2000</v>
      </c>
      <c r="E11" s="183" t="n">
        <v>2000</v>
      </c>
      <c r="F11" s="183" t="n">
        <v>2000</v>
      </c>
      <c r="G11" s="183" t="n">
        <v>2000</v>
      </c>
      <c r="H11" s="183" t="n">
        <v>2000</v>
      </c>
      <c r="I11" s="183" t="n">
        <v>2000</v>
      </c>
      <c r="J11" s="183" t="n">
        <v>2000</v>
      </c>
      <c r="K11" s="183" t="n">
        <v>2000</v>
      </c>
    </row>
    <row r="12">
      <c r="A12" s="184" t="inlineStr">
        <is>
          <t>▶ 汚水処理費（維持管理費分）</t>
        </is>
      </c>
      <c r="B12" s="185" t="n">
        <v>168331</v>
      </c>
      <c r="C12" s="185" t="n">
        <v>173028</v>
      </c>
      <c r="D12" s="185" t="n">
        <v>176974</v>
      </c>
      <c r="E12" s="185" t="n">
        <v>174392</v>
      </c>
      <c r="F12" s="185" t="n">
        <v>176539</v>
      </c>
      <c r="G12" s="185" t="n">
        <v>177668</v>
      </c>
      <c r="H12" s="185" t="n">
        <v>177929</v>
      </c>
      <c r="I12" s="185" t="n">
        <v>179107</v>
      </c>
      <c r="J12" s="185" t="n">
        <v>179978</v>
      </c>
      <c r="K12" s="185" t="n">
        <v>180752</v>
      </c>
    </row>
    <row r="13">
      <c r="A13" s="182" t="inlineStr">
        <is>
          <t xml:space="preserve">　【内訳】職員給与費</t>
        </is>
      </c>
      <c r="B13" s="183" t="n">
        <v>5936</v>
      </c>
      <c r="C13" s="183" t="n">
        <v>5788</v>
      </c>
      <c r="D13" s="183" t="n">
        <v>5793</v>
      </c>
      <c r="E13" s="183" t="n">
        <v>5839</v>
      </c>
      <c r="F13" s="183" t="n">
        <v>5806</v>
      </c>
      <c r="G13" s="183" t="n">
        <v>5813</v>
      </c>
      <c r="H13" s="183" t="n">
        <v>5819</v>
      </c>
      <c r="I13" s="183" t="n">
        <v>5813</v>
      </c>
      <c r="J13" s="183" t="n">
        <v>5815</v>
      </c>
      <c r="K13" s="183" t="n">
        <v>5816</v>
      </c>
    </row>
    <row r="14">
      <c r="A14" s="180" t="inlineStr">
        <is>
          <t xml:space="preserve">　【内訳】動力費</t>
        </is>
      </c>
      <c r="B14" s="181" t="n">
        <v>4975</v>
      </c>
      <c r="C14" s="181" t="n">
        <v>4724</v>
      </c>
      <c r="D14" s="181" t="n">
        <v>4898</v>
      </c>
      <c r="E14" s="181" t="n">
        <v>4859</v>
      </c>
      <c r="F14" s="181" t="n">
        <v>4927</v>
      </c>
      <c r="G14" s="181" t="n">
        <v>4942</v>
      </c>
      <c r="H14" s="181" t="n">
        <v>4984</v>
      </c>
      <c r="I14" s="181" t="n">
        <v>5013</v>
      </c>
      <c r="J14" s="181" t="n">
        <v>5048</v>
      </c>
      <c r="K14" s="181" t="n">
        <v>5081</v>
      </c>
    </row>
    <row r="15">
      <c r="A15" s="182" t="inlineStr">
        <is>
          <t xml:space="preserve">　【内訳】修繕費</t>
        </is>
      </c>
      <c r="B15" s="183" t="n">
        <v>912</v>
      </c>
      <c r="C15" s="183" t="n">
        <v>983</v>
      </c>
      <c r="D15" s="183" t="n">
        <v>1223</v>
      </c>
      <c r="E15" s="183" t="n">
        <v>1050</v>
      </c>
      <c r="F15" s="183" t="n">
        <v>1096</v>
      </c>
      <c r="G15" s="183" t="n">
        <v>1134</v>
      </c>
      <c r="H15" s="183" t="n">
        <v>1104</v>
      </c>
      <c r="I15" s="183" t="n">
        <v>1122</v>
      </c>
      <c r="J15" s="183" t="n">
        <v>1131</v>
      </c>
      <c r="K15" s="183" t="n">
        <v>1131</v>
      </c>
    </row>
    <row r="16">
      <c r="A16" s="180" t="inlineStr">
        <is>
          <t xml:space="preserve">　【内訳】材料費</t>
        </is>
      </c>
      <c r="B16" s="181" t="n">
        <v>1228</v>
      </c>
      <c r="C16" s="181" t="n">
        <v>1197</v>
      </c>
      <c r="D16" s="181" t="n">
        <v>1206</v>
      </c>
      <c r="E16" s="181" t="n">
        <v>1222</v>
      </c>
      <c r="F16" s="181" t="n">
        <v>1220</v>
      </c>
      <c r="G16" s="181" t="n">
        <v>1228</v>
      </c>
      <c r="H16" s="181" t="n">
        <v>1236</v>
      </c>
      <c r="I16" s="181" t="n">
        <v>1240</v>
      </c>
      <c r="J16" s="181" t="n">
        <v>1247</v>
      </c>
      <c r="K16" s="181" t="n">
        <v>1253</v>
      </c>
    </row>
    <row r="17">
      <c r="A17" s="182" t="inlineStr">
        <is>
          <t xml:space="preserve">　【内訳】その他（主に委託料）</t>
        </is>
      </c>
      <c r="B17" s="183" t="n">
        <v>155280</v>
      </c>
      <c r="C17" s="183" t="n">
        <v>160337</v>
      </c>
      <c r="D17" s="183" t="n">
        <v>163854</v>
      </c>
      <c r="E17" s="183" t="n">
        <v>161422</v>
      </c>
      <c r="F17" s="183" t="n">
        <v>163490</v>
      </c>
      <c r="G17" s="183" t="n">
        <v>164551</v>
      </c>
      <c r="H17" s="183" t="n">
        <v>164786</v>
      </c>
      <c r="I17" s="183" t="n">
        <v>165918</v>
      </c>
      <c r="J17" s="183" t="n">
        <v>166736</v>
      </c>
      <c r="K17" s="183" t="n">
        <v>167472</v>
      </c>
    </row>
    <row r="18">
      <c r="A18" s="180" t="inlineStr">
        <is>
          <t>（参考）長期前受金戻入</t>
        </is>
      </c>
      <c r="B18" s="181" t="n">
        <v>309898</v>
      </c>
      <c r="C18" s="181" t="n">
        <v>311906</v>
      </c>
      <c r="D18" s="181" t="n">
        <v>208677</v>
      </c>
      <c r="E18" s="181" t="n">
        <v>125052</v>
      </c>
      <c r="F18" s="181" t="n">
        <v>109497</v>
      </c>
      <c r="G18" s="181" t="n">
        <v>109765</v>
      </c>
      <c r="H18" s="181" t="n">
        <v>109981</v>
      </c>
      <c r="I18" s="181" t="n">
        <v>110887</v>
      </c>
      <c r="J18" s="181" t="n">
        <v>110446</v>
      </c>
      <c r="K18" s="181" t="n">
        <v>109452</v>
      </c>
    </row>
    <row r="19">
      <c r="A19" s="182" t="inlineStr">
        <is>
          <t>（参考）資本費</t>
        </is>
      </c>
      <c r="B19" s="183" t="n">
        <v>64832</v>
      </c>
      <c r="C19" s="183" t="n">
        <v>72203</v>
      </c>
      <c r="D19" s="183" t="n">
        <v>79617</v>
      </c>
      <c r="E19" s="183" t="n">
        <v>93824</v>
      </c>
      <c r="F19" s="183" t="n">
        <v>96287</v>
      </c>
      <c r="G19" s="183" t="n">
        <v>95195</v>
      </c>
      <c r="H19" s="183" t="n">
        <v>94050</v>
      </c>
      <c r="I19" s="183" t="n">
        <v>93396</v>
      </c>
      <c r="J19" s="183" t="n">
        <v>92155</v>
      </c>
      <c r="K19" s="183" t="n">
        <v>90254</v>
      </c>
    </row>
    <row r="20">
      <c r="A20" s="180" t="inlineStr">
        <is>
          <t>（参考）一般会計繰入金（補助金）</t>
        </is>
      </c>
      <c r="B20" s="181" t="n">
        <v>151133</v>
      </c>
      <c r="C20" s="181" t="n">
        <v>151437</v>
      </c>
      <c r="D20" s="181" t="n">
        <v>169454</v>
      </c>
      <c r="E20" s="181" t="n">
        <v>183394</v>
      </c>
      <c r="F20" s="181" t="n">
        <v>186588</v>
      </c>
      <c r="G20" s="181" t="n">
        <v>186657</v>
      </c>
      <c r="H20" s="181" t="n">
        <v>186749</v>
      </c>
      <c r="I20" s="181" t="n">
        <v>186849</v>
      </c>
      <c r="J20" s="181" t="n">
        <v>187381</v>
      </c>
      <c r="K20" s="181" t="n">
        <v>188114</v>
      </c>
    </row>
    <row r="21">
      <c r="A21" s="182" t="inlineStr">
        <is>
          <t>（参考）繰入金 ÷ 資本費（倍）</t>
        </is>
      </c>
      <c r="B21" s="186" t="n">
        <v>2.331148198420533</v>
      </c>
      <c r="C21" s="186" t="n">
        <v>2.097378225281498</v>
      </c>
      <c r="D21" s="186" t="n">
        <v>2.128364545260435</v>
      </c>
      <c r="E21" s="186" t="n">
        <v>1.954659788540245</v>
      </c>
      <c r="F21" s="186" t="n">
        <v>1.937831690674754</v>
      </c>
      <c r="G21" s="186" t="n">
        <v>1.960785755554388</v>
      </c>
      <c r="H21" s="186" t="n">
        <v>1.985635300372143</v>
      </c>
      <c r="I21" s="186" t="n">
        <v>2.000610304509829</v>
      </c>
      <c r="J21" s="186" t="n">
        <v>2.033324290597363</v>
      </c>
      <c r="K21" s="186" t="n">
        <v>2.084273273206728</v>
      </c>
    </row>
    <row r="22">
      <c r="A22" s="180" t="inlineStr">
        <is>
          <t>使用料収入（現行・改定なし）</t>
        </is>
      </c>
      <c r="B22" s="181" t="n">
        <v>57895</v>
      </c>
      <c r="C22" s="181" t="n">
        <v>57487</v>
      </c>
      <c r="D22" s="181" t="n">
        <v>57079</v>
      </c>
      <c r="E22" s="181" t="n">
        <v>56656</v>
      </c>
      <c r="F22" s="181" t="n">
        <v>56248</v>
      </c>
      <c r="G22" s="181" t="n">
        <v>55847</v>
      </c>
      <c r="H22" s="181" t="n">
        <v>55388</v>
      </c>
      <c r="I22" s="181" t="n">
        <v>54930</v>
      </c>
      <c r="J22" s="181" t="n">
        <v>54478</v>
      </c>
      <c r="K22" s="181" t="n">
        <v>54014</v>
      </c>
    </row>
    <row r="23">
      <c r="A23" s="184" t="inlineStr">
        <is>
          <t>経費回収率（現行・改定なし）</t>
        </is>
      </c>
      <c r="B23" s="187" t="n">
        <v>0.3439</v>
      </c>
      <c r="C23" s="187" t="n">
        <v>0.3322</v>
      </c>
      <c r="D23" s="187" t="n">
        <v>0.3225</v>
      </c>
      <c r="E23" s="187" t="n">
        <v>0.3249</v>
      </c>
      <c r="F23" s="187" t="n">
        <v>0.3186</v>
      </c>
      <c r="G23" s="187" t="n">
        <v>0.3143</v>
      </c>
      <c r="H23" s="187" t="n">
        <v>0.3113</v>
      </c>
      <c r="I23" s="187" t="n">
        <v>0.3067</v>
      </c>
      <c r="J23" s="187" t="n">
        <v>0.3027</v>
      </c>
      <c r="K23" s="187" t="n">
        <v>0.2988</v>
      </c>
    </row>
    <row r="25">
      <c r="A25" s="177" t="inlineStr">
        <is>
          <t>■ 農業集落排水事業（単位：千円）</t>
        </is>
      </c>
    </row>
    <row r="26">
      <c r="A26" s="178" t="inlineStr">
        <is>
          <t>項目</t>
        </is>
      </c>
      <c r="B26" s="179" t="inlineStr">
        <is>
          <t>令和7年度</t>
        </is>
      </c>
      <c r="C26" s="179" t="inlineStr">
        <is>
          <t>令和8年度</t>
        </is>
      </c>
      <c r="D26" s="179" t="inlineStr">
        <is>
          <t>令和9年度</t>
        </is>
      </c>
      <c r="E26" s="179" t="inlineStr">
        <is>
          <t>令和10年度</t>
        </is>
      </c>
      <c r="F26" s="179" t="inlineStr">
        <is>
          <t>令和11年度</t>
        </is>
      </c>
      <c r="G26" s="179" t="inlineStr">
        <is>
          <t>令和12年度</t>
        </is>
      </c>
      <c r="H26" s="179" t="inlineStr">
        <is>
          <t>令和13年度</t>
        </is>
      </c>
      <c r="I26" s="179" t="inlineStr">
        <is>
          <t>令和14年度</t>
        </is>
      </c>
      <c r="J26" s="179" t="inlineStr">
        <is>
          <t>令和15年度</t>
        </is>
      </c>
      <c r="K26" s="179" t="inlineStr">
        <is>
          <t>令和16年度</t>
        </is>
      </c>
    </row>
    <row r="27">
      <c r="A27" s="180" t="inlineStr">
        <is>
          <t>経常費用（経常支出D）</t>
        </is>
      </c>
      <c r="B27" s="181" t="n">
        <v>110231</v>
      </c>
      <c r="C27" s="181" t="n">
        <v>108706</v>
      </c>
      <c r="D27" s="181" t="n">
        <v>107821</v>
      </c>
      <c r="E27" s="181" t="n">
        <v>105429</v>
      </c>
      <c r="F27" s="181" t="n">
        <v>105392</v>
      </c>
      <c r="G27" s="181" t="n">
        <v>107607</v>
      </c>
      <c r="H27" s="181" t="n">
        <v>109016</v>
      </c>
      <c r="I27" s="181" t="n">
        <v>109091</v>
      </c>
      <c r="J27" s="181" t="n">
        <v>109265</v>
      </c>
      <c r="K27" s="181" t="n">
        <v>109387</v>
      </c>
    </row>
    <row r="28">
      <c r="A28" s="182" t="inlineStr">
        <is>
          <t xml:space="preserve">　− 減価償却費</t>
        </is>
      </c>
      <c r="B28" s="183" t="n">
        <v>67729</v>
      </c>
      <c r="C28" s="183" t="n">
        <v>67746</v>
      </c>
      <c r="D28" s="183" t="n">
        <v>66728</v>
      </c>
      <c r="E28" s="183" t="n">
        <v>65879</v>
      </c>
      <c r="F28" s="183" t="n">
        <v>65467</v>
      </c>
      <c r="G28" s="183" t="n">
        <v>67068</v>
      </c>
      <c r="H28" s="183" t="n">
        <v>68562</v>
      </c>
      <c r="I28" s="183" t="n">
        <v>68379</v>
      </c>
      <c r="J28" s="183" t="n">
        <v>68331</v>
      </c>
      <c r="K28" s="183" t="n">
        <v>68298</v>
      </c>
    </row>
    <row r="29">
      <c r="A29" s="180" t="inlineStr">
        <is>
          <t xml:space="preserve">　− 支払利息</t>
        </is>
      </c>
      <c r="B29" s="181" t="n">
        <v>4793</v>
      </c>
      <c r="C29" s="181" t="n">
        <v>2946</v>
      </c>
      <c r="D29" s="181" t="n">
        <v>1570</v>
      </c>
      <c r="E29" s="181" t="n">
        <v>714</v>
      </c>
      <c r="F29" s="181" t="n">
        <v>736</v>
      </c>
      <c r="G29" s="181" t="n">
        <v>941</v>
      </c>
      <c r="H29" s="181" t="n">
        <v>837</v>
      </c>
      <c r="I29" s="181" t="n">
        <v>828</v>
      </c>
      <c r="J29" s="181" t="n">
        <v>819</v>
      </c>
      <c r="K29" s="181" t="n">
        <v>799</v>
      </c>
    </row>
    <row r="30">
      <c r="A30" s="182" t="inlineStr">
        <is>
          <t xml:space="preserve">　− その他営業外費用</t>
        </is>
      </c>
      <c r="B30" s="183" t="n">
        <v>129</v>
      </c>
      <c r="C30" s="183" t="n">
        <v>172</v>
      </c>
      <c r="D30" s="183" t="n">
        <v>230</v>
      </c>
      <c r="E30" s="183" t="n">
        <v>177</v>
      </c>
      <c r="F30" s="183" t="n">
        <v>193</v>
      </c>
      <c r="G30" s="183" t="n">
        <v>200</v>
      </c>
      <c r="H30" s="183" t="n">
        <v>190</v>
      </c>
      <c r="I30" s="183" t="n">
        <v>195</v>
      </c>
      <c r="J30" s="183" t="n">
        <v>195</v>
      </c>
      <c r="K30" s="183" t="n">
        <v>193</v>
      </c>
    </row>
    <row r="31">
      <c r="A31" s="184" t="inlineStr">
        <is>
          <t>▶ 汚水処理費（維持管理費分）</t>
        </is>
      </c>
      <c r="B31" s="185" t="n">
        <v>37580</v>
      </c>
      <c r="C31" s="185" t="n">
        <v>37842</v>
      </c>
      <c r="D31" s="185" t="n">
        <v>39293</v>
      </c>
      <c r="E31" s="185" t="n">
        <v>38659</v>
      </c>
      <c r="F31" s="185" t="n">
        <v>38996</v>
      </c>
      <c r="G31" s="185" t="n">
        <v>39398</v>
      </c>
      <c r="H31" s="185" t="n">
        <v>39427</v>
      </c>
      <c r="I31" s="185" t="n">
        <v>39689</v>
      </c>
      <c r="J31" s="185" t="n">
        <v>39920</v>
      </c>
      <c r="K31" s="185" t="n">
        <v>40097</v>
      </c>
    </row>
    <row r="32">
      <c r="A32" s="182" t="inlineStr">
        <is>
          <t xml:space="preserve">　【内訳】職員給与費</t>
        </is>
      </c>
      <c r="B32" s="183" t="n">
        <v>0</v>
      </c>
      <c r="C32" s="183" t="n">
        <v>0</v>
      </c>
      <c r="D32" s="183" t="n">
        <v>0</v>
      </c>
      <c r="E32" s="183" t="n">
        <v>0</v>
      </c>
      <c r="F32" s="183" t="n">
        <v>0</v>
      </c>
      <c r="G32" s="183" t="n">
        <v>0</v>
      </c>
      <c r="H32" s="183" t="n">
        <v>0</v>
      </c>
      <c r="I32" s="183" t="n">
        <v>0</v>
      </c>
      <c r="J32" s="183" t="n">
        <v>0</v>
      </c>
      <c r="K32" s="183" t="n">
        <v>0</v>
      </c>
    </row>
    <row r="33">
      <c r="A33" s="180" t="inlineStr">
        <is>
          <t xml:space="preserve">　【内訳】動力費</t>
        </is>
      </c>
      <c r="B33" s="181" t="n">
        <v>6082</v>
      </c>
      <c r="C33" s="181" t="n">
        <v>6192</v>
      </c>
      <c r="D33" s="181" t="n">
        <v>6198</v>
      </c>
      <c r="E33" s="181" t="n">
        <v>6257</v>
      </c>
      <c r="F33" s="181" t="n">
        <v>6290</v>
      </c>
      <c r="G33" s="181" t="n">
        <v>6336</v>
      </c>
      <c r="H33" s="181" t="n">
        <v>6376</v>
      </c>
      <c r="I33" s="181" t="n">
        <v>6420</v>
      </c>
      <c r="J33" s="181" t="n">
        <v>6462</v>
      </c>
      <c r="K33" s="181" t="n">
        <v>6506</v>
      </c>
    </row>
    <row r="34">
      <c r="A34" s="182" t="inlineStr">
        <is>
          <t xml:space="preserve">　【内訳】修繕費</t>
        </is>
      </c>
      <c r="B34" s="183" t="n">
        <v>195</v>
      </c>
      <c r="C34" s="183" t="n">
        <v>256</v>
      </c>
      <c r="D34" s="183" t="n">
        <v>311</v>
      </c>
      <c r="E34" s="183" t="n">
        <v>257</v>
      </c>
      <c r="F34" s="183" t="n">
        <v>277</v>
      </c>
      <c r="G34" s="183" t="n">
        <v>284</v>
      </c>
      <c r="H34" s="183" t="n">
        <v>275</v>
      </c>
      <c r="I34" s="183" t="n">
        <v>282</v>
      </c>
      <c r="J34" s="183" t="n">
        <v>283</v>
      </c>
      <c r="K34" s="183" t="n">
        <v>283</v>
      </c>
    </row>
    <row r="35">
      <c r="A35" s="180" t="inlineStr">
        <is>
          <t xml:space="preserve">　【内訳】材料費</t>
        </is>
      </c>
      <c r="B35" s="181" t="n">
        <v>0</v>
      </c>
      <c r="C35" s="181" t="n">
        <v>0</v>
      </c>
      <c r="D35" s="181" t="n">
        <v>0</v>
      </c>
      <c r="E35" s="181" t="n">
        <v>0</v>
      </c>
      <c r="F35" s="181" t="n">
        <v>0</v>
      </c>
      <c r="G35" s="181" t="n">
        <v>0</v>
      </c>
      <c r="H35" s="181" t="n">
        <v>0</v>
      </c>
      <c r="I35" s="181" t="n">
        <v>0</v>
      </c>
      <c r="J35" s="181" t="n">
        <v>0</v>
      </c>
      <c r="K35" s="181" t="n">
        <v>0</v>
      </c>
    </row>
    <row r="36">
      <c r="A36" s="182" t="inlineStr">
        <is>
          <t xml:space="preserve">　【内訳】その他（主に委託料）</t>
        </is>
      </c>
      <c r="B36" s="183" t="n">
        <v>31303</v>
      </c>
      <c r="C36" s="183" t="n">
        <v>31394</v>
      </c>
      <c r="D36" s="183" t="n">
        <v>32784</v>
      </c>
      <c r="E36" s="183" t="n">
        <v>32145</v>
      </c>
      <c r="F36" s="183" t="n">
        <v>32429</v>
      </c>
      <c r="G36" s="183" t="n">
        <v>32777</v>
      </c>
      <c r="H36" s="183" t="n">
        <v>32775</v>
      </c>
      <c r="I36" s="183" t="n">
        <v>32987</v>
      </c>
      <c r="J36" s="183" t="n">
        <v>33175</v>
      </c>
      <c r="K36" s="183" t="n">
        <v>33309</v>
      </c>
    </row>
    <row r="37">
      <c r="A37" s="180" t="inlineStr">
        <is>
          <t>（参考）長期前受金戻入</t>
        </is>
      </c>
      <c r="B37" s="181" t="n">
        <v>55286</v>
      </c>
      <c r="C37" s="181" t="n">
        <v>55286</v>
      </c>
      <c r="D37" s="181" t="n">
        <v>54046</v>
      </c>
      <c r="E37" s="181" t="n">
        <v>53497</v>
      </c>
      <c r="F37" s="181" t="n">
        <v>53339</v>
      </c>
      <c r="G37" s="181" t="n">
        <v>53942</v>
      </c>
      <c r="H37" s="181" t="n">
        <v>54455</v>
      </c>
      <c r="I37" s="181" t="n">
        <v>54328</v>
      </c>
      <c r="J37" s="181" t="n">
        <v>54265</v>
      </c>
      <c r="K37" s="181" t="n">
        <v>54226</v>
      </c>
    </row>
    <row r="38">
      <c r="A38" s="182" t="inlineStr">
        <is>
          <t>（参考）資本費</t>
        </is>
      </c>
      <c r="B38" s="183" t="n">
        <v>17236</v>
      </c>
      <c r="C38" s="183" t="n">
        <v>15406</v>
      </c>
      <c r="D38" s="183" t="n">
        <v>14252</v>
      </c>
      <c r="E38" s="183" t="n">
        <v>13096</v>
      </c>
      <c r="F38" s="183" t="n">
        <v>12864</v>
      </c>
      <c r="G38" s="183" t="n">
        <v>14067</v>
      </c>
      <c r="H38" s="183" t="n">
        <v>14944</v>
      </c>
      <c r="I38" s="183" t="n">
        <v>14879</v>
      </c>
      <c r="J38" s="183" t="n">
        <v>14885</v>
      </c>
      <c r="K38" s="183" t="n">
        <v>14871</v>
      </c>
    </row>
    <row r="39">
      <c r="A39" s="180" t="inlineStr">
        <is>
          <t>（参考）一般会計繰入金（補助金）</t>
        </is>
      </c>
      <c r="B39" s="181" t="n">
        <v>19236</v>
      </c>
      <c r="C39" s="181" t="n">
        <v>17406</v>
      </c>
      <c r="D39" s="181" t="n">
        <v>16252</v>
      </c>
      <c r="E39" s="181" t="n">
        <v>15096</v>
      </c>
      <c r="F39" s="181" t="n">
        <v>14864</v>
      </c>
      <c r="G39" s="181" t="n">
        <v>16067</v>
      </c>
      <c r="H39" s="181" t="n">
        <v>16944</v>
      </c>
      <c r="I39" s="181" t="n">
        <v>16879</v>
      </c>
      <c r="J39" s="181" t="n">
        <v>16885</v>
      </c>
      <c r="K39" s="181" t="n">
        <v>16871</v>
      </c>
    </row>
    <row r="40">
      <c r="A40" s="182" t="inlineStr">
        <is>
          <t>（参考）繰入金 ÷ 資本費（倍）</t>
        </is>
      </c>
      <c r="B40" s="186" t="n">
        <v>1.116036203295428</v>
      </c>
      <c r="C40" s="186" t="n">
        <v>1.129819550824354</v>
      </c>
      <c r="D40" s="186" t="n">
        <v>1.140331181588549</v>
      </c>
      <c r="E40" s="186" t="n">
        <v>1.15271838729383</v>
      </c>
      <c r="F40" s="186" t="n">
        <v>1.15547263681592</v>
      </c>
      <c r="G40" s="186" t="n">
        <v>1.142176725670008</v>
      </c>
      <c r="H40" s="186" t="n">
        <v>1.133832976445396</v>
      </c>
      <c r="I40" s="186" t="n">
        <v>1.13441763559379</v>
      </c>
      <c r="J40" s="186" t="n">
        <v>1.134363453140746</v>
      </c>
      <c r="K40" s="186" t="n">
        <v>1.134489946876471</v>
      </c>
    </row>
    <row r="41">
      <c r="A41" s="180" t="inlineStr">
        <is>
          <t>使用料収入（現行・改定なし）</t>
        </is>
      </c>
      <c r="B41" s="181" t="n">
        <v>14976</v>
      </c>
      <c r="C41" s="181" t="n">
        <v>14859</v>
      </c>
      <c r="D41" s="181" t="n">
        <v>14766</v>
      </c>
      <c r="E41" s="181" t="n">
        <v>14649</v>
      </c>
      <c r="F41" s="181" t="n">
        <v>14550</v>
      </c>
      <c r="G41" s="181" t="n">
        <v>14449</v>
      </c>
      <c r="H41" s="181" t="n">
        <v>14316</v>
      </c>
      <c r="I41" s="181" t="n">
        <v>14208</v>
      </c>
      <c r="J41" s="181" t="n">
        <v>14091</v>
      </c>
      <c r="K41" s="181" t="n">
        <v>13964</v>
      </c>
    </row>
    <row r="42">
      <c r="A42" s="184" t="inlineStr">
        <is>
          <t>経費回収率（現行・改定なし）</t>
        </is>
      </c>
      <c r="B42" s="187" t="n">
        <v>0.3985</v>
      </c>
      <c r="C42" s="187" t="n">
        <v>0.3927</v>
      </c>
      <c r="D42" s="187" t="n">
        <v>0.3758</v>
      </c>
      <c r="E42" s="187" t="n">
        <v>0.3789</v>
      </c>
      <c r="F42" s="187" t="n">
        <v>0.3731</v>
      </c>
      <c r="G42" s="187" t="n">
        <v>0.3667</v>
      </c>
      <c r="H42" s="187" t="n">
        <v>0.3631</v>
      </c>
      <c r="I42" s="187" t="n">
        <v>0.358</v>
      </c>
      <c r="J42" s="187" t="n">
        <v>0.353</v>
      </c>
      <c r="K42" s="187" t="n">
        <v>0.3483</v>
      </c>
    </row>
    <row r="44">
      <c r="A44" s="177" t="inlineStr">
        <is>
          <t>■ 令和6年度決算（第1回審議会資料）との接続（単位：千円）</t>
        </is>
      </c>
    </row>
    <row r="45">
      <c r="A45" s="179" t="inlineStr">
        <is>
          <t>事業／項目</t>
        </is>
      </c>
      <c r="B45" s="179" t="inlineStr">
        <is>
          <t>R6決算</t>
        </is>
      </c>
      <c r="C45" s="179" t="inlineStr">
        <is>
          <t>R7見込</t>
        </is>
      </c>
      <c r="D45" s="179" t="inlineStr">
        <is>
          <t>差</t>
        </is>
      </c>
      <c r="E45" s="179" t="inlineStr">
        <is>
          <t>備考</t>
        </is>
      </c>
    </row>
    <row r="46">
      <c r="A46" s="180" t="inlineStr">
        <is>
          <t>公共　経常費用</t>
        </is>
      </c>
      <c r="B46" s="188" t="n">
        <v>497395</v>
      </c>
      <c r="C46" s="188" t="n">
        <v>545061</v>
      </c>
      <c r="D46" s="188" t="n">
        <v>47666</v>
      </c>
      <c r="E46" s="189" t="inlineStr"/>
    </row>
    <row r="47">
      <c r="A47" s="180" t="inlineStr">
        <is>
          <t>公共　汚水処理費（維持管理費分）</t>
        </is>
      </c>
      <c r="B47" s="188" t="n">
        <v>119503</v>
      </c>
      <c r="C47" s="188" t="n">
        <v>168331</v>
      </c>
      <c r="D47" s="188" t="n">
        <v>48828</v>
      </c>
      <c r="E47" s="189" t="inlineStr"/>
    </row>
    <row r="48">
      <c r="A48" s="190" t="inlineStr">
        <is>
          <t>公共　差引（減価償却費＋支払利息＋その他）</t>
        </is>
      </c>
      <c r="B48" s="191" t="n">
        <v>377892</v>
      </c>
      <c r="C48" s="191" t="n">
        <v>376730</v>
      </c>
      <c r="D48" s="191" t="n">
        <v>-1162</v>
      </c>
      <c r="E48" s="192" t="inlineStr">
        <is>
          <t>R6決算とR7見込がほぼ一致 → 同一基準で算定されていることの確認</t>
        </is>
      </c>
    </row>
    <row r="49">
      <c r="A49" s="180" t="inlineStr">
        <is>
          <t>農集　経常費用</t>
        </is>
      </c>
      <c r="B49" s="188" t="n">
        <v>106700</v>
      </c>
      <c r="C49" s="188" t="n">
        <v>110231</v>
      </c>
      <c r="D49" s="188" t="n">
        <v>3531</v>
      </c>
      <c r="E49" s="189" t="inlineStr"/>
    </row>
    <row r="50">
      <c r="A50" s="180" t="inlineStr">
        <is>
          <t>農集　汚水処理費（維持管理費分）</t>
        </is>
      </c>
      <c r="B50" s="188" t="n">
        <v>32870</v>
      </c>
      <c r="C50" s="188" t="n">
        <v>37580</v>
      </c>
      <c r="D50" s="188" t="n">
        <v>4710</v>
      </c>
      <c r="E50" s="189" t="inlineStr"/>
    </row>
    <row r="51">
      <c r="A51" s="190" t="inlineStr">
        <is>
          <t>農集　差引（減価償却費＋支払利息＋その他）</t>
        </is>
      </c>
      <c r="B51" s="191" t="n">
        <v>73830</v>
      </c>
      <c r="C51" s="191" t="n">
        <v>72651</v>
      </c>
      <c r="D51" s="191" t="n">
        <v>-1179</v>
      </c>
      <c r="E51" s="192" t="inlineStr">
        <is>
          <t>R6決算とR7見込がほぼ一致 → 同一基準で算定されていることの確認</t>
        </is>
      </c>
    </row>
    <row r="53">
      <c r="A53" s="145" t="inlineStr">
        <is>
          <t>※ 令和6年度決算の汚水処理費（公共119,503千円・農集32,870千円）も、経常費用から減価償却費・支払利息を控除した維持管理費ベースで算定されており、本シミュレーションと同一基準。</t>
        </is>
      </c>
    </row>
    <row r="54">
      <c r="A54" s="145" t="inlineStr">
        <is>
          <t>※【内訳】その他は、職員給与費・動力費・修繕費・材料費以外の経費（主に委託料）。公共下水道ではR7の汚水処理費168,331千円のうち155,280千円（92%）を占める。</t>
        </is>
      </c>
    </row>
    <row r="55">
      <c r="A55" s="145" t="inlineStr">
        <is>
          <t>※ 公共下水道はR6→R7で維持管理費が119,503千円→168,331千円（＋40.9%）と増加する見込みのため、経費回収率は47.11%→34.4%に低下する。どの費目の増加によるものかは要確認（確認事項A）。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10" customWidth="1" style="87" min="1" max="1"/>
    <col width="26" customWidth="1" style="87" min="2" max="2"/>
    <col width="16" customWidth="1" style="87" min="3" max="3"/>
    <col width="16" customWidth="1" style="87" min="4" max="4"/>
    <col width="16" customWidth="1" style="87" min="5" max="5"/>
    <col width="16" customWidth="1" style="87" min="6" max="6"/>
    <col width="42" customWidth="1" style="87" min="7" max="7"/>
  </cols>
  <sheetData>
    <row r="1">
      <c r="A1" s="175" t="inlineStr">
        <is>
          <t>令和7年度　推計値と決算実績の突合表（記入用）</t>
        </is>
      </c>
    </row>
    <row r="2">
      <c r="A2" s="176" t="inlineStr">
        <is>
          <t>・「R7推計値」は経営戦略（六戸町_公共／農集_使用料改定.xlsx「財政計画（ベース）」）の値。R7は改定前のため、料金パターンによらず共通です。</t>
        </is>
      </c>
    </row>
    <row r="3">
      <c r="A3" s="176" t="inlineStr">
        <is>
          <t>・黄色のD列に令和7年度決算の実績値をご記入ください。E列（乖離額）・F列（乖離率）は自動計算されます。</t>
        </is>
      </c>
    </row>
    <row r="4">
      <c r="A4" s="176" t="inlineStr">
        <is>
          <t>・R7実績が確定すると、シミュレーションの起点をR6実績補正からR7実績に置き換えられるため、確認事項A（維持管理費の増加要因）・M（R6実績使用料収入の不一致）の双方が直接検証できます。</t>
        </is>
      </c>
    </row>
    <row r="6">
      <c r="A6" s="177" t="inlineStr">
        <is>
          <t>■ 公共下水道事業（単位：千円。有収水量のみ㎥）</t>
        </is>
      </c>
    </row>
    <row r="7">
      <c r="A7" s="179" t="inlineStr">
        <is>
          <t>区分</t>
        </is>
      </c>
      <c r="B7" s="179" t="inlineStr">
        <is>
          <t>科目</t>
        </is>
      </c>
      <c r="C7" s="179" t="inlineStr">
        <is>
          <t>R7推計値</t>
        </is>
      </c>
      <c r="D7" s="179" t="inlineStr">
        <is>
          <t>R7決算実績【記入】</t>
        </is>
      </c>
      <c r="E7" s="179" t="inlineStr">
        <is>
          <t>乖離額</t>
        </is>
      </c>
      <c r="F7" s="179" t="inlineStr">
        <is>
          <t>乖離率</t>
        </is>
      </c>
      <c r="G7" s="179" t="inlineStr">
        <is>
          <t>備考</t>
        </is>
      </c>
    </row>
    <row r="8">
      <c r="A8" s="184" t="inlineStr">
        <is>
          <t>【収入】</t>
        </is>
      </c>
      <c r="B8" s="184" t="inlineStr">
        <is>
          <t>使用料収入</t>
        </is>
      </c>
      <c r="C8" s="193" t="n">
        <v>57895</v>
      </c>
      <c r="D8" s="194" t="n"/>
      <c r="E8" s="195">
        <f>IF(D8="","",D8-C8)</f>
        <v/>
      </c>
      <c r="F8" s="196">
        <f>IF(OR(D8="",C8=0),"",D8/C8-1)</f>
        <v/>
      </c>
      <c r="G8" s="192" t="inlineStr">
        <is>
          <t>確認事項Mの検証に直結</t>
        </is>
      </c>
    </row>
    <row r="9">
      <c r="A9" s="197" t="inlineStr"/>
      <c r="B9" s="182" t="inlineStr">
        <is>
          <t>雨水処理負担金</t>
        </is>
      </c>
      <c r="C9" s="198" t="n">
        <v>0</v>
      </c>
      <c r="D9" s="194" t="n"/>
      <c r="E9" s="199">
        <f>IF(D9="","",D9-C9)</f>
        <v/>
      </c>
      <c r="F9" s="200">
        <f>IF(OR(D9="",C9=0),"",D9/C9-1)</f>
        <v/>
      </c>
      <c r="G9" s="201" t="inlineStr"/>
    </row>
    <row r="10">
      <c r="A10" s="202" t="inlineStr"/>
      <c r="B10" s="180" t="inlineStr">
        <is>
          <t>その他営業収益</t>
        </is>
      </c>
      <c r="C10" s="203" t="n">
        <v>159</v>
      </c>
      <c r="D10" s="194" t="n"/>
      <c r="E10" s="204">
        <f>IF(D10="","",D10-C10)</f>
        <v/>
      </c>
      <c r="F10" s="205">
        <f>IF(OR(D10="",C10=0),"",D10/C10-1)</f>
        <v/>
      </c>
      <c r="G10" s="189" t="inlineStr"/>
    </row>
    <row r="11">
      <c r="A11" s="197" t="inlineStr"/>
      <c r="B11" s="182" t="inlineStr">
        <is>
          <t>営業収益 (A)</t>
        </is>
      </c>
      <c r="C11" s="198" t="n">
        <v>58054</v>
      </c>
      <c r="D11" s="194" t="n"/>
      <c r="E11" s="199">
        <f>IF(D11="","",D11-C11)</f>
        <v/>
      </c>
      <c r="F11" s="200">
        <f>IF(OR(D11="",C11=0),"",D11/C11-1)</f>
        <v/>
      </c>
      <c r="G11" s="201" t="inlineStr"/>
    </row>
    <row r="12">
      <c r="A12" s="202" t="inlineStr"/>
      <c r="B12" s="180" t="inlineStr">
        <is>
          <t>補助金（一般会計繰入金）</t>
        </is>
      </c>
      <c r="C12" s="203" t="n">
        <v>151133</v>
      </c>
      <c r="D12" s="194" t="n"/>
      <c r="E12" s="204">
        <f>IF(D12="","",D12-C12)</f>
        <v/>
      </c>
      <c r="F12" s="205">
        <f>IF(OR(D12="",C12=0),"",D12/C12-1)</f>
        <v/>
      </c>
      <c r="G12" s="189" t="inlineStr">
        <is>
          <t>資本費のカバー状況の確認に使用</t>
        </is>
      </c>
    </row>
    <row r="13">
      <c r="A13" s="197" t="inlineStr"/>
      <c r="B13" s="182" t="inlineStr">
        <is>
          <t>長期前受金戻入</t>
        </is>
      </c>
      <c r="C13" s="198" t="n">
        <v>309898</v>
      </c>
      <c r="D13" s="194" t="n"/>
      <c r="E13" s="199">
        <f>IF(D13="","",D13-C13)</f>
        <v/>
      </c>
      <c r="F13" s="200">
        <f>IF(OR(D13="",C13=0),"",D13/C13-1)</f>
        <v/>
      </c>
      <c r="G13" s="201" t="inlineStr"/>
    </row>
    <row r="14">
      <c r="A14" s="202" t="inlineStr"/>
      <c r="B14" s="180" t="inlineStr">
        <is>
          <t>その他営業外収益</t>
        </is>
      </c>
      <c r="C14" s="203" t="n">
        <v>17557</v>
      </c>
      <c r="D14" s="194" t="n"/>
      <c r="E14" s="204">
        <f>IF(D14="","",D14-C14)</f>
        <v/>
      </c>
      <c r="F14" s="205">
        <f>IF(OR(D14="",C14=0),"",D14/C14-1)</f>
        <v/>
      </c>
      <c r="G14" s="189" t="inlineStr"/>
    </row>
    <row r="15">
      <c r="A15" s="197" t="inlineStr"/>
      <c r="B15" s="182" t="inlineStr">
        <is>
          <t>営業外収益</t>
        </is>
      </c>
      <c r="C15" s="198" t="n">
        <v>478588</v>
      </c>
      <c r="D15" s="194" t="n"/>
      <c r="E15" s="199">
        <f>IF(D15="","",D15-C15)</f>
        <v/>
      </c>
      <c r="F15" s="200">
        <f>IF(OR(D15="",C15=0),"",D15/C15-1)</f>
        <v/>
      </c>
      <c r="G15" s="201" t="inlineStr"/>
    </row>
    <row r="16">
      <c r="A16" s="184" t="inlineStr"/>
      <c r="B16" s="184" t="inlineStr">
        <is>
          <t>経常収入 (C)</t>
        </is>
      </c>
      <c r="C16" s="193" t="n">
        <v>536642</v>
      </c>
      <c r="D16" s="194" t="n"/>
      <c r="E16" s="195">
        <f>IF(D16="","",D16-C16)</f>
        <v/>
      </c>
      <c r="F16" s="196">
        <f>IF(OR(D16="",C16=0),"",D16/C16-1)</f>
        <v/>
      </c>
      <c r="G16" s="192" t="inlineStr"/>
    </row>
    <row r="17">
      <c r="A17" s="197" t="inlineStr">
        <is>
          <t>【支出】</t>
        </is>
      </c>
      <c r="B17" s="182" t="inlineStr">
        <is>
          <t>職員給与費</t>
        </is>
      </c>
      <c r="C17" s="198" t="n">
        <v>5936</v>
      </c>
      <c r="D17" s="194" t="n"/>
      <c r="E17" s="199">
        <f>IF(D17="","",D17-C17)</f>
        <v/>
      </c>
      <c r="F17" s="200">
        <f>IF(OR(D17="",C17=0),"",D17/C17-1)</f>
        <v/>
      </c>
      <c r="G17" s="201" t="inlineStr"/>
    </row>
    <row r="18">
      <c r="A18" s="202" t="inlineStr"/>
      <c r="B18" s="180" t="inlineStr">
        <is>
          <t>経費</t>
        </is>
      </c>
      <c r="C18" s="203" t="n">
        <v>162395</v>
      </c>
      <c r="D18" s="194" t="n"/>
      <c r="E18" s="204">
        <f>IF(D18="","",D18-C18)</f>
        <v/>
      </c>
      <c r="F18" s="205">
        <f>IF(OR(D18="",C18=0),"",D18/C18-1)</f>
        <v/>
      </c>
      <c r="G18" s="189" t="inlineStr"/>
    </row>
    <row r="19">
      <c r="A19" s="197" t="inlineStr"/>
      <c r="B19" s="182" t="inlineStr">
        <is>
          <t xml:space="preserve">　うち動力費</t>
        </is>
      </c>
      <c r="C19" s="198" t="n">
        <v>4975</v>
      </c>
      <c r="D19" s="194" t="n"/>
      <c r="E19" s="199">
        <f>IF(D19="","",D19-C19)</f>
        <v/>
      </c>
      <c r="F19" s="200">
        <f>IF(OR(D19="",C19=0),"",D19/C19-1)</f>
        <v/>
      </c>
      <c r="G19" s="201" t="inlineStr"/>
    </row>
    <row r="20">
      <c r="A20" s="202" t="inlineStr"/>
      <c r="B20" s="180" t="inlineStr">
        <is>
          <t xml:space="preserve">　うち修繕費</t>
        </is>
      </c>
      <c r="C20" s="203" t="n">
        <v>912</v>
      </c>
      <c r="D20" s="194" t="n"/>
      <c r="E20" s="204">
        <f>IF(D20="","",D20-C20)</f>
        <v/>
      </c>
      <c r="F20" s="205">
        <f>IF(OR(D20="",C20=0),"",D20/C20-1)</f>
        <v/>
      </c>
      <c r="G20" s="189" t="inlineStr"/>
    </row>
    <row r="21">
      <c r="A21" s="197" t="inlineStr"/>
      <c r="B21" s="182" t="inlineStr">
        <is>
          <t xml:space="preserve">　うち材料費</t>
        </is>
      </c>
      <c r="C21" s="198" t="n">
        <v>1228</v>
      </c>
      <c r="D21" s="194" t="n"/>
      <c r="E21" s="199">
        <f>IF(D21="","",D21-C21)</f>
        <v/>
      </c>
      <c r="F21" s="200">
        <f>IF(OR(D21="",C21=0),"",D21/C21-1)</f>
        <v/>
      </c>
      <c r="G21" s="201" t="inlineStr"/>
    </row>
    <row r="22">
      <c r="A22" s="202" t="inlineStr"/>
      <c r="B22" s="180" t="inlineStr">
        <is>
          <t xml:space="preserve">　うちその他（主に委託料）</t>
        </is>
      </c>
      <c r="C22" s="203" t="n">
        <v>155280</v>
      </c>
      <c r="D22" s="194" t="n"/>
      <c r="E22" s="204">
        <f>IF(D22="","",D22-C22)</f>
        <v/>
      </c>
      <c r="F22" s="205">
        <f>IF(OR(D22="",C22=0),"",D22/C22-1)</f>
        <v/>
      </c>
      <c r="G22" s="189" t="inlineStr">
        <is>
          <t>確認事項Aの検証に直結</t>
        </is>
      </c>
    </row>
    <row r="23">
      <c r="A23" s="197" t="inlineStr"/>
      <c r="B23" s="182" t="inlineStr">
        <is>
          <t>減価償却費</t>
        </is>
      </c>
      <c r="C23" s="198" t="n">
        <v>352541</v>
      </c>
      <c r="D23" s="194" t="n"/>
      <c r="E23" s="199">
        <f>IF(D23="","",D23-C23)</f>
        <v/>
      </c>
      <c r="F23" s="200">
        <f>IF(OR(D23="",C23=0),"",D23/C23-1)</f>
        <v/>
      </c>
      <c r="G23" s="201" t="inlineStr"/>
    </row>
    <row r="24">
      <c r="A24" s="202" t="inlineStr"/>
      <c r="B24" s="180" t="inlineStr">
        <is>
          <t>営業費用</t>
        </is>
      </c>
      <c r="C24" s="203" t="n">
        <v>520872</v>
      </c>
      <c r="D24" s="194" t="n"/>
      <c r="E24" s="204">
        <f>IF(D24="","",D24-C24)</f>
        <v/>
      </c>
      <c r="F24" s="205">
        <f>IF(OR(D24="",C24=0),"",D24/C24-1)</f>
        <v/>
      </c>
      <c r="G24" s="189" t="inlineStr"/>
    </row>
    <row r="25">
      <c r="A25" s="197" t="inlineStr"/>
      <c r="B25" s="182" t="inlineStr">
        <is>
          <t>支払利息</t>
        </is>
      </c>
      <c r="C25" s="198" t="n">
        <v>22189</v>
      </c>
      <c r="D25" s="194" t="n"/>
      <c r="E25" s="199">
        <f>IF(D25="","",D25-C25)</f>
        <v/>
      </c>
      <c r="F25" s="200">
        <f>IF(OR(D25="",C25=0),"",D25/C25-1)</f>
        <v/>
      </c>
      <c r="G25" s="201" t="inlineStr"/>
    </row>
    <row r="26">
      <c r="A26" s="202" t="inlineStr"/>
      <c r="B26" s="180" t="inlineStr">
        <is>
          <t>その他営業外費用</t>
        </is>
      </c>
      <c r="C26" s="203" t="n">
        <v>2000</v>
      </c>
      <c r="D26" s="194" t="n"/>
      <c r="E26" s="204">
        <f>IF(D26="","",D26-C26)</f>
        <v/>
      </c>
      <c r="F26" s="205">
        <f>IF(OR(D26="",C26=0),"",D26/C26-1)</f>
        <v/>
      </c>
      <c r="G26" s="189" t="inlineStr"/>
    </row>
    <row r="27">
      <c r="A27" s="197" t="inlineStr"/>
      <c r="B27" s="182" t="inlineStr">
        <is>
          <t>営業外費用</t>
        </is>
      </c>
      <c r="C27" s="198" t="n">
        <v>24189</v>
      </c>
      <c r="D27" s="194" t="n"/>
      <c r="E27" s="199">
        <f>IF(D27="","",D27-C27)</f>
        <v/>
      </c>
      <c r="F27" s="200">
        <f>IF(OR(D27="",C27=0),"",D27/C27-1)</f>
        <v/>
      </c>
      <c r="G27" s="201" t="inlineStr"/>
    </row>
    <row r="28">
      <c r="A28" s="184" t="inlineStr"/>
      <c r="B28" s="184" t="inlineStr">
        <is>
          <t>経常支出 (D)</t>
        </is>
      </c>
      <c r="C28" s="193" t="n">
        <v>545061</v>
      </c>
      <c r="D28" s="194" t="n"/>
      <c r="E28" s="195">
        <f>IF(D28="","",D28-C28)</f>
        <v/>
      </c>
      <c r="F28" s="196">
        <f>IF(OR(D28="",C28=0),"",D28/C28-1)</f>
        <v/>
      </c>
      <c r="G28" s="192" t="inlineStr"/>
    </row>
    <row r="29">
      <c r="A29" s="197" t="inlineStr">
        <is>
          <t>【指標】</t>
        </is>
      </c>
      <c r="B29" s="182" t="inlineStr">
        <is>
          <t>経常損益 (C)-(D)</t>
        </is>
      </c>
      <c r="C29" s="198" t="n">
        <v>-8419</v>
      </c>
      <c r="D29" s="194" t="n"/>
      <c r="E29" s="199">
        <f>IF(D29="","",D29-C29)</f>
        <v/>
      </c>
      <c r="F29" s="200">
        <f>IF(OR(D29="",C29=0),"",D29/C29-1)</f>
        <v/>
      </c>
      <c r="G29" s="201" t="inlineStr"/>
    </row>
    <row r="30">
      <c r="A30" s="184" t="inlineStr"/>
      <c r="B30" s="184" t="inlineStr">
        <is>
          <t>汚水処理費（維持管理費分）</t>
        </is>
      </c>
      <c r="C30" s="193" t="n">
        <v>168331</v>
      </c>
      <c r="D30" s="194" t="n"/>
      <c r="E30" s="195">
        <f>IF(D30="","",D30-C30)</f>
        <v/>
      </c>
      <c r="F30" s="196">
        <f>IF(OR(D30="",C30=0),"",D30/C30-1)</f>
        <v/>
      </c>
      <c r="G30" s="192" t="inlineStr">
        <is>
          <t>＝経常支出−減価償却費−支払利息−その他営業外費用</t>
        </is>
      </c>
    </row>
    <row r="31">
      <c r="A31" s="197" t="inlineStr"/>
      <c r="B31" s="182" t="inlineStr">
        <is>
          <t>有収水量（㎥）</t>
        </is>
      </c>
      <c r="C31" s="198" t="n">
        <v>452992</v>
      </c>
      <c r="D31" s="194" t="n"/>
      <c r="E31" s="199">
        <f>IF(D31="","",D31-C31)</f>
        <v/>
      </c>
      <c r="F31" s="200">
        <f>IF(OR(D31="",C31=0),"",D31/C31-1)</f>
        <v/>
      </c>
      <c r="G31" s="201" t="inlineStr"/>
    </row>
    <row r="32">
      <c r="A32" s="206" t="n"/>
      <c r="B32" s="202" t="inlineStr">
        <is>
          <t>経常収支比率</t>
        </is>
      </c>
      <c r="C32" s="207" t="inlineStr">
        <is>
          <t>—</t>
        </is>
      </c>
      <c r="D32" s="208">
        <f>IF(D16="","",D16/D28)</f>
        <v/>
      </c>
      <c r="E32" s="206" t="n"/>
      <c r="F32" s="206" t="n"/>
      <c r="G32" s="189" t="inlineStr">
        <is>
          <t>経常収入(C)÷経常支出(D)</t>
        </is>
      </c>
    </row>
    <row r="33">
      <c r="A33" s="206" t="n"/>
      <c r="B33" s="202" t="inlineStr">
        <is>
          <t>経費回収率</t>
        </is>
      </c>
      <c r="C33" s="207" t="inlineStr">
        <is>
          <t>—</t>
        </is>
      </c>
      <c r="D33" s="208">
        <f>IF(D8="","",D8/D30)</f>
        <v/>
      </c>
      <c r="E33" s="206" t="n"/>
      <c r="F33" s="206" t="n"/>
      <c r="G33" s="189" t="inlineStr">
        <is>
          <t>使用料収入÷汚水処理費（維持管理費分）</t>
        </is>
      </c>
    </row>
    <row r="35">
      <c r="A35" s="177" t="inlineStr">
        <is>
          <t>■ 農業集落排水事業（単位：千円。有収水量のみ㎥）</t>
        </is>
      </c>
    </row>
    <row r="36">
      <c r="A36" s="179" t="inlineStr">
        <is>
          <t>区分</t>
        </is>
      </c>
      <c r="B36" s="179" t="inlineStr">
        <is>
          <t>科目</t>
        </is>
      </c>
      <c r="C36" s="179" t="inlineStr">
        <is>
          <t>R7推計値</t>
        </is>
      </c>
      <c r="D36" s="179" t="inlineStr">
        <is>
          <t>R7決算実績【記入】</t>
        </is>
      </c>
      <c r="E36" s="179" t="inlineStr">
        <is>
          <t>乖離額</t>
        </is>
      </c>
      <c r="F36" s="179" t="inlineStr">
        <is>
          <t>乖離率</t>
        </is>
      </c>
      <c r="G36" s="179" t="inlineStr">
        <is>
          <t>備考</t>
        </is>
      </c>
    </row>
    <row r="37">
      <c r="A37" s="184" t="inlineStr">
        <is>
          <t>【収入】</t>
        </is>
      </c>
      <c r="B37" s="184" t="inlineStr">
        <is>
          <t>使用料収入</t>
        </is>
      </c>
      <c r="C37" s="193" t="n">
        <v>14976</v>
      </c>
      <c r="D37" s="194" t="n"/>
      <c r="E37" s="195">
        <f>IF(D37="","",D37-C37)</f>
        <v/>
      </c>
      <c r="F37" s="196">
        <f>IF(OR(D37="",C37=0),"",D37/C37-1)</f>
        <v/>
      </c>
      <c r="G37" s="192" t="inlineStr">
        <is>
          <t>確認事項Mの検証に直結</t>
        </is>
      </c>
    </row>
    <row r="38">
      <c r="A38" s="197" t="inlineStr"/>
      <c r="B38" s="182" t="inlineStr">
        <is>
          <t>雨水処理負担金</t>
        </is>
      </c>
      <c r="C38" s="198" t="n">
        <v>799</v>
      </c>
      <c r="D38" s="194" t="n"/>
      <c r="E38" s="199">
        <f>IF(D38="","",D38-C38)</f>
        <v/>
      </c>
      <c r="F38" s="200">
        <f>IF(OR(D38="",C38=0),"",D38/C38-1)</f>
        <v/>
      </c>
      <c r="G38" s="201" t="inlineStr"/>
    </row>
    <row r="39">
      <c r="A39" s="202" t="inlineStr"/>
      <c r="B39" s="180" t="inlineStr">
        <is>
          <t>その他営業収益</t>
        </is>
      </c>
      <c r="C39" s="203" t="n">
        <v>12</v>
      </c>
      <c r="D39" s="194" t="n"/>
      <c r="E39" s="204">
        <f>IF(D39="","",D39-C39)</f>
        <v/>
      </c>
      <c r="F39" s="205">
        <f>IF(OR(D39="",C39=0),"",D39/C39-1)</f>
        <v/>
      </c>
      <c r="G39" s="189" t="inlineStr"/>
    </row>
    <row r="40">
      <c r="A40" s="197" t="inlineStr"/>
      <c r="B40" s="182" t="inlineStr">
        <is>
          <t>営業収益 (A)</t>
        </is>
      </c>
      <c r="C40" s="198" t="n">
        <v>15787</v>
      </c>
      <c r="D40" s="194" t="n"/>
      <c r="E40" s="199">
        <f>IF(D40="","",D40-C40)</f>
        <v/>
      </c>
      <c r="F40" s="200">
        <f>IF(OR(D40="",C40=0),"",D40/C40-1)</f>
        <v/>
      </c>
      <c r="G40" s="201" t="inlineStr"/>
    </row>
    <row r="41">
      <c r="A41" s="202" t="inlineStr"/>
      <c r="B41" s="180" t="inlineStr">
        <is>
          <t>補助金（一般会計繰入金）</t>
        </is>
      </c>
      <c r="C41" s="203" t="n">
        <v>19236</v>
      </c>
      <c r="D41" s="194" t="n"/>
      <c r="E41" s="204">
        <f>IF(D41="","",D41-C41)</f>
        <v/>
      </c>
      <c r="F41" s="205">
        <f>IF(OR(D41="",C41=0),"",D41/C41-1)</f>
        <v/>
      </c>
      <c r="G41" s="189" t="inlineStr">
        <is>
          <t>資本費のカバー状況の確認に使用</t>
        </is>
      </c>
    </row>
    <row r="42">
      <c r="A42" s="197" t="inlineStr"/>
      <c r="B42" s="182" t="inlineStr">
        <is>
          <t>長期前受金戻入</t>
        </is>
      </c>
      <c r="C42" s="198" t="n">
        <v>55286</v>
      </c>
      <c r="D42" s="194" t="n"/>
      <c r="E42" s="199">
        <f>IF(D42="","",D42-C42)</f>
        <v/>
      </c>
      <c r="F42" s="200">
        <f>IF(OR(D42="",C42=0),"",D42/C42-1)</f>
        <v/>
      </c>
      <c r="G42" s="201" t="inlineStr"/>
    </row>
    <row r="43">
      <c r="A43" s="202" t="inlineStr"/>
      <c r="B43" s="180" t="inlineStr">
        <is>
          <t>その他営業外収益</t>
        </is>
      </c>
      <c r="C43" s="203" t="n">
        <v>30</v>
      </c>
      <c r="D43" s="194" t="n"/>
      <c r="E43" s="204">
        <f>IF(D43="","",D43-C43)</f>
        <v/>
      </c>
      <c r="F43" s="205">
        <f>IF(OR(D43="",C43=0),"",D43/C43-1)</f>
        <v/>
      </c>
      <c r="G43" s="189" t="inlineStr"/>
    </row>
    <row r="44">
      <c r="A44" s="197" t="inlineStr"/>
      <c r="B44" s="182" t="inlineStr">
        <is>
          <t>営業外収益</t>
        </is>
      </c>
      <c r="C44" s="198" t="n">
        <v>74552</v>
      </c>
      <c r="D44" s="194" t="n"/>
      <c r="E44" s="199">
        <f>IF(D44="","",D44-C44)</f>
        <v/>
      </c>
      <c r="F44" s="200">
        <f>IF(OR(D44="",C44=0),"",D44/C44-1)</f>
        <v/>
      </c>
      <c r="G44" s="201" t="inlineStr"/>
    </row>
    <row r="45">
      <c r="A45" s="184" t="inlineStr"/>
      <c r="B45" s="184" t="inlineStr">
        <is>
          <t>経常収入 (C)</t>
        </is>
      </c>
      <c r="C45" s="193" t="n">
        <v>90339</v>
      </c>
      <c r="D45" s="194" t="n"/>
      <c r="E45" s="195">
        <f>IF(D45="","",D45-C45)</f>
        <v/>
      </c>
      <c r="F45" s="196">
        <f>IF(OR(D45="",C45=0),"",D45/C45-1)</f>
        <v/>
      </c>
      <c r="G45" s="192" t="inlineStr"/>
    </row>
    <row r="46">
      <c r="A46" s="197" t="inlineStr">
        <is>
          <t>【支出】</t>
        </is>
      </c>
      <c r="B46" s="182" t="inlineStr">
        <is>
          <t>職員給与費</t>
        </is>
      </c>
      <c r="C46" s="198" t="n">
        <v>0</v>
      </c>
      <c r="D46" s="194" t="n"/>
      <c r="E46" s="199">
        <f>IF(D46="","",D46-C46)</f>
        <v/>
      </c>
      <c r="F46" s="200">
        <f>IF(OR(D46="",C46=0),"",D46/C46-1)</f>
        <v/>
      </c>
      <c r="G46" s="201" t="inlineStr"/>
    </row>
    <row r="47">
      <c r="A47" s="202" t="inlineStr"/>
      <c r="B47" s="180" t="inlineStr">
        <is>
          <t>経費</t>
        </is>
      </c>
      <c r="C47" s="203" t="n">
        <v>37580</v>
      </c>
      <c r="D47" s="194" t="n"/>
      <c r="E47" s="204">
        <f>IF(D47="","",D47-C47)</f>
        <v/>
      </c>
      <c r="F47" s="205">
        <f>IF(OR(D47="",C47=0),"",D47/C47-1)</f>
        <v/>
      </c>
      <c r="G47" s="189" t="inlineStr"/>
    </row>
    <row r="48">
      <c r="A48" s="197" t="inlineStr"/>
      <c r="B48" s="182" t="inlineStr">
        <is>
          <t xml:space="preserve">　うち動力費</t>
        </is>
      </c>
      <c r="C48" s="198" t="n">
        <v>6082</v>
      </c>
      <c r="D48" s="194" t="n"/>
      <c r="E48" s="199">
        <f>IF(D48="","",D48-C48)</f>
        <v/>
      </c>
      <c r="F48" s="200">
        <f>IF(OR(D48="",C48=0),"",D48/C48-1)</f>
        <v/>
      </c>
      <c r="G48" s="201" t="inlineStr"/>
    </row>
    <row r="49">
      <c r="A49" s="202" t="inlineStr"/>
      <c r="B49" s="180" t="inlineStr">
        <is>
          <t xml:space="preserve">　うち修繕費</t>
        </is>
      </c>
      <c r="C49" s="203" t="n">
        <v>195</v>
      </c>
      <c r="D49" s="194" t="n"/>
      <c r="E49" s="204">
        <f>IF(D49="","",D49-C49)</f>
        <v/>
      </c>
      <c r="F49" s="205">
        <f>IF(OR(D49="",C49=0),"",D49/C49-1)</f>
        <v/>
      </c>
      <c r="G49" s="189" t="inlineStr"/>
    </row>
    <row r="50">
      <c r="A50" s="197" t="inlineStr"/>
      <c r="B50" s="182" t="inlineStr">
        <is>
          <t xml:space="preserve">　うち材料費</t>
        </is>
      </c>
      <c r="C50" s="198" t="n">
        <v>0</v>
      </c>
      <c r="D50" s="194" t="n"/>
      <c r="E50" s="199">
        <f>IF(D50="","",D50-C50)</f>
        <v/>
      </c>
      <c r="F50" s="200">
        <f>IF(OR(D50="",C50=0),"",D50/C50-1)</f>
        <v/>
      </c>
      <c r="G50" s="201" t="inlineStr"/>
    </row>
    <row r="51">
      <c r="A51" s="202" t="inlineStr"/>
      <c r="B51" s="180" t="inlineStr">
        <is>
          <t xml:space="preserve">　うちその他（主に委託料）</t>
        </is>
      </c>
      <c r="C51" s="203" t="n">
        <v>31303</v>
      </c>
      <c r="D51" s="194" t="n"/>
      <c r="E51" s="204">
        <f>IF(D51="","",D51-C51)</f>
        <v/>
      </c>
      <c r="F51" s="205">
        <f>IF(OR(D51="",C51=0),"",D51/C51-1)</f>
        <v/>
      </c>
      <c r="G51" s="189" t="inlineStr">
        <is>
          <t>確認事項Aの検証に直結</t>
        </is>
      </c>
    </row>
    <row r="52">
      <c r="A52" s="197" t="inlineStr"/>
      <c r="B52" s="182" t="inlineStr">
        <is>
          <t>減価償却費</t>
        </is>
      </c>
      <c r="C52" s="198" t="n">
        <v>67729</v>
      </c>
      <c r="D52" s="194" t="n"/>
      <c r="E52" s="199">
        <f>IF(D52="","",D52-C52)</f>
        <v/>
      </c>
      <c r="F52" s="200">
        <f>IF(OR(D52="",C52=0),"",D52/C52-1)</f>
        <v/>
      </c>
      <c r="G52" s="201" t="inlineStr"/>
    </row>
    <row r="53">
      <c r="A53" s="202" t="inlineStr"/>
      <c r="B53" s="180" t="inlineStr">
        <is>
          <t>営業費用</t>
        </is>
      </c>
      <c r="C53" s="203" t="n">
        <v>105309</v>
      </c>
      <c r="D53" s="194" t="n"/>
      <c r="E53" s="204">
        <f>IF(D53="","",D53-C53)</f>
        <v/>
      </c>
      <c r="F53" s="205">
        <f>IF(OR(D53="",C53=0),"",D53/C53-1)</f>
        <v/>
      </c>
      <c r="G53" s="189" t="inlineStr"/>
    </row>
    <row r="54">
      <c r="A54" s="197" t="inlineStr"/>
      <c r="B54" s="182" t="inlineStr">
        <is>
          <t>支払利息</t>
        </is>
      </c>
      <c r="C54" s="198" t="n">
        <v>4793</v>
      </c>
      <c r="D54" s="194" t="n"/>
      <c r="E54" s="199">
        <f>IF(D54="","",D54-C54)</f>
        <v/>
      </c>
      <c r="F54" s="200">
        <f>IF(OR(D54="",C54=0),"",D54/C54-1)</f>
        <v/>
      </c>
      <c r="G54" s="201" t="inlineStr"/>
    </row>
    <row r="55">
      <c r="A55" s="202" t="inlineStr"/>
      <c r="B55" s="180" t="inlineStr">
        <is>
          <t>その他営業外費用</t>
        </is>
      </c>
      <c r="C55" s="203" t="n">
        <v>129</v>
      </c>
      <c r="D55" s="194" t="n"/>
      <c r="E55" s="204">
        <f>IF(D55="","",D55-C55)</f>
        <v/>
      </c>
      <c r="F55" s="205">
        <f>IF(OR(D55="",C55=0),"",D55/C55-1)</f>
        <v/>
      </c>
      <c r="G55" s="189" t="inlineStr"/>
    </row>
    <row r="56">
      <c r="A56" s="197" t="inlineStr"/>
      <c r="B56" s="182" t="inlineStr">
        <is>
          <t>営業外費用</t>
        </is>
      </c>
      <c r="C56" s="198" t="n">
        <v>4922</v>
      </c>
      <c r="D56" s="194" t="n"/>
      <c r="E56" s="199">
        <f>IF(D56="","",D56-C56)</f>
        <v/>
      </c>
      <c r="F56" s="200">
        <f>IF(OR(D56="",C56=0),"",D56/C56-1)</f>
        <v/>
      </c>
      <c r="G56" s="201" t="inlineStr"/>
    </row>
    <row r="57">
      <c r="A57" s="184" t="inlineStr"/>
      <c r="B57" s="184" t="inlineStr">
        <is>
          <t>経常支出 (D)</t>
        </is>
      </c>
      <c r="C57" s="193" t="n">
        <v>110231</v>
      </c>
      <c r="D57" s="194" t="n"/>
      <c r="E57" s="195">
        <f>IF(D57="","",D57-C57)</f>
        <v/>
      </c>
      <c r="F57" s="196">
        <f>IF(OR(D57="",C57=0),"",D57/C57-1)</f>
        <v/>
      </c>
      <c r="G57" s="192" t="inlineStr"/>
    </row>
    <row r="58">
      <c r="A58" s="197" t="inlineStr">
        <is>
          <t>【指標】</t>
        </is>
      </c>
      <c r="B58" s="182" t="inlineStr">
        <is>
          <t>経常損益 (C)-(D)</t>
        </is>
      </c>
      <c r="C58" s="198" t="n">
        <v>-19892</v>
      </c>
      <c r="D58" s="194" t="n"/>
      <c r="E58" s="199">
        <f>IF(D58="","",D58-C58)</f>
        <v/>
      </c>
      <c r="F58" s="200">
        <f>IF(OR(D58="",C58=0),"",D58/C58-1)</f>
        <v/>
      </c>
      <c r="G58" s="201" t="inlineStr"/>
    </row>
    <row r="59">
      <c r="A59" s="184" t="inlineStr"/>
      <c r="B59" s="184" t="inlineStr">
        <is>
          <t>汚水処理費（維持管理費分）</t>
        </is>
      </c>
      <c r="C59" s="193" t="n">
        <v>37580</v>
      </c>
      <c r="D59" s="194" t="n"/>
      <c r="E59" s="195">
        <f>IF(D59="","",D59-C59)</f>
        <v/>
      </c>
      <c r="F59" s="196">
        <f>IF(OR(D59="",C59=0),"",D59/C59-1)</f>
        <v/>
      </c>
      <c r="G59" s="192" t="inlineStr">
        <is>
          <t>＝経常支出−減価償却費−支払利息−その他営業外費用</t>
        </is>
      </c>
    </row>
    <row r="60">
      <c r="A60" s="197" t="inlineStr"/>
      <c r="B60" s="182" t="inlineStr">
        <is>
          <t>有収水量（㎥）</t>
        </is>
      </c>
      <c r="C60" s="198" t="n">
        <v>94354</v>
      </c>
      <c r="D60" s="194" t="n"/>
      <c r="E60" s="199">
        <f>IF(D60="","",D60-C60)</f>
        <v/>
      </c>
      <c r="F60" s="200">
        <f>IF(OR(D60="",C60=0),"",D60/C60-1)</f>
        <v/>
      </c>
      <c r="G60" s="201" t="inlineStr"/>
    </row>
    <row r="61">
      <c r="A61" s="206" t="n"/>
      <c r="B61" s="202" t="inlineStr">
        <is>
          <t>経常収支比率</t>
        </is>
      </c>
      <c r="C61" s="207" t="inlineStr">
        <is>
          <t>—</t>
        </is>
      </c>
      <c r="D61" s="208">
        <f>IF(D45="","",D45/D57)</f>
        <v/>
      </c>
      <c r="E61" s="206" t="n"/>
      <c r="F61" s="206" t="n"/>
      <c r="G61" s="189" t="inlineStr">
        <is>
          <t>経常収入(C)÷経常支出(D)</t>
        </is>
      </c>
    </row>
    <row r="62">
      <c r="A62" s="206" t="n"/>
      <c r="B62" s="202" t="inlineStr">
        <is>
          <t>経費回収率</t>
        </is>
      </c>
      <c r="C62" s="207" t="inlineStr">
        <is>
          <t>—</t>
        </is>
      </c>
      <c r="D62" s="208">
        <f>IF(D37="","",D37/D59)</f>
        <v/>
      </c>
      <c r="E62" s="206" t="n"/>
      <c r="F62" s="206" t="n"/>
      <c r="G62" s="189" t="inlineStr">
        <is>
          <t>使用料収入÷汚水処理費（維持管理費分）</t>
        </is>
      </c>
    </row>
    <row r="64">
      <c r="A64" s="145" t="inlineStr">
        <is>
          <t>※ 参考：R7推計値の経常収支比率は公共98.5%・農集82.0%、経費回収率は公共34.4%・農集39.9%。</t>
        </is>
      </c>
    </row>
    <row r="65">
      <c r="A65" s="145" t="inlineStr">
        <is>
          <t>※ 依頼資料：令和7年度決算の損益計算書（３条 収益的収支）、経費の科目別内訳（特に委託料）、有収水量・調定口数の実績、一般会計繰入金の内訳。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style="87" min="1" max="1"/>
    <col width="12" customWidth="1" style="87" min="2" max="2"/>
    <col width="12" customWidth="1" style="87" min="3" max="3"/>
    <col width="12" customWidth="1" style="87" min="4" max="4"/>
    <col width="12" customWidth="1" style="87" min="5" max="5"/>
    <col width="12" customWidth="1" style="87" min="6" max="6"/>
    <col width="12" customWidth="1" style="87" min="7" max="7"/>
    <col width="12" customWidth="1" style="87" min="8" max="8"/>
    <col width="12" customWidth="1" style="87" min="9" max="9"/>
    <col width="12" customWidth="1" style="87" min="10" max="10"/>
    <col width="12" customWidth="1" style="87" min="11" max="11"/>
    <col width="12" customWidth="1" style="87" min="12" max="12"/>
  </cols>
  <sheetData>
    <row r="1">
      <c r="A1" s="175" t="inlineStr">
        <is>
          <t>第2回審議会資料　掲載数値の算定根拠（パターン別シミュレーション結果）</t>
        </is>
      </c>
    </row>
    <row r="2">
      <c r="A2" s="176" t="inlineStr">
        <is>
          <t>出典：六戸町_公共_使用料改定.xlsx／六戸町_農集_使用料改定.xlsx「パターン別比較」シート（人口推計＝社人研／使用料収入以外の収支項目は全パターン共通）</t>
        </is>
      </c>
    </row>
    <row r="4">
      <c r="A4" s="177" t="inlineStr">
        <is>
          <t>■ 公共下水道事業　経常収支比率　目標：100%以上（単年度黒字）</t>
        </is>
      </c>
    </row>
    <row r="5">
      <c r="A5" s="178" t="inlineStr">
        <is>
          <t>パターン／年度</t>
        </is>
      </c>
      <c r="B5" s="179" t="inlineStr">
        <is>
          <t>令和7年度</t>
        </is>
      </c>
      <c r="C5" s="179" t="inlineStr">
        <is>
          <t>令和8年度</t>
        </is>
      </c>
      <c r="D5" s="179" t="inlineStr">
        <is>
          <t>令和9年度</t>
        </is>
      </c>
      <c r="E5" s="179" t="inlineStr">
        <is>
          <t>令和10年度</t>
        </is>
      </c>
      <c r="F5" s="179" t="inlineStr">
        <is>
          <t>令和11年度</t>
        </is>
      </c>
      <c r="G5" s="179" t="inlineStr">
        <is>
          <t>令和12年度</t>
        </is>
      </c>
      <c r="H5" s="179" t="inlineStr">
        <is>
          <t>令和13年度</t>
        </is>
      </c>
      <c r="I5" s="179" t="inlineStr">
        <is>
          <t>令和14年度</t>
        </is>
      </c>
      <c r="J5" s="179" t="inlineStr">
        <is>
          <t>令和15年度</t>
        </is>
      </c>
      <c r="K5" s="179" t="inlineStr">
        <is>
          <t>令和16年度</t>
        </is>
      </c>
    </row>
    <row r="6">
      <c r="A6" s="180" t="inlineStr">
        <is>
          <t>現行（改定なし）</t>
        </is>
      </c>
      <c r="B6" s="209" t="n">
        <v>0.9846</v>
      </c>
      <c r="C6" s="209" t="n">
        <v>0.9601</v>
      </c>
      <c r="D6" s="209" t="n">
        <v>0.9591</v>
      </c>
      <c r="E6" s="209" t="n">
        <v>0.963</v>
      </c>
      <c r="F6" s="209" t="n">
        <v>0.9553</v>
      </c>
      <c r="G6" s="209" t="n">
        <v>0.9534</v>
      </c>
      <c r="H6" s="209" t="n">
        <v>0.956</v>
      </c>
      <c r="I6" s="209" t="n">
        <v>0.9533</v>
      </c>
      <c r="J6" s="209" t="n">
        <v>0.9543</v>
      </c>
      <c r="K6" s="209" t="n">
        <v>0.9579</v>
      </c>
    </row>
    <row r="7">
      <c r="A7" s="182" t="inlineStr">
        <is>
          <t>パターン①（標準型）2か年</t>
        </is>
      </c>
      <c r="B7" s="210" t="n">
        <v>0.9846</v>
      </c>
      <c r="C7" s="210" t="n">
        <v>0.9764</v>
      </c>
      <c r="D7" s="210" t="n">
        <v>1.0001</v>
      </c>
      <c r="E7" s="210" t="n">
        <v>1.0112</v>
      </c>
      <c r="F7" s="210" t="n">
        <v>1.0046</v>
      </c>
      <c r="G7" s="210" t="n">
        <v>1.0022</v>
      </c>
      <c r="H7" s="210" t="n">
        <v>1.0045</v>
      </c>
      <c r="I7" s="210" t="n">
        <v>1.0012</v>
      </c>
      <c r="J7" s="210" t="n">
        <v>1.002</v>
      </c>
      <c r="K7" s="210" t="n">
        <v>1.0054</v>
      </c>
    </row>
    <row r="8">
      <c r="A8" s="180" t="inlineStr">
        <is>
          <t>パターン①（標準型）3か年</t>
        </is>
      </c>
      <c r="B8" s="209" t="n">
        <v>0.9846</v>
      </c>
      <c r="C8" s="209" t="n">
        <v>0.9705</v>
      </c>
      <c r="D8" s="209" t="n">
        <v>0.9839</v>
      </c>
      <c r="E8" s="209" t="n">
        <v>1.0112</v>
      </c>
      <c r="F8" s="209" t="n">
        <v>1.0046</v>
      </c>
      <c r="G8" s="209" t="n">
        <v>1.0022</v>
      </c>
      <c r="H8" s="209" t="n">
        <v>1.0045</v>
      </c>
      <c r="I8" s="209" t="n">
        <v>1.0012</v>
      </c>
      <c r="J8" s="209" t="n">
        <v>1.002</v>
      </c>
      <c r="K8" s="209" t="n">
        <v>1.0054</v>
      </c>
    </row>
    <row r="9">
      <c r="A9" s="197" t="inlineStr">
        <is>
          <t>パターン②（家庭軽減型）2か年</t>
        </is>
      </c>
      <c r="B9" s="211" t="n">
        <v>0.9846</v>
      </c>
      <c r="C9" s="211" t="n">
        <v>0.9811</v>
      </c>
      <c r="D9" s="211" t="n">
        <v>1.0114</v>
      </c>
      <c r="E9" s="211" t="n">
        <v>1.0244</v>
      </c>
      <c r="F9" s="211" t="n">
        <v>1.018</v>
      </c>
      <c r="G9" s="211" t="n">
        <v>1.0156</v>
      </c>
      <c r="H9" s="211" t="n">
        <v>1.0178</v>
      </c>
      <c r="I9" s="211" t="n">
        <v>1.0144</v>
      </c>
      <c r="J9" s="211" t="n">
        <v>1.015</v>
      </c>
      <c r="K9" s="211" t="n">
        <v>1.0184</v>
      </c>
    </row>
    <row r="10">
      <c r="A10" s="202" t="inlineStr">
        <is>
          <t>パターン②（家庭軽減型）3か年</t>
        </is>
      </c>
      <c r="B10" s="212" t="n">
        <v>0.9846</v>
      </c>
      <c r="C10" s="212" t="n">
        <v>0.9737</v>
      </c>
      <c r="D10" s="212" t="n">
        <v>0.9913999999999999</v>
      </c>
      <c r="E10" s="212" t="n">
        <v>1.0244</v>
      </c>
      <c r="F10" s="212" t="n">
        <v>1.018</v>
      </c>
      <c r="G10" s="212" t="n">
        <v>1.0156</v>
      </c>
      <c r="H10" s="212" t="n">
        <v>1.0178</v>
      </c>
      <c r="I10" s="212" t="n">
        <v>1.0144</v>
      </c>
      <c r="J10" s="212" t="n">
        <v>1.015</v>
      </c>
      <c r="K10" s="212" t="n">
        <v>1.0184</v>
      </c>
    </row>
    <row r="11">
      <c r="A11" s="182" t="inlineStr">
        <is>
          <t>パターン④（段階累進型）2か年</t>
        </is>
      </c>
      <c r="B11" s="210" t="n">
        <v>0.9846</v>
      </c>
      <c r="C11" s="210" t="n">
        <v>0.9779</v>
      </c>
      <c r="D11" s="210" t="n">
        <v>1.0039</v>
      </c>
      <c r="E11" s="210" t="n">
        <v>1.0156</v>
      </c>
      <c r="F11" s="210" t="n">
        <v>1.0091</v>
      </c>
      <c r="G11" s="210" t="n">
        <v>1.0067</v>
      </c>
      <c r="H11" s="210" t="n">
        <v>1.0089</v>
      </c>
      <c r="I11" s="210" t="n">
        <v>1.0056</v>
      </c>
      <c r="J11" s="210" t="n">
        <v>1.0063</v>
      </c>
      <c r="K11" s="210" t="n">
        <v>1.0098</v>
      </c>
    </row>
    <row r="12">
      <c r="A12" s="180" t="inlineStr">
        <is>
          <t>パターン④（段階累進型）3か年</t>
        </is>
      </c>
      <c r="B12" s="209" t="n">
        <v>0.9846</v>
      </c>
      <c r="C12" s="209" t="n">
        <v>0.9711</v>
      </c>
      <c r="D12" s="209" t="n">
        <v>0.9851</v>
      </c>
      <c r="E12" s="209" t="n">
        <v>1.0156</v>
      </c>
      <c r="F12" s="209" t="n">
        <v>1.0091</v>
      </c>
      <c r="G12" s="209" t="n">
        <v>1.0067</v>
      </c>
      <c r="H12" s="209" t="n">
        <v>1.0089</v>
      </c>
      <c r="I12" s="209" t="n">
        <v>1.0056</v>
      </c>
      <c r="J12" s="209" t="n">
        <v>1.0063</v>
      </c>
      <c r="K12" s="209" t="n">
        <v>1.0098</v>
      </c>
    </row>
    <row r="14">
      <c r="A14" s="177" t="inlineStr">
        <is>
          <t>■ 公共下水道事業　経費回収率　目標：47%以上</t>
        </is>
      </c>
    </row>
    <row r="15">
      <c r="A15" s="178" t="inlineStr">
        <is>
          <t>パターン／年度</t>
        </is>
      </c>
      <c r="B15" s="179" t="inlineStr">
        <is>
          <t>令和7年度</t>
        </is>
      </c>
      <c r="C15" s="179" t="inlineStr">
        <is>
          <t>令和8年度</t>
        </is>
      </c>
      <c r="D15" s="179" t="inlineStr">
        <is>
          <t>令和9年度</t>
        </is>
      </c>
      <c r="E15" s="179" t="inlineStr">
        <is>
          <t>令和10年度</t>
        </is>
      </c>
      <c r="F15" s="179" t="inlineStr">
        <is>
          <t>令和11年度</t>
        </is>
      </c>
      <c r="G15" s="179" t="inlineStr">
        <is>
          <t>令和12年度</t>
        </is>
      </c>
      <c r="H15" s="179" t="inlineStr">
        <is>
          <t>令和13年度</t>
        </is>
      </c>
      <c r="I15" s="179" t="inlineStr">
        <is>
          <t>令和14年度</t>
        </is>
      </c>
      <c r="J15" s="179" t="inlineStr">
        <is>
          <t>令和15年度</t>
        </is>
      </c>
      <c r="K15" s="179" t="inlineStr">
        <is>
          <t>令和16年度</t>
        </is>
      </c>
    </row>
    <row r="16">
      <c r="A16" s="180" t="inlineStr">
        <is>
          <t>現行（改定なし）</t>
        </is>
      </c>
      <c r="B16" s="209" t="n">
        <v>0.3439</v>
      </c>
      <c r="C16" s="209" t="n">
        <v>0.3322</v>
      </c>
      <c r="D16" s="209" t="n">
        <v>0.3225</v>
      </c>
      <c r="E16" s="209" t="n">
        <v>0.3249</v>
      </c>
      <c r="F16" s="209" t="n">
        <v>0.3186</v>
      </c>
      <c r="G16" s="209" t="n">
        <v>0.3143</v>
      </c>
      <c r="H16" s="209" t="n">
        <v>0.3113</v>
      </c>
      <c r="I16" s="209" t="n">
        <v>0.3067</v>
      </c>
      <c r="J16" s="209" t="n">
        <v>0.3027</v>
      </c>
      <c r="K16" s="209" t="n">
        <v>0.2988</v>
      </c>
    </row>
    <row r="17">
      <c r="A17" s="182" t="inlineStr">
        <is>
          <t>パターン①（標準型）2か年</t>
        </is>
      </c>
      <c r="B17" s="210" t="n">
        <v>0.3439</v>
      </c>
      <c r="C17" s="210" t="n">
        <v>0.3848</v>
      </c>
      <c r="D17" s="210" t="n">
        <v>0.431</v>
      </c>
      <c r="E17" s="210" t="n">
        <v>0.4341</v>
      </c>
      <c r="F17" s="210" t="n">
        <v>0.4258</v>
      </c>
      <c r="G17" s="210" t="n">
        <v>0.4201</v>
      </c>
      <c r="H17" s="210" t="n">
        <v>0.416</v>
      </c>
      <c r="I17" s="210" t="n">
        <v>0.4098</v>
      </c>
      <c r="J17" s="210" t="n">
        <v>0.4045</v>
      </c>
      <c r="K17" s="210" t="n">
        <v>0.3993</v>
      </c>
    </row>
    <row r="18">
      <c r="A18" s="180" t="inlineStr">
        <is>
          <t>パターン①（標準型）3か年</t>
        </is>
      </c>
      <c r="B18" s="209" t="n">
        <v>0.3439</v>
      </c>
      <c r="C18" s="209" t="n">
        <v>0.366</v>
      </c>
      <c r="D18" s="209" t="n">
        <v>0.388</v>
      </c>
      <c r="E18" s="209" t="n">
        <v>0.4341</v>
      </c>
      <c r="F18" s="209" t="n">
        <v>0.4258</v>
      </c>
      <c r="G18" s="209" t="n">
        <v>0.4201</v>
      </c>
      <c r="H18" s="209" t="n">
        <v>0.416</v>
      </c>
      <c r="I18" s="209" t="n">
        <v>0.4098</v>
      </c>
      <c r="J18" s="209" t="n">
        <v>0.4045</v>
      </c>
      <c r="K18" s="209" t="n">
        <v>0.3993</v>
      </c>
    </row>
    <row r="19">
      <c r="A19" s="197" t="inlineStr">
        <is>
          <t>パターン②（家庭軽減型）2か年</t>
        </is>
      </c>
      <c r="B19" s="211" t="n">
        <v>0.3439</v>
      </c>
      <c r="C19" s="211" t="n">
        <v>0.4001</v>
      </c>
      <c r="D19" s="211" t="n">
        <v>0.4607</v>
      </c>
      <c r="E19" s="211" t="n">
        <v>0.4641</v>
      </c>
      <c r="F19" s="211" t="n">
        <v>0.4551</v>
      </c>
      <c r="G19" s="211" t="n">
        <v>0.449</v>
      </c>
      <c r="H19" s="211" t="n">
        <v>0.4447</v>
      </c>
      <c r="I19" s="211" t="n">
        <v>0.4381</v>
      </c>
      <c r="J19" s="211" t="n">
        <v>0.4324</v>
      </c>
      <c r="K19" s="211" t="n">
        <v>0.4268</v>
      </c>
    </row>
    <row r="20">
      <c r="A20" s="202" t="inlineStr">
        <is>
          <t>パターン②（家庭軽減型）3か年</t>
        </is>
      </c>
      <c r="B20" s="212" t="n">
        <v>0.3439</v>
      </c>
      <c r="C20" s="212" t="n">
        <v>0.3762</v>
      </c>
      <c r="D20" s="212" t="n">
        <v>0.4078</v>
      </c>
      <c r="E20" s="212" t="n">
        <v>0.4641</v>
      </c>
      <c r="F20" s="212" t="n">
        <v>0.4551</v>
      </c>
      <c r="G20" s="212" t="n">
        <v>0.449</v>
      </c>
      <c r="H20" s="212" t="n">
        <v>0.4447</v>
      </c>
      <c r="I20" s="212" t="n">
        <v>0.4381</v>
      </c>
      <c r="J20" s="212" t="n">
        <v>0.4324</v>
      </c>
      <c r="K20" s="212" t="n">
        <v>0.4268</v>
      </c>
    </row>
    <row r="21">
      <c r="A21" s="182" t="inlineStr">
        <is>
          <t>パターン④（段階累進型）2か年</t>
        </is>
      </c>
      <c r="B21" s="210" t="n">
        <v>0.3439</v>
      </c>
      <c r="C21" s="210" t="n">
        <v>0.3899</v>
      </c>
      <c r="D21" s="210" t="n">
        <v>0.4409</v>
      </c>
      <c r="E21" s="210" t="n">
        <v>0.4441</v>
      </c>
      <c r="F21" s="210" t="n">
        <v>0.4356</v>
      </c>
      <c r="G21" s="210" t="n">
        <v>0.4297</v>
      </c>
      <c r="H21" s="210" t="n">
        <v>0.4256</v>
      </c>
      <c r="I21" s="210" t="n">
        <v>0.4192</v>
      </c>
      <c r="J21" s="210" t="n">
        <v>0.4138</v>
      </c>
      <c r="K21" s="210" t="n">
        <v>0.4085</v>
      </c>
    </row>
    <row r="22">
      <c r="A22" s="180" t="inlineStr">
        <is>
          <t>パターン④（段階累進型）3か年</t>
        </is>
      </c>
      <c r="B22" s="209" t="n">
        <v>0.3439</v>
      </c>
      <c r="C22" s="209" t="n">
        <v>0.3677</v>
      </c>
      <c r="D22" s="209" t="n">
        <v>0.3913</v>
      </c>
      <c r="E22" s="209" t="n">
        <v>0.4441</v>
      </c>
      <c r="F22" s="209" t="n">
        <v>0.4356</v>
      </c>
      <c r="G22" s="209" t="n">
        <v>0.4297</v>
      </c>
      <c r="H22" s="209" t="n">
        <v>0.4256</v>
      </c>
      <c r="I22" s="209" t="n">
        <v>0.4192</v>
      </c>
      <c r="J22" s="209" t="n">
        <v>0.4138</v>
      </c>
      <c r="K22" s="209" t="n">
        <v>0.4085</v>
      </c>
    </row>
    <row r="24">
      <c r="A24" s="177" t="inlineStr">
        <is>
          <t>■ 公共下水道事業　使用料収入（千円）</t>
        </is>
      </c>
    </row>
    <row r="25">
      <c r="A25" s="178" t="inlineStr">
        <is>
          <t>パターン／年度</t>
        </is>
      </c>
      <c r="B25" s="179" t="inlineStr">
        <is>
          <t>令和7年度</t>
        </is>
      </c>
      <c r="C25" s="179" t="inlineStr">
        <is>
          <t>令和8年度</t>
        </is>
      </c>
      <c r="D25" s="179" t="inlineStr">
        <is>
          <t>令和9年度</t>
        </is>
      </c>
      <c r="E25" s="179" t="inlineStr">
        <is>
          <t>令和10年度</t>
        </is>
      </c>
      <c r="F25" s="179" t="inlineStr">
        <is>
          <t>令和11年度</t>
        </is>
      </c>
      <c r="G25" s="179" t="inlineStr">
        <is>
          <t>令和12年度</t>
        </is>
      </c>
      <c r="H25" s="179" t="inlineStr">
        <is>
          <t>令和13年度</t>
        </is>
      </c>
      <c r="I25" s="179" t="inlineStr">
        <is>
          <t>令和14年度</t>
        </is>
      </c>
      <c r="J25" s="179" t="inlineStr">
        <is>
          <t>令和15年度</t>
        </is>
      </c>
      <c r="K25" s="179" t="inlineStr">
        <is>
          <t>令和16年度</t>
        </is>
      </c>
    </row>
    <row r="26">
      <c r="A26" s="180" t="inlineStr">
        <is>
          <t>現行（改定なし）</t>
        </is>
      </c>
      <c r="B26" s="181" t="n">
        <v>57895</v>
      </c>
      <c r="C26" s="181" t="n">
        <v>57487</v>
      </c>
      <c r="D26" s="181" t="n">
        <v>57079</v>
      </c>
      <c r="E26" s="181" t="n">
        <v>56656</v>
      </c>
      <c r="F26" s="181" t="n">
        <v>56248</v>
      </c>
      <c r="G26" s="181" t="n">
        <v>55847</v>
      </c>
      <c r="H26" s="181" t="n">
        <v>55388</v>
      </c>
      <c r="I26" s="181" t="n">
        <v>54930</v>
      </c>
      <c r="J26" s="181" t="n">
        <v>54478</v>
      </c>
      <c r="K26" s="181" t="n">
        <v>54014</v>
      </c>
    </row>
    <row r="27">
      <c r="A27" s="182" t="inlineStr">
        <is>
          <t>パターン①（標準型）2か年</t>
        </is>
      </c>
      <c r="B27" s="183" t="n">
        <v>57895</v>
      </c>
      <c r="C27" s="183" t="n">
        <v>66578</v>
      </c>
      <c r="D27" s="183" t="n">
        <v>76277</v>
      </c>
      <c r="E27" s="183" t="n">
        <v>75712</v>
      </c>
      <c r="F27" s="183" t="n">
        <v>75167</v>
      </c>
      <c r="G27" s="183" t="n">
        <v>74631</v>
      </c>
      <c r="H27" s="183" t="n">
        <v>74018</v>
      </c>
      <c r="I27" s="183" t="n">
        <v>73405</v>
      </c>
      <c r="J27" s="183" t="n">
        <v>72802</v>
      </c>
      <c r="K27" s="183" t="n">
        <v>72181</v>
      </c>
    </row>
    <row r="28">
      <c r="A28" s="180" t="inlineStr">
        <is>
          <t>パターン①（標準型）3か年</t>
        </is>
      </c>
      <c r="B28" s="181" t="n">
        <v>57895</v>
      </c>
      <c r="C28" s="181" t="n">
        <v>63326</v>
      </c>
      <c r="D28" s="181" t="n">
        <v>68674</v>
      </c>
      <c r="E28" s="181" t="n">
        <v>75712</v>
      </c>
      <c r="F28" s="181" t="n">
        <v>75167</v>
      </c>
      <c r="G28" s="181" t="n">
        <v>74631</v>
      </c>
      <c r="H28" s="181" t="n">
        <v>74018</v>
      </c>
      <c r="I28" s="181" t="n">
        <v>73405</v>
      </c>
      <c r="J28" s="181" t="n">
        <v>72802</v>
      </c>
      <c r="K28" s="181" t="n">
        <v>72181</v>
      </c>
    </row>
    <row r="29">
      <c r="A29" s="197" t="inlineStr">
        <is>
          <t>パターン②（家庭軽減型）2か年</t>
        </is>
      </c>
      <c r="B29" s="213" t="n">
        <v>57895</v>
      </c>
      <c r="C29" s="213" t="n">
        <v>69223</v>
      </c>
      <c r="D29" s="213" t="n">
        <v>81531</v>
      </c>
      <c r="E29" s="213" t="n">
        <v>80928</v>
      </c>
      <c r="F29" s="213" t="n">
        <v>80345</v>
      </c>
      <c r="G29" s="213" t="n">
        <v>79773</v>
      </c>
      <c r="H29" s="213" t="n">
        <v>79117</v>
      </c>
      <c r="I29" s="213" t="n">
        <v>78461</v>
      </c>
      <c r="J29" s="213" t="n">
        <v>77816</v>
      </c>
      <c r="K29" s="213" t="n">
        <v>77153</v>
      </c>
    </row>
    <row r="30">
      <c r="A30" s="202" t="inlineStr">
        <is>
          <t>パターン②（家庭軽減型）3か年</t>
        </is>
      </c>
      <c r="B30" s="214" t="n">
        <v>57895</v>
      </c>
      <c r="C30" s="214" t="n">
        <v>65090</v>
      </c>
      <c r="D30" s="214" t="n">
        <v>72176</v>
      </c>
      <c r="E30" s="214" t="n">
        <v>80928</v>
      </c>
      <c r="F30" s="214" t="n">
        <v>80345</v>
      </c>
      <c r="G30" s="214" t="n">
        <v>79773</v>
      </c>
      <c r="H30" s="214" t="n">
        <v>79117</v>
      </c>
      <c r="I30" s="214" t="n">
        <v>78461</v>
      </c>
      <c r="J30" s="214" t="n">
        <v>77816</v>
      </c>
      <c r="K30" s="214" t="n">
        <v>77153</v>
      </c>
    </row>
    <row r="31">
      <c r="A31" s="182" t="inlineStr">
        <is>
          <t>パターン④（段階累進型）2か年</t>
        </is>
      </c>
      <c r="B31" s="183" t="n">
        <v>57895</v>
      </c>
      <c r="C31" s="183" t="n">
        <v>67460</v>
      </c>
      <c r="D31" s="183" t="n">
        <v>78028</v>
      </c>
      <c r="E31" s="183" t="n">
        <v>77451</v>
      </c>
      <c r="F31" s="183" t="n">
        <v>76893</v>
      </c>
      <c r="G31" s="183" t="n">
        <v>76345</v>
      </c>
      <c r="H31" s="183" t="n">
        <v>75718</v>
      </c>
      <c r="I31" s="183" t="n">
        <v>75090</v>
      </c>
      <c r="J31" s="183" t="n">
        <v>74474</v>
      </c>
      <c r="K31" s="183" t="n">
        <v>73838</v>
      </c>
    </row>
    <row r="32">
      <c r="A32" s="180" t="inlineStr">
        <is>
          <t>パターン④（段階累進型）3か年</t>
        </is>
      </c>
      <c r="B32" s="181" t="n">
        <v>57895</v>
      </c>
      <c r="C32" s="181" t="n">
        <v>63618</v>
      </c>
      <c r="D32" s="181" t="n">
        <v>69254</v>
      </c>
      <c r="E32" s="181" t="n">
        <v>77451</v>
      </c>
      <c r="F32" s="181" t="n">
        <v>76893</v>
      </c>
      <c r="G32" s="181" t="n">
        <v>76345</v>
      </c>
      <c r="H32" s="181" t="n">
        <v>75718</v>
      </c>
      <c r="I32" s="181" t="n">
        <v>75090</v>
      </c>
      <c r="J32" s="181" t="n">
        <v>74474</v>
      </c>
      <c r="K32" s="181" t="n">
        <v>73838</v>
      </c>
    </row>
    <row r="34">
      <c r="A34" s="177" t="inlineStr">
        <is>
          <t>■ 農業集落排水事業　経常収支比率　目標：100%以上（単年度黒字）</t>
        </is>
      </c>
    </row>
    <row r="35">
      <c r="A35" s="178" t="inlineStr">
        <is>
          <t>パターン／年度</t>
        </is>
      </c>
      <c r="B35" s="179" t="inlineStr">
        <is>
          <t>令和7年度</t>
        </is>
      </c>
      <c r="C35" s="179" t="inlineStr">
        <is>
          <t>令和8年度</t>
        </is>
      </c>
      <c r="D35" s="179" t="inlineStr">
        <is>
          <t>令和9年度</t>
        </is>
      </c>
      <c r="E35" s="179" t="inlineStr">
        <is>
          <t>令和10年度</t>
        </is>
      </c>
      <c r="F35" s="179" t="inlineStr">
        <is>
          <t>令和11年度</t>
        </is>
      </c>
      <c r="G35" s="179" t="inlineStr">
        <is>
          <t>令和12年度</t>
        </is>
      </c>
      <c r="H35" s="179" t="inlineStr">
        <is>
          <t>令和13年度</t>
        </is>
      </c>
      <c r="I35" s="179" t="inlineStr">
        <is>
          <t>令和14年度</t>
        </is>
      </c>
      <c r="J35" s="179" t="inlineStr">
        <is>
          <t>令和15年度</t>
        </is>
      </c>
      <c r="K35" s="179" t="inlineStr">
        <is>
          <t>令和16年度</t>
        </is>
      </c>
    </row>
    <row r="36">
      <c r="A36" s="180" t="inlineStr">
        <is>
          <t>現行（改定なし）</t>
        </is>
      </c>
      <c r="B36" s="209" t="n">
        <v>0.8195</v>
      </c>
      <c r="C36" s="209" t="n">
        <v>0.8132</v>
      </c>
      <c r="D36" s="209" t="n">
        <v>0.7968</v>
      </c>
      <c r="E36" s="209" t="n">
        <v>0.7976</v>
      </c>
      <c r="F36" s="209" t="n">
        <v>0.7932</v>
      </c>
      <c r="G36" s="209" t="n">
        <v>0.7927999999999999</v>
      </c>
      <c r="H36" s="209" t="n">
        <v>0.794</v>
      </c>
      <c r="I36" s="209" t="n">
        <v>0.7907999999999999</v>
      </c>
      <c r="J36" s="209" t="n">
        <v>0.7879</v>
      </c>
      <c r="K36" s="209" t="n">
        <v>0.7854</v>
      </c>
    </row>
    <row r="37">
      <c r="A37" s="182" t="inlineStr">
        <is>
          <t>パターン①（標準型）2か年</t>
        </is>
      </c>
      <c r="B37" s="210" t="n">
        <v>0.8195</v>
      </c>
      <c r="C37" s="210" t="n">
        <v>0.8338</v>
      </c>
      <c r="D37" s="210" t="n">
        <v>0.8405</v>
      </c>
      <c r="E37" s="210" t="n">
        <v>0.8418</v>
      </c>
      <c r="F37" s="210" t="n">
        <v>0.8372000000000001</v>
      </c>
      <c r="G37" s="210" t="n">
        <v>0.8355</v>
      </c>
      <c r="H37" s="210" t="n">
        <v>0.8359</v>
      </c>
      <c r="I37" s="210" t="n">
        <v>0.8322000000000001</v>
      </c>
      <c r="J37" s="210" t="n">
        <v>0.829</v>
      </c>
      <c r="K37" s="210" t="n">
        <v>0.826</v>
      </c>
    </row>
    <row r="38">
      <c r="A38" s="180" t="inlineStr">
        <is>
          <t>パターン①（標準型）3か年</t>
        </is>
      </c>
      <c r="B38" s="209" t="n">
        <v>0.8195</v>
      </c>
      <c r="C38" s="209" t="n">
        <v>0.8265</v>
      </c>
      <c r="D38" s="209" t="n">
        <v>0.8236</v>
      </c>
      <c r="E38" s="209" t="n">
        <v>0.8418</v>
      </c>
      <c r="F38" s="209" t="n">
        <v>0.8372000000000001</v>
      </c>
      <c r="G38" s="209" t="n">
        <v>0.8355</v>
      </c>
      <c r="H38" s="209" t="n">
        <v>0.8359</v>
      </c>
      <c r="I38" s="209" t="n">
        <v>0.8322000000000001</v>
      </c>
      <c r="J38" s="209" t="n">
        <v>0.829</v>
      </c>
      <c r="K38" s="209" t="n">
        <v>0.826</v>
      </c>
    </row>
    <row r="39">
      <c r="A39" s="197" t="inlineStr">
        <is>
          <t>パターン②（家庭軽減型）2か年</t>
        </is>
      </c>
      <c r="B39" s="211" t="n">
        <v>0.8195</v>
      </c>
      <c r="C39" s="211" t="n">
        <v>0.8424</v>
      </c>
      <c r="D39" s="211" t="n">
        <v>0.8576</v>
      </c>
      <c r="E39" s="211" t="n">
        <v>0.8592</v>
      </c>
      <c r="F39" s="211" t="n">
        <v>0.8544</v>
      </c>
      <c r="G39" s="211" t="n">
        <v>0.8522999999999999</v>
      </c>
      <c r="H39" s="211" t="n">
        <v>0.8522999999999999</v>
      </c>
      <c r="I39" s="211" t="n">
        <v>0.8485</v>
      </c>
      <c r="J39" s="211" t="n">
        <v>0.8451</v>
      </c>
      <c r="K39" s="211" t="n">
        <v>0.842</v>
      </c>
    </row>
    <row r="40">
      <c r="A40" s="202" t="inlineStr">
        <is>
          <t>パターン②（家庭軽減型）3か年</t>
        </is>
      </c>
      <c r="B40" s="212" t="n">
        <v>0.8195</v>
      </c>
      <c r="C40" s="212" t="n">
        <v>0.8322000000000001</v>
      </c>
      <c r="D40" s="212" t="n">
        <v>0.835</v>
      </c>
      <c r="E40" s="212" t="n">
        <v>0.8592</v>
      </c>
      <c r="F40" s="212" t="n">
        <v>0.8544</v>
      </c>
      <c r="G40" s="212" t="n">
        <v>0.8522999999999999</v>
      </c>
      <c r="H40" s="212" t="n">
        <v>0.8522999999999999</v>
      </c>
      <c r="I40" s="212" t="n">
        <v>0.8485</v>
      </c>
      <c r="J40" s="212" t="n">
        <v>0.8451</v>
      </c>
      <c r="K40" s="212" t="n">
        <v>0.842</v>
      </c>
    </row>
    <row r="41">
      <c r="A41" s="182" t="inlineStr">
        <is>
          <t>パターン④（段階累進型）2か年</t>
        </is>
      </c>
      <c r="B41" s="210" t="n">
        <v>0.8195</v>
      </c>
      <c r="C41" s="210" t="n">
        <v>0.8367</v>
      </c>
      <c r="D41" s="210" t="n">
        <v>0.8462</v>
      </c>
      <c r="E41" s="210" t="n">
        <v>0.8476</v>
      </c>
      <c r="F41" s="210" t="n">
        <v>0.843</v>
      </c>
      <c r="G41" s="210" t="n">
        <v>0.8411</v>
      </c>
      <c r="H41" s="210" t="n">
        <v>0.8413</v>
      </c>
      <c r="I41" s="210" t="n">
        <v>0.8377</v>
      </c>
      <c r="J41" s="210" t="n">
        <v>0.8343</v>
      </c>
      <c r="K41" s="210" t="n">
        <v>0.8314</v>
      </c>
    </row>
    <row r="42">
      <c r="A42" s="180" t="inlineStr">
        <is>
          <t>パターン④（段階累進型）3か年</t>
        </is>
      </c>
      <c r="B42" s="209" t="n">
        <v>0.8195</v>
      </c>
      <c r="C42" s="209" t="n">
        <v>0.8270999999999999</v>
      </c>
      <c r="D42" s="209" t="n">
        <v>0.8248</v>
      </c>
      <c r="E42" s="209" t="n">
        <v>0.8476</v>
      </c>
      <c r="F42" s="209" t="n">
        <v>0.843</v>
      </c>
      <c r="G42" s="209" t="n">
        <v>0.8411</v>
      </c>
      <c r="H42" s="209" t="n">
        <v>0.8413</v>
      </c>
      <c r="I42" s="209" t="n">
        <v>0.8377</v>
      </c>
      <c r="J42" s="209" t="n">
        <v>0.8343</v>
      </c>
      <c r="K42" s="209" t="n">
        <v>0.8314</v>
      </c>
    </row>
    <row r="44">
      <c r="A44" s="177" t="inlineStr">
        <is>
          <t>■ 農業集落排水事業　経費回収率　目標：47%以上</t>
        </is>
      </c>
    </row>
    <row r="45">
      <c r="A45" s="178" t="inlineStr">
        <is>
          <t>パターン／年度</t>
        </is>
      </c>
      <c r="B45" s="179" t="inlineStr">
        <is>
          <t>令和7年度</t>
        </is>
      </c>
      <c r="C45" s="179" t="inlineStr">
        <is>
          <t>令和8年度</t>
        </is>
      </c>
      <c r="D45" s="179" t="inlineStr">
        <is>
          <t>令和9年度</t>
        </is>
      </c>
      <c r="E45" s="179" t="inlineStr">
        <is>
          <t>令和10年度</t>
        </is>
      </c>
      <c r="F45" s="179" t="inlineStr">
        <is>
          <t>令和11年度</t>
        </is>
      </c>
      <c r="G45" s="179" t="inlineStr">
        <is>
          <t>令和12年度</t>
        </is>
      </c>
      <c r="H45" s="179" t="inlineStr">
        <is>
          <t>令和13年度</t>
        </is>
      </c>
      <c r="I45" s="179" t="inlineStr">
        <is>
          <t>令和14年度</t>
        </is>
      </c>
      <c r="J45" s="179" t="inlineStr">
        <is>
          <t>令和15年度</t>
        </is>
      </c>
      <c r="K45" s="179" t="inlineStr">
        <is>
          <t>令和16年度</t>
        </is>
      </c>
    </row>
    <row r="46">
      <c r="A46" s="180" t="inlineStr">
        <is>
          <t>現行（改定なし）</t>
        </is>
      </c>
      <c r="B46" s="209" t="n">
        <v>0.3985</v>
      </c>
      <c r="C46" s="209" t="n">
        <v>0.3927</v>
      </c>
      <c r="D46" s="209" t="n">
        <v>0.3758</v>
      </c>
      <c r="E46" s="209" t="n">
        <v>0.3789</v>
      </c>
      <c r="F46" s="209" t="n">
        <v>0.3731</v>
      </c>
      <c r="G46" s="209" t="n">
        <v>0.3667</v>
      </c>
      <c r="H46" s="209" t="n">
        <v>0.3631</v>
      </c>
      <c r="I46" s="209" t="n">
        <v>0.358</v>
      </c>
      <c r="J46" s="209" t="n">
        <v>0.353</v>
      </c>
      <c r="K46" s="209" t="n">
        <v>0.3483</v>
      </c>
    </row>
    <row r="47">
      <c r="A47" s="182" t="inlineStr">
        <is>
          <t>パターン①（標準型）2か年</t>
        </is>
      </c>
      <c r="B47" s="210" t="n">
        <v>0.3985</v>
      </c>
      <c r="C47" s="210" t="n">
        <v>0.452</v>
      </c>
      <c r="D47" s="210" t="n">
        <v>0.4955</v>
      </c>
      <c r="E47" s="210" t="n">
        <v>0.4997</v>
      </c>
      <c r="F47" s="210" t="n">
        <v>0.492</v>
      </c>
      <c r="G47" s="210" t="n">
        <v>0.4836</v>
      </c>
      <c r="H47" s="210" t="n">
        <v>0.4788</v>
      </c>
      <c r="I47" s="210" t="n">
        <v>0.472</v>
      </c>
      <c r="J47" s="210" t="n">
        <v>0.4654</v>
      </c>
      <c r="K47" s="210" t="n">
        <v>0.4592</v>
      </c>
    </row>
    <row r="48">
      <c r="A48" s="180" t="inlineStr">
        <is>
          <t>パターン①（標準型）3か年</t>
        </is>
      </c>
      <c r="B48" s="209" t="n">
        <v>0.3985</v>
      </c>
      <c r="C48" s="209" t="n">
        <v>0.4311</v>
      </c>
      <c r="D48" s="209" t="n">
        <v>0.4493</v>
      </c>
      <c r="E48" s="209" t="n">
        <v>0.4997</v>
      </c>
      <c r="F48" s="209" t="n">
        <v>0.492</v>
      </c>
      <c r="G48" s="209" t="n">
        <v>0.4836</v>
      </c>
      <c r="H48" s="209" t="n">
        <v>0.4788</v>
      </c>
      <c r="I48" s="209" t="n">
        <v>0.472</v>
      </c>
      <c r="J48" s="209" t="n">
        <v>0.4654</v>
      </c>
      <c r="K48" s="209" t="n">
        <v>0.4592</v>
      </c>
    </row>
    <row r="49">
      <c r="A49" s="197" t="inlineStr">
        <is>
          <t>パターン②（家庭軽減型）2か年</t>
        </is>
      </c>
      <c r="B49" s="211" t="n">
        <v>0.3985</v>
      </c>
      <c r="C49" s="211" t="n">
        <v>0.4765</v>
      </c>
      <c r="D49" s="211" t="n">
        <v>0.5424</v>
      </c>
      <c r="E49" s="211" t="n">
        <v>0.5469000000000001</v>
      </c>
      <c r="F49" s="211" t="n">
        <v>0.5386</v>
      </c>
      <c r="G49" s="211" t="n">
        <v>0.5293</v>
      </c>
      <c r="H49" s="211" t="n">
        <v>0.5241</v>
      </c>
      <c r="I49" s="211" t="n">
        <v>0.5167</v>
      </c>
      <c r="J49" s="211" t="n">
        <v>0.5095</v>
      </c>
      <c r="K49" s="211" t="n">
        <v>0.5027</v>
      </c>
    </row>
    <row r="50">
      <c r="A50" s="202" t="inlineStr">
        <is>
          <t>パターン②（家庭軽減型）3か年</t>
        </is>
      </c>
      <c r="B50" s="212" t="n">
        <v>0.3985</v>
      </c>
      <c r="C50" s="212" t="n">
        <v>0.4474</v>
      </c>
      <c r="D50" s="212" t="n">
        <v>0.4806</v>
      </c>
      <c r="E50" s="212" t="n">
        <v>0.5469000000000001</v>
      </c>
      <c r="F50" s="212" t="n">
        <v>0.5386</v>
      </c>
      <c r="G50" s="212" t="n">
        <v>0.5293</v>
      </c>
      <c r="H50" s="212" t="n">
        <v>0.5241</v>
      </c>
      <c r="I50" s="212" t="n">
        <v>0.5167</v>
      </c>
      <c r="J50" s="212" t="n">
        <v>0.5095</v>
      </c>
      <c r="K50" s="212" t="n">
        <v>0.5027</v>
      </c>
    </row>
    <row r="51">
      <c r="A51" s="182" t="inlineStr">
        <is>
          <t>パターン④（段階累進型）2か年</t>
        </is>
      </c>
      <c r="B51" s="210" t="n">
        <v>0.3985</v>
      </c>
      <c r="C51" s="210" t="n">
        <v>0.4602</v>
      </c>
      <c r="D51" s="210" t="n">
        <v>0.5112</v>
      </c>
      <c r="E51" s="210" t="n">
        <v>0.5154</v>
      </c>
      <c r="F51" s="210" t="n">
        <v>0.5075</v>
      </c>
      <c r="G51" s="210" t="n">
        <v>0.4988</v>
      </c>
      <c r="H51" s="210" t="n">
        <v>0.4939</v>
      </c>
      <c r="I51" s="210" t="n">
        <v>0.4869</v>
      </c>
      <c r="J51" s="210" t="n">
        <v>0.4801</v>
      </c>
      <c r="K51" s="210" t="n">
        <v>0.4737</v>
      </c>
    </row>
    <row r="52">
      <c r="A52" s="180" t="inlineStr">
        <is>
          <t>パターン④（段階累進型）3か年</t>
        </is>
      </c>
      <c r="B52" s="209" t="n">
        <v>0.3985</v>
      </c>
      <c r="C52" s="209" t="n">
        <v>0.4327</v>
      </c>
      <c r="D52" s="209" t="n">
        <v>0.4524</v>
      </c>
      <c r="E52" s="209" t="n">
        <v>0.5154</v>
      </c>
      <c r="F52" s="209" t="n">
        <v>0.5075</v>
      </c>
      <c r="G52" s="209" t="n">
        <v>0.4988</v>
      </c>
      <c r="H52" s="209" t="n">
        <v>0.4939</v>
      </c>
      <c r="I52" s="209" t="n">
        <v>0.4869</v>
      </c>
      <c r="J52" s="209" t="n">
        <v>0.4801</v>
      </c>
      <c r="K52" s="209" t="n">
        <v>0.4737</v>
      </c>
    </row>
    <row r="54">
      <c r="A54" s="177" t="inlineStr">
        <is>
          <t>■ 農業集落排水事業　使用料収入（千円）</t>
        </is>
      </c>
    </row>
    <row r="55">
      <c r="A55" s="178" t="inlineStr">
        <is>
          <t>パターン／年度</t>
        </is>
      </c>
      <c r="B55" s="179" t="inlineStr">
        <is>
          <t>令和7年度</t>
        </is>
      </c>
      <c r="C55" s="179" t="inlineStr">
        <is>
          <t>令和8年度</t>
        </is>
      </c>
      <c r="D55" s="179" t="inlineStr">
        <is>
          <t>令和9年度</t>
        </is>
      </c>
      <c r="E55" s="179" t="inlineStr">
        <is>
          <t>令和10年度</t>
        </is>
      </c>
      <c r="F55" s="179" t="inlineStr">
        <is>
          <t>令和11年度</t>
        </is>
      </c>
      <c r="G55" s="179" t="inlineStr">
        <is>
          <t>令和12年度</t>
        </is>
      </c>
      <c r="H55" s="179" t="inlineStr">
        <is>
          <t>令和13年度</t>
        </is>
      </c>
      <c r="I55" s="179" t="inlineStr">
        <is>
          <t>令和14年度</t>
        </is>
      </c>
      <c r="J55" s="179" t="inlineStr">
        <is>
          <t>令和15年度</t>
        </is>
      </c>
      <c r="K55" s="179" t="inlineStr">
        <is>
          <t>令和16年度</t>
        </is>
      </c>
    </row>
    <row r="56">
      <c r="A56" s="180" t="inlineStr">
        <is>
          <t>現行（改定なし）</t>
        </is>
      </c>
      <c r="B56" s="181" t="n">
        <v>14976</v>
      </c>
      <c r="C56" s="181" t="n">
        <v>14859</v>
      </c>
      <c r="D56" s="181" t="n">
        <v>14766</v>
      </c>
      <c r="E56" s="181" t="n">
        <v>14649</v>
      </c>
      <c r="F56" s="181" t="n">
        <v>14550</v>
      </c>
      <c r="G56" s="181" t="n">
        <v>14449</v>
      </c>
      <c r="H56" s="181" t="n">
        <v>14316</v>
      </c>
      <c r="I56" s="181" t="n">
        <v>14208</v>
      </c>
      <c r="J56" s="181" t="n">
        <v>14091</v>
      </c>
      <c r="K56" s="181" t="n">
        <v>13964</v>
      </c>
    </row>
    <row r="57">
      <c r="A57" s="182" t="inlineStr">
        <is>
          <t>パターン①（標準型）2か年</t>
        </is>
      </c>
      <c r="B57" s="183" t="n">
        <v>14976</v>
      </c>
      <c r="C57" s="183" t="n">
        <v>17104</v>
      </c>
      <c r="D57" s="183" t="n">
        <v>19471</v>
      </c>
      <c r="E57" s="183" t="n">
        <v>19316</v>
      </c>
      <c r="F57" s="183" t="n">
        <v>19186</v>
      </c>
      <c r="G57" s="183" t="n">
        <v>19052</v>
      </c>
      <c r="H57" s="183" t="n">
        <v>18877</v>
      </c>
      <c r="I57" s="183" t="n">
        <v>18734</v>
      </c>
      <c r="J57" s="183" t="n">
        <v>18580</v>
      </c>
      <c r="K57" s="183" t="n">
        <v>18414</v>
      </c>
    </row>
    <row r="58">
      <c r="A58" s="180" t="inlineStr">
        <is>
          <t>パターン①（標準型）3か年</t>
        </is>
      </c>
      <c r="B58" s="181" t="n">
        <v>14976</v>
      </c>
      <c r="C58" s="181" t="n">
        <v>16312</v>
      </c>
      <c r="D58" s="181" t="n">
        <v>17656</v>
      </c>
      <c r="E58" s="181" t="n">
        <v>19316</v>
      </c>
      <c r="F58" s="181" t="n">
        <v>19186</v>
      </c>
      <c r="G58" s="181" t="n">
        <v>19052</v>
      </c>
      <c r="H58" s="181" t="n">
        <v>18877</v>
      </c>
      <c r="I58" s="181" t="n">
        <v>18734</v>
      </c>
      <c r="J58" s="181" t="n">
        <v>18580</v>
      </c>
      <c r="K58" s="181" t="n">
        <v>18414</v>
      </c>
    </row>
    <row r="59">
      <c r="A59" s="197" t="inlineStr">
        <is>
          <t>パターン②（家庭軽減型）2か年</t>
        </is>
      </c>
      <c r="B59" s="213" t="n">
        <v>14976</v>
      </c>
      <c r="C59" s="213" t="n">
        <v>18032</v>
      </c>
      <c r="D59" s="213" t="n">
        <v>21314</v>
      </c>
      <c r="E59" s="213" t="n">
        <v>21144</v>
      </c>
      <c r="F59" s="213" t="n">
        <v>21003</v>
      </c>
      <c r="G59" s="213" t="n">
        <v>20855</v>
      </c>
      <c r="H59" s="213" t="n">
        <v>20664</v>
      </c>
      <c r="I59" s="213" t="n">
        <v>20509</v>
      </c>
      <c r="J59" s="213" t="n">
        <v>20340</v>
      </c>
      <c r="K59" s="213" t="n">
        <v>20156</v>
      </c>
    </row>
    <row r="60">
      <c r="A60" s="202" t="inlineStr">
        <is>
          <t>パターン②（家庭軽減型）3か年</t>
        </is>
      </c>
      <c r="B60" s="214" t="n">
        <v>14976</v>
      </c>
      <c r="C60" s="214" t="n">
        <v>16931</v>
      </c>
      <c r="D60" s="214" t="n">
        <v>18884</v>
      </c>
      <c r="E60" s="214" t="n">
        <v>21144</v>
      </c>
      <c r="F60" s="214" t="n">
        <v>21003</v>
      </c>
      <c r="G60" s="214" t="n">
        <v>20855</v>
      </c>
      <c r="H60" s="214" t="n">
        <v>20664</v>
      </c>
      <c r="I60" s="214" t="n">
        <v>20509</v>
      </c>
      <c r="J60" s="214" t="n">
        <v>20340</v>
      </c>
      <c r="K60" s="214" t="n">
        <v>20156</v>
      </c>
    </row>
    <row r="61">
      <c r="A61" s="182" t="inlineStr">
        <is>
          <t>パターン④（段階累進型）2か年</t>
        </is>
      </c>
      <c r="B61" s="183" t="n">
        <v>14976</v>
      </c>
      <c r="C61" s="183" t="n">
        <v>17414</v>
      </c>
      <c r="D61" s="183" t="n">
        <v>20085</v>
      </c>
      <c r="E61" s="183" t="n">
        <v>19926</v>
      </c>
      <c r="F61" s="183" t="n">
        <v>19792</v>
      </c>
      <c r="G61" s="183" t="n">
        <v>19653</v>
      </c>
      <c r="H61" s="183" t="n">
        <v>19473</v>
      </c>
      <c r="I61" s="183" t="n">
        <v>19326</v>
      </c>
      <c r="J61" s="183" t="n">
        <v>19166</v>
      </c>
      <c r="K61" s="183" t="n">
        <v>18995</v>
      </c>
    </row>
    <row r="62">
      <c r="A62" s="180" t="inlineStr">
        <is>
          <t>パターン④（段階累進型）3か年</t>
        </is>
      </c>
      <c r="B62" s="181" t="n">
        <v>14976</v>
      </c>
      <c r="C62" s="181" t="n">
        <v>16373</v>
      </c>
      <c r="D62" s="181" t="n">
        <v>17777</v>
      </c>
      <c r="E62" s="181" t="n">
        <v>19926</v>
      </c>
      <c r="F62" s="181" t="n">
        <v>19792</v>
      </c>
      <c r="G62" s="181" t="n">
        <v>19653</v>
      </c>
      <c r="H62" s="181" t="n">
        <v>19473</v>
      </c>
      <c r="I62" s="181" t="n">
        <v>19326</v>
      </c>
      <c r="J62" s="181" t="n">
        <v>19166</v>
      </c>
      <c r="K62" s="181" t="n">
        <v>18995</v>
      </c>
    </row>
    <row r="64">
      <c r="A64" s="177" t="inlineStr">
        <is>
          <t>■ モデルケース別　月額使用料（円）　※各区分の単価を段階累進で積み上げて算定</t>
        </is>
      </c>
    </row>
    <row r="65">
      <c r="A65" s="215" t="inlineStr">
        <is>
          <t>使用水量</t>
        </is>
      </c>
      <c r="B65" s="215" t="inlineStr">
        <is>
          <t>現行(税抜)</t>
        </is>
      </c>
      <c r="C65" s="215" t="inlineStr">
        <is>
          <t>現行(税込)</t>
        </is>
      </c>
      <c r="D65" s="215" t="inlineStr">
        <is>
          <t>①最終(税抜)</t>
        </is>
      </c>
      <c r="E65" s="215" t="inlineStr">
        <is>
          <t>①最終(税込)</t>
        </is>
      </c>
      <c r="F65" s="215" t="inlineStr">
        <is>
          <t>①増加額(税込)</t>
        </is>
      </c>
      <c r="G65" s="215" t="inlineStr">
        <is>
          <t>②最終(税抜)</t>
        </is>
      </c>
      <c r="H65" s="215" t="inlineStr">
        <is>
          <t>②最終(税込)</t>
        </is>
      </c>
      <c r="I65" s="215" t="inlineStr">
        <is>
          <t>②増加額(税込)</t>
        </is>
      </c>
      <c r="J65" s="215" t="inlineStr">
        <is>
          <t>④最終(税抜)</t>
        </is>
      </c>
      <c r="K65" s="215" t="inlineStr">
        <is>
          <t>④最終(税込)</t>
        </is>
      </c>
      <c r="L65" s="215" t="inlineStr">
        <is>
          <t>④増加額(税込)</t>
        </is>
      </c>
    </row>
    <row r="66">
      <c r="A66" s="180" t="inlineStr">
        <is>
          <t>10㎥</t>
        </is>
      </c>
      <c r="B66" s="181" t="n">
        <v>1000</v>
      </c>
      <c r="C66" s="181" t="n">
        <v>1100</v>
      </c>
      <c r="D66" s="181" t="n">
        <v>1500</v>
      </c>
      <c r="E66" s="181" t="n">
        <v>1650</v>
      </c>
      <c r="F66" s="181" t="n">
        <v>550</v>
      </c>
      <c r="G66" s="181" t="n">
        <v>1200</v>
      </c>
      <c r="H66" s="181" t="n">
        <v>1320</v>
      </c>
      <c r="I66" s="181" t="n">
        <v>220</v>
      </c>
      <c r="J66" s="181" t="n">
        <v>1400</v>
      </c>
      <c r="K66" s="181" t="n">
        <v>1540</v>
      </c>
      <c r="L66" s="181" t="n">
        <v>440</v>
      </c>
    </row>
    <row r="67">
      <c r="A67" s="184" t="inlineStr">
        <is>
          <t>20㎥</t>
        </is>
      </c>
      <c r="B67" s="185" t="n">
        <v>2200</v>
      </c>
      <c r="C67" s="185" t="n">
        <v>2420</v>
      </c>
      <c r="D67" s="185" t="n">
        <v>3000</v>
      </c>
      <c r="E67" s="185" t="n">
        <v>3300</v>
      </c>
      <c r="F67" s="185" t="n">
        <v>880</v>
      </c>
      <c r="G67" s="185" t="n">
        <v>3000</v>
      </c>
      <c r="H67" s="185" t="n">
        <v>3300</v>
      </c>
      <c r="I67" s="185" t="n">
        <v>880</v>
      </c>
      <c r="J67" s="185" t="n">
        <v>3000</v>
      </c>
      <c r="K67" s="185" t="n">
        <v>3300</v>
      </c>
      <c r="L67" s="185" t="n">
        <v>880</v>
      </c>
    </row>
    <row r="68">
      <c r="A68" s="180" t="inlineStr">
        <is>
          <t>30㎥</t>
        </is>
      </c>
      <c r="B68" s="181" t="n">
        <v>3400</v>
      </c>
      <c r="C68" s="181" t="n">
        <v>3740</v>
      </c>
      <c r="D68" s="181" t="n">
        <v>4550</v>
      </c>
      <c r="E68" s="181" t="n">
        <v>5005</v>
      </c>
      <c r="F68" s="181" t="n">
        <v>1265</v>
      </c>
      <c r="G68" s="181" t="n">
        <v>4850</v>
      </c>
      <c r="H68" s="181" t="n">
        <v>5335</v>
      </c>
      <c r="I68" s="181" t="n">
        <v>1595</v>
      </c>
      <c r="J68" s="181" t="n">
        <v>4650</v>
      </c>
      <c r="K68" s="181" t="n">
        <v>5115</v>
      </c>
      <c r="L68" s="181" t="n">
        <v>1375</v>
      </c>
    </row>
    <row r="69">
      <c r="A69" s="182" t="inlineStr">
        <is>
          <t>40㎥</t>
        </is>
      </c>
      <c r="B69" s="183" t="n">
        <v>4700</v>
      </c>
      <c r="C69" s="183" t="n">
        <v>5170</v>
      </c>
      <c r="D69" s="183" t="n">
        <v>6150</v>
      </c>
      <c r="E69" s="183" t="n">
        <v>6765</v>
      </c>
      <c r="F69" s="183" t="n">
        <v>1595</v>
      </c>
      <c r="G69" s="183" t="n">
        <v>6750</v>
      </c>
      <c r="H69" s="183" t="n">
        <v>7425</v>
      </c>
      <c r="I69" s="183" t="n">
        <v>2255</v>
      </c>
      <c r="J69" s="183" t="n">
        <v>6350</v>
      </c>
      <c r="K69" s="183" t="n">
        <v>6985</v>
      </c>
      <c r="L69" s="183" t="n">
        <v>1815</v>
      </c>
    </row>
    <row r="70">
      <c r="A70" s="180" t="inlineStr">
        <is>
          <t>50㎥</t>
        </is>
      </c>
      <c r="B70" s="181" t="n">
        <v>6000</v>
      </c>
      <c r="C70" s="181" t="n">
        <v>6600</v>
      </c>
      <c r="D70" s="181" t="n">
        <v>7800</v>
      </c>
      <c r="E70" s="181" t="n">
        <v>8580</v>
      </c>
      <c r="F70" s="181" t="n">
        <v>1980</v>
      </c>
      <c r="G70" s="181" t="n">
        <v>8700</v>
      </c>
      <c r="H70" s="181" t="n">
        <v>9570</v>
      </c>
      <c r="I70" s="181" t="n">
        <v>2970</v>
      </c>
      <c r="J70" s="181" t="n">
        <v>8100</v>
      </c>
      <c r="K70" s="181" t="n">
        <v>8910</v>
      </c>
      <c r="L70" s="181" t="n">
        <v>2310</v>
      </c>
    </row>
    <row r="71">
      <c r="A71" s="182" t="inlineStr">
        <is>
          <t>100㎥</t>
        </is>
      </c>
      <c r="B71" s="183" t="n">
        <v>13000</v>
      </c>
      <c r="C71" s="183" t="n">
        <v>14300</v>
      </c>
      <c r="D71" s="183" t="n">
        <v>16850</v>
      </c>
      <c r="E71" s="183" t="n">
        <v>18535</v>
      </c>
      <c r="F71" s="183" t="n">
        <v>4235</v>
      </c>
      <c r="G71" s="183" t="n">
        <v>19250</v>
      </c>
      <c r="H71" s="183" t="n">
        <v>21175</v>
      </c>
      <c r="I71" s="183" t="n">
        <v>6875</v>
      </c>
      <c r="J71" s="183" t="n">
        <v>17650</v>
      </c>
      <c r="K71" s="183" t="n">
        <v>19415</v>
      </c>
      <c r="L71" s="183" t="n">
        <v>5115</v>
      </c>
    </row>
    <row r="72">
      <c r="A72" s="180" t="inlineStr">
        <is>
          <t>200㎥</t>
        </is>
      </c>
      <c r="B72" s="181" t="n">
        <v>28000</v>
      </c>
      <c r="C72" s="181" t="n">
        <v>30800</v>
      </c>
      <c r="D72" s="181" t="n">
        <v>38350</v>
      </c>
      <c r="E72" s="181" t="n">
        <v>42185</v>
      </c>
      <c r="F72" s="181" t="n">
        <v>11385</v>
      </c>
      <c r="G72" s="181" t="n">
        <v>43750</v>
      </c>
      <c r="H72" s="181" t="n">
        <v>48125</v>
      </c>
      <c r="I72" s="181" t="n">
        <v>17325</v>
      </c>
      <c r="J72" s="181" t="n">
        <v>40150</v>
      </c>
      <c r="K72" s="181" t="n">
        <v>44165</v>
      </c>
      <c r="L72" s="181" t="n">
        <v>13365</v>
      </c>
    </row>
    <row r="73">
      <c r="A73" s="182" t="inlineStr">
        <is>
          <t>500㎥</t>
        </is>
      </c>
      <c r="B73" s="183" t="n">
        <v>76000</v>
      </c>
      <c r="C73" s="183" t="n">
        <v>83600</v>
      </c>
      <c r="D73" s="183" t="n">
        <v>105850</v>
      </c>
      <c r="E73" s="183" t="n">
        <v>116435</v>
      </c>
      <c r="F73" s="183" t="n">
        <v>32835</v>
      </c>
      <c r="G73" s="183" t="n">
        <v>120250</v>
      </c>
      <c r="H73" s="183" t="n">
        <v>132275</v>
      </c>
      <c r="I73" s="183" t="n">
        <v>48675</v>
      </c>
      <c r="J73" s="183" t="n">
        <v>110650</v>
      </c>
      <c r="K73" s="183" t="n">
        <v>121715</v>
      </c>
      <c r="L73" s="183" t="n">
        <v>38115</v>
      </c>
    </row>
    <row r="75">
      <c r="A75" s="176" t="inlineStr">
        <is>
          <t>※ 20㎥（一般家庭の標準使用量）は3パターンとも税抜3,000円／税込3,300円で共通（現行比＋880円・＋36.4%）。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2026-08-03T09:44:27Z</dcterms:created>
  <dcterms:modified xmlns:dcterms="http://purl.org/dc/terms/" xmlns:xsi="http://www.w3.org/2001/XMLSchema-instance" xsi:type="dcterms:W3CDTF">2026-08-04T01:10:46Z</dcterms:modified>
  <cp:revision>0</cp:revision>
</cp:coreProperties>
</file>