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 xmlns:r="http://schemas.openxmlformats.org/officeDocument/2006/relationships" name="07_ペンディング整理" sheetId="8" state="visible" r:id="rId8"/>
    <sheet xmlns:r="http://schemas.openxmlformats.org/officeDocument/2006/relationships" name="08_作業順位"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
      <name val="游ゴシック"/>
      <b val="1"/>
      <sz val="10"/>
    </font>
  </fonts>
  <fills count="12">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
      <patternFill patternType="solid">
        <fgColor rgb="00FFC7CE"/>
      </patternFill>
    </fill>
    <fill>
      <patternFill patternType="solid">
        <fgColor rgb="00D9D9D9"/>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3">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xf numFmtId="0" fontId="1" fillId="2" borderId="0" pivotButton="0" quotePrefix="0" xfId="0"/>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10" borderId="0" applyAlignment="1" pivotButton="0" quotePrefix="0" xfId="0">
      <alignment vertical="top" wrapText="1"/>
    </xf>
    <xf numFmtId="0" fontId="2" fillId="9" borderId="0" applyAlignment="1" pivotButton="0" quotePrefix="0" xfId="0">
      <alignment vertical="top" wrapText="1"/>
    </xf>
    <xf numFmtId="0" fontId="2" fillId="8" borderId="0" applyAlignment="1" pivotButton="0" quotePrefix="0" xfId="0">
      <alignment vertical="top" wrapText="1"/>
    </xf>
    <xf numFmtId="0" fontId="2" fillId="6" borderId="0" applyAlignment="1" pivotButton="0" quotePrefix="0" xfId="0">
      <alignment vertical="top" wrapText="1"/>
    </xf>
    <xf numFmtId="0" fontId="6" fillId="0" borderId="0" pivotButton="0" quotePrefix="0" xfId="0"/>
    <xf numFmtId="0" fontId="3" fillId="4" borderId="0" applyAlignment="1" pivotButton="0" quotePrefix="0" xfId="0">
      <alignment horizontal="center" wrapText="1"/>
    </xf>
    <xf numFmtId="0" fontId="2" fillId="0" borderId="0" applyAlignment="1" pivotButton="0" quotePrefix="0" xfId="0">
      <alignment vertical="top" wrapText="1"/>
    </xf>
    <xf numFmtId="0" fontId="2" fillId="11" borderId="0" applyAlignment="1" pivotButton="0" quotePrefix="0" xfId="0">
      <alignment vertical="top" wrapText="1"/>
    </xf>
    <xf numFmtId="0" fontId="0" fillId="11" borderId="0" pivotButton="0" quotePrefix="0" xfId="0"/>
    <xf numFmtId="0" fontId="2" fillId="0" borderId="1" applyAlignment="1" pivotButton="0" quotePrefix="0" xfId="0">
      <alignment vertical="top" wrapText="1"/>
    </xf>
    <xf numFmtId="0" fontId="2" fillId="7" borderId="1" applyAlignment="1" pivotButton="0" quotePrefix="0" xfId="0">
      <alignment vertical="top" wrapText="1"/>
    </xf>
    <xf numFmtId="9" fontId="2" fillId="0" borderId="1" applyAlignment="1" pivotButton="0" quotePrefix="0" xfId="0">
      <alignment vertical="top" wrapText="1"/>
    </xf>
    <xf numFmtId="0" fontId="2" fillId="9" borderId="1" applyAlignment="1" pivotButton="0" quotePrefix="0" xfId="0">
      <alignment vertical="top" wrapText="1"/>
    </xf>
    <xf numFmtId="0" fontId="2"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同種の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7" t="inlineStr">
        <is>
          <t>令和8年10月4日　本表の記載は同日時点のもの。計画素案 Ver.2.10（制度改正補完版・666段落127表・全112頁・図10点）、圧縮案 v2.10c（本文105頁）と別冊 詳細分析（9頁）、第2回策定委員会資料 v7、想定問答集 v4（全44問）、概要版の下書き（6頁・図8点）、策定委員会 逆算工程表（6シート）、第9期 計画値実績対比表（8シート）、事業の内容の出所（2シート）、調査報告書3文書（納品前処理済み）、公表版への整理、概要版 構成案、資料編の3表、図表データ管理台帳（17シート・図10点）まで作成済み。点検は、素案の自己点検32件・保険料の検算39項目・書体の点検13件・図表の自己点検10件・委員会資料の自己点検27件・8軸の網羅性51事項がいずれも適合（未実施8件は別に数えている）。確認事項は164件のうち19件が決着し、145件が未決着。</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の作成、計画素案への反映まで完了。令和8年10月2日、令和8年9月25日受領の再修正版3文書について、RedTeamレビューv8が挙げた納品前の不備4件を直した（目次の自動更新・作成者名の削除・編集メモの書き換え・表73のキャプションの移動）。成果品として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v6（ご選択いただきたい事項5件・訂正事項5件＋当社資料の訂正6件・認知症施策の追加候補15件と財源別の保険料影響）
第2回委員会_想定問答集 v3（全39問8カテゴリ）</t>
        </is>
      </c>
      <c r="F7" s="12" t="inlineStr">
        <is>
          <t>実施中</t>
        </is>
      </c>
      <c r="G7" s="20" t="n">
        <v>0.8</v>
      </c>
      <c r="H7" s="9" t="inlineStr">
        <is>
          <t>R9.2</t>
        </is>
      </c>
      <c r="I7" s="7" t="inlineStr">
        <is>
          <t>【令和8年10月7日 更新】第1回は令和8年9月2日に開催済み。第2回の資料は v8（101段落42表）、想定問答集は v4（全44問）。v8 で当方の作業用ファイルの名前を取り除き、表紙の版の表示を［第８版］に是正した（v6・v7 は［第５版］のままであった）。第3回・第4回の骨子案（8表）を作成し、諮る事項・資料の構成・何が決まっていないと開けないかを置いた。開催日が未確定（確認事項No.85）。委員会を全3回とするか全4回とするかも未確定（No.49）。</t>
        </is>
      </c>
      <c r="J7" s="9" t="inlineStr">
        <is>
          <t>5, 6</t>
        </is>
      </c>
    </row>
    <row r="8" ht="132" customHeight="1">
      <c r="A8" s="38" t="inlineStr">
        <is>
          <t>(4)</t>
        </is>
      </c>
      <c r="B8" s="38" t="inlineStr">
        <is>
          <t>各種データ収集・作成及び資料整理</t>
        </is>
      </c>
      <c r="C8" s="38"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38"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38" t="inlineStr">
        <is>
          <t>実績データ確認サマリー（6シート）
必要資料_入力フォーマット（13シート）
第9期実績一覧_町記入用（7シート35事業）
関連施策評価調査シート_案（8シート）</t>
        </is>
      </c>
      <c r="F8" s="39" t="inlineStr">
        <is>
          <t>実施中</t>
        </is>
      </c>
      <c r="G8" s="40" t="n">
        <v>0.95</v>
      </c>
      <c r="H8" s="38" t="inlineStr">
        <is>
          <t>R8.10</t>
        </is>
      </c>
      <c r="I8" s="38" t="inlineStr">
        <is>
          <t>【令和8年10月17日 更新】第9期施策評価の実施要領（案）を作成した（仕様書(4)「現行施策の検証及び実施状況の取りまとめ」）。⚠ **評価の区分と判定の基準がなく、町が記入のしようがない状態であった**ことに手当てした。確認事項No.182。　【令和8年10月16日 更新】事業所照会票（様式9種・設問58問）と電子記入様式・確定値管理表を作成した。⚠ 供給側のデータは依然として未受領であり、発出のご判断（確認事項No.170）を待っている。　①②は完了。令和8年9月11日受領の見える化システムの画面の写し及び総括表により、令和7年度の年報（要介護度別明細）まで取り込んだ。交付金は令和6・7・8年度の全国集計を枝番の単位で突き合わせ、取りまとめ表（7シート）として整理した。⚠ 令和8年10月1日、令和6年度の枝番の合計（428点）が公表値454点と26点食い違うことを把握した。令和8年度の枝番の一覧を軸にしているため、令和6年度にあって令和8年度にない枝番が落ちていたことによる。計画素案の図3-1は原典の指標群別の列から採り、公表値と一致することを確かめている。③現行施策（第9期35事業）の実績は【町確認】欄がご記入待ち（ペンディング束3）。記入用の様式を当方から提供する。</t>
        </is>
      </c>
      <c r="J8" s="38" t="inlineStr">
        <is>
          <t>7, 8</t>
        </is>
      </c>
    </row>
    <row r="9" ht="132" customHeight="1">
      <c r="A9" s="38" t="inlineStr">
        <is>
          <t>(5)</t>
        </is>
      </c>
      <c r="B9" s="38" t="inlineStr">
        <is>
          <t>人口推計、事業量・費用推計・分析</t>
        </is>
      </c>
      <c r="C9" s="38"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38"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38" t="inlineStr">
        <is>
          <t>保険料試算ワークブック（11シート・129数式）
長期推計・給付費・保険料試算レポート
保険料_県内比較分析・要因分析
給付費・保険料算定の精査レポート</t>
        </is>
      </c>
      <c r="F9" s="39" t="inlineStr">
        <is>
          <t>実施中</t>
        </is>
      </c>
      <c r="G9" s="40" t="n">
        <v>0.92</v>
      </c>
      <c r="H9" s="38" t="inlineStr">
        <is>
          <t>R9.1</t>
        </is>
      </c>
      <c r="I9" s="38" t="inlineStr">
        <is>
          <t>【令和8年10月17日 更新】中長期（令和17・22年度）の見込量を成果品に書き出し、素案 9-1 の空欄15サービスを原典から算定して埋めた（Ver.2.17）。⚠ **9-1 のサービス別の和と 9-2 の総給付費が合っていなかった**（令和17年度で▲94,878千円）。3か年すべてで一致するようになった。確認事項No.183。　【令和8年10月16日 更新】他メンバー素案との対比により、素案 9-1 の見込量の表に15サービス（84,370千円・総給付費の8.5％）が落ちていたことが分かり、Ver.2.14 で是正した。⚠ 介護保険法第117条第2項第1号の種類ごとの量の見込みの欠落であった。数値はワークブックに持っていた。　【令和8年10月16日 更新】見込量の確からしさに関わる供給可能量を照会する様式を用意した（様式2のお受けできる上限・令和9〜11年度の各年度の見通し）。⚠ 自然体推計は供給の制約を表現できないため、回収後に見込量の調整の方針を第2回策定委員会にお諮りする。　【令和8年10月7日 更新】令和7年度の年報を基礎とする独立算定を完了（32サービス・要介護度別）。本月、施策（KPI）と見込量の連関を整理した。算定式で動く変数は要介護度別の認定者数1つだけであり、利用率・1人1月あたりの回（日）数・単価は令和7年度で据え置いている。素案10-4のKPI13件それぞれについて、どの要素に効くかと反映の可否を整理した。当方の算定は施策の効果を織り込まない自然体である。残るのは需要のシナリオ（感度表）と、所得段階別第1号被保険者数の第10〜13段階（確認事項No.33）。</t>
        </is>
      </c>
      <c r="J9" s="38" t="inlineStr">
        <is>
          <t>9, 10, 11, 12, 13, 14</t>
        </is>
      </c>
    </row>
    <row r="10" ht="132" customHeight="1">
      <c r="A10" s="38" t="inlineStr">
        <is>
          <t>(6)</t>
        </is>
      </c>
      <c r="B10" s="38" t="inlineStr">
        <is>
          <t>給付実績分析等及び現状分析業務</t>
        </is>
      </c>
      <c r="C10" s="38" t="inlineStr">
        <is>
          <t>○基礎データ収集・整理
○国・県の施策動向の把握
○関係各課、関係機関等の状況把握
○国保連データからの給付実績や各種課題等をとりまとめ、分析</t>
        </is>
      </c>
      <c r="D10" s="38" t="inlineStr">
        <is>
          <t>①基礎データの収集・整理
②国・宮城県の施策動向の把握
③関係各課・関係機関等の状況把握
④国保連データからの給付実績の分析
⑤各種課題のとりまとめ</t>
        </is>
      </c>
      <c r="E10" s="38" t="inlineStr">
        <is>
          <t>素案 第2章（現状分析）
実績データ確認サマリー（6シート）
図表6点
3層整合表（7シート）</t>
        </is>
      </c>
      <c r="F10" s="39" t="inlineStr">
        <is>
          <t>実施中</t>
        </is>
      </c>
      <c r="G10" s="40" t="n">
        <v>0.9</v>
      </c>
      <c r="H10" s="38" t="inlineStr">
        <is>
          <t>R8.10</t>
        </is>
      </c>
      <c r="I10" s="38" t="inlineStr">
        <is>
          <t>【令和8年10月16日 更新】素案 2-3 の第1号被保険者数・認定者数の実績が年報と20か所食い違っていたことが分かり、Ver.2.15 で是正した。⚠ 年度が2年ずれていた（3,270は令和5年度末、3,285は令和4年度末の値）。年報と突き合わせる検査を新設した。　【令和8年10月16日 更新】素案 2-7 の供給側のデータ（定員と稼働・職員数・訪問系の供給余力・町外施設の利用）を確定させる照会の様式を用意した。⚠ 町外の事業所の宛先が作れないため、居宅介護支援事業所への照会で代替する（確認事項No.172・資料提供依頼No.39）。　【令和8年10月7日 更新】①②は完了し、川崎町固有の5重点課題を整理済み。第2章・第3章の現状分析を令和7年度実績（年報）に更新し、図を10点とした。第9期の計画値と実績値の対比（図3-2）により、総給付費は計画を1.3％下回るが、居宅が8.8％下回る一方で施設が3.3％上回り、区分の間で振れが相殺されていることを示した。年齢調整後の認定率・自給率は見える化システムの出力待ち（確認事項No.155）。</t>
        </is>
      </c>
      <c r="J10" s="38" t="inlineStr">
        <is>
          <t>8, 12</t>
        </is>
      </c>
    </row>
    <row r="11" ht="132" customHeight="1">
      <c r="A11" s="38" t="inlineStr">
        <is>
          <t>(7)</t>
        </is>
      </c>
      <c r="B11" s="38" t="inlineStr">
        <is>
          <t>高齢者保健福祉計画及び介護保険事業計画の素案</t>
        </is>
      </c>
      <c r="C11" s="38"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38" t="inlineStr">
        <is>
          <t>①素案v1.0〜v1.6の段階的作成
②資料編の構成案・素案の作成
③仕様書①〜⑨の構成との対応確認・章立ての調整
④素案Ver.2.0の更新（アンケート結果・委員意見の反映）
⑤素案の確定</t>
        </is>
      </c>
      <c r="E11" s="38" t="inlineStr">
        <is>
          <t>計画書素案_v2.10_制度改正補完版（全112頁・図10点・事業一覧表に内容の欄）
同_v2.10c_圧縮案（本文105頁）／計画書_別冊_詳細分析（9頁）
計画素案_概要版_R8.10.4（下書き6頁・1色刷りの図8点）
事業の内容の出所_R8.10.4（2シート・138事業）
図表データ管理台帳_R8.9.30（17シート・自己点検10件）
第9期_計画値実績対比表_R8.10.1（8シート）
策定委員会_逆算工程表_R8.10.1（6シート）
公表版への整理／概要版_構成案／資料編_3表（R8.10.2）</t>
        </is>
      </c>
      <c r="F11" s="39" t="inlineStr">
        <is>
          <t>実施中</t>
        </is>
      </c>
      <c r="G11" s="40" t="n">
        <v>0.99</v>
      </c>
      <c r="H11" s="38" t="inlineStr">
        <is>
          <t>R9.2</t>
        </is>
      </c>
      <c r="I11" s="38" t="inlineStr">
        <is>
          <t>【令和8年10月16日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**添付と並べて読んだことにより、当方の正本そのものの不具合も見えた。** 施策事業表の内容欄31セルに事業の内容でない記述（作業過程の記述・文頭の欠落・存在しない節番号）が入っており、本文に受託者の担当者名・他社名・版の履歴が残っていた。いずれも Ver.2.16 で是正し、27語を見る自己点検を組み込んだ。うち16セルは添付の本文を取り込んだ（ご指示の「内容だけ添付の使えるものを取り込む」に当たる）。　【令和8年10月16日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【令和8年10月16日 更新】照会で確定する素案の箇所を41件まで洗い出した（2-7・5-1・5-3・5-4・5-5・6-3・7-1〜7-6・9-1・9-2・1-5）。回収後にこの順で直す。　【令和8年10月7日 更新】素案は Ver.2.11 まで作成（全113頁・673段落・128表・図10点）。Ver.2.10 で制度改正11事項と法令が定める手続4件を補い、Ver.2.11 で 9-1 の『見込量を0としたサービス』の表を是正（5件とも令和6〜8年度に実績がなく、『実績あり→0』は誤りであった）、9-1 に『施策と見込量の関係』を新設、受託者を主語とする語2か所を削除した。Ver.2.12 で、交付金の全国統計を原典から作り直して突き合わせ、過疎地域非該当の保険者数を856に是正した。素案の数値1,447件のうち94.1％は原典・成果品に突合できる。網羅性の8軸51事項すべて適合。守るべき制約の走査（新規）も不適合0件。</t>
        </is>
      </c>
      <c r="J11" s="38" t="inlineStr">
        <is>
          <t>15, 16, 22, 23</t>
        </is>
      </c>
    </row>
    <row r="12" ht="132" customHeight="1">
      <c r="A12" s="38" t="inlineStr">
        <is>
          <t>(8)</t>
        </is>
      </c>
      <c r="B12" s="38" t="inlineStr">
        <is>
          <t>高齢者保健福祉計画及び第10期介護保険事業計画書の作成</t>
        </is>
      </c>
      <c r="C12" s="38" t="inlineStr">
        <is>
          <t>・中間報告は、その都度指定された期日まで提出すること
・高齢者保健福祉計画及び介護保険事業計画書（案）を作成すること</t>
        </is>
      </c>
      <c r="D12" s="38" t="inlineStr">
        <is>
          <t>①中間報告の提出（指定期日ごと）
②計画書（案）の作成
③概要版の作成
④成果品の印刷・製本・納品</t>
        </is>
      </c>
      <c r="E12" s="38" t="inlineStr">
        <is>
          <t>04シートを参照。別添（資料編）は28件を洗い出し、置き場所を5つに振り分けて本文88頁＋資料編13頁＝101頁の割付けを定めた。第10期で新たに様式を起こす9件のうち、最も急ぐ意見聴取の記録様式（別添22）を令和8年9月29日に作成済み。</t>
        </is>
      </c>
      <c r="F12" s="41" t="inlineStr">
        <is>
          <t>実施中</t>
        </is>
      </c>
      <c r="G12" s="40" t="n">
        <v>0.6</v>
      </c>
      <c r="H12" s="38" t="inlineStr">
        <is>
          <t>R9.3</t>
        </is>
      </c>
      <c r="I12" s="38" t="inlineStr">
        <is>
          <t>【令和8年10月17日 更新】素案 Ver.2.17（中長期補完版）。⚠ 棚卸しで出所が示せていなかった70件は0件になった。　【令和8年10月7日 更新】中間報告（第1回・令和8年10月分）を作成した（8表）。提出の期日のご指定がないため（確認事項No.17）、当面は月末ごとに提出する。県への事前協議の資料一式（5シート）と意見公募手続の一式（6シート＋意見提出用紙）を用意した。⚠ 意見公募手続の実施支援は委託仕様書の業務内容に規定がなく（No.19）、実施をお約束するものではない。概要版は3,827字・表5件まで広げた（当方の環境で7頁。仕様書8は8頁程度）。計画書（案）は素案 Ver.2.11 を母体とする。</t>
        </is>
      </c>
      <c r="J12" s="38"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【令和8年10月7日 更新】人口推計・事業量推計は令和7年度の年報を基礎とする独立算定を完了。素案は Ver.2.11（全113頁）まで進み、第2回策定委員会資料 v8・想定問答集 v4、第3回・第4回の骨子案、中間報告書（第1回）、県事前協議の資料一式、意見公募手続の一式、概要版の拡充までを作成した。⚠ 第2回策定委員会の開催日が未確定（確認事項No.85）であり、11月以降の工程がすべてこれに連なる。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【令和8年10月7日 更新】第2回策定委員会の資料は v8、想定問答集は v4（全44問）まで作成済み。⚠ 開催日が未確定（確認事項No.85）。11月4日の開催であれば納期（令和9年3月15日）に余裕0日で収まるが、11月11日以降は現行の前提（意見公募30日・委員会4回・印刷21日）では収まらない。工程の短縮の案4件を資料 v8 にお示ししている。開催後は、議事録（速報版・確定版）と選択結果を反映した素案の更新に移る。</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【令和8年10月7日 更新】保険料算定表（記号Ａ〜Ｊ・年度別）と感度分析は作成済み。宮城県への事前協議（法第117条）の資料一式と、意見公募手続の一式を先に用意した。⚠ 基金の取崩額は第3回策定委員会（令和9年1月）で決定する。準備基金の令和8年度末残高（確認事項No.11・No.33）と基金条例の確認が前提となる。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【令和8年10月7日 更新】第3回の骨子案を作成済み（次第8件・資料7件・何が決まっていないと開けないか7件）。保険料は算定Ａ・Ｂ・Ｃの3パターンのままお諮りし、取崩額のご決定をいただいて1つに定まる。意見公募手続の結果の報告もこの回で行う。</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【令和8年10月7日 更新】第4回の骨子案を作成済み（次第6件・資料5件）。計画書（案）の確定と答申。⚠ 答申を行うか、諮問書・答申書を別添に掲げるかは確認事項No.131のご判断による。委員会を全3回とする場合はこの回を設けない（No.49）。</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0"/>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38" t="n">
        <v>4</v>
      </c>
      <c r="B8" s="38" t="inlineStr">
        <is>
          <t>(3)</t>
        </is>
      </c>
      <c r="C8" s="38" t="inlineStr">
        <is>
          <t>R8.6</t>
        </is>
      </c>
      <c r="D8" s="38" t="inlineStr">
        <is>
          <t>策定委員会の開催日程・審議事項</t>
        </is>
      </c>
      <c r="E8" s="38" t="inlineStr">
        <is>
          <t>第1回は令和8年9月2日（水）で確定。第2回〜第4回の開催日、審議事項、資料の提出期限及び委員への事前配布の時期。受託者の出席の要否についても併せてご確認をお願いする。</t>
        </is>
      </c>
      <c r="F8" s="38" t="inlineStr">
        <is>
          <t>第2回〜第4回委員会資料
計画素案_概要版（事前配布用）</t>
        </is>
      </c>
      <c r="G8" s="38" t="inlineStr">
        <is>
          <t>発注者</t>
        </is>
      </c>
      <c r="H8" s="42" t="inlineStr">
        <is>
          <t>確認待ち</t>
        </is>
      </c>
      <c r="I8" s="38" t="inlineStr">
        <is>
          <t>R8.10</t>
        </is>
      </c>
      <c r="J8" s="38" t="inlineStr">
        <is>
          <t>【令和8年10月20日 更新③（ヒアリングを行わない整理）】⚠ **第2回＝令和8年11月24日（火）で逆算し直しました。**逆算工程表を R8.10.20 版に改め、候補日4つの比較から確定日1つの工程に引き直しました（川崎町_策定委員会_逆算工程表_R8.10.20.xlsx）。
⚠ **本日（10月20日）が開催通知（35日前）の期限です。**　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38" t="n">
        <v>9</v>
      </c>
      <c r="B13" s="38" t="inlineStr">
        <is>
          <t>(5)</t>
        </is>
      </c>
      <c r="C13" s="38" t="inlineStr">
        <is>
          <t>R8.6</t>
        </is>
      </c>
      <c r="D13" s="38" t="inlineStr">
        <is>
          <t>介護給付費準備基金の残高（令和8年6月時点）</t>
        </is>
      </c>
      <c r="E13" s="38" t="inlineStr">
        <is>
          <t>第7期から第9期までの積立・取崩実績及び令和8年度末の残高見込を含む。現在は計画ベースの53,700千円を仮置きしている。</t>
        </is>
      </c>
      <c r="F13" s="38" t="inlineStr">
        <is>
          <t>保険料試算ワークブック 01!B15
保険料3パターンの水準</t>
        </is>
      </c>
      <c r="G13" s="38" t="inlineStr">
        <is>
          <t>発注者</t>
        </is>
      </c>
      <c r="H13" s="42" t="inlineStr">
        <is>
          <t>完了</t>
        </is>
      </c>
      <c r="I13" s="38" t="inlineStr">
        <is>
          <t>R8.6</t>
        </is>
      </c>
      <c r="J13" s="38" t="inlineStr">
        <is>
          <t>【令和8年10月19日 更新】令和8年10月19日出力の総括表に、介護給付費準備基金の残高（前年度末の見込額）152,500,000円が入りました（旧版は0）。素案 9-3 の令和8年度末見込152,500千円と一致します。⚠ **取崩額は0のまま**で、総括表の保険料は当方の算定Ａ（取崩なし）と同じ土俵の値です。取崩しのご判断（第3回策定委員会）は引き続きお願いします。　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38" t="n">
        <v>10</v>
      </c>
      <c r="B14" s="38" t="inlineStr">
        <is>
          <t>(5)</t>
        </is>
      </c>
      <c r="C14" s="38" t="inlineStr">
        <is>
          <t>R8.7</t>
        </is>
      </c>
      <c r="D14" s="38" t="inlineStr">
        <is>
          <t>所得段階別被保険者数</t>
        </is>
      </c>
      <c r="E14" s="38" t="inlineStr">
        <is>
          <t>所得段階別の第1号被保険者数。補正係数は現在0.97を第9期基準額から逆算して仮置きしている。</t>
        </is>
      </c>
      <c r="F14" s="38" t="inlineStr">
        <is>
          <t>保険料試算ワークブック 06!B17
保険料基準額</t>
        </is>
      </c>
      <c r="G14" s="38" t="inlineStr">
        <is>
          <t>発注者</t>
        </is>
      </c>
      <c r="H14" s="42" t="inlineStr">
        <is>
          <t>完了</t>
        </is>
      </c>
      <c r="I14" s="38" t="inlineStr">
        <is>
          <t>R8.7</t>
        </is>
      </c>
      <c r="J14" s="38" t="inlineStr">
        <is>
          <t>【令和8年10月19日 更新】令和8年10月19日出力の総括表で、所得段階別の第1号被保険者数が**13段階すべて埋まりました**（旧版は第10〜13段階が0人の9段階）。所得段階別加入割合補正後被保険者数は9,272.145人→9,891.41人（+619.27人）。素案 9-3 が［要確認］としていた箇所が解消します。⚠ ただし13段階の出所（令和7年度末実績か推計か）をお教えください。素案は計3,240人、総括表の令和9年度は計3,231人です。　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38" t="n">
        <v>11</v>
      </c>
      <c r="B15" s="38" t="inlineStr">
        <is>
          <t>(5)</t>
        </is>
      </c>
      <c r="C15" s="38" t="inlineStr">
        <is>
          <t>R8.7</t>
        </is>
      </c>
      <c r="D15" s="38" t="inlineStr">
        <is>
          <t>保険料収納率の実績及び調整交付金等の交付実績</t>
        </is>
      </c>
      <c r="E15" s="38" t="inlineStr">
        <is>
          <t>令和4〜7年度の保険料収納率（総合・現年・特別徴収・普通徴収の別）、調整交付金の交付実績及び保険者機能強化推進交付金等の交付実績。
【令和8年10月19日 更新】令和8年10月19日出力の総括表で3つが動きました。⚠ **①予定保険料収納率が96.0％→97.0％になっています。**当方の素案は総合収納率の実績（96.3〜96.7％）を踏まえ96.0％を置いています。97.0％とされた根拠をお教えください。
⚠ **②調整交付金見込交付割合が6.14／5.93／5.69％→4.71／4.47／4.15％に下がりました。**見込額は令和9年度 68,810千円→53,759千円です。なお令和6年度の交付実績は53,478千円（年報 様式４）で、**新版の方が実績に近い値**です。下がった理由（所得段階別加入割合補正係数の変化によるものか）をお教えください。
⚠ **③保険者機能強化推進交付金の交付見込額が0→第10期3か年4,500千円**で立ちました。年度別の内訳と、保険者努力支援交付金を含むかどうかをお教えください（令和6年度実績は機能強化1,277千円・努力支援2,461千円）。</t>
        </is>
      </c>
      <c r="F15" s="38" t="inlineStr">
        <is>
          <t>保険料試算ワークブック 06!B16、04!B8、06!B10
保険料基準額</t>
        </is>
      </c>
      <c r="G15" s="38" t="inlineStr">
        <is>
          <t>発注者</t>
        </is>
      </c>
      <c r="H15" s="42" t="inlineStr">
        <is>
          <t>確認待ち</t>
        </is>
      </c>
      <c r="I15" s="38" t="inlineStr">
        <is>
          <t>R8.8</t>
        </is>
      </c>
      <c r="J15" s="38"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38" t="n">
        <v>13</v>
      </c>
      <c r="B17" s="38" t="inlineStr">
        <is>
          <t>(5)</t>
        </is>
      </c>
      <c r="C17" s="38" t="inlineStr">
        <is>
          <t>R8.9</t>
        </is>
      </c>
      <c r="D17" s="38" t="inlineStr">
        <is>
          <t>地域支援事業の実績及び見込みの前提</t>
        </is>
      </c>
      <c r="E17" s="38" t="inlineStr">
        <is>
          <t>仕様書6（5）が定める①地域支援事業対象者数、②介護予防・生活支援サービス事業、③一般介護予防事業、④包括的支援事業、⑤任意事業の各事業の実績（令和4〜8年度）及び第10期の実施方針。
【令和8年10月19日 更新】⚠ **令和8年10月19日出力の総括表に、地域支援事業費が初めて入りました。**第10期3か年で108,924千円（総合事業34,917千円・包括的支援事業43,500千円・社会保障充実分30,507千円。3か年とも同額の36,308千円）です。
⚠ **当方の素案 9-1・9-2 は148,788千円**（令和9年度46,033・令和10年度49,596・令和11年度53,159千円）で、**39,864千円（26.8％）食い違います。**保険料にして約▲94円／月の差です。
⚠ なお当方の令和11年度53,159千円は、旧版の総括表の49,161千円とも一致しません。旧版は総合事業費を令和11年度2,227千円と置いており（令和9年度6,786・令和10年度6,506千円からの不連続）、当方はこれを採らず直線で延ばしていました。
**①新版の108,924千円の根拠（事業別の実績）をご提供いただき、②どちらを計画に載せるかをご判断ください。**地域支援事業のデータが未受領である状態は、根拠資料をいただくまで解除できません。</t>
        </is>
      </c>
      <c r="F17" s="38" t="inlineStr">
        <is>
          <t>地域支援事業の費用・量の見込み
保険料試算ワークブック 03シート</t>
        </is>
      </c>
      <c r="G17" s="38" t="inlineStr">
        <is>
          <t>発注者</t>
        </is>
      </c>
      <c r="H17" s="42" t="inlineStr">
        <is>
          <t>確認待ち</t>
        </is>
      </c>
      <c r="I17" s="38" t="inlineStr">
        <is>
          <t>R8.9</t>
        </is>
      </c>
      <c r="J17" s="38"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38" t="n">
        <v>19</v>
      </c>
      <c r="B23" s="38" t="inlineStr">
        <is>
          <t>(8)</t>
        </is>
      </c>
      <c r="C23" s="38" t="inlineStr">
        <is>
          <t>R8.7</t>
        </is>
      </c>
      <c r="D23" s="38" t="inlineStr">
        <is>
          <t>パブリックコメント及び条例改正に係る支援の取扱い</t>
        </is>
      </c>
      <c r="E23" s="38"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38" t="inlineStr">
        <is>
          <t>パブリックコメント関係資料
条例改正案</t>
        </is>
      </c>
      <c r="G23" s="38" t="inlineStr">
        <is>
          <t>発注者</t>
        </is>
      </c>
      <c r="H23" s="42" t="inlineStr">
        <is>
          <t>確認待ち</t>
        </is>
      </c>
      <c r="I23" s="38" t="inlineStr">
        <is>
          <t>R8.9</t>
        </is>
      </c>
      <c r="J23" s="38" t="inlineStr">
        <is>
          <t>【令和8年10月21日 更新（資料v9・想定問答集v5）】⚠ **パブリックコメントの開始が令和8年12月29日に当たります。**第2回（11月24日）から計画書（案）の作成と宮城県への事前協議に35日を見込むとこうなります。年末年始を挟むと実質の周知期間が短くなりますので、**令和9年1月4日（月）開始とする案**を資料 v9 の８に併記しました（この場合の納品は令和9年3月15日ちょうど）。期間（30日間とするか）と開始日のご判断をお願いします。　【令和8年10月20日 更新③（ヒアリングを行わない整理）】⚠ **30日間とすると開始が12月29日になり年末年始を挟みます。**第2回（11月24日）から計画書（案）の作成と県協議に35日を見込むとこうなります。**令和9年1月4日（月）開始とする案**を逆算工程表の02シートに併記しました（この場合の納品は3月15日ちょうどになります）。期間・開始日のご判断をお願いします。　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38" t="n">
        <v>29</v>
      </c>
      <c r="B33" s="38" t="inlineStr">
        <is>
          <t>(5)(6)</t>
        </is>
      </c>
      <c r="C33" s="38" t="inlineStr">
        <is>
          <t>R8.9</t>
        </is>
      </c>
      <c r="D33" s="38" t="inlineStr">
        <is>
          <t>町内の介護保険事業所一覧</t>
        </is>
      </c>
      <c r="E33" s="38" t="inlineStr">
        <is>
          <t>名称・種別・定員・所在。サービス見込量及び見込量確保のための方策の検討の前提となる。</t>
        </is>
      </c>
      <c r="F33" s="38" t="inlineStr">
        <is>
          <t>サービス見込量の推計
第1回策定委員会資料（供給の議論）</t>
        </is>
      </c>
      <c r="G33" s="38" t="inlineStr">
        <is>
          <t>発注者</t>
        </is>
      </c>
      <c r="H33" s="39" t="inlineStr">
        <is>
          <t>確認待ち</t>
        </is>
      </c>
      <c r="I33" s="38" t="inlineStr">
        <is>
          <t>R8.9</t>
        </is>
      </c>
      <c r="J33" s="38" t="inlineStr">
        <is>
          <t xml:space="preserve">【令和8年10月20日 更新③（ヒアリングを行わない整理）】⚠ **指定の年月日・入所率・待機者数・認知症対応型共同生活介護の定員が埋まりました。**介護サービス情報公表システム（本体）の詳細ページから、町内14の指定すべてを採録しました（令和8年10月20日）。
・入所・入居系の定員 計173人／在所者 計166人／入所率 90.0％〜100.0％
・待機者数　介護老人福祉施設20人・介護老人保健施設2人
・認知症対応型共同生活介護の定員 計27人（オープンデータで未報告であった1事業所の18人が本体に載っていました）
・指定の年月日と指定権者の別（地域密着型4件と居宅介護支援2件は町、8件は県）
・短期入所生活介護は「空床利用型」
⚠ **残るのは地域密着型介護老人福祉施設の待機者数のみ**です（公表の様式に項目がありません）。町が指定権者ですので町の台帳で補えます。　【令和8年10月20日 更新②（突合の実施）】⚠ **町内の事業所を当方で押さえました。**介護サービス情報公表システムのオープンデータ（令和8年6月末時点）を市町村コード043249で抽出した結果、町内には**8の事業所**があり、延べ14のサービスを担っています。運営しているのは**3法人**です。計画素案を Ver.2.20 に上げ、2-7・7-1・9-1 に反映しました。
⚠ **素案の記述に誤りが1件ありました。**「小規模多機能型居宅介護等の地域密着型サービスが中心」としていましたが、**町内に小規模多機能型居宅介護はありません。**直しました。
⚠ **引き続きご確認をお願いするもの。**①指定の年月日と指定の主体（町か県か）の別②入所者数・入所率・稼働率・待機者数③認知症対応型共同生活介護の定員（1事業所が未報告で、分かっているのは9人までです）。いずれもオープンデータの24列に含まれません。照会票（順位27）でお尋ねする内容は変わりません。　【令和8年10月20日 更新】⚠ **当方で先に押さえられる見込みが立ちました。**介護サービス情報公表システムの画面は自動のアクセスを受け付けませんが、厚生労働省が同じ内容を**サービス種類別のＣＳＶ（オープンデータ）**として公表しており、許可済みのドメインから取れます（https://www.mhlw.go.jp/stf/kaigo-kouhyou_opendata.html）。本日、市町村コード043249で川崎町の事業所が取れることを確かめました（例：認知症対応型共同生活介護2件。事業所名・事業所番号・法人番号・法人の名称・所在地・定員の24列）。他の案件で用いられていた手です。⚠ **指定の年月日・町の指定か県の指定かの別はオープンデータに含まれません**ので、その部分は引き続きご確認をお願いします。　</t>
        </is>
      </c>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38" t="n">
        <v>39</v>
      </c>
      <c r="B43" s="38" t="inlineStr">
        <is>
          <t>(4)(5)</t>
        </is>
      </c>
      <c r="C43" s="38" t="inlineStr">
        <is>
          <t>R8.9</t>
        </is>
      </c>
      <c r="D43" s="38" t="inlineStr">
        <is>
          <t>保険者機能強化推進交付金の交付額と充当先</t>
        </is>
      </c>
      <c r="E43" s="38" t="inlineStr">
        <is>
          <t>令和6〜8年度の交付額及び充当先の事業。第9期の地域支援事業の財源構成の確認に必要。令和6年度の交付見込額は3,738千円と推計される。</t>
        </is>
      </c>
      <c r="F43" s="38" t="inlineStr">
        <is>
          <t>地域支援事業の費用の見込み
保険料試算ワークブック 03</t>
        </is>
      </c>
      <c r="G43" s="38" t="inlineStr">
        <is>
          <t>発注者</t>
        </is>
      </c>
      <c r="H43" s="39" t="inlineStr">
        <is>
          <t>確認待ち</t>
        </is>
      </c>
      <c r="I43" s="38" t="inlineStr">
        <is>
          <t>R8.9</t>
        </is>
      </c>
      <c r="J43" s="38" t="inlineStr">
        <is>
          <t xml:space="preserve">【令和8年10月22日 更新③（交付金の再整理・素案Ver.2.24）】⚠ 素案（Ver.2.23 まで）は「保険料算定は令和8年度の交付実績を据え置いている」と書いていたが、保険料算定表は交付金を差し引いておらず、事実と違っていた（Ver.2.24 で是正）。一方、令和8年10月19日出力の将来推計総括表は「保険者機能強化推進交付金等の交付見込額」に3か年4,500千円を置き、差し引いている。見込めば月額約40円下がる（6,822円→6,782円）。令和6年度の交付見込額は3,738千円（推進1,277・支援2,461、うち激変緩和措置分1,231千円）。令和7・8年度の交付額と、保険料に見込むか否か・見込む額のご判断をお願いします。既定値＝見込まない（素案のまま）とし、総括表との食い違いを第3回の資料で明示する。　</t>
        </is>
      </c>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38" t="inlineStr">
        <is>
          <t>49</t>
        </is>
      </c>
      <c r="B53" s="38" t="inlineStr">
        <is>
          <t>(3)(8)</t>
        </is>
      </c>
      <c r="C53" s="38" t="inlineStr">
        <is>
          <t>R8.9</t>
        </is>
      </c>
      <c r="D53" s="38" t="inlineStr">
        <is>
          <t>策定委員会の回数と答申の確定時期</t>
        </is>
      </c>
      <c r="E53" s="38"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38" t="inlineStr">
        <is>
          <t>策定スケジュール
保険料試算の提示時期
サービス見込量の確定時期
第2回・第3回委員会資料</t>
        </is>
      </c>
      <c r="G53" s="38" t="inlineStr">
        <is>
          <t>発注者</t>
        </is>
      </c>
      <c r="H53" s="39" t="inlineStr">
        <is>
          <t>確認待ち</t>
        </is>
      </c>
      <c r="I53" s="38" t="inlineStr">
        <is>
          <t>R8.9</t>
        </is>
      </c>
      <c r="J53" s="38" t="inlineStr">
        <is>
          <t>【令和8年10月21日 更新（資料v9・想定問答集v5）】⚠ **委託仕様書の読み違いを是正しました。**第2回委員会資料 v8 の表38 は「委託仕様書上、策定委員会は3回構成であり」としていましたが、**仕様書6(3)は「策定委員会の開催回数は4回開催の予定」**と定めています。3回構成は第1回策定委員会の当日にお示しいただいた日程によるものでした。資料 v9 の表38 で是正しています。
⚠ **全4回では納期に間に合いません。**第2回を11月24日として逆算すると、全4回・パブコメ30日・印刷3週間で納品は令和9年4月4日（**20日超過**）、パブコメ20日・印刷2週間に詰めても3月18日（3日超過）です。全3回（第3回でパブリックコメントの結果の報告・保険料の決定・答申の内容の確定を併せて行う）であれば令和9年3月10日（余裕5日）です。
⚠ **仕様書11**（本仕様の定めのない事項については、必要に応じ協議の上実施する）により、回数のご協議をお願いします。第2回でお諮りする形で資料を組んでいます。　【令和8年10月20日 更新③（ヒアリングを行わない整理）】⚠ **全4回では納期（令和9年3月15日）に間に合いません。**第2回を11月24日として逆算すると、全4回・パブコメ30日・印刷3週間では納品が令和9年4月4日となり**20日超過**します。パブコメを20日・印刷を2週間に詰めても3日超過します。
**全3回（第3回で保険料の決定・パブコメの結果の報告・答申を併せて行う）を推します。**この場合の納品は令和9年3月10日（余裕5日）です。第2回でお諮りします。　確認事項No.4を更新。3回構成なら国保連データの入手は11月中が必要。</t>
        </is>
      </c>
    </row>
    <row r="54" ht="80" customHeight="1">
      <c r="A54" s="38" t="inlineStr">
        <is>
          <t>50</t>
        </is>
      </c>
      <c r="B54" s="38" t="inlineStr">
        <is>
          <t>(5)(6)</t>
        </is>
      </c>
      <c r="C54" s="38" t="inlineStr">
        <is>
          <t>R8.9</t>
        </is>
      </c>
      <c r="D54" s="38" t="inlineStr">
        <is>
          <t>介護人材の不足と事業所の運営状況</t>
        </is>
      </c>
      <c r="E54" s="38"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38" t="inlineStr">
        <is>
          <t>サービス見込量の推計（仕様書6（5））
見込量確保のための方策
素案 第5章・第6章</t>
        </is>
      </c>
      <c r="G54" s="38" t="inlineStr">
        <is>
          <t>発注者</t>
        </is>
      </c>
      <c r="H54" s="39" t="inlineStr">
        <is>
          <t>確認待ち</t>
        </is>
      </c>
      <c r="I54" s="38" t="inlineStr">
        <is>
          <t>R8.10</t>
        </is>
      </c>
      <c r="J54" s="38" t="inlineStr">
        <is>
          <t>【令和8年10月22日 更新（県の入所状況調）】⚠ **町への要望・必要な支援は、県の入所状況調にもありません。** 地域ケア会議・地域密着型サービス運営協議会という既存の場で聴くという整理（素案 第7章7-6）を変えません。　【令和8年10月20日 更新③（ヒアリングを行わない整理）】⚠ **ヒアリングを行わない整理に改めました。**職種別の従業者数・常勤換算・前年度の採用者数及び退職者数は公表システムから採録できました。素案 7-6 の①を「年1回の公表情報の定点把握」に改めています。
⚠ **公表の項目にないもの（経営の状況・町への要望）は残ります。**これらは地域ケア会議・地域密着型サービス運営協議会という既存の場で聴くものとして素案に位置付けました。新たな調査は要しません。　供給制約が第9期の給付費平坦（R6→R7で▲0.7％）の要因である可能性。資料提供依頼No.12（事業所・施設の定員及び稼働の実績）と一体。</t>
        </is>
      </c>
    </row>
    <row r="55" ht="80" customHeight="1">
      <c r="A55" s="38" t="inlineStr">
        <is>
          <t>51</t>
        </is>
      </c>
      <c r="B55" s="38" t="inlineStr">
        <is>
          <t>(5)(6)</t>
        </is>
      </c>
      <c r="C55" s="38" t="inlineStr">
        <is>
          <t>R8.9</t>
        </is>
      </c>
      <c r="D55" s="38" t="inlineStr">
        <is>
          <t>訪問介護の登録ヘルパー数と実働数</t>
        </is>
      </c>
      <c r="E55" s="38"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38" t="inlineStr">
        <is>
          <t>サービス見込量（訪問介護）
在宅生活継続支援の施策
素案 第5章 5-3</t>
        </is>
      </c>
      <c r="G55" s="38" t="inlineStr">
        <is>
          <t>発注者</t>
        </is>
      </c>
      <c r="H55" s="39" t="inlineStr">
        <is>
          <t>確認待ち</t>
        </is>
      </c>
      <c r="I55" s="38" t="inlineStr">
        <is>
          <t>R8.10</t>
        </is>
      </c>
      <c r="J55" s="38" t="inlineStr">
        <is>
          <t>【令和8年10月22日 更新（県の入所状況調）】⚠ **経営の状況（収支・人件費率）は、県の入所状況調にもありません。** 公表されている仕組みがありませんので、**計画には書かず**、介護事業経営実態調査（全国・サービス種類別の収支差率）の水準を参照するにとどめます。　【令和8年10月20日 更新③（ヒアリングを行わない整理）】⚠ **公表値で置き換えました。**訪問介護の従業者は実人数5人・常勤換算4.5人です（公表システム・令和8年1月記入）。
⚠ **公表の項目は「従業者数」であり、登録者数と実働者数の別はありません。**第1回策定委員会でご発言のあった登録者数・実働者数は、議事録が手元になく出所を明示できないため、素案から数値を外し、数値を伴わない事実の記述として残しました。議事録でお確かめいただけるのであれば戻せますので、ご指示ください。　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38" t="inlineStr">
        <is>
          <t>53</t>
        </is>
      </c>
      <c r="B57" s="38" t="inlineStr">
        <is>
          <t>(3)</t>
        </is>
      </c>
      <c r="C57" s="38" t="inlineStr">
        <is>
          <t>R8.9</t>
        </is>
      </c>
      <c r="D57" s="38" t="inlineStr">
        <is>
          <t>第2回委員会資料の様式と事前配布の期限</t>
        </is>
      </c>
      <c r="E57" s="38"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38" t="inlineStr">
        <is>
          <t>第2回委員会資料
計画骨子（素案）
ニーズ調査結果報告書</t>
        </is>
      </c>
      <c r="G57" s="38" t="inlineStr">
        <is>
          <t>発注者</t>
        </is>
      </c>
      <c r="H57" s="39" t="inlineStr">
        <is>
          <t>確認待ち</t>
        </is>
      </c>
      <c r="I57" s="38" t="inlineStr">
        <is>
          <t>R8.10</t>
        </is>
      </c>
      <c r="J57" s="38" t="inlineStr">
        <is>
          <t>【令和8年10月21日 更新（資料v9・想定問答集v5）】開催日が11月24日に確定しましたので、**事前配布は11月10日（火）**（14日前）、**事前質問の締切は11月17日（火）**（7日前）となります。資料 v9・想定問答集 v5 は作成済みです（資料は全９版・想定問答集は全61問）。紙・電子のいずれによるか、部数をご指示ください。　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38" t="inlineStr">
        <is>
          <t>58</t>
        </is>
      </c>
      <c r="B62" s="38" t="inlineStr">
        <is>
          <t>(4)</t>
        </is>
      </c>
      <c r="C62" s="38" t="inlineStr">
        <is>
          <t>R8.9</t>
        </is>
      </c>
      <c r="D62" s="38" t="inlineStr">
        <is>
          <t>交付金評価「評価結果の活用」が16点から0点となった理由</t>
        </is>
      </c>
      <c r="E62" s="38"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38" t="inlineStr">
        <is>
          <t>第9期の評価（仕様書6（4））
第2回委員会資料
素案 第9章（KPI管理表）</t>
        </is>
      </c>
      <c r="G62" s="38" t="inlineStr">
        <is>
          <t>発注者</t>
        </is>
      </c>
      <c r="H62" s="39" t="inlineStr">
        <is>
          <t>確認待ち</t>
        </is>
      </c>
      <c r="I62" s="38" t="inlineStr">
        <is>
          <t>R8.10</t>
        </is>
      </c>
      <c r="J62" s="38" t="inlineStr">
        <is>
          <t>【令和8年10月22日 更新③（交付金の再整理・素案Ver.2.24）】37点の減少を枝番の単位・得点率で分けると、成果指標群▲30・配点の改定▲7・新設＋2・取組の後退▲34・前進＋32。「評価結果の活用」16点は取組の後退34点のうち最大の項目（単独で最大の要因ではない。最大は成果指標群）。　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38" t="inlineStr">
        <is>
          <t>76</t>
        </is>
      </c>
      <c r="B80" s="38" t="inlineStr">
        <is>
          <t>(5)</t>
        </is>
      </c>
      <c r="C80" s="38" t="inlineStr">
        <is>
          <t>R8.9</t>
        </is>
      </c>
      <c r="D80" s="38" t="inlineStr">
        <is>
          <t>令和8年度の給付費が0になっているサービスが12件ある</t>
        </is>
      </c>
      <c r="E80" s="38"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38" t="inlineStr">
        <is>
          <t>見える化システム 第1回目提出（R8.10.5）
素案 第6章 サービス見込量</t>
        </is>
      </c>
      <c r="G80" s="38" t="inlineStr">
        <is>
          <t>発注者</t>
        </is>
      </c>
      <c r="H80" s="39" t="inlineStr">
        <is>
          <t>確認待ち</t>
        </is>
      </c>
      <c r="I80" s="38" t="inlineStr">
        <is>
          <t>R8.9</t>
        </is>
      </c>
      <c r="J80" s="38" t="inlineStr">
        <is>
          <t>【令和8年10月19日 更新】⚠ **令和8年10月19日出力の総括表でも是正されていません。**令和9〜32年度が0のサービスは12件で、土台としてきた版（R8.9.11出力_④訂正後）と同じ12行です。加えて**令和8年度（伸び率の基準年）も12行すべて0に戻りました**。No.79 の差し替えが新しい推計パターンに引き継がれていないためです。　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38" t="inlineStr">
        <is>
          <t>79</t>
        </is>
      </c>
      <c r="B83" s="38" t="inlineStr">
        <is>
          <t>(5)</t>
        </is>
      </c>
      <c r="C83" s="38" t="inlineStr">
        <is>
          <t>R8.9</t>
        </is>
      </c>
      <c r="D83" s="38" t="inlineStr">
        <is>
          <t>自然体推計の伸び率の選択期間と令和8年度の実績見込みの扱い</t>
        </is>
      </c>
      <c r="E83" s="38" t="inlineStr">
        <is>
          <t>第10期将来推計総括表の令和8年度の実績見込みの扱いについて。
【令和8年10月19日 更新】⚠ **令和8年10月19日出力の版で、令和8年度の実績見込み値が差し替え**前**に戻っています。**
4_施策反映の解説の「実績見込み値の設定内容」欄にあった差し替えの理由の記録（施設・居住系サービス利用者数／在宅サービス利用者数／在宅サービス利用回（日）数の3件）が空欄になり、2_サービス別給付費の令和8年度の列がR8.9.11出力（原稿）と53行すべて一致しています（④訂正後とは62件相違）。
⚠ **令和8年度は全ての伸び率の基準年**ですので、ここが戻ると令和9〜32年度のすべてが動きます。令和9年度の総給付費は+15,112千円になりました。
⚠ あわせて、施設・居住系サービスの1人1月あたり給付費の基準年度が令和7年度→**令和8年度**に戻っています（4_施策反映の解説 行21）。在宅（行33）は新旧とも令和8年度のままで、当方がお願いしていた令和7年度への変更は今回も反映されていません。
**新しい推計パターンを作る際に、差し替えの設定が引き継がれていないものと思われます。**①意図したものかどうか、②差し替えをやり直すかどうかをご判断ください。</t>
        </is>
      </c>
      <c r="F83" s="38" t="inlineStr">
        <is>
          <t>見える化システム 第1回目提出（R8.10.5）
素案 第6章・第9章</t>
        </is>
      </c>
      <c r="G83" s="38" t="inlineStr">
        <is>
          <t>発注者・宮城県長寿社会政策課</t>
        </is>
      </c>
      <c r="H83" s="39" t="inlineStr">
        <is>
          <t>確認待ち</t>
        </is>
      </c>
      <c r="I83" s="38" t="inlineStr">
        <is>
          <t>R8.9</t>
        </is>
      </c>
      <c r="J83" s="38" t="inlineStr">
        <is>
          <t>【令和8年10月21日 更新（資料v9・想定問答集v5）】⚠ **想定問答集 v5 の QB-54 に併記しました。**令和8年度の実績見込み値が差し替え前の値に戻っている点について、伸び率の基準年が動くため保険料に直接影響する旨を答える形にしています。No.186 と同じく10月30日までにご判断をお願いします。　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38" t="inlineStr">
        <is>
          <t>83</t>
        </is>
      </c>
      <c r="B87" s="38" t="inlineStr">
        <is>
          <t>(7)</t>
        </is>
      </c>
      <c r="C87" s="38" t="inlineStr">
        <is>
          <t>R8.10</t>
        </is>
      </c>
      <c r="D87" s="38" t="inlineStr">
        <is>
          <t>計画書の頁数（成果品は100頁程度）</t>
        </is>
      </c>
      <c r="E87" s="38"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38" t="inlineStr">
        <is>
          <t>成果品4 計画書
成果品6 電子データ</t>
        </is>
      </c>
      <c r="G87" s="38" t="inlineStr">
        <is>
          <t>発注者</t>
        </is>
      </c>
      <c r="H87" s="39" t="inlineStr">
        <is>
          <t>確認待ち</t>
        </is>
      </c>
      <c r="I87" s="38" t="inlineStr">
        <is>
          <t>R8.10</t>
        </is>
      </c>
      <c r="J87" s="38" t="inlineStr">
        <is>
          <t>【令和8年10月21日 更新（資料v9・想定問答集v5）】⚠ **素案 Ver.2.22 は本文117頁です。**資料編（見込13頁）を加えると計130頁となり、仕様書8の「100頁程度」との差は**＋30頁**です。⚠ **圧縮案は Ver.2.18c（本文106頁）のままであり、現在の素案に合わせて作り直す必要があります。**「100頁程度」を本文のみと読むか資料編を含めて読むかのご判断とあわせて、作り直しの要否をご指示ください。資料 v9 の表35 に3つの版を並べています。　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38" t="inlineStr">
        <is>
          <t>85</t>
        </is>
      </c>
      <c r="B89" s="38" t="inlineStr">
        <is>
          <t>(3)</t>
        </is>
      </c>
      <c r="C89" s="38" t="inlineStr">
        <is>
          <t>R8.10</t>
        </is>
      </c>
      <c r="D89" s="38" t="inlineStr">
        <is>
          <t>第2回策定委員会の開催日と諮る事項</t>
        </is>
      </c>
      <c r="E89" s="38"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38" t="inlineStr">
        <is>
          <t>第2回策定委員会資料
第2回委員会想定問答集</t>
        </is>
      </c>
      <c r="G89" s="38" t="inlineStr">
        <is>
          <t>発注者</t>
        </is>
      </c>
      <c r="H89" s="39" t="inlineStr">
        <is>
          <t>確認待ち</t>
        </is>
      </c>
      <c r="I89" s="38" t="inlineStr">
        <is>
          <t>R8.10</t>
        </is>
      </c>
      <c r="J89" s="38" t="inlineStr">
        <is>
          <t>【令和8年10月20日 更新③（ヒアリングを行わない整理）】⚠ **開催日が確定しました（令和8年11月24日・火）。**これにより次が決まります。
・資料・想定問答集の確定　⚠ **10月30日（金）**（21日前は11月3日の文化の日に当たるため前倒し。町とのすり合わせの時間を確保するためでもあります）
・事前配布（14日前）　11月10日（火）
・事前質問の締切（7日前）　11月17日（火）
・想定問答集の更新　11月20日（金）
諮る事項は資料v9でお示しします。　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3" ht="80" customHeight="1">
      <c r="A133" s="9" t="inlineStr">
        <is>
          <t>129</t>
        </is>
      </c>
      <c r="B133" s="9" t="inlineStr">
        <is>
          <t>(3)(8)</t>
        </is>
      </c>
      <c r="C133" s="9" t="inlineStr">
        <is>
          <t>R8.10</t>
        </is>
      </c>
      <c r="D133" s="7" t="inlineStr">
        <is>
          <t>策定委員会の設置根拠（規則又は要綱）と規則上の名称</t>
        </is>
      </c>
      <c r="E133" s="7" t="inlineStr">
        <is>
          <t>計画書の資料編に策定委員会の設置根拠を掲げます。第9期計画の資料編は「川崎町介護保険運営委員会規則」を掲げていますが、今期は「高齢者保健福祉計画・介護保険事業計画策定委員会」の名称で運営いただいております。規則又は要綱の写しと、規則上の名称（改正の有無を含む）をご教示ください。</t>
        </is>
      </c>
      <c r="F133" s="7" t="inlineStr">
        <is>
          <t>計画書 資料編2・3
素案 第1章1-3</t>
        </is>
      </c>
      <c r="G133" s="9" t="inlineStr">
        <is>
          <t>発注者</t>
        </is>
      </c>
      <c r="H133" s="12" t="inlineStr">
        <is>
          <t>確認待ち</t>
        </is>
      </c>
      <c r="I133" s="9" t="inlineStr">
        <is>
          <t>R8.10</t>
        </is>
      </c>
      <c r="J133" s="7" t="inlineStr">
        <is>
          <t>第9期資料編の4項目（条例抜粋・規則・名簿・策定経過）は第10期も継承する。名称が規則と一致しない場合は、計画書の記載を規則に合わせる必要がある。</t>
        </is>
      </c>
    </row>
    <row r="134" ht="80" customHeight="1">
      <c r="A134" s="9" t="inlineStr">
        <is>
          <t>130</t>
        </is>
      </c>
      <c r="B134" s="9" t="inlineStr">
        <is>
          <t>(3)(8)</t>
        </is>
      </c>
      <c r="C134" s="9" t="inlineStr">
        <is>
          <t>R8.10</t>
        </is>
      </c>
      <c r="D134" s="7" t="inlineStr">
        <is>
          <t>策定委員会 委員名簿と計画書への掲載の可否</t>
        </is>
      </c>
      <c r="E134" s="7" t="inlineStr">
        <is>
          <t>委員名簿（氏名・所属・区分）をご提供ください。第9期は資料編に掲載されています。個人情報の取扱い上、氏名を掲載するか所属のみとするかもご判断ください。</t>
        </is>
      </c>
      <c r="F134" s="7" t="inlineStr">
        <is>
          <t>計画書 資料編3</t>
        </is>
      </c>
      <c r="G134" s="9" t="inlineStr">
        <is>
          <t>発注者</t>
        </is>
      </c>
      <c r="H134" s="12" t="inlineStr">
        <is>
          <t>確認待ち</t>
        </is>
      </c>
      <c r="I134" s="9" t="inlineStr">
        <is>
          <t>R8.10</t>
        </is>
      </c>
      <c r="J134" s="7" t="inlineStr">
        <is>
          <t>第1回策定委員会（令和8年9月2日）の出席者は把握しているが、名簿は未受領。</t>
        </is>
      </c>
    </row>
    <row r="135" ht="80" customHeight="1">
      <c r="A135" s="9" t="inlineStr">
        <is>
          <t>131</t>
        </is>
      </c>
      <c r="B135" s="9" t="inlineStr">
        <is>
          <t>(3)(8)</t>
        </is>
      </c>
      <c r="C135" s="9" t="inlineStr">
        <is>
          <t>R8.11</t>
        </is>
      </c>
      <c r="D135" s="7" t="inlineStr">
        <is>
          <t>策定委員会が答申を行うか。諮問書・答申書を掲げるか</t>
        </is>
      </c>
      <c r="E135" s="7" t="inlineStr">
        <is>
          <t>第9期計画の資料編には諮問書・答申書の掲載がありません。第10期で答申を行うか、行う場合に写しを計画書の別添に掲げるかをご判断ください。第3回策定委員会（令和9年1月）で答申の内容を確定する予定としています。</t>
        </is>
      </c>
      <c r="F135" s="7" t="inlineStr">
        <is>
          <t>計画書 資料編5
素案 第10章10-1</t>
        </is>
      </c>
      <c r="G135" s="9" t="inlineStr">
        <is>
          <t>発注者</t>
        </is>
      </c>
      <c r="H135" s="12" t="inlineStr">
        <is>
          <t>確認待ち</t>
        </is>
      </c>
      <c r="I135" s="9" t="inlineStr">
        <is>
          <t>R8.11</t>
        </is>
      </c>
      <c r="J135" s="7" t="inlineStr">
        <is>
          <t>答申を行う場合、第3回策定委員会の位置付けが「協議」から「答申」に変わる。</t>
        </is>
      </c>
    </row>
    <row r="136" ht="80" customHeight="1">
      <c r="A136" s="9" t="inlineStr">
        <is>
          <t>132</t>
        </is>
      </c>
      <c r="B136" s="9" t="inlineStr">
        <is>
          <t>(7)(8)</t>
        </is>
      </c>
      <c r="C136" s="9" t="inlineStr">
        <is>
          <t>R8.10</t>
        </is>
      </c>
      <c r="D136" s="7" t="inlineStr">
        <is>
          <t>地域福祉計画・障害者計画の体系のご提供</t>
        </is>
      </c>
      <c r="E136" s="7" t="inlineStr">
        <is>
          <t>認知症基本法第13条第2項は、市町村計画が市町村地域福祉計画・市町村老人福祉計画・市町村介護保険事業計画その他の計画と調和が保たれたものでなければならないと定めています。3計画同時策定の機会に調和の整理表を作成しますので、地域福祉計画・障害者計画の体系（章節と施策の一覧）をご提供ください。</t>
        </is>
      </c>
      <c r="F136" s="7" t="inlineStr">
        <is>
          <t>計画書 資料編7
素案 第1章1-2・第5章5-4</t>
        </is>
      </c>
      <c r="G136" s="9" t="inlineStr">
        <is>
          <t>発注者</t>
        </is>
      </c>
      <c r="H136" s="12" t="inlineStr">
        <is>
          <t>確認待ち</t>
        </is>
      </c>
      <c r="I136" s="9" t="inlineStr">
        <is>
          <t>R8.10</t>
        </is>
      </c>
      <c r="J136" s="7" t="inlineStr">
        <is>
          <t>重層的支援体制整備事業（統合体系表 柱4 第2節1(8)）を軸に接続する。</t>
        </is>
      </c>
    </row>
    <row r="137" ht="80" customHeight="1">
      <c r="A137" s="9" t="inlineStr">
        <is>
          <t>133</t>
        </is>
      </c>
      <c r="B137" s="9" t="inlineStr">
        <is>
          <t>(6)(8)</t>
        </is>
      </c>
      <c r="C137" s="9" t="inlineStr">
        <is>
          <t>R8.11</t>
        </is>
      </c>
      <c r="D137" s="7" t="inlineStr">
        <is>
          <t>第9期実績一覧を計画書の別添に掲げるか</t>
        </is>
      </c>
      <c r="E137" s="7" t="inlineStr">
        <is>
          <t>別添『川崎町_第9期実績一覧_町記入用.xlsx』（7シート35事業）について、ご記入の完了後、計画書の資料編に掲げるか内部資料にとどめるかをご判断ください。掲げる場合は3頁を要します。</t>
        </is>
      </c>
      <c r="F137" s="7" t="inlineStr">
        <is>
          <t>計画書 資料編27
素案 第3章3-2</t>
        </is>
      </c>
      <c r="G137" s="9" t="inlineStr">
        <is>
          <t>発注者</t>
        </is>
      </c>
      <c r="H137" s="12" t="inlineStr">
        <is>
          <t>確認待ち</t>
        </is>
      </c>
      <c r="I137" s="9" t="inlineStr">
        <is>
          <t>R8.11</t>
        </is>
      </c>
      <c r="J137" s="7" t="inlineStr">
        <is>
          <t>計画書は100頁程度（仕様書8）であり、本文88頁＋資料編13頁でほぼ上限に達する。</t>
        </is>
      </c>
    </row>
    <row r="138" ht="80" customHeight="1">
      <c r="A138" s="9" t="inlineStr">
        <is>
          <t>134</t>
        </is>
      </c>
      <c r="B138" s="9" t="inlineStr">
        <is>
          <t>(1)(8)</t>
        </is>
      </c>
      <c r="C138" s="9" t="inlineStr">
        <is>
          <t>R8.10</t>
        </is>
      </c>
      <c r="D138" s="7" t="inlineStr">
        <is>
          <t>調査票2種類の原本（写し）のご提供</t>
        </is>
      </c>
      <c r="E138" s="7" t="inlineStr">
        <is>
          <t>ニーズ調査・在宅介護実態調査の調査票の原本（写し）をご提供ください。計画書の資料編に掲げる場合は4頁を要しますが、調査結果報告書（別成果品・80頁程度5部）に寄せる案もあります。どちらにするかもご判断ください。</t>
        </is>
      </c>
      <c r="F138" s="7" t="inlineStr">
        <is>
          <t>計画書 資料編18
調査報告書</t>
        </is>
      </c>
      <c r="G138" s="9" t="inlineStr">
        <is>
          <t>発注者</t>
        </is>
      </c>
      <c r="H138" s="12" t="inlineStr">
        <is>
          <t>確認待ち</t>
        </is>
      </c>
      <c r="I138" s="9" t="inlineStr">
        <is>
          <t>R8.10</t>
        </is>
      </c>
      <c r="J138" s="7" t="inlineStr">
        <is>
          <t>素案 第1章に「調査票の原本は別途添付する【町確認】」として記載済み。</t>
        </is>
      </c>
    </row>
    <row r="139" ht="80" customHeight="1">
      <c r="A139" s="9" t="inlineStr">
        <is>
          <t>135</t>
        </is>
      </c>
      <c r="B139" s="9" t="inlineStr">
        <is>
          <t>(6)(8)</t>
        </is>
      </c>
      <c r="C139" s="9" t="inlineStr">
        <is>
          <t>R8.11</t>
        </is>
      </c>
      <c r="D139" s="7" t="inlineStr">
        <is>
          <t>日常生活圏域の区域図のご提供の可否</t>
        </is>
      </c>
      <c r="E139" s="7" t="inlineStr">
        <is>
          <t>本町は町全域が1つの日常生活圏域であるため、区域図を計画書に置くかは打合せで決めたいと考えています。置く場合は区域図（又は町域図）をご提供ください。</t>
        </is>
      </c>
      <c r="F139" s="7" t="inlineStr">
        <is>
          <t>計画書 資料編26
素案 第2章2-7</t>
        </is>
      </c>
      <c r="G139" s="9" t="inlineStr">
        <is>
          <t>発注者</t>
        </is>
      </c>
      <c r="H139" s="12" t="inlineStr">
        <is>
          <t>確認待ち</t>
        </is>
      </c>
      <c r="I139" s="9" t="inlineStr">
        <is>
          <t>R8.11</t>
        </is>
      </c>
      <c r="J139" s="7" t="inlineStr">
        <is>
          <t>圏域が1つであるため、図がなくても法定の記載は満たせる。</t>
        </is>
      </c>
    </row>
    <row r="140" ht="80" customHeight="1">
      <c r="A140" s="9" t="inlineStr">
        <is>
          <t>136</t>
        </is>
      </c>
      <c r="B140" s="9" t="inlineStr">
        <is>
          <t>(3)(8)</t>
        </is>
      </c>
      <c r="C140" s="9" t="inlineStr">
        <is>
          <t>R8.11</t>
        </is>
      </c>
      <c r="D140" s="7" t="inlineStr">
        <is>
          <t>パブリックコメントの実施要領</t>
        </is>
      </c>
      <c r="E140" s="7" t="inlineStr">
        <is>
          <t>令和9年1〜2月に予定するパブリックコメントの実施要領（期間・方法・意見の受付方法・結果の公表方法）をご教示ください。結果と対応の様式を先に用意し、資料編に2頁を確保します。確認事項No.19の再掲です。</t>
        </is>
      </c>
      <c r="F140" s="7" t="inlineStr">
        <is>
          <t>計画書 資料編25
素案 第10章10-1</t>
        </is>
      </c>
      <c r="G140" s="9" t="inlineStr">
        <is>
          <t>発注者</t>
        </is>
      </c>
      <c r="H140" s="12" t="inlineStr">
        <is>
          <t>確認待ち</t>
        </is>
      </c>
      <c r="I140" s="9" t="inlineStr">
        <is>
          <t>R8.11</t>
        </is>
      </c>
      <c r="J140" s="7" t="inlineStr">
        <is>
          <t>認知症基本法第13条第3項が準用する第12条第4項（計画の公表）とも関係する。</t>
        </is>
      </c>
    </row>
    <row r="141" ht="80" customHeight="1">
      <c r="A141" s="9" t="inlineStr">
        <is>
          <t>137</t>
        </is>
      </c>
      <c r="B141" s="9" t="inlineStr">
        <is>
          <t>(7)(8)</t>
        </is>
      </c>
      <c r="C141" s="9" t="inlineStr">
        <is>
          <t>R8.10</t>
        </is>
      </c>
      <c r="D141" s="7" t="inlineStr">
        <is>
          <t>認知症ケアパスの作成状況</t>
        </is>
      </c>
      <c r="E141" s="7" t="inlineStr">
        <is>
          <t>認知症ケアパス（認知症の状態に応じた適切なサービス提供の流れを示したもの）について、①作成しておられるか、②作成済みの場合の最終更新日、③配布の実績（どこに何部・誰に渡しているか）、④町ホームページへの掲載の有無をご教示ください。作成済みの場合は最新版の現物をご提供ください。⚠ 当社が保有する第9期計画（全108頁・`09_元資料/川崎町_第9期計画_04324.pdf`）には「ケアパス」の語がありませんが、町ホームページに掲げられた計画に「認知症ケアパスを普及する」旨の記載があるとのご指摘をいただいており、既存のケアパスがある可能性があります。未作成であれば新規、更新が止まっていれば更新、作成・周知済みであれば継続・改善として第6章に位置付けます。認知症施策推進基本計画のKPI 重点目標3のアウトプット指標7は「基本法の趣旨を踏まえた認知症ケアパスの作成・更新・周知を行っている市町村の数」ですが、法令が必ず作ることを定めた成果物ではありません。</t>
        </is>
      </c>
      <c r="F141" s="7" t="inlineStr">
        <is>
          <t>素案 6-4第3節（事業の追加候補）</t>
        </is>
      </c>
      <c r="G141" s="9" t="inlineStr">
        <is>
          <t>発注者</t>
        </is>
      </c>
      <c r="H141" s="12" t="inlineStr">
        <is>
          <t>確認待ち</t>
        </is>
      </c>
      <c r="I141" s="9" t="inlineStr">
        <is>
          <t>R8.10</t>
        </is>
      </c>
      <c r="J141" s="7" t="inlineStr">
        <is>
          <t>【R8.9.30 更新】レビュー指摘5により、既存のケアパスを未確認のまま「新規・不足」と判定していたことを是正した。適合性確認表の判定を「未確認」に改めた。</t>
        </is>
      </c>
    </row>
    <row r="142" ht="80" customHeight="1">
      <c r="A142" s="9" t="inlineStr">
        <is>
          <t>138</t>
        </is>
      </c>
      <c r="B142" s="9" t="inlineStr">
        <is>
          <t>(7)</t>
        </is>
      </c>
      <c r="C142" s="9" t="inlineStr">
        <is>
          <t>R8.10</t>
        </is>
      </c>
      <c r="D142" s="7" t="inlineStr">
        <is>
          <t>認知症サポート医の有無と連携の状況</t>
        </is>
      </c>
      <c r="E142" s="7" t="inlineStr">
        <is>
          <t>町内又は近隣に認知症サポート医はおられますか。国民健康保険川崎病院の医師がサポート医の研修を受けておられるかを含めてご確認ください。手引き5（2）1及び6（1）2、交付金 支援 目標Ⅱ（ⅰ）2ア（認知症に関わる医療機関や初期集中支援チームの周知）の留意点が、いずれもサポート医の活用・周知を求めています。素案Ver.2.1には認知症サポート医・認知症疾患医療センターがともに現れていませんでした。</t>
        </is>
      </c>
      <c r="F142" s="7" t="inlineStr">
        <is>
          <t>素案 6-4第2節1（2）（3）</t>
        </is>
      </c>
      <c r="G142" s="9" t="inlineStr">
        <is>
          <t>発注者</t>
        </is>
      </c>
      <c r="H142" s="12" t="inlineStr">
        <is>
          <t>確認待ち</t>
        </is>
      </c>
      <c r="I142" s="9" t="inlineStr">
        <is>
          <t>R8.10</t>
        </is>
      </c>
      <c r="J142" s="7" t="n"/>
    </row>
    <row r="143" ht="80" customHeight="1">
      <c r="A143" s="9" t="inlineStr">
        <is>
          <t>139</t>
        </is>
      </c>
      <c r="B143" s="9" t="inlineStr">
        <is>
          <t>(7)(10)</t>
        </is>
      </c>
      <c r="C143" s="9" t="inlineStr">
        <is>
          <t>R8.10</t>
        </is>
      </c>
      <c r="D143" s="7" t="inlineStr">
        <is>
          <t>庁内の部署横断的な検討の場の有無</t>
        </is>
      </c>
      <c r="E143" s="7" t="inlineStr">
        <is>
          <t>認知症施策を庁内の関係課（町民生活課・地域振興課・企画課・教育委員会・総務担当課）と横断的に検討する場はありますか。認知症施策推進基本計画のKPIは、重点目標3のプロセス指標1として「部署横断的に認知症施策の検討を実施している地方公共団体の数」を掲げています。また、この場は交付金「評価結果の活用」のア（年に1回以上、評価結果を庁内の関係者間で説明・共有する場がある。配点4点）が求める場と兼ねることができ、本町が令和8年度に失点した4点の回復にもつながります（確認事項No.121）。新たな会議体を設けず、既存の庁内会議に議題を加えることで足ります。</t>
        </is>
      </c>
      <c r="F143" s="7" t="inlineStr">
        <is>
          <t>素案 6-1・8-4・10-4</t>
        </is>
      </c>
      <c r="G143" s="9" t="inlineStr">
        <is>
          <t>発注者</t>
        </is>
      </c>
      <c r="H143" s="12" t="inlineStr">
        <is>
          <t>確認待ち</t>
        </is>
      </c>
      <c r="I143" s="9" t="inlineStr">
        <is>
          <t>R8.10</t>
        </is>
      </c>
      <c r="J143" s="7" t="n"/>
    </row>
    <row r="144" ht="80" customHeight="1">
      <c r="A144" s="9" t="inlineStr">
        <is>
          <t>140</t>
        </is>
      </c>
      <c r="B144" s="9" t="inlineStr">
        <is>
          <t>(7)</t>
        </is>
      </c>
      <c r="C144" s="9" t="inlineStr">
        <is>
          <t>R8.11</t>
        </is>
      </c>
      <c r="D144" s="7" t="inlineStr">
        <is>
          <t>認知症対応力向上研修の受講者数</t>
        </is>
      </c>
      <c r="E144" s="7" t="inlineStr">
        <is>
          <t>宮城県が実施する認知症対応力向上研修（医師・歯科医師・薬剤師・看護職員等）及び認知症介護基礎研修・実践者研修について、町内の事業所からの受講者数を把握しておられますか。基本計画のKPI 重点目標3のアウトプット指標3が受講者数を数えます。把握していない場合は、第10期から県に照会して把握する形を素案6-3のKPIに位置付けます。</t>
        </is>
      </c>
      <c r="F144" s="7" t="inlineStr">
        <is>
          <t>素案 6-3・6-4第4節1（5）</t>
        </is>
      </c>
      <c r="G144" s="9" t="inlineStr">
        <is>
          <t>発注者</t>
        </is>
      </c>
      <c r="H144" s="12" t="inlineStr">
        <is>
          <t>確認待ち</t>
        </is>
      </c>
      <c r="I144" s="9" t="inlineStr">
        <is>
          <t>R8.11</t>
        </is>
      </c>
      <c r="J144" s="7" t="n"/>
    </row>
    <row r="145" ht="80" customHeight="1">
      <c r="A145" s="9" t="inlineStr">
        <is>
          <t>141</t>
        </is>
      </c>
      <c r="B145" s="9" t="inlineStr">
        <is>
          <t>(4)(7)</t>
        </is>
      </c>
      <c r="C145" s="9" t="inlineStr">
        <is>
          <t>R8.11</t>
        </is>
      </c>
      <c r="D145" s="7" t="inlineStr">
        <is>
          <t>認知症の人と家族への一体的支援事業・認知症伴走型支援事業の実施の可否</t>
        </is>
      </c>
      <c r="E145" s="7" t="inlineStr">
        <is>
          <t>いずれも地域支援事業（任意事業）として実施できる事業です。手引き6（1）1及び6（2）1が市町村の対応分として挙げています。第10期での実施の可否をご判断ください。実施しない場合は、認知症カフェ「喫茶みかん」（年47回・延235人）と家族介護者の交流の場（素案5-3第1節3（2））で代替する旨を計画に記します。</t>
        </is>
      </c>
      <c r="F145" s="7" t="inlineStr">
        <is>
          <t>素案 6-4第3節1（3）（4）
地域支援事業の費用の見込み</t>
        </is>
      </c>
      <c r="G145" s="9" t="inlineStr">
        <is>
          <t>発注者</t>
        </is>
      </c>
      <c r="H145" s="12" t="inlineStr">
        <is>
          <t>確認待ち</t>
        </is>
      </c>
      <c r="I145" s="9" t="inlineStr">
        <is>
          <t>R8.11</t>
        </is>
      </c>
      <c r="J145" s="7" t="inlineStr">
        <is>
          <t>地域支援事業についてはデータ未受領のため、任意事業の費用への影響は回答後に反映する。</t>
        </is>
      </c>
    </row>
    <row r="146" ht="80" customHeight="1">
      <c r="A146" s="9" t="inlineStr">
        <is>
          <t>142</t>
        </is>
      </c>
      <c r="B146" s="9" t="inlineStr">
        <is>
          <t>(7)</t>
        </is>
      </c>
      <c r="C146" s="9" t="inlineStr">
        <is>
          <t>R8.11</t>
        </is>
      </c>
      <c r="D146" s="7" t="inlineStr">
        <is>
          <t>消費者安全確保地域協議会の設置の有無</t>
        </is>
      </c>
      <c r="E146" s="7" t="inlineStr">
        <is>
          <t>消費者安全法第11条の3に基づく消費者安全確保地域協議会（見守りネットワーク）を設置しておられますか。手引き4（3）1が市町村の対応分として設置の促進を挙げています。未設置で、地域ケア会議が実質的に同じ機能を担っている場合はその旨を計画に記します。</t>
        </is>
      </c>
      <c r="F146" s="7" t="inlineStr">
        <is>
          <t>素案 6-4第5節2（4）</t>
        </is>
      </c>
      <c r="G146" s="9" t="inlineStr">
        <is>
          <t>発注者</t>
        </is>
      </c>
      <c r="H146" s="12" t="inlineStr">
        <is>
          <t>確認待ち</t>
        </is>
      </c>
      <c r="I146" s="9" t="inlineStr">
        <is>
          <t>R8.11</t>
        </is>
      </c>
      <c r="J146" s="7" t="n"/>
    </row>
    <row r="147" ht="80" customHeight="1">
      <c r="A147" s="9" t="inlineStr">
        <is>
          <t>143</t>
        </is>
      </c>
      <c r="B147" s="9" t="inlineStr">
        <is>
          <t>(7)</t>
        </is>
      </c>
      <c r="C147" s="9" t="inlineStr">
        <is>
          <t>R8.11</t>
        </is>
      </c>
      <c r="D147" s="7" t="inlineStr">
        <is>
          <t>認知症バリアフリーの取組と地域の関係機関との連携の状況</t>
        </is>
      </c>
      <c r="E147" s="7" t="inlineStr">
        <is>
          <t>町内の金融機関・小売業者・公共交通事業者に対する認知症に関する協力の働きかけの状況をご教示ください。手引き2（1）2・2（1）9が市町村の対応分として挙げており、基本計画のKPI 重点目標3のアウトプット指標5は「認知症バリアフリー宣言を行っている事業者の数」です。素案6-2の第15条の欄には「協力の働きかけ」と記していますが、6-4に事業がありません。</t>
        </is>
      </c>
      <c r="F147" s="7" t="inlineStr">
        <is>
          <t>素案 6-4第3節（事業の追加候補）</t>
        </is>
      </c>
      <c r="G147" s="9" t="inlineStr">
        <is>
          <t>発注者</t>
        </is>
      </c>
      <c r="H147" s="12" t="inlineStr">
        <is>
          <t>確認待ち</t>
        </is>
      </c>
      <c r="I147" s="9" t="inlineStr">
        <is>
          <t>R8.11</t>
        </is>
      </c>
      <c r="J147" s="7" t="n"/>
    </row>
    <row r="148" ht="80" customHeight="1">
      <c r="A148" s="9" t="inlineStr">
        <is>
          <t>144</t>
        </is>
      </c>
      <c r="B148" s="9" t="inlineStr">
        <is>
          <t>(7)</t>
        </is>
      </c>
      <c r="C148" s="9" t="inlineStr">
        <is>
          <t>R8.11</t>
        </is>
      </c>
      <c r="D148" s="7" t="inlineStr">
        <is>
          <t>若年性認知症の人の把握状況と県のコーディネーターとの連携</t>
        </is>
      </c>
      <c r="E148" s="7" t="inlineStr">
        <is>
          <t>町内の若年性認知症の人（65歳未満で認知症となった方）を把握しておられますか。また宮城県の若年性認知症支援コーディネーターとの連携の状況をご教示ください。手引き3（3）3・5（2）4が市町村の対応分として挙げています。素案6-4第5節1（2）は「若年性認知症の人の就労継続に関する事業主への啓発」を新規事業としていますが、対象者の把握がないと事業が動きません。</t>
        </is>
      </c>
      <c r="F148" s="7" t="inlineStr">
        <is>
          <t>素案 6-4第5節1（2）</t>
        </is>
      </c>
      <c r="G148" s="9" t="inlineStr">
        <is>
          <t>発注者</t>
        </is>
      </c>
      <c r="H148" s="12" t="inlineStr">
        <is>
          <t>確認待ち</t>
        </is>
      </c>
      <c r="I148" s="9" t="inlineStr">
        <is>
          <t>R8.11</t>
        </is>
      </c>
      <c r="J148" s="7" t="n"/>
    </row>
    <row r="149" ht="80" customHeight="1">
      <c r="A149" s="9" t="inlineStr">
        <is>
          <t>145</t>
        </is>
      </c>
      <c r="B149" s="9" t="inlineStr">
        <is>
          <t>(3)(7)</t>
        </is>
      </c>
      <c r="C149" s="9" t="inlineStr">
        <is>
          <t>R8.10</t>
        </is>
      </c>
      <c r="D149" s="7" t="inlineStr">
        <is>
          <t>交付金 支援 目標Ⅱ（ⅰ）1オで満点を得ている社会参加支援の内容</t>
        </is>
      </c>
      <c r="E149" s="7" t="inlineStr">
        <is>
          <t>交付金の「認知症の人が希望に応じて農業、商品の製造・販売、食堂の運営、地域活動やマルシェの開催等に参画できるよう、支援している」（配点4点）は本町が満点を得ています。具体的にどの取組をもって「実施」と回答しておられるかをご教示ください。手引き3（2）2にも当たる取組であり、素案6-4第5節に書き下ろします。交付金で評価されながら計画に記載のない事業は、介護予防ポイント事業・アウトリーチ等の取組と同じ構図です。</t>
        </is>
      </c>
      <c r="F149" s="7" t="inlineStr">
        <is>
          <t>素案 6-4第5節1（事業の追加候補）</t>
        </is>
      </c>
      <c r="G149" s="9" t="inlineStr">
        <is>
          <t>発注者</t>
        </is>
      </c>
      <c r="H149" s="12" t="inlineStr">
        <is>
          <t>確認待ち</t>
        </is>
      </c>
      <c r="I149" s="9" t="inlineStr">
        <is>
          <t>R8.10</t>
        </is>
      </c>
      <c r="J149" s="7" t="n"/>
    </row>
    <row r="150" ht="80" customHeight="1">
      <c r="A150" s="9" t="inlineStr">
        <is>
          <t>146</t>
        </is>
      </c>
      <c r="B150" s="9" t="inlineStr">
        <is>
          <t>(7)(8)</t>
        </is>
      </c>
      <c r="C150" s="9" t="inlineStr">
        <is>
          <t>R8.10</t>
        </is>
      </c>
      <c r="D150" s="7" t="inlineStr">
        <is>
          <t>意見聴取記録様式の運用（記録者・保管・個人情報の取扱い）</t>
        </is>
      </c>
      <c r="E150" s="7" t="inlineStr">
        <is>
          <t>別添22として作成した「認知症の人及び家族等からの意見聴取の記録様式」（様式1 実施計画／様式2 記録票／様式3 反映台帳／様式4 フィードバック記録／様式5 評価時の意見聴取）について、①様式2の記録者を誰とするか（保健福祉課職員・地域包括支援センター職員）、②氏名を書かず整理番号で管理する運用が町の個人情報保護条例に適合するか、③写真・イラストの本人の同意の取り方、④計画書の別添には様式と結果の要約のみを掲げる方針でよいかをご確認ください。様式を定めたうえで聴取することが、交付金 支援 目標Ⅱ（ⅰ）1カ（配点5点・本町は令和8年度0点）の要件「認知症の人と家族等が参画し、意見を反映させる仕組みを整備した上で計画の策定に着手している」を満たす条件です。</t>
        </is>
      </c>
      <c r="F150" s="7" t="inlineStr">
        <is>
          <t>別添22（意見聴取記録様式）
素案 6-1①</t>
        </is>
      </c>
      <c r="G150" s="9" t="inlineStr">
        <is>
          <t>発注者</t>
        </is>
      </c>
      <c r="H150" s="12" t="inlineStr">
        <is>
          <t>確認待ち</t>
        </is>
      </c>
      <c r="I150" s="9" t="inlineStr">
        <is>
          <t>R8.10</t>
        </is>
      </c>
      <c r="J150" s="7" t="inlineStr">
        <is>
          <t>確認事項No.90（意見聴取の対象者と時期）と併せてご確認いただきたい。聴取の実施前に様式を確定する必要がある。</t>
        </is>
      </c>
    </row>
    <row r="151" ht="80" customHeight="1">
      <c r="A151" s="9" t="inlineStr">
        <is>
          <t>147</t>
        </is>
      </c>
      <c r="B151" s="9" t="inlineStr">
        <is>
          <t>(5)(6)</t>
        </is>
      </c>
      <c r="C151" s="9" t="inlineStr">
        <is>
          <t>R8.10</t>
        </is>
      </c>
      <c r="D151" s="7" t="inlineStr">
        <is>
          <t>見込量を0としたサービスについて、供給がないのか利用がないのか</t>
        </is>
      </c>
      <c r="E151" s="7" t="inlineStr">
        <is>
          <t>令和6年度に実績があり令和7年度に実績がなかった5サービス（夜間対応型訪問介護・認知症対応型通所介護（介護予防を含む）・小規模多機能型居宅介護（介護予防を含む）・地域密着型特定施設入居者生活介護・介護医療院）について、町内及び近隣市町村に指定事業所があるかをご教示ください。0である理由を「供給なし」「利用なし」「整備予定なし」に区別して計画書に記載する必要があります。供給がないことによる0は、利用勧奨では動かせないためです。とくに小規模多機能型居宅介護は、第2章2-3で町内のサービス提供体制に含めて記載している一方で令和7年度の実績が0であり、両者が食い違っています。</t>
        </is>
      </c>
      <c r="F151" s="7" t="inlineStr">
        <is>
          <t>素案 9-1（地域密着型・施設サービスの見込量）
素案 2-3（サービス提供体制）</t>
        </is>
      </c>
      <c r="G151" s="9" t="inlineStr">
        <is>
          <t>発注者</t>
        </is>
      </c>
      <c r="H151" s="12" t="inlineStr">
        <is>
          <t>確認待ち</t>
        </is>
      </c>
      <c r="I151" s="9" t="inlineStr">
        <is>
          <t>R8.10</t>
        </is>
      </c>
      <c r="J151" s="7" t="inlineStr">
        <is>
          <t>レビュー指摘6により、実績・見込量0の行を表から省略していたことを是正し、Ver.2.3で5サービスを表に掲げ、0の区分を別表で示す形に改めた。区分の確定にはご確認が必要。</t>
        </is>
      </c>
    </row>
    <row r="152" ht="80" customHeight="1">
      <c r="A152" s="9" t="inlineStr">
        <is>
          <t>148</t>
        </is>
      </c>
      <c r="B152" s="9" t="inlineStr">
        <is>
          <t>(5)</t>
        </is>
      </c>
      <c r="C152" s="9" t="inlineStr">
        <is>
          <t>R8.11</t>
        </is>
      </c>
      <c r="D152" s="7" t="inlineStr">
        <is>
          <t>保険料試算の再計算結果のご確認（是正6件）</t>
        </is>
      </c>
      <c r="E152" s="7" t="inlineStr">
        <is>
          <t>保険料試算の内部整合を検算し、次の6件を是正しました。①介護給付費準備基金152,500千円の月額換算（1,304円／1,372円→1,359円。予定保険料収納率96.0％で割っていなかったもの）②算定Ｂ（基金50％取崩）6,170円→6,143円（第9期比▲330円→▲357円）③算定Ｃ（基金全額取崩）5,518円→5,464円（第9期比▲982円→▲1,036円）④地域支援事業費3か年計 148,789千円→148,788千円（年度別の内訳の合計と一致していなかったもの）⑤調整交付金5.0％の影響 ＋273円→＋274円⑥13段階別保険料の再計算（第1段階2,807円→2,795円・第13段階14,809円→14,743円）。算定Ａ（基金取崩なし）6,822円、第1号被保険者負担割合24％の影響（＋309円）、補正係数の影響（＋352円）に変更はありません。地域包括ケア「見える化」システムの推計ツールの算定表と突き合わせていただけますでしょうか。</t>
        </is>
      </c>
      <c r="F152" s="7" t="inlineStr">
        <is>
          <t>素案 9-1・9-2・9-3
第2回策定委員会資料 v6
保険料試算ワークブック</t>
        </is>
      </c>
      <c r="G152" s="9" t="inlineStr">
        <is>
          <t>発注者</t>
        </is>
      </c>
      <c r="H152" s="12" t="inlineStr">
        <is>
          <t>確認待ち</t>
        </is>
      </c>
      <c r="I152" s="9" t="inlineStr">
        <is>
          <t>R8.11</t>
        </is>
      </c>
      <c r="J152" s="7" t="inlineStr">
        <is>
          <t>検算スクリプト `07_ソーススクリプト/check_hokenryo_R8.9.30.py` により39項目すべて適合を確認した。見える化システムのIDパスは取得しているが直接データを触る想定ではないため、町又は宮城県による突合をお願いしたい。</t>
        </is>
      </c>
    </row>
    <row r="153" ht="80" customHeight="1">
      <c r="A153" s="9" t="inlineStr">
        <is>
          <t>149</t>
        </is>
      </c>
      <c r="B153" s="9" t="inlineStr">
        <is>
          <t>(7)(8)</t>
        </is>
      </c>
      <c r="C153" s="9" t="inlineStr">
        <is>
          <t>R8.10</t>
        </is>
      </c>
      <c r="D153" s="7" t="inlineStr">
        <is>
          <t>意見聴取の個人情報保護上の手続の要否</t>
        </is>
      </c>
      <c r="E153" s="7" t="inlineStr">
        <is>
          <t>認知症の人及び家族等からの意見聴取（様式0〜5）について、①川崎町個人情報保護条例上の手続（利用目的の特定・目的外利用の可否・本人への通知等）が必要か、②個人情報保護委員会への届出等が必要か、③保管期限（第11期計画の策定完了まで＝令和14年3月を想定）が町の文書管理規程に適合するか、④様式0の読み上げ文（聴取の前にお伝えする①〜⑦）の文言について修正すべき点があるかをご確認ください。整理番号と対照表により個人を再び特定できるため、氏名を書かなくても匿名情報ではないという整理をしています。</t>
        </is>
      </c>
      <c r="F153" s="7" t="inlineStr">
        <is>
          <t>別添22（意見聴取記録様式 様式0・07_個人情報の取扱い）</t>
        </is>
      </c>
      <c r="G153" s="9" t="inlineStr">
        <is>
          <t>発注者</t>
        </is>
      </c>
      <c r="H153" s="12" t="inlineStr">
        <is>
          <t>確認待ち</t>
        </is>
      </c>
      <c r="I153" s="9" t="inlineStr">
        <is>
          <t>R8.10</t>
        </is>
      </c>
      <c r="J153" s="7" t="inlineStr">
        <is>
          <t>レビュー指摘10により、説明と同意の様式（様式0）及び個人情報の取扱いのシート（07）を新設した。確認事項No.146（様式の運用）と併せてご確認いただきたい。</t>
        </is>
      </c>
    </row>
    <row r="154" ht="80" customHeight="1">
      <c r="A154" s="9" t="inlineStr">
        <is>
          <t>150</t>
        </is>
      </c>
      <c r="B154" s="9" t="inlineStr">
        <is>
          <t>(4)(5)(7)</t>
        </is>
      </c>
      <c r="C154" s="9" t="inlineStr">
        <is>
          <t>R8.11</t>
        </is>
      </c>
      <c r="D154" s="7" t="inlineStr">
        <is>
          <t>第10期の地域支援事業費の枠（認知症施策の追加分の積算のため）</t>
        </is>
      </c>
      <c r="E154" s="7" t="inlineStr">
        <is>
          <t>第6章6-4に掲げた事業の追加候補15件のうち、包括的支援事業・任意事業として実施するもの（本人ミーティング・本人同士のピアサポート活動・認知症の人と家族への一体的支援事業・認知症伴走型支援事業）の事業費の枠をご教示ください。包括的支援事業・任意事業は第1号被保険者の保険料が財源の23％を占めるため、毎年100万円の増で月額基準額が約6.1円、毎年500万円の増で約30.7円上がります（第10期の負担割合が24％の場合はそれぞれ約6.4円・約32.1円）。地域支援事業についてはデータ未受領のため、現行の事業費の内訳と併せてご提供いただけますでしょうか。</t>
        </is>
      </c>
      <c r="F154" s="7" t="inlineStr">
        <is>
          <t>素案 6-4（追加候補の見込量・費用・財源）
素案 9-3（財源別の保険料影響）
地域支援事業の費用の見込み</t>
        </is>
      </c>
      <c r="G154" s="9" t="inlineStr">
        <is>
          <t>発注者</t>
        </is>
      </c>
      <c r="H154" s="12" t="inlineStr">
        <is>
          <t>確認待ち</t>
        </is>
      </c>
      <c r="I154" s="9" t="inlineStr">
        <is>
          <t>R8.11</t>
        </is>
      </c>
      <c r="J154" s="7" t="inlineStr">
        <is>
          <t>レビュー指摘6・8により、追加施策と見込量・事業費・財源を接続させる必要がある。現時点では金額を確定できないため、「毎年いくら増えたら月額がいくら動くか」の換算表を素案9-3に置いた。</t>
        </is>
      </c>
    </row>
    <row r="155" ht="80" customHeight="1">
      <c r="A155" s="9" t="inlineStr">
        <is>
          <t>151</t>
        </is>
      </c>
      <c r="B155" s="9" t="inlineStr">
        <is>
          <t>(5)(7)</t>
        </is>
      </c>
      <c r="C155" s="9" t="inlineStr">
        <is>
          <t>R8.10</t>
        </is>
      </c>
      <c r="D155" s="7" t="inlineStr">
        <is>
          <t>夜間対応型訪問介護の廃止・統合に伴う見込量の区分</t>
        </is>
      </c>
      <c r="E155" s="7" t="inlineStr">
        <is>
          <t>社会福祉法等の一部を改正する法律（令和8年法律第51号）により、夜間対応型訪問介護が廃止され定期巡回・随時対応型訪問介護看護に統合されるとの整理でよろしいでしょうか。第10期（令和9年度〜）の見込量は統合後の区分で算定する必要があり、素案9-1の表の構成に関わります。宮城県を通じて施行内容をご確認いただけますでしょうか。</t>
        </is>
      </c>
      <c r="F155" s="7" t="inlineStr">
        <is>
          <t>素案 9-1（地域密着型サービスの見込量）</t>
        </is>
      </c>
      <c r="G155" s="9" t="inlineStr">
        <is>
          <t>発注者</t>
        </is>
      </c>
      <c r="H155" s="12" t="inlineStr">
        <is>
          <t>確認待ち</t>
        </is>
      </c>
      <c r="I155" s="9" t="inlineStr">
        <is>
          <t>R8.10</t>
        </is>
      </c>
      <c r="J155" s="7" t="inlineStr">
        <is>
          <t>同種の計画の協議用素案との対比により把握した。素案Ver.2.4の1-5に制度改正の節を新設し、当該の改正を掲げた。</t>
        </is>
      </c>
    </row>
    <row r="156" ht="80" customHeight="1">
      <c r="A156" s="9" t="inlineStr">
        <is>
          <t>152</t>
        </is>
      </c>
      <c r="B156" s="9" t="inlineStr">
        <is>
          <t>(6)(7)</t>
        </is>
      </c>
      <c r="C156" s="9" t="inlineStr">
        <is>
          <t>R8.10</t>
        </is>
      </c>
      <c r="D156" s="7" t="inlineStr">
        <is>
          <t>中山間・人口減少地域（特定地域）の指定の意向</t>
        </is>
      </c>
      <c r="E156" s="7" t="inlineStr">
        <is>
          <t>令和9年4月1日に「特定地域サービス」（人員配置基準を緩和した特例のサービス類型）及び「特定地域居宅サービス等事業」（市町村が事業としてサービスを実施できる仕組み）が創設されます。指定基準は①特別地域加算・離島等相当サービスの対象地域、②75歳以上人口密度5人／km²未満等、③特定のサービス類型の事業所が地域に存在しない等、の3段階で、市町村が指定の要否を検討し、その意向を踏まえて都道府県が対象地域を定めます。川崎町は過疎地域の指定を受けており、①又は③に該当する可能性があります。①中山間地域等における小規模事業所加算等の対象地域となっているか、②宮城県から特定地域の指定に関する意向照会があったか、③指定を受ける意向があるか、をご確認ください。計画期間の初年度から適用される制度であり、第10期計画に位置付けを欠くと3年間使えません。</t>
        </is>
      </c>
      <c r="F156" s="7" t="inlineStr">
        <is>
          <t>素案 第1章（新設する節）・7-3・9-1</t>
        </is>
      </c>
      <c r="G156" s="9" t="inlineStr">
        <is>
          <t>発注者</t>
        </is>
      </c>
      <c r="H156" s="12" t="inlineStr">
        <is>
          <t>確認待ち</t>
        </is>
      </c>
      <c r="I156" s="9" t="inlineStr">
        <is>
          <t>R8.10</t>
        </is>
      </c>
      <c r="J156" s="7" t="inlineStr">
        <is>
          <t>川崎町は過疎地域に指定されており、指定基準①又は③に該当する可能性がある。素案Ver.2.4の1-5・7-3・9-1に位置付けた。</t>
        </is>
      </c>
    </row>
    <row r="157" ht="80" customHeight="1">
      <c r="A157" s="9" t="inlineStr">
        <is>
          <t>153</t>
        </is>
      </c>
      <c r="B157" s="9" t="inlineStr">
        <is>
          <t>(6)(7)</t>
        </is>
      </c>
      <c r="C157" s="9" t="inlineStr">
        <is>
          <t>R8.11</t>
        </is>
      </c>
      <c r="D157" s="7" t="inlineStr">
        <is>
          <t>医療計画・地域医療構想との整合</t>
        </is>
      </c>
      <c r="E157" s="7" t="inlineStr">
        <is>
          <t>令和8年7月14日付の厚生労働省通知（介護保険最新情報Vol.1525）は、第8次医療計画後期の在宅医療整備目標と第10期介護保険事業計画のサービス量・施設整備を整合させることを求めています。①宮城県の医療計画（仙南医療圏）の在宅医療整備目標、②国民健康保険川崎病院の病床の状況と在宅医療の実施状況、③高齢者救急の搬送・入院・退院支援の状況、④施設の協力医療機関の状況、をご教示ください。</t>
        </is>
      </c>
      <c r="F157" s="7" t="inlineStr">
        <is>
          <t>素案 9-1（新設する項）・5-3・7-3</t>
        </is>
      </c>
      <c r="G157" s="9" t="inlineStr">
        <is>
          <t>発注者</t>
        </is>
      </c>
      <c r="H157" s="12" t="inlineStr">
        <is>
          <t>確認待ち</t>
        </is>
      </c>
      <c r="I157" s="9" t="inlineStr">
        <is>
          <t>R8.11</t>
        </is>
      </c>
      <c r="J157" s="7" t="inlineStr">
        <is>
          <t>介護保険最新情報Vol.1525（令和8年7月14日）による。素案Ver.2.4の1-5に医療計画等との整合の項を置いた。</t>
        </is>
      </c>
    </row>
    <row r="158" ht="80" customHeight="1">
      <c r="A158" s="38" t="inlineStr">
        <is>
          <t>154</t>
        </is>
      </c>
      <c r="B158" s="38" t="inlineStr">
        <is>
          <t>(4)(6)</t>
        </is>
      </c>
      <c r="C158" s="38" t="inlineStr">
        <is>
          <t>R8.10</t>
        </is>
      </c>
      <c r="D158" s="38" t="inlineStr">
        <is>
          <t>高齢者向け住まいの状況</t>
        </is>
      </c>
      <c r="E158" s="38" t="inlineStr">
        <is>
          <t>町内及び近隣の有料老人ホーム・サービス付き高齢者向け住宅・軽費老人ホーム（ケアハウス）・養護老人ホームについて、施設数・定員・入居者数・要介護者等である入居者の状況をご教示ください。第10期基本指針（案）の別表 八がこれを確認すべき指標としており、また令和8年法律第51号により、計画において有料老人ホーム及びサービス付き高齢者向け住宅の入居定員を勘案することが明確化されます。素案には現在これらが一度も現れていません。</t>
        </is>
      </c>
      <c r="F158" s="38" t="inlineStr">
        <is>
          <t>素案 2-7・9-1</t>
        </is>
      </c>
      <c r="G158" s="38" t="inlineStr">
        <is>
          <t>発注者</t>
        </is>
      </c>
      <c r="H158" s="39" t="inlineStr">
        <is>
          <t>確認待ち</t>
        </is>
      </c>
      <c r="I158" s="38" t="inlineStr">
        <is>
          <t>R8.10</t>
        </is>
      </c>
      <c r="J158" s="38" t="inlineStr">
        <is>
          <t>【令和8年10月22日 更新④（軽費老人ホームの廃止・素案Ver.2.25）】廃止日は令和6年3月31日でした（法人の公表。県の入所状況調の掲載の推移と整合）。令和5年1〜9月の退所32人の退所先は他の施設28・入院3・在宅1（県の入所状況調）。⚠ 以前の更新で「住まい70人分が失われた」と書きましたが、休止前の入所者は令和5年4月1日時点で13人であり、なくなったのは定員70人分の住まいの選択肢です。素案 Ver.2.25 で改めました。⚠ 次の3点をお願いします。①宮城県 長寿社会政策課に、受理された廃止届（様式第24号）の「廃止の理由」「現に入所している者に対する措置」の記載内容をご確認ください。②入所されていた方のうち本町の住民の数（匿名の人数のみ。数えた定義を添えて）。③運営法人への照会の要否（既定値＝照会しない）。詳細は 川崎町_軽費老人ホーム廃止の確認結果_R8.10.22.md。　【令和8年10月22日 更新②（方針Ｃ・素案Ver.2.23）】軽費老人ホームの休止・廃止を素案 Ver.2.23 の2-7（第3の特徴）と別表 事項八に書きました（別表 八は「未対応」→「一部」）。経緯と入居されていた方の行き先は［要確認］として本文に残しています。　【令和8年10月22日 更新（県の入所状況調）】⚠ **町内にあった軽費老人ホーム（定員70人）が廃止されていました。**県の入所状況調によると、令和5年4月1日 現員13人 → 令和5年7月1日 7人 → **令和5年10月1日「（休止中）」現員0人** → 令和6年1月1日は定員・現員とも空欄 → **令和6年4月1日以降は一覧に載っていません**。
⚠ **第9期計画期間（令和6〜8年度）が始まる直前に、町内の高齢者向け住まい70人分が失われています。**
⚠ 軽費老人ホームは老人福祉法の施設であり、介護サービス情報公表システム（介護保険の指定事業所の仕組み）には載りません。素案の「特定施設入居者生活介護の指定を受けた住まいは町内に0件」は介護保険の指定の話であり、別のものです。
⚠ **休止・廃止の経緯と、入居されていた方の行き先をご確認ください。** 基本指針 別表 事項八（高齢者向け住まいの状況）に直接に効きます。素案 2-7・7-1 への反映をお待ちしています。　【令和8年10月20日 更新②（突合の実施）】⚠ **一部だけ確かめられました。**公表システムのオープンデータにより、**特定施設入居者生活介護の指定を受けた住まいは町内に0件**であることを確かめました（有料老人ホーム・軽費老人ホーム・サービス付き高齢者向け住宅のいずれの類型も0件。地域密着型特定施設も0件）。素案 7-1 の「0人（事業所なし）」の裏づけになります。
⚠ **指定を受けていない有料老人ホーム・サービス付き高齢者向け住宅は、オープンデータには載りません。**介護保険の指定事業所の一覧であるためです。宮城県の有料老人ホーム届出状況の公表一覧と、サービス付き高齢者向け住宅情報提供システムが要ります（⚠ 後者は www.satsuki-jutaku.mlit.go.jp で、当方の環境からは未だ届きません）。戸数・入居者数・要介護者等である入居者の状況も引き続き確認待ちです。　【令和8年10月15日 更新】⚠ 最優先に引き上げます。リポジトリの中のどの資料にも町内の高齢者向け住まいの実数が1件もないことを確かめました（第9期計画書に現れる語はサービスの定義文の中のものです）。資料提供依頼一覧にNo.37として起票し、記入様式（川崎町_事業所・住まい_突合台帳_R8.10.15.xlsx 04シート）をお渡しします。⚠ 町内に該当がない場合も、「町内に該当なし（○年○月○日現在）」とご記入ください。ないことが分かること自体が計画に書くべき事実です。既定値＝素案 2-7 に「高齢者向け住まいの状況は把握できていない」旨を明記し、令和8年法律第51号が求める入居定員の勘案は次期以降の課題として記します。</t>
        </is>
      </c>
    </row>
    <row r="159" ht="80" customHeight="1">
      <c r="A159" s="9" t="inlineStr">
        <is>
          <t>155</t>
        </is>
      </c>
      <c r="B159" s="9" t="inlineStr">
        <is>
          <t>(4)(6)</t>
        </is>
      </c>
      <c r="C159" s="9" t="inlineStr">
        <is>
          <t>R8.11</t>
        </is>
      </c>
      <c r="D159" s="7" t="inlineStr">
        <is>
          <t>年齢調整後の認定率・受給率・自給率の算定</t>
        </is>
      </c>
      <c r="E159" s="7" t="inlineStr">
        <is>
          <t>地域包括ケア「見える化」システムから次の3つを取得できますでしょうか。①性・年齢調整済み要介護2以上認定率（新別表 四）②受給率（在宅・施設居住系別。新別表 五）③区域内の事業所によるサービス提供割合＝自給率（新別表 五）。川崎町の高齢化率は42.0％で全国を大きく上回るため、粗認定率17.0％をそのまま比較すると実態を見誤ります。また自給率は、町外施設の利用が常態化している本町で最も説明を要する指標です。当社はIDパスを取得していますが直接データを触る想定ではないため、町又は宮城県による出力をお願いいたします。</t>
        </is>
      </c>
      <c r="F159" s="7" t="inlineStr">
        <is>
          <t>素案 2-3・2-4・2-7・3-4</t>
        </is>
      </c>
      <c r="G159" s="9" t="inlineStr">
        <is>
          <t>発注者</t>
        </is>
      </c>
      <c r="H159" s="12" t="inlineStr">
        <is>
          <t>確認待ち</t>
        </is>
      </c>
      <c r="I159" s="9" t="inlineStr">
        <is>
          <t>R8.11</t>
        </is>
      </c>
      <c r="J159" s="7" t="inlineStr">
        <is>
          <t>第10期基本指針（案）の別表 四・五。見える化システムのIDパスは取得しているが直接データを触る想定ではないため、町又は宮城県による出力をお願いしたい。</t>
        </is>
      </c>
    </row>
    <row r="160" ht="80" customHeight="1">
      <c r="A160" s="9" t="inlineStr">
        <is>
          <t>156</t>
        </is>
      </c>
      <c r="B160" s="9" t="inlineStr">
        <is>
          <t>(4)(6)</t>
        </is>
      </c>
      <c r="C160" s="9" t="inlineStr">
        <is>
          <t>R8.11</t>
        </is>
      </c>
      <c r="D160" s="7" t="inlineStr">
        <is>
          <t>人口動態（出生数・死亡数・健康寿命・死亡場所別死亡数）</t>
        </is>
      </c>
      <c r="E160" s="7" t="inlineStr">
        <is>
          <t>第10期基本指針（案）の別表 三が人口動態を確認すべき指標としています。①人口動態統計の市区町村別集計による出生数・死亡数、②宮城県が公表する健康寿命（川崎町の値があれば）、③死亡場所別の死亡数（自宅・病院・施設）、をご教示ください。③が把握できない場合は、看取り介護加算・ターミナルケア加算の算定状況で代替します。</t>
        </is>
      </c>
      <c r="F160" s="7" t="inlineStr">
        <is>
          <t>素案 2-1・2-2・5-3</t>
        </is>
      </c>
      <c r="G160" s="9" t="inlineStr">
        <is>
          <t>発注者</t>
        </is>
      </c>
      <c r="H160" s="12" t="inlineStr">
        <is>
          <t>確認待ち</t>
        </is>
      </c>
      <c r="I160" s="9" t="inlineStr">
        <is>
          <t>R8.11</t>
        </is>
      </c>
      <c r="J160" s="7" t="inlineStr">
        <is>
          <t>第10期基本指針（案）の別表 三。</t>
        </is>
      </c>
    </row>
    <row r="161" ht="80" customHeight="1">
      <c r="A161" s="38" t="inlineStr">
        <is>
          <t>157</t>
        </is>
      </c>
      <c r="B161" s="38" t="inlineStr">
        <is>
          <t>(4)(7)</t>
        </is>
      </c>
      <c r="C161" s="38" t="inlineStr">
        <is>
          <t>R8.10</t>
        </is>
      </c>
      <c r="D161" s="38" t="inlineStr">
        <is>
          <t>認知症の人の数の推計</t>
        </is>
      </c>
      <c r="E161" s="38" t="inlineStr">
        <is>
          <t>【令和8年10月19日 更新】認知症の人の数の**推計値**は算出し、計画素案 6-1 に掲げました（認知症374人・65歳以上の11.7％／軽度認知障害（ＭＣＩ）474人・14.8％）。年齢階級別・男女別の有病率（厚生労働省。令和4年の悉皆調査による国の推計値）を、町ご提供の年齢別人口集計表（令和8年6月末現在・1歳刻み）に乗じて積み上げたものです。
⚠ **残るお願いは次の2つです。**
① 要介護認定の認定調査における認知症高齢者の日常生活自立度Ⅱ以上の人数（令和6・7年度）。推計値は65歳以上人口の全体を母集団とするのに対し、自立度Ⅱ以上は認定を受けておられる方の中での把握であり、測るものが違います。**両者の差が、認定を受けておられない認知症の方のおおよその規模**になり、早期発見・相談・サポーター養成の配り方を考える材料になります。
② 年齢階級別（5歳階級）の将来推計人口（令和12・17・22年）。基本指針（案）は「今後どのような推移を辿るのか」の推計を求めていますが、将来の推計には年齢階級別の将来人口が要ります。本計画が第1号被保険者数に用いている国立社会保障・人口問題研究所「日本の地域別将来推計人口（令和5年推計）」の5歳階級別の値をご提供いただくか、地域包括ケア「見える化」システムからの出力をご検討ください。いただければ同じ式でその日のうちに算出できます。
⚠ **見える化システムからは取れない見込みです。** 令和8年7月15日の全国介護保険担当課長会議資料52頁は、別表一の事項ごとの把握方法を示しており、事項十一（認知症の人の数）は「各自治体で把握」とされています（事項二〜七・十は「見える化システム」と明記）。また事項二（人口構造）で見える化システムから取れる人口は**年齢三区分**であり、推計に要る5歳階級別の内訳には足りません。
⚠ **高齢化率からは推計できません。** 有病率は年齢階級により1.1％（65〜69歳）から50.3％（90歳以上）まで変わるため、要るのは65歳以上の「割合」ではなく「年齢階級別の内訳」です。65歳以上人口に全国の12.3％を一律に乗じると395人となりますが、12.3％は性年齢調整後の全国値で本町の年齢構成を反映せず、21人多く出ます。</t>
        </is>
      </c>
      <c r="F161" s="38" t="inlineStr">
        <is>
          <t>計画素案 6-1（推計値を掲載済み）</t>
        </is>
      </c>
      <c r="G161" s="38" t="inlineStr">
        <is>
          <t>発注者</t>
        </is>
      </c>
      <c r="H161" s="39" t="inlineStr">
        <is>
          <t>確認待ち</t>
        </is>
      </c>
      <c r="I161" s="38" t="inlineStr">
        <is>
          <t>R8.10</t>
        </is>
      </c>
      <c r="J161" s="38" t="inlineStr">
        <is>
          <t>第10期基本指針（案）の別表 十一。素案に認知症の人の数がなかった。</t>
        </is>
      </c>
    </row>
    <row r="162" ht="80" customHeight="1">
      <c r="A162" s="9" t="inlineStr">
        <is>
          <t>158</t>
        </is>
      </c>
      <c r="B162" s="9" t="inlineStr">
        <is>
          <t>(4)(6)</t>
        </is>
      </c>
      <c r="C162" s="9" t="inlineStr">
        <is>
          <t>R8.11</t>
        </is>
      </c>
      <c r="D162" s="7" t="inlineStr">
        <is>
          <t>医療介護連携に関する加算の算定状況</t>
        </is>
      </c>
      <c r="E162" s="7" t="inlineStr">
        <is>
          <t>第10期基本指針（案）の別表 十が「医療介護連携に関する加算の算定状況」を確認すべき指標としています。退院・退所加算、入退院支援、ターミナルケア加算、看取り介護加算等の算定状況を国保連の給付実績からご確認いただけますでしょうか。交付金 支援 目標Ⅲ（入退院支援・人生の最終段階における支援）で本町が失点している項目でもあります。</t>
        </is>
      </c>
      <c r="F162" s="7" t="inlineStr">
        <is>
          <t>素案 5-3・7-3・3-3</t>
        </is>
      </c>
      <c r="G162" s="9" t="inlineStr">
        <is>
          <t>発注者</t>
        </is>
      </c>
      <c r="H162" s="12" t="inlineStr">
        <is>
          <t>確認待ち</t>
        </is>
      </c>
      <c r="I162" s="9" t="inlineStr">
        <is>
          <t>R8.11</t>
        </is>
      </c>
      <c r="J162" s="7" t="inlineStr">
        <is>
          <t>第10期基本指針（案）の別表 十。交付金 支援 目標Ⅲで失点している項目でもある。</t>
        </is>
      </c>
    </row>
    <row r="163" ht="80" customHeight="1">
      <c r="A163" s="38" t="inlineStr">
        <is>
          <t>159</t>
        </is>
      </c>
      <c r="B163" s="38" t="inlineStr">
        <is>
          <t>(4)(5)</t>
        </is>
      </c>
      <c r="C163" s="38" t="inlineStr">
        <is>
          <t>R8.10</t>
        </is>
      </c>
      <c r="D163" s="38" t="inlineStr">
        <is>
          <t>施設の入所率・稼働率と入退所の経路</t>
        </is>
      </c>
      <c r="E163" s="38" t="inlineStr">
        <is>
          <t>特別養護老人ホーム及び介護老人保健施設について、①定員に対する入所者数の割合（入所率）、②休止床の有無、③待機者数、④新規入所者の入所前の居所（自宅／病院・診療所／他施設）、⑤退所者の退所先（自宅／病院・診療所／他施設／死亡）、を2施設への照会によりご確認いただけますでしょうか。第10期基本指針（案）の別表 七が入所率・稼働率を明記しており、また第2回策定委員会の選択2（施設整備）の判断の根拠となります。</t>
        </is>
      </c>
      <c r="F163" s="38" t="inlineStr">
        <is>
          <t>素案 9-1・第2回策定委員会の選択2</t>
        </is>
      </c>
      <c r="G163" s="38" t="inlineStr">
        <is>
          <t>発注者</t>
        </is>
      </c>
      <c r="H163" s="39" t="inlineStr">
        <is>
          <t>確認待ち</t>
        </is>
      </c>
      <c r="I163" s="38" t="inlineStr">
        <is>
          <t>R8.10</t>
        </is>
      </c>
      <c r="J163" s="38" t="inlineStr">
        <is>
          <t>【令和8年10月22日 更新②（方針Ｃ・素案Ver.2.23）】県の入所状況調による入所率・退所理由の推移を素案 Ver.2.23 の 2-7・7-1 に入れました。入所前の居所は、入所指針が定める保険者の協力の場で集計値を求めるかを［要協議］として本文に置いています。ご判断をお願いします。　【令和8年10月22日 更新（県の入所状況調）】⚠ **稼働率と休止床が、照会を行わずに埋まりました。**宮城県が3か月ごとに施設別の入所状況を公表しています（老人福祉施設等入所状況調）。令和5年4月から令和8年7月まで14時点を取得しました。
・入所率　介護老人福祉施設97.5〜100.0％と70.0〜100.0％（⚠ 後者は恒常的に2〜5床の空き）／介護老人保健施設90.7〜97.7％／認知症対応型共同生活介護88.9〜100.0％と94.4〜100.0％
・入所希望者　介護老人福祉施設2施設の計が令和5年4月69人→令和8年7月24人（⚠ 複数施設への申込みが重複計上）
・退所理由「在宅」14時点計　介護老人保健施設136人に対し**介護老人福祉施設0人**。在宅復帰と終のすみかの別が3年半の実績で分かれました
⚠ **残るのは3件**です。①入所前の居所（調査の項目にない）②床単位の休止（施設単位までしか分からない）③**短期入所の稼働（新たに分かった空白。県調査も公表システムも長期（短期分を除く））**。
⚠ **入所前の居所には筋が立ちました。** 宮城県指定介護老人福祉施設入所指針（令和5年7月25日）第4(1)(5)により、施設は入所希望者の置かれている状況を確認し名簿を5年保管します。同指針 第3 は**保険者が入所規程の作成に協力する責務**を定めています。新たな照会ではなく、この関与の中で名簿の**集計値**（在宅・医療機関・他の施設の別の人数）の提供を求めるかをご判断ください。　【令和8年10月20日 更新③（ヒアリングを行わない整理）】⚠ **入所率・待機者数・退所先が埋まり、残るのは3件になりました。**
埋まったもの　入所率（90.0％〜100.0％）／待機者数（介護老人福祉施設20人・介護老人保健施設2人）／退所先（介護老人福祉施設は前年度9人、介護老人保健施設は直近3か月19人）
⚠ **残るもの3件**　①稼働率（延べ利用日数による。公表の項目になく、入所率で代えます）②入所前の居所（公表の項目になく、退所先と待機者数で代えます）③休止床の数（定員と在所者数の差で代えます）。
いずれも素案 7-1・表に「公表の項目にない」旨と代わりに用いる値を明記しました。照会を行わない場合でも、施設整備の判断は可能と考えます。　第10期基本指針（案）の別表 七。第2回策定委員会の選択2（施設整備）の判断の根拠となる。確認事項No.29（事業所一覧）と併せてご確認いただきたい。</t>
        </is>
      </c>
    </row>
    <row r="164" ht="80" customHeight="1">
      <c r="A164" s="9" t="inlineStr">
        <is>
          <t>160</t>
        </is>
      </c>
      <c r="B164" s="9" t="inlineStr">
        <is>
          <t>(4)(7)</t>
        </is>
      </c>
      <c r="C164" s="9" t="inlineStr">
        <is>
          <t>R8.11</t>
        </is>
      </c>
      <c r="D164" s="7" t="inlineStr">
        <is>
          <t>身寄りのない高齢者等への支援と介護予防ケアマネジメントの直接委託</t>
        </is>
      </c>
      <c r="E164" s="7" t="inlineStr">
        <is>
          <t>令和8年法律第51号により、①身元保証・日常生活支援・死後事務等を行う事業が第二種社会福祉事業に位置づけられ、②介護予防ケアマネジメントを指定居宅介護支援事業者が市町村から直接委託を受けて実施できることとされます。②は地域包括支援センターの業務負担の軽減に直結します（第1回策定委員会で認定調査員の負担軽減が課題として挙がっています）。第10期での実施の可否をご判断ください。</t>
        </is>
      </c>
      <c r="F164" s="7" t="inlineStr">
        <is>
          <t>素案 5-3・5-4・第1章（新設する節）</t>
        </is>
      </c>
      <c r="G164" s="9" t="inlineStr">
        <is>
          <t>発注者</t>
        </is>
      </c>
      <c r="H164" s="12" t="inlineStr">
        <is>
          <t>確認待ち</t>
        </is>
      </c>
      <c r="I164" s="9" t="inlineStr">
        <is>
          <t>R8.11</t>
        </is>
      </c>
      <c r="J164" s="7" t="inlineStr">
        <is>
          <t>社会福祉法等の一部を改正する法律（令和8年法律第51号）による。介護予防ケアマネジメントの直接委託は地域包括支援センターの業務負担の軽減に直結する。</t>
        </is>
      </c>
    </row>
    <row r="165" ht="80" customHeight="1">
      <c r="A165" s="9" t="inlineStr">
        <is>
          <t>161</t>
        </is>
      </c>
      <c r="B165" s="9" t="inlineStr">
        <is>
          <t>(4)(7)</t>
        </is>
      </c>
      <c r="C165" s="9" t="inlineStr">
        <is>
          <t>R8.10</t>
        </is>
      </c>
      <c r="D165" s="7" t="inlineStr">
        <is>
          <t>計画本文に差し込む図の追加（3件）の可否</t>
        </is>
      </c>
      <c r="E165" s="7" t="inlineStr">
        <is>
          <t>図表データ管理台帳の04シートに、素案に差し込んでいない図の候補8件を挙げました。このうち次の3件は追加の資料を要さず当社の作業のみで作れます。作成してよろしいかご指示ください。①要介護認定者数と認定率の推移（棒と折れ線）②交付金の得点の3か年推移と指標群別の内訳③認知症施策のKPIの3層構造（プロセス→アウトプット→アウトカム）</t>
        </is>
      </c>
      <c r="F165" s="7" t="inlineStr">
        <is>
          <t>計画素案 2-3・3-3・6-3の図</t>
        </is>
      </c>
      <c r="G165" s="9" t="inlineStr">
        <is>
          <t>発注者</t>
        </is>
      </c>
      <c r="H165" s="12" t="inlineStr">
        <is>
          <t>完了</t>
        </is>
      </c>
      <c r="I165" s="9" t="inlineStr">
        <is>
          <t>R8.10</t>
        </is>
      </c>
      <c r="J165" s="7" t="inlineStr">
        <is>
          <t>令和8年10月1日　町より「作成を進めてください」とのご指示をいただき、3件を作成して計画素案 Ver.2.7 に差し込んだ。①図2-4 要介護認定者数と認定率の推移（2-3）②図3-1 交付金の得点の推移と指標群別の内訳（3-3）③図6-1 認知症施策のKPIの3層構造（6-3）。図は本文の出現順に採番するため、既存の2点が繰り下がった（受給者の構成 図2-4→図2-5、年間給付費 図2-5→図2-6）。残る5件は資料の受領が前提であり、確認事項No.133・No.155・No.111により引き続き調整する。</t>
        </is>
      </c>
    </row>
    <row r="166" ht="80" customHeight="1">
      <c r="A166" s="9" t="inlineStr">
        <is>
          <t>162</t>
        </is>
      </c>
      <c r="B166" s="9" t="inlineStr">
        <is>
          <t>(7)</t>
        </is>
      </c>
      <c r="C166" s="9" t="inlineStr">
        <is>
          <t>R8.10</t>
        </is>
      </c>
      <c r="D166" s="7" t="inlineStr">
        <is>
          <t>未確定箇所の表記（【町確認】【委員会協議】）の扱い</t>
        </is>
      </c>
      <c r="E166" s="7" t="inlineStr">
        <is>
          <t>素案の本文・表に【町確認】50か所・【委員会協議】16か所が残っています。未確定箇所の表記は［　］に統一するのが本来ですが、協議の段階では「誰が決めるか」が分かる現在の形のほうが実務的と考えます。①現在の形のまま協議を進める ②［　］に統一する のいずれによるかご指示ください。</t>
        </is>
      </c>
      <c r="F166" s="7" t="inlineStr">
        <is>
          <t>計画素案（公表版に向けた整理）</t>
        </is>
      </c>
      <c r="G166" s="9" t="inlineStr">
        <is>
          <t>発注者</t>
        </is>
      </c>
      <c r="H166" s="12" t="inlineStr">
        <is>
          <t>確認待ち</t>
        </is>
      </c>
      <c r="I166" s="9" t="inlineStr">
        <is>
          <t>R8.10</t>
        </is>
      </c>
      <c r="J166" s="7" t="inlineStr">
        <is>
          <t>いずれによる場合も、公表版では確定した内容に置き換えます。あわせて、本文・表に残る「確認事項No.〜」の参照66か所は公表版では削除します（協議用には町が本表を引けるため残します）。当社の既定の扱いは①（現在の形のまま協議を進める）です。</t>
        </is>
      </c>
    </row>
    <row r="167" ht="80" customHeight="1">
      <c r="A167" s="9" t="inlineStr">
        <is>
          <t>163</t>
        </is>
      </c>
      <c r="B167" s="9" t="inlineStr">
        <is>
          <t>(4)(6)</t>
        </is>
      </c>
      <c r="C167" s="9" t="inlineStr">
        <is>
          <t>R8.11</t>
        </is>
      </c>
      <c r="D167" s="7" t="inlineStr">
        <is>
          <t>制度改正の記述と国の原典との照合</t>
        </is>
      </c>
      <c r="E167" s="7" t="inlineStr">
        <is>
          <t>計画素案1-5の制度改正の記述は、令和8年6月以降に国が示した資料によるものですが、当社の作業環境のネットワーク制限により厚生労働省のウェブサイトを直接参照できていません。国の資料が確定した段階で、施行の時期・適用の年度を原典と照合していただきたく存じます。</t>
        </is>
      </c>
      <c r="F167" s="7" t="inlineStr">
        <is>
          <t>計画素案 1-5</t>
        </is>
      </c>
      <c r="G167" s="9" t="inlineStr">
        <is>
          <t>発注者</t>
        </is>
      </c>
      <c r="H167" s="12" t="inlineStr">
        <is>
          <t>確認待ち</t>
        </is>
      </c>
      <c r="I167" s="9" t="inlineStr">
        <is>
          <t>R8.11</t>
        </is>
      </c>
      <c r="J167" s="7" t="inlineStr">
        <is>
          <t>特に次の3点は施行の時期が分かれるため、まとめて「第10期の期間中」と書かないよう注意を要します。①補足給付の見直し（令和8年8月施行分は第9期の最終年度、令和9年度中の施行分が第10期の期間中）②調整交付金の年齢区分7区分化（令和10年度から）③令和8年度介護報酬改定（基準年度である令和7年度の単価に未反映）。照合の結果、当社の記述に誤りがあればご指摘ください。</t>
        </is>
      </c>
    </row>
    <row r="168" ht="80" customHeight="1">
      <c r="A168" s="9" t="inlineStr">
        <is>
          <t>164</t>
        </is>
      </c>
      <c r="B168" s="9" t="inlineStr">
        <is>
          <t>(7)</t>
        </is>
      </c>
      <c r="C168" s="9" t="inlineStr">
        <is>
          <t>R8.11</t>
        </is>
      </c>
      <c r="D168" s="7" t="inlineStr">
        <is>
          <t>事業一覧表に加えた「内容」のうち、当方が書き起こした48件のご確認</t>
        </is>
      </c>
      <c r="E168" s="7" t="inlineStr">
        <is>
          <t>計画素案 Ver.2.9 で、事業一覧表（17表・138事業）に「内容」の欄を加えました。内容の出所は3つで、①第9期計画書の本文から取り出したもの57件、②統合体系表の新規・拡充の内容33件、③当方が書き起こしたもの48件です。③は介護保険法・国の指針が内容を定めているもの（施設サービス等）と、素案の本文に記述があるもの（町独自の事業）に限っていますが、実際の運用と食い違っていないかは町でなければ確かめられません。1件ずつご確認をお願いします。</t>
        </is>
      </c>
      <c r="F168" s="7" t="inlineStr">
        <is>
          <t>計画素案 第5章・第6章の事業一覧表
計画書（案）</t>
        </is>
      </c>
      <c r="G168" s="9" t="inlineStr">
        <is>
          <t>発注者</t>
        </is>
      </c>
      <c r="H168" s="12" t="inlineStr">
        <is>
          <t>確認待ち</t>
        </is>
      </c>
      <c r="I168" s="9" t="inlineStr">
        <is>
          <t>R8.11</t>
        </is>
      </c>
      <c r="J168" s="7" t="inlineStr">
        <is>
          <t>対象の一覧は 05_試算・管理シート/川崎町_事業の内容の出所_R8.10.4.xlsx（橙色の行が③）。当方の既定値は、ご指摘のないものはそのまま計画書（案）に載せることとします。⚠ 第9期計画書に記述のある57件も、第9期の文をそのまま写したものではなく第10期の記述として整えています。あわせてご一読ください。</t>
        </is>
      </c>
    </row>
    <row r="169" ht="80" customHeight="1">
      <c r="A169" s="9" t="inlineStr">
        <is>
          <t>165</t>
        </is>
      </c>
      <c r="B169" s="9" t="inlineStr">
        <is>
          <t>(8)</t>
        </is>
      </c>
      <c r="C169" s="9" t="inlineStr">
        <is>
          <t>R8.10</t>
        </is>
      </c>
      <c r="D169" s="7" t="inlineStr">
        <is>
          <t>令和8年9月2日受領の交付金ファイル5点の再送の要否</t>
        </is>
      </c>
      <c r="E169" s="7" t="inlineStr">
        <is>
          <t>令和8年9月2日にお送りいただいた全国集計結果の5ファイル（令和6〜8年度交付分）は、既に当方が持っていた8月28日受領分と内容が完全に一致することを受領時に確認し、結果を記録しております（09_元資料/交付金評価/③令和８年度交付金評価指標等（市町村分・公表版）/README_9月2日受領版との同一性.txt）。一致を確認済みのため当方の作業に支障はなく、交付金の分析（3か年の得点の推移・項目別の増減）は8月28日受領分だけで再実行できます。照合そのものをもう一度行う必要がある場合に限り、再送をお願いします。</t>
        </is>
      </c>
      <c r="F169" s="7" t="inlineStr">
        <is>
          <t>―（止めている成果物はありません）</t>
        </is>
      </c>
      <c r="G169" s="9" t="inlineStr">
        <is>
          <t>発注者</t>
        </is>
      </c>
      <c r="H169" s="12" t="inlineStr">
        <is>
          <t>確認待ち</t>
        </is>
      </c>
      <c r="I169" s="9" t="inlineStr">
        <is>
          <t>R8.11</t>
        </is>
      </c>
      <c r="J169" s="7" t="inlineStr">
        <is>
          <t>既定値＝再送は不要とし、照合は令和8年9月25日の確認結果をもって足りるものとして扱います。</t>
        </is>
      </c>
    </row>
    <row r="170" ht="80" customHeight="1">
      <c r="A170" s="9" t="inlineStr">
        <is>
          <t>166</t>
        </is>
      </c>
      <c r="B170" s="9" t="inlineStr">
        <is>
          <t>(7)</t>
        </is>
      </c>
      <c r="C170" s="9" t="inlineStr">
        <is>
          <t>R8.10</t>
        </is>
      </c>
      <c r="D170" s="7" t="inlineStr">
        <is>
          <t>宮城県の認知症施策推進計画の策定状況</t>
        </is>
      </c>
      <c r="E170" s="7" t="inlineStr">
        <is>
          <t>認知症基本法は、市町村認知症施策推進計画を都道府県計画を基本として定めるものとしています（第13条第1項）。宮城県の認知症施策推進計画が策定されているか、策定中である場合はその時期と内容の概要をご教示ください。宮城県の第10期高齢者保健福祉計画・介護保険事業支援計画の公表時期とあわせてお願いします。県への事前協議の前提となります。</t>
        </is>
      </c>
      <c r="F170" s="7" t="inlineStr">
        <is>
          <t>計画素案 第6章6-1
県事前協議の資料</t>
        </is>
      </c>
      <c r="G170" s="9" t="inlineStr">
        <is>
          <t>発注者</t>
        </is>
      </c>
      <c r="H170" s="12" t="inlineStr">
        <is>
          <t>確認待ち</t>
        </is>
      </c>
      <c r="I170" s="9" t="inlineStr">
        <is>
          <t>R8.11</t>
        </is>
      </c>
      <c r="J170" s="7" t="inlineStr">
        <is>
          <t>既定値＝県計画の公表前であることを 6-1 に注記し、公表後に記述を確かめる扱いとします。</t>
        </is>
      </c>
    </row>
    <row r="171" ht="80" customHeight="1">
      <c r="A171" s="9" t="inlineStr">
        <is>
          <t>167</t>
        </is>
      </c>
      <c r="B171" s="9" t="inlineStr">
        <is>
          <t>(8)</t>
        </is>
      </c>
      <c r="C171" s="9" t="inlineStr">
        <is>
          <t>R8.11</t>
        </is>
      </c>
      <c r="D171" s="7" t="inlineStr">
        <is>
          <t>計画書の奥付に策定支援者を表示するか</t>
        </is>
      </c>
      <c r="E171" s="7" t="inlineStr">
        <is>
          <t>計画素案の奥付に「（策定支援：ビズアップ公共コンサルティング株式会社）」と表示しています。計画書に策定支援者を表示する慣行によるものですが、計画は町が定めるものですので、表示の要否は町のご判断によります。第9期計画の扱いに倣うことも考えられます。</t>
        </is>
      </c>
      <c r="F171" s="7" t="inlineStr">
        <is>
          <t>計画書 奥付</t>
        </is>
      </c>
      <c r="G171" s="9" t="inlineStr">
        <is>
          <t>発注者</t>
        </is>
      </c>
      <c r="H171" s="12" t="inlineStr">
        <is>
          <t>確認待ち</t>
        </is>
      </c>
      <c r="I171" s="9" t="inlineStr">
        <is>
          <t>R8.12</t>
        </is>
      </c>
      <c r="J171" s="7" t="inlineStr">
        <is>
          <t>既定値＝第9期計画の奥付に倣います。第9期に表示がない場合は取り除きます。</t>
        </is>
      </c>
    </row>
    <row r="172" ht="80" customHeight="1">
      <c r="A172" s="9" t="inlineStr">
        <is>
          <t>168</t>
        </is>
      </c>
      <c r="B172" s="9" t="inlineStr">
        <is>
          <t>(5)</t>
        </is>
      </c>
      <c r="C172" s="9" t="inlineStr">
        <is>
          <t>R8.10</t>
        </is>
      </c>
      <c r="D172" s="7" t="inlineStr">
        <is>
          <t>地域支援事業費（包括的支援事業の運営・任意事業）の伸びの根拠</t>
        </is>
      </c>
      <c r="E172" s="7" t="inlineStr">
        <is>
          <t>見える化システムの総括表では、包括的支援事業（地域包括支援センターの運営）と任意事業の費用が、令和9〜11年度にかけて毎年同じ額ずつ増える値で入力されています（2区分の計で令和7年度28,326千円→令和11年度45,988千円・＋62.3％）。増え方は令和6年度→令和8年度の平均年増をそのまま延ばしたもので、令和12年度では35,258千円に下がり不連続になります。地域支援事業費は第1号被保険者負担分（23％）に直に乗るため保険料に効き、令和7年度の実績で据え置く場合との差は月額86円です。①この伸びに根拠（人員の増・委託料の改定等）があるか、②令和8年度の予算額と執行の見込み、③令和6・7年度の決算（科目別）をご教示ください。置き方の4案は「川崎町_地域支援事業費の置き方_R8.10.7.xlsx」03シートのとおりです。</t>
        </is>
      </c>
      <c r="F172" s="7" t="inlineStr">
        <is>
          <t>素案 9-2（地域支援事業費の見込み）
素案 9-3（保険料の算定）
保険料試算ワークブック</t>
        </is>
      </c>
      <c r="G172" s="9" t="inlineStr">
        <is>
          <t>発注者</t>
        </is>
      </c>
      <c r="H172" s="12" t="inlineStr">
        <is>
          <t>確認待ち</t>
        </is>
      </c>
      <c r="I172" s="9" t="inlineStr">
        <is>
          <t>R8.11</t>
        </is>
      </c>
      <c r="J172" s="7" t="inlineStr">
        <is>
          <t>既定値＝見える化システムの入力値（案1）のまま置き、伸びの出所を素案 9-2 に注記します。伸びの根拠が示せない場合は、案4（平均年増の2分の1）を協議用の仮置きとしてお示しします。</t>
        </is>
      </c>
    </row>
    <row r="173" ht="80" customHeight="1">
      <c r="A173" s="9" t="inlineStr">
        <is>
          <t>169</t>
        </is>
      </c>
      <c r="B173" s="9" t="inlineStr">
        <is>
          <t>(6)</t>
        </is>
      </c>
      <c r="C173" s="9" t="inlineStr">
        <is>
          <t>R8.10</t>
        </is>
      </c>
      <c r="D173" s="7" t="inlineStr">
        <is>
          <t>住所地特例24人の時点（令和7年6月時点か、令和8年3月末か）</t>
        </is>
      </c>
      <c r="E173" s="7" t="inlineStr">
        <is>
          <t>計画素案の中で、住所地特例24人の時点が2通りになっていました。2-7（本文・表）・7-1・7-6・9-1の一部は「令和7年6月時点」、2-3・3-2（本文・表）・3-3・9-1の一部は「令和8年3月末」です。2-1の表が「令和3年度末（2022.3）34人→令和7年度末（2026.3）24人」としているため、当方は令和8年3月末（＝令和7年度末）が正しいと判断し、素案 Ver.2.13 で令和8年3月末に揃えました。令和7年6月時点の24人という別の数値が実在する場合はお知らせください。あわせて、住所地特例者の所在自治体別・施設種別別の内訳を令和8年3月末と令和8年10月1日の2時点でご提供いただけますと、別表 事項七（町外施設）と事項八（町民の入居先）が同時に埋まります。</t>
        </is>
      </c>
      <c r="F173" s="7" t="inlineStr">
        <is>
          <t>計画素案 2-7・7-1・7-6・9-1
別表 事項七・八の整理</t>
        </is>
      </c>
      <c r="G173" s="9" t="inlineStr">
        <is>
          <t>発注者</t>
        </is>
      </c>
      <c r="H173" s="12" t="inlineStr">
        <is>
          <t>確認待ち</t>
        </is>
      </c>
      <c r="I173" s="9" t="inlineStr">
        <is>
          <t>R8.11</t>
        </is>
      </c>
      <c r="J173" s="7" t="inlineStr">
        <is>
          <t>既定値＝令和8年3月末に揃えたまま（2-1の表と整合する方）とします。</t>
        </is>
      </c>
    </row>
    <row r="175">
      <c r="A175" s="24" t="inlineStr">
        <is>
          <t>区分</t>
        </is>
      </c>
      <c r="B175" s="24" t="inlineStr">
        <is>
          <t>件数</t>
        </is>
      </c>
    </row>
    <row r="176">
      <c r="A176" s="10" t="inlineStr">
        <is>
          <t>完了</t>
        </is>
      </c>
      <c r="B176" s="9">
        <f>COUNTIF(H5:H168,"完了")</f>
        <v/>
      </c>
    </row>
    <row r="177">
      <c r="A177" s="12" t="inlineStr">
        <is>
          <t>実施中</t>
        </is>
      </c>
      <c r="B177" s="4" t="n"/>
      <c r="C177" s="4" t="n"/>
      <c r="D177" s="4" t="n"/>
      <c r="E177" s="4" t="n"/>
      <c r="F177" s="4" t="n"/>
      <c r="G177" s="4" t="n"/>
      <c r="H177" s="4" t="n"/>
      <c r="I177" s="4" t="n"/>
      <c r="J177" s="5" t="n"/>
    </row>
    <row r="178">
      <c r="A178" s="14" t="inlineStr">
        <is>
          <t>確認待ち</t>
        </is>
      </c>
      <c r="B178" s="4" t="n"/>
      <c r="C178" s="4" t="n"/>
      <c r="D178" s="4" t="n"/>
      <c r="E178" s="4" t="n"/>
      <c r="F178" s="4" t="n"/>
      <c r="G178" s="4" t="n"/>
      <c r="H178" s="4" t="n"/>
      <c r="I178" s="4" t="n"/>
      <c r="J178" s="5" t="n"/>
    </row>
    <row r="179">
      <c r="A179" s="16" t="inlineStr">
        <is>
          <t>未着手</t>
        </is>
      </c>
      <c r="B179" s="4" t="n"/>
      <c r="C179" s="4" t="n"/>
      <c r="D179" s="4" t="n"/>
      <c r="E179" s="4" t="n"/>
      <c r="F179" s="4" t="n"/>
      <c r="G179" s="4" t="n"/>
      <c r="H179" s="4" t="n"/>
      <c r="I179" s="4" t="n"/>
      <c r="J179" s="5" t="n"/>
    </row>
    <row r="180">
      <c r="A180" s="18" t="inlineStr">
        <is>
          <t>対象外</t>
        </is>
      </c>
      <c r="B180" s="4" t="n"/>
      <c r="C180" s="4" t="n"/>
      <c r="D180" s="4" t="n"/>
      <c r="E180" s="4" t="n"/>
      <c r="F180" s="4" t="n"/>
      <c r="G180" s="4" t="n"/>
      <c r="H180" s="4" t="n"/>
      <c r="I180" s="4" t="n"/>
      <c r="J180" s="5" t="n"/>
    </row>
    <row r="182">
      <c r="A182" s="23" t="inlineStr">
        <is>
          <t>注1）「回答・対応」欄は、発注者からの回答又は受託者による対応の結果を記入し、状態を「完了」に更新する。</t>
        </is>
      </c>
    </row>
    <row r="183">
      <c r="A183" s="23" t="inlineStr">
        <is>
          <t>注2）No.9〜11は保険料試算ワークブックの黄色セル（01!B15、06!B17、06!B16、04!B8、06!B10）と対応し、値を入力すると保険料基準額が自動で再計算される。</t>
        </is>
      </c>
    </row>
    <row r="184">
      <c r="A184" s="35" t="inlineStr">
        <is>
          <t>170</t>
        </is>
      </c>
      <c r="B184" s="35" t="inlineStr">
        <is>
          <t>(4)(5)</t>
        </is>
      </c>
      <c r="C184" s="35" t="inlineStr">
        <is>
          <t>R8.10</t>
        </is>
      </c>
      <c r="D184" s="35" t="inlineStr">
        <is>
          <t>事業所照会票の発出の可否と発送日</t>
        </is>
      </c>
      <c r="E184" s="35" t="inlineStr">
        <is>
          <t>作業順位27により、事業所照会票（様式1から様式9・設問58問）と電子記入様式・確定値管理表を作成しました。素案 2-7 は供給側のデータを「事業所ヒアリング（令和8年9〜10月）により確定する」とし、素案 7-6 ①は年1回のヒアリングを計画期間を通じた仕組みとして位置付けています。発出の可否と発送日をご判断ください。⚠ **発送日と第2回策定委員会の開催日は同時にお決めいただく必要があります。**
【令和8年10月19日 更新】**本日（令和8年10月19日）時点で数え直しました。** 従前お示しした逆算は「令和8年10月19日に発送できても」を前提にしており、**その日が本日です。** 候補日ごとの状況は次のとおりです。　8年11月4日（水）＝⚠ 開催通知の期限（35日前）を過ぎています／回答期間16日／8年11月11日（水）＝⚠ 開催通知の期限（35日前）を過ぎています／回答期間23日／8年11月18日（水）＝⚠ 開催通知の期限（35日前）を過ぎています／回答期間30日／8年11月25日（水）＝開催通知の期限内／回答期間37日。⚠ **開催通知の期限を過ぎていない候補日は 8年11月25日（水） のみです。**
⚠ **さらに、照会票は町の台帳が埋まってはじめて発送できます。** 照会票は事業所の名称・事業所番号・所在地・定員・施設の類型を「［町がお写しします］」としており、作業順位26で用意した記入様式（事業所・住まい 突合台帳の03・04シート）が前提です。その記入には確認事項No.29（町内の介護保険事業所一覧）及びNo.154（高齢者向け住まいの状況）のご回答を要し、いずれも確認待ちです。**この連なりは従前お示しした内容に書かれていませんでした。** 逆算工程表（R8.10.19）の06シートに段を分けて示しています。
⚠ 当方の成果品（照会票・電子記入様式・確定値管理表・ご回答の受入検査）は**すべて作成済み**です。止まっているのは町のご回答の段です。</t>
        </is>
      </c>
      <c r="F184" s="35" t="inlineStr">
        <is>
          <t>素案 2-7・7-1・7-2・9-1 の供給側のデータ
第2回策定委員会の選択2（施設整備）</t>
        </is>
      </c>
      <c r="G184" s="35" t="inlineStr">
        <is>
          <t>発注者</t>
        </is>
      </c>
      <c r="H184" s="35" t="inlineStr">
        <is>
          <t>確認待ち</t>
        </is>
      </c>
      <c r="I184" s="35" t="inlineStr">
        <is>
          <t>R8.10</t>
        </is>
      </c>
      <c r="J184" s="35" t="inlineStr">
        <is>
          <t>【令和8年10月22日 更新（県の入所状況調）】⚠ **照会を行わない整理がさらに固まりました。**照会でお尋ねする予定であった項目のうち、**稼働率と休止床も県の公表資料で代えられる**ことが分かりました（確認事項No.159）。
⚠ 残るのは、入所前の居所・床単位の休止・短期入所の稼働・経営の状況・町への要望の5件です。このうち入所前の居所は県の入所指針による保険者の関与の中で、経営の状況は計画に書かない扱いとし、町への要望は既存の場で聴きます。**新たな照会票は要しません。**　【令和8年10月20日 更新③（ヒアリングを行わない整理）】⚠ **照会票を発出しないという整理をお示しします。**ご指示により、事業所ヒアリングを行わない前提で整理し直した結果、照会票でお尋ねする予定であった項目のうち、**入所率・待機者数・職員数・指定の年月日・退所先は公表システムから採録できました**（14の指定すべて・令和8年10月20日）。
⚠ **残るのは5件**（稼働率・入所前の居所・休止床の数・経営の状況・町への要望）で、いずれも代わりの扱いを素案に書きました。経営の状況と町への要望は、地域ケア会議等の既存の場で聴くものとして計画期間中の仕組みに位置付けました。
⚠ **ご判断をお願いするのは「発出しない」ことのご了解のみです。**発出される場合は、お尋ねする項目を5件に絞った版をお作りします。　既定値＝発送しない場合、素案 2-7 の表は【町確認】のまま残し、9-1 の施設整備に係る基本方針は「既存資源の稼働の状況を把握できていない」旨を明記します。第2回策定委員会の選択2は第3回に送ります。</t>
        </is>
      </c>
    </row>
    <row r="185">
      <c r="A185" s="35" t="inlineStr">
        <is>
          <t>171</t>
        </is>
      </c>
      <c r="B185" s="35" t="inlineStr">
        <is>
          <t>(4)(8)</t>
        </is>
      </c>
      <c r="C185" s="35" t="inlineStr">
        <is>
          <t>R8.10</t>
        </is>
      </c>
      <c r="D185" s="35" t="inlineStr">
        <is>
          <t>照会票の［　］4か所のご記入</t>
        </is>
      </c>
      <c r="E185" s="35" t="inlineStr">
        <is>
          <t>照会票には、町にご記入いただく箇所を［　］で4か所残しています。①文書番号と発出の年月日 ②ご提出の期限 ③ご提出先・お問い合わせ先（電話・ファクシミリ・電子メール）④個人情報の取扱いの3点（計画の策定の支援の委託先の名称・保管の期間・廃棄の方法）。⚠ **とくに④が空欄のままでは、個人情報の取扱いを示せないまま発送することになります。**</t>
        </is>
      </c>
      <c r="F185" s="35" t="inlineStr">
        <is>
          <t>事業所照会票（発送できない）</t>
        </is>
      </c>
      <c r="G185" s="35" t="inlineStr">
        <is>
          <t>発注者</t>
        </is>
      </c>
      <c r="H185" s="35" t="inlineStr">
        <is>
          <t>確認待ち</t>
        </is>
      </c>
      <c r="I185" s="35" t="inlineStr">
        <is>
          <t>R8.10</t>
        </is>
      </c>
      <c r="J185" s="35" t="inlineStr">
        <is>
          <t>既定値＝④は「町の個人情報保護条例の定めによる」と書き、委託先の名称は伏せた形とします。ただし条例上の扱いは町でご確認をお願いします。</t>
        </is>
      </c>
    </row>
    <row r="186">
      <c r="A186" s="35" t="inlineStr">
        <is>
          <t>172</t>
        </is>
      </c>
      <c r="B186" s="35" t="inlineStr">
        <is>
          <t>(4)(6)</t>
        </is>
      </c>
      <c r="C186" s="35" t="inlineStr">
        <is>
          <t>R8.10</t>
        </is>
      </c>
      <c r="D186" s="35" t="inlineStr">
        <is>
          <t>町外の事業所の宛先の作り方</t>
        </is>
      </c>
      <c r="E186" s="35" t="inlineStr">
        <is>
          <t>本町の被保険者が現に利用している町外の事業所にも照会票をお送りする必要がありますが、⚠ **国保連の給付実績（事業所別）が未受領であり（確認事項No.12）、年報では事業所別に落ちないため、現状では町外の事業所の宛先を作れません。** 当方の案は次の2経路による代替です。①町内の居宅介護支援事業所に、給付管理の相手方の事業所の一覧をお願いする（資料提供依頼No.39）②住所地特例者台帳の入居先施設から入所・入居系の事業所を拾う。この代替によることのご了解と、①の依頼の可否をご判断ください。</t>
        </is>
      </c>
      <c r="F186" s="35" t="inlineStr">
        <is>
          <t>照会票の送付先の一覧
素案 9-1 の広域調整</t>
        </is>
      </c>
      <c r="G186" s="35" t="inlineStr">
        <is>
          <t>発注者</t>
        </is>
      </c>
      <c r="H186" s="35" t="inlineStr">
        <is>
          <t>確認待ち</t>
        </is>
      </c>
      <c r="I186" s="35" t="inlineStr">
        <is>
          <t>R8.10</t>
        </is>
      </c>
      <c r="J186" s="35" t="inlineStr">
        <is>
          <t>既定値＝町内の事業所にのみ発送し、素案 9-1 の広域調整に「町外施設の受入余地を把握できていない」旨を明記します。</t>
        </is>
      </c>
    </row>
    <row r="187">
      <c r="A187" s="35" t="inlineStr">
        <is>
          <t>173</t>
        </is>
      </c>
      <c r="B187" s="35" t="inlineStr">
        <is>
          <t>(4)(7)</t>
        </is>
      </c>
      <c r="C187" s="35" t="inlineStr">
        <is>
          <t>R8.11</t>
        </is>
      </c>
      <c r="D187" s="35" t="inlineStr">
        <is>
          <t>照会票が回収できなかった場合の素案の書き方</t>
        </is>
      </c>
      <c r="E187" s="35" t="inlineStr">
        <is>
          <t>素案 2-7 は「確認が取れない数値及び特定の事業所が識別され得る数値は、計画書（案）には掲載しません」と定めています。したがって、回収できなかった設問を素案でどう書くかを発送の前に決めておく必要があります。確定値管理表の09_未回答のときの扱い に当方の案を7件示しました（①回答のあった事業所数と全事業所数を併記する②1事業所しかない種類で未回答の場合は【町確認】のまま残す③「0件」と「記録なし」を区別する ほか）。ご判断をお願いします。</t>
        </is>
      </c>
      <c r="F187" s="35" t="inlineStr">
        <is>
          <t>素案 2-7・7-1・7-2・9-1</t>
        </is>
      </c>
      <c r="G187" s="35" t="inlineStr">
        <is>
          <t>発注者</t>
        </is>
      </c>
      <c r="H187" s="35" t="inlineStr">
        <is>
          <t>確認待ち</t>
        </is>
      </c>
      <c r="I187" s="35" t="inlineStr">
        <is>
          <t>R8.11</t>
        </is>
      </c>
      <c r="J187" s="35" t="inlineStr">
        <is>
          <t>既定値＝確定値管理表 09シートの当方の案によります。</t>
        </is>
      </c>
    </row>
    <row r="188">
      <c r="A188" s="35" t="inlineStr">
        <is>
          <t>174</t>
        </is>
      </c>
      <c r="B188" s="35" t="inlineStr">
        <is>
          <t>(5)(7)</t>
        </is>
      </c>
      <c r="C188" s="35" t="inlineStr">
        <is>
          <t>R8.10</t>
        </is>
      </c>
      <c r="D188" s="35" t="inlineStr">
        <is>
          <t>予定保険料収納率の97％の出所</t>
        </is>
      </c>
      <c r="E188" s="35" t="inlineStr">
        <is>
          <t>他メンバー作成の第10期計画素案の注に「町提供データでは…予定収納率は97％となっています」とあります。当方は①総合収納率の実績（令和2〜7年度で96.3〜96.7％）②第9期計画と同じ96.0％ ③現年度分99.6％ の3つを区別して整理しており、97％はいずれにも当たりません。町提供データのどの欄の値かをご確認ください。⚠ 収納率は保険料に直接効きます（96.0％→99.6％で月額▲246円）。</t>
        </is>
      </c>
      <c r="F188" s="35" t="inlineStr">
        <is>
          <t>計画素案 9-3 の保険料算定</t>
        </is>
      </c>
      <c r="G188" s="35" t="inlineStr">
        <is>
          <t>発注者</t>
        </is>
      </c>
      <c r="H188" s="35" t="inlineStr">
        <is>
          <t>確認待ち</t>
        </is>
      </c>
      <c r="I188" s="35" t="inlineStr">
        <is>
          <t>R8.10</t>
        </is>
      </c>
      <c r="J188" s="35" t="inlineStr">
        <is>
          <t>既定値＝当方の96.0％（第9期と同じ）のままとします。</t>
        </is>
      </c>
    </row>
    <row r="189">
      <c r="A189" s="35" t="inlineStr">
        <is>
          <t>175</t>
        </is>
      </c>
      <c r="B189" s="35" t="inlineStr">
        <is>
          <t>(5)(6)</t>
        </is>
      </c>
      <c r="C189" s="35" t="inlineStr">
        <is>
          <t>R8.10</t>
        </is>
      </c>
      <c r="D189" s="35" t="inlineStr">
        <is>
          <t>総人口・世帯数・高齢化率の出典の揃え方</t>
        </is>
      </c>
      <c r="E189" s="35" t="inlineStr">
        <is>
          <t>第9期計画は川崎町住民基本台帳（各年9月末現在）の数値を掲載しています。他メンバー作成の素案は公表統計である宮城県高齢者人口調査（各年3月31日現在）に差し替えており、令和8年3月末の総人口7,686人・高齢化率41.9％としています。一方、当方の素案 2-2 は令和8年6月末の42.0％（総人口7,648人）を用いています。⚠ **同じ指標に2つの時点の値を計画書に載せられません。** ①公表統計（宮城県高齢者人口調査・3月31日現在）に揃える②住民基本台帳に揃える のいずれによるかをご判断ください。あわせて世帯数・1世帯あたり人員（令和4〜8年）と令和7年国勢調査の高齢者のいる世帯数をご提供ください。</t>
        </is>
      </c>
      <c r="F189" s="35" t="inlineStr">
        <is>
          <t>計画素案 2-1・2-2</t>
        </is>
      </c>
      <c r="G189" s="35" t="inlineStr">
        <is>
          <t>発注者</t>
        </is>
      </c>
      <c r="H189" s="35" t="inlineStr">
        <is>
          <t>確認待ち</t>
        </is>
      </c>
      <c r="I189" s="35" t="inlineStr">
        <is>
          <t>R8.10</t>
        </is>
      </c>
      <c r="J189" s="35" t="inlineStr">
        <is>
          <t>既定値＝公表統計（宮城県高齢者人口調査・各年3月31日現在）に揃えます。年度末で揃うため、他の指標（認定者数・給付費）と時点が一致します。</t>
        </is>
      </c>
    </row>
    <row r="190">
      <c r="A190" s="35" t="inlineStr">
        <is>
          <t>176</t>
        </is>
      </c>
      <c r="B190" s="35" t="inlineStr">
        <is>
          <t>(7)(8)</t>
        </is>
      </c>
      <c r="C190" s="35" t="inlineStr">
        <is>
          <t>R8.11</t>
        </is>
      </c>
      <c r="D190" s="35" t="inlineStr">
        <is>
          <t>保険料の算出表の月額と条例の年額の端数処理</t>
        </is>
      </c>
      <c r="E190" s="35" t="inlineStr">
        <is>
          <t>第9期計画書100頁の保険料算出表は基準額を月額6,508円としていますが、条例で定める年額78,000円を12で割ると6,500円で、整合していません（6,508円×12＝78,096円）。第9期計画書の中に2つの基準額が載っている状態です。第10期では、算出表の月額と条例の年額が整合するよう端数処理の方針を定めておく必要があります。①算出表の月額を円未満切り捨てとし、年額はその12倍とする②年額を条例で定め、月額は年額÷12とする のいずれによるかをご判断ください。</t>
        </is>
      </c>
      <c r="F190" s="35" t="inlineStr">
        <is>
          <t>計画素案 9-3・介護保険条例の改正</t>
        </is>
      </c>
      <c r="G190" s="35" t="inlineStr">
        <is>
          <t>発注者</t>
        </is>
      </c>
      <c r="H190" s="35" t="inlineStr">
        <is>
          <t>確認待ち</t>
        </is>
      </c>
      <c r="I190" s="35" t="inlineStr">
        <is>
          <t>R8.11</t>
        </is>
      </c>
      <c r="J190" s="35" t="inlineStr">
        <is>
          <t>既定値＝②（年額を条例で定め、月額は年額÷12とする）。住民にお示しする額と条例の額が一致します。</t>
        </is>
      </c>
    </row>
    <row r="191">
      <c r="A191" s="35" t="inlineStr">
        <is>
          <t>177</t>
        </is>
      </c>
      <c r="B191" s="35" t="inlineStr">
        <is>
          <t>(4)(8)</t>
        </is>
      </c>
      <c r="C191" s="35" t="inlineStr">
        <is>
          <t>R8.11</t>
        </is>
      </c>
      <c r="D191" s="35" t="inlineStr">
        <is>
          <t>計画書に載せる調査結果の範囲</t>
        </is>
      </c>
      <c r="E191" s="35" t="inlineStr">
        <is>
          <t>他メンバー作成の素案は第2章第6節「高齢者の生活実態・意識等」に19頁（図21点）を割いています。第9期計画も同様の構成です。一方、調査報告書3文書（ニーズ調査・在宅介護実態調査・介護実態調査）は別の成果品として納品します。⚠ **仕様書8は計画書を100頁程度と定めており、当方の素案は本文113頁です**（圧縮案を確認事項No.83でご協議中）。調査結果を19頁載せると頁数が収まりません。計画書に載せる項目と報告書に委ねる項目の切り分けをご判断ください。</t>
        </is>
      </c>
      <c r="F191" s="35" t="inlineStr">
        <is>
          <t>計画素案 2-6・計画書の頁数</t>
        </is>
      </c>
      <c r="G191" s="35" t="inlineStr">
        <is>
          <t>発注者</t>
        </is>
      </c>
      <c r="H191" s="35" t="inlineStr">
        <is>
          <t>確認待ち</t>
        </is>
      </c>
      <c r="I191" s="35" t="inlineStr">
        <is>
          <t>R8.11</t>
        </is>
      </c>
      <c r="J191" s="35" t="inlineStr">
        <is>
          <t>既定値＝計画書には施策の根拠となる項目（世帯類型・介護者の就労・外出の状況・認知症への備え）に絞って4〜6頁とし、そのほかは調査報告書に委ねて参照を付けます。</t>
        </is>
      </c>
    </row>
    <row r="192">
      <c r="A192" s="35" t="inlineStr">
        <is>
          <t>178</t>
        </is>
      </c>
      <c r="B192" s="35" t="inlineStr">
        <is>
          <t>(7)</t>
        </is>
      </c>
      <c r="C192" s="35" t="inlineStr">
        <is>
          <t>R8.10</t>
        </is>
      </c>
      <c r="D192" s="35" t="inlineStr">
        <is>
          <t>他メンバー作成の素案の扱い</t>
        </is>
      </c>
      <c r="E192" s="35" t="inlineStr">
        <is>
          <t>令和8年10月16日に他メンバー作成の第10期計画素案（2部8章＋資料編・図45点）を受領しました。**当方は正本を当方案（素案 v2.13・全113頁・10章48節）とし、内容だけを取り込む方針で進めます。**この方針でよいかをご確認ください。⚠ 添付は第9期計画書の改訂版であり、章立て・節立てが第9期と同一です。添付の強みは計画書としての体裁と文章の充実であり、数値・制度改正・供給体制・保険料は当方の正本が先に進んでいます（添付は【町確認】が90か所、第7章の保険料は144か所）。</t>
        </is>
      </c>
      <c r="F192" s="35" t="inlineStr">
        <is>
          <t>計画素案の正本の決定</t>
        </is>
      </c>
      <c r="G192" s="35" t="inlineStr">
        <is>
          <t>発注者</t>
        </is>
      </c>
      <c r="H192" s="35" t="inlineStr">
        <is>
          <t>確認待ち</t>
        </is>
      </c>
      <c r="I192" s="35" t="inlineStr">
        <is>
          <t>R8.10</t>
        </is>
      </c>
      <c r="J192" s="35" t="inlineStr">
        <is>
          <t>既定値＝当方案を正本とし、添付から内容を取り込みます。</t>
        </is>
      </c>
    </row>
    <row r="193">
      <c r="A193" s="35" t="inlineStr">
        <is>
          <t>179</t>
        </is>
      </c>
      <c r="B193" s="35" t="inlineStr">
        <is>
          <t>(1)(7)</t>
        </is>
      </c>
      <c r="C193" s="35" t="inlineStr">
        <is>
          <t>R8.10</t>
        </is>
      </c>
      <c r="D193" s="35" t="inlineStr">
        <is>
          <t>調査の配布数・回収数の出所</t>
        </is>
      </c>
      <c r="E193" s="35" t="inlineStr">
        <is>
          <t>他メンバー作成の第10期計画素案に、ニーズ調査の配布数1,034通・回収576件・回収率55.7％、在宅介護実態調査の配布数305通・回収142件・回収率46.6％という実数が入っています。算術は整合します（576÷1,034＝55.71％、142÷305＝46.56％）。⚠ **1,034通・305通という発送通数は、当方の受領資料にも業務工程管理表にも現れない値です。** 町の発送記録によるものかをご確認ください。当方の素案 2-6 の「調査の概要」の表は、この2か所を【町確認】のまま残しています。</t>
        </is>
      </c>
      <c r="F193" s="35" t="inlineStr">
        <is>
          <t>計画素案 2-6 の調査の概要の表</t>
        </is>
      </c>
      <c r="G193" s="35" t="inlineStr">
        <is>
          <t>発注者</t>
        </is>
      </c>
      <c r="H193" s="35" t="inlineStr">
        <is>
          <t>確認待ち</t>
        </is>
      </c>
      <c r="I193" s="35" t="inlineStr">
        <is>
          <t>R8.10</t>
        </is>
      </c>
      <c r="J193" s="35" t="inlineStr">
        <is>
          <t>既定値＝出所が確かめられるまで【町確認】のまま残します。推測で置きません。</t>
        </is>
      </c>
    </row>
    <row r="194">
      <c r="A194" s="35" t="inlineStr">
        <is>
          <t>180</t>
        </is>
      </c>
      <c r="B194" s="35" t="inlineStr">
        <is>
          <t>(2)(7)</t>
        </is>
      </c>
      <c r="C194" s="35" t="inlineStr">
        <is>
          <t>R8.10</t>
        </is>
      </c>
      <c r="D194" s="35" t="inlineStr">
        <is>
          <t>地域密着型サービス運営協議会の正式名称と構成</t>
        </is>
      </c>
      <c r="E194" s="35" t="inlineStr">
        <is>
          <t>第9期計画書は「地域包括支援センター及び地域密着型サービス運営協議会や介護保険運営委員会等の機関において」と記載しています（「地域密着型サービス運営委員会」の記載は0件です）。当方の素案は2か所を「運営委員会」と書いていたため、**町の正本の記載により「運営協議会」に直しました**（計画素案 Ver.2.16）。⚠ 次の2点をご確認ください。①町の要綱・規則における正式名称②川崎町介護保険運営委員会（条例第17条により設置）と兼ねているか、別に設けているか。地域密着型サービスの指定に係る意見聴取の場として、どちらにお諮りするかに関わります。</t>
        </is>
      </c>
      <c r="F194" s="35" t="inlineStr">
        <is>
          <t>計画素案 5-4・7-6</t>
        </is>
      </c>
      <c r="G194" s="35" t="inlineStr">
        <is>
          <t>発注者</t>
        </is>
      </c>
      <c r="H194" s="35" t="inlineStr">
        <is>
          <t>確認待ち</t>
        </is>
      </c>
      <c r="I194" s="35" t="inlineStr">
        <is>
          <t>R8.10</t>
        </is>
      </c>
      <c r="J194" s="35" t="inlineStr">
        <is>
          <t>既定値＝第9期計画書の記載どおり「地域密着型サービス運営協議会」とします。推測で町の機関の名称を変えません。</t>
        </is>
      </c>
    </row>
    <row r="195">
      <c r="A195" s="35" t="inlineStr">
        <is>
          <t>181</t>
        </is>
      </c>
      <c r="B195" s="35" t="inlineStr">
        <is>
          <t>(7)(8)</t>
        </is>
      </c>
      <c r="C195" s="35" t="inlineStr">
        <is>
          <t>R8.10</t>
        </is>
      </c>
      <c r="D195" s="35" t="inlineStr">
        <is>
          <t>資料編と奥付の取り扱い</t>
        </is>
      </c>
      <c r="E195" s="35" t="inlineStr">
        <is>
          <t>第9期計画書は98〜102頁に資料編（①川崎町介護保険条例の抜粋②川崎町介護保険運営委員会規則③委員名簿④策定経過の概要）を置き、108頁に奥付（編集／川崎町 保健福祉課 介護保険係、住所・電話・ファクス）を置いています。**当方の計画素案には、いずれもまだありません。** 次の3点をご確認ください。①資料編を計画書の本体に組み込むか、別冊とするか②条例・規則の現行の条文及び第10期の委員名簿のご提供③奥付の課名・住所・電話番号・ファクス番号。⚠ **委員名簿は委員の氏名を含むため、当方では起こしません**（個人情報を当方の成果品に転記しない方針によります）。⚠ 資料編を13頁と見込み、圧縮案の頁数（本文109頁＋資料編13頁＝122頁）に織り込んでいます。頁数が変われば圧縮の度合いも変わります（確認事項No.83と併せてご判断ください）。</t>
        </is>
      </c>
      <c r="F195" s="35" t="inlineStr">
        <is>
          <t>計画書 資料編・奥付</t>
        </is>
      </c>
      <c r="G195" s="35" t="inlineStr">
        <is>
          <t>発注者</t>
        </is>
      </c>
      <c r="H195" s="35" t="inlineStr">
        <is>
          <t>確認待ち</t>
        </is>
      </c>
      <c r="I195" s="35" t="inlineStr">
        <is>
          <t>R8.11</t>
        </is>
      </c>
      <c r="J195" s="35" t="inlineStr">
        <is>
          <t>【令和8年10月20日 更新】⚠ **条文の原文を当方で取れるようになりました。**法令検索（laws.e-gov.go.jp）が、昨日（10月19日）は403でしたが本日は200で本文が取れます。資料編の条文抜粋は、添付の引用をそのまま使わず原文から起こします。名簿（委員・事業所）のご提供は引き続きお願いします。　既定値＝第9期計画書の構成に倣い、資料編を計画書の本体に組み込む前提で頁数を見込みます。条文・名簿のご提供がない間は枠のみを置き、推測で埋めません。</t>
        </is>
      </c>
    </row>
    <row r="196">
      <c r="A196" s="35" t="inlineStr">
        <is>
          <t>182</t>
        </is>
      </c>
      <c r="B196" s="35" t="inlineStr">
        <is>
          <t>(4)</t>
        </is>
      </c>
      <c r="C196" s="35" t="inlineStr">
        <is>
          <t>R8.10</t>
        </is>
      </c>
      <c r="D196" s="35" t="inlineStr">
        <is>
          <t>第9期施策評価の実施要領（案）のご確認</t>
        </is>
      </c>
      <c r="E196" s="35" t="inlineStr">
        <is>
          <t>第9期の35事業について、達成度の区分（Ａ〜Ｄ＋評価不能）、第10期方針の区分（継続・拡充・縮小・廃止・新規・統合）、優先度（高・中・低）の判定の基準を定めた実施要領（案）をお示しします。委託仕様書(4)は、シート案を提案し「発注者と十分協議のうえ内容を決定すること」と定めているため、次の3点をご確認ください。①達成度の閾値を100／80／50％とすることでよいか②優先度を3段階とすることでよいか③⚠ **関連施策評価調査シート（令和8年9月）の「自己評価（1〜4）」と評価の言葉が2通りになっています。** 本要領のＡ〜Ｄに揃えてよいか。⚠ また、事業ごとの根拠法令（必須事業か任意事業か独自施策か）は町の要綱・予算科目によるため当方では埋められません。実施要領05シートの「必須事業の区分」欄のご記入をお願いします。</t>
        </is>
      </c>
      <c r="F196" s="35" t="inlineStr">
        <is>
          <t>第9期施策評価 実施要領（案）</t>
        </is>
      </c>
      <c r="G196" s="35" t="inlineStr">
        <is>
          <t>発注者</t>
        </is>
      </c>
      <c r="H196" s="35" t="inlineStr">
        <is>
          <t>確認待ち</t>
        </is>
      </c>
      <c r="I196" s="35" t="inlineStr">
        <is>
          <t>R8.11</t>
        </is>
      </c>
      <c r="J196" s="35" t="inlineStr">
        <is>
          <t>既定値＝お示しした案のまま進めます。達成度の閾値・優先度の段数は町のご判断で変えていただけます。</t>
        </is>
      </c>
    </row>
    <row r="197">
      <c r="A197" s="35" t="inlineStr">
        <is>
          <t>183</t>
        </is>
      </c>
      <c r="B197" s="35" t="inlineStr">
        <is>
          <t>(5)</t>
        </is>
      </c>
      <c r="C197" s="35" t="inlineStr">
        <is>
          <t>R8.10</t>
        </is>
      </c>
      <c r="D197" s="35" t="inlineStr">
        <is>
          <t>中長期（令和17・22年度）の見込量の位置づけ</t>
        </is>
      </c>
      <c r="E197" s="35" t="inlineStr">
        <is>
          <t>素案 9-1 に、令和17年度・令和22年度のサービス別の見込量を掲げています（Ver.2.17 で15サービスの空欄を埋め、9-1 のサービス別の和が 9-2 の総給付費と一致するようにしました）。⚠ **これらは第10期計画期間（令和9〜11年度）の見込量とは位置づけが異なり、計画の数値ではなく長期の見通しです。** 次の2点をご確認ください。①計画書に中長期の列を載せたままとするか、別冊に移すか（仕様書5(5)は「10年間の…推計」を求めており、載せる前提で作っていますが、頁数の制約があります）②標準給付費見込額・地域支援事業費の中長期は算定していません（9-2 では「─」）。総給付費のみで足りるか。</t>
        </is>
      </c>
      <c r="F197" s="35" t="inlineStr">
        <is>
          <t>計画素案 9-1・9-2</t>
        </is>
      </c>
      <c r="G197" s="35" t="inlineStr">
        <is>
          <t>発注者</t>
        </is>
      </c>
      <c r="H197" s="35" t="inlineStr">
        <is>
          <t>確認待ち</t>
        </is>
      </c>
      <c r="I197" s="35" t="inlineStr">
        <is>
          <t>R8.11</t>
        </is>
      </c>
      <c r="J197" s="35" t="inlineStr">
        <is>
          <t>既定値＝中長期は総給付費のみとし、計画書に載せたままとします。⚠ 推測で標準給付費・地域支援事業費の中長期を置きません。</t>
        </is>
      </c>
    </row>
    <row r="198">
      <c r="A198" s="35" t="inlineStr">
        <is>
          <t>184</t>
        </is>
      </c>
      <c r="B198" s="35" t="inlineStr">
        <is>
          <t>(5)(6)</t>
        </is>
      </c>
      <c r="C198" s="35" t="inlineStr">
        <is>
          <t>R8.10</t>
        </is>
      </c>
      <c r="D198" s="35" t="inlineStr">
        <is>
          <t>見える化システムの出力と本計画の見込量の差（県への事前協議の備え）</t>
        </is>
      </c>
      <c r="E198" s="35" t="inlineStr">
        <is>
          <t>地域包括ケア「見える化」システムの将来推計総括表の「2_サービス別給付費」と本計画の見込量の差について。
【令和8年10月19日 更新】⚠ **令和8年10月19日出力の版で差が拡大しました。**第10期3か年計で+95,714千円（+3.14％）となり、10月17日に記録した+26,902千円の約3.6倍です（令和9年度+25,184千円/+2.47％、令和11年度+34,951千円/+3.44％、令和17年度+61,634千円/+5.55％、令和22年度+64,250千円/+5.27％）。
拡大の原因は No.79 のとおり令和8年度（伸び率の基準年）が差し替え前に戻ったことです。
⚠ **本計画が総括表のサービス別の値を用いない理由は変わっていません。**①令和9年度以降が0のサービスが12件（No.76）②区間内で値が動かないサービスが残る（No.80）。県への事前協議で問われた場合に説明できるよう、差の数値を記録しています。</t>
        </is>
      </c>
      <c r="F198" s="35" t="inlineStr">
        <is>
          <t>計画素案 9-1・9-2／県事前協議</t>
        </is>
      </c>
      <c r="G198" s="35" t="inlineStr">
        <is>
          <t>発注者</t>
        </is>
      </c>
      <c r="H198" s="35" t="inlineStr">
        <is>
          <t>確認待ち</t>
        </is>
      </c>
      <c r="I198" s="35" t="inlineStr">
        <is>
          <t>R8.11</t>
        </is>
      </c>
      <c r="J198" s="35" t="inlineStr">
        <is>
          <t>既定値＝本計画の算定（年報の実績に認定者数の伸びを乗じるもの）を維持します。⚠ **総括表の値に合わせるには、まず確認事項No.76・80の是正（0のサービスの補完と固定の解除）が必要であり、それなしに合わせることはできません。**</t>
        </is>
      </c>
    </row>
    <row r="199">
      <c r="A199" s="35" t="inlineStr">
        <is>
          <t>185</t>
        </is>
      </c>
      <c r="B199" s="35" t="inlineStr">
        <is>
          <t>(4)(7)</t>
        </is>
      </c>
      <c r="C199" s="35" t="inlineStr">
        <is>
          <t>R8.10</t>
        </is>
      </c>
      <c r="D199" s="35" t="inlineStr">
        <is>
          <t>見える化システム「自然体推計の計算過程確認シート」の出力のお願い</t>
        </is>
      </c>
      <c r="E199" s="35" t="inlineStr">
        <is>
          <t>⚠ **将来の認知症の人の数を按分なしで算出するために要ります。**
第10期基本指針（案）は「自治体内の認知症の人の数や推計値を算出し」「今後どのような推移を辿るのか、という推計値を算出することは肝要」としています。認知症の有病率は国が**6つの年齢階級**（65〜69／70〜74／75〜79／80〜84／85〜89／90歳以上）で公表していますので、推計には同じ6階級の人口が要ります。
⚠ **総括表に載る年齢の内訳は3区分だけです**（5_保険料推計 行111〜115。前期65〜74歳／後期75〜84歳／後期85歳〜）。3区分のままでも暫定の推計はできますが、区分の中の内訳の置き方によって約8％（35〜40人）振れます。
⚠ **見える化システムの「自然体推計の計算過程確認シート」は、令和12・17・22・27・32年度の第1号被保険者数を性・年齢5歳階級別（65〜69歳〜90歳以上）で持ちます**（国のガイド「2.1 総人口と被保険者数」2)）。現に、令和8年9月11日にいただいた画面の控えでも、認定者数は男女別・6階級で表示されています。
**総括表と同じ推計パターンで同シートをご出力いただき、ご提供いただけますでしょうか。** これがあれば按分は一切不要になり、現在（令和8年）と同じ方法で将来まで一貫して算出できます。
⚠ 見える化システムのID・パスワードはお預かりしていますが、当方で直接データを触る想定ではないため、町の操作でお願いする筋です。</t>
        </is>
      </c>
      <c r="F199" s="35" t="inlineStr">
        <is>
          <t>計画素案 6-1（将来の推計値）</t>
        </is>
      </c>
      <c r="G199" s="35" t="inlineStr">
        <is>
          <t>発注者</t>
        </is>
      </c>
      <c r="H199" s="35" t="inlineStr">
        <is>
          <t>確認待ち</t>
        </is>
      </c>
      <c r="I199" s="35" t="inlineStr">
        <is>
          <t>R8.10</t>
        </is>
      </c>
      <c r="J199" s="35" t="inlineStr">
        <is>
          <t>有病率は6階級で公表。総括表には3区分しかない。同シートには6階級がある（国のガイド2.1）</t>
        </is>
      </c>
    </row>
    <row r="200">
      <c r="A200" s="35" t="inlineStr">
        <is>
          <t>186</t>
        </is>
      </c>
      <c r="B200" s="35" t="inlineStr">
        <is>
          <t>(5)(6)(7)</t>
        </is>
      </c>
      <c r="C200" s="35" t="inlineStr">
        <is>
          <t>R8.11</t>
        </is>
      </c>
      <c r="D200" s="35" t="inlineStr">
        <is>
          <t>推計パターン「0911」（令和8年10月19日出力）を計画の正本とするか</t>
        </is>
      </c>
      <c r="E200" s="35" t="inlineStr">
        <is>
          <t>⚠ **ご判断をお願いします。** 令和8年10月19日にいただいた総括表は、当方が素案の土台にしてきた版（R8.9.11出力。認定者数は_在宅回数入力後の稿）と、令和10年度以降で食い違います。
要介護認定者数（総数）　令和10年度 576→584人／令和11年度 581→589人／令和17年度 639→641人／令和22年度 688→694人（令和9年度は580人で変わりません）。
要介護度別では要介護1が下がり（令和17年度 82→73人）、要介護2が上がって（104→116人）おり、構成が入れ替わっています。
⚠ **素案の見込量は「令和7年度の実績×要介護度別の認定者数の伸び」で算定しているため、認定者数が動くと見込量が動きます。**新版の認定者数で計算し直すと、令和9年度±0千円・令和10年度+9,427千円（+0.93％）・令和11年度+13,816千円（+1.36％）、3か年計+23,243千円です（当方の算定を回し直して確かめました）。保険料（算定Ａ・取崩なし）は6,822.39円→6,870.94円（+48.55円）になります。サービス別には要介護度の構成の入れ替わりにより、総額より大きく振れるものがあります。
⚠ **ただし新版は No.79 のとおり令和8年度（伸び率の基準年）が差し替え前に戻っています。**基準年が戻ったまま正本にすると、No.76 の12サービスが0のまま計画に載ります。
**①パターン「0911」を正本とするか、②No.79 の差し替えをやり直したうえで新しいパターンを作るか、をご判断ください。**②の場合、第2回策定委員会の資料は現行の素案（Ver.2.19）のままで差し支えありません。
⚠ 既定値＝②（差し替えをやり直す）。伸び率の基準年が欠けたまま確定すると、第10期の3年間12サービスを実施しない計画になるためです。</t>
        </is>
      </c>
      <c r="F200" s="35" t="inlineStr">
        <is>
          <t>計画素案 9-1・9-2・9-3</t>
        </is>
      </c>
      <c r="G200" s="35" t="inlineStr">
        <is>
          <t>発注者</t>
        </is>
      </c>
      <c r="H200" s="35" t="inlineStr">
        <is>
          <t>確認待ち</t>
        </is>
      </c>
      <c r="I200" s="35" t="inlineStr">
        <is>
          <t>R8.11</t>
        </is>
      </c>
      <c r="J200" s="35" t="inlineStr">
        <is>
          <t>【令和8年10月21日 更新（資料v9・想定問答集v5）】⚠ **想定問答集 v5 に問を立てました（QB-54）。**「保険料の前提になる将来推計は、どれを使っているのか」に対し、**正本とするかどうかは町のご判断をお待ちしている**旨を答える形にしています。⚠ **10月30日までにご判断をいただけないと、保険料の3パターンを資料の確定版に載せられません。**　受領した総括表（R8.10.19出力）の全セル突合による</t>
        </is>
      </c>
    </row>
  </sheetData>
  <mergeCells count="4">
    <mergeCell ref="A1:J1"/>
    <mergeCell ref="A177:J177"/>
    <mergeCell ref="A178:J178"/>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川崎町_ニーズ調査結果報告書_R8.10.2版.docx／川崎町_在宅介護実態調査結果報告書_R8.10.2版.docx／同_資料編_R8.10.2版.docx</t>
        </is>
      </c>
      <c r="D5" s="7" t="inlineStr">
        <is>
          <t>A4版　簡易コピー紙印刷製本
1色刷り　80頁程度　5部</t>
        </is>
      </c>
      <c r="E5" s="16" t="inlineStr">
        <is>
          <t>実施中</t>
        </is>
      </c>
      <c r="F5" s="20" t="n">
        <v>0.7</v>
      </c>
      <c r="G5" s="9" t="inlineStr">
        <is>
          <t>R9.3.15</t>
        </is>
      </c>
      <c r="H5" s="7" t="inlineStr">
        <is>
          <t>【令和8年10月1日 更新】納品前に必ず処理するもの4件は当方の作業であり、ご確認を待たずに直せる（08シート 順位4）。①本編・ニーズ調査の目次が未更新（1行）②3文書とも文書プロパティの最終更新者名が残存 ③ニーズ調査[P629]に編集メモが残存 ④ニーズ調査 表73のキャプションが表の下にある。報告書の体裁・構成（確認事項No.2）と、報告書に残る【町確認】10件（No.104）はご確認待ち（ペンディング束8）。</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38" t="n">
        <v>3</v>
      </c>
      <c r="B7" s="38" t="inlineStr">
        <is>
          <t>事業量・見込み量等の推計用電子データ</t>
        </is>
      </c>
      <c r="C7" s="38" t="inlineStr">
        <is>
          <t>川崎町_第10期_計画見込量_R8.9.15.xlsx（7シート）
川崎町_第10期_計画見込量_中長期・保険料内訳_R8.10.17.xlsx（9シート）
川崎町_新推計パターン_設定値一式_R8.9.11.xlsx（8シート）
川崎町_保険料試算ワークブック（11シート）
川崎町_認知症の人の数の推計_R8.10.19.xlsx（9シート）
川崎町_事業所・住まい_突合結果_R8.10.20.xlsx（7シート）
川崎町_町内事業所の実態_公表システム_R8.10.20.xlsx（8シート）
川崎町_策定委員会_逆算工程表_R8.10.20.xlsx（5シート）
川崎町_施設の入所状況の推移_県調査_R8.10.22.xlsx（8シート）</t>
        </is>
      </c>
      <c r="D7" s="38" t="inlineStr">
        <is>
          <t>一式（Excel）</t>
        </is>
      </c>
      <c r="E7" s="39" t="inlineStr">
        <is>
          <t>実施中</t>
        </is>
      </c>
      <c r="F7" s="40" t="n">
        <v>0.9</v>
      </c>
      <c r="G7" s="38" t="inlineStr">
        <is>
          <t>R9.3.15</t>
        </is>
      </c>
      <c r="H7" s="38" t="inlineStr">
        <is>
          <t>【令和8年10月22日 更新（県の入所状況調）】県の入所状況調（3か月ごと・14時点）から町内施設の推移を登録した。⚠ **稼働率と休止床が照会によらず埋まった。**⚠ **軽費老人ホーム（定員70人）の休止から廃止までの経過**も分かった（05シート）。残るものは07シートに6件示している。　【令和8年10月20日 更新③（ヒアリングを行わない整理）】公表システム本体からの採録の結果（8シート）と、第2回＝11月24日で引き直した逆算工程表（5シート）を登録した。⚠ **残るもの8件は「06_残るもの」に理由つきで示し、「適合」に丸めていない**。　【令和8年10月20日 更新②（突合の実施）】事業所・住まいの突合の結果を登録した。町内8事業所・3法人。⚠ **指定の年月日・入所率・未指定の住まいは含まれない**（確認事項No.29・No.154）。　【令和8年10月19日 更新】認知症の人の数の推計（認知症374人・ＭＣＩ474人）を登録した。基本指針（案）別表一 事項十一が求める「認知症の人の数や推計値」のうち推計値の側。⚠ **将来の推計値は年齢階級別の将来推計人口が要るため未了**（確認事項No.157）。　【令和8年10月19日 更新】中長期（令和17・22年度）の見込量と保険料の内訳を書き出した版を登録した（⚠ **登録が漏れていた**）。棚卸しで出所が示せていなかった70件はすべて対応済み。　令和7年度の年報を基礎とする独立算定を完了（32サービス・要介護度別。保険料6,822円）。準備基金の令和8年度末残高の確定を待って確定値とする。</t>
        </is>
      </c>
      <c r="I7" s="38" t="inlineStr">
        <is>
          <t>9, 10, 11, 12, 13</t>
        </is>
      </c>
    </row>
    <row r="8" ht="84" customHeight="1">
      <c r="A8" s="38" t="n">
        <v>4</v>
      </c>
      <c r="B8" s="38" t="inlineStr">
        <is>
          <t>計画書</t>
        </is>
      </c>
      <c r="C8" s="38" t="inlineStr">
        <is>
          <t>川崎町_計画書素案_v2.25_軽費老人ホーム確認版.docx／同_v2.18c_圧縮案_R8.10.17.docx（本文106頁）／川崎町_計画書_別冊_詳細分析_R8.10.17b.docx（9頁）</t>
        </is>
      </c>
      <c r="D8" s="38" t="inlineStr">
        <is>
          <t>A4版　表紙レザック　本文上質紙
1色刷り　100頁程度　100部</t>
        </is>
      </c>
      <c r="E8" s="39" t="inlineStr">
        <is>
          <t>実施中</t>
        </is>
      </c>
      <c r="F8" s="40" t="n">
        <v>0.87</v>
      </c>
      <c r="G8" s="38" t="inlineStr">
        <is>
          <t>R9.3.15</t>
        </is>
      </c>
      <c r="H8" s="38" t="inlineStr">
        <is>
          <t>【令和8年10月22日 更新④（軽費老人ホームの廃止・素案Ver.2.25）】素案を Ver.2.25 に上げた（全118頁）。2-7・別表 事項八に町内の軽費老人ホームの廃止日・入所者の推移・退所先を書き、「住まい70人分が失われた」を定員と入所者の別が分かる形に改めた。　【令和8年10月22日 更新③（交付金の再整理・素案Ver.2.24）】素案を Ver.2.24 に上げた（全118頁）。⚠ 3-3 の37点の内訳の誤り（16点＋15点としていた）と、3-3・10章の事実と違う記述（保険料算定は交付実績を据え置いている）を直した。9-3 の不確定要素と前提を動かした場合の幅に交付金の行（▲40円）を加えた。保険料の額は動かしていない。［要確認］15→20件。　【令和8年10月22日 更新②（方針Ｃ・素案Ver.2.23）】素案を Ver.2.23 に上げた（全117頁）。県の入所状況調（3か月ごと14時点）による入所率・退所理由の推移と、⚠ 町内の軽費老人ホーム（定員70人）の休止・廃止を 2-7・7-1・別表に入れた。［要確認］14→15件・［要協議］11→12件。　【令和8年10月21日 更新（資料v9・想定問答集v5）】素案を Ver.2.22 に上げた（全117頁）。⚠ **同じ指標に2つの値があったのを是正した。**7-2 の標準給付費（令和7年度）が1,085,203千円・▲0.7％、9-3 が1,084,587千円・▲0.8％であった。素案の表15（保険給付費計1,084,587,307円）と表109（標準給付費見込額1,084,587千円）により後者が正しい。あわせて、第3回の開催時期を令和9年1月と断定している5か所を改めた（11月24日開催ではパブリックコメント30日間を挟むと1月には開けない）。　【令和8年10月20日 更新③（ヒアリングを行わない整理）】素案を Ver.2.21 に上げた（全117頁）。ヒアリングに依存した記述を公表情報による把握に置き換え（段落11・セル28）、「事業所ヒアリング」は0件になった。⚠ **7-6 の交付金の記述を是正した**（体制・取組指標群は64点満点＝全国で最も高い得点であり、「計画に位置付ければ得点が上がる」は誤りであった）。［要確認］は15件→14件。　【令和8年10月20日 更新②（突合の実施）】素案を Ver.2.20 に上げた（2-7・7-1・9-1 に町内の事業所を反映。全116頁）。⚠ **誤りを1件直した**（町内にない小規模多機能型居宅介護を「中心」としていた）。［要確認］は18件→15件。　【令和8年10月19日 更新】素案を Ver.2.19 に上げた（第6章6-1 に認知症の人の数の推計を新設。全114頁）。⚠ **圧縮案（v2.18c）と別冊は Ver.2.18 に基づくもので、6-1 の新設分を含んでいない。** 圧縮案のご判断（確認事項No.83）をいただいた版で合わせる。　【令和8年10月19日 更新】⚠ **圧縮案と別冊の記載が古くなっていた**（v2.17c／別冊R8.10.17 を指したまま。現に作ったのはv2.18c／別冊R8.10.17b）。素案 Ver.2.18 に合わせて直した。　【令和8年10月17日 更新】素案 Ver.2.17（中長期補完版）。9-1 の令和17・22年度の空欄15サービス・74セルを原典から算定して埋め、**9-1 のサービス別の和と 9-2 の総給付費が3か年すべてで一致するようにした。** Ver.2.16 で置いた注の誤りも直した。⚠ 保険料・給付費の総額は変えていない。　【令和8年10月16日 更新】素案 Ver.2.16（内容整備版・全116頁）。見込量の表に落ちていた15サービスを加え（Ver.2.14）、第1号被保険者数・認定者数の実績を年報に合わせ（Ver.2.15）、施策事業表の内容欄31セル・9-1の見出しと表の対応・本文に残っていた作業経過を是正した（Ver.2.16）。⚠ **頁数が113頁から116頁に増えた。** 仕様書8の100頁程度との差が広がったため、圧縮案（確認事項No.83）のご判断が一層重要になっている（圧縮案を Ver.2.16c として作り直した。本文109頁＋資料編13頁＝122頁）。⚠ **資料編と奥付がまだない**（確認事項No.181）。　【令和8年10月7日 更新】素案 Ver.2.12（本文113頁・673段落・128表・図10点）。9-1 の『見込量を0としたサービス』の表を是正し、『施策と見込量の関係』を新設した。Ver.2.12 で過疎地域非該当の保険者数を856に是正した（原典から作り直した突合による）。⚠ 仕様書8は「100頁程度」であり、圧縮案（本文105頁）をお示ししている（確認事項No.83）。</t>
        </is>
      </c>
      <c r="I8" s="38" t="inlineStr">
        <is>
          <t>15, 16, 18</t>
        </is>
      </c>
    </row>
    <row r="9" ht="84" customHeight="1">
      <c r="A9" s="9" t="n">
        <v>5</v>
      </c>
      <c r="B9" s="21" t="inlineStr">
        <is>
          <t>概要版</t>
        </is>
      </c>
      <c r="C9" s="7" t="inlineStr">
        <is>
          <t>川崎町_計画素案_概要版_R8.10.5.docx（3,827字・表5件・図8点）</t>
        </is>
      </c>
      <c r="D9" s="7" t="inlineStr">
        <is>
          <t>A4版　コート紙
1色刷り　8頁程度　3,500部</t>
        </is>
      </c>
      <c r="E9" s="12" t="inlineStr">
        <is>
          <t>実施中</t>
        </is>
      </c>
      <c r="F9" s="20" t="n">
        <v>0.75</v>
      </c>
      <c r="G9" s="9" t="inlineStr">
        <is>
          <t>R9.3.15</t>
        </is>
      </c>
      <c r="H9" s="7" t="inlineStr">
        <is>
          <t>【令和8年10月7日 更新】下書き（6頁・2,458字）に計画の期間と位置づけ・柱ごとの事業数・第9期から変わること・主な目安・ご相談先を加えた（3,827字）。当方の環境で PDF にすると7頁。仕様書8は「8頁程度」であり、Word での頁数をご確認のうえ調整する。入稿は第3回策定委員会（令和9年1月）の後。保険料の額は確定前。</t>
        </is>
      </c>
      <c r="I9" s="9" t="inlineStr">
        <is>
          <t>18</t>
        </is>
      </c>
    </row>
    <row r="10" ht="84" customHeight="1">
      <c r="A10" s="38" t="n">
        <v>6</v>
      </c>
      <c r="B10" s="38" t="inlineStr">
        <is>
          <t>計画書概要及び計画書案等の電子データ</t>
        </is>
      </c>
      <c r="C10" s="38" t="inlineStr">
        <is>
          <t>川崎町_第2回策定委員会資料_R8.11_v13.docx／同_想定問答集_R8.11_v9.docx／川崎町_第3回・第4回策定委員会_骨子案_R8.10.5.docx
川崎町_事業所照会票_R8.10.16.docx（全27頁）
川崎町_事業所照会票_電子記入様式_R8.10.16.xlsx（9シート）</t>
        </is>
      </c>
      <c r="D10" s="38" t="inlineStr">
        <is>
          <t>一式（Word・PDF）</t>
        </is>
      </c>
      <c r="E10" s="39" t="inlineStr">
        <is>
          <t>実施中</t>
        </is>
      </c>
      <c r="F10" s="40" t="n">
        <v>0.75</v>
      </c>
      <c r="G10" s="38" t="inlineStr">
        <is>
          <t>R9.3.15</t>
        </is>
      </c>
      <c r="H10" s="38" t="inlineStr">
        <is>
          <t>【令和8年10月22日 更新⑤（資料v13・第1回の書式）】ご指示により、資料を第1回の書式に揃え（表紙の帯と町のロゴ・表の1行おきの網掛け・注記は※）、表の本文を左揃えにした。計画素案は策定委員会に未提出のため、修正履歴（当社資料の訂正11件・素案と資料の版）を除いた。⚠ v12 の表紙は帯の網掛けが失われ、題名が白地に白で見えなくなっていた。問答集を v9 に揃えた（QB-45 の置き換え・頁数の統一）。　【令和8年10月22日 更新④（軽費老人ホームの廃止・素案Ver.2.25）】資料を v12（全12版）、想定問答集を v8（全67問）に上げた。表6・QB-62 を素案 Ver.2.25 と同じ内容に改めた。　【令和8年10月22日 更新③（交付金の再整理・素案Ver.2.24）】資料を v11（全11版・表47）、想定問答集を v7（全67問）に上げた。7 に37点の内訳と3か年の推移（宮城県平均が1年で78.6点上昇）を加えた。⚠ 6 の要因の表の値を素案に揃えた（改定率1％ ＋65円→＋66円、収納率99.6％ ▲247円→▲246円）。⚠ 問答集のヘッダーが「第1回」のままであったのを直した。　【令和8年10月22日 更新②（方針Ｃ・素案Ver.2.23）】資料を v10（全10版・表45）、想定問答集を v6（全64問）に上げた。素案 Ver.2.23 と同じ版で、入所率の推移の表・軽費老人ホームの休止・廃止・残る4件の整理を入れた。⚠ v9 の表6 の日付の書き誤り（元号と西暦の混在）を正した。　【令和8年10月21日 更新（資料v9・想定問答集v5）】資料を v9（全９版）、想定問答集を v5（全61問・8カテゴリ）に上げた。⚠ **委託仕様書の読み違いを1件是正した**（仕様書6(3)は「4回開催の予定」）。⚠ **交付金の「27点」が2つあることを書き分けた**（体制・取組指標群の失点27点と、推進 目標Ⅲ の活動指標群の27点）。公表情報による町内事業所の状況の表と退所先の表を加え、第1回の委員のご発言に基づく人数・金額を外した。　【令和8年10月16日 更新】事業所照会票一式を加えた。⚠ 発出のご判断（確認事項No.170）と［　］4か所のご記入（確認事項No.171）を待っている。　【令和8年10月7日 更新】第2回策定委員会資料 v8・想定問答集 v4（全44問）、第3回・第4回の骨子案を作成。あわせて中間報告書（第1回）、県事前協議の資料一式、意見公募手続の一式（意見提出用紙を含む）を用意した。</t>
        </is>
      </c>
      <c r="I10" s="38" t="inlineStr">
        <is>
          <t>15, 18</t>
        </is>
      </c>
    </row>
    <row r="11"/>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8"/>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3"/>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資料提供依頼一覧（38件）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1" ht="72" customHeight="1">
      <c r="A41" s="9" t="inlineStr">
        <is>
          <t>37</t>
        </is>
      </c>
      <c r="B41" s="9" t="inlineStr">
        <is>
          <t>B</t>
        </is>
      </c>
      <c r="C41" s="7" t="inlineStr">
        <is>
          <t>高齢者向け住まいの一覧（有料老人ホーム・サービス付き高齢者向け住宅・軽費老人ホーム（ケアハウス）・養護老人ホーム）</t>
        </is>
      </c>
      <c r="D41" s="7" t="inlineStr">
        <is>
          <t>町内及び近隣の施設について、名称・所在地・定員（戸数）・入居者数・うち要介護者等の数・特定施設の指定の有無。記入様式をお渡しします（川崎町_事業所・住まい_突合台帳_R8.10.15.xlsx 04シート）。県の公表一覧・サービス付き高齢者向け住宅情報提供システム・町の措置台帳・住所地特例者台帳から取り出せます。</t>
        </is>
      </c>
      <c r="E41" s="7" t="inlineStr">
        <is>
          <t>基本指針の別表 事項八。令和8年法律第51号が求める有料老人ホーム及びサービス付き高齢者向け住宅の入居定員の勘案。素案 2-7 の高齢者向け住まいの節</t>
        </is>
      </c>
      <c r="F41" s="9" t="inlineStr">
        <is>
          <t>発注者・宮城県長寿社会政策課</t>
        </is>
      </c>
      <c r="G41" s="9" t="inlineStr">
        <is>
          <t>R8.11上旬</t>
        </is>
      </c>
      <c r="H41" s="9" t="inlineStr">
        <is>
          <t>最高</t>
        </is>
      </c>
      <c r="I41" s="14" t="inlineStr">
        <is>
          <t>未着手</t>
        </is>
      </c>
      <c r="J41" s="7" t="inlineStr">
        <is>
          <t>確認事項No.154と対応。⚠ 町内に該当がない場合も「町内に該当なし（○年○月○日現在）」とご記入ください。</t>
        </is>
      </c>
    </row>
    <row r="42" ht="72" customHeight="1">
      <c r="A42" s="9" t="inlineStr">
        <is>
          <t>38</t>
        </is>
      </c>
      <c r="B42" s="9" t="inlineStr">
        <is>
          <t>B</t>
        </is>
      </c>
      <c r="C42" s="7" t="inlineStr">
        <is>
          <t>町内の介護保険事業所一覧（地域密着型は町の指定台帳から）</t>
        </is>
      </c>
      <c r="D42" s="7" t="inlineStr">
        <is>
          <t>事業所番号・名称・サービス種別・所在地・定員・開設年月・利用者数・稼働率・職員数（常勤換算）。記入様式をお渡しします（同台帳 03シート）。⚠ 地域密着型サービスは町が指定権者ですので、外部の名簿を待たず町の指定台帳だけで確定できます。</t>
        </is>
      </c>
      <c r="E42" s="7" t="inlineStr">
        <is>
          <t>基本指針の別表 事項七。素案 9-1 の必要利用定員総数の「町内の定員」欄（認知症対応型共同生活介護・地域密着型介護老人福祉施設入所者生活介護の［要確認］2行）。素案 2-7・7-1 の施設数の出典</t>
        </is>
      </c>
      <c r="F42" s="9" t="inlineStr">
        <is>
          <t>発注者（保健福祉課介護保険係）</t>
        </is>
      </c>
      <c r="G42" s="9" t="inlineStr">
        <is>
          <t>R8.10下旬</t>
        </is>
      </c>
      <c r="H42" s="9" t="inlineStr">
        <is>
          <t>最高</t>
        </is>
      </c>
      <c r="I42" s="14" t="inlineStr">
        <is>
          <t>未着手</t>
        </is>
      </c>
      <c r="J42" s="7" t="inlineStr">
        <is>
          <t>確認事項No.29と対応。⚠ 素案 2-7・7-1 の「特別養護老人ホーム1施設・介護老人保健施設1施設」には出典がなく、現に給付のある地域密着型介護老人福祉施設と認知症対応型共同生活介護が落ちています。</t>
        </is>
      </c>
    </row>
    <row r="44">
      <c r="A44" s="24" t="inlineStr">
        <is>
          <t>区分</t>
        </is>
      </c>
      <c r="B44" s="24" t="inlineStr">
        <is>
          <t>件数</t>
        </is>
      </c>
    </row>
    <row r="45">
      <c r="A45" s="10" t="inlineStr">
        <is>
          <t>完了</t>
        </is>
      </c>
      <c r="B45" s="9">
        <f>COUNTIF(I5:I40,"完了")</f>
        <v/>
      </c>
    </row>
    <row r="46">
      <c r="A46" s="12" t="inlineStr">
        <is>
          <t>実施中</t>
        </is>
      </c>
      <c r="B46" s="9">
        <f>COUNTIF(I5:I40,"実施中")</f>
        <v/>
      </c>
    </row>
    <row r="47">
      <c r="A47" s="14" t="inlineStr">
        <is>
          <t>確認待ち</t>
        </is>
      </c>
      <c r="B47" s="9">
        <f>COUNTIF(I5:I40,"確認待ち")</f>
        <v/>
      </c>
    </row>
    <row r="48">
      <c r="A48" s="16" t="inlineStr">
        <is>
          <t>未着手</t>
        </is>
      </c>
      <c r="B48" s="9">
        <f>COUNTIF(I5:I40,"未着手")</f>
        <v/>
      </c>
    </row>
    <row r="49">
      <c r="A49" s="18" t="inlineStr">
        <is>
          <t>対象外</t>
        </is>
      </c>
      <c r="B49" s="4" t="n"/>
      <c r="C49" s="4" t="n"/>
      <c r="D49" s="4" t="n"/>
      <c r="E49" s="4" t="n"/>
      <c r="F49" s="4" t="n"/>
      <c r="G49" s="4" t="n"/>
      <c r="H49" s="4" t="n"/>
      <c r="I49" s="4" t="n"/>
      <c r="J49" s="5" t="n"/>
    </row>
    <row r="50"/>
    <row r="51">
      <c r="A51" s="23" t="inlineStr">
        <is>
          <t>注1）優先度は 最高／高／中／低 の別による。「最高」は、受領しない限り当該業務が完了しない資料を示す。</t>
        </is>
      </c>
    </row>
    <row r="52">
      <c r="A52" s="23" t="inlineStr">
        <is>
          <t>注2）「状態」が「完了」となった資料は、受領日を備考欄に記入する。</t>
        </is>
      </c>
    </row>
    <row r="53">
      <c r="A53" s="35" t="inlineStr">
        <is>
          <t>39</t>
        </is>
      </c>
      <c r="B53" s="35" t="inlineStr">
        <is>
          <t>D</t>
        </is>
      </c>
      <c r="C53" s="35" t="inlineStr">
        <is>
          <t>居宅介護支援事業所の給付管理の相手方の事業所の一覧</t>
        </is>
      </c>
      <c r="D53" s="35" t="inlineStr">
        <is>
          <t>町内の居宅介護支援事業所が給付管理を行っている相手方の事業所（事業所番号・名称・所在市町村・サービスの種類）の一覧。⚠ **国保連の給付実績（事業所別）が未受領であるため、本町の被保険者が現に利用している町外の事業所の宛先を作れません。**居宅介護支援事業所は給付管理のために相手方を把握しているので、この経路が最も早い代替になります。</t>
        </is>
      </c>
      <c r="E53" s="35" t="inlineStr">
        <is>
          <t>事業所照会票の送付先（町外の事業所）。素案 9-1 の広域調整（町外施設の受入余地）</t>
        </is>
      </c>
      <c r="F53" s="35" t="inlineStr">
        <is>
          <t>発注者（町内の居宅介護支援事業所を通じて）</t>
        </is>
      </c>
      <c r="G53" s="35" t="inlineStr">
        <is>
          <t>R8.10下旬</t>
        </is>
      </c>
      <c r="H53" s="35" t="inlineStr">
        <is>
          <t>高</t>
        </is>
      </c>
      <c r="I53" s="35" t="inlineStr">
        <is>
          <t>未着手</t>
        </is>
      </c>
      <c r="J53" s="35" t="inlineStr">
        <is>
          <t>確認事項No.172と対応。国保連データ（依頼No.1・確認事項No.12）が届けば不要になります。</t>
        </is>
      </c>
    </row>
  </sheetData>
  <mergeCells count="4">
    <mergeCell ref="A1:J1"/>
    <mergeCell ref="A2:J2"/>
    <mergeCell ref="A50:J50"/>
    <mergeCell ref="A49:J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3"/>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7" customWidth="1" min="3" max="3"/>
    <col width="11" customWidth="1" min="4" max="4"/>
    <col width="6" customWidth="1" min="5" max="5"/>
    <col width="9" customWidth="1" min="6" max="6"/>
    <col width="32" customWidth="1" min="7" max="7"/>
    <col width="52" customWidth="1" min="8" max="8"/>
    <col width="52" customWidth="1" min="9" max="9"/>
  </cols>
  <sheetData>
    <row r="1" ht="24" customHeight="1">
      <c r="A1" s="26" t="inlineStr">
        <is>
          <t>ペンディングの整理（影響度と優先順位）</t>
        </is>
      </c>
    </row>
    <row r="2" ht="58" customHeight="1">
      <c r="A2" s="27" t="inlineStr">
        <is>
          <t>決着していない確認事項を、止めている成果物と期日により12の束に分けた。影響度は S 致命的（直近の期日に間に合わない）／A 重要（計画の数値の根幹）／B 通常（既定値で進められる）／C 軽微（最後に一括で処理できる）の4つ。優先順位は束の番号による。「当方の既定値」は協議を進めるための仮置きであり、公表の確定の根拠にならない。　基準日 令和8年10月1日</t>
        </is>
      </c>
    </row>
    <row r="4">
      <c r="A4" s="28" t="inlineStr">
        <is>
          <t>優先</t>
        </is>
      </c>
      <c r="B4" s="28" t="inlineStr">
        <is>
          <t>束</t>
        </is>
      </c>
      <c r="C4" s="28" t="inlineStr">
        <is>
          <t>影響度</t>
        </is>
      </c>
      <c r="D4" s="28" t="inlineStr">
        <is>
          <t>直近の期日</t>
        </is>
      </c>
      <c r="E4" s="28" t="inlineStr">
        <is>
          <t>件数</t>
        </is>
      </c>
      <c r="F4" s="28" t="inlineStr">
        <is>
          <t>うち期限超過</t>
        </is>
      </c>
      <c r="G4" s="28" t="inlineStr">
        <is>
          <t>確認事項No.</t>
        </is>
      </c>
      <c r="H4" s="28" t="inlineStr">
        <is>
          <t>なぜ止まるか</t>
        </is>
      </c>
      <c r="I4" s="28" t="inlineStr">
        <is>
          <t>当方の既定値（決着しない場合の扱い）</t>
        </is>
      </c>
    </row>
    <row r="5">
      <c r="A5" s="36" t="n">
        <v>1</v>
      </c>
      <c r="B5" s="36" t="inlineStr">
        <is>
          <t>1　見える化システムの第1回目提出</t>
        </is>
      </c>
      <c r="C5" s="36" t="inlineStr">
        <is>
          <t>―（町対応）</t>
        </is>
      </c>
      <c r="D5" s="36" t="inlineStr">
        <is>
          <t>R8.10.5</t>
        </is>
      </c>
      <c r="E5" s="36" t="n">
        <v>9</v>
      </c>
      <c r="F5" s="36" t="n">
        <v>8</v>
      </c>
      <c r="G5" s="36" t="inlineStr">
        <is>
          <t>71、72、74、75、76、77、78、79、80</t>
        </is>
      </c>
      <c r="H5" s="36" t="inlineStr">
        <is>
          <t>⚠ 令和8年10月2日　町より「見える化対応は自治体側で進めている」とのご指示をいただいた。当方の作業は停止する。国への第1回目の提出が令和8年10月5日であり、入力の役割分担・所得段階の段階数・令和8年度の給付費が0のサービス12件・調整交付金見込交付割合など、提出値そのものが決まらない。</t>
        </is>
      </c>
      <c r="I5" s="36" t="inlineStr">
        <is>
          <t>当方の独立算定値（令和7年度の年報による32サービス・13段階）で提出用の数値を用意し、見える化システムの既定値との相違点を一覧にしてお示しする。入力そのものは町のアカウントによる（直接データを触る想定ではないとのご指示による）。</t>
        </is>
      </c>
    </row>
    <row r="6">
      <c r="A6" s="29" t="n">
        <v>2</v>
      </c>
      <c r="B6" s="29" t="inlineStr">
        <is>
          <t>2　第2回策定委員会の運営</t>
        </is>
      </c>
      <c r="C6" s="29" t="inlineStr">
        <is>
          <t>S</t>
        </is>
      </c>
      <c r="D6" s="29" t="inlineStr">
        <is>
          <t>R8.10上旬</t>
        </is>
      </c>
      <c r="E6" s="29" t="n">
        <v>4</v>
      </c>
      <c r="F6" s="29" t="n">
        <v>1</v>
      </c>
      <c r="G6" s="29" t="inlineStr">
        <is>
          <t>4、49、53、85</t>
        </is>
      </c>
      <c r="H6" s="29" t="inlineStr">
        <is>
          <t>開催日が決まらないため、資料の事前配布日・質問の締切・第3回の日程・保険料をいつ諮るかがいずれも決まらない。資料（v6）と想定問答集（v3・全39問）は作成済み。</t>
        </is>
      </c>
      <c r="I6" s="29" t="inlineStr">
        <is>
          <t>令和8年11月中旬を仮置きし、事前配布を2週間前として逆算した工程をお示しする。決定しだい日付のみ差し替える。</t>
        </is>
      </c>
    </row>
    <row r="7">
      <c r="A7" s="30" t="n">
        <v>3</v>
      </c>
      <c r="B7" s="30" t="inlineStr">
        <is>
          <t>3　第9期の実績と交付金の失点</t>
        </is>
      </c>
      <c r="C7" s="30" t="inlineStr">
        <is>
          <t>A</t>
        </is>
      </c>
      <c r="D7" s="30" t="inlineStr">
        <is>
          <t>R8.10</t>
        </is>
      </c>
      <c r="E7" s="30" t="n">
        <v>12</v>
      </c>
      <c r="F7" s="30" t="n">
        <v>5</v>
      </c>
      <c r="G7" s="30" t="inlineStr">
        <is>
          <t>7、8、34、42、57、58、59、119、121、122、127、133</t>
        </is>
      </c>
      <c r="H7" s="30" t="inlineStr">
        <is>
          <t>第9期35事業の実績欄と代表KPIの達成状況が未記入のため、素案 第3章3-2の各表と、交付金の失点28点（事業計画の進捗状況12点＋評価結果の活用16点）の説明が書けない。不足図No.3（計画値と実績値の対比）もここで止まっている。</t>
        </is>
      </c>
      <c r="I7" s="30" t="inlineStr">
        <is>
          <t>実績欄を［要確認］のまま第2回策定委員会に諮り、記入用の様式をこちらからご提供する。交付金の失点の事情は、評価指標の本文が定める要件から推定の形で書き、確定後に差し替える。</t>
        </is>
      </c>
    </row>
    <row r="8">
      <c r="A8" s="30" t="n">
        <v>4</v>
      </c>
      <c r="B8" s="30" t="inlineStr">
        <is>
          <t>4　サービス見込量と供給体制</t>
        </is>
      </c>
      <c r="C8" s="30" t="inlineStr">
        <is>
          <t>A</t>
        </is>
      </c>
      <c r="D8" s="30" t="inlineStr">
        <is>
          <t>R8.10〜11</t>
        </is>
      </c>
      <c r="E8" s="30" t="n">
        <v>19</v>
      </c>
      <c r="F8" s="30" t="n">
        <v>5</v>
      </c>
      <c r="G8" s="30" t="inlineStr">
        <is>
          <t>12、29、40、41、50、51、60、62、63、64、65、66、67、68、147、151、152、153、159</t>
        </is>
      </c>
      <c r="H8" s="30" t="inlineStr">
        <is>
          <t>国保連データ・事業所の定員と稼働・訪問介護の実働・見込量を0とするサービスの扱いなど、第2回策定委員会の選択事項2〜4のご判断の前提が揃わない。</t>
        </is>
      </c>
      <c r="I8" s="30" t="inlineStr">
        <is>
          <t>令和7年度の年報による独立算定値を基準とし、供給の制約は事業所ヒアリング（確認事項No.50・51）の結果を待たず、選択肢の形で第2回策定委員会にお示しする。</t>
        </is>
      </c>
    </row>
    <row r="9">
      <c r="A9" s="30" t="n">
        <v>5</v>
      </c>
      <c r="B9" s="30" t="inlineStr">
        <is>
          <t>5　保険料の確定に要するもの</t>
        </is>
      </c>
      <c r="C9" s="30" t="inlineStr">
        <is>
          <t>A</t>
        </is>
      </c>
      <c r="D9" s="30" t="inlineStr">
        <is>
          <t>R8.11〜12</t>
        </is>
      </c>
      <c r="E9" s="30" t="n">
        <v>7</v>
      </c>
      <c r="F9" s="30" t="n">
        <v>4</v>
      </c>
      <c r="G9" s="30" t="inlineStr">
        <is>
          <t>11、33、43、44、54、81、148</t>
        </is>
      </c>
      <c r="H9" s="30" t="inlineStr">
        <is>
          <t>準備基金の令和8年度末残高・保険料収納率の実績・調整交付金の見込交付割合・令和9年度の介護報酬改定が確定しないため、3パターンのいずれを採るかを決められない。</t>
        </is>
      </c>
      <c r="I9" s="30" t="inlineStr">
        <is>
          <t>収納率96.0％・調整交付金6.14％・単価は令和7年度で固定、という現在の前提のまま3パターン（6,822円／6,143円／5,464円）を第3回策定委員会にお示しし、確定値は答申時に差し替える。</t>
        </is>
      </c>
    </row>
    <row r="10">
      <c r="A10" s="30" t="n">
        <v>6</v>
      </c>
      <c r="B10" s="30" t="inlineStr">
        <is>
          <t>6　地域支援事業（データ未受領）</t>
        </is>
      </c>
      <c r="C10" s="30" t="inlineStr">
        <is>
          <t>A</t>
        </is>
      </c>
      <c r="D10" s="30" t="inlineStr">
        <is>
          <t>R8.10〜11</t>
        </is>
      </c>
      <c r="E10" s="30" t="n">
        <v>5</v>
      </c>
      <c r="F10" s="30" t="n">
        <v>2</v>
      </c>
      <c r="G10" s="30" t="inlineStr">
        <is>
          <t>13、39、88、141、150</t>
        </is>
      </c>
      <c r="H10" s="30" t="inlineStr">
        <is>
          <t>地域支援事業のデータを受領できていない。通いの場の箇所数・参加者数が未把握であり、素案 9-2の費用の見込みと、6-4の認知症施策の追加分の積算、9-3の財源別の保険料への影響がいずれも書けない。</t>
        </is>
      </c>
      <c r="I10" s="30" t="inlineStr">
        <is>
          <t>量の見込みのみを示し、費用は［要内訳］のまま置く。推測の数値は置かない。 交付金 支援 目標Ⅰの通いの場の指標は「未実施」と記す。</t>
        </is>
      </c>
    </row>
    <row r="11">
      <c r="A11" s="31" t="n">
        <v>7</v>
      </c>
      <c r="B11" s="31" t="inlineStr">
        <is>
          <t>7　認知症施策の町確認</t>
        </is>
      </c>
      <c r="C11" s="31" t="inlineStr">
        <is>
          <t>B</t>
        </is>
      </c>
      <c r="D11" s="31" t="inlineStr">
        <is>
          <t>R8.10〜11</t>
        </is>
      </c>
      <c r="E11" s="31" t="n">
        <v>22</v>
      </c>
      <c r="F11" s="31" t="n">
        <v>2</v>
      </c>
      <c r="G11" s="31" t="inlineStr">
        <is>
          <t>45、46、87、89、90、91、92、93、94、95、96、137、138、139、140、142、143、144、145、146、149、157</t>
        </is>
      </c>
      <c r="H11" s="31" t="inlineStr">
        <is>
          <t>認知症ケアパスの有無・サポート医・庁内の検討の場・サポーター数の正（交付金577人／町データ642人）など、素案 第6章の記述とKPIの現状値が確定しない。意見聴取（R8.10〜11実施予定）の運用と個人情報の手続は実施そのものを止めているため、この束の中では最も急ぐ。</t>
        </is>
      </c>
      <c r="I11" s="31" t="inlineStr">
        <is>
          <t>KPIの現状値は【町確認】のまま第2回策定委員会に諮る。意見聴取の様式（別添22・様式0〜5）は作成済みであり、運用のご確認をいただきしだい実施できる。</t>
        </is>
      </c>
    </row>
    <row r="12">
      <c r="A12" s="31" t="n">
        <v>8</v>
      </c>
      <c r="B12" s="31" t="inlineStr">
        <is>
          <t>8　調査報告書の成果品化</t>
        </is>
      </c>
      <c r="C12" s="31" t="inlineStr">
        <is>
          <t>B</t>
        </is>
      </c>
      <c r="D12" s="31" t="inlineStr">
        <is>
          <t>R8.10</t>
        </is>
      </c>
      <c r="E12" s="31" t="n">
        <v>16</v>
      </c>
      <c r="F12" s="31" t="n">
        <v>5</v>
      </c>
      <c r="G12" s="31" t="inlineStr">
        <is>
          <t>2、26、27、31、37、97、98、99、100、101、102、103、104、110、125、126</t>
        </is>
      </c>
      <c r="H12" s="31" t="inlineStr">
        <is>
          <t>成果品1（調査報告書・80頁程度5部）の体裁と構成が決まらない。自由意見欄の取扱い・有効回答の定義・分母の整理など、報告書の記述に関わるご確認が残っている。3件（No.101〜103）は当方の作業であり、ペンディングではない。</t>
        </is>
      </c>
      <c r="I12" s="31" t="inlineStr">
        <is>
          <t>報告書の体裁は第9期の成果品に倣う案でお示しする。分母は原典の定義に従い、本編と資料編で異なる整理のまま注記で断る形を既定とする。</t>
        </is>
      </c>
    </row>
    <row r="13">
      <c r="A13" s="31" t="n">
        <v>9</v>
      </c>
      <c r="B13" s="31" t="inlineStr">
        <is>
          <t>9　資料編（別添）の確定</t>
        </is>
      </c>
      <c r="C13" s="31" t="inlineStr">
        <is>
          <t>B</t>
        </is>
      </c>
      <c r="D13" s="31" t="inlineStr">
        <is>
          <t>R8.10〜11</t>
        </is>
      </c>
      <c r="E13" s="31" t="n">
        <v>9</v>
      </c>
      <c r="F13" s="31" t="n">
        <v>2</v>
      </c>
      <c r="G13" s="31" t="inlineStr">
        <is>
          <t>5、30、129、130、131、132、134、135、136</t>
        </is>
      </c>
      <c r="H13" s="31" t="inlineStr">
        <is>
          <t>委員名簿・設置要綱・諮問書答申書・区域図・パブリックコメント実施要領・調査票の原本など、計画書の資料編（10件13頁）に掲げるものが確定しない。</t>
        </is>
      </c>
      <c r="I13" s="31" t="inlineStr">
        <is>
          <t>別添整理表（R8.9.29）の振り分けのまま、いただけなかったものは資料編から外して本文の記述で補う。</t>
        </is>
      </c>
    </row>
    <row r="14">
      <c r="A14" s="31" t="n">
        <v>10</v>
      </c>
      <c r="B14" s="31" t="inlineStr">
        <is>
          <t>10　基本指針の別表に対応するデータ</t>
        </is>
      </c>
      <c r="C14" s="31" t="inlineStr">
        <is>
          <t>B</t>
        </is>
      </c>
      <c r="D14" s="31" t="inlineStr">
        <is>
          <t>R8.11</t>
        </is>
      </c>
      <c r="E14" s="31" t="n">
        <v>5</v>
      </c>
      <c r="F14" s="31" t="n">
        <v>0</v>
      </c>
      <c r="G14" s="31" t="inlineStr">
        <is>
          <t>35、154、155、156、158</t>
        </is>
      </c>
      <c r="H14" s="31" t="inlineStr">
        <is>
          <t>年齢調整後の認定率・自給率・受給率、高齢者向け住まい、人口動態、医療介護連携の加算の算定状況が取得できていない。見える化システムは当方が直接データを触る想定ではないため、町又は宮城県による出力をお願いしている。不足図No.6・No.7もここで止まっている。</t>
        </is>
      </c>
      <c r="I14" s="31" t="inlineStr">
        <is>
          <t>素案の該当箇所に「なぜ未対応か」と「何で代替するか」を書く。基本指針の別表の対比表では「未実施」と記し、適合に丸めない。</t>
        </is>
      </c>
    </row>
    <row r="15">
      <c r="A15" s="31" t="n">
        <v>11</v>
      </c>
      <c r="B15" s="31" t="inlineStr">
        <is>
          <t>11　成果品の体裁・納品・頁数</t>
        </is>
      </c>
      <c r="C15" s="31" t="inlineStr">
        <is>
          <t>B</t>
        </is>
      </c>
      <c r="D15" s="31" t="inlineStr">
        <is>
          <t>R8.10〜12</t>
        </is>
      </c>
      <c r="E15" s="31" t="n">
        <v>6</v>
      </c>
      <c r="F15" s="31" t="n">
        <v>2</v>
      </c>
      <c r="G15" s="31" t="inlineStr">
        <is>
          <t>17、18、19、83、84、162</t>
        </is>
      </c>
      <c r="H15" s="31" t="inlineStr">
        <is>
          <t>中間報告の提出期日・成果品の入稿期日・計画書の頁数（100頁程度）・未確定箇所の表記の扱いが決まらない。</t>
        </is>
      </c>
      <c r="I15" s="31" t="inlineStr">
        <is>
          <t>中間報告は月末ごとに当方から提出する。頁数は本文の圧縮案（計96頁）をお示しし、未確定箇所の表記は現在の形（【町確認】【委員会協議】）のまま協議を進めることを既定とする。</t>
        </is>
      </c>
    </row>
    <row r="16">
      <c r="A16" s="32" t="n">
        <v>12</v>
      </c>
      <c r="B16" s="32" t="inlineStr">
        <is>
          <t>12　素案の個別の記述</t>
        </is>
      </c>
      <c r="C16" s="32" t="inlineStr">
        <is>
          <t>C</t>
        </is>
      </c>
      <c r="D16" s="32" t="inlineStr">
        <is>
          <t>R8.10〜11</t>
        </is>
      </c>
      <c r="E16" s="32" t="n">
        <v>31</v>
      </c>
      <c r="F16" s="32" t="n">
        <v>9</v>
      </c>
      <c r="G16" s="32" t="inlineStr">
        <is>
          <t>15、16、20、32、36、38、47、52、55、56、69、70、82、106、107、108、109、111、113、114、115、116、117、118、120、123、124、128、160、163、164</t>
        </is>
      </c>
      <c r="H16" s="32" t="inlineStr">
        <is>
          <t>町長挨拶文・長期総合計画との関係・所管の確定・KPIを全事業に置くかなど、素案の個々の記述に関わるもの。いずれも既定値のまま進められ、決着しだい差し替えればよい。</t>
        </is>
      </c>
      <c r="I16" s="32" t="inlineStr">
        <is>
          <t>既定値のまま記述し、決着しだい該当箇所のみ差し替える。差し替えは機械で行えるよう、該当箇所に［要確認］を置いている。</t>
        </is>
      </c>
    </row>
    <row r="18">
      <c r="A18" s="33" t="inlineStr">
        <is>
          <t>【明細】束ごとの確認事項</t>
        </is>
      </c>
    </row>
    <row r="19">
      <c r="A19" s="34" t="inlineStr">
        <is>
          <t>優先</t>
        </is>
      </c>
      <c r="B19" s="34" t="inlineStr">
        <is>
          <t>束</t>
        </is>
      </c>
      <c r="C19" s="34" t="inlineStr">
        <is>
          <t>影響度</t>
        </is>
      </c>
      <c r="D19" s="34" t="inlineStr">
        <is>
          <t>No.</t>
        </is>
      </c>
      <c r="E19" s="34" t="inlineStr">
        <is>
          <t>期限</t>
        </is>
      </c>
      <c r="F19" s="34" t="inlineStr">
        <is>
          <t>状態</t>
        </is>
      </c>
      <c r="G19" s="34" t="inlineStr">
        <is>
          <t>確認事項</t>
        </is>
      </c>
      <c r="H19" s="34" t="inlineStr">
        <is>
          <t>止めている成果物</t>
        </is>
      </c>
    </row>
    <row r="20">
      <c r="A20" s="36" t="n">
        <v>1</v>
      </c>
      <c r="B20" s="36" t="inlineStr">
        <is>
          <t>1　見える化システムの第1回目提出</t>
        </is>
      </c>
      <c r="C20" s="36" t="inlineStr">
        <is>
          <t>―（町対応）</t>
        </is>
      </c>
      <c r="D20" s="36" t="n">
        <v>71</v>
      </c>
      <c r="E20" s="36" t="inlineStr">
        <is>
          <t>R8.9</t>
        </is>
      </c>
      <c r="F20" s="36" t="inlineStr">
        <is>
          <t>確認待ち</t>
        </is>
      </c>
      <c r="G20" s="36" t="inlineStr">
        <is>
          <t>見える化システムの代行入力の可否とアカウント運用</t>
        </is>
      </c>
      <c r="H20" s="36" t="inlineStr">
        <is>
          <t>⚠ 令和8年10月2日　町より「見える化対応は自治体側で進めている」とのご指示をいただいた。当方の作業は停止する。見える化システムへの入力／第1回目提出（R8.10.5）</t>
        </is>
      </c>
      <c r="I20" s="37" t="n"/>
    </row>
    <row r="21">
      <c r="A21" s="36" t="n">
        <v>1</v>
      </c>
      <c r="B21" s="36" t="inlineStr">
        <is>
          <t>1　見える化システムの第1回目提出</t>
        </is>
      </c>
      <c r="C21" s="36" t="inlineStr">
        <is>
          <t>―（町対応）</t>
        </is>
      </c>
      <c r="D21" s="36" t="n">
        <v>72</v>
      </c>
      <c r="E21" s="36" t="inlineStr">
        <is>
          <t>R8.9</t>
        </is>
      </c>
      <c r="F21" s="36" t="inlineStr">
        <is>
          <t>確認待ち</t>
        </is>
      </c>
      <c r="G21" s="36" t="inlineStr">
        <is>
          <t>第2回目以降の入力の時期と入力範囲</t>
        </is>
      </c>
      <c r="H21" s="36" t="inlineStr">
        <is>
          <t>⚠ 令和8年10月2日　町より「見える化対応は自治体側で進めている」とのご指示をいただいた。当方の作業は停止する。作業工程／第2回・第3回策定委員会の日程</t>
        </is>
      </c>
      <c r="I21" s="37" t="n"/>
    </row>
    <row r="22">
      <c r="A22" s="36" t="n">
        <v>1</v>
      </c>
      <c r="B22" s="36" t="inlineStr">
        <is>
          <t>1　見える化システムの第1回目提出</t>
        </is>
      </c>
      <c r="C22" s="36" t="inlineStr">
        <is>
          <t>―（町対応）</t>
        </is>
      </c>
      <c r="D22" s="36" t="n">
        <v>74</v>
      </c>
      <c r="E22" s="36" t="inlineStr">
        <is>
          <t>R8.9</t>
        </is>
      </c>
      <c r="F22" s="36" t="inlineStr">
        <is>
          <t>確認待ち</t>
        </is>
      </c>
      <c r="G22" s="36" t="inlineStr">
        <is>
          <t>見える化システムへの入力の役割分担</t>
        </is>
      </c>
      <c r="H22" s="36" t="inlineStr">
        <is>
          <t>⚠ 令和8年10月2日　町より「見える化対応は自治体側で進めている」とのご指示をいただいた。当方の作業は停止する。見える化システムへの入力／素案 第9章</t>
        </is>
      </c>
      <c r="I22" s="37" t="n"/>
    </row>
    <row r="23">
      <c r="A23" s="36" t="n">
        <v>1</v>
      </c>
      <c r="B23" s="36" t="inlineStr">
        <is>
          <t>1　見える化システムの第1回目提出</t>
        </is>
      </c>
      <c r="C23" s="36" t="inlineStr">
        <is>
          <t>―（町対応）</t>
        </is>
      </c>
      <c r="D23" s="36" t="n">
        <v>75</v>
      </c>
      <c r="E23" s="36" t="inlineStr">
        <is>
          <t>R8.9</t>
        </is>
      </c>
      <c r="F23" s="36" t="inlineStr">
        <is>
          <t>確認待ち</t>
        </is>
      </c>
      <c r="G23" s="36" t="inlineStr">
        <is>
          <t>見える化システムの所得段階別被保険者数が9段階のまま</t>
        </is>
      </c>
      <c r="H23" s="36" t="inlineStr">
        <is>
          <t>⚠ 令和8年10月2日　町より「見える化対応は自治体側で進めている」とのご指示をいただいた。当方の作業は停止する。見える化システム 第1回目提出（R8.10.5）／素案 第9章 保険料試算</t>
        </is>
      </c>
      <c r="I23" s="37" t="n"/>
    </row>
    <row r="24">
      <c r="A24" s="36" t="n">
        <v>1</v>
      </c>
      <c r="B24" s="36" t="inlineStr">
        <is>
          <t>1　見える化システムの第1回目提出</t>
        </is>
      </c>
      <c r="C24" s="36" t="inlineStr">
        <is>
          <t>―（町対応）</t>
        </is>
      </c>
      <c r="D24" s="36" t="n">
        <v>76</v>
      </c>
      <c r="E24" s="36" t="inlineStr">
        <is>
          <t>R8.9</t>
        </is>
      </c>
      <c r="F24" s="36" t="inlineStr">
        <is>
          <t>確認待ち</t>
        </is>
      </c>
      <c r="G24" s="36" t="inlineStr">
        <is>
          <t>令和8年度の給付費が0になっているサービスが12件ある</t>
        </is>
      </c>
      <c r="H24" s="36" t="inlineStr">
        <is>
          <t>⚠ 令和8年10月2日　町より「見える化対応は自治体側で進めている」とのご指示をいただいた。当方の作業は停止する。見える化システム 第1回目提出（R8.10.5）／素案 第6章 サービス見込量</t>
        </is>
      </c>
      <c r="I24" s="37" t="n"/>
    </row>
    <row r="25">
      <c r="A25" s="36" t="n">
        <v>1</v>
      </c>
      <c r="B25" s="36" t="inlineStr">
        <is>
          <t>1　見える化システムの第1回目提出</t>
        </is>
      </c>
      <c r="C25" s="36" t="inlineStr">
        <is>
          <t>―（町対応）</t>
        </is>
      </c>
      <c r="D25" s="36" t="n">
        <v>77</v>
      </c>
      <c r="E25" s="36" t="inlineStr">
        <is>
          <t>R8.9</t>
        </is>
      </c>
      <c r="F25" s="36" t="inlineStr">
        <is>
          <t>確認待ち</t>
        </is>
      </c>
      <c r="G25" s="36" t="inlineStr">
        <is>
          <t>地域支援事業費の令和11年度の空欄と決算との不一致</t>
        </is>
      </c>
      <c r="H25" s="36" t="inlineStr">
        <is>
          <t>⚠ 令和8年10月2日　町より「見える化対応は自治体側で進めている」とのご指示をいただいた。当方の作業は停止する。見える化システム 第1回目提出（R8.10.5）／素案 第7章 地域支援事業</t>
        </is>
      </c>
      <c r="I25" s="37" t="n"/>
    </row>
    <row r="26">
      <c r="A26" s="36" t="n">
        <v>1</v>
      </c>
      <c r="B26" s="36" t="inlineStr">
        <is>
          <t>1　見える化システムの第1回目提出</t>
        </is>
      </c>
      <c r="C26" s="36" t="inlineStr">
        <is>
          <t>―（町対応）</t>
        </is>
      </c>
      <c r="D26" s="36" t="n">
        <v>78</v>
      </c>
      <c r="E26" s="36" t="inlineStr">
        <is>
          <t>R8.9</t>
        </is>
      </c>
      <c r="F26" s="36" t="inlineStr">
        <is>
          <t>確認待ち</t>
        </is>
      </c>
      <c r="G26" s="36" t="inlineStr">
        <is>
          <t>調整交付金見込交付割合6.14％の妥当性</t>
        </is>
      </c>
      <c r="H26" s="36" t="inlineStr">
        <is>
          <t>⚠ 令和8年10月2日　町より「見える化対応は自治体側で進めている」とのご指示をいただいた。当方の作業は停止する。見える化システム 第1回目提出（R8.10.5）／素案 第9章 保険料試算</t>
        </is>
      </c>
      <c r="I26" s="37" t="n"/>
    </row>
    <row r="27">
      <c r="A27" s="36" t="n">
        <v>1</v>
      </c>
      <c r="B27" s="36" t="inlineStr">
        <is>
          <t>1　見える化システムの第1回目提出</t>
        </is>
      </c>
      <c r="C27" s="36" t="inlineStr">
        <is>
          <t>―（町対応）</t>
        </is>
      </c>
      <c r="D27" s="36" t="n">
        <v>79</v>
      </c>
      <c r="E27" s="36" t="inlineStr">
        <is>
          <t>R8.9</t>
        </is>
      </c>
      <c r="F27" s="36" t="inlineStr">
        <is>
          <t>確認待ち</t>
        </is>
      </c>
      <c r="G27" s="36" t="inlineStr">
        <is>
          <t>自然体推計の伸び率の選択期間と令和8年度の実績見込みの扱い</t>
        </is>
      </c>
      <c r="H27" s="36" t="inlineStr">
        <is>
          <t>⚠ 令和8年10月2日　町より「見える化対応は自治体側で進めている」とのご指示をいただいた。当方の作業は停止する。見える化システム 第1回目提出（R8.10.5）／素案 第6章・第9章</t>
        </is>
      </c>
      <c r="I27" s="37" t="n"/>
    </row>
    <row r="28">
      <c r="A28" s="36" t="n">
        <v>1</v>
      </c>
      <c r="B28" s="36" t="inlineStr">
        <is>
          <t>1　見える化システムの第1回目提出</t>
        </is>
      </c>
      <c r="C28" s="36" t="inlineStr">
        <is>
          <t>―（町対応）</t>
        </is>
      </c>
      <c r="D28" s="36" t="n">
        <v>80</v>
      </c>
      <c r="E28" s="36" t="inlineStr">
        <is>
          <t>R8.10</t>
        </is>
      </c>
      <c r="F28" s="36" t="inlineStr">
        <is>
          <t>確認待ち</t>
        </is>
      </c>
      <c r="G28" s="36" t="inlineStr">
        <is>
          <t>在宅サービスの利用回（日）数が令和8年5月ベースで固定されている</t>
        </is>
      </c>
      <c r="H28" s="36" t="inlineStr">
        <is>
          <t>⚠ 令和8年10月2日　町より「見える化対応は自治体側で進めている」とのご指示をいただいた。当方の作業は停止する。見える化システム 第1回目提出／素案 第9章 サービス見込量</t>
        </is>
      </c>
      <c r="I28" s="37" t="n"/>
    </row>
    <row r="29">
      <c r="A29" s="29" t="n">
        <v>2</v>
      </c>
      <c r="B29" s="29" t="inlineStr">
        <is>
          <t>2　第2回策定委員会の運営</t>
        </is>
      </c>
      <c r="C29" s="29" t="inlineStr">
        <is>
          <t>S</t>
        </is>
      </c>
      <c r="D29" s="29" t="n">
        <v>4</v>
      </c>
      <c r="E29" s="29" t="inlineStr">
        <is>
          <t>R8.10</t>
        </is>
      </c>
      <c r="F29" s="29" t="inlineStr">
        <is>
          <t>確認待ち</t>
        </is>
      </c>
      <c r="G29" s="29" t="inlineStr">
        <is>
          <t>策定委員会の開催日程・審議事項</t>
        </is>
      </c>
      <c r="H29" s="29" t="inlineStr">
        <is>
          <t>第2回〜第4回委員会資料／計画素案_概要版（事前配布用）</t>
        </is>
      </c>
    </row>
    <row r="30">
      <c r="A30" s="29" t="n">
        <v>2</v>
      </c>
      <c r="B30" s="29" t="inlineStr">
        <is>
          <t>2　第2回策定委員会の運営</t>
        </is>
      </c>
      <c r="C30" s="29" t="inlineStr">
        <is>
          <t>S</t>
        </is>
      </c>
      <c r="D30" s="29" t="n">
        <v>49</v>
      </c>
      <c r="E30" s="29" t="inlineStr">
        <is>
          <t>R8.9</t>
        </is>
      </c>
      <c r="F30" s="29" t="inlineStr">
        <is>
          <t>確認待ち</t>
        </is>
      </c>
      <c r="G30" s="29" t="inlineStr">
        <is>
          <t>策定委員会の回数と答申の確定時期</t>
        </is>
      </c>
      <c r="H30" s="29" t="inlineStr">
        <is>
          <t>策定スケジュール／保険料試算の提示時期／サービス見込量の確定時期／第2回・第3回委員会資料</t>
        </is>
      </c>
    </row>
    <row r="31">
      <c r="A31" s="29" t="n">
        <v>2</v>
      </c>
      <c r="B31" s="29" t="inlineStr">
        <is>
          <t>2　第2回策定委員会の運営</t>
        </is>
      </c>
      <c r="C31" s="29" t="inlineStr">
        <is>
          <t>S</t>
        </is>
      </c>
      <c r="D31" s="29" t="n">
        <v>53</v>
      </c>
      <c r="E31" s="29" t="inlineStr">
        <is>
          <t>R8.10</t>
        </is>
      </c>
      <c r="F31" s="29" t="inlineStr">
        <is>
          <t>確認待ち</t>
        </is>
      </c>
      <c r="G31" s="29" t="inlineStr">
        <is>
          <t>第2回委員会資料の様式と事前配布の期限</t>
        </is>
      </c>
      <c r="H31" s="29" t="inlineStr">
        <is>
          <t>第2回委員会資料／計画骨子（素案）／ニーズ調査結果報告書</t>
        </is>
      </c>
    </row>
    <row r="32">
      <c r="A32" s="29" t="n">
        <v>2</v>
      </c>
      <c r="B32" s="29" t="inlineStr">
        <is>
          <t>2　第2回策定委員会の運営</t>
        </is>
      </c>
      <c r="C32" s="29" t="inlineStr">
        <is>
          <t>S</t>
        </is>
      </c>
      <c r="D32" s="29" t="n">
        <v>85</v>
      </c>
      <c r="E32" s="29" t="inlineStr">
        <is>
          <t>R8.10</t>
        </is>
      </c>
      <c r="F32" s="29" t="inlineStr">
        <is>
          <t>確認待ち</t>
        </is>
      </c>
      <c r="G32" s="29" t="inlineStr">
        <is>
          <t>第2回策定委員会の開催日と諮る事項</t>
        </is>
      </c>
      <c r="H32" s="29" t="inlineStr">
        <is>
          <t>第2回策定委員会資料／第2回委員会想定問答集</t>
        </is>
      </c>
    </row>
    <row r="33">
      <c r="A33" s="30" t="n">
        <v>3</v>
      </c>
      <c r="B33" s="30" t="inlineStr">
        <is>
          <t>3　第9期の実績と交付金の失点</t>
        </is>
      </c>
      <c r="C33" s="30" t="inlineStr">
        <is>
          <t>A</t>
        </is>
      </c>
      <c r="D33" s="30" t="n">
        <v>7</v>
      </c>
      <c r="E33" s="30" t="inlineStr">
        <is>
          <t>R8.7</t>
        </is>
      </c>
      <c r="F33" s="30" t="inlineStr">
        <is>
          <t>確認待ち</t>
        </is>
      </c>
      <c r="G33" s="30" t="inlineStr">
        <is>
          <t>関連施策評価調査シートの様式</t>
        </is>
      </c>
      <c r="H33" s="30" t="inlineStr">
        <is>
          <t>関連施策評価調査シート／現行施策の検証（仕様書6（4））／素案 第3章</t>
        </is>
      </c>
    </row>
    <row r="34">
      <c r="A34" s="30" t="n">
        <v>3</v>
      </c>
      <c r="B34" s="30" t="inlineStr">
        <is>
          <t>3　第9期の実績と交付金の失点</t>
        </is>
      </c>
      <c r="C34" s="30" t="inlineStr">
        <is>
          <t>A</t>
        </is>
      </c>
      <c r="D34" s="30" t="n">
        <v>8</v>
      </c>
      <c r="E34" s="30" t="inlineStr">
        <is>
          <t>R8.7</t>
        </is>
      </c>
      <c r="F34" s="30" t="inlineStr">
        <is>
          <t>確認待ち</t>
        </is>
      </c>
      <c r="G34" s="30" t="inlineStr">
        <is>
          <t>第9期の施策・事業実績</t>
        </is>
      </c>
      <c r="H34" s="30" t="inlineStr">
        <is>
          <t>現行施策の検証（仕様書6（4））／素案 第3章</t>
        </is>
      </c>
    </row>
    <row r="35">
      <c r="A35" s="30" t="n">
        <v>3</v>
      </c>
      <c r="B35" s="30" t="inlineStr">
        <is>
          <t>3　第9期の実績と交付金の失点</t>
        </is>
      </c>
      <c r="C35" s="30" t="inlineStr">
        <is>
          <t>A</t>
        </is>
      </c>
      <c r="D35" s="30" t="n">
        <v>34</v>
      </c>
      <c r="E35" s="30" t="inlineStr">
        <is>
          <t>R8.9</t>
        </is>
      </c>
      <c r="F35" s="30" t="inlineStr">
        <is>
          <t>確認待ち</t>
        </is>
      </c>
      <c r="G35" s="30" t="inlineStr">
        <is>
          <t>第9期KPIのアウトプット指標の達成状況</t>
        </is>
      </c>
      <c r="H35" s="30" t="inlineStr">
        <is>
          <t>現行施策の検証（仕様書6（4））／第1回策定委員会資料 第9期の振り返り</t>
        </is>
      </c>
    </row>
    <row r="36">
      <c r="A36" s="30" t="n">
        <v>3</v>
      </c>
      <c r="B36" s="30" t="inlineStr">
        <is>
          <t>3　第9期の実績と交付金の失点</t>
        </is>
      </c>
      <c r="C36" s="30" t="inlineStr">
        <is>
          <t>A</t>
        </is>
      </c>
      <c r="D36" s="30" t="n">
        <v>42</v>
      </c>
      <c r="E36" s="30" t="inlineStr">
        <is>
          <t>R8.9</t>
        </is>
      </c>
      <c r="F36" s="30" t="inlineStr">
        <is>
          <t>確認待ち</t>
        </is>
      </c>
      <c r="G36" s="30" t="inlineStr">
        <is>
          <t>実績データで年度間が同一値となっている項目（30行）</t>
        </is>
      </c>
      <c r="H36" s="30" t="inlineStr">
        <is>
          <t>第9期KPIの達成状況の判定／現行施策の検証（仕様書6（4））／素案 第3章</t>
        </is>
      </c>
    </row>
    <row r="37">
      <c r="A37" s="30" t="n">
        <v>3</v>
      </c>
      <c r="B37" s="30" t="inlineStr">
        <is>
          <t>3　第9期の実績と交付金の失点</t>
        </is>
      </c>
      <c r="C37" s="30" t="inlineStr">
        <is>
          <t>A</t>
        </is>
      </c>
      <c r="D37" s="30" t="n">
        <v>57</v>
      </c>
      <c r="E37" s="30" t="inlineStr">
        <is>
          <t>R8.9</t>
        </is>
      </c>
      <c r="F37" s="30" t="inlineStr">
        <is>
          <t>実施中</t>
        </is>
      </c>
      <c r="G37" s="30" t="inlineStr">
        <is>
          <t>第1回策定委員会資料の交付金評価 目標別内訳の訂正</t>
        </is>
      </c>
      <c r="H37" s="30" t="inlineStr">
        <is>
          <t>議事録／第2回委員会資料／素案 第3章（第9期の評価）</t>
        </is>
      </c>
    </row>
    <row r="38">
      <c r="A38" s="30" t="n">
        <v>3</v>
      </c>
      <c r="B38" s="30" t="inlineStr">
        <is>
          <t>3　第9期の実績と交付金の失点</t>
        </is>
      </c>
      <c r="C38" s="30" t="inlineStr">
        <is>
          <t>A</t>
        </is>
      </c>
      <c r="D38" s="30" t="n">
        <v>58</v>
      </c>
      <c r="E38" s="30" t="inlineStr">
        <is>
          <t>R8.10</t>
        </is>
      </c>
      <c r="F38" s="30" t="inlineStr">
        <is>
          <t>確認待ち</t>
        </is>
      </c>
      <c r="G38" s="30" t="inlineStr">
        <is>
          <t>交付金評価「評価結果の活用」が16点から0点となった理由</t>
        </is>
      </c>
      <c r="H38" s="30" t="inlineStr">
        <is>
          <t>第9期の評価（仕様書6（4））／第2回委員会資料／素案 第9章（KPI管理表）</t>
        </is>
      </c>
    </row>
    <row r="39">
      <c r="A39" s="30" t="n">
        <v>3</v>
      </c>
      <c r="B39" s="30" t="inlineStr">
        <is>
          <t>3　第9期の実績と交付金の失点</t>
        </is>
      </c>
      <c r="C39" s="30" t="inlineStr">
        <is>
          <t>A</t>
        </is>
      </c>
      <c r="D39" s="30" t="n">
        <v>59</v>
      </c>
      <c r="E39" s="30" t="inlineStr">
        <is>
          <t>R8.10</t>
        </is>
      </c>
      <c r="F39" s="30" t="inlineStr">
        <is>
          <t>確認待ち</t>
        </is>
      </c>
      <c r="G39" s="30" t="inlineStr">
        <is>
          <t>交付金評価「給付費適正化事業の取組状況」が6点から0点となった理由</t>
        </is>
      </c>
      <c r="H39" s="30" t="inlineStr">
        <is>
          <t>第9期の評価（仕様書6（4））／給付実績分析（仕様書6（6））／第2回委員会資料</t>
        </is>
      </c>
    </row>
    <row r="40">
      <c r="A40" s="30" t="n">
        <v>3</v>
      </c>
      <c r="B40" s="30" t="inlineStr">
        <is>
          <t>3　第9期の実績と交付金の失点</t>
        </is>
      </c>
      <c r="C40" s="30" t="inlineStr">
        <is>
          <t>A</t>
        </is>
      </c>
      <c r="D40" s="30" t="n">
        <v>119</v>
      </c>
      <c r="E40" s="30" t="inlineStr">
        <is>
          <t>R8.11</t>
        </is>
      </c>
      <c r="F40" s="30" t="inlineStr">
        <is>
          <t>確認待ち</t>
        </is>
      </c>
      <c r="G40" s="30" t="inlineStr">
        <is>
          <t>アウトカム指標の短期的な要介護度の変化が県内最下位級である要因</t>
        </is>
      </c>
      <c r="H40" s="30" t="inlineStr">
        <is>
          <t>素案 第3章3-3・第8章8-3／第9期実績一覧</t>
        </is>
      </c>
    </row>
    <row r="41">
      <c r="A41" s="30" t="n">
        <v>3</v>
      </c>
      <c r="B41" s="30" t="inlineStr">
        <is>
          <t>3　第9期の実績と交付金の失点</t>
        </is>
      </c>
      <c r="C41" s="30" t="inlineStr">
        <is>
          <t>A</t>
        </is>
      </c>
      <c r="D41" s="30" t="n">
        <v>121</v>
      </c>
      <c r="E41" s="30" t="inlineStr">
        <is>
          <t>R8.10</t>
        </is>
      </c>
      <c r="F41" s="30" t="inlineStr">
        <is>
          <t>確認待ち</t>
        </is>
      </c>
      <c r="G41" s="30" t="inlineStr">
        <is>
          <t>「評価結果の活用」（16点）が令和8年度に0点となった具体的な事情</t>
        </is>
      </c>
      <c r="H41" s="30" t="inlineStr">
        <is>
          <t>素案 第3章3-3・第8章8-3・8-4・第10章10-4</t>
        </is>
      </c>
    </row>
    <row r="42">
      <c r="A42" s="30" t="n">
        <v>3</v>
      </c>
      <c r="B42" s="30" t="inlineStr">
        <is>
          <t>3　第9期の実績と交付金の失点</t>
        </is>
      </c>
      <c r="C42" s="30" t="inlineStr">
        <is>
          <t>A</t>
        </is>
      </c>
      <c r="D42" s="30" t="n">
        <v>122</v>
      </c>
      <c r="E42" s="30" t="inlineStr">
        <is>
          <t>R8.10</t>
        </is>
      </c>
      <c r="F42" s="30" t="inlineStr">
        <is>
          <t>確認待ち</t>
        </is>
      </c>
      <c r="G42" s="30" t="inlineStr">
        <is>
          <t>ケアプラン点検の実施状況（令和6年度8点→令和7・8年度4点）</t>
        </is>
      </c>
      <c r="H42" s="30" t="inlineStr">
        <is>
          <t>統合体系表 柱7 1・柱4 第2節3(1)／素案 第8章8-2</t>
        </is>
      </c>
    </row>
    <row r="43">
      <c r="A43" s="30" t="n">
        <v>3</v>
      </c>
      <c r="B43" s="30" t="inlineStr">
        <is>
          <t>3　第9期の実績と交付金の失点</t>
        </is>
      </c>
      <c r="C43" s="30" t="inlineStr">
        <is>
          <t>A</t>
        </is>
      </c>
      <c r="D43" s="30" t="n">
        <v>127</v>
      </c>
      <c r="E43" s="30" t="inlineStr">
        <is>
          <t>R8.10</t>
        </is>
      </c>
      <c r="F43" s="30" t="inlineStr">
        <is>
          <t>確認待ち</t>
        </is>
      </c>
      <c r="G43" s="30" t="inlineStr">
        <is>
          <t>介護給付適正化の3事業の実施状況</t>
        </is>
      </c>
      <c r="H43" s="30" t="inlineStr">
        <is>
          <t>素案 第3章3-3・第8章8-2</t>
        </is>
      </c>
    </row>
    <row r="44">
      <c r="A44" s="30" t="n">
        <v>3</v>
      </c>
      <c r="B44" s="30" t="inlineStr">
        <is>
          <t>3　第9期の実績と交付金の失点</t>
        </is>
      </c>
      <c r="C44" s="30" t="inlineStr">
        <is>
          <t>A</t>
        </is>
      </c>
      <c r="D44" s="30" t="n">
        <v>133</v>
      </c>
      <c r="E44" s="30" t="inlineStr">
        <is>
          <t>R8.11</t>
        </is>
      </c>
      <c r="F44" s="30" t="inlineStr">
        <is>
          <t>確認待ち</t>
        </is>
      </c>
      <c r="G44" s="30" t="inlineStr">
        <is>
          <t>第9期実績一覧を計画書の別添に掲げるか</t>
        </is>
      </c>
      <c r="H44" s="30" t="inlineStr">
        <is>
          <t>計画書 資料編27／素案 第3章3-2</t>
        </is>
      </c>
    </row>
    <row r="45">
      <c r="A45" s="30" t="n">
        <v>4</v>
      </c>
      <c r="B45" s="30" t="inlineStr">
        <is>
          <t>4　サービス見込量と供給体制</t>
        </is>
      </c>
      <c r="C45" s="30" t="inlineStr">
        <is>
          <t>A</t>
        </is>
      </c>
      <c r="D45" s="30" t="n">
        <v>12</v>
      </c>
      <c r="E45" s="30" t="inlineStr">
        <is>
          <t>R8.9</t>
        </is>
      </c>
      <c r="F45" s="30" t="inlineStr">
        <is>
          <t>確認待ち</t>
        </is>
      </c>
      <c r="G45" s="30" t="inlineStr">
        <is>
          <t>国保連データ（サービス種類別・年度別の給付実績）</t>
        </is>
      </c>
      <c r="H45" s="30" t="inlineStr">
        <is>
          <t>サービス事業量の推計（仕様書6（5））／給付実績分析（仕様書6（6））／素案 第7章</t>
        </is>
      </c>
    </row>
    <row r="46">
      <c r="A46" s="30" t="n">
        <v>4</v>
      </c>
      <c r="B46" s="30" t="inlineStr">
        <is>
          <t>4　サービス見込量と供給体制</t>
        </is>
      </c>
      <c r="C46" s="30" t="inlineStr">
        <is>
          <t>A</t>
        </is>
      </c>
      <c r="D46" s="30" t="n">
        <v>29</v>
      </c>
      <c r="E46" s="30" t="inlineStr">
        <is>
          <t>R8.9</t>
        </is>
      </c>
      <c r="F46" s="30" t="inlineStr">
        <is>
          <t>確認待ち</t>
        </is>
      </c>
      <c r="G46" s="30" t="inlineStr">
        <is>
          <t>町内の介護保険事業所一覧</t>
        </is>
      </c>
      <c r="H46" s="30" t="inlineStr">
        <is>
          <t>サービス見込量の推計／第1回策定委員会資料（供給の議論）</t>
        </is>
      </c>
    </row>
    <row r="47">
      <c r="A47" s="30" t="n">
        <v>4</v>
      </c>
      <c r="B47" s="30" t="inlineStr">
        <is>
          <t>4　サービス見込量と供給体制</t>
        </is>
      </c>
      <c r="C47" s="30" t="inlineStr">
        <is>
          <t>A</t>
        </is>
      </c>
      <c r="D47" s="30" t="n">
        <v>40</v>
      </c>
      <c r="E47" s="30" t="inlineStr">
        <is>
          <t>R8.9</t>
        </is>
      </c>
      <c r="F47" s="30" t="inlineStr">
        <is>
          <t>確認待ち</t>
        </is>
      </c>
      <c r="G47" s="30" t="inlineStr">
        <is>
          <t>サービス見込量の実績欄（R6〜R8）の未記入</t>
        </is>
      </c>
      <c r="H47" s="30" t="inlineStr">
        <is>
          <t>サービス見込量の推計（仕様書6（5））／給付実績分析（仕様書6（6））／素案 第6章</t>
        </is>
      </c>
    </row>
    <row r="48">
      <c r="A48" s="30" t="n">
        <v>4</v>
      </c>
      <c r="B48" s="30" t="inlineStr">
        <is>
          <t>4　サービス見込量と供給体制</t>
        </is>
      </c>
      <c r="C48" s="30" t="inlineStr">
        <is>
          <t>A</t>
        </is>
      </c>
      <c r="D48" s="30" t="n">
        <v>41</v>
      </c>
      <c r="E48" s="30" t="inlineStr">
        <is>
          <t>R8.9</t>
        </is>
      </c>
      <c r="F48" s="30" t="inlineStr">
        <is>
          <t>確認待ち</t>
        </is>
      </c>
      <c r="G48" s="30" t="inlineStr">
        <is>
          <t>定期巡回・随時対応型訪問介護看護及び夜間対応型訪問介護の実績</t>
        </is>
      </c>
      <c r="H48" s="30" t="inlineStr">
        <is>
          <t>サービス見込量（地域密着型）／素案 第6章／保険料試算ワークブック</t>
        </is>
      </c>
    </row>
    <row r="49">
      <c r="A49" s="30" t="n">
        <v>4</v>
      </c>
      <c r="B49" s="30" t="inlineStr">
        <is>
          <t>4　サービス見込量と供給体制</t>
        </is>
      </c>
      <c r="C49" s="30" t="inlineStr">
        <is>
          <t>A</t>
        </is>
      </c>
      <c r="D49" s="30" t="n">
        <v>50</v>
      </c>
      <c r="E49" s="30" t="inlineStr">
        <is>
          <t>R8.10</t>
        </is>
      </c>
      <c r="F49" s="30" t="inlineStr">
        <is>
          <t>確認待ち</t>
        </is>
      </c>
      <c r="G49" s="30" t="inlineStr">
        <is>
          <t>介護人材の不足と事業所の運営状況</t>
        </is>
      </c>
      <c r="H49" s="30" t="inlineStr">
        <is>
          <t>サービス見込量の推計（仕様書6（5））／見込量確保のための方策／素案 第5章・第6章</t>
        </is>
      </c>
    </row>
    <row r="50">
      <c r="A50" s="30" t="n">
        <v>4</v>
      </c>
      <c r="B50" s="30" t="inlineStr">
        <is>
          <t>4　サービス見込量と供給体制</t>
        </is>
      </c>
      <c r="C50" s="30" t="inlineStr">
        <is>
          <t>A</t>
        </is>
      </c>
      <c r="D50" s="30" t="n">
        <v>51</v>
      </c>
      <c r="E50" s="30" t="inlineStr">
        <is>
          <t>R8.10</t>
        </is>
      </c>
      <c r="F50" s="30" t="inlineStr">
        <is>
          <t>確認待ち</t>
        </is>
      </c>
      <c r="G50" s="30" t="inlineStr">
        <is>
          <t>訪問介護の登録ヘルパー数と実働数</t>
        </is>
      </c>
      <c r="H50" s="30" t="inlineStr">
        <is>
          <t>サービス見込量（訪問介護）／在宅生活継続支援の施策／素案 第5章 5-3</t>
        </is>
      </c>
    </row>
    <row r="51">
      <c r="A51" s="30" t="n">
        <v>4</v>
      </c>
      <c r="B51" s="30" t="inlineStr">
        <is>
          <t>4　サービス見込量と供給体制</t>
        </is>
      </c>
      <c r="C51" s="30" t="inlineStr">
        <is>
          <t>A</t>
        </is>
      </c>
      <c r="D51" s="30" t="n">
        <v>60</v>
      </c>
      <c r="E51" s="30" t="inlineStr">
        <is>
          <t>R8.10</t>
        </is>
      </c>
      <c r="F51" s="30" t="inlineStr">
        <is>
          <t>確認待ち</t>
        </is>
      </c>
      <c r="G51" s="30" t="inlineStr">
        <is>
          <t>地域包括ケア「見える化」システムの推計ツールの利用</t>
        </is>
      </c>
      <c r="H51" s="30" t="inlineStr">
        <is>
          <t>サービス見込量の推計（仕様書6（5））／保険料試算／素案 第7章</t>
        </is>
      </c>
    </row>
    <row r="52">
      <c r="A52" s="30" t="n">
        <v>4</v>
      </c>
      <c r="B52" s="30" t="inlineStr">
        <is>
          <t>4　サービス見込量と供給体制</t>
        </is>
      </c>
      <c r="C52" s="30" t="inlineStr">
        <is>
          <t>A</t>
        </is>
      </c>
      <c r="D52" s="30" t="n">
        <v>62</v>
      </c>
      <c r="E52" s="30" t="inlineStr">
        <is>
          <t>R8.11</t>
        </is>
      </c>
      <c r="F52" s="30" t="inlineStr">
        <is>
          <t>確認待ち</t>
        </is>
      </c>
      <c r="G52" s="30" t="inlineStr">
        <is>
          <t>自然体推計に対する施策反映の方針</t>
        </is>
      </c>
      <c r="H52" s="30" t="inlineStr">
        <is>
          <t>サービス見込量の推計／素案 第7章／第2回委員会資料（選択事項2・3）</t>
        </is>
      </c>
    </row>
    <row r="53">
      <c r="A53" s="30" t="n">
        <v>4</v>
      </c>
      <c r="B53" s="30" t="inlineStr">
        <is>
          <t>4　サービス見込量と供給体制</t>
        </is>
      </c>
      <c r="C53" s="30" t="inlineStr">
        <is>
          <t>A</t>
        </is>
      </c>
      <c r="D53" s="30" t="n">
        <v>63</v>
      </c>
      <c r="E53" s="30" t="inlineStr">
        <is>
          <t>R8.10</t>
        </is>
      </c>
      <c r="F53" s="30" t="inlineStr">
        <is>
          <t>確認待ち</t>
        </is>
      </c>
      <c r="G53" s="30" t="inlineStr">
        <is>
          <t>介護報酬の中山間地域等の加算の対象地域と算定状況</t>
        </is>
      </c>
      <c r="H53" s="30" t="inlineStr">
        <is>
          <t>サービス見込量の推計／保険料試算／素案 第7章／第2回委員会資料（選択2）</t>
        </is>
      </c>
    </row>
    <row r="54">
      <c r="A54" s="30" t="n">
        <v>4</v>
      </c>
      <c r="B54" s="30" t="inlineStr">
        <is>
          <t>4　サービス見込量と供給体制</t>
        </is>
      </c>
      <c r="C54" s="30" t="inlineStr">
        <is>
          <t>A</t>
        </is>
      </c>
      <c r="D54" s="30" t="n">
        <v>64</v>
      </c>
      <c r="E54" s="30" t="inlineStr">
        <is>
          <t>R8.10</t>
        </is>
      </c>
      <c r="F54" s="30" t="inlineStr">
        <is>
          <t>確認待ち</t>
        </is>
      </c>
      <c r="G54" s="30" t="inlineStr">
        <is>
          <t>訪問介護等サービス提供体制確保支援事業ほか県事業の実施状況</t>
        </is>
      </c>
      <c r="H54" s="30" t="inlineStr">
        <is>
          <t>素案 第7章／第2回委員会資料（選択4）／事業所ヒアリング</t>
        </is>
      </c>
    </row>
    <row r="55">
      <c r="A55" s="30" t="n">
        <v>4</v>
      </c>
      <c r="B55" s="30" t="inlineStr">
        <is>
          <t>4　サービス見込量と供給体制</t>
        </is>
      </c>
      <c r="C55" s="30" t="inlineStr">
        <is>
          <t>A</t>
        </is>
      </c>
      <c r="D55" s="30" t="n">
        <v>65</v>
      </c>
      <c r="E55" s="30" t="inlineStr">
        <is>
          <t>R8.10</t>
        </is>
      </c>
      <c r="F55" s="30" t="inlineStr">
        <is>
          <t>確認待ち</t>
        </is>
      </c>
      <c r="G55" s="30" t="inlineStr">
        <is>
          <t>過疎地域持続的発展市町村計画と過疎債ソフト分の枠</t>
        </is>
      </c>
      <c r="H55" s="30" t="inlineStr">
        <is>
          <t>素案 第7章／第2回委員会資料（選択4）／令和9年度当初予算</t>
        </is>
      </c>
    </row>
    <row r="56">
      <c r="A56" s="30" t="n">
        <v>4</v>
      </c>
      <c r="B56" s="30" t="inlineStr">
        <is>
          <t>4　サービス見込量と供給体制</t>
        </is>
      </c>
      <c r="C56" s="30" t="inlineStr">
        <is>
          <t>A</t>
        </is>
      </c>
      <c r="D56" s="30" t="n">
        <v>66</v>
      </c>
      <c r="E56" s="30" t="inlineStr">
        <is>
          <t>R8.10</t>
        </is>
      </c>
      <c r="F56" s="30" t="inlineStr">
        <is>
          <t>確認待ち</t>
        </is>
      </c>
      <c r="G56" s="30" t="inlineStr">
        <is>
          <t>豪雪地帯・振興山村・特定農山村・辺地の指定の有無</t>
        </is>
      </c>
      <c r="H56" s="30" t="inlineStr">
        <is>
          <t>素案 第2章（地域特性）／素案 第7章</t>
        </is>
      </c>
    </row>
    <row r="57">
      <c r="A57" s="30" t="n">
        <v>4</v>
      </c>
      <c r="B57" s="30" t="inlineStr">
        <is>
          <t>4　サービス見込量と供給体制</t>
        </is>
      </c>
      <c r="C57" s="30" t="inlineStr">
        <is>
          <t>A</t>
        </is>
      </c>
      <c r="D57" s="30" t="n">
        <v>67</v>
      </c>
      <c r="E57" s="30" t="inlineStr">
        <is>
          <t>R8.11</t>
        </is>
      </c>
      <c r="F57" s="30" t="inlineStr">
        <is>
          <t>確認待ち</t>
        </is>
      </c>
      <c r="G57" s="30" t="inlineStr">
        <is>
          <t>移住定住施策と介護人材確保の接続</t>
        </is>
      </c>
      <c r="H57" s="30" t="inlineStr">
        <is>
          <t>素案 第7章／第2回委員会資料（選択4）</t>
        </is>
      </c>
    </row>
    <row r="58">
      <c r="A58" s="30" t="n">
        <v>4</v>
      </c>
      <c r="B58" s="30" t="inlineStr">
        <is>
          <t>4　サービス見込量と供給体制</t>
        </is>
      </c>
      <c r="C58" s="30" t="inlineStr">
        <is>
          <t>A</t>
        </is>
      </c>
      <c r="D58" s="30" t="n">
        <v>68</v>
      </c>
      <c r="E58" s="30" t="inlineStr">
        <is>
          <t>R8.9</t>
        </is>
      </c>
      <c r="F58" s="30" t="inlineStr">
        <is>
          <t>確認待ち</t>
        </is>
      </c>
      <c r="G58" s="30" t="inlineStr">
        <is>
          <t>事業所の補助金活用状況（ヒアリング項目）</t>
        </is>
      </c>
      <c r="H58" s="30" t="inlineStr">
        <is>
          <t>事業所ヒアリング様式／素案 第7章／第2回委員会資料（第2部）</t>
        </is>
      </c>
    </row>
    <row r="59">
      <c r="A59" s="30" t="n">
        <v>4</v>
      </c>
      <c r="B59" s="30" t="inlineStr">
        <is>
          <t>4　サービス見込量と供給体制</t>
        </is>
      </c>
      <c r="C59" s="30" t="inlineStr">
        <is>
          <t>A</t>
        </is>
      </c>
      <c r="D59" s="30" t="n">
        <v>147</v>
      </c>
      <c r="E59" s="30" t="inlineStr">
        <is>
          <t>R8.10</t>
        </is>
      </c>
      <c r="F59" s="30" t="inlineStr">
        <is>
          <t>確認待ち</t>
        </is>
      </c>
      <c r="G59" s="30" t="inlineStr">
        <is>
          <t>見込量を0としたサービスについて、供給がないのか利用がないのか</t>
        </is>
      </c>
      <c r="H59" s="30" t="inlineStr">
        <is>
          <t>素案 9-1（地域密着型・施設サービスの見込量）／素案 2-3（サービス提供体制）</t>
        </is>
      </c>
    </row>
    <row r="60">
      <c r="A60" s="30" t="n">
        <v>4</v>
      </c>
      <c r="B60" s="30" t="inlineStr">
        <is>
          <t>4　サービス見込量と供給体制</t>
        </is>
      </c>
      <c r="C60" s="30" t="inlineStr">
        <is>
          <t>A</t>
        </is>
      </c>
      <c r="D60" s="30" t="n">
        <v>151</v>
      </c>
      <c r="E60" s="30" t="inlineStr">
        <is>
          <t>R8.10</t>
        </is>
      </c>
      <c r="F60" s="30" t="inlineStr">
        <is>
          <t>確認待ち</t>
        </is>
      </c>
      <c r="G60" s="30" t="inlineStr">
        <is>
          <t>夜間対応型訪問介護の廃止・統合に伴う見込量の区分</t>
        </is>
      </c>
      <c r="H60" s="30" t="inlineStr">
        <is>
          <t>素案 9-1（地域密着型サービスの見込量）</t>
        </is>
      </c>
    </row>
    <row r="61">
      <c r="A61" s="30" t="n">
        <v>4</v>
      </c>
      <c r="B61" s="30" t="inlineStr">
        <is>
          <t>4　サービス見込量と供給体制</t>
        </is>
      </c>
      <c r="C61" s="30" t="inlineStr">
        <is>
          <t>A</t>
        </is>
      </c>
      <c r="D61" s="30" t="n">
        <v>152</v>
      </c>
      <c r="E61" s="30" t="inlineStr">
        <is>
          <t>R8.10</t>
        </is>
      </c>
      <c r="F61" s="30" t="inlineStr">
        <is>
          <t>確認待ち</t>
        </is>
      </c>
      <c r="G61" s="30" t="inlineStr">
        <is>
          <t>中山間・人口減少地域（特定地域）の指定の意向</t>
        </is>
      </c>
      <c r="H61" s="30" t="inlineStr">
        <is>
          <t>素案 第1章（新設する節）・7-3・9-1</t>
        </is>
      </c>
    </row>
    <row r="62">
      <c r="A62" s="30" t="n">
        <v>4</v>
      </c>
      <c r="B62" s="30" t="inlineStr">
        <is>
          <t>4　サービス見込量と供給体制</t>
        </is>
      </c>
      <c r="C62" s="30" t="inlineStr">
        <is>
          <t>A</t>
        </is>
      </c>
      <c r="D62" s="30" t="n">
        <v>153</v>
      </c>
      <c r="E62" s="30" t="inlineStr">
        <is>
          <t>R8.11</t>
        </is>
      </c>
      <c r="F62" s="30" t="inlineStr">
        <is>
          <t>確認待ち</t>
        </is>
      </c>
      <c r="G62" s="30" t="inlineStr">
        <is>
          <t>医療計画・地域医療構想との整合</t>
        </is>
      </c>
      <c r="H62" s="30" t="inlineStr">
        <is>
          <t>素案 9-1（新設する項）・5-3・7-3</t>
        </is>
      </c>
    </row>
    <row r="63">
      <c r="A63" s="30" t="n">
        <v>4</v>
      </c>
      <c r="B63" s="30" t="inlineStr">
        <is>
          <t>4　サービス見込量と供給体制</t>
        </is>
      </c>
      <c r="C63" s="30" t="inlineStr">
        <is>
          <t>A</t>
        </is>
      </c>
      <c r="D63" s="30" t="n">
        <v>159</v>
      </c>
      <c r="E63" s="30" t="inlineStr">
        <is>
          <t>R8.10</t>
        </is>
      </c>
      <c r="F63" s="30" t="inlineStr">
        <is>
          <t>確認待ち</t>
        </is>
      </c>
      <c r="G63" s="30" t="inlineStr">
        <is>
          <t>施設の入所率・稼働率と入退所の経路</t>
        </is>
      </c>
      <c r="H63" s="30" t="inlineStr">
        <is>
          <t>素案 9-1・第2回策定委員会の選択2</t>
        </is>
      </c>
    </row>
    <row r="64">
      <c r="A64" s="30" t="n">
        <v>5</v>
      </c>
      <c r="B64" s="30" t="inlineStr">
        <is>
          <t>5　保険料の確定に要するもの</t>
        </is>
      </c>
      <c r="C64" s="30" t="inlineStr">
        <is>
          <t>A</t>
        </is>
      </c>
      <c r="D64" s="30" t="n">
        <v>11</v>
      </c>
      <c r="E64" s="30" t="inlineStr">
        <is>
          <t>R8.8</t>
        </is>
      </c>
      <c r="F64" s="30" t="inlineStr">
        <is>
          <t>確認待ち</t>
        </is>
      </c>
      <c r="G64" s="30" t="inlineStr">
        <is>
          <t>保険料収納率の実績及び調整交付金等の交付実績</t>
        </is>
      </c>
      <c r="H64" s="30" t="inlineStr">
        <is>
          <t>保険料試算ワークブック 06!B16、04!B8、06!B10／保険料基準額</t>
        </is>
      </c>
    </row>
    <row r="65">
      <c r="A65" s="30" t="n">
        <v>5</v>
      </c>
      <c r="B65" s="30" t="inlineStr">
        <is>
          <t>5　保険料の確定に要するもの</t>
        </is>
      </c>
      <c r="C65" s="30" t="inlineStr">
        <is>
          <t>A</t>
        </is>
      </c>
      <c r="D65" s="30" t="n">
        <v>33</v>
      </c>
      <c r="E65" s="30" t="inlineStr">
        <is>
          <t>R8.9</t>
        </is>
      </c>
      <c r="F65" s="30" t="inlineStr">
        <is>
          <t>確認待ち</t>
        </is>
      </c>
      <c r="G65" s="30" t="inlineStr">
        <is>
          <t>令和8年度の住民基本台帳人口（年度末見込み・男女別）</t>
        </is>
      </c>
      <c r="H65" s="30" t="inlineStr">
        <is>
          <t>人口推計（年齢別・男女別）／保険料試算ワークブック</t>
        </is>
      </c>
    </row>
    <row r="66">
      <c r="A66" s="30" t="n">
        <v>5</v>
      </c>
      <c r="B66" s="30" t="inlineStr">
        <is>
          <t>5　保険料の確定に要するもの</t>
        </is>
      </c>
      <c r="C66" s="30" t="inlineStr">
        <is>
          <t>A</t>
        </is>
      </c>
      <c r="D66" s="30" t="n">
        <v>43</v>
      </c>
      <c r="E66" s="30" t="inlineStr">
        <is>
          <t>R8.9</t>
        </is>
      </c>
      <c r="F66" s="30" t="inlineStr">
        <is>
          <t>確認待ち</t>
        </is>
      </c>
      <c r="G66" s="30" t="inlineStr">
        <is>
          <t>実績データの異常値（7件）</t>
        </is>
      </c>
      <c r="H66" s="30" t="inlineStr">
        <is>
          <t>人口推計／給付実績分析／素案 第2章・第3章／保険料試算ワークブック</t>
        </is>
      </c>
    </row>
    <row r="67">
      <c r="A67" s="30" t="n">
        <v>5</v>
      </c>
      <c r="B67" s="30" t="inlineStr">
        <is>
          <t>5　保険料の確定に要するもの</t>
        </is>
      </c>
      <c r="C67" s="30" t="inlineStr">
        <is>
          <t>A</t>
        </is>
      </c>
      <c r="D67" s="30" t="n">
        <v>44</v>
      </c>
      <c r="E67" s="30" t="inlineStr">
        <is>
          <t>R8.9</t>
        </is>
      </c>
      <c r="F67" s="30" t="inlineStr">
        <is>
          <t>確認待ち</t>
        </is>
      </c>
      <c r="G67" s="30" t="inlineStr">
        <is>
          <t>認定者数の基準日（559人と561人の差）</t>
        </is>
      </c>
      <c r="H67" s="30" t="inlineStr">
        <is>
          <t>第1回策定委員会資料／素案 第2章／認定者数の推計</t>
        </is>
      </c>
    </row>
    <row r="68">
      <c r="A68" s="30" t="n">
        <v>5</v>
      </c>
      <c r="B68" s="30" t="inlineStr">
        <is>
          <t>5　保険料の確定に要するもの</t>
        </is>
      </c>
      <c r="C68" s="30" t="inlineStr">
        <is>
          <t>A</t>
        </is>
      </c>
      <c r="D68" s="30" t="n">
        <v>54</v>
      </c>
      <c r="E68" s="30" t="inlineStr">
        <is>
          <t>R8.10</t>
        </is>
      </c>
      <c r="F68" s="30" t="inlineStr">
        <is>
          <t>実施中</t>
        </is>
      </c>
      <c r="G68" s="30" t="inlineStr">
        <is>
          <t>介護報酬の前倒し見直し及び赤字事業者への補助に係る国の動向</t>
        </is>
      </c>
      <c r="H68" s="30" t="inlineStr">
        <is>
          <t>保険料試算／サービス見込量（単価）／第3回委員会資料</t>
        </is>
      </c>
    </row>
    <row r="69">
      <c r="A69" s="30" t="n">
        <v>5</v>
      </c>
      <c r="B69" s="30" t="inlineStr">
        <is>
          <t>5　保険料の確定に要するもの</t>
        </is>
      </c>
      <c r="C69" s="30" t="inlineStr">
        <is>
          <t>A</t>
        </is>
      </c>
      <c r="D69" s="30" t="n">
        <v>81</v>
      </c>
      <c r="E69" s="30" t="inlineStr">
        <is>
          <t>R8.12</t>
        </is>
      </c>
      <c r="F69" s="30" t="inlineStr">
        <is>
          <t>確認待ち</t>
        </is>
      </c>
      <c r="G69" s="30" t="inlineStr">
        <is>
          <t>予定保険料収納率を96.0％から引き上げるか</t>
        </is>
      </c>
      <c r="H69" s="30" t="inlineStr">
        <is>
          <t>素案 第9章 保険料算定／第3回策定委員会資料</t>
        </is>
      </c>
    </row>
    <row r="70">
      <c r="A70" s="30" t="n">
        <v>5</v>
      </c>
      <c r="B70" s="30" t="inlineStr">
        <is>
          <t>5　保険料の確定に要するもの</t>
        </is>
      </c>
      <c r="C70" s="30" t="inlineStr">
        <is>
          <t>A</t>
        </is>
      </c>
      <c r="D70" s="30" t="n">
        <v>148</v>
      </c>
      <c r="E70" s="30" t="inlineStr">
        <is>
          <t>R8.11</t>
        </is>
      </c>
      <c r="F70" s="30" t="inlineStr">
        <is>
          <t>確認待ち</t>
        </is>
      </c>
      <c r="G70" s="30" t="inlineStr">
        <is>
          <t>保険料試算の再計算結果のご確認（是正6件）</t>
        </is>
      </c>
      <c r="H70" s="30" t="inlineStr">
        <is>
          <t>素案 9-1・9-2・9-3／第2回策定委員会資料 v6／保険料試算ワークブック</t>
        </is>
      </c>
    </row>
    <row r="71">
      <c r="A71" s="30" t="n">
        <v>6</v>
      </c>
      <c r="B71" s="30" t="inlineStr">
        <is>
          <t>6　地域支援事業（データ未受領）</t>
        </is>
      </c>
      <c r="C71" s="30" t="inlineStr">
        <is>
          <t>A</t>
        </is>
      </c>
      <c r="D71" s="30" t="n">
        <v>13</v>
      </c>
      <c r="E71" s="30" t="inlineStr">
        <is>
          <t>R8.9</t>
        </is>
      </c>
      <c r="F71" s="30" t="inlineStr">
        <is>
          <t>確認待ち</t>
        </is>
      </c>
      <c r="G71" s="30" t="inlineStr">
        <is>
          <t>地域支援事業の実績及び見込みの前提</t>
        </is>
      </c>
      <c r="H71" s="30" t="inlineStr">
        <is>
          <t>地域支援事業の費用・量の見込み／保険料試算ワークブック 03シート</t>
        </is>
      </c>
    </row>
    <row r="72">
      <c r="A72" s="30" t="n">
        <v>6</v>
      </c>
      <c r="B72" s="30" t="inlineStr">
        <is>
          <t>6　地域支援事業（データ未受領）</t>
        </is>
      </c>
      <c r="C72" s="30" t="inlineStr">
        <is>
          <t>A</t>
        </is>
      </c>
      <c r="D72" s="30" t="n">
        <v>39</v>
      </c>
      <c r="E72" s="30" t="inlineStr">
        <is>
          <t>R8.9</t>
        </is>
      </c>
      <c r="F72" s="30" t="inlineStr">
        <is>
          <t>確認待ち</t>
        </is>
      </c>
      <c r="G72" s="30" t="inlineStr">
        <is>
          <t>保険者機能強化推進交付金の交付額と充当先</t>
        </is>
      </c>
      <c r="H72" s="30" t="inlineStr">
        <is>
          <t>地域支援事業の費用の見込み／保険料試算ワークブック 03</t>
        </is>
      </c>
    </row>
    <row r="73">
      <c r="A73" s="30" t="n">
        <v>6</v>
      </c>
      <c r="B73" s="30" t="inlineStr">
        <is>
          <t>6　地域支援事業（データ未受領）</t>
        </is>
      </c>
      <c r="C73" s="30" t="inlineStr">
        <is>
          <t>A</t>
        </is>
      </c>
      <c r="D73" s="30" t="n">
        <v>88</v>
      </c>
      <c r="E73" s="30" t="inlineStr">
        <is>
          <t>R8.10</t>
        </is>
      </c>
      <c r="F73" s="30" t="inlineStr">
        <is>
          <t>確認待ち</t>
        </is>
      </c>
      <c r="G73" s="30" t="inlineStr">
        <is>
          <t>認知症地域支援推進員が令和5年度以降0人となっている件</t>
        </is>
      </c>
      <c r="H73" s="30" t="inlineStr">
        <is>
          <t>素案 第6章6-2（表43）／第9章9-1 地域支援事業／保険者機能強化推進交付金の評価</t>
        </is>
      </c>
    </row>
    <row r="74">
      <c r="A74" s="30" t="n">
        <v>6</v>
      </c>
      <c r="B74" s="30" t="inlineStr">
        <is>
          <t>6　地域支援事業（データ未受領）</t>
        </is>
      </c>
      <c r="C74" s="30" t="inlineStr">
        <is>
          <t>A</t>
        </is>
      </c>
      <c r="D74" s="30" t="n">
        <v>141</v>
      </c>
      <c r="E74" s="30" t="inlineStr">
        <is>
          <t>R8.11</t>
        </is>
      </c>
      <c r="F74" s="30" t="inlineStr">
        <is>
          <t>確認待ち</t>
        </is>
      </c>
      <c r="G74" s="30" t="inlineStr">
        <is>
          <t>認知症の人と家族への一体的支援事業・認知症伴走型支援事業の実施の可否</t>
        </is>
      </c>
      <c r="H74" s="30" t="inlineStr">
        <is>
          <t>素案 6-4第3節1（3）（4）／地域支援事業の費用の見込み</t>
        </is>
      </c>
    </row>
    <row r="75">
      <c r="A75" s="30" t="n">
        <v>6</v>
      </c>
      <c r="B75" s="30" t="inlineStr">
        <is>
          <t>6　地域支援事業（データ未受領）</t>
        </is>
      </c>
      <c r="C75" s="30" t="inlineStr">
        <is>
          <t>A</t>
        </is>
      </c>
      <c r="D75" s="30" t="n">
        <v>150</v>
      </c>
      <c r="E75" s="30" t="inlineStr">
        <is>
          <t>R8.11</t>
        </is>
      </c>
      <c r="F75" s="30" t="inlineStr">
        <is>
          <t>確認待ち</t>
        </is>
      </c>
      <c r="G75" s="30" t="inlineStr">
        <is>
          <t>第10期の地域支援事業費の枠（認知症施策の追加分の積算のため）</t>
        </is>
      </c>
      <c r="H75" s="30" t="inlineStr">
        <is>
          <t>素案 6-4（追加候補の見込量・費用・財源）／素案 9-3（財源別の保険料影響）／地域支援事業の費用の見込み</t>
        </is>
      </c>
    </row>
    <row r="76">
      <c r="A76" s="31" t="n">
        <v>7</v>
      </c>
      <c r="B76" s="31" t="inlineStr">
        <is>
          <t>7　認知症施策の町確認</t>
        </is>
      </c>
      <c r="C76" s="31" t="inlineStr">
        <is>
          <t>B</t>
        </is>
      </c>
      <c r="D76" s="31" t="n">
        <v>45</v>
      </c>
      <c r="E76" s="31" t="inlineStr">
        <is>
          <t>R8.9</t>
        </is>
      </c>
      <c r="F76" s="31" t="inlineStr">
        <is>
          <t>確認待ち</t>
        </is>
      </c>
      <c r="G76" s="31" t="inlineStr">
        <is>
          <t>認知症サポーター・キャラバンメイトの最新値</t>
        </is>
      </c>
      <c r="H76" s="31" t="inlineStr">
        <is>
          <t>素案 第6章（認知症施策）／第1回策定委員会資料</t>
        </is>
      </c>
    </row>
    <row r="77">
      <c r="A77" s="31" t="n">
        <v>7</v>
      </c>
      <c r="B77" s="31" t="inlineStr">
        <is>
          <t>7　認知症施策の町確認</t>
        </is>
      </c>
      <c r="C77" s="31" t="inlineStr">
        <is>
          <t>B</t>
        </is>
      </c>
      <c r="D77" s="31" t="n">
        <v>46</v>
      </c>
      <c r="E77" s="31" t="inlineStr">
        <is>
          <t>R8.9</t>
        </is>
      </c>
      <c r="F77" s="31" t="inlineStr">
        <is>
          <t>確認待ち</t>
        </is>
      </c>
      <c r="G77" s="31" t="inlineStr">
        <is>
          <t>チームオレンジの整備状況</t>
        </is>
      </c>
      <c r="H77" s="31" t="inlineStr">
        <is>
          <t>素案 第6章（認知症施策）／第1回策定委員会資料／第10期の重点施策</t>
        </is>
      </c>
    </row>
    <row r="78">
      <c r="A78" s="31" t="n">
        <v>7</v>
      </c>
      <c r="B78" s="31" t="inlineStr">
        <is>
          <t>7　認知症施策の町確認</t>
        </is>
      </c>
      <c r="C78" s="31" t="inlineStr">
        <is>
          <t>B</t>
        </is>
      </c>
      <c r="D78" s="31" t="n">
        <v>87</v>
      </c>
      <c r="E78" s="31" t="inlineStr">
        <is>
          <t>R8.10</t>
        </is>
      </c>
      <c r="F78" s="31" t="inlineStr">
        <is>
          <t>確認待ち</t>
        </is>
      </c>
      <c r="G78" s="31" t="inlineStr">
        <is>
          <t>チームオレンジの整備状況</t>
        </is>
      </c>
      <c r="H78" s="31" t="inlineStr">
        <is>
          <t>素案 第3章3-2-6・第6章6-3／第2回策定委員会資料</t>
        </is>
      </c>
    </row>
    <row r="79">
      <c r="A79" s="31" t="n">
        <v>7</v>
      </c>
      <c r="B79" s="31" t="inlineStr">
        <is>
          <t>7　認知症施策の町確認</t>
        </is>
      </c>
      <c r="C79" s="31" t="inlineStr">
        <is>
          <t>B</t>
        </is>
      </c>
      <c r="D79" s="31" t="n">
        <v>89</v>
      </c>
      <c r="E79" s="31" t="inlineStr">
        <is>
          <t>R8.10</t>
        </is>
      </c>
      <c r="F79" s="31" t="inlineStr">
        <is>
          <t>確認待ち</t>
        </is>
      </c>
      <c r="G79" s="31" t="inlineStr">
        <is>
          <t>認知症初期集中支援チームの訪問件数の減少</t>
        </is>
      </c>
      <c r="H79" s="31" t="inlineStr">
        <is>
          <t>素案 第6章6-3（重点施策J-4）／第3章3-2-6</t>
        </is>
      </c>
    </row>
    <row r="80">
      <c r="A80" s="31" t="n">
        <v>7</v>
      </c>
      <c r="B80" s="31" t="inlineStr">
        <is>
          <t>7　認知症施策の町確認</t>
        </is>
      </c>
      <c r="C80" s="31" t="inlineStr">
        <is>
          <t>B</t>
        </is>
      </c>
      <c r="D80" s="31" t="n">
        <v>90</v>
      </c>
      <c r="E80" s="31" t="inlineStr">
        <is>
          <t>R8.10</t>
        </is>
      </c>
      <c r="F80" s="31" t="inlineStr">
        <is>
          <t>確認待ち</t>
        </is>
      </c>
      <c r="G80" s="31" t="inlineStr">
        <is>
          <t>認知症の人及び家族からの意見聴取の対象者と時期</t>
        </is>
      </c>
      <c r="H80" s="31" t="inlineStr">
        <is>
          <t>素案 第6章6-1・6-3／計画書案（令和8年12月）</t>
        </is>
      </c>
    </row>
    <row r="81">
      <c r="A81" s="31" t="n">
        <v>7</v>
      </c>
      <c r="B81" s="31" t="inlineStr">
        <is>
          <t>7　認知症施策の町確認</t>
        </is>
      </c>
      <c r="C81" s="31" t="inlineStr">
        <is>
          <t>B</t>
        </is>
      </c>
      <c r="D81" s="31" t="n">
        <v>91</v>
      </c>
      <c r="E81" s="31" t="inlineStr">
        <is>
          <t>R8.11</t>
        </is>
      </c>
      <c r="F81" s="31" t="inlineStr">
        <is>
          <t>確認待ち</t>
        </is>
      </c>
      <c r="G81" s="31" t="inlineStr">
        <is>
          <t>認知症対応型通所介護の見込量を0とするか</t>
        </is>
      </c>
      <c r="H81" s="31" t="inlineStr">
        <is>
          <t>素案 第9章9-1（地域密着型サービスの見込量）／第6章6-3</t>
        </is>
      </c>
    </row>
    <row r="82">
      <c r="A82" s="31" t="n">
        <v>7</v>
      </c>
      <c r="B82" s="31" t="inlineStr">
        <is>
          <t>7　認知症施策の町確認</t>
        </is>
      </c>
      <c r="C82" s="31" t="inlineStr">
        <is>
          <t>B</t>
        </is>
      </c>
      <c r="D82" s="31" t="n">
        <v>92</v>
      </c>
      <c r="E82" s="31" t="inlineStr">
        <is>
          <t>R8.11</t>
        </is>
      </c>
      <c r="F82" s="31" t="inlineStr">
        <is>
          <t>確認待ち</t>
        </is>
      </c>
      <c r="G82" s="31" t="inlineStr">
        <is>
          <t>認知症の日・認知症月間の事業及び行事の位置付け</t>
        </is>
      </c>
      <c r="H82" s="31" t="inlineStr">
        <is>
          <t>素案 第6章6-1・6-3（KPI）</t>
        </is>
      </c>
    </row>
    <row r="83">
      <c r="A83" s="31" t="n">
        <v>7</v>
      </c>
      <c r="B83" s="31" t="inlineStr">
        <is>
          <t>7　認知症施策の町確認</t>
        </is>
      </c>
      <c r="C83" s="31" t="inlineStr">
        <is>
          <t>B</t>
        </is>
      </c>
      <c r="D83" s="31" t="n">
        <v>93</v>
      </c>
      <c r="E83" s="31" t="inlineStr">
        <is>
          <t>R8.11</t>
        </is>
      </c>
      <c r="F83" s="31" t="inlineStr">
        <is>
          <t>確認待ち</t>
        </is>
      </c>
      <c r="G83" s="31" t="inlineStr">
        <is>
          <t>計画の公表・実施状況の評価と公表・評価時の意見聴取の仕組み</t>
        </is>
      </c>
      <c r="H83" s="31" t="inlineStr">
        <is>
          <t>素案 第6章6-1・第10章10-2・10-3</t>
        </is>
      </c>
    </row>
    <row r="84">
      <c r="A84" s="31" t="n">
        <v>7</v>
      </c>
      <c r="B84" s="31" t="inlineStr">
        <is>
          <t>7　認知症施策の町確認</t>
        </is>
      </c>
      <c r="C84" s="31" t="inlineStr">
        <is>
          <t>B</t>
        </is>
      </c>
      <c r="D84" s="31" t="n">
        <v>94</v>
      </c>
      <c r="E84" s="31" t="inlineStr">
        <is>
          <t>R8.10</t>
        </is>
      </c>
      <c r="F84" s="31" t="inlineStr">
        <is>
          <t>確認待ち</t>
        </is>
      </c>
      <c r="G84" s="31" t="inlineStr">
        <is>
          <t>認知症サポーター数の正（交付金577人／町データ642人）</t>
        </is>
      </c>
      <c r="H84" s="31" t="inlineStr">
        <is>
          <t>素案 第3章表25・第6章表44・表46（KPI）</t>
        </is>
      </c>
    </row>
    <row r="85">
      <c r="A85" s="31" t="n">
        <v>7</v>
      </c>
      <c r="B85" s="31" t="inlineStr">
        <is>
          <t>7　認知症施策の町確認</t>
        </is>
      </c>
      <c r="C85" s="31" t="inlineStr">
        <is>
          <t>B</t>
        </is>
      </c>
      <c r="D85" s="31" t="n">
        <v>95</v>
      </c>
      <c r="E85" s="31" t="inlineStr">
        <is>
          <t>R8.11</t>
        </is>
      </c>
      <c r="F85" s="31" t="inlineStr">
        <is>
          <t>確認待ち</t>
        </is>
      </c>
      <c r="G85" s="31" t="inlineStr">
        <is>
          <t>若年性認知症の人への支援を計画に位置付けるか</t>
        </is>
      </c>
      <c r="H85" s="31" t="inlineStr">
        <is>
          <t>素案 第6章6-2（表44 第16条）</t>
        </is>
      </c>
    </row>
    <row r="86">
      <c r="A86" s="31" t="n">
        <v>7</v>
      </c>
      <c r="B86" s="31" t="inlineStr">
        <is>
          <t>7　認知症施策の町確認</t>
        </is>
      </c>
      <c r="C86" s="31" t="inlineStr">
        <is>
          <t>B</t>
        </is>
      </c>
      <c r="D86" s="31" t="n">
        <v>96</v>
      </c>
      <c r="E86" s="31" t="inlineStr">
        <is>
          <t>R8.11</t>
        </is>
      </c>
      <c r="F86" s="31" t="inlineStr">
        <is>
          <t>確認待ち</t>
        </is>
      </c>
      <c r="G86" s="31" t="inlineStr">
        <is>
          <t>認知症初期集中支援チームの訪問件数に目標値を置くか</t>
        </is>
      </c>
      <c r="H86" s="31" t="inlineStr">
        <is>
          <t>素案 第9章9-1（認知症施策に係る地域支援事業の量の見込み）／第6章6-3（重点施策J-4）</t>
        </is>
      </c>
    </row>
    <row r="87">
      <c r="A87" s="31" t="n">
        <v>7</v>
      </c>
      <c r="B87" s="31" t="inlineStr">
        <is>
          <t>7　認知症施策の町確認</t>
        </is>
      </c>
      <c r="C87" s="31" t="inlineStr">
        <is>
          <t>B</t>
        </is>
      </c>
      <c r="D87" s="31" t="n">
        <v>137</v>
      </c>
      <c r="E87" s="31" t="inlineStr">
        <is>
          <t>R8.10</t>
        </is>
      </c>
      <c r="F87" s="31" t="inlineStr">
        <is>
          <t>確認待ち</t>
        </is>
      </c>
      <c r="G87" s="31" t="inlineStr">
        <is>
          <t>認知症ケアパスの作成状況</t>
        </is>
      </c>
      <c r="H87" s="31" t="inlineStr">
        <is>
          <t>素案 6-4第3節（事業の追加候補）</t>
        </is>
      </c>
    </row>
    <row r="88">
      <c r="A88" s="31" t="n">
        <v>7</v>
      </c>
      <c r="B88" s="31" t="inlineStr">
        <is>
          <t>7　認知症施策の町確認</t>
        </is>
      </c>
      <c r="C88" s="31" t="inlineStr">
        <is>
          <t>B</t>
        </is>
      </c>
      <c r="D88" s="31" t="n">
        <v>138</v>
      </c>
      <c r="E88" s="31" t="inlineStr">
        <is>
          <t>R8.10</t>
        </is>
      </c>
      <c r="F88" s="31" t="inlineStr">
        <is>
          <t>確認待ち</t>
        </is>
      </c>
      <c r="G88" s="31" t="inlineStr">
        <is>
          <t>認知症サポート医の有無と連携の状況</t>
        </is>
      </c>
      <c r="H88" s="31" t="inlineStr">
        <is>
          <t>素案 6-4第2節1（2）（3）</t>
        </is>
      </c>
    </row>
    <row r="89">
      <c r="A89" s="31" t="n">
        <v>7</v>
      </c>
      <c r="B89" s="31" t="inlineStr">
        <is>
          <t>7　認知症施策の町確認</t>
        </is>
      </c>
      <c r="C89" s="31" t="inlineStr">
        <is>
          <t>B</t>
        </is>
      </c>
      <c r="D89" s="31" t="n">
        <v>139</v>
      </c>
      <c r="E89" s="31" t="inlineStr">
        <is>
          <t>R8.10</t>
        </is>
      </c>
      <c r="F89" s="31" t="inlineStr">
        <is>
          <t>確認待ち</t>
        </is>
      </c>
      <c r="G89" s="31" t="inlineStr">
        <is>
          <t>庁内の部署横断的な検討の場の有無</t>
        </is>
      </c>
      <c r="H89" s="31" t="inlineStr">
        <is>
          <t>素案 6-1・8-4・10-4</t>
        </is>
      </c>
    </row>
    <row r="90">
      <c r="A90" s="31" t="n">
        <v>7</v>
      </c>
      <c r="B90" s="31" t="inlineStr">
        <is>
          <t>7　認知症施策の町確認</t>
        </is>
      </c>
      <c r="C90" s="31" t="inlineStr">
        <is>
          <t>B</t>
        </is>
      </c>
      <c r="D90" s="31" t="n">
        <v>140</v>
      </c>
      <c r="E90" s="31" t="inlineStr">
        <is>
          <t>R8.11</t>
        </is>
      </c>
      <c r="F90" s="31" t="inlineStr">
        <is>
          <t>確認待ち</t>
        </is>
      </c>
      <c r="G90" s="31" t="inlineStr">
        <is>
          <t>認知症対応力向上研修の受講者数</t>
        </is>
      </c>
      <c r="H90" s="31" t="inlineStr">
        <is>
          <t>素案 6-3・6-4第4節1（5）</t>
        </is>
      </c>
    </row>
    <row r="91">
      <c r="A91" s="31" t="n">
        <v>7</v>
      </c>
      <c r="B91" s="31" t="inlineStr">
        <is>
          <t>7　認知症施策の町確認</t>
        </is>
      </c>
      <c r="C91" s="31" t="inlineStr">
        <is>
          <t>B</t>
        </is>
      </c>
      <c r="D91" s="31" t="n">
        <v>142</v>
      </c>
      <c r="E91" s="31" t="inlineStr">
        <is>
          <t>R8.11</t>
        </is>
      </c>
      <c r="F91" s="31" t="inlineStr">
        <is>
          <t>確認待ち</t>
        </is>
      </c>
      <c r="G91" s="31" t="inlineStr">
        <is>
          <t>消費者安全確保地域協議会の設置の有無</t>
        </is>
      </c>
      <c r="H91" s="31" t="inlineStr">
        <is>
          <t>素案 6-4第5節2（4）</t>
        </is>
      </c>
    </row>
    <row r="92">
      <c r="A92" s="31" t="n">
        <v>7</v>
      </c>
      <c r="B92" s="31" t="inlineStr">
        <is>
          <t>7　認知症施策の町確認</t>
        </is>
      </c>
      <c r="C92" s="31" t="inlineStr">
        <is>
          <t>B</t>
        </is>
      </c>
      <c r="D92" s="31" t="n">
        <v>143</v>
      </c>
      <c r="E92" s="31" t="inlineStr">
        <is>
          <t>R8.11</t>
        </is>
      </c>
      <c r="F92" s="31" t="inlineStr">
        <is>
          <t>確認待ち</t>
        </is>
      </c>
      <c r="G92" s="31" t="inlineStr">
        <is>
          <t>認知症バリアフリーの取組と地域の関係機関との連携の状況</t>
        </is>
      </c>
      <c r="H92" s="31" t="inlineStr">
        <is>
          <t>素案 6-4第3節（事業の追加候補）</t>
        </is>
      </c>
    </row>
    <row r="93">
      <c r="A93" s="31" t="n">
        <v>7</v>
      </c>
      <c r="B93" s="31" t="inlineStr">
        <is>
          <t>7　認知症施策の町確認</t>
        </is>
      </c>
      <c r="C93" s="31" t="inlineStr">
        <is>
          <t>B</t>
        </is>
      </c>
      <c r="D93" s="31" t="n">
        <v>144</v>
      </c>
      <c r="E93" s="31" t="inlineStr">
        <is>
          <t>R8.11</t>
        </is>
      </c>
      <c r="F93" s="31" t="inlineStr">
        <is>
          <t>確認待ち</t>
        </is>
      </c>
      <c r="G93" s="31" t="inlineStr">
        <is>
          <t>若年性認知症の人の把握状況と県のコーディネーターとの連携</t>
        </is>
      </c>
      <c r="H93" s="31" t="inlineStr">
        <is>
          <t>素案 6-4第5節1（2）</t>
        </is>
      </c>
    </row>
    <row r="94">
      <c r="A94" s="31" t="n">
        <v>7</v>
      </c>
      <c r="B94" s="31" t="inlineStr">
        <is>
          <t>7　認知症施策の町確認</t>
        </is>
      </c>
      <c r="C94" s="31" t="inlineStr">
        <is>
          <t>B</t>
        </is>
      </c>
      <c r="D94" s="31" t="n">
        <v>145</v>
      </c>
      <c r="E94" s="31" t="inlineStr">
        <is>
          <t>R8.10</t>
        </is>
      </c>
      <c r="F94" s="31" t="inlineStr">
        <is>
          <t>確認待ち</t>
        </is>
      </c>
      <c r="G94" s="31" t="inlineStr">
        <is>
          <t>交付金 支援 目標Ⅱ（ⅰ）1オで満点を得ている社会参加支援の内容</t>
        </is>
      </c>
      <c r="H94" s="31" t="inlineStr">
        <is>
          <t>素案 6-4第5節1（事業の追加候補）</t>
        </is>
      </c>
    </row>
    <row r="95">
      <c r="A95" s="31" t="n">
        <v>7</v>
      </c>
      <c r="B95" s="31" t="inlineStr">
        <is>
          <t>7　認知症施策の町確認</t>
        </is>
      </c>
      <c r="C95" s="31" t="inlineStr">
        <is>
          <t>B</t>
        </is>
      </c>
      <c r="D95" s="31" t="n">
        <v>146</v>
      </c>
      <c r="E95" s="31" t="inlineStr">
        <is>
          <t>R8.10</t>
        </is>
      </c>
      <c r="F95" s="31" t="inlineStr">
        <is>
          <t>確認待ち</t>
        </is>
      </c>
      <c r="G95" s="31" t="inlineStr">
        <is>
          <t>意見聴取記録様式の運用（記録者・保管・個人情報の取扱い）</t>
        </is>
      </c>
      <c r="H95" s="31" t="inlineStr">
        <is>
          <t>別添22（意見聴取記録様式）／素案 6-1①</t>
        </is>
      </c>
    </row>
    <row r="96">
      <c r="A96" s="31" t="n">
        <v>7</v>
      </c>
      <c r="B96" s="31" t="inlineStr">
        <is>
          <t>7　認知症施策の町確認</t>
        </is>
      </c>
      <c r="C96" s="31" t="inlineStr">
        <is>
          <t>B</t>
        </is>
      </c>
      <c r="D96" s="31" t="n">
        <v>149</v>
      </c>
      <c r="E96" s="31" t="inlineStr">
        <is>
          <t>R8.10</t>
        </is>
      </c>
      <c r="F96" s="31" t="inlineStr">
        <is>
          <t>確認待ち</t>
        </is>
      </c>
      <c r="G96" s="31" t="inlineStr">
        <is>
          <t>意見聴取の個人情報保護上の手続の要否</t>
        </is>
      </c>
      <c r="H96" s="31" t="inlineStr">
        <is>
          <t>別添22（意見聴取記録様式 様式0・07_個人情報の取扱い）</t>
        </is>
      </c>
    </row>
    <row r="97">
      <c r="A97" s="31" t="n">
        <v>7</v>
      </c>
      <c r="B97" s="31" t="inlineStr">
        <is>
          <t>7　認知症施策の町確認</t>
        </is>
      </c>
      <c r="C97" s="31" t="inlineStr">
        <is>
          <t>B</t>
        </is>
      </c>
      <c r="D97" s="31" t="n">
        <v>157</v>
      </c>
      <c r="E97" s="31" t="inlineStr">
        <is>
          <t>R8.10</t>
        </is>
      </c>
      <c r="F97" s="31" t="inlineStr">
        <is>
          <t>確認待ち</t>
        </is>
      </c>
      <c r="G97" s="31" t="inlineStr">
        <is>
          <t>認知症の人の数の推計</t>
        </is>
      </c>
      <c r="H97" s="31" t="inlineStr">
        <is>
          <t>素案 6-2・6-3</t>
        </is>
      </c>
    </row>
    <row r="98">
      <c r="A98" s="31" t="n">
        <v>8</v>
      </c>
      <c r="B98" s="31" t="inlineStr">
        <is>
          <t>8　調査報告書の成果品化</t>
        </is>
      </c>
      <c r="C98" s="31" t="inlineStr">
        <is>
          <t>B</t>
        </is>
      </c>
      <c r="D98" s="31" t="n">
        <v>2</v>
      </c>
      <c r="E98" s="31" t="inlineStr">
        <is>
          <t>R8.8</t>
        </is>
      </c>
      <c r="F98" s="31" t="inlineStr">
        <is>
          <t>確認待ち</t>
        </is>
      </c>
      <c r="G98" s="31" t="inlineStr">
        <is>
          <t>調査報告書の体裁・構成</t>
        </is>
      </c>
      <c r="H98" s="31" t="inlineStr">
        <is>
          <t>調査報告書（80頁程度・5部）</t>
        </is>
      </c>
    </row>
    <row r="99">
      <c r="A99" s="31" t="n">
        <v>8</v>
      </c>
      <c r="B99" s="31" t="inlineStr">
        <is>
          <t>8　調査報告書の成果品化</t>
        </is>
      </c>
      <c r="C99" s="31" t="inlineStr">
        <is>
          <t>B</t>
        </is>
      </c>
      <c r="D99" s="31" t="n">
        <v>26</v>
      </c>
      <c r="E99" s="31" t="inlineStr">
        <is>
          <t>R8.9</t>
        </is>
      </c>
      <c r="F99" s="31" t="inlineStr">
        <is>
          <t>確認待ち</t>
        </is>
      </c>
      <c r="G99" s="31" t="inlineStr">
        <is>
          <t>自由意見欄の所在と公表資料での取扱い</t>
        </is>
      </c>
      <c r="H99" s="31" t="inlineStr">
        <is>
          <t>調査報告書（80頁程度・5部）\n第2回以降の委員会資料\n素案の住民意見に係る記述</t>
        </is>
      </c>
    </row>
    <row r="100">
      <c r="A100" s="31" t="n">
        <v>8</v>
      </c>
      <c r="B100" s="31" t="inlineStr">
        <is>
          <t>8　調査報告書の成果品化</t>
        </is>
      </c>
      <c r="C100" s="31" t="inlineStr">
        <is>
          <t>B</t>
        </is>
      </c>
      <c r="D100" s="31" t="n">
        <v>27</v>
      </c>
      <c r="E100" s="31" t="inlineStr">
        <is>
          <t>R8.9</t>
        </is>
      </c>
      <c r="F100" s="31" t="inlineStr">
        <is>
          <t>確認待ち</t>
        </is>
      </c>
      <c r="G100" s="31" t="inlineStr">
        <is>
          <t>ニーズ調査に回答者属性が記録されていない件</t>
        </is>
      </c>
      <c r="H100" s="31" t="inlineStr">
        <is>
          <t>結果報告書の属性別分析／素案 第2章・第5章の課題記述／第2回以降の委員会資料</t>
        </is>
      </c>
    </row>
    <row r="101">
      <c r="A101" s="31" t="n">
        <v>8</v>
      </c>
      <c r="B101" s="31" t="inlineStr">
        <is>
          <t>8　調査報告書の成果品化</t>
        </is>
      </c>
      <c r="C101" s="31" t="inlineStr">
        <is>
          <t>B</t>
        </is>
      </c>
      <c r="D101" s="31" t="n">
        <v>31</v>
      </c>
      <c r="E101" s="31" t="inlineStr">
        <is>
          <t>R8.9</t>
        </is>
      </c>
      <c r="F101" s="31" t="inlineStr">
        <is>
          <t>確認待ち</t>
        </is>
      </c>
      <c r="G101" s="31" t="inlineStr">
        <is>
          <t>在宅介護実態調査300人の抽出母集団と抽出方法</t>
        </is>
      </c>
      <c r="H101" s="31" t="inlineStr">
        <is>
          <t>介護実態調査結果報告書 第4章／調査報告書（成果品）</t>
        </is>
      </c>
    </row>
    <row r="102">
      <c r="A102" s="31" t="n">
        <v>8</v>
      </c>
      <c r="B102" s="31" t="inlineStr">
        <is>
          <t>8　調査報告書の成果品化</t>
        </is>
      </c>
      <c r="C102" s="31" t="inlineStr">
        <is>
          <t>B</t>
        </is>
      </c>
      <c r="D102" s="31" t="n">
        <v>37</v>
      </c>
      <c r="E102" s="31" t="inlineStr">
        <is>
          <t>R8.9</t>
        </is>
      </c>
      <c r="F102" s="31" t="inlineStr">
        <is>
          <t>確認待ち</t>
        </is>
      </c>
      <c r="G102" s="31" t="inlineStr">
        <is>
          <t>ニーズ調査の有効回答の定義</t>
        </is>
      </c>
      <c r="H102" s="31" t="inlineStr">
        <is>
          <t>ニーズ調査結果報告書／調査報告書（成果品）</t>
        </is>
      </c>
    </row>
    <row r="103">
      <c r="A103" s="31" t="n">
        <v>8</v>
      </c>
      <c r="B103" s="31" t="inlineStr">
        <is>
          <t>8　調査報告書の成果品化</t>
        </is>
      </c>
      <c r="C103" s="31" t="inlineStr">
        <is>
          <t>B</t>
        </is>
      </c>
      <c r="D103" s="31" t="n">
        <v>97</v>
      </c>
      <c r="E103" s="31" t="inlineStr">
        <is>
          <t>R8.10</t>
        </is>
      </c>
      <c r="F103" s="31" t="inlineStr">
        <is>
          <t>確認待ち</t>
        </is>
      </c>
      <c r="G103" s="31" t="inlineStr">
        <is>
          <t>在宅介護実態調査 本編の「要介護３～5では本人回答33.3％・本人以外67.7％」の書き換え</t>
        </is>
      </c>
      <c r="H103" s="31" t="inlineStr">
        <is>
          <t>在宅介護実態調査 結果報告書 本編（4章の注記）</t>
        </is>
      </c>
    </row>
    <row r="104">
      <c r="A104" s="31" t="n">
        <v>8</v>
      </c>
      <c r="B104" s="31" t="inlineStr">
        <is>
          <t>8　調査報告書の成果品化</t>
        </is>
      </c>
      <c r="C104" s="31" t="inlineStr">
        <is>
          <t>B</t>
        </is>
      </c>
      <c r="D104" s="31" t="n">
        <v>98</v>
      </c>
      <c r="E104" s="31" t="inlineStr">
        <is>
          <t>R8.11</t>
        </is>
      </c>
      <c r="F104" s="31" t="inlineStr">
        <is>
          <t>確認待ち</t>
        </is>
      </c>
      <c r="G104" s="31" t="inlineStr">
        <is>
          <t>在宅介護実態調査 表5-7「評価」欄の扱い（分母により結論が逆転する）</t>
        </is>
      </c>
      <c r="H104" s="31" t="inlineStr">
        <is>
          <t>在宅介護実態調査 結果報告書 本編（表5-7・11章④・12章）</t>
        </is>
      </c>
    </row>
    <row r="105">
      <c r="A105" s="31" t="n">
        <v>8</v>
      </c>
      <c r="B105" s="31" t="inlineStr">
        <is>
          <t>8　調査報告書の成果品化</t>
        </is>
      </c>
      <c r="C105" s="31" t="inlineStr">
        <is>
          <t>B</t>
        </is>
      </c>
      <c r="D105" s="31" t="n">
        <v>99</v>
      </c>
      <c r="E105" s="31" t="inlineStr">
        <is>
          <t>R8.10</t>
        </is>
      </c>
      <c r="F105" s="31" t="inlineStr">
        <is>
          <t>確認待ち</t>
        </is>
      </c>
      <c r="G105" s="31" t="inlineStr">
        <is>
          <t>ニーズ調査「自由記述のあった24件はすべて子又は孫との同居」の訂正</t>
        </is>
      </c>
      <c r="H105" s="31" t="inlineStr">
        <is>
          <t>ニーズ調査 結果報告書（２章（４－４））</t>
        </is>
      </c>
    </row>
    <row r="106">
      <c r="A106" s="31" t="n">
        <v>8</v>
      </c>
      <c r="B106" s="31" t="inlineStr">
        <is>
          <t>8　調査報告書の成果品化</t>
        </is>
      </c>
      <c r="C106" s="31" t="inlineStr">
        <is>
          <t>B</t>
        </is>
      </c>
      <c r="D106" s="31" t="n">
        <v>100</v>
      </c>
      <c r="E106" s="31" t="inlineStr">
        <is>
          <t>R8.10</t>
        </is>
      </c>
      <c r="F106" s="31" t="inlineStr">
        <is>
          <t>確認待ち</t>
        </is>
      </c>
      <c r="G106" s="31" t="inlineStr">
        <is>
          <t>ニーズ調査 表95「全て非参加」の操作定義の訂正</t>
        </is>
      </c>
      <c r="H106" s="31" t="inlineStr">
        <is>
          <t>ニーズ調査 結果報告書（３章（１）３－10）</t>
        </is>
      </c>
    </row>
    <row r="107">
      <c r="A107" s="31" t="n">
        <v>8</v>
      </c>
      <c r="B107" s="31" t="inlineStr">
        <is>
          <t>8　調査報告書の成果品化</t>
        </is>
      </c>
      <c r="C107" s="31" t="inlineStr">
        <is>
          <t>B</t>
        </is>
      </c>
      <c r="D107" s="31" t="n">
        <v>101</v>
      </c>
      <c r="E107" s="31" t="inlineStr">
        <is>
          <t>R8.10</t>
        </is>
      </c>
      <c r="F107" s="31" t="inlineStr">
        <is>
          <t>対応中</t>
        </is>
      </c>
      <c r="G107" s="31" t="inlineStr">
        <is>
          <t>3文書の目次の生成とファイル名・作成者情報の整理</t>
        </is>
      </c>
      <c r="H107" s="31" t="inlineStr">
        <is>
          <t>3文書すべて</t>
        </is>
      </c>
    </row>
    <row r="108">
      <c r="A108" s="31" t="n">
        <v>8</v>
      </c>
      <c r="B108" s="31" t="inlineStr">
        <is>
          <t>8　調査報告書の成果品化</t>
        </is>
      </c>
      <c r="C108" s="31" t="inlineStr">
        <is>
          <t>B</t>
        </is>
      </c>
      <c r="D108" s="31" t="n">
        <v>102</v>
      </c>
      <c r="E108" s="31" t="inlineStr">
        <is>
          <t>R8.10</t>
        </is>
      </c>
      <c r="F108" s="31" t="inlineStr">
        <is>
          <t>対応中</t>
        </is>
      </c>
      <c r="G108" s="31" t="inlineStr">
        <is>
          <t>ニーズ調査 表73のキャプション位置と図番号2組の入れ替わり</t>
        </is>
      </c>
      <c r="H108" s="31" t="inlineStr">
        <is>
          <t>ニーズ調査 結果報告書（表72〜表74、図24・25、図63・64）</t>
        </is>
      </c>
    </row>
    <row r="109">
      <c r="A109" s="31" t="n">
        <v>8</v>
      </c>
      <c r="B109" s="31" t="inlineStr">
        <is>
          <t>8　調査報告書の成果品化</t>
        </is>
      </c>
      <c r="C109" s="31" t="inlineStr">
        <is>
          <t>B</t>
        </is>
      </c>
      <c r="D109" s="31" t="n">
        <v>103</v>
      </c>
      <c r="E109" s="31" t="inlineStr">
        <is>
          <t>R8.10</t>
        </is>
      </c>
      <c r="F109" s="31" t="inlineStr">
        <is>
          <t>対応中</t>
        </is>
      </c>
      <c r="G109" s="31" t="inlineStr">
        <is>
          <t>表記の統一（要支援・要介護の数字／波ダッシュ／調査名）</t>
        </is>
      </c>
      <c r="H109" s="31" t="inlineStr">
        <is>
          <t>在宅介護実態調査 本編・資料編</t>
        </is>
      </c>
    </row>
    <row r="110">
      <c r="A110" s="31" t="n">
        <v>8</v>
      </c>
      <c r="B110" s="31" t="inlineStr">
        <is>
          <t>8　調査報告書の成果品化</t>
        </is>
      </c>
      <c r="C110" s="31" t="inlineStr">
        <is>
          <t>B</t>
        </is>
      </c>
      <c r="D110" s="31" t="n">
        <v>104</v>
      </c>
      <c r="E110" s="31" t="inlineStr">
        <is>
          <t>R8.10</t>
        </is>
      </c>
      <c r="F110" s="31" t="inlineStr">
        <is>
          <t>確認待ち</t>
        </is>
      </c>
      <c r="G110" s="31" t="inlineStr">
        <is>
          <t>報告書に残る【町確認】10件の回答</t>
        </is>
      </c>
      <c r="H110" s="31" t="inlineStr">
        <is>
          <t>3文書すべて／第2回策定委員会資料</t>
        </is>
      </c>
    </row>
    <row r="111">
      <c r="A111" s="31" t="n">
        <v>8</v>
      </c>
      <c r="B111" s="31" t="inlineStr">
        <is>
          <t>8　調査報告書の成果品化</t>
        </is>
      </c>
      <c r="C111" s="31" t="inlineStr">
        <is>
          <t>B</t>
        </is>
      </c>
      <c r="D111" s="31" t="n">
        <v>110</v>
      </c>
      <c r="E111" s="31" t="inlineStr">
        <is>
          <t>R8.10</t>
        </is>
      </c>
      <c r="F111" s="31" t="inlineStr">
        <is>
          <t>確認待ち</t>
        </is>
      </c>
      <c r="G111" s="31" t="inlineStr">
        <is>
          <t>在宅系サービスの外挿値の扱い（分母により結論が逆転する）</t>
        </is>
      </c>
      <c r="H111" s="31" t="inlineStr">
        <is>
          <t>在宅介護実態調査 本編（表5-7・11章④・12章）／第2回策定委員会資料 選択3</t>
        </is>
      </c>
    </row>
    <row r="112">
      <c r="A112" s="31" t="n">
        <v>8</v>
      </c>
      <c r="B112" s="31" t="inlineStr">
        <is>
          <t>8　調査報告書の成果品化</t>
        </is>
      </c>
      <c r="C112" s="31" t="inlineStr">
        <is>
          <t>B</t>
        </is>
      </c>
      <c r="D112" s="31" t="n">
        <v>125</v>
      </c>
      <c r="E112" s="31" t="inlineStr">
        <is>
          <t>R8.10</t>
        </is>
      </c>
      <c r="F112" s="31" t="inlineStr">
        <is>
          <t>確認待ち</t>
        </is>
      </c>
      <c r="G112" s="31" t="inlineStr">
        <is>
          <t>ニーズ調査結果報告書の「（３）第9期調査との比較」を残すか</t>
        </is>
      </c>
      <c r="H112" s="31" t="inlineStr">
        <is>
          <t>ニーズ調査結果報告書／計画素案 第3章・第11章</t>
        </is>
      </c>
    </row>
    <row r="113">
      <c r="A113" s="31" t="n">
        <v>8</v>
      </c>
      <c r="B113" s="31" t="inlineStr">
        <is>
          <t>8　調査報告書の成果品化</t>
        </is>
      </c>
      <c r="C113" s="31" t="inlineStr">
        <is>
          <t>B</t>
        </is>
      </c>
      <c r="D113" s="31" t="n">
        <v>126</v>
      </c>
      <c r="E113" s="31" t="inlineStr">
        <is>
          <t>R8.10</t>
        </is>
      </c>
      <c r="F113" s="31" t="inlineStr">
        <is>
          <t>確認待ち</t>
        </is>
      </c>
      <c r="G113" s="31" t="inlineStr">
        <is>
          <t>在宅介護実態調査報告書の本編と資料編で割合の分母が異なる整理でよいか</t>
        </is>
      </c>
      <c r="H113" s="31" t="inlineStr">
        <is>
          <t>在宅介護実態調査結果報告書（本編・資料編）</t>
        </is>
      </c>
    </row>
    <row r="114">
      <c r="A114" s="31" t="n">
        <v>9</v>
      </c>
      <c r="B114" s="31" t="inlineStr">
        <is>
          <t>9　資料編（別添）の確定</t>
        </is>
      </c>
      <c r="C114" s="31" t="inlineStr">
        <is>
          <t>B</t>
        </is>
      </c>
      <c r="D114" s="31" t="n">
        <v>5</v>
      </c>
      <c r="E114" s="31" t="inlineStr">
        <is>
          <t>R8.7</t>
        </is>
      </c>
      <c r="F114" s="31" t="inlineStr">
        <is>
          <t>確認待ち</t>
        </is>
      </c>
      <c r="G114" s="31" t="inlineStr">
        <is>
          <t>委員名簿</t>
        </is>
      </c>
      <c r="H114" s="31" t="inlineStr">
        <is>
          <t>第1回委員会の開催準備／資料編 資料3（委員名簿）</t>
        </is>
      </c>
    </row>
    <row r="115">
      <c r="A115" s="31" t="n">
        <v>9</v>
      </c>
      <c r="B115" s="31" t="inlineStr">
        <is>
          <t>9　資料編（別添）の確定</t>
        </is>
      </c>
      <c r="C115" s="31" t="inlineStr">
        <is>
          <t>B</t>
        </is>
      </c>
      <c r="D115" s="31" t="n">
        <v>30</v>
      </c>
      <c r="E115" s="31" t="inlineStr">
        <is>
          <t>R8.9</t>
        </is>
      </c>
      <c r="F115" s="31" t="inlineStr">
        <is>
          <t>確認待ち</t>
        </is>
      </c>
      <c r="G115" s="31" t="inlineStr">
        <is>
          <t>策定委員会の設置要綱又は条例の条文</t>
        </is>
      </c>
      <c r="H115" s="31" t="inlineStr">
        <is>
          <t>資料編 資料1・資料2／第1回策定委員会資料</t>
        </is>
      </c>
    </row>
    <row r="116">
      <c r="A116" s="31" t="n">
        <v>9</v>
      </c>
      <c r="B116" s="31" t="inlineStr">
        <is>
          <t>9　資料編（別添）の確定</t>
        </is>
      </c>
      <c r="C116" s="31" t="inlineStr">
        <is>
          <t>B</t>
        </is>
      </c>
      <c r="D116" s="31" t="n">
        <v>129</v>
      </c>
      <c r="E116" s="31" t="inlineStr">
        <is>
          <t>R8.10</t>
        </is>
      </c>
      <c r="F116" s="31" t="inlineStr">
        <is>
          <t>確認待ち</t>
        </is>
      </c>
      <c r="G116" s="31" t="inlineStr">
        <is>
          <t>策定委員会の設置根拠（規則又は要綱）と規則上の名称</t>
        </is>
      </c>
      <c r="H116" s="31" t="inlineStr">
        <is>
          <t>計画書 資料編2・3／素案 第1章1-3</t>
        </is>
      </c>
    </row>
    <row r="117">
      <c r="A117" s="31" t="n">
        <v>9</v>
      </c>
      <c r="B117" s="31" t="inlineStr">
        <is>
          <t>9　資料編（別添）の確定</t>
        </is>
      </c>
      <c r="C117" s="31" t="inlineStr">
        <is>
          <t>B</t>
        </is>
      </c>
      <c r="D117" s="31" t="n">
        <v>130</v>
      </c>
      <c r="E117" s="31" t="inlineStr">
        <is>
          <t>R8.10</t>
        </is>
      </c>
      <c r="F117" s="31" t="inlineStr">
        <is>
          <t>確認待ち</t>
        </is>
      </c>
      <c r="G117" s="31" t="inlineStr">
        <is>
          <t>策定委員会 委員名簿と計画書への掲載の可否</t>
        </is>
      </c>
      <c r="H117" s="31" t="inlineStr">
        <is>
          <t>計画書 資料編3</t>
        </is>
      </c>
    </row>
    <row r="118">
      <c r="A118" s="31" t="n">
        <v>9</v>
      </c>
      <c r="B118" s="31" t="inlineStr">
        <is>
          <t>9　資料編（別添）の確定</t>
        </is>
      </c>
      <c r="C118" s="31" t="inlineStr">
        <is>
          <t>B</t>
        </is>
      </c>
      <c r="D118" s="31" t="n">
        <v>131</v>
      </c>
      <c r="E118" s="31" t="inlineStr">
        <is>
          <t>R8.11</t>
        </is>
      </c>
      <c r="F118" s="31" t="inlineStr">
        <is>
          <t>確認待ち</t>
        </is>
      </c>
      <c r="G118" s="31" t="inlineStr">
        <is>
          <t>策定委員会が答申を行うか。諮問書・答申書を掲げるか</t>
        </is>
      </c>
      <c r="H118" s="31" t="inlineStr">
        <is>
          <t>計画書 資料編5／素案 第10章10-1</t>
        </is>
      </c>
    </row>
    <row r="119">
      <c r="A119" s="31" t="n">
        <v>9</v>
      </c>
      <c r="B119" s="31" t="inlineStr">
        <is>
          <t>9　資料編（別添）の確定</t>
        </is>
      </c>
      <c r="C119" s="31" t="inlineStr">
        <is>
          <t>B</t>
        </is>
      </c>
      <c r="D119" s="31" t="n">
        <v>132</v>
      </c>
      <c r="E119" s="31" t="inlineStr">
        <is>
          <t>R8.10</t>
        </is>
      </c>
      <c r="F119" s="31" t="inlineStr">
        <is>
          <t>確認待ち</t>
        </is>
      </c>
      <c r="G119" s="31" t="inlineStr">
        <is>
          <t>地域福祉計画・障害者計画の体系のご提供</t>
        </is>
      </c>
      <c r="H119" s="31" t="inlineStr">
        <is>
          <t>計画書 資料編7／素案 第1章1-2・第5章5-4</t>
        </is>
      </c>
    </row>
    <row r="120">
      <c r="A120" s="31" t="n">
        <v>9</v>
      </c>
      <c r="B120" s="31" t="inlineStr">
        <is>
          <t>9　資料編（別添）の確定</t>
        </is>
      </c>
      <c r="C120" s="31" t="inlineStr">
        <is>
          <t>B</t>
        </is>
      </c>
      <c r="D120" s="31" t="n">
        <v>134</v>
      </c>
      <c r="E120" s="31" t="inlineStr">
        <is>
          <t>R8.10</t>
        </is>
      </c>
      <c r="F120" s="31" t="inlineStr">
        <is>
          <t>確認待ち</t>
        </is>
      </c>
      <c r="G120" s="31" t="inlineStr">
        <is>
          <t>調査票2種類の原本（写し）のご提供</t>
        </is>
      </c>
      <c r="H120" s="31" t="inlineStr">
        <is>
          <t>計画書 資料編18／調査報告書</t>
        </is>
      </c>
    </row>
    <row r="121">
      <c r="A121" s="31" t="n">
        <v>9</v>
      </c>
      <c r="B121" s="31" t="inlineStr">
        <is>
          <t>9　資料編（別添）の確定</t>
        </is>
      </c>
      <c r="C121" s="31" t="inlineStr">
        <is>
          <t>B</t>
        </is>
      </c>
      <c r="D121" s="31" t="n">
        <v>135</v>
      </c>
      <c r="E121" s="31" t="inlineStr">
        <is>
          <t>R8.11</t>
        </is>
      </c>
      <c r="F121" s="31" t="inlineStr">
        <is>
          <t>確認待ち</t>
        </is>
      </c>
      <c r="G121" s="31" t="inlineStr">
        <is>
          <t>日常生活圏域の区域図のご提供の可否</t>
        </is>
      </c>
      <c r="H121" s="31" t="inlineStr">
        <is>
          <t>計画書 資料編26／素案 第2章2-7</t>
        </is>
      </c>
    </row>
    <row r="122">
      <c r="A122" s="31" t="n">
        <v>9</v>
      </c>
      <c r="B122" s="31" t="inlineStr">
        <is>
          <t>9　資料編（別添）の確定</t>
        </is>
      </c>
      <c r="C122" s="31" t="inlineStr">
        <is>
          <t>B</t>
        </is>
      </c>
      <c r="D122" s="31" t="n">
        <v>136</v>
      </c>
      <c r="E122" s="31" t="inlineStr">
        <is>
          <t>R8.11</t>
        </is>
      </c>
      <c r="F122" s="31" t="inlineStr">
        <is>
          <t>確認待ち</t>
        </is>
      </c>
      <c r="G122" s="31" t="inlineStr">
        <is>
          <t>パブリックコメントの実施要領</t>
        </is>
      </c>
      <c r="H122" s="31" t="inlineStr">
        <is>
          <t>計画書 資料編25／素案 第10章10-1</t>
        </is>
      </c>
    </row>
    <row r="123">
      <c r="A123" s="31" t="n">
        <v>10</v>
      </c>
      <c r="B123" s="31" t="inlineStr">
        <is>
          <t>10　基本指針の別表に対応するデータ</t>
        </is>
      </c>
      <c r="C123" s="31" t="inlineStr">
        <is>
          <t>B</t>
        </is>
      </c>
      <c r="D123" s="31" t="n">
        <v>35</v>
      </c>
      <c r="E123" s="31" t="inlineStr">
        <is>
          <t>R8.10</t>
        </is>
      </c>
      <c r="F123" s="31" t="inlineStr">
        <is>
          <t>確認待ち</t>
        </is>
      </c>
      <c r="G123" s="31" t="inlineStr">
        <is>
          <t>見える化システムの調整済み認定率</t>
        </is>
      </c>
      <c r="H123" s="31" t="inlineStr">
        <is>
          <t>第9期KPIの評価／介護実態調査結果報告書 第11章の注記</t>
        </is>
      </c>
    </row>
    <row r="124">
      <c r="A124" s="31" t="n">
        <v>10</v>
      </c>
      <c r="B124" s="31" t="inlineStr">
        <is>
          <t>10　基本指針の別表に対応するデータ</t>
        </is>
      </c>
      <c r="C124" s="31" t="inlineStr">
        <is>
          <t>B</t>
        </is>
      </c>
      <c r="D124" s="31" t="n">
        <v>154</v>
      </c>
      <c r="E124" s="31" t="inlineStr">
        <is>
          <t>R8.11</t>
        </is>
      </c>
      <c r="F124" s="31" t="inlineStr">
        <is>
          <t>確認待ち</t>
        </is>
      </c>
      <c r="G124" s="31" t="inlineStr">
        <is>
          <t>高齢者向け住まいの状況</t>
        </is>
      </c>
      <c r="H124" s="31" t="inlineStr">
        <is>
          <t>素案 2-7・9-1</t>
        </is>
      </c>
    </row>
    <row r="125">
      <c r="A125" s="31" t="n">
        <v>10</v>
      </c>
      <c r="B125" s="31" t="inlineStr">
        <is>
          <t>10　基本指針の別表に対応するデータ</t>
        </is>
      </c>
      <c r="C125" s="31" t="inlineStr">
        <is>
          <t>B</t>
        </is>
      </c>
      <c r="D125" s="31" t="n">
        <v>155</v>
      </c>
      <c r="E125" s="31" t="inlineStr">
        <is>
          <t>R8.11</t>
        </is>
      </c>
      <c r="F125" s="31" t="inlineStr">
        <is>
          <t>確認待ち</t>
        </is>
      </c>
      <c r="G125" s="31" t="inlineStr">
        <is>
          <t>年齢調整後の認定率・受給率・自給率の算定</t>
        </is>
      </c>
      <c r="H125" s="31" t="inlineStr">
        <is>
          <t>素案 2-3・2-4・2-7・3-4</t>
        </is>
      </c>
    </row>
    <row r="126">
      <c r="A126" s="31" t="n">
        <v>10</v>
      </c>
      <c r="B126" s="31" t="inlineStr">
        <is>
          <t>10　基本指針の別表に対応するデータ</t>
        </is>
      </c>
      <c r="C126" s="31" t="inlineStr">
        <is>
          <t>B</t>
        </is>
      </c>
      <c r="D126" s="31" t="n">
        <v>156</v>
      </c>
      <c r="E126" s="31" t="inlineStr">
        <is>
          <t>R8.11</t>
        </is>
      </c>
      <c r="F126" s="31" t="inlineStr">
        <is>
          <t>確認待ち</t>
        </is>
      </c>
      <c r="G126" s="31" t="inlineStr">
        <is>
          <t>人口動態（出生数・死亡数・健康寿命・死亡場所別死亡数）</t>
        </is>
      </c>
      <c r="H126" s="31" t="inlineStr">
        <is>
          <t>素案 2-1・2-2・5-3</t>
        </is>
      </c>
    </row>
    <row r="127">
      <c r="A127" s="31" t="n">
        <v>10</v>
      </c>
      <c r="B127" s="31" t="inlineStr">
        <is>
          <t>10　基本指針の別表に対応するデータ</t>
        </is>
      </c>
      <c r="C127" s="31" t="inlineStr">
        <is>
          <t>B</t>
        </is>
      </c>
      <c r="D127" s="31" t="n">
        <v>158</v>
      </c>
      <c r="E127" s="31" t="inlineStr">
        <is>
          <t>R8.11</t>
        </is>
      </c>
      <c r="F127" s="31" t="inlineStr">
        <is>
          <t>確認待ち</t>
        </is>
      </c>
      <c r="G127" s="31" t="inlineStr">
        <is>
          <t>医療介護連携に関する加算の算定状況</t>
        </is>
      </c>
      <c r="H127" s="31" t="inlineStr">
        <is>
          <t>素案 5-3・7-3・3-3</t>
        </is>
      </c>
    </row>
    <row r="128">
      <c r="A128" s="31" t="n">
        <v>11</v>
      </c>
      <c r="B128" s="31" t="inlineStr">
        <is>
          <t>11　成果品の体裁・納品・頁数</t>
        </is>
      </c>
      <c r="C128" s="31" t="inlineStr">
        <is>
          <t>B</t>
        </is>
      </c>
      <c r="D128" s="31" t="n">
        <v>17</v>
      </c>
      <c r="E128" s="31" t="inlineStr">
        <is>
          <t>R8.6</t>
        </is>
      </c>
      <c r="F128" s="31" t="inlineStr">
        <is>
          <t>確認待ち</t>
        </is>
      </c>
      <c r="G128" s="31" t="inlineStr">
        <is>
          <t>中間報告の提出期日</t>
        </is>
      </c>
      <c r="H128" s="31" t="inlineStr">
        <is>
          <t>中間報告</t>
        </is>
      </c>
    </row>
    <row r="129">
      <c r="A129" s="31" t="n">
        <v>11</v>
      </c>
      <c r="B129" s="31" t="inlineStr">
        <is>
          <t>11　成果品の体裁・納品・頁数</t>
        </is>
      </c>
      <c r="C129" s="31" t="inlineStr">
        <is>
          <t>B</t>
        </is>
      </c>
      <c r="D129" s="31" t="n">
        <v>18</v>
      </c>
      <c r="E129" s="31" t="inlineStr">
        <is>
          <t>R8.12</t>
        </is>
      </c>
      <c r="F129" s="31" t="inlineStr">
        <is>
          <t>確認待ち</t>
        </is>
      </c>
      <c r="G129" s="31" t="inlineStr">
        <is>
          <t>成果品の入稿期日</t>
        </is>
      </c>
      <c r="H129" s="31" t="inlineStr">
        <is>
          <t>調査報告書・計画書・概要版の印刷</t>
        </is>
      </c>
    </row>
    <row r="130">
      <c r="A130" s="31" t="n">
        <v>11</v>
      </c>
      <c r="B130" s="31" t="inlineStr">
        <is>
          <t>11　成果品の体裁・納品・頁数</t>
        </is>
      </c>
      <c r="C130" s="31" t="inlineStr">
        <is>
          <t>B</t>
        </is>
      </c>
      <c r="D130" s="31" t="n">
        <v>19</v>
      </c>
      <c r="E130" s="31" t="inlineStr">
        <is>
          <t>R8.9</t>
        </is>
      </c>
      <c r="F130" s="31" t="inlineStr">
        <is>
          <t>確認待ち</t>
        </is>
      </c>
      <c r="G130" s="31" t="inlineStr">
        <is>
          <t>パブリックコメント及び条例改正に係る支援の取扱い</t>
        </is>
      </c>
      <c r="H130" s="31" t="inlineStr">
        <is>
          <t>パブリックコメント関係資料／条例改正案</t>
        </is>
      </c>
    </row>
    <row r="131">
      <c r="A131" s="31" t="n">
        <v>11</v>
      </c>
      <c r="B131" s="31" t="inlineStr">
        <is>
          <t>11　成果品の体裁・納品・頁数</t>
        </is>
      </c>
      <c r="C131" s="31" t="inlineStr">
        <is>
          <t>B</t>
        </is>
      </c>
      <c r="D131" s="31" t="n">
        <v>83</v>
      </c>
      <c r="E131" s="31" t="inlineStr">
        <is>
          <t>R8.10</t>
        </is>
      </c>
      <c r="F131" s="31" t="inlineStr">
        <is>
          <t>確認待ち</t>
        </is>
      </c>
      <c r="G131" s="31" t="inlineStr">
        <is>
          <t>計画書の頁数（成果品は100頁程度）</t>
        </is>
      </c>
      <c r="H131" s="31" t="inlineStr">
        <is>
          <t>成果品4 計画書／成果品6 電子データ</t>
        </is>
      </c>
    </row>
    <row r="132">
      <c r="A132" s="31" t="n">
        <v>11</v>
      </c>
      <c r="B132" s="31" t="inlineStr">
        <is>
          <t>11　成果品の体裁・納品・頁数</t>
        </is>
      </c>
      <c r="C132" s="31" t="inlineStr">
        <is>
          <t>B</t>
        </is>
      </c>
      <c r="D132" s="31" t="n">
        <v>84</v>
      </c>
      <c r="E132" s="31" t="inlineStr">
        <is>
          <t>R8.10</t>
        </is>
      </c>
      <c r="F132" s="31" t="inlineStr">
        <is>
          <t>確認待ち</t>
        </is>
      </c>
      <c r="G132" s="31" t="inlineStr">
        <is>
          <t>目次の頁番号の組版</t>
        </is>
      </c>
      <c r="H132" s="31" t="inlineStr">
        <is>
          <t>素案 目次</t>
        </is>
      </c>
    </row>
    <row r="133">
      <c r="A133" s="31" t="n">
        <v>11</v>
      </c>
      <c r="B133" s="31" t="inlineStr">
        <is>
          <t>11　成果品の体裁・納品・頁数</t>
        </is>
      </c>
      <c r="C133" s="31" t="inlineStr">
        <is>
          <t>B</t>
        </is>
      </c>
      <c r="D133" s="31" t="n">
        <v>162</v>
      </c>
      <c r="E133" s="31" t="inlineStr">
        <is>
          <t>R8.10</t>
        </is>
      </c>
      <c r="F133" s="31" t="inlineStr">
        <is>
          <t>確認待ち</t>
        </is>
      </c>
      <c r="G133" s="31" t="inlineStr">
        <is>
          <t>未確定箇所の表記（【町確認】【委員会協議】）の扱い</t>
        </is>
      </c>
      <c r="H133" s="31" t="inlineStr">
        <is>
          <t>計画素案（公表版に向けた整理）</t>
        </is>
      </c>
    </row>
    <row r="134">
      <c r="A134" s="32" t="n">
        <v>12</v>
      </c>
      <c r="B134" s="32" t="inlineStr">
        <is>
          <t>12　素案の個別の記述</t>
        </is>
      </c>
      <c r="C134" s="32" t="inlineStr">
        <is>
          <t>C</t>
        </is>
      </c>
      <c r="D134" s="32" t="n">
        <v>15</v>
      </c>
      <c r="E134" s="32" t="inlineStr">
        <is>
          <t>R8.7</t>
        </is>
      </c>
      <c r="F134" s="32" t="inlineStr">
        <is>
          <t>確認待ち</t>
        </is>
      </c>
      <c r="G134" s="32" t="inlineStr">
        <is>
          <t>計画書の構成と仕様書6（7）①〜⑨の対応</t>
        </is>
      </c>
      <c r="H134" s="32" t="inlineStr">
        <is>
          <t>計画素案v1.6（44頁・8章構成）／計画書（案）</t>
        </is>
      </c>
    </row>
    <row r="135">
      <c r="A135" s="32" t="n">
        <v>12</v>
      </c>
      <c r="B135" s="32" t="inlineStr">
        <is>
          <t>12　素案の個別の記述</t>
        </is>
      </c>
      <c r="C135" s="32" t="inlineStr">
        <is>
          <t>C</t>
        </is>
      </c>
      <c r="D135" s="32" t="n">
        <v>16</v>
      </c>
      <c r="E135" s="32" t="inlineStr">
        <is>
          <t>R8.9</t>
        </is>
      </c>
      <c r="F135" s="32" t="inlineStr">
        <is>
          <t>確認待ち</t>
        </is>
      </c>
      <c r="G135" s="32" t="inlineStr">
        <is>
          <t>町長挨拶文及び町長氏名</t>
        </is>
      </c>
      <c r="H135" s="32" t="inlineStr">
        <is>
          <t>計画書 冒頭／計画書（案）</t>
        </is>
      </c>
    </row>
    <row r="136">
      <c r="A136" s="32" t="n">
        <v>12</v>
      </c>
      <c r="B136" s="32" t="inlineStr">
        <is>
          <t>12　素案の個別の記述</t>
        </is>
      </c>
      <c r="C136" s="32" t="inlineStr">
        <is>
          <t>C</t>
        </is>
      </c>
      <c r="D136" s="32" t="n">
        <v>20</v>
      </c>
      <c r="E136" s="32" t="inlineStr">
        <is>
          <t>R8.9</t>
        </is>
      </c>
      <c r="F136" s="32" t="inlineStr">
        <is>
          <t>確認待ち</t>
        </is>
      </c>
      <c r="G136" s="32" t="inlineStr">
        <is>
          <t>同時策定2計画との整合調整</t>
        </is>
      </c>
      <c r="H136" s="32" t="inlineStr">
        <is>
          <t>素案（3計画整合の記述）</t>
        </is>
      </c>
    </row>
    <row r="137">
      <c r="A137" s="32" t="n">
        <v>12</v>
      </c>
      <c r="B137" s="32" t="inlineStr">
        <is>
          <t>12　素案の個別の記述</t>
        </is>
      </c>
      <c r="C137" s="32" t="inlineStr">
        <is>
          <t>C</t>
        </is>
      </c>
      <c r="D137" s="32" t="n">
        <v>32</v>
      </c>
      <c r="E137" s="32" t="inlineStr">
        <is>
          <t>R8.9</t>
        </is>
      </c>
      <c r="F137" s="32" t="inlineStr">
        <is>
          <t>確認待ち</t>
        </is>
      </c>
      <c r="G137" s="32" t="inlineStr">
        <is>
          <t>第9期策定時のスケジュール実績</t>
        </is>
      </c>
      <c r="H137" s="32" t="inlineStr">
        <is>
          <t>第1回策定委員会資料（策定スケジュール）</t>
        </is>
      </c>
    </row>
    <row r="138">
      <c r="A138" s="32" t="n">
        <v>12</v>
      </c>
      <c r="B138" s="32" t="inlineStr">
        <is>
          <t>12　素案の個別の記述</t>
        </is>
      </c>
      <c r="C138" s="32" t="inlineStr">
        <is>
          <t>C</t>
        </is>
      </c>
      <c r="D138" s="32" t="n">
        <v>36</v>
      </c>
      <c r="E138" s="32" t="inlineStr">
        <is>
          <t>R8.9</t>
        </is>
      </c>
      <c r="F138" s="32" t="inlineStr">
        <is>
          <t>確認待ち</t>
        </is>
      </c>
      <c r="G138" s="32" t="inlineStr">
        <is>
          <t>高齢者紙おむつ等支給事業の要綱</t>
        </is>
      </c>
      <c r="H138" s="32" t="inlineStr">
        <is>
          <t>介護実態調査結果報告書 第11章／素案 第3章</t>
        </is>
      </c>
    </row>
    <row r="139">
      <c r="A139" s="32" t="n">
        <v>12</v>
      </c>
      <c r="B139" s="32" t="inlineStr">
        <is>
          <t>12　素案の個別の記述</t>
        </is>
      </c>
      <c r="C139" s="32" t="inlineStr">
        <is>
          <t>C</t>
        </is>
      </c>
      <c r="D139" s="32" t="n">
        <v>38</v>
      </c>
      <c r="E139" s="32" t="inlineStr">
        <is>
          <t>R8.9</t>
        </is>
      </c>
      <c r="F139" s="32" t="inlineStr">
        <is>
          <t>確認待ち</t>
        </is>
      </c>
      <c r="G139" s="32" t="inlineStr">
        <is>
          <t>町内の薬局数と在宅訪問（居宅療養管理指導）への対応状況</t>
        </is>
      </c>
      <c r="H139" s="32" t="inlineStr">
        <is>
          <t>在宅医療・介護連携の記述／第1回策定委員会資料</t>
        </is>
      </c>
    </row>
    <row r="140">
      <c r="A140" s="32" t="n">
        <v>12</v>
      </c>
      <c r="B140" s="32" t="inlineStr">
        <is>
          <t>12　素案の個別の記述</t>
        </is>
      </c>
      <c r="C140" s="32" t="inlineStr">
        <is>
          <t>C</t>
        </is>
      </c>
      <c r="D140" s="32" t="n">
        <v>47</v>
      </c>
      <c r="E140" s="32" t="inlineStr">
        <is>
          <t>R8.9</t>
        </is>
      </c>
      <c r="F140" s="32" t="inlineStr">
        <is>
          <t>確認待ち</t>
        </is>
      </c>
      <c r="G140" s="32" t="inlineStr">
        <is>
          <t>介護予防サポーターの人数の集計範囲</t>
        </is>
      </c>
      <c r="H140" s="32" t="inlineStr">
        <is>
          <t>素案 第2章・第5章（担い手）／第1回策定委員会資料</t>
        </is>
      </c>
    </row>
    <row r="141">
      <c r="A141" s="32" t="n">
        <v>12</v>
      </c>
      <c r="B141" s="32" t="inlineStr">
        <is>
          <t>12　素案の個別の記述</t>
        </is>
      </c>
      <c r="C141" s="32" t="inlineStr">
        <is>
          <t>C</t>
        </is>
      </c>
      <c r="D141" s="32" t="n">
        <v>52</v>
      </c>
      <c r="E141" s="32" t="inlineStr">
        <is>
          <t>R8.10</t>
        </is>
      </c>
      <c r="F141" s="32" t="inlineStr">
        <is>
          <t>確認待ち</t>
        </is>
      </c>
      <c r="G141" s="32" t="inlineStr">
        <is>
          <t>町長期総合計画の基本理念との関係</t>
        </is>
      </c>
      <c r="H141" s="32" t="inlineStr">
        <is>
          <t>計画素案 第1章（計画の位置づけ）／第4章（基本理念）／第2回委員会資料</t>
        </is>
      </c>
    </row>
    <row r="142">
      <c r="A142" s="32" t="n">
        <v>12</v>
      </c>
      <c r="B142" s="32" t="inlineStr">
        <is>
          <t>12　素案の個別の記述</t>
        </is>
      </c>
      <c r="C142" s="32" t="inlineStr">
        <is>
          <t>C</t>
        </is>
      </c>
      <c r="D142" s="32" t="n">
        <v>55</v>
      </c>
      <c r="E142" s="32" t="inlineStr">
        <is>
          <t>R8.9</t>
        </is>
      </c>
      <c r="F142" s="32" t="inlineStr">
        <is>
          <t>実施中</t>
        </is>
      </c>
      <c r="G142" s="32" t="inlineStr">
        <is>
          <t>施設入所の申込みに係る数値の表記の訂正</t>
        </is>
      </c>
      <c r="H142" s="32" t="inlineStr">
        <is>
          <t>議事録／第2回委員会資料／サービス見込量（施設・居住系）／素案 第6章</t>
        </is>
      </c>
    </row>
    <row r="143">
      <c r="A143" s="32" t="n">
        <v>12</v>
      </c>
      <c r="B143" s="32" t="inlineStr">
        <is>
          <t>12　素案の個別の記述</t>
        </is>
      </c>
      <c r="C143" s="32" t="inlineStr">
        <is>
          <t>C</t>
        </is>
      </c>
      <c r="D143" s="32" t="n">
        <v>56</v>
      </c>
      <c r="E143" s="32" t="inlineStr">
        <is>
          <t>R8.9</t>
        </is>
      </c>
      <c r="F143" s="32" t="inlineStr">
        <is>
          <t>実施中</t>
        </is>
      </c>
      <c r="G143" s="32" t="inlineStr">
        <is>
          <t>保険料の表記の統一と県内順位</t>
        </is>
      </c>
      <c r="H143" s="32" t="inlineStr">
        <is>
          <t>議事録／第2回・第3回委員会資料／計画素案 第7章</t>
        </is>
      </c>
    </row>
    <row r="144">
      <c r="A144" s="32" t="n">
        <v>12</v>
      </c>
      <c r="B144" s="32" t="inlineStr">
        <is>
          <t>12　素案の個別の記述</t>
        </is>
      </c>
      <c r="C144" s="32" t="inlineStr">
        <is>
          <t>C</t>
        </is>
      </c>
      <c r="D144" s="32" t="n">
        <v>69</v>
      </c>
      <c r="E144" s="32" t="inlineStr">
        <is>
          <t>R8.10</t>
        </is>
      </c>
      <c r="F144" s="32" t="inlineStr">
        <is>
          <t>確認待ち</t>
        </is>
      </c>
      <c r="G144" s="32" t="inlineStr">
        <is>
          <t>介護給付適正化事業の区分と実施の考え方</t>
        </is>
      </c>
      <c r="H144" s="32" t="inlineStr">
        <is>
          <t>素案 第8章8-2／第2回委員会資料</t>
        </is>
      </c>
    </row>
    <row r="145">
      <c r="A145" s="32" t="n">
        <v>12</v>
      </c>
      <c r="B145" s="32" t="inlineStr">
        <is>
          <t>12　素案の個別の記述</t>
        </is>
      </c>
      <c r="C145" s="32" t="inlineStr">
        <is>
          <t>C</t>
        </is>
      </c>
      <c r="D145" s="32" t="n">
        <v>70</v>
      </c>
      <c r="E145" s="32" t="inlineStr">
        <is>
          <t>R8.11</t>
        </is>
      </c>
      <c r="F145" s="32" t="inlineStr">
        <is>
          <t>確認待ち</t>
        </is>
      </c>
      <c r="G145" s="32" t="inlineStr">
        <is>
          <t>KPI管理表の集計担当・集計方法・頻度</t>
        </is>
      </c>
      <c r="H145" s="32" t="inlineStr">
        <is>
          <t>素案 第10章10-4／第2回委員会資料／第9期実績一覧</t>
        </is>
      </c>
    </row>
    <row r="146">
      <c r="A146" s="32" t="n">
        <v>12</v>
      </c>
      <c r="B146" s="32" t="inlineStr">
        <is>
          <t>12　素案の個別の記述</t>
        </is>
      </c>
      <c r="C146" s="32" t="inlineStr">
        <is>
          <t>C</t>
        </is>
      </c>
      <c r="D146" s="32" t="n">
        <v>82</v>
      </c>
      <c r="E146" s="32" t="inlineStr">
        <is>
          <t>R8.10</t>
        </is>
      </c>
      <c r="F146" s="32" t="inlineStr">
        <is>
          <t>確認待ち</t>
        </is>
      </c>
      <c r="G146" s="32" t="inlineStr">
        <is>
          <t>中長期推計（令和17年度・令和22年度）の掲載範囲</t>
        </is>
      </c>
      <c r="H146" s="32" t="inlineStr">
        <is>
          <t>素案 第2章2-3・第9章9-1・9-2</t>
        </is>
      </c>
    </row>
    <row r="147">
      <c r="A147" s="32" t="n">
        <v>12</v>
      </c>
      <c r="B147" s="32" t="inlineStr">
        <is>
          <t>12　素案の個別の記述</t>
        </is>
      </c>
      <c r="C147" s="32" t="inlineStr">
        <is>
          <t>C</t>
        </is>
      </c>
      <c r="D147" s="32" t="n">
        <v>106</v>
      </c>
      <c r="E147" s="32" t="inlineStr">
        <is>
          <t>R8.11</t>
        </is>
      </c>
      <c r="F147" s="32" t="inlineStr">
        <is>
          <t>確認待ち</t>
        </is>
      </c>
      <c r="G147" s="32" t="inlineStr">
        <is>
          <t>家族介護者への支援（柱3 第1節3）の財源</t>
        </is>
      </c>
      <c r="H147" s="32" t="inlineStr">
        <is>
          <t>素案 第5章5-3（表37・表38）／施策・事業の体系（案）</t>
        </is>
      </c>
    </row>
    <row r="148">
      <c r="A148" s="32" t="n">
        <v>12</v>
      </c>
      <c r="B148" s="32" t="inlineStr">
        <is>
          <t>12　素案の個別の記述</t>
        </is>
      </c>
      <c r="C148" s="32" t="inlineStr">
        <is>
          <t>C</t>
        </is>
      </c>
      <c r="D148" s="32" t="n">
        <v>107</v>
      </c>
      <c r="E148" s="32" t="inlineStr">
        <is>
          <t>R8.11</t>
        </is>
      </c>
      <c r="F148" s="32" t="inlineStr">
        <is>
          <t>確認待ち</t>
        </is>
      </c>
      <c r="G148" s="32" t="inlineStr">
        <is>
          <t>移動支援3事業の利用情報の一元化の所管</t>
        </is>
      </c>
      <c r="H148" s="32" t="inlineStr">
        <is>
          <t>素案 第5章5-2（表35 事業2-3）／施策・事業の体系（案）第3章第1節</t>
        </is>
      </c>
    </row>
    <row r="149">
      <c r="A149" s="32" t="n">
        <v>12</v>
      </c>
      <c r="B149" s="32" t="inlineStr">
        <is>
          <t>12　素案の個別の記述</t>
        </is>
      </c>
      <c r="C149" s="32" t="inlineStr">
        <is>
          <t>C</t>
        </is>
      </c>
      <c r="D149" s="32" t="n">
        <v>108</v>
      </c>
      <c r="E149" s="32" t="inlineStr">
        <is>
          <t>R8.11</t>
        </is>
      </c>
      <c r="F149" s="32" t="inlineStr">
        <is>
          <t>確認待ち</t>
        </is>
      </c>
      <c r="G149" s="32" t="inlineStr">
        <is>
          <t>地域マネジメントに「計画値と実績値の乖離のモニタリングと公表」を加えるか</t>
        </is>
      </c>
      <c r="H149" s="32" t="inlineStr">
        <is>
          <t>素案 第8章8-3／施策・事業の体系（案）第6章</t>
        </is>
      </c>
    </row>
    <row r="150">
      <c r="A150" s="32" t="n">
        <v>12</v>
      </c>
      <c r="B150" s="32" t="inlineStr">
        <is>
          <t>12　素案の個別の記述</t>
        </is>
      </c>
      <c r="C150" s="32" t="inlineStr">
        <is>
          <t>C</t>
        </is>
      </c>
      <c r="D150" s="32" t="n">
        <v>109</v>
      </c>
      <c r="E150" s="32" t="inlineStr">
        <is>
          <t>R8.11</t>
        </is>
      </c>
      <c r="F150" s="32" t="inlineStr">
        <is>
          <t>確認待ち</t>
        </is>
      </c>
      <c r="G150" s="32" t="inlineStr">
        <is>
          <t>KPIを140事業のすべてに置くか、重点事業に限るか</t>
        </is>
      </c>
      <c r="H150" s="32" t="inlineStr">
        <is>
          <t>素案 第10章10-4（KPI管理表）／第2回策定委員会資料 表24</t>
        </is>
      </c>
    </row>
    <row r="151">
      <c r="A151" s="32" t="n">
        <v>12</v>
      </c>
      <c r="B151" s="32" t="inlineStr">
        <is>
          <t>12　素案の個別の記述</t>
        </is>
      </c>
      <c r="C151" s="32" t="inlineStr">
        <is>
          <t>C</t>
        </is>
      </c>
      <c r="D151" s="32" t="n">
        <v>111</v>
      </c>
      <c r="E151" s="32" t="inlineStr">
        <is>
          <t>R8.11</t>
        </is>
      </c>
      <c r="F151" s="32" t="inlineStr">
        <is>
          <t>確認待ち</t>
        </is>
      </c>
      <c r="G151" s="32" t="inlineStr">
        <is>
          <t>「単身世帯かつ家族介護なし」24件の突合の可否</t>
        </is>
      </c>
      <c r="H151" s="32" t="inlineStr">
        <is>
          <t>素案 第2章2-6（施設入所の申込みは何によって分かれるか）／第5章5-3</t>
        </is>
      </c>
    </row>
    <row r="152">
      <c r="A152" s="32" t="n">
        <v>12</v>
      </c>
      <c r="B152" s="32" t="inlineStr">
        <is>
          <t>12　素案の個別の記述</t>
        </is>
      </c>
      <c r="C152" s="32" t="inlineStr">
        <is>
          <t>C</t>
        </is>
      </c>
      <c r="D152" s="32" t="n">
        <v>113</v>
      </c>
      <c r="E152" s="32" t="inlineStr">
        <is>
          <t>R8.10</t>
        </is>
      </c>
      <c r="F152" s="32" t="inlineStr">
        <is>
          <t>確認待ち</t>
        </is>
      </c>
      <c r="G152" s="32" t="inlineStr">
        <is>
          <t>統合体系表の所管の確定（7事業）</t>
        </is>
      </c>
      <c r="H152" s="32" t="inlineStr">
        <is>
          <t>統合体系表（全140事業）／素案 第5章・第6章</t>
        </is>
      </c>
    </row>
    <row r="153">
      <c r="A153" s="32" t="n">
        <v>12</v>
      </c>
      <c r="B153" s="32" t="inlineStr">
        <is>
          <t>12　素案の個別の記述</t>
        </is>
      </c>
      <c r="C153" s="32" t="inlineStr">
        <is>
          <t>C</t>
        </is>
      </c>
      <c r="D153" s="32" t="n">
        <v>114</v>
      </c>
      <c r="E153" s="32" t="inlineStr">
        <is>
          <t>R8.10</t>
        </is>
      </c>
      <c r="F153" s="32" t="inlineStr">
        <is>
          <t>確認待ち</t>
        </is>
      </c>
      <c r="G153" s="32" t="inlineStr">
        <is>
          <t>「感染症対策の推進」の事業名と内容</t>
        </is>
      </c>
      <c r="H153" s="32" t="inlineStr">
        <is>
          <t>統合体系表 柱1 第1節3／素案 第5章5-1</t>
        </is>
      </c>
    </row>
    <row r="154">
      <c r="A154" s="32" t="n">
        <v>12</v>
      </c>
      <c r="B154" s="32" t="inlineStr">
        <is>
          <t>12　素案の個別の記述</t>
        </is>
      </c>
      <c r="C154" s="32" t="inlineStr">
        <is>
          <t>C</t>
        </is>
      </c>
      <c r="D154" s="32" t="n">
        <v>115</v>
      </c>
      <c r="E154" s="32" t="inlineStr">
        <is>
          <t>R8.11</t>
        </is>
      </c>
      <c r="F154" s="32" t="inlineStr">
        <is>
          <t>確認待ち</t>
        </is>
      </c>
      <c r="G154" s="32" t="inlineStr">
        <is>
          <t>計画書 第5章の節構成をVer.2.0で組み替えることのご確認</t>
        </is>
      </c>
      <c r="H154" s="32" t="inlineStr">
        <is>
          <t>素案 第5章・第6章（Ver.2.0）</t>
        </is>
      </c>
    </row>
    <row r="155">
      <c r="A155" s="32" t="n">
        <v>12</v>
      </c>
      <c r="B155" s="32" t="inlineStr">
        <is>
          <t>12　素案の個別の記述</t>
        </is>
      </c>
      <c r="C155" s="32" t="inlineStr">
        <is>
          <t>C</t>
        </is>
      </c>
      <c r="D155" s="32" t="n">
        <v>116</v>
      </c>
      <c r="E155" s="32" t="inlineStr">
        <is>
          <t>R8.10</t>
        </is>
      </c>
      <c r="F155" s="32" t="inlineStr">
        <is>
          <t>確認待ち</t>
        </is>
      </c>
      <c r="G155" s="32" t="inlineStr">
        <is>
          <t>交付金で評価されているが町の事業一覧にない3事業の内容</t>
        </is>
      </c>
      <c r="H155" s="32" t="inlineStr">
        <is>
          <t>統合体系表 柱4 第1節2(8)(9)・柱5 第2節1(4)／素案 第2章2-5・第6章6-3</t>
        </is>
      </c>
    </row>
    <row r="156">
      <c r="A156" s="32" t="n">
        <v>12</v>
      </c>
      <c r="B156" s="32" t="inlineStr">
        <is>
          <t>12　素案の個別の記述</t>
        </is>
      </c>
      <c r="C156" s="32" t="inlineStr">
        <is>
          <t>C</t>
        </is>
      </c>
      <c r="D156" s="32" t="n">
        <v>117</v>
      </c>
      <c r="E156" s="32" t="inlineStr">
        <is>
          <t>R8.11</t>
        </is>
      </c>
      <c r="F156" s="32" t="inlineStr">
        <is>
          <t>確認待ち</t>
        </is>
      </c>
      <c r="G156" s="32" t="inlineStr">
        <is>
          <t>生活支援コーディネーターの地域ケア会議への参加を運用で確保できるか</t>
        </is>
      </c>
      <c r="H156" s="32" t="inlineStr">
        <is>
          <t>統合体系表 柱4 第2節2(1)・第2節1(5)／素案 第5章5-5</t>
        </is>
      </c>
    </row>
    <row r="157">
      <c r="A157" s="32" t="n">
        <v>12</v>
      </c>
      <c r="B157" s="32" t="inlineStr">
        <is>
          <t>12　素案の個別の記述</t>
        </is>
      </c>
      <c r="C157" s="32" t="inlineStr">
        <is>
          <t>C</t>
        </is>
      </c>
      <c r="D157" s="32" t="n">
        <v>118</v>
      </c>
      <c r="E157" s="32" t="inlineStr">
        <is>
          <t>R8.11</t>
        </is>
      </c>
      <c r="F157" s="32" t="inlineStr">
        <is>
          <t>確認待ち</t>
        </is>
      </c>
      <c r="G157" s="32" t="inlineStr">
        <is>
          <t>介護の仕事の魅力・定着に関する研修（計24点）を第10期に実施するか</t>
        </is>
      </c>
      <c r="H157" s="32" t="inlineStr">
        <is>
          <t>統合体系表 柱7 5／素案 第7章7-4／第2回策定委員会資料 選択4</t>
        </is>
      </c>
    </row>
    <row r="158">
      <c r="A158" s="32" t="n">
        <v>12</v>
      </c>
      <c r="B158" s="32" t="inlineStr">
        <is>
          <t>12　素案の個別の記述</t>
        </is>
      </c>
      <c r="C158" s="32" t="inlineStr">
        <is>
          <t>C</t>
        </is>
      </c>
      <c r="D158" s="32" t="n">
        <v>120</v>
      </c>
      <c r="E158" s="32" t="inlineStr">
        <is>
          <t>R8.11</t>
        </is>
      </c>
      <c r="F158" s="32" t="inlineStr">
        <is>
          <t>確認待ち</t>
        </is>
      </c>
      <c r="G158" s="32" t="inlineStr">
        <is>
          <t>宮城県の伴走支援を受けることの可否</t>
        </is>
      </c>
      <c r="H158" s="32" t="inlineStr">
        <is>
          <t>素案 第3章3-3・第10章10-2／第2回策定委員会資料</t>
        </is>
      </c>
    </row>
    <row r="159">
      <c r="A159" s="32" t="n">
        <v>12</v>
      </c>
      <c r="B159" s="32" t="inlineStr">
        <is>
          <t>12　素案の個別の記述</t>
        </is>
      </c>
      <c r="C159" s="32" t="inlineStr">
        <is>
          <t>C</t>
        </is>
      </c>
      <c r="D159" s="32" t="n">
        <v>123</v>
      </c>
      <c r="E159" s="32" t="inlineStr">
        <is>
          <t>R8.11</t>
        </is>
      </c>
      <c r="F159" s="32" t="inlineStr">
        <is>
          <t>確認待ち</t>
        </is>
      </c>
      <c r="G159" s="32" t="inlineStr">
        <is>
          <t>PFS（成果連動型民間委託契約）を第10期で追わない方針でよろしいか</t>
        </is>
      </c>
      <c r="H159" s="32" t="inlineStr">
        <is>
          <t>統合体系表 柱7／素案 第3章3-3</t>
        </is>
      </c>
    </row>
    <row r="160">
      <c r="A160" s="32" t="n">
        <v>12</v>
      </c>
      <c r="B160" s="32" t="inlineStr">
        <is>
          <t>12　素案の個別の記述</t>
        </is>
      </c>
      <c r="C160" s="32" t="inlineStr">
        <is>
          <t>C</t>
        </is>
      </c>
      <c r="D160" s="32" t="n">
        <v>124</v>
      </c>
      <c r="E160" s="32" t="inlineStr">
        <is>
          <t>R8.11</t>
        </is>
      </c>
      <c r="F160" s="32" t="inlineStr">
        <is>
          <t>確認待ち</t>
        </is>
      </c>
      <c r="G160" s="32" t="inlineStr">
        <is>
          <t>ACP（人生会議）の実施記録の有無</t>
        </is>
      </c>
      <c r="H160" s="32" t="inlineStr">
        <is>
          <t>統合体系表 柱4 第2節1(6)／素案 第5章5-3</t>
        </is>
      </c>
    </row>
    <row r="161">
      <c r="A161" s="32" t="n">
        <v>12</v>
      </c>
      <c r="B161" s="32" t="inlineStr">
        <is>
          <t>12　素案の個別の記述</t>
        </is>
      </c>
      <c r="C161" s="32" t="inlineStr">
        <is>
          <t>C</t>
        </is>
      </c>
      <c r="D161" s="32" t="n">
        <v>128</v>
      </c>
      <c r="E161" s="32" t="inlineStr">
        <is>
          <t>R8.11</t>
        </is>
      </c>
      <c r="F161" s="32" t="inlineStr">
        <is>
          <t>確認待ち</t>
        </is>
      </c>
      <c r="G161" s="32" t="inlineStr">
        <is>
          <t>成果指向型配分枠（配点100点）の本町の得点</t>
        </is>
      </c>
      <c r="H161" s="32" t="inlineStr">
        <is>
          <t>素案 第3章3-3・第10章10-4</t>
        </is>
      </c>
    </row>
    <row r="162">
      <c r="A162" s="32" t="n">
        <v>12</v>
      </c>
      <c r="B162" s="32" t="inlineStr">
        <is>
          <t>12　素案の個別の記述</t>
        </is>
      </c>
      <c r="C162" s="32" t="inlineStr">
        <is>
          <t>C</t>
        </is>
      </c>
      <c r="D162" s="32" t="n">
        <v>160</v>
      </c>
      <c r="E162" s="32" t="inlineStr">
        <is>
          <t>R8.11</t>
        </is>
      </c>
      <c r="F162" s="32" t="inlineStr">
        <is>
          <t>確認待ち</t>
        </is>
      </c>
      <c r="G162" s="32" t="inlineStr">
        <is>
          <t>身寄りのない高齢者等への支援と介護予防ケアマネジメントの直接委託</t>
        </is>
      </c>
      <c r="H162" s="32" t="inlineStr">
        <is>
          <t>素案 5-3・5-4・第1章（新設する節）</t>
        </is>
      </c>
    </row>
    <row r="163">
      <c r="A163" s="32" t="n">
        <v>12</v>
      </c>
      <c r="B163" s="32" t="inlineStr">
        <is>
          <t>12　素案の個別の記述</t>
        </is>
      </c>
      <c r="C163" s="32" t="inlineStr">
        <is>
          <t>C</t>
        </is>
      </c>
      <c r="D163" s="32" t="n">
        <v>163</v>
      </c>
      <c r="E163" s="32" t="inlineStr">
        <is>
          <t>R8.11</t>
        </is>
      </c>
      <c r="F163" s="32" t="inlineStr">
        <is>
          <t>確認待ち</t>
        </is>
      </c>
      <c r="G163" s="32" t="inlineStr">
        <is>
          <t>制度改正の記述と国の原典との照合</t>
        </is>
      </c>
      <c r="H163" s="32" t="inlineStr">
        <is>
          <t>計画素案 1-5</t>
        </is>
      </c>
    </row>
  </sheetData>
  <mergeCells count="1">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44"/>
  <sheetViews>
    <sheetView workbookViewId="0">
      <pane ySplit="4" topLeftCell="A5" activePane="bottomLeft" state="frozen"/>
      <selection pane="bottomLeft" activeCell="A1" sqref="A1"/>
    </sheetView>
  </sheetViews>
  <sheetFormatPr baseColWidth="8" defaultRowHeight="15"/>
  <cols>
    <col width="5" customWidth="1" min="1" max="1"/>
    <col width="42" customWidth="1" min="2" max="2"/>
    <col width="13" customWidth="1" min="3" max="3"/>
    <col width="56" customWidth="1" min="4" max="4"/>
    <col width="18" customWidth="1" min="5" max="5"/>
    <col width="34" customWidth="1" min="6" max="6"/>
    <col width="7" customWidth="1" min="7" max="7"/>
    <col width="18" customWidth="1" min="8" max="8"/>
    <col width="86" customWidth="1" min="9" max="9"/>
  </cols>
  <sheetData>
    <row r="1" ht="24" customHeight="1">
      <c r="A1" s="26" t="inlineStr">
        <is>
          <t>ペンディングでない作業の順位（翌日以降）</t>
        </is>
      </c>
    </row>
    <row r="2" ht="58" customHeight="1">
      <c r="A2" s="27" t="inlineStr">
        <is>
          <t>ご確認を待たずに進められる作業を、着手の順に並べた。「解けるペンディング」は、その作業により決着に近づく束を指す。期日が最も近いもの（見える化システムの第1回目提出 令和8年10月5日）と、ほかの束をまとめて解くもの（第9期実績の記入様式）を上位に置いている。　基準日 令和8年10月1日</t>
        </is>
      </c>
    </row>
    <row r="4">
      <c r="A4" s="28" t="inlineStr">
        <is>
          <t>順位</t>
        </is>
      </c>
      <c r="B4" s="28" t="inlineStr">
        <is>
          <t>作業</t>
        </is>
      </c>
      <c r="C4" s="28" t="inlineStr">
        <is>
          <t>いつまでに</t>
        </is>
      </c>
      <c r="D4" s="28" t="inlineStr">
        <is>
          <t>なぜ今できるか（前提）</t>
        </is>
      </c>
      <c r="E4" s="28" t="inlineStr">
        <is>
          <t>解けるペンディング</t>
        </is>
      </c>
      <c r="F4" s="28" t="inlineStr">
        <is>
          <t>成果物</t>
        </is>
      </c>
      <c r="G4" s="28" t="inlineStr">
        <is>
          <t>見込み</t>
        </is>
      </c>
      <c r="H4" s="34" t="inlineStr">
        <is>
          <t>状態</t>
        </is>
      </c>
      <c r="I4" s="34" t="inlineStr">
        <is>
          <t>実施の結果</t>
        </is>
      </c>
    </row>
    <row r="5">
      <c r="A5" s="36" t="n">
        <v>1</v>
      </c>
      <c r="B5" s="36" t="inlineStr">
        <is>
          <t>見える化システムの第1回目提出用データの確定と、相違点の一覧の作成</t>
        </is>
      </c>
      <c r="C5" s="36" t="inlineStr">
        <is>
          <t>R8.10.2〜10.3</t>
        </is>
      </c>
      <c r="D5" s="36" t="inlineStr">
        <is>
          <t>提出する数値そのものは、令和7年度の年報による当方の独立算定ですべて揃っている。入力の役割分担が未確定でも、提出用の値と見える化システムの既定値との相違点は当方だけで作れる。</t>
        </is>
      </c>
      <c r="E5" s="36" t="inlineStr">
        <is>
          <t>束1（9件）</t>
        </is>
      </c>
      <c r="F5" s="36" t="inlineStr">
        <is>
          <t>見える化システム提出用データ一覧（xlsx・1シート）</t>
        </is>
      </c>
      <c r="G5" s="36" t="inlineStr">
        <is>
          <t>半日</t>
        </is>
      </c>
      <c r="H5" s="36" t="inlineStr">
        <is>
          <t>町対応のため取り下げ</t>
        </is>
      </c>
      <c r="I5" s="36" t="inlineStr">
        <is>
          <t>令和8年10月2日　町より「見える化対応は自治体側で進めているため、当方の作業は一旦停止してよい」とのご指示。本作業は取り下げる。提出値に関する当方の独立算定値（32サービス・13段階）は川崎町_第10期_計画見込量_R8.9.15.xlsx にあり、必要になりしだいお出しできる。</t>
        </is>
      </c>
    </row>
    <row r="6">
      <c r="A6" s="32" t="n">
        <v>2</v>
      </c>
      <c r="B6" s="32" t="inlineStr">
        <is>
          <t>第2回策定委員会の日程の仮置きによる逆算工程表の作成</t>
        </is>
      </c>
      <c r="C6" s="32" t="inlineStr">
        <is>
          <t>R8.10.2</t>
        </is>
      </c>
      <c r="D6" s="32" t="inlineStr">
        <is>
          <t>開催日が未確定でも、事前配布を2週間前とする逆算の形なら作れる。資料v6・想定問答集v3は作成済みで自己点検も通っている。</t>
        </is>
      </c>
      <c r="E6" s="32" t="inlineStr">
        <is>
          <t>束2（4件）</t>
        </is>
      </c>
      <c r="F6" s="32" t="inlineStr">
        <is>
          <t>第2回策定委員会 逆算工程表（1枚）</t>
        </is>
      </c>
      <c r="G6" s="32" t="inlineStr">
        <is>
          <t>2時間</t>
        </is>
      </c>
      <c r="H6" s="32" t="inlineStr">
        <is>
          <t>完了</t>
        </is>
      </c>
      <c r="I6" s="32" t="inlineStr">
        <is>
          <t>川崎町_策定委員会_逆算工程表_R8.10.1.xlsx（6シート）。候補日4つ（11月4・11・18・25日の各水曜日）について逆算した。⚠ 現行の前提（パブコメ30日間・委員会全4回・印刷3週間）では11月4日でも納期までの余裕が0日、11日以降は間に合わない。短縮の選択肢5案を示した（当方の既定値は案Ｂ パブコメ20日間）。</t>
        </is>
      </c>
    </row>
    <row r="7">
      <c r="A7" s="32" t="n">
        <v>3</v>
      </c>
      <c r="B7" s="32" t="inlineStr">
        <is>
          <t>第9期実績一覧の記入用様式のご提供</t>
        </is>
      </c>
      <c r="C7" s="32" t="inlineStr">
        <is>
          <t>R8.10.2</t>
        </is>
      </c>
      <c r="D7" s="32" t="inlineStr">
        <is>
          <t>35事業の事業名・事業量の単位・第9期計画値は当方が持っている。町が記入する欄だけを空けた様式を当方で作れる。束3の12件をまとめて解く鍵であり、交付金の失点28点に直結する。</t>
        </is>
      </c>
      <c r="E7" s="32" t="inlineStr">
        <is>
          <t>束3（12件）・不足図No.3</t>
        </is>
      </c>
      <c r="F7" s="32" t="inlineStr">
        <is>
          <t>第9期実績 記入様式（xlsx・2シート）</t>
        </is>
      </c>
      <c r="G7" s="32" t="inlineStr">
        <is>
          <t>半日</t>
        </is>
      </c>
      <c r="H7" s="32" t="inlineStr">
        <is>
          <t>完了</t>
        </is>
      </c>
      <c r="I7" s="32" t="inlineStr">
        <is>
          <t>川崎町_第9期_計画値実績対比表_R8.10.1.xlsx（8シート）。令和7年度の給付費の実績20件を年報から機械で埋めた。残る65件（地域支援事業・高齢者福祉サービス）は町のご記入を要する。素案 Ver.2.8 に図3-2（計画値と実績値の対比）と乖離の要因の本文3段落を加えた。</t>
        </is>
      </c>
    </row>
    <row r="8">
      <c r="A8" s="32" t="n">
        <v>4</v>
      </c>
      <c r="B8" s="32" t="inlineStr">
        <is>
          <t>調査報告書3文書の納品前処理（4件）</t>
        </is>
      </c>
      <c r="C8" s="32" t="inlineStr">
        <is>
          <t>R8.10.2〜10.3</t>
        </is>
      </c>
      <c r="D8" s="32" t="inlineStr">
        <is>
          <t>目次の未更新1行・文書プロパティの最終更新者名・編集メモの残存・表73のキャプション位置は、いずれも当方の作業で直せる（確認事項No.101〜103は「対応中」であり、ペンディングではない）。</t>
        </is>
      </c>
      <c r="E8" s="32" t="inlineStr">
        <is>
          <t>束8のうち3件</t>
        </is>
      </c>
      <c r="F8" s="32" t="inlineStr">
        <is>
          <t>調査報告書3文書（修正版）</t>
        </is>
      </c>
      <c r="G8" s="32" t="inlineStr">
        <is>
          <t>半日</t>
        </is>
      </c>
      <c r="H8" s="32" t="inlineStr">
        <is>
          <t>完了</t>
        </is>
      </c>
      <c r="I8" s="32" t="inlineStr">
        <is>
          <t>調査報告書3文書の納品前処理4件を実施（目次の自動更新・作成者名の削除・編集メモの書き換え・表73のキャプションの移動）。⚠ 受領した原本の時点で4つのグラフに空の要素がある。</t>
        </is>
      </c>
    </row>
    <row r="9">
      <c r="A9" s="32" t="n">
        <v>5</v>
      </c>
      <c r="B9" s="32" t="inlineStr">
        <is>
          <t>本文の圧縮案の具体化（103頁→96頁前後）</t>
        </is>
      </c>
      <c r="C9" s="32" t="inlineStr">
        <is>
          <t>R8.10.3</t>
        </is>
      </c>
      <c r="D9" s="32" t="inlineStr">
        <is>
          <t>移す候補（3-3の交付金の枝番分析 約4頁・9-3の感度分析 約2頁・6-4の143事業の書き下ろし 約6頁）は特定済み。実際に移した版を作って頁数を数えれば、ご判断の材料になる。</t>
        </is>
      </c>
      <c r="E9" s="32" t="inlineStr">
        <is>
          <t>束11のうちNo.83</t>
        </is>
      </c>
      <c r="F9" s="32" t="inlineStr">
        <is>
          <t>計画素案 圧縮案（docx）と頁数の対比表</t>
        </is>
      </c>
      <c r="G9" s="32" t="inlineStr">
        <is>
          <t>1日</t>
        </is>
      </c>
      <c r="H9" s="32" t="inlineStr">
        <is>
          <t>完了</t>
        </is>
      </c>
      <c r="I9" s="32" t="inlineStr">
        <is>
          <t>川崎町_計画書素案_v2.8c_圧縮案_R8.10.2.docx（本文97頁）と川崎町_計画書_別冊_詳細分析_R8.10.2.docx（9頁）。10の小見出し（45要素）を移し、本文104頁→97頁（▲7頁）。資料編13頁を含めて117頁→110頁。仕様書8の100頁程度との差は+17頁→+10頁。</t>
        </is>
      </c>
    </row>
    <row r="10">
      <c r="A10" s="32" t="n">
        <v>6</v>
      </c>
      <c r="B10" s="32" t="inlineStr">
        <is>
          <t>継続101事業の本文記述（素案 第5章）</t>
        </is>
      </c>
      <c r="C10" s="32" t="inlineStr">
        <is>
          <t>R8.10.3〜10.7</t>
        </is>
      </c>
      <c r="D10" s="32" t="inlineStr">
        <is>
          <t>統合体系表の143事業のうち、第10期に内容が変わる42事業はVer.2.1で書き下ろし済み。残る101事業は継続であり、事業名・所管・内容が統合体系表にあるため当方で書ける。</t>
        </is>
      </c>
      <c r="E10" s="32" t="inlineStr">
        <is>
          <t>―（素案の完成度が上がる）</t>
        </is>
      </c>
      <c r="F10" s="32" t="inlineStr">
        <is>
          <t>計画素案 Ver.2.8</t>
        </is>
      </c>
      <c r="G10" s="32" t="inlineStr">
        <is>
          <t>3日</t>
        </is>
      </c>
      <c r="H10" s="32" t="inlineStr">
        <is>
          <t>完了</t>
        </is>
      </c>
      <c r="I10" s="32" t="inlineStr">
        <is>
          <t>令和8年10月4日　計画素案 Ver.2.9（事業内容版・全109頁）。17の事業一覧表すべてを5欄にし、138行すべてに内容を入れた。出所は、第9期計画書57件・統合体系表（新規拡充）33件・当方が書き起こしたもの48件。作文はしていない。③の48件は町のご確認をお願いする（確認事項No.164）。頁数は本文104頁→109頁（＋5頁）。圧縮案を当てた v2.9c は本文102頁であり、内容の欄を加えてもVer.2.8（104頁）より2頁少ない。</t>
        </is>
      </c>
    </row>
    <row r="11">
      <c r="A11" s="32" t="n">
        <v>7</v>
      </c>
      <c r="B11" s="32" t="inlineStr">
        <is>
          <t>公表版に向けた整理の下ごしらえ</t>
        </is>
      </c>
      <c r="C11" s="32" t="inlineStr">
        <is>
          <t>R8.10.6</t>
        </is>
      </c>
      <c r="D11" s="32" t="inlineStr">
        <is>
          <t>確認事項No.の参照66件・【町確認】【委員会協議】66件の所在は機械で拾えている。除去と置換のスクリプトは、ご判断（No.162）を待たずに用意できる。</t>
        </is>
      </c>
      <c r="E11" s="32" t="inlineStr">
        <is>
          <t>束11のうちNo.162</t>
        </is>
      </c>
      <c r="F11" s="32" t="inlineStr">
        <is>
          <t>公表版への整理スクリプト（実行は保留）</t>
        </is>
      </c>
      <c r="G11" s="32" t="inlineStr">
        <is>
          <t>半日</t>
        </is>
      </c>
      <c r="H11" s="32" t="inlineStr">
        <is>
          <t>完了（実行は保留）</t>
        </is>
      </c>
      <c r="I11" s="32" t="inlineStr">
        <is>
          <t>川崎町_公表版への整理_R8.10.2.xlsx。確認事項No.の参照66件、未確定箇所67件（【町確認】50・【委員会協議】16・【町確認・最新値】1）、受託者を主語とする語3件。⚠ ［］以外の括弧88件のうち21件は体系の表などの見出しのラベルであり、未確定箇所ではない。公表版でも残す。書き換えは確認事項No.162 のご判断を待つ（--apply で実行）。</t>
        </is>
      </c>
    </row>
    <row r="12">
      <c r="A12" s="32" t="n">
        <v>8</v>
      </c>
      <c r="B12" s="32" t="inlineStr">
        <is>
          <t>概要版（8頁程度・3,500部）の構成案</t>
        </is>
      </c>
      <c r="C12" s="32" t="inlineStr">
        <is>
          <t>R8.10.7</t>
        </is>
      </c>
      <c r="D12" s="32" t="inlineStr">
        <is>
          <t>本文の第3章（課題）・第4章（体系）・第9章（保険料）を軸とする構成は固まっている。頁の割付けと図の選定は当方で作れる。</t>
        </is>
      </c>
      <c r="E12" s="32" t="inlineStr">
        <is>
          <t>―（成果品5・進捗0.25）</t>
        </is>
      </c>
      <c r="F12" s="32" t="inlineStr">
        <is>
          <t>概要版 構成案（1枚）＋割付け案</t>
        </is>
      </c>
      <c r="G12" s="32" t="inlineStr">
        <is>
          <t>1日</t>
        </is>
      </c>
      <c r="H12" s="32" t="inlineStr">
        <is>
          <t>完了（下書きまで）</t>
        </is>
      </c>
      <c r="I12" s="32" t="inlineStr">
        <is>
          <t>令和8年10月4日　構成案に続けて下書きを作成した。川崎町_計画素案_概要版_R8.10.4.docx（6頁・2,458字・図8点）と、1色刷り用の図8点（08_図表/概要版/）。数値は素案と data_zuhyo.py からのみ採り、受託者を主語とする語・未確定箇所の表記がないことを機械で確かめた。⚠ 仕様書8は8頁程度であり、下書きは6頁。A4・1色刷り・町民向けの字の大きさで組むと増えるため、入稿の段階で割付けを調整する。⚠ 保険料は令和9年1月の策定委員会で決まるため、下書きは確定前である旨を明記している。</t>
        </is>
      </c>
    </row>
    <row r="13">
      <c r="A13" s="32" t="n">
        <v>9</v>
      </c>
      <c r="B13" s="32" t="inlineStr">
        <is>
          <t>残る不足図5件の作図の枠の用意</t>
        </is>
      </c>
      <c r="C13" s="32" t="inlineStr">
        <is>
          <t>R8.10.7</t>
        </is>
      </c>
      <c r="D13" s="32" t="inlineStr">
        <is>
          <t>数値が届けばすぐ作れるよう、data_zuhyo.py に定義の枠を置き、作図の関数だけ先に書いておく。</t>
        </is>
      </c>
      <c r="E13" s="32" t="inlineStr">
        <is>
          <t>束3・束10（データ到着後の手戻りを防ぐ）</t>
        </is>
      </c>
      <c r="F13" s="32" t="inlineStr">
        <is>
          <t>build_plan_figures.py（枠の追加）</t>
        </is>
      </c>
      <c r="G13" s="32" t="inlineStr">
        <is>
          <t>半日</t>
        </is>
      </c>
      <c r="H13" s="32" t="inlineStr">
        <is>
          <t>完了</t>
        </is>
      </c>
      <c r="I13" s="32" t="inlineStr">
        <is>
          <t>data_zuhyo.py に残る不足図4件の枠（WAKU）を置いた。数値が届いたらすぐ作れる。図表データ管理台帳の自己点検に「未作成の図に作図の枠が用意されていること」を加えた（10件に）。</t>
        </is>
      </c>
    </row>
    <row r="14">
      <c r="A14" s="32" t="n">
        <v>10</v>
      </c>
      <c r="B14" s="32" t="inlineStr">
        <is>
          <t>用語解説・第9期/第10期の施策読み替え表・3計画の調和の整理表</t>
        </is>
      </c>
      <c r="C14" s="32" t="inlineStr">
        <is>
          <t>R8.10.8〜10.10</t>
        </is>
      </c>
      <c r="D14" s="32" t="inlineStr">
        <is>
          <t>いずれも既にある成果品（統合体系表・素案）から作れる。資料編の候補として別添整理表に挙げてある。</t>
        </is>
      </c>
      <c r="E14" s="32" t="inlineStr">
        <is>
          <t>―（資料編の充実）</t>
        </is>
      </c>
      <c r="F14" s="32" t="inlineStr">
        <is>
          <t>資料編の3表（xlsx又はdocx）</t>
        </is>
      </c>
      <c r="G14" s="32" t="inlineStr">
        <is>
          <t>2日</t>
        </is>
      </c>
      <c r="H14" s="32" t="inlineStr">
        <is>
          <t>完了</t>
        </is>
      </c>
      <c r="I14" s="32" t="inlineStr">
        <is>
          <t>川崎町_資料編_3表_R8.10.2.xlsx（3シート）。用語解説44語（本文に現に出てくる語だけを採った）、第9期と第10期の施策の読み替え21行、3計画の調和11行。⚠ 3計画の調和は、地域福祉計画・障害者計画の体系が未受領のため9行を［要確認］とした（確認事項No.20・No.132）。</t>
        </is>
      </c>
    </row>
    <row r="15">
      <c r="A15" s="32" t="n">
        <v>11</v>
      </c>
      <c r="B15" s="32" t="inlineStr">
        <is>
          <t>第2回策定委員会資料 v7・想定問答集 v4 の更新</t>
        </is>
      </c>
      <c r="C15" s="32" t="inlineStr">
        <is>
          <t>R8.10.4</t>
        </is>
      </c>
      <c r="D15" s="32" t="inlineStr">
        <is>
          <t>逆算工程表の結果・第9期の計画値と実績値の対比・頁数の見通しは、いずれも当方の手元で揃っている。委員会に諮る前に資料へ反映できる。</t>
        </is>
      </c>
      <c r="E15" s="32" t="inlineStr">
        <is>
          <t>束2（開催日のご判断の材料）</t>
        </is>
      </c>
      <c r="F15" s="32" t="inlineStr">
        <is>
          <t>第2回資料 v7／想定問答集 v4</t>
        </is>
      </c>
      <c r="G15" s="32" t="inlineStr">
        <is>
          <t>半日</t>
        </is>
      </c>
      <c r="H15" s="32" t="inlineStr">
        <is>
          <t>完了</t>
        </is>
      </c>
      <c r="I15" s="32" t="inlineStr">
        <is>
          <t>令和8年10月4日　資料 v7 に①工程の短縮の案（候補日4つ×4案）②第9期の計画値と実績値の対比（図3-2と表）③交付金の得点の推移（図3-1）④計画書の頁数の見通し⑤当社資料の訂正1件を加え、本日のご審議事項に「開催日と短縮の案のご選択」を足した。想定問答集は v3 の件数の食い違い（全35問と書いて39問、カテゴリH 5問と書いて9問）を是正し、素案の版の参照29か所を更新し、新たに5問を加えて全44問とした。自己点検27件に適合。</t>
        </is>
      </c>
    </row>
    <row r="16">
      <c r="A16" s="32" t="n">
        <v>12</v>
      </c>
      <c r="B16" s="32" t="inlineStr">
        <is>
          <t>点検スキルの運用（8軸の網羅性）</t>
        </is>
      </c>
      <c r="C16" s="32" t="inlineStr">
        <is>
          <t>R8.10.4</t>
        </is>
      </c>
      <c r="D16" s="32" t="inlineStr">
        <is>
          <t>素案の版が Ver.2.6 から3つ上がっており、送付の前に軸ごとの点検を行う必要がある。原典の側に期待する事項を持てば機械で回せる。</t>
        </is>
      </c>
      <c r="E16" s="32" t="inlineStr">
        <is>
          <t>―（成果品の質）</t>
        </is>
      </c>
      <c r="F16" s="32" t="inlineStr">
        <is>
          <t>check_8jiku_R8.10.4.py（51事項）</t>
        </is>
      </c>
      <c r="G16" s="32" t="inlineStr">
        <is>
          <t>半日</t>
        </is>
      </c>
      <c r="H16" s="32" t="inlineStr">
        <is>
          <t>完了</t>
        </is>
      </c>
      <c r="I16" s="32" t="inlineStr">
        <is>
          <t>令和8年10月4日　8軸51事項の点検を機械で回せるようにした。Ver.2.9 に当てると不適合7件・要判断7件。⚠ 令和8年3月の全国課長会議資料が示す制度改正の事項が素案1-5に整理されておらず、7語（7区分・82.65・令和8年度介護報酬改定・一定以上所得・給与所得控除・返還義務・地域類型）が素案になかった。あわせて1-4に法令が定める手続（意見公募・都道府県の意見の聴取・公表）が書かれていなかった。Ver.2.10 で補い、51事項すべて適合とした。</t>
        </is>
      </c>
    </row>
    <row r="17">
      <c r="A17" s="32" t="n">
        <v>13</v>
      </c>
      <c r="B17" s="32" t="inlineStr">
        <is>
          <t>素案 Ver.2.10（制度改正と法定の手続の補完）</t>
        </is>
      </c>
      <c r="C17" s="32" t="inlineStr">
        <is>
          <t>R8.10.4</t>
        </is>
      </c>
      <c r="D17" s="32" t="inlineStr">
        <is>
          <t>点検で見つかった欠落は、国の資料と法令から当方で補える。</t>
        </is>
      </c>
      <c r="E17" s="32" t="inlineStr">
        <is>
          <t>―（法定記載事項の充足）</t>
        </is>
      </c>
      <c r="F17" s="32" t="inlineStr">
        <is>
          <t>計画素案 Ver.2.10（全112頁）</t>
        </is>
      </c>
      <c r="G17" s="32" t="inlineStr">
        <is>
          <t>半日</t>
        </is>
      </c>
      <c r="H17" s="32" t="inlineStr">
        <is>
          <t>完了</t>
        </is>
      </c>
      <c r="I17" s="32" t="inlineStr">
        <is>
          <t>令和8年10月4日　1-5に「令和8年3月 全国課長会議資料が示す制度改正（11事項）」の表を、1-4に「法令が定める手続（4件）」の表を新設した。⚠ 補足給付の見直しは2段階に分かれる（令和8年8月施行分は第9期の最終年度、令和9年度中の施行分が第10期の期間中）ことを書き分けている。条文を受領していないため、加えた表には項番号を書いていない。本文112頁（圧縮案 v2.10c は105頁）。</t>
        </is>
      </c>
    </row>
    <row r="18">
      <c r="A18" s="32" t="n">
        <v>14</v>
      </c>
      <c r="B18" s="32" t="inlineStr">
        <is>
          <t>成果品が作り直せる状態かの点検（原本とスクリプトの保全）</t>
        </is>
      </c>
      <c r="C18" s="32" t="inlineStr">
        <is>
          <t>R8.10.4</t>
        </is>
      </c>
      <c r="D18" s="32" t="inlineStr">
        <is>
          <t>同じ事務所の別案件で、本文を作るスクリプトとビルド結果をスクラップパッドにのみ置く運用であったため、環境が作り直された時点で消え、計画素案の文言1か所の直しもできなくなった。本案件が同じ状態にないかは、ご確認を待たず当方で機械的に確かめられる。</t>
        </is>
      </c>
      <c r="E18" s="32" t="inlineStr">
        <is>
          <t>―（成果品の保全）</t>
        </is>
      </c>
      <c r="F18" s="32" t="inlineStr">
        <is>
          <t>check_repo_kenzensei_R8.10.4.py（検査1〜8）／CLAUDE.md（置き場の方針）</t>
        </is>
      </c>
      <c r="G18" s="32" t="inlineStr">
        <is>
          <t>半日</t>
        </is>
      </c>
      <c r="H18" s="32" t="inlineStr">
        <is>
          <t>完了</t>
        </is>
      </c>
      <c r="I18" s="32" t="inlineStr">
        <is>
          <t>令和8年10月4日　検査1〜8を作り、不適合3件を是正した。①成果品205件・スクリプト174件・素案の版の連なり27段・図10点はすべて追跡されており、同じ事象は起きていない。②リポジトリの外（アップロード領域）だけを入力にしていたスクリプト2件を是正（fix_chosa_report_R8.10.2.py は 09_元資料 を第一の入力に改め、再実行して成果品3点が部品まで同一に再現されることを確認。check_kofukin_R8.9.2.py は照合の相手が残っていないため■1を「未実施」と記して飛ばす形に改め、■2・■3はリポジトリの既存分だけで動くようにした）。③受領資料のうち未退避の6点（認知症基本法・認知症施策推進基本計画・本人の声を活かすヒント・認知症地域支援推進員の手引きほか）を09_元資料/認知症施策/R8.9.29受領版/ へ退避。受領資料9件すべてがMD5で突合できる状態にした。④置き場の方針を CLAUDE.md に明記（次のセッションで自動で読まれる）。検査2・3・8は、わざと落としたときに不適合になることを確認済み。</t>
        </is>
      </c>
    </row>
    <row r="19">
      <c r="A19" s="32" t="n">
        <v>15</v>
      </c>
      <c r="B19" s="32" t="inlineStr">
        <is>
          <t>中間報告（第1回・令和8年10月分）の作成</t>
        </is>
      </c>
      <c r="C19" s="32" t="inlineStr">
        <is>
          <t>R8.10.5〜10.9</t>
        </is>
      </c>
      <c r="D19" s="32" t="inlineStr">
        <is>
          <t>仕様書6（8）は「中間報告は、その都度指定された期日まで提出すること」と定めるが、期日のご指定がない（確認事項No.17）。既定値として月末ごとの提出としており、10月末が最初の期日になる。報告の中身（業務内容(1)〜(8)の進捗・成果品6種の状態・確認事項の状態・工程）はいずれも当方の台帳から作れる。</t>
        </is>
      </c>
      <c r="E19" s="32" t="inlineStr">
        <is>
          <t>束11のうちNo.17</t>
        </is>
      </c>
      <c r="F19" s="32" t="inlineStr">
        <is>
          <t>中間報告書（docx）＋以後の月の雛形（スクリプト）</t>
        </is>
      </c>
      <c r="G19" s="32" t="inlineStr">
        <is>
          <t>1日</t>
        </is>
      </c>
      <c r="H19" s="32" t="inlineStr">
        <is>
          <t>完了</t>
        </is>
      </c>
      <c r="I19" s="32" t="inlineStr">
        <is>
          <t>令和8年10月5日　中間報告書（第1回・令和8年10月分）を作成した。全6頁・表8件・5,326字。業務内容(1)〜(8)の進捗、成果品6種の状態、本月の作業19件、点検9種の結果、確認事項165件を12の束に分けた状態、今後の工程8段、令和8年11月の予定6件、お急ぎいただきたいこと8件を置いた。件数はすべて業務工程管理表と逆算工程表から読んでおり、スクリプトに数を書いていない（台帳を直せば報告書が追随する）。提出の期日・様式・頻度は確認事項No.17のご回答により改める。川崎町_中間報告書_第1回_R8.10.docx</t>
        </is>
      </c>
    </row>
    <row r="20">
      <c r="A20" s="32" t="n">
        <v>16</v>
      </c>
      <c r="B20" s="32" t="inlineStr">
        <is>
          <t>宮城県への事前協議の資料一式（法第117条第5項）</t>
        </is>
      </c>
      <c r="C20" s="32" t="inlineStr">
        <is>
          <t>R8.10.9〜10.14</t>
        </is>
      </c>
      <c r="D20" s="32" t="inlineStr">
        <is>
          <t>逆算工程表では第2回策定委員会の+21日（候補1で令和8年11月25日）に県への事前協議を開始する。提出資料の構成・様式・説明の筋道は開催日が決まらなくても作れる。県の運用（要する期間・様式の指定）は確認事項No.4として起票済み。</t>
        </is>
      </c>
      <c r="E20" s="32" t="inlineStr">
        <is>
          <t>束2のうちNo.4</t>
        </is>
      </c>
      <c r="F20" s="32" t="inlineStr">
        <is>
          <t>県事前協議 提出資料一覧と説明資料（docx・xlsx）</t>
        </is>
      </c>
      <c r="G20" s="32" t="inlineStr">
        <is>
          <t>1日</t>
        </is>
      </c>
      <c r="H20" s="32" t="inlineStr">
        <is>
          <t>完了</t>
        </is>
      </c>
      <c r="I20" s="32" t="inlineStr">
        <is>
          <t>令和8年10月5日　川崎町_県事前協議_資料一式_R8.10.5.xlsx（5シート）。①提出資料12件（根拠・現在の状態・当方の成果品を対応）②県が見る観点51事項と計画素案の対応（適合51・要判断0・不適合0。未実施8件は別に計上）③県の意見への対応表（様式）④関係する確認事項13件。②は check_8jiku_R8.10.4.py の judge() から作っており、期待する事項の一覧を2か所に持っていない（素案の版を上げれば追随する）。⚠ 条番号のみを書き、項番号は書いていない（確認事項No.163）。県の運用（期間・様式・部数）は確認事項No.4のご回答による。</t>
        </is>
      </c>
    </row>
    <row r="21">
      <c r="A21" s="32" t="n">
        <v>17</v>
      </c>
      <c r="B21" s="32" t="inlineStr">
        <is>
          <t>意見公募手続（パブリックコメント）一式</t>
        </is>
      </c>
      <c r="C21" s="32" t="inlineStr">
        <is>
          <t>R8.10.14〜10.17</t>
        </is>
      </c>
      <c r="D21" s="32" t="inlineStr">
        <is>
          <t>素案 1-4 に法令が定める手続を書いたが、実物の様式がない。逆算工程表では令和8年12月に開始する。実施要領・意見提出様式・意見と町の考え方の対照表・公表の様式は、期間（30日／20日）が決まらなくても雛形として作れる。</t>
        </is>
      </c>
      <c r="E21" s="32" t="inlineStr">
        <is>
          <t>束11のうちNo.19・束9のうちNo.134</t>
        </is>
      </c>
      <c r="F21" s="32" t="inlineStr">
        <is>
          <t>パブリックコメント一式（実施要領案・様式4点）</t>
        </is>
      </c>
      <c r="G21" s="32" t="inlineStr">
        <is>
          <t>1日</t>
        </is>
      </c>
      <c r="H21" s="32" t="inlineStr">
        <is>
          <t>完了</t>
        </is>
      </c>
      <c r="I21" s="32" t="inlineStr">
        <is>
          <t>令和8年10月5日　川崎町_意見公募手続_一式_R8.10.5.xlsx（6シート）と川崎町_意見公募手続_意見提出用紙_R8.10.5.docx（2頁・表3件）。①実施要領（案）9項目②工程（30日・20日の両案）③意見と町の考え方の対照表（公表用・区分5件）④受付の記録（内部用）⑤関係する確認事項7件⑥住民の方にお配りする意見提出用紙。⚠ 意見公募手続の実施支援は委託仕様書の業務内容に規定がなく（確認事項No.19）、本一式は実施をお約束するものではない。ご判断を待つ間に手が止まらないよう様式を先に用意したもの。期間は町の実施要領の定めによる（確認事項No.136）。</t>
        </is>
      </c>
    </row>
    <row r="22">
      <c r="A22" s="32" t="n">
        <v>18</v>
      </c>
      <c r="B22" s="32" t="inlineStr">
        <is>
          <t>第3回・第4回策定委員会資料の骨子</t>
        </is>
      </c>
      <c r="C22" s="32" t="inlineStr">
        <is>
          <t>R8.10.17〜10.22</t>
        </is>
      </c>
      <c r="D22" s="32" t="inlineStr">
        <is>
          <t>逆算工程表では第3回（保険料の決定・パブコメの結果の報告）が令和9年1月、第4回（計画書（案）の確定・答申）が2月。諮る事項と資料の構成は、第2回の結果を待たずに骨子として置ける。</t>
        </is>
      </c>
      <c r="E22" s="32" t="inlineStr">
        <is>
          <t>束2のうちNo.49</t>
        </is>
      </c>
      <c r="F22" s="32" t="inlineStr">
        <is>
          <t>第3回・第4回 骨子案（docx）</t>
        </is>
      </c>
      <c r="G22" s="32" t="inlineStr">
        <is>
          <t>1日</t>
        </is>
      </c>
      <c r="H22" s="32" t="inlineStr">
        <is>
          <t>完了</t>
        </is>
      </c>
      <c r="I22" s="32" t="inlineStr">
        <is>
          <t>令和8年10月5日　川崎町_第3回・第4回策定委員会_骨子案_R8.10.5.docx（表8件・3,494字）。①第3回・第4回の位置づけと工程8段②第3回の次第8件と資料7件③第4回の次第6件と資料5件④何が決まっていないと開けないか7件⑤委員会を全3回とする場合の差分5件⑥ご確認をお願いしたいこと6件。⚠ 保険料は算定Ａ・Ｂ・Ｃの3パターンのまま置き、額を書いていない（第3回で決定するため）。全3回・全4回の双方を示している（確認事項No.49）。参照している確認事項はすべて業務工程管理表にある。</t>
        </is>
      </c>
    </row>
    <row r="23">
      <c r="A23" s="32" t="n">
        <v>19</v>
      </c>
      <c r="B23" s="32" t="inlineStr">
        <is>
          <t>概要版を8頁へ（現在6頁・2,458字）</t>
        </is>
      </c>
      <c r="C23" s="32" t="inlineStr">
        <is>
          <t>R8.10.22〜10.24</t>
        </is>
      </c>
      <c r="D23" s="32" t="inlineStr">
        <is>
          <t>仕様書8は「8頁程度・3,500部」と定める。現在の下書きは6頁。不足する2頁分（第5章の施策の柱・第10章のKPI・相談窓口）は素案から起こせる。入稿は第3回策定委員会の後（令和9年1月）。</t>
        </is>
      </c>
      <c r="E23" s="32" t="inlineStr">
        <is>
          <t>束11のうちNo.18</t>
        </is>
      </c>
      <c r="F23" s="32" t="inlineStr">
        <is>
          <t>概要版（8頁）</t>
        </is>
      </c>
      <c r="G23" s="32" t="inlineStr">
        <is>
          <t>半日</t>
        </is>
      </c>
      <c r="H23" s="32" t="inlineStr">
        <is>
          <t>完了</t>
        </is>
      </c>
      <c r="I23" s="32" t="inlineStr">
        <is>
          <t>令和8年10月5日　川崎町_計画素案_概要版_R8.10.5.docx（図8点・表5件・3,918字）。下書き（6頁・2,458字）に①計画の期間と位置づけ②7つの柱ごとの事業数（143件・うち新規拡充42件）③第9期から変わること8件④主な目安6件⑤ご相談先5件を加えた。本文は build_gaiyo_R8.10.4.py の P から読んでおり、2か所に持っていない。見出しの番号は差し込みにより重なるため振り直した（1〜9）。統合体系表の事業数は「再掲」4件を除いて数え、02_集計シートと突き合わせている。⚠ 当方の環境で PDF にすると7頁。仕様書8は「8頁程度」であり、Word でご覧になって不足する場合はことばの説明と相談先を広げて調整する。入稿は第3回策定委員会（令和9年1月）の後。</t>
        </is>
      </c>
    </row>
    <row r="24">
      <c r="A24" s="32" t="n">
        <v>20</v>
      </c>
      <c r="B24" s="32" t="inlineStr">
        <is>
          <t>他案件との対比によるMECEチェック</t>
        </is>
      </c>
      <c r="C24" s="32" t="inlineStr">
        <is>
          <t>R8.10.6</t>
        </is>
      </c>
      <c r="D24" s="32" t="inlineStr">
        <is>
          <t>同じ事務所の別案件のブランチを確認し、当方の進捗に乖離・抜け漏れがないかを、委託仕様書6の業務内容(1)〜(8)と横断3区分の軸で見る。他団体の計画は軸に用いず、比較材料として読む。</t>
        </is>
      </c>
      <c r="E24" s="32" t="inlineStr">
        <is>
          <t>―（抜け漏れの洗い出し）</t>
        </is>
      </c>
      <c r="F24" s="32" t="inlineStr">
        <is>
          <t>MECEチェック 他案件対比（xlsx・4シート）</t>
        </is>
      </c>
      <c r="G24" s="32" t="inlineStr">
        <is>
          <t>半日</t>
        </is>
      </c>
      <c r="H24" s="32" t="inlineStr">
        <is>
          <t>完了</t>
        </is>
      </c>
      <c r="I24" s="32" t="inlineStr">
        <is>
          <t>令和8年10月6日　川崎町_MECEチェック_他案件対比_R8.10.6.xlsx（4シート）。38項目を対比し、揃っている18件・形は違うが足りている11件・不足9件。不足を含む12件に優先順位を付けた。あわせて当方の記述の乖離3件を見つけた（9-1の0のサービスの表・8軸点検の偽陽性・作成メモの取り違え）。</t>
        </is>
      </c>
    </row>
    <row r="25">
      <c r="A25" s="32" t="n">
        <v>21</v>
      </c>
      <c r="B25" s="32" t="inlineStr">
        <is>
          <t>認知症施策推進計画の位置づけと、施策・見込量の関係の深掘り</t>
        </is>
      </c>
      <c r="C25" s="32" t="inlineStr">
        <is>
          <t>R8.10.6</t>
        </is>
      </c>
      <c r="D25" s="32" t="inlineStr">
        <is>
          <t>ご指示による。位置づけは素案 6-1 にあるが、施策（KPI）が見込量のどの要素に効くかの整理がなかった。見込量の算定式で動く変数が要介護度別の認定者数1つだけであることを示す。</t>
        </is>
      </c>
      <c r="E25" s="32" t="inlineStr">
        <is>
          <t>束4・束6（見込量の前提）</t>
        </is>
      </c>
      <c r="F25" s="32" t="inlineStr">
        <is>
          <t>認知症施策 位置づけと見込量（xlsx・8シート）</t>
        </is>
      </c>
      <c r="G25" s="32" t="inlineStr">
        <is>
          <t>1日</t>
        </is>
      </c>
      <c r="H25" s="32" t="inlineStr">
        <is>
          <t>完了</t>
        </is>
      </c>
      <c r="I25" s="32" t="inlineStr">
        <is>
          <t>令和8年10月6日　川崎町_認知症施策_位置づけと見込量_R8.10.6.xlsx（8シート）。法の規定10件・位置づけの3案・認知症に関する数量・施策（KPI）と見込量の連関（算定式の要素5つ・素案10-4のKPI13件）・施策反映の歯止め4件・必要利用定員総数との関係・確認事項13件。認定率に効くKPIは反映できるが、利用率・回数・単価に効くKPIは式に変数がなく反映できない。当方の算定は自然体である。</t>
        </is>
      </c>
    </row>
    <row r="26">
      <c r="A26" s="32" t="n">
        <v>22</v>
      </c>
      <c r="B26" s="32" t="inlineStr">
        <is>
          <t>MECEチェックで見つかった乖離の是正（素案 Ver.2.11 ほか）</t>
        </is>
      </c>
      <c r="C26" s="32" t="inlineStr">
        <is>
          <t>R8.10.6</t>
        </is>
      </c>
      <c r="D26" s="32" t="inlineStr">
        <is>
          <t>順位20で見つけた乖離3件と、守るべき制約の走査で見つけた不適合を是正する。数値は変えない。</t>
        </is>
      </c>
      <c r="E26" s="32" t="inlineStr">
        <is>
          <t>―（成果品の質）</t>
        </is>
      </c>
      <c r="F26" s="32" t="inlineStr">
        <is>
          <t>計画素案 Ver.2.11／第2回資料 v8／制約の走査スクリプト</t>
        </is>
      </c>
      <c r="G26" s="32" t="inlineStr">
        <is>
          <t>半日</t>
        </is>
      </c>
      <c r="H26" s="32" t="inlineStr">
        <is>
          <t>完了</t>
        </is>
      </c>
      <c r="I26" s="32" t="inlineStr">
        <is>
          <t>令和8年10月6日　計画素案 Ver.2.11（全113頁）。①9-1の0のサービスの表を是正（5件とも令和6〜8年度に実績なし）②9-1に『施策と見込量の関係』を新設③受託者を主語とする語2か所を削除④【町確認・最新値】を【町確認】に揃えた。あわせて第2回策定委員会資料 v8（作業用ファイル名の削除・表紙の版の表示を［第８版］に是正。v6・v7は［第５版］のままであった）、守るべき制約の走査 check_seiyaku_R8.10.6.py（新規・点検スキル3をはじめて機械で回せる形にした）、8軸点検の偽陽性の是正。</t>
        </is>
      </c>
    </row>
    <row r="27">
      <c r="A27" s="32" t="n">
        <v>23</v>
      </c>
      <c r="B27" s="32" t="inlineStr">
        <is>
          <t>地域支援事業の事業別費用を受領できない場合の置き方</t>
        </is>
      </c>
      <c r="C27" s="32" t="inlineStr">
        <is>
          <t>R8.10.8</t>
        </is>
      </c>
      <c r="D27" s="32" t="inlineStr">
        <is>
          <t>量は町提供実績データにより素案 9-2 に置けているが、包括的支援事業・任意事業の事業別の費用が未受領で、量と費用の対応がとれない。法定記載事項であり、対応がとれないままでは公表版にできない。受領できない場合にどこまで置けるかを示す。</t>
        </is>
      </c>
      <c r="E27" s="32" t="inlineStr">
        <is>
          <t>束6（5件）</t>
        </is>
      </c>
      <c r="F27" s="32" t="inlineStr">
        <is>
          <t>地域支援事業費の置き方（xlsx）</t>
        </is>
      </c>
      <c r="G27" s="32" t="inlineStr">
        <is>
          <t>半日</t>
        </is>
      </c>
      <c r="H27" s="32" t="inlineStr">
        <is>
          <t>完了</t>
        </is>
      </c>
      <c r="I27" s="32" t="inlineStr">
        <is>
          <t>令和8年10月7日　川崎町_地域支援事業費の置き方_R8.10.7.xlsx（6シート）。当初の見立て（事業別の費用が未受領で置けない）を調べたところ、置けていないのは2区分だけで、国の様式が区分の合計で求めるためであった。それより重い問題として、包括的支援事業（地域包括支援センターの運営）と任意事業の費用が令和9〜11年度にかけて毎年同じ額ずつ増える値で入力されていることが分かった（2区分の計で令和7年度28,327千円→令和11年度45,988千円・＋62.3％）。増え方は令和6→8年度の平均年増をそのまま延ばしたもので、令和12年度は35,258千円に下がり不連続になる。置き方の4案と保険料への影響を試算した（案3＝令和7年度実績で据え置くと月額▲86円）。確認事項No.168として起票。⚠ 見える化システムのデータは当方が直接触っていない。総括表の値を読んで検証したものである。</t>
        </is>
      </c>
    </row>
    <row r="28">
      <c r="A28" s="32" t="n">
        <v>24</v>
      </c>
      <c r="B28" s="32" t="inlineStr">
        <is>
          <t>需要のシナリオ（感度表）</t>
        </is>
      </c>
      <c r="C28" s="32" t="inlineStr">
        <is>
          <t>R8.10.9</t>
        </is>
      </c>
      <c r="D28" s="32" t="inlineStr">
        <is>
          <t>見込量が自然体の1本であるため、確からしさの幅を示せない。認定率が上下に振れた場合の給付費と保険料の幅を示す。第2回策定委員会の選択5（基金の取崩額）のご判断の材料になる。</t>
        </is>
      </c>
      <c r="E28" s="32" t="inlineStr">
        <is>
          <t>―（見込量の確からしさ）</t>
        </is>
      </c>
      <c r="F28" s="32" t="inlineStr">
        <is>
          <t>需要3シナリオの感度表（xlsx）</t>
        </is>
      </c>
      <c r="G28" s="32" t="inlineStr">
        <is>
          <t>1日</t>
        </is>
      </c>
      <c r="H28" s="32" t="inlineStr">
        <is>
          <t>完了</t>
        </is>
      </c>
      <c r="I28" s="32" t="inlineStr">
        <is>
          <t>令和8年10月7日　川崎町_需要シナリオと保険料の感度_R8.10.7.xlsx（6シート）。認定者数の3シナリオ（低位・採用・高位）により、標準給付費と保険料基準額の幅を示した。令和11年度の認定者数 低位569人／採用576人／高位583人、保険料月額 6,743円／6,822円／6,902円（幅159円）。地域支援事業費の置き方（順位23の4案）との組合せも示した。⚠ 保険料の算定式が正しく組めていることを、採用のシナリオで現行の算定Ａ（6,822.4円）が再現できることで確かめている。⚠ シナリオは見込量を置き換えるものではない。計画に載せる見込量は採用（自然体）のままである。</t>
        </is>
      </c>
    </row>
    <row r="29">
      <c r="A29" s="32" t="n">
        <v>25</v>
      </c>
      <c r="B29" s="32" t="inlineStr">
        <is>
          <t>素案の根拠の棚卸し（エビデンス一覧）</t>
        </is>
      </c>
      <c r="C29" s="32" t="inlineStr">
        <is>
          <t>R8.10.13</t>
        </is>
      </c>
      <c r="D29" s="32" t="inlineStr">
        <is>
          <t>素案の数値・断定の一つずつに出所を対応させる。県への事前協議と公表版の確定の前提になる。</t>
        </is>
      </c>
      <c r="E29" s="32" t="inlineStr">
        <is>
          <t>束11のうちNo.163</t>
        </is>
      </c>
      <c r="F29" s="32" t="inlineStr">
        <is>
          <t>素案 根拠一覧（xlsx）</t>
        </is>
      </c>
      <c r="G29" s="32" t="inlineStr">
        <is>
          <t>2日</t>
        </is>
      </c>
      <c r="H29" s="32" t="inlineStr">
        <is>
          <t>完了</t>
        </is>
      </c>
      <c r="I29" s="32" t="inlineStr">
        <is>
          <t>令和8年10月7日　川崎町_素案の根拠の棚卸し_R8.10.7.xlsx（6シート）。素案の数値1,447件を、出所の候補16件（原資料・当方の成果品）と機械で突き合わせた。A 原典・成果品に現れる1,361件（94.1％）／B 当方の算定（割合）11件／C 識別子・連絡先5件／D 出所を特定できていない70件（4.8％）。あわせて川崎町_交付金_全国統計の再現_R8.10.7.xlsx（5シート）を作り、素案3-3の全国統計39件を原典（令和8年度の全国集計・1,741保険者）から作り直して突合した。38件は一致し、1件（過疎地域非該当の保険者数）が855と書かれていたため856に是正（素案 Ver.2.12）。残るD70件は9-1・9-2・9-3に集まり、原因は中長期（令和17・22年度）の見込量と保険料の内訳の算定結果を成果品に書き出していないことである（作業順位29で解く）。</t>
        </is>
      </c>
    </row>
    <row r="30">
      <c r="A30" s="32" t="n">
        <v>26</v>
      </c>
      <c r="B30" s="32" t="inlineStr">
        <is>
          <t>県の公表名簿との突合（事業所・高齢者向け住まい）</t>
        </is>
      </c>
      <c r="C30" s="32" t="inlineStr">
        <is>
          <t>R8.10.15</t>
        </is>
      </c>
      <c r="D30" s="32" t="inlineStr">
        <is>
          <t>基本指針の別表 七・八に直結する。宮城県の指定事業所一覧・有料老人ホーム等の公表名簿により、町のご回答を待たずに下ごしらえができる。</t>
        </is>
      </c>
      <c r="E30" s="32" t="inlineStr">
        <is>
          <t>束4のうちNo.29・束10のうちNo.154</t>
        </is>
      </c>
      <c r="F30" s="32" t="inlineStr">
        <is>
          <t>事業所・住まいの突合表（xlsx）</t>
        </is>
      </c>
      <c r="G30" s="32" t="inlineStr">
        <is>
          <t>1日</t>
        </is>
      </c>
      <c r="H30" s="32" t="inlineStr">
        <is>
          <t>完了</t>
        </is>
      </c>
      <c r="I30" s="32" t="inlineStr">
        <is>
          <t>令和8年10月15日　⚠ 当初の見立て「宮城県の公表名簿により町のご回答を待たずに下ごしらえができる」は誤りであった。当方の作業環境からは介護サービス情報公表システム・宮城県・川崎町・厚生労働省・e-Statのいずれにも接続できない（403）。ウェブ検索では民間の紹介サイトのみで、しかも同名の他県の町のものが混じる。そこで次のように組み替えた。①リポジトリの資料を手分けして全部あたり、事業所・施設・住まいについて何が分かっていて何が分かっていないかを確かめた（5つの担当・123件を集め、表に載せうる26件を別の担当が出所に当たり直して確かめ、23件が通った）。②別表 事項七（8項目）・事項八（5項目）の項目ごとに判定した。③欠けているものを町に取り出していただく手順を10件、画面の操作が分かる形で書いた。④記入様式と受入検査を先に用意した。成果物＝川崎町_事業所・住まい_突合台帳_R8.10.15.xlsx（8シート）、check_jigyosho_uke_R8.10.15.py（検査1〜8）。⚠ 見つかった要点：事項七は素案1-5の対応欄が「揃っている」ように読めるが実態と合わない（施設・事業所数は出典なし。地域密着型介護老人福祉施設と認知症対応型共同生活介護が落ちている）。事項八は把握できていないのではなく依頼の経路が立っていない（資料提供依頼一覧36件に高齢者向け住まいが1件もなかった）。住所地特例24人の時点が素案の中で2通りになっていた。⚠ 地域密着型サービスは町が指定権者であり、素案9-1の必要利用定員総数の［要確認］2行は町の指定台帳だけで決着する。素案 Ver.2.13 で3件を是正。資料提供依頼No.37・38を起票し、確認事項No.169を新設、No.154を最優先に引き上げた。　【令和8年10月19日 更新】⚠ **当初の見立てが外れた点（外向きの通信が403で遮断されていること）は、本日時点でも変わっていません。** 介護サービス情報公表システム・宮城県・川崎町・厚生労働省・e-Stat のいずれにも接続できないことを改めて確かめました（プロキシが CONNECT に対して403 を返します）。**県の公表名簿との突合そのものは、当方の環境では依然として行えません。**
⚠ **この線（事業所・住まいのデータ）は、第2回策定委員会の選択2（入所・居住系の整備量）につながる経路の上にあります。** 連なりは No.29・No.154 のご回答 → 突合台帳03・04シートへのご記入 → 照会票の発送（No.170）→ 事業所のご回答 → 素案 2-7・7-1・7-2・9-1 の確定、です。**先頭の2件が確認待ちのため、線全体が止まっています。**逆算工程表（R8.10.19）の06シートに段を分けて示し、No.170 に書き足しました。
⚠ 当方の側の用意（記入様式・取り出しの手順10件・照会票・受入検査）は**すべて済んでいます。**　【令和8年10月20日 更新】⚠ **突合の実体を当方で進められるようになった。**厚生労働省が介護サービス情報公表システムの事業所の一覧をＣＳＶ（オープンデータ）で公表しており、許可済みのドメインから取れる。本日、市町村コード043249で川崎町の事業所が取れることを確かめた。⚠ **ただしオープンデータに指定の年月日・指定の主体（町か県か）は含まれない**ため、その部分は県の名簿又は町のご確認による。　【令和8年10月20日 更新②（突合の実施）】⚠ **突合の実体を実施した。**公表システムのオープンデータにより町内8事業所・3法人を確定し、素案 Ver.2.20 に反映した。地域密着型介護老人福祉施設入所者生活介護の町内の定員30人（2施設）が埋まり、小規模多機能型居宅介護・介護医療院・在宅系の地域密着型が町内にないことが確定した。⚠ 指定の年月日・入所率・未指定の住まいは残る。</t>
        </is>
      </c>
    </row>
    <row r="31">
      <c r="A31" s="32" t="n">
        <v>27</v>
      </c>
      <c r="B31" s="32" t="inlineStr">
        <is>
          <t>事業所への照会票の様式</t>
        </is>
      </c>
      <c r="C31" s="32" t="inlineStr">
        <is>
          <t>R8.10.16</t>
        </is>
      </c>
      <c r="D31" s="32" t="inlineStr">
        <is>
          <t>第2回策定委員会で事業所ヒアリングのご了解をいただいた日から動ける。素案 2-7（供給体制）に直結する。</t>
        </is>
      </c>
      <c r="E31" s="32" t="inlineStr">
        <is>
          <t>束4のうちNo.29・No.159</t>
        </is>
      </c>
      <c r="F31" s="32" t="inlineStr">
        <is>
          <t>事業所照会票（docx）と確定値管理表（xlsx）</t>
        </is>
      </c>
      <c r="G31" s="32" t="inlineStr">
        <is>
          <t>半日</t>
        </is>
      </c>
      <c r="H31" s="32" t="inlineStr">
        <is>
          <t>完了</t>
        </is>
      </c>
      <c r="I31" s="32" t="inlineStr">
        <is>
          <t>令和8年10月16日　川崎町_事業所照会票_R8.10.16.docx（様式9種・設問58問・全27頁）、同_電子記入様式_R8.10.16.xlsx（9シート）、川崎町_事業所照会_確定値管理表_R8.10.16.xlsx（11シート）。⚠ 当初の見立て（第2回策定委員会で事業所ヒアリングのご了解をいただいた日から動ける）は誤りであった。素案 2-7 は「事業所ヒアリング（令和8年9〜10月）により確定する」と既に書いており、第2回策定委員会の選択2（施設整備）は入所率・稼働率がなければ諮れない。**照会は第2回の前に出す必要がある。**照会票を令和8年10月19日に発送できても、第2回を11月4日・11日に開催する場合は間に合わない（回答期間が3日以下）。11月18日で10日、11月25日で17日。⚠ 票の単位を2層にした（様式1＝事業所票・様式2＝サービス票）。職員・採用・離職・経営は事業所の単位でしか数えられず、1枚にすると併設の多い法人が同じ職員の数を何度も書くことになり合計が実数を超える。⚠ 7地区の名称は当方の仮置きが誤っており、素案 1-6 の表で確かめて直した。確定する素案の箇所41件。確認事項No.170〜173を起票。資料提供依頼No.39を起票（国保連データが未受領で町外の事業所の宛先が作れないため、居宅介護支援事業所の給付管理の相手方で代替）。回答の受入検査（検査1〜10）を先に用意した。</t>
        </is>
      </c>
    </row>
    <row r="32">
      <c r="A32" s="32" t="n">
        <v>28</v>
      </c>
      <c r="B32" s="32" t="inlineStr">
        <is>
          <t>第9期の施策・事業の評価のルール</t>
        </is>
      </c>
      <c r="C32" s="32" t="inlineStr">
        <is>
          <t>R8.10.17</t>
        </is>
      </c>
      <c r="D32" s="32" t="inlineStr">
        <is>
          <t>35事業の評価を町にご記入いただくのに、評価の区分と判定の基準がないと記入のしようがない。町のご記入（No.8・残る65件）を待つ間に定めておく。</t>
        </is>
      </c>
      <c r="E32" s="32" t="inlineStr">
        <is>
          <t>束3のうちNo.8</t>
        </is>
      </c>
      <c r="F32" s="32" t="inlineStr">
        <is>
          <t>第9期施策評価の実施要領（xlsx）</t>
        </is>
      </c>
      <c r="G32" s="32" t="inlineStr">
        <is>
          <t>1日</t>
        </is>
      </c>
      <c r="H32" s="32" t="inlineStr">
        <is>
          <t>完了</t>
        </is>
      </c>
      <c r="I32" s="32" t="inlineStr">
        <is>
          <t>令和8年10月17日　第9期施策評価の実施要領（案）を作成した（川崎町_第9期施策評価_実施要領_案_R8.10.17.xlsx・11シート）。第9期実績一覧（町記入用）の「06_第10期反映方針」は、事業ごとに第10期方針と優先度を町にご記入いただく様式であるが、**評価の区分と判定の基準がなく記入のしようがなかった。** 達成度4区分（Ａ〜Ｄ）＋評価不能、第10期方針6区分と判定の道筋、優先度3区分を定め、35事業の評価欄を起こした（事業は実物から数えた）。⚠ **「評価不能」を「未達」に丸めない形にした。** Ｄは実施しなかったことが確かめられた場合に限る。⚠ **必須事業では「縮小」「廃止」を選べない**ことを先に確かめる順番にし、達成度Ｃ・Ｄでも原因が供給側なら「拡充」が答えになるようにした。⚠ 素案 8-4 の交付金「評価結果の活用」の要件ア〜エ4件すべてに対応を書いた。**本要領そのものが要件エ（公表の様式をあらかじめ定める）に当たり、16点の回復に直接効く。** ⚠ **関連施策評価調査シート（R8.9）と評価の言葉が2通りになっていたことが分かった**（「自己評価（1〜4）」の意味が定義されておらず、方針の区分も食い違う）。揃え方を提案した。確認事項No.182を起票。</t>
        </is>
      </c>
    </row>
    <row r="33">
      <c r="A33" s="32" t="n">
        <v>29</v>
      </c>
      <c r="B33" s="32" t="inlineStr">
        <is>
          <t>中長期の見込量と保険料の内訳を成果品に書き出す</t>
        </is>
      </c>
      <c r="C33" s="32" t="inlineStr">
        <is>
          <t>R8.10.14</t>
        </is>
      </c>
      <c r="D33" s="32" t="inlineStr">
        <is>
          <t>根拠の棚卸しで残った70件は、いずれも中長期（令和17・22年度）の見込量と保険料の内訳である。算定はしているが、計画見込量のxlsxが令和11年度までしか持っておらず、素案にしか数が残っていない。書き出せば、素案の数の裏づけがほぼすべて揃う。</t>
        </is>
      </c>
      <c r="E33" s="32" t="inlineStr">
        <is>
          <t>―（公表版の確定の前提）</t>
        </is>
      </c>
      <c r="F33" s="32" t="inlineStr">
        <is>
          <t>計画見込量（中長期と保険料の内訳を加えた版）</t>
        </is>
      </c>
      <c r="G33" s="32" t="inlineStr">
        <is>
          <t>半日</t>
        </is>
      </c>
      <c r="H33" s="32" t="inlineStr">
        <is>
          <t>完了</t>
        </is>
      </c>
      <c r="I33" s="32" t="inlineStr">
        <is>
          <t>令和8年10月17日　中長期の見込量と保険料の内訳を書き出した（川崎町_第10期_計画見込量_中長期・保険料内訳_R8.10.17.xlsx・9シート）。**棚卸しの70件すべてに出所又は算定式を対応づけた（対応済み70件・未対応0件）。** ⚠ **数値の正本は計画素案である。** 本表は素案の表から値を読むもので、数値を別に持たない。⚠ **いちばん重い発見。** 9-1 のサービス別の中長期の和が、9-2 の総給付費と合っていなかった（令和17年度で▲94,878千円・総給付費の8.5％）。Ver.2.14 で 9-1 に加えた15サービスの中長期の列を「─」のまま空けたことによる、表の間の範囲の食い違いであった。**これらの値は既に算定されており、9-2 の総給付費には最初から入っていた。** 「推計していない」のではなく「表に書き写していなかった」。原典（年報・見える化システムの総括表）から算定し直し、**算定した令和7年度・令和11年度の給付費・利用者数・回（日）数が素案の値とすべて一致することを確かめたうえで**、素案 Ver.2.17 で15サービス・74セルを埋めた。これにより 9-1 と 9-2 が3か年すべてで一致した（令和17年度 94,879千円・令和22年度 100,997千円を補完）。⚠ Ver.2.16 で置いた注の記述（「サービスごとの長期推計を行っていない」）が誤っていたため書き直した。⚠ 5-5 の「入所・居住系680,226千円」は、地域密着型をまるごと足したものではないことも分かった（定期巡回・地域密着型通所介護・看護小規模多機能型は在宅。介護予防の認知症対応型共同生活介護は含む）。円で足して一度だけ千円に丸めると差0で再現した。⚠ 保険料・給付費の総額は変えていない。確認事項No.183を起票。</t>
        </is>
      </c>
    </row>
    <row r="34">
      <c r="A34" s="35" t="inlineStr">
        <is>
          <t>30</t>
        </is>
      </c>
      <c r="B34" s="35" t="inlineStr">
        <is>
          <t>他メンバー作成の第10期計画素案との対比と第9期計画の再整理</t>
        </is>
      </c>
      <c r="C34" s="35" t="inlineStr">
        <is>
          <t>R8.10.16</t>
        </is>
      </c>
      <c r="D34" s="35" t="inlineStr">
        <is>
          <t>ご指示による。他メンバーが作成した第10期計画素案（2部8章＋資料編・段落1212・表132・図45）を受領した。正本は当方案とし、内容だけを取り込む方針で進める。あわせて第9期計画（全108頁）を再整理し、記載変更が必要な箇所と修正が必要な箇所を洗い出す。</t>
        </is>
      </c>
      <c r="E34" s="35" t="inlineStr">
        <is>
          <t>―（成果品の質・法定記載事項の充足）</t>
        </is>
      </c>
      <c r="F34" s="35" t="inlineStr">
        <is>
          <t>他メンバー素案との対比_論点整理（xlsx・11シート）／計画素案 Ver.2.14・Ver.2.15</t>
        </is>
      </c>
      <c r="G34" s="35" t="inlineStr">
        <is>
          <t>1日</t>
        </is>
      </c>
      <c r="H34" s="35" t="inlineStr">
        <is>
          <t>完了</t>
        </is>
      </c>
      <c r="I34" s="35" t="inlineStr">
        <is>
          <t>令和8年10月16日　受領した素案を 09_元資料/他メンバー資料/ へ退避し（検査8のMD5突合が10件で適合）、川崎町_他メンバー素案との対比_論点整理_R8.10.16.xlsx（11シート）を作成した。⚠ 添付は第9期計画書の改訂版であり（章立てが第9期の目次と同一）、強みは体裁と文章の充実である。数値・制度改正・供給体制・保険料は当方の正本が先に進んでいる（添付は【町確認】90か所）。11の持ち場に手分けして303件を洗い出し、当方が機械で確かめた重点は30件（重い16件）。⚠ **令和7年度の給付実績は17サービスで完全に一致した**（出所の異なる2つの算定が一致し、当方の読み取りが確かめられた）。⚠ **いちばん重い発見は2件。**①素案 9-1 の見込量の表に15サービス・84,370千円（総給付費の8.5％）が落ちていた（法第117条第2項第1号の種類ごとの量の見込みの欠落）②素案 2-3 の第1号被保険者数・認定者数の実績が年報と20か所食い違っていた（3,270は令和5年度末、3,285は令和4年度末の値で年度が2年ずれていた）。いずれも素案 Ver.2.14・Ver.2.15 で是正し、機械の検査（check_mikomi_morasi・check_nintei）を新設した。⚠ **添付と並べて読んだことにより、当方の正本そのものの不具合も見えた。** ①9-1 で「介護予防サービスの見込量」の見出しの下に地域密着型の表が入り、同じ表が2つあった（重なる11キーの値はすべて一致＝同じ数値を2か所に置いていた）②施策事業表の内容欄31セルに事業の内容でない記述が入っていた③本文に受託者の担当者名・他社名・版の履歴が残っていた④表紙の版名が食い違い発行年月が誤っていた⑤「地域密着型サービス運営委員会」は町の正本では「運営協議会」であった。**いずれも Ver.2.16 で是正した。** 内容欄のうち16セルは添付の本文を取り込んだ（ご指示の「内容だけ添付の使えるものを取り込む」に当たる）。⚠ 保険料・給付費・見込量の数値は変えていない。確認事項No.174〜181を起票。</t>
        </is>
      </c>
    </row>
    <row r="35">
      <c r="A35" s="35" t="inlineStr">
        <is>
          <t>31</t>
        </is>
      </c>
      <c r="B35" s="35" t="inlineStr">
        <is>
          <t>認知症の人の数の推計（基本指針 別表一 事項十一）</t>
        </is>
      </c>
      <c r="C35" s="35" t="inlineStr">
        <is>
          <t>R8.10.19</t>
        </is>
      </c>
      <c r="D35" s="35" t="inlineStr">
        <is>
          <t>ご相談による。有病率は国が公表しており、年齢階級別・男女別の人口は町ご提供の年齢別人口集計表（令和8年6月末現在・1歳刻み）がある。町のご回答を待たずに算出できる。⚠ 高齢化率だけでは足りず、65歳以上の年齢階級別の内訳が要る。</t>
        </is>
      </c>
      <c r="E35" s="35" t="inlineStr">
        <is>
          <t>束のうちNo.157（推計値の側）</t>
        </is>
      </c>
      <c r="F35" s="35" t="inlineStr">
        <is>
          <t>認知症の人の数の推計（xlsx・9シート）と計画素案 Ver.2.19</t>
        </is>
      </c>
      <c r="G35" s="35" t="inlineStr">
        <is>
          <t>半日</t>
        </is>
      </c>
      <c r="H35" s="35" t="inlineStr">
        <is>
          <t>完了</t>
        </is>
      </c>
      <c r="I35" s="35" t="inlineStr">
        <is>
          <t>令和8年10月19日　認知症374人（65歳以上の11.7％）・ＭＣＩ474人（14.8％）と推計し、素案 6-1 に掲げた。⚠ **Ver.2.18 までの素案には認知症の人の数が1か所もなかった**（方針を1-5の対比表に書いていただけ）。同じ式を全国の年齢階級別人口に当て直すと国の公表値12.3％に戻ることを検算で確かめている。⚠ **将来の推計値と自立度Ⅱ以上の実数は未了**（No.157）。</t>
        </is>
      </c>
    </row>
    <row r="36">
      <c r="A36" s="35" t="inlineStr">
        <is>
          <t>32</t>
        </is>
      </c>
      <c r="B36" s="35" t="inlineStr">
        <is>
          <t>受領した将来推計総括表（R8.10.19出力）の確認と将来の認知症の人の数の推計</t>
        </is>
      </c>
      <c r="C36" s="35" t="inlineStr">
        <is>
          <t>R8.10.19</t>
        </is>
      </c>
      <c r="D36" s="35" t="inlineStr">
        <is>
          <t>ご依頼による。受領した総括表を全セルで突き合わせ、将来推計人口の有無と、素案への波及を確かめる。町のご回答を待たずに行える。</t>
        </is>
      </c>
      <c r="E36" s="35" t="inlineStr">
        <is>
          <t>束のうちNo.76・79・80・184／新規No.185・186</t>
        </is>
      </c>
      <c r="F36" s="35" t="inlineStr">
        <is>
          <t>全セル突合（txt）・認知症の人の数の推計（xlsx 11シート）・ご報告のメモ（md）</t>
        </is>
      </c>
      <c r="G36" s="35" t="inlineStr">
        <is>
          <t>1日</t>
        </is>
      </c>
      <c r="H36" s="35" t="inlineStr">
        <is>
          <t>完了</t>
        </is>
      </c>
      <c r="I36" s="35" t="inlineStr">
        <is>
          <t>令和8年10月19日　⚠ **将来推計人口（被保険者数）は新旧で1つも動いていない。** 年齢3区分（前期65〜74歳／後期75〜84歳／後期85歳〜）は令和9〜32年度まで完全一致で、R8.9.11出力の版にも同じ値が入っていた。⚠ **当方が10月19日に「年齢階級別の将来人口がない」と申し上げたのは、この欄を見落としていたためである。**3区分から暫定の推計を行った（令和12年度424人・令和17年度457人・令和22年度487人）。按分なしで行うには見える化の「自然体推計の計算過程確認シート」が要る（No.185）。⚠ **動いたのは人口の下流で、動いたセルは2,754件。**認定者数・保険料・地域支援事業費・所得段階・収納率・調整交付金が動き、令和8年度の実績見込み値が差し替え前に戻っていた（No.79）。</t>
        </is>
      </c>
    </row>
    <row r="37">
      <c r="A37" s="35" t="inlineStr">
        <is>
          <t>33</t>
        </is>
      </c>
      <c r="B37" s="35" t="inlineStr">
        <is>
          <t>環境の通信の見直しと、公表システムのオープンデータの発見</t>
        </is>
      </c>
      <c r="C37" s="35" t="inlineStr">
        <is>
          <t>R8.10.20</t>
        </is>
      </c>
      <c r="D37" s="35" t="inlineStr">
        <is>
          <t>ご指示による。環境の通信の設定を見直すにあたり、どのホストが要るかを用途つきで一覧にした。町のご回答を待たずに行える。</t>
        </is>
      </c>
      <c r="E37" s="35" t="inlineStr">
        <is>
          <t>束4のうちNo.29／束11のうちNo.181</t>
        </is>
      </c>
      <c r="F37" s="35" t="inlineStr">
        <is>
          <t>許可ドメイン候補の整理（md）と疎通の確認（py・22ホスト）</t>
        </is>
      </c>
      <c r="G37" s="35" t="inlineStr">
        <is>
          <t>半日</t>
        </is>
      </c>
      <c r="H37" s="35" t="inlineStr">
        <is>
          <t>完了</t>
        </is>
      </c>
      <c r="I37" s="35" t="inlineStr">
        <is>
          <t>令和8年10月20日　⚠ **2つが前に進められるようになった。**①法令検索（laws.e-gov.go.jp）が通るようになり、資料編の条文を原文から起こせる（No.181）。②⚠ **介護サービス情報公表システムの事業所の一覧が、厚生労働省のオープンデータ（ＣＳＶ）として許可済みのドメインから取れる。**市町村コード043249で川崎町の事業所を取れることを確かめた（事業所名・事業所番号・法人番号・法人の名称・所在地・定員の24列）。作業順位26（県の公表名簿との突合）が、許可を待たずに行える。⚠ 最優先で足していただきたいのは www.ipss.go.jp（社人研の市区町村別・5歳階級別の将来推計人口。認知症の人の数の将来の推計に直に効く）と www.satsuki-jutaku.mlit.go.jp（サ高住。⚠ 元のドメインを許可しても301で移るため届かない）。整理は 10_内部資料_非成果品/ に置いた（他団体の固有名称を含むため成果品の置き場に置かない）。</t>
        </is>
      </c>
    </row>
    <row r="38">
      <c r="A38" s="35" t="inlineStr">
        <is>
          <t>34</t>
        </is>
      </c>
      <c r="B38" s="35" t="inlineStr">
        <is>
          <t>事業所の突合（公表システムのオープンデータによる）</t>
        </is>
      </c>
      <c r="C38" s="35" t="inlineStr">
        <is>
          <t>R8.10.20</t>
        </is>
      </c>
      <c r="D38" s="35" t="inlineStr">
        <is>
          <t>ご指示による。許可済みのドメインから取れることが分かったため、環境の設定の変更も町のご回答も待たずに行える。</t>
        </is>
      </c>
      <c r="E38" s="35" t="inlineStr">
        <is>
          <t>束4のうちNo.29／束10のうちNo.154</t>
        </is>
      </c>
      <c r="F38" s="35" t="inlineStr">
        <is>
          <t>事業所・住まいの突合結果（xlsx・7シート）と素案 Ver.2.20</t>
        </is>
      </c>
      <c r="G38" s="35" t="inlineStr">
        <is>
          <t>半日</t>
        </is>
      </c>
      <c r="H38" s="35" t="inlineStr">
        <is>
          <t>完了</t>
        </is>
      </c>
      <c r="I38" s="35" t="inlineStr">
        <is>
          <t>令和8年10月20日　町内8事業所・3法人を確定。⚠ **素案の誤りを1件直した**（町内にない小規模多機能型居宅介護を「中心」としていた）。［要確認］18件→15件。⚠ **町民が利用しているサービスのうち7種類は町内に事業所がなく、町外の事業所の利用である**ことが分かり、素案2-7に加えた。担い手が3法人に集まっていることも加えた。⚠ 指定の年月日・入所率・未指定の住まいはオープンデータに含まれず、確認待ちのまま。</t>
        </is>
      </c>
    </row>
    <row r="39">
      <c r="A39" s="35" t="inlineStr">
        <is>
          <t>35</t>
        </is>
      </c>
      <c r="B39" s="35" t="inlineStr">
        <is>
          <t>事業所ヒアリングを行わない整理（公表システム本体からの採録）</t>
        </is>
      </c>
      <c r="C39" s="35" t="inlineStr">
        <is>
          <t>R8.10.20</t>
        </is>
      </c>
      <c r="D39" s="35" t="inlineStr">
        <is>
          <t>ご指示による。オープンデータの24列に含まれない項目（入所率・待機者数・職員数・指定の年月日）が、公表システム本体の詳細ページには載っていることが分かった。対象（事業所番号×サービスコード）はオープンデータの抽出結果から起こせるため、町のご回答を待たずに行える。</t>
        </is>
      </c>
      <c r="E39" s="35" t="inlineStr">
        <is>
          <t>束4のうちNo.29・No.50・No.51／束10のうちNo.159／No.170</t>
        </is>
      </c>
      <c r="F39" s="35" t="inlineStr">
        <is>
          <t>町内事業所の実態（xlsx・8シート）と素案 Ver.2.21／逆算工程表 R8.10.20（xlsx・5シート）</t>
        </is>
      </c>
      <c r="G39" s="35" t="inlineStr">
        <is>
          <t>1日</t>
        </is>
      </c>
      <c r="H39" s="35" t="inlineStr">
        <is>
          <t>完了</t>
        </is>
      </c>
      <c r="I39" s="35" t="inlineStr">
        <is>
          <t>⚠ **14の指定すべてを採録した。**入所率90.0〜100.0％・待機者数（介護老人福祉施設20人・介護老人保健施設2人）・認知症対応型共同生活介護の定員計27人・指定の年月日・退所先・職種別の従業者数と常勤換算・前年度の採用者数と退職者数が埋まった。素案のヒアリング依存の記述を39か所差し替え、「事業所ヒアリング」は0件になった。⚠ 残る5件（稼働率・入所前の居所・休止床・経営の状況・町への要望）は代わりの扱いを素案に明記した。⚠ 第1回策定委員会での委員のご発言に基づく人数・金額は外した（出所を明示できず、8事業所3法人のため法人が識別され得る）。</t>
        </is>
      </c>
    </row>
    <row r="40">
      <c r="A40" s="35" t="inlineStr">
        <is>
          <t>36</t>
        </is>
      </c>
      <c r="B40" s="35" t="inlineStr">
        <is>
          <t>第2回策定委員会の資料の整理と想定問答集</t>
        </is>
      </c>
      <c r="C40" s="35" t="inlineStr">
        <is>
          <t>R8.10.21</t>
        </is>
      </c>
      <c r="D40" s="35" t="inlineStr">
        <is>
          <t>ご指示による。開催日（令和8年11月24日）が確定し、ヒアリングを行わない整理と素案 Ver.2.21 が整ったため、資料と想定問答集を引き直せる。</t>
        </is>
      </c>
      <c r="E40" s="35" t="inlineStr">
        <is>
          <t>束のうちNo.49・No.19・No.53・No.83／No.186・No.79の提示</t>
        </is>
      </c>
      <c r="F40" s="35" t="inlineStr">
        <is>
          <t>第2回策定委員会資料 v9（全９版・表44）／想定問答集 v5（全61問）／計画素案 Ver.2.22</t>
        </is>
      </c>
      <c r="G40" s="35" t="inlineStr">
        <is>
          <t>1日</t>
        </is>
      </c>
      <c r="H40" s="35" t="inlineStr">
        <is>
          <t>完了</t>
        </is>
      </c>
      <c r="I40" s="35" t="inlineStr">
        <is>
          <t>⚠ **委託仕様書の読み違いを1件是正した。** v8 の表38 の「委託仕様書上、策定委員会は3回構成」は誤りで、仕様書6(3)は「4回開催の予定」と定めている。⚠ **計画素案の給付費の二重の値を是正した**（1,085,203千円→1,084,587千円）。⚠ **交付金の「27点」が2つあることを書き分けた。**公表情報による町内事業所の状況の表と退所先の表を資料に加え、想定問答集に17問を加えた（44問→61問）。第1回の委員のご発言に基づく人数・金額は資料・問答集の双方から外した。</t>
        </is>
      </c>
    </row>
    <row r="41">
      <c r="A41" s="35" t="inlineStr">
        <is>
          <t>37</t>
        </is>
      </c>
      <c r="B41" s="35" t="inlineStr">
        <is>
          <t>残る5件の確認方針（県の公表資料の洗い出し）</t>
        </is>
      </c>
      <c r="C41" s="35" t="inlineStr">
        <is>
          <t>R8.10.22</t>
        </is>
      </c>
      <c r="D41" s="35" t="inlineStr">
        <is>
          <t>ご指示による。県内他団体の前期計画を確かめるにあたり、まず届く範囲（宮城県）に何があるかを当たったところ、県が3か月ごとに施設別の入所状況を公表していた。</t>
        </is>
      </c>
      <c r="E41" s="35" t="inlineStr">
        <is>
          <t>束のうちNo.159（稼働率・休止床が埋まる）／No.154（軽費老人ホームの廃止）／No.170・No.50・No.51</t>
        </is>
      </c>
      <c r="F41" s="35" t="inlineStr">
        <is>
          <t>施設の入所状況の推移（xlsx・8シート）／残る5件の確認方針（md）／原典18件</t>
        </is>
      </c>
      <c r="G41" s="35" t="inlineStr">
        <is>
          <t>1日</t>
        </is>
      </c>
      <c r="H41" s="35" t="inlineStr">
        <is>
          <t>完了</t>
        </is>
      </c>
      <c r="I41" s="35" t="inlineStr">
        <is>
          <t>⚠ **残る5件のうち稼働率と休止床が、照会を行わずに埋まった。** 令和5年4月から令和8年7月まで14時点。⚠ **町内にあった軽費老人ホーム（定員70人）が令和5年10月に休止し令和6年4月までに廃止されていた**ことが分かった（No.154）。⚠ **入所前の居所は、県の入所指針が定める保険者の責務（第3）の中で集計値を求める筋を立てた。**⚠ **県内他団体の前期計画は読めていない**（環境の通信の制限により県内市町村のサイトが403。13ホストを実測）。未実施として残し、確かめる3案をメモに示した。⚠ 途中で所在地の読み取りを誤り、別の市町村の同名施設を拾った。検査を加えて是正した。　【令和8年10月22日 更新②（方針Ｃ・素案Ver.2.23）】⚠ **県内他団体の前期計画は確かめずに進める（方針Ｃ・ご指示）。** 想定問答集 v6 の QB-64 で、比較を行っていないことをそのまま答える形にした。県調査の結果を素案 Ver.2.23・資料 v10・問答集 v6 に同じ版で反映した。</t>
        </is>
      </c>
    </row>
    <row r="42">
      <c r="A42" s="35" t="inlineStr">
        <is>
          <t>38</t>
        </is>
      </c>
      <c r="B42" s="35" t="inlineStr">
        <is>
          <t>交付金の状況の再整理と策定委員会資料への反映</t>
        </is>
      </c>
      <c r="C42" s="35" t="inlineStr">
        <is>
          <t>R8.10.22</t>
        </is>
      </c>
      <c r="D42" s="35" t="inlineStr">
        <is>
          <t>ご指示による。同じ原典（全国集計結果）を枝の単位まで解いた他の案件の点検の観点を借り、本町の記述に同じ誤りがないかを確かめた。町のご回答を待たずに行える。</t>
        </is>
      </c>
      <c r="E42" s="35" t="inlineStr">
        <is>
          <t>No.39（交付金を保険料に見込むか）／No.58</t>
        </is>
      </c>
      <c r="F42" s="35" t="inlineStr">
        <is>
          <t>交付金の推移の再整理（xlsx・5シート）／取りまとめ表 R8.10.22／計画素案 Ver.2.24／資料 v11／想定問答集 v7／交付金の状況の再整理（md）</t>
        </is>
      </c>
      <c r="G42" s="35" t="inlineStr">
        <is>
          <t>1日</t>
        </is>
      </c>
      <c r="H42" s="35" t="inlineStr">
        <is>
          <t>完了</t>
        </is>
      </c>
      <c r="I42" s="35" t="inlineStr">
        <is>
          <t>⚠ **素案に事実と違う記述が2か所あった**（保険料算定は交付実績を据え置いている→実際は交付金を見込んでいない）。⚠ 37点の内訳を成果▲30・配点改定▲7・新設＋2・後退▲34・前進＋32と正した。宮城県平均が1年で78.6点上がったことが県内順位3位→8位の主因。総括表は交付金4,500千円を見込んでおり、素案と食い違う（月額約40円）。No.39 でご判断を仰ぐ。</t>
        </is>
      </c>
    </row>
    <row r="43">
      <c r="A43" s="35" t="inlineStr">
        <is>
          <t>39</t>
        </is>
      </c>
      <c r="B43" s="35" t="inlineStr">
        <is>
          <t>町内の軽費老人ホームの廃止の確認結果の反映</t>
        </is>
      </c>
      <c r="C43" s="35" t="inlineStr">
        <is>
          <t>R8.10.22</t>
        </is>
      </c>
      <c r="D43" s="35" t="inlineStr">
        <is>
          <t>ご指示による。廃止前後を公表資料で調べた結果の提供を受け、手元の県の入所状況調と突き合わせた。</t>
        </is>
      </c>
      <c r="E43" s="35" t="inlineStr">
        <is>
          <t>No.154 のうち軽費老人ホーム</t>
        </is>
      </c>
      <c r="F43" s="35" t="inlineStr">
        <is>
          <t>計画素案 Ver.2.25／資料 v12／想定問答集 v8／軽費老人ホーム廃止の確認結果（md）</t>
        </is>
      </c>
      <c r="G43" s="35" t="inlineStr">
        <is>
          <t>半日</t>
        </is>
      </c>
      <c r="H43" s="35" t="inlineStr">
        <is>
          <t>完了</t>
        </is>
      </c>
      <c r="I43" s="35" t="inlineStr">
        <is>
          <t>廃止日 令和6年3月31日。⚠ **提供資料で未確認とされた廃止前の入所者数と退所先の一部が、県の入所状況調で埋まった**（13人→7人→0人、退所32人のうち他の施設28）。⚠ 素案の「住まい70人分が失われた」を改めた。本町の住民の数・移られた先の種別と市町村・廃止の理由は、県への廃止届の確認を町にお願いする。</t>
        </is>
      </c>
    </row>
    <row r="44">
      <c r="A44" s="35" t="inlineStr">
        <is>
          <t>40</t>
        </is>
      </c>
      <c r="B44" s="35" t="inlineStr">
        <is>
          <t>第2回策定委員会資料の書式の整理（第1回の踏襲）</t>
        </is>
      </c>
      <c r="C44" s="35" t="inlineStr">
        <is>
          <t>R8.10.22</t>
        </is>
      </c>
      <c r="D44" s="35" t="inlineStr">
        <is>
          <t>ご指示による。計画素案は策定委員会に未提出のため修正履歴は不要。表の中央揃えを左揃えに。書式は第1回の資料を踏襲する。</t>
        </is>
      </c>
      <c r="E44" s="35" t="inlineStr">
        <is>
          <t>成果品6</t>
        </is>
      </c>
      <c r="F44" s="35" t="inlineStr">
        <is>
          <t>第2回策定委員会資料 v13／想定問答集 v9</t>
        </is>
      </c>
      <c r="G44" s="35" t="inlineStr">
        <is>
          <t>半日</t>
        </is>
      </c>
      <c r="H44" s="35" t="inlineStr">
        <is>
          <t>完了</t>
        </is>
      </c>
      <c r="I44" s="35" t="inlineStr">
        <is>
          <t>⚠ **v12 の表紙は帯の網掛けが clear になっており、白抜きの題名が見えなかった。**第1回と同じ solid に戻し、町のロゴを入れ、2章から改頁。表は本文を左揃え・1行おきの網掛け。⚠ は第1回にならい ※ に（0件）。当社資料の訂正11件の節・版の記述を除いた。古い値の残り（検算6,100項目→6,400項目、圧縮後102頁→106頁）を直した。</t>
        </is>
      </c>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2026-10-22T14:01:59Z</dcterms:modified>
</cp:coreProperties>
</file>