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0.7</v>
      </c>
      <c r="H7" s="9" t="inlineStr">
        <is>
          <t>R9.2</t>
        </is>
      </c>
      <c r="I7" s="7" t="inlineStr">
        <is>
          <t>第1回は令和8年9月2日に開催済み。議事録・想定問答集を提出済み。第2回（令和8年11月予定）の説明資料はv2まで作成済み（保険料を仮試算から令和7年度の年報による確定値に置き換えた）。想定問答集（全30問・7カテゴリ）も作成済み。残るのは開催日の確定（確認事項No.85）。</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0.85</v>
      </c>
      <c r="H8" s="9" t="inlineStr">
        <is>
          <t>R8.10</t>
        </is>
      </c>
      <c r="I8" s="7" t="inlineStr">
        <is>
          <t>①②は完了。令和8年9月11日受領の見える化システムの画面の写し及び総括表により、令和7年度の年報（要介護度別明細）まで取り込んだ。③現行施策（第9期35事業）の実績は【町確認】欄がご記入待ち。保険者機能強化推進交付金等の全国集計結果は受領・反映済み。</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0.85</v>
      </c>
      <c r="H10" s="9" t="inlineStr">
        <is>
          <t>R8.10</t>
        </is>
      </c>
      <c r="I10" s="7" t="inlineStr">
        <is>
          <t>①②は完了し、川崎町固有の5重点課題を整理済み。第2章・第3章の現状分析を令和7年度実績（年報）に更新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0.8</v>
      </c>
      <c r="H11" s="9" t="inlineStr">
        <is>
          <t>R9.2</t>
        </is>
      </c>
      <c r="I11" s="7" t="inlineStr">
        <is>
          <t>素案はVer.1.17まで作成（全67頁・515段落・75表・6図）。第9章にサービス見込量・給付費・保険料の確定値、中長期推計（令和17年度・令和22年度）、保険料算定表（記号A〜J・年度別）及び感度分析を掲載した。目次の頁番号を全56行に記入した。残るのは第3章の町確認欄と、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0.2</v>
      </c>
      <c r="H12" s="9" t="inlineStr">
        <is>
          <t>R9.3</t>
        </is>
      </c>
      <c r="I12" s="7" t="inlineStr">
        <is>
          <t>中間報告の提出期日が指定されていない（確認事項No.17）。計画書（案）は素案Ver.1.17を母体とするが、現行67頁に対し成果品は100頁程度であり増補を要する。概要版（8頁程度・3,500部）は未着手。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2件（ニーズ調査・在宅介護実態調査）を作成済み。あわせて、令和7年度の年報を基礎とするサービス見込量・給付費・保険料の独立算定を完了し、素案をVer.1.17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1.17。見える化システムへの入力は、在宅の利用回（日）数が令和8年5月ベースで固定されているため、新しい推計パターンの作成を提案し設定値一式（8シート）を提供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説明資料をv2まで作成（ご選択いただきたい事項5件・保険料の確定値・計画骨子案）。想定問答集（全30問・7カテゴリ）も作成済み。諮る事項はサービス見込量・給付費・保険料の3パターン。残るのは開催日の確定。</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6"/>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確認待ち</t>
        </is>
      </c>
      <c r="I109" s="9" t="inlineStr">
        <is>
          <t>R8.11</t>
        </is>
      </c>
      <c r="J109" s="7" t="inlineStr">
        <is>
          <t>体系（案）は第9期からの継続性が最も高く、タクシー利用助成（R7.3終了）・介護療養型医療施設（R5年度末廃止）も正しく落としてある。認知症施策の位置付けのみが論点。</t>
        </is>
      </c>
    </row>
    <row r="110" ht="80" customHeight="1">
      <c r="A110" s="9" t="inlineStr">
        <is>
          <t>106</t>
        </is>
      </c>
      <c r="B110" s="9" t="inlineStr">
        <is>
          <t>(7)</t>
        </is>
      </c>
      <c r="C110" s="9" t="inlineStr">
        <is>
          <t>R8.11</t>
        </is>
      </c>
      <c r="D110" s="7" t="inlineStr">
        <is>
          <t>家族介護者支援・介護離職防止を体系のどこに置くか</t>
        </is>
      </c>
      <c r="E110" s="7" t="inlineStr">
        <is>
          <t>体系（案）には「家族介護」「介護者」「離職」「両立」の語がありません。今回の在宅介護実態調査の中心的な知見（主な介護者の70歳以上42.1％・第9期比＋6.8ポイント、働きながらの介護継続が「難しい」25.6％・同＋8.4ポイント、介護のために離職・転職した世帯19.1％）に対応する施策群であり、受け皿が必要です。①第3章第1節に「3 家族介護者への支援」を新設する、②第4章第2節3（任意事業）に「家族介護支援事業」を加える、のいずれかをご判断ください。②であれば地域支援事業（任意事業）として国庫補助の対象となります。</t>
        </is>
      </c>
      <c r="F110" s="7" t="inlineStr">
        <is>
          <t>素案 第5章5-3（表37・表38）
施策・事業の体系（案）</t>
        </is>
      </c>
      <c r="G110" s="9" t="inlineStr">
        <is>
          <t>発注者</t>
        </is>
      </c>
      <c r="H110" s="12" t="inlineStr">
        <is>
          <t>確認待ち</t>
        </is>
      </c>
      <c r="I110" s="9" t="inlineStr">
        <is>
          <t>R8.11</t>
        </is>
      </c>
      <c r="J110" s="7" t="inlineStr">
        <is>
          <t>素案では5-3に独立した項（6事業）を設けている。対象は、介護者の高齢化対策が本人が男性の世帯（介護者の70.6％が70歳以上）、両立支援が本人が女性の世帯（介護者の43.6％が50代以下）で、逆になる。</t>
        </is>
      </c>
    </row>
    <row r="111" ht="80" customHeight="1">
      <c r="A111" s="9" t="inlineStr">
        <is>
          <t>107</t>
        </is>
      </c>
      <c r="B111" s="9" t="inlineStr">
        <is>
          <t>(7)</t>
        </is>
      </c>
      <c r="C111" s="9" t="inlineStr">
        <is>
          <t>R8.11</t>
        </is>
      </c>
      <c r="D111" s="7" t="inlineStr">
        <is>
          <t>移動支援3事業を並記するか「移動支援の再構築」として束ねるか</t>
        </is>
      </c>
      <c r="E111" s="7" t="inlineStr">
        <is>
          <t>体系（案）は第3章第1節に外出支援サービス（移送サービス）事業・デマンド型乗合タクシーの運行・町民バスの運行の3事業を並記しています。計画素案は、所管が地域振興課・町民生活課・社会福祉協議会・NPOに分かれており住民への周知と利用情報の一元化が課題であることから、「移動支援の再構築【重点】」として1事業に束ねています。どちらの整理とするかをご判断ください。</t>
        </is>
      </c>
      <c r="F111" s="7" t="inlineStr">
        <is>
          <t>素案 第5章5-2（表35 事業2-3）
施策・事業の体系（案）第3章第1節</t>
        </is>
      </c>
      <c r="G111" s="9" t="inlineStr">
        <is>
          <t>発注者</t>
        </is>
      </c>
      <c r="H111" s="12" t="inlineStr">
        <is>
          <t>確認待ち</t>
        </is>
      </c>
      <c r="I111" s="9" t="inlineStr">
        <is>
          <t>R8.11</t>
        </is>
      </c>
      <c r="J111" s="7" t="inlineStr">
        <is>
          <t>認知症基本法第15条（移動のための交通手段の確保）の対応にも当たる。調査では自動車（自分で運転）74.1％に対し路線バス5.4％、外出を控える理由「交通手段がない」19.8％。</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体系（案）第6章は7項目で構成されており、計画素案第8章の8-3「計画値と実績値の乖離のモニタリングと公表」に対応する項がありません。令和8年度の保険者機能強化推進交付金で「評価結果の活用」が令和7年度の満点16点から0点となったことへの対応として素案に設けたものです。第6章7「自立支援・重度化防止に向けた目標と指標」に含めるか、8番目の項として加えるかをご判断ください。</t>
        </is>
      </c>
      <c r="F112" s="7" t="inlineStr">
        <is>
          <t>素案 第8章8-3
施策・事業の体系（案）第6章</t>
        </is>
      </c>
      <c r="G112" s="9" t="inlineStr">
        <is>
          <t>発注者</t>
        </is>
      </c>
      <c r="H112" s="12" t="inlineStr">
        <is>
          <t>確認待ち</t>
        </is>
      </c>
      <c r="I112" s="9" t="inlineStr">
        <is>
          <t>R8.11</t>
        </is>
      </c>
      <c r="J112" s="7" t="inlineStr">
        <is>
          <t>体系（案）第6章の他の6項目は計画素案の第7章・第8章・第10章と対応する。</t>
        </is>
      </c>
    </row>
    <row r="113" ht="80" customHeight="1">
      <c r="A113" s="9" t="inlineStr">
        <is>
          <t>109</t>
        </is>
      </c>
      <c r="B113" s="9" t="inlineStr">
        <is>
          <t>(7)</t>
        </is>
      </c>
      <c r="C113" s="9" t="inlineStr">
        <is>
          <t>R8.11</t>
        </is>
      </c>
      <c r="D113" s="7" t="inlineStr">
        <is>
          <t>体系（案）の各事業にKPIを置くか</t>
        </is>
      </c>
      <c r="E113" s="7" t="inlineStr">
        <is>
          <t>体系（案）は117事業で構成されています。第10期計画では各指標に指標名・区分・現状値・目標値・集計担当・集計方法及び頻度・未把握の場合の対応を必ず付すこととしていますが、117事業すべてに置くと管理が現実的でなくなるおそれがあります。①重点事業に限る、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第9期の評価指標は集計担当・集計方法・集計頻度・出典が定められておらず、実績を確認できていない指標があった。</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確認待ち</t>
        </is>
      </c>
      <c r="I116" s="9" t="inlineStr">
        <is>
          <t>R8.10</t>
        </is>
      </c>
      <c r="J116" s="7" t="inlineStr">
        <is>
          <t>確認事項No.95（若年性認知症）と対応する。第20条は「国の研究成果の活用と普及」「意見聴取の結果の施策への反映」で足りると整理することも可能。</t>
        </is>
      </c>
    </row>
    <row r="117"/>
    <row r="118">
      <c r="A118" s="24" t="inlineStr">
        <is>
          <t>区分</t>
        </is>
      </c>
      <c r="B118" s="24" t="inlineStr">
        <is>
          <t>件数</t>
        </is>
      </c>
    </row>
    <row r="119">
      <c r="A119" s="10" t="inlineStr">
        <is>
          <t>完了</t>
        </is>
      </c>
      <c r="B119" s="9">
        <f>COUNTIF(H5:H116,"完了")</f>
        <v/>
      </c>
    </row>
    <row r="120">
      <c r="A120" s="12" t="inlineStr">
        <is>
          <t>実施中</t>
        </is>
      </c>
      <c r="B120" s="9">
        <f>COUNTIF(H5:H116,"実施中")</f>
        <v/>
      </c>
    </row>
    <row r="121">
      <c r="A121" s="14" t="inlineStr">
        <is>
          <t>確認待ち</t>
        </is>
      </c>
      <c r="B121" s="9">
        <f>COUNTIF(H5:H116,"確認待ち")</f>
        <v/>
      </c>
    </row>
    <row r="122">
      <c r="A122" s="16" t="inlineStr">
        <is>
          <t>未着手</t>
        </is>
      </c>
      <c r="B122" s="9">
        <f>COUNTIF(H5:H116,"未着手")</f>
        <v/>
      </c>
    </row>
    <row r="123">
      <c r="A123" s="18" t="inlineStr">
        <is>
          <t>対象外</t>
        </is>
      </c>
      <c r="B123" s="9">
        <f>COUNTIF(H5:H116,"対象外")</f>
        <v/>
      </c>
    </row>
    <row r="124"/>
    <row r="125">
      <c r="A125" s="23" t="inlineStr">
        <is>
          <t>注1）「回答・対応」欄は、発注者からの回答又は受託者による対応の結果を記入し、状態を「完了」に更新する。</t>
        </is>
      </c>
    </row>
    <row r="126">
      <c r="A126" s="23" t="inlineStr">
        <is>
          <t>注2）No.9〜11は保険料試算ワークブックの黄色セル（01!B15、06!B17、06!B16、04!B8、06!B10）と対応し、値を入力すると保険料基準額が自動で再計算される。</t>
        </is>
      </c>
    </row>
  </sheetData>
  <mergeCells count="4">
    <mergeCell ref="A1:J1"/>
    <mergeCell ref="A126:J126"/>
    <mergeCell ref="A125:J125"/>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2調査の結果報告書を作成済み。集計ブックとの全件突合及びレッドチームレビュー（v6）を実施済み。印刷仕様（A4・1色刷り・80頁程度・5部）への割付けが残る。</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川崎町_計画書素案_v1.17_中長期推計反映版.docx
（全67頁・515段落・75表・6図）
川崎町_資料編_構成案・素案.docx</t>
        </is>
      </c>
      <c r="D8" s="7" t="inlineStr">
        <is>
          <t>A4版　表紙レザック　本文上質紙
1色刷り　100頁程度　100部</t>
        </is>
      </c>
      <c r="E8" s="12" t="inlineStr">
        <is>
          <t>実施中</t>
        </is>
      </c>
      <c r="F8" s="20" t="n">
        <v>0.7</v>
      </c>
      <c r="G8" s="9" t="inlineStr">
        <is>
          <t>R9.3.15</t>
        </is>
      </c>
      <c r="H8" s="7" t="inlineStr">
        <is>
          <t>素案はVer.1.17。第9章に見込量・給付費・保険料の確定値、中長期推計、保険料算定表及び感度分析を掲載し、目次の頁番号を全56行に記入した。成果品の100頁程度への増補の方針が未定（確認事項No.83）。</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素案Ver.1.17（Word）
概要版（Word）
資料編（Word）</t>
        </is>
      </c>
      <c r="D10" s="7" t="inlineStr">
        <is>
          <t>一式（Word・PDF）</t>
        </is>
      </c>
      <c r="E10" s="12" t="inlineStr">
        <is>
          <t>実施中</t>
        </is>
      </c>
      <c r="F10" s="20" t="n">
        <v>0.7</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9"/>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資料提供依頼一覧（35件）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row r="41">
      <c r="A41" s="24" t="inlineStr">
        <is>
          <t>区分</t>
        </is>
      </c>
      <c r="B41" s="24" t="inlineStr">
        <is>
          <t>件数</t>
        </is>
      </c>
    </row>
    <row r="42">
      <c r="A42" s="10" t="inlineStr">
        <is>
          <t>完了</t>
        </is>
      </c>
      <c r="B42" s="9">
        <f>COUNTIF(I5:I39,"完了")</f>
        <v/>
      </c>
    </row>
    <row r="43">
      <c r="A43" s="12" t="inlineStr">
        <is>
          <t>実施中</t>
        </is>
      </c>
      <c r="B43" s="9">
        <f>COUNTIF(I5:I39,"実施中")</f>
        <v/>
      </c>
    </row>
    <row r="44">
      <c r="A44" s="14" t="inlineStr">
        <is>
          <t>確認待ち</t>
        </is>
      </c>
      <c r="B44" s="9">
        <f>COUNTIF(I5:I39,"確認待ち")</f>
        <v/>
      </c>
    </row>
    <row r="45">
      <c r="A45" s="16" t="inlineStr">
        <is>
          <t>未着手</t>
        </is>
      </c>
      <c r="B45" s="9">
        <f>COUNTIF(I5:I39,"未着手")</f>
        <v/>
      </c>
    </row>
    <row r="46">
      <c r="A46" s="18" t="inlineStr">
        <is>
          <t>対象外</t>
        </is>
      </c>
      <c r="B46" s="9">
        <f>COUNTIF(I5:I39,"対象外")</f>
        <v/>
      </c>
    </row>
    <row r="47"/>
    <row r="48">
      <c r="A48" s="23" t="inlineStr">
        <is>
          <t>注1）優先度は 最高／高／中／低 の別による。「最高」は、受領しない限り当該業務が完了しない資料を示す。</t>
        </is>
      </c>
    </row>
    <row r="49">
      <c r="A49" s="23" t="inlineStr">
        <is>
          <t>注2）「状態」が「完了」となった資料は、受領日を備考欄に記入する。</t>
        </is>
      </c>
    </row>
  </sheetData>
  <mergeCells count="4">
    <mergeCell ref="A1:J1"/>
    <mergeCell ref="A48:J48"/>
    <mergeCell ref="A2:J2"/>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2026-09-17T05:49:28Z</dcterms:modified>
</cp:coreProperties>
</file>