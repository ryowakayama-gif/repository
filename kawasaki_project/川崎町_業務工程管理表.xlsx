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令和8年9月30日　本表の記載は同日時点のもの。計画素案 Ver.2.6（図表整理版・649段落125表・全101頁）、第2回策定委員会資料 v6、想定問答集 v3（全39問）、施策・事業統合体系表（7章17節37項143事業）、交付金取りまとめ表（7シート）、計画書別添整理表（5シート）、認知症の意見聴取記録様式（9シート・様式0〜5）、認知症の計画記載事項 適合性確認表（6シート）、大雪広域との素案対比表（8シート）、図表データ管理台帳（13シート）まで作成済み。点検は、素案の自己点検32件・保険料の検算39項目・書体の点検13件・図表の自己点検8件・委員会資料の自己点検27件がいずれも適合。</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0.75</v>
      </c>
      <c r="H7" s="9" t="inlineStr">
        <is>
          <t>R9.2</t>
        </is>
      </c>
      <c r="I7" s="7" t="inlineStr">
        <is>
          <t>第1回は令和8年9月2日に開催済み。議事録・想定問答集を提出済み。第2回（令和8年11月予定）の資料はv5まで作成済みで、「７．交付金の評価と取り戻せる27点」を新設した。想定問答集も全35問・8カテゴリに拡充し、表番号による参照を節による参照に改めた。資料・想定問答集とも自己点検（27件・機械判定）に適合している。残るのは開催日の確定（確認事項No.85）と、選択1〜5のご判断を受けた第3回資料の作成。</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0.95</v>
      </c>
      <c r="H8" s="9" t="inlineStr">
        <is>
          <t>R8.10</t>
        </is>
      </c>
      <c r="I8" s="7" t="inlineStr">
        <is>
          <t>①②は完了。令和8年9月11日受領の見える化システムの画面の写し及び総括表により、令和7年度の年報（要介護度別明細）まで取り込んだ。交付金は令和6・7・8年度の全国集計を枝番（ア・イ・ウ…）の単位で突き合わせ、3か年の推移・県内比較・必要項目の対応可否・計画との紐付けを取りまとめ表（7シート）として整理した。各年度の枝番の合計が公表値（454点・565点・528点）と一致することを確認済み。③現行施策（第9期35事業）の実績は【町確認】欄がご記入待ち。</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①②は完了し、川崎町固有の5重点課題を整理済み。第2章・第3章の現状分析を令和7年度実績（年報）に更新した。調査結果報告書3文書の再修正版について、調査票の個票から約6,400項目を全数検算し（レビューv8・令和8年9月25日）、数値の誤りは付表2の丸め37件のみであることを確認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計画書素案_v2.6_図表整理版（649段落125表・全101頁）
図表データ管理台帳_R8.9.30（13シート・図6点／不足図の候補8件）
施策・事業統合体系表_R8.9.25b（6シート・7章17節37項143事業）
認知症_意見聴取記録様式_R8.9.30（9シート・様式0〜5・別添22）
認知症_計画記載事項_適合性確認表_R8.9.30（6シート）
大雪広域_素案対比表_R8.9.30（8シート）
交付金_取りまとめ表_R8.9.29（7シート）
計画書_別添整理表_R8.9.29（5シート）</t>
        </is>
      </c>
      <c r="F11" s="12" t="inlineStr">
        <is>
          <t>実施中</t>
        </is>
      </c>
      <c r="G11" s="20" t="n">
        <v>0.98</v>
      </c>
      <c r="H11" s="9" t="inlineStr">
        <is>
          <t>R9.2</t>
        </is>
      </c>
      <c r="I11" s="7" t="inlineStr">
        <is>
          <t>素案はVer.2.1まで作成（全88頁・588段落・111表）。Ver.2.0で統合体系表の143事業を第5章（106事業）・第6章6-4（28事業）・第8章（柱7の9事業）に書き下ろし、Ver.2.1で第10期に内容が変わる42事業（新規23・拡充19）について根拠となる事実と第10期での内容を章ごとの表で示した。あわせて交付金の失点27点の回復を第10章10-4のKPI管理表に組み込んだ。書き下ろした事業が統合体系表と1件のずれもなく一致することを自己点検（検査5）で機械的に確認している（31件すべて適合）。残るのは第3章の町確認欄、継続101事業の本文の記述、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16" t="inlineStr">
        <is>
          <t>未着手</t>
        </is>
      </c>
      <c r="G12" s="20" t="n">
        <v>0.35</v>
      </c>
      <c r="H12" s="9" t="inlineStr">
        <is>
          <t>R9.3</t>
        </is>
      </c>
      <c r="I12" s="7" t="inlineStr">
        <is>
          <t>中間報告の提出期日が指定されていない（確認事項No.17）。計画書（案）は素案Ver.2.0を母体とする。Ver.2.0で143事業の書き下ろしを終えたため、残るのは施策ごとの本文の記述と概要版（8頁程度・3,500部）の作成。現行84頁に対し成果品は100頁程度であり増補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稿を作成。地域支援事業の費用の見込みはデータ未受領のため保留。素案はVer.2.6（図表整理版・全101頁）まで更新した。書体・文字の大きさを大雪地区広域連合の協議用素案に合わせ（Ver.2.5）、図の数値の正本を1か所（data_zuhyo.py）にまとめて本文の図6点を作り直した（Ver.2.6）。この過程で、図9-1の保険料が素案Ver.2.3の是正に追随しておらず旧値（算定Ｂ6,170円・算定Ｃ5,518円）のままであったこと、画像に焼き込んだ図番号が素案の採番と4点食い違っていたことを是正した。認知症の人及び家族等からの意見聴取は令和8年10〜11月に実施する予定であり、記録様式（別添22・様式0〜5）を作成済み。</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資料をv6まで作成（ご選択いただきたい事項5件・保険料の3パターン・交付金の評価結果と取り戻せる27点・第1回からの訂正事項5件・当社資料の訂正6件・町案から取り込む事業10件・認知症施策の事業の追加候補15件と財源別の保険料影響）。想定問答集はv3（全39問8カテゴリ）。選択1（施策体系）のご判断により、追加候補15件を併せてご判断いただく。</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7"/>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大雪地区広域連合の協議用素案（令和8年8月）との対比により把握した。素案Ver.2.4の1-5に制度改正の節を新設し、当該の改正を掲げた。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R8.11</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R8.11</t>
        </is>
      </c>
      <c r="J158" s="7" t="inlineStr">
        <is>
          <t>第10期基本指針（案）の別表 八。素案に有料老人ホーム・サービス付き高齢者向け住宅が一度も現れていなかった。</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確認待ち</t>
        </is>
      </c>
      <c r="I165" s="9" t="inlineStr">
        <is>
          <t>R8.10</t>
        </is>
      </c>
      <c r="J165" s="7" t="inlineStr">
        <is>
          <t>残る5件は資料の受領が前提です。特にNo.3（第9期の計画値と実績値の対比）は確認事項No.133、No.6・No.7（年齢調整済み認定率・介護サービス自給率）は確認事項No.155、No.8（町内7地区別）は確認事項No.111に対応します。</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row r="169">
      <c r="A169" s="24" t="inlineStr">
        <is>
          <t>区分</t>
        </is>
      </c>
      <c r="B169" s="24" t="inlineStr">
        <is>
          <t>件数</t>
        </is>
      </c>
    </row>
    <row r="170">
      <c r="A170" s="10" t="inlineStr">
        <is>
          <t>完了</t>
        </is>
      </c>
      <c r="B170" s="9">
        <f>COUNTIF(H5:H167,"完了")</f>
        <v/>
      </c>
    </row>
    <row r="171">
      <c r="A171" s="12" t="inlineStr">
        <is>
          <t>実施中</t>
        </is>
      </c>
      <c r="B171" s="9">
        <f>COUNTIF(H5:H167,"実施中")</f>
        <v/>
      </c>
    </row>
    <row r="172">
      <c r="A172" s="14" t="inlineStr">
        <is>
          <t>確認待ち</t>
        </is>
      </c>
      <c r="B172" s="9">
        <f>COUNTIF(H5:H167,"確認待ち")</f>
        <v/>
      </c>
    </row>
    <row r="173">
      <c r="A173" s="16" t="inlineStr">
        <is>
          <t>未着手</t>
        </is>
      </c>
      <c r="B173" s="9">
        <f>COUNTIF(H5:H167,"未着手")</f>
        <v/>
      </c>
    </row>
    <row r="174">
      <c r="A174" s="18" t="inlineStr">
        <is>
          <t>対象外</t>
        </is>
      </c>
      <c r="B174" s="9">
        <f>COUNTIF(H5:H167,"対象外")</f>
        <v/>
      </c>
    </row>
    <row r="175"/>
    <row r="176">
      <c r="A176" s="23" t="inlineStr">
        <is>
          <t>注1）「回答・対応」欄は、発注者からの回答又は受託者による対応の結果を記入し、状態を「完了」に更新する。</t>
        </is>
      </c>
    </row>
    <row r="177">
      <c r="A177" s="23" t="inlineStr">
        <is>
          <t>注2）No.9〜11は保険料試算ワークブックの黄色セル（01!B15、06!B17、06!B16、04!B8、06!B10）と対応し、値を入力すると保険料基準額が自動で再計算される。</t>
        </is>
      </c>
    </row>
  </sheetData>
  <mergeCells count="4">
    <mergeCell ref="A1:J1"/>
    <mergeCell ref="A177:J177"/>
    <mergeCell ref="A176:J176"/>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【R8.9.25 更新】再修正版3文書をレビュー（v8）。約6,400項目を個票から再検算し、数値の誤りは37件（資料編 付表2のn=16の層で割合が偶数丸めとなっているもの。凡例は「小数第2位を四捨五入」）。これ以外の数値の不一致は0件。納品前に必ず処理するもの4件：①本編・ニーズ調査の目次が未更新（1行のみ）、②3文書とも文書プロパティの最終更新者名が残存、③ニーズ調査[P629]に編集メモが残存、④ニーズ調査 表73のキャプションが表の下にある。ほか数値・説明の修正4件、注記の追加5件。詳細は「川崎町_RedTeamレビューv8_再修正版_R8.9.25.md」。</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川崎町_計画書素案_v2.6_図表整理版.docx</t>
        </is>
      </c>
      <c r="D8" s="7" t="inlineStr">
        <is>
          <t>A4版　表紙レザック　本文上質紙
1色刷り　100頁程度　100部</t>
        </is>
      </c>
      <c r="E8" s="12" t="inlineStr">
        <is>
          <t>実施中</t>
        </is>
      </c>
      <c r="F8" s="20" t="n">
        <v>0.75</v>
      </c>
      <c r="G8" s="9" t="inlineStr">
        <is>
          <t>R9.3.15</t>
        </is>
      </c>
      <c r="H8" s="7" t="inlineStr">
        <is>
          <t>【R8.9.29 更新】素案Ver.2.1（本文88頁）。別添（資料編）に必要な項目28件を洗い出し、置き場所を5つに振り分けた（別添整理表R8.9.29）。計画書の資料編は10件13頁とし、本文88頁＋資料編13頁＝101頁で仕様書8の100頁程度に収まる。本文で足りるもの11件・別冊3件・調査報告書1件・ホームページ及び内部資料3件に振り分けた。新たに様式を起こすものが9件あり、うち4件は交付金・認知症基本法の要件そのもの。最も急ぐのは認知症の人及び家族等からの意見聴取の記録様式（R8.10上旬）。施策内容の本文をどこまで書き下ろすかは打合せによる。</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【R8.9.29 更新】概要版（8頁程度・3,500部）は未着手。計画書の資料編の割付が固まったため、概要版は本文の第3章（課題）・第4章（体系）・第9章（保険料）を軸に8頁で構成する案を第3回策定委員会でお示しする。</t>
        </is>
      </c>
      <c r="I9" s="9" t="inlineStr">
        <is>
          <t>18</t>
        </is>
      </c>
    </row>
    <row r="10" ht="84" customHeight="1">
      <c r="A10" s="9" t="n">
        <v>6</v>
      </c>
      <c r="B10" s="21" t="inlineStr">
        <is>
          <t>計画書概要及び計画書案等の電子データ</t>
        </is>
      </c>
      <c r="C10" s="7" t="inlineStr">
        <is>
          <t>川崎町_第2回策定委員会資料_R8.11_v6.docx／同_想定問答集_R8.11_v3.docx
川崎町_第10期_施策事業統合体系表_R8.9.25b.xlsx
川崎町_交付金_取りまとめ表_R8.9.29.xlsx
川崎町_計画書_別添整理表_R8.9.29.xlsx
川崎町_認知症_意見聴取記録様式_R8.9.30.xlsx
川崎町_認知症_計画記載事項_適合性確認表_R8.9.30.xlsx
川崎町_大雪広域_素案対比表_R8.9.30.xlsx
川崎町_図表データ管理台帳_R8.9.30.xlsx</t>
        </is>
      </c>
      <c r="D10" s="7" t="inlineStr">
        <is>
          <t>一式（Word・PDF）</t>
        </is>
      </c>
      <c r="E10" s="12" t="inlineStr">
        <is>
          <t>実施中</t>
        </is>
      </c>
      <c r="F10" s="20" t="n">
        <v>0.7</v>
      </c>
      <c r="G10" s="9" t="inlineStr">
        <is>
          <t>R9.3.15</t>
        </is>
      </c>
      <c r="H10" s="7" t="inlineStr">
        <is>
          <t>【R8.9.28b 更新】第2回策定委員会資料をv5、想定問答集をv2に更新。資料には「７．交付金の評価と取り戻せる27点」を新設し、章番号を1つ繰り下げた。本資料で交付金の評価結果を報告すること自体が「評価結果の活用」の要件イを満たす旨を明記。選択1は、Ｃ案により統合体系表を作成済みであることを踏まえ、作成済みのＣ案をご確認いただく形に改めた。同じ事項に2つの値が置かれていた5か所と、町案から取り込む事業の件数（8件→10件）を是正した。想定問答集はカテゴリH（交付金の評価・5問）を加えて全35問・8カテゴリとし、表番号による参照を節による参照に改めた（資料に表番号が印字されておらず当日たどれないため）。自己点検（check_2kai_selfcheck_R8.9.28.py）は27件すべて適合。</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2026-09-29T09:59:12Z</dcterms:modified>
</cp:coreProperties>
</file>