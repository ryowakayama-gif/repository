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xf numFmtId="0" fontId="2" fillId="0" borderId="1" applyAlignment="1" pivotButton="0" quotePrefix="0" xfId="0">
      <alignment vertical="top" wrapText="1"/>
    </xf>
    <xf numFmtId="0" fontId="2" fillId="7" borderId="1" applyAlignment="1" pivotButton="0" quotePrefix="0" xfId="0">
      <alignment vertical="top" wrapText="1"/>
    </xf>
    <xf numFmtId="9" fontId="2" fillId="0" borderId="1" applyAlignment="1" pivotButton="0" quotePrefix="0" xfId="0">
      <alignment vertical="top" wrapText="1"/>
    </xf>
    <xf numFmtId="0" fontId="2" fillId="9"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3"/>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38" t="inlineStr">
        <is>
          <t>令和8年10月24日　本表の記載は同日時点のもの。Red Team 再レビュー（同日）を受け、協議用素案 Ver.2.33・公表用の計画書（案）v2.33・概要版 v2.33・第2回策定委員会資料 v18・想定問答集 v15（全69問）に是正した。新規の指摘11件のうち是正済9・一部是正1・町のご確認待ち1（No.190）。点検ログ14件はすべて終了コード0。確認事項は190件のうち19件が完了。一式は 11_提出一式/川崎町_RedTeam再レビュー対応_成果物とエビデンス_R8.10.24.zip。
（前の記載）令和8年10月24日　本表の記載は同日時点のもの。Red Team レビュー（令和8年10月24日）を受け、協議用素案 Ver.2.32（118頁）・公表用の計画書（案）v2.32（116頁）・概要版 v2.32（8頁）・第2回策定委員会資料 v17（21頁）・想定問答集 v14（全69問）に是正した。指摘27件のうち是正済16・一部是正3・既に対応1、残る7件は資料の未受領又は町のご判断による。点検ログ14件はすべて終了コード0。確認事項は189件のうち19件が完了。一式は 11_提出一式/川崎町_RedTeamレビュー対応_成果物とエビデンス_R8.10.24.zip。
（前の基準日の記載）令和8年10月23日　本表の記載は同日時点のもの。協議用素案 Ver.2.30（118頁）と、公表用の計画書（案）v2.30（116頁）・概要版 v2.30（8頁・図8点・表6件）、第2回策定委員会資料 v15・想定問答集 v12（全68問）まで作成済み。点検は、素案の自己点検32件・保険料の検算40項目・書体の点検16件・図表の自己点検10件・委員会資料の自己点検27件・概要版の自己点検（検査1〜8）がいずれも適合（8軸の網羅性の未実施10件は別に数えている）。確認事項は188件のうち19件が完了、169件が未完了（確認待ち162件ほか）。資料提供依頼は52件のうち7件を受領。
（前の基準日 令和8年10月4日の記載）令和8年10月4日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0.85</v>
      </c>
      <c r="H7" s="9" t="inlineStr">
        <is>
          <t>R9.2</t>
        </is>
      </c>
      <c r="I7" s="38" t="inlineStr">
        <is>
          <t>【令和8年10月23日 更新⑧（第2回資料の確定に向けた点検）】第2回の資料を v16・想定問答集を v13 に上げ、素案と食い違う7件を解いた。確定（10月30日）に残るのは【町確認】2件（No.189）と事務局案のご了承。進捗 0.80→0.85。　【令和8年10月7日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38" t="inlineStr">
        <is>
          <t>(4)</t>
        </is>
      </c>
      <c r="B8" s="38" t="inlineStr">
        <is>
          <t>各種データ収集・作成及び資料整理</t>
        </is>
      </c>
      <c r="C8" s="38"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38"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38" t="inlineStr">
        <is>
          <t>実績データ確認サマリー（6シート）
必要資料_入力フォーマット（13シート）
第9期実績一覧_町記入用（7シート35事業）
関連施策評価調査シート_案（8シート）</t>
        </is>
      </c>
      <c r="F8" s="39" t="inlineStr">
        <is>
          <t>実施中</t>
        </is>
      </c>
      <c r="G8" s="40" t="n">
        <v>0.95</v>
      </c>
      <c r="H8" s="38" t="inlineStr">
        <is>
          <t>R8.10</t>
        </is>
      </c>
      <c r="I8" s="38" t="inlineStr">
        <is>
          <t>【令和8年10月17日 更新】第9期施策評価の実施要領（案）を作成した（仕様書(4)「現行施策の検証及び実施状況の取りまとめ」）。⚠ **評価の区分と判定の基準がなく、町が記入のしようがない状態であった**ことに手当てした。確認事項No.182。　【令和8年10月16日 更新】事業所照会票（様式9種・設問58問）と電子記入様式・確定値管理表を作成した。⚠ 供給側のデータは依然として未受領であり、発出のご判断（確認事項No.170）を待っている。　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38" t="inlineStr">
        <is>
          <t>7, 8</t>
        </is>
      </c>
    </row>
    <row r="9" ht="132" customHeight="1">
      <c r="A9" s="38" t="inlineStr">
        <is>
          <t>(5)</t>
        </is>
      </c>
      <c r="B9" s="38" t="inlineStr">
        <is>
          <t>人口推計、事業量・費用推計・分析</t>
        </is>
      </c>
      <c r="C9" s="38"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38"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38" t="inlineStr">
        <is>
          <t>保険料試算ワークブック（11シート・129数式）
長期推計・給付費・保険料試算レポート
保険料_県内比較分析・要因分析
給付費・保険料算定の精査レポート</t>
        </is>
      </c>
      <c r="F9" s="39" t="inlineStr">
        <is>
          <t>実施中</t>
        </is>
      </c>
      <c r="G9" s="40" t="n">
        <v>0.92</v>
      </c>
      <c r="H9" s="38" t="inlineStr">
        <is>
          <t>R9.1</t>
        </is>
      </c>
      <c r="I9" s="38" t="inlineStr">
        <is>
          <t>【令和8年10月17日 更新】中長期（令和17・22年度）の見込量を成果品に書き出し、素案 9-1 の空欄15サービスを原典から算定して埋めた（Ver.2.17）。⚠ **9-1 のサービス別の和と 9-2 の総給付費が合っていなかった**（令和17年度で▲94,878千円）。3か年すべてで一致するようになった。確認事項No.183。　【令和8年10月16日 更新】他メンバー素案との対比により、素案 9-1 の見込量の表に15サービス（84,370千円・総給付費の8.5％）が落ちていたことが分かり、Ver.2.14 で是正した。⚠ 介護保険法第117条第2項第1号の種類ごとの量の見込みの欠落であった。数値はワークブックに持っていた。　【令和8年10月16日 更新】見込量の確からしさに関わる供給可能量を照会する様式を用意した（様式2のお受けできる上限・令和9〜11年度の各年度の見通し）。⚠ 自然体推計は供給の制約を表現できないため、回収後に見込量の調整の方針を第2回策定委員会にお諮りする。　【令和8年10月7日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38" t="inlineStr">
        <is>
          <t>9, 10, 11, 12, 13, 14</t>
        </is>
      </c>
    </row>
    <row r="10" ht="132" customHeight="1">
      <c r="A10" s="38" t="inlineStr">
        <is>
          <t>(6)</t>
        </is>
      </c>
      <c r="B10" s="38" t="inlineStr">
        <is>
          <t>給付実績分析等及び現状分析業務</t>
        </is>
      </c>
      <c r="C10" s="38" t="inlineStr">
        <is>
          <t>○基礎データ収集・整理
○国・県の施策動向の把握
○関係各課、関係機関等の状況把握
○国保連データからの給付実績や各種課題等をとりまとめ、分析</t>
        </is>
      </c>
      <c r="D10" s="38" t="inlineStr">
        <is>
          <t>①基礎データの収集・整理
②国・宮城県の施策動向の把握
③関係各課・関係機関等の状況把握
④国保連データからの給付実績の分析
⑤各種課題のとりまとめ</t>
        </is>
      </c>
      <c r="E10" s="38" t="inlineStr">
        <is>
          <t>素案 第2章（現状分析）
実績データ確認サマリー（6シート）
図表6点
3層整合表（7シート）</t>
        </is>
      </c>
      <c r="F10" s="39" t="inlineStr">
        <is>
          <t>実施中</t>
        </is>
      </c>
      <c r="G10" s="40" t="n">
        <v>0.9</v>
      </c>
      <c r="H10" s="38" t="inlineStr">
        <is>
          <t>R8.10</t>
        </is>
      </c>
      <c r="I10" s="38" t="inlineStr">
        <is>
          <t>【令和8年10月16日 更新】素案 2-3 の第1号被保険者数・認定者数の実績が年報と20か所食い違っていたことが分かり、Ver.2.15 で是正した。⚠ 年度が2年ずれていた（3,270は令和5年度末、3,285は令和4年度末の値）。年報と突き合わせる検査を新設した。　【令和8年10月16日 更新】素案 2-7 の供給側のデータ（定員と稼働・職員数・訪問系の供給余力・町外施設の利用）を確定させる照会の様式を用意した。⚠ 町外の事業所の宛先が作れないため、居宅介護支援事業所への照会で代替する（確認事項No.172・資料提供依頼No.39）。　【令和8年10月7日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38" t="inlineStr">
        <is>
          <t>8, 12</t>
        </is>
      </c>
    </row>
    <row r="11" ht="132" customHeight="1">
      <c r="A11" s="38" t="inlineStr">
        <is>
          <t>(7)</t>
        </is>
      </c>
      <c r="B11" s="38" t="inlineStr">
        <is>
          <t>高齢者保健福祉計画及び介護保険事業計画の素案</t>
        </is>
      </c>
      <c r="C11" s="38"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38" t="inlineStr">
        <is>
          <t>①素案v1.0〜v1.6の段階的作成
②資料編の構成案・素案の作成
③仕様書①〜⑨の構成との対応確認・章立ての調整
④素案Ver.2.0の更新（アンケート結果・委員意見の反映）
⑤素案の確定</t>
        </is>
      </c>
      <c r="E11" s="38"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39" t="inlineStr">
        <is>
          <t>実施中</t>
        </is>
      </c>
      <c r="G11" s="40" t="n">
        <v>0.99</v>
      </c>
      <c r="H11" s="38" t="inlineStr">
        <is>
          <t>R9.2</t>
        </is>
      </c>
      <c r="I11" s="38" t="inlineStr">
        <is>
          <t>【令和8年10月23日 更新⑦（概要版の組み直し）】協議用素案を Ver.2.30 に上げた。概要版を組み直す際に、3-4 の課題①と 5-4 の後期高齢者数が令和7年6月の月報の値（1,675人・＋10.9％）のまま残り、2-1（令和7年度末1,742人・＋15.4％）と食い違っていたことが分かり、2-1 に揃えた。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**添付と並べて読んだことにより、当方の正本そのものの不具合も見えた。** 施策事業表の内容欄31セルに事業の内容でない記述（作業過程の記述・文頭の欠落・存在しない節番号）が入っており、本文に受託者の担当者名・他社名・版の履歴が残っていた。いずれも Ver.2.16 で是正し、27語を見る自己点検を組み込んだ。うち16セルは添付の本文を取り込んだ（ご指示の「内容だけ添付の使えるものを取り込む」に当たる）。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【令和8年10月16日 更新】照会で確定する素案の箇所を41件まで洗い出した（2-7・5-1・5-3・5-4・5-5・6-3・7-1〜7-6・9-1・9-2・1-5）。回収後にこの順で直す。　【令和8年10月7日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38" t="inlineStr">
        <is>
          <t>15, 16, 22, 23</t>
        </is>
      </c>
    </row>
    <row r="12" ht="132" customHeight="1">
      <c r="A12" s="38" t="inlineStr">
        <is>
          <t>(8)</t>
        </is>
      </c>
      <c r="B12" s="38" t="inlineStr">
        <is>
          <t>高齢者保健福祉計画及び第10期介護保険事業計画書の作成</t>
        </is>
      </c>
      <c r="C12" s="38" t="inlineStr">
        <is>
          <t>・中間報告は、その都度指定された期日まで提出すること
・高齢者保健福祉計画及び介護保険事業計画書（案）を作成すること</t>
        </is>
      </c>
      <c r="D12" s="38" t="inlineStr">
        <is>
          <t>①中間報告の提出（指定期日ごと）
②計画書（案）の作成
③概要版の作成
④成果品の印刷・製本・納品</t>
        </is>
      </c>
      <c r="E12" s="38"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41" t="inlineStr">
        <is>
          <t>実施中</t>
        </is>
      </c>
      <c r="G12" s="40" t="n">
        <v>0.65</v>
      </c>
      <c r="H12" s="38" t="inlineStr">
        <is>
          <t>R9.3</t>
        </is>
      </c>
      <c r="I12" s="38" t="inlineStr">
        <is>
          <t>【令和8年10月23日 更新⑦（概要版の組み直し）】③概要版を最新の協議用素案（Ver.2.30）から組み直した（川崎町_計画書案_概要版_v2.30.docx・8頁）。数値・名称はすべて素案の docx から読み、素案にない数・未確定の値（［要確認］等）は載せない。従前の版で4つの重点の名称が素案と違っていたこと、ヘッダーに版が出ていたことを是正。書式は公表用（HG丸ｺﾞｼｯｸM-PRO）。残るのは保険料の確定後の差替え・町のご確認・入稿（No.18）。進捗 0.60→0.65。　【令和8年10月17日 更新】素案 Ver.2.17（中長期補完版）。⚠ 棚卸しで出所が示せていなかった70件は0件になった。　【令和8年10月7日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38"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38" t="inlineStr">
        <is>
          <t>【令和8年10月23日 更新⑦（概要版の組み直し）】協議用素案 Ver.2.30・公表用 v2.30・概要版 v2.30（8頁）まで作成。第2回策定委員会資料 v15・想定問答集 v12。　【令和8年10月7日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4"/>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38" t="n">
        <v>4</v>
      </c>
      <c r="B8" s="38" t="inlineStr">
        <is>
          <t>(3)</t>
        </is>
      </c>
      <c r="C8" s="38" t="inlineStr">
        <is>
          <t>R8.6</t>
        </is>
      </c>
      <c r="D8" s="38" t="inlineStr">
        <is>
          <t>策定委員会の開催日程・審議事項</t>
        </is>
      </c>
      <c r="E8" s="38" t="inlineStr">
        <is>
          <t>第1回は令和8年9月2日（水）で確定。第2回〜第4回の開催日、審議事項、資料の提出期限及び委員への事前配布の時期。受託者の出席の要否についても併せてご確認をお願いする。</t>
        </is>
      </c>
      <c r="F8" s="38" t="inlineStr">
        <is>
          <t>第2回〜第4回委員会資料
計画素案_概要版（事前配布用）</t>
        </is>
      </c>
      <c r="G8" s="38" t="inlineStr">
        <is>
          <t>発注者</t>
        </is>
      </c>
      <c r="H8" s="42" t="inlineStr">
        <is>
          <t>確認待ち</t>
        </is>
      </c>
      <c r="I8" s="38" t="inlineStr">
        <is>
          <t>R8.10</t>
        </is>
      </c>
      <c r="J8" s="38" t="inlineStr">
        <is>
          <t>【令和8年10月20日 更新③（ヒアリングを行わない整理）】⚠ **第2回＝令和8年11月24日（火）で逆算し直しました。**逆算工程表を R8.10.20 版に改め、候補日4つの比較から確定日1つの工程に引き直しました（川崎町_策定委員会_逆算工程表_R8.10.20.xlsx）。
⚠ **本日（10月20日）が開催通知（35日前）の期限です。**　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38" t="n">
        <v>9</v>
      </c>
      <c r="B13" s="38" t="inlineStr">
        <is>
          <t>(5)</t>
        </is>
      </c>
      <c r="C13" s="38" t="inlineStr">
        <is>
          <t>R8.6</t>
        </is>
      </c>
      <c r="D13" s="38" t="inlineStr">
        <is>
          <t>介護給付費準備基金の残高（令和8年6月時点）</t>
        </is>
      </c>
      <c r="E13" s="38" t="inlineStr">
        <is>
          <t>第7期から第9期までの積立・取崩実績及び令和8年度末の残高見込を含む。現在は計画ベースの53,700千円を仮置きしている。</t>
        </is>
      </c>
      <c r="F13" s="38" t="inlineStr">
        <is>
          <t>保険料試算ワークブック 01!B15
保険料3パターンの水準</t>
        </is>
      </c>
      <c r="G13" s="38" t="inlineStr">
        <is>
          <t>発注者</t>
        </is>
      </c>
      <c r="H13" s="42" t="inlineStr">
        <is>
          <t>完了</t>
        </is>
      </c>
      <c r="I13" s="38" t="inlineStr">
        <is>
          <t>R8.6</t>
        </is>
      </c>
      <c r="J13" s="38" t="inlineStr">
        <is>
          <t>【令和8年10月19日 更新】令和8年10月19日出力の総括表に、介護給付費準備基金の残高（前年度末の見込額）152,500,000円が入りました（旧版は0）。素案 9-3 の令和8年度末見込152,500千円と一致します。⚠ **取崩額は0のまま**で、総括表の保険料は当方の算定Ａ（取崩なし）と同じ土俵の値です。取崩しのご判断（第3回策定委員会）は引き続きお願いします。　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38" t="n">
        <v>10</v>
      </c>
      <c r="B14" s="38" t="inlineStr">
        <is>
          <t>(5)</t>
        </is>
      </c>
      <c r="C14" s="38" t="inlineStr">
        <is>
          <t>R8.7</t>
        </is>
      </c>
      <c r="D14" s="38" t="inlineStr">
        <is>
          <t>所得段階別被保険者数</t>
        </is>
      </c>
      <c r="E14" s="38" t="inlineStr">
        <is>
          <t>所得段階別の第1号被保険者数。補正係数は現在0.97を第9期基準額から逆算して仮置きしている。</t>
        </is>
      </c>
      <c r="F14" s="38" t="inlineStr">
        <is>
          <t>保険料試算ワークブック 06!B17
保険料基準額</t>
        </is>
      </c>
      <c r="G14" s="38" t="inlineStr">
        <is>
          <t>発注者</t>
        </is>
      </c>
      <c r="H14" s="42" t="inlineStr">
        <is>
          <t>完了</t>
        </is>
      </c>
      <c r="I14" s="38" t="inlineStr">
        <is>
          <t>R8.7</t>
        </is>
      </c>
      <c r="J14" s="38" t="inlineStr">
        <is>
          <t>【令和8年10月19日 更新】令和8年10月19日出力の総括表で、所得段階別の第1号被保険者数が**13段階すべて埋まりました**（旧版は第10〜13段階が0人の9段階）。所得段階別加入割合補正後被保険者数は9,272.145人→9,891.41人（+619.27人）。素案 9-3 が［要確認］としていた箇所が解消します。⚠ ただし13段階の出所（令和7年度末実績か推計か）をお教えください。素案は計3,240人、総括表の令和9年度は計3,231人です。　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38" t="n">
        <v>11</v>
      </c>
      <c r="B15" s="38" t="inlineStr">
        <is>
          <t>(5)</t>
        </is>
      </c>
      <c r="C15" s="38" t="inlineStr">
        <is>
          <t>R8.7</t>
        </is>
      </c>
      <c r="D15" s="38" t="inlineStr">
        <is>
          <t>保険料収納率の実績及び調整交付金等の交付実績</t>
        </is>
      </c>
      <c r="E15" s="38" t="inlineStr">
        <is>
          <t>令和4〜7年度の保険料収納率（総合・現年・特別徴収・普通徴収の別）、調整交付金の交付実績及び保険者機能強化推進交付金等の交付実績。
【令和8年10月19日 更新】令和8年10月19日出力の総括表で3つが動きました。⚠ **①予定保険料収納率が96.0％→97.0％になっています。**当方の素案は総合収納率の実績（96.3〜96.7％）を踏まえ96.0％を置いています。97.0％とされた根拠をお教えください。
⚠ **②調整交付金見込交付割合が6.14／5.93／5.69％→4.71／4.47／4.15％に下がりました。**見込額は令和9年度 68,810千円→53,759千円です。なお令和6年度の交付実績は53,478千円（年報 様式４）で、**新版の方が実績に近い値**です。下がった理由（所得段階別加入割合補正係数の変化によるものか）をお教えください。
⚠ **③保険者機能強化推進交付金の交付見込額が0→第10期3か年4,500千円**で立ちました。年度別の内訳と、保険者努力支援交付金を含むかどうかをお教えください（令和6年度実績は機能強化1,277千円・努力支援2,461千円）。</t>
        </is>
      </c>
      <c r="F15" s="38" t="inlineStr">
        <is>
          <t>保険料試算ワークブック 06!B16、04!B8、06!B10
保険料基準額</t>
        </is>
      </c>
      <c r="G15" s="38" t="inlineStr">
        <is>
          <t>発注者</t>
        </is>
      </c>
      <c r="H15" s="42" t="inlineStr">
        <is>
          <t>確認待ち</t>
        </is>
      </c>
      <c r="I15" s="38" t="inlineStr">
        <is>
          <t>R8.8</t>
        </is>
      </c>
      <c r="J15" s="38"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38" t="n">
        <v>13</v>
      </c>
      <c r="B17" s="38" t="inlineStr">
        <is>
          <t>(5)</t>
        </is>
      </c>
      <c r="C17" s="38" t="inlineStr">
        <is>
          <t>R8.9</t>
        </is>
      </c>
      <c r="D17" s="38" t="inlineStr">
        <is>
          <t>地域支援事業の実績及び見込みの前提</t>
        </is>
      </c>
      <c r="E17" s="38" t="inlineStr">
        <is>
          <t>仕様書6（5）が定める①地域支援事業対象者数、②介護予防・生活支援サービス事業、③一般介護予防事業、④包括的支援事業、⑤任意事業の各事業の実績（令和4〜8年度）及び第10期の実施方針。
【令和8年10月19日 更新】⚠ **令和8年10月19日出力の総括表に、地域支援事業費が初めて入りました。**第10期3か年で108,924千円（総合事業34,917千円・包括的支援事業43,500千円・社会保障充実分30,507千円。3か年とも同額の36,308千円）です。
⚠ **当方の素案 9-1・9-2 は148,788千円**（令和9年度46,033・令和10年度49,596・令和11年度53,159千円）で、**39,864千円（26.8％）食い違います。**保険料にして約▲94円／月の差です。
⚠ なお当方の令和11年度53,159千円は、旧版の総括表の49,161千円とも一致しません。旧版は総合事業費を令和11年度2,227千円と置いており（令和9年度6,786・令和10年度6,506千円からの不連続）、当方はこれを採らず直線で延ばしていました。
**①新版の108,924千円の根拠（事業別の実績）をご提供いただき、②どちらを計画に載せるかをご判断ください。**地域支援事業のデータが未受領である状態は、根拠資料をいただくまで解除できません。</t>
        </is>
      </c>
      <c r="F17" s="38" t="inlineStr">
        <is>
          <t>地域支援事業の費用・量の見込み
保険料試算ワークブック 03シート</t>
        </is>
      </c>
      <c r="G17" s="38" t="inlineStr">
        <is>
          <t>発注者</t>
        </is>
      </c>
      <c r="H17" s="42" t="inlineStr">
        <is>
          <t>確認待ち</t>
        </is>
      </c>
      <c r="I17" s="38" t="inlineStr">
        <is>
          <t>R8.9</t>
        </is>
      </c>
      <c r="J17" s="38"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38" t="n">
        <v>19</v>
      </c>
      <c r="B23" s="38" t="inlineStr">
        <is>
          <t>(8)</t>
        </is>
      </c>
      <c r="C23" s="38" t="inlineStr">
        <is>
          <t>R8.7</t>
        </is>
      </c>
      <c r="D23" s="38" t="inlineStr">
        <is>
          <t>パブリックコメント及び条例改正に係る支援の取扱い</t>
        </is>
      </c>
      <c r="E23" s="38"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38" t="inlineStr">
        <is>
          <t>パブリックコメント関係資料
条例改正案</t>
        </is>
      </c>
      <c r="G23" s="38" t="inlineStr">
        <is>
          <t>発注者</t>
        </is>
      </c>
      <c r="H23" s="42" t="inlineStr">
        <is>
          <t>確認待ち</t>
        </is>
      </c>
      <c r="I23" s="38" t="inlineStr">
        <is>
          <t>R8.9</t>
        </is>
      </c>
      <c r="J23" s="38" t="inlineStr">
        <is>
          <t>【令和8年10月21日 更新（資料v9・想定問答集v5）】⚠ **パブリックコメントの開始が令和8年12月29日に当たります。**第2回（11月24日）から計画書（案）の作成と宮城県への事前協議に35日を見込むとこうなります。年末年始を挟むと実質の周知期間が短くなりますので、**令和9年1月4日（月）開始とする案**を資料 v9 の８に併記しました（この場合の納品は令和9年3月15日ちょうど）。期間（30日間とするか）と開始日のご判断をお願いします。　【令和8年10月20日 更新③（ヒアリングを行わない整理）】⚠ **30日間とすると開始が12月29日になり年末年始を挟みます。**第2回（11月24日）から計画書（案）の作成と県協議に35日を見込むとこうなります。**令和9年1月4日（月）開始とする案**を逆算工程表の02シートに併記しました（この場合の納品は3月15日ちょうどになります）。期間・開始日のご判断をお願いします。　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38" t="n">
        <v>29</v>
      </c>
      <c r="B33" s="38" t="inlineStr">
        <is>
          <t>(5)(6)</t>
        </is>
      </c>
      <c r="C33" s="38" t="inlineStr">
        <is>
          <t>R8.9</t>
        </is>
      </c>
      <c r="D33" s="38" t="inlineStr">
        <is>
          <t>町内の介護保険事業所一覧</t>
        </is>
      </c>
      <c r="E33" s="38" t="inlineStr">
        <is>
          <t>名称・種別・定員・所在。サービス見込量及び見込量確保のための方策の検討の前提となる。</t>
        </is>
      </c>
      <c r="F33" s="38" t="inlineStr">
        <is>
          <t>サービス見込量の推計
第1回策定委員会資料（供給の議論）</t>
        </is>
      </c>
      <c r="G33" s="38" t="inlineStr">
        <is>
          <t>発注者</t>
        </is>
      </c>
      <c r="H33" s="39" t="inlineStr">
        <is>
          <t>確認待ち</t>
        </is>
      </c>
      <c r="I33" s="38" t="inlineStr">
        <is>
          <t>R8.9</t>
        </is>
      </c>
      <c r="J33" s="38" t="inlineStr">
        <is>
          <t xml:space="preserve">【令和8年10月20日 更新③（ヒアリングを行わない整理）】⚠ **指定の年月日・入所率・待機者数・認知症対応型共同生活介護の定員が埋まりました。**介護サービス情報公表システム（本体）の詳細ページから、町内14の指定すべてを採録しました（令和8年10月20日）。
・入所・入居系の定員 計173人／在所者 計166人／入所率 90.0％〜100.0％
・待機者数　介護老人福祉施設20人・介護老人保健施設2人
・認知症対応型共同生活介護の定員 計27人（オープンデータで未報告であった1事業所の18人が本体に載っていました）
・指定の年月日と指定権者の別（地域密着型4件と居宅介護支援2件は町、8件は県）
・短期入所生活介護は「空床利用型」
⚠ **残るのは地域密着型介護老人福祉施設の待機者数のみ**です（公表の様式に項目がありません）。町が指定権者ですので町の台帳で補えます。　【令和8年10月20日 更新②（突合の実施）】⚠ **町内の事業所を当方で押さえました。**介護サービス情報公表システムのオープンデータ（令和8年6月末時点）を市町村コード043249で抽出した結果、町内には**8の事業所**があり、延べ14のサービスを担っています。運営しているのは**3法人**です。計画素案を Ver.2.20 に上げ、2-7・7-1・9-1 に反映しました。
⚠ **素案の記述に誤りが1件ありました。**「小規模多機能型居宅介護等の地域密着型サービスが中心」としていましたが、**町内に小規模多機能型居宅介護はありません。**直しました。
⚠ **引き続きご確認をお願いするもの。**①指定の年月日と指定の主体（町か県か）の別②入所者数・入所率・稼働率・待機者数③認知症対応型共同生活介護の定員（1事業所が未報告で、分かっているのは9人までです）。いずれもオープンデータの24列に含まれません。照会票（順位27）でお尋ねする内容は変わりません。　【令和8年10月20日 更新】⚠ **当方で先に押さえられる見込みが立ちました。**介護サービス情報公表システムの画面は自動のアクセスを受け付けませんが、厚生労働省が同じ内容を**サービス種類別のＣＳＶ（オープンデータ）**として公表しており、許可済みのドメインから取れます（https://www.mhlw.go.jp/stf/kaigo-kouhyou_opendata.html）。本日、市町村コード043249で川崎町の事業所が取れることを確かめました（例：認知症対応型共同生活介護2件。事業所名・事業所番号・法人番号・法人の名称・所在地・定員の24列）。他の案件で用いられていた手です。⚠ **指定の年月日・町の指定か県の指定かの別はオープンデータに含まれません**ので、その部分は引き続きご確認をお願いします。　</t>
        </is>
      </c>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38" t="n">
        <v>39</v>
      </c>
      <c r="B43" s="38" t="inlineStr">
        <is>
          <t>(4)(5)</t>
        </is>
      </c>
      <c r="C43" s="38" t="inlineStr">
        <is>
          <t>R8.9</t>
        </is>
      </c>
      <c r="D43" s="38" t="inlineStr">
        <is>
          <t>保険者機能強化推進交付金の交付額と充当先</t>
        </is>
      </c>
      <c r="E43" s="38" t="inlineStr">
        <is>
          <t>令和6〜8年度の交付額及び充当先の事業。第9期の地域支援事業の財源構成の確認に必要。令和6年度の交付見込額は3,738千円と推計される。</t>
        </is>
      </c>
      <c r="F43" s="38" t="inlineStr">
        <is>
          <t>地域支援事業の費用の見込み
保険料試算ワークブック 03</t>
        </is>
      </c>
      <c r="G43" s="38" t="inlineStr">
        <is>
          <t>発注者</t>
        </is>
      </c>
      <c r="H43" s="39" t="inlineStr">
        <is>
          <t>確認待ち</t>
        </is>
      </c>
      <c r="I43" s="38" t="inlineStr">
        <is>
          <t>R8.9</t>
        </is>
      </c>
      <c r="J43" s="38" t="inlineStr">
        <is>
          <t xml:space="preserve">【令和8年10月22日 更新③（交付金の再整理・素案Ver.2.24）】⚠ 素案（Ver.2.23 まで）は「保険料算定は令和8年度の交付実績を据え置いている」と書いていたが、保険料算定表は交付金を差し引いておらず、事実と違っていた（Ver.2.24 で是正）。一方、令和8年10月19日出力の将来推計総括表は「保険者機能強化推進交付金等の交付見込額」に3か年4,500千円を置き、差し引いている。見込めば月額約40円下がる（6,822円→6,782円）。令和6年度の交付見込額は3,738千円（推進1,277・支援2,461、うち激変緩和措置分1,231千円）。令和7・8年度の交付額と、保険料に見込むか否か・見込む額のご判断をお願いします。既定値＝見込まない（素案のまま）とし、総括表との食い違いを第3回の資料で明示する。　</t>
        </is>
      </c>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38" t="inlineStr">
        <is>
          <t>49</t>
        </is>
      </c>
      <c r="B53" s="38" t="inlineStr">
        <is>
          <t>(3)(8)</t>
        </is>
      </c>
      <c r="C53" s="38" t="inlineStr">
        <is>
          <t>R8.9</t>
        </is>
      </c>
      <c r="D53" s="38" t="inlineStr">
        <is>
          <t>策定委員会の回数と答申の確定時期</t>
        </is>
      </c>
      <c r="E53" s="38"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38" t="inlineStr">
        <is>
          <t>策定スケジュール
保険料試算の提示時期
サービス見込量の確定時期
第2回・第3回委員会資料</t>
        </is>
      </c>
      <c r="G53" s="38" t="inlineStr">
        <is>
          <t>発注者</t>
        </is>
      </c>
      <c r="H53" s="39" t="inlineStr">
        <is>
          <t>確認待ち</t>
        </is>
      </c>
      <c r="I53" s="38" t="inlineStr">
        <is>
          <t>R8.9</t>
        </is>
      </c>
      <c r="J53" s="38" t="inlineStr">
        <is>
          <t>【令和8年10月21日 更新（資料v9・想定問答集v5）】⚠ **委託仕様書の読み違いを是正しました。**第2回委員会資料 v8 の表38 は「委託仕様書上、策定委員会は3回構成であり」としていましたが、**仕様書6(3)は「策定委員会の開催回数は4回開催の予定」**と定めています。3回構成は第1回策定委員会の当日にお示しいただいた日程によるものでした。資料 v9 の表38 で是正しています。
⚠ **全4回では納期に間に合いません。**第2回を11月24日として逆算すると、全4回・パブコメ30日・印刷3週間で納品は令和9年4月4日（**20日超過**）、パブコメ20日・印刷2週間に詰めても3月18日（3日超過）です。全3回（第3回でパブリックコメントの結果の報告・保険料の決定・答申の内容の確定を併せて行う）であれば令和9年3月10日（余裕5日）です。
⚠ **仕様書11**（本仕様の定めのない事項については、必要に応じ協議の上実施する）により、回数のご協議をお願いします。第2回でお諮りする形で資料を組んでいます。　【令和8年10月20日 更新③（ヒアリングを行わない整理）】⚠ **全4回では納期（令和9年3月15日）に間に合いません。**第2回を11月24日として逆算すると、全4回・パブコメ30日・印刷3週間では納品が令和9年4月4日となり**20日超過**します。パブコメを20日・印刷を2週間に詰めても3日超過します。
**全3回（第3回で保険料の決定・パブコメの結果の報告・答申を併せて行う）を推します。**この場合の納品は令和9年3月10日（余裕5日）です。第2回でお諮りします。　確認事項No.4を更新。3回構成なら国保連データの入手は11月中が必要。</t>
        </is>
      </c>
    </row>
    <row r="54" ht="80" customHeight="1">
      <c r="A54" s="38" t="inlineStr">
        <is>
          <t>50</t>
        </is>
      </c>
      <c r="B54" s="38" t="inlineStr">
        <is>
          <t>(5)(6)</t>
        </is>
      </c>
      <c r="C54" s="38" t="inlineStr">
        <is>
          <t>R8.9</t>
        </is>
      </c>
      <c r="D54" s="38" t="inlineStr">
        <is>
          <t>介護人材の不足と事業所の運営状況</t>
        </is>
      </c>
      <c r="E54" s="38"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38" t="inlineStr">
        <is>
          <t>サービス見込量の推計（仕様書6（5））
見込量確保のための方策
素案 第5章・第6章</t>
        </is>
      </c>
      <c r="G54" s="38" t="inlineStr">
        <is>
          <t>発注者</t>
        </is>
      </c>
      <c r="H54" s="39" t="inlineStr">
        <is>
          <t>確認待ち</t>
        </is>
      </c>
      <c r="I54" s="38" t="inlineStr">
        <is>
          <t>R8.10</t>
        </is>
      </c>
      <c r="J54" s="38" t="inlineStr">
        <is>
          <t>【令和8年10月23日 更新⑥（県の第10期計画の骨子（案）・見える化の定め）】事業所分析で、利用者数が5年続けて前年を下回る指定は0件、介護職員（常勤換算）が令和3年→令和7年で2割以上減った指定は1件（短期入所療養介護 ▲25.0％。老健と同じ職員を指定ごとに報告しているもの）でした。また、宮城県のみやぎ高齢者元気プラン推進委員会（令和8年7月14日）の議事録に、町内の訪問介護・居宅介護支援の事業者の経営が厳しく、ほかに担い手がないとの委員の発言があります（素案には書かない）。　【令和8年10月23日 更新④（出所の確定）】事業所別5か年推移の出所は見える化システムの事業所分析機能（従事者数は介護サービス情報公表システムの各年9月時点）と確定しました。　【令和8年10月23日 更新③（事業所別5か年推移）】事業所別5か年推移で、介護職員（常勤換算）が介護老人保健施設30.0→25.5人（▲15％）、介護老人福祉施設21.2→18.3人（令和5年は14.0人）でした（県内の中央値は▲2％前後）。第1回でご報告のあった1ユニット分の人員削減と時期が近いものの、同じものかは確かめていません。　【令和8年10月22日 更新（県の入所状況調）】⚠ **町への要望・必要な支援は、県の入所状況調にもありません。** 地域ケア会議・地域密着型サービス運営協議会という既存の場で聴くという整理（素案 第7章7-6）を変えません。　【令和8年10月20日 更新③（ヒアリングを行わない整理）】⚠ **ヒアリングを行わない整理に改めました。**職種別の従業者数・常勤換算・前年度の採用者数及び退職者数は公表システムから採録できました。素案 7-6 の①を「年1回の公表情報の定点把握」に改めています。
⚠ **公表の項目にないもの（経営の状況・町への要望）は残ります。**これらは地域ケア会議・地域密着型サービス運営協議会という既存の場で聴くものとして素案に位置付けました。新たな調査は要しません。　供給制約が第9期の給付費平坦（R6→R7で▲0.7％）の要因である可能性。資料提供依頼No.12（事業所・施設の定員及び稼働の実績）と一体。</t>
        </is>
      </c>
    </row>
    <row r="55" ht="80" customHeight="1">
      <c r="A55" s="38" t="inlineStr">
        <is>
          <t>51</t>
        </is>
      </c>
      <c r="B55" s="38" t="inlineStr">
        <is>
          <t>(5)(6)</t>
        </is>
      </c>
      <c r="C55" s="38" t="inlineStr">
        <is>
          <t>R8.9</t>
        </is>
      </c>
      <c r="D55" s="38" t="inlineStr">
        <is>
          <t>訪問介護の登録ヘルパー数と実働数</t>
        </is>
      </c>
      <c r="E55" s="38"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38" t="inlineStr">
        <is>
          <t>サービス見込量（訪問介護）
在宅生活継続支援の施策
素案 第5章 5-3</t>
        </is>
      </c>
      <c r="G55" s="38" t="inlineStr">
        <is>
          <t>発注者</t>
        </is>
      </c>
      <c r="H55" s="39" t="inlineStr">
        <is>
          <t>確認待ち</t>
        </is>
      </c>
      <c r="I55" s="38" t="inlineStr">
        <is>
          <t>R8.10</t>
        </is>
      </c>
      <c r="J55" s="38" t="inlineStr">
        <is>
          <t>【令和8年10月22日 更新（県の入所状況調）】⚠ **経営の状況（収支・人件費率）は、県の入所状況調にもありません。** 公表されている仕組みがありませんので、**計画には書かず**、介護事業経営実態調査（全国・サービス種類別の収支差率）の水準を参照するにとどめます。　【令和8年10月20日 更新③（ヒアリングを行わない整理）】⚠ **公表値で置き換えました。**訪問介護の従業者は実人数5人・常勤換算4.5人です（公表システム・令和8年1月記入）。
⚠ **公表の項目は「従業者数」であり、登録者数と実働者数の別はありません。**第1回策定委員会でご発言のあった登録者数・実働者数は、議事録が手元になく出所を明示できないため、素案から数値を外し、数値を伴わない事実の記述として残しました。議事録でお確かめいただけるのであれば戻せますので、ご指示ください。　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38" t="inlineStr">
        <is>
          <t>53</t>
        </is>
      </c>
      <c r="B57" s="38" t="inlineStr">
        <is>
          <t>(3)</t>
        </is>
      </c>
      <c r="C57" s="38" t="inlineStr">
        <is>
          <t>R8.9</t>
        </is>
      </c>
      <c r="D57" s="38" t="inlineStr">
        <is>
          <t>第2回委員会資料の様式と事前配布の期限</t>
        </is>
      </c>
      <c r="E57" s="38"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38" t="inlineStr">
        <is>
          <t>第2回委員会資料
計画骨子（素案）
ニーズ調査結果報告書</t>
        </is>
      </c>
      <c r="G57" s="38" t="inlineStr">
        <is>
          <t>発注者</t>
        </is>
      </c>
      <c r="H57" s="39" t="inlineStr">
        <is>
          <t>確認待ち</t>
        </is>
      </c>
      <c r="I57" s="38" t="inlineStr">
        <is>
          <t>R8.10</t>
        </is>
      </c>
      <c r="J57" s="38" t="inlineStr">
        <is>
          <t>【令和8年10月23日 更新⑧（第2回資料の確定に向けた点検）】資料 v16（21頁）・想定問答集 v13（全69問）。10月30日に確定、11月10日に事前配布。紙・電子の別と部数のご指示をお願いします。　【令和8年10月21日 更新（資料v9・想定問答集v5）】開催日が11月24日に確定しましたので、**事前配布は11月10日（火）**（14日前）、**事前質問の締切は11月17日（火）**（7日前）となります。資料 v9・想定問答集 v5 は作成済みです（資料は全９版・想定問答集は全61問）。紙・電子のいずれによるか、部数をご指示ください。　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38" t="inlineStr">
        <is>
          <t>58</t>
        </is>
      </c>
      <c r="B62" s="38" t="inlineStr">
        <is>
          <t>(4)</t>
        </is>
      </c>
      <c r="C62" s="38" t="inlineStr">
        <is>
          <t>R8.9</t>
        </is>
      </c>
      <c r="D62" s="38" t="inlineStr">
        <is>
          <t>交付金評価「評価結果の活用」が16点から0点となった理由</t>
        </is>
      </c>
      <c r="E62" s="38"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38" t="inlineStr">
        <is>
          <t>第9期の評価（仕様書6（4））
第2回委員会資料
素案 第9章（KPI管理表）</t>
        </is>
      </c>
      <c r="G62" s="38" t="inlineStr">
        <is>
          <t>発注者</t>
        </is>
      </c>
      <c r="H62" s="39" t="inlineStr">
        <is>
          <t>確認待ち</t>
        </is>
      </c>
      <c r="I62" s="38" t="inlineStr">
        <is>
          <t>R8.10</t>
        </is>
      </c>
      <c r="J62" s="38" t="inlineStr">
        <is>
          <t>【令和8年10月22日 更新③（交付金の再整理・素案Ver.2.24）】37点の減少を枝番の単位・得点率で分けると、成果指標群▲30・配点の改定▲7・新設＋2・取組の後退▲34・前進＋32。「評価結果の活用」16点は取組の後退34点のうち最大の項目（単独で最大の要因ではない。最大は成果指標群）。　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38" t="inlineStr">
        <is>
          <t>【令和8年10月23日 更新⑥（県の第10期計画の骨子（案）・見える化の定め）】宮城県は第7期宮城県介護給付適正化取組方針（令和9〜11年度）について、国の基本方針に大きな見直しはないとして、第6期の重点（要介護認定の適正化／ケアプラン・住宅改修等の点検／縦覧点検・医療情報との突合）を継続する方向を示しました（令和8年8月26日 推進委員会 資料6）。協議用素案 Ver.2.29 の8-2 の注記に加えました。区分の確定は引き続き国の基本指針によります。　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38" t="inlineStr">
        <is>
          <t>76</t>
        </is>
      </c>
      <c r="B80" s="38" t="inlineStr">
        <is>
          <t>(5)</t>
        </is>
      </c>
      <c r="C80" s="38" t="inlineStr">
        <is>
          <t>R8.9</t>
        </is>
      </c>
      <c r="D80" s="38" t="inlineStr">
        <is>
          <t>令和8年度の給付費が0になっているサービスが12件ある</t>
        </is>
      </c>
      <c r="E80" s="38"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38" t="inlineStr">
        <is>
          <t>見える化システム 第1回目提出（R8.10.5）
素案 第6章 サービス見込量</t>
        </is>
      </c>
      <c r="G80" s="38" t="inlineStr">
        <is>
          <t>発注者</t>
        </is>
      </c>
      <c r="H80" s="39" t="inlineStr">
        <is>
          <t>確認待ち</t>
        </is>
      </c>
      <c r="I80" s="38" t="inlineStr">
        <is>
          <t>R8.9</t>
        </is>
      </c>
      <c r="J80" s="38" t="inlineStr">
        <is>
          <t>【令和8年10月19日 更新】⚠ **令和8年10月19日出力の総括表でも是正されていません。**令和9〜32年度が0のサービスは12件で、土台としてきた版（R8.9.11出力_④訂正後）と同じ12行です。加えて**令和8年度（伸び率の基準年）も12行すべて0に戻りました**。No.79 の差し替えが新しい推計パターンに引き継がれていないためです。　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38" t="inlineStr">
        <is>
          <t>【令和8年10月23日 更新⑥（県の第10期計画の骨子（案）・見える化の定め）】見える化システムに入力する地域支援事業費は「対象経費支出予定額」（総事業費から寄付金その他の収入額を差し引いた額のうち、交付金の対象経費として支出する見込みの額）とされています（地域分析の手引き 令和8年9月改訂版 79頁）。③の決算との差（12％）の一部は、この範囲の違いによる可能性があります。協議用素案 Ver.2.29 の9-1に注記しました。　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38" t="inlineStr">
        <is>
          <t>79</t>
        </is>
      </c>
      <c r="B83" s="38" t="inlineStr">
        <is>
          <t>(5)</t>
        </is>
      </c>
      <c r="C83" s="38" t="inlineStr">
        <is>
          <t>R8.9</t>
        </is>
      </c>
      <c r="D83" s="38" t="inlineStr">
        <is>
          <t>自然体推計の伸び率の選択期間と令和8年度の実績見込みの扱い</t>
        </is>
      </c>
      <c r="E83" s="38" t="inlineStr">
        <is>
          <t>第10期将来推計総括表の令和8年度の実績見込みの扱いについて。
【令和8年10月19日 更新】⚠ **令和8年10月19日出力の版で、令和8年度の実績見込み値が差し替え**前**に戻っています。**
4_施策反映の解説の「実績見込み値の設定内容」欄にあった差し替えの理由の記録（施設・居住系サービス利用者数／在宅サービス利用者数／在宅サービス利用回（日）数の3件）が空欄になり、2_サービス別給付費の令和8年度の列がR8.9.11出力（原稿）と53行すべて一致しています（④訂正後とは62件相違）。
⚠ **令和8年度は全ての伸び率の基準年**ですので、ここが戻ると令和9〜32年度のすべてが動きます。令和9年度の総給付費は+15,112千円になりました。
⚠ あわせて、施設・居住系サービスの1人1月あたり給付費の基準年度が令和7年度→**令和8年度**に戻っています（4_施策反映の解説 行21）。在宅（行33）は新旧とも令和8年度のままで、当方がお願いしていた令和7年度への変更は今回も反映されていません。
**新しい推計パターンを作る際に、差し替えの設定が引き継がれていないものと思われます。**①意図したものかどうか、②差し替えをやり直すかどうかをご判断ください。</t>
        </is>
      </c>
      <c r="F83" s="38" t="inlineStr">
        <is>
          <t>見える化システム 第1回目提出（R8.10.5）
素案 第6章・第9章</t>
        </is>
      </c>
      <c r="G83" s="38" t="inlineStr">
        <is>
          <t>発注者・宮城県長寿社会政策課</t>
        </is>
      </c>
      <c r="H83" s="39" t="inlineStr">
        <is>
          <t>確認待ち</t>
        </is>
      </c>
      <c r="I83" s="38" t="inlineStr">
        <is>
          <t>R8.9</t>
        </is>
      </c>
      <c r="J83" s="38" t="inlineStr">
        <is>
          <t>【令和8年10月23日 更新⑥（県の第10期計画の骨子（案）・見える化の定め）】手引き76頁により、令和8年度の実績見込みは、令和8年5月から保険者が設定した月までの令和8年度月報の累計値から算出されます。設定する月が少ないほど、見込みが少数の月の値に左右されます。新しい推計パターンでは、できるだけ新しい月まで設定いただくことをお勧めします（推奨の月数を定めた操作編②は未受領・資料提供依頼No.51）。　【令和8年10月21日 更新（資料v9・想定問答集v5）】⚠ **想定問答集 v5 の QB-54 に併記しました。**令和8年度の実績見込み値が差し替え前の値に戻っている点について、伸び率の基準年が動くため保険料に直接影響する旨を答える形にしています。No.186 と同じく10月30日までにご判断をお願いします。　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38" t="inlineStr">
        <is>
          <t>【令和8年10月23日 更新⑥（県の第10期計画の骨子（案）・見える化の定め）】「令和8年5月ベース」の表示は、令和8年度の月報を5月の1か月だけ設定していることによる可能性があります（手引き76頁）。「介護保険事業状況報告の設定」の画面の写しをいただければ確かめます。　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38" t="inlineStr">
        <is>
          <t>83</t>
        </is>
      </c>
      <c r="B87" s="38" t="inlineStr">
        <is>
          <t>(7)</t>
        </is>
      </c>
      <c r="C87" s="38" t="inlineStr">
        <is>
          <t>R8.10</t>
        </is>
      </c>
      <c r="D87" s="38" t="inlineStr">
        <is>
          <t>計画書の頁数（成果品は100頁程度）</t>
        </is>
      </c>
      <c r="E87" s="38"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38" t="inlineStr">
        <is>
          <t>成果品4 計画書
成果品6 電子データ</t>
        </is>
      </c>
      <c r="G87" s="38" t="inlineStr">
        <is>
          <t>発注者</t>
        </is>
      </c>
      <c r="H87" s="39" t="inlineStr">
        <is>
          <t>確認待ち</t>
        </is>
      </c>
      <c r="I87" s="38" t="inlineStr">
        <is>
          <t>R8.10</t>
        </is>
      </c>
      <c r="J87" s="38" t="inlineStr">
        <is>
          <t>【令和8年10月21日 更新（資料v9・想定問答集v5）】⚠ **素案 Ver.2.22 は本文117頁です。**資料編（見込13頁）を加えると計130頁となり、仕様書8の「100頁程度」との差は**＋30頁**です。⚠ **圧縮案は Ver.2.18c（本文106頁）のままであり、現在の素案に合わせて作り直す必要があります。**「100頁程度」を本文のみと読むか資料編を含めて読むかのご判断とあわせて、作り直しの要否をご指示ください。資料 v9 の表35 に3つの版を並べています。　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38" t="inlineStr">
        <is>
          <t>85</t>
        </is>
      </c>
      <c r="B89" s="38" t="inlineStr">
        <is>
          <t>(3)</t>
        </is>
      </c>
      <c r="C89" s="38" t="inlineStr">
        <is>
          <t>R8.10</t>
        </is>
      </c>
      <c r="D89" s="38" t="inlineStr">
        <is>
          <t>第2回策定委員会の開催日と諮る事項</t>
        </is>
      </c>
      <c r="E89" s="38"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38" t="inlineStr">
        <is>
          <t>第2回策定委員会資料
第2回委員会想定問答集</t>
        </is>
      </c>
      <c r="G89" s="38" t="inlineStr">
        <is>
          <t>発注者</t>
        </is>
      </c>
      <c r="H89" s="39" t="inlineStr">
        <is>
          <t>確認待ち</t>
        </is>
      </c>
      <c r="I89" s="38" t="inlineStr">
        <is>
          <t>R8.10</t>
        </is>
      </c>
      <c r="J89" s="38" t="inlineStr">
        <is>
          <t>【令和8年10月24日 更新②（Red Team 再レビューへの対応）】再レビューを受け、資料を v18・想定問答集を v15 に上げた。報酬改定1％・3％の算定Ｂ・Ｃを素案 9-3 から起こし直した（1％ Ｂ6,208・Ｃ5,529円、3％ Ｂ6,339・Ｃ5,659円。旧の6,235円等は誤り）。選択２は5,931円・6,355円（±212円）。ご審議事項⑥の言い切り、表29 の基金残高（見込額）、改頁（21頁の「す。」）を直した。当方の環境の PDF は22頁。川崎町_RedTeam再レビュー対応表_R8.10.24.md。　【令和8年10月24日 更新（Red Team レビューへの対応）】Red Team レビューを受け、資料を v17・想定問答集を v14 に上げた。選択２の保険料（5,932円・6,354円。旧の5,959円・6,382円は算定Ｂ6,170円の時の値）、表27 の基準（算定Ａ）と算定Ｂ・Ｃの差、交付金の要件の言い切り、国の基金の水準の記述（根拠を確かめられず削除）、8事業所・14指定、選択１の仮置きの注記。川崎町_RedTeamレビュー対応表_R8.10.24.md。　【令和8年10月23日 更新⑧（第2回資料の確定に向けた点検）】資料を v16・想定問答集を v13（全69問）に上げ、素案 Ver.2.31 と食い違う7件を解いた（重点課題5本を素案 3-4 に置いた、選択１の素案の説明、表37 の千円単位の値、27点の言い回し、表43 の介護保険法第117条第13項、事業一覧表の件数、選択３の近隣の事業所）。確定に向けてお願いしたいのは【町確認】2件（No.189）と事務局案のご了承（選択１Ｃ・選択５Ｂ・案Ⅰ・頁数）。川崎町_第2回策定委員会資料の確定に向けた点検_R8.10.23.md。　【令和8年10月20日 更新③（ヒアリングを行わない整理）】⚠ **開催日が確定しました（令和8年11月24日・火）。**これにより次が決まります。
・資料・想定問答集の確定　⚠ **10月30日（金）**（21日前は11月3日の文化の日に当たるため前倒し。町とのすり合わせの時間を確保するためでもあります）
・事前配布（14日前）　11月10日（火）
・事前質問の締切（7日前）　11月17日（火）
・想定問答集の更新　11月20日（金）
諮る事項は資料v9でお示しします。　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38" t="inlineStr">
        <is>
          <t>【令和8年10月24日 更新（Red Team レビューへの対応）】生活支援コーディネーター数を原票で確かめた。町の実績データ（R6・R7見込とも26人）と国の令和8年度評価（該当状況調査26人）が一致。素案の25名は地域福祉計画の資料の生活支援サポーターの値であったため、26人に改めた（素案 Ver.2.32）。地域ケア会議への出席は令和6年度4人。　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38" t="inlineStr">
        <is>
          <t>【令和8年10月24日 更新②（Red Team 再レビューへの対応）】報酬改定の差は、基金の取崩しが一定額の差引きであるため算定Ａ・Ｂ・Ｃでほぼ同じ（1％ ＋66・＋65・＋65円、3％ ＋196・＋196・＋195円）。前回の算定Ｂ＋92円・算定Ｃ＋119円は誤った表から計算していた。入所・居住系±10人は211.7円を四捨五入して212円。　【令和8年10月24日 更新（Red Team レビューへの対応）】保険料を動かす要因の差額は算定Ａ（取崩しなし）を基準とした値であることを資料・問答集に明記。報酬改定1％は算定Ａ＋66円・Ｂ＋92円・Ｃ＋119円。入所・居住系±10人は約211円（基金の取崩しによらない。表101 から検算211.7円）。　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38" t="inlineStr">
        <is>
          <t>154</t>
        </is>
      </c>
      <c r="B158" s="38" t="inlineStr">
        <is>
          <t>(4)(6)</t>
        </is>
      </c>
      <c r="C158" s="38" t="inlineStr">
        <is>
          <t>R8.10</t>
        </is>
      </c>
      <c r="D158" s="38" t="inlineStr">
        <is>
          <t>高齢者向け住まいの状況</t>
        </is>
      </c>
      <c r="E158" s="38"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38" t="inlineStr">
        <is>
          <t>素案 2-7・9-1</t>
        </is>
      </c>
      <c r="G158" s="38" t="inlineStr">
        <is>
          <t>発注者</t>
        </is>
      </c>
      <c r="H158" s="39" t="inlineStr">
        <is>
          <t>確認待ち</t>
        </is>
      </c>
      <c r="I158" s="38" t="inlineStr">
        <is>
          <t>R8.10</t>
        </is>
      </c>
      <c r="J158" s="38" t="inlineStr">
        <is>
          <t>【令和8年10月22日 更新④（軽費老人ホームの廃止・素案Ver.2.25）】廃止日は令和6年3月31日でした（法人の公表。県の入所状況調の掲載の推移と整合）。令和5年1〜9月の退所32人の退所先は他の施設28・入院3・在宅1（県の入所状況調）。⚠ 以前の更新で「住まい70人分が失われた」と書きましたが、休止前の入所者は令和5年4月1日時点で13人であり、なくなったのは定員70人分の住まいの選択肢です。素案 Ver.2.25 で改めました。⚠ 次の3点をお願いします。①宮城県 長寿社会政策課に、受理された廃止届（様式第24号）の「廃止の理由」「現に入所している者に対する措置」の記載内容をご確認ください。②入所されていた方のうち本町の住民の数（匿名の人数のみ。数えた定義を添えて）。③運営法人への照会の要否（既定値＝照会しない）。詳細は 川崎町_軽費老人ホーム廃止の確認結果_R8.10.22.md。　【令和8年10月22日 更新②（方針Ｃ・素案Ver.2.23）】軽費老人ホームの休止・廃止を素案 Ver.2.23 の2-7（第3の特徴）と別表 事項八に書きました（別表 八は「未対応」→「一部」）。経緯と入居されていた方の行き先は［要確認］として本文に残しています。　【令和8年10月22日 更新（県の入所状況調）】⚠ **町内にあった軽費老人ホーム（定員70人）が廃止されていました。**県の入所状況調によると、令和5年4月1日 現員13人 → 令和5年7月1日 7人 → **令和5年10月1日「（休止中）」現員0人** → 令和6年1月1日は定員・現員とも空欄 → **令和6年4月1日以降は一覧に載っていません**。
⚠ **第9期計画期間（令和6〜8年度）が始まる直前に、町内の高齢者向け住まい70人分が失われています。**
⚠ 軽費老人ホームは老人福祉法の施設であり、介護サービス情報公表システム（介護保険の指定事業所の仕組み）には載りません。素案の「特定施設入居者生活介護の指定を受けた住まいは町内に0件」は介護保険の指定の話であり、別のものです。
⚠ **休止・廃止の経緯と、入居されていた方の行き先をご確認ください。** 基本指針 別表 事項八（高齢者向け住まいの状況）に直接に効きます。素案 2-7・7-1 への反映をお待ちしています。　【令和8年10月20日 更新②（突合の実施）】⚠ **一部だけ確かめられました。**公表システムのオープンデータにより、**特定施設入居者生活介護の指定を受けた住まいは町内に0件**であることを確かめました（有料老人ホーム・軽費老人ホーム・サービス付き高齢者向け住宅のいずれの類型も0件。地域密着型特定施設も0件）。素案 7-1 の「0人（事業所なし）」の裏づけになります。
⚠ **指定を受けていない有料老人ホーム・サービス付き高齢者向け住宅は、オープンデータには載りません。**介護保険の指定事業所の一覧であるためです。宮城県の有料老人ホーム届出状況の公表一覧と、サービス付き高齢者向け住宅情報提供システムが要ります（⚠ 後者は www.satsuki-jutaku.mlit.go.jp で、当方の環境からは未だ届きません）。戸数・入居者数・要介護者等である入居者の状況も引き続き確認待ちです。　【令和8年10月15日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38" t="inlineStr">
        <is>
          <t>157</t>
        </is>
      </c>
      <c r="B161" s="38" t="inlineStr">
        <is>
          <t>(4)(7)</t>
        </is>
      </c>
      <c r="C161" s="38" t="inlineStr">
        <is>
          <t>R8.10</t>
        </is>
      </c>
      <c r="D161" s="38" t="inlineStr">
        <is>
          <t>認知症の人の数の推計</t>
        </is>
      </c>
      <c r="E161" s="38" t="inlineStr">
        <is>
          <t>【令和8年10月19日 更新】認知症の人の数の**推計値**は算出し、計画素案 6-1 に掲げました（認知症374人・65歳以上の11.7％／軽度認知障害（ＭＣＩ）474人・14.8％）。年齢階級別・男女別の有病率（厚生労働省。令和4年の悉皆調査による国の推計値）を、町ご提供の年齢別人口集計表（令和8年6月末現在・1歳刻み）に乗じて積み上げたものです。
⚠ **残るお願いは次の2つです。**
① 要介護認定の認定調査における認知症高齢者の日常生活自立度Ⅱ以上の人数（令和6・7年度）。推計値は65歳以上人口の全体を母集団とするのに対し、自立度Ⅱ以上は認定を受けておられる方の中での把握であり、測るものが違います。**両者の差が、認定を受けておられない認知症の方のおおよその規模**になり、早期発見・相談・サポーター養成の配り方を考える材料になります。
② 年齢階級別（5歳階級）の将来推計人口（令和12・17・22年）。基本指針（案）は「今後どのような推移を辿るのか」の推計を求めていますが、将来の推計には年齢階級別の将来人口が要ります。本計画が第1号被保険者数に用いている国立社会保障・人口問題研究所「日本の地域別将来推計人口（令和5年推計）」の5歳階級別の値をご提供いただくか、地域包括ケア「見える化」システムからの出力をご検討ください。いただければ同じ式でその日のうちに算出できます。
⚠ **見える化システムからは取れない見込みです。** 令和8年7月15日の全国介護保険担当課長会議資料52頁は、別表一の事項ごとの把握方法を示しており、事項十一（認知症の人の数）は「各自治体で把握」とされています（事項二〜七・十は「見える化システム」と明記）。また事項二（人口構造）で見える化システムから取れる人口は**年齢三区分**であり、推計に要る5歳階級別の内訳には足りません。
⚠ **高齢化率からは推計できません。** 有病率は年齢階級により1.1％（65〜69歳）から50.3％（90歳以上）まで変わるため、要るのは65歳以上の「割合」ではなく「年齢階級別の内訳」です。65歳以上人口に全国の12.3％を一律に乗じると395人となりますが、12.3％は性年齢調整後の全国値で本町の年齢構成を反映せず、21人多く出ます。</t>
        </is>
      </c>
      <c r="F161" s="38" t="inlineStr">
        <is>
          <t>計画素案 6-1（推計値を掲載済み）</t>
        </is>
      </c>
      <c r="G161" s="38" t="inlineStr">
        <is>
          <t>発注者</t>
        </is>
      </c>
      <c r="H161" s="39" t="inlineStr">
        <is>
          <t>確認待ち</t>
        </is>
      </c>
      <c r="I161" s="38" t="inlineStr">
        <is>
          <t>R8.10</t>
        </is>
      </c>
      <c r="J161" s="38"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38" t="inlineStr">
        <is>
          <t>159</t>
        </is>
      </c>
      <c r="B163" s="38" t="inlineStr">
        <is>
          <t>(4)(5)</t>
        </is>
      </c>
      <c r="C163" s="38" t="inlineStr">
        <is>
          <t>R8.10</t>
        </is>
      </c>
      <c r="D163" s="38" t="inlineStr">
        <is>
          <t>施設の入所率・稼働率と入退所の経路</t>
        </is>
      </c>
      <c r="E163" s="38"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38" t="inlineStr">
        <is>
          <t>素案 9-1・第2回策定委員会の選択2</t>
        </is>
      </c>
      <c r="G163" s="38" t="inlineStr">
        <is>
          <t>発注者</t>
        </is>
      </c>
      <c r="H163" s="39" t="inlineStr">
        <is>
          <t>確認待ち</t>
        </is>
      </c>
      <c r="I163" s="38" t="inlineStr">
        <is>
          <t>R8.10</t>
        </is>
      </c>
      <c r="J163" s="38" t="inlineStr">
        <is>
          <t>【令和8年10月23日 更新⑤（事業所分析の素案への反映）】延べ利用日数による稼働率と短期入所の利用者数を協議用素案 Ver.2.28 の2-7・別表・9-1に書きました。地域密着型介護老人福祉施設（2施設計）の稼働率は令和7年で78.7％、増やした定員のうち約6人分が埋まっていません。空きが職員不足による受入れの制限によるものかのご確認をお願いします［要確認］。見込量の扱いは［要協議］として素案9-1に置いています。　【令和8年10月23日 更新④（出所の確定）】受領した事業所別5か年推移の出所は地域包括ケア「見える化」システムの事業所分析機能であるとご教示いただきました（各年9月の値。手引き66頁）。稼働率を9月の30日で計算し直しました（地域密着型介護老人福祉施設（増床分）70.3％・県内の中央値94.9％、介護老人福祉施設98.8％、介護老人保健施設91.9％）。出所の［要確認］は解けました。　【令和8年10月23日 更新③（事業所別5か年推移）】令和8年10月23日受領の事業所別5か年推移（令和3〜7年）で、施設・居住系6か所の延べ利用日数による稼働率が分かりました（介護老人福祉施設97.4％・介護老人保健施設90.7％ほか）。⚠ 令和5年に増床した地域密着型介護老人福祉施設（定員10→20）の稼働率が令和7年で69.4％（県内の中央値93.6％）です。短期入所の利用者は2か所とも5年でほぼ半減しています。⚠ データの出所が記載されていないため、作成主体と時点のご確認をお願いします［要確認］。詳細は 川崎町_事業所別5か年推移の確認結果_R8.10.23.md。　【令和8年10月22日 更新②（方針Ｃ・素案Ver.2.23）】県の入所状況調による入所率・退所理由の推移を素案 Ver.2.23 の 2-7・7-1 に入れました。入所前の居所は、入所指針が定める保険者の協力の場で集計値を求めるかを［要協議］として本文に置いています。ご判断をお願いします。　【令和8年10月22日 更新（県の入所状況調）】⚠ **稼働率と休止床が、照会を行わずに埋まりました。**宮城県が3か月ごとに施設別の入所状況を公表しています（老人福祉施設等入所状況調）。令和5年4月から令和8年7月まで14時点を取得しました。
・入所率　介護老人福祉施設97.5〜100.0％と70.0〜100.0％（⚠ 後者は恒常的に2〜5床の空き）／介護老人保健施設90.7〜97.7％／認知症対応型共同生活介護88.9〜100.0％と94.4〜100.0％
・入所希望者　介護老人福祉施設2施設の計が令和5年4月69人→令和8年7月24人（⚠ 複数施設への申込みが重複計上）
・退所理由「在宅」14時点計　介護老人保健施設136人に対し**介護老人福祉施設0人**。在宅復帰と終のすみかの別が3年半の実績で分かれました
⚠ **残るのは3件**です。①入所前の居所（調査の項目にない）②床単位の休止（施設単位までしか分からない）③**短期入所の稼働（新たに分かった空白。県調査も公表システムも長期（短期分を除く））**。
⚠ **入所前の居所には筋が立ちました。** 宮城県指定介護老人福祉施設入所指針（令和5年7月25日）第4(1)(5)により、施設は入所希望者の置かれている状況を確認し名簿を5年保管します。同指針 第3 は**保険者が入所規程の作成に協力する責務**を定めています。新たな照会ではなく、この関与の中で名簿の**集計値**（在宅・医療機関・他の施設の別の人数）の提供を求めるかをご判断ください。　【令和8年10月20日 更新③（ヒアリングを行わない整理）】⚠ **入所率・待機者数・退所先が埋まり、残るのは3件になりました。**
埋まったもの　入所率（90.0％〜100.0％）／待機者数（介護老人福祉施設20人・介護老人保健施設2人）／退所先（介護老人福祉施設は前年度9人、介護老人保健施設は直近3か月19人）
⚠ **残るもの3件**　①稼働率（延べ利用日数による。公表の項目になく、入所率で代えます）②入所前の居所（公表の項目になく、退所先と待機者数で代えます）③休止床の数（定員と在所者数の差で代えます）。
いずれも素案 7-1・表に「公表の項目にない」旨と代わりに用いる値を明記しました。照会を行わない場合でも、施設整備の判断は可能と考えます。　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38" t="inlineStr">
        <is>
          <t>【令和8年10月24日 更新（Red Team レビューへの対応）】素案 1-5 の基本指針案の別表11事項の件数を表から数え直した（対応済1・一部8・未対応2）。国の告示・県の第10期計画（中間案）を受けて照合し直す。　【令和8年10月23日 更新⑧（第2回資料の確定に向けた点検）】介護保険法の条文を e-Gov（令和8年10月1日施行時点）で確かめ、09_元資料/法令/ に退避した。被保険者の意見＝第117条第12項、都道府県の意見＝第13項、知事への提出＝第14項。素案 1-4 に項番号を入れ、資料の「第117条第５項」（誤り）を第13項に改めた。令和8年法律第51号の施行による項の移動は施行時期を確かめて照合し直す。　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38" t="inlineStr">
        <is>
          <t>【令和8年10月23日 更新⑥（県の第10期計画の骨子（案）・見える化の定め）】入力値は「対象経費支出予定額」とされています（手引き79頁）。伸びの根拠のご確認の際、決算額ではなくこの範囲の額であるかもあわせてご確認ください。協議用素案 Ver.2.29 の9-1に注記しました。　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4"/>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1"/>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row r="184">
      <c r="A184" s="35" t="inlineStr">
        <is>
          <t>170</t>
        </is>
      </c>
      <c r="B184" s="35" t="inlineStr">
        <is>
          <t>(4)(5)</t>
        </is>
      </c>
      <c r="C184" s="35" t="inlineStr">
        <is>
          <t>R8.10</t>
        </is>
      </c>
      <c r="D184" s="35" t="inlineStr">
        <is>
          <t>事業所照会票の発出の可否と発送日</t>
        </is>
      </c>
      <c r="E184" s="35" t="inlineStr">
        <is>
          <t>作業順位27により、事業所照会票（様式1から様式9・設問58問）と電子記入様式・確定値管理表を作成しました。素案 2-7 は供給側のデータを「事業所ヒアリング（令和8年9〜10月）により確定する」とし、素案 7-6 ①は年1回のヒアリングを計画期間を通じた仕組みとして位置付けています。発出の可否と発送日をご判断ください。⚠ **発送日と第2回策定委員会の開催日は同時にお決めいただく必要があります。**
【令和8年10月19日 更新】**本日（令和8年10月19日）時点で数え直しました。** 従前お示しした逆算は「令和8年10月19日に発送できても」を前提にしており、**その日が本日です。** 候補日ごとの状況は次のとおりです。　8年11月4日（水）＝⚠ 開催通知の期限（35日前）を過ぎています／回答期間16日／8年11月11日（水）＝⚠ 開催通知の期限（35日前）を過ぎています／回答期間23日／8年11月18日（水）＝⚠ 開催通知の期限（35日前）を過ぎています／回答期間30日／8年11月25日（水）＝開催通知の期限内／回答期間37日。⚠ **開催通知の期限を過ぎていない候補日は 8年11月25日（水） のみです。**
⚠ **さらに、照会票は町の台帳が埋まってはじめて発送できます。** 照会票は事業所の名称・事業所番号・所在地・定員・施設の類型を「［町がお写しします］」としており、作業順位26で用意した記入様式（事業所・住まい 突合台帳の03・04シート）が前提です。その記入には確認事項No.29（町内の介護保険事業所一覧）及びNo.154（高齢者向け住まいの状況）のご回答を要し、いずれも確認待ちです。**この連なりは従前お示しした内容に書かれていませんでした。** 逆算工程表（R8.10.19）の06シートに段を分けて示しています。
⚠ 当方の成果品（照会票・電子記入様式・確定値管理表・ご回答の受入検査）は**すべて作成済み**です。止まっているのは町のご回答の段です。</t>
        </is>
      </c>
      <c r="F184" s="35" t="inlineStr">
        <is>
          <t>素案 2-7・7-1・7-2・9-1 の供給側のデータ
第2回策定委員会の選択2（施設整備）</t>
        </is>
      </c>
      <c r="G184" s="35" t="inlineStr">
        <is>
          <t>発注者</t>
        </is>
      </c>
      <c r="H184" s="35" t="inlineStr">
        <is>
          <t>確認待ち</t>
        </is>
      </c>
      <c r="I184" s="35" t="inlineStr">
        <is>
          <t>R8.10</t>
        </is>
      </c>
      <c r="J184" s="35" t="inlineStr">
        <is>
          <t>【令和8年10月22日 更新（県の入所状況調）】⚠ **照会を行わない整理がさらに固まりました。**照会でお尋ねする予定であった項目のうち、**稼働率と休止床も県の公表資料で代えられる**ことが分かりました（確認事項No.159）。
⚠ 残るのは、入所前の居所・床単位の休止・短期入所の稼働・経営の状況・町への要望の5件です。このうち入所前の居所は県の入所指針による保険者の関与の中で、経営の状況は計画に書かない扱いとし、町への要望は既存の場で聴きます。**新たな照会票は要しません。**　【令和8年10月20日 更新③（ヒアリングを行わない整理）】⚠ **照会票を発出しないという整理をお示しします。**ご指示により、事業所ヒアリングを行わない前提で整理し直した結果、照会票でお尋ねする予定であった項目のうち、**入所率・待機者数・職員数・指定の年月日・退所先は公表システムから採録できました**（14の指定すべて・令和8年10月20日）。
⚠ **残るのは5件**（稼働率・入所前の居所・休止床の数・経営の状況・町への要望）で、いずれも代わりの扱いを素案に書きました。経営の状況と町への要望は、地域ケア会議等の既存の場で聴くものとして計画期間中の仕組みに位置付けました。
⚠ **ご判断をお願いするのは「発出しない」ことのご了解のみです。**発出される場合は、お尋ねする項目を5件に絞った版をお作りします。　既定値＝発送しない場合、素案 2-7 の表は【町確認】のまま残し、9-1 の施設整備に係る基本方針は「既存資源の稼働の状況を把握できていない」旨を明記します。第2回策定委員会の選択2は第3回に送ります。</t>
        </is>
      </c>
    </row>
    <row r="185">
      <c r="A185" s="35" t="inlineStr">
        <is>
          <t>171</t>
        </is>
      </c>
      <c r="B185" s="35" t="inlineStr">
        <is>
          <t>(4)(8)</t>
        </is>
      </c>
      <c r="C185" s="35" t="inlineStr">
        <is>
          <t>R8.10</t>
        </is>
      </c>
      <c r="D185" s="35" t="inlineStr">
        <is>
          <t>照会票の［　］4か所のご記入</t>
        </is>
      </c>
      <c r="E185" s="35" t="inlineStr">
        <is>
          <t>照会票には、町にご記入いただく箇所を［　］で4か所残しています。①文書番号と発出の年月日 ②ご提出の期限 ③ご提出先・お問い合わせ先（電話・ファクシミリ・電子メール）④個人情報の取扱いの3点（計画の策定の支援の委託先の名称・保管の期間・廃棄の方法）。⚠ **とくに④が空欄のままでは、個人情報の取扱いを示せないまま発送することになります。**</t>
        </is>
      </c>
      <c r="F185" s="35" t="inlineStr">
        <is>
          <t>事業所照会票（発送できない）</t>
        </is>
      </c>
      <c r="G185" s="35" t="inlineStr">
        <is>
          <t>発注者</t>
        </is>
      </c>
      <c r="H185" s="35" t="inlineStr">
        <is>
          <t>確認待ち</t>
        </is>
      </c>
      <c r="I185" s="35" t="inlineStr">
        <is>
          <t>R8.10</t>
        </is>
      </c>
      <c r="J185" s="35" t="inlineStr">
        <is>
          <t>既定値＝④は「町の個人情報保護条例の定めによる」と書き、委託先の名称は伏せた形とします。ただし条例上の扱いは町でご確認をお願いします。</t>
        </is>
      </c>
    </row>
    <row r="186">
      <c r="A186" s="35" t="inlineStr">
        <is>
          <t>172</t>
        </is>
      </c>
      <c r="B186" s="35" t="inlineStr">
        <is>
          <t>(4)(6)</t>
        </is>
      </c>
      <c r="C186" s="35" t="inlineStr">
        <is>
          <t>R8.10</t>
        </is>
      </c>
      <c r="D186" s="35" t="inlineStr">
        <is>
          <t>町外の事業所の宛先の作り方</t>
        </is>
      </c>
      <c r="E186" s="35" t="inlineStr">
        <is>
          <t>本町の被保険者が現に利用している町外の事業所にも照会票をお送りする必要がありますが、⚠ **国保連の給付実績（事業所別）が未受領であり（確認事項No.12）、年報では事業所別に落ちないため、現状では町外の事業所の宛先を作れません。** 当方の案は次の2経路による代替です。①町内の居宅介護支援事業所に、給付管理の相手方の事業所の一覧をお願いする（資料提供依頼No.39）②住所地特例者台帳の入居先施設から入所・入居系の事業所を拾う。この代替によることのご了解と、①の依頼の可否をご判断ください。</t>
        </is>
      </c>
      <c r="F186" s="35" t="inlineStr">
        <is>
          <t>照会票の送付先の一覧
素案 9-1 の広域調整</t>
        </is>
      </c>
      <c r="G186" s="35" t="inlineStr">
        <is>
          <t>発注者</t>
        </is>
      </c>
      <c r="H186" s="35" t="inlineStr">
        <is>
          <t>確認待ち</t>
        </is>
      </c>
      <c r="I186" s="35" t="inlineStr">
        <is>
          <t>R8.10</t>
        </is>
      </c>
      <c r="J186" s="35" t="inlineStr">
        <is>
          <t>既定値＝町内の事業所にのみ発送し、素案 9-1 の広域調整に「町外施設の受入余地を把握できていない」旨を明記します。</t>
        </is>
      </c>
    </row>
    <row r="187">
      <c r="A187" s="35" t="inlineStr">
        <is>
          <t>173</t>
        </is>
      </c>
      <c r="B187" s="35" t="inlineStr">
        <is>
          <t>(4)(7)</t>
        </is>
      </c>
      <c r="C187" s="35" t="inlineStr">
        <is>
          <t>R8.11</t>
        </is>
      </c>
      <c r="D187" s="35" t="inlineStr">
        <is>
          <t>照会票が回収できなかった場合の素案の書き方</t>
        </is>
      </c>
      <c r="E187" s="35" t="inlineStr">
        <is>
          <t>素案 2-7 は「確認が取れない数値及び特定の事業所が識別され得る数値は、計画書（案）には掲載しません」と定めています。したがって、回収できなかった設問を素案でどう書くかを発送の前に決めておく必要があります。確定値管理表の09_未回答のときの扱い に当方の案を7件示しました（①回答のあった事業所数と全事業所数を併記する②1事業所しかない種類で未回答の場合は【町確認】のまま残す③「0件」と「記録なし」を区別する ほか）。ご判断をお願いします。</t>
        </is>
      </c>
      <c r="F187" s="35" t="inlineStr">
        <is>
          <t>素案 2-7・7-1・7-2・9-1</t>
        </is>
      </c>
      <c r="G187" s="35" t="inlineStr">
        <is>
          <t>発注者</t>
        </is>
      </c>
      <c r="H187" s="35" t="inlineStr">
        <is>
          <t>確認待ち</t>
        </is>
      </c>
      <c r="I187" s="35" t="inlineStr">
        <is>
          <t>R8.11</t>
        </is>
      </c>
      <c r="J187" s="35" t="inlineStr">
        <is>
          <t>既定値＝確定値管理表 09シートの当方の案によります。</t>
        </is>
      </c>
    </row>
    <row r="188">
      <c r="A188" s="35" t="inlineStr">
        <is>
          <t>174</t>
        </is>
      </c>
      <c r="B188" s="35" t="inlineStr">
        <is>
          <t>(5)(7)</t>
        </is>
      </c>
      <c r="C188" s="35" t="inlineStr">
        <is>
          <t>R8.10</t>
        </is>
      </c>
      <c r="D188" s="35" t="inlineStr">
        <is>
          <t>予定保険料収納率の97％の出所</t>
        </is>
      </c>
      <c r="E188" s="35" t="inlineStr">
        <is>
          <t>他メンバー作成の第10期計画素案の注に「町提供データでは…予定収納率は97％となっています」とあります。当方は①総合収納率の実績（令和2〜7年度で96.3〜96.7％）②第9期計画と同じ96.0％ ③現年度分99.6％ の3つを区別して整理しており、97％はいずれにも当たりません。町提供データのどの欄の値かをご確認ください。⚠ 収納率は保険料に直接効きます（96.0％→99.6％で月額▲246円）。</t>
        </is>
      </c>
      <c r="F188" s="35" t="inlineStr">
        <is>
          <t>計画素案 9-3 の保険料算定</t>
        </is>
      </c>
      <c r="G188" s="35" t="inlineStr">
        <is>
          <t>発注者</t>
        </is>
      </c>
      <c r="H188" s="35" t="inlineStr">
        <is>
          <t>確認待ち</t>
        </is>
      </c>
      <c r="I188" s="35" t="inlineStr">
        <is>
          <t>R8.10</t>
        </is>
      </c>
      <c r="J188" s="35" t="inlineStr">
        <is>
          <t>既定値＝当方の96.0％（第9期と同じ）のままとします。</t>
        </is>
      </c>
    </row>
    <row r="189">
      <c r="A189" s="35" t="inlineStr">
        <is>
          <t>175</t>
        </is>
      </c>
      <c r="B189" s="35" t="inlineStr">
        <is>
          <t>(5)(6)</t>
        </is>
      </c>
      <c r="C189" s="35" t="inlineStr">
        <is>
          <t>R8.10</t>
        </is>
      </c>
      <c r="D189" s="35" t="inlineStr">
        <is>
          <t>総人口・世帯数・高齢化率の出典の揃え方</t>
        </is>
      </c>
      <c r="E189" s="35" t="inlineStr">
        <is>
          <t>第9期計画は川崎町住民基本台帳（各年9月末現在）の数値を掲載しています。他メンバー作成の素案は公表統計である宮城県高齢者人口調査（各年3月31日現在）に差し替えており、令和8年3月末の総人口7,686人・高齢化率41.9％としています。一方、当方の素案 2-2 は令和8年6月末の42.0％（総人口7,648人）を用いています。⚠ **同じ指標に2つの時点の値を計画書に載せられません。** ①公表統計（宮城県高齢者人口調査・3月31日現在）に揃える②住民基本台帳に揃える のいずれによるかをご判断ください。あわせて世帯数・1世帯あたり人員（令和4〜8年）と令和7年国勢調査の高齢者のいる世帯数をご提供ください。</t>
        </is>
      </c>
      <c r="F189" s="35" t="inlineStr">
        <is>
          <t>計画素案 2-1・2-2</t>
        </is>
      </c>
      <c r="G189" s="35" t="inlineStr">
        <is>
          <t>発注者</t>
        </is>
      </c>
      <c r="H189" s="35" t="inlineStr">
        <is>
          <t>確認待ち</t>
        </is>
      </c>
      <c r="I189" s="35" t="inlineStr">
        <is>
          <t>R8.10</t>
        </is>
      </c>
      <c r="J189" s="35" t="inlineStr">
        <is>
          <t>既定値＝公表統計（宮城県高齢者人口調査・各年3月31日現在）に揃えます。年度末で揃うため、他の指標（認定者数・給付費）と時点が一致します。</t>
        </is>
      </c>
    </row>
    <row r="190">
      <c r="A190" s="35" t="inlineStr">
        <is>
          <t>176</t>
        </is>
      </c>
      <c r="B190" s="35" t="inlineStr">
        <is>
          <t>(7)(8)</t>
        </is>
      </c>
      <c r="C190" s="35" t="inlineStr">
        <is>
          <t>R8.11</t>
        </is>
      </c>
      <c r="D190" s="35" t="inlineStr">
        <is>
          <t>保険料の算出表の月額と条例の年額の端数処理</t>
        </is>
      </c>
      <c r="E190" s="35" t="inlineStr">
        <is>
          <t>第9期計画書100頁の保険料算出表は基準額を月額6,508円としていますが、条例で定める年額78,000円を12で割ると6,500円で、整合していません（6,508円×12＝78,096円）。第9期計画書の中に2つの基準額が載っている状態です。第10期では、算出表の月額と条例の年額が整合するよう端数処理の方針を定めておく必要があります。①算出表の月額を円未満切り捨てとし、年額はその12倍とする②年額を条例で定め、月額は年額÷12とする のいずれによるかをご判断ください。</t>
        </is>
      </c>
      <c r="F190" s="35" t="inlineStr">
        <is>
          <t>計画素案 9-3・介護保険条例の改正</t>
        </is>
      </c>
      <c r="G190" s="35" t="inlineStr">
        <is>
          <t>発注者</t>
        </is>
      </c>
      <c r="H190" s="35" t="inlineStr">
        <is>
          <t>確認待ち</t>
        </is>
      </c>
      <c r="I190" s="35" t="inlineStr">
        <is>
          <t>R8.11</t>
        </is>
      </c>
      <c r="J190" s="35" t="inlineStr">
        <is>
          <t>既定値＝②（年額を条例で定め、月額は年額÷12とする）。住民にお示しする額と条例の額が一致します。</t>
        </is>
      </c>
    </row>
    <row r="191">
      <c r="A191" s="35" t="inlineStr">
        <is>
          <t>177</t>
        </is>
      </c>
      <c r="B191" s="35" t="inlineStr">
        <is>
          <t>(4)(8)</t>
        </is>
      </c>
      <c r="C191" s="35" t="inlineStr">
        <is>
          <t>R8.11</t>
        </is>
      </c>
      <c r="D191" s="35" t="inlineStr">
        <is>
          <t>計画書に載せる調査結果の範囲</t>
        </is>
      </c>
      <c r="E191" s="35" t="inlineStr">
        <is>
          <t>他メンバー作成の素案は第2章第6節「高齢者の生活実態・意識等」に19頁（図21点）を割いています。第9期計画も同様の構成です。一方、調査報告書3文書（ニーズ調査・在宅介護実態調査・介護実態調査）は別の成果品として納品します。⚠ **仕様書8は計画書を100頁程度と定めており、当方の素案は本文113頁です**（圧縮案を確認事項No.83でご協議中）。調査結果を19頁載せると頁数が収まりません。計画書に載せる項目と報告書に委ねる項目の切り分けをご判断ください。</t>
        </is>
      </c>
      <c r="F191" s="35" t="inlineStr">
        <is>
          <t>計画素案 2-6・計画書の頁数</t>
        </is>
      </c>
      <c r="G191" s="35" t="inlineStr">
        <is>
          <t>発注者</t>
        </is>
      </c>
      <c r="H191" s="35" t="inlineStr">
        <is>
          <t>確認待ち</t>
        </is>
      </c>
      <c r="I191" s="35" t="inlineStr">
        <is>
          <t>R8.11</t>
        </is>
      </c>
      <c r="J191" s="35" t="inlineStr">
        <is>
          <t>既定値＝計画書には施策の根拠となる項目（世帯類型・介護者の就労・外出の状況・認知症への備え）に絞って4〜6頁とし、そのほかは調査報告書に委ねて参照を付けます。</t>
        </is>
      </c>
    </row>
    <row r="192">
      <c r="A192" s="35" t="inlineStr">
        <is>
          <t>178</t>
        </is>
      </c>
      <c r="B192" s="35" t="inlineStr">
        <is>
          <t>(7)</t>
        </is>
      </c>
      <c r="C192" s="35" t="inlineStr">
        <is>
          <t>R8.10</t>
        </is>
      </c>
      <c r="D192" s="35" t="inlineStr">
        <is>
          <t>他メンバー作成の素案の扱い</t>
        </is>
      </c>
      <c r="E192" s="35" t="inlineStr">
        <is>
          <t>令和8年10月16日に他メンバー作成の第10期計画素案（2部8章＋資料編・図45点）を受領しました。**当方は正本を当方案（素案 v2.13・全113頁・10章48節）とし、内容だけを取り込む方針で進めます。**この方針でよいかをご確認ください。⚠ 添付は第9期計画書の改訂版であり、章立て・節立てが第9期と同一です。添付の強みは計画書としての体裁と文章の充実であり、数値・制度改正・供給体制・保険料は当方の正本が先に進んでいます（添付は【町確認】が90か所、第7章の保険料は144か所）。</t>
        </is>
      </c>
      <c r="F192" s="35" t="inlineStr">
        <is>
          <t>計画素案の正本の決定</t>
        </is>
      </c>
      <c r="G192" s="35" t="inlineStr">
        <is>
          <t>発注者</t>
        </is>
      </c>
      <c r="H192" s="35" t="inlineStr">
        <is>
          <t>確認待ち</t>
        </is>
      </c>
      <c r="I192" s="35" t="inlineStr">
        <is>
          <t>R8.10</t>
        </is>
      </c>
      <c r="J192" s="35" t="inlineStr">
        <is>
          <t>既定値＝当方案を正本とし、添付から内容を取り込みます。</t>
        </is>
      </c>
    </row>
    <row r="193">
      <c r="A193" s="35" t="inlineStr">
        <is>
          <t>179</t>
        </is>
      </c>
      <c r="B193" s="35" t="inlineStr">
        <is>
          <t>(1)(7)</t>
        </is>
      </c>
      <c r="C193" s="35" t="inlineStr">
        <is>
          <t>R8.10</t>
        </is>
      </c>
      <c r="D193" s="35" t="inlineStr">
        <is>
          <t>調査の配布数・回収数の出所</t>
        </is>
      </c>
      <c r="E193" s="35" t="inlineStr">
        <is>
          <t>他メンバー作成の第10期計画素案に、ニーズ調査の配布数1,034通・回収576件・回収率55.7％、在宅介護実態調査の配布数305通・回収142件・回収率46.6％という実数が入っています。算術は整合します（576÷1,034＝55.71％、142÷305＝46.56％）。⚠ **1,034通・305通という発送通数は、当方の受領資料にも業務工程管理表にも現れない値です。** 町の発送記録によるものかをご確認ください。当方の素案 2-6 の「調査の概要」の表は、この2か所を【町確認】のまま残しています。</t>
        </is>
      </c>
      <c r="F193" s="35" t="inlineStr">
        <is>
          <t>計画素案 2-6 の調査の概要の表</t>
        </is>
      </c>
      <c r="G193" s="35" t="inlineStr">
        <is>
          <t>発注者</t>
        </is>
      </c>
      <c r="H193" s="35" t="inlineStr">
        <is>
          <t>確認待ち</t>
        </is>
      </c>
      <c r="I193" s="35" t="inlineStr">
        <is>
          <t>R8.10</t>
        </is>
      </c>
      <c r="J193" s="35" t="inlineStr">
        <is>
          <t>既定値＝出所が確かめられるまで【町確認】のまま残します。推測で置きません。</t>
        </is>
      </c>
    </row>
    <row r="194">
      <c r="A194" s="35" t="inlineStr">
        <is>
          <t>180</t>
        </is>
      </c>
      <c r="B194" s="35" t="inlineStr">
        <is>
          <t>(2)(7)</t>
        </is>
      </c>
      <c r="C194" s="35" t="inlineStr">
        <is>
          <t>R8.10</t>
        </is>
      </c>
      <c r="D194" s="35" t="inlineStr">
        <is>
          <t>地域密着型サービス運営協議会の正式名称と構成</t>
        </is>
      </c>
      <c r="E194" s="35" t="inlineStr">
        <is>
          <t>第9期計画書は「地域包括支援センター及び地域密着型サービス運営協議会や介護保険運営委員会等の機関において」と記載しています（「地域密着型サービス運営委員会」の記載は0件です）。当方の素案は2か所を「運営委員会」と書いていたため、**町の正本の記載により「運営協議会」に直しました**（計画素案 Ver.2.16）。⚠ 次の2点をご確認ください。①町の要綱・規則における正式名称②川崎町介護保険運営委員会（条例第17条により設置）と兼ねているか、別に設けているか。地域密着型サービスの指定に係る意見聴取の場として、どちらにお諮りするかに関わります。</t>
        </is>
      </c>
      <c r="F194" s="35" t="inlineStr">
        <is>
          <t>計画素案 5-4・7-6</t>
        </is>
      </c>
      <c r="G194" s="35" t="inlineStr">
        <is>
          <t>発注者</t>
        </is>
      </c>
      <c r="H194" s="35" t="inlineStr">
        <is>
          <t>確認待ち</t>
        </is>
      </c>
      <c r="I194" s="35" t="inlineStr">
        <is>
          <t>R8.10</t>
        </is>
      </c>
      <c r="J194" s="35" t="inlineStr">
        <is>
          <t>既定値＝第9期計画書の記載どおり「地域密着型サービス運営協議会」とします。推測で町の機関の名称を変えません。</t>
        </is>
      </c>
    </row>
    <row r="195">
      <c r="A195" s="35" t="inlineStr">
        <is>
          <t>181</t>
        </is>
      </c>
      <c r="B195" s="35" t="inlineStr">
        <is>
          <t>(7)(8)</t>
        </is>
      </c>
      <c r="C195" s="35" t="inlineStr">
        <is>
          <t>R8.10</t>
        </is>
      </c>
      <c r="D195" s="35" t="inlineStr">
        <is>
          <t>資料編と奥付の取り扱い</t>
        </is>
      </c>
      <c r="E195" s="35" t="inlineStr">
        <is>
          <t>第9期計画書は98〜102頁に資料編（①川崎町介護保険条例の抜粋②川崎町介護保険運営委員会規則③委員名簿④策定経過の概要）を置き、108頁に奥付（編集／川崎町 保健福祉課 介護保険係、住所・電話・ファクス）を置いています。**当方の計画素案には、いずれもまだありません。** 次の3点をご確認ください。①資料編を計画書の本体に組み込むか、別冊とするか②条例・規則の現行の条文及び第10期の委員名簿のご提供③奥付の課名・住所・電話番号・ファクス番号。⚠ **委員名簿は委員の氏名を含むため、当方では起こしません**（個人情報を当方の成果品に転記しない方針によります）。⚠ 資料編を13頁と見込み、圧縮案の頁数（本文109頁＋資料編13頁＝122頁）に織り込んでいます。頁数が変われば圧縮の度合いも変わります（確認事項No.83と併せてご判断ください）。</t>
        </is>
      </c>
      <c r="F195" s="35" t="inlineStr">
        <is>
          <t>計画書 資料編・奥付</t>
        </is>
      </c>
      <c r="G195" s="35" t="inlineStr">
        <is>
          <t>発注者</t>
        </is>
      </c>
      <c r="H195" s="35" t="inlineStr">
        <is>
          <t>確認待ち</t>
        </is>
      </c>
      <c r="I195" s="35" t="inlineStr">
        <is>
          <t>R8.11</t>
        </is>
      </c>
      <c r="J195" s="35" t="inlineStr">
        <is>
          <t>【令和8年10月20日 更新】⚠ **条文の原文を当方で取れるようになりました。**法令検索（laws.e-gov.go.jp）が、昨日（10月19日）は403でしたが本日は200で本文が取れます。資料編の条文抜粋は、添付の引用をそのまま使わず原文から起こします。名簿（委員・事業所）のご提供は引き続きお願いします。　既定値＝第9期計画書の構成に倣い、資料編を計画書の本体に組み込む前提で頁数を見込みます。条文・名簿のご提供がない間は枠のみを置き、推測で埋めません。</t>
        </is>
      </c>
    </row>
    <row r="196">
      <c r="A196" s="35" t="inlineStr">
        <is>
          <t>182</t>
        </is>
      </c>
      <c r="B196" s="35" t="inlineStr">
        <is>
          <t>(4)</t>
        </is>
      </c>
      <c r="C196" s="35" t="inlineStr">
        <is>
          <t>R8.10</t>
        </is>
      </c>
      <c r="D196" s="35" t="inlineStr">
        <is>
          <t>第9期施策評価の実施要領（案）のご確認</t>
        </is>
      </c>
      <c r="E196" s="35" t="inlineStr">
        <is>
          <t>第9期の35事業について、達成度の区分（Ａ〜Ｄ＋評価不能）、第10期方針の区分（継続・拡充・縮小・廃止・新規・統合）、優先度（高・中・低）の判定の基準を定めた実施要領（案）をお示しします。委託仕様書(4)は、シート案を提案し「発注者と十分協議のうえ内容を決定すること」と定めているため、次の3点をご確認ください。①達成度の閾値を100／80／50％とすることでよいか②優先度を3段階とすることでよいか③⚠ **関連施策評価調査シート（令和8年9月）の「自己評価（1〜4）」と評価の言葉が2通りになっています。** 本要領のＡ〜Ｄに揃えてよいか。⚠ また、事業ごとの根拠法令（必須事業か任意事業か独自施策か）は町の要綱・予算科目によるため当方では埋められません。実施要領05シートの「必須事業の区分」欄のご記入をお願いします。</t>
        </is>
      </c>
      <c r="F196" s="35" t="inlineStr">
        <is>
          <t>第9期施策評価 実施要領（案）</t>
        </is>
      </c>
      <c r="G196" s="35" t="inlineStr">
        <is>
          <t>発注者</t>
        </is>
      </c>
      <c r="H196" s="35" t="inlineStr">
        <is>
          <t>確認待ち</t>
        </is>
      </c>
      <c r="I196" s="35" t="inlineStr">
        <is>
          <t>R8.11</t>
        </is>
      </c>
      <c r="J196" s="35" t="inlineStr">
        <is>
          <t>既定値＝お示しした案のまま進めます。達成度の閾値・優先度の段数は町のご判断で変えていただけます。</t>
        </is>
      </c>
    </row>
    <row r="197">
      <c r="A197" s="35" t="inlineStr">
        <is>
          <t>183</t>
        </is>
      </c>
      <c r="B197" s="35" t="inlineStr">
        <is>
          <t>(5)</t>
        </is>
      </c>
      <c r="C197" s="35" t="inlineStr">
        <is>
          <t>R8.10</t>
        </is>
      </c>
      <c r="D197" s="35" t="inlineStr">
        <is>
          <t>中長期（令和17・22年度）の見込量の位置づけ</t>
        </is>
      </c>
      <c r="E197" s="35" t="inlineStr">
        <is>
          <t>素案 9-1 に、令和17年度・令和22年度のサービス別の見込量を掲げています（Ver.2.17 で15サービスの空欄を埋め、9-1 のサービス別の和が 9-2 の総給付費と一致するようにしました）。⚠ **これらは第10期計画期間（令和9〜11年度）の見込量とは位置づけが異なり、計画の数値ではなく長期の見通しです。** 次の2点をご確認ください。①計画書に中長期の列を載せたままとするか、別冊に移すか（仕様書5(5)は「10年間の…推計」を求めており、載せる前提で作っていますが、頁数の制約があります）②標準給付費見込額・地域支援事業費の中長期は算定していません（9-2 では「─」）。総給付費のみで足りるか。</t>
        </is>
      </c>
      <c r="F197" s="35" t="inlineStr">
        <is>
          <t>計画素案 9-1・9-2</t>
        </is>
      </c>
      <c r="G197" s="35" t="inlineStr">
        <is>
          <t>発注者</t>
        </is>
      </c>
      <c r="H197" s="35" t="inlineStr">
        <is>
          <t>確認待ち</t>
        </is>
      </c>
      <c r="I197" s="35" t="inlineStr">
        <is>
          <t>R8.11</t>
        </is>
      </c>
      <c r="J197" s="35" t="inlineStr">
        <is>
          <t>既定値＝中長期は総給付費のみとし、計画書に載せたままとします。⚠ 推測で標準給付費・地域支援事業費の中長期を置きません。</t>
        </is>
      </c>
    </row>
    <row r="198">
      <c r="A198" s="35" t="inlineStr">
        <is>
          <t>184</t>
        </is>
      </c>
      <c r="B198" s="35" t="inlineStr">
        <is>
          <t>(5)(6)</t>
        </is>
      </c>
      <c r="C198" s="35" t="inlineStr">
        <is>
          <t>R8.10</t>
        </is>
      </c>
      <c r="D198" s="35" t="inlineStr">
        <is>
          <t>見える化システムの出力と本計画の見込量の差（県への事前協議の備え）</t>
        </is>
      </c>
      <c r="E198" s="35" t="inlineStr">
        <is>
          <t>地域包括ケア「見える化」システムの将来推計総括表の「2_サービス別給付費」と本計画の見込量の差について。
【令和8年10月19日 更新】⚠ **令和8年10月19日出力の版で差が拡大しました。**第10期3か年計で+95,714千円（+3.14％）となり、10月17日に記録した+26,902千円の約3.6倍です（令和9年度+25,184千円/+2.47％、令和11年度+34,951千円/+3.44％、令和17年度+61,634千円/+5.55％、令和22年度+64,250千円/+5.27％）。
拡大の原因は No.79 のとおり令和8年度（伸び率の基準年）が差し替え前に戻ったことです。
⚠ **本計画が総括表のサービス別の値を用いない理由は変わっていません。**①令和9年度以降が0のサービスが12件（No.76）②区間内で値が動かないサービスが残る（No.80）。県への事前協議で問われた場合に説明できるよう、差の数値を記録しています。</t>
        </is>
      </c>
      <c r="F198" s="35" t="inlineStr">
        <is>
          <t>計画素案 9-1・9-2／県事前協議</t>
        </is>
      </c>
      <c r="G198" s="35" t="inlineStr">
        <is>
          <t>発注者</t>
        </is>
      </c>
      <c r="H198" s="35" t="inlineStr">
        <is>
          <t>確認待ち</t>
        </is>
      </c>
      <c r="I198" s="35" t="inlineStr">
        <is>
          <t>R8.11</t>
        </is>
      </c>
      <c r="J198" s="35" t="inlineStr">
        <is>
          <t>既定値＝本計画の算定（年報の実績に認定者数の伸びを乗じるもの）を維持します。⚠ **総括表の値に合わせるには、まず確認事項No.76・80の是正（0のサービスの補完と固定の解除）が必要であり、それなしに合わせることはできません。**</t>
        </is>
      </c>
    </row>
    <row r="199">
      <c r="A199" s="35" t="inlineStr">
        <is>
          <t>185</t>
        </is>
      </c>
      <c r="B199" s="35" t="inlineStr">
        <is>
          <t>(4)(7)</t>
        </is>
      </c>
      <c r="C199" s="35" t="inlineStr">
        <is>
          <t>R8.10</t>
        </is>
      </c>
      <c r="D199" s="35" t="inlineStr">
        <is>
          <t>見える化システム「自然体推計の計算過程確認シート」の出力のお願い</t>
        </is>
      </c>
      <c r="E199" s="35" t="inlineStr">
        <is>
          <t>⚠ **将来の認知症の人の数を按分なしで算出するために要ります。**
第10期基本指針（案）は「自治体内の認知症の人の数や推計値を算出し」「今後どのような推移を辿るのか、という推計値を算出することは肝要」としています。認知症の有病率は国が**6つの年齢階級**（65〜69／70〜74／75〜79／80〜84／85〜89／90歳以上）で公表していますので、推計には同じ6階級の人口が要ります。
⚠ **総括表に載る年齢の内訳は3区分だけです**（5_保険料推計 行111〜115。前期65〜74歳／後期75〜84歳／後期85歳〜）。3区分のままでも暫定の推計はできますが、区分の中の内訳の置き方によって約8％（35〜40人）振れます。
⚠ **見える化システムの「自然体推計の計算過程確認シート」は、令和12・17・22・27・32年度の第1号被保険者数を性・年齢5歳階級別（65〜69歳〜90歳以上）で持ちます**（国のガイド「2.1 総人口と被保険者数」2)）。現に、令和8年9月11日にいただいた画面の控えでも、認定者数は男女別・6階級で表示されています。
**総括表と同じ推計パターンで同シートをご出力いただき、ご提供いただけますでしょうか。** これがあれば按分は一切不要になり、現在（令和8年）と同じ方法で将来まで一貫して算出できます。
⚠ 見える化システムのID・パスワードはお預かりしていますが、当方で直接データを触る想定ではないため、町の操作でお願いする筋です。</t>
        </is>
      </c>
      <c r="F199" s="35" t="inlineStr">
        <is>
          <t>計画素案 6-1（将来の推計値）</t>
        </is>
      </c>
      <c r="G199" s="35" t="inlineStr">
        <is>
          <t>発注者</t>
        </is>
      </c>
      <c r="H199" s="35" t="inlineStr">
        <is>
          <t>確認待ち</t>
        </is>
      </c>
      <c r="I199" s="35" t="inlineStr">
        <is>
          <t>R8.10</t>
        </is>
      </c>
      <c r="J199" s="35" t="inlineStr">
        <is>
          <t>有病率は6階級で公表。総括表には3区分しかない。同シートには6階級がある（国のガイド2.1）</t>
        </is>
      </c>
    </row>
    <row r="200">
      <c r="A200" s="35" t="inlineStr">
        <is>
          <t>186</t>
        </is>
      </c>
      <c r="B200" s="35" t="inlineStr">
        <is>
          <t>(5)(6)(7)</t>
        </is>
      </c>
      <c r="C200" s="35" t="inlineStr">
        <is>
          <t>R8.11</t>
        </is>
      </c>
      <c r="D200" s="35" t="inlineStr">
        <is>
          <t>推計パターン「0911」（令和8年10月19日出力）を計画の正本とするか</t>
        </is>
      </c>
      <c r="E200" s="35" t="inlineStr">
        <is>
          <t>⚠ **ご判断をお願いします。** 令和8年10月19日にいただいた総括表は、当方が素案の土台にしてきた版（R8.9.11出力。認定者数は_在宅回数入力後の稿）と、令和10年度以降で食い違います。
要介護認定者数（総数）　令和10年度 576→584人／令和11年度 581→589人／令和17年度 639→641人／令和22年度 688→694人（令和9年度は580人で変わりません）。
要介護度別では要介護1が下がり（令和17年度 82→73人）、要介護2が上がって（104→116人）おり、構成が入れ替わっています。
⚠ **素案の見込量は「令和7年度の実績×要介護度別の認定者数の伸び」で算定しているため、認定者数が動くと見込量が動きます。**新版の認定者数で計算し直すと、令和9年度±0千円・令和10年度+9,427千円（+0.93％）・令和11年度+13,816千円（+1.36％）、3か年計+23,243千円です（当方の算定を回し直して確かめました）。保険料（算定Ａ・取崩なし）は6,822.39円→6,870.94円（+48.55円）になります。サービス別には要介護度の構成の入れ替わりにより、総額より大きく振れるものがあります。
⚠ **ただし新版は No.79 のとおり令和8年度（伸び率の基準年）が差し替え前に戻っています。**基準年が戻ったまま正本にすると、No.76 の12サービスが0のまま計画に載ります。
**①パターン「0911」を正本とするか、②No.79 の差し替えをやり直したうえで新しいパターンを作るか、をご判断ください。**②の場合、第2回策定委員会の資料は現行の素案（Ver.2.19）のままで差し支えありません。
⚠ 既定値＝②（差し替えをやり直す）。伸び率の基準年が欠けたまま確定すると、第10期の3年間12サービスを実施しない計画になるためです。</t>
        </is>
      </c>
      <c r="F200" s="35" t="inlineStr">
        <is>
          <t>計画素案 9-1・9-2・9-3</t>
        </is>
      </c>
      <c r="G200" s="35" t="inlineStr">
        <is>
          <t>発注者</t>
        </is>
      </c>
      <c r="H200" s="35" t="inlineStr">
        <is>
          <t>確認待ち</t>
        </is>
      </c>
      <c r="I200" s="35" t="inlineStr">
        <is>
          <t>R8.11</t>
        </is>
      </c>
      <c r="J200" s="35" t="inlineStr">
        <is>
          <t>【令和8年10月21日 更新（資料v9・想定問答集v5）】⚠ **想定問答集 v5 に問を立てました（QB-54）。**「保険料の前提になる将来推計は、どれを使っているのか」に対し、**正本とするかどうかは町のご判断をお待ちしている**旨を答える形にしています。⚠ **10月30日までにご判断をいただけないと、保険料の3パターンを資料の確定版に載せられません。**　受領した総括表（R8.10.19出力）の全セル突合による</t>
        </is>
      </c>
    </row>
    <row r="201">
      <c r="A201" s="35" t="inlineStr">
        <is>
          <t>187</t>
        </is>
      </c>
      <c r="B201" s="35" t="inlineStr">
        <is>
          <t>(8)</t>
        </is>
      </c>
      <c r="C201" s="35" t="inlineStr">
        <is>
          <t>R8.10</t>
        </is>
      </c>
      <c r="D201" s="35" t="inlineStr">
        <is>
          <t>計画書の書体と見出しの形を第9期計画に揃えるか</t>
        </is>
      </c>
      <c r="E201" s="35" t="inlineStr">
        <is>
          <t>第9期計画は本文を HG丸ゴシックM-PRO 11pt（行送り約19.6pt）とし、節を「第１節」、表・図の題を「■」（番号なし）、出典を「資料：」としています。計画素案は游ゴシック 10pt（行送り16pt）、節を「1-1」、図に「図3-1」等の番号を付けています。①書体と大きさ（Ａ現状116頁／Ｂ書体だけ揃える116頁前後／Ｃ大きさ・行送りも揃える約126頁）、②見出し・図表の題の形を揃える時期、をご判断ください。詳細は 川崎町_計画書の見え方の点検_R8.10.23.md。</t>
        </is>
      </c>
      <c r="F201" s="35" t="inlineStr">
        <is>
          <t>計画書（成果品4）の紙面・頁数</t>
        </is>
      </c>
      <c r="G201" s="35" t="inlineStr">
        <is>
          <t>発注者</t>
        </is>
      </c>
      <c r="H201" s="35" t="inlineStr">
        <is>
          <t>確認待ち</t>
        </is>
      </c>
      <c r="I201" s="35" t="inlineStr">
        <is>
          <t>R8.11</t>
        </is>
      </c>
      <c r="J201" s="35" t="inlineStr">
        <is>
          <t>【令和8年10月23日 更新②（No.187 ご判断・2つの版）】ご指示：①書体は第9期と同じ HG丸ゴシックM-PRO に揃える（大きさ・行送りは変えない）②見出しと図表の題はそのまま③協議用素案と公表用の計画書（案）に分けて運用する。素案 Ver.2.27（協議用）と公表用 v2.27 に反映した。　既定値＝①Ｂ（書体だけ HG丸ゴシックM-PRO に揃え、大きさは10pt）、②公表版（計画書の案）の段階で「第１節」「■」「資料：」に揃える。協議の間は現在の形のままとする。</t>
        </is>
      </c>
    </row>
    <row r="202">
      <c r="A202" s="35" t="inlineStr">
        <is>
          <t>188</t>
        </is>
      </c>
      <c r="B202" s="35" t="inlineStr">
        <is>
          <t>(5)(7)</t>
        </is>
      </c>
      <c r="C202" s="35" t="inlineStr">
        <is>
          <t>R8.11</t>
        </is>
      </c>
      <c r="D202" s="35" t="inlineStr">
        <is>
          <t>県へ推計データを提出する際の入力（第10期計画策定における取組の入力・必要入所（利用）定員、入居定員総数調査票）</t>
        </is>
      </c>
      <c r="E202" s="35" t="inlineStr">
        <is>
          <t>地域包括ケア「見える化」システムの将来推計機能では、都道府県へ推計データを提出する際に、地域分析結果の資料、「改正介護保険法を踏まえた第10期計画策定における取組の入力」（選択式）、「第10期必要入所（利用）定員、入居定員総数調査票」の登録を行うこととされています（利用マニュアル【システム操作編② 将来推計】第11.0版・令和8年9月30日に加わった画面）。取組の入力は、中長期のサービス見込量の推計、サービス提供体制の確保（中山間・人口減少地域の把握を含む）、医療・介護連携の推進について問うものです。素案の章節（9-1 中長期の見込み・1-6 日常生活圏域と7地区・7-2 供給の制約・1-5 医療計画との整合）から回答案を作成してお渡しできます。①操作編②のご提供（資料提供依頼No.51）、②調査票の様式のご提供（No.52）、③県への提出の時期、をご教示ください。
⚠ 当方は操作編②の原本を受領しておらず、上の画面の構成は原本で確かめていません。</t>
        </is>
      </c>
      <c r="F202" s="35" t="inlineStr">
        <is>
          <t>見える化システムの県への提出（第2回目以降）
計画素案 9-1（必要利用定員総数）</t>
        </is>
      </c>
      <c r="G202" s="35" t="inlineStr">
        <is>
          <t>発注者</t>
        </is>
      </c>
      <c r="H202" s="35" t="inlineStr">
        <is>
          <t>確認待ち</t>
        </is>
      </c>
      <c r="I202" s="35" t="inlineStr">
        <is>
          <t>R8.11</t>
        </is>
      </c>
      <c r="J202" s="35" t="inlineStr">
        <is>
          <t>【令和8年10月23日 更新⑥（県の第10期計画の骨子（案）・見える化の定め）】既定値＝操作編②のご提供を受けて設問を確かめ、素案から回答案を作成してお渡しする。調査票の受領までは素案 9-1 の必要利用定員総数（月27.2人）を正とする。整理は 01_第10期_最新版成果品/川崎町_県の第10期計画骨子と見える化の定めの確認_R8.10.23.md §4。</t>
        </is>
      </c>
    </row>
    <row r="203">
      <c r="A203" s="35" t="inlineStr">
        <is>
          <t>189</t>
        </is>
      </c>
      <c r="B203" s="35" t="inlineStr">
        <is>
          <t>(3)</t>
        </is>
      </c>
      <c r="C203" s="35" t="inlineStr">
        <is>
          <t>R8.10</t>
        </is>
      </c>
      <c r="D203" s="35" t="inlineStr">
        <is>
          <t>第2回策定委員会資料に残る【町確認】2件</t>
        </is>
      </c>
      <c r="E203" s="35" t="inlineStr">
        <is>
          <t>第2回策定委員会資料 v16 に、町のご確認を要する【町確認】が2件残っています。10月30日（金）の確定までにご確認をお願いします。
①３ 表5の注：第9期の在宅介護実態調査は要介護1〜5の認定者だけを対象としていたか（今回は要支援を含む）。
②５ 選択３：町外の地域密着型サービス（定期巡回・随時対応型訪問介護看護、看護小規模多機能型居宅介護。令和7年度に月0.4人・0.2人の利用の実績）について、本町が事業所を指定しているか（区域外の指定）。なお、仙南圏域の事業所の所在は公表システムで確かめました（定期巡回2・看護小規模多機能2・小規模多機能4・夜間対応0）。</t>
        </is>
      </c>
      <c r="F203" s="35" t="inlineStr">
        <is>
          <t>第2回策定委員会資料・想定問答集（10月30日確定）
計画素案 5-5</t>
        </is>
      </c>
      <c r="G203" s="35" t="inlineStr">
        <is>
          <t>発注者</t>
        </is>
      </c>
      <c r="H203" s="35" t="inlineStr">
        <is>
          <t>確認待ち</t>
        </is>
      </c>
      <c r="I203" s="35" t="inlineStr">
        <is>
          <t>R8.10.30</t>
        </is>
      </c>
      <c r="J203" s="35" t="inlineStr">
        <is>
          <t>【令和8年10月23日 更新⑧（第2回資料の確定に向けた点検）】既定値＝回答がない場合、①は注の【町確認】を落とし出典だけを示す、②は「令和7年度に町外の事業所の利用の実績がある」までを書き指定の状況の文を落とす。整理は 01_第10期_最新版成果品/川崎町_第2回策定委員会資料の確定に向けた点検_R8.10.23.md。</t>
        </is>
      </c>
    </row>
    <row r="204">
      <c r="A204" s="35" t="inlineStr">
        <is>
          <t>190</t>
        </is>
      </c>
      <c r="B204" s="35" t="inlineStr">
        <is>
          <t>(3)</t>
        </is>
      </c>
      <c r="C204" s="35" t="inlineStr">
        <is>
          <t>R8.10</t>
        </is>
      </c>
      <c r="D204" s="35" t="inlineStr">
        <is>
          <t>生活支援コーディネーター26人の区分と配置（第1層・第2層）</t>
        </is>
      </c>
      <c r="E204" s="35" t="inlineStr">
        <is>
          <t>計画素案の生活支援コーディネーター26人（令和7年度見込）は、町の実績データ（データ入力フォーマット02シート）の「生活支援サポーター（SC）_人数」と、国の令和8年度評価（該当状況調査）の「生活支援コーディネーター数」がいずれも26人であることによります。人数は一致しますが、同じ方々を指すか（生活支援体制整備事業の生活支援コーディネーターとして配置されているか）をお示しください。あわせて、第1層・第2層の配置の内訳をお願いします。</t>
        </is>
      </c>
      <c r="F204" s="35" t="inlineStr">
        <is>
          <t>計画素案 5-4・10-4（KPI）
概要版（KPI の行）</t>
        </is>
      </c>
      <c r="G204" s="35" t="inlineStr">
        <is>
          <t>発注者</t>
        </is>
      </c>
      <c r="H204" s="35" t="inlineStr">
        <is>
          <t>確認待ち</t>
        </is>
      </c>
      <c r="I204" s="35" t="inlineStr">
        <is>
          <t>R8.11.10</t>
        </is>
      </c>
      <c r="J204" s="35" t="inlineStr">
        <is>
          <t>【令和8年10月24日 更新②（Red Team 再レビューへの対応）】Red Team 再レビュー N03。素案 Ver.2.33 で KPI と 5-4 の表に【町確認】を付した。既定値＝回答がない場合、KPI の現状値は「確認中」とし数値を載せない（公表用は［要確認］、概要版は載せない）。</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38" t="n">
        <v>3</v>
      </c>
      <c r="B7" s="38" t="inlineStr">
        <is>
          <t>事業量・見込み量等の推計用電子データ</t>
        </is>
      </c>
      <c r="C7" s="38" t="inlineStr">
        <is>
          <t>川崎町_第10期_計画見込量_R8.9.15.xlsx（7シート）
川崎町_第10期_計画見込量_中長期・保険料内訳_R8.10.17.xlsx（9シート）
川崎町_新推計パターン_設定値一式_R8.9.11.xlsx（8シート）
川崎町_保険料試算ワークブック（11シート）
川崎町_認知症の人の数の推計_R8.10.19.xlsx（9シート）
川崎町_事業所・住まい_突合結果_R8.10.20.xlsx（7シート）
川崎町_町内事業所の実態_公表システム_R8.10.20.xlsx（8シート）
川崎町_策定委員会_逆算工程表_R8.10.20.xlsx（5シート）
川崎町_施設の入所状況の推移_県調査_R8.10.22.xlsx（8シート）</t>
        </is>
      </c>
      <c r="D7" s="38" t="inlineStr">
        <is>
          <t>一式（Excel）</t>
        </is>
      </c>
      <c r="E7" s="39" t="inlineStr">
        <is>
          <t>実施中</t>
        </is>
      </c>
      <c r="F7" s="40" t="n">
        <v>0.9</v>
      </c>
      <c r="G7" s="38" t="inlineStr">
        <is>
          <t>R9.3.15</t>
        </is>
      </c>
      <c r="H7" s="38" t="inlineStr">
        <is>
          <t>【令和8年10月22日 更新（県の入所状況調）】県の入所状況調（3か月ごと・14時点）から町内施設の推移を登録した。⚠ **稼働率と休止床が照会によらず埋まった。**⚠ **軽費老人ホーム（定員70人）の休止から廃止までの経過**も分かった（05シート）。残るものは07シートに6件示している。　【令和8年10月20日 更新③（ヒアリングを行わない整理）】公表システム本体からの採録の結果（8シート）と、第2回＝11月24日で引き直した逆算工程表（5シート）を登録した。⚠ **残るもの8件は「06_残るもの」に理由つきで示し、「適合」に丸めていない**。　【令和8年10月20日 更新②（突合の実施）】事業所・住まいの突合の結果を登録した。町内8事業所・3法人。⚠ **指定の年月日・入所率・未指定の住まいは含まれない**（確認事項No.29・No.154）。　【令和8年10月19日 更新】認知症の人の数の推計（認知症374人・ＭＣＩ474人）を登録した。基本指針（案）別表一 事項十一が求める「認知症の人の数や推計値」のうち推計値の側。⚠ **将来の推計値は年齢階級別の将来推計人口が要るため未了**（確認事項No.157）。　【令和8年10月19日 更新】中長期（令和17・22年度）の見込量と保険料の内訳を書き出した版を登録した（⚠ **登録が漏れていた**）。棚卸しで出所が示せていなかった70件はすべて対応済み。　令和7年度の年報を基礎とする独立算定を完了（32サービス・要介護度別。保険料6,822円）。準備基金の令和8年度末残高の確定を待って確定値とする。</t>
        </is>
      </c>
      <c r="I7" s="38" t="inlineStr">
        <is>
          <t>9, 10, 11, 12, 13</t>
        </is>
      </c>
    </row>
    <row r="8" ht="84" customHeight="1">
      <c r="A8" s="38" t="n">
        <v>4</v>
      </c>
      <c r="B8" s="38" t="inlineStr">
        <is>
          <t>計画書</t>
        </is>
      </c>
      <c r="C8" s="38" t="inlineStr">
        <is>
          <t>川崎町_計画書素案_v2.33_協議用.docx（協議用素案）／川崎町_計画書案_公表用_v2.33.docx（公表用の計画書（案））／同_v2.18c_圧縮案_R8.10.17.docx（本文106頁）／川崎町_計画書_別冊_詳細分析_R8.10.17b.docx（9頁）</t>
        </is>
      </c>
      <c r="D8" s="38" t="inlineStr">
        <is>
          <t>A4版　表紙レザック　本文上質紙
1色刷り　100頁程度　100部</t>
        </is>
      </c>
      <c r="E8" s="39" t="inlineStr">
        <is>
          <t>実施中</t>
        </is>
      </c>
      <c r="F8" s="40" t="n">
        <v>0.87</v>
      </c>
      <c r="G8" s="38" t="inlineStr">
        <is>
          <t>R9.3.15</t>
        </is>
      </c>
      <c r="H8" s="38" t="inlineStr">
        <is>
          <t>【令和8年10月24日 更新②（Red Team 再レビューへの対応）】Red Team 再レビューの指摘を是正した版に上げた（川崎町_RedTeam再レビュー対応表_R8.10.24.md）。　【令和8年10月24日 更新（Red Team レビューへの対応）】Red Team レビューの指摘を是正した版に上げた（川崎町_RedTeamレビュー対応表_R8.10.24.md）。　【令和8年10月23日 更新⑧（第2回資料の確定に向けた点検）】稿を素案 Ver.2.31／公表用・概要版 v2.31／資料 v16／想定問答集 v13 に上げた（確定に向けた整合）。　【令和8年10月23日 更新⑦（概要版の組み直し）】協議用素案 Ver.2.30（3-4・5-4 の後期高齢者数を 2-1 に揃えた）。頁数は118頁・公表用116頁で変わらない。　【令和8年10月23日 更新⑥（県の第10期計画の骨子（案）・見える化の定め）】協議用素案を Ver.2.29（118頁）に上げ、公表用も組み直した（116頁）。1-2 に宮城県の第10期みやぎ高齢者元気プラン骨子（案）との対応表を置き、県の計画の名称を改めた。8-2（第7期県適正化取組方針）・9-1（地域支援事業費の範囲）に注記。　【令和8年10月23日 更新⑤（事業所分析の素案への反映）】協議用素案を Ver.2.28（117頁）に上げ、公表用も組み直した（114頁）。2-7に見える化システムの事業所分析による5年間の推移（稼働率・短期入所・通所の回転率・介護職員）を加え、別表・7-1・7-2・7-6・9-1に反映した。地域密着型の空き床の扱いを［要協議］として置いた。　【令和8年10月23日 更新②（No.187 ご判断・2つの版）】協議用素案（Ver.2.27・116頁）と公表用の計画書（案）（113頁・体裁確認用）に分けた。内容の正本は協議用素案で、公表用はbuild_kouhyou_soan.py が組む。書体を HG丸ゴシックM-PRO に。⚠ 事業一覧17表の「区分」等、短い語が縦に折れていた27表の列を広げた。　【令和8年10月23日 更新（版の表記・見え方の点検）】素案を Ver.2.26 に上げた（全116頁。日本語の書体を游ゴシックに字幅の近い書体に寄せて実測。これまでの118頁は置き換え前の値）。紙面から版の表記を除き、表紙を「計画書素案（令和8年10月時点）」とした。⚠ 行送り5,621段落に lineRule がなく町の Word で頁数が変わり得たため明示した。⚠ 129表の列幅が実寸でなく、制度改正の表で文字が縦に折れていたため実寸で固定した。表の中の長い文441段落を左揃えに。文言・数値は変えていない。　【令和8年10月22日 更新④（軽費老人ホームの廃止・素案Ver.2.25）】素案を Ver.2.25 に上げた（全118頁）。2-7・別表 事項八に町内の軽費老人ホームの廃止日・入所者の推移・退所先を書き、「住まい70人分が失われた」を定員と入所者の別が分かる形に改めた。　【令和8年10月22日 更新③（交付金の再整理・素案Ver.2.24）】素案を Ver.2.24 に上げた（全118頁）。⚠ 3-3 の37点の内訳の誤り（16点＋15点としていた）と、3-3・10章の事実と違う記述（保険料算定は交付実績を据え置いている）を直した。9-3 の不確定要素と前提を動かした場合の幅に交付金の行（▲40円）を加えた。保険料の額は動かしていない。［要確認］15→20件。　【令和8年10月22日 更新②（方針Ｃ・素案Ver.2.23）】素案を Ver.2.23 に上げた（全117頁）。県の入所状況調（3か月ごと14時点）による入所率・退所理由の推移と、⚠ 町内の軽費老人ホーム（定員70人）の休止・廃止を 2-7・7-1・別表に入れた。［要確認］14→15件・［要協議］11→12件。　【令和8年10月21日 更新（資料v9・想定問答集v5）】素案を Ver.2.22 に上げた（全117頁）。⚠ **同じ指標に2つの値があったのを是正した。**7-2 の標準給付費（令和7年度）が1,085,203千円・▲0.7％、9-3 が1,084,587千円・▲0.8％であった。素案の表15（保険給付費計1,084,587,307円）と表109（標準給付費見込額1,084,587千円）により後者が正しい。あわせて、第3回の開催時期を令和9年1月と断定している5か所を改めた（11月24日開催ではパブリックコメント30日間を挟むと1月には開けない）。　【令和8年10月20日 更新③（ヒアリングを行わない整理）】素案を Ver.2.21 に上げた（全117頁）。ヒアリングに依存した記述を公表情報による把握に置き換え（段落11・セル28）、「事業所ヒアリング」は0件になった。⚠ **7-6 の交付金の記述を是正した**（体制・取組指標群は64点満点＝全国で最も高い得点であり、「計画に位置付ければ得点が上がる」は誤りであった）。［要確認］は15件→14件。　【令和8年10月20日 更新②（突合の実施）】素案を Ver.2.20 に上げた（2-7・7-1・9-1 に町内の事業所を反映。全116頁）。⚠ **誤りを1件直した**（町内にない小規模多機能型居宅介護を「中心」としていた）。［要確認］は18件→15件。　【令和8年10月19日 更新】素案を Ver.2.19 に上げた（第6章6-1 に認知症の人の数の推計を新設。全114頁）。⚠ **圧縮案（v2.18c）と別冊は Ver.2.18 に基づくもので、6-1 の新設分を含んでいない。** 圧縮案のご判断（確認事項No.83）をいただいた版で合わせる。　【令和8年10月19日 更新】⚠ **圧縮案と別冊の記載が古くなっていた**（v2.17c／別冊R8.10.17 を指したまま。現に作ったのはv2.18c／別冊R8.10.17b）。素案 Ver.2.18 に合わせて直した。　【令和8年10月17日 更新】素案 Ver.2.17（中長期補完版）。9-1 の令和17・22年度の空欄15サービス・74セルを原典から算定して埋め、**9-1 のサービス別の和と 9-2 の総給付費が3か年すべてで一致するようにした。** Ver.2.16 で置いた注の誤りも直した。⚠ 保険料・給付費の総額は変えていない。　【令和8年10月16日 更新】素案 Ver.2.16（内容整備版・全116頁）。見込量の表に落ちていた15サービスを加え（Ver.2.14）、第1号被保険者数・認定者数の実績を年報に合わせ（Ver.2.15）、施策事業表の内容欄31セル・9-1の見出しと表の対応・本文に残っていた作業経過を是正した（Ver.2.16）。⚠ **頁数が113頁から116頁に増えた。** 仕様書8の100頁程度との差が広がったため、圧縮案（確認事項No.83）のご判断が一層重要になっている（圧縮案を Ver.2.16c として作り直した。本文109頁＋資料編13頁＝122頁）。⚠ **資料編と奥付がまだない**（確認事項No.181）。　【令和8年10月7日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38" t="inlineStr">
        <is>
          <t>15, 16, 18</t>
        </is>
      </c>
    </row>
    <row r="9" ht="84" customHeight="1">
      <c r="A9" s="9" t="n">
        <v>5</v>
      </c>
      <c r="B9" s="21" t="inlineStr">
        <is>
          <t>概要版</t>
        </is>
      </c>
      <c r="C9" s="7" t="inlineStr">
        <is>
          <t>川崎町_計画書案_概要版_v2.33.docx（8頁・3,752字・表6件・図8点）</t>
        </is>
      </c>
      <c r="D9" s="7" t="inlineStr">
        <is>
          <t>A4版　コート紙
1色刷り　8頁程度　3,500部</t>
        </is>
      </c>
      <c r="E9" s="12" t="inlineStr">
        <is>
          <t>実施中</t>
        </is>
      </c>
      <c r="F9" s="20" t="n">
        <v>0.85</v>
      </c>
      <c r="G9" s="9" t="inlineStr">
        <is>
          <t>R9.3.15</t>
        </is>
      </c>
      <c r="H9" s="38" t="inlineStr">
        <is>
          <t>【令和8年10月24日 更新②（Red Team 再レビューへの対応）】Red Team 再レビューの指摘を是正した版に上げた（川崎町_RedTeam再レビュー対応表_R8.10.24.md）。　【令和8年10月24日 更新（Red Team レビューへの対応）】Red Team レビューの指摘を是正した版に上げた（川崎町_RedTeamレビュー対応表_R8.10.24.md）。　【令和8年10月23日 更新⑧（第2回資料の確定に向けた点検）】稿を素案 Ver.2.31／公表用・概要版 v2.31／資料 v16／想定問答集 v13 に上げた（確定に向けた整合）。　【令和8年10月23日 更新⑦（概要版の組み直し）】最新の協議用素案 Ver.2.30 から組み直した（build_gaiyo_v230.py）。数値・名称は素案の docx から読む（概要版に数値を持たない）。素案にない数（全国・県の高齢化率の本文の記載）と未確定のもの（サポーターの累計・チームオレンジの整備年度）を落とした。4つの重点・7つの柱は素案 4-2・4-3 と同じ名称。保険料は確定前である旨を明記。残るのは保険料の確定後の差替え・町のご確認・入稿（No.18）。旧稿（R8.10.5）は履歴として残す。　【令和8年10月23日 更新⑥（県の第10期計画の骨子（案）・見える化の定め）】⚠ 概要版は素案 Ver.2.20 から組んだもので、Ver.2.21 以降の改めが入っていない。送付の前に最新の協議用素案から組み直す（作業順位46）。　【令和8年10月7日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38" t="n">
        <v>6</v>
      </c>
      <c r="B10" s="38" t="inlineStr">
        <is>
          <t>計画書概要及び計画書案等の電子データ</t>
        </is>
      </c>
      <c r="C10" s="38" t="inlineStr">
        <is>
          <t>川崎町_第2回策定委員会資料_R8.11_v18.docx／同_想定問答集_R8.11_v15.docx／川崎町_第3回・第4回策定委員会_骨子案_R8.10.5.docx
川崎町_事業所照会票_R8.10.16.docx（全27頁）
川崎町_事業所照会票_電子記入様式_R8.10.16.xlsx（9シート）</t>
        </is>
      </c>
      <c r="D10" s="38" t="inlineStr">
        <is>
          <t>一式（Word・PDF）</t>
        </is>
      </c>
      <c r="E10" s="39" t="inlineStr">
        <is>
          <t>実施中</t>
        </is>
      </c>
      <c r="F10" s="40" t="n">
        <v>0.75</v>
      </c>
      <c r="G10" s="38" t="inlineStr">
        <is>
          <t>R9.3.15</t>
        </is>
      </c>
      <c r="H10" s="38" t="inlineStr">
        <is>
          <t>【令和8年10月24日 更新②（Red Team 再レビューへの対応）】Red Team 再レビューの指摘を是正した版に上げた（川崎町_RedTeam再レビュー対応表_R8.10.24.md）。　【令和8年10月24日 更新（Red Team レビューへの対応）】Red Team レビューの指摘を是正した版に上げた（川崎町_RedTeamレビュー対応表_R8.10.24.md）。　【令和8年10月23日 更新⑧（第2回資料の確定に向けた点検）】稿を素案 Ver.2.31／公表用・概要版 v2.31／資料 v16／想定問答集 v13 に上げた（確定に向けた整合）。　【令和8年10月23日 更新⑥（県の第10期計画の骨子（案）・見える化の定め）】資料を v15、想定問答集を v12 に上げた（素案の頁数118頁に揃えたのみ。全68問）。　【令和8年10月23日 更新⑤（事業所分析の素案への反映）】資料を v14、想定問答集を v11（全68問）に上げた。資料３に5年間の推移の表、問答集に QB-68（地域密着型の空き床）を加えた。頁数を117頁に。　【令和8年10月23日 更新（版の表記・見え方の点検）】想定問答集を v10 に上げた（素案の版の参照48か所を外した）。　【令和8年10月22日 更新⑤（資料v13・第1回の書式）】ご指示により、資料を第1回の書式に揃え（表紙の帯と町のロゴ・表の1行おきの網掛け・注記は※）、表の本文を左揃えにした。計画素案は策定委員会に未提出のため、修正履歴（当社資料の訂正11件・素案と資料の版）を除いた。⚠ v12 の表紙は帯の網掛けが失われ、題名が白地に白で見えなくなっていた。問答集を v9 に揃えた（QB-45 の置き換え・頁数の統一）。　【令和8年10月22日 更新④（軽費老人ホームの廃止・素案Ver.2.25）】資料を v12（全12版）、想定問答集を v8（全67問）に上げた。表6・QB-62 を素案 Ver.2.25 と同じ内容に改めた。　【令和8年10月22日 更新③（交付金の再整理・素案Ver.2.24）】資料を v11（全11版・表47）、想定問答集を v7（全67問）に上げた。7 に37点の内訳と3か年の推移（宮城県平均が1年で78.6点上昇）を加えた。⚠ 6 の要因の表の値を素案に揃えた（改定率1％ ＋65円→＋66円、収納率99.6％ ▲247円→▲246円）。⚠ 問答集のヘッダーが「第1回」のままであったのを直した。　【令和8年10月22日 更新②（方針Ｃ・素案Ver.2.23）】資料を v10（全10版・表45）、想定問答集を v6（全64問）に上げた。素案 Ver.2.23 と同じ版で、入所率の推移の表・軽費老人ホームの休止・廃止・残る4件の整理を入れた。⚠ v9 の表6 の日付の書き誤り（元号と西暦の混在）を正した。　【令和8年10月21日 更新（資料v9・想定問答集v5）】資料を v9（全９版）、想定問答集を v5（全61問・8カテゴリ）に上げた。⚠ **委託仕様書の読み違いを1件是正した**（仕様書6(3)は「4回開催の予定」）。⚠ **交付金の「27点」が2つあることを書き分けた**（体制・取組指標群の失点27点と、推進 目標Ⅲ の活動指標群の27点）。公表情報による町内事業所の状況の表と退所先の表を加え、第1回の委員のご発言に基づく人数・金額を外した。　【令和8年10月16日 更新】事業所照会票一式を加えた。⚠ 発出のご判断（確認事項No.170）と［　］4か所のご記入（確認事項No.171）を待っている。　【令和8年10月7日 更新】第2回策定委員会資料 v8・想定問答集 v4（全44問）、第3回・第4回の骨子案を作成。あわせて中間報告書（第1回）、県事前協議の資料一式、意見公募手続の一式（意見提出用紙を含む）を用意した。</t>
        </is>
      </c>
      <c r="I10" s="38" t="inlineStr">
        <is>
          <t>15, 18</t>
        </is>
      </c>
    </row>
    <row r="11"/>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8"/>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6"/>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資料提供依頼一覧（52件）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3" ht="72" customHeight="1">
      <c r="A43" s="9" t="inlineStr">
        <is>
          <t>39</t>
        </is>
      </c>
      <c r="B43" s="9" t="inlineStr">
        <is>
          <t>D</t>
        </is>
      </c>
      <c r="C43" s="7" t="inlineStr">
        <is>
          <t>居宅介護支援事業所の給付管理の相手方の事業所の一覧</t>
        </is>
      </c>
      <c r="D43" s="7" t="inlineStr">
        <is>
          <t>町内の居宅介護支援事業所が給付管理を行っている相手方の事業所（事業所番号・名称・所在市町村・サービスの種類）の一覧。⚠ **国保連の給付実績（事業所別）が未受領であるため、本町の被保険者が現に利用している町外の事業所の宛先を作れません。**居宅介護支援事業所は給付管理のために相手方を把握しているので、この経路が最も早い代替になります。</t>
        </is>
      </c>
      <c r="E43" s="7" t="inlineStr">
        <is>
          <t>事業所照会票の送付先（町外の事業所）。素案 9-1 の広域調整（町外施設の受入余地）</t>
        </is>
      </c>
      <c r="F43" s="9" t="inlineStr">
        <is>
          <t>発注者（町内の居宅介護支援事業所を通じて）</t>
        </is>
      </c>
      <c r="G43" s="9" t="inlineStr">
        <is>
          <t>R8.10下旬</t>
        </is>
      </c>
      <c r="H43" s="9" t="inlineStr">
        <is>
          <t>高</t>
        </is>
      </c>
      <c r="I43" s="14" t="inlineStr">
        <is>
          <t>未着手</t>
        </is>
      </c>
      <c r="J43" s="7" t="inlineStr">
        <is>
          <t>確認事項No.172と対応。国保連データ（依頼No.1・確認事項No.12）が届けば不要になります。</t>
        </is>
      </c>
    </row>
    <row r="44" ht="72" customHeight="1">
      <c r="A44" s="9" t="n">
        <v>40</v>
      </c>
      <c r="B44" s="9" t="inlineStr">
        <is>
          <t>F</t>
        </is>
      </c>
      <c r="C44" s="7" t="inlineStr">
        <is>
          <t>見える化 将来推計の推計結果概要（総括表）の再出力</t>
        </is>
      </c>
      <c r="D44" s="7" t="inlineStr">
        <is>
          <t>予定収納率・調整交付金の見込交付割合・交付金の交付見込額・所得段階別被保険者数を改めた後の総括表</t>
        </is>
      </c>
      <c r="E44" s="7" t="inlineStr">
        <is>
          <t>素案9-3の保険料。確認事項No.39・75・78・174</t>
        </is>
      </c>
      <c r="F44" s="9" t="inlineStr">
        <is>
          <t>発注者（見える化システム）</t>
        </is>
      </c>
      <c r="G44" s="9" t="inlineStr">
        <is>
          <t>R8.11上旬</t>
        </is>
      </c>
      <c r="H44" s="9" t="inlineStr">
        <is>
          <t>高</t>
        </is>
      </c>
      <c r="I44" s="14" t="inlineStr">
        <is>
          <t>未着手</t>
        </is>
      </c>
      <c r="J44" s="7" t="inlineStr">
        <is>
          <t>手引き80頁。川崎町_見える化システムからご出力をお願いする資料_R8.10.23.md No.2</t>
        </is>
      </c>
    </row>
    <row r="45" ht="72" customHeight="1">
      <c r="A45" s="9" t="n">
        <v>41</v>
      </c>
      <c r="B45" s="9" t="inlineStr">
        <is>
          <t>F</t>
        </is>
      </c>
      <c r="C45" s="7" t="inlineStr">
        <is>
          <t>見える化「介護保険事業状況報告の設定」画面の写し</t>
        </is>
      </c>
      <c r="D45" s="7" t="inlineStr">
        <is>
          <t>令和8年度の実績見込みの算定に用いる月（令和8年5月から設定した月まで）</t>
        </is>
      </c>
      <c r="E45" s="7" t="inlineStr">
        <is>
          <t>令和8年度の実績見込み。確認事項No.79・80</t>
        </is>
      </c>
      <c r="F45" s="9" t="inlineStr">
        <is>
          <t>発注者（見える化システム）</t>
        </is>
      </c>
      <c r="G45" s="9" t="inlineStr">
        <is>
          <t>R8.11上旬</t>
        </is>
      </c>
      <c r="H45" s="9" t="inlineStr">
        <is>
          <t>高</t>
        </is>
      </c>
      <c r="I45" s="14" t="inlineStr">
        <is>
          <t>未着手</t>
        </is>
      </c>
      <c r="J45" s="7" t="inlineStr">
        <is>
          <t>手引き77〜78頁。川崎町_見える化システムからご出力をお願いする資料_R8.10.23.md No.3</t>
        </is>
      </c>
    </row>
    <row r="46" ht="72" customHeight="1">
      <c r="A46" s="9" t="n">
        <v>42</v>
      </c>
      <c r="B46" s="9" t="inlineStr">
        <is>
          <t>B</t>
        </is>
      </c>
      <c r="C46" s="7" t="inlineStr">
        <is>
          <t>認知症高齢者の日常生活自立度別の要介護認定者の状況</t>
        </is>
      </c>
      <c r="D46" s="7" t="inlineStr">
        <is>
          <t>自立度Ⅱ以上の人数（見える化の要介護者の状況の指標又は要介護認定データ）</t>
        </is>
      </c>
      <c r="E46" s="7" t="inlineStr">
        <is>
          <t>素案6-1の［要確認］。確認事項No.157</t>
        </is>
      </c>
      <c r="F46" s="9" t="inlineStr">
        <is>
          <t>発注者（見える化システム／認定データ）</t>
        </is>
      </c>
      <c r="G46" s="9" t="inlineStr">
        <is>
          <t>R8.11上旬</t>
        </is>
      </c>
      <c r="H46" s="9" t="inlineStr">
        <is>
          <t>高</t>
        </is>
      </c>
      <c r="I46" s="14" t="inlineStr">
        <is>
          <t>未着手</t>
        </is>
      </c>
      <c r="J46" s="7" t="inlineStr">
        <is>
          <t>手引き22頁。川崎町_見える化システムからご出力をお願いする資料_R8.10.23.md No.4</t>
        </is>
      </c>
    </row>
    <row r="47" ht="72" customHeight="1">
      <c r="A47" s="9" t="n">
        <v>43</v>
      </c>
      <c r="B47" s="9" t="inlineStr">
        <is>
          <t>F</t>
        </is>
      </c>
      <c r="C47" s="7" t="inlineStr">
        <is>
          <t>要介護認定適正化事業の業務分析データ</t>
        </is>
      </c>
      <c r="D47" s="7" t="inlineStr">
        <is>
          <t>要介護認定の適正化の実施状況（国保連合会介護給付適正化システム。自治体ID要）</t>
        </is>
      </c>
      <c r="E47" s="7" t="inlineStr">
        <is>
          <t>給付適正化3事業。確認事項No.127・59・122</t>
        </is>
      </c>
      <c r="F47" s="9" t="inlineStr">
        <is>
          <t>発注者</t>
        </is>
      </c>
      <c r="G47" s="9" t="inlineStr">
        <is>
          <t>R8.11上旬</t>
        </is>
      </c>
      <c r="H47" s="9" t="inlineStr">
        <is>
          <t>高</t>
        </is>
      </c>
      <c r="I47" s="14" t="inlineStr">
        <is>
          <t>未着手</t>
        </is>
      </c>
      <c r="J47" s="7" t="inlineStr">
        <is>
          <t>手引き84頁。川崎町_見える化システムからご出力をお願いする資料_R8.10.23.md No.5</t>
        </is>
      </c>
    </row>
    <row r="48" ht="72" customHeight="1">
      <c r="A48" s="9" t="n">
        <v>44</v>
      </c>
      <c r="B48" s="9" t="inlineStr">
        <is>
          <t>B</t>
        </is>
      </c>
      <c r="C48" s="7" t="inlineStr">
        <is>
          <t>見える化 調整済み認定率</t>
        </is>
      </c>
      <c r="D48" s="7" t="inlineStr">
        <is>
          <t>性・年齢調整済み認定率（令和5年9月末・令和8年9月末）</t>
        </is>
      </c>
      <c r="E48" s="7" t="inlineStr">
        <is>
          <t>第9期KPI・別表 四。確認事項No.35・155</t>
        </is>
      </c>
      <c r="F48" s="9" t="inlineStr">
        <is>
          <t>発注者（見える化システム）</t>
        </is>
      </c>
      <c r="G48" s="9" t="inlineStr">
        <is>
          <t>R8.11</t>
        </is>
      </c>
      <c r="H48" s="9" t="inlineStr">
        <is>
          <t>中</t>
        </is>
      </c>
      <c r="I48" s="14" t="inlineStr">
        <is>
          <t>未着手</t>
        </is>
      </c>
      <c r="J48" s="7" t="inlineStr">
        <is>
          <t>手引き9〜20頁。川崎町_見える化システムからご出力をお願いする資料_R8.10.23.md No.6</t>
        </is>
      </c>
    </row>
    <row r="49" ht="72" customHeight="1">
      <c r="A49" s="9" t="n">
        <v>45</v>
      </c>
      <c r="B49" s="9" t="inlineStr">
        <is>
          <t>D</t>
        </is>
      </c>
      <c r="C49" s="7" t="inlineStr">
        <is>
          <t>見える化 介護サービス自給率</t>
        </is>
      </c>
      <c r="D49" s="7" t="inlineStr">
        <is>
          <t>町内の事業所による給付の割合（時系列・地域比較）</t>
        </is>
      </c>
      <c r="E49" s="7" t="inlineStr">
        <is>
          <t>町外施設の利用の大きさ。確認事項No.155</t>
        </is>
      </c>
      <c r="F49" s="9" t="inlineStr">
        <is>
          <t>発注者（見える化システム）</t>
        </is>
      </c>
      <c r="G49" s="9" t="inlineStr">
        <is>
          <t>R8.11</t>
        </is>
      </c>
      <c r="H49" s="9" t="inlineStr">
        <is>
          <t>中</t>
        </is>
      </c>
      <c r="I49" s="14" t="inlineStr">
        <is>
          <t>未着手</t>
        </is>
      </c>
      <c r="J49" s="7" t="inlineStr">
        <is>
          <t>手引き58〜60頁。川崎町_見える化システムからご出力をお願いする資料_R8.10.23.md No.7</t>
        </is>
      </c>
    </row>
    <row r="50" ht="72" customHeight="1">
      <c r="A50" s="9" t="n">
        <v>46</v>
      </c>
      <c r="B50" s="9" t="inlineStr">
        <is>
          <t>F</t>
        </is>
      </c>
      <c r="C50" s="7" t="inlineStr">
        <is>
          <t>見える化 将来推計 伸びの比較グラフ</t>
        </is>
      </c>
      <c r="D50" s="7" t="inlineStr">
        <is>
          <t>認定率・利用率・利用回（日）数の伸び（Excel）</t>
        </is>
      </c>
      <c r="E50" s="7" t="inlineStr">
        <is>
          <t>伸びの選択。確認事項No.79</t>
        </is>
      </c>
      <c r="F50" s="9" t="inlineStr">
        <is>
          <t>発注者（見える化システム）</t>
        </is>
      </c>
      <c r="G50" s="9" t="inlineStr">
        <is>
          <t>R8.11</t>
        </is>
      </c>
      <c r="H50" s="9" t="inlineStr">
        <is>
          <t>中</t>
        </is>
      </c>
      <c r="I50" s="14" t="inlineStr">
        <is>
          <t>未着手</t>
        </is>
      </c>
      <c r="J50" s="7" t="inlineStr">
        <is>
          <t>手引き77頁。川崎町_見える化システムからご出力をお願いする資料_R8.10.23.md No.8</t>
        </is>
      </c>
    </row>
    <row r="51" ht="72" customHeight="1">
      <c r="A51" s="9" t="n">
        <v>47</v>
      </c>
      <c r="B51" s="9" t="inlineStr">
        <is>
          <t>A</t>
        </is>
      </c>
      <c r="C51" s="7" t="inlineStr">
        <is>
          <t>見える化 レーダーチャート</t>
        </is>
      </c>
      <c r="D51" s="7" t="inlineStr">
        <is>
          <t>需要・供給・医療介護連携の18指標の全国偏差値</t>
        </is>
      </c>
      <c r="E51" s="7" t="inlineStr">
        <is>
          <t>素案第2章・第3章の本町の位置</t>
        </is>
      </c>
      <c r="F51" s="9" t="inlineStr">
        <is>
          <t>発注者（見える化システム）</t>
        </is>
      </c>
      <c r="G51" s="9" t="inlineStr">
        <is>
          <t>R8.11</t>
        </is>
      </c>
      <c r="H51" s="9" t="inlineStr">
        <is>
          <t>中</t>
        </is>
      </c>
      <c r="I51" s="14" t="inlineStr">
        <is>
          <t>未着手</t>
        </is>
      </c>
      <c r="J51" s="7" t="inlineStr">
        <is>
          <t>手引き48〜57頁。川崎町_見える化システムからご出力をお願いする資料_R8.10.23.md No.9</t>
        </is>
      </c>
    </row>
    <row r="52" ht="72" customHeight="1">
      <c r="A52" s="9" t="n">
        <v>48</v>
      </c>
      <c r="B52" s="9" t="inlineStr">
        <is>
          <t>A</t>
        </is>
      </c>
      <c r="C52" s="7" t="inlineStr">
        <is>
          <t>見える化 地域分析・検討シート（比較地域を設定したもの）</t>
        </is>
      </c>
      <c r="D52" s="7" t="inlineStr">
        <is>
          <t>近隣町・同規模保険者との比較</t>
        </is>
      </c>
      <c r="E52" s="7" t="inlineStr">
        <is>
          <t>素案第2章の比較</t>
        </is>
      </c>
      <c r="F52" s="9" t="inlineStr">
        <is>
          <t>発注者（見える化システム）</t>
        </is>
      </c>
      <c r="G52" s="9" t="inlineStr">
        <is>
          <t>R8.11</t>
        </is>
      </c>
      <c r="H52" s="9" t="inlineStr">
        <is>
          <t>中</t>
        </is>
      </c>
      <c r="I52" s="14" t="inlineStr">
        <is>
          <t>未着手</t>
        </is>
      </c>
      <c r="J52" s="7" t="inlineStr">
        <is>
          <t>手引き85〜87頁。川崎町_見える化システムからご出力をお願いする資料_R8.10.23.md No.10</t>
        </is>
      </c>
    </row>
    <row r="53" ht="72" customHeight="1">
      <c r="A53" s="9" t="n">
        <v>49</v>
      </c>
      <c r="B53" s="9" t="inlineStr">
        <is>
          <t>A</t>
        </is>
      </c>
      <c r="C53" s="7" t="inlineStr">
        <is>
          <t>見える化 人口メッシュ（地図）</t>
        </is>
      </c>
      <c r="D53" s="7" t="inlineStr">
        <is>
          <t>7地区の高齢者の分布と事業所からの距離</t>
        </is>
      </c>
      <c r="E53" s="7" t="inlineStr">
        <is>
          <t>訪問・通所が困難な地区。素案1-6</t>
        </is>
      </c>
      <c r="F53" s="9" t="inlineStr">
        <is>
          <t>発注者（見える化システム）</t>
        </is>
      </c>
      <c r="G53" s="9" t="inlineStr">
        <is>
          <t>R8.11</t>
        </is>
      </c>
      <c r="H53" s="9" t="inlineStr">
        <is>
          <t>中</t>
        </is>
      </c>
      <c r="I53" s="14" t="inlineStr">
        <is>
          <t>未着手</t>
        </is>
      </c>
      <c r="J53" s="7" t="inlineStr">
        <is>
          <t>手引き62〜66頁。川崎町_見える化システムからご出力をお願いする資料_R8.10.23.md No.11</t>
        </is>
      </c>
    </row>
    <row r="54" ht="72" customHeight="1">
      <c r="A54" s="9" t="n">
        <v>50</v>
      </c>
      <c r="B54" s="9" t="inlineStr">
        <is>
          <t>F</t>
        </is>
      </c>
      <c r="C54" s="7" t="inlineStr">
        <is>
          <t>見える化 地域支援事業費の入力の画面の写し</t>
        </is>
      </c>
      <c r="D54" s="7" t="inlineStr">
        <is>
          <t>入力されている事業費と、その額の作り方（対象経費支出予定額か決算額か）</t>
        </is>
      </c>
      <c r="E54" s="7" t="inlineStr">
        <is>
          <t>素案9-2・9-3の地域支援事業費。確認事項No.77・168</t>
        </is>
      </c>
      <c r="F54" s="9" t="inlineStr">
        <is>
          <t>発注者（見える化システム）</t>
        </is>
      </c>
      <c r="G54" s="9" t="inlineStr">
        <is>
          <t>R8.11</t>
        </is>
      </c>
      <c r="H54" s="9" t="inlineStr">
        <is>
          <t>低</t>
        </is>
      </c>
      <c r="I54" s="14" t="inlineStr">
        <is>
          <t>未着手</t>
        </is>
      </c>
      <c r="J54" s="7" t="inlineStr">
        <is>
          <t>手引き79頁。川崎町_見える化システムからご出力をお願いする資料_R8.10.23.md No.12</t>
        </is>
      </c>
    </row>
    <row r="55" ht="72" customHeight="1">
      <c r="A55" s="9" t="inlineStr">
        <is>
          <t>51</t>
        </is>
      </c>
      <c r="B55" s="9" t="inlineStr">
        <is>
          <t>F</t>
        </is>
      </c>
      <c r="C55" s="7" t="inlineStr">
        <is>
          <t>見える化 利用マニュアル【システム操作編② 将来推計】第11.0版</t>
        </is>
      </c>
      <c r="D55" s="7" t="inlineStr">
        <is>
          <t>令和8年度の実績見込みに用いる月・県への提出時の入力（取組の入力・調査票）・地域支援事業費の入力の定め</t>
        </is>
      </c>
      <c r="E55" s="7" t="inlineStr">
        <is>
          <t>確認事項No.79・80・188</t>
        </is>
      </c>
      <c r="F55" s="9" t="inlineStr">
        <is>
          <t>発注者（見える化システム「操作に困ったときは」）</t>
        </is>
      </c>
      <c r="G55" s="9" t="inlineStr">
        <is>
          <t>R8.11</t>
        </is>
      </c>
      <c r="H55" s="9" t="inlineStr">
        <is>
          <t>高</t>
        </is>
      </c>
      <c r="I55" s="14" t="inlineStr">
        <is>
          <t>未着手</t>
        </is>
      </c>
      <c r="J55" s="7" t="inlineStr">
        <is>
          <t>手引き75・77頁の脚注によりシステム内からダウンロードできる。川崎町_県の第10期計画骨子と見える化の定めの確認_R8.10.23.md</t>
        </is>
      </c>
    </row>
    <row r="56" ht="72" customHeight="1">
      <c r="A56" s="9" t="inlineStr">
        <is>
          <t>52</t>
        </is>
      </c>
      <c r="B56" s="9" t="inlineStr">
        <is>
          <t>D</t>
        </is>
      </c>
      <c r="C56" s="7" t="inlineStr">
        <is>
          <t>第10期必要入所（利用）定員、入居定員総数調査票（市区町村版）</t>
        </is>
      </c>
      <c r="D56" s="7" t="inlineStr">
        <is>
          <t>厚生労働省が別途配布する調査票の様式（県経由）</t>
        </is>
      </c>
      <c r="E56" s="7" t="inlineStr">
        <is>
          <t>素案9-1の必要利用定員総数。確認事項No.188</t>
        </is>
      </c>
      <c r="F56" s="9" t="inlineStr">
        <is>
          <t>発注者（宮城県長寿社会政策課経由）</t>
        </is>
      </c>
      <c r="G56" s="9" t="inlineStr">
        <is>
          <t>R8.11</t>
        </is>
      </c>
      <c r="H56" s="9" t="inlineStr">
        <is>
          <t>中</t>
        </is>
      </c>
      <c r="I56" s="14" t="inlineStr">
        <is>
          <t>未着手</t>
        </is>
      </c>
      <c r="J56" s="7" t="inlineStr">
        <is>
          <t>見える化システムで県へ提出する際に登録する調査票。川崎町_県の第10期計画骨子と見える化の定めの確認_R8.10.23.md</t>
        </is>
      </c>
    </row>
    <row r="58">
      <c r="A58" s="24" t="inlineStr">
        <is>
          <t>区分</t>
        </is>
      </c>
      <c r="B58" s="24" t="inlineStr">
        <is>
          <t>件数</t>
        </is>
      </c>
    </row>
    <row r="59">
      <c r="A59" s="10" t="inlineStr">
        <is>
          <t>完了</t>
        </is>
      </c>
      <c r="B59" s="9">
        <f>COUNTIF(I5:I56,"完了")</f>
        <v/>
      </c>
    </row>
    <row r="60">
      <c r="A60" s="12" t="inlineStr">
        <is>
          <t>実施中</t>
        </is>
      </c>
      <c r="B60" s="9">
        <f>COUNTIF(I5:I56,"実施中")</f>
        <v/>
      </c>
    </row>
    <row r="61">
      <c r="A61" s="14" t="inlineStr">
        <is>
          <t>確認待ち</t>
        </is>
      </c>
      <c r="B61" s="9">
        <f>COUNTIF(I5:I56,"確認待ち")</f>
        <v/>
      </c>
    </row>
    <row r="62">
      <c r="A62" s="16" t="inlineStr">
        <is>
          <t>未着手</t>
        </is>
      </c>
      <c r="B62" s="9">
        <f>COUNTIF(I5:I56,"未着手")</f>
        <v/>
      </c>
    </row>
    <row r="63">
      <c r="A63" s="18" t="inlineStr">
        <is>
          <t>対象外</t>
        </is>
      </c>
      <c r="B63" s="4">
        <f>COUNTIF(I5:I56,"対象外")</f>
        <v/>
      </c>
      <c r="C63" s="4" t="n"/>
      <c r="D63" s="4" t="n"/>
      <c r="E63" s="4" t="n"/>
      <c r="F63" s="4" t="n"/>
      <c r="G63" s="4" t="n"/>
      <c r="H63" s="4" t="n"/>
      <c r="I63" s="4" t="n"/>
      <c r="J63" s="5" t="n"/>
    </row>
    <row r="65">
      <c r="A65" s="23" t="inlineStr">
        <is>
          <t>注1）優先度は 最高／高／中／低 の別による。「最高」は、受領しない限り当該業務が完了しない資料を示す。</t>
        </is>
      </c>
    </row>
    <row r="66">
      <c r="A66" s="23" t="inlineStr">
        <is>
          <t>注2）「状態」が「完了」となった資料は、受領日を備考欄に記入する。</t>
        </is>
      </c>
    </row>
  </sheetData>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54"/>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　【令和8年10月19日 更新】⚠ **当初の見立てが外れた点（外向きの通信が403で遮断されていること）は、本日時点でも変わっていません。** 介護サービス情報公表システム・宮城県・川崎町・厚生労働省・e-Stat のいずれにも接続できないことを改めて確かめました（プロキシが CONNECT に対して403 を返します）。**県の公表名簿との突合そのものは、当方の環境では依然として行えません。**
⚠ **この線（事業所・住まいのデータ）は、第2回策定委員会の選択2（入所・居住系の整備量）につながる経路の上にあります。** 連なりは No.29・No.154 のご回答 → 突合台帳03・04シートへのご記入 → 照会票の発送（No.170）→ 事業所のご回答 → 素案 2-7・7-1・7-2・9-1 の確定、です。**先頭の2件が確認待ちのため、線全体が止まっています。**逆算工程表（R8.10.19）の06シートに段を分けて示し、No.170 に書き足しました。
⚠ 当方の側の用意（記入様式・取り出しの手順10件・照会票・受入検査）は**すべて済んでいます。**　【令和8年10月20日 更新】⚠ **突合の実体を当方で進められるようになった。**厚生労働省が介護サービス情報公表システムの事業所の一覧をＣＳＶ（オープンデータ）で公表しており、許可済みのドメインから取れる。本日、市町村コード043249で川崎町の事業所が取れることを確かめた。⚠ **ただしオープンデータに指定の年月日・指定の主体（町か県か）は含まれない**ため、その部分は県の名簿又は町のご確認による。　【令和8年10月20日 更新②（突合の実施）】⚠ **突合の実体を実施した。**公表システムのオープンデータにより町内8事業所・3法人を確定し、素案 Ver.2.20 に反映した。地域密着型介護老人福祉施設入所者生活介護の町内の定員30人（2施設）が埋まり、小規模多機能型居宅介護・介護医療院・在宅系の地域密着型が町内にないことが確定した。⚠ 指定の年月日・入所率・未指定の住まいは残る。</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完了</t>
        </is>
      </c>
      <c r="I31" s="32" t="inlineStr">
        <is>
          <t>令和8年10月16日　川崎町_事業所照会票_R8.10.16.docx（様式9種・設問58問・全27頁）、同_電子記入様式_R8.10.16.xlsx（9シート）、川崎町_事業所照会_確定値管理表_R8.10.16.xlsx（11シート）。⚠ 当初の見立て（第2回策定委員会で事業所ヒアリングのご了解をいただいた日から動ける）は誤りであった。素案 2-7 は「事業所ヒアリング（令和8年9〜10月）により確定する」と既に書いており、第2回策定委員会の選択2（施設整備）は入所率・稼働率がなければ諮れない。**照会は第2回の前に出す必要がある。**照会票を令和8年10月19日に発送できても、第2回を11月4日・11日に開催する場合は間に合わない（回答期間が3日以下）。11月18日で10日、11月25日で17日。⚠ 票の単位を2層にした（様式1＝事業所票・様式2＝サービス票）。職員・採用・離職・経営は事業所の単位でしか数えられず、1枚にすると併設の多い法人が同じ職員の数を何度も書くことになり合計が実数を超える。⚠ 7地区の名称は当方の仮置きが誤っており、素案 1-6 の表で確かめて直した。確定する素案の箇所41件。確認事項No.170〜173を起票。資料提供依頼No.39を起票（国保連データが未受領で町外の事業所の宛先が作れないため、居宅介護支援事業所の給付管理の相手方で代替）。回答の受入検査（検査1〜10）を先に用意した。</t>
        </is>
      </c>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完了</t>
        </is>
      </c>
      <c r="I32" s="32" t="inlineStr">
        <is>
          <t>令和8年10月17日　第9期施策評価の実施要領（案）を作成した（川崎町_第9期施策評価_実施要領_案_R8.10.17.xlsx・11シート）。第9期実績一覧（町記入用）の「06_第10期反映方針」は、事業ごとに第10期方針と優先度を町にご記入いただく様式であるが、**評価の区分と判定の基準がなく記入のしようがなかった。** 達成度4区分（Ａ〜Ｄ）＋評価不能、第10期方針6区分と判定の道筋、優先度3区分を定め、35事業の評価欄を起こした（事業は実物から数えた）。⚠ **「評価不能」を「未達」に丸めない形にした。** Ｄは実施しなかったことが確かめられた場合に限る。⚠ **必須事業では「縮小」「廃止」を選べない**ことを先に確かめる順番にし、達成度Ｃ・Ｄでも原因が供給側なら「拡充」が答えになるようにした。⚠ 素案 8-4 の交付金「評価結果の活用」の要件ア〜エ4件すべてに対応を書いた。**本要領そのものが要件エ（公表の様式をあらかじめ定める）に当たり、16点の回復に直接効く。** ⚠ **関連施策評価調査シート（R8.9）と評価の言葉が2通りになっていたことが分かった**（「自己評価（1〜4）」の意味が定義されておらず、方針の区分も食い違う）。揃え方を提案した。確認事項No.182を起票。</t>
        </is>
      </c>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完了</t>
        </is>
      </c>
      <c r="I33" s="32" t="inlineStr">
        <is>
          <t>令和8年10月17日　中長期の見込量と保険料の内訳を書き出した（川崎町_第10期_計画見込量_中長期・保険料内訳_R8.10.17.xlsx・9シート）。**棚卸しの70件すべてに出所又は算定式を対応づけた（対応済み70件・未対応0件）。** ⚠ **数値の正本は計画素案である。** 本表は素案の表から値を読むもので、数値を別に持たない。⚠ **いちばん重い発見。** 9-1 のサービス別の中長期の和が、9-2 の総給付費と合っていなかった（令和17年度で▲94,878千円・総給付費の8.5％）。Ver.2.14 で 9-1 に加えた15サービスの中長期の列を「─」のまま空けたことによる、表の間の範囲の食い違いであった。**これらの値は既に算定されており、9-2 の総給付費には最初から入っていた。** 「推計していない」のではなく「表に書き写していなかった」。原典（年報・見える化システムの総括表）から算定し直し、**算定した令和7年度・令和11年度の給付費・利用者数・回（日）数が素案の値とすべて一致することを確かめたうえで**、素案 Ver.2.17 で15サービス・74セルを埋めた。これにより 9-1 と 9-2 が3か年すべてで一致した（令和17年度 94,879千円・令和22年度 100,997千円を補完）。⚠ Ver.2.16 で置いた注の記述（「サービスごとの長期推計を行っていない」）が誤っていたため書き直した。⚠ 5-5 の「入所・居住系680,226千円」は、地域密着型をまるごと足したものではないことも分かった（定期巡回・地域密着型通所介護・看護小規模多機能型は在宅。介護予防の認知症対応型共同生活介護は含む）。円で足して一度だけ千円に丸めると差0で再現した。⚠ 保険料・給付費の総額は変えていない。確認事項No.183を起票。</t>
        </is>
      </c>
    </row>
    <row r="34">
      <c r="A34" s="35" t="inlineStr">
        <is>
          <t>30</t>
        </is>
      </c>
      <c r="B34" s="35" t="inlineStr">
        <is>
          <t>他メンバー作成の第10期計画素案との対比と第9期計画の再整理</t>
        </is>
      </c>
      <c r="C34" s="35" t="inlineStr">
        <is>
          <t>R8.10.16</t>
        </is>
      </c>
      <c r="D34" s="35" t="inlineStr">
        <is>
          <t>ご指示による。他メンバーが作成した第10期計画素案（2部8章＋資料編・段落1212・表132・図45）を受領した。正本は当方案とし、内容だけを取り込む方針で進める。あわせて第9期計画（全108頁）を再整理し、記載変更が必要な箇所と修正が必要な箇所を洗い出す。</t>
        </is>
      </c>
      <c r="E34" s="35" t="inlineStr">
        <is>
          <t>―（成果品の質・法定記載事項の充足）</t>
        </is>
      </c>
      <c r="F34" s="35" t="inlineStr">
        <is>
          <t>他メンバー素案との対比_論点整理（xlsx・11シート）／計画素案 Ver.2.14・Ver.2.15</t>
        </is>
      </c>
      <c r="G34" s="35" t="inlineStr">
        <is>
          <t>1日</t>
        </is>
      </c>
      <c r="H34" s="35" t="inlineStr">
        <is>
          <t>完了</t>
        </is>
      </c>
      <c r="I34" s="35" t="inlineStr">
        <is>
          <t>令和8年10月16日　受領した素案を 09_元資料/他メンバー資料/ へ退避し（検査8のMD5突合が10件で適合）、川崎町_他メンバー素案との対比_論点整理_R8.10.16.xlsx（11シート）を作成した。⚠ 添付は第9期計画書の改訂版であり（章立てが第9期の目次と同一）、強みは体裁と文章の充実である。数値・制度改正・供給体制・保険料は当方の正本が先に進んでいる（添付は【町確認】90か所）。11の持ち場に手分けして303件を洗い出し、当方が機械で確かめた重点は30件（重い16件）。⚠ **令和7年度の給付実績は17サービスで完全に一致した**（出所の異なる2つの算定が一致し、当方の読み取りが確かめられた）。⚠ **いちばん重い発見は2件。**①素案 9-1 の見込量の表に15サービス・84,370千円（総給付費の8.5％）が落ちていた（法第117条第2項第1号の種類ごとの量の見込みの欠落）②素案 2-3 の第1号被保険者数・認定者数の実績が年報と20か所食い違っていた（3,270は令和5年度末、3,285は令和4年度末の値で年度が2年ずれていた）。いずれも素案 Ver.2.14・Ver.2.15 で是正し、機械の検査（check_mikomi_morasi・check_nintei）を新設した。⚠ **添付と並べて読んだことにより、当方の正本そのものの不具合も見えた。** ①9-1 で「介護予防サービスの見込量」の見出しの下に地域密着型の表が入り、同じ表が2つあった（重なる11キーの値はすべて一致＝同じ数値を2か所に置いていた）②施策事業表の内容欄31セルに事業の内容でない記述が入っていた③本文に受託者の担当者名・他社名・版の履歴が残っていた④表紙の版名が食い違い発行年月が誤っていた⑤「地域密着型サービス運営委員会」は町の正本では「運営協議会」であった。**いずれも Ver.2.16 で是正した。** 内容欄のうち16セルは添付の本文を取り込んだ（ご指示の「内容だけ添付の使えるものを取り込む」に当たる）。⚠ 保険料・給付費・見込量の数値は変えていない。確認事項No.174〜181を起票。</t>
        </is>
      </c>
    </row>
    <row r="35">
      <c r="A35" s="35" t="inlineStr">
        <is>
          <t>31</t>
        </is>
      </c>
      <c r="B35" s="35" t="inlineStr">
        <is>
          <t>認知症の人の数の推計（基本指針 別表一 事項十一）</t>
        </is>
      </c>
      <c r="C35" s="35" t="inlineStr">
        <is>
          <t>R8.10.19</t>
        </is>
      </c>
      <c r="D35" s="35" t="inlineStr">
        <is>
          <t>ご相談による。有病率は国が公表しており、年齢階級別・男女別の人口は町ご提供の年齢別人口集計表（令和8年6月末現在・1歳刻み）がある。町のご回答を待たずに算出できる。⚠ 高齢化率だけでは足りず、65歳以上の年齢階級別の内訳が要る。</t>
        </is>
      </c>
      <c r="E35" s="35" t="inlineStr">
        <is>
          <t>束のうちNo.157（推計値の側）</t>
        </is>
      </c>
      <c r="F35" s="35" t="inlineStr">
        <is>
          <t>認知症の人の数の推計（xlsx・9シート）と計画素案 Ver.2.19</t>
        </is>
      </c>
      <c r="G35" s="35" t="inlineStr">
        <is>
          <t>半日</t>
        </is>
      </c>
      <c r="H35" s="35" t="inlineStr">
        <is>
          <t>完了</t>
        </is>
      </c>
      <c r="I35" s="35" t="inlineStr">
        <is>
          <t>令和8年10月19日　認知症374人（65歳以上の11.7％）・ＭＣＩ474人（14.8％）と推計し、素案 6-1 に掲げた。⚠ **Ver.2.18 までの素案には認知症の人の数が1か所もなかった**（方針を1-5の対比表に書いていただけ）。同じ式を全国の年齢階級別人口に当て直すと国の公表値12.3％に戻ることを検算で確かめている。⚠ **将来の推計値と自立度Ⅱ以上の実数は未了**（No.157）。</t>
        </is>
      </c>
    </row>
    <row r="36">
      <c r="A36" s="35" t="inlineStr">
        <is>
          <t>32</t>
        </is>
      </c>
      <c r="B36" s="35" t="inlineStr">
        <is>
          <t>受領した将来推計総括表（R8.10.19出力）の確認と将来の認知症の人の数の推計</t>
        </is>
      </c>
      <c r="C36" s="35" t="inlineStr">
        <is>
          <t>R8.10.19</t>
        </is>
      </c>
      <c r="D36" s="35" t="inlineStr">
        <is>
          <t>ご依頼による。受領した総括表を全セルで突き合わせ、将来推計人口の有無と、素案への波及を確かめる。町のご回答を待たずに行える。</t>
        </is>
      </c>
      <c r="E36" s="35" t="inlineStr">
        <is>
          <t>束のうちNo.76・79・80・184／新規No.185・186</t>
        </is>
      </c>
      <c r="F36" s="35" t="inlineStr">
        <is>
          <t>全セル突合（txt）・認知症の人の数の推計（xlsx 11シート）・ご報告のメモ（md）</t>
        </is>
      </c>
      <c r="G36" s="35" t="inlineStr">
        <is>
          <t>1日</t>
        </is>
      </c>
      <c r="H36" s="35" t="inlineStr">
        <is>
          <t>完了</t>
        </is>
      </c>
      <c r="I36" s="35" t="inlineStr">
        <is>
          <t>令和8年10月19日　⚠ **将来推計人口（被保険者数）は新旧で1つも動いていない。** 年齢3区分（前期65〜74歳／後期75〜84歳／後期85歳〜）は令和9〜32年度まで完全一致で、R8.9.11出力の版にも同じ値が入っていた。⚠ **当方が10月19日に「年齢階級別の将来人口がない」と申し上げたのは、この欄を見落としていたためである。**3区分から暫定の推計を行った（令和12年度424人・令和17年度457人・令和22年度487人）。按分なしで行うには見える化の「自然体推計の計算過程確認シート」が要る（No.185）。⚠ **動いたのは人口の下流で、動いたセルは2,754件。**認定者数・保険料・地域支援事業費・所得段階・収納率・調整交付金が動き、令和8年度の実績見込み値が差し替え前に戻っていた（No.79）。</t>
        </is>
      </c>
    </row>
    <row r="37">
      <c r="A37" s="35" t="inlineStr">
        <is>
          <t>33</t>
        </is>
      </c>
      <c r="B37" s="35" t="inlineStr">
        <is>
          <t>環境の通信の見直しと、公表システムのオープンデータの発見</t>
        </is>
      </c>
      <c r="C37" s="35" t="inlineStr">
        <is>
          <t>R8.10.20</t>
        </is>
      </c>
      <c r="D37" s="35" t="inlineStr">
        <is>
          <t>ご指示による。環境の通信の設定を見直すにあたり、どのホストが要るかを用途つきで一覧にした。町のご回答を待たずに行える。</t>
        </is>
      </c>
      <c r="E37" s="35" t="inlineStr">
        <is>
          <t>束4のうちNo.29／束11のうちNo.181</t>
        </is>
      </c>
      <c r="F37" s="35" t="inlineStr">
        <is>
          <t>許可ドメイン候補の整理（md）と疎通の確認（py・22ホスト）</t>
        </is>
      </c>
      <c r="G37" s="35" t="inlineStr">
        <is>
          <t>半日</t>
        </is>
      </c>
      <c r="H37" s="35" t="inlineStr">
        <is>
          <t>完了</t>
        </is>
      </c>
      <c r="I37" s="35" t="inlineStr">
        <is>
          <t>令和8年10月20日　⚠ **2つが前に進められるようになった。**①法令検索（laws.e-gov.go.jp）が通るようになり、資料編の条文を原文から起こせる（No.181）。②⚠ **介護サービス情報公表システムの事業所の一覧が、厚生労働省のオープンデータ（ＣＳＶ）として許可済みのドメインから取れる。**市町村コード043249で川崎町の事業所を取れることを確かめた（事業所名・事業所番号・法人番号・法人の名称・所在地・定員の24列）。作業順位26（県の公表名簿との突合）が、許可を待たずに行える。⚠ 最優先で足していただきたいのは www.ipss.go.jp（社人研の市区町村別・5歳階級別の将来推計人口。認知症の人の数の将来の推計に直に効く）と www.satsuki-jutaku.mlit.go.jp（サ高住。⚠ 元のドメインを許可しても301で移るため届かない）。整理は 10_内部資料_非成果品/ に置いた（他団体の固有名称を含むため成果品の置き場に置かない）。</t>
        </is>
      </c>
    </row>
    <row r="38">
      <c r="A38" s="35" t="inlineStr">
        <is>
          <t>34</t>
        </is>
      </c>
      <c r="B38" s="35" t="inlineStr">
        <is>
          <t>事業所の突合（公表システムのオープンデータによる）</t>
        </is>
      </c>
      <c r="C38" s="35" t="inlineStr">
        <is>
          <t>R8.10.20</t>
        </is>
      </c>
      <c r="D38" s="35" t="inlineStr">
        <is>
          <t>ご指示による。許可済みのドメインから取れることが分かったため、環境の設定の変更も町のご回答も待たずに行える。</t>
        </is>
      </c>
      <c r="E38" s="35" t="inlineStr">
        <is>
          <t>束4のうちNo.29／束10のうちNo.154</t>
        </is>
      </c>
      <c r="F38" s="35" t="inlineStr">
        <is>
          <t>事業所・住まいの突合結果（xlsx・7シート）と素案 Ver.2.20</t>
        </is>
      </c>
      <c r="G38" s="35" t="inlineStr">
        <is>
          <t>半日</t>
        </is>
      </c>
      <c r="H38" s="35" t="inlineStr">
        <is>
          <t>完了</t>
        </is>
      </c>
      <c r="I38" s="35" t="inlineStr">
        <is>
          <t>令和8年10月20日　町内8事業所・3法人を確定。⚠ **素案の誤りを1件直した**（町内にない小規模多機能型居宅介護を「中心」としていた）。［要確認］18件→15件。⚠ **町民が利用しているサービスのうち7種類は町内に事業所がなく、町外の事業所の利用である**ことが分かり、素案2-7に加えた。担い手が3法人に集まっていることも加えた。⚠ 指定の年月日・入所率・未指定の住まいはオープンデータに含まれず、確認待ちのまま。</t>
        </is>
      </c>
    </row>
    <row r="39">
      <c r="A39" s="35" t="inlineStr">
        <is>
          <t>35</t>
        </is>
      </c>
      <c r="B39" s="35" t="inlineStr">
        <is>
          <t>事業所ヒアリングを行わない整理（公表システム本体からの採録）</t>
        </is>
      </c>
      <c r="C39" s="35" t="inlineStr">
        <is>
          <t>R8.10.20</t>
        </is>
      </c>
      <c r="D39" s="35" t="inlineStr">
        <is>
          <t>ご指示による。オープンデータの24列に含まれない項目（入所率・待機者数・職員数・指定の年月日）が、公表システム本体の詳細ページには載っていることが分かった。対象（事業所番号×サービスコード）はオープンデータの抽出結果から起こせるため、町のご回答を待たずに行える。</t>
        </is>
      </c>
      <c r="E39" s="35" t="inlineStr">
        <is>
          <t>束4のうちNo.29・No.50・No.51／束10のうちNo.159／No.170</t>
        </is>
      </c>
      <c r="F39" s="35" t="inlineStr">
        <is>
          <t>町内事業所の実態（xlsx・8シート）と素案 Ver.2.21／逆算工程表 R8.10.20（xlsx・5シート）</t>
        </is>
      </c>
      <c r="G39" s="35" t="inlineStr">
        <is>
          <t>1日</t>
        </is>
      </c>
      <c r="H39" s="35" t="inlineStr">
        <is>
          <t>完了</t>
        </is>
      </c>
      <c r="I39" s="35" t="inlineStr">
        <is>
          <t>⚠ **14の指定すべてを採録した。**入所率90.0〜100.0％・待機者数（介護老人福祉施設20人・介護老人保健施設2人）・認知症対応型共同生活介護の定員計27人・指定の年月日・退所先・職種別の従業者数と常勤換算・前年度の採用者数と退職者数が埋まった。素案のヒアリング依存の記述を39か所差し替え、「事業所ヒアリング」は0件になった。⚠ 残る5件（稼働率・入所前の居所・休止床・経営の状況・町への要望）は代わりの扱いを素案に明記した。⚠ 第1回策定委員会での委員のご発言に基づく人数・金額は外した（出所を明示できず、8事業所3法人のため法人が識別され得る）。</t>
        </is>
      </c>
    </row>
    <row r="40">
      <c r="A40" s="35" t="inlineStr">
        <is>
          <t>36</t>
        </is>
      </c>
      <c r="B40" s="35" t="inlineStr">
        <is>
          <t>第2回策定委員会の資料の整理と想定問答集</t>
        </is>
      </c>
      <c r="C40" s="35" t="inlineStr">
        <is>
          <t>R8.10.21</t>
        </is>
      </c>
      <c r="D40" s="35" t="inlineStr">
        <is>
          <t>ご指示による。開催日（令和8年11月24日）が確定し、ヒアリングを行わない整理と素案 Ver.2.21 が整ったため、資料と想定問答集を引き直せる。</t>
        </is>
      </c>
      <c r="E40" s="35" t="inlineStr">
        <is>
          <t>束のうちNo.49・No.19・No.53・No.83／No.186・No.79の提示</t>
        </is>
      </c>
      <c r="F40" s="35" t="inlineStr">
        <is>
          <t>第2回策定委員会資料 v9（全９版・表44）／想定問答集 v5（全61問）／計画素案 Ver.2.22</t>
        </is>
      </c>
      <c r="G40" s="35" t="inlineStr">
        <is>
          <t>1日</t>
        </is>
      </c>
      <c r="H40" s="35" t="inlineStr">
        <is>
          <t>完了</t>
        </is>
      </c>
      <c r="I40" s="35" t="inlineStr">
        <is>
          <t>⚠ **委託仕様書の読み違いを1件是正した。** v8 の表38 の「委託仕様書上、策定委員会は3回構成」は誤りで、仕様書6(3)は「4回開催の予定」と定めている。⚠ **計画素案の給付費の二重の値を是正した**（1,085,203千円→1,084,587千円）。⚠ **交付金の「27点」が2つあることを書き分けた。**公表情報による町内事業所の状況の表と退所先の表を資料に加え、想定問答集に17問を加えた（44問→61問）。第1回の委員のご発言に基づく人数・金額は資料・問答集の双方から外した。</t>
        </is>
      </c>
    </row>
    <row r="41">
      <c r="A41" s="35" t="inlineStr">
        <is>
          <t>37</t>
        </is>
      </c>
      <c r="B41" s="35" t="inlineStr">
        <is>
          <t>残る5件の確認方針（県の公表資料の洗い出し）</t>
        </is>
      </c>
      <c r="C41" s="35" t="inlineStr">
        <is>
          <t>R8.10.22</t>
        </is>
      </c>
      <c r="D41" s="35" t="inlineStr">
        <is>
          <t>ご指示による。県内他団体の前期計画を確かめるにあたり、まず届く範囲（宮城県）に何があるかを当たったところ、県が3か月ごとに施設別の入所状況を公表していた。</t>
        </is>
      </c>
      <c r="E41" s="35" t="inlineStr">
        <is>
          <t>束のうちNo.159（稼働率・休止床が埋まる）／No.154（軽費老人ホームの廃止）／No.170・No.50・No.51</t>
        </is>
      </c>
      <c r="F41" s="35" t="inlineStr">
        <is>
          <t>施設の入所状況の推移（xlsx・8シート）／残る5件の確認方針（md）／原典18件</t>
        </is>
      </c>
      <c r="G41" s="35" t="inlineStr">
        <is>
          <t>1日</t>
        </is>
      </c>
      <c r="H41" s="35" t="inlineStr">
        <is>
          <t>完了</t>
        </is>
      </c>
      <c r="I41" s="35" t="inlineStr">
        <is>
          <t>⚠ **残る5件のうち稼働率と休止床が、照会を行わずに埋まった。** 令和5年4月から令和8年7月まで14時点。⚠ **町内にあった軽費老人ホーム（定員70人）が令和5年10月に休止し令和6年4月までに廃止されていた**ことが分かった（No.154）。⚠ **入所前の居所は、県の入所指針が定める保険者の責務（第3）の中で集計値を求める筋を立てた。**⚠ **県内他団体の前期計画は読めていない**（環境の通信の制限により県内市町村のサイトが403。13ホストを実測）。未実施として残し、確かめる3案をメモに示した。⚠ 途中で所在地の読み取りを誤り、別の市町村の同名施設を拾った。検査を加えて是正した。　【令和8年10月22日 更新②（方針Ｃ・素案Ver.2.23）】⚠ **県内他団体の前期計画は確かめずに進める（方針Ｃ・ご指示）。** 想定問答集 v6 の QB-64 で、比較を行っていないことをそのまま答える形にした。県調査の結果を素案 Ver.2.23・資料 v10・問答集 v6 に同じ版で反映した。</t>
        </is>
      </c>
    </row>
    <row r="42">
      <c r="A42" s="35" t="inlineStr">
        <is>
          <t>38</t>
        </is>
      </c>
      <c r="B42" s="35" t="inlineStr">
        <is>
          <t>交付金の状況の再整理と策定委員会資料への反映</t>
        </is>
      </c>
      <c r="C42" s="35" t="inlineStr">
        <is>
          <t>R8.10.22</t>
        </is>
      </c>
      <c r="D42" s="35" t="inlineStr">
        <is>
          <t>ご指示による。同じ原典（全国集計結果）を枝の単位まで解いた他の案件の点検の観点を借り、本町の記述に同じ誤りがないかを確かめた。町のご回答を待たずに行える。</t>
        </is>
      </c>
      <c r="E42" s="35" t="inlineStr">
        <is>
          <t>No.39（交付金を保険料に見込むか）／No.58</t>
        </is>
      </c>
      <c r="F42" s="35" t="inlineStr">
        <is>
          <t>交付金の推移の再整理（xlsx・5シート）／取りまとめ表 R8.10.22／計画素案 Ver.2.24／資料 v11／想定問答集 v7／交付金の状況の再整理（md）</t>
        </is>
      </c>
      <c r="G42" s="35" t="inlineStr">
        <is>
          <t>1日</t>
        </is>
      </c>
      <c r="H42" s="35" t="inlineStr">
        <is>
          <t>完了</t>
        </is>
      </c>
      <c r="I42" s="35" t="inlineStr">
        <is>
          <t>⚠ **素案に事実と違う記述が2か所あった**（保険料算定は交付実績を据え置いている→実際は交付金を見込んでいない）。⚠ 37点の内訳を成果▲30・配点改定▲7・新設＋2・後退▲34・前進＋32と正した。宮城県平均が1年で78.6点上がったことが県内順位3位→8位の主因。総括表は交付金4,500千円を見込んでおり、素案と食い違う（月額約40円）。No.39 でご判断を仰ぐ。</t>
        </is>
      </c>
    </row>
    <row r="43">
      <c r="A43" s="35" t="inlineStr">
        <is>
          <t>39</t>
        </is>
      </c>
      <c r="B43" s="35" t="inlineStr">
        <is>
          <t>町内の軽費老人ホームの廃止の確認結果の反映</t>
        </is>
      </c>
      <c r="C43" s="35" t="inlineStr">
        <is>
          <t>R8.10.22</t>
        </is>
      </c>
      <c r="D43" s="35" t="inlineStr">
        <is>
          <t>ご指示による。廃止前後を公表資料で調べた結果の提供を受け、手元の県の入所状況調と突き合わせた。</t>
        </is>
      </c>
      <c r="E43" s="35" t="inlineStr">
        <is>
          <t>No.154 のうち軽費老人ホーム</t>
        </is>
      </c>
      <c r="F43" s="35" t="inlineStr">
        <is>
          <t>計画素案 Ver.2.25／資料 v12／想定問答集 v8／軽費老人ホーム廃止の確認結果（md）</t>
        </is>
      </c>
      <c r="G43" s="35" t="inlineStr">
        <is>
          <t>半日</t>
        </is>
      </c>
      <c r="H43" s="35" t="inlineStr">
        <is>
          <t>完了</t>
        </is>
      </c>
      <c r="I43" s="35" t="inlineStr">
        <is>
          <t>廃止日 令和6年3月31日。⚠ **提供資料で未確認とされた廃止前の入所者数と退所先の一部が、県の入所状況調で埋まった**（13人→7人→0人、退所32人のうち他の施設28）。⚠ 素案の「住まい70人分が失われた」を改めた。本町の住民の数・移られた先の種別と市町村・廃止の理由は、県への廃止届の確認を町にお願いする。</t>
        </is>
      </c>
    </row>
    <row r="44">
      <c r="A44" s="35" t="inlineStr">
        <is>
          <t>40</t>
        </is>
      </c>
      <c r="B44" s="35" t="inlineStr">
        <is>
          <t>第2回策定委員会資料の書式の整理（第1回の踏襲）</t>
        </is>
      </c>
      <c r="C44" s="35" t="inlineStr">
        <is>
          <t>R8.10.22</t>
        </is>
      </c>
      <c r="D44" s="35" t="inlineStr">
        <is>
          <t>ご指示による。計画素案は策定委員会に未提出のため修正履歴は不要。表の中央揃えを左揃えに。書式は第1回の資料を踏襲する。</t>
        </is>
      </c>
      <c r="E44" s="35" t="inlineStr">
        <is>
          <t>成果品6</t>
        </is>
      </c>
      <c r="F44" s="35" t="inlineStr">
        <is>
          <t>第2回策定委員会資料 v13／想定問答集 v9</t>
        </is>
      </c>
      <c r="G44" s="35" t="inlineStr">
        <is>
          <t>半日</t>
        </is>
      </c>
      <c r="H44" s="35" t="inlineStr">
        <is>
          <t>完了</t>
        </is>
      </c>
      <c r="I44" s="35" t="inlineStr">
        <is>
          <t>⚠ **v12 の表紙は帯の網掛けが clear になっており、白抜きの題名が見えなかった。**第1回と同じ solid に戻し、町のロゴを入れ、2章から改頁。表は本文を左揃え・1行おきの網掛け。⚠ は第1回にならい ※ に（0件）。当社資料の訂正11件の節・版の記述を除いた。古い値の残り（検算6,100項目→6,400項目、圧縮後102頁→106頁）を直した。</t>
        </is>
      </c>
    </row>
    <row r="45">
      <c r="A45" s="35" t="inlineStr">
        <is>
          <t>41</t>
        </is>
      </c>
      <c r="B45" s="35" t="inlineStr">
        <is>
          <t>素案の版の表記の整理と、計画の見え方の点検（第9期計画との対比）</t>
        </is>
      </c>
      <c r="C45" s="35" t="inlineStr">
        <is>
          <t>R8.10.23</t>
        </is>
      </c>
      <c r="D45" s="35" t="inlineStr">
        <is>
          <t>ご指示による。同じ型の素案を作っている他の案件の紙面の点検の観点を借り、第9期計画の PDF の書体・紙面を実測して突き合わせた。</t>
        </is>
      </c>
      <c r="E45" s="35" t="inlineStr">
        <is>
          <t>No.187（新規）</t>
        </is>
      </c>
      <c r="F45" s="35" t="inlineStr">
        <is>
          <t>計画素案 Ver.2.26／想定問答集 v10／見え方の点検（md）</t>
        </is>
      </c>
      <c r="G45" s="35" t="inlineStr">
        <is>
          <t>1日</t>
        </is>
      </c>
      <c r="H45" s="35" t="inlineStr">
        <is>
          <t>完了</t>
        </is>
      </c>
      <c r="I45" s="35" t="inlineStr">
        <is>
          <t>版の表記8か所とヘッダーを除いた。⚠ **行送りの lineRule なし5,621段落・列幅が実寸でない129表**を直した（町の Word で頁数と目次がずれ得た／制度改正の表で文字が縦に折れていた）。表の中の長い文441段落を左揃えに。第9期は HG丸ゴシックM-PRO 11pt・「第１節」「■」「資料：」。揃えるかを No.187 でご判断いただく。</t>
        </is>
      </c>
    </row>
    <row r="46">
      <c r="A46" s="35" t="inlineStr">
        <is>
          <t>42</t>
        </is>
      </c>
      <c r="B46" s="35" t="inlineStr">
        <is>
          <t>書体を第9期に揃え、協議用素案と公表用の計画書（案）に分ける</t>
        </is>
      </c>
      <c r="C46" s="35" t="inlineStr">
        <is>
          <t>R8.10.23</t>
        </is>
      </c>
      <c r="D46" s="35" t="inlineStr">
        <is>
          <t>ご指示による（No.187）。</t>
        </is>
      </c>
      <c r="E46" s="35" t="inlineStr">
        <is>
          <t>No.187</t>
        </is>
      </c>
      <c r="F46" s="35" t="inlineStr">
        <is>
          <t>協議用素案 Ver.2.27／公表用の計画書（案）v2.27／公表用で落とした文（xlsx）／運用メモ（md）</t>
        </is>
      </c>
      <c r="G46" s="35" t="inlineStr">
        <is>
          <t>1日</t>
        </is>
      </c>
      <c r="H46" s="35" t="inlineStr">
        <is>
          <t>完了</t>
        </is>
      </c>
      <c r="I46" s="35" t="inlineStr">
        <is>
          <t>HG丸ｺﾞｼｯｸM-PRO に（Windows の登録名は半角カナ）。公表用は協議用から組み替え、⚠・確認事項No・【町確認】を落とす／揃える。⚠ ［要確認］［要協議］を含む文は落とさない（公表用 ［要確認］70・［要協議］13）。落とした文48件を記録。短い語が縦に折れていた27表の列を広げた。</t>
        </is>
      </c>
    </row>
    <row r="47">
      <c r="A47" s="35" t="inlineStr">
        <is>
          <t>43</t>
        </is>
      </c>
      <c r="B47" s="35" t="inlineStr">
        <is>
          <t>事業所別5か年推移（利用者数・稼働・回転・従事者数）の確認</t>
        </is>
      </c>
      <c r="C47" s="35" t="inlineStr">
        <is>
          <t>R8.10.23</t>
        </is>
      </c>
      <c r="D47" s="35" t="inlineStr">
        <is>
          <t>受領による（全国47都道府県分。原本を09へ退避）。</t>
        </is>
      </c>
      <c r="E47" s="35" t="inlineStr">
        <is>
          <t>No.159（稼働率・短期入所）／No.50（介護人材）</t>
        </is>
      </c>
      <c r="F47" s="35" t="inlineStr">
        <is>
          <t>事業所別5か年推移の整理（xlsx・5シート）／川崎町の行の抜き出し（csv）／確認結果（md）</t>
        </is>
      </c>
      <c r="G47" s="35" t="inlineStr">
        <is>
          <t>半日</t>
        </is>
      </c>
      <c r="H47" s="35" t="inlineStr">
        <is>
          <t>完了</t>
        </is>
      </c>
      <c r="I47" s="35" t="inlineStr">
        <is>
          <t>町内12の指定の令和3〜7年の値を抜き出し、既知の定員・常勤換算と一致を確認。⚠ 集計の欄は数式で値が保存されておらず計算し直した。⚠ 原表の「定員充足率」は延べ÷定員（百分率でない）。地域密着型特養の増床分の稼働69.4％、短期入所の半減、老健・特養の介護職員の減少を把握。⚠ 出所の記載なし［要確認］。素案への反映は出所の確認後を推奨。</t>
        </is>
      </c>
    </row>
    <row r="48">
      <c r="A48" s="35" t="inlineStr">
        <is>
          <t>44</t>
        </is>
      </c>
      <c r="B48" s="35" t="inlineStr">
        <is>
          <t>見える化システムの事業所分析の協議用素案への反映</t>
        </is>
      </c>
      <c r="C48" s="35" t="inlineStr">
        <is>
          <t>R8.10.23</t>
        </is>
      </c>
      <c r="D48" s="35" t="inlineStr">
        <is>
          <t>ご指示による。出所を確定し、手引きの定義で計算し直した後に反映。</t>
        </is>
      </c>
      <c r="E48" s="35" t="inlineStr">
        <is>
          <t>No.159・No.50</t>
        </is>
      </c>
      <c r="F48" s="35" t="inlineStr">
        <is>
          <t>協議用素案 Ver.2.28／公表用 v2.28／資料 v14／問答集 v11</t>
        </is>
      </c>
      <c r="G48" s="35" t="inlineStr">
        <is>
          <t>半日</t>
        </is>
      </c>
      <c r="H48" s="35" t="inlineStr">
        <is>
          <t>完了</t>
        </is>
      </c>
      <c r="I48" s="35" t="inlineStr">
        <is>
          <t>2-7に5年間の推移の表。⚠ 事業所ごとの職員数は掲げず、施設・居住系の合計（指定の重複を除く）と定員100人あたりで示した。⚠ 地域密着型の稼働率78.7％（増床分が埋まっていない）を9-1に［要協議］。資料・問答集を同じ版で直した。</t>
        </is>
      </c>
    </row>
    <row r="49">
      <c r="A49" s="35" t="inlineStr">
        <is>
          <t>45</t>
        </is>
      </c>
      <c r="B49" s="35" t="inlineStr">
        <is>
          <t>比較材料ブランチ（観点のみ）の確認と宮城県の第10期計画骨子（案）の反映</t>
        </is>
      </c>
      <c r="C49" s="35" t="inlineStr">
        <is>
          <t>R8.10.23</t>
        </is>
      </c>
      <c r="D49" s="35" t="inlineStr">
        <is>
          <t>ご指示による。観点は原典（宮城県 推進委員会資料・手引き）で確かめてから反映。</t>
        </is>
      </c>
      <c r="E49" s="35" t="inlineStr">
        <is>
          <t>No.50・69・77・79・80・168・188</t>
        </is>
      </c>
      <c r="F49" s="35" t="inlineStr">
        <is>
          <t>協議用素案 Ver.2.29／公表用 v2.29／資料 v15／問答集 v12</t>
        </is>
      </c>
      <c r="G49" s="35" t="inlineStr">
        <is>
          <t>半日</t>
        </is>
      </c>
      <c r="H49" s="35" t="inlineStr">
        <is>
          <t>完了</t>
        </is>
      </c>
      <c r="I49" s="35" t="inlineStr">
        <is>
          <t>1-2 に県の骨子（案）との対応表。8-2・9-1 に注記。資料・問答集は頁数（118頁）のみ。No.188 起票、資料提供依頼No.51・52。</t>
        </is>
      </c>
    </row>
    <row r="50">
      <c r="A50" s="35" t="inlineStr">
        <is>
          <t>46</t>
        </is>
      </c>
      <c r="B50" s="35" t="inlineStr">
        <is>
          <t>概要版を協議用素案の最新版から組み直す</t>
        </is>
      </c>
      <c r="C50" s="35" t="inlineStr">
        <is>
          <t>R8.10.23</t>
        </is>
      </c>
      <c r="D50" s="35" t="inlineStr">
        <is>
          <t>概要版（R8.10.5）は素案 Ver.2.20 から組んだもので、Ver.2.21以降の改め（書体・事業所分析・県計画との対応ほか）が入っていない。</t>
        </is>
      </c>
      <c r="E50" s="35" t="inlineStr">
        <is>
          <t>No.187</t>
        </is>
      </c>
      <c r="F50" s="35" t="inlineStr">
        <is>
          <t>川崎町_計画書案_概要版_v2.30.docx（8頁）</t>
        </is>
      </c>
      <c r="G50" s="35" t="inlineStr">
        <is>
          <t>半日</t>
        </is>
      </c>
      <c r="H50" s="35" t="inlineStr">
        <is>
          <t>完了</t>
        </is>
      </c>
      <c r="I50" s="35" t="inlineStr">
        <is>
          <t>【令和8年10月23日 更新⑦（概要版の組み直し）】build_gaiyo_v230.py を新設。図8点（柱と重点の図は素案の名称で作り直し）。自己点検 検査1〜8 適合・docx 検証適合。</t>
        </is>
      </c>
    </row>
    <row r="51">
      <c r="A51" s="35" t="inlineStr">
        <is>
          <t>47</t>
        </is>
      </c>
      <c r="B51" s="35" t="inlineStr">
        <is>
          <t>協議用素案の後期高齢者数の古い値の是正（3-4・5-4）</t>
        </is>
      </c>
      <c r="C51" s="35" t="inlineStr">
        <is>
          <t>R8.10.23</t>
        </is>
      </c>
      <c r="D51" s="35" t="inlineStr">
        <is>
          <t>概要版の組み直しで発見。2-1（令和7年度末1,742人）と3-4・5-4（令和7年6月1,675人）が食い違い</t>
        </is>
      </c>
      <c r="E51" s="35" t="inlineStr">
        <is>
          <t>―</t>
        </is>
      </c>
      <c r="F51" s="35" t="inlineStr">
        <is>
          <t>協議用素案 Ver.2.30／公表用 v2.30</t>
        </is>
      </c>
      <c r="G51" s="35" t="inlineStr">
        <is>
          <t>1時間</t>
        </is>
      </c>
      <c r="H51" s="35" t="inlineStr">
        <is>
          <t>完了</t>
        </is>
      </c>
      <c r="I51" s="35" t="inlineStr">
        <is>
          <t>fix_soan_v2300_kouki.py。値は 2-1 の表から読む。頁数・未確定の印は変わらない。委員会資料・問答集はこの値を載せておらず改めない。</t>
        </is>
      </c>
    </row>
    <row r="52">
      <c r="A52" s="35" t="inlineStr">
        <is>
          <t>48</t>
        </is>
      </c>
      <c r="B52" s="35" t="inlineStr">
        <is>
          <t>第2回策定委員会資料の確定に向けた点検</t>
        </is>
      </c>
      <c r="C52" s="35" t="inlineStr">
        <is>
          <t>R8.10.23</t>
        </is>
      </c>
      <c r="D52" s="35" t="inlineStr">
        <is>
          <t>ご指示による。資料は素案から起こすため、食い違いを素案の側で先に解いてから資料を揃えた</t>
        </is>
      </c>
      <c r="E52" s="35" t="inlineStr">
        <is>
          <t>No.85・53・163・189</t>
        </is>
      </c>
      <c r="F52" s="35" t="inlineStr">
        <is>
          <t>素案 Ver.2.31／公表用・概要版 v2.31／資料 v16／問答集 v13</t>
        </is>
      </c>
      <c r="G52" s="35" t="inlineStr">
        <is>
          <t>1日</t>
        </is>
      </c>
      <c r="H52" s="35" t="inlineStr">
        <is>
          <t>完了</t>
        </is>
      </c>
      <c r="I52" s="35" t="inlineStr">
        <is>
          <t>食い違い7件を解決。介護保険法の条文を e-Gov で確認・退避。仙南圏域の在宅系地域密着型の事業所を公表システムで確認。残るのは【町確認】2件（No.189）と事務局案のご了承。</t>
        </is>
      </c>
    </row>
    <row r="53">
      <c r="A53" s="35" t="inlineStr">
        <is>
          <t>49</t>
        </is>
      </c>
      <c r="B53" s="35" t="inlineStr">
        <is>
          <t>Red Team レビュー（令和8年10月24日）への対応と成果物・エビデンスの一式</t>
        </is>
      </c>
      <c r="C53" s="35" t="inlineStr">
        <is>
          <t>R8.10.24</t>
        </is>
      </c>
      <c r="D53" s="35" t="inlineStr">
        <is>
          <t>ご指示による。指摘27件を最新の版で確かめ、当てはまるものを是正した</t>
        </is>
      </c>
      <c r="E53" s="35" t="inlineStr">
        <is>
          <t>No.85・117・148・163・189</t>
        </is>
      </c>
      <c r="F53" s="35" t="inlineStr">
        <is>
          <t>素案 Ver.2.32／公表用・概要版 v2.32／資料 v17／問答集 v14／ZIP</t>
        </is>
      </c>
      <c r="G53" s="35" t="inlineStr">
        <is>
          <t>1日</t>
        </is>
      </c>
      <c r="H53" s="35" t="inlineStr">
        <is>
          <t>完了</t>
        </is>
      </c>
      <c r="I53" s="35" t="inlineStr">
        <is>
          <t>新たに見つけた誤り：9-4（実在しない節）の参照2か所、目次のご挨拶の頁、生活支援コーディネーターの人数。対応表・点検ログ・検算・差分・PDF を ZIP に同梱。</t>
        </is>
      </c>
    </row>
    <row r="54">
      <c r="A54" s="35" t="inlineStr">
        <is>
          <t>50</t>
        </is>
      </c>
      <c r="B54" s="35" t="inlineStr">
        <is>
          <t>Red Team 再レビュー（令和8年10月24日）への対応と成果物・エビデンスの一式</t>
        </is>
      </c>
      <c r="C54" s="35" t="inlineStr">
        <is>
          <t>R8.10.24</t>
        </is>
      </c>
      <c r="D54" s="35" t="inlineStr">
        <is>
          <t>ご指示による。新規の指摘11件（N01〜N11）と旧指摘の再判定を最新の版で確かめ、是正した</t>
        </is>
      </c>
      <c r="E54" s="35" t="inlineStr">
        <is>
          <t>No.85・148・190</t>
        </is>
      </c>
      <c r="F54" s="35" t="inlineStr">
        <is>
          <t>素案 Ver.2.33／公表用・概要版 v2.33／資料 v18／問答集 v15／ZIP</t>
        </is>
      </c>
      <c r="G54" s="35" t="inlineStr">
        <is>
          <t>1日</t>
        </is>
      </c>
      <c r="H54" s="35" t="inlineStr">
        <is>
          <t>完了</t>
        </is>
      </c>
      <c r="I54" s="35" t="inlineStr">
        <is>
          <t>報酬改定の算定Ｂ・Ｃを表101 から独立に計算し直し（前回の表26 の値は誤り）、素案に書いて資料・問答集を起こし直した。交付金の「保険者」→市町村、212円、基金の見込額、改頁。対応表・点検ログ・検算・留保一覧・差分・PDF を ZIP に同梱。</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2026-10-24T00:41:16Z</dcterms:modified>
</cp:coreProperties>
</file>