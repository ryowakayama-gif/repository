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xf>
    <xf numFmtId="0" fontId="2" fillId="5" borderId="1" applyAlignment="1" pivotButton="0" quotePrefix="0" xfId="0">
      <alignment horizontal="center" vertical="top" wrapText="1"/>
    </xf>
    <xf numFmtId="0" fontId="2" fillId="5" borderId="1" applyAlignment="1" pivotButton="0" quotePrefix="0" xfId="0">
      <alignment horizontal="left" vertical="top" wrapText="1" inden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12" customWidth="1" min="1" max="1"/>
    <col width="22" customWidth="1" min="2" max="2"/>
    <col width="52" customWidth="1" min="3" max="3"/>
    <col width="34" customWidth="1" min="4" max="4"/>
    <col width="10" customWidth="1" min="5" max="5"/>
    <col width="10" customWidth="1" min="6" max="6"/>
  </cols>
  <sheetData>
    <row r="1" ht="26" customHeight="1">
      <c r="A1" s="1" t="inlineStr">
        <is>
          <t>川崎町第10期介護保険事業計画策定支援業務　業務工程管理表</t>
        </is>
      </c>
    </row>
    <row r="2" ht="52" customHeight="1">
      <c r="A2" s="2" t="inlineStr">
        <is>
          <t>本業務の工程を、業務区分別の進捗、月別工程、確認事項、成果品、調査及び資料提供依頼の6区分により管理する。大雪広域連合 第10期介護保険事業計画策定業務の業務工程管理表と同一の様式による。
案件：川崎町高齢者保健福祉計画・第10期介護保険事業計画・認知症施策推進計画 策定支援業務（令和9〜11年度）／発注者：川崎町（宮城県柴田郡・団体コード04324）保健福祉課／受託者：ビズアップ公共コンサルティング株式会社 札幌事業所</t>
        </is>
      </c>
    </row>
    <row r="4" ht="24" customHeight="1">
      <c r="A4" s="3" t="inlineStr">
        <is>
          <t>No.</t>
        </is>
      </c>
      <c r="B4" s="3" t="inlineStr">
        <is>
          <t>シート</t>
        </is>
      </c>
      <c r="C4" s="3" t="inlineStr">
        <is>
          <t>内容</t>
        </is>
      </c>
      <c r="D4" s="3" t="inlineStr">
        <is>
          <t>更新の頻度と担当</t>
        </is>
      </c>
    </row>
    <row r="5" ht="30" customHeight="1">
      <c r="A5" s="4" t="n">
        <v>1</v>
      </c>
      <c r="B5" s="5" t="inlineStr">
        <is>
          <t>01_業務内容別の進捗</t>
        </is>
      </c>
      <c r="C5" s="5" t="inlineStr">
        <is>
          <t>業務区分（1）〜（12）について、作業項目・成果物・進捗・未了の理由を管理する。末尾に全体進捗（単純平均）を算出する。</t>
        </is>
      </c>
      <c r="D5" s="5" t="inlineStr">
        <is>
          <t>受託者が随時更新。工程末に発注者が確認</t>
        </is>
      </c>
    </row>
    <row r="6" ht="30" customHeight="1">
      <c r="A6" s="4" t="n">
        <v>2</v>
      </c>
      <c r="B6" s="5" t="inlineStr">
        <is>
          <t>02_月別工程管理</t>
        </is>
      </c>
      <c r="C6" s="5" t="inlineStr">
        <is>
          <t>令和8年6月から令和9年3月までの月別工程について、各月末に提出する成果物と発注者の確認欄を設ける。</t>
        </is>
      </c>
      <c r="D6" s="5" t="inlineStr">
        <is>
          <t>受託者が月次更新。確認欄は発注者が記入</t>
        </is>
      </c>
    </row>
    <row r="7" ht="30" customHeight="1">
      <c r="A7" s="4" t="n">
        <v>3</v>
      </c>
      <c r="B7" s="5" t="inlineStr">
        <is>
          <t>03_確認事項一覧</t>
        </is>
      </c>
      <c r="C7" s="5" t="inlineStr">
        <is>
          <t>発注者・国・県への確認事項を、業務工程及び止めている成果物に紐づけて一覧化する。</t>
        </is>
      </c>
      <c r="D7" s="5" t="inlineStr">
        <is>
          <t>受託者が随時追加。回答欄は発注者が記入</t>
        </is>
      </c>
    </row>
    <row r="8" ht="30" customHeight="1">
      <c r="A8" s="4" t="n">
        <v>4</v>
      </c>
      <c r="B8" s="5" t="inlineStr">
        <is>
          <t>04_成果品管理</t>
        </is>
      </c>
      <c r="C8" s="5" t="inlineStr">
        <is>
          <t>納品物について、現在のファイル・稿、形式、状態、進捗、納品期日及び確定していない事項を管理する。</t>
        </is>
      </c>
      <c r="D8" s="5" t="inlineStr">
        <is>
          <t>受託者が随時更新</t>
        </is>
      </c>
    </row>
    <row r="9" ht="30" customHeight="1">
      <c r="A9" s="4" t="n">
        <v>5</v>
      </c>
      <c r="B9" s="5" t="inlineStr">
        <is>
          <t>05_調査別の状況</t>
        </is>
      </c>
      <c r="C9" s="5" t="inlineStr">
        <is>
          <t>実態調査3件について、調査設計から計画への反映までの6段階の到達状況を管理する。</t>
        </is>
      </c>
      <c r="D9" s="5" t="inlineStr">
        <is>
          <t>受託者が随時更新</t>
        </is>
      </c>
    </row>
    <row r="10" ht="30" customHeight="1">
      <c r="A10" s="4" t="n">
        <v>6</v>
      </c>
      <c r="B10" s="5" t="inlineStr">
        <is>
          <t>06_資料提供依頼一覧</t>
        </is>
      </c>
      <c r="C10" s="5" t="inlineStr">
        <is>
          <t>成果物の記述を確定するために提供を要する資料を、領域別・優先度別に一覧化する。</t>
        </is>
      </c>
      <c r="D10" s="5" t="inlineStr">
        <is>
          <t>受託者が随時追加。状態欄は受領時に更新</t>
        </is>
      </c>
    </row>
    <row r="12" ht="22" customHeight="1">
      <c r="A12" s="6" t="inlineStr">
        <is>
          <t>区分</t>
        </is>
      </c>
      <c r="B12" s="6" t="inlineStr">
        <is>
          <t>意味</t>
        </is>
      </c>
      <c r="C12" s="6" t="inlineStr">
        <is>
          <t>色</t>
        </is>
      </c>
    </row>
    <row r="13" ht="20" customHeight="1">
      <c r="A13" s="7" t="inlineStr">
        <is>
          <t>完了</t>
        </is>
      </c>
      <c r="B13" s="5" t="inlineStr">
        <is>
          <t>当該項目の作業が終わり、成果物を提出済み又は提出可能な状態にある</t>
        </is>
      </c>
      <c r="C13" s="8" t="inlineStr"/>
    </row>
    <row r="14" ht="20" customHeight="1">
      <c r="A14" s="9" t="inlineStr">
        <is>
          <t>実施中</t>
        </is>
      </c>
      <c r="B14" s="5" t="inlineStr">
        <is>
          <t>着手しているが完了していない</t>
        </is>
      </c>
      <c r="C14" s="10" t="inlineStr"/>
    </row>
    <row r="15" ht="20" customHeight="1">
      <c r="A15" s="11" t="inlineStr">
        <is>
          <t>確認待ち</t>
        </is>
      </c>
      <c r="B15" s="5" t="inlineStr">
        <is>
          <t>受託者の作業は終わっており、発注者・国・県からの回答又は資料の提供を待っている</t>
        </is>
      </c>
      <c r="C15" s="12" t="inlineStr"/>
    </row>
    <row r="16" ht="20" customHeight="1">
      <c r="A16" s="13" t="inlineStr">
        <is>
          <t>未着手</t>
        </is>
      </c>
      <c r="B16" s="5" t="inlineStr">
        <is>
          <t>工程上まだ着手していない、又は前提条件が整っていない</t>
        </is>
      </c>
      <c r="C16" s="14" t="inlineStr"/>
    </row>
    <row r="17" ht="20" customHeight="1">
      <c r="A17" s="15" t="inlineStr">
        <is>
          <t>対象外</t>
        </is>
      </c>
      <c r="B17" s="5" t="inlineStr">
        <is>
          <t>本業務の範囲外、又は該当がない</t>
        </is>
      </c>
      <c r="C17" s="16" t="inlineStr"/>
    </row>
    <row r="19" ht="56" customHeight="1">
      <c r="A19" s="5"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1〜5と対応する。</t>
        </is>
      </c>
    </row>
    <row r="20" ht="56" customHeight="1">
      <c r="A20" s="5" t="inlineStr">
        <is>
          <t>【委員会審議との関係】介護保険運営委員会（介護保険条例第17条に基づく常設委員会・8人以内・3区分）は、第1回（令和8年8月中旬）から第4回（令和9年2月）までの4回を予定する。各回の審議事項の確定をもって当該工程の区切りとし、委員意見は委員意見反映管理シート（8シート）により管理する。なお、旧称「策定委員会」は誤りであり、成果物の名称統一は03シートNo.10で管理する。</t>
        </is>
      </c>
    </row>
    <row r="21" ht="56" customHeight="1">
      <c r="A21" s="5" t="inlineStr">
        <is>
          <t>【保険料の取扱い】保険料は断定を避け、基金取崩額を変動要因とする3パターン（A取崩なし／B50%取崩／C全額取崩）で提示する。現時点の暫定値はA=7,632円／B=7,384円／C=7,137円（第9期6,500円比 +9.8〜17.4%）であり、03シートNo.1〜5の確定により基準額が確定する。6,500円の据置は基金が第10期中に枯渇するため財源的に維持困難である。</t>
        </is>
      </c>
    </row>
    <row r="22" ht="56" customHeight="1">
      <c r="A22" s="5" t="inlineStr">
        <is>
          <t>【現時点の全体状況（令和8年6月）】業務期間は令和7年11月から令和9年3月まで。計画素案はv1.6（44頁・411ブロック）まで作成済みであり、保険料試算の枠組み（8ステップ・11シート・129数式）も構築を終えている。町担当課への送付は令和8年6月下旬を予定するが、委員会名称の統一とPDFの再生成を要する。アンケートは令和8年6月下旬発送・7月末回収の予定であり、集計以降の工程は回収状況による。</t>
        </is>
      </c>
    </row>
  </sheetData>
  <mergeCells count="6">
    <mergeCell ref="A2:F2"/>
    <mergeCell ref="A19:F19"/>
    <mergeCell ref="A1:F1"/>
    <mergeCell ref="A22:F22"/>
    <mergeCell ref="A20:F20"/>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業務区分別の進捗</t>
        </is>
      </c>
    </row>
    <row r="2" ht="52" customHeight="1">
      <c r="A2" s="2" t="inlineStr">
        <is>
          <t>業務区分（1）〜（12）ごとに、作業項目・成果物・状態・進捗・未了の理由を管理する。進捗は当該業務の作業項目のうち完了したものの割合を受託者が判断して記入する。確認事項No.は03シートの番号に対応する。</t>
        </is>
      </c>
    </row>
    <row r="4" ht="32" customHeight="1">
      <c r="A4" s="3" t="inlineStr">
        <is>
          <t>No.</t>
        </is>
      </c>
      <c r="B4" s="3" t="inlineStr">
        <is>
          <t>業務区分</t>
        </is>
      </c>
      <c r="C4" s="3" t="inlineStr">
        <is>
          <t>業務の内容</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介護保険制度、高齢者福祉施策その他関連制度について、国及び宮城県の動向を整理し、第10期計画に反映する。</t>
        </is>
      </c>
      <c r="D5" s="5" t="inlineStr">
        <is>
          <t>①認知症基本法（令和6年1月施行）の7基本的施策への対応整理
②国の基本指針の確認と反映事項の抽出
③所得段階区分に係る政令改正（標準段階数・乗率）の確認
④3層整合（国→宮城県→川崎町）の確認</t>
        </is>
      </c>
      <c r="E5" s="5" t="inlineStr">
        <is>
          <t>素案 第6章（認知症施策推進計画）
3層整合表（7シート）</t>
        </is>
      </c>
      <c r="F5" s="9" t="inlineStr">
        <is>
          <t>実施中</t>
        </is>
      </c>
      <c r="G5" s="17" t="n">
        <v>0.8</v>
      </c>
      <c r="H5" s="4" t="inlineStr">
        <is>
          <t>R8.10</t>
        </is>
      </c>
      <c r="I5" s="5" t="inlineStr">
        <is>
          <t>認知症基本法対応は独立章化し、重点5本柱J-1〜J-5を構築済み。令和8年夏以降の国通知の反映が残る。所得段階の乗率は政令改正の確認後に確定する。</t>
        </is>
      </c>
      <c r="J5" s="4" t="inlineStr">
        <is>
          <t>14, 16</t>
        </is>
      </c>
    </row>
    <row r="6" ht="118" customHeight="1">
      <c r="A6" s="4" t="inlineStr">
        <is>
          <t>(2)</t>
        </is>
      </c>
      <c r="B6" s="5" t="inlineStr">
        <is>
          <t>第9期計画の評価・検証</t>
        </is>
      </c>
      <c r="C6" s="5" t="inlineStr">
        <is>
          <t>第9期計画について、計画期間における各種施策、介護保険給付実績及び評価指標の達成状況を評価・検証する。</t>
        </is>
      </c>
      <c r="D6" s="5" t="inlineStr">
        <is>
          <t>①第9期の体系・6基本目標の整理
②取組実績の整理（35事業）
③評価指標（KPI）の達成状況の評価
④第10期に向けた課題の抽出</t>
        </is>
      </c>
      <c r="E6" s="5" t="inlineStr">
        <is>
          <t>素案 第3章
第9期実績一覧_町記入用（7シート35事業）</t>
        </is>
      </c>
      <c r="F6" s="9" t="inlineStr">
        <is>
          <t>実施中</t>
        </is>
      </c>
      <c r="G6" s="17" t="n">
        <v>0.55</v>
      </c>
      <c r="H6" s="4" t="inlineStr">
        <is>
          <t>R8.9</t>
        </is>
      </c>
      <c r="I6" s="5" t="inlineStr">
        <is>
          <t>体系・課題整理は完了。第9期実績一覧は町記入待ちで、KPI達成状況は町担当課の集計を経て第1回介護保険運営委員会（R8.8中旬）で報告し、素案Ver.2.0に反映する。</t>
        </is>
      </c>
      <c r="J6" s="4" t="inlineStr">
        <is>
          <t>5, 6</t>
        </is>
      </c>
    </row>
    <row r="7" ht="118" customHeight="1">
      <c r="A7" s="4" t="inlineStr">
        <is>
          <t>(3)</t>
        </is>
      </c>
      <c r="B7" s="5" t="inlineStr">
        <is>
          <t>実態調査の設計・実施支援・集計</t>
        </is>
      </c>
      <c r="C7" s="5" t="inlineStr">
        <is>
          <t>高齢者等を対象とする実態調査について、設問の設計、実施支援、集計及び分析を行う。</t>
        </is>
      </c>
      <c r="D7" s="5" t="inlineStr">
        <is>
          <t>①追加設問の設計（F3）
②実施支援・サンプリングの設計（F4）
③集計分析テンプレートの整備
④発送・回収の支援
⑤単純集計・クロス集計・自由記述の分類</t>
        </is>
      </c>
      <c r="E7" s="5" t="inlineStr">
        <is>
          <t>F3_アンケート追加設問
F4_アンケート実施支援
アンケート集計分析テンプレート（6シート）
修正アンケート素案_町確認用</t>
        </is>
      </c>
      <c r="F7" s="9" t="inlineStr">
        <is>
          <t>実施中</t>
        </is>
      </c>
      <c r="G7" s="17" t="n">
        <v>0.4</v>
      </c>
      <c r="H7" s="4" t="inlineStr">
        <is>
          <t>R8.9</t>
        </is>
      </c>
      <c r="I7" s="5" t="inlineStr">
        <is>
          <t>設計・テンプレート整備は完了。令和8年6月下旬発送・7月末回収の予定で、集計（単純集計19+16問、クロス集計5本、自由記述5分類）は回収後に着手する。</t>
        </is>
      </c>
      <c r="J7" s="4" t="inlineStr">
        <is>
          <t>7, 8</t>
        </is>
      </c>
    </row>
    <row r="8" ht="118" customHeight="1">
      <c r="A8" s="4" t="inlineStr">
        <is>
          <t>(4)</t>
        </is>
      </c>
      <c r="B8" s="5" t="inlineStr">
        <is>
          <t>現状分析及び地域課題の整理</t>
        </is>
      </c>
      <c r="C8" s="5" t="inlineStr">
        <is>
          <t>人口、高齢者人口、要支援・要介護認定者数、介護給付実績等を分析し、地域課題を整理する。</t>
        </is>
      </c>
      <c r="D8" s="5" t="inlineStr">
        <is>
          <t>①人口・高齢化率の分析（高齢化率41.4%・県内5位）
②認定者数・認定率の分析
③給付費構造の分析（R3年間給付費9.6億円）
④サービス受給者の分析（466人）
⑤所得段階別被保険者の分析
⑥川崎町固有の5重点課題の整理</t>
        </is>
      </c>
      <c r="E8" s="5" t="inlineStr">
        <is>
          <t>素案 第2章
実績データ確認サマリー（6シート）
図表6点</t>
        </is>
      </c>
      <c r="F8" s="9" t="inlineStr">
        <is>
          <t>実施中</t>
        </is>
      </c>
      <c r="G8" s="17" t="n">
        <v>0.85</v>
      </c>
      <c r="H8" s="4" t="inlineStr">
        <is>
          <t>R8.9</t>
        </is>
      </c>
      <c r="I8" s="5" t="inlineStr">
        <is>
          <t>分析・課題整理は概ね完了し、図表6点を素案に埋込済み。一部の数値はMECEデータ入力フォーマットの残空欄の記入待ち。</t>
        </is>
      </c>
      <c r="J8" s="4" t="inlineStr">
        <is>
          <t>9</t>
        </is>
      </c>
    </row>
    <row r="9" ht="118" customHeight="1">
      <c r="A9" s="4" t="inlineStr">
        <is>
          <t>(5)</t>
        </is>
      </c>
      <c r="B9" s="5" t="inlineStr">
        <is>
          <t>将来推計・サービス見込量・保険料算定</t>
        </is>
      </c>
      <c r="C9" s="5" t="inlineStr">
        <is>
          <t>第10期計画期間及び中長期を見据えた将来推計を行い、サービス見込量及び第1号被保険者の保険料を算定する。</t>
        </is>
      </c>
      <c r="D9" s="5" t="inlineStr">
        <is>
          <t>①長期推計（人口・高齢化率・認定者・給付費・基金）
②保険料試算ワークブックの構築（8ステップ・11シート）
③3パターン（A/B/C）の暫定試算
④県内35市町村との比較・要因分析
⑤算定式の精査（国指針・第9期計画との照合）
⑥サービス見込量の算定</t>
        </is>
      </c>
      <c r="E9" s="5" t="inlineStr">
        <is>
          <t>保険料試算ワークブック（11シート・129数式）
長期推計・給付費・保険料試算レポート
保険料_県内比較分析・要因分析
給付費・保険料算定の精査レポート
素案 第7章</t>
        </is>
      </c>
      <c r="F9" s="9" t="inlineStr">
        <is>
          <t>実施中</t>
        </is>
      </c>
      <c r="G9" s="17" t="n">
        <v>0.6</v>
      </c>
      <c r="H9" s="4" t="inlineStr">
        <is>
          <t>R9.1</t>
        </is>
      </c>
      <c r="I9" s="5" t="inlineStr">
        <is>
          <t>算定の枠組みは構築済みで、暫定値による基準額はA=7,632円／B=7,384円／C=7,137円。数式バグ3件を修正し、補正係数を0.97に見直した。基金残高・所得段階別被保険者数・収納率・調整交付金見込率が未確定（ワークブックの黄色セル5項目）。サービス見込量は国保連データ待ち。</t>
        </is>
      </c>
      <c r="J9" s="4" t="inlineStr">
        <is>
          <t>1, 2, 3, 4, 5, 6, 9</t>
        </is>
      </c>
    </row>
    <row r="10" ht="118" customHeight="1">
      <c r="A10" s="4" t="inlineStr">
        <is>
          <t>(6)</t>
        </is>
      </c>
      <c r="B10" s="5" t="inlineStr">
        <is>
          <t>計画書の作成</t>
        </is>
      </c>
      <c r="C10" s="5" t="inlineStr">
        <is>
          <t>分析結果及び推計結果を踏まえ、第10期計画の素案、最終案、概要版及び資料編を作成する。</t>
        </is>
      </c>
      <c r="D10" s="5" t="inlineStr">
        <is>
          <t>①素案v1.0〜v1.6の段階的作成
②委員会名称の統一・第9期パブコメ記述の訂正
③資料編の構成案・素案の作成
④素案Ver.2.0の更新
⑤計画最終案の作成
⑥概要版の作成</t>
        </is>
      </c>
      <c r="E10" s="5" t="inlineStr">
        <is>
          <t>素案v1.6_本文充実版（44頁・411ブロック）
資料編_構成案・素案
計画素案_概要版（12頁）</t>
        </is>
      </c>
      <c r="F10" s="9" t="inlineStr">
        <is>
          <t>実施中</t>
        </is>
      </c>
      <c r="G10" s="17" t="n">
        <v>0.55</v>
      </c>
      <c r="H10" s="4" t="inlineStr">
        <is>
          <t>R9.2</t>
        </is>
      </c>
      <c r="I10" s="5" t="inlineStr">
        <is>
          <t>素案はv1.6まで作成済み。委員会名称の統一は素案本文（20箇所）と資料編に適用したが、概要版・委員会資料など21ファイルに旧称が残存する（確認事項No.10）。Ver.2.0はアンケート結果と委員意見の反映後に着手する。</t>
        </is>
      </c>
      <c r="J10" s="4" t="inlineStr">
        <is>
          <t>10, 11</t>
        </is>
      </c>
    </row>
    <row r="11" ht="118" customHeight="1">
      <c r="A11" s="4" t="inlineStr">
        <is>
          <t>(7)</t>
        </is>
      </c>
      <c r="B11" s="5" t="inlineStr">
        <is>
          <t>計画策定支援</t>
        </is>
      </c>
      <c r="C11" s="5" t="inlineStr">
        <is>
          <t>町担当課との協議、計画内容の調整及び計画案の修正等、計画策定に必要な支援を行う。</t>
        </is>
      </c>
      <c r="D11" s="5" t="inlineStr">
        <is>
          <t>①町担当課ご記入依頼パッケージの作成
②町担当課ご説明資料の作成
③作業チェックリストによる進捗管理
④送付・回収の管理
⑤委員意見の反映管理</t>
        </is>
      </c>
      <c r="E11" s="5" t="inlineStr">
        <is>
          <t>町担当課ご記入依頼パッケージ（5頁）
町担当課ご説明資料（14頁）
作業チェックリストv2.0（7シート）
委員意見反映管理シート（8シート）</t>
        </is>
      </c>
      <c r="F11" s="9" t="inlineStr">
        <is>
          <t>実施中</t>
        </is>
      </c>
      <c r="G11" s="17" t="n">
        <v>0.5</v>
      </c>
      <c r="H11" s="4" t="inlineStr">
        <is>
          <t>R9.2</t>
        </is>
      </c>
      <c r="I11" s="5" t="inlineStr">
        <is>
          <t>送付資料は整備済みで令和8年6月下旬の発送予定。委員会名称の統一とPDFの再生成が発送の前提となる（確認事項No.10）。委員意見の反映管理は第1回委員会の開催後に運用を開始する。</t>
        </is>
      </c>
      <c r="J11" s="4" t="inlineStr">
        <is>
          <t>10</t>
        </is>
      </c>
    </row>
    <row r="12" ht="118" customHeight="1">
      <c r="A12" s="4" t="inlineStr">
        <is>
          <t>(8)</t>
        </is>
      </c>
      <c r="B12" s="5" t="inlineStr">
        <is>
          <t>各種会議への技術的支援</t>
        </is>
      </c>
      <c r="C12" s="5" t="inlineStr">
        <is>
          <t>介護保険運営委員会その他計画策定に必要な会議について、資料原案の作成その他の技術的支援を行う。</t>
        </is>
      </c>
      <c r="D12" s="5" t="inlineStr">
        <is>
          <t>①キックオフ会議の支援・議事録作成
②第1回委員会の資料・想定問答集の作成
③第2回委員会の説明資料の作成
④第2回委員会の想定問答集の作成
⑤第3回・第4回委員会の資料作成</t>
        </is>
      </c>
      <c r="E12" s="5" t="inlineStr">
        <is>
          <t>キックオフ議事録_正式版
第1回策定委員会資料（12頁）
第1回介護保険運営委員会_想定問答集（31問8カテゴリ）
第2回介護保険運営委員会_説明資料（4頁）</t>
        </is>
      </c>
      <c r="F12" s="9" t="inlineStr">
        <is>
          <t>実施中</t>
        </is>
      </c>
      <c r="G12" s="17" t="n">
        <v>0.4</v>
      </c>
      <c r="H12" s="4" t="inlineStr">
        <is>
          <t>R9.2</t>
        </is>
      </c>
      <c r="I12" s="5" t="inlineStr">
        <is>
          <t>第1回・第2回の資料は作成済み。委員名簿及び第1回〜第4回の開催日程が未確定（確認事項No.11・12）。第2回の想定問答集は未作成。第1回委員会資料は名称の統一が未了。</t>
        </is>
      </c>
      <c r="J12" s="4" t="inlineStr">
        <is>
          <t>11, 12</t>
        </is>
      </c>
    </row>
    <row r="13" ht="118" customHeight="1">
      <c r="A13" s="4" t="inlineStr">
        <is>
          <t>(9)</t>
        </is>
      </c>
      <c r="B13" s="5" t="inlineStr">
        <is>
          <t>パブリックコメント支援</t>
        </is>
      </c>
      <c r="C13" s="5" t="inlineStr">
        <is>
          <t>パブリックコメントの実施に当たり、計画素案の修正案の作成、提出意見の整理等の支援を行う。</t>
        </is>
      </c>
      <c r="D13" s="5" t="inlineStr">
        <is>
          <t>①パブリックコメント用素案の整備
②実施要領の作成
③提出意見の分類・整理
④意見に対する町の考え方の案の作成</t>
        </is>
      </c>
      <c r="E13" s="5" t="inlineStr">
        <is>
          <t>パブリックコメント資料（未作成）</t>
        </is>
      </c>
      <c r="F13" s="13" t="inlineStr">
        <is>
          <t>未着手</t>
        </is>
      </c>
      <c r="G13" s="17" t="n">
        <v>0</v>
      </c>
      <c r="H13" s="4" t="inlineStr">
        <is>
          <t>R9.2</t>
        </is>
      </c>
      <c r="I13" s="5" t="inlineStr">
        <is>
          <t>実施期間・方法が未確定（確認事項No.13）。令和9年2月の工程であり、計画最終案の確定後に着手する。</t>
        </is>
      </c>
      <c r="J13" s="4" t="inlineStr">
        <is>
          <t>13</t>
        </is>
      </c>
    </row>
    <row r="14" ht="118" customHeight="1">
      <c r="A14" s="4" t="inlineStr">
        <is>
          <t>(10)</t>
        </is>
      </c>
      <c r="B14" s="5" t="inlineStr">
        <is>
          <t>成果品の作成</t>
        </is>
      </c>
      <c r="C14" s="5" t="inlineStr">
        <is>
          <t>計画書本編、概要版及び電子データその他の成果品を作成し、納品する。</t>
        </is>
      </c>
      <c r="D14" s="5" t="inlineStr">
        <is>
          <t>①計画書本編の印刷データ作成
②概要版（住民配布用）の作成
③編集可能な電子データの整備
④分析資料・図表・集計表の整備</t>
        </is>
      </c>
      <c r="E14" s="5" t="inlineStr">
        <is>
          <t>04シートを参照</t>
        </is>
      </c>
      <c r="F14" s="9" t="inlineStr">
        <is>
          <t>実施中</t>
        </is>
      </c>
      <c r="G14" s="17" t="n">
        <v>0.25</v>
      </c>
      <c r="H14" s="4" t="inlineStr">
        <is>
          <t>R9.3</t>
        </is>
      </c>
      <c r="I14" s="5" t="inlineStr">
        <is>
          <t>分析資料・図表は整備済み。計画書本編・概要版の印刷データは計画最終案の確定後に作成する。印刷仕様（判型・部数・頁数）が未確定（確認事項No.15）。</t>
        </is>
      </c>
      <c r="J14" s="4" t="inlineStr">
        <is>
          <t>15</t>
        </is>
      </c>
    </row>
    <row r="15" ht="118" customHeight="1">
      <c r="A15" s="4" t="inlineStr">
        <is>
          <t>(11)</t>
        </is>
      </c>
      <c r="B15" s="5" t="inlineStr">
        <is>
          <t>成果品の帰属</t>
        </is>
      </c>
      <c r="C15" s="5" t="inlineStr">
        <is>
          <t>本業務により作成した成果品の著作権その他の権利の帰属を確認する。</t>
        </is>
      </c>
      <c r="D15" s="5" t="inlineStr">
        <is>
          <t>①引渡し時の権利帰属の確認</t>
        </is>
      </c>
      <c r="E15" s="5" t="inlineStr">
        <is>
          <t>―</t>
        </is>
      </c>
      <c r="F15" s="15" t="inlineStr">
        <is>
          <t>対象外</t>
        </is>
      </c>
      <c r="G15" s="17" t="n"/>
      <c r="H15" s="4" t="inlineStr">
        <is>
          <t>R9.3</t>
        </is>
      </c>
      <c r="I15" s="5" t="inlineStr">
        <is>
          <t>契約条項であり、成果品の引渡し時に確認する。</t>
        </is>
      </c>
      <c r="J15" s="4" t="inlineStr">
        <is>
          <t>―</t>
        </is>
      </c>
    </row>
    <row r="16" ht="118" customHeight="1">
      <c r="A16" s="4" t="inlineStr">
        <is>
          <t>(12)</t>
        </is>
      </c>
      <c r="B16" s="5" t="inlineStr">
        <is>
          <t>その他</t>
        </is>
      </c>
      <c r="C16" s="5" t="inlineStr">
        <is>
          <t>仕様書に定めのない事項又は疑義が生じた場合は、発注者と協議のうえ対応する。</t>
        </is>
      </c>
      <c r="D16" s="5" t="inlineStr">
        <is>
          <t>①疑義事項の整理と協議
②同時策定2計画（地域福祉計画・障害者計画）との整合調整
③本工程管理表による進捗管理</t>
        </is>
      </c>
      <c r="E16" s="5" t="inlineStr">
        <is>
          <t>確認依頼事項（03シート）
本工程管理表</t>
        </is>
      </c>
      <c r="F16" s="9" t="inlineStr">
        <is>
          <t>実施中</t>
        </is>
      </c>
      <c r="G16" s="17" t="n"/>
      <c r="H16" s="4" t="inlineStr">
        <is>
          <t>随時</t>
        </is>
      </c>
      <c r="I16" s="5" t="inlineStr">
        <is>
          <t>地域福祉計画・障害者計画は別ベンダー（ジャパン総研）が策定担当であり、重層的支援体制・移動支援・データ共有等で相互整合を図る必要がある（確認事項No.17）。</t>
        </is>
      </c>
      <c r="J16" s="4" t="inlineStr">
        <is>
          <t>17</t>
        </is>
      </c>
    </row>
    <row r="18" ht="22" customHeight="1">
      <c r="B18" s="18" t="inlineStr">
        <is>
          <t>全体進捗（対象外を除く単純平均）</t>
        </is>
      </c>
      <c r="G18" s="19">
        <f>ROUND(AVERAGE(G5:G16),2)</f>
        <v/>
      </c>
    </row>
    <row r="20" ht="26" customHeight="1">
      <c r="A20" s="20" t="inlineStr">
        <is>
          <t>注1）進捗は、当該業務の作業項目のうち完了したものの割合を受託者が判断して記入する。空欄は進捗を数値化しない業務であることを示す。</t>
        </is>
      </c>
    </row>
    <row r="21" ht="26" customHeight="1">
      <c r="A21" s="20" t="inlineStr">
        <is>
          <t>注2）業務区分（1）〜（12）は受託者による整理であり、業務仕様書の条項との対応は発注者の確認を要する。</t>
        </is>
      </c>
    </row>
  </sheetData>
  <mergeCells count="5">
    <mergeCell ref="A1:J1"/>
    <mergeCell ref="A21:J21"/>
    <mergeCell ref="A20:J20"/>
    <mergeCell ref="A2:J2"/>
    <mergeCell ref="B18:F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t>
        </is>
      </c>
    </row>
    <row r="2" ht="52" customHeight="1">
      <c r="A2" s="2" t="inlineStr">
        <is>
          <t>月別工程について、業務区分・成果物・提出期日・発注者の確認を管理する。「対応する業務区分」は01シートの（1）〜（12）の番号による。</t>
        </is>
      </c>
    </row>
    <row r="4" ht="32" customHeight="1">
      <c r="A4" s="3" t="inlineStr">
        <is>
          <t>年月</t>
        </is>
      </c>
      <c r="B4" s="3" t="inlineStr">
        <is>
          <t>業務内容</t>
        </is>
      </c>
      <c r="C4" s="3" t="inlineStr">
        <is>
          <t>対応する業務区分</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2" customHeight="1">
      <c r="A5" s="4" t="inlineStr">
        <is>
          <t>令和8年6月</t>
        </is>
      </c>
      <c r="B5" s="5" t="inlineStr">
        <is>
          <t>計画素案v1.6の完成、町送付パッケージの整備、保険料試算の枠組み構築、アンケート発送</t>
        </is>
      </c>
      <c r="C5" s="4" t="inlineStr">
        <is>
          <t>(5)(6)(7)</t>
        </is>
      </c>
      <c r="D5" s="5" t="inlineStr">
        <is>
          <t>・計画素案v1.6_本文充実版
・町担当課向け資料一式
・保険料試算ワークブック
・各種分析レポート</t>
        </is>
      </c>
      <c r="E5" s="5" t="inlineStr">
        <is>
          <t>素案v1.6（44頁）、町送付パッケージ、保険料試算ワークブック（11シート）、長期推計・県内比較・精査の各レポートを作成済み。</t>
        </is>
      </c>
      <c r="F5" s="9" t="inlineStr">
        <is>
          <t>実施中</t>
        </is>
      </c>
      <c r="G5" s="4" t="inlineStr">
        <is>
          <t>R8.6下旬</t>
        </is>
      </c>
      <c r="H5" s="4" t="inlineStr"/>
      <c r="I5" s="4" t="inlineStr"/>
      <c r="J5" s="5" t="inlineStr">
        <is>
          <t>送付前に委員会名称の統一とPDFの再生成を要する（確認事項No.10）。基金残高の確定値が未受領（同No.1）。</t>
        </is>
      </c>
    </row>
    <row r="6" ht="92" customHeight="1">
      <c r="A6" s="4" t="inlineStr">
        <is>
          <t>令和8年7月</t>
        </is>
      </c>
      <c r="B6" s="5" t="inlineStr">
        <is>
          <t>アンケートの回収・督促、町記入資料の回収、委員名簿の整備</t>
        </is>
      </c>
      <c r="C6" s="4" t="inlineStr">
        <is>
          <t>(2)(3)(7)</t>
        </is>
      </c>
      <c r="D6" s="5" t="inlineStr">
        <is>
          <t>・回収アンケート
・第9期実績一覧（記入済）
・MECEデータ入力フォーマット（記入済）
・委員名簿</t>
        </is>
      </c>
      <c r="E6" s="5" t="inlineStr">
        <is>
          <t>アンケートは令和8年7月末回収の予定。第9期実績一覧・MECEデータは町記入待ち。</t>
        </is>
      </c>
      <c r="F6" s="13" t="inlineStr">
        <is>
          <t>未着手</t>
        </is>
      </c>
      <c r="G6" s="4" t="inlineStr">
        <is>
          <t>R8.7末</t>
        </is>
      </c>
      <c r="H6" s="4" t="inlineStr"/>
      <c r="I6" s="4" t="inlineStr"/>
      <c r="J6" s="5" t="inlineStr">
        <is>
          <t>回収率がサンプル数と地区別分析の可否を左右する。督促体制を町と協議する。</t>
        </is>
      </c>
    </row>
    <row r="7" ht="92" customHeight="1">
      <c r="A7" s="4" t="inlineStr">
        <is>
          <t>令和8年8月</t>
        </is>
      </c>
      <c r="B7" s="5" t="inlineStr">
        <is>
          <t>アンケートの集計・分析、町データの反映、第1回介護保険運営委員会</t>
        </is>
      </c>
      <c r="C7" s="4" t="inlineStr">
        <is>
          <t>(3)(2)(6)(8)</t>
        </is>
      </c>
      <c r="D7" s="5" t="inlineStr">
        <is>
          <t>・単純集計表・クロス集計表・自由記述分類
・第1回委員会資料
・第1回委員会議事録</t>
        </is>
      </c>
      <c r="E7" s="5" t="inlineStr">
        <is>
          <t>集計は回収後に約2週間で実施する予定。第1回委員会の資料・想定問答集は作成済み。</t>
        </is>
      </c>
      <c r="F7" s="13" t="inlineStr">
        <is>
          <t>未着手</t>
        </is>
      </c>
      <c r="G7" s="4" t="inlineStr">
        <is>
          <t>R8.8中旬</t>
        </is>
      </c>
      <c r="H7" s="4" t="inlineStr"/>
      <c r="I7" s="4" t="inlineStr"/>
      <c r="J7" s="5" t="inlineStr">
        <is>
          <t>開催日程・審議事項・資料提出期限が未確定（確認事項No.11）。委員名簿の整備が前提。</t>
        </is>
      </c>
    </row>
    <row r="8" ht="92" customHeight="1">
      <c r="A8" s="4" t="inlineStr">
        <is>
          <t>令和8年9月</t>
        </is>
      </c>
      <c r="B8" s="5" t="inlineStr">
        <is>
          <t>委員意見の集約・反映方針の確定、素案Ver.2.0の更新着手</t>
        </is>
      </c>
      <c r="C8" s="4" t="inlineStr">
        <is>
          <t>(6)(7)</t>
        </is>
      </c>
      <c r="D8" s="5" t="inlineStr">
        <is>
          <t>・委員意見反映管理シート（記入済）
・意見反映方針
・素案Ver.2.0（作業版）</t>
        </is>
      </c>
      <c r="E8" s="5" t="inlineStr">
        <is>
          <t>委員意見反映管理シート（8シート）は整備済み。第1回委員会の開催が前提。</t>
        </is>
      </c>
      <c r="F8" s="13" t="inlineStr">
        <is>
          <t>未着手</t>
        </is>
      </c>
      <c r="G8" s="4" t="inlineStr">
        <is>
          <t>R8.9上旬</t>
        </is>
      </c>
      <c r="H8" s="4" t="inlineStr"/>
      <c r="I8" s="4" t="inlineStr"/>
      <c r="J8" s="5" t="inlineStr">
        <is>
          <t>3者協議（事務局・町担当課・弊社）により令和8年9月上旬までに対応方針を確定する。</t>
        </is>
      </c>
    </row>
    <row r="9" ht="92" customHeight="1">
      <c r="A9" s="4" t="inlineStr">
        <is>
          <t>令和8年10月</t>
        </is>
      </c>
      <c r="B9" s="5" t="inlineStr">
        <is>
          <t>素案Ver.2.0の完成、サービス見込量の精緻化、KPIの数値設定</t>
        </is>
      </c>
      <c r="C9" s="4" t="inlineStr">
        <is>
          <t>(5)(6)</t>
        </is>
      </c>
      <c r="D9" s="5" t="inlineStr">
        <is>
          <t>・素案Ver.2.0
・サービス見込量推計表
・第5章KPI・第6章認知症3層KPI</t>
        </is>
      </c>
      <c r="E9" s="5" t="inlineStr">
        <is>
          <t>Phase2作業計画詳細書のW1〜W14に沿って進行する。</t>
        </is>
      </c>
      <c r="F9" s="13" t="inlineStr">
        <is>
          <t>未着手</t>
        </is>
      </c>
      <c r="G9" s="4" t="inlineStr">
        <is>
          <t>R8.10末</t>
        </is>
      </c>
      <c r="H9" s="4" t="inlineStr"/>
      <c r="I9" s="4" t="inlineStr"/>
      <c r="J9" s="5" t="inlineStr">
        <is>
          <t>国保連データ及びアンケート結果の受領が前提（確認事項No.9）。</t>
        </is>
      </c>
    </row>
    <row r="10" ht="92" customHeight="1">
      <c r="A10" s="4" t="inlineStr">
        <is>
          <t>令和8年11月</t>
        </is>
      </c>
      <c r="B10" s="5" t="inlineStr">
        <is>
          <t>第2回介護保険運営委員会、サービス見込量の方向性確定</t>
        </is>
      </c>
      <c r="C10" s="4" t="inlineStr">
        <is>
          <t>(6)(8)</t>
        </is>
      </c>
      <c r="D10" s="5" t="inlineStr">
        <is>
          <t>・第2回委員会説明資料
・第2回委員会想定問答集
・第2回委員会議事録</t>
        </is>
      </c>
      <c r="E10" s="5" t="inlineStr">
        <is>
          <t>第2回の説明資料（4頁・チャート3点埋込）は作成済み。想定問答集は未作成。</t>
        </is>
      </c>
      <c r="F10" s="13" t="inlineStr">
        <is>
          <t>未着手</t>
        </is>
      </c>
      <c r="G10" s="4" t="inlineStr">
        <is>
          <t>R8.11</t>
        </is>
      </c>
      <c r="H10" s="4" t="inlineStr"/>
      <c r="I10" s="4" t="inlineStr"/>
      <c r="J10" s="5" t="inlineStr">
        <is>
          <t>第2回の想定問答集を第1回と同形式で作成する必要がある。</t>
        </is>
      </c>
    </row>
    <row r="11" ht="92" customHeight="1">
      <c r="A11" s="4" t="inlineStr">
        <is>
          <t>令和8年12月</t>
        </is>
      </c>
      <c r="B11" s="5" t="inlineStr">
        <is>
          <t>保険料試算の精緻化（標準給付費・地域支援事業費・調整交付金の確定）</t>
        </is>
      </c>
      <c r="C11" s="4" t="inlineStr">
        <is>
          <t>(5)</t>
        </is>
      </c>
      <c r="D11" s="5" t="inlineStr">
        <is>
          <t>・標準給付費算定表
・地域支援事業費算定表
・調整交付金算定表</t>
        </is>
      </c>
      <c r="E11" s="5" t="inlineStr">
        <is>
          <t>算定の枠組みは構築済み。町確認データの受領により暫定値を確定値へ置き換える。</t>
        </is>
      </c>
      <c r="F11" s="13" t="inlineStr">
        <is>
          <t>未着手</t>
        </is>
      </c>
      <c r="G11" s="4" t="inlineStr">
        <is>
          <t>R8.12末</t>
        </is>
      </c>
      <c r="H11" s="4" t="inlineStr"/>
      <c r="I11" s="4" t="inlineStr"/>
      <c r="J11" s="5" t="inlineStr">
        <is>
          <t>基金残高・収納率・所得段階別被保険者数・調整交付金交付実績の受領が前提（確認事項No.1〜4）。</t>
        </is>
      </c>
    </row>
    <row r="12" ht="92" customHeight="1">
      <c r="A12" s="4" t="inlineStr">
        <is>
          <t>令和9年1月</t>
        </is>
      </c>
      <c r="B12" s="5" t="inlineStr">
        <is>
          <t>保険料3パターンの確定、第3回介護保険運営委員会</t>
        </is>
      </c>
      <c r="C12" s="4" t="inlineStr">
        <is>
          <t>(5)(8)</t>
        </is>
      </c>
      <c r="D12" s="5" t="inlineStr">
        <is>
          <t>・保険料試算表（3パターン×13段階）
・第3回委員会資料
・第3回委員会議事録</t>
        </is>
      </c>
      <c r="E12" s="5" t="inlineStr">
        <is>
          <t>3パターンの暫定試算は完了。町確認データにより確定する。</t>
        </is>
      </c>
      <c r="F12" s="13" t="inlineStr">
        <is>
          <t>未着手</t>
        </is>
      </c>
      <c r="G12" s="4" t="inlineStr">
        <is>
          <t>R9.1中旬</t>
        </is>
      </c>
      <c r="H12" s="4" t="inlineStr"/>
      <c r="I12" s="4" t="inlineStr"/>
      <c r="J12" s="5" t="inlineStr">
        <is>
          <t>第3回委員会でパターンを選定し、第4回で基準額を決定する。</t>
        </is>
      </c>
    </row>
    <row r="13" ht="92" customHeight="1">
      <c r="A13" s="4" t="inlineStr">
        <is>
          <t>令和9年2月</t>
        </is>
      </c>
      <c r="B13" s="5" t="inlineStr">
        <is>
          <t>第4回委員会・町長答申、計画最終案の作成、パブリックコメント</t>
        </is>
      </c>
      <c r="C13" s="4" t="inlineStr">
        <is>
          <t>(6)(8)(9)</t>
        </is>
      </c>
      <c r="D13" s="5" t="inlineStr">
        <is>
          <t>・計画最終案
・答申書
・パブリックコメント用素案
・意見の分類整理表</t>
        </is>
      </c>
      <c r="E13" s="5" t="inlineStr">
        <is>
          <t>未着手。</t>
        </is>
      </c>
      <c r="F13" s="13" t="inlineStr">
        <is>
          <t>未着手</t>
        </is>
      </c>
      <c r="G13" s="4" t="inlineStr">
        <is>
          <t>R9.2末</t>
        </is>
      </c>
      <c r="H13" s="4" t="inlineStr"/>
      <c r="I13" s="4" t="inlineStr"/>
      <c r="J13" s="5" t="inlineStr">
        <is>
          <t>パブリックコメントの実施期間の確認を要する（確認事項No.13）。</t>
        </is>
      </c>
    </row>
    <row r="14" ht="92" customHeight="1">
      <c r="A14" s="4" t="inlineStr">
        <is>
          <t>令和9年3月</t>
        </is>
      </c>
      <c r="B14" s="5" t="inlineStr">
        <is>
          <t>条例改正案の作成支援、3月議会上程、計画書・概要版の完成・納品</t>
        </is>
      </c>
      <c r="C14" s="4" t="inlineStr">
        <is>
          <t>(6)(10)</t>
        </is>
      </c>
      <c r="D14" s="5" t="inlineStr">
        <is>
          <t>・介護保険条例改正案
・計画書本編（印刷データ）
・概要版（印刷データ）
・電子データ一式</t>
        </is>
      </c>
      <c r="E14" s="5" t="inlineStr">
        <is>
          <t>未着手。</t>
        </is>
      </c>
      <c r="F14" s="13" t="inlineStr">
        <is>
          <t>未着手</t>
        </is>
      </c>
      <c r="G14" s="4" t="inlineStr">
        <is>
          <t>R9.3末</t>
        </is>
      </c>
      <c r="H14" s="4" t="inlineStr"/>
      <c r="I14" s="4" t="inlineStr"/>
      <c r="J14" s="5" t="inlineStr">
        <is>
          <t>印刷・製本の所要日数を踏まえた入稿期日の確認を要する（確認事項No.15）。</t>
        </is>
      </c>
    </row>
    <row r="16">
      <c r="A16" s="21" t="inlineStr">
        <is>
          <t>区分</t>
        </is>
      </c>
      <c r="B16" s="21" t="inlineStr">
        <is>
          <t>件数</t>
        </is>
      </c>
    </row>
    <row r="17">
      <c r="A17" s="7" t="inlineStr">
        <is>
          <t>完了</t>
        </is>
      </c>
      <c r="B17" s="4">
        <f>COUNTIF(F5:F14,"完了")</f>
        <v/>
      </c>
    </row>
    <row r="18">
      <c r="A18" s="9" t="inlineStr">
        <is>
          <t>実施中</t>
        </is>
      </c>
      <c r="B18" s="4">
        <f>COUNTIF(F5:F14,"実施中")</f>
        <v/>
      </c>
    </row>
    <row r="19">
      <c r="A19" s="11" t="inlineStr">
        <is>
          <t>確認待ち</t>
        </is>
      </c>
      <c r="B19" s="4">
        <f>COUNTIF(F5:F14,"確認待ち")</f>
        <v/>
      </c>
    </row>
    <row r="20">
      <c r="A20" s="13" t="inlineStr">
        <is>
          <t>未着手</t>
        </is>
      </c>
      <c r="B20" s="4">
        <f>COUNTIF(F5:F14,"未着手")</f>
        <v/>
      </c>
    </row>
    <row r="21">
      <c r="A21" s="15" t="inlineStr">
        <is>
          <t>対象外</t>
        </is>
      </c>
      <c r="B21" s="4">
        <f>COUNTIF(F5:F14,"対象外")</f>
        <v/>
      </c>
    </row>
    <row r="23" ht="26" customHeight="1">
      <c r="A23" s="20" t="inlineStr">
        <is>
          <t>注1）「提出日」及び「発注者確認」は、当該工程の成果物を提出し、発注者の確認を得た時点で記入する。</t>
        </is>
      </c>
    </row>
    <row r="24" ht="26" customHeight="1">
      <c r="A24" s="20" t="inlineStr">
        <is>
          <t>注2）令和7年11月のキックオフから令和8年5月までの工程は完了しており、本表は令和8年6月以降を管理対象とする。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4" customWidth="1" min="5" max="5"/>
    <col width="28" customWidth="1" min="6" max="6"/>
    <col width="12" customWidth="1" min="7" max="7"/>
    <col width="9" customWidth="1" min="8" max="8"/>
    <col width="10" customWidth="1" min="9" max="9"/>
    <col width="24" customWidth="1" min="10" max="10"/>
  </cols>
  <sheetData>
    <row r="1" ht="26" customHeight="1">
      <c r="A1" s="1" t="inlineStr">
        <is>
          <t>確認事項一覧（業務工程・成果物との紐づけ）</t>
        </is>
      </c>
    </row>
    <row r="2" ht="52" customHeight="1">
      <c r="A2" s="2" t="inlineStr">
        <is>
          <t>発注者・国・県への確認事項を、業務工程と成果物に紐づけて一覧化する。「止めている成果物」は、当該事項の回答がないことにより確定できない成果物を示す。No.1〜5は保険料試算ワークブックの黄色セルと対応する。</t>
        </is>
      </c>
    </row>
    <row r="4" ht="32" customHeight="1">
      <c r="A4" s="3" t="inlineStr">
        <is>
          <t>No.</t>
        </is>
      </c>
      <c r="B4" s="3" t="inlineStr">
        <is>
          <t>業務区分</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76" customHeight="1">
      <c r="A5" s="4" t="n">
        <v>1</v>
      </c>
      <c r="B5" s="4" t="inlineStr">
        <is>
          <t>(5)</t>
        </is>
      </c>
      <c r="C5" s="4" t="inlineStr">
        <is>
          <t>R8.6</t>
        </is>
      </c>
      <c r="D5" s="5" t="inlineStr">
        <is>
          <t>介護給付費準備基金の残高（令和8年6月時点の確定値）</t>
        </is>
      </c>
      <c r="E5" s="5" t="inlineStr">
        <is>
          <t>第7期から第9期までの積立・取崩実績及び令和8年度末の残高見込を含む。現在は計画ベースの53,700千円を仮置きしている。</t>
        </is>
      </c>
      <c r="F5" s="5" t="inlineStr">
        <is>
          <t>保険料試算ワークブック 01!B15
素案 第7章7-3
保険料3パターンの水準</t>
        </is>
      </c>
      <c r="G5" s="4" t="inlineStr">
        <is>
          <t>発注者</t>
        </is>
      </c>
      <c r="H5" s="11" t="inlineStr">
        <is>
          <t>確認待ち</t>
        </is>
      </c>
      <c r="I5" s="4" t="inlineStr">
        <is>
          <t>R8.6</t>
        </is>
      </c>
      <c r="J5" s="5" t="inlineStr"/>
    </row>
    <row r="6" ht="76" customHeight="1">
      <c r="A6" s="4" t="n">
        <v>2</v>
      </c>
      <c r="B6" s="4" t="inlineStr">
        <is>
          <t>(5)</t>
        </is>
      </c>
      <c r="C6" s="4" t="inlineStr">
        <is>
          <t>R8.6</t>
        </is>
      </c>
      <c r="D6" s="5" t="inlineStr">
        <is>
          <t>所得段階別被保険者数（補正係数の確定）</t>
        </is>
      </c>
      <c r="E6" s="5" t="inlineStr">
        <is>
          <t>所得段階別の被保険者数。補正係数（所得段階別加重平均料率）は現在0.97を第9期基準額から逆算して仮置きしている。</t>
        </is>
      </c>
      <c r="F6" s="5" t="inlineStr">
        <is>
          <t>保険料試算ワークブック 06!B17
保険料基準額（比例して増減）</t>
        </is>
      </c>
      <c r="G6" s="4" t="inlineStr">
        <is>
          <t>発注者</t>
        </is>
      </c>
      <c r="H6" s="11" t="inlineStr">
        <is>
          <t>確認待ち</t>
        </is>
      </c>
      <c r="I6" s="4" t="inlineStr">
        <is>
          <t>R8.7</t>
        </is>
      </c>
      <c r="J6" s="5" t="inlineStr"/>
    </row>
    <row r="7" ht="76" customHeight="1">
      <c r="A7" s="4" t="n">
        <v>3</v>
      </c>
      <c r="B7" s="4" t="inlineStr">
        <is>
          <t>(5)</t>
        </is>
      </c>
      <c r="C7" s="4" t="inlineStr">
        <is>
          <t>R8.7</t>
        </is>
      </c>
      <c r="D7" s="5" t="inlineStr">
        <is>
          <t>調整交付金の交付実績及び見込率</t>
        </is>
      </c>
      <c r="E7" s="5" t="inlineStr">
        <is>
          <t>介護保険事業状況報告による交付実績（令和4〜7年度）。第9期計画の見込率は約3.9%であり、標準の5%を下回る。高齢化率41.4%・後期高齢者51.6%・非課税層30.1%の団体としては低い水準であり、実績の確認を要する。</t>
        </is>
      </c>
      <c r="F7" s="5" t="inlineStr">
        <is>
          <t>保険料試算ワークブック 04!B8
素案 第7章7-3</t>
        </is>
      </c>
      <c r="G7" s="4" t="inlineStr">
        <is>
          <t>発注者</t>
        </is>
      </c>
      <c r="H7" s="11" t="inlineStr">
        <is>
          <t>確認待ち</t>
        </is>
      </c>
      <c r="I7" s="4" t="inlineStr">
        <is>
          <t>R8.8</t>
        </is>
      </c>
      <c r="J7" s="5" t="inlineStr"/>
    </row>
    <row r="8" ht="76" customHeight="1">
      <c r="A8" s="4" t="n">
        <v>4</v>
      </c>
      <c r="B8" s="4" t="inlineStr">
        <is>
          <t>(5)</t>
        </is>
      </c>
      <c r="C8" s="4" t="inlineStr">
        <is>
          <t>R8.7</t>
        </is>
      </c>
      <c r="D8" s="5" t="inlineStr">
        <is>
          <t>予定収納率（過去5年の実績）</t>
        </is>
      </c>
      <c r="E8" s="5" t="inlineStr">
        <is>
          <t>令和4年度から令和7年度までの保険料収納率（総合・現年・特別徴収・普通徴収の別）。現在は第9期と同じ96%を仮置きしている。</t>
        </is>
      </c>
      <c r="F8" s="5" t="inlineStr">
        <is>
          <t>保険料試算ワークブック 06!B16
保険料基準額</t>
        </is>
      </c>
      <c r="G8" s="4" t="inlineStr">
        <is>
          <t>発注者</t>
        </is>
      </c>
      <c r="H8" s="11" t="inlineStr">
        <is>
          <t>確認待ち</t>
        </is>
      </c>
      <c r="I8" s="4" t="inlineStr">
        <is>
          <t>R8.8</t>
        </is>
      </c>
      <c r="J8" s="5" t="inlineStr"/>
    </row>
    <row r="9" ht="76" customHeight="1">
      <c r="A9" s="4" t="n">
        <v>5</v>
      </c>
      <c r="B9" s="4" t="inlineStr">
        <is>
          <t>(5)</t>
        </is>
      </c>
      <c r="C9" s="4" t="inlineStr">
        <is>
          <t>R8.7</t>
        </is>
      </c>
      <c r="D9" s="5" t="inlineStr">
        <is>
          <t>保険者機能強化推進交付金等の見込額</t>
        </is>
      </c>
      <c r="E9" s="5" t="inlineStr">
        <is>
          <t>令和4〜7年度の交付実績及び第10期の見込額。現在は第9期実績の10,800千円を仮置きしている。</t>
        </is>
      </c>
      <c r="F9" s="5" t="inlineStr">
        <is>
          <t>保険料試算ワークブック 06!B10</t>
        </is>
      </c>
      <c r="G9" s="4" t="inlineStr">
        <is>
          <t>発注者</t>
        </is>
      </c>
      <c r="H9" s="11" t="inlineStr">
        <is>
          <t>確認待ち</t>
        </is>
      </c>
      <c r="I9" s="4" t="inlineStr">
        <is>
          <t>R8.8</t>
        </is>
      </c>
      <c r="J9" s="5" t="inlineStr"/>
    </row>
    <row r="10" ht="76" customHeight="1">
      <c r="A10" s="4" t="n">
        <v>6</v>
      </c>
      <c r="B10" s="4" t="inlineStr">
        <is>
          <t>(5)</t>
        </is>
      </c>
      <c r="C10" s="4" t="inlineStr">
        <is>
          <t>R8.7</t>
        </is>
      </c>
      <c r="D10" s="5" t="inlineStr">
        <is>
          <t>第9期保険料算定における14,000千円の差の内訳</t>
        </is>
      </c>
      <c r="E10" s="5" t="inlineStr">
        <is>
          <t>第9期計画の保険料算出表において、取崩なし収納必要額804,663千円から基金取崩額78,000千円を控除すると726,663千円となるが、計画表の取崩後収納必要額は712,663千円であり14,000千円の差がある。過年度精算又は端数調整と推察されるが、算定ワークシートによる確認を要する。</t>
        </is>
      </c>
      <c r="F10" s="5" t="inlineStr">
        <is>
          <t>保険料基準額の再現精度（±2%）
精査レポート</t>
        </is>
      </c>
      <c r="G10" s="4" t="inlineStr">
        <is>
          <t>発注者</t>
        </is>
      </c>
      <c r="H10" s="11" t="inlineStr">
        <is>
          <t>確認待ち</t>
        </is>
      </c>
      <c r="I10" s="4" t="inlineStr">
        <is>
          <t>R8.9</t>
        </is>
      </c>
      <c r="J10" s="5" t="inlineStr"/>
    </row>
    <row r="11" ht="76" customHeight="1">
      <c r="A11" s="4" t="n">
        <v>7</v>
      </c>
      <c r="B11" s="4" t="inlineStr">
        <is>
          <t>(2)</t>
        </is>
      </c>
      <c r="C11" s="4" t="inlineStr">
        <is>
          <t>R8.6</t>
        </is>
      </c>
      <c r="D11" s="5" t="inlineStr">
        <is>
          <t>第9期の施策・事業実績</t>
        </is>
      </c>
      <c r="E11" s="5" t="inlineStr">
        <is>
          <t>第9期計画（令和6〜8年度）の35事業について、事業実績、事業量、対象実人数、決算額。第9期実績一覧_町記入用への記入をお願いする。</t>
        </is>
      </c>
      <c r="F11" s="5" t="inlineStr">
        <is>
          <t>素案 第3章3-2
第9期実績一覧_町記入用</t>
        </is>
      </c>
      <c r="G11" s="4" t="inlineStr">
        <is>
          <t>発注者</t>
        </is>
      </c>
      <c r="H11" s="11" t="inlineStr">
        <is>
          <t>確認待ち</t>
        </is>
      </c>
      <c r="I11" s="4" t="inlineStr">
        <is>
          <t>R8.7</t>
        </is>
      </c>
      <c r="J11" s="5" t="inlineStr"/>
    </row>
    <row r="12" ht="76" customHeight="1">
      <c r="A12" s="4" t="n">
        <v>8</v>
      </c>
      <c r="B12" s="4" t="inlineStr">
        <is>
          <t>(2)</t>
        </is>
      </c>
      <c r="C12" s="4" t="inlineStr">
        <is>
          <t>R8.6</t>
        </is>
      </c>
      <c r="D12" s="5" t="inlineStr">
        <is>
          <t>第9期の評価指標（KPI）の達成状況</t>
        </is>
      </c>
      <c r="E12" s="5" t="inlineStr">
        <is>
          <t>第9期計画で設定された評価指標の令和6・7年度実績。第1回介護保険運営委員会で報告し、素案Ver.2.0に反映する。</t>
        </is>
      </c>
      <c r="F12" s="5" t="inlineStr">
        <is>
          <t>素案 第3章3-3
第1回委員会資料</t>
        </is>
      </c>
      <c r="G12" s="4" t="inlineStr">
        <is>
          <t>発注者</t>
        </is>
      </c>
      <c r="H12" s="11" t="inlineStr">
        <is>
          <t>確認待ち</t>
        </is>
      </c>
      <c r="I12" s="4" t="inlineStr">
        <is>
          <t>R8.8</t>
        </is>
      </c>
      <c r="J12" s="5" t="inlineStr"/>
    </row>
    <row r="13" ht="76" customHeight="1">
      <c r="A13" s="4" t="n">
        <v>9</v>
      </c>
      <c r="B13" s="4" t="inlineStr">
        <is>
          <t>(5)</t>
        </is>
      </c>
      <c r="C13" s="4" t="inlineStr">
        <is>
          <t>R8.9</t>
        </is>
      </c>
      <c r="D13" s="5" t="inlineStr">
        <is>
          <t>サービス種類別・年度別の給付実績及び見込量</t>
        </is>
      </c>
      <c r="E13" s="5" t="inlineStr">
        <is>
          <t>国民健康保険団体連合会の給付実績情報（サービス種類別・年度別）。住所地特例24人及び町外施設利用分の取扱いを含む。</t>
        </is>
      </c>
      <c r="F13" s="5" t="inlineStr">
        <is>
          <t>素案 第7章7-1
標準給付費の算定</t>
        </is>
      </c>
      <c r="G13" s="4" t="inlineStr">
        <is>
          <t>発注者・国保連</t>
        </is>
      </c>
      <c r="H13" s="11" t="inlineStr">
        <is>
          <t>確認待ち</t>
        </is>
      </c>
      <c r="I13" s="4" t="inlineStr">
        <is>
          <t>R8.10</t>
        </is>
      </c>
      <c r="J13" s="5" t="inlineStr"/>
    </row>
    <row r="14" ht="76" customHeight="1">
      <c r="A14" s="4" t="n">
        <v>10</v>
      </c>
      <c r="B14" s="4" t="inlineStr">
        <is>
          <t>(6)(7)</t>
        </is>
      </c>
      <c r="C14" s="4" t="inlineStr">
        <is>
          <t>R8.6</t>
        </is>
      </c>
      <c r="D14" s="5" t="inlineStr">
        <is>
          <t>委員会名称の統一に係る取扱い</t>
        </is>
      </c>
      <c r="E14" s="5" t="inlineStr">
        <is>
          <t>審議組織は介護保険条例第17条に基づく常設の「川崎町介護保険運営委員会」であり、旧称「策定委員会」は誤りである。素案本文（20箇所）は統一済みだが、町担当課向け資料・概要版・委員会資料など21ファイルに旧称が残る。一括統一及びファイル名の改称の可否について確認をお願いする。</t>
        </is>
      </c>
      <c r="F14" s="5" t="inlineStr">
        <is>
          <t>町担当課ご説明資料
町担当課ご記入依頼パッケージ
計画素案_概要版
第1回委員会資料
F6書類ひな形ほか計21ファイル</t>
        </is>
      </c>
      <c r="G14" s="4" t="inlineStr">
        <is>
          <t>発注者</t>
        </is>
      </c>
      <c r="H14" s="11" t="inlineStr">
        <is>
          <t>確認待ち</t>
        </is>
      </c>
      <c r="I14" s="4" t="inlineStr">
        <is>
          <t>R8.6</t>
        </is>
      </c>
      <c r="J14" s="5" t="inlineStr"/>
    </row>
    <row r="15" ht="76" customHeight="1">
      <c r="A15" s="4" t="n">
        <v>11</v>
      </c>
      <c r="B15" s="4" t="inlineStr">
        <is>
          <t>(8)</t>
        </is>
      </c>
      <c r="C15" s="4" t="inlineStr">
        <is>
          <t>R8.6</t>
        </is>
      </c>
      <c r="D15" s="5" t="inlineStr">
        <is>
          <t>介護保険運営委員会の開催日程・審議事項・資料提出期限</t>
        </is>
      </c>
      <c r="E15" s="5" t="inlineStr">
        <is>
          <t>第1回（令和8年8月中旬）から第4回（令和9年2月）までの開催日、審議事項、資料の提出期限及び委員への事前配布の時期。</t>
        </is>
      </c>
      <c r="F15" s="5" t="inlineStr">
        <is>
          <t>第1回〜第4回委員会資料
計画素案_概要版（事前配布用）</t>
        </is>
      </c>
      <c r="G15" s="4" t="inlineStr">
        <is>
          <t>発注者</t>
        </is>
      </c>
      <c r="H15" s="11" t="inlineStr">
        <is>
          <t>確認待ち</t>
        </is>
      </c>
      <c r="I15" s="4" t="inlineStr">
        <is>
          <t>R8.7</t>
        </is>
      </c>
      <c r="J15" s="5" t="inlineStr"/>
    </row>
    <row r="16" ht="76" customHeight="1">
      <c r="A16" s="4" t="n">
        <v>12</v>
      </c>
      <c r="B16" s="4" t="inlineStr">
        <is>
          <t>(8)</t>
        </is>
      </c>
      <c r="C16" s="4" t="inlineStr">
        <is>
          <t>R8.6</t>
        </is>
      </c>
      <c r="D16" s="5" t="inlineStr">
        <is>
          <t>委員名簿</t>
        </is>
      </c>
      <c r="E16" s="5" t="inlineStr">
        <is>
          <t>介護保険条例第17条に基づく委員（8人以内・3区分：被保険者代表／学識経験者／介護サービス事業従事者）の名簿。</t>
        </is>
      </c>
      <c r="F16" s="5" t="inlineStr">
        <is>
          <t>第1回委員会の開催準備
資料編 資料3（委員名簿）</t>
        </is>
      </c>
      <c r="G16" s="4" t="inlineStr">
        <is>
          <t>発注者</t>
        </is>
      </c>
      <c r="H16" s="11" t="inlineStr">
        <is>
          <t>確認待ち</t>
        </is>
      </c>
      <c r="I16" s="4" t="inlineStr">
        <is>
          <t>R8.7</t>
        </is>
      </c>
      <c r="J16" s="5" t="inlineStr"/>
    </row>
    <row r="17" ht="76" customHeight="1">
      <c r="A17" s="4" t="n">
        <v>13</v>
      </c>
      <c r="B17" s="4" t="inlineStr">
        <is>
          <t>(9)</t>
        </is>
      </c>
      <c r="C17" s="4" t="inlineStr">
        <is>
          <t>R8.10</t>
        </is>
      </c>
      <c r="D17" s="5" t="inlineStr">
        <is>
          <t>パブリックコメントの実施期間及び方法</t>
        </is>
      </c>
      <c r="E17" s="5" t="inlineStr">
        <is>
          <t>実施期間、意見の受付方法、町広報誌・ホームページによる周知の時期。第9期は令和6年1月31日から2月9日に実施している。</t>
        </is>
      </c>
      <c r="F17" s="5" t="inlineStr">
        <is>
          <t>パブリックコメント用素案
実施要領</t>
        </is>
      </c>
      <c r="G17" s="4" t="inlineStr">
        <is>
          <t>発注者</t>
        </is>
      </c>
      <c r="H17" s="11" t="inlineStr">
        <is>
          <t>確認待ち</t>
        </is>
      </c>
      <c r="I17" s="4" t="inlineStr">
        <is>
          <t>R8.12</t>
        </is>
      </c>
      <c r="J17" s="5" t="inlineStr"/>
    </row>
    <row r="18" ht="76" customHeight="1">
      <c r="A18" s="4" t="n">
        <v>14</v>
      </c>
      <c r="B18" s="4" t="inlineStr">
        <is>
          <t>(1)</t>
        </is>
      </c>
      <c r="C18" s="4" t="inlineStr">
        <is>
          <t>R8.8</t>
        </is>
      </c>
      <c r="D18" s="5" t="inlineStr">
        <is>
          <t>国の基本指針及び所得段階に係る政令改正</t>
        </is>
      </c>
      <c r="E18" s="5" t="inlineStr">
        <is>
          <t>第10期の基本指針の告示内容、標準段階数、標準乗率、公費軽減の乗率及び第1号被保険者負担割合。第9期は既に13段階を採用しており、第10期の論点は乗率・区分の調整である。</t>
        </is>
      </c>
      <c r="F18" s="5" t="inlineStr">
        <is>
          <t>素案 第7章7-3
所得段階別保険料表</t>
        </is>
      </c>
      <c r="G18" s="4" t="inlineStr">
        <is>
          <t>国の情報</t>
        </is>
      </c>
      <c r="H18" s="13" t="inlineStr">
        <is>
          <t>未着手</t>
        </is>
      </c>
      <c r="I18" s="4" t="inlineStr">
        <is>
          <t>告示後</t>
        </is>
      </c>
      <c r="J18" s="5" t="inlineStr">
        <is>
          <t>受託者が随時確認する。</t>
        </is>
      </c>
    </row>
    <row r="19" ht="76" customHeight="1">
      <c r="A19" s="4" t="n">
        <v>15</v>
      </c>
      <c r="B19" s="4" t="inlineStr">
        <is>
          <t>(10)</t>
        </is>
      </c>
      <c r="C19" s="4" t="inlineStr">
        <is>
          <t>R8.10</t>
        </is>
      </c>
      <c r="D19" s="5" t="inlineStr">
        <is>
          <t>成果品の仕様</t>
        </is>
      </c>
      <c r="E19" s="5" t="inlineStr">
        <is>
          <t>計画書本編の判型・製本仕様・印刷部数・頁数の目安、概要版の頁数と掲載内容、電子データの形式及び納品期日。</t>
        </is>
      </c>
      <c r="F19" s="5" t="inlineStr">
        <is>
          <t>計画書本編（印刷データ）
概要版（印刷データ）</t>
        </is>
      </c>
      <c r="G19" s="4" t="inlineStr">
        <is>
          <t>発注者</t>
        </is>
      </c>
      <c r="H19" s="11" t="inlineStr">
        <is>
          <t>確認待ち</t>
        </is>
      </c>
      <c r="I19" s="4" t="inlineStr">
        <is>
          <t>R8.11</t>
        </is>
      </c>
      <c r="J19" s="5" t="inlineStr"/>
    </row>
    <row r="20" ht="76" customHeight="1">
      <c r="A20" s="4" t="n">
        <v>16</v>
      </c>
      <c r="B20" s="4" t="inlineStr">
        <is>
          <t>(1)</t>
        </is>
      </c>
      <c r="C20" s="4" t="inlineStr">
        <is>
          <t>R8.8</t>
        </is>
      </c>
      <c r="D20" s="5" t="inlineStr">
        <is>
          <t>町長挨拶文及び町長氏名</t>
        </is>
      </c>
      <c r="E20" s="5" t="inlineStr">
        <is>
          <t>計画書冒頭の挨拶文の内容と町長氏名。素案v1.6の挨拶文案について町長ご本人の確認をお願いする。</t>
        </is>
      </c>
      <c r="F20" s="5" t="inlineStr">
        <is>
          <t>計画書本編 冒頭
計画最終案</t>
        </is>
      </c>
      <c r="G20" s="4" t="inlineStr">
        <is>
          <t>発注者</t>
        </is>
      </c>
      <c r="H20" s="11" t="inlineStr">
        <is>
          <t>確認待ち</t>
        </is>
      </c>
      <c r="I20" s="4" t="inlineStr">
        <is>
          <t>R8.9</t>
        </is>
      </c>
      <c r="J20" s="5" t="inlineStr"/>
    </row>
    <row r="21" ht="76" customHeight="1">
      <c r="A21" s="4" t="n">
        <v>17</v>
      </c>
      <c r="B21" s="4" t="inlineStr">
        <is>
          <t>(12)</t>
        </is>
      </c>
      <c r="C21" s="4" t="inlineStr">
        <is>
          <t>R8.7</t>
        </is>
      </c>
      <c r="D21" s="5" t="inlineStr">
        <is>
          <t>同時策定2計画との整合調整の場</t>
        </is>
      </c>
      <c r="E21" s="5" t="inlineStr">
        <is>
          <t>地域福祉計画・障害者計画（別ベンダー：ジャパン総研）との整合について、重層的支援体制・移動支援・データ共有等に係る協議の場と調整の進め方。</t>
        </is>
      </c>
      <c r="F21" s="5" t="inlineStr">
        <is>
          <t>素案 第8章（3計画整合の枠組み）</t>
        </is>
      </c>
      <c r="G21" s="4" t="inlineStr">
        <is>
          <t>発注者</t>
        </is>
      </c>
      <c r="H21" s="11" t="inlineStr">
        <is>
          <t>確認待ち</t>
        </is>
      </c>
      <c r="I21" s="4" t="inlineStr">
        <is>
          <t>R8.9</t>
        </is>
      </c>
      <c r="J21" s="5" t="inlineStr"/>
    </row>
    <row r="22" ht="76" customHeight="1">
      <c r="A22" s="4" t="n">
        <v>18</v>
      </c>
      <c r="B22" s="4" t="inlineStr">
        <is>
          <t>(5)</t>
        </is>
      </c>
      <c r="C22" s="4" t="inlineStr">
        <is>
          <t>R8.9</t>
        </is>
      </c>
      <c r="D22" s="5" t="inlineStr">
        <is>
          <t>金ケ崎町 第9期計画書の保険料算出表</t>
        </is>
      </c>
      <c r="E22" s="5" t="inlineStr">
        <is>
          <t>比較参照先である金ケ崎町（岩手県）の第9期計画書の保険料算出表。構成額の逐次検証に必要であり、原本を入手できていない。</t>
        </is>
      </c>
      <c r="F22" s="5" t="inlineStr">
        <is>
          <t>精査レポート（比較検証の精度）</t>
        </is>
      </c>
      <c r="G22" s="4" t="inlineStr">
        <is>
          <t>受託者</t>
        </is>
      </c>
      <c r="H22" s="13" t="inlineStr">
        <is>
          <t>未着手</t>
        </is>
      </c>
      <c r="I22" s="4" t="inlineStr">
        <is>
          <t>R8.10</t>
        </is>
      </c>
      <c r="J22" s="5" t="inlineStr">
        <is>
          <t>金ケ崎町の公表資料から受託者が取得する。</t>
        </is>
      </c>
    </row>
    <row r="24">
      <c r="A24" s="21" t="inlineStr">
        <is>
          <t>区分</t>
        </is>
      </c>
      <c r="B24" s="21" t="inlineStr">
        <is>
          <t>件数</t>
        </is>
      </c>
    </row>
    <row r="25">
      <c r="A25" s="7" t="inlineStr">
        <is>
          <t>完了</t>
        </is>
      </c>
      <c r="B25" s="4">
        <f>COUNTIF(H5:H22,"完了")</f>
        <v/>
      </c>
    </row>
    <row r="26">
      <c r="A26" s="9" t="inlineStr">
        <is>
          <t>実施中</t>
        </is>
      </c>
      <c r="B26" s="4">
        <f>COUNTIF(H5:H22,"実施中")</f>
        <v/>
      </c>
    </row>
    <row r="27">
      <c r="A27" s="11" t="inlineStr">
        <is>
          <t>確認待ち</t>
        </is>
      </c>
      <c r="B27" s="4">
        <f>COUNTIF(H5:H22,"確認待ち")</f>
        <v/>
      </c>
    </row>
    <row r="28">
      <c r="A28" s="13" t="inlineStr">
        <is>
          <t>未着手</t>
        </is>
      </c>
      <c r="B28" s="4">
        <f>COUNTIF(H5:H22,"未着手")</f>
        <v/>
      </c>
    </row>
    <row r="29">
      <c r="A29" s="15" t="inlineStr">
        <is>
          <t>対象外</t>
        </is>
      </c>
      <c r="B29" s="4">
        <f>COUNTIF(H5:H22,"対象外")</f>
        <v/>
      </c>
    </row>
    <row r="31" ht="26" customHeight="1">
      <c r="A31" s="20" t="inlineStr">
        <is>
          <t>注1）「回答・対応」欄は、発注者からの回答又は受託者による対応の結果を記入し、状態を「完了」に更新する。</t>
        </is>
      </c>
    </row>
    <row r="32" ht="26" customHeight="1">
      <c r="A32" s="20" t="inlineStr">
        <is>
          <t>注2）No.1〜5は保険料試算ワークブックの黄色セル（01!B15、06!B17、04!B8、06!B16、06!B10）と対応し、値を入力すると保険料基準額が自動で再計算される。</t>
        </is>
      </c>
    </row>
  </sheetData>
  <mergeCells count="4">
    <mergeCell ref="A1:J1"/>
    <mergeCell ref="A32:J32"/>
    <mergeCell ref="A31:J3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0" customWidth="1" min="4" max="4"/>
    <col width="9" customWidth="1" min="5" max="5"/>
    <col width="9" customWidth="1" min="6" max="6"/>
    <col width="11" customWidth="1" min="7" max="7"/>
    <col width="40" customWidth="1" min="8" max="8"/>
    <col width="12" customWidth="1" min="9" max="9"/>
  </cols>
  <sheetData>
    <row r="1" ht="26" customHeight="1">
      <c r="A1" s="1" t="inlineStr">
        <is>
          <t>成果品の管理</t>
        </is>
      </c>
    </row>
    <row r="2" ht="52" customHeight="1">
      <c r="A2" s="2" t="inlineStr">
        <is>
          <t>納品物と、その作成状況を管理する。成果品は編集可能な電子データ及びPDF形式により提出する。確認事項No.は03シートの番号に対応する。</t>
        </is>
      </c>
    </row>
    <row r="4" ht="32" customHeight="1">
      <c r="A4" s="3" t="inlineStr">
        <is>
          <t>No.</t>
        </is>
      </c>
      <c r="B4" s="3" t="inlineStr">
        <is>
          <t>納品物</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80" customHeight="1">
      <c r="A5" s="4" t="n">
        <v>1</v>
      </c>
      <c r="B5" s="5" t="inlineStr">
        <is>
          <t>第10期介護保険事業計画書 本編</t>
        </is>
      </c>
      <c r="C5" s="5" t="inlineStr">
        <is>
          <t>川崎町_計画書素案_v1.6_本文充実版.docx
（44頁・411ブロック・6図表埋込）</t>
        </is>
      </c>
      <c r="D5" s="5" t="inlineStr">
        <is>
          <t>印刷・製本（部数未定）
入稿用PDF及びWord</t>
        </is>
      </c>
      <c r="E5" s="9" t="inlineStr">
        <is>
          <t>実施中</t>
        </is>
      </c>
      <c r="F5" s="17" t="n">
        <v>0.55</v>
      </c>
      <c r="G5" s="4" t="inlineStr">
        <is>
          <t>R9.3</t>
        </is>
      </c>
      <c r="H5" s="5" t="inlineStr">
        <is>
          <t>①判型・製本仕様・印刷部数、②本文頁数の目安と章別配分、③図表の掲載位置。本文の委員会名称は統一済みだが、PDFは統一前のdocxから生成されており再生成を要する。</t>
        </is>
      </c>
      <c r="I5" s="4" t="inlineStr">
        <is>
          <t>10, 15</t>
        </is>
      </c>
    </row>
    <row r="6" ht="80" customHeight="1">
      <c r="A6" s="4" t="n">
        <v>2</v>
      </c>
      <c r="B6" s="5" t="inlineStr">
        <is>
          <t>計画書 概要版（住民配布用）</t>
        </is>
      </c>
      <c r="C6" s="5" t="inlineStr">
        <is>
          <t>川崎町_計画素案_概要版.docx（12頁・3図表埋込）
※委員事前配布用として作成したもの</t>
        </is>
      </c>
      <c r="D6" s="5" t="inlineStr">
        <is>
          <t>Word（編集可能）及びPDF</t>
        </is>
      </c>
      <c r="E6" s="9" t="inlineStr">
        <is>
          <t>実施中</t>
        </is>
      </c>
      <c r="F6" s="17" t="n">
        <v>0.35</v>
      </c>
      <c r="G6" s="4" t="inlineStr">
        <is>
          <t>R9.3</t>
        </is>
      </c>
      <c r="H6" s="5" t="inlineStr">
        <is>
          <t>住民配布用としての頁数・体裁・掲載範囲。現行版は委員事前配布用であり、本文に旧称「策定委員会」が9箇所残る。</t>
        </is>
      </c>
      <c r="I6" s="4" t="inlineStr">
        <is>
          <t>10, 15</t>
        </is>
      </c>
    </row>
    <row r="7" ht="80" customHeight="1">
      <c r="A7" s="4" t="n">
        <v>3</v>
      </c>
      <c r="B7" s="5" t="inlineStr">
        <is>
          <t>資料編</t>
        </is>
      </c>
      <c r="C7" s="5" t="inlineStr">
        <is>
          <t>川崎町_資料編_構成案・素案.docx
（資料1〜4＋任意提案2項目）</t>
        </is>
      </c>
      <c r="D7" s="5" t="inlineStr">
        <is>
          <t>Word及びPDF</t>
        </is>
      </c>
      <c r="E7" s="9" t="inlineStr">
        <is>
          <t>実施中</t>
        </is>
      </c>
      <c r="F7" s="17" t="n">
        <v>0.6</v>
      </c>
      <c r="G7" s="4" t="inlineStr">
        <is>
          <t>R9.3</t>
        </is>
      </c>
      <c r="H7" s="5" t="inlineStr">
        <is>
          <t>資料1条例抜粋・資料2委員会規則は現行版との照合、資料3委員名簿・資料4策定経過は委嘱及び策定の進捗に応じて確定する。用語解説・関連法令は任意提案。</t>
        </is>
      </c>
      <c r="I7" s="4" t="inlineStr">
        <is>
          <t>12</t>
        </is>
      </c>
    </row>
    <row r="8" ht="80" customHeight="1">
      <c r="A8" s="4" t="n">
        <v>4</v>
      </c>
      <c r="B8" s="5" t="inlineStr">
        <is>
          <t>分析資料・推計資料・図表・集計表 電子データ</t>
        </is>
      </c>
      <c r="C8" s="5" t="inlineStr">
        <is>
          <t>保険料試算ワークブック.xlsx（11シート・129数式）
長期推計レポート／県内比較分析／精査レポート
実績データ確認サマリー（6シート）
図表12点（本文6点・長期推計6点）</t>
        </is>
      </c>
      <c r="D8" s="5" t="inlineStr">
        <is>
          <t>Excel（計算式・元数値を保持）
PNG及びPDF</t>
        </is>
      </c>
      <c r="E8" s="9" t="inlineStr">
        <is>
          <t>実施中</t>
        </is>
      </c>
      <c r="F8" s="17" t="n">
        <v>0.7</v>
      </c>
      <c r="G8" s="4" t="inlineStr">
        <is>
          <t>R9.3</t>
        </is>
      </c>
      <c r="H8" s="5" t="inlineStr">
        <is>
          <t>保険料試算ワークブックは黄色セル5項目が町確認待ちであり、確定値の入力により基準額が確定する。アンケート集計結果は回収後に追加する。</t>
        </is>
      </c>
      <c r="I8" s="4" t="inlineStr">
        <is>
          <t>1, 2, 3, 4, 5, 9</t>
        </is>
      </c>
    </row>
    <row r="9" ht="80" customHeight="1">
      <c r="A9" s="4" t="n">
        <v>5</v>
      </c>
      <c r="B9" s="5" t="inlineStr">
        <is>
          <t>委員会資料・打合せ資料 一式</t>
        </is>
      </c>
      <c r="C9" s="5" t="inlineStr">
        <is>
          <t>キックオフ議事録_正式版
第1回策定委員会資料（12頁）
第1回介護保険運営委員会_想定問答集（31問）
第2回介護保険運営委員会_説明資料（4頁）</t>
        </is>
      </c>
      <c r="D9" s="5" t="inlineStr">
        <is>
          <t>Word及びPDF</t>
        </is>
      </c>
      <c r="E9" s="9" t="inlineStr">
        <is>
          <t>実施中</t>
        </is>
      </c>
      <c r="F9" s="17" t="n">
        <v>0.5</v>
      </c>
      <c r="G9" s="4" t="inlineStr">
        <is>
          <t>R9.3</t>
        </is>
      </c>
      <c r="H9" s="5" t="inlineStr">
        <is>
          <t>第1回・第2回の資料は作成済み。第2回の想定問答集は未作成。第3回・第4回の資料は保険料の確定後に作成する。開催日程が未確定。</t>
        </is>
      </c>
      <c r="I9" s="4" t="inlineStr">
        <is>
          <t>11, 12</t>
        </is>
      </c>
    </row>
    <row r="10" ht="80" customHeight="1">
      <c r="A10" s="4" t="n">
        <v>6</v>
      </c>
      <c r="B10" s="5" t="inlineStr">
        <is>
          <t>町担当課向け資料 一式</t>
        </is>
      </c>
      <c r="C10" s="5" t="inlineStr">
        <is>
          <t>町担当課ご記入依頼パッケージ（5頁）
町担当課ご説明資料（14頁）
第9期実績一覧_町記入用（7シート）
必要資料_入力フォーマット（13シート）</t>
        </is>
      </c>
      <c r="D10" s="5" t="inlineStr">
        <is>
          <t>Word及びExcel</t>
        </is>
      </c>
      <c r="E10" s="9" t="inlineStr">
        <is>
          <t>実施中</t>
        </is>
      </c>
      <c r="F10" s="17" t="n">
        <v>0.85</v>
      </c>
      <c r="G10" s="4" t="inlineStr">
        <is>
          <t>R8.6</t>
        </is>
      </c>
      <c r="H10" s="5" t="inlineStr">
        <is>
          <t>令和8年6月下旬の発送予定。委員会名称の統一とPDFの再生成が発送の前提。</t>
        </is>
      </c>
      <c r="I10" s="4" t="inlineStr">
        <is>
          <t>7, 10</t>
        </is>
      </c>
    </row>
    <row r="11" ht="80" customHeight="1">
      <c r="A11" s="4" t="n">
        <v>7</v>
      </c>
      <c r="B11" s="5" t="inlineStr">
        <is>
          <t>パブリックコメント関係資料</t>
        </is>
      </c>
      <c r="C11" s="5" t="inlineStr">
        <is>
          <t>未着手</t>
        </is>
      </c>
      <c r="D11" s="5" t="inlineStr">
        <is>
          <t>Word及びPDF</t>
        </is>
      </c>
      <c r="E11" s="13" t="inlineStr">
        <is>
          <t>未着手</t>
        </is>
      </c>
      <c r="F11" s="17" t="n">
        <v>0</v>
      </c>
      <c r="G11" s="4" t="inlineStr">
        <is>
          <t>R9.2</t>
        </is>
      </c>
      <c r="H11" s="5" t="inlineStr">
        <is>
          <t>実施期間・方法の確定後に作成する。</t>
        </is>
      </c>
      <c r="I11" s="4" t="inlineStr">
        <is>
          <t>13</t>
        </is>
      </c>
    </row>
    <row r="12" ht="80" customHeight="1">
      <c r="A12" s="4" t="n">
        <v>8</v>
      </c>
      <c r="B12" s="5" t="inlineStr">
        <is>
          <t>介護保険条例改正案</t>
        </is>
      </c>
      <c r="C12" s="5" t="inlineStr">
        <is>
          <t>未着手</t>
        </is>
      </c>
      <c r="D12" s="5" t="inlineStr">
        <is>
          <t>Word</t>
        </is>
      </c>
      <c r="E12" s="13" t="inlineStr">
        <is>
          <t>未着手</t>
        </is>
      </c>
      <c r="F12" s="17" t="n">
        <v>0</v>
      </c>
      <c r="G12" s="4" t="inlineStr">
        <is>
          <t>R9.3</t>
        </is>
      </c>
      <c r="H12" s="5" t="inlineStr">
        <is>
          <t>保険料基準額及び所得段階の乗率の決定後に作成する。政令改正の内容による。</t>
        </is>
      </c>
      <c r="I12" s="4" t="inlineStr">
        <is>
          <t>14</t>
        </is>
      </c>
    </row>
    <row r="13" ht="80" customHeight="1">
      <c r="A13" s="4" t="n">
        <v>9</v>
      </c>
      <c r="B13" s="5" t="inlineStr">
        <is>
          <t>計画最終案</t>
        </is>
      </c>
      <c r="C13" s="5" t="inlineStr">
        <is>
          <t>未着手</t>
        </is>
      </c>
      <c r="D13" s="5" t="inlineStr">
        <is>
          <t>Word及びPDF</t>
        </is>
      </c>
      <c r="E13" s="13" t="inlineStr">
        <is>
          <t>未着手</t>
        </is>
      </c>
      <c r="F13" s="17" t="n">
        <v>0</v>
      </c>
      <c r="G13" s="4" t="inlineStr">
        <is>
          <t>R9.2</t>
        </is>
      </c>
      <c r="H13" s="5" t="inlineStr">
        <is>
          <t>第4回委員会の答申及びパブリックコメントの意見反映後に作成する。</t>
        </is>
      </c>
      <c r="I13" s="4" t="inlineStr">
        <is>
          <t>11, 13</t>
        </is>
      </c>
    </row>
    <row r="15">
      <c r="A15" s="21" t="inlineStr">
        <is>
          <t>区分</t>
        </is>
      </c>
      <c r="B15" s="21" t="inlineStr">
        <is>
          <t>件数</t>
        </is>
      </c>
    </row>
    <row r="16">
      <c r="A16" s="7" t="inlineStr">
        <is>
          <t>完了</t>
        </is>
      </c>
      <c r="B16" s="4">
        <f>COUNTIF(E5:E13,"完了")</f>
        <v/>
      </c>
    </row>
    <row r="17">
      <c r="A17" s="9" t="inlineStr">
        <is>
          <t>実施中</t>
        </is>
      </c>
      <c r="B17" s="4">
        <f>COUNTIF(E5:E13,"実施中")</f>
        <v/>
      </c>
    </row>
    <row r="18">
      <c r="A18" s="11" t="inlineStr">
        <is>
          <t>確認待ち</t>
        </is>
      </c>
      <c r="B18" s="4">
        <f>COUNTIF(E5:E13,"確認待ち")</f>
        <v/>
      </c>
    </row>
    <row r="19">
      <c r="A19" s="13" t="inlineStr">
        <is>
          <t>未着手</t>
        </is>
      </c>
      <c r="B19" s="4">
        <f>COUNTIF(E5:E13,"未着手")</f>
        <v/>
      </c>
    </row>
    <row r="20">
      <c r="A20" s="15" t="inlineStr">
        <is>
          <t>対象外</t>
        </is>
      </c>
      <c r="B20" s="4">
        <f>COUNTIF(E5:E13,"対象外")</f>
        <v/>
      </c>
    </row>
    <row r="22" ht="26" customHeight="1">
      <c r="A22" s="20" t="inlineStr">
        <is>
          <t>注1）納品部数・判型その他の印刷仕様は確認事項No.15により確認する。</t>
        </is>
      </c>
    </row>
    <row r="23" ht="26" customHeight="1">
      <c r="A23" s="20" t="inlineStr">
        <is>
          <t>注2）保険料試算ワークブックは、openpyxlによる編集後にrecalcを単独で実行し、数式エラーが零であることを確認して提出する。</t>
        </is>
      </c>
    </row>
  </sheetData>
  <mergeCells count="4">
    <mergeCell ref="A1:I1"/>
    <mergeCell ref="A23:I23"/>
    <mergeCell ref="A2:I2"/>
    <mergeCell ref="A22:I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10" customWidth="1" min="4" max="4"/>
    <col width="10" customWidth="1" min="5" max="5"/>
    <col width="10" customWidth="1" min="6" max="6"/>
    <col width="10" customWidth="1" min="7" max="7"/>
    <col width="13" customWidth="1" min="8" max="8"/>
    <col width="12" customWidth="1" min="9" max="9"/>
    <col width="34" customWidth="1" min="10" max="10"/>
    <col width="11" customWidth="1" min="11" max="11"/>
  </cols>
  <sheetData>
    <row r="1" ht="26" customHeight="1">
      <c r="A1" s="1" t="inlineStr">
        <is>
          <t>実態調査の実施・集計の状況</t>
        </is>
      </c>
    </row>
    <row r="2" ht="52" customHeight="1">
      <c r="A2" s="2" t="inlineStr">
        <is>
          <t>実態調査3件について、調査設計から計画への反映までの到達状況を管理する。いずれも令和8年6月下旬発送・7月末回収を予定しており、集計以降の工程は回収状況による。</t>
        </is>
      </c>
    </row>
    <row r="4" ht="32" customHeight="1">
      <c r="A4" s="3" t="inlineStr">
        <is>
          <t>No.</t>
        </is>
      </c>
      <c r="B4" s="3" t="inlineStr">
        <is>
          <t>対象調査</t>
        </is>
      </c>
      <c r="C4" s="3" t="inlineStr">
        <is>
          <t>計画での用途</t>
        </is>
      </c>
      <c r="D4" s="3" t="inlineStr">
        <is>
          <t>①調査設計</t>
        </is>
      </c>
      <c r="E4" s="3" t="inlineStr">
        <is>
          <t>②発送</t>
        </is>
      </c>
      <c r="F4" s="3" t="inlineStr">
        <is>
          <t>③回収</t>
        </is>
      </c>
      <c r="G4" s="3" t="inlineStr">
        <is>
          <t>④単純集計</t>
        </is>
      </c>
      <c r="H4" s="3" t="inlineStr">
        <is>
          <t>⑤クロス集計・分析</t>
        </is>
      </c>
      <c r="I4" s="3" t="inlineStr">
        <is>
          <t>⑥計画への反映</t>
        </is>
      </c>
      <c r="J4" s="3" t="inlineStr">
        <is>
          <t>現時点の状況</t>
        </is>
      </c>
      <c r="K4" s="3" t="inlineStr">
        <is>
          <t>確認事項No.</t>
        </is>
      </c>
    </row>
    <row r="5" ht="92" customHeight="1">
      <c r="A5" s="4" t="n">
        <v>1</v>
      </c>
      <c r="B5" s="5" t="inlineStr">
        <is>
          <t>①介護予防・日常生活圏域ニーズ調査
（一般高齢者）</t>
        </is>
      </c>
      <c r="C5" s="5" t="inlineStr">
        <is>
          <t>高齢者の生活実態、社会参加、外出・移動手段、認知症の理解、緊急時連絡体制等の把握。素案 第2章、第5章の施策設定及びKPIの基準値に用いる。</t>
        </is>
      </c>
      <c r="D5" s="7" t="inlineStr">
        <is>
          <t>完了</t>
        </is>
      </c>
      <c r="E5" s="13" t="inlineStr">
        <is>
          <t>未着手</t>
        </is>
      </c>
      <c r="F5" s="13" t="inlineStr">
        <is>
          <t>未着手</t>
        </is>
      </c>
      <c r="G5" s="13" t="inlineStr">
        <is>
          <t>未着手</t>
        </is>
      </c>
      <c r="H5" s="13" t="inlineStr">
        <is>
          <t>未着手</t>
        </is>
      </c>
      <c r="I5" s="13" t="inlineStr">
        <is>
          <t>未着手</t>
        </is>
      </c>
      <c r="J5" s="5" t="inlineStr">
        <is>
          <t>発送数1,000名。F3で必須5問を含む追加設問を設計済み。令和8年6月下旬発送・7月末回収の予定。集計は単純集計19問及びクロス集計5本を予定。</t>
        </is>
      </c>
      <c r="K5" s="4" t="inlineStr">
        <is>
          <t>7, 11</t>
        </is>
      </c>
    </row>
    <row r="6" ht="92" customHeight="1">
      <c r="A6" s="4" t="n">
        <v>2</v>
      </c>
      <c r="B6" s="5" t="inlineStr">
        <is>
          <t>②在宅介護実態調査
（要介護認定者）</t>
        </is>
      </c>
      <c r="C6" s="5" t="inlineStr">
        <is>
          <t>在宅生活の継続を困難にしている要因、家族介護者の就労継続、サービス利用の実態の把握。素案 第5章5-3（在宅生活支援）、第7章の見込量に用いる。</t>
        </is>
      </c>
      <c r="D6" s="7" t="inlineStr">
        <is>
          <t>完了</t>
        </is>
      </c>
      <c r="E6" s="13" t="inlineStr">
        <is>
          <t>未着手</t>
        </is>
      </c>
      <c r="F6" s="13" t="inlineStr">
        <is>
          <t>未着手</t>
        </is>
      </c>
      <c r="G6" s="13" t="inlineStr">
        <is>
          <t>未着手</t>
        </is>
      </c>
      <c r="H6" s="13" t="inlineStr">
        <is>
          <t>未着手</t>
        </is>
      </c>
      <c r="I6" s="13" t="inlineStr">
        <is>
          <t>未着手</t>
        </is>
      </c>
      <c r="J6" s="5" t="inlineStr">
        <is>
          <t>発送数300名。令和8年6月下旬発送・7月末回収の予定。集計は単純集計16問を予定。</t>
        </is>
      </c>
      <c r="K6" s="4" t="inlineStr">
        <is>
          <t>7</t>
        </is>
      </c>
    </row>
    <row r="7" ht="92" customHeight="1">
      <c r="A7" s="4" t="n">
        <v>3</v>
      </c>
      <c r="B7" s="5" t="inlineStr">
        <is>
          <t>③認知症の本人・家族の意見聴取</t>
        </is>
      </c>
      <c r="C7" s="5" t="inlineStr">
        <is>
          <t>認知症の本人及び家族の意見の把握。認知症基本法に基づく本人意見聴取の制度化に対応する。素案 第6章（認知症施策推進計画）に用いる。</t>
        </is>
      </c>
      <c r="D7" s="9" t="inlineStr">
        <is>
          <t>実施中</t>
        </is>
      </c>
      <c r="E7" s="13" t="inlineStr">
        <is>
          <t>未着手</t>
        </is>
      </c>
      <c r="F7" s="13" t="inlineStr">
        <is>
          <t>未着手</t>
        </is>
      </c>
      <c r="G7" s="13" t="inlineStr">
        <is>
          <t>未着手</t>
        </is>
      </c>
      <c r="H7" s="13" t="inlineStr">
        <is>
          <t>未着手</t>
        </is>
      </c>
      <c r="I7" s="13" t="inlineStr">
        <is>
          <t>未着手</t>
        </is>
      </c>
      <c r="J7" s="5" t="inlineStr">
        <is>
          <t>地域包括支援センター及び国保川崎病院を経由して実施する。本人ミーティングの新設は本町初の取組であり、実施方法・対象者の選定方法が未確定。</t>
        </is>
      </c>
      <c r="K7" s="4" t="inlineStr">
        <is>
          <t>7</t>
        </is>
      </c>
    </row>
    <row r="9" ht="22" customHeight="1">
      <c r="A9" s="6" t="inlineStr">
        <is>
          <t>段階</t>
        </is>
      </c>
      <c r="B9" s="6" t="inlineStr">
        <is>
          <t>作業の内容</t>
        </is>
      </c>
    </row>
    <row r="10" ht="22" customHeight="1">
      <c r="A10" s="4" t="inlineStr">
        <is>
          <t>①調査設計</t>
        </is>
      </c>
      <c r="B10" s="5" t="inlineStr">
        <is>
          <t>調査票の設計、追加設問の作成、サンプリング方法及び標本数の決定</t>
        </is>
      </c>
    </row>
    <row r="11" ht="22" customHeight="1">
      <c r="A11" s="4" t="inlineStr">
        <is>
          <t>②発送</t>
        </is>
      </c>
      <c r="B11" s="5" t="inlineStr">
        <is>
          <t>対象者リストの抽出、調査票の印刷・封入、発送</t>
        </is>
      </c>
    </row>
    <row r="12" ht="22" customHeight="1">
      <c r="A12" s="4" t="inlineStr">
        <is>
          <t>③回収</t>
        </is>
      </c>
      <c r="B12" s="5" t="inlineStr">
        <is>
          <t>回収の管理、督促の実施、回収率の把握</t>
        </is>
      </c>
    </row>
    <row r="13" ht="22" customHeight="1">
      <c r="A13" s="4" t="inlineStr">
        <is>
          <t>④単純集計</t>
        </is>
      </c>
      <c r="B13" s="5" t="inlineStr">
        <is>
          <t>各設問の単純集計（度数・構成比）の作成</t>
        </is>
      </c>
    </row>
    <row r="14" ht="22" customHeight="1">
      <c r="A14" s="4" t="inlineStr">
        <is>
          <t>⑤クロス集計・分析</t>
        </is>
      </c>
      <c r="B14" s="5" t="inlineStr">
        <is>
          <t>属性別・地区別・要介護度別のクロス集計及び自由記述の分類・分析</t>
        </is>
      </c>
    </row>
    <row r="15" ht="22" customHeight="1">
      <c r="A15" s="4" t="inlineStr">
        <is>
          <t>⑥計画への反映</t>
        </is>
      </c>
      <c r="B15" s="5" t="inlineStr">
        <is>
          <t>素案の該当章への反映、KPIの基準値の設定（32項目反映ガイドによる）</t>
        </is>
      </c>
    </row>
    <row r="17" ht="26" customHeight="1">
      <c r="A17" s="20" t="inlineStr">
        <is>
          <t>注1）①②は町担当課が発送し、③の回収及び督促も町担当課が行う。④以降は受託者が実施する。</t>
        </is>
      </c>
    </row>
    <row r="18" ht="26" customHeight="1">
      <c r="A18" s="20" t="inlineStr">
        <is>
          <t>注2）③認知症の本人・家族の意見聴取は、認知症基本法に基づく本人意見聴取の制度化に対応するものであり、本町初の取組として本人ミーティングを新設する。</t>
        </is>
      </c>
    </row>
  </sheetData>
  <mergeCells count="10">
    <mergeCell ref="B10:D10"/>
    <mergeCell ref="B11:D11"/>
    <mergeCell ref="A18:K18"/>
    <mergeCell ref="B14:D14"/>
    <mergeCell ref="B15:D15"/>
    <mergeCell ref="A2:K2"/>
    <mergeCell ref="B13:D13"/>
    <mergeCell ref="B12:D12"/>
    <mergeCell ref="A1:K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資料提供依頼一覧（16件）</t>
        </is>
      </c>
    </row>
    <row r="2" ht="52" customHeight="1">
      <c r="A2" s="2" t="inlineStr">
        <is>
          <t>成果物の記述を確定するために提供を要する資料を一覧化する。領域は A人口・世帯／B給付実績／C保険料・財政／D事業所・施設／E比較データ／F第9期評価／G委員会運営／H制度改正／I参考 の別による。</t>
        </is>
      </c>
    </row>
    <row r="4" ht="32" customHeight="1">
      <c r="A4" s="3" t="inlineStr">
        <is>
          <t>No.</t>
        </is>
      </c>
      <c r="B4" s="3" t="inlineStr">
        <is>
          <t>領域</t>
        </is>
      </c>
      <c r="C4" s="3" t="inlineStr">
        <is>
          <t>資料</t>
        </is>
      </c>
      <c r="D4" s="3" t="inlineStr">
        <is>
          <t>内容</t>
        </is>
      </c>
      <c r="E4" s="3" t="inlineStr">
        <is>
          <t>確定する事項</t>
        </is>
      </c>
      <c r="F4" s="3" t="inlineStr">
        <is>
          <t>入手先</t>
        </is>
      </c>
      <c r="G4" s="3" t="inlineStr">
        <is>
          <t>希望時期</t>
        </is>
      </c>
      <c r="H4" s="3" t="inlineStr">
        <is>
          <t>優先度</t>
        </is>
      </c>
      <c r="I4" s="3" t="inlineStr">
        <is>
          <t>状態</t>
        </is>
      </c>
      <c r="J4" s="3" t="inlineStr">
        <is>
          <t>備考</t>
        </is>
      </c>
    </row>
    <row r="5" ht="72" customHeight="1">
      <c r="A5" s="4" t="n">
        <v>1</v>
      </c>
      <c r="B5" s="4" t="inlineStr">
        <is>
          <t>C</t>
        </is>
      </c>
      <c r="C5" s="5" t="inlineStr">
        <is>
          <t>介護給付費準備基金の積立・取崩実績及び残高</t>
        </is>
      </c>
      <c r="D5" s="5" t="inlineStr">
        <is>
          <t>第7期から第9期までの各年度の積立額・取崩額・年度末残高。令和8年6月時点及び令和8年度末の残高見込を含む。</t>
        </is>
      </c>
      <c r="E5" s="5" t="inlineStr">
        <is>
          <t>第10期開始時点の基金残高、3パターンの取崩額</t>
        </is>
      </c>
      <c r="F5" s="4" t="inlineStr">
        <is>
          <t>発注者</t>
        </is>
      </c>
      <c r="G5" s="4" t="inlineStr">
        <is>
          <t>R8.6</t>
        </is>
      </c>
      <c r="H5" s="4" t="inlineStr">
        <is>
          <t>最高</t>
        </is>
      </c>
      <c r="I5" s="11" t="inlineStr">
        <is>
          <t>確認待ち</t>
        </is>
      </c>
      <c r="J5" s="5" t="inlineStr">
        <is>
          <t>確認事項No.1と対応。受領しない限り保険料基準額が確定しない。</t>
        </is>
      </c>
    </row>
    <row r="6" ht="72" customHeight="1">
      <c r="A6" s="4" t="n">
        <v>2</v>
      </c>
      <c r="B6" s="4" t="inlineStr">
        <is>
          <t>C</t>
        </is>
      </c>
      <c r="C6" s="5" t="inlineStr">
        <is>
          <t>所得段階別の第1号被保険者数</t>
        </is>
      </c>
      <c r="D6" s="5" t="inlineStr">
        <is>
          <t>令和7年度末又は令和8年度当初の所得段階別被保険者数（現行13段階の別）。</t>
        </is>
      </c>
      <c r="E6" s="5" t="inlineStr">
        <is>
          <t>補正係数（現在0.97を仮置き）、13段階の乗率調整</t>
        </is>
      </c>
      <c r="F6" s="4" t="inlineStr">
        <is>
          <t>発注者</t>
        </is>
      </c>
      <c r="G6" s="4" t="inlineStr">
        <is>
          <t>R8.7</t>
        </is>
      </c>
      <c r="H6" s="4" t="inlineStr">
        <is>
          <t>最高</t>
        </is>
      </c>
      <c r="I6" s="11" t="inlineStr">
        <is>
          <t>確認待ち</t>
        </is>
      </c>
      <c r="J6" s="5" t="inlineStr">
        <is>
          <t>確認事項No.2と対応。基準額に比例して影響する。</t>
        </is>
      </c>
    </row>
    <row r="7" ht="72" customHeight="1">
      <c r="A7" s="4" t="n">
        <v>3</v>
      </c>
      <c r="B7" s="4" t="inlineStr">
        <is>
          <t>C</t>
        </is>
      </c>
      <c r="C7" s="5" t="inlineStr">
        <is>
          <t>保険料収納率の実績（令和4〜7年度）</t>
        </is>
      </c>
      <c r="D7" s="5" t="inlineStr">
        <is>
          <t>総合収納率・現年度分収納率の別。特別徴収・普通徴収の内訳を含む。</t>
        </is>
      </c>
      <c r="E7" s="5" t="inlineStr">
        <is>
          <t>予定収納率（現在96%を仮置き）</t>
        </is>
      </c>
      <c r="F7" s="4" t="inlineStr">
        <is>
          <t>発注者</t>
        </is>
      </c>
      <c r="G7" s="4" t="inlineStr">
        <is>
          <t>R8.7</t>
        </is>
      </c>
      <c r="H7" s="4" t="inlineStr">
        <is>
          <t>高</t>
        </is>
      </c>
      <c r="I7" s="11" t="inlineStr">
        <is>
          <t>確認待ち</t>
        </is>
      </c>
      <c r="J7" s="5" t="inlineStr">
        <is>
          <t>確認事項No.4と対応。収納率1%の変動で基準額は約1%変動する。</t>
        </is>
      </c>
    </row>
    <row r="8" ht="72" customHeight="1">
      <c r="A8" s="4" t="n">
        <v>4</v>
      </c>
      <c r="B8" s="4" t="inlineStr">
        <is>
          <t>C</t>
        </is>
      </c>
      <c r="C8" s="5" t="inlineStr">
        <is>
          <t>調整交付金及び保険者機能強化推進交付金の交付実績</t>
        </is>
      </c>
      <c r="D8" s="5" t="inlineStr">
        <is>
          <t>令和4〜7年度の介護保険事業状況報告による交付実績。調整交付金の交付割合を含む。</t>
        </is>
      </c>
      <c r="E8" s="5" t="inlineStr">
        <is>
          <t>調整交付金見込率（現在3.9%を仮置き）、機能強化交付金の見込額</t>
        </is>
      </c>
      <c r="F8" s="4" t="inlineStr">
        <is>
          <t>発注者</t>
        </is>
      </c>
      <c r="G8" s="4" t="inlineStr">
        <is>
          <t>R8.7</t>
        </is>
      </c>
      <c r="H8" s="4" t="inlineStr">
        <is>
          <t>高</t>
        </is>
      </c>
      <c r="I8" s="11" t="inlineStr">
        <is>
          <t>確認待ち</t>
        </is>
      </c>
      <c r="J8" s="5" t="inlineStr">
        <is>
          <t>確認事項No.3・5と対応。標準5%との差の要因を確認する。</t>
        </is>
      </c>
    </row>
    <row r="9" ht="72" customHeight="1">
      <c r="A9" s="4" t="n">
        <v>5</v>
      </c>
      <c r="B9" s="4" t="inlineStr">
        <is>
          <t>C</t>
        </is>
      </c>
      <c r="C9" s="5" t="inlineStr">
        <is>
          <t>第9期保険料算定のワークシート</t>
        </is>
      </c>
      <c r="D9" s="5" t="inlineStr">
        <is>
          <t>第9期計画の保険料算出表の基となる算定ワークシート。取崩なし収納必要額から取崩後収納必要額への14,000千円の差の内訳を確認する。</t>
        </is>
      </c>
      <c r="E9" s="5" t="inlineStr">
        <is>
          <t>第9期基準額の再現精度、第10期算定の前提</t>
        </is>
      </c>
      <c r="F9" s="4" t="inlineStr">
        <is>
          <t>発注者</t>
        </is>
      </c>
      <c r="G9" s="4" t="inlineStr">
        <is>
          <t>R8.8</t>
        </is>
      </c>
      <c r="H9" s="4" t="inlineStr">
        <is>
          <t>高</t>
        </is>
      </c>
      <c r="I9" s="11" t="inlineStr">
        <is>
          <t>確認待ち</t>
        </is>
      </c>
      <c r="J9" s="5" t="inlineStr">
        <is>
          <t>確認事項No.6と対応。基準額の±2%要因。</t>
        </is>
      </c>
    </row>
    <row r="10" ht="72" customHeight="1">
      <c r="A10" s="4" t="n">
        <v>6</v>
      </c>
      <c r="B10" s="4" t="inlineStr">
        <is>
          <t>B</t>
        </is>
      </c>
      <c r="C10" s="5" t="inlineStr">
        <is>
          <t>サービス種類別・年度別の給付実績</t>
        </is>
      </c>
      <c r="D10" s="5" t="inlineStr">
        <is>
          <t>国民健康保険団体連合会の給付実績情報（令和4〜7年度）。居宅・地域密着型・施設の別及び住所地特例（24人）・町外施設利用分の内訳を含む。</t>
        </is>
      </c>
      <c r="E10" s="5" t="inlineStr">
        <is>
          <t>標準給付費の算定、サービス見込量</t>
        </is>
      </c>
      <c r="F10" s="4" t="inlineStr">
        <is>
          <t>発注者・国保連</t>
        </is>
      </c>
      <c r="G10" s="4" t="inlineStr">
        <is>
          <t>R8.9</t>
        </is>
      </c>
      <c r="H10" s="4" t="inlineStr">
        <is>
          <t>高</t>
        </is>
      </c>
      <c r="I10" s="11" t="inlineStr">
        <is>
          <t>確認待ち</t>
        </is>
      </c>
      <c r="J10" s="5" t="inlineStr">
        <is>
          <t>確認事項No.9と対応。第7章の見込量算定に直結する。</t>
        </is>
      </c>
    </row>
    <row r="11" ht="72" customHeight="1">
      <c r="A11" s="4" t="n">
        <v>7</v>
      </c>
      <c r="B11" s="4" t="inlineStr">
        <is>
          <t>F</t>
        </is>
      </c>
      <c r="C11" s="5" t="inlineStr">
        <is>
          <t>第9期の施策・事業実績（35事業）</t>
        </is>
      </c>
      <c r="D11" s="5" t="inlineStr">
        <is>
          <t>第9期計画（令和6〜8年度）の各事業の実績、事業量、対象実人数、決算額。第9期実績一覧_町記入用（7シート）への記入により提供いただく。</t>
        </is>
      </c>
      <c r="E11" s="5" t="inlineStr">
        <is>
          <t>第9期計画の評価・検証の完成</t>
        </is>
      </c>
      <c r="F11" s="4" t="inlineStr">
        <is>
          <t>発注者</t>
        </is>
      </c>
      <c r="G11" s="4" t="inlineStr">
        <is>
          <t>R8.7</t>
        </is>
      </c>
      <c r="H11" s="4" t="inlineStr">
        <is>
          <t>高</t>
        </is>
      </c>
      <c r="I11" s="11" t="inlineStr">
        <is>
          <t>確認待ち</t>
        </is>
      </c>
      <c r="J11" s="5" t="inlineStr">
        <is>
          <t>確認事項No.7と対応。仕様上、第9期の評価が完了しない。</t>
        </is>
      </c>
    </row>
    <row r="12" ht="72" customHeight="1">
      <c r="A12" s="4" t="n">
        <v>8</v>
      </c>
      <c r="B12" s="4" t="inlineStr">
        <is>
          <t>F</t>
        </is>
      </c>
      <c r="C12" s="5" t="inlineStr">
        <is>
          <t>第9期の評価指標（KPI）の実績値</t>
        </is>
      </c>
      <c r="D12" s="5" t="inlineStr">
        <is>
          <t>第9期計画で設定された評価指標の令和6・7年度実績。</t>
        </is>
      </c>
      <c r="E12" s="5" t="inlineStr">
        <is>
          <t>第3章3-3の評価、第10期KPIの基準値</t>
        </is>
      </c>
      <c r="F12" s="4" t="inlineStr">
        <is>
          <t>発注者</t>
        </is>
      </c>
      <c r="G12" s="4" t="inlineStr">
        <is>
          <t>R8.8</t>
        </is>
      </c>
      <c r="H12" s="4" t="inlineStr">
        <is>
          <t>高</t>
        </is>
      </c>
      <c r="I12" s="11" t="inlineStr">
        <is>
          <t>確認待ち</t>
        </is>
      </c>
      <c r="J12" s="5" t="inlineStr">
        <is>
          <t>確認事項No.8と対応。第1回委員会で報告する。</t>
        </is>
      </c>
    </row>
    <row r="13" ht="72" customHeight="1">
      <c r="A13" s="4" t="n">
        <v>9</v>
      </c>
      <c r="B13" s="4" t="inlineStr">
        <is>
          <t>A</t>
        </is>
      </c>
      <c r="C13" s="5" t="inlineStr">
        <is>
          <t>住民基本台帳による年齢階級別人口</t>
        </is>
      </c>
      <c r="D13" s="5" t="inlineStr">
        <is>
          <t>令和4〜8年度の各年度末の年齢階級別人口。日常生活圏域別の内訳を含む。</t>
        </is>
      </c>
      <c r="E13" s="5" t="inlineStr">
        <is>
          <t>人口推計の基礎、高齢化率の推移</t>
        </is>
      </c>
      <c r="F13" s="4" t="inlineStr">
        <is>
          <t>発注者</t>
        </is>
      </c>
      <c r="G13" s="4" t="inlineStr">
        <is>
          <t>R8.8</t>
        </is>
      </c>
      <c r="H13" s="4" t="inlineStr">
        <is>
          <t>中</t>
        </is>
      </c>
      <c r="I13" s="11" t="inlineStr">
        <is>
          <t>確認待ち</t>
        </is>
      </c>
      <c r="J13" s="5" t="inlineStr">
        <is>
          <t>実績データ確認サマリーの数値の更新に用いる。</t>
        </is>
      </c>
    </row>
    <row r="14" ht="72" customHeight="1">
      <c r="A14" s="4" t="n">
        <v>10</v>
      </c>
      <c r="B14" s="4" t="inlineStr">
        <is>
          <t>D</t>
        </is>
      </c>
      <c r="C14" s="5" t="inlineStr">
        <is>
          <t>事業所・施設の定員及び稼働の実績</t>
        </is>
      </c>
      <c r="D14" s="5" t="inlineStr">
        <is>
          <t>区域内の事業所・施設の定員、利用者数、稼働率。施設の地域偏在（役場周辺への集中）の実態を含む。</t>
        </is>
      </c>
      <c r="E14" s="5" t="inlineStr">
        <is>
          <t>サービス見込量、第5章5-4の課題整理</t>
        </is>
      </c>
      <c r="F14" s="4" t="inlineStr">
        <is>
          <t>発注者</t>
        </is>
      </c>
      <c r="G14" s="4" t="inlineStr">
        <is>
          <t>R8.9</t>
        </is>
      </c>
      <c r="H14" s="4" t="inlineStr">
        <is>
          <t>中</t>
        </is>
      </c>
      <c r="I14" s="11" t="inlineStr">
        <is>
          <t>確認待ち</t>
        </is>
      </c>
      <c r="J14" s="5" t="inlineStr">
        <is>
          <t>論点L3（施設の地域偏在）と対応する。</t>
        </is>
      </c>
    </row>
    <row r="15" ht="72" customHeight="1">
      <c r="A15" s="4" t="n">
        <v>11</v>
      </c>
      <c r="B15" s="4" t="inlineStr">
        <is>
          <t>G</t>
        </is>
      </c>
      <c r="C15" s="5" t="inlineStr">
        <is>
          <t>介護保険条例及び委員会規則</t>
        </is>
      </c>
      <c r="D15" s="5" t="inlineStr">
        <is>
          <t>現行の介護保険条例（第17条の委員会設置規定を含む）及び介護保険運営委員会規則。</t>
        </is>
      </c>
      <c r="E15" s="5" t="inlineStr">
        <is>
          <t>資料編 資料1・資料2、委員会名称の正式表記</t>
        </is>
      </c>
      <c r="F15" s="4" t="inlineStr">
        <is>
          <t>発注者</t>
        </is>
      </c>
      <c r="G15" s="4" t="inlineStr">
        <is>
          <t>R8.7</t>
        </is>
      </c>
      <c r="H15" s="4" t="inlineStr">
        <is>
          <t>中</t>
        </is>
      </c>
      <c r="I15" s="11" t="inlineStr">
        <is>
          <t>確認待ち</t>
        </is>
      </c>
      <c r="J15" s="5" t="inlineStr">
        <is>
          <t>資料編の作成に必要。名称の正式表記は第9期計画により確認済み。</t>
        </is>
      </c>
    </row>
    <row r="16" ht="72" customHeight="1">
      <c r="A16" s="4" t="n">
        <v>12</v>
      </c>
      <c r="B16" s="4" t="inlineStr">
        <is>
          <t>G</t>
        </is>
      </c>
      <c r="C16" s="5" t="inlineStr">
        <is>
          <t>委員名簿</t>
        </is>
      </c>
      <c r="D16" s="5" t="inlineStr">
        <is>
          <t>介護保険条例第17条に基づく委員（8人以内・3区分）の名簿。委嘱の状況を含む。</t>
        </is>
      </c>
      <c r="E16" s="5" t="inlineStr">
        <is>
          <t>資料編 資料3、第1回委員会の開催準備</t>
        </is>
      </c>
      <c r="F16" s="4" t="inlineStr">
        <is>
          <t>発注者</t>
        </is>
      </c>
      <c r="G16" s="4" t="inlineStr">
        <is>
          <t>R8.7</t>
        </is>
      </c>
      <c r="H16" s="4" t="inlineStr">
        <is>
          <t>中</t>
        </is>
      </c>
      <c r="I16" s="11" t="inlineStr">
        <is>
          <t>確認待ち</t>
        </is>
      </c>
      <c r="J16" s="5" t="inlineStr">
        <is>
          <t>確認事項No.12と対応。</t>
        </is>
      </c>
    </row>
    <row r="17" ht="72" customHeight="1">
      <c r="A17" s="4" t="n">
        <v>13</v>
      </c>
      <c r="B17" s="4" t="inlineStr">
        <is>
          <t>E</t>
        </is>
      </c>
      <c r="C17" s="5" t="inlineStr">
        <is>
          <t>見える化システムの比較値</t>
        </is>
      </c>
      <c r="D17" s="5" t="inlineStr">
        <is>
          <t>仙南圏域・宮城県平均・全国平均の保険料、認定率、給付費の各指標。</t>
        </is>
      </c>
      <c r="E17" s="5" t="inlineStr">
        <is>
          <t>第7章7-3の比較分析</t>
        </is>
      </c>
      <c r="F17" s="4" t="inlineStr">
        <is>
          <t>見える化システム</t>
        </is>
      </c>
      <c r="G17" s="4" t="inlineStr">
        <is>
          <t>R8.9</t>
        </is>
      </c>
      <c r="H17" s="4" t="inlineStr">
        <is>
          <t>中</t>
        </is>
      </c>
      <c r="I17" s="9" t="inlineStr">
        <is>
          <t>実施中</t>
        </is>
      </c>
      <c r="J17" s="5" t="inlineStr">
        <is>
          <t>県内35市町村の保険料比較は公表資料により実施済み（県内10〜12位／35）。</t>
        </is>
      </c>
    </row>
    <row r="18" ht="72" customHeight="1">
      <c r="A18" s="4" t="n">
        <v>14</v>
      </c>
      <c r="B18" s="4" t="inlineStr">
        <is>
          <t>I</t>
        </is>
      </c>
      <c r="C18" s="5" t="inlineStr">
        <is>
          <t>金ケ崎町 第9期計画書の保険料算出表</t>
        </is>
      </c>
      <c r="D18" s="5" t="inlineStr">
        <is>
          <t>比較参照先である金ケ崎町（岩手県）の第9期計画書の保険料算出表。第9期基準額4,900円の構成額を確認する。</t>
        </is>
      </c>
      <c r="E18" s="5" t="inlineStr">
        <is>
          <t>精査レポートの比較検証の精度</t>
        </is>
      </c>
      <c r="F18" s="4" t="inlineStr">
        <is>
          <t>金ケ崎町公表資料</t>
        </is>
      </c>
      <c r="G18" s="4" t="inlineStr">
        <is>
          <t>R8.9</t>
        </is>
      </c>
      <c r="H18" s="4" t="inlineStr">
        <is>
          <t>中</t>
        </is>
      </c>
      <c r="I18" s="13" t="inlineStr">
        <is>
          <t>未着手</t>
        </is>
      </c>
      <c r="J18" s="5" t="inlineStr">
        <is>
          <t>確認事項No.18と対応。受託者側で取得を試行する。</t>
        </is>
      </c>
    </row>
    <row r="19" ht="72" customHeight="1">
      <c r="A19" s="4" t="n">
        <v>15</v>
      </c>
      <c r="B19" s="4" t="inlineStr">
        <is>
          <t>H</t>
        </is>
      </c>
      <c r="C19" s="5" t="inlineStr">
        <is>
          <t>第10期の政令改正の内容</t>
        </is>
      </c>
      <c r="D19" s="5" t="inlineStr">
        <is>
          <t>標準段階数、標準乗率、公費軽減の乗率、第1号被保険者負担割合。国の告示による。</t>
        </is>
      </c>
      <c r="E19" s="5" t="inlineStr">
        <is>
          <t>第10期の所得段階設計と保険料算定</t>
        </is>
      </c>
      <c r="F19" s="4" t="inlineStr">
        <is>
          <t>国の情報</t>
        </is>
      </c>
      <c r="G19" s="4" t="inlineStr">
        <is>
          <t>告示後</t>
        </is>
      </c>
      <c r="H19" s="4" t="inlineStr">
        <is>
          <t>中</t>
        </is>
      </c>
      <c r="I19" s="13" t="inlineStr">
        <is>
          <t>未着手</t>
        </is>
      </c>
      <c r="J19" s="5" t="inlineStr">
        <is>
          <t>確認事項No.14と対応。受託者が随時確認する。</t>
        </is>
      </c>
    </row>
    <row r="20" ht="72" customHeight="1">
      <c r="A20" s="4" t="n">
        <v>16</v>
      </c>
      <c r="B20" s="4" t="inlineStr">
        <is>
          <t>I</t>
        </is>
      </c>
      <c r="C20" s="5" t="inlineStr">
        <is>
          <t>同時策定2計画の検討状況</t>
        </is>
      </c>
      <c r="D20" s="5" t="inlineStr">
        <is>
          <t>地域福祉計画・障害者計画（ジャパン総研策定）の骨子・素案の検討状況。重層的支援体制及び移動支援に係る記述。</t>
        </is>
      </c>
      <c r="E20" s="5" t="inlineStr">
        <is>
          <t>第8章（3計画整合の枠組み）</t>
        </is>
      </c>
      <c r="F20" s="4" t="inlineStr">
        <is>
          <t>発注者・ジャパン総研</t>
        </is>
      </c>
      <c r="G20" s="4" t="inlineStr">
        <is>
          <t>R8.9</t>
        </is>
      </c>
      <c r="H20" s="4" t="inlineStr">
        <is>
          <t>低</t>
        </is>
      </c>
      <c r="I20" s="11" t="inlineStr">
        <is>
          <t>確認待ち</t>
        </is>
      </c>
      <c r="J20" s="5" t="inlineStr">
        <is>
          <t>確認事項No.17と対応。</t>
        </is>
      </c>
    </row>
    <row r="22">
      <c r="A22" s="21" t="inlineStr">
        <is>
          <t>区分</t>
        </is>
      </c>
      <c r="B22" s="21" t="inlineStr">
        <is>
          <t>件数</t>
        </is>
      </c>
    </row>
    <row r="23">
      <c r="A23" s="7" t="inlineStr">
        <is>
          <t>完了</t>
        </is>
      </c>
      <c r="B23" s="4">
        <f>COUNTIF(I5:I20,"完了")</f>
        <v/>
      </c>
    </row>
    <row r="24">
      <c r="A24" s="9" t="inlineStr">
        <is>
          <t>実施中</t>
        </is>
      </c>
      <c r="B24" s="4">
        <f>COUNTIF(I5:I20,"実施中")</f>
        <v/>
      </c>
    </row>
    <row r="25">
      <c r="A25" s="11" t="inlineStr">
        <is>
          <t>確認待ち</t>
        </is>
      </c>
      <c r="B25" s="4">
        <f>COUNTIF(I5:I20,"確認待ち")</f>
        <v/>
      </c>
    </row>
    <row r="26">
      <c r="A26" s="13" t="inlineStr">
        <is>
          <t>未着手</t>
        </is>
      </c>
      <c r="B26" s="4">
        <f>COUNTIF(I5:I20,"未着手")</f>
        <v/>
      </c>
    </row>
    <row r="27">
      <c r="A27" s="15" t="inlineStr">
        <is>
          <t>対象外</t>
        </is>
      </c>
      <c r="B27" s="4">
        <f>COUNTIF(I5:I20,"対象外")</f>
        <v/>
      </c>
    </row>
    <row r="29" ht="26" customHeight="1">
      <c r="A29" s="20" t="inlineStr">
        <is>
          <t>注1）優先度は 最高／高／中／低 の別による。「最高」は、受領しない限り当該業務が完了しない資料を示す。</t>
        </is>
      </c>
    </row>
    <row r="30" ht="26" customHeight="1">
      <c r="A30" s="20" t="inlineStr">
        <is>
          <t>注2）「状態」が「完了」となった資料は、受領日を備考欄に記入する。</t>
        </is>
      </c>
    </row>
  </sheetData>
  <mergeCells count="4">
    <mergeCell ref="A30:J30"/>
    <mergeCell ref="A1:J1"/>
    <mergeCell ref="A29:J29"/>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2026-08-18T02:44:09Z</dcterms:created>
  <dcterms:modified xsi:type="dcterms:W3CDTF">2026-08-18T02:44:09Z</dcterms:modified>
</cp:coreProperties>
</file>