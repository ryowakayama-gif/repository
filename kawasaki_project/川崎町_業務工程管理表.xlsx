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0.75</v>
      </c>
      <c r="H7" s="9" t="inlineStr">
        <is>
          <t>R9.2</t>
        </is>
      </c>
      <c r="I7" s="7" t="inlineStr">
        <is>
          <t>第1回は令和8年9月2日に開催済み。第2回の資料は v7、想定問答集は v4（全44問）まで作成し、自己点検27件に適合している。v7 には工程の短縮の案（候補日4つ×4案）・第9期の計画値と実績値の対比・計画書の頁数の見通しを加え、本日のご審議事項に「開催日と短縮の案のご選択」を足した。⚠ 開催日が決まらないため、事前配布日・質問の締切・第3回の日程・保険料をいつ諮るかがいずれも決まらない（ペンディング束2）。</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0.95</v>
      </c>
      <c r="H8" s="9" t="inlineStr">
        <is>
          <t>R8.10</t>
        </is>
      </c>
      <c r="I8" s="7" t="inlineStr">
        <is>
          <t>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基金50％取崩6,143円・全額取崩5,464円）。令和7年度の基準値は見える化システムの総括表と32サービスすべてで一致する。所得段階別第1号被保険者数（13段階）は年報の様式1により確定した。保険料の検算39項目は適合。残るのは準備基金の令和8年度末残高・調整交付金見込交付割合・令和9年度の介護報酬改定の3件で、いずれも受託者の作業では確定できない（ペンディング束5）。⚠ 地域支援事業はデータ未受領であり、費用の見込みは置けない（束6）。</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0.9</v>
      </c>
      <c r="H10" s="9" t="inlineStr">
        <is>
          <t>R8.10</t>
        </is>
      </c>
      <c r="I10" s="7" t="inlineStr">
        <is>
          <t>①②は完了し、川崎町固有の5重点課題を整理済み。第2章・第3章の現状分析を令和7年度実績（年報）に更新し、図を9点に増やした（認定者数と認定率の推移・交付金の得点の推移ほか）。調査結果報告書3文書は約6,400項目を全数検算し、数値の誤りは付表2の丸め37件のみであることを確認した。第9期35事業の実績一覧は【町確認】欄がご記入待ちであり、第3章3-2の各表がこれを待っている（ペンディング束3）。</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12" t="inlineStr">
        <is>
          <t>実施中</t>
        </is>
      </c>
      <c r="G11" s="20" t="n">
        <v>0.99</v>
      </c>
      <c r="H11" s="9" t="inlineStr">
        <is>
          <t>R9.2</t>
        </is>
      </c>
      <c r="I11" s="7" t="inlineStr">
        <is>
          <t>素案はVer.2.10まで作成（全112頁・666段落・図10点）。Ver.2.9で事業一覧表17表に「内容」の欄を加え、138事業すべてに内容を入れた。これにより、名称だけの一覧から計画として読める形になった。残るのは第3章の町確認欄（ペンディング束3）と、当方が書き起こした48件のご確認（確認事項No.164）、成果品の頁数の割付け（確認事項No.83）。</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16" t="inlineStr">
        <is>
          <t>実施中</t>
        </is>
      </c>
      <c r="G12" s="20" t="n">
        <v>0.55</v>
      </c>
      <c r="H12" s="9" t="inlineStr">
        <is>
          <t>R9.3</t>
        </is>
      </c>
      <c r="I12" s="7" t="inlineStr">
        <is>
          <t>【令和8年10月5日 更新】中間報告（第1回・令和8年10月分）を作成した。提出の期日のご指定がないため（確認事項No.17）、当面は月末ごとに提出する。計画書（案）は素案Ver.2.10を母体とする。別添（資料編）は28件を洗い出し、置き場所を5区分に振り分け済み。</t>
        </is>
      </c>
      <c r="J12" s="9" t="inlineStr">
        <is>
          <t>17, 18</t>
        </is>
      </c>
    </row>
    <row r="13"/>
    <row r="14" ht="22" customHeight="1">
      <c r="B14" s="21" t="inlineStr">
        <is>
          <t>全体進捗（単純平均）</t>
        </is>
      </c>
      <c r="C14" s="4" t="n"/>
      <c r="D14" s="4" t="n"/>
      <c r="E14" s="4" t="n"/>
      <c r="F14" s="5" t="n"/>
      <c r="G14" s="22">
        <f>ROUND(AVERAGE(G5:G12),2)</f>
        <v/>
      </c>
    </row>
    <row r="15"/>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人口推計・事業量推計は、令和7年度の年報を基礎とする独立算定により第1稿を作成。地域支援事業の費用の見込みはデータ未受領のため保留。素案はVer.2.8（第9期対比版・全104頁・図10点）まで更新した。⚠ 見える化システムの第1回目提出（令和8年10月5日）は、町より自治体側で進めるとのご指示をいただき、当方の作業は停止した。ご確認を待たずに進められる作業10件を08シートに整理し、順位2〜10を実施した（順位6は素材の整理まで）。認知症の人及び家族等からの意見聴取は令和8年10〜11月に実施する予定で、記録様式（別添22・様式0〜5）は作成済み。運用のご確認待ち。</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第2回策定委員会の資料をv6、想定問答集をv3（全39問）まで作成し、自己点検27件に適合している。⚠ 開催日が未確定であり、逆算工程表（候補日4つ）をお示しした。現行の前提では11月11日以降の開催は納期に間に合わないため、開催日の決定と、短縮の選択肢（パブコメの期間・委員会の回数）のご判断を急ぐ。</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Ａ〜Ｊ・年度別）と感度分析は素案Ver.2.3以降に反映済みで、検算39項目に適合している。3パターン（6,822円／6,143円／5,464円）は暫定値であり、準備基金の令和8年度末残高・調整交付金見込交付割合・令和9年度の介護報酬改定の確定を待って確定値とする（束5）。計画書（案）の作成は、継続101事業の本文の記述から着手す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9"/>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大雪地区広域連合の協議用素案（令和8年8月）との対比により把握した。素案Ver.2.4の1-5に制度改正の節を新設し、当該の改正を掲げた。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9" t="inlineStr">
        <is>
          <t>154</t>
        </is>
      </c>
      <c r="B158" s="9" t="inlineStr">
        <is>
          <t>(4)(6)</t>
        </is>
      </c>
      <c r="C158" s="9" t="inlineStr">
        <is>
          <t>R8.11</t>
        </is>
      </c>
      <c r="D158" s="7" t="inlineStr">
        <is>
          <t>高齢者向け住まいの状況</t>
        </is>
      </c>
      <c r="E158" s="7"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7" t="inlineStr">
        <is>
          <t>素案 2-7・9-1</t>
        </is>
      </c>
      <c r="G158" s="9" t="inlineStr">
        <is>
          <t>発注者</t>
        </is>
      </c>
      <c r="H158" s="12" t="inlineStr">
        <is>
          <t>確認待ち</t>
        </is>
      </c>
      <c r="I158" s="9" t="inlineStr">
        <is>
          <t>R8.11</t>
        </is>
      </c>
      <c r="J158" s="7" t="inlineStr">
        <is>
          <t>第10期基本指針（案）の別表 八。素案に有料老人ホーム・サービス付き高齢者向け住宅が一度も現れていなかった。</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9" t="inlineStr">
        <is>
          <t>157</t>
        </is>
      </c>
      <c r="B161" s="9" t="inlineStr">
        <is>
          <t>(4)(7)</t>
        </is>
      </c>
      <c r="C161" s="9" t="inlineStr">
        <is>
          <t>R8.10</t>
        </is>
      </c>
      <c r="D161" s="7" t="inlineStr">
        <is>
          <t>認知症の人の数の推計</t>
        </is>
      </c>
      <c r="E161" s="7" t="inlineStr">
        <is>
          <t>第10期基本指針（案）の別表 十一が「認知症の人の数・推計値」を確認すべき指標としています。要介護認定の認定調査における認知症高齢者の日常生活自立度Ⅱ以上の人数（令和6・7年度）をご教示いただけますでしょうか。これにより認知症の人の数を把握し、第10期の推計値を第6章6-3に掲げます。現在、素案には認知症の人の数がありません。</t>
        </is>
      </c>
      <c r="F161" s="7" t="inlineStr">
        <is>
          <t>素案 6-2・6-3</t>
        </is>
      </c>
      <c r="G161" s="9" t="inlineStr">
        <is>
          <t>発注者</t>
        </is>
      </c>
      <c r="H161" s="12" t="inlineStr">
        <is>
          <t>確認待ち</t>
        </is>
      </c>
      <c r="I161" s="9" t="inlineStr">
        <is>
          <t>R8.10</t>
        </is>
      </c>
      <c r="J161" s="7"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9" t="inlineStr">
        <is>
          <t>159</t>
        </is>
      </c>
      <c r="B163" s="9" t="inlineStr">
        <is>
          <t>(4)(5)</t>
        </is>
      </c>
      <c r="C163" s="9" t="inlineStr">
        <is>
          <t>R8.10</t>
        </is>
      </c>
      <c r="D163" s="7" t="inlineStr">
        <is>
          <t>施設の入所率・稼働率と入退所の経路</t>
        </is>
      </c>
      <c r="E163" s="7"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7" t="inlineStr">
        <is>
          <t>素案 9-1・第2回策定委員会の選択2</t>
        </is>
      </c>
      <c r="G163" s="9" t="inlineStr">
        <is>
          <t>発注者</t>
        </is>
      </c>
      <c r="H163" s="12" t="inlineStr">
        <is>
          <t>確認待ち</t>
        </is>
      </c>
      <c r="I163" s="9" t="inlineStr">
        <is>
          <t>R8.10</t>
        </is>
      </c>
      <c r="J163" s="7" t="inlineStr">
        <is>
          <t>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1">
      <c r="A171" s="24" t="inlineStr">
        <is>
          <t>区分</t>
        </is>
      </c>
      <c r="B171" s="24" t="inlineStr">
        <is>
          <t>件数</t>
        </is>
      </c>
    </row>
    <row r="172">
      <c r="A172" s="10" t="inlineStr">
        <is>
          <t>完了</t>
        </is>
      </c>
      <c r="B172" s="9">
        <f>COUNTIF(H5:H168,"完了")</f>
        <v/>
      </c>
    </row>
    <row r="173">
      <c r="A173" s="12" t="inlineStr">
        <is>
          <t>実施中</t>
        </is>
      </c>
      <c r="B173" s="9">
        <f>COUNTIF(H5:H168,"実施中")</f>
        <v/>
      </c>
    </row>
    <row r="174">
      <c r="A174" s="14" t="inlineStr">
        <is>
          <t>確認待ち</t>
        </is>
      </c>
      <c r="B174" s="9">
        <f>COUNTIF(H5:H168,"確認待ち")</f>
        <v/>
      </c>
    </row>
    <row r="175">
      <c r="A175" s="16" t="inlineStr">
        <is>
          <t>未着手</t>
        </is>
      </c>
      <c r="B175" s="9">
        <f>COUNTIF(H5:H168,"未着手")</f>
        <v/>
      </c>
    </row>
    <row r="176">
      <c r="A176" s="18" t="inlineStr">
        <is>
          <t>対象外</t>
        </is>
      </c>
      <c r="B176" s="9">
        <f>COUNTIF(H5:H168,"対象外")</f>
        <v/>
      </c>
    </row>
    <row r="177"/>
    <row r="178">
      <c r="A178" s="23" t="inlineStr">
        <is>
          <t>注1）「回答・対応」欄は、発注者からの回答又は受託者による対応の結果を記入し、状態を「完了」に更新する。</t>
        </is>
      </c>
    </row>
    <row r="179">
      <c r="A179" s="23" t="inlineStr">
        <is>
          <t>注2）No.9〜11は保険料試算ワークブックの黄色セル（01!B15、06!B17、06!B16、04!B8、06!B10）と対応し、値を入力すると保険料基準額が自動で再計算される。</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川崎町_計画書素案_v2.10_制度改正補完版.docx／同_v2.10c_圧縮案_R8.10.4.docx</t>
        </is>
      </c>
      <c r="D8" s="7" t="inlineStr">
        <is>
          <t>A4版　表紙レザック　本文上質紙
1色刷り　100頁程度　100部</t>
        </is>
      </c>
      <c r="E8" s="12" t="inlineStr">
        <is>
          <t>実施中</t>
        </is>
      </c>
      <c r="F8" s="20" t="n">
        <v>0.85</v>
      </c>
      <c r="G8" s="9" t="inlineStr">
        <is>
          <t>R9.3.15</t>
        </is>
      </c>
      <c r="H8" s="7" t="inlineStr">
        <is>
          <t>【令和8年10月4日 更新】素案Ver.2.10（本文112頁・図10点）。1-5に制度改正11事項、1-4に法令が定める手続4件を加えた。圧縮案 v2.10c は本文105頁・資料編13頁を含めて118頁。網羅性の8軸51事項はすべて適合（未実施8件は別に数えている）。⚠ 頁数は仕様書8の100頁程度を上回る。本文のみと読めば圧縮案の105頁が最も近い（確認事項No.83）。</t>
        </is>
      </c>
      <c r="I8" s="9" t="inlineStr">
        <is>
          <t>15, 16, 18</t>
        </is>
      </c>
    </row>
    <row r="9" ht="84" customHeight="1">
      <c r="A9" s="9" t="n">
        <v>5</v>
      </c>
      <c r="B9" s="21" t="inlineStr">
        <is>
          <t>概要版</t>
        </is>
      </c>
      <c r="C9" s="7" t="inlineStr">
        <is>
          <t>川崎町_計画素案_概要版_R8.10.4.docx（下書き・6頁）</t>
        </is>
      </c>
      <c r="D9" s="7" t="inlineStr">
        <is>
          <t>A4版　コート紙
1色刷り　8頁程度　3,500部</t>
        </is>
      </c>
      <c r="E9" s="12" t="inlineStr">
        <is>
          <t>実施中</t>
        </is>
      </c>
      <c r="F9" s="20" t="n">
        <v>0.6</v>
      </c>
      <c r="G9" s="9" t="inlineStr">
        <is>
          <t>R9.3.15</t>
        </is>
      </c>
      <c r="H9" s="7" t="inlineStr">
        <is>
          <t>【令和8年10月4日 更新】概要版の下書きを作成した（6頁・2,458字・図8点）。1色刷り用の図を data_zuhyo.py の数値から描き直した。本文は素案の数値のみを用い、受託者を主語とする語・未確定箇所の表記がないことを機械で確かめている。⚠ 仕様書8は8頁程度。A4・1色刷り・町民向けの字の大きさで組むと増えるため、入稿の段階で割付けを調整する。保険料は令和9年1月の策定委員会の決定後に確定するため、入稿はその後になる。</t>
        </is>
      </c>
      <c r="I9" s="9" t="inlineStr">
        <is>
          <t>18</t>
        </is>
      </c>
    </row>
    <row r="10" ht="84" customHeight="1">
      <c r="A10" s="9" t="n">
        <v>6</v>
      </c>
      <c r="B10" s="21" t="inlineStr">
        <is>
          <t>計画書概要及び計画書案等の電子データ</t>
        </is>
      </c>
      <c r="C10" s="7" t="inlineStr">
        <is>
          <t>川崎町_第2回策定委員会資料_R8.11_v7.docx／同_想定問答集_R8.11_v4.docx</t>
        </is>
      </c>
      <c r="D10" s="7" t="inlineStr">
        <is>
          <t>一式（Word・PDF）</t>
        </is>
      </c>
      <c r="E10" s="12" t="inlineStr">
        <is>
          <t>実施中</t>
        </is>
      </c>
      <c r="F10" s="20" t="n">
        <v>0.7</v>
      </c>
      <c r="G10" s="9" t="inlineStr">
        <is>
          <t>R9.3.15</t>
        </is>
      </c>
      <c r="H10" s="7" t="inlineStr">
        <is>
          <t>【令和8年10月4日 更新】第2回策定委員会資料 v7・想定問答集 v4（全44問）。v7 に工程の短縮の案・第9期の計画値と実績値の対比・頁数の見通しを加えた。想定問答集 v3 は「全35問」と書きながら39問あり、カテゴリHも5問と書いて9問であった。v4 で件数を是正し、素案の版の参照29か所も更新した。</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3"/>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成果品が作り直せる状態かの点検（金ヶ崎町の事象の再発防止）</t>
        </is>
      </c>
      <c r="C18" s="32" t="inlineStr">
        <is>
          <t>R8.10.4</t>
        </is>
      </c>
      <c r="D18" s="32" t="inlineStr">
        <is>
          <t>同じ事務所の別案件（金ヶ崎町）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金ヶ崎町と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未着手</t>
        </is>
      </c>
      <c r="I20" s="32" t="inlineStr"/>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未着手</t>
        </is>
      </c>
      <c r="I21" s="32" t="inlineStr"/>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未着手</t>
        </is>
      </c>
      <c r="I22" s="32" t="inlineStr"/>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未着手</t>
        </is>
      </c>
      <c r="I23" s="32" t="inlineStr"/>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2026-10-05T03:51:33Z</dcterms:modified>
</cp:coreProperties>
</file>