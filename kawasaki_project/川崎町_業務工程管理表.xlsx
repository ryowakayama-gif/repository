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row>
    <row r="6" ht="20" customHeight="1">
      <c r="A6" s="6" t="inlineStr">
        <is>
          <t>委託仕様書</t>
        </is>
      </c>
      <c r="B6" s="7" t="inlineStr">
        <is>
          <t>保介第41号（令和8年4月23日）　※09_元資料に格納</t>
        </is>
      </c>
    </row>
    <row r="7" ht="20" customHeight="1">
      <c r="A7" s="6" t="inlineStr">
        <is>
          <t>発注者</t>
        </is>
      </c>
      <c r="B7" s="7" t="inlineStr">
        <is>
          <t>川崎町（宮城県柴田郡）保健福祉課／入札担当：大宮こずえ様（電話0224-84-6008）</t>
        </is>
      </c>
    </row>
    <row r="8" ht="20" customHeight="1">
      <c r="A8" s="6" t="inlineStr">
        <is>
          <t>受託者</t>
        </is>
      </c>
      <c r="B8" s="7" t="inlineStr">
        <is>
          <t>ビズアップ公共コンサルティング株式会社 札幌事業所／主担当：若山</t>
        </is>
      </c>
    </row>
    <row r="9" ht="20" customHeight="1">
      <c r="A9" s="6" t="inlineStr">
        <is>
          <t>委託期間</t>
        </is>
      </c>
      <c r="B9" s="7" t="inlineStr">
        <is>
          <t>契約日の翌日から令和9年3月15日まで（仕様書2）</t>
        </is>
      </c>
    </row>
    <row r="10" ht="20" customHeight="1">
      <c r="A10" s="6" t="inlineStr">
        <is>
          <t>計画期間</t>
        </is>
      </c>
      <c r="B10" s="7" t="inlineStr">
        <is>
          <t>令和9〜11年度（3年間）（仕様書3）</t>
        </is>
      </c>
    </row>
    <row r="11" ht="20" customHeight="1">
      <c r="A11" s="6" t="inlineStr">
        <is>
          <t>予定価格</t>
        </is>
      </c>
      <c r="B11" s="7" t="inlineStr">
        <is>
          <t>6,700千円（税抜）　※開札 令和8年5月14日</t>
        </is>
      </c>
    </row>
    <row r="12" ht="20" customHeight="1">
      <c r="A12" s="6" t="inlineStr">
        <is>
          <t>納入場所</t>
        </is>
      </c>
      <c r="B12" s="7" t="inlineStr">
        <is>
          <t>川崎町保健福祉課（仕様書9）</t>
        </is>
      </c>
    </row>
    <row r="13" ht="20" customHeight="1">
      <c r="A13" s="6" t="inlineStr">
        <is>
          <t>支払方法</t>
        </is>
      </c>
      <c r="B13" s="7" t="inlineStr">
        <is>
          <t>業務完了、請求書受領後1ヶ月以内に一括払い（仕様書10）</t>
        </is>
      </c>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0.3</v>
      </c>
      <c r="H5" s="9" t="inlineStr">
        <is>
          <t>R8.9</t>
        </is>
      </c>
      <c r="I5" s="7" t="inlineStr">
        <is>
          <t>設問設計・実施設計・集計テンプレートは完了。④ナンバリング及び回収票管理、⑤入力・集計、⑥分析、⑦調査報告書の作成が未着手。調査報告書は仕様書8の成果品（80頁程度・5部）であり、計画書とは別に納品を要する。</t>
        </is>
      </c>
      <c r="J5" s="9" t="inlineStr">
        <is>
          <t>1, 2</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印刷物一式（未着手）</t>
        </is>
      </c>
      <c r="F6" s="16" t="inlineStr">
        <is>
          <t>未着手</t>
        </is>
      </c>
      <c r="G6" s="20" t="n">
        <v>0.05</v>
      </c>
      <c r="H6" s="9" t="inlineStr">
        <is>
          <t>R8.6下旬</t>
        </is>
      </c>
      <c r="I6" s="7" t="inlineStr">
        <is>
          <t>本業務は受託者の担当である（仕様書6（2））。調査票の内容は確定に近いが、印刷・封筒手配・封入・宛名ラベル貼付はいずれも未着手。宛名ラベルの作成には町からの対象者リスト（認定者300人・一般高齢者1,000人）の提供が必要（確認事項No.3）。</t>
        </is>
      </c>
      <c r="J6" s="9" t="inlineStr">
        <is>
          <t>3</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0.4</v>
      </c>
      <c r="H7" s="9" t="inlineStr">
        <is>
          <t>R9.2</t>
        </is>
      </c>
      <c r="I7" s="7" t="inlineStr">
        <is>
          <t>第1回・第2回の資料は作成済み。第2回の想定問答集及び第3回・第4回の資料は未着手で、各回への出席も未実施。開催日程及び委員名簿が未確定（確認事項No.4・5）。委員会の名称について仕様書と第9期計画・条例で表記が異なる（確認事項No.6）。</t>
        </is>
      </c>
      <c r="J7" s="9" t="inlineStr">
        <is>
          <t>4, 5, 6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関連施策評価調査シート＝未作成</t>
        </is>
      </c>
      <c r="F8" s="12" t="inlineStr">
        <is>
          <t>実施中</t>
        </is>
      </c>
      <c r="G8" s="20" t="n">
        <v>0.45</v>
      </c>
      <c r="H8" s="9" t="inlineStr">
        <is>
          <t>R8.10</t>
        </is>
      </c>
      <c r="I8" s="7" t="inlineStr">
        <is>
          <t>①②は概ね完了。③は第9期実績一覧の町記入待ち。④関連施策評価調査シートの案の提案が未着手で、仕様書は受託者からの提案と発注者との十分な協議を求めている。⑤各課・関係機関への聞き取りも未実施。</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0.55</v>
      </c>
      <c r="H10" s="9" t="inlineStr">
        <is>
          <t>R8.10</t>
        </is>
      </c>
      <c r="I10" s="7" t="inlineStr">
        <is>
          <t>①②は完了し、川崎町固有の5重点課題を整理済み。③は（4）の評価シートと連動しており未実施。④国保連データが未受領のため、給付実績の分析は第9期計画の公表値に依拠した概算にとどまる。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0.5</v>
      </c>
      <c r="H11" s="9" t="inlineStr">
        <is>
          <t>R9.2</t>
        </is>
      </c>
      <c r="I11" s="7" t="inlineStr">
        <is>
          <t>素案はv1.6まで作成済みだが独自の8章構成であり、仕様書6（7）が定める①〜⑨の構成との対応確認と調整を要する（確認事項No.15）。また成果品の計画書は100頁程度とされており、現在の44頁からの増補が必要。Ver.2.0はアンケート結果と委員意見の反映後に着手する。</t>
        </is>
      </c>
      <c r="J11" s="9" t="inlineStr">
        <is>
          <t>15, 16</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16:J16"/>
    <mergeCell ref="A2:J2"/>
    <mergeCell ref="A18:J18"/>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計画素案の作成、保険料試算の枠組み構築、調査票の確定・発送準備</t>
        </is>
      </c>
      <c r="C5" s="9" t="inlineStr">
        <is>
          <t>(1)(2)(5)(7)</t>
        </is>
      </c>
      <c r="D5" s="7" t="inlineStr">
        <is>
          <t>・計画素案v1.6
・保険料試算ワークブック
・各種分析レポート
・調査票（2種類）印刷・封入・発送</t>
        </is>
      </c>
      <c r="E5" s="7" t="inlineStr">
        <is>
          <t>素案v1.6（44頁）と保険料試算ワークブック（11シート）は作成済み。調査票の印刷・封筒手配・封入・宛名ラベル貼付は未着手。</t>
        </is>
      </c>
      <c r="F5" s="12" t="inlineStr">
        <is>
          <t>実施中</t>
        </is>
      </c>
      <c r="G5" s="9" t="inlineStr">
        <is>
          <t>R8.6下旬</t>
        </is>
      </c>
      <c r="H5" s="9" t="inlineStr"/>
      <c r="I5" s="9" t="inlineStr"/>
      <c r="J5" s="7" t="inlineStr">
        <is>
          <t>発送準備は受託者業務（仕様書6（2））。対象者リストの受領が前提（確認事項No.3）。</t>
        </is>
      </c>
    </row>
    <row r="6" ht="92" customHeight="1">
      <c r="A6" s="9" t="inlineStr">
        <is>
          <t>令和8年7月</t>
        </is>
      </c>
      <c r="B6" s="7" t="inlineStr">
        <is>
          <t>調査票の回収・回収票管理、基礎データの収集、評価シート案の提案</t>
        </is>
      </c>
      <c r="C6" s="9" t="inlineStr">
        <is>
          <t>(1)(4)</t>
        </is>
      </c>
      <c r="D6" s="7" t="inlineStr">
        <is>
          <t>・回収票（ナンバリング済）
・第9期実績一覧（記入済）
・関連施策評価調査シート案</t>
        </is>
      </c>
      <c r="E6" s="7" t="inlineStr">
        <is>
          <t>回収は令和8年7月末を予定。関連施策評価調査シート案の提案が未着手。</t>
        </is>
      </c>
      <c r="F6" s="16" t="inlineStr">
        <is>
          <t>未着手</t>
        </is>
      </c>
      <c r="G6" s="9" t="inlineStr">
        <is>
          <t>R8.7末</t>
        </is>
      </c>
      <c r="H6" s="9" t="inlineStr"/>
      <c r="I6" s="9" t="inlineStr"/>
      <c r="J6" s="7" t="inlineStr">
        <is>
          <t>評価シート案は受託者から提案し発注者と十分協議のうえ決定する（仕様書6（4））。</t>
        </is>
      </c>
    </row>
    <row r="7" ht="92" customHeight="1">
      <c r="A7" s="9" t="inlineStr">
        <is>
          <t>令和8年8月</t>
        </is>
      </c>
      <c r="B7" s="7" t="inlineStr">
        <is>
          <t>回収票の入力・集計・分析、第1回策定委員会</t>
        </is>
      </c>
      <c r="C7" s="9" t="inlineStr">
        <is>
          <t>(1)(3)</t>
        </is>
      </c>
      <c r="D7" s="7" t="inlineStr">
        <is>
          <t>・単純集計表・クロス集計表・グラフデータ
・第1回委員会資料
・第1回委員会議事録</t>
        </is>
      </c>
      <c r="E7" s="7" t="inlineStr">
        <is>
          <t>第1回委員会の資料・想定問答集は作成済み。入力・集計は回収後に着手する。</t>
        </is>
      </c>
      <c r="F7" s="16" t="inlineStr">
        <is>
          <t>未着手</t>
        </is>
      </c>
      <c r="G7" s="9" t="inlineStr">
        <is>
          <t>R8.8中旬</t>
        </is>
      </c>
      <c r="H7" s="9" t="inlineStr"/>
      <c r="I7" s="9" t="inlineStr"/>
      <c r="J7" s="7" t="inlineStr">
        <is>
          <t>開催日程・審議事項・委員名簿が未確定（確認事項No.4・5）。</t>
        </is>
      </c>
    </row>
    <row r="8" ht="92" customHeight="1">
      <c r="A8" s="9" t="inlineStr">
        <is>
          <t>令和8年9月</t>
        </is>
      </c>
      <c r="B8" s="7" t="inlineStr">
        <is>
          <t>調査報告書の作成、各課・関係機関への評価シート配付と聞き取り</t>
        </is>
      </c>
      <c r="C8" s="9" t="inlineStr">
        <is>
          <t>(1)(4)(6)</t>
        </is>
      </c>
      <c r="D8" s="7" t="inlineStr">
        <is>
          <t>・調査報告書（80頁程度・5部）
・評価シート回答の取りまとめ
・聞き取り結果</t>
        </is>
      </c>
      <c r="E8" s="7" t="inlineStr">
        <is>
          <t>調査報告書は仕様書8の成果品であり未作成。聞き取りも未実施。</t>
        </is>
      </c>
      <c r="F8" s="16" t="inlineStr">
        <is>
          <t>未着手</t>
        </is>
      </c>
      <c r="G8" s="9" t="inlineStr">
        <is>
          <t>R8.9末</t>
        </is>
      </c>
      <c r="H8" s="9" t="inlineStr"/>
      <c r="I8" s="9" t="inlineStr"/>
      <c r="J8" s="7" t="inlineStr">
        <is>
          <t>調査報告書は計画書とは別の成果品。編集・校正を含む（仕様書6（1））。</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確認待ち</t>
        </is>
      </c>
      <c r="I5" s="9" t="inlineStr">
        <is>
          <t>R8.6</t>
        </is>
      </c>
      <c r="J5" s="7" t="inlineStr"/>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宛名ラベルの作成に必要な対象者リスト（要支援・要介護認定者300人、一般高齢者1,000人）。抽出方法（無作為抽出の別）及び個人情報の取扱いの取決めを含む。</t>
        </is>
      </c>
      <c r="F7" s="7" t="inlineStr">
        <is>
          <t>宛名ラベル貼付・封入・発送（仕様書6（2））
調査全体の工程</t>
        </is>
      </c>
      <c r="G7" s="9" t="inlineStr">
        <is>
          <t>発注者</t>
        </is>
      </c>
      <c r="H7" s="14" t="inlineStr">
        <is>
          <t>確認待ち</t>
        </is>
      </c>
      <c r="I7" s="9" t="inlineStr">
        <is>
          <t>R8.6</t>
        </is>
      </c>
      <c r="J7" s="7" t="inlineStr"/>
    </row>
    <row r="8" ht="80" customHeight="1">
      <c r="A8" s="9" t="n">
        <v>4</v>
      </c>
      <c r="B8" s="9" t="inlineStr">
        <is>
          <t>(3)</t>
        </is>
      </c>
      <c r="C8" s="9" t="inlineStr">
        <is>
          <t>R8.6</t>
        </is>
      </c>
      <c r="D8" s="7" t="inlineStr">
        <is>
          <t>策定委員会の開催日程・審議事項</t>
        </is>
      </c>
      <c r="E8" s="7" t="inlineStr">
        <is>
          <t>4回開催の各回（第1回〜第4回）の開催日、審議事項、資料の提出期限及び委員への事前配布の時期。受託者の出席の要否についても併せてご確認をお願いする。</t>
        </is>
      </c>
      <c r="F8" s="7" t="inlineStr">
        <is>
          <t>第1回〜第4回委員会資料
計画素案_概要版（事前配布用）</t>
        </is>
      </c>
      <c r="G8" s="9" t="inlineStr">
        <is>
          <t>発注者</t>
        </is>
      </c>
      <c r="H8" s="14" t="inlineStr">
        <is>
          <t>確認待ち</t>
        </is>
      </c>
      <c r="I8" s="9" t="inlineStr">
        <is>
          <t>R8.6</t>
        </is>
      </c>
      <c r="J8" s="7" t="inlineStr"/>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表記している。一方、第9期計画書は審議組織を「介護保険運営委員会」（介護保険条例第17条に基づく常設委員会）と本文中17回にわたり表記している。これを受けて計画素案v1.6は「介護保険運営委員会」に統一済み（20箇所）であるが、仕様書の表記とは一致していない。第10期において①新たに策定委員会を設置するのか、②既存の介護保険運営委員会に諮るのかにより、計画書本文・委員会資料・資料編の表記が変わる。</t>
        </is>
      </c>
      <c r="F10" s="7" t="inlineStr">
        <is>
          <t>計画素案v1.6（20箇所）
第1回委員会資料
計画素案_概要版
資料編 資料1・2
F6書類ひな形ほか</t>
        </is>
      </c>
      <c r="G10" s="9" t="inlineStr">
        <is>
          <t>発注者</t>
        </is>
      </c>
      <c r="H10" s="14" t="inlineStr">
        <is>
          <t>確認待ち</t>
        </is>
      </c>
      <c r="I10" s="9" t="inlineStr">
        <is>
          <t>R8.6</t>
        </is>
      </c>
      <c r="J10" s="7" t="inlineStr"/>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6">
      <c r="A26" s="24" t="inlineStr">
        <is>
          <t>区分</t>
        </is>
      </c>
      <c r="B26" s="24" t="inlineStr">
        <is>
          <t>件数</t>
        </is>
      </c>
    </row>
    <row r="27">
      <c r="A27" s="10" t="inlineStr">
        <is>
          <t>完了</t>
        </is>
      </c>
      <c r="B27" s="9">
        <f>COUNTIF(H5:H24,"完了")</f>
        <v/>
      </c>
    </row>
    <row r="28">
      <c r="A28" s="12" t="inlineStr">
        <is>
          <t>実施中</t>
        </is>
      </c>
      <c r="B28" s="9">
        <f>COUNTIF(H5:H24,"実施中")</f>
        <v/>
      </c>
    </row>
    <row r="29">
      <c r="A29" s="14" t="inlineStr">
        <is>
          <t>確認待ち</t>
        </is>
      </c>
      <c r="B29" s="9">
        <f>COUNTIF(H5:H24,"確認待ち")</f>
        <v/>
      </c>
    </row>
    <row r="30">
      <c r="A30" s="16" t="inlineStr">
        <is>
          <t>未着手</t>
        </is>
      </c>
      <c r="B30" s="9">
        <f>COUNTIF(H5:H24,"未着手")</f>
        <v/>
      </c>
    </row>
    <row r="31">
      <c r="A31" s="18" t="inlineStr">
        <is>
          <t>対象外</t>
        </is>
      </c>
      <c r="B31" s="9">
        <f>COUNTIF(H5:H24,"対象外")</f>
        <v/>
      </c>
    </row>
    <row r="33" ht="26" customHeight="1">
      <c r="A33" s="23" t="inlineStr">
        <is>
          <t>注1）「回答・対応」欄は、発注者からの回答又は受託者による対応の結果を記入し、状態を「完了」に更新する。</t>
        </is>
      </c>
    </row>
    <row r="34" ht="26" customHeight="1">
      <c r="A34" s="23" t="inlineStr">
        <is>
          <t>注2）No.9〜11は保険料試算ワークブックの黄色セル（01!B15、06!B17、06!B16、04!B8、06!B10）と対応し、値を入力すると保険料基準額が自動で再計算される。</t>
        </is>
      </c>
    </row>
  </sheetData>
  <mergeCells count="4">
    <mergeCell ref="A34:J34"/>
    <mergeCell ref="A1:J1"/>
    <mergeCell ref="A33:J33"/>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未作成</t>
        </is>
      </c>
      <c r="D5" s="7" t="inlineStr">
        <is>
          <t>A4版　簡易コピー紙印刷製本
1色刷り　80頁程度　5部</t>
        </is>
      </c>
      <c r="E5" s="16" t="inlineStr">
        <is>
          <t>未着手</t>
        </is>
      </c>
      <c r="F5" s="20" t="n">
        <v>0</v>
      </c>
      <c r="G5" s="9" t="inlineStr">
        <is>
          <t>R9.3.15</t>
        </is>
      </c>
      <c r="H5" s="7" t="inlineStr">
        <is>
          <t>章構成、掲載する集計・分析の範囲、計画書本編との記載の重複の整理。アンケートの回収・集計後に作成する。</t>
        </is>
      </c>
      <c r="I5" s="9" t="inlineStr">
        <is>
          <t>1, 2</t>
        </is>
      </c>
    </row>
    <row r="6" ht="84" customHeight="1">
      <c r="A6" s="9" t="n">
        <v>2</v>
      </c>
      <c r="B6" s="21" t="inlineStr">
        <is>
          <t>調査結果集計・分析の電子データ</t>
        </is>
      </c>
      <c r="C6" s="7" t="inlineStr">
        <is>
          <t>アンケート集計分析テンプレート（6シート）
※回収前のため実データなし</t>
        </is>
      </c>
      <c r="D6" s="7" t="inlineStr">
        <is>
          <t>一式（Excel）</t>
        </is>
      </c>
      <c r="E6" s="16" t="inlineStr">
        <is>
          <t>未着手</t>
        </is>
      </c>
      <c r="F6" s="20" t="n">
        <v>0.15</v>
      </c>
      <c r="G6" s="9" t="inlineStr">
        <is>
          <t>R9.3.15</t>
        </is>
      </c>
      <c r="H6" s="7" t="inlineStr">
        <is>
          <t>テンプレートは整備済み。単純集計・クロス集計・グラフデータは回収後に作成する。</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20:I20"/>
    <mergeCell ref="A19:I19"/>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6" t="inlineStr">
        <is>
          <t>未着手</t>
        </is>
      </c>
      <c r="F5" s="16" t="inlineStr">
        <is>
          <t>未着手</t>
        </is>
      </c>
      <c r="G5" s="16" t="inlineStr">
        <is>
          <t>未着手</t>
        </is>
      </c>
      <c r="H5" s="16" t="inlineStr">
        <is>
          <t>未着手</t>
        </is>
      </c>
      <c r="I5" s="16" t="inlineStr">
        <is>
          <t>未着手</t>
        </is>
      </c>
      <c r="J5" s="16" t="inlineStr">
        <is>
          <t>未着手</t>
        </is>
      </c>
      <c r="K5" s="7" t="inlineStr">
        <is>
          <t>F3で標準設問に追加設問（必須5問を含む）を設計済み。調査票の最終確定後、印刷・封入・宛名ラベル貼付を経て発送する。令和8年6月下旬発送・7月末回収の予定。</t>
        </is>
      </c>
      <c r="L5" s="9" t="inlineStr">
        <is>
          <t>1, 3</t>
        </is>
      </c>
    </row>
    <row r="6" ht="92" customHeight="1">
      <c r="A6" s="9" t="n">
        <v>2</v>
      </c>
      <c r="B6" s="7" t="inlineStr">
        <is>
          <t>介護予防・日常生活圏域ニーズ調査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6" t="inlineStr">
        <is>
          <t>未着手</t>
        </is>
      </c>
      <c r="F6" s="16" t="inlineStr">
        <is>
          <t>未着手</t>
        </is>
      </c>
      <c r="G6" s="16" t="inlineStr">
        <is>
          <t>未着手</t>
        </is>
      </c>
      <c r="H6" s="16" t="inlineStr">
        <is>
          <t>未着手</t>
        </is>
      </c>
      <c r="I6" s="16" t="inlineStr">
        <is>
          <t>未着手</t>
        </is>
      </c>
      <c r="J6" s="16" t="inlineStr">
        <is>
          <t>未着手</t>
        </is>
      </c>
      <c r="K6" s="7" t="inlineStr">
        <is>
          <t>F3で追加設問11問を設計済み。調査票は一般高齢者用と合わせて2種類（仕様書6（2））。</t>
        </is>
      </c>
      <c r="L6" s="9" t="inlineStr">
        <is>
          <t>1, 3</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row>
    <row r="11" ht="24" customHeight="1">
      <c r="A11" s="9" t="inlineStr">
        <is>
          <t>②印刷・発送準備</t>
        </is>
      </c>
      <c r="B11" s="7" t="inlineStr">
        <is>
          <t>調査票の印刷（2種類）、送付用封筒（角2）・返信用封筒（長3）の印刷、封入、宛名ラベル貼付（仕様書6（2））</t>
        </is>
      </c>
    </row>
    <row r="12" ht="24" customHeight="1">
      <c r="A12" s="9" t="inlineStr">
        <is>
          <t>③回収・回収票管理</t>
        </is>
      </c>
      <c r="B12" s="7" t="inlineStr">
        <is>
          <t>回収及び回収票管理（ナンバリング等）（仕様書6（1））</t>
        </is>
      </c>
    </row>
    <row r="13" ht="24" customHeight="1">
      <c r="A13" s="9" t="inlineStr">
        <is>
          <t>④入力・集計</t>
        </is>
      </c>
      <c r="B13" s="7" t="inlineStr">
        <is>
          <t>回収調査票の入力及び集計作業（データ入力・整理・グラフデータ作成）（仕様書6（1））</t>
        </is>
      </c>
    </row>
    <row r="14" ht="24" customHeight="1">
      <c r="A14" s="9" t="inlineStr">
        <is>
          <t>⑤集計・実態調査分析</t>
        </is>
      </c>
      <c r="B14" s="7" t="inlineStr">
        <is>
          <t>集計結果に基づく実態調査分析（仕様書6（1））</t>
        </is>
      </c>
    </row>
    <row r="15" ht="24" customHeight="1">
      <c r="A15" s="9" t="inlineStr">
        <is>
          <t>⑥調査報告書の作成</t>
        </is>
      </c>
      <c r="B15" s="7" t="inlineStr">
        <is>
          <t>調査票報告書の作成（編集・校正含み）（仕様書6（1））。成果品80頁程度・5部</t>
        </is>
      </c>
    </row>
    <row r="16" ht="24" customHeight="1">
      <c r="A16" s="9" t="inlineStr">
        <is>
          <t>⑦計画への反映</t>
        </is>
      </c>
      <c r="B16" s="7" t="inlineStr">
        <is>
          <t>素案の該当箇所への反映</t>
        </is>
      </c>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資料提供依頼一覧（17件）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確認待ち</t>
        </is>
      </c>
      <c r="J5" s="7" t="inlineStr">
        <is>
          <t>確認事項No.3と対応。受領しない限り仕様書6（2）の発送準備が完了しない。</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3">
      <c r="A23" s="24" t="inlineStr">
        <is>
          <t>区分</t>
        </is>
      </c>
      <c r="B23" s="24" t="inlineStr">
        <is>
          <t>件数</t>
        </is>
      </c>
    </row>
    <row r="24">
      <c r="A24" s="10" t="inlineStr">
        <is>
          <t>完了</t>
        </is>
      </c>
      <c r="B24" s="9">
        <f>COUNTIF(I5:I21,"完了")</f>
        <v/>
      </c>
    </row>
    <row r="25">
      <c r="A25" s="12" t="inlineStr">
        <is>
          <t>実施中</t>
        </is>
      </c>
      <c r="B25" s="9">
        <f>COUNTIF(I5:I21,"実施中")</f>
        <v/>
      </c>
    </row>
    <row r="26">
      <c r="A26" s="14" t="inlineStr">
        <is>
          <t>確認待ち</t>
        </is>
      </c>
      <c r="B26" s="9">
        <f>COUNTIF(I5:I21,"確認待ち")</f>
        <v/>
      </c>
    </row>
    <row r="27">
      <c r="A27" s="16" t="inlineStr">
        <is>
          <t>未着手</t>
        </is>
      </c>
      <c r="B27" s="9">
        <f>COUNTIF(I5:I21,"未着手")</f>
        <v/>
      </c>
    </row>
    <row r="28">
      <c r="A28" s="18" t="inlineStr">
        <is>
          <t>対象外</t>
        </is>
      </c>
      <c r="B28" s="9">
        <f>COUNTIF(I5:I21,"対象外")</f>
        <v/>
      </c>
    </row>
    <row r="30" ht="26" customHeight="1">
      <c r="A30" s="23" t="inlineStr">
        <is>
          <t>注1）優先度は 最高／高／中／低 の別による。「最高」は、受領しない限り当該業務が完了しない資料を示す。</t>
        </is>
      </c>
    </row>
    <row r="31" ht="26" customHeight="1">
      <c r="A31" s="23" t="inlineStr">
        <is>
          <t>注2）「状態」が「完了」となった資料は、受領日を備考欄に記入する。</t>
        </is>
      </c>
    </row>
  </sheetData>
  <mergeCells count="4">
    <mergeCell ref="A1:J1"/>
    <mergeCell ref="A30:J30"/>
    <mergeCell ref="A31:J3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2026-08-18T08:30:07Z</dcterms:created>
  <dcterms:modified xsi:type="dcterms:W3CDTF">2026-08-18T08:30:07Z</dcterms:modified>
</cp:coreProperties>
</file>