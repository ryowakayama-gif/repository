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管理方法" sheetId="1" state="visible" r:id="rId1"/>
    <sheet name="01_業務内容別の進捗" sheetId="2" state="visible" r:id="rId2"/>
    <sheet name="02_月別工程管理" sheetId="3" state="visible" r:id="rId3"/>
    <sheet name="03_確認事項一覧" sheetId="4" state="visible" r:id="rId4"/>
    <sheet name="04_成果品管理" sheetId="5" state="visible" r:id="rId5"/>
    <sheet name="05_調査別の状況" sheetId="6" state="visible" r:id="rId6"/>
    <sheet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row>
    <row r="6" ht="20" customHeight="1">
      <c r="A6" s="6" t="inlineStr">
        <is>
          <t>委託仕様書</t>
        </is>
      </c>
      <c r="B6" s="7" t="inlineStr">
        <is>
          <t>保介第41号（令和8年4月23日）　※09_元資料に格納</t>
        </is>
      </c>
    </row>
    <row r="7" ht="20" customHeight="1">
      <c r="A7" s="6" t="inlineStr">
        <is>
          <t>発注者</t>
        </is>
      </c>
      <c r="B7" s="7" t="inlineStr">
        <is>
          <t>川崎町（宮城県柴田郡）保健福祉課／入札担当：大宮こずえ様（電話0224-84-6008）</t>
        </is>
      </c>
    </row>
    <row r="8" ht="20" customHeight="1">
      <c r="A8" s="6" t="inlineStr">
        <is>
          <t>受託者</t>
        </is>
      </c>
      <c r="B8" s="7" t="inlineStr">
        <is>
          <t>ビズアップ公共コンサルティング株式会社 札幌事業所／主担当：若山</t>
        </is>
      </c>
    </row>
    <row r="9" ht="20" customHeight="1">
      <c r="A9" s="6" t="inlineStr">
        <is>
          <t>委託期間</t>
        </is>
      </c>
      <c r="B9" s="7" t="inlineStr">
        <is>
          <t>契約日の翌日から令和9年3月15日まで（仕様書2）</t>
        </is>
      </c>
    </row>
    <row r="10" ht="20" customHeight="1">
      <c r="A10" s="6" t="inlineStr">
        <is>
          <t>計画期間</t>
        </is>
      </c>
      <c r="B10" s="7" t="inlineStr">
        <is>
          <t>令和9〜11年度（3年間）（仕様書3）</t>
        </is>
      </c>
    </row>
    <row r="11" ht="20" customHeight="1">
      <c r="A11" s="6" t="inlineStr">
        <is>
          <t>予定価格</t>
        </is>
      </c>
      <c r="B11" s="7" t="inlineStr">
        <is>
          <t>6,700千円（税抜）　※開札 令和8年5月14日</t>
        </is>
      </c>
    </row>
    <row r="12" ht="20" customHeight="1">
      <c r="A12" s="6" t="inlineStr">
        <is>
          <t>納入場所</t>
        </is>
      </c>
      <c r="B12" s="7" t="inlineStr">
        <is>
          <t>川崎町保健福祉課（仕様書9）</t>
        </is>
      </c>
    </row>
    <row r="13" ht="20" customHeight="1">
      <c r="A13" s="6" t="inlineStr">
        <is>
          <t>支払方法</t>
        </is>
      </c>
      <c r="B13" s="7" t="inlineStr">
        <is>
          <t>業務完了、請求書受領後1ヶ月以内に一括払い（仕様書10）</t>
        </is>
      </c>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実施中</t>
        </is>
      </c>
      <c r="G5" s="20" t="n">
        <v>0.7</v>
      </c>
      <c r="H5" s="9" t="inlineStr">
        <is>
          <t>R8.10</t>
        </is>
      </c>
      <c r="I5" s="7" t="inlineStr">
        <is>
          <t>令和8年6〜7月に調査を実施し、一般高齢者の有効回答552件（第9期調査504件）を回収。単純集計・クロス集計・分析まで完了し、第1回策定委員会資料（R8.9.2）に反映済み。残るのは⑦調査報告書（80頁程度・5部）の作成。なお仕様書6（1）は要支援・要介護認定者300人も対象としているが、委員会資料に認定者調査の結果が示されておらず実施状況の確認を要する（確認事項No.21）。</t>
        </is>
      </c>
      <c r="J5" s="9" t="inlineStr">
        <is>
          <t>2, 21</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0.45</v>
      </c>
      <c r="H7" s="9" t="inlineStr">
        <is>
          <t>R9.2</t>
        </is>
      </c>
      <c r="I7" s="7" t="inlineStr">
        <is>
          <t>第1回は令和8年9月2日（水）開催で資料が確定済み（別途R8.9.2版あり）。第2回の説明資料も作成済み。第2回の想定問答集及び第3回・第4回の資料は未着手。委員名簿が未確定（確認事項No.5）。委員会の名称は仕様書及び第1回資料により「策定委員会」で確定（確認事項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関連施策評価調査シート＝未作成</t>
        </is>
      </c>
      <c r="F8" s="12" t="inlineStr">
        <is>
          <t>実施中</t>
        </is>
      </c>
      <c r="G8" s="20" t="n">
        <v>0.45</v>
      </c>
      <c r="H8" s="9" t="inlineStr">
        <is>
          <t>R8.10</t>
        </is>
      </c>
      <c r="I8" s="7" t="inlineStr">
        <is>
          <t>①②は概ね完了。③は第9期実績一覧の町記入待ち。④関連施策評価調査シートの案の提案が未着手で、仕様書は受託者からの提案と発注者との十分な協議を求めている。⑤各課・関係機関への聞き取りも未実施。</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0.55</v>
      </c>
      <c r="H10" s="9" t="inlineStr">
        <is>
          <t>R8.10</t>
        </is>
      </c>
      <c r="I10" s="7" t="inlineStr">
        <is>
          <t>①②は完了し、川崎町固有の5重点課題を整理済み。③は（4）の評価シートと連動しており未実施。④国保連データが未受領のため、給付実績の分析は第9期計画の公表値に依拠した概算にとどまる。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素案v1.6_本文充実版（44頁・411ブロック・6図表）
資料編_構成案・素案
計画素案_概要版（12頁）</t>
        </is>
      </c>
      <c r="F11" s="12" t="inlineStr">
        <is>
          <t>実施中</t>
        </is>
      </c>
      <c r="G11" s="20" t="n">
        <v>0.4</v>
      </c>
      <c r="H11" s="9" t="inlineStr">
        <is>
          <t>R9.2</t>
        </is>
      </c>
      <c r="I11" s="7" t="inlineStr">
        <is>
          <t>素案はv1.6まで作成済みだが、第9期計画の記述に誤りがある。①基本理念を「住民が住み慣れた地域で安心して暮らせるまちづくり」としているが、第9期計画の基本理念は「誰もが健やかに暮らせるまちづくり」であり、素案の理念は第9期計画に存在しない。②第9期の体系は「基本方針5つ」であるが素案は「基本目標」の語を用いている。③高齢化率41.4%は第9期計画に出典がなく、第1回委員会資料の39.2%（R4実績）・42.6%（R8推計）と不一致（確認事項No.22・23）。また独自の8章構成であり仕様書6（7）①〜⑨との対応確認を要する（No.15）。計画書は100頁程度で現在の44頁からの増補が必要。</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16:J16"/>
    <mergeCell ref="A2:J2"/>
    <mergeCell ref="A18:J18"/>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ニーズ調査433件・在宅介護実態調査109件を回収し、集計データを作成（20260717版）。第9期実績一覧の町記入及び関連施策評価調査シート案の提案は未着手。</t>
        </is>
      </c>
      <c r="F6" s="12" t="inlineStr">
        <is>
          <t>実施中</t>
        </is>
      </c>
      <c r="G6" s="9" t="inlineStr">
        <is>
          <t>R8.7末</t>
        </is>
      </c>
      <c r="H6" s="9" t="inlineStr"/>
      <c r="I6" s="9" t="inlineStr"/>
      <c r="J6" s="7" t="inlineStr">
        <is>
          <t>委員会資料の有効回答552件と集計データ433件が一致せず、確定版データの特定を要する（確認事項No.25）。評価シート案の提案が未着手（同No.7）。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第1回策定委員会資料を作成（令和8年8月12日）。ニーズ調査の第9期比較6指標、クロス分析6件、分野別課題整理（5分野）、論点整理を掲載。</t>
        </is>
      </c>
      <c r="F7" s="10" t="inlineStr">
        <is>
          <t>完了</t>
        </is>
      </c>
      <c r="G7" s="9" t="inlineStr">
        <is>
          <t>R8.8</t>
        </is>
      </c>
      <c r="H7" s="9" t="inlineStr"/>
      <c r="I7" s="9" t="inlineStr"/>
      <c r="J7" s="7" t="inlineStr">
        <is>
          <t>在宅介護実態調査（109件）の結果は同資料に未掲載（確認事項No.21）。</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第1回策定委員会は令和8年9月2日（水）開催。調査報告書は未作成、聞き取りも未実施。</t>
        </is>
      </c>
      <c r="F8" s="16" t="inlineStr">
        <is>
          <t>未着手</t>
        </is>
      </c>
      <c r="G8" s="9" t="inlineStr">
        <is>
          <t>R8.9末</t>
        </is>
      </c>
      <c r="H8" s="9" t="inlineStr"/>
      <c r="I8" s="9" t="inlineStr"/>
      <c r="J8" s="7" t="inlineStr">
        <is>
          <t>審議事項は①基本理念の方向性②分野別課題への追加視点③調査データの活用方法。調査報告書は計画書とは別の成果品（仕様書6（1））。</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保険料推計の枠組みは構築済み。男女別人口推計・事業量推計・地域支援事業の見込みは未着手。</t>
        </is>
      </c>
      <c r="F9" s="16" t="inlineStr">
        <is>
          <t>未着手</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確認待ち</t>
        </is>
      </c>
      <c r="I5" s="9" t="inlineStr">
        <is>
          <t>R8.6</t>
        </is>
      </c>
      <c r="J5" s="7" t="inlineStr"/>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第1回策定委員会資料により第1回はR8.9.2に確定。第2回はR8.11頃、第3回はR9.1頃、第4回はR9.2頃の予定（同資料のスケジュール案による）。</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仕様書及び第1回策定委員会資料により「策定委員会」で確定。計画素案v1.6ほか5成果物が「介護保険運営委員会」に変更されているため、「策定委員会」へ戻す。</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確認待ち</t>
        </is>
      </c>
      <c r="I13" s="9" t="inlineStr">
        <is>
          <t>R8.6</t>
        </is>
      </c>
      <c r="J13" s="7" t="inlineStr"/>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21</v>
      </c>
      <c r="B24" s="9" t="inlineStr">
        <is>
          <t>(1)</t>
        </is>
      </c>
      <c r="C24" s="9" t="inlineStr">
        <is>
          <t>R8.9</t>
        </is>
      </c>
      <c r="D24" s="7" t="inlineStr">
        <is>
          <t>在宅介護実態調査（認定者）の結果の取扱い</t>
        </is>
      </c>
      <c r="E24"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4" s="7" t="inlineStr">
        <is>
          <t>調査報告書（80頁程度・5部）
素案の在宅生活支援に係る記述
サービス見込量</t>
        </is>
      </c>
      <c r="G24" s="9" t="inlineStr">
        <is>
          <t>発注者</t>
        </is>
      </c>
      <c r="H24" s="14" t="inlineStr">
        <is>
          <t>確認待ち</t>
        </is>
      </c>
      <c r="I24" s="9" t="inlineStr">
        <is>
          <t>R8.9</t>
        </is>
      </c>
      <c r="J24" s="7" t="inlineStr">
        <is>
          <t>在宅介護実態調査データ（20260717版）により実施済みを確認。回答者は主な介護者が68.9%、本人が26.4%。要介護3以上が61件で全体の56%を占める。</t>
        </is>
      </c>
    </row>
    <row r="25" ht="80" customHeight="1">
      <c r="A25" s="9" t="n">
        <v>25</v>
      </c>
      <c r="B25" s="9" t="inlineStr">
        <is>
          <t>(1)</t>
        </is>
      </c>
      <c r="C25" s="9" t="inlineStr">
        <is>
          <t>R8.9</t>
        </is>
      </c>
      <c r="D25" s="7" t="inlineStr">
        <is>
          <t>ニーズ調査の有効回答数とデータ版の特定</t>
        </is>
      </c>
      <c r="E25" s="7" t="inlineStr">
        <is>
          <t>第1回策定委員会資料はニーズ調査の有効回答数を552件（第9期調査504件）としているが、受領した集計データ（20260717版）の有効回答は433件であり119件少ない。主要指標も委員会資料の値と一致しない（高血圧54.3%に対しデータ51.5%、糖尿病17.8%に対し19.0%、物忘れ41.8%に対し41.4%、参加意欲55.2%に対し56.0%）。委員会資料は令和8年8月12日作成、データは同7月17日付であり、その後に回収が進んだ最終版で再集計された可能性がある。調査報告書及び素案に用いる確定版データのご提供をお願いする。</t>
        </is>
      </c>
      <c r="F25" s="7" t="inlineStr">
        <is>
          <t>調査報告書（80頁程度・5部）
素案の調査結果に係る全記述
第2回以降の委員会資料</t>
        </is>
      </c>
      <c r="G25" s="9" t="inlineStr">
        <is>
          <t>発注者</t>
        </is>
      </c>
      <c r="H25" s="14" t="inlineStr">
        <is>
          <t>確認待ち</t>
        </is>
      </c>
      <c r="I25" s="9" t="inlineStr">
        <is>
          <t>R8.9</t>
        </is>
      </c>
      <c r="J25" s="7" t="inlineStr"/>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
素案 第3章（第9期の評価）
計画素案_概要版</t>
        </is>
      </c>
      <c r="G26" s="9" t="inlineStr">
        <is>
          <t>発注者</t>
        </is>
      </c>
      <c r="H26" s="14" t="inlineStr">
        <is>
          <t>確認待ち</t>
        </is>
      </c>
      <c r="I26" s="9" t="inlineStr">
        <is>
          <t>R8.9</t>
        </is>
      </c>
      <c r="J26" s="7" t="inlineStr"/>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
図2-5 高齢化率比較
第1回策定委員会資料</t>
        </is>
      </c>
      <c r="G27" s="9" t="inlineStr">
        <is>
          <t>発注者</t>
        </is>
      </c>
      <c r="H27" s="14" t="inlineStr">
        <is>
          <t>確認待ち</t>
        </is>
      </c>
      <c r="I27" s="9" t="inlineStr">
        <is>
          <t>R8.9</t>
        </is>
      </c>
      <c r="J27" s="7" t="inlineStr"/>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
保険料試算ワークブック
第1回策定委員会資料</t>
        </is>
      </c>
      <c r="G28" s="9" t="inlineStr">
        <is>
          <t>発注者</t>
        </is>
      </c>
      <c r="H28" s="14" t="inlineStr">
        <is>
          <t>確認待ち</t>
        </is>
      </c>
      <c r="I28" s="9" t="inlineStr">
        <is>
          <t>R8.9</t>
        </is>
      </c>
      <c r="J28" s="7" t="inlineStr"/>
    </row>
    <row r="29" ht="80" customHeight="1">
      <c r="A29" s="9" t="n">
        <v>26</v>
      </c>
      <c r="B29" s="9" t="inlineStr">
        <is>
          <t>(1)</t>
        </is>
      </c>
      <c r="C29" s="9" t="inlineStr">
        <is>
          <t>R8.9</t>
        </is>
      </c>
      <c r="D29" s="7" t="inlineStr">
        <is>
          <t>自由意見欄の所在と公表資料での取扱い</t>
        </is>
      </c>
      <c r="E29" s="7" t="inlineStr">
        <is>
          <t>「アンケートでの住民意見について」（令和8年8月20日）に7名分の自由意見が整理されているが、受領した集計データ（20260717版）には該当する記述が存在しない。同データ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29" s="7" t="inlineStr">
        <is>
          <t>調査報告書（80頁程度・5部）
第2回以降の委員会資料
素案の住民意見に係る記述</t>
        </is>
      </c>
      <c r="G29" s="9" t="inlineStr">
        <is>
          <t>発注者</t>
        </is>
      </c>
      <c r="H29" s="14" t="inlineStr">
        <is>
          <t>確認待ち</t>
        </is>
      </c>
      <c r="I29" s="9" t="inlineStr">
        <is>
          <t>R8.9</t>
        </is>
      </c>
      <c r="J29" s="7" t="inlineStr"/>
    </row>
    <row r="30" ht="80" customHeight="1">
      <c r="A30" s="9" t="n">
        <v>20</v>
      </c>
      <c r="B30" s="9" t="inlineStr">
        <is>
          <t>(4)</t>
        </is>
      </c>
      <c r="C30" s="9" t="inlineStr">
        <is>
          <t>R8.9</t>
        </is>
      </c>
      <c r="D30" s="7" t="inlineStr">
        <is>
          <t>同時策定2計画との整合調整</t>
        </is>
      </c>
      <c r="E30" s="7" t="inlineStr">
        <is>
          <t>地域福祉計画・障害者計画（別ベンダー：ジャパン総研）との整合について、重層的支援体制・移動支援・データ共有等に係る協議の場と調整の進め方。</t>
        </is>
      </c>
      <c r="F30" s="7" t="inlineStr">
        <is>
          <t>素案（3計画整合の記述）</t>
        </is>
      </c>
      <c r="G30" s="9" t="inlineStr">
        <is>
          <t>発注者</t>
        </is>
      </c>
      <c r="H30" s="14" t="inlineStr">
        <is>
          <t>確認待ち</t>
        </is>
      </c>
      <c r="I30" s="9" t="inlineStr">
        <is>
          <t>R8.9</t>
        </is>
      </c>
      <c r="J30" s="7" t="inlineStr"/>
    </row>
    <row r="32">
      <c r="A32" s="24" t="inlineStr">
        <is>
          <t>区分</t>
        </is>
      </c>
      <c r="B32" s="24" t="inlineStr">
        <is>
          <t>件数</t>
        </is>
      </c>
    </row>
    <row r="33">
      <c r="A33" s="10" t="inlineStr">
        <is>
          <t>完了</t>
        </is>
      </c>
      <c r="B33" s="9">
        <f>COUNTIF(H5:H30,"完了")</f>
        <v/>
      </c>
    </row>
    <row r="34">
      <c r="A34" s="12" t="inlineStr">
        <is>
          <t>実施中</t>
        </is>
      </c>
      <c r="B34" s="9">
        <f>COUNTIF(H5:H30,"実施中")</f>
        <v/>
      </c>
    </row>
    <row r="35">
      <c r="A35" s="14" t="inlineStr">
        <is>
          <t>確認待ち</t>
        </is>
      </c>
      <c r="B35" s="9">
        <f>COUNTIF(H5:H30,"確認待ち")</f>
        <v/>
      </c>
    </row>
    <row r="36">
      <c r="A36" s="16" t="inlineStr">
        <is>
          <t>未着手</t>
        </is>
      </c>
      <c r="B36" s="9">
        <f>COUNTIF(H5:H30,"未着手")</f>
        <v/>
      </c>
    </row>
    <row r="37">
      <c r="A37" s="18" t="inlineStr">
        <is>
          <t>対象外</t>
        </is>
      </c>
      <c r="B37" s="9">
        <f>COUNTIF(H5:H30,"対象外")</f>
        <v/>
      </c>
    </row>
    <row r="39" ht="26" customHeight="1">
      <c r="A39" s="23" t="inlineStr">
        <is>
          <t>注1）「回答・対応」欄は、発注者からの回答又は受託者による対応の結果を記入し、状態を「完了」に更新する。</t>
        </is>
      </c>
    </row>
    <row r="40" ht="26" customHeight="1">
      <c r="A40" s="23" t="inlineStr">
        <is>
          <t>注2）No.9〜11は保険料試算ワークブックの黄色セル（01!B15、06!B17、06!B16、04!B8、06!B10）と対応し、値を入力すると保険料基準額が自動で再計算される。</t>
        </is>
      </c>
    </row>
  </sheetData>
  <mergeCells count="4">
    <mergeCell ref="A39:J39"/>
    <mergeCell ref="A1:J1"/>
    <mergeCell ref="A40:J40"/>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未作成</t>
        </is>
      </c>
      <c r="D5" s="7" t="inlineStr">
        <is>
          <t>A4版　簡易コピー紙印刷製本
1色刷り　80頁程度　5部</t>
        </is>
      </c>
      <c r="E5" s="16" t="inlineStr">
        <is>
          <t>未着手</t>
        </is>
      </c>
      <c r="F5" s="20" t="n">
        <v>0</v>
      </c>
      <c r="G5" s="9" t="inlineStr">
        <is>
          <t>R9.3.15</t>
        </is>
      </c>
      <c r="H5" s="7" t="inlineStr">
        <is>
          <t>章構成、掲載する集計・分析の範囲、計画書本編との記載の重複の整理。アンケートの回収・集計後に作成する。</t>
        </is>
      </c>
      <c r="I5" s="9" t="inlineStr">
        <is>
          <t>1, 2</t>
        </is>
      </c>
    </row>
    <row r="6" ht="84" customHeight="1">
      <c r="A6" s="9" t="n">
        <v>2</v>
      </c>
      <c r="B6" s="21" t="inlineStr">
        <is>
          <t>調査結果集計・分析の電子データ</t>
        </is>
      </c>
      <c r="C6" s="7" t="inlineStr">
        <is>
          <t>アンケート集計分析テンプレート（6シート）
※回収前のため実データなし</t>
        </is>
      </c>
      <c r="D6" s="7" t="inlineStr">
        <is>
          <t>一式（Excel）</t>
        </is>
      </c>
      <c r="E6" s="16" t="inlineStr">
        <is>
          <t>未着手</t>
        </is>
      </c>
      <c r="F6" s="20" t="n">
        <v>0.15</v>
      </c>
      <c r="G6" s="9" t="inlineStr">
        <is>
          <t>R9.3.15</t>
        </is>
      </c>
      <c r="H6" s="7" t="inlineStr">
        <is>
          <t>テンプレートは整備済み。単純集計・クロス集計・グラフデータは回収後に作成する。</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20:I20"/>
    <mergeCell ref="A19:I19"/>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6" t="inlineStr">
        <is>
          <t>未着手</t>
        </is>
      </c>
      <c r="J5" s="12" t="inlineStr">
        <is>
          <t>実施中</t>
        </is>
      </c>
      <c r="K5" s="7" t="inlineStr">
        <is>
          <t>令和8年6〜7月に郵送で実施。集計データ（20260717版）の有効回答は433件・75設問で、属性別クロス集計・自由記述の分類まで完了。第1回策定委員会資料（R8.9.2）に反映済み。ただし同資料の有効回答数は552件と記載されており、データ版の特定を要する（確認事項No.25）。⑥調査報告書（80頁程度・5部）が未作成。</t>
        </is>
      </c>
      <c r="L5" s="9" t="inlineStr">
        <is>
          <t>2, 25</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6" t="inlineStr">
        <is>
          <t>未着手</t>
        </is>
      </c>
      <c r="J6" s="16" t="inlineStr">
        <is>
          <t>未着手</t>
        </is>
      </c>
      <c r="K6" s="7" t="inlineStr">
        <is>
          <t>令和8年6〜7月に実施。集計データ（20260717版）の有効回答は109件・26設問（回収率約36%）。回答者は主な介護者68.9%・本人26.4%。要介護3以上が61件（56%）。第1回策定委員会資料には結果が掲載されておらず、報告・反映の方針を要確認（確認事項No.21）。</t>
        </is>
      </c>
      <c r="L6" s="9" t="inlineStr">
        <is>
          <t>21</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row>
    <row r="11" ht="24" customHeight="1">
      <c r="A11" s="9" t="inlineStr">
        <is>
          <t>②印刷・発送準備</t>
        </is>
      </c>
      <c r="B11" s="7" t="inlineStr">
        <is>
          <t>調査票の印刷（2種類）、送付用封筒（角2）・返信用封筒（長3）の印刷、封入、宛名ラベル貼付（仕様書6（2））</t>
        </is>
      </c>
    </row>
    <row r="12" ht="24" customHeight="1">
      <c r="A12" s="9" t="inlineStr">
        <is>
          <t>③回収・回収票管理</t>
        </is>
      </c>
      <c r="B12" s="7" t="inlineStr">
        <is>
          <t>回収及び回収票管理（ナンバリング等）（仕様書6（1））</t>
        </is>
      </c>
    </row>
    <row r="13" ht="24" customHeight="1">
      <c r="A13" s="9" t="inlineStr">
        <is>
          <t>④入力・集計</t>
        </is>
      </c>
      <c r="B13" s="7" t="inlineStr">
        <is>
          <t>回収調査票の入力及び集計作業（データ入力・整理・グラフデータ作成）（仕様書6（1））</t>
        </is>
      </c>
    </row>
    <row r="14" ht="24" customHeight="1">
      <c r="A14" s="9" t="inlineStr">
        <is>
          <t>⑤集計・実態調査分析</t>
        </is>
      </c>
      <c r="B14" s="7" t="inlineStr">
        <is>
          <t>集計結果に基づく実態調査分析（仕様書6（1））</t>
        </is>
      </c>
    </row>
    <row r="15" ht="24" customHeight="1">
      <c r="A15" s="9" t="inlineStr">
        <is>
          <t>⑥調査報告書の作成</t>
        </is>
      </c>
      <c r="B15" s="7" t="inlineStr">
        <is>
          <t>調査票報告書の作成（編集・校正含み）（仕様書6（1））。成果品80頁程度・5部</t>
        </is>
      </c>
    </row>
    <row r="16" ht="24" customHeight="1">
      <c r="A16" s="9" t="inlineStr">
        <is>
          <t>⑦計画への反映</t>
        </is>
      </c>
      <c r="B16" s="7" t="inlineStr">
        <is>
          <t>素案の該当箇所への反映</t>
        </is>
      </c>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1"/>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資料提供依頼一覧（17件）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確認待ち</t>
        </is>
      </c>
      <c r="J5" s="7" t="inlineStr">
        <is>
          <t>確認事項No.3と対応。受領しない限り仕様書6（2）の発送準備が完了しない。</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3">
      <c r="A23" s="24" t="inlineStr">
        <is>
          <t>区分</t>
        </is>
      </c>
      <c r="B23" s="24" t="inlineStr">
        <is>
          <t>件数</t>
        </is>
      </c>
    </row>
    <row r="24">
      <c r="A24" s="10" t="inlineStr">
        <is>
          <t>完了</t>
        </is>
      </c>
      <c r="B24" s="9">
        <f>COUNTIF(I5:I21,"完了")</f>
        <v/>
      </c>
    </row>
    <row r="25">
      <c r="A25" s="12" t="inlineStr">
        <is>
          <t>実施中</t>
        </is>
      </c>
      <c r="B25" s="9">
        <f>COUNTIF(I5:I21,"実施中")</f>
        <v/>
      </c>
    </row>
    <row r="26">
      <c r="A26" s="14" t="inlineStr">
        <is>
          <t>確認待ち</t>
        </is>
      </c>
      <c r="B26" s="9">
        <f>COUNTIF(I5:I21,"確認待ち")</f>
        <v/>
      </c>
    </row>
    <row r="27">
      <c r="A27" s="16" t="inlineStr">
        <is>
          <t>未着手</t>
        </is>
      </c>
      <c r="B27" s="9">
        <f>COUNTIF(I5:I21,"未着手")</f>
        <v/>
      </c>
    </row>
    <row r="28">
      <c r="A28" s="18" t="inlineStr">
        <is>
          <t>対象外</t>
        </is>
      </c>
      <c r="B28" s="9">
        <f>COUNTIF(I5:I21,"対象外")</f>
        <v/>
      </c>
    </row>
    <row r="30" ht="26" customHeight="1">
      <c r="A30" s="23" t="inlineStr">
        <is>
          <t>注1）優先度は 最高／高／中／低 の別による。「最高」は、受領しない限り当該業務が完了しない資料を示す。</t>
        </is>
      </c>
    </row>
    <row r="31" ht="26" customHeight="1">
      <c r="A31" s="23" t="inlineStr">
        <is>
          <t>注2）「状態」が「完了」となった資料は、受領日を備考欄に記入する。</t>
        </is>
      </c>
    </row>
  </sheetData>
  <mergeCells count="4">
    <mergeCell ref="A1:J1"/>
    <mergeCell ref="A30:J30"/>
    <mergeCell ref="A31:J3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2026-08-20T00:27:41Z</dcterms:created>
  <dcterms:modified xsi:type="dcterms:W3CDTF">2026-08-20T00:27:41Z</dcterms:modified>
</cp:coreProperties>
</file>