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令和8年10月1日　本表の記載は同日時点のもの。計画素案 Ver.2.7（図表追加版・655段落125表・全103頁）、第2回策定委員会資料 v6、想定問答集 v3（全39問）、施策・事業統合体系表（7章17節37項143事業）、交付金取りまとめ表（7シート）、計画書別添整理表（5シート）、認知症の意見聴取記録様式（9シート・様式0〜5）、認知症の計画記載事項 適合性確認表（6シート）、大雪広域との素案対比表（8シート）、図表データ管理台帳（16シート・図9点）まで作成済み。点検は、素案の自己点検32件・保険料の検算39項目・書体の点検13件・図表の自己点検9件・委員会資料の自己点検27件がいずれも適合。</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計画書素案_v2.7_図表追加版（655段落125表・全103頁・図9点）
図表データ管理台帳_R8.9.30（16シート・図9点／不足図の候補5件）
施策・事業統合体系表_R8.9.25b（6シート・7章17節37項143事業）
認知症_意見聴取記録様式_R8.9.30（9シート・様式0〜5・別添22）
認知症_計画記載事項_適合性確認表_R8.9.30（6シート）
大雪広域_素案対比表_R8.9.30（8シート）
交付金_取りまとめ表_R8.9.29（7シート）
計画書_別添整理表_R8.9.29（5シート）</t>
        </is>
      </c>
      <c r="F11" s="12" t="inlineStr">
        <is>
          <t>実施中</t>
        </is>
      </c>
      <c r="G11" s="20" t="n">
        <v>0.98</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0.35</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2.7（図表追加版・全103頁）まで更新した。図の数値の正本を1か所（data_zuhyo.py）にまとめたうえで、町のご指示により図を3点加えた（図2-4 認定者数と認定率の推移、図3-1 交付金の得点の推移、図6-1 認知症施策のKPIの3層構造）。図3-1の作成の過程で、交付金取りまとめ表の令和6年度の枝番の合計が公表値454点と26点食い違っていること（令和8年度の枝番の一覧を軸にしているため）を把握し、図の数値は原典の指標群別の列から採った。また、2-2の本文が高齢化率の図を「図2-5」と参照したままであったことを「図2-2」に是正した。認知症の人及び家族等からの意見聴取は令和8年10〜11月に実施する予定であり、記録様式（別添22・様式0〜5）を作成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まで作成（ご選択いただきたい事項5件・保険料の3パターン・交付金の評価結果と取り戻せる27点・第1回からの訂正事項5件・当社資料の訂正6件・町案から取り込む事業10件・認知症施策の事業の追加候補15件と財源別の保険料影響）。想定問答集はv3（全39問8カテゴリ）。選択1（施策体系）のご判断により、追加候補15件を併せてご判断いただく。</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9">
      <c r="A169" s="24" t="inlineStr">
        <is>
          <t>区分</t>
        </is>
      </c>
      <c r="B169" s="24" t="inlineStr">
        <is>
          <t>件数</t>
        </is>
      </c>
    </row>
    <row r="170">
      <c r="A170" s="10" t="inlineStr">
        <is>
          <t>完了</t>
        </is>
      </c>
      <c r="B170" s="9">
        <f>COUNTIF(H5:H167,"完了")</f>
        <v/>
      </c>
    </row>
    <row r="171">
      <c r="A171" s="12" t="inlineStr">
        <is>
          <t>実施中</t>
        </is>
      </c>
      <c r="B171" s="9">
        <f>COUNTIF(H5:H167,"実施中")</f>
        <v/>
      </c>
    </row>
    <row r="172">
      <c r="A172" s="14" t="inlineStr">
        <is>
          <t>確認待ち</t>
        </is>
      </c>
      <c r="B172" s="9">
        <f>COUNTIF(H5:H167,"確認待ち")</f>
        <v/>
      </c>
    </row>
    <row r="173">
      <c r="A173" s="16" t="inlineStr">
        <is>
          <t>未着手</t>
        </is>
      </c>
      <c r="B173" s="9">
        <f>COUNTIF(H5:H167,"未着手")</f>
        <v/>
      </c>
    </row>
    <row r="174">
      <c r="A174" s="18" t="inlineStr">
        <is>
          <t>対象外</t>
        </is>
      </c>
      <c r="B174" s="9">
        <f>COUNTIF(H5:H167,"対象外")</f>
        <v/>
      </c>
    </row>
    <row r="176">
      <c r="A176" s="23" t="inlineStr">
        <is>
          <t>注1）「回答・対応」欄は、発注者からの回答又は受託者による対応の結果を記入し、状態を「完了」に更新する。</t>
        </is>
      </c>
    </row>
    <row r="177">
      <c r="A177"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6:J176"/>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川崎町_計画書素案_v2.7_図表追加版.docx</t>
        </is>
      </c>
      <c r="D8" s="7" t="inlineStr">
        <is>
          <t>A4版　表紙レザック　本文上質紙
1色刷り　100頁程度　100部</t>
        </is>
      </c>
      <c r="E8" s="12" t="inlineStr">
        <is>
          <t>実施中</t>
        </is>
      </c>
      <c r="F8" s="20" t="n">
        <v>0.75</v>
      </c>
      <c r="G8" s="9" t="inlineStr">
        <is>
          <t>R9.3.15</t>
        </is>
      </c>
      <c r="H8" s="7" t="inlineStr">
        <is>
          <t>【R8.9.29 更新】素案Ver.2.1（本文88頁）。別添（資料編）に必要な項目28件を洗い出し、置き場所を5つに振り分けた（別添整理表R8.9.29）。計画書の資料編は10件13頁とし、本文88頁＋資料編13頁＝101頁で仕様書8の100頁程度に収まる。本文で足りるもの11件・別冊3件・調査報告書1件・ホームページ及び内部資料3件に振り分けた。新たに様式を起こすものが9件あり、うち4件は交付金・認知症基本法の要件そのもの。最も急ぐのは認知症の人及び家族等からの意見聴取の記録様式（R8.10上旬）。施策内容の本文をどこまで書き下ろすかは打合せによ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【R8.9.29 更新】概要版（8頁程度・3,500部）は未着手。計画書の資料編の割付が固まったため、概要版は本文の第3章（課題）・第4章（体系）・第9章（保険料）を軸に8頁で構成する案を第3回策定委員会でお示しする。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
川崎町_大雪広域_素案対比表_R8.9.30.xlsx
川崎町_図表データ管理台帳_R8.9.30.xlsx</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2026-10-01T05:44:29Z</dcterms:modified>
</cp:coreProperties>
</file>