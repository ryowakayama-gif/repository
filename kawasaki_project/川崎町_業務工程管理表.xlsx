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令和8年9月28日　本表の記載は同日時点のもの。計画素案 Ver.2.1、第2回策定委員会資料 v5、同 想定問答集 v2、確認事項 No.128 まで。</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v5（86段落33表）
第2回委員会_想定問答集 v2（35問8カテゴリ）
F6_策定委員会書類ひな形_改訂版</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v>
      </c>
      <c r="H8" s="9" t="inlineStr">
        <is>
          <t>R8.10</t>
        </is>
      </c>
      <c r="I8" s="7" t="inlineStr">
        <is>
          <t>①②は完了。令和8年9月11日受領の見える化システムの画面の写し及び総括表により、令和7年度の年報（要介護度別明細）まで取り込んだ。令和8年9月25日公表の交付金とりまとめ資料は、都道府県分・市町村分とも点検を完了し（9月2日受領分と完全一致）、評価指標（市町村分・全42頁）の本文を全国一覧表と枝番（ア・イ・ウ…）の単位まで突き合わせた。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計画書素案_v2.1_新規拡充説明版（588段落111表・全88頁）
施策・事業の体系（Ｃ案）別冊（全12頁）
施策事業統合体系表（6シート・7章17節37項143事業）
資料編_構成案・素案
計画素案_概要版（12頁）</t>
        </is>
      </c>
      <c r="F11" s="12" t="inlineStr">
        <is>
          <t>実施中</t>
        </is>
      </c>
      <c r="G11" s="20" t="n">
        <v>0.95</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0.3</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1.25（全80頁）。見える化システムへの入力は、在宅の利用回（日）数が令和8年5月ベースで固定されているため、新しい推計パターンの作成を提案し設定値一式（8シート）を提供済み。10月は、調査結果報告書の最終確定（体裁13件）と、確認事項No.127・128（交付金）のご回答を待って第3章3-3・第8章8-2を確定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第2回策定委員会の資料をv5まで作成（ご選択いただきたい事項5件・保険料の確定値・計画骨子案に加え、「７．交付金の評価と取り戻せる27点」を新設）。想定問答集も v2（全35問・8カテゴリ）に拡充済み。諮る事項は施策体系（Ｃ案）・入所居住系の整備量・在宅供給・介護人材・保険料と基金の5件。本資料で交付金の評価結果を報告することが、交付金「評価結果の活用」の要件イを満たす。残るのは開催日の確定（確認事項No.85）。</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4">
      <c r="A134" s="24" t="inlineStr">
        <is>
          <t>区分</t>
        </is>
      </c>
      <c r="B134" s="24" t="inlineStr">
        <is>
          <t>件数</t>
        </is>
      </c>
    </row>
    <row r="135">
      <c r="A135" s="10" t="inlineStr">
        <is>
          <t>完了</t>
        </is>
      </c>
      <c r="B135" s="9">
        <f>COUNTIF(H5:H132,"完了")</f>
        <v/>
      </c>
    </row>
    <row r="136">
      <c r="A136" s="12" t="inlineStr">
        <is>
          <t>実施中</t>
        </is>
      </c>
      <c r="B136" s="9">
        <f>COUNTIF(H5:H132,"実施中")</f>
        <v/>
      </c>
    </row>
    <row r="137">
      <c r="A137" s="14" t="inlineStr">
        <is>
          <t>確認待ち</t>
        </is>
      </c>
      <c r="B137" s="9">
        <f>COUNTIF(H5:H132,"確認待ち")</f>
        <v/>
      </c>
    </row>
    <row r="138">
      <c r="A138" s="16" t="inlineStr">
        <is>
          <t>未着手</t>
        </is>
      </c>
      <c r="B138" s="9">
        <f>COUNTIF(H5:H132,"未着手")</f>
        <v/>
      </c>
    </row>
    <row r="139">
      <c r="A139" s="18" t="inlineStr">
        <is>
          <t>対象外</t>
        </is>
      </c>
      <c r="B139" s="9">
        <f>COUNTIF(H5:H132,"対象外")</f>
        <v/>
      </c>
    </row>
    <row r="141">
      <c r="A141" s="23" t="inlineStr">
        <is>
          <t>注1）「回答・対応」欄は、発注者からの回答又は受託者による対応の結果を記入し、状態を「完了」に更新する。</t>
        </is>
      </c>
    </row>
    <row r="142">
      <c r="A142" s="23" t="inlineStr">
        <is>
          <t>注2）No.9〜11は保険料試算ワークブックの黄色セル（01!B15、06!B17、06!B16、04!B8、06!B10）と対応し、値を入力すると保険料基準額が自動で再計算される。</t>
        </is>
      </c>
    </row>
  </sheetData>
  <mergeCells count="4">
    <mergeCell ref="A1:J1"/>
    <mergeCell ref="A142:J142"/>
    <mergeCell ref="A141:J1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川崎町_計画書素案_v2.1_新規拡充説明版.docx</t>
        </is>
      </c>
      <c r="D8" s="7" t="inlineStr">
        <is>
          <t>A4版　表紙レザック　本文上質紙
1色刷り　100頁程度　100部</t>
        </is>
      </c>
      <c r="E8" s="12" t="inlineStr">
        <is>
          <t>実施中</t>
        </is>
      </c>
      <c r="F8" s="20" t="n">
        <v>0.7</v>
      </c>
      <c r="G8" s="9" t="inlineStr">
        <is>
          <t>R9.3.15</t>
        </is>
      </c>
      <c r="H8" s="7" t="inlineStr">
        <is>
          <t>【R8.9.28d 更新】Ver.2.0で統合体系表の143事業を書き下ろし、Ver.2.1で第10期に内容が変わる42事業（新規23・拡充19）の根拠と内容を章ごとの表で示した。第10章10-4に「交付金の失点の回復管理」を新設し、体制・取組指標群の失点27点と、町の取組で動かせる活動指標2項目を、現状・目標・本計画での位置・集計担当の形で管理できるようにした。目次の頁番号を入れるスクリプトを是正し（節を計画書に現れる順に解く）、10-4の頁番号が35頁と誤っていたのを82頁に直した。自己点検は31件すべて適合。全588段落・111表・88頁。</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川崎町_第2回策定委員会資料_R8.11_v5.docx／同_想定問答集_R8.11_v2.docx ほか</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2026-09-28T14:14:29Z</dcterms:modified>
</cp:coreProperties>
</file>