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0.5</v>
      </c>
      <c r="H7" s="9" t="inlineStr">
        <is>
          <t>R9.2</t>
        </is>
      </c>
      <c r="I7" s="7" t="inlineStr">
        <is>
          <t>第1回は令和8年9月2日（水）開催で資料が確定（R8.9.2 v8統合版・11項目／表31／図1）。保険者機能強化推進交付金等の評価結果（令和6〜8年度）まで反映済み。第2回の説明資料も作成済み。第2回の想定問答集及び第3回・第4回の資料は未着手。委員名簿が未確定（確認事項No.5）。委員会の名称は仕様書及び第1回資料により「策定委員会」で確定（同No.6）。</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0.65</v>
      </c>
      <c r="H8" s="9" t="inlineStr">
        <is>
          <t>R8.10</t>
        </is>
      </c>
      <c r="I8" s="7" t="inlineStr">
        <is>
          <t>①②は概ね完了。保険者機能強化推進交付金等の全国集計結果（令和6〜8年度）を受領・分析し、③現行施策の検証のうち交付金評価の部分は確定（令和6年度454点696位／令和7年度565点114位／令和8年度528点366位）。④関連施策評価調査シート案（8シート）を令和8年8月28日に作成し、町との協議待ち（確認事項No.7）。⑤各課・関係機関への配付と聞き取りは、シート案の決定後に実施する。第9期KPIのアウトプット指標（地域ケア会議等の開催実績）は町記入待ち（同No.34）。</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0.5</v>
      </c>
      <c r="H9" s="9" t="inlineStr">
        <is>
          <t>R9.1</t>
        </is>
      </c>
      <c r="I9" s="7" t="inlineStr">
        <is>
          <t>⑥保険料推計は8ステップの枠組みを構築し暫定値を算出（A=7,632／B=7,384／C=7,137円）。①は年齢区分別まで作成済みだが男女別が未作成。②③④⑤⑦は未着手で、特に地域支援事業①〜⑤の個別見込みとサービス種類別事業量は国保連データの受領が前提。保険料の確定には町確認データ4項目を要する。</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0.6</v>
      </c>
      <c r="H10" s="9" t="inlineStr">
        <is>
          <t>R8.10</t>
        </is>
      </c>
      <c r="I10" s="7" t="inlineStr">
        <is>
          <t>①②は完了し、川崎町固有の5重点課題を整理済み。交付金評価のアウトカム指標により、取組（プロセス）は全国上位である一方、要介護1・2の平均要介護度の伸び（全国1,580位）等のアウトカムが全国下位である構造を確認した。③は（4）の評価シートと連動しており未実施。④国保連データが未受領のため、給付実績の分析は第9期計画の公表値に依拠した概算にとどまる（確認事項No.12）。</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0.6</v>
      </c>
      <c r="H11" s="9" t="inlineStr">
        <is>
          <t>R9.2</t>
        </is>
      </c>
      <c r="I11" s="7" t="inlineStr">
        <is>
          <t>素案はv1.8まで作成。v1.7で第9期計画の記載を是正（確認事項No.22・23・24・6）、v1.8で2調査の結果を反映（第2章に2-6「調査結果からみた高齢者の状況」を新設・7分野7表、第3章3-4に課題3件を追加、第5章5-1〜5-5の施策の方向性に根拠を追記、KPI現状値5項目を確定）。残るのは①第9期35事業の実績値の反映（同No.8・34）②関連施策評価調査結果の反映（同No.7）③100頁程度への増補④計画書の構成と仕様書6（7）の対応（同No.15）⑤町長挨拶文・氏名（同No.16）。</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0.15</v>
      </c>
      <c r="H12" s="9" t="inlineStr">
        <is>
          <t>R9.3</t>
        </is>
      </c>
      <c r="I12" s="7" t="inlineStr">
        <is>
          <t>中間報告の提出期日が指定されていない（確認事項No.17）。計画書（案）は素案の確定後に作成する。成果品の仕様は仕様書8に明記されており、計画書100頁程度100部、概要版8頁程度3,500部、調査報告書80頁程度5部。委託期間は令和9年3月15日までであり、印刷・製本の所要日数を逆算した入稿期日の設定を要す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は令和8年9月2日（水）開催。委員会資料はv8統合版で確定。調査報告書は、ニーズ調査結果報告書（R8.9.2版）と介護実態調査結果報告書（R8.9.2版）を作成し、いずれもredteamレビューを反映済み。成果品（80頁程度・5部）としての統合・体裁は未確定。各課・関係機関への聞き取りは未実施。関連施策評価調査シート案（8シート）を作成し、町との協議を待っている。</t>
        </is>
      </c>
      <c r="F8" s="16" t="inlineStr">
        <is>
          <t>実施中</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保険料推計の枠組みは構築済み。素案はv1.8（調査結果反映版）まで作成し、第2章2-6の新設・第3章の課題追加・第5章の根拠追記・KPI現状値の確定を実施。男女別人口推計・事業量推計・地域支援事業の見込みは、国保連データ及び町確認データの受領後に着手す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第2回の説明資料（4頁）は作成済み。想定問答集は未作成。</t>
        </is>
      </c>
      <c r="F10" s="16" t="inlineStr">
        <is>
          <t>未着手</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町確認データの受領により暫定値を確定値へ置き換える。</t>
        </is>
      </c>
      <c r="F11" s="16" t="inlineStr">
        <is>
          <t>未着手</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実施中</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確認待ち</t>
        </is>
      </c>
      <c r="I77" s="9" t="inlineStr">
        <is>
          <t>R8.9</t>
        </is>
      </c>
      <c r="J77" s="7" t="inlineStr">
        <is>
          <t>委託仕様書6(5)の「10年間」（令和9〜18年度）では2040年度に届かず、範囲にギャップがある。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80">
      <c r="A80" s="24" t="inlineStr">
        <is>
          <t>区分</t>
        </is>
      </c>
      <c r="B80" s="24" t="inlineStr">
        <is>
          <t>件数</t>
        </is>
      </c>
    </row>
    <row r="81">
      <c r="A81" s="10" t="inlineStr">
        <is>
          <t>完了</t>
        </is>
      </c>
      <c r="B81" s="9">
        <f>COUNTIF(H5:H78,"完了")</f>
        <v/>
      </c>
    </row>
    <row r="82">
      <c r="A82" s="12" t="inlineStr">
        <is>
          <t>実施中</t>
        </is>
      </c>
      <c r="B82" s="9">
        <f>COUNTIF(H5:H78,"実施中")</f>
        <v/>
      </c>
    </row>
    <row r="83">
      <c r="A83" s="14" t="inlineStr">
        <is>
          <t>確認待ち</t>
        </is>
      </c>
      <c r="B83" s="9">
        <f>COUNTIF(H5:H78,"確認待ち")</f>
        <v/>
      </c>
    </row>
    <row r="84">
      <c r="A84" s="16" t="inlineStr">
        <is>
          <t>未着手</t>
        </is>
      </c>
      <c r="B84" s="9">
        <f>COUNTIF(H5:H78,"未着手")</f>
        <v/>
      </c>
    </row>
    <row r="85">
      <c r="A85" s="18" t="inlineStr">
        <is>
          <t>対象外</t>
        </is>
      </c>
      <c r="B85" s="9">
        <f>COUNTIF(H5:H78,"対象外")</f>
        <v/>
      </c>
    </row>
    <row r="87">
      <c r="A87" s="23" t="inlineStr">
        <is>
          <t>注1）「回答・対応」欄は、発注者からの回答又は受託者による対応の結果を記入し、状態を「完了」に更新する。</t>
        </is>
      </c>
    </row>
    <row r="88">
      <c r="A88" s="23" t="inlineStr">
        <is>
          <t>注2）No.9〜11は保険料試算ワークブックの黄色セル（01!B15、06!B17、06!B16、04!B8、06!B10）と対応し、値を入力すると保険料基準額が自動で再計算される。</t>
        </is>
      </c>
    </row>
  </sheetData>
  <mergeCells count="4">
    <mergeCell ref="A88:J88"/>
    <mergeCell ref="A1:J1"/>
    <mergeCell ref="A2:J2"/>
    <mergeCell ref="A87:J8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川崎町_ニーズ調査結果報告書_R8.9.2版（148段落・表103・グラフ73点）
川崎町_介護実態調査結果報告書_R8.9.2版（216段落・表18・グラフ10点）</t>
        </is>
      </c>
      <c r="D5" s="7" t="inlineStr">
        <is>
          <t>A4版　簡易コピー紙印刷製本
1色刷り　80頁程度　5部</t>
        </is>
      </c>
      <c r="E5" s="16" t="inlineStr">
        <is>
          <t>実施中</t>
        </is>
      </c>
      <c r="F5" s="20" t="n">
        <v>0.55</v>
      </c>
      <c r="G5" s="9" t="inlineStr">
        <is>
          <t>R9.3.15</t>
        </is>
      </c>
      <c r="H5" s="7" t="inlineStr">
        <is>
          <t>2調査の結果報告書は作成済みで、集計ブックとの全件突合・redteamレビューの反映まで完了している。成果品としての統合方法（2冊構成か1冊構成か）、80頁程度への構成、図表番号の付与、計画書本編との重複整理が未確定（確認事項No.2）。</t>
        </is>
      </c>
      <c r="I5" s="9" t="inlineStr">
        <is>
          <t>1, 2</t>
        </is>
      </c>
    </row>
    <row r="6" ht="84" customHeight="1">
      <c r="A6" s="9" t="n">
        <v>2</v>
      </c>
      <c r="B6" s="21" t="inlineStr">
        <is>
          <t>調査結果集計・分析の電子データ</t>
        </is>
      </c>
      <c r="C6" s="7" t="inlineStr">
        <is>
          <t>川崎町_介護予防日常生活圏域ニーズ調査_集計データ_20260807.xlsx（576件・75設問）
川崎町_在宅介護実態調査_集計データ_20260807.xlsx（142件・26設問）</t>
        </is>
      </c>
      <c r="D6" s="7" t="inlineStr">
        <is>
          <t>一式（Excel）</t>
        </is>
      </c>
      <c r="E6" s="16" t="inlineStr">
        <is>
          <t>実施中</t>
        </is>
      </c>
      <c r="F6" s="20" t="n">
        <v>0.7</v>
      </c>
      <c r="G6" s="9" t="inlineStr">
        <is>
          <t>R9.3.15</t>
        </is>
      </c>
      <c r="H6" s="7" t="inlineStr">
        <is>
          <t>単純集計・属性別集計・グラフデータは作成済み。個票による設問間クロス分析も算出済み。納品形式（提出するシートの範囲、個票の取扱い）が未確定。</t>
        </is>
      </c>
      <c r="I6" s="9" t="inlineStr">
        <is>
          <t>1, 3</t>
        </is>
      </c>
    </row>
    <row r="7" ht="84" customHeight="1">
      <c r="A7" s="9" t="n">
        <v>3</v>
      </c>
      <c r="B7" s="21" t="inlineStr">
        <is>
          <t>事業量・見込み量等の推計用電子データ</t>
        </is>
      </c>
      <c r="C7" s="7" t="inlineStr">
        <is>
          <t>保険料試算ワークブック（11シート・129数式）
長期推計・給付費・保険料試算レポート
保険料_県内比較分析・要因分析
給付費・保険料算定の精査レポート</t>
        </is>
      </c>
      <c r="D7" s="7" t="inlineStr">
        <is>
          <t>一式（Excel）</t>
        </is>
      </c>
      <c r="E7" s="12" t="inlineStr">
        <is>
          <t>実施中</t>
        </is>
      </c>
      <c r="F7" s="20" t="n">
        <v>0.5</v>
      </c>
      <c r="G7" s="9" t="inlineStr">
        <is>
          <t>R9.3.15</t>
        </is>
      </c>
      <c r="H7" s="7" t="inlineStr">
        <is>
          <t>保険料推計の枠組みは構築済みで黄色セル5項目が町確認待ち。サービス種類別の事業量推計、地域支援事業①〜⑤の見込み、男女別人口推計が未作成。</t>
        </is>
      </c>
      <c r="I7" s="9" t="inlineStr">
        <is>
          <t>9, 10, 11, 12, 13</t>
        </is>
      </c>
    </row>
    <row r="8" ht="84" customHeight="1">
      <c r="A8" s="9" t="n">
        <v>4</v>
      </c>
      <c r="B8" s="21" t="inlineStr">
        <is>
          <t>計画書</t>
        </is>
      </c>
      <c r="C8" s="7" t="inlineStr">
        <is>
          <t>計画素案v1.6_本文充実版（44頁・411ブロック・6図表）
資料編_構成案・素案</t>
        </is>
      </c>
      <c r="D8" s="7" t="inlineStr">
        <is>
          <t>A4版　表紙レザック　本文上質紙
1色刷り　100頁程度　100部</t>
        </is>
      </c>
      <c r="E8" s="12" t="inlineStr">
        <is>
          <t>実施中</t>
        </is>
      </c>
      <c r="F8" s="20" t="n">
        <v>0.45</v>
      </c>
      <c r="G8" s="9" t="inlineStr">
        <is>
          <t>R9.3.15</t>
        </is>
      </c>
      <c r="H8" s="7" t="inlineStr">
        <is>
          <t>現行素案は44頁であり、成果品の100頁程度に対して増補を要する。仕様書6（7）①〜⑨の構成との対応確認が未了。入稿期日が未確定。</t>
        </is>
      </c>
      <c r="I8" s="9" t="inlineStr">
        <is>
          <t>15, 16, 18</t>
        </is>
      </c>
    </row>
    <row r="9" ht="84" customHeight="1">
      <c r="A9" s="9" t="n">
        <v>5</v>
      </c>
      <c r="B9" s="21" t="inlineStr">
        <is>
          <t>概要版</t>
        </is>
      </c>
      <c r="C9" s="7" t="inlineStr">
        <is>
          <t>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現行の概要版は委員事前配布用の12頁であり、住民配布用の8頁程度への再構成を要する。3,500部は全世帯配布規模であり、印刷所要日数の確認を要する。</t>
        </is>
      </c>
      <c r="I9" s="9" t="inlineStr">
        <is>
          <t>18</t>
        </is>
      </c>
    </row>
    <row r="10" ht="84" customHeight="1">
      <c r="A10" s="9" t="n">
        <v>6</v>
      </c>
      <c r="B10" s="21" t="inlineStr">
        <is>
          <t>計画書概要及び計画書案等の電子データ</t>
        </is>
      </c>
      <c r="C10" s="7" t="inlineStr">
        <is>
          <t>素案v1.6（Word）
概要版（Word）
資料編（Word）</t>
        </is>
      </c>
      <c r="D10" s="7" t="inlineStr">
        <is>
          <t>一式（Word・PDF）</t>
        </is>
      </c>
      <c r="E10" s="12" t="inlineStr">
        <is>
          <t>実施中</t>
        </is>
      </c>
      <c r="F10" s="20" t="n">
        <v>0.45</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9"/>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資料提供依頼一覧（25件）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最高</t>
        </is>
      </c>
      <c r="I7" s="14" t="inlineStr">
        <is>
          <t>確認待ち</t>
        </is>
      </c>
      <c r="J7" s="7" t="inlineStr">
        <is>
          <t>確認事項No.12と対応。仕様書6（5）（6）の中核データ。</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確認待ち</t>
        </is>
      </c>
      <c r="J8" s="7" t="inlineStr">
        <is>
          <t>確認事項No.10と対応。</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確認待ち</t>
        </is>
      </c>
      <c r="J26" s="7" t="inlineStr">
        <is>
          <t>確認事項No.72と対応。回次・各回の締切・入力範囲が書かれているのはこの1枚の可能性が高い。</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26" customHeight="1"/>
    <row r="31" ht="26" customHeight="1">
      <c r="A31" s="24" t="inlineStr">
        <is>
          <t>区分</t>
        </is>
      </c>
      <c r="B31" s="24" t="inlineStr">
        <is>
          <t>件数</t>
        </is>
      </c>
    </row>
    <row r="32">
      <c r="A32" s="10" t="inlineStr">
        <is>
          <t>完了</t>
        </is>
      </c>
      <c r="B32" s="9">
        <f>COUNTIF(I5:I29,"完了")</f>
        <v/>
      </c>
    </row>
    <row r="33">
      <c r="A33" s="12" t="inlineStr">
        <is>
          <t>実施中</t>
        </is>
      </c>
      <c r="B33" s="9">
        <f>COUNTIF(I5:I29,"実施中")</f>
        <v/>
      </c>
    </row>
    <row r="34">
      <c r="A34" s="14" t="inlineStr">
        <is>
          <t>確認待ち</t>
        </is>
      </c>
      <c r="B34" s="9">
        <f>COUNTIF(I5:I29,"確認待ち")</f>
        <v/>
      </c>
    </row>
    <row r="35">
      <c r="A35" s="16" t="inlineStr">
        <is>
          <t>未着手</t>
        </is>
      </c>
      <c r="B35" s="9">
        <f>COUNTIF(I5:I29,"未着手")</f>
        <v/>
      </c>
    </row>
    <row r="36">
      <c r="A36" s="18" t="inlineStr">
        <is>
          <t>対象外</t>
        </is>
      </c>
      <c r="B36" s="9">
        <f>COUNTIF(I5:I29,"対象外")</f>
        <v/>
      </c>
    </row>
    <row r="38">
      <c r="A38" s="23" t="inlineStr">
        <is>
          <t>注1）優先度は 最高／高／中／低 の別による。「最高」は、受領しない限り当該業務が完了しない資料を示す。</t>
        </is>
      </c>
    </row>
    <row r="39">
      <c r="A39" s="23" t="inlineStr">
        <is>
          <t>注2）「状態」が「完了」となった資料は、受領日を備考欄に記入する。</t>
        </is>
      </c>
    </row>
  </sheetData>
  <mergeCells count="4">
    <mergeCell ref="A39:J39"/>
    <mergeCell ref="A1:J1"/>
    <mergeCell ref="A38:J38"/>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2026-09-08T04:15:06Z</dcterms:modified>
</cp:coreProperties>
</file>