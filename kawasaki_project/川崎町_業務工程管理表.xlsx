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令和8年10月24日　本表の記載は同日時点のもの。Red Team 再レビュー第4回を受け、協議用素案 Ver.2.36・公表用の計画書（案）v2.36・概要版 v2.36・第2回策定委員会資料 v21・想定問答集 v17（全69問）に是正した。第4回の指摘9件と影響範囲の確認で見つけた1件のうち是正済7・町のご判断2・町のご確認待ち1（ほか横断1件是正）。点検ログ14件はすべて終了コード0。確認事項は190件のうち19件が完了。一式は 11_提出一式/川崎町_RedTeam再レビュー第4回対応_成果物とエビデンス_R8.10.24.zip。
（前の記載）令和8年10月24日　本表の記載は同日時点のもの。Red Team 再レビュー第3回の影響範囲を5冊で走査し、残っていた同じ趣旨の記述（保険料の「本算定」、通いの場の「参加率」、29.9万円の出所）を、協議用素案 Ver.2.35・公表用の計画書（案）v2.35・概要版 v2.35・第2回策定委員会資料 v20 で是正した（想定問答集 v16 は是正の対象なし）。点検ログ14件はすべて終了コード0。確認事項は190件のうち19件が完了。一式は 11_提出一式/川崎町_RedTeam再レビュー第3回_影響範囲再点検_成果物とエビデンス_R8.10.24.zip。
（前の記載）令和8年10月24日　本表の記載は同日時点のもの。Red Team 再レビュー第3回（同日）を受け、協議用素案 Ver.2.34・公表用の計画書（案）v2.34・概要版 v2.34・第2回策定委員会資料 v19・想定問答集 v16（全69問）に是正した。第3回の指摘11件のうち是正済8・一部是正2・町のご判断1。令和7年度の給付費37サービスを年報の円単位で突合（37件一致）。点検ログ14件はすべて終了コード0。確認事項は190件のうち19件が完了。一式は 11_提出一式/川崎町_RedTeam再レビュー第3回対応_成果物とエビデンス_R8.10.24.zip。
（前の記載）令和8年10月24日　本表の記載は同日時点のもの。Red Team 再レビュー（同日）を受け、協議用素案 Ver.2.33・公表用の計画書（案）v2.33・概要版 v2.33・第2回策定委員会資料 v18・想定問答集 v15（全69問）に是正した。新規の指摘11件のうち是正済9・一部是正1・町のご確認待ち1（No.190）。点検ログ14件はすべて終了コード0。確認事項は190件のうち19件が完了。一式は 11_提出一式/川崎町_RedTeam再レビュー対応_成果物とエビデンス_R8.10.24.zip。
（前の記載）令和8年10月24日　本表の記載は同日時点のもの。Red Team レビュー（令和8年10月24日）を受け、協議用素案 Ver.2.32（118頁）・公表用の計画書（案）v2.32（116頁）・概要版 v2.32（8頁）・第2回策定委員会資料 v17（21頁）・想定問答集 v14（全69問）に是正した。指摘27件のうち是正済16・一部是正3・既に対応1、残る7件は資料の未受領又は町のご判断による。点検ログ14件はすべて終了コード0。確認事項は189件のうち19件が完了。一式は 11_提出一式/川崎町_RedTeamレビュー対応_成果物とエビデンス_R8.10.24.zip。
（前の基準日の記載）令和8年10月23日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0.85</v>
      </c>
      <c r="H7" s="9" t="inlineStr">
        <is>
          <t>R9.2</t>
        </is>
      </c>
      <c r="I7" s="38" t="inlineStr">
        <is>
          <t>【令和8年10月23日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【令和8年10月24日 更新⑤（Red Team 再レビュー第4回への対応）】F4-03。パブリックコメントを令和9年1月4日開始とすると後続が6日遅れ、案Ⅰの納品は3月16日（火）で納期を1日超える（旧の「3月15日ちょうど」は誤り）。1月4日開始なら第3回から入稿まで又は印刷製本を1日以上短縮するか、案Ⅱ（印刷2週間・3月9日）。資料 v21・問答集 v17・逆算工程表を改めた。　【令和8年10月24日 更新③（Red Team 再レビュー第3回への対応）】全3回とすることは委託仕様書6(3)の「4回開催の予定」の変更に当たるため、仕様書11（定めのない事項の協議）を根拠とせず、町の契約担当で契約上の手続（変更契約又は書面による合意の要否）をご確認いただき、町が書面で決定する形に資料 v19・問答集 v16（QB-58）を改めた。委員会には工程の見通しについてご意見をいただく。既定値＝第2回の前までに手続の判断がない場合、資料は案Ⅰを事務局案として示したまま、回数は未決定と扱う。　【令和8年10月21日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【令和8年10月24日 更新⑤（Red Team 再レビュー第4回への対応）】F4-06。素案は全118頁＝表紙・ご挨拶・目次5頁＋本文113頁、資料編（見込）13頁を含め計131頁。別冊に移した案は全106頁（本文101頁）・計119頁。「100頁程度」との差は本文のみで＋13頁（別冊後＋1頁）、冊子全体で＋31頁（＋19頁）。数える範囲を町と書面で確かめたい。　【令和8年10月24日 更新③（Red Team 再レビュー第3回への対応）】Red Team 再レビュー第3回 R3-11。素案は本文118頁・資料編（見込）13頁の計131頁。仕様書8の「100頁程度」の対象範囲（本文のみか、資料編を含むか。概要版は別）を町と書面で確かめたい。　【令和8年10月21日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【令和8年10月24日 更新⑤（Red Team 再レビュー第4回への対応）】F4-01。9-2 の表の令和7年度で、標準給付費見込額（1,084,587千円＝年報 様式3 の支払額。審査支払手数料を含まない）と内訳5項目の和（1,084,826千円。総給付費は様式2 の給付実績）が239千円違っていた。令和7年度の欄を5項目の和に改め、様式3 との違いを注に書いた。令和6年度→令和7年度の比較も基準が違っていた（1,093,253千円は手数料を含む）ため、様式3 の支払額で 1,092,621千円→1,084,587千円・0.7％減に改めた。保険料（令和9〜11年度）への波及なし。　【令和8年10月24日 更新④（第3回レビューの影響範囲の再点検）】第3回レビューを同じ版で受け直し、同じ趣旨の記述を5冊で走査した。保険料の「本算定」（素案 9-3 の5か所・資料 表26）は確定の算定と読めるため「本試算」に改めた。入所・居住系の1人1月あたり給付費約29.9万円の出所（給付費680,226千円÷年報の受給者数延べ2,274人月＝299.13千円）を素案 5-5 に書き、丸める前の値でも10人で約212円（211.84円）であることを確かめた。素案 Ver.2.35・資料 v20。　【令和8年10月24日 更新②（Red Team 再レビューへの対応）】再レビューを受け、資料を v18・想定問答集を v15 に上げた。報酬改定1％・3％の算定Ｂ・Ｃを素案 9-3 から起こし直した（1％ Ｂ6,208・Ｃ5,529円、3％ Ｂ6,339・Ｃ5,659円。旧の6,235円等は誤り）。選択２は5,931円・6,355円（±212円）。ご審議事項⑥の言い切り、表29 の基金残高（見込額）、改頁（21頁の「す。」）を直した。当方の環境の PDF は22頁。川崎町_RedTeam再レビュー対応表_R8.10.24.md。　【令和8年10月24日 更新（Red Team レビューへの対応）】Red Team レビューを受け、資料を v17・想定問答集を v14 に上げた。選択２の保険料（5,932円・6,354円。旧の5,959円・6,382円は算定Ｂ6,170円の時の値）、表27 の基準（算定Ａ）と算定Ｂ・Ｃの差、交付金の要件の言い切り、国の基金の水準の記述（根拠を確かめられず削除）、8事業所・14指定、選択１の仮置きの注記。川崎町_RedTeamレビュー対応表_R8.10.24.md。　【令和8年10月23日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38" t="inlineStr">
        <is>
          <t>【令和8年10月24日 更新③（Red Team 再レビュー第3回への対応）】R3-08。通いの場の参加割合15.9％（n=439）は一般高齢者調査の回答者のうちの割合であるため、KPI の名称に分母を書いた。行政実績の参加率（参加者数÷65歳以上人口）は、地域支援事業のデータの受領後に別の指標として置く。　【R8.9.25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38" t="inlineStr">
        <is>
          <t>【令和8年10月24日 更新（Red Team レビューへの対応）】生活支援コーディネーター数を原票で確かめた。町の実績データ（R6・R7見込とも26人）と国の令和8年度評価（該当状況調査26人）が一致。素案の25名は地域福祉計画の資料の生活支援サポーターの値であったため、26人に改めた（素案 Ver.2.32）。地域ケア会議への出席は令和6年度4人。　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38" t="inlineStr">
        <is>
          <t>【令和8年10月24日 更新②（Red Team 再レビューへの対応）】報酬改定の差は、基金の取崩しが一定額の差引きであるため算定Ａ・Ｂ・Ｃでほぼ同じ（1％ ＋66・＋65・＋65円、3％ ＋196・＋196・＋195円）。前回の算定Ｂ＋92円・算定Ｃ＋119円は誤った表から計算していた。入所・居住系±10人は211.7円を四捨五入して212円。　【令和8年10月24日 更新（Red Team レビューへの対応）】保険料を動かす要因の差額は算定Ａ（取崩しなし）を基準とした値であることを資料・問答集に明記。報酬改定1％は算定Ａ＋66円・Ｂ＋92円・Ｃ＋119円。入所・居住系±10人は約211円（基金の取崩しによらない。表101 から検算211.7円）。　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【令和8年10月24日 更新③（Red Team 再レビュー第3回への対応）】R3-02。推計値（374人）と自立度Ⅱ以上の実数は把握の方法と対象が異なるため、単純な差を要介護認定を受けていない認知症の方の数とは読まない、と素案 6-1 を改めた（Ver.2.34）。内訳の和372人と計374人の差（四捨五入）も注に書いた。　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【令和8年10月24日 更新（Red Team レビューへの対応）】素案 1-5 の基本指針案の別表11事項の件数を表から数え直した（対応済1・一部8・未対応2）。国の告示・県の第10期計画（中間案）を受けて照合し直す。　【令和8年10月23日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row r="204">
      <c r="A204" s="35" t="inlineStr">
        <is>
          <t>190</t>
        </is>
      </c>
      <c r="B204" s="35" t="inlineStr">
        <is>
          <t>(3)</t>
        </is>
      </c>
      <c r="C204" s="35" t="inlineStr">
        <is>
          <t>R8.10</t>
        </is>
      </c>
      <c r="D204" s="35" t="inlineStr">
        <is>
          <t>生活支援コーディネーター26人の区分と配置（第1層・第2層）</t>
        </is>
      </c>
      <c r="E204" s="35" t="inlineStr">
        <is>
          <t>計画素案の生活支援コーディネーター26人（令和7年度見込）は、町の実績データ（データ入力フォーマット02シート）の「生活支援サポーター（SC）_人数」と、国の令和8年度評価（該当状況調査）の「生活支援コーディネーター数」がいずれも26人であることによります。人数は一致しますが、同じ方々を指すか（生活支援体制整備事業の生活支援コーディネーターとして配置されているか）をお示しください。あわせて、第1層・第2層の配置の内訳をお願いします。</t>
        </is>
      </c>
      <c r="F204" s="35" t="inlineStr">
        <is>
          <t>計画素案 5-4・10-4（KPI）
概要版（KPI の行）</t>
        </is>
      </c>
      <c r="G204" s="35" t="inlineStr">
        <is>
          <t>発注者</t>
        </is>
      </c>
      <c r="H204" s="35" t="inlineStr">
        <is>
          <t>確認待ち</t>
        </is>
      </c>
      <c r="I204" s="35" t="inlineStr">
        <is>
          <t>R8.11.10</t>
        </is>
      </c>
      <c r="J204" s="35" t="inlineStr">
        <is>
          <t>【令和8年10月24日 更新②（Red Team 再レビューへの対応）】Red Team 再レビュー N03。素案 Ver.2.33 で KPI と 5-4 の表に【町確認】を付した。既定値＝回答がない場合、KPI の現状値は「確認中」とし数値を載せない（公表用は［要確認］、概要版は載せない）。</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川崎町_計画書素案_v2.36_協議用.docx（協議用素案）／川崎町_計画書案_公表用_v2.36.docx（公表用の計画書（案））／同_v2.18c_圧縮案_R8.10.17.docx（本文106頁）／川崎町_計画書_別冊_詳細分析_R8.10.17b.docx（9頁）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【令和8年10月24日 更新⑤（Red Team 再レビュー第4回への対応）】Red Team 再レビュー第4回の指摘を是正した版に上げた（川崎町_RedTeam再レビュー第4回対応表_R8.10.24.md）。　【令和8年10月24日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川崎町_計画書案_概要版_v2.36.docx（8頁・3,752字・表6件・図8点）</t>
        </is>
      </c>
      <c r="D9" s="7" t="inlineStr">
        <is>
          <t>A4版　コート紙
1色刷り　8頁程度　3,500部</t>
        </is>
      </c>
      <c r="E9" s="12" t="inlineStr">
        <is>
          <t>実施中</t>
        </is>
      </c>
      <c r="F9" s="20" t="n">
        <v>0.85</v>
      </c>
      <c r="G9" s="9" t="inlineStr">
        <is>
          <t>R9.3.15</t>
        </is>
      </c>
      <c r="H9" s="38" t="inlineStr">
        <is>
          <t>【令和8年10月24日 更新⑤（Red Team 再レビュー第4回への対応）】Red Team 再レビュー第4回の指摘を是正した版に上げた（川崎町_RedTeam再レビュー第4回対応表_R8.10.24.md）。　【令和8年10月24日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川崎町_第2回策定委員会資料_R8.11_v21.docx／同_想定問答集_R8.11_v17.docx／川崎町_第3回・第4回策定委員会_骨子案_R8.10.5.docx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【令和8年10月24日 更新⑤（Red Team 再レビュー第4回への対応）】Red Team 再レビュー第4回の指摘を是正した版に上げた（川崎町_RedTeam再レビュー第4回対応表_R8.10.24.md）。　【令和8年10月24日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7"/>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row r="53">
      <c r="A53" s="35" t="inlineStr">
        <is>
          <t>49</t>
        </is>
      </c>
      <c r="B53" s="35" t="inlineStr">
        <is>
          <t>Red Team レビュー（令和8年10月24日）への対応と成果物・エビデンスの一式</t>
        </is>
      </c>
      <c r="C53" s="35" t="inlineStr">
        <is>
          <t>R8.10.24</t>
        </is>
      </c>
      <c r="D53" s="35" t="inlineStr">
        <is>
          <t>ご指示による。指摘27件を最新の版で確かめ、当てはまるものを是正した</t>
        </is>
      </c>
      <c r="E53" s="35" t="inlineStr">
        <is>
          <t>No.85・117・148・163・189</t>
        </is>
      </c>
      <c r="F53" s="35" t="inlineStr">
        <is>
          <t>素案 Ver.2.32／公表用・概要版 v2.32／資料 v17／問答集 v14／ZIP</t>
        </is>
      </c>
      <c r="G53" s="35" t="inlineStr">
        <is>
          <t>1日</t>
        </is>
      </c>
      <c r="H53" s="35" t="inlineStr">
        <is>
          <t>完了</t>
        </is>
      </c>
      <c r="I53" s="35" t="inlineStr">
        <is>
          <t>新たに見つけた誤り：9-4（実在しない節）の参照2か所、目次のご挨拶の頁、生活支援コーディネーターの人数。対応表・点検ログ・検算・差分・PDF を ZIP に同梱。</t>
        </is>
      </c>
    </row>
    <row r="54">
      <c r="A54" s="35" t="inlineStr">
        <is>
          <t>50</t>
        </is>
      </c>
      <c r="B54" s="35" t="inlineStr">
        <is>
          <t>Red Team 再レビュー（令和8年10月24日）への対応と成果物・エビデンスの一式</t>
        </is>
      </c>
      <c r="C54" s="35" t="inlineStr">
        <is>
          <t>R8.10.24</t>
        </is>
      </c>
      <c r="D54" s="35" t="inlineStr">
        <is>
          <t>ご指示による。新規の指摘11件（N01〜N11）と旧指摘の再判定を最新の版で確かめ、是正した</t>
        </is>
      </c>
      <c r="E54" s="35" t="inlineStr">
        <is>
          <t>No.85・148・190</t>
        </is>
      </c>
      <c r="F54" s="35" t="inlineStr">
        <is>
          <t>素案 Ver.2.33／公表用・概要版 v2.33／資料 v18／問答集 v15／ZIP</t>
        </is>
      </c>
      <c r="G54" s="35" t="inlineStr">
        <is>
          <t>1日</t>
        </is>
      </c>
      <c r="H54" s="35" t="inlineStr">
        <is>
          <t>完了</t>
        </is>
      </c>
      <c r="I54" s="35" t="inlineStr">
        <is>
          <t>報酬改定の算定Ｂ・Ｃを表101 から独立に計算し直し（前回の表26 の値は誤り）、素案に書いて資料・問答集を起こし直した。交付金の「保険者」→市町村、212円、基金の見込額、改頁。対応表・点検ログ・検算・留保一覧・差分・PDF を ZIP に同梱。</t>
        </is>
      </c>
    </row>
    <row r="55">
      <c r="A55" s="35" t="inlineStr">
        <is>
          <t>51</t>
        </is>
      </c>
      <c r="B55" s="35" t="inlineStr">
        <is>
          <t>Red Team 再レビュー第3回（令和8年10月24日）への対応と成果物・エビデンスの一式</t>
        </is>
      </c>
      <c r="C55" s="35" t="inlineStr">
        <is>
          <t>R8.10.24</t>
        </is>
      </c>
      <c r="D55" s="35" t="inlineStr">
        <is>
          <t>ご指示による。第3回の指摘11件（R3-01〜R3-11）と先行指摘の再判定を最新の版で確かめ、是正した</t>
        </is>
      </c>
      <c r="E55" s="35" t="inlineStr">
        <is>
          <t>No.49・83・109・157</t>
        </is>
      </c>
      <c r="F55" s="35" t="inlineStr">
        <is>
          <t>素案 Ver.2.34／公表用・概要版 v2.34／資料 v19／問答集 v16／ZIP</t>
        </is>
      </c>
      <c r="G55" s="35" t="inlineStr">
        <is>
          <t>1日</t>
        </is>
      </c>
      <c r="H55" s="35" t="inlineStr">
        <is>
          <t>完了</t>
        </is>
      </c>
      <c r="I55" s="35" t="inlineStr">
        <is>
          <t>施設への移行・未認定の認知症の方の数の断定を改め、法令の項、回数の決め方、保険料が試算であること、通いの場の分母を直した。令和7年度の給付費37サービスを年報の円単位で突合し、998,224千円と998,222千円の差が丸めであることを確かめた。公表用の留保の台帳に確認先・期限・既定の扱いの列を置いた（処理は町）。</t>
        </is>
      </c>
    </row>
    <row r="56">
      <c r="A56" s="35" t="inlineStr">
        <is>
          <t>52</t>
        </is>
      </c>
      <c r="B56" s="35" t="inlineStr">
        <is>
          <t>Red Team 再レビュー第3回の影響範囲の再点検と成果物・エビデンスの一式</t>
        </is>
      </c>
      <c r="C56" s="35" t="inlineStr">
        <is>
          <t>R8.10.24</t>
        </is>
      </c>
      <c r="D56" s="35" t="inlineStr">
        <is>
          <t>ご指示による。受領したレビューは第3回と同じもの（MD5 一致）。指摘と同じ趣旨の記述を5冊で走査した</t>
        </is>
      </c>
      <c r="E56" s="35" t="inlineStr">
        <is>
          <t>No.85</t>
        </is>
      </c>
      <c r="F56" s="35" t="inlineStr">
        <is>
          <t>素案 Ver.2.35／公表用・概要版 v2.35／資料 v20／ZIP</t>
        </is>
      </c>
      <c r="G56" s="35" t="inlineStr">
        <is>
          <t>1日</t>
        </is>
      </c>
      <c r="H56" s="35" t="inlineStr">
        <is>
          <t>完了</t>
        </is>
      </c>
      <c r="I56" s="35" t="inlineStr">
        <is>
          <t>残っていたもの：保険料の「本算定」6か所、通いの場の「参加率」5か所。29.9万円の出所を年報の受給者数から示した。影響範囲の走査（7指摘×5冊）・検算 §6 を ZIP に同梱</t>
        </is>
      </c>
    </row>
    <row r="57">
      <c r="A57" s="35" t="inlineStr">
        <is>
          <t>53</t>
        </is>
      </c>
      <c r="B57" s="35" t="inlineStr">
        <is>
          <t>Red Team 再レビュー第4回（令和8年10月24日）への対応と成果物・エビデンスの一式</t>
        </is>
      </c>
      <c r="C57" s="35" t="inlineStr">
        <is>
          <t>R8.10.24</t>
        </is>
      </c>
      <c r="D57" s="35" t="inlineStr">
        <is>
          <t>ご指示による。第4回の指摘（F4-01〜F4-09）を最新の版で確かめ、影響範囲を5冊と工程表で確かめて是正した</t>
        </is>
      </c>
      <c r="E57" s="35" t="inlineStr">
        <is>
          <t>No.49・83・85</t>
        </is>
      </c>
      <c r="F57" s="35" t="inlineStr">
        <is>
          <t>素案 Ver.2.36／公表用・概要版 v2.36／資料 v21／問答集 v17／逆算工程表／ZIP</t>
        </is>
      </c>
      <c r="G57" s="35" t="inlineStr">
        <is>
          <t>1日</t>
        </is>
      </c>
      <c r="H57" s="35" t="inlineStr">
        <is>
          <t>完了</t>
        </is>
      </c>
      <c r="I57" s="35" t="inlineStr">
        <is>
          <t>標準給付費の239千円差は年報の様式2（給付実績）と様式3（支払額・手数料を含まない）の混在。令和6年度との比較も同じ原因で基準が違っていた（0.8％→0.7％）。1月4日開始の納品は3月16日（1日超過）に訂正。頁は全体と本文を分けた。原票（年報・算定ブック）を ZIP に同梱</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2026-10-24T09:57:54Z</dcterms:modified>
</cp:coreProperties>
</file>