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2"/>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【令和8年10月21日 更新（資料v9・想定問答集v5）】⚠ **パブリックコメントの開始が令和8年12月29日に当たります。**第2回（11月24日）から計画書（案）の作成と宮城県への事前協議に35日を見込むとこうなります。年末年始を挟むと実質の周知期間が短くなりますので、**令和9年1月4日（月）開始とする案**を資料 v9 の８に併記しました（この場合の納品は令和9年3月15日ちょうど）。期間（30日間とするか）と開始日のご判断をお願いします。　【令和8年10月20日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38" t="n">
        <v>39</v>
      </c>
      <c r="B43" s="38" t="inlineStr">
        <is>
          <t>(4)(5)</t>
        </is>
      </c>
      <c r="C43" s="38" t="inlineStr">
        <is>
          <t>R8.9</t>
        </is>
      </c>
      <c r="D43" s="38" t="inlineStr">
        <is>
          <t>保険者機能強化推進交付金の交付額と充当先</t>
        </is>
      </c>
      <c r="E43" s="38" t="inlineStr">
        <is>
          <t>令和6〜8年度の交付額及び充当先の事業。第9期の地域支援事業の財源構成の確認に必要。令和6年度の交付見込額は3,738千円と推計される。</t>
        </is>
      </c>
      <c r="F43" s="38" t="inlineStr">
        <is>
          <t>地域支援事業の費用の見込み
保険料試算ワークブック 03</t>
        </is>
      </c>
      <c r="G43" s="38" t="inlineStr">
        <is>
          <t>発注者</t>
        </is>
      </c>
      <c r="H43" s="39" t="inlineStr">
        <is>
          <t>確認待ち</t>
        </is>
      </c>
      <c r="I43" s="38" t="inlineStr">
        <is>
          <t>R8.9</t>
        </is>
      </c>
      <c r="J43" s="38" t="inlineStr">
        <is>
          <t xml:space="preserve">【令和8年10月22日 更新③（交付金の再整理・素案Ver.2.24）】⚠ 素案（Ver.2.23 まで）は「保険料算定は令和8年度の交付実績を据え置いている」と書いていたが、保険料算定表は交付金を差し引いておらず、事実と違っていた（Ver.2.24 で是正）。一方、令和8年10月19日出力の将来推計総括表は「保険者機能強化推進交付金等の交付見込額」に3か年4,500千円を置き、差し引いている。見込めば月額約40円下がる（6,822円→6,782円）。令和6年度の交付見込額は3,738千円（推進1,277・支援2,461、うち激変緩和措置分1,231千円）。令和7・8年度の交付額と、保険料に見込むか否か・見込む額のご判断をお願いします。既定値＝見込まない（素案のまま）とし、総括表との食い違いを第3回の資料で明示する。　</t>
        </is>
      </c>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【令和8年10月21日 更新（資料v9・想定問答集v5）】⚠ **委託仕様書の読み違いを是正しました。**第2回委員会資料 v8 の表38 は「委託仕様書上、策定委員会は3回構成であり」としていましたが、**仕様書6(3)は「策定委員会の開催回数は4回開催の予定」**と定めています。3回構成は第1回策定委員会の当日にお示しいただいた日程によるものでした。資料 v9 の表38 で是正しています。
⚠ **全4回では納期に間に合いません。**第2回を11月24日として逆算すると、全4回・パブコメ30日・印刷3週間で納品は令和9年4月4日（**20日超過**）、パブコメ20日・印刷2週間に詰めても3月18日（3日超過）です。全3回（第3回でパブリックコメントの結果の報告・保険料の決定・答申の内容の確定を併せて行う）であれば令和9年3月10日（余裕5日）です。
⚠ **仕様書11**（本仕様の定めのない事項については、必要に応じ協議の上実施する）により、回数のご協議をお願いします。第2回でお諮りする形で資料を組んでいます。　【令和8年10月20日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【令和8年10月23日 更新⑥（県の第10期計画の骨子（案）・見える化の定め）】事業所分析で、利用者数が5年続けて前年を下回る指定は0件、介護職員（常勤換算）が令和3年→令和7年で2割以上減った指定は1件（短期入所療養介護 ▲25.0％。老健と同じ職員を指定ごとに報告しているもの）でした。また、宮城県のみやぎ高齢者元気プラン推進委員会（令和8年7月14日）の議事録に、町内の訪問介護・居宅介護支援の事業者の経営が厳しく、ほかに担い手がないとの委員の発言があります（素案には書かない）。　【令和8年10月23日 更新④（出所の確定）】事業所別5か年推移の出所は見える化システムの事業所分析機能（従事者数は介護サービス情報公表システムの各年9月時点）と確定しました。　【令和8年10月23日 更新③（事業所別5か年推移）】事業所別5か年推移で、介護職員（常勤換算）が介護老人保健施設30.0→25.5人（▲15％）、介護老人福祉施設21.2→18.3人（令和5年は14.0人）でした（県内の中央値は▲2％前後）。第1回でご報告のあった1ユニット分の人員削減と時期が近いものの、同じものかは確かめていません。　【令和8年10月22日 更新（県の入所状況調）】⚠ **町への要望・必要な支援は、県の入所状況調にもありません。** 地域ケア会議・地域密着型サービス運営協議会という既存の場で聴くという整理（素案 第7章7-6）を変えません。　【令和8年10月20日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【令和8年10月22日 更新（県の入所状況調）】⚠ **経営の状況（収支・人件費率）は、県の入所状況調にもありません。** 公表されている仕組みがありませんので、**計画には書かず**、介護事業経営実態調査（全国・サービス種類別の収支差率）の水準を参照するにとどめます。　【令和8年10月20日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38" t="inlineStr">
        <is>
          <t>53</t>
        </is>
      </c>
      <c r="B57" s="38" t="inlineStr">
        <is>
          <t>(3)</t>
        </is>
      </c>
      <c r="C57" s="38" t="inlineStr">
        <is>
          <t>R8.9</t>
        </is>
      </c>
      <c r="D57" s="38" t="inlineStr">
        <is>
          <t>第2回委員会資料の様式と事前配布の期限</t>
        </is>
      </c>
      <c r="E57" s="38"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38" t="inlineStr">
        <is>
          <t>第2回委員会資料
計画骨子（素案）
ニーズ調査結果報告書</t>
        </is>
      </c>
      <c r="G57" s="38" t="inlineStr">
        <is>
          <t>発注者</t>
        </is>
      </c>
      <c r="H57" s="39" t="inlineStr">
        <is>
          <t>確認待ち</t>
        </is>
      </c>
      <c r="I57" s="38" t="inlineStr">
        <is>
          <t>R8.10</t>
        </is>
      </c>
      <c r="J57" s="38" t="inlineStr">
        <is>
          <t>【令和8年10月21日 更新（資料v9・想定問答集v5）】開催日が11月24日に確定しましたので、**事前配布は11月10日（火）**（14日前）、**事前質問の締切は11月17日（火）**（7日前）となります。資料 v9・想定問答集 v5 は作成済みです（資料は全９版・想定問答集は全61問）。紙・電子のいずれによるか、部数をご指示ください。　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38" t="inlineStr">
        <is>
          <t>58</t>
        </is>
      </c>
      <c r="B62" s="38" t="inlineStr">
        <is>
          <t>(4)</t>
        </is>
      </c>
      <c r="C62" s="38" t="inlineStr">
        <is>
          <t>R8.9</t>
        </is>
      </c>
      <c r="D62" s="38" t="inlineStr">
        <is>
          <t>交付金評価「評価結果の活用」が16点から0点となった理由</t>
        </is>
      </c>
      <c r="E62" s="38"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38" t="inlineStr">
        <is>
          <t>第9期の評価（仕様書6（4））
第2回委員会資料
素案 第9章（KPI管理表）</t>
        </is>
      </c>
      <c r="G62" s="38" t="inlineStr">
        <is>
          <t>発注者</t>
        </is>
      </c>
      <c r="H62" s="39" t="inlineStr">
        <is>
          <t>確認待ち</t>
        </is>
      </c>
      <c r="I62" s="38" t="inlineStr">
        <is>
          <t>R8.10</t>
        </is>
      </c>
      <c r="J62" s="38" t="inlineStr">
        <is>
          <t>【令和8年10月22日 更新③（交付金の再整理・素案Ver.2.24）】37点の減少を枝番の単位・得点率で分けると、成果指標群▲30・配点の改定▲7・新設＋2・取組の後退▲34・前進＋32。「評価結果の活用」16点は取組の後退34点のうち最大の項目（単独で最大の要因ではない。最大は成果指標群）。　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38" t="inlineStr">
        <is>
          <t>【令和8年10月23日 更新⑥（県の第10期計画の骨子（案）・見える化の定め）】宮城県は第7期宮城県介護給付適正化取組方針（令和9〜11年度）について、国の基本方針に大きな見直しはないとして、第6期の重点（要介護認定の適正化／ケアプラン・住宅改修等の点検／縦覧点検・医療情報との突合）を継続する方向を示しました（令和8年8月26日 推進委員会 資料6）。協議用素案 Ver.2.29 の8-2 の注記に加えました。区分の確定は引き続き国の基本指針によります。　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38" t="inlineStr">
        <is>
          <t>【令和8年10月23日 更新⑥（県の第10期計画の骨子（案）・見える化の定め）】見える化システムに入力する地域支援事業費は「対象経費支出予定額」（総事業費から寄付金その他の収入額を差し引いた額のうち、交付金の対象経費として支出する見込みの額）とされています（地域分析の手引き 令和8年9月改訂版 79頁）。③の決算との差（12％）の一部は、この範囲の違いによる可能性があります。協議用素案 Ver.2.29 の9-1に注記しました。　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【令和8年10月23日 更新⑥（県の第10期計画の骨子（案）・見える化の定め）】手引き76頁により、令和8年度の実績見込みは、令和8年5月から保険者が設定した月までの令和8年度月報の累計値から算出されます。設定する月が少ないほど、見込みが少数の月の値に左右されます。新しい推計パターンでは、できるだけ新しい月まで設定いただくことをお勧めします（推奨の月数を定めた操作編②は未受領・資料提供依頼No.51）。　【令和8年10月21日 更新（資料v9・想定問答集v5）】⚠ **想定問答集 v5 の QB-54 に併記しました。**令和8年度の実績見込み値が差し替え前の値に戻っている点について、伸び率の基準年が動くため保険料に直接影響する旨を答える形にしています。No.186 と同じく10月30日までにご判断をお願いします。　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38" t="inlineStr">
        <is>
          <t>【令和8年10月23日 更新⑥（県の第10期計画の骨子（案）・見える化の定め）】「令和8年5月ベース」の表示は、令和8年度の月報を5月の1か月だけ設定していることによる可能性があります（手引き76頁）。「介護保険事業状況報告の設定」の画面の写しをいただければ確かめます。　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38" t="inlineStr">
        <is>
          <t>83</t>
        </is>
      </c>
      <c r="B87" s="38" t="inlineStr">
        <is>
          <t>(7)</t>
        </is>
      </c>
      <c r="C87" s="38" t="inlineStr">
        <is>
          <t>R8.10</t>
        </is>
      </c>
      <c r="D87" s="38" t="inlineStr">
        <is>
          <t>計画書の頁数（成果品は100頁程度）</t>
        </is>
      </c>
      <c r="E87" s="38"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38" t="inlineStr">
        <is>
          <t>成果品4 計画書
成果品6 電子データ</t>
        </is>
      </c>
      <c r="G87" s="38" t="inlineStr">
        <is>
          <t>発注者</t>
        </is>
      </c>
      <c r="H87" s="39" t="inlineStr">
        <is>
          <t>確認待ち</t>
        </is>
      </c>
      <c r="I87" s="38" t="inlineStr">
        <is>
          <t>R8.10</t>
        </is>
      </c>
      <c r="J87" s="38" t="inlineStr">
        <is>
          <t>【令和8年10月21日 更新（資料v9・想定問答集v5）】⚠ **素案 Ver.2.22 は本文117頁です。**資料編（見込13頁）を加えると計130頁となり、仕様書8の「100頁程度」との差は**＋30頁**です。⚠ **圧縮案は Ver.2.18c（本文106頁）のままであり、現在の素案に合わせて作り直す必要があります。**「100頁程度」を本文のみと読むか資料編を含めて読むかのご判断とあわせて、作り直しの要否をご指示ください。資料 v9 の表35 に3つの版を並べています。　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【令和8年10月22日 更新④（軽費老人ホームの廃止・素案Ver.2.25）】廃止日は令和6年3月31日でした（法人の公表。県の入所状況調の掲載の推移と整合）。令和5年1〜9月の退所32人の退所先は他の施設28・入院3・在宅1（県の入所状況調）。⚠ 以前の更新で「住まい70人分が失われた」と書きましたが、休止前の入所者は令和5年4月1日時点で13人であり、なくなったのは定員70人分の住まいの選択肢です。素案 Ver.2.25 で改めました。⚠ 次の3点をお願いします。①宮城県 長寿社会政策課に、受理された廃止届（様式第24号）の「廃止の理由」「現に入所している者に対する措置」の記載内容をご確認ください。②入所されていた方のうち本町の住民の数（匿名の人数のみ。数えた定義を添えて）。③運営法人への照会の要否（既定値＝照会しない）。詳細は 川崎町_軽費老人ホーム廃止の確認結果_R8.10.22.md。　【令和8年10月22日 更新②（方針Ｃ・素案Ver.2.23）】軽費老人ホームの休止・廃止を素案 Ver.2.23 の2-7（第3の特徴）と別表 事項八に書きました（別表 八は「未対応」→「一部」）。経緯と入居されていた方の行き先は［要確認］として本文に残しています。　【令和8年10月22日 更新（県の入所状況調）】⚠ **町内にあった軽費老人ホーム（定員70人）が廃止されていました。**県の入所状況調によると、令和5年4月1日 現員13人 → 令和5年7月1日 7人 → **令和5年10月1日「（休止中）」現員0人** → 令和6年1月1日は定員・現員とも空欄 → **令和6年4月1日以降は一覧に載っていません**。
⚠ **第9期計画期間（令和6〜8年度）が始まる直前に、町内の高齢者向け住まい70人分が失われています。**
⚠ 軽費老人ホームは老人福祉法の施設であり、介護サービス情報公表システム（介護保険の指定事業所の仕組み）には載りません。素案の「特定施設入居者生活介護の指定を受けた住まいは町内に0件」は介護保険の指定の話であり、別のものです。
⚠ **休止・廃止の経緯と、入居されていた方の行き先をご確認ください。** 基本指針 別表 事項八（高齢者向け住まいの状況）に直接に効きます。素案 2-7・7-1 への反映をお待ちしています。　【令和8年10月20日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【令和8年10月23日 更新⑤（事業所分析の素案への反映）】延べ利用日数による稼働率と短期入所の利用者数を協議用素案 Ver.2.28 の2-7・別表・9-1に書きました。地域密着型介護老人福祉施設（2施設計）の稼働率は令和7年で78.7％、増やした定員のうち約6人分が埋まっていません。空きが職員不足による受入れの制限によるものかのご確認をお願いします［要確認］。見込量の扱いは［要協議］として素案9-1に置いています。　【令和8年10月23日 更新④（出所の確定）】受領した事業所別5か年推移の出所は地域包括ケア「見える化」システムの事業所分析機能であるとご教示いただきました（各年9月の値。手引き66頁）。稼働率を9月の30日で計算し直しました（地域密着型介護老人福祉施設（増床分）70.3％・県内の中央値94.9％、介護老人福祉施設98.8％、介護老人保健施設91.9％）。出所の［要確認］は解けました。　【令和8年10月23日 更新③（事業所別5か年推移）】令和8年10月23日受領の事業所別5か年推移（令和3〜7年）で、施設・居住系6か所の延べ利用日数による稼働率が分かりました（介護老人福祉施設97.4％・介護老人保健施設90.7％ほか）。⚠ 令和5年に増床した地域密着型介護老人福祉施設（定員10→20）の稼働率が令和7年で69.4％（県内の中央値93.6％）です。短期入所の利用者は2か所とも5年でほぼ半減しています。⚠ データの出所が記載されていないため、作成主体と時点のご確認をお願いします［要確認］。詳細は 川崎町_事業所別5か年推移の確認結果_R8.10.23.md。　【令和8年10月22日 更新②（方針Ｃ・素案Ver.2.23）】県の入所状況調による入所率・退所理由の推移を素案 Ver.2.23 の 2-7・7-1 に入れました。入所前の居所は、入所指針が定める保険者の協力の場で集計値を求めるかを［要協議］として本文に置いています。ご判断をお願いします。　【令和8年10月22日 更新（県の入所状況調）】⚠ **稼働率と休止床が、照会を行わずに埋まりました。**宮城県が3か月ごとに施設別の入所状況を公表しています（老人福祉施設等入所状況調）。令和5年4月から令和8年7月まで14時点を取得しました。
・入所率　介護老人福祉施設97.5〜100.0％と70.0〜100.0％（⚠ 後者は恒常的に2〜5床の空き）／介護老人保健施設90.7〜97.7％／認知症対応型共同生活介護88.9〜100.0％と94.4〜100.0％
・入所希望者　介護老人福祉施設2施設の計が令和5年4月69人→令和8年7月24人（⚠ 複数施設への申込みが重複計上）
・退所理由「在宅」14時点計　介護老人保健施設136人に対し**介護老人福祉施設0人**。在宅復帰と終のすみかの別が3年半の実績で分かれました
⚠ **残るのは3件**です。①入所前の居所（調査の項目にない）②床単位の休止（施設単位までしか分からない）③**短期入所の稼働（新たに分かった空白。県調査も公表システムも長期（短期分を除く））**。
⚠ **入所前の居所には筋が立ちました。** 宮城県指定介護老人福祉施設入所指針（令和5年7月25日）第4(1)(5)により、施設は入所希望者の置かれている状況を確認し名簿を5年保管します。同指針 第3 は**保険者が入所規程の作成に協力する責務**を定めています。新たな照会ではなく、この関与の中で名簿の**集計値**（在宅・医療機関・他の施設の別の人数）の提供を求めるかをご判断ください。　【令和8年10月20日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38" t="inlineStr">
        <is>
          <t>【令和8年10月23日 更新⑥（県の第10期計画の骨子（案）・見える化の定め）】入力値は「対象経費支出予定額」とされています（手引き79頁）。伸びの根拠のご確認の際、決算額ではなくこの範囲の額であるかもあわせてご確認ください。協議用素案 Ver.2.29 の9-1に注記しました。　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【令和8年10月22日 更新（県の入所状況調）】⚠ **照会を行わない整理がさらに固まりました。**照会でお尋ねする予定であった項目のうち、**稼働率と休止床も県の公表資料で代えられる**ことが分かりました（確認事項No.159）。
⚠ 残るのは、入所前の居所・床単位の休止・短期入所の稼働・経営の状況・町への要望の5件です。このうち入所前の居所は県の入所指針による保険者の関与の中で、経営の状況は計画に書かない扱いとし、町への要望は既存の場で聴きます。**新たな照会票は要しません。**　【令和8年10月20日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【令和8年10月21日 更新（資料v9・想定問答集v5）】⚠ **想定問答集 v5 に問を立てました（QB-54）。**「保険料の前提になる将来推計は、どれを使っているのか」に対し、**正本とするかどうかは町のご判断をお待ちしている**旨を答える形にしています。⚠ **10月30日までにご判断をいただけないと、保険料の3パターンを資料の確定版に載せられません。**　受領した総括表（R8.10.19出力）の全セル突合による</t>
        </is>
      </c>
    </row>
    <row r="201">
      <c r="A201" s="35" t="inlineStr">
        <is>
          <t>187</t>
        </is>
      </c>
      <c r="B201" s="35" t="inlineStr">
        <is>
          <t>(8)</t>
        </is>
      </c>
      <c r="C201" s="35" t="inlineStr">
        <is>
          <t>R8.10</t>
        </is>
      </c>
      <c r="D201" s="35" t="inlineStr">
        <is>
          <t>計画書の書体と見出しの形を第9期計画に揃えるか</t>
        </is>
      </c>
      <c r="E201" s="35" t="inlineStr">
        <is>
          <t>第9期計画は本文を HG丸ゴシックM-PRO 11pt（行送り約19.6pt）とし、節を「第１節」、表・図の題を「■」（番号なし）、出典を「資料：」としています。計画素案は游ゴシック 10pt（行送り16pt）、節を「1-1」、図に「図3-1」等の番号を付けています。①書体と大きさ（Ａ現状116頁／Ｂ書体だけ揃える116頁前後／Ｃ大きさ・行送りも揃える約126頁）、②見出し・図表の題の形を揃える時期、をご判断ください。詳細は 川崎町_計画書の見え方の点検_R8.10.23.md。</t>
        </is>
      </c>
      <c r="F201" s="35" t="inlineStr">
        <is>
          <t>計画書（成果品4）の紙面・頁数</t>
        </is>
      </c>
      <c r="G201" s="35" t="inlineStr">
        <is>
          <t>発注者</t>
        </is>
      </c>
      <c r="H201" s="35" t="inlineStr">
        <is>
          <t>確認待ち</t>
        </is>
      </c>
      <c r="I201" s="35" t="inlineStr">
        <is>
          <t>R8.11</t>
        </is>
      </c>
      <c r="J201" s="35" t="inlineStr">
        <is>
          <t>【令和8年10月23日 更新②（No.187 ご判断・2つの版）】ご指示：①書体は第9期と同じ HG丸ゴシックM-PRO に揃える（大きさ・行送りは変えない）②見出しと図表の題はそのまま③協議用素案と公表用の計画書（案）に分けて運用する。素案 Ver.2.27（協議用）と公表用 v2.27 に反映した。　既定値＝①Ｂ（書体だけ HG丸ゴシックM-PRO に揃え、大きさは10pt）、②公表版（計画書の案）の段階で「第１節」「■」「資料：」に揃える。協議の間は現在の形のままとする。</t>
        </is>
      </c>
    </row>
    <row r="202">
      <c r="A202" s="35" t="inlineStr">
        <is>
          <t>188</t>
        </is>
      </c>
      <c r="B202" s="35" t="inlineStr">
        <is>
          <t>(5)(7)</t>
        </is>
      </c>
      <c r="C202" s="35" t="inlineStr">
        <is>
          <t>R8.11</t>
        </is>
      </c>
      <c r="D202" s="35" t="inlineStr">
        <is>
          <t>県へ推計データを提出する際の入力（第10期計画策定における取組の入力・必要入所（利用）定員、入居定員総数調査票）</t>
        </is>
      </c>
      <c r="E202" s="35" t="inlineStr">
        <is>
          <t>地域包括ケア「見える化」システムの将来推計機能では、都道府県へ推計データを提出する際に、地域分析結果の資料、「改正介護保険法を踏まえた第10期計画策定における取組の入力」（選択式）、「第10期必要入所（利用）定員、入居定員総数調査票」の登録を行うこととされています（利用マニュアル【システム操作編② 将来推計】第11.0版・令和8年9月30日に加わった画面）。取組の入力は、中長期のサービス見込量の推計、サービス提供体制の確保（中山間・人口減少地域の把握を含む）、医療・介護連携の推進について問うものです。素案の章節（9-1 中長期の見込み・1-6 日常生活圏域と7地区・7-2 供給の制約・1-5 医療計画との整合）から回答案を作成してお渡しできます。①操作編②のご提供（資料提供依頼No.51）、②調査票の様式のご提供（No.52）、③県への提出の時期、をご教示ください。
⚠ 当方は操作編②の原本を受領しておらず、上の画面の構成は原本で確かめていません。</t>
        </is>
      </c>
      <c r="F202" s="35" t="inlineStr">
        <is>
          <t>見える化システムの県への提出（第2回目以降）
計画素案 9-1（必要利用定員総数）</t>
        </is>
      </c>
      <c r="G202" s="35" t="inlineStr">
        <is>
          <t>発注者</t>
        </is>
      </c>
      <c r="H202" s="35" t="inlineStr">
        <is>
          <t>確認待ち</t>
        </is>
      </c>
      <c r="I202" s="35" t="inlineStr">
        <is>
          <t>R8.11</t>
        </is>
      </c>
      <c r="J202" s="35" t="inlineStr">
        <is>
          <t>【令和8年10月23日 更新⑥（県の第10期計画の骨子（案）・見える化の定め）】既定値＝操作編②のご提供を受けて設問を確かめ、素案から回答案を作成してお渡しする。調査票の受領までは素案 9-1 の必要利用定員総数（月27.2人）を正とする。整理は 01_第10期_最新版成果品/川崎町_県の第10期計画骨子と見える化の定めの確認_R8.10.23.md §4。</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
川崎町_施設の入所状況の推移_県調査_R8.10.22.xlsx（8シート）</t>
        </is>
      </c>
      <c r="D7" s="38" t="inlineStr">
        <is>
          <t>一式（Excel）</t>
        </is>
      </c>
      <c r="E7" s="39" t="inlineStr">
        <is>
          <t>実施中</t>
        </is>
      </c>
      <c r="F7" s="40" t="n">
        <v>0.9</v>
      </c>
      <c r="G7" s="38" t="inlineStr">
        <is>
          <t>R9.3.15</t>
        </is>
      </c>
      <c r="H7" s="38" t="inlineStr">
        <is>
          <t>【令和8年10月22日 更新（県の入所状況調）】県の入所状況調（3か月ごと・14時点）から町内施設の推移を登録した。⚠ **稼働率と休止床が照会によらず埋まった。**⚠ **軽費老人ホーム（定員70人）の休止から廃止までの経過**も分かった（05シート）。残るものは07シートに6件示している。　【令和8年10月20日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川崎町_計画書素案_v2.29_協議用.docx（協議用素案）／川崎町_計画書案_公表用_v2.29.docx（公表用の計画書（案））／同_v2.18c_圧縮案_R8.10.17.docx（本文106頁）／川崎町_計画書_別冊_詳細分析_R8.10.17b.docx（9頁）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【令和8年10月23日 更新⑥（県の第10期計画の骨子（案）・見える化の定め）】協議用素案を Ver.2.29（118頁）に上げ、公表用も組み直した（116頁）。1-2 に宮城県の第10期みやぎ高齢者元気プラン骨子（案）との対応表を置き、県の計画の名称を改めた。8-2（第7期県適正化取組方針）・9-1（地域支援事業費の範囲）に注記。　【令和8年10月23日 更新⑤（事業所分析の素案への反映）】協議用素案を Ver.2.28（117頁）に上げ、公表用も組み直した（114頁）。2-7に見える化システムの事業所分析による5年間の推移（稼働率・短期入所・通所の回転率・介護職員）を加え、別表・7-1・7-2・7-6・9-1に反映した。地域密着型の空き床の扱いを［要協議］として置いた。　【令和8年10月23日 更新②（No.187 ご判断・2つの版）】協議用素案（Ver.2.27・116頁）と公表用の計画書（案）（113頁・体裁確認用）に分けた。内容の正本は協議用素案で、公表用はbuild_kouhyou_soan.py が組む。書体を HG丸ゴシックM-PRO に。⚠ 事業一覧17表の「区分」等、短い語が縦に折れていた27表の列を広げた。　【令和8年10月23日 更新（版の表記・見え方の点検）】素案を Ver.2.26 に上げた（全116頁。日本語の書体を游ゴシックに字幅の近い書体に寄せて実測。これまでの118頁は置き換え前の値）。紙面から版の表記を除き、表紙を「計画書素案（令和8年10月時点）」とした。⚠ 行送り5,621段落に lineRule がなく町の Word で頁数が変わり得たため明示した。⚠ 129表の列幅が実寸でなく、制度改正の表で文字が縦に折れていたため実寸で固定した。表の中の長い文441段落を左揃えに。文言・数値は変えていない。　【令和8年10月22日 更新④（軽費老人ホームの廃止・素案Ver.2.25）】素案を Ver.2.25 に上げた（全118頁）。2-7・別表 事項八に町内の軽費老人ホームの廃止日・入所者の推移・退所先を書き、「住まい70人分が失われた」を定員と入所者の別が分かる形に改めた。　【令和8年10月22日 更新③（交付金の再整理・素案Ver.2.24）】素案を Ver.2.24 に上げた（全118頁）。⚠ 3-3 の37点の内訳の誤り（16点＋15点としていた）と、3-3・10章の事実と違う記述（保険料算定は交付実績を据え置いている）を直した。9-3 の不確定要素と前提を動かした場合の幅に交付金の行（▲40円）を加えた。保険料の額は動かしていない。［要確認］15→20件。　【令和8年10月22日 更新②（方針Ｃ・素案Ver.2.23）】素案を Ver.2.23 に上げた（全117頁）。県の入所状況調（3か月ごと14時点）による入所率・退所理由の推移と、⚠ 町内の軽費老人ホーム（定員70人）の休止・廃止を 2-7・7-1・別表に入れた。［要確認］14→15件・［要協議］11→12件。　【令和8年10月21日 更新（資料v9・想定問答集v5）】素案を Ver.2.22 に上げた（全117頁）。⚠ **同じ指標に2つの値があったのを是正した。**7-2 の標準給付費（令和7年度）が1,085,203千円・▲0.7％、9-3 が1,084,587千円・▲0.8％であった。素案の表15（保険給付費計1,084,587,307円）と表109（標準給付費見込額1,084,587千円）により後者が正しい。あわせて、第3回の開催時期を令和9年1月と断定している5か所を改めた（11月24日開催ではパブリックコメント30日間を挟むと1月には開けない）。　【令和8年10月20日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38" t="inlineStr">
        <is>
          <t>【令和8年10月23日 更新⑥（県の第10期計画の骨子（案）・見える化の定め）】⚠ 概要版は素案 Ver.2.20 から組んだもので、Ver.2.21 以降の改めが入っていない。送付の前に最新の協議用素案から組み直す（作業順位46）。　【令和8年10月7日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川崎町_第2回策定委員会資料_R8.11_v15.docx／同_想定問答集_R8.11_v12.docx／川崎町_第3回・第4回策定委員会_骨子案_R8.10.5.docx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【令和8年10月23日 更新⑥（県の第10期計画の骨子（案）・見える化の定め）】資料を v15、想定問答集を v12 に上げた（素案の頁数118頁に揃えたのみ。全68問）。　【令和8年10月23日 更新⑤（事業所分析の素案への反映）】資料を v14、想定問答集を v11（全68問）に上げた。資料３に5年間の推移の表、問答集に QB-68（地域密着型の空き床）を加えた。頁数を117頁に。　【令和8年10月23日 更新（版の表記・見え方の点検）】想定問答集を v10 に上げた（素案の版の参照48か所を外した）。　【令和8年10月22日 更新⑤（資料v13・第1回の書式）】ご指示により、資料を第1回の書式に揃え（表紙の帯と町のロゴ・表の1行おきの網掛け・注記は※）、表の本文を左揃えにした。計画素案は策定委員会に未提出のため、修正履歴（当社資料の訂正11件・素案と資料の版）を除いた。⚠ v12 の表紙は帯の網掛けが失われ、題名が白地に白で見えなくなっていた。問答集を v9 に揃えた（QB-45 の置き換え・頁数の統一）。　【令和8年10月22日 更新④（軽費老人ホームの廃止・素案Ver.2.25）】資料を v12（全12版）、想定問答集を v8（全67問）に上げた。表6・QB-62 を素案 Ver.2.25 と同じ内容に改めた。　【令和8年10月22日 更新③（交付金の再整理・素案Ver.2.24）】資料を v11（全11版・表47）、想定問答集を v7（全67問）に上げた。7 に37点の内訳と3か年の推移（宮城県平均が1年で78.6点上昇）を加えた。⚠ 6 の要因の表の値を素案に揃えた（改定率1％ ＋65円→＋66円、収納率99.6％ ▲247円→▲246円）。⚠ 問答集のヘッダーが「第1回」のままであったのを直した。　【令和8年10月22日 更新②（方針Ｃ・素案Ver.2.23）】資料を v10（全10版・表45）、想定問答集を v6（全64問）に上げた。素案 Ver.2.23 と同じ版で、入所率の推移の表・軽費老人ホームの休止・廃止・残る4件の整理を入れた。⚠ v9 の表6 の日付の書き誤り（元号と西暦の混在）を正した。　【令和8年10月21日 更新（資料v9・想定問答集v5）】資料を v9（全９版）、想定問答集を v5（全61問・8カテゴリ）に上げた。⚠ **委託仕様書の読み違いを1件是正した**（仕様書6(3)は「4回開催の予定」）。⚠ **交付金の「27点」が2つあることを書き分けた**（体制・取組指標群の失点27点と、推進 目標Ⅲ の活動指標群の27点）。公表情報による町内事業所の状況の表と退所先の表を加え、第1回の委員のご発言に基づく人数・金額を外した。　【令和8年10月16日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資料提供依頼一覧（52件）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3" ht="72" customHeight="1">
      <c r="A43" s="9" t="inlineStr">
        <is>
          <t>39</t>
        </is>
      </c>
      <c r="B43" s="9" t="inlineStr">
        <is>
          <t>D</t>
        </is>
      </c>
      <c r="C43" s="7" t="inlineStr">
        <is>
          <t>居宅介護支援事業所の給付管理の相手方の事業所の一覧</t>
        </is>
      </c>
      <c r="D43" s="7"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43" s="7" t="inlineStr">
        <is>
          <t>事業所照会票の送付先（町外の事業所）。素案 9-1 の広域調整（町外施設の受入余地）</t>
        </is>
      </c>
      <c r="F43" s="9" t="inlineStr">
        <is>
          <t>発注者（町内の居宅介護支援事業所を通じて）</t>
        </is>
      </c>
      <c r="G43" s="9" t="inlineStr">
        <is>
          <t>R8.10下旬</t>
        </is>
      </c>
      <c r="H43" s="9" t="inlineStr">
        <is>
          <t>高</t>
        </is>
      </c>
      <c r="I43" s="14" t="inlineStr">
        <is>
          <t>未着手</t>
        </is>
      </c>
      <c r="J43" s="7" t="inlineStr">
        <is>
          <t>確認事項No.172と対応。国保連データ（依頼No.1・確認事項No.12）が届けば不要になります。</t>
        </is>
      </c>
    </row>
    <row r="44" ht="72" customHeight="1">
      <c r="A44" s="9" t="n">
        <v>40</v>
      </c>
      <c r="B44" s="9" t="inlineStr">
        <is>
          <t>F</t>
        </is>
      </c>
      <c r="C44" s="7" t="inlineStr">
        <is>
          <t>見える化 将来推計の推計結果概要（総括表）の再出力</t>
        </is>
      </c>
      <c r="D44" s="7" t="inlineStr">
        <is>
          <t>予定収納率・調整交付金の見込交付割合・交付金の交付見込額・所得段階別被保険者数を改めた後の総括表</t>
        </is>
      </c>
      <c r="E44" s="7" t="inlineStr">
        <is>
          <t>素案9-3の保険料。確認事項No.39・75・78・174</t>
        </is>
      </c>
      <c r="F44" s="9" t="inlineStr">
        <is>
          <t>発注者（見える化システム）</t>
        </is>
      </c>
      <c r="G44" s="9" t="inlineStr">
        <is>
          <t>R8.11上旬</t>
        </is>
      </c>
      <c r="H44" s="9" t="inlineStr">
        <is>
          <t>高</t>
        </is>
      </c>
      <c r="I44" s="14" t="inlineStr">
        <is>
          <t>未着手</t>
        </is>
      </c>
      <c r="J44" s="7" t="inlineStr">
        <is>
          <t>手引き80頁。川崎町_見える化システムからご出力をお願いする資料_R8.10.23.md No.2</t>
        </is>
      </c>
    </row>
    <row r="45" ht="72" customHeight="1">
      <c r="A45" s="9" t="n">
        <v>41</v>
      </c>
      <c r="B45" s="9" t="inlineStr">
        <is>
          <t>F</t>
        </is>
      </c>
      <c r="C45" s="7" t="inlineStr">
        <is>
          <t>見える化「介護保険事業状況報告の設定」画面の写し</t>
        </is>
      </c>
      <c r="D45" s="7" t="inlineStr">
        <is>
          <t>令和8年度の実績見込みの算定に用いる月（令和8年5月から設定した月まで）</t>
        </is>
      </c>
      <c r="E45" s="7" t="inlineStr">
        <is>
          <t>令和8年度の実績見込み。確認事項No.79・80</t>
        </is>
      </c>
      <c r="F45" s="9" t="inlineStr">
        <is>
          <t>発注者（見える化システム）</t>
        </is>
      </c>
      <c r="G45" s="9" t="inlineStr">
        <is>
          <t>R8.11上旬</t>
        </is>
      </c>
      <c r="H45" s="9" t="inlineStr">
        <is>
          <t>高</t>
        </is>
      </c>
      <c r="I45" s="14" t="inlineStr">
        <is>
          <t>未着手</t>
        </is>
      </c>
      <c r="J45" s="7" t="inlineStr">
        <is>
          <t>手引き77〜78頁。川崎町_見える化システムからご出力をお願いする資料_R8.10.23.md No.3</t>
        </is>
      </c>
    </row>
    <row r="46" ht="72" customHeight="1">
      <c r="A46" s="9" t="n">
        <v>42</v>
      </c>
      <c r="B46" s="9" t="inlineStr">
        <is>
          <t>B</t>
        </is>
      </c>
      <c r="C46" s="7" t="inlineStr">
        <is>
          <t>認知症高齢者の日常生活自立度別の要介護認定者の状況</t>
        </is>
      </c>
      <c r="D46" s="7" t="inlineStr">
        <is>
          <t>自立度Ⅱ以上の人数（見える化の要介護者の状況の指標又は要介護認定データ）</t>
        </is>
      </c>
      <c r="E46" s="7" t="inlineStr">
        <is>
          <t>素案6-1の［要確認］。確認事項No.157</t>
        </is>
      </c>
      <c r="F46" s="9" t="inlineStr">
        <is>
          <t>発注者（見える化システム／認定データ）</t>
        </is>
      </c>
      <c r="G46" s="9" t="inlineStr">
        <is>
          <t>R8.11上旬</t>
        </is>
      </c>
      <c r="H46" s="9" t="inlineStr">
        <is>
          <t>高</t>
        </is>
      </c>
      <c r="I46" s="14" t="inlineStr">
        <is>
          <t>未着手</t>
        </is>
      </c>
      <c r="J46" s="7" t="inlineStr">
        <is>
          <t>手引き22頁。川崎町_見える化システムからご出力をお願いする資料_R8.10.23.md No.4</t>
        </is>
      </c>
    </row>
    <row r="47" ht="72" customHeight="1">
      <c r="A47" s="9" t="n">
        <v>43</v>
      </c>
      <c r="B47" s="9" t="inlineStr">
        <is>
          <t>F</t>
        </is>
      </c>
      <c r="C47" s="7" t="inlineStr">
        <is>
          <t>要介護認定適正化事業の業務分析データ</t>
        </is>
      </c>
      <c r="D47" s="7" t="inlineStr">
        <is>
          <t>要介護認定の適正化の実施状況（国保連合会介護給付適正化システム。自治体ID要）</t>
        </is>
      </c>
      <c r="E47" s="7" t="inlineStr">
        <is>
          <t>給付適正化3事業。確認事項No.127・59・122</t>
        </is>
      </c>
      <c r="F47" s="9" t="inlineStr">
        <is>
          <t>発注者</t>
        </is>
      </c>
      <c r="G47" s="9" t="inlineStr">
        <is>
          <t>R8.11上旬</t>
        </is>
      </c>
      <c r="H47" s="9" t="inlineStr">
        <is>
          <t>高</t>
        </is>
      </c>
      <c r="I47" s="14" t="inlineStr">
        <is>
          <t>未着手</t>
        </is>
      </c>
      <c r="J47" s="7" t="inlineStr">
        <is>
          <t>手引き84頁。川崎町_見える化システムからご出力をお願いする資料_R8.10.23.md No.5</t>
        </is>
      </c>
    </row>
    <row r="48" ht="72" customHeight="1">
      <c r="A48" s="9" t="n">
        <v>44</v>
      </c>
      <c r="B48" s="9" t="inlineStr">
        <is>
          <t>B</t>
        </is>
      </c>
      <c r="C48" s="7" t="inlineStr">
        <is>
          <t>見える化 調整済み認定率</t>
        </is>
      </c>
      <c r="D48" s="7" t="inlineStr">
        <is>
          <t>性・年齢調整済み認定率（令和5年9月末・令和8年9月末）</t>
        </is>
      </c>
      <c r="E48" s="7" t="inlineStr">
        <is>
          <t>第9期KPI・別表 四。確認事項No.35・155</t>
        </is>
      </c>
      <c r="F48" s="9" t="inlineStr">
        <is>
          <t>発注者（見える化システム）</t>
        </is>
      </c>
      <c r="G48" s="9" t="inlineStr">
        <is>
          <t>R8.11</t>
        </is>
      </c>
      <c r="H48" s="9" t="inlineStr">
        <is>
          <t>中</t>
        </is>
      </c>
      <c r="I48" s="14" t="inlineStr">
        <is>
          <t>未着手</t>
        </is>
      </c>
      <c r="J48" s="7" t="inlineStr">
        <is>
          <t>手引き9〜20頁。川崎町_見える化システムからご出力をお願いする資料_R8.10.23.md No.6</t>
        </is>
      </c>
    </row>
    <row r="49" ht="72" customHeight="1">
      <c r="A49" s="9" t="n">
        <v>45</v>
      </c>
      <c r="B49" s="9" t="inlineStr">
        <is>
          <t>D</t>
        </is>
      </c>
      <c r="C49" s="7" t="inlineStr">
        <is>
          <t>見える化 介護サービス自給率</t>
        </is>
      </c>
      <c r="D49" s="7" t="inlineStr">
        <is>
          <t>町内の事業所による給付の割合（時系列・地域比較）</t>
        </is>
      </c>
      <c r="E49" s="7" t="inlineStr">
        <is>
          <t>町外施設の利用の大きさ。確認事項No.155</t>
        </is>
      </c>
      <c r="F49" s="9" t="inlineStr">
        <is>
          <t>発注者（見える化システム）</t>
        </is>
      </c>
      <c r="G49" s="9" t="inlineStr">
        <is>
          <t>R8.11</t>
        </is>
      </c>
      <c r="H49" s="9" t="inlineStr">
        <is>
          <t>中</t>
        </is>
      </c>
      <c r="I49" s="14" t="inlineStr">
        <is>
          <t>未着手</t>
        </is>
      </c>
      <c r="J49" s="7" t="inlineStr">
        <is>
          <t>手引き58〜60頁。川崎町_見える化システムからご出力をお願いする資料_R8.10.23.md No.7</t>
        </is>
      </c>
    </row>
    <row r="50" ht="72" customHeight="1">
      <c r="A50" s="9" t="n">
        <v>46</v>
      </c>
      <c r="B50" s="9" t="inlineStr">
        <is>
          <t>F</t>
        </is>
      </c>
      <c r="C50" s="7" t="inlineStr">
        <is>
          <t>見える化 将来推計 伸びの比較グラフ</t>
        </is>
      </c>
      <c r="D50" s="7" t="inlineStr">
        <is>
          <t>認定率・利用率・利用回（日）数の伸び（Excel）</t>
        </is>
      </c>
      <c r="E50" s="7" t="inlineStr">
        <is>
          <t>伸びの選択。確認事項No.79</t>
        </is>
      </c>
      <c r="F50" s="9" t="inlineStr">
        <is>
          <t>発注者（見える化システム）</t>
        </is>
      </c>
      <c r="G50" s="9" t="inlineStr">
        <is>
          <t>R8.11</t>
        </is>
      </c>
      <c r="H50" s="9" t="inlineStr">
        <is>
          <t>中</t>
        </is>
      </c>
      <c r="I50" s="14" t="inlineStr">
        <is>
          <t>未着手</t>
        </is>
      </c>
      <c r="J50" s="7" t="inlineStr">
        <is>
          <t>手引き77頁。川崎町_見える化システムからご出力をお願いする資料_R8.10.23.md No.8</t>
        </is>
      </c>
    </row>
    <row r="51" ht="72" customHeight="1">
      <c r="A51" s="9" t="n">
        <v>47</v>
      </c>
      <c r="B51" s="9" t="inlineStr">
        <is>
          <t>A</t>
        </is>
      </c>
      <c r="C51" s="7" t="inlineStr">
        <is>
          <t>見える化 レーダーチャート</t>
        </is>
      </c>
      <c r="D51" s="7" t="inlineStr">
        <is>
          <t>需要・供給・医療介護連携の18指標の全国偏差値</t>
        </is>
      </c>
      <c r="E51" s="7" t="inlineStr">
        <is>
          <t>素案第2章・第3章の本町の位置</t>
        </is>
      </c>
      <c r="F51" s="9" t="inlineStr">
        <is>
          <t>発注者（見える化システム）</t>
        </is>
      </c>
      <c r="G51" s="9" t="inlineStr">
        <is>
          <t>R8.11</t>
        </is>
      </c>
      <c r="H51" s="9" t="inlineStr">
        <is>
          <t>中</t>
        </is>
      </c>
      <c r="I51" s="14" t="inlineStr">
        <is>
          <t>未着手</t>
        </is>
      </c>
      <c r="J51" s="7" t="inlineStr">
        <is>
          <t>手引き48〜57頁。川崎町_見える化システムからご出力をお願いする資料_R8.10.23.md No.9</t>
        </is>
      </c>
    </row>
    <row r="52" ht="72" customHeight="1">
      <c r="A52" s="9" t="n">
        <v>48</v>
      </c>
      <c r="B52" s="9" t="inlineStr">
        <is>
          <t>A</t>
        </is>
      </c>
      <c r="C52" s="7" t="inlineStr">
        <is>
          <t>見える化 地域分析・検討シート（比較地域を設定したもの）</t>
        </is>
      </c>
      <c r="D52" s="7" t="inlineStr">
        <is>
          <t>近隣町・同規模保険者との比較</t>
        </is>
      </c>
      <c r="E52" s="7" t="inlineStr">
        <is>
          <t>素案第2章の比較</t>
        </is>
      </c>
      <c r="F52" s="9" t="inlineStr">
        <is>
          <t>発注者（見える化システム）</t>
        </is>
      </c>
      <c r="G52" s="9" t="inlineStr">
        <is>
          <t>R8.11</t>
        </is>
      </c>
      <c r="H52" s="9" t="inlineStr">
        <is>
          <t>中</t>
        </is>
      </c>
      <c r="I52" s="14" t="inlineStr">
        <is>
          <t>未着手</t>
        </is>
      </c>
      <c r="J52" s="7" t="inlineStr">
        <is>
          <t>手引き85〜87頁。川崎町_見える化システムからご出力をお願いする資料_R8.10.23.md No.10</t>
        </is>
      </c>
    </row>
    <row r="53" ht="72" customHeight="1">
      <c r="A53" s="9" t="n">
        <v>49</v>
      </c>
      <c r="B53" s="9" t="inlineStr">
        <is>
          <t>A</t>
        </is>
      </c>
      <c r="C53" s="7" t="inlineStr">
        <is>
          <t>見える化 人口メッシュ（地図）</t>
        </is>
      </c>
      <c r="D53" s="7" t="inlineStr">
        <is>
          <t>7地区の高齢者の分布と事業所からの距離</t>
        </is>
      </c>
      <c r="E53" s="7" t="inlineStr">
        <is>
          <t>訪問・通所が困難な地区。素案1-6</t>
        </is>
      </c>
      <c r="F53" s="9" t="inlineStr">
        <is>
          <t>発注者（見える化システム）</t>
        </is>
      </c>
      <c r="G53" s="9" t="inlineStr">
        <is>
          <t>R8.11</t>
        </is>
      </c>
      <c r="H53" s="9" t="inlineStr">
        <is>
          <t>中</t>
        </is>
      </c>
      <c r="I53" s="14" t="inlineStr">
        <is>
          <t>未着手</t>
        </is>
      </c>
      <c r="J53" s="7" t="inlineStr">
        <is>
          <t>手引き62〜66頁。川崎町_見える化システムからご出力をお願いする資料_R8.10.23.md No.11</t>
        </is>
      </c>
    </row>
    <row r="54" ht="72" customHeight="1">
      <c r="A54" s="9" t="n">
        <v>50</v>
      </c>
      <c r="B54" s="9" t="inlineStr">
        <is>
          <t>F</t>
        </is>
      </c>
      <c r="C54" s="7" t="inlineStr">
        <is>
          <t>見える化 地域支援事業費の入力の画面の写し</t>
        </is>
      </c>
      <c r="D54" s="7" t="inlineStr">
        <is>
          <t>入力されている事業費と、その額の作り方（対象経費支出予定額か決算額か）</t>
        </is>
      </c>
      <c r="E54" s="7" t="inlineStr">
        <is>
          <t>素案9-2・9-3の地域支援事業費。確認事項No.77・168</t>
        </is>
      </c>
      <c r="F54" s="9" t="inlineStr">
        <is>
          <t>発注者（見える化システム）</t>
        </is>
      </c>
      <c r="G54" s="9" t="inlineStr">
        <is>
          <t>R8.11</t>
        </is>
      </c>
      <c r="H54" s="9" t="inlineStr">
        <is>
          <t>低</t>
        </is>
      </c>
      <c r="I54" s="14" t="inlineStr">
        <is>
          <t>未着手</t>
        </is>
      </c>
      <c r="J54" s="7" t="inlineStr">
        <is>
          <t>手引き79頁。川崎町_見える化システムからご出力をお願いする資料_R8.10.23.md No.12</t>
        </is>
      </c>
    </row>
    <row r="55" ht="72" customHeight="1">
      <c r="A55" s="9" t="inlineStr">
        <is>
          <t>51</t>
        </is>
      </c>
      <c r="B55" s="9" t="inlineStr">
        <is>
          <t>F</t>
        </is>
      </c>
      <c r="C55" s="7" t="inlineStr">
        <is>
          <t>見える化 利用マニュアル【システム操作編② 将来推計】第11.0版</t>
        </is>
      </c>
      <c r="D55" s="7" t="inlineStr">
        <is>
          <t>令和8年度の実績見込みに用いる月・県への提出時の入力（取組の入力・調査票）・地域支援事業費の入力の定め</t>
        </is>
      </c>
      <c r="E55" s="7" t="inlineStr">
        <is>
          <t>確認事項No.79・80・188</t>
        </is>
      </c>
      <c r="F55" s="9" t="inlineStr">
        <is>
          <t>発注者（見える化システム「操作に困ったときは」）</t>
        </is>
      </c>
      <c r="G55" s="9" t="inlineStr">
        <is>
          <t>R8.11</t>
        </is>
      </c>
      <c r="H55" s="9" t="inlineStr">
        <is>
          <t>高</t>
        </is>
      </c>
      <c r="I55" s="14" t="inlineStr">
        <is>
          <t>未着手</t>
        </is>
      </c>
      <c r="J55" s="7" t="inlineStr">
        <is>
          <t>手引き75・77頁の脚注によりシステム内からダウンロードできる。川崎町_県の第10期計画骨子と見える化の定めの確認_R8.10.23.md</t>
        </is>
      </c>
    </row>
    <row r="56" ht="72" customHeight="1">
      <c r="A56" s="9" t="inlineStr">
        <is>
          <t>52</t>
        </is>
      </c>
      <c r="B56" s="9" t="inlineStr">
        <is>
          <t>D</t>
        </is>
      </c>
      <c r="C56" s="7" t="inlineStr">
        <is>
          <t>第10期必要入所（利用）定員、入居定員総数調査票（市区町村版）</t>
        </is>
      </c>
      <c r="D56" s="7" t="inlineStr">
        <is>
          <t>厚生労働省が別途配布する調査票の様式（県経由）</t>
        </is>
      </c>
      <c r="E56" s="7" t="inlineStr">
        <is>
          <t>素案9-1の必要利用定員総数。確認事項No.188</t>
        </is>
      </c>
      <c r="F56" s="9" t="inlineStr">
        <is>
          <t>発注者（宮城県長寿社会政策課経由）</t>
        </is>
      </c>
      <c r="G56" s="9" t="inlineStr">
        <is>
          <t>R8.11</t>
        </is>
      </c>
      <c r="H56" s="9" t="inlineStr">
        <is>
          <t>中</t>
        </is>
      </c>
      <c r="I56" s="14" t="inlineStr">
        <is>
          <t>未着手</t>
        </is>
      </c>
      <c r="J56" s="7" t="inlineStr">
        <is>
          <t>見える化システムで県へ提出する際に登録する調査票。川崎町_県の第10期計画骨子と見える化の定めの確認_R8.10.23.md</t>
        </is>
      </c>
    </row>
    <row r="57"/>
    <row r="58">
      <c r="A58" s="24" t="inlineStr">
        <is>
          <t>区分</t>
        </is>
      </c>
      <c r="B58" s="24" t="inlineStr">
        <is>
          <t>件数</t>
        </is>
      </c>
    </row>
    <row r="59">
      <c r="A59" s="10" t="inlineStr">
        <is>
          <t>完了</t>
        </is>
      </c>
      <c r="B59" s="9">
        <f>COUNTIF(I5:I56,"完了")</f>
        <v/>
      </c>
    </row>
    <row r="60">
      <c r="A60" s="12" t="inlineStr">
        <is>
          <t>実施中</t>
        </is>
      </c>
      <c r="B60" s="9">
        <f>COUNTIF(I5:I56,"実施中")</f>
        <v/>
      </c>
    </row>
    <row r="61">
      <c r="A61" s="14" t="inlineStr">
        <is>
          <t>確認待ち</t>
        </is>
      </c>
      <c r="B61" s="9">
        <f>COUNTIF(I5:I56,"確認待ち")</f>
        <v/>
      </c>
    </row>
    <row r="62">
      <c r="A62" s="16" t="inlineStr">
        <is>
          <t>未着手</t>
        </is>
      </c>
      <c r="B62" s="9">
        <f>COUNTIF(I5:I56,"未着手")</f>
        <v/>
      </c>
    </row>
    <row r="63">
      <c r="A63" s="18" t="inlineStr">
        <is>
          <t>対象外</t>
        </is>
      </c>
      <c r="B63" s="4">
        <f>COUNTIF(I5:I56,"対象外")</f>
        <v/>
      </c>
      <c r="C63" s="4" t="n"/>
      <c r="D63" s="4" t="n"/>
      <c r="E63" s="4" t="n"/>
      <c r="F63" s="4" t="n"/>
      <c r="G63" s="4" t="n"/>
      <c r="H63" s="4" t="n"/>
      <c r="I63" s="4" t="n"/>
      <c r="J63" s="5" t="n"/>
    </row>
    <row r="64"/>
    <row r="65">
      <c r="A65" s="23" t="inlineStr">
        <is>
          <t>注1）優先度は 最高／高／中／低 の別による。「最高」は、受領しない限り当該業務が完了しない資料を示す。</t>
        </is>
      </c>
    </row>
    <row r="66">
      <c r="A66" s="23" t="inlineStr">
        <is>
          <t>注2）「状態」が「完了」となった資料は、受領日を備考欄に記入する。</t>
        </is>
      </c>
    </row>
  </sheetData>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0"/>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row r="40">
      <c r="A40" s="35" t="inlineStr">
        <is>
          <t>36</t>
        </is>
      </c>
      <c r="B40" s="35" t="inlineStr">
        <is>
          <t>第2回策定委員会の資料の整理と想定問答集</t>
        </is>
      </c>
      <c r="C40" s="35" t="inlineStr">
        <is>
          <t>R8.10.21</t>
        </is>
      </c>
      <c r="D40" s="35" t="inlineStr">
        <is>
          <t>ご指示による。開催日（令和8年11月24日）が確定し、ヒアリングを行わない整理と素案 Ver.2.21 が整ったため、資料と想定問答集を引き直せる。</t>
        </is>
      </c>
      <c r="E40" s="35" t="inlineStr">
        <is>
          <t>束のうちNo.49・No.19・No.53・No.83／No.186・No.79の提示</t>
        </is>
      </c>
      <c r="F40" s="35" t="inlineStr">
        <is>
          <t>第2回策定委員会資料 v9（全９版・表44）／想定問答集 v5（全61問）／計画素案 Ver.2.22</t>
        </is>
      </c>
      <c r="G40" s="35" t="inlineStr">
        <is>
          <t>1日</t>
        </is>
      </c>
      <c r="H40" s="35" t="inlineStr">
        <is>
          <t>完了</t>
        </is>
      </c>
      <c r="I40" s="35" t="inlineStr">
        <is>
          <t>⚠ **委託仕様書の読み違いを1件是正した。** v8 の表38 の「委託仕様書上、策定委員会は3回構成」は誤りで、仕様書6(3)は「4回開催の予定」と定めている。⚠ **計画素案の給付費の二重の値を是正した**（1,085,203千円→1,084,587千円）。⚠ **交付金の「27点」が2つあることを書き分けた。**公表情報による町内事業所の状況の表と退所先の表を資料に加え、想定問答集に17問を加えた（44問→61問）。第1回の委員のご発言に基づく人数・金額は資料・問答集の双方から外した。</t>
        </is>
      </c>
    </row>
    <row r="41">
      <c r="A41" s="35" t="inlineStr">
        <is>
          <t>37</t>
        </is>
      </c>
      <c r="B41" s="35" t="inlineStr">
        <is>
          <t>残る5件の確認方針（県の公表資料の洗い出し）</t>
        </is>
      </c>
      <c r="C41" s="35" t="inlineStr">
        <is>
          <t>R8.10.22</t>
        </is>
      </c>
      <c r="D41" s="35" t="inlineStr">
        <is>
          <t>ご指示による。県内他団体の前期計画を確かめるにあたり、まず届く範囲（宮城県）に何があるかを当たったところ、県が3か月ごとに施設別の入所状況を公表していた。</t>
        </is>
      </c>
      <c r="E41" s="35" t="inlineStr">
        <is>
          <t>束のうちNo.159（稼働率・休止床が埋まる）／No.154（軽費老人ホームの廃止）／No.170・No.50・No.51</t>
        </is>
      </c>
      <c r="F41" s="35" t="inlineStr">
        <is>
          <t>施設の入所状況の推移（xlsx・8シート）／残る5件の確認方針（md）／原典18件</t>
        </is>
      </c>
      <c r="G41" s="35" t="inlineStr">
        <is>
          <t>1日</t>
        </is>
      </c>
      <c r="H41" s="35" t="inlineStr">
        <is>
          <t>完了</t>
        </is>
      </c>
      <c r="I41" s="35" t="inlineStr">
        <is>
          <t>⚠ **残る5件のうち稼働率と休止床が、照会を行わずに埋まった。** 令和5年4月から令和8年7月まで14時点。⚠ **町内にあった軽費老人ホーム（定員70人）が令和5年10月に休止し令和6年4月までに廃止されていた**ことが分かった（No.154）。⚠ **入所前の居所は、県の入所指針が定める保険者の責務（第3）の中で集計値を求める筋を立てた。**⚠ **県内他団体の前期計画は読めていない**（環境の通信の制限により県内市町村のサイトが403。13ホストを実測）。未実施として残し、確かめる3案をメモに示した。⚠ 途中で所在地の読み取りを誤り、別の市町村の同名施設を拾った。検査を加えて是正した。　【令和8年10月22日 更新②（方針Ｃ・素案Ver.2.23）】⚠ **県内他団体の前期計画は確かめずに進める（方針Ｃ・ご指示）。** 想定問答集 v6 の QB-64 で、比較を行っていないことをそのまま答える形にした。県調査の結果を素案 Ver.2.23・資料 v10・問答集 v6 に同じ版で反映した。</t>
        </is>
      </c>
    </row>
    <row r="42">
      <c r="A42" s="35" t="inlineStr">
        <is>
          <t>38</t>
        </is>
      </c>
      <c r="B42" s="35" t="inlineStr">
        <is>
          <t>交付金の状況の再整理と策定委員会資料への反映</t>
        </is>
      </c>
      <c r="C42" s="35" t="inlineStr">
        <is>
          <t>R8.10.22</t>
        </is>
      </c>
      <c r="D42" s="35" t="inlineStr">
        <is>
          <t>ご指示による。同じ原典（全国集計結果）を枝の単位まで解いた他の案件の点検の観点を借り、本町の記述に同じ誤りがないかを確かめた。町のご回答を待たずに行える。</t>
        </is>
      </c>
      <c r="E42" s="35" t="inlineStr">
        <is>
          <t>No.39（交付金を保険料に見込むか）／No.58</t>
        </is>
      </c>
      <c r="F42" s="35" t="inlineStr">
        <is>
          <t>交付金の推移の再整理（xlsx・5シート）／取りまとめ表 R8.10.22／計画素案 Ver.2.24／資料 v11／想定問答集 v7／交付金の状況の再整理（md）</t>
        </is>
      </c>
      <c r="G42" s="35" t="inlineStr">
        <is>
          <t>1日</t>
        </is>
      </c>
      <c r="H42" s="35" t="inlineStr">
        <is>
          <t>完了</t>
        </is>
      </c>
      <c r="I42" s="35" t="inlineStr">
        <is>
          <t>⚠ **素案に事実と違う記述が2か所あった**（保険料算定は交付実績を据え置いている→実際は交付金を見込んでいない）。⚠ 37点の内訳を成果▲30・配点改定▲7・新設＋2・後退▲34・前進＋32と正した。宮城県平均が1年で78.6点上がったことが県内順位3位→8位の主因。総括表は交付金4,500千円を見込んでおり、素案と食い違う（月額約40円）。No.39 でご判断を仰ぐ。</t>
        </is>
      </c>
    </row>
    <row r="43">
      <c r="A43" s="35" t="inlineStr">
        <is>
          <t>39</t>
        </is>
      </c>
      <c r="B43" s="35" t="inlineStr">
        <is>
          <t>町内の軽費老人ホームの廃止の確認結果の反映</t>
        </is>
      </c>
      <c r="C43" s="35" t="inlineStr">
        <is>
          <t>R8.10.22</t>
        </is>
      </c>
      <c r="D43" s="35" t="inlineStr">
        <is>
          <t>ご指示による。廃止前後を公表資料で調べた結果の提供を受け、手元の県の入所状況調と突き合わせた。</t>
        </is>
      </c>
      <c r="E43" s="35" t="inlineStr">
        <is>
          <t>No.154 のうち軽費老人ホーム</t>
        </is>
      </c>
      <c r="F43" s="35" t="inlineStr">
        <is>
          <t>計画素案 Ver.2.25／資料 v12／想定問答集 v8／軽費老人ホーム廃止の確認結果（md）</t>
        </is>
      </c>
      <c r="G43" s="35" t="inlineStr">
        <is>
          <t>半日</t>
        </is>
      </c>
      <c r="H43" s="35" t="inlineStr">
        <is>
          <t>完了</t>
        </is>
      </c>
      <c r="I43" s="35" t="inlineStr">
        <is>
          <t>廃止日 令和6年3月31日。⚠ **提供資料で未確認とされた廃止前の入所者数と退所先の一部が、県の入所状況調で埋まった**（13人→7人→0人、退所32人のうち他の施設28）。⚠ 素案の「住まい70人分が失われた」を改めた。本町の住民の数・移られた先の種別と市町村・廃止の理由は、県への廃止届の確認を町にお願いする。</t>
        </is>
      </c>
    </row>
    <row r="44">
      <c r="A44" s="35" t="inlineStr">
        <is>
          <t>40</t>
        </is>
      </c>
      <c r="B44" s="35" t="inlineStr">
        <is>
          <t>第2回策定委員会資料の書式の整理（第1回の踏襲）</t>
        </is>
      </c>
      <c r="C44" s="35" t="inlineStr">
        <is>
          <t>R8.10.22</t>
        </is>
      </c>
      <c r="D44" s="35" t="inlineStr">
        <is>
          <t>ご指示による。計画素案は策定委員会に未提出のため修正履歴は不要。表の中央揃えを左揃えに。書式は第1回の資料を踏襲する。</t>
        </is>
      </c>
      <c r="E44" s="35" t="inlineStr">
        <is>
          <t>成果品6</t>
        </is>
      </c>
      <c r="F44" s="35" t="inlineStr">
        <is>
          <t>第2回策定委員会資料 v13／想定問答集 v9</t>
        </is>
      </c>
      <c r="G44" s="35" t="inlineStr">
        <is>
          <t>半日</t>
        </is>
      </c>
      <c r="H44" s="35" t="inlineStr">
        <is>
          <t>完了</t>
        </is>
      </c>
      <c r="I44" s="35" t="inlineStr">
        <is>
          <t>⚠ **v12 の表紙は帯の網掛けが clear になっており、白抜きの題名が見えなかった。**第1回と同じ solid に戻し、町のロゴを入れ、2章から改頁。表は本文を左揃え・1行おきの網掛け。⚠ は第1回にならい ※ に（0件）。当社資料の訂正11件の節・版の記述を除いた。古い値の残り（検算6,100項目→6,400項目、圧縮後102頁→106頁）を直した。</t>
        </is>
      </c>
    </row>
    <row r="45">
      <c r="A45" s="35" t="inlineStr">
        <is>
          <t>41</t>
        </is>
      </c>
      <c r="B45" s="35" t="inlineStr">
        <is>
          <t>素案の版の表記の整理と、計画の見え方の点検（第9期計画との対比）</t>
        </is>
      </c>
      <c r="C45" s="35" t="inlineStr">
        <is>
          <t>R8.10.23</t>
        </is>
      </c>
      <c r="D45" s="35" t="inlineStr">
        <is>
          <t>ご指示による。同じ型の素案を作っている他の案件の紙面の点検の観点を借り、第9期計画の PDF の書体・紙面を実測して突き合わせた。</t>
        </is>
      </c>
      <c r="E45" s="35" t="inlineStr">
        <is>
          <t>No.187（新規）</t>
        </is>
      </c>
      <c r="F45" s="35" t="inlineStr">
        <is>
          <t>計画素案 Ver.2.26／想定問答集 v10／見え方の点検（md）</t>
        </is>
      </c>
      <c r="G45" s="35" t="inlineStr">
        <is>
          <t>1日</t>
        </is>
      </c>
      <c r="H45" s="35" t="inlineStr">
        <is>
          <t>完了</t>
        </is>
      </c>
      <c r="I45" s="35" t="inlineStr">
        <is>
          <t>版の表記8か所とヘッダーを除いた。⚠ **行送りの lineRule なし5,621段落・列幅が実寸でない129表**を直した（町の Word で頁数と目次がずれ得た／制度改正の表で文字が縦に折れていた）。表の中の長い文441段落を左揃えに。第9期は HG丸ゴシックM-PRO 11pt・「第１節」「■」「資料：」。揃えるかを No.187 でご判断いただく。</t>
        </is>
      </c>
    </row>
    <row r="46">
      <c r="A46" s="35" t="inlineStr">
        <is>
          <t>42</t>
        </is>
      </c>
      <c r="B46" s="35" t="inlineStr">
        <is>
          <t>書体を第9期に揃え、協議用素案と公表用の計画書（案）に分ける</t>
        </is>
      </c>
      <c r="C46" s="35" t="inlineStr">
        <is>
          <t>R8.10.23</t>
        </is>
      </c>
      <c r="D46" s="35" t="inlineStr">
        <is>
          <t>ご指示による（No.187）。</t>
        </is>
      </c>
      <c r="E46" s="35" t="inlineStr">
        <is>
          <t>No.187</t>
        </is>
      </c>
      <c r="F46" s="35" t="inlineStr">
        <is>
          <t>協議用素案 Ver.2.27／公表用の計画書（案）v2.27／公表用で落とした文（xlsx）／運用メモ（md）</t>
        </is>
      </c>
      <c r="G46" s="35" t="inlineStr">
        <is>
          <t>1日</t>
        </is>
      </c>
      <c r="H46" s="35" t="inlineStr">
        <is>
          <t>完了</t>
        </is>
      </c>
      <c r="I46" s="35" t="inlineStr">
        <is>
          <t>HG丸ｺﾞｼｯｸM-PRO に（Windows の登録名は半角カナ）。公表用は協議用から組み替え、⚠・確認事項No・【町確認】を落とす／揃える。⚠ ［要確認］［要協議］を含む文は落とさない（公表用 ［要確認］70・［要協議］13）。落とした文48件を記録。短い語が縦に折れていた27表の列を広げた。</t>
        </is>
      </c>
    </row>
    <row r="47">
      <c r="A47" s="35" t="inlineStr">
        <is>
          <t>43</t>
        </is>
      </c>
      <c r="B47" s="35" t="inlineStr">
        <is>
          <t>事業所別5か年推移（利用者数・稼働・回転・従事者数）の確認</t>
        </is>
      </c>
      <c r="C47" s="35" t="inlineStr">
        <is>
          <t>R8.10.23</t>
        </is>
      </c>
      <c r="D47" s="35" t="inlineStr">
        <is>
          <t>受領による（全国47都道府県分。原本を09へ退避）。</t>
        </is>
      </c>
      <c r="E47" s="35" t="inlineStr">
        <is>
          <t>No.159（稼働率・短期入所）／No.50（介護人材）</t>
        </is>
      </c>
      <c r="F47" s="35" t="inlineStr">
        <is>
          <t>事業所別5か年推移の整理（xlsx・5シート）／川崎町の行の抜き出し（csv）／確認結果（md）</t>
        </is>
      </c>
      <c r="G47" s="35" t="inlineStr">
        <is>
          <t>半日</t>
        </is>
      </c>
      <c r="H47" s="35" t="inlineStr">
        <is>
          <t>完了</t>
        </is>
      </c>
      <c r="I47" s="35" t="inlineStr">
        <is>
          <t>町内12の指定の令和3〜7年の値を抜き出し、既知の定員・常勤換算と一致を確認。⚠ 集計の欄は数式で値が保存されておらず計算し直した。⚠ 原表の「定員充足率」は延べ÷定員（百分率でない）。地域密着型特養の増床分の稼働69.4％、短期入所の半減、老健・特養の介護職員の減少を把握。⚠ 出所の記載なし［要確認］。素案への反映は出所の確認後を推奨。</t>
        </is>
      </c>
    </row>
    <row r="48">
      <c r="A48" s="35" t="inlineStr">
        <is>
          <t>44</t>
        </is>
      </c>
      <c r="B48" s="35" t="inlineStr">
        <is>
          <t>見える化システムの事業所分析の協議用素案への反映</t>
        </is>
      </c>
      <c r="C48" s="35" t="inlineStr">
        <is>
          <t>R8.10.23</t>
        </is>
      </c>
      <c r="D48" s="35" t="inlineStr">
        <is>
          <t>ご指示による。出所を確定し、手引きの定義で計算し直した後に反映。</t>
        </is>
      </c>
      <c r="E48" s="35" t="inlineStr">
        <is>
          <t>No.159・No.50</t>
        </is>
      </c>
      <c r="F48" s="35" t="inlineStr">
        <is>
          <t>協議用素案 Ver.2.28／公表用 v2.28／資料 v14／問答集 v11</t>
        </is>
      </c>
      <c r="G48" s="35" t="inlineStr">
        <is>
          <t>半日</t>
        </is>
      </c>
      <c r="H48" s="35" t="inlineStr">
        <is>
          <t>完了</t>
        </is>
      </c>
      <c r="I48" s="35" t="inlineStr">
        <is>
          <t>2-7に5年間の推移の表。⚠ 事業所ごとの職員数は掲げず、施設・居住系の合計（指定の重複を除く）と定員100人あたりで示した。⚠ 地域密着型の稼働率78.7％（増床分が埋まっていない）を9-1に［要協議］。資料・問答集を同じ版で直した。</t>
        </is>
      </c>
    </row>
    <row r="49">
      <c r="A49" s="35" t="inlineStr">
        <is>
          <t>45</t>
        </is>
      </c>
      <c r="B49" s="35" t="inlineStr">
        <is>
          <t>比較材料ブランチ（観点のみ）の確認と宮城県の第10期計画骨子（案）の反映</t>
        </is>
      </c>
      <c r="C49" s="35" t="inlineStr">
        <is>
          <t>R8.10.23</t>
        </is>
      </c>
      <c r="D49" s="35" t="inlineStr">
        <is>
          <t>ご指示による。観点は原典（宮城県 推進委員会資料・手引き）で確かめてから反映。</t>
        </is>
      </c>
      <c r="E49" s="35" t="inlineStr">
        <is>
          <t>No.50・69・77・79・80・168・188</t>
        </is>
      </c>
      <c r="F49" s="35" t="inlineStr">
        <is>
          <t>協議用素案 Ver.2.29／公表用 v2.29／資料 v15／問答集 v12</t>
        </is>
      </c>
      <c r="G49" s="35" t="inlineStr">
        <is>
          <t>半日</t>
        </is>
      </c>
      <c r="H49" s="35" t="inlineStr">
        <is>
          <t>完了</t>
        </is>
      </c>
      <c r="I49" s="35" t="inlineStr">
        <is>
          <t>1-2 に県の骨子（案）との対応表。8-2・9-1 に注記。資料・問答集は頁数（118頁）のみ。No.188 起票、資料提供依頼No.51・52。</t>
        </is>
      </c>
    </row>
    <row r="50">
      <c r="A50" s="35" t="inlineStr">
        <is>
          <t>46</t>
        </is>
      </c>
      <c r="B50" s="35" t="inlineStr">
        <is>
          <t>概要版を協議用素案の最新版から組み直す</t>
        </is>
      </c>
      <c r="C50" s="35" t="inlineStr"/>
      <c r="D50" s="35" t="inlineStr">
        <is>
          <t>概要版（R8.10.5）は素案 Ver.2.20 から組んだもので、Ver.2.21以降の改め（書体・事業所分析・県計画との対応ほか）が入っていない。</t>
        </is>
      </c>
      <c r="E50" s="35" t="inlineStr">
        <is>
          <t>No.187</t>
        </is>
      </c>
      <c r="F50" s="35" t="inlineStr">
        <is>
          <t>計画素案 概要版</t>
        </is>
      </c>
      <c r="G50" s="35" t="inlineStr">
        <is>
          <t>半日</t>
        </is>
      </c>
      <c r="H50" s="35" t="inlineStr">
        <is>
          <t>未着手</t>
        </is>
      </c>
      <c r="I50" s="35" t="inlineStr">
        <is>
          <t>build_gaiyo_R8.10.4.py／R8.10.5.py の SOAN を最新の協議用素案に上げ、数値を素案から読み直す。</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2026-10-23T06:50:16Z</dcterms:modified>
</cp:coreProperties>
</file>