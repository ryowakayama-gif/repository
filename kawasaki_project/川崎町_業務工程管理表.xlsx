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0.7</v>
      </c>
      <c r="H7" s="9" t="inlineStr">
        <is>
          <t>R9.2</t>
        </is>
      </c>
      <c r="I7" s="7" t="inlineStr">
        <is>
          <t>第1回は令和8年9月2日に開催済み。議事録・想定問答集を提出済み。第2回（令和8年11月予定）の説明資料はv2まで作成済み（保険料を仮試算から令和7年度の年報による確定値に置き換えた）。想定問答集（全30問・7カテゴリ）も作成済み。残るのは開催日の確定（確認事項No.85）。</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0.85</v>
      </c>
      <c r="H8" s="9" t="inlineStr">
        <is>
          <t>R8.10</t>
        </is>
      </c>
      <c r="I8" s="7" t="inlineStr">
        <is>
          <t>①②は完了。令和8年9月11日受領の見える化システムの画面の写し及び総括表により、令和7年度の年報（要介護度別明細）まで取り込んだ。③現行施策（第9期35事業）の実績は【町確認】欄がご記入待ち。保険者機能強化推進交付金等の全国集計結果は受領・反映済み。</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0.85</v>
      </c>
      <c r="H10" s="9" t="inlineStr">
        <is>
          <t>R8.10</t>
        </is>
      </c>
      <c r="I10" s="7" t="inlineStr">
        <is>
          <t>①②は完了し、川崎町固有の5重点課題を整理済み。第2章・第3章の現状分析を令和7年度実績（年報）に更新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0.8</v>
      </c>
      <c r="H11" s="9" t="inlineStr">
        <is>
          <t>R9.2</t>
        </is>
      </c>
      <c r="I11" s="7" t="inlineStr">
        <is>
          <t>素案はVer.1.17まで作成（全67頁・515段落・75表・6図）。第9章にサービス見込量・給付費・保険料の確定値、中長期推計（令和17年度・令和22年度）、保険料算定表（記号A〜J・年度別）及び感度分析を掲載した。目次の頁番号を全56行に記入した。残るのは第3章の町確認欄と、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0.2</v>
      </c>
      <c r="H12" s="9" t="inlineStr">
        <is>
          <t>R9.3</t>
        </is>
      </c>
      <c r="I12" s="7" t="inlineStr">
        <is>
          <t>中間報告の提出期日が指定されていない（確認事項No.17）。計画書（案）は素案Ver.1.17を母体とするが、現行67頁に対し成果品は100頁程度であり増補を要する。概要版（8頁程度・3,500部）は未着手。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2件（ニーズ調査・在宅介護実態調査）を作成済み。あわせて、令和7年度の年報を基礎とするサービス見込量・給付費・保険料の独立算定を完了し、素案をVer.1.17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次の値を確定済み（総給付費3か年3,048,796千円・保険料6,822円）。素案はVer.1.17。見える化システムへの入力は、在宅の利用回（日）数が令和8年5月ベースで固定されているため、新しい推計パターンの作成を提案し設定値一式（8シート）を提供済み。</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説明資料をv2まで作成（ご選択いただきたい事項5件・保険料の確定値・計画骨子案）。想定問答集（全30問・7カテゴリ）も作成済み。諮る事項はサービス見込量・給付費・保険料の3パターン。残るのは開催日の確定。</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8"/>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令和7年度から令和8年度への37点減のうち最大の要素。宮城県内35保険者中34位という水準でもある。</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row r="130">
      <c r="A130" s="24" t="inlineStr">
        <is>
          <t>区分</t>
        </is>
      </c>
      <c r="B130" s="24" t="inlineStr">
        <is>
          <t>件数</t>
        </is>
      </c>
    </row>
    <row r="131">
      <c r="A131" s="10" t="inlineStr">
        <is>
          <t>完了</t>
        </is>
      </c>
      <c r="B131" s="9">
        <f>COUNTIF(H5:H128,"完了")</f>
        <v/>
      </c>
    </row>
    <row r="132">
      <c r="A132" s="12" t="inlineStr">
        <is>
          <t>実施中</t>
        </is>
      </c>
      <c r="B132" s="9">
        <f>COUNTIF(H5:H128,"実施中")</f>
        <v/>
      </c>
    </row>
    <row r="133">
      <c r="A133" s="14" t="inlineStr">
        <is>
          <t>確認待ち</t>
        </is>
      </c>
      <c r="B133" s="9">
        <f>COUNTIF(H5:H128,"確認待ち")</f>
        <v/>
      </c>
    </row>
    <row r="134">
      <c r="A134" s="16" t="inlineStr">
        <is>
          <t>未着手</t>
        </is>
      </c>
      <c r="B134" s="9">
        <f>COUNTIF(H5:H128,"未着手")</f>
        <v/>
      </c>
    </row>
    <row r="135">
      <c r="A135" s="18" t="inlineStr">
        <is>
          <t>対象外</t>
        </is>
      </c>
      <c r="B135" s="9">
        <f>COUNTIF(H5:H128,"対象外")</f>
        <v/>
      </c>
    </row>
    <row r="136"/>
    <row r="137">
      <c r="A137" s="23" t="inlineStr">
        <is>
          <t>注1）「回答・対応」欄は、発注者からの回答又は受託者による対応の結果を記入し、状態を「完了」に更新する。</t>
        </is>
      </c>
    </row>
    <row r="138">
      <c r="A138" s="23" t="inlineStr">
        <is>
          <t>注2）No.9〜11は保険料試算ワークブックの黄色セル（01!B15、06!B17、06!B16、04!B8、06!B10）と対応し、値を入力すると保険料基準額が自動で再計算される。</t>
        </is>
      </c>
    </row>
  </sheetData>
  <mergeCells count="4">
    <mergeCell ref="A1:J1"/>
    <mergeCell ref="A2:J2"/>
    <mergeCell ref="A137:J137"/>
    <mergeCell ref="A138:J1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2調査の結果報告書を作成済み。集計ブックとの全件突合及びレッドチームレビュー（v6）を実施済み。印刷仕様（A4・1色刷り・80頁程度・5部）への割付けが残る。</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川崎町_計画書素案_v1.17_中長期推計反映版.docx
（全67頁・515段落・75表・6図）
川崎町_資料編_構成案・素案.docx</t>
        </is>
      </c>
      <c r="D8" s="7" t="inlineStr">
        <is>
          <t>A4版　表紙レザック　本文上質紙
1色刷り　100頁程度　100部</t>
        </is>
      </c>
      <c r="E8" s="12" t="inlineStr">
        <is>
          <t>実施中</t>
        </is>
      </c>
      <c r="F8" s="20" t="n">
        <v>0.7</v>
      </c>
      <c r="G8" s="9" t="inlineStr">
        <is>
          <t>R9.3.15</t>
        </is>
      </c>
      <c r="H8" s="7" t="inlineStr">
        <is>
          <t>素案はVer.1.17。第9章に見込量・給付費・保険料の確定値、中長期推計、保険料算定表及び感度分析を掲載し、目次の頁番号を全56行に記入した。成果品の100頁程度への増補の方針が未定（確認事項No.83）。</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現行の概要版は委員事前配布用の12頁であり、住民配布用の8頁程度（3,500部）への再構成が必要。計画書の確定後に着手する。</t>
        </is>
      </c>
      <c r="I9" s="9" t="inlineStr">
        <is>
          <t>18</t>
        </is>
      </c>
    </row>
    <row r="10" ht="84" customHeight="1">
      <c r="A10" s="9" t="n">
        <v>6</v>
      </c>
      <c r="B10" s="21" t="inlineStr">
        <is>
          <t>計画書概要及び計画書案等の電子データ</t>
        </is>
      </c>
      <c r="C10" s="7" t="inlineStr">
        <is>
          <t>素案Ver.1.17（Word）
概要版（Word）
資料編（Word）</t>
        </is>
      </c>
      <c r="D10" s="7" t="inlineStr">
        <is>
          <t>一式（Word・PDF）</t>
        </is>
      </c>
      <c r="E10" s="12" t="inlineStr">
        <is>
          <t>実施中</t>
        </is>
      </c>
      <c r="F10" s="20" t="n">
        <v>0.7</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2026-09-25T01:46:24Z</dcterms:modified>
</cp:coreProperties>
</file>