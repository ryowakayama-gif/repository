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10">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令和8年9月29日　本表の記載は同日時点のもの。計画素案 Ver.2.2（認知症施策推進計画 必須記載事項反映版・609段落114表・全93頁）、第2回策定委員会資料 v5、想定問答集 v2（全35問8カテゴリ）、施策・事業統合体系表（7章17節37項143事業）、交付金取りまとめ表（7シート）、計画書別添整理表（5シート）、認知症の意見聴取記録様式（7シート）、認知症の必須記載事項突合表（6シート）まで作成済み。</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2件（R8.9.2版）の作成、計画素案への反映（v1.8）まで完了。集計ブック（20260807版）との全件突合で不一致0件。成果品としての調査報告書（80頁程度5部）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v5（86段落33表）
第2回委員会_想定問答集 v2（35問8カテゴリ）
F6_策定委員会書類ひな形_改訂版</t>
        </is>
      </c>
      <c r="F7" s="12" t="inlineStr">
        <is>
          <t>実施中</t>
        </is>
      </c>
      <c r="G7" s="20" t="n">
        <v>0.75</v>
      </c>
      <c r="H7" s="9" t="inlineStr">
        <is>
          <t>R9.2</t>
        </is>
      </c>
      <c r="I7" s="7" t="inlineStr">
        <is>
          <t>第1回は令和8年9月2日に開催済み。議事録・想定問答集を提出済み。第2回（令和8年11月予定）の資料はv5まで作成済みで、「７．交付金の評価と取り戻せる27点」を新設した。想定問答集も全35問・8カテゴリに拡充し、表番号による参照を節による参照に改めた。資料・想定問答集とも自己点検（27件・機械判定）に適合している。残るのは開催日の確定（確認事項No.85）と、選択1〜5のご判断を受けた第3回資料の作成。</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0.95</v>
      </c>
      <c r="H8" s="9" t="inlineStr">
        <is>
          <t>R8.10</t>
        </is>
      </c>
      <c r="I8" s="7" t="inlineStr">
        <is>
          <t>①②は完了。令和8年9月11日受領の見える化システムの画面の写し及び総括表により、令和7年度の年報（要介護度別明細）まで取り込んだ。交付金は令和6・7・8年度の全国集計を枝番（ア・イ・ウ…）の単位で突き合わせ、3か年の推移・県内比較・必要項目の対応可否・計画との紐付けを取りまとめ表（7シート）として整理した。各年度の枝番の合計が公表値（454点・565点・528点）と一致することを確認済み。③現行施策（第9期35事業）の実績は【町確認】欄がご記入待ち。</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0.9</v>
      </c>
      <c r="H9" s="9" t="inlineStr">
        <is>
          <t>R9.1</t>
        </is>
      </c>
      <c r="I9" s="7" t="inlineStr">
        <is>
          <t>令和7年度の年報を基礎とする独立算定を完了した（32サービス・要介護度別。総給付費3か年3,048,796千円、保険料基準額 取崩なし6,822円）。令和7年度の基準値は見える化システムの総括表と32サービスすべてで一致する。所得段階別第1号被保険者数（13段階）は年報の様式1により確定した。残るのは準備基金の令和8年度末残高・調整交付金見込交付割合・令和9年度の介護報酬改定の3件で、いずれも受託者の作業では確定できない。</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0.9</v>
      </c>
      <c r="H10" s="9" t="inlineStr">
        <is>
          <t>R8.10</t>
        </is>
      </c>
      <c r="I10" s="7" t="inlineStr">
        <is>
          <t>①②は完了し、川崎町固有の5重点課題を整理済み。第2章・第3章の現状分析を令和7年度実績（年報）に更新した。調査結果報告書3文書の再修正版について、調査票の個票から約6,400項目を全数検算し（レビューv8・令和8年9月25日）、数値の誤りは付表2の丸め37件のみであることを確認した。第9期35事業の実績一覧は【町確認】欄がご記入待ちであり、第3章3-2の各表がこれを待っている。</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計画書素案_v2.2_認知症必須記載事項版（609段落114表・全93頁）
施策・事業統合体系表_R8.9.25b（6シート・7章17節37項143事業）
認知症_意見聴取記録様式_R8.9.29（7シート・別添22）
認知症_必須記載事項突合表_R8.9.29（6シート）
交付金_取りまとめ表_R8.9.29（7シート）
計画書_別添整理表_R8.9.29（5シート）</t>
        </is>
      </c>
      <c r="F11" s="12" t="inlineStr">
        <is>
          <t>実施中</t>
        </is>
      </c>
      <c r="G11" s="20" t="n">
        <v>0.98</v>
      </c>
      <c r="H11" s="9" t="inlineStr">
        <is>
          <t>R9.2</t>
        </is>
      </c>
      <c r="I11" s="7" t="inlineStr">
        <is>
          <t>素案はVer.2.1まで作成（全88頁・588段落・111表）。Ver.2.0で統合体系表の143事業を第5章（106事業）・第6章6-4（28事業）・第8章（柱7の9事業）に書き下ろし、Ver.2.1で第10期に内容が変わる42事業（新規23・拡充19）について根拠となる事実と第10期での内容を章ごとの表で示した。あわせて交付金の失点27点の回復を第10章10-4のKPI管理表に組み込んだ。書き下ろした事業が統合体系表と1件のずれもなく一致することを自己点検（検査5）で機械的に確認している（31件すべて適合）。残るのは第3章の町確認欄、継続101事業の本文の記述、成果品の100頁程度への増補。</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16" t="inlineStr">
        <is>
          <t>未着手</t>
        </is>
      </c>
      <c r="G12" s="20" t="n">
        <v>0.35</v>
      </c>
      <c r="H12" s="9" t="inlineStr">
        <is>
          <t>R9.3</t>
        </is>
      </c>
      <c r="I12" s="7" t="inlineStr">
        <is>
          <t>中間報告の提出期日が指定されていない（確認事項No.17）。計画書（案）は素案Ver.2.0を母体とする。Ver.2.0で143事業の書き下ろしを終えたため、残るのは施策ごとの本文の記述と概要版（8頁程度・3,500部）の作成。現行84頁に対し成果品は100頁程度であり増補を要する。</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人口推計・事業量推計は、令和7年度の年報を基礎とする独立算定により第1稿を作成。地域支援事業の費用の見込みはデータ未受領のため保留。素案はVer.2.2（認知症施策推進計画 必須記載事項反映版・全93頁）まで更新した。認知症の人及び家族等からの意見聴取は令和8年10〜11月に実施する予定であり、記録様式（別添22）を9月29日に作成済み。聴取の実施前に町と運用を確定する必要がある（確認事項No.146）。</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策定委員会の資料をv5まで作成（ご選択いただきたい事項5件・保険料の3パターン・交付金の評価結果と取り戻せる27点・訂正事項5件・町案から取り込む事業10件）。想定問答集はv2（全35問8カテゴリ）。選択1（施策体系）のご判断により、認知症施策の事業の追加候補15件（素案6-4）を併せてご判断いただく。</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保険料算定表（記号A〜J・年度別）と感度分析は素案Ver.1.17に掲載済み。町確認データ（準備基金の令和8年度末残高）の受領により確定値へ置き換える。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60"/>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9" t="inlineStr">
        <is>
          <t>76</t>
        </is>
      </c>
      <c r="B80" s="9" t="inlineStr">
        <is>
          <t>(5)</t>
        </is>
      </c>
      <c r="C80" s="9" t="inlineStr">
        <is>
          <t>R8.9</t>
        </is>
      </c>
      <c r="D80" s="7" t="inlineStr">
        <is>
          <t>令和8年度の給付費が0になっているサービスが12件ある</t>
        </is>
      </c>
      <c r="E80" s="7"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7" t="inlineStr">
        <is>
          <t>見える化システム 第1回目提出（R8.10.5）
素案 第6章 サービス見込量</t>
        </is>
      </c>
      <c r="G80" s="9" t="inlineStr">
        <is>
          <t>発注者</t>
        </is>
      </c>
      <c r="H80" s="12" t="inlineStr">
        <is>
          <t>確認待ち</t>
        </is>
      </c>
      <c r="I80" s="9" t="inlineStr">
        <is>
          <t>R8.9</t>
        </is>
      </c>
      <c r="J80" s="7" t="inlineStr">
        <is>
          <t>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9" t="inlineStr">
        <is>
          <t>79</t>
        </is>
      </c>
      <c r="B83" s="9" t="inlineStr">
        <is>
          <t>(5)</t>
        </is>
      </c>
      <c r="C83" s="9" t="inlineStr">
        <is>
          <t>R8.9</t>
        </is>
      </c>
      <c r="D83" s="7" t="inlineStr">
        <is>
          <t>自然体推計の伸び率の選択期間と令和8年度の実績見込みの扱い</t>
        </is>
      </c>
      <c r="E83" s="7" t="inlineStr">
        <is>
          <t>第10期将来推計総括表は伸び率の選択期間が「令和3年度→令和8年度」となっており、給付費の基準値も令和8年度です。ただし令和8年度は月報4か月分しか実績がなく、年間額はシステムの推計値です。当社としては、令和8年度で0になっている12サービスのみ令和6・7年度平均で補完し、その他は令和8年度のシステム値を維持する案（案1）を推奨します。第1回目は実績値の欠落を埋めることに限定し、見込量の政策的な上乗せは第2回目以降に回す整理でよろしいかご確認ください。</t>
        </is>
      </c>
      <c r="F83" s="7" t="inlineStr">
        <is>
          <t>見える化システム 第1回目提出（R8.10.5）
素案 第6章・第9章</t>
        </is>
      </c>
      <c r="G83" s="9" t="inlineStr">
        <is>
          <t>発注者・宮城県長寿社会政策課</t>
        </is>
      </c>
      <c r="H83" s="12" t="inlineStr">
        <is>
          <t>確認待ち</t>
        </is>
      </c>
      <c r="I83" s="9" t="inlineStr">
        <is>
          <t>R8.9</t>
        </is>
      </c>
      <c r="J83" s="7"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を作成しておられますか。作成済みの場合は最新版をご提供ください。認知症施策推進基本計画のKPIのうち、重点目標3のアウトプット指標7は「基本法の趣旨を踏まえた認知症ケアパスの作成・更新・周知を行っている市町村の数」で、重点目標1〜3の24指標のうち「市町村の数」と明記された唯一の成果物です。交付金 支援 目標Ⅱ（ⅰ）2アの留意点でも、認知症疾患医療センターや認知症サポート医の周知の方法としてケアパスの配布が例示されています。未作成の場合は第10期の新規事業として位置付けます（印刷費が生じます）。</t>
        </is>
      </c>
      <c r="F141" s="7" t="inlineStr">
        <is>
          <t>素案 6-4第3節（事業の追加候補）</t>
        </is>
      </c>
      <c r="G141" s="9" t="inlineStr">
        <is>
          <t>発注者</t>
        </is>
      </c>
      <c r="H141" s="12" t="inlineStr">
        <is>
          <t>確認待ち</t>
        </is>
      </c>
      <c r="I141" s="9" t="inlineStr">
        <is>
          <t>R8.10</t>
        </is>
      </c>
      <c r="J141" s="7" t="inlineStr">
        <is>
          <t>厚生労働省「都道府県・市町村向け認知症施策推進計画策定の手引き」4（2）1及び6（2）1が市町村の対応分として挙げている。手引きは、ケアパスに意思決定支援の内容が盛り込まれるよう求めている。</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2">
      <c r="A152" s="24" t="inlineStr">
        <is>
          <t>区分</t>
        </is>
      </c>
      <c r="B152" s="24" t="inlineStr">
        <is>
          <t>件数</t>
        </is>
      </c>
    </row>
    <row r="153">
      <c r="A153" s="10" t="inlineStr">
        <is>
          <t>完了</t>
        </is>
      </c>
      <c r="B153" s="9">
        <f>COUNTIF(H5:H150,"完了")</f>
        <v/>
      </c>
    </row>
    <row r="154">
      <c r="A154" s="12" t="inlineStr">
        <is>
          <t>実施中</t>
        </is>
      </c>
      <c r="B154" s="9">
        <f>COUNTIF(H5:H150,"実施中")</f>
        <v/>
      </c>
    </row>
    <row r="155">
      <c r="A155" s="14" t="inlineStr">
        <is>
          <t>確認待ち</t>
        </is>
      </c>
      <c r="B155" s="9">
        <f>COUNTIF(H5:H150,"確認待ち")</f>
        <v/>
      </c>
    </row>
    <row r="156">
      <c r="A156" s="16" t="inlineStr">
        <is>
          <t>未着手</t>
        </is>
      </c>
      <c r="B156" s="9">
        <f>COUNTIF(H5:H150,"未着手")</f>
        <v/>
      </c>
    </row>
    <row r="157">
      <c r="A157" s="18" t="inlineStr">
        <is>
          <t>対象外</t>
        </is>
      </c>
      <c r="B157" s="9">
        <f>COUNTIF(H5:H150,"対象外")</f>
        <v/>
      </c>
    </row>
    <row r="159">
      <c r="A159" s="23" t="inlineStr">
        <is>
          <t>注1）「回答・対応」欄は、発注者からの回答又は受託者による対応の結果を記入し、状態を「完了」に更新する。</t>
        </is>
      </c>
    </row>
    <row r="160">
      <c r="A160" s="23" t="inlineStr">
        <is>
          <t>注2）No.9〜11は保険料試算ワークブックの黄色セル（01!B15、06!B17、06!B16、04!B8、06!B10）と対応し、値を入力すると保険料基準額が自動で再計算される。</t>
        </is>
      </c>
    </row>
  </sheetData>
  <mergeCells count="4">
    <mergeCell ref="A159:J159"/>
    <mergeCell ref="A160:J160"/>
    <mergeCell ref="A1:J1"/>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川崎町_ニーズ調査結果報告書_R8.9.2版
川崎町_介護実態調査結果報告書_R8.9.2版</t>
        </is>
      </c>
      <c r="D5" s="7" t="inlineStr">
        <is>
          <t>A4版　簡易コピー紙印刷製本
1色刷り　80頁程度　5部</t>
        </is>
      </c>
      <c r="E5" s="16" t="inlineStr">
        <is>
          <t>実施中</t>
        </is>
      </c>
      <c r="F5" s="20" t="n">
        <v>0.7</v>
      </c>
      <c r="G5" s="9" t="inlineStr">
        <is>
          <t>R9.3.15</t>
        </is>
      </c>
      <c r="H5" s="7" t="inlineStr">
        <is>
          <t>【R8.9.25 更新】再修正版3文書をレビュー（v8）。約6,400項目を個票から再検算し、数値の誤りは37件（資料編 付表2のn=16の層で割合が偶数丸めとなっているもの。凡例は「小数第2位を四捨五入」）。これ以外の数値の不一致は0件。納品前に必ず処理するもの4件：①本編・ニーズ調査の目次が未更新（1行のみ）、②3文書とも文書プロパティの最終更新者名が残存、③ニーズ調査[P629]に編集メモが残存、④ニーズ調査 表73のキャプションが表の下にある。ほか数値・説明の修正4件、注記の追加5件。詳細は「川崎町_RedTeamレビューv8_再修正版_R8.9.25.md」。</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9" t="n">
        <v>3</v>
      </c>
      <c r="B7" s="21" t="inlineStr">
        <is>
          <t>事業量・見込み量等の推計用電子データ</t>
        </is>
      </c>
      <c r="C7" s="7" t="inlineStr">
        <is>
          <t>川崎町_第10期_計画見込量_R8.9.15.xlsx（7シート）
川崎町_新推計パターン_設定値一式_R8.9.11.xlsx（8シート）
川崎町_保険料試算ワークブック（11シート）</t>
        </is>
      </c>
      <c r="D7" s="7" t="inlineStr">
        <is>
          <t>一式（Excel）</t>
        </is>
      </c>
      <c r="E7" s="12" t="inlineStr">
        <is>
          <t>実施中</t>
        </is>
      </c>
      <c r="F7" s="20" t="n">
        <v>0.9</v>
      </c>
      <c r="G7" s="9" t="inlineStr">
        <is>
          <t>R9.3.15</t>
        </is>
      </c>
      <c r="H7" s="7" t="inlineStr">
        <is>
          <t>令和7年度の年報を基礎とする独立算定を完了（32サービス・要介護度別。保険料6,822円）。準備基金の令和8年度末残高の確定を待って確定値とする。</t>
        </is>
      </c>
      <c r="I7" s="9" t="inlineStr">
        <is>
          <t>9, 10, 11, 12, 13</t>
        </is>
      </c>
    </row>
    <row r="8" ht="84" customHeight="1">
      <c r="A8" s="9" t="n">
        <v>4</v>
      </c>
      <c r="B8" s="21" t="inlineStr">
        <is>
          <t>計画書</t>
        </is>
      </c>
      <c r="C8" s="7" t="inlineStr">
        <is>
          <t>川崎町_計画書素案_v2.2_認知症必須記載事項版.docx</t>
        </is>
      </c>
      <c r="D8" s="7" t="inlineStr">
        <is>
          <t>A4版　表紙レザック　本文上質紙
1色刷り　100頁程度　100部</t>
        </is>
      </c>
      <c r="E8" s="12" t="inlineStr">
        <is>
          <t>実施中</t>
        </is>
      </c>
      <c r="F8" s="20" t="n">
        <v>0.75</v>
      </c>
      <c r="G8" s="9" t="inlineStr">
        <is>
          <t>R9.3.15</t>
        </is>
      </c>
      <c r="H8" s="7" t="inlineStr">
        <is>
          <t>【R8.9.29 更新】素案Ver.2.1（本文88頁）。別添（資料編）に必要な項目28件を洗い出し、置き場所を5つに振り分けた（別添整理表R8.9.29）。計画書の資料編は10件13頁とし、本文88頁＋資料編13頁＝101頁で仕様書8の100頁程度に収まる。本文で足りるもの11件・別冊3件・調査報告書1件・ホームページ及び内部資料3件に振り分けた。新たに様式を起こすものが9件あり、うち4件は交付金・認知症基本法の要件そのもの。最も急ぐのは認知症の人及び家族等からの意見聴取の記録様式（R8.10上旬）。施策内容の本文をどこまで書き下ろすかは打合せによる。</t>
        </is>
      </c>
      <c r="I8" s="9" t="inlineStr">
        <is>
          <t>15, 16, 18</t>
        </is>
      </c>
    </row>
    <row r="9" ht="84" customHeight="1">
      <c r="A9" s="9" t="n">
        <v>5</v>
      </c>
      <c r="B9" s="21" t="inlineStr">
        <is>
          <t>概要版</t>
        </is>
      </c>
      <c r="C9" s="7" t="inlineStr">
        <is>
          <t>川崎町_計画素案_概要版（12頁）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【R8.9.29 更新】概要版（8頁程度・3,500部）は未着手。計画書の資料編の割付が固まったため、概要版は本文の第3章（課題）・第4章（体系）・第9章（保険料）を軸に8頁で構成する案を第3回策定委員会でお示しする。</t>
        </is>
      </c>
      <c r="I9" s="9" t="inlineStr">
        <is>
          <t>18</t>
        </is>
      </c>
    </row>
    <row r="10" ht="84" customHeight="1">
      <c r="A10" s="9" t="n">
        <v>6</v>
      </c>
      <c r="B10" s="21" t="inlineStr">
        <is>
          <t>計画書概要及び計画書案等の電子データ</t>
        </is>
      </c>
      <c r="C10" s="7" t="inlineStr">
        <is>
          <t>川崎町_第2回策定委員会資料_R8.11_v5.docx／同_想定問答集_R8.11_v2.docx
川崎町_第10期_施策事業統合体系表_R8.9.25b.xlsx
川崎町_交付金_取りまとめ表_R8.9.29.xlsx
川崎町_計画書_別添整理表_R8.9.29.xlsx
川崎町_認知症_意見聴取記録様式_R8.9.29.xlsx
川崎町_認知症_必須記載事項突合表_R8.9.29.xlsx</t>
        </is>
      </c>
      <c r="D10" s="7" t="inlineStr">
        <is>
          <t>一式（Word・PDF）</t>
        </is>
      </c>
      <c r="E10" s="12" t="inlineStr">
        <is>
          <t>実施中</t>
        </is>
      </c>
      <c r="F10" s="20" t="n">
        <v>0.7</v>
      </c>
      <c r="G10" s="9" t="inlineStr">
        <is>
          <t>R9.3.15</t>
        </is>
      </c>
      <c r="H10" s="7" t="inlineStr">
        <is>
          <t>【R8.9.28b 更新】第2回策定委員会資料をv5、想定問答集をv2に更新。資料には「７．交付金の評価と取り戻せる27点」を新設し、章番号を1つ繰り下げた。本資料で交付金の評価結果を報告すること自体が「評価結果の活用」の要件イを満たす旨を明記。選択1は、Ｃ案により統合体系表を作成済みであることを踏まえ、作成済みのＣ案をご確認いただく形に改めた。同じ事項に2つの値が置かれていた5か所と、町案から取り込む事業の件数（8件→10件）を是正した。想定問答集はカテゴリH（交付金の評価・5問）を加えて全35問・8カテゴリとし、表番号による参照を節による参照に改めた（資料に表番号が印字されておらず当日たどれないため）。自己点検（check_2kai_selfcheck_R8.9.28.py）は27件すべて適合。</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0"/>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資料提供依頼一覧（36件）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2">
      <c r="A42" s="24" t="inlineStr">
        <is>
          <t>区分</t>
        </is>
      </c>
      <c r="B42" s="24" t="inlineStr">
        <is>
          <t>件数</t>
        </is>
      </c>
    </row>
    <row r="43">
      <c r="A43" s="10" t="inlineStr">
        <is>
          <t>完了</t>
        </is>
      </c>
      <c r="B43" s="9">
        <f>COUNTIF(I5:I40,"完了")</f>
        <v/>
      </c>
    </row>
    <row r="44">
      <c r="A44" s="12" t="inlineStr">
        <is>
          <t>実施中</t>
        </is>
      </c>
      <c r="B44" s="9">
        <f>COUNTIF(I5:I40,"実施中")</f>
        <v/>
      </c>
    </row>
    <row r="45">
      <c r="A45" s="14" t="inlineStr">
        <is>
          <t>確認待ち</t>
        </is>
      </c>
      <c r="B45" s="9">
        <f>COUNTIF(I5:I40,"確認待ち")</f>
        <v/>
      </c>
    </row>
    <row r="46">
      <c r="A46" s="16" t="inlineStr">
        <is>
          <t>未着手</t>
        </is>
      </c>
      <c r="B46" s="9">
        <f>COUNTIF(I5:I40,"未着手")</f>
        <v/>
      </c>
    </row>
    <row r="47">
      <c r="A47" s="18" t="inlineStr">
        <is>
          <t>対象外</t>
        </is>
      </c>
      <c r="B47" s="9">
        <f>COUNTIF(I5:I40,"対象外")</f>
        <v/>
      </c>
    </row>
    <row r="49">
      <c r="A49" s="23" t="inlineStr">
        <is>
          <t>注1）優先度は 最高／高／中／低 の別による。「最高」は、受領しない限り当該業務が完了しない資料を示す。</t>
        </is>
      </c>
    </row>
    <row r="50">
      <c r="A50" s="23" t="inlineStr">
        <is>
          <t>注2）「状態」が「完了」となった資料は、受領日を備考欄に記入する。</t>
        </is>
      </c>
    </row>
  </sheetData>
  <mergeCells count="4">
    <mergeCell ref="A1:J1"/>
    <mergeCell ref="A2:J2"/>
    <mergeCell ref="A50:J50"/>
    <mergeCell ref="A49:J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2026-09-29T02:23:03Z</dcterms:modified>
</cp:coreProperties>
</file>