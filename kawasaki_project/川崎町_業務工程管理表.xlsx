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令和8年10月2日　本表の記載は同日時点のもの。計画素案 Ver.2.8（第9期対比版・660段落125表・全104頁・図10点）、圧縮案 v2.8c（本文97頁）と別冊 詳細分析（9頁）、第2回策定委員会資料 v6、想定問答集 v3（全39問）、策定委員会 逆算工程表（6シート）、第9期 計画値実績対比表（8シート）、調査報告書3文書（納品前処理済み）、公表版への整理（2シート）、概要版 構成案（2シート）、継続101事業 作業台帳（2シート）、資料編の3表（3シート）、図表データ管理台帳（17シート・図10点）まで作成済み。点検は、素案の自己点検32件・保険料の検算39項目・書体の点検13件・図表の自己点検10件・委員会資料の自己点検27件がいずれも適合。確認事項は163件のうち19件が決着し、144件が未決着。作業順位10件のうち、順位1は町対応のため取り下げ、順位6は素材の整理まで、他の8件は実施済み。</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議事録・想定問答集を提出済み。第2回（令和8年11月予定）の資料はv6、想定問答集はv3（全39問）まで作成し、自己点検27件に適合している。残るのは開催日の確定（確認事項No.85）と、選択1〜5のご判断を受けた第3回資料の作成。**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計画書素案_v2.8_第9期対比版（660段落125表・全104頁・図10点）
同_v2.8c_圧縮案（本文97頁）／計画書_別冊_詳細分析（9頁）
図表データ管理台帳_R8.9.30（17シート・自己点検10件）
第9期_計画値実績対比表_R8.10.1（8シート）
策定委員会_逆算工程表_R8.10.1（6シート）
公表版への整理_R8.10.2／概要版_構成案_R8.10.2
継続101事業_本文記述_作業台帳_R8.10.2／資料編_3表_R8.10.2
施策・事業統合体系表_R8.9.25b（6シート・143事業）</t>
        </is>
      </c>
      <c r="F11" s="12" t="inlineStr">
        <is>
          <t>実施中</t>
        </is>
      </c>
      <c r="G11" s="20" t="n">
        <v>0.98</v>
      </c>
      <c r="H11" s="9" t="inlineStr">
        <is>
          <t>R9.2</t>
        </is>
      </c>
      <c r="I11" s="7" t="inlineStr">
        <is>
          <t>素案はVer.2.7まで作成（全103頁・655段落・125表・図9点）。Ver.2.0で統合体系表の143事業を書き下ろし、Ver.2.1で第10期に内容が変わる42事業を章ごとの表で示した。Ver.2.2で認知症の必須記載事項、Ver.2.3でレビュー10件、Ver.2.4で制度改正と日常生活圏域、Ver.2.5で書体と文字の大きさ、Ver.2.6で図の数値の一元化、Ver.2.7で図3点の追加を反映した。残るのは第3章の町確認欄（束3）、継続101事業の本文の記述、成果品の頁数の割付け（本文103頁・仕様書は100頁程度／束11）。継続101事業の記述はご確認を待たずに進められる（08シート 順位6）。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0.45</v>
      </c>
      <c r="H12" s="9" t="inlineStr">
        <is>
          <t>R9.3</t>
        </is>
      </c>
      <c r="I12" s="7" t="inlineStr">
        <is>
          <t>中間報告の提出期日が指定されていない（確認事項No.17）。計画書（案）は素案Ver.2.8を母体とする。頁数は圧縮案（本文97頁・計110頁）を作ってお示しした（確認事項No.83）。概要版は構成案（8頁・3,250字）を作成済み。残るのは継続101事業の本文の記述であり、第9期計画書に記述のある80件は素材が揃っている。21件は町のご確認を要する（確認事項No.8）。</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人口推計・事業量推計は、令和7年度の年報を基礎とする独立算定により第1稿を作成。地域支援事業の費用の見込みはデータ未受領のため保留。素案はVer.2.8（第9期対比版・全104頁・図10点）まで更新した。⚠ 見える化システムの第1回目提出（令和8年10月5日）は、町より自治体側で進めるとのご指示をいただき、当方の作業は停止した。ご確認を待たずに進められる作業10件を08シートに整理し、順位2〜10を実施した（順位6は素材の整理まで）。認知症の人及び家族等からの意見聴取は令和8年10〜11月に実施する予定で、記録様式（別添22・様式0〜5）は作成済み。運用のご確認待ち。</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 開催日が未確定であり、逆算工程表（候補日4つ）をお示しした。現行の前提では11月11日以降の開催は納期に間に合わないため、開催日の決定と、短縮の選択肢（パブコメの期間・委員会の回数）のご判断を急ぐ。</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9">
      <c r="A169" s="24" t="inlineStr">
        <is>
          <t>区分</t>
        </is>
      </c>
      <c r="B169" s="24" t="inlineStr">
        <is>
          <t>件数</t>
        </is>
      </c>
    </row>
    <row r="170">
      <c r="A170" s="10" t="inlineStr">
        <is>
          <t>完了</t>
        </is>
      </c>
      <c r="B170" s="9">
        <f>COUNTIF(H5:H167,"完了")</f>
        <v/>
      </c>
    </row>
    <row r="171">
      <c r="A171" s="12" t="inlineStr">
        <is>
          <t>実施中</t>
        </is>
      </c>
      <c r="B171" s="9">
        <f>COUNTIF(H5:H167,"実施中")</f>
        <v/>
      </c>
    </row>
    <row r="172">
      <c r="A172" s="14" t="inlineStr">
        <is>
          <t>確認待ち</t>
        </is>
      </c>
      <c r="B172" s="9">
        <f>COUNTIF(H5:H167,"確認待ち")</f>
        <v/>
      </c>
    </row>
    <row r="173">
      <c r="A173" s="16" t="inlineStr">
        <is>
          <t>未着手</t>
        </is>
      </c>
      <c r="B173" s="9">
        <f>COUNTIF(H5:H167,"未着手")</f>
        <v/>
      </c>
    </row>
    <row r="174">
      <c r="A174" s="18" t="inlineStr">
        <is>
          <t>対象外</t>
        </is>
      </c>
      <c r="B174" s="9">
        <f>COUNTIF(H5:H167,"対象外")</f>
        <v/>
      </c>
    </row>
    <row r="176">
      <c r="A176" s="23" t="inlineStr">
        <is>
          <t>注1）「回答・対応」欄は、発注者からの回答又は受託者による対応の結果を記入し、状態を「完了」に更新する。</t>
        </is>
      </c>
    </row>
    <row r="177">
      <c r="A177"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6:J176"/>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川崎町_計画書素案_v2.8_第9期対比版.docx／同_v2.8c_圧縮案_R8.10.2.docx</t>
        </is>
      </c>
      <c r="D8" s="7" t="inlineStr">
        <is>
          <t>A4版　表紙レザック　本文上質紙
1色刷り　100頁程度　100部</t>
        </is>
      </c>
      <c r="E8" s="12" t="inlineStr">
        <is>
          <t>実施中</t>
        </is>
      </c>
      <c r="F8" s="20" t="n">
        <v>0.8</v>
      </c>
      <c r="G8" s="9" t="inlineStr">
        <is>
          <t>R9.3.15</t>
        </is>
      </c>
      <c r="H8" s="7" t="inlineStr">
        <is>
          <t>【令和8年10月1日 更新】素案Ver.2.7（本文103頁・図9点）。図表データ管理台帳により図の数値の正本を1か所にまとめ、自己点検9件に適合している。別添（資料編）は10件13頁とし、本文103頁＋資料編13頁＝116頁。**仕様書8の「100頁程度」を上回るため、本文の圧縮案（計96頁）をご判断いただきたい（確認事項No.83・ペンディング束11）。**圧縮した版は当方で作って頁数をお示しできる（08シート 順位5）。残るのは継続101事業の本文の記述（08シート 順位6）。</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0.4</v>
      </c>
      <c r="G9" s="9" t="inlineStr">
        <is>
          <t>R9.3.15</t>
        </is>
      </c>
      <c r="H9" s="7" t="inlineStr">
        <is>
          <t>【令和8年10月2日 更新】概要版（8頁程度・3,500部）の構成案を作成した（川崎町_概要版_構成案_R8.10.2.xlsx）。8頁の割付けと字数の目安（計3,250字）、載せる図表を定めた。⚠ 1色刷りのため本文の図はそのまま使えず、data_zuhyo.py の数値から描き直す。保険料は第3回策定委員会（令和9年1月）の決定後に確定するため、入稿はその後になる。</t>
        </is>
      </c>
      <c r="I9" s="9" t="inlineStr">
        <is>
          <t>18</t>
        </is>
      </c>
    </row>
    <row r="10" ht="84" customHeight="1">
      <c r="A10" s="9" t="n">
        <v>6</v>
      </c>
      <c r="B10" s="21" t="inlineStr">
        <is>
          <t>計画書概要及び計画書案等の電子データ</t>
        </is>
      </c>
      <c r="C10" s="7" t="inlineStr">
        <is>
          <t>川崎町_第2回策定委員会資料_R8.11_v6.docx／同_想定問答集_R8.11_v3.docx
川崎町_第10期_施策事業統合体系表_R8.9.25b.xlsx
川崎町_交付金_取りまとめ表_R8.9.29.xlsx
川崎町_計画書_別添整理表_R8.9.29.xlsx
川崎町_認知症_意見聴取記録様式_R8.9.30.xlsx
川崎町_認知症_計画記載事項_適合性確認表_R8.9.30.xlsx
川崎町_大雪広域_素案対比表_R8.9.30.xlsx
川崎町_図表データ管理台帳_R8.9.30.xlsx</t>
        </is>
      </c>
      <c r="D10" s="7" t="inlineStr">
        <is>
          <t>一式（Word・PDF）</t>
        </is>
      </c>
      <c r="E10" s="12" t="inlineStr">
        <is>
          <t>実施中</t>
        </is>
      </c>
      <c r="F10" s="20" t="n">
        <v>0.7</v>
      </c>
      <c r="G10" s="9" t="inlineStr">
        <is>
          <t>R9.3.15</t>
        </is>
      </c>
      <c r="H10" s="7" t="inlineStr">
        <is>
          <t>【令和8年10月1日 更新】第2回策定委員会資料 v6・想定問答集 v3（全39問）。自己点検27件はすべて適合。開催日の確定（確認事項No.85）を待って事前配布の日程を定める。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30</v>
      </c>
      <c r="F16" s="32" t="n">
        <v>9</v>
      </c>
      <c r="G16" s="32" t="inlineStr">
        <is>
          <t>15、16、20、32、36、38、47、52、55、56、69、70、82、106、107、108、109、111、113、114、115、116、117、118、120、123、124、128、160、163</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7"/>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着手（素材の整理まで）</t>
        </is>
      </c>
      <c r="I10" s="32" t="inlineStr">
        <is>
          <t>川崎町_継続101事業_本文記述_作業台帳_R8.10.2.xlsx。継続101事業のうち80件は第9期計画書に記述があり、素材にできる。21件は第9期計画書に同じ名称の記述がなく、町に事業の概要をご確認いただく（確認事項No.8）。⚠ 事業の内容を当方で作文すると、実際に行われていない事業を書くおそれがあるため、記述そのものは書いていない。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t>
        </is>
      </c>
      <c r="I12" s="32" t="inlineStr">
        <is>
          <t>川崎町_概要版_構成案_R8.10.2.xlsx（2シート）。8頁の割付け案と字数の目安（計3,250字）。3,500部は町の世帯数（約3,000世帯）を上回るため全戸配布を前提と考え、読み手を町民として組み立てた。⚠ 1色刷りのため、本文の図はそのまま使えない。data_zuhyo.py の数値から描き直す。</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2026-10-01T23:26:11Z</dcterms:modified>
</cp:coreProperties>
</file>