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管理方法" sheetId="1" state="visible" r:id="rId1"/>
    <sheet name="01_業務内容別の進捗" sheetId="2" state="visible" r:id="rId2"/>
    <sheet name="02_月別工程管理" sheetId="3" state="visible" r:id="rId3"/>
    <sheet name="03_確認事項一覧" sheetId="4" state="visible" r:id="rId4"/>
    <sheet name="04_成果品管理" sheetId="5" state="visible" r:id="rId5"/>
    <sheet name="05_調査別の状況" sheetId="6" state="visible" r:id="rId6"/>
    <sheet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4"/>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row>
    <row r="6" ht="20" customHeight="1">
      <c r="A6" s="6" t="inlineStr">
        <is>
          <t>委託仕様書</t>
        </is>
      </c>
      <c r="B6" s="7" t="inlineStr">
        <is>
          <t>保介第41号（令和8年4月23日）　※09_元資料に格納</t>
        </is>
      </c>
    </row>
    <row r="7" ht="20" customHeight="1">
      <c r="A7" s="6" t="inlineStr">
        <is>
          <t>発注者</t>
        </is>
      </c>
      <c r="B7" s="7" t="inlineStr">
        <is>
          <t>川崎町（宮城県柴田郡）保健福祉課／入札担当：大宮こずえ様（電話0224-84-6008）</t>
        </is>
      </c>
    </row>
    <row r="8" ht="20" customHeight="1">
      <c r="A8" s="6" t="inlineStr">
        <is>
          <t>受託者</t>
        </is>
      </c>
      <c r="B8" s="7" t="inlineStr">
        <is>
          <t>ビズアップ公共コンサルティング株式会社 札幌事業所／主担当：若山</t>
        </is>
      </c>
    </row>
    <row r="9" ht="20" customHeight="1">
      <c r="A9" s="6" t="inlineStr">
        <is>
          <t>委託期間</t>
        </is>
      </c>
      <c r="B9" s="7" t="inlineStr">
        <is>
          <t>契約日の翌日から令和9年3月15日まで（仕様書2）</t>
        </is>
      </c>
    </row>
    <row r="10" ht="20" customHeight="1">
      <c r="A10" s="6" t="inlineStr">
        <is>
          <t>計画期間</t>
        </is>
      </c>
      <c r="B10" s="7" t="inlineStr">
        <is>
          <t>令和9〜11年度（3年間）（仕様書3）</t>
        </is>
      </c>
    </row>
    <row r="11" ht="20" customHeight="1">
      <c r="A11" s="6" t="inlineStr">
        <is>
          <t>予定価格</t>
        </is>
      </c>
      <c r="B11" s="7" t="inlineStr">
        <is>
          <t>6,700千円（税抜）　※開札 令和8年5月14日</t>
        </is>
      </c>
    </row>
    <row r="12" ht="20" customHeight="1">
      <c r="A12" s="6" t="inlineStr">
        <is>
          <t>納入場所</t>
        </is>
      </c>
      <c r="B12" s="7" t="inlineStr">
        <is>
          <t>川崎町保健福祉課（仕様書9）</t>
        </is>
      </c>
    </row>
    <row r="13" ht="20" customHeight="1">
      <c r="A13" s="6" t="inlineStr">
        <is>
          <t>支払方法</t>
        </is>
      </c>
      <c r="B13" s="7" t="inlineStr">
        <is>
          <t>業務完了、請求書受領後1ヶ月以内に一括払い（仕様書10）</t>
        </is>
      </c>
    </row>
    <row r="15" ht="24" customHeight="1">
      <c r="A15" s="8" t="inlineStr">
        <is>
          <t>No.</t>
        </is>
      </c>
      <c r="B15" s="8" t="inlineStr">
        <is>
          <t>シート</t>
        </is>
      </c>
      <c r="C15" s="8" t="inlineStr">
        <is>
          <t>内容</t>
        </is>
      </c>
      <c r="D15" s="8" t="inlineStr">
        <is>
          <t>更新の頻度と担当</t>
        </is>
      </c>
    </row>
    <row r="16" ht="32" customHeight="1">
      <c r="A16" s="9" t="n">
        <v>1</v>
      </c>
      <c r="B16" s="7" t="inlineStr">
        <is>
          <t>01_業務内容別の進捗</t>
        </is>
      </c>
      <c r="C16" s="7" t="inlineStr">
        <is>
          <t>仕様書6（1）〜（8）の8業務について、仕様書の要求・作業項目・成果物・進捗・未了の理由を管理する。末尾に全体進捗（単純平均）を算出する。</t>
        </is>
      </c>
      <c r="D16" s="7" t="inlineStr">
        <is>
          <t>受託者が随時更新。工程末に発注者が確認</t>
        </is>
      </c>
      <c r="E16" s="4" t="n"/>
      <c r="F16" s="5" t="n"/>
    </row>
    <row r="17" ht="32" customHeight="1">
      <c r="A17" s="9" t="n">
        <v>2</v>
      </c>
      <c r="B17" s="7" t="inlineStr">
        <is>
          <t>02_月別工程管理</t>
        </is>
      </c>
      <c r="C17" s="7" t="inlineStr">
        <is>
          <t>令和8年6月から令和9年3月までの月別工程について、各月末に提出する成果物と発注者の確認欄を設ける。</t>
        </is>
      </c>
      <c r="D17" s="7" t="inlineStr">
        <is>
          <t>受託者が月次更新。確認欄は発注者が記入</t>
        </is>
      </c>
      <c r="E17" s="4" t="n"/>
      <c r="F17" s="5" t="n"/>
    </row>
    <row r="18" ht="32" customHeight="1">
      <c r="A18" s="9" t="n">
        <v>3</v>
      </c>
      <c r="B18" s="7" t="inlineStr">
        <is>
          <t>03_確認事項一覧</t>
        </is>
      </c>
      <c r="C18" s="7" t="inlineStr">
        <is>
          <t>発注者・国への確認事項を、業務工程及び止めている成果物に紐づけて一覧化する。</t>
        </is>
      </c>
      <c r="D18" s="7" t="inlineStr">
        <is>
          <t>受託者が随時追加。回答欄は発注者が記入</t>
        </is>
      </c>
      <c r="E18" s="4" t="n"/>
      <c r="F18" s="5" t="n"/>
    </row>
    <row r="19" ht="32" customHeight="1">
      <c r="A19" s="9" t="n">
        <v>4</v>
      </c>
      <c r="B19" s="7" t="inlineStr">
        <is>
          <t>04_成果品管理</t>
        </is>
      </c>
      <c r="C19" s="7" t="inlineStr">
        <is>
          <t>仕様書8が定める6種の成果品について、現在のファイル・稿、仕様、状態、進捗を管理する。</t>
        </is>
      </c>
      <c r="D19" s="7" t="inlineStr">
        <is>
          <t>受託者が随時更新</t>
        </is>
      </c>
      <c r="E19" s="4" t="n"/>
      <c r="F19" s="5" t="n"/>
    </row>
    <row r="20" ht="32" customHeight="1">
      <c r="A20" s="9" t="n">
        <v>5</v>
      </c>
      <c r="B20" s="7" t="inlineStr">
        <is>
          <t>05_調査別の状況</t>
        </is>
      </c>
      <c r="C20" s="7" t="inlineStr">
        <is>
          <t>仕様書6（1）の調査（一般高齢者1,000人・認定者300人）について、設問設計から計画への反映までの7段階の到達状況を管理する。</t>
        </is>
      </c>
      <c r="D20" s="7" t="inlineStr">
        <is>
          <t>受託者が随時更新</t>
        </is>
      </c>
      <c r="E20" s="4" t="n"/>
      <c r="F20" s="5" t="n"/>
    </row>
    <row r="21" ht="32" customHeight="1">
      <c r="A21" s="9" t="n">
        <v>6</v>
      </c>
      <c r="B21" s="7" t="inlineStr">
        <is>
          <t>06_資料提供依頼一覧</t>
        </is>
      </c>
      <c r="C21" s="7" t="inlineStr">
        <is>
          <t>業務の遂行に必要な資料を、領域別・優先度別に一覧化する。</t>
        </is>
      </c>
      <c r="D21" s="7" t="inlineStr">
        <is>
          <t>受託者が随時追加。状態欄は受領時に更新</t>
        </is>
      </c>
      <c r="E21" s="4" t="n"/>
      <c r="F21" s="5" t="n"/>
    </row>
    <row r="23" ht="22" customHeight="1">
      <c r="A23" s="3" t="inlineStr">
        <is>
          <t>区分</t>
        </is>
      </c>
      <c r="B23" s="3" t="inlineStr">
        <is>
          <t>意味</t>
        </is>
      </c>
      <c r="C23" s="3" t="inlineStr">
        <is>
          <t>色</t>
        </is>
      </c>
    </row>
    <row r="24" ht="20" customHeight="1">
      <c r="A24" s="10" t="inlineStr">
        <is>
          <t>完了</t>
        </is>
      </c>
      <c r="B24" s="7" t="inlineStr">
        <is>
          <t>当該項目の作業が終わり、成果物を提出済み又は提出可能な状態にある</t>
        </is>
      </c>
      <c r="C24" s="11" t="inlineStr"/>
    </row>
    <row r="25" ht="20" customHeight="1">
      <c r="A25" s="12" t="inlineStr">
        <is>
          <t>実施中</t>
        </is>
      </c>
      <c r="B25" s="7" t="inlineStr">
        <is>
          <t>着手しているが完了していない</t>
        </is>
      </c>
      <c r="C25" s="13" t="inlineStr"/>
    </row>
    <row r="26" ht="20" customHeight="1">
      <c r="A26" s="14" t="inlineStr">
        <is>
          <t>確認待ち</t>
        </is>
      </c>
      <c r="B26" s="7" t="inlineStr">
        <is>
          <t>受託者の作業は終わっており、発注者・国からの回答又は資料の提供を待っている</t>
        </is>
      </c>
      <c r="C26" s="15" t="inlineStr"/>
    </row>
    <row r="27" ht="20" customHeight="1">
      <c r="A27" s="16" t="inlineStr">
        <is>
          <t>未着手</t>
        </is>
      </c>
      <c r="B27" s="7" t="inlineStr">
        <is>
          <t>工程上まだ着手していない、又は前提条件が整っていない</t>
        </is>
      </c>
      <c r="C27" s="17" t="inlineStr"/>
    </row>
    <row r="28" ht="20" customHeight="1">
      <c r="A28" s="18" t="inlineStr">
        <is>
          <t>対象外</t>
        </is>
      </c>
      <c r="B28" s="7" t="inlineStr">
        <is>
          <t>本業務の範囲外、又は該当がない</t>
        </is>
      </c>
      <c r="C28" s="19" t="inlineStr"/>
    </row>
    <row r="30" ht="62" customHeight="1">
      <c r="A30"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row>
    <row r="31" ht="62" customHeight="1">
      <c r="A31"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row>
    <row r="32" ht="62" customHeight="1">
      <c r="A32"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row>
    <row r="33" ht="62" customHeight="1">
      <c r="A33"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row>
    <row r="34" ht="62" customHeight="1">
      <c r="A34"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実施中</t>
        </is>
      </c>
      <c r="G5" s="20" t="n">
        <v>0.8</v>
      </c>
      <c r="H5" s="9" t="inlineStr">
        <is>
          <t>R8.10</t>
        </is>
      </c>
      <c r="I5" s="7" t="inlineStr">
        <is>
          <t>令和8年6〜7月に調査を実施し、一般高齢者576件・要支援要介護認定者142件を回収。単純集計・クロス集計・分析まで完了。ニーズ調査結果報告書（R8.8.3版）を作成し、第1回策定委員会資料（R8.9.2）に反映済み。介護実態調査結果報告書は作成中。残るのは⑥調査報告書（成果品・80頁程度5部）の確定。ニーズ調査に回答者属性が記録されておらず属性別分析ができない点が制約（確認事項No.27）。</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第2回委員会_説明資料（4頁）
F6_策定委員会書類ひな形_改訂版</t>
        </is>
      </c>
      <c r="F7" s="12" t="inlineStr">
        <is>
          <t>実施中</t>
        </is>
      </c>
      <c r="G7" s="20" t="n">
        <v>0.45</v>
      </c>
      <c r="H7" s="9" t="inlineStr">
        <is>
          <t>R9.2</t>
        </is>
      </c>
      <c r="I7" s="7" t="inlineStr">
        <is>
          <t>第1回は令和8年9月2日（水）開催で資料が確定済み（別途R8.9.2版あり）。第2回の説明資料も作成済み。第2回の想定問答集及び第3回・第4回の資料は未着手。委員名簿が未確定（確認事項No.5）。委員会の名称は仕様書及び第1回資料により「策定委員会」で確定（確認事項No.6）。</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関連施策評価調査シート＝未作成</t>
        </is>
      </c>
      <c r="F8" s="12" t="inlineStr">
        <is>
          <t>実施中</t>
        </is>
      </c>
      <c r="G8" s="20" t="n">
        <v>0.45</v>
      </c>
      <c r="H8" s="9" t="inlineStr">
        <is>
          <t>R8.10</t>
        </is>
      </c>
      <c r="I8" s="7" t="inlineStr">
        <is>
          <t>①②は概ね完了。③は第9期実績一覧の町記入待ち。④関連施策評価調査シートの案の提案が未着手で、仕様書は受託者からの提案と発注者との十分な協議を求めている。⑤各課・関係機関への聞き取りも未実施。</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0.5</v>
      </c>
      <c r="H9" s="9" t="inlineStr">
        <is>
          <t>R9.1</t>
        </is>
      </c>
      <c r="I9" s="7" t="inlineStr">
        <is>
          <t>⑥保険料推計は8ステップの枠組みを構築し暫定値を算出（A=7,632／B=7,384／C=7,137円）。①は年齢区分別まで作成済みだが男女別が未作成。②③④⑤⑦は未着手で、特に地域支援事業①〜⑤の個別見込みとサービス種類別事業量は国保連データの受領が前提。保険料の確定には町確認データ4項目を要する。</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0.55</v>
      </c>
      <c r="H10" s="9" t="inlineStr">
        <is>
          <t>R8.10</t>
        </is>
      </c>
      <c r="I10" s="7" t="inlineStr">
        <is>
          <t>①②は完了し、川崎町固有の5重点課題を整理済み。③は（4）の評価シートと連動しており未実施。④国保連データが未受領のため、給付実績の分析は第9期計画の公表値に依拠した概算にとどまる。</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素案v1.6_本文充実版（44頁・411ブロック・6図表）
資料編_構成案・素案
計画素案_概要版（12頁）</t>
        </is>
      </c>
      <c r="F11" s="12" t="inlineStr">
        <is>
          <t>実施中</t>
        </is>
      </c>
      <c r="G11" s="20" t="n">
        <v>0.4</v>
      </c>
      <c r="H11" s="9" t="inlineStr">
        <is>
          <t>R9.2</t>
        </is>
      </c>
      <c r="I11" s="7" t="inlineStr">
        <is>
          <t>素案はv1.6まで作成済みだが、第9期計画の記述に誤りがある。①基本理念を「住民が住み慣れた地域で安心して暮らせるまちづくり」としているが、第9期計画の基本理念は「誰もが健やかに暮らせるまちづくり」であり、素案の理念は第9期計画に存在しない。②第9期の体系は「基本方針5つ」であるが素案は「基本目標」の語を用いている。③高齢化率41.4%は第9期計画に出典がなく、第1回委員会資料の39.2%（R4実績）・42.6%（R8推計）と不一致（確認事項No.22・23）。また独自の8章構成であり仕様書6（7）①〜⑨との対応確認を要する（No.15）。計画書は100頁程度で現在の44頁からの増補が必要。</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0.15</v>
      </c>
      <c r="H12" s="9" t="inlineStr">
        <is>
          <t>R9.3</t>
        </is>
      </c>
      <c r="I12" s="7" t="inlineStr">
        <is>
          <t>中間報告の提出期日が指定されていない（確認事項No.17）。計画書（案）は素案の確定後に作成する。成果品の仕様は仕様書8に明記されており、計画書100頁程度100部、概要版8頁程度3,500部、調査報告書80頁程度5部。委託期間は令和9年3月15日までであり、印刷・製本の所要日数を逆算した入稿期日の設定を要する。</t>
        </is>
      </c>
      <c r="J12" s="9" t="inlineStr">
        <is>
          <t>17, 18</t>
        </is>
      </c>
    </row>
    <row r="14" ht="22" customHeight="1">
      <c r="B14" s="21" t="inlineStr">
        <is>
          <t>全体進捗（単純平均）</t>
        </is>
      </c>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16:J16"/>
    <mergeCell ref="A2:J2"/>
    <mergeCell ref="A18:J18"/>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ニーズ調査433件・在宅介護実態調査109件を回収し、集計データを作成（20260717版）。第9期実績一覧の町記入及び関連施策評価調査シート案の提案は未着手。</t>
        </is>
      </c>
      <c r="F6" s="12" t="inlineStr">
        <is>
          <t>実施中</t>
        </is>
      </c>
      <c r="G6" s="9" t="inlineStr">
        <is>
          <t>R8.7末</t>
        </is>
      </c>
      <c r="H6" s="9" t="inlineStr"/>
      <c r="I6" s="9" t="inlineStr"/>
      <c r="J6" s="7" t="inlineStr">
        <is>
          <t>委員会資料の有効回答552件と集計データ433件が一致せず、確定版データの特定を要する（確認事項No.25）。評価シート案の提案が未着手（同No.7）。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第1回策定委員会資料を作成（令和8年8月12日）。ニーズ調査の第9期比較6指標、クロス分析6件、分野別課題整理（5分野）、論点整理を掲載。</t>
        </is>
      </c>
      <c r="F7" s="10" t="inlineStr">
        <is>
          <t>完了</t>
        </is>
      </c>
      <c r="G7" s="9" t="inlineStr">
        <is>
          <t>R8.8</t>
        </is>
      </c>
      <c r="H7" s="9" t="inlineStr"/>
      <c r="I7" s="9" t="inlineStr"/>
      <c r="J7" s="7" t="inlineStr">
        <is>
          <t>在宅介護実態調査（109件）の結果は同資料に未掲載（確認事項No.21）。</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第1回策定委員会は令和8年9月2日（水）開催。調査報告書は未作成、聞き取りも未実施。</t>
        </is>
      </c>
      <c r="F8" s="16" t="inlineStr">
        <is>
          <t>未着手</t>
        </is>
      </c>
      <c r="G8" s="9" t="inlineStr">
        <is>
          <t>R8.9末</t>
        </is>
      </c>
      <c r="H8" s="9" t="inlineStr"/>
      <c r="I8" s="9" t="inlineStr"/>
      <c r="J8" s="7" t="inlineStr">
        <is>
          <t>審議事項は①基本理念の方向性②分野別課題への追加視点③調査データの活用方法。調査報告書は計画書とは別の成果品（仕様書6（1））。</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保険料推計の枠組みは構築済み。男女別人口推計・事業量推計・地域支援事業の見込みは未着手。</t>
        </is>
      </c>
      <c r="F9" s="16" t="inlineStr">
        <is>
          <t>未着手</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第2回の説明資料（4頁）は作成済み。想定問答集は未作成。</t>
        </is>
      </c>
      <c r="F10" s="16" t="inlineStr">
        <is>
          <t>未着手</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町確認データの受領により暫定値を確定値へ置き換える。</t>
        </is>
      </c>
      <c r="F11" s="16" t="inlineStr">
        <is>
          <t>未着手</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2"/>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確認待ち</t>
        </is>
      </c>
      <c r="I5" s="9" t="inlineStr">
        <is>
          <t>R8.6</t>
        </is>
      </c>
      <c r="J5" s="7" t="inlineStr"/>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第1回策定委員会資料により第1回はR8.9.2に確定。第2回はR8.11頃、第3回はR9.1頃、第4回はR9.2頃の予定（同資料のスケジュール案による）。</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仕様書及び第1回策定委員会資料により「策定委員会」で確定。計画素案v1.6ほか5成果物が「介護保険運営委員会」に変更されているため、「策定委員会」へ戻す。</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確認待ち</t>
        </is>
      </c>
      <c r="I13" s="9" t="inlineStr">
        <is>
          <t>R8.6</t>
        </is>
      </c>
      <c r="J13" s="7" t="inlineStr"/>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確認待ち</t>
        </is>
      </c>
      <c r="I14" s="9" t="inlineStr">
        <is>
          <t>R8.7</t>
        </is>
      </c>
      <c r="J14" s="7" t="inlineStr"/>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確認待ち</t>
        </is>
      </c>
      <c r="I18" s="9" t="inlineStr">
        <is>
          <t>R8.9</t>
        </is>
      </c>
      <c r="J18" s="7" t="inlineStr"/>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確認待ち</t>
        </is>
      </c>
      <c r="I25" s="9" t="inlineStr">
        <is>
          <t>R8.9</t>
        </is>
      </c>
      <c r="J25" s="7" t="inlineStr">
        <is>
          <t>在宅介護実態調査データ（20260717版）により実施済みを確認。回答者は主な介護者が68.9%、本人が26.4%。要介護3以上が61件で全体の56%を占める。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確認待ち</t>
        </is>
      </c>
      <c r="I26" s="9" t="inlineStr">
        <is>
          <t>R8.9</t>
        </is>
      </c>
      <c r="J26" s="7" t="inlineStr"/>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確認待ち</t>
        </is>
      </c>
      <c r="I27" s="9" t="inlineStr">
        <is>
          <t>R8.9</t>
        </is>
      </c>
      <c r="J27" s="7" t="inlineStr"/>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確認待ち</t>
        </is>
      </c>
      <c r="I28" s="9" t="inlineStr">
        <is>
          <t>R8.9</t>
        </is>
      </c>
      <c r="J28" s="7" t="inlineStr"/>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確認待ち</t>
        </is>
      </c>
      <c r="I29" s="9" t="inlineStr">
        <is>
          <t>R8.8</t>
        </is>
      </c>
      <c r="J29" s="7" t="inlineStr"/>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実施中</t>
        </is>
      </c>
      <c r="I32" s="9" t="inlineStr">
        <is>
          <t>R8.9</t>
        </is>
      </c>
      <c r="J32" s="7" t="inlineStr">
        <is>
          <t>受託者側で個票の存在を確認済み。実算出により報告書の分析深度を高められる。</t>
        </is>
      </c>
    </row>
    <row r="34">
      <c r="A34" s="24" t="inlineStr">
        <is>
          <t>区分</t>
        </is>
      </c>
      <c r="B34" s="24" t="inlineStr">
        <is>
          <t>件数</t>
        </is>
      </c>
    </row>
    <row r="35">
      <c r="A35" s="10" t="inlineStr">
        <is>
          <t>完了</t>
        </is>
      </c>
      <c r="B35" s="9">
        <f>COUNTIF(H5:H32,"完了")</f>
        <v/>
      </c>
    </row>
    <row r="36">
      <c r="A36" s="12" t="inlineStr">
        <is>
          <t>実施中</t>
        </is>
      </c>
      <c r="B36" s="9">
        <f>COUNTIF(H5:H32,"実施中")</f>
        <v/>
      </c>
    </row>
    <row r="37">
      <c r="A37" s="14" t="inlineStr">
        <is>
          <t>確認待ち</t>
        </is>
      </c>
      <c r="B37" s="9">
        <f>COUNTIF(H5:H32,"確認待ち")</f>
        <v/>
      </c>
    </row>
    <row r="38">
      <c r="A38" s="16" t="inlineStr">
        <is>
          <t>未着手</t>
        </is>
      </c>
      <c r="B38" s="9">
        <f>COUNTIF(H5:H32,"未着手")</f>
        <v/>
      </c>
    </row>
    <row r="39">
      <c r="A39" s="18" t="inlineStr">
        <is>
          <t>対象外</t>
        </is>
      </c>
      <c r="B39" s="9">
        <f>COUNTIF(H5:H32,"対象外")</f>
        <v/>
      </c>
    </row>
    <row r="41" ht="26" customHeight="1">
      <c r="A41" s="23" t="inlineStr">
        <is>
          <t>注1）「回答・対応」欄は、発注者からの回答又は受託者による対応の結果を記入し、状態を「完了」に更新する。</t>
        </is>
      </c>
    </row>
    <row r="42" ht="26" customHeight="1">
      <c r="A42" s="23" t="inlineStr">
        <is>
          <t>注2）No.9〜11は保険料試算ワークブックの黄色セル（01!B15、06!B17、06!B16、04!B8、06!B10）と対応し、値を入力すると保険料基準額が自動で再計算される。</t>
        </is>
      </c>
    </row>
  </sheetData>
  <mergeCells count="4">
    <mergeCell ref="A1:J1"/>
    <mergeCell ref="A42:J42"/>
    <mergeCell ref="A41:J41"/>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未作成</t>
        </is>
      </c>
      <c r="D5" s="7" t="inlineStr">
        <is>
          <t>A4版　簡易コピー紙印刷製本
1色刷り　80頁程度　5部</t>
        </is>
      </c>
      <c r="E5" s="16" t="inlineStr">
        <is>
          <t>未着手</t>
        </is>
      </c>
      <c r="F5" s="20" t="n">
        <v>0</v>
      </c>
      <c r="G5" s="9" t="inlineStr">
        <is>
          <t>R9.3.15</t>
        </is>
      </c>
      <c r="H5" s="7" t="inlineStr">
        <is>
          <t>章構成、掲載する集計・分析の範囲、計画書本編との記載の重複の整理。アンケートの回収・集計後に作成する。</t>
        </is>
      </c>
      <c r="I5" s="9" t="inlineStr">
        <is>
          <t>1, 2</t>
        </is>
      </c>
    </row>
    <row r="6" ht="84" customHeight="1">
      <c r="A6" s="9" t="n">
        <v>2</v>
      </c>
      <c r="B6" s="21" t="inlineStr">
        <is>
          <t>調査結果集計・分析の電子データ</t>
        </is>
      </c>
      <c r="C6" s="7" t="inlineStr">
        <is>
          <t>アンケート集計分析テンプレート（6シート）
※回収前のため実データなし</t>
        </is>
      </c>
      <c r="D6" s="7" t="inlineStr">
        <is>
          <t>一式（Excel）</t>
        </is>
      </c>
      <c r="E6" s="16" t="inlineStr">
        <is>
          <t>未着手</t>
        </is>
      </c>
      <c r="F6" s="20" t="n">
        <v>0.15</v>
      </c>
      <c r="G6" s="9" t="inlineStr">
        <is>
          <t>R9.3.15</t>
        </is>
      </c>
      <c r="H6" s="7" t="inlineStr">
        <is>
          <t>テンプレートは整備済み。単純集計・クロス集計・グラフデータは回収後に作成する。</t>
        </is>
      </c>
      <c r="I6" s="9" t="inlineStr">
        <is>
          <t>1, 3</t>
        </is>
      </c>
    </row>
    <row r="7" ht="84" customHeight="1">
      <c r="A7" s="9" t="n">
        <v>3</v>
      </c>
      <c r="B7" s="21" t="inlineStr">
        <is>
          <t>事業量・見込み量等の推計用電子データ</t>
        </is>
      </c>
      <c r="C7" s="7" t="inlineStr">
        <is>
          <t>保険料試算ワークブック（11シート・129数式）
長期推計・給付費・保険料試算レポート
保険料_県内比較分析・要因分析
給付費・保険料算定の精査レポート</t>
        </is>
      </c>
      <c r="D7" s="7" t="inlineStr">
        <is>
          <t>一式（Excel）</t>
        </is>
      </c>
      <c r="E7" s="12" t="inlineStr">
        <is>
          <t>実施中</t>
        </is>
      </c>
      <c r="F7" s="20" t="n">
        <v>0.5</v>
      </c>
      <c r="G7" s="9" t="inlineStr">
        <is>
          <t>R9.3.15</t>
        </is>
      </c>
      <c r="H7" s="7" t="inlineStr">
        <is>
          <t>保険料推計の枠組みは構築済みで黄色セル5項目が町確認待ち。サービス種類別の事業量推計、地域支援事業①〜⑤の見込み、男女別人口推計が未作成。</t>
        </is>
      </c>
      <c r="I7" s="9" t="inlineStr">
        <is>
          <t>9, 10, 11, 12, 13</t>
        </is>
      </c>
    </row>
    <row r="8" ht="84" customHeight="1">
      <c r="A8" s="9" t="n">
        <v>4</v>
      </c>
      <c r="B8" s="21" t="inlineStr">
        <is>
          <t>計画書</t>
        </is>
      </c>
      <c r="C8" s="7" t="inlineStr">
        <is>
          <t>計画素案v1.6_本文充実版（44頁・411ブロック・6図表）
資料編_構成案・素案</t>
        </is>
      </c>
      <c r="D8" s="7" t="inlineStr">
        <is>
          <t>A4版　表紙レザック　本文上質紙
1色刷り　100頁程度　100部</t>
        </is>
      </c>
      <c r="E8" s="12" t="inlineStr">
        <is>
          <t>実施中</t>
        </is>
      </c>
      <c r="F8" s="20" t="n">
        <v>0.45</v>
      </c>
      <c r="G8" s="9" t="inlineStr">
        <is>
          <t>R9.3.15</t>
        </is>
      </c>
      <c r="H8" s="7" t="inlineStr">
        <is>
          <t>現行素案は44頁であり、成果品の100頁程度に対して増補を要する。仕様書6（7）①〜⑨の構成との対応確認が未了。入稿期日が未確定。</t>
        </is>
      </c>
      <c r="I8" s="9" t="inlineStr">
        <is>
          <t>15, 16, 18</t>
        </is>
      </c>
    </row>
    <row r="9" ht="84" customHeight="1">
      <c r="A9" s="9" t="n">
        <v>5</v>
      </c>
      <c r="B9" s="21" t="inlineStr">
        <is>
          <t>概要版</t>
        </is>
      </c>
      <c r="C9" s="7" t="inlineStr">
        <is>
          <t>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現行の概要版は委員事前配布用の12頁であり、住民配布用の8頁程度への再構成を要する。3,500部は全世帯配布規模であり、印刷所要日数の確認を要する。</t>
        </is>
      </c>
      <c r="I9" s="9" t="inlineStr">
        <is>
          <t>18</t>
        </is>
      </c>
    </row>
    <row r="10" ht="84" customHeight="1">
      <c r="A10" s="9" t="n">
        <v>6</v>
      </c>
      <c r="B10" s="21" t="inlineStr">
        <is>
          <t>計画書概要及び計画書案等の電子データ</t>
        </is>
      </c>
      <c r="C10" s="7" t="inlineStr">
        <is>
          <t>素案v1.6（Word）
概要版（Word）
資料編（Word）</t>
        </is>
      </c>
      <c r="D10" s="7" t="inlineStr">
        <is>
          <t>一式（Word・PDF）</t>
        </is>
      </c>
      <c r="E10" s="12" t="inlineStr">
        <is>
          <t>実施中</t>
        </is>
      </c>
      <c r="F10" s="20" t="n">
        <v>0.45</v>
      </c>
      <c r="G10" s="9" t="inlineStr">
        <is>
          <t>R9.3.15</t>
        </is>
      </c>
      <c r="H10" s="7" t="inlineStr">
        <is>
          <t>計画書・概要版の確定に連動する。</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20:I20"/>
    <mergeCell ref="A19:I19"/>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実施中</t>
        </is>
      </c>
      <c r="J5" s="12" t="inlineStr">
        <is>
          <t>実施中</t>
        </is>
      </c>
      <c r="K5" s="7" t="inlineStr">
        <is>
          <t>令和8年6〜7月に郵送で実施。集計データ（20260807版）の有効回答は576件・75設問。設問間クロス分析15項目・自由記述の分類まで完了し、結果報告書（R8.8.3版）を作成済み。委員会資料の有効回答数552件は誤記（確認事項No.25）。回答者属性が全件未記録のため属性別分析ができない（同No.27）。成果品の調査報告書は未確定。</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実施中</t>
        </is>
      </c>
      <c r="J6" s="16" t="inlineStr">
        <is>
          <t>未着手</t>
        </is>
      </c>
      <c r="K6" s="7" t="inlineStr">
        <is>
          <t>令和8年6〜7月に実施。集計データ（20260807版）の有効回答は142件・26設問（回収率約47%）。女性62.0%、85歳以上61.2%、要介護3〜5が58.3%。結果報告書（R8.8.12版）は作成中で、個票があるにもかかわらずクロス集計を未算出としている（確認事項No.28）。第1回策定委員会資料には結果が未掲載（同No.21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row>
    <row r="11" ht="24" customHeight="1">
      <c r="A11" s="9" t="inlineStr">
        <is>
          <t>②印刷・発送準備</t>
        </is>
      </c>
      <c r="B11" s="7" t="inlineStr">
        <is>
          <t>調査票の印刷（2種類）、送付用封筒（角2）・返信用封筒（長3）の印刷、封入、宛名ラベル貼付（仕様書6（2））</t>
        </is>
      </c>
    </row>
    <row r="12" ht="24" customHeight="1">
      <c r="A12" s="9" t="inlineStr">
        <is>
          <t>③回収・回収票管理</t>
        </is>
      </c>
      <c r="B12" s="7" t="inlineStr">
        <is>
          <t>回収及び回収票管理（ナンバリング等）（仕様書6（1））</t>
        </is>
      </c>
    </row>
    <row r="13" ht="24" customHeight="1">
      <c r="A13" s="9" t="inlineStr">
        <is>
          <t>④入力・集計</t>
        </is>
      </c>
      <c r="B13" s="7" t="inlineStr">
        <is>
          <t>回収調査票の入力及び集計作業（データ入力・整理・グラフデータ作成）（仕様書6（1））</t>
        </is>
      </c>
    </row>
    <row r="14" ht="24" customHeight="1">
      <c r="A14" s="9" t="inlineStr">
        <is>
          <t>⑤集計・実態調査分析</t>
        </is>
      </c>
      <c r="B14" s="7" t="inlineStr">
        <is>
          <t>集計結果に基づく実態調査分析（仕様書6（1））</t>
        </is>
      </c>
    </row>
    <row r="15" ht="24" customHeight="1">
      <c r="A15" s="9" t="inlineStr">
        <is>
          <t>⑥調査報告書の作成</t>
        </is>
      </c>
      <c r="B15" s="7" t="inlineStr">
        <is>
          <t>調査票報告書の作成（編集・校正含み）（仕様書6（1））。成果品80頁程度・5部</t>
        </is>
      </c>
    </row>
    <row r="16" ht="24" customHeight="1">
      <c r="A16" s="9" t="inlineStr">
        <is>
          <t>⑦計画への反映</t>
        </is>
      </c>
      <c r="B16" s="7" t="inlineStr">
        <is>
          <t>素案の該当箇所への反映</t>
        </is>
      </c>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1"/>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資料提供依頼一覧（17件）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確認待ち</t>
        </is>
      </c>
      <c r="J5" s="7" t="inlineStr">
        <is>
          <t>確認事項No.3と対応。受領しない限り仕様書6（2）の発送準備が完了しない。</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最高</t>
        </is>
      </c>
      <c r="I7" s="14" t="inlineStr">
        <is>
          <t>確認待ち</t>
        </is>
      </c>
      <c r="J7" s="7" t="inlineStr">
        <is>
          <t>確認事項No.12と対応。仕様書6（5）（6）の中核データ。</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確認待ち</t>
        </is>
      </c>
      <c r="J8" s="7" t="inlineStr">
        <is>
          <t>確認事項No.10と対応。</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3">
      <c r="A23" s="24" t="inlineStr">
        <is>
          <t>区分</t>
        </is>
      </c>
      <c r="B23" s="24" t="inlineStr">
        <is>
          <t>件数</t>
        </is>
      </c>
    </row>
    <row r="24">
      <c r="A24" s="10" t="inlineStr">
        <is>
          <t>完了</t>
        </is>
      </c>
      <c r="B24" s="9">
        <f>COUNTIF(I5:I21,"完了")</f>
        <v/>
      </c>
    </row>
    <row r="25">
      <c r="A25" s="12" t="inlineStr">
        <is>
          <t>実施中</t>
        </is>
      </c>
      <c r="B25" s="9">
        <f>COUNTIF(I5:I21,"実施中")</f>
        <v/>
      </c>
    </row>
    <row r="26">
      <c r="A26" s="14" t="inlineStr">
        <is>
          <t>確認待ち</t>
        </is>
      </c>
      <c r="B26" s="9">
        <f>COUNTIF(I5:I21,"確認待ち")</f>
        <v/>
      </c>
    </row>
    <row r="27">
      <c r="A27" s="16" t="inlineStr">
        <is>
          <t>未着手</t>
        </is>
      </c>
      <c r="B27" s="9">
        <f>COUNTIF(I5:I21,"未着手")</f>
        <v/>
      </c>
    </row>
    <row r="28">
      <c r="A28" s="18" t="inlineStr">
        <is>
          <t>対象外</t>
        </is>
      </c>
      <c r="B28" s="9">
        <f>COUNTIF(I5:I21,"対象外")</f>
        <v/>
      </c>
    </row>
    <row r="30" ht="26" customHeight="1">
      <c r="A30" s="23" t="inlineStr">
        <is>
          <t>注1）優先度は 最高／高／中／低 の別による。「最高」は、受領しない限り当該業務が完了しない資料を示す。</t>
        </is>
      </c>
    </row>
    <row r="31" ht="26" customHeight="1">
      <c r="A31" s="23" t="inlineStr">
        <is>
          <t>注2）「状態」が「完了」となった資料は、受領日を備考欄に記入する。</t>
        </is>
      </c>
    </row>
  </sheetData>
  <mergeCells count="4">
    <mergeCell ref="A1:J1"/>
    <mergeCell ref="A30:J30"/>
    <mergeCell ref="A31:J31"/>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2026-08-20T05:51:48Z</dcterms:created>
  <dcterms:modified xsi:type="dcterms:W3CDTF">2026-08-20T05:51:48Z</dcterms:modified>
</cp:coreProperties>
</file>