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3"/>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38" t="inlineStr">
        <is>
          <t>令和8年10月24日　本表の記載は同日時点のもの。Red Team 再レビュー第5回で、第4回の是正（給付費の集計の基準・年報原票との37件一致・工程の暦日計算・頁の数え方）を確認いただいた。第5回 Red Team 再レビューの判定：第2回策定委員会の協議資料として条件付きで使用可。令和9〜11年度の給付費見込量・保険料の確定値、住民向けの公表・納品は現時点では不可。残る事項は、実日付の工程（No.191）・公表用の留保103件の処理（No.192）・見込量の3ケース（No.147・159）・最終の推計と基金・交付金の原票突合（No.148）と、町のご判断（No.49・83・90・137・190・109）。確認事項は192件のうち19件が完了。
（前の記載）令和8年10月24日　本表の記載は同日時点のもの。Red Team 再レビュー第4回を受け、協議用素案 Ver.2.36・公表用の計画書（案）v2.36・概要版 v2.36・第2回策定委員会資料 v21・想定問答集 v17（全69問）に是正した。第4回の指摘9件と影響範囲の確認で見つけた1件のうち是正済7・町のご判断2・町のご確認待ち1（ほか横断1件是正）。点検ログ14件はすべて終了コード0。確認事項は190件のうち19件が完了。一式は 11_提出一式/川崎町_RedTeam再レビュー第4回対応_成果物とエビデンス_R8.10.24.zip。
（前の記載）令和8年10月24日　本表の記載は同日時点のもの。Red Team 再レビュー第3回の影響範囲を5冊で走査し、残っていた同じ趣旨の記述（保険料の「本算定」、通いの場の「参加率」、29.9万円の出所）を、協議用素案 Ver.2.35・公表用の計画書（案）v2.35・概要版 v2.35・第2回策定委員会資料 v20 で是正した（想定問答集 v16 は是正の対象なし）。点検ログ14件はすべて終了コード0。確認事項は190件のうち19件が完了。一式は 11_提出一式/川崎町_RedTeam再レビュー第3回_影響範囲再点検_成果物とエビデンス_R8.10.24.zip。
（前の記載）令和8年10月24日　本表の記載は同日時点のもの。Red Team 再レビュー第3回（同日）を受け、協議用素案 Ver.2.34・公表用の計画書（案）v2.34・概要版 v2.34・第2回策定委員会資料 v19・想定問答集 v16（全69問）に是正した。第3回の指摘11件のうち是正済8・一部是正2・町のご判断1。令和7年度の給付費37サービスを年報の円単位で突合（37件一致）。点検ログ14件はすべて終了コード0。確認事項は190件のうち19件が完了。一式は 11_提出一式/川崎町_RedTeam再レビュー第3回対応_成果物とエビデンス_R8.10.24.zip。
（前の記載）令和8年10月24日　本表の記載は同日時点のもの。Red Team 再レビュー（同日）を受け、協議用素案 Ver.2.33・公表用の計画書（案）v2.33・概要版 v2.33・第2回策定委員会資料 v18・想定問答集 v15（全69問）に是正した。新規の指摘11件のうち是正済9・一部是正1・町のご確認待ち1（No.190）。点検ログ14件はすべて終了コード0。確認事項は190件のうち19件が完了。一式は 11_提出一式/川崎町_RedTeam再レビュー対応_成果物とエビデンス_R8.10.24.zip。
（前の記載）令和8年10月24日　本表の記載は同日時点のもの。Red Team レビュー（令和8年10月24日）を受け、協議用素案 Ver.2.32（118頁）・公表用の計画書（案）v2.32（116頁）・概要版 v2.32（8頁）・第2回策定委員会資料 v17（21頁）・想定問答集 v14（全69問）に是正した。指摘27件のうち是正済16・一部是正3・既に対応1、残る7件は資料の未受領又は町のご判断による。点検ログ14件はすべて終了コード0。確認事項は189件のうち19件が完了。一式は 11_提出一式/川崎町_RedTeamレビュー対応_成果物とエビデンス_R8.10.24.zip。
（前の基準日の記載）令和8年10月23日　本表の記載は同日時点のもの。協議用素案 Ver.2.30（118頁）と、公表用の計画書（案）v2.30（116頁）・概要版 v2.30（8頁・図8点・表6件）、第2回策定委員会資料 v15・想定問答集 v12（全68問）まで作成済み。点検は、素案の自己点検32件・保険料の検算40項目・書体の点検16件・図表の自己点検10件・委員会資料の自己点検27件・概要版の自己点検（検査1〜8）がいずれも適合（8軸の網羅性の未実施10件は別に数えている）。確認事項は188件のうち19件が完了、169件が未完了（確認待ち162件ほか）。資料提供依頼は52件のうち7件を受領。
（前の基準日 令和8年10月4日の記載）令和8年10月4日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0.9</v>
      </c>
      <c r="H7" s="9" t="inlineStr">
        <is>
          <t>R9.2</t>
        </is>
      </c>
      <c r="I7" s="38" t="inlineStr">
        <is>
          <t>【令和8年10月24日 更新⑥（Red Team 再レビュー第5回の確認）】第2回の資料 v21・想定問答集 v17 は第5回レビューで協議資料として条件付きで使用可と判定された。残るのは注記の改頁1件（作業順位55）と、工程の実日付（No.191）。進捗 0.85→0.90。　【令和8年10月23日 更新⑧（第2回資料の確定に向けた点検）】第2回の資料を v16・想定問答集を v13 に上げ、素案と食い違う7件を解いた。確定（10月30日）に残るのは【町確認】2件（No.189）と事務局案のご了承。進捗 0.80→0.85。　【令和8年10月7日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【令和8年10月23日 更新⑦（概要版の組み直し）】協議用素案を Ver.2.30 に上げた。概要版を組み直す際に、3-4 の課題①と 5-4 の後期高齢者数が令和7年6月の月報の値（1,675人・＋10.9％）のまま残り、2-1（令和7年度末1,742人・＋15.4％）と食い違っていたことが分かり、2-1 に揃えた。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0.65</v>
      </c>
      <c r="H12" s="38" t="inlineStr">
        <is>
          <t>R9.3</t>
        </is>
      </c>
      <c r="I12" s="38" t="inlineStr">
        <is>
          <t>【令和8年10月24日 更新⑥（Red Team 再レビュー第5回の確認）】公表用の計画書（案）は留保103件が未決定のため確定・公表は不可（No.192）。進捗は据え置き。　【令和8年10月23日 更新⑦（概要版の組み直し）】③概要版を最新の協議用素案（Ver.2.30）から組み直した（川崎町_計画書案_概要版_v2.30.docx・8頁）。数値・名称はすべて素案の docx から読み、素案にない数・未確定の値（［要確認］等）は載せない。従前の版で4つの重点の名称が素案と違っていたこと、ヘッダーに版が出ていたことを是正。書式は公表用（HG丸ｺﾞｼｯｸM-PRO）。残るのは保険料の確定後の差替え・町のご確認・入稿（No.18）。進捗 0.60→0.65。　【令和8年10月17日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3"/>
    <row r="14" ht="22" customHeight="1">
      <c r="B14" s="21" t="inlineStr">
        <is>
          <t>全体進捗（単純平均）</t>
        </is>
      </c>
      <c r="C14" s="4" t="n"/>
      <c r="D14" s="4" t="n"/>
      <c r="E14" s="4" t="n"/>
      <c r="F14" s="5" t="n"/>
      <c r="G14" s="22">
        <f>ROUND(AVERAGE(G5:G12),2)</f>
        <v/>
      </c>
    </row>
    <row r="15"/>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38" t="inlineStr">
        <is>
          <t>【令和8年10月23日 更新⑦（概要版の組み直し）】協議用素案 Ver.2.30・公表用 v2.30・概要版 v2.30（8頁）まで作成。第2回策定委員会資料 v15・想定問答集 v12。　【令和8年10月7日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6"/>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【令和8年10月24日 更新⑥（Red Team 再レビュー第5回の確認）】F5-06。4回予定から3回とする契約上の書面処理は町。実日付の工程は No.191。　【令和8年10月24日 更新⑤（Red Team 再レビュー第4回への対応）】F4-03。パブリックコメントを令和9年1月4日開始とすると後続が6日遅れ、案Ⅰの納品は3月16日（火）で納期を1日超える（旧の「3月15日ちょうど」は誤り）。1月4日開始なら第3回から入稿まで又は印刷製本を1日以上短縮するか、案Ⅱ（印刷2週間・3月9日）。資料 v21・問答集 v17・逆算工程表を改めた。　【令和8年10月24日 更新③（Red Team 再レビュー第3回への対応）】全3回とすることは委託仕様書6(3)の「4回開催の予定」の変更に当たるため、仕様書11（定めのない事項の協議）を根拠とせず、町の契約担当で契約上の手続（変更契約又は書面による合意の要否）をご確認いただき、町が書面で決定する形に資料 v19・問答集 v16（QB-58）を改めた。委員会には工程の見通しについてご意見をいただく。既定値＝第2回の前までに手続の判断がない場合、資料は案Ⅰを事務局案として示したまま、回数は未決定と扱う。　【令和8年10月21日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【令和8年10月23日 更新⑥（県の第10期計画の骨子（案）・見える化の定め）】事業所分析で、利用者数が5年続けて前年を下回る指定は0件、介護職員（常勤換算）が令和3年→令和7年で2割以上減った指定は1件（短期入所療養介護 ▲25.0％。老健と同じ職員を指定ごとに報告しているもの）でした。また、宮城県のみやぎ高齢者元気プラン推進委員会（令和8年7月14日）の議事録に、町内の訪問介護・居宅介護支援の事業者の経営が厳しく、ほかに担い手がないとの委員の発言があります（素案には書かない）。　【令和8年10月23日 更新④（出所の確定）】事業所別5か年推移の出所は見える化システムの事業所分析機能（従事者数は介護サービス情報公表システムの各年9月時点）と確定しました。　【令和8年10月23日 更新③（事業所別5か年推移）】事業所別5か年推移で、介護職員（常勤換算）が介護老人保健施設30.0→25.5人（▲15％）、介護老人福祉施設21.2→18.3人（令和5年は14.0人）でした（県内の中央値は▲2％前後）。第1回でご報告のあった1ユニット分の人員削減と時期が近いものの、同じものかは確かめていません。　【令和8年10月22日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【令和8年10月23日 更新⑧（第2回資料の確定に向けた点検）】資料 v16（21頁）・想定問答集 v13（全69問）。10月30日に確定、11月10日に事前配布。紙・電子の別と部数のご指示をお願いします。　【令和8年10月21日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38" t="inlineStr">
        <is>
          <t>【令和8年10月23日 更新⑥（県の第10期計画の骨子（案）・見える化の定め）】宮城県は第7期宮城県介護給付適正化取組方針（令和9〜11年度）について、国の基本方針に大きな見直しはないとして、第6期の重点（要介護認定の適正化／ケアプラン・住宅改修等の点検／縦覧点検・医療情報との突合）を継続する方向を示しました（令和8年8月26日 推進委員会 資料6）。協議用素案 Ver.2.29 の8-2 の注記に加えました。区分の確定は引き続き国の基本指針によります。　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38" t="inlineStr">
        <is>
          <t>【令和8年10月23日 更新⑥（県の第10期計画の骨子（案）・見える化の定め）】見える化システムに入力する地域支援事業費は「対象経費支出予定額」（総事業費から寄付金その他の収入額を差し引いた額のうち、交付金の対象経費として支出する見込みの額）とされています（地域分析の手引き 令和8年9月改訂版 79頁）。③の決算との差（12％）の一部は、この範囲の違いによる可能性があります。協議用素案 Ver.2.29 の9-1に注記しました。　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【令和8年10月23日 更新⑥（県の第10期計画の骨子（案）・見える化の定め）】手引き76頁により、令和8年度の実績見込みは、令和8年5月から保険者が設定した月までの令和8年度月報の累計値から算出されます。設定する月が少ないほど、見込みが少数の月の値に左右されます。新しい推計パターンでは、できるだけ新しい月まで設定いただくことをお勧めします（推奨の月数を定めた操作編②は未受領・資料提供依頼No.51）。　【令和8年10月21日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38" t="inlineStr">
        <is>
          <t>【令和8年10月23日 更新⑥（県の第10期計画の骨子（案）・見える化の定め）】「令和8年5月ベース」の表示は、令和8年度の月報を5月の1か月だけ設定していることによる可能性があります（手引き76頁）。「介護保険事業状況報告の設定」の画面の写しをいただければ確かめます。　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【令和8年10月24日 更新⑥（Red Team 再レビュー第5回の確認）】F5-06。本文・資料編・別冊・概要版の納品構成を町の契約担当で確認（第5回でも文書上は解消・契約判断待ち）。　【令和8年10月24日 更新⑤（Red Team 再レビュー第4回への対応）】F4-06。素案は全118頁＝表紙・ご挨拶・目次5頁＋本文113頁、資料編（見込）13頁を含め計131頁。別冊に移した案は全106頁（本文101頁）・計119頁。「100頁程度」との差は本文のみで＋13頁（別冊後＋1頁）、冊子全体で＋31頁（＋19頁）。数える範囲を町と書面で確かめたい。　【令和8年10月24日 更新③（Red Team 再レビュー第3回への対応）】Red Team 再レビュー第3回 R3-11。素案は本文118頁・資料編（見込）13頁の計131頁。仕様書8の「100頁程度」の対象範囲（本文のみか、資料編を含むか。概要版は別）を町と書面で確かめたい。　【令和8年10月21日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【令和8年10月24日 更新⑥（Red Team 再レビュー第5回の確認）】第5回 Red Team 再レビューの判定：第2回策定委員会の協議資料として条件付きで使用可。令和9〜11年度の給付費見込量・保険料の確定値、住民向けの公表・納品は現時点では不可。残る組版の指摘は1件（資料 v21 の21頁末〜22頁頭で注記の段落が分かれる。F5-05・作業順位55）。保険料の感応度は前提付きの試算と明記したまま（F5-04）。　【令和8年10月24日 更新⑤（Red Team 再レビュー第4回への対応）】F4-01。9-2 の表の令和7年度で、標準給付費見込額（1,084,587千円＝年報 様式3 の支払額。審査支払手数料を含まない）と内訳5項目の和（1,084,826千円。総給付費は様式2 の給付実績）が239千円違っていた。令和7年度の欄を5項目の和に改め、様式3 との違いを注に書いた。令和6年度→令和7年度の比較も基準が違っていた（1,093,253千円は手数料を含む）ため、様式3 の支払額で 1,092,621千円→1,084,587千円・0.7％減に改めた。保険料（令和9〜11年度）への波及なし。　【令和8年10月24日 更新④（第3回レビューの影響範囲の再点検）】第3回レビューを同じ版で受け直し、同じ趣旨の記述を5冊で走査した。保険料の「本算定」（素案 9-3 の5か所・資料 表26）は確定の算定と読めるため「本試算」に改めた。入所・居住系の1人1月あたり給付費約29.9万円の出所（給付費680,226千円÷年報の受給者数延べ2,274人月＝299.13千円）を素案 5-5 に書き、丸める前の値でも10人で約212円（211.84円）であることを確かめた。素案 Ver.2.35・資料 v20。　【令和8年10月24日 更新②（Red Team 再レビューへの対応）】再レビューを受け、資料を v18・想定問答集を v15 に上げた。報酬改定1％・3％の算定Ｂ・Ｃを素案 9-3 から起こし直した（1％ Ｂ6,208・Ｃ5,529円、3％ Ｂ6,339・Ｃ5,659円。旧の6,235円等は誤り）。選択２は5,931円・6,355円（±212円）。ご審議事項⑥の言い切り、表29 の基金残高（見込額）、改頁（21頁の「す。」）を直した。当方の環境の PDF は22頁。川崎町_RedTeam再レビュー対応表_R8.10.24.md。　【令和8年10月24日 更新（Red Team レビューへの対応）】Red Team レビューを受け、資料を v17・想定問答集を v14 に上げた。選択２の保険料（5,932円・6,354円。旧の5,959円・6,382円は算定Ｂ6,170円の時の値）、表27 の基準（算定Ａ）と算定Ｂ・Ｃの差、交付金の要件の言い切り、国の基金の水準の記述（根拠を確かめられず削除）、8事業所・14指定、選択１の仮置きの注記。川崎町_RedTeamレビュー対応表_R8.10.24.md。　【令和8年10月23日 更新⑧（第2回資料の確定に向けた点検）】資料を v16・想定問答集を v13（全69問）に上げ、素案 Ver.2.31 と食い違う7件を解いた（重点課題5本を素案 3-4 に置いた、選択１の素案の説明、表37 の千円単位の値、27点の言い回し、表43 の介護保険法第117条第13項、事業一覧表の件数、選択３の近隣の事業所）。確定に向けてお願いしたいのは【町確認】2件（No.189）と事務局案のご了承（選択１Ｃ・選択５Ｂ・案Ⅰ・頁数）。川崎町_第2回策定委員会資料の確定に向けた点検_R8.10.23.md。　【令和8年10月20日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38" t="inlineStr">
        <is>
          <t>【令和8年10月24日 更新⑥（Red Team 再レビュー第5回の確認）】F5-06。様式の整備と意見聴取の実施は別。実施・反映の記録の保存をお願いしたい。　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38" t="inlineStr">
        <is>
          <t>【令和8年10月24日 更新⑥（Red Team 再レビュー第5回の確認）】F5-06。令和11年度の数値目標・出典・評価の頻度・担当を確定。調査でしか得られない成果指標には年次の活動指標を併せて置く。　【令和8年10月24日 更新③（Red Team 再レビュー第3回への対応）】R3-08。通いの場の参加割合15.9％（n=439）は一般高齢者調査の回答者のうちの割合であるため、KPI の名称に分母を書いた。行政実績の参加率（参加者数÷65歳以上人口）は、地域支援事業のデータの受領後に別の指標として置く。　【R8.9.25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38" t="inlineStr">
        <is>
          <t>【令和8年10月24日 更新（Red Team レビューへの対応）】生活支援コーディネーター数を原票で確かめた。町の実績データ（R6・R7見込とも26人）と国の令和8年度評価（該当状況調査26人）が一致。素案の25名は地域福祉計画の資料の生活支援サポーターの値であったため、26人に改めた（素案 Ver.2.32）。地域ケア会議への出席は令和6年度4人。　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38" t="inlineStr">
        <is>
          <t>【令和8年10月24日 更新⑥（Red Team 再レビュー第5回の確認）】F5-06。認知症ケアパスの作成状況は町のご確認待ちのまま。　【R8.9.30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38" t="inlineStr">
        <is>
          <t>【令和8年10月24日 更新⑥（Red Team 再レビュー第5回の確認）】F5-03。第3回までに見込量の3ケース（現行の供給体制／供給の縮小／確保・回復）を、利用人数・利用量・給付費・保険料への影響に分けて示す。データがないものは推計に入れず、未反映であることを明記する。　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38" t="inlineStr">
        <is>
          <t>【令和8年10月24日 更新⑥（Red Team 再レビュー第5回の確認）】F5-04。最終の将来推計総括表・令和8年度末の基金残高見込み・所得段階別の見込み・地域支援事業の事業費・交付金の評価原票を揃えて、総括表・算定ブック・素案・概要版を突合する。感応度表は前提付きの試算のまま。　【令和8年10月24日 更新②（Red Team 再レビューへの対応）】報酬改定の差は、基金の取崩しが一定額の差引きであるため算定Ａ・Ｂ・Ｃでほぼ同じ（1％ ＋66・＋65・＋65円、3％ ＋196・＋196・＋195円）。前回の算定Ｂ＋92円・算定Ｃ＋119円は誤った表から計算していた。入所・居住系±10人は211.7円を四捨五入して212円。　【令和8年10月24日 更新（Red Team レビューへの対応）】保険料を動かす要因の差額は算定Ａ（取崩しなし）を基準とした値であることを資料・問答集に明記。報酬改定1％は算定Ａ＋66円・Ｂ＋92円・Ｃ＋119円。入所・居住系±10人は約211円（基金の取崩しによらない。表101 から検算211.7円）。　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④（軽費老人ホームの廃止・素案Ver.2.25）】廃止日は令和6年3月31日でした（法人の公表。県の入所状況調の掲載の推移と整合）。令和5年1〜9月の退所32人の退所先は他の施設28・入院3・在宅1（県の入所状況調）。⚠ 以前の更新で「住まい70人分が失われた」と書きましたが、休止前の入所者は令和5年4月1日時点で13人であり、なくなったのは定員70人分の住まいの選択肢です。素案 Ver.2.25 で改めました。⚠ 次の3点をお願いします。①宮城県 長寿社会政策課に、受理された廃止届（様式第24号）の「廃止の理由」「現に入所している者に対する措置」の記載内容をご確認ください。②入所されていた方のうち本町の住民の数（匿名の人数のみ。数えた定義を添えて）。③運営法人への照会の要否（既定値＝照会しない）。詳細は 川崎町_軽費老人ホーム廃止の確認結果_R8.10.22.md。　【令和8年10月22日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【令和8年10月24日 更新③（Red Team 再レビュー第3回への対応）】R3-02。推計値（374人）と自立度Ⅱ以上の実数は把握の方法と対象が異なるため、単純な差を要介護認定を受けていない認知症の方の数とは読まない、と素案 6-1 を改めた（Ver.2.34）。内訳の和372人と計374人の差（四捨五入）も注に書いた。　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【令和8年10月24日 更新⑥（Red Team 再レビュー第5回の確認）】F5-03。町内外別の利用・施設の空床と人員の制限・訪問介護の実稼働が3ケースの前提になる。　【令和8年10月23日 更新⑤（事業所分析の素案への反映）】延べ利用日数による稼働率と短期入所の利用者数を協議用素案 Ver.2.28 の2-7・別表・9-1に書きました。地域密着型介護老人福祉施設（2施設計）の稼働率は令和7年で78.7％、増やした定員のうち約6人分が埋まっていません。空きが職員不足による受入れの制限によるものかのご確認をお願いします［要確認］。見込量の扱いは［要協議］として素案9-1に置いています。　【令和8年10月23日 更新④（出所の確定）】受領した事業所別5か年推移の出所は地域包括ケア「見える化」システムの事業所分析機能であるとご教示いただきました（各年9月の値。手引き66頁）。稼働率を9月の30日で計算し直しました（地域密着型介護老人福祉施設（増床分）70.3％・県内の中央値94.9％、介護老人福祉施設98.8％、介護老人保健施設91.9％）。出所の［要確認］は解けました。　【令和8年10月23日 更新③（事業所別5か年推移）】令和8年10月23日受領の事業所別5か年推移（令和3〜7年）で、施設・居住系6か所の延べ利用日数による稼働率が分かりました（介護老人福祉施設97.4％・介護老人保健施設90.7％ほか）。⚠ 令和5年に増床した地域密着型介護老人福祉施設（定員10→20）の稼働率が令和7年で69.4％（県内の中央値93.6％）です。短期入所の利用者は2か所とも5年でほぼ半減しています。⚠ データの出所が記載されていないため、作成主体と時点のご確認をお願いします［要確認］。詳細は 川崎町_事業所別5か年推移の確認結果_R8.10.23.md。　【令和8年10月22日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38" t="inlineStr">
        <is>
          <t>【令和8年10月24日 更新（Red Team レビューへの対応）】素案 1-5 の基本指針案の別表11事項の件数を表から数え直した（対応済1・一部8・未対応2）。国の告示・県の第10期計画（中間案）を受けて照合し直す。　【令和8年10月23日 更新⑧（第2回資料の確定に向けた点検）】介護保険法の条文を e-Gov（令和8年10月1日施行時点）で確かめ、09_元資料/法令/ に退避した。被保険者の意見＝第117条第12項、都道府県の意見＝第13項、知事への提出＝第14項。素案 1-4 に項番号を入れ、資料の「第117条第５項」（誤り）を第13項に改めた。令和8年法律第51号の施行による項の移動は施行時期を確かめて照合し直す。　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38" t="inlineStr">
        <is>
          <t>【令和8年10月23日 更新⑥（県の第10期計画の骨子（案）・見える化の定め）】入力値は「対象経費支出予定額」とされています（手引き79頁）。伸びの根拠のご確認の際、決算額ではなくこの範囲の額であるかもあわせてご確認ください。協議用素案 Ver.2.29 の9-1に注記しました。　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row r="201">
      <c r="A201" s="35" t="inlineStr">
        <is>
          <t>187</t>
        </is>
      </c>
      <c r="B201" s="35" t="inlineStr">
        <is>
          <t>(8)</t>
        </is>
      </c>
      <c r="C201" s="35" t="inlineStr">
        <is>
          <t>R8.10</t>
        </is>
      </c>
      <c r="D201" s="35" t="inlineStr">
        <is>
          <t>計画書の書体と見出しの形を第9期計画に揃えるか</t>
        </is>
      </c>
      <c r="E201" s="35" t="inlineStr">
        <is>
          <t>第9期計画は本文を HG丸ゴシックM-PRO 11pt（行送り約19.6pt）とし、節を「第１節」、表・図の題を「■」（番号なし）、出典を「資料：」としています。計画素案は游ゴシック 10pt（行送り16pt）、節を「1-1」、図に「図3-1」等の番号を付けています。①書体と大きさ（Ａ現状116頁／Ｂ書体だけ揃える116頁前後／Ｃ大きさ・行送りも揃える約126頁）、②見出し・図表の題の形を揃える時期、をご判断ください。詳細は 川崎町_計画書の見え方の点検_R8.10.23.md。</t>
        </is>
      </c>
      <c r="F201" s="35" t="inlineStr">
        <is>
          <t>計画書（成果品4）の紙面・頁数</t>
        </is>
      </c>
      <c r="G201" s="35" t="inlineStr">
        <is>
          <t>発注者</t>
        </is>
      </c>
      <c r="H201" s="35" t="inlineStr">
        <is>
          <t>確認待ち</t>
        </is>
      </c>
      <c r="I201" s="35" t="inlineStr">
        <is>
          <t>R8.11</t>
        </is>
      </c>
      <c r="J201" s="35" t="inlineStr">
        <is>
          <t>【令和8年10月23日 更新②（No.187 ご判断・2つの版）】ご指示：①書体は第9期と同じ HG丸ゴシックM-PRO に揃える（大きさ・行送りは変えない）②見出しと図表の題はそのまま③協議用素案と公表用の計画書（案）に分けて運用する。素案 Ver.2.27（協議用）と公表用 v2.27 に反映した。　既定値＝①Ｂ（書体だけ HG丸ゴシックM-PRO に揃え、大きさは10pt）、②公表版（計画書の案）の段階で「第１節」「■」「資料：」に揃える。協議の間は現在の形のままとする。</t>
        </is>
      </c>
    </row>
    <row r="202">
      <c r="A202" s="35" t="inlineStr">
        <is>
          <t>188</t>
        </is>
      </c>
      <c r="B202" s="35" t="inlineStr">
        <is>
          <t>(5)(7)</t>
        </is>
      </c>
      <c r="C202" s="35" t="inlineStr">
        <is>
          <t>R8.11</t>
        </is>
      </c>
      <c r="D202" s="35" t="inlineStr">
        <is>
          <t>県へ推計データを提出する際の入力（第10期計画策定における取組の入力・必要入所（利用）定員、入居定員総数調査票）</t>
        </is>
      </c>
      <c r="E202" s="35" t="inlineStr">
        <is>
          <t>地域包括ケア「見える化」システムの将来推計機能では、都道府県へ推計データを提出する際に、地域分析結果の資料、「改正介護保険法を踏まえた第10期計画策定における取組の入力」（選択式）、「第10期必要入所（利用）定員、入居定員総数調査票」の登録を行うこととされています（利用マニュアル【システム操作編② 将来推計】第11.0版・令和8年9月30日に加わった画面）。取組の入力は、中長期のサービス見込量の推計、サービス提供体制の確保（中山間・人口減少地域の把握を含む）、医療・介護連携の推進について問うものです。素案の章節（9-1 中長期の見込み・1-6 日常生活圏域と7地区・7-2 供給の制約・1-5 医療計画との整合）から回答案を作成してお渡しできます。①操作編②のご提供（資料提供依頼No.51）、②調査票の様式のご提供（No.52）、③県への提出の時期、をご教示ください。
⚠ 当方は操作編②の原本を受領しておらず、上の画面の構成は原本で確かめていません。</t>
        </is>
      </c>
      <c r="F202" s="35" t="inlineStr">
        <is>
          <t>見える化システムの県への提出（第2回目以降）
計画素案 9-1（必要利用定員総数）</t>
        </is>
      </c>
      <c r="G202" s="35" t="inlineStr">
        <is>
          <t>発注者</t>
        </is>
      </c>
      <c r="H202" s="35" t="inlineStr">
        <is>
          <t>確認待ち</t>
        </is>
      </c>
      <c r="I202" s="35" t="inlineStr">
        <is>
          <t>R8.11</t>
        </is>
      </c>
      <c r="J202" s="35" t="inlineStr">
        <is>
          <t>【令和8年10月23日 更新⑥（県の第10期計画の骨子（案）・見える化の定め）】既定値＝操作編②のご提供を受けて設問を確かめ、素案から回答案を作成してお渡しする。調査票の受領までは素案 9-1 の必要利用定員総数（月27.2人）を正とする。整理は 01_第10期_最新版成果品/川崎町_県の第10期計画骨子と見える化の定めの確認_R8.10.23.md §4。</t>
        </is>
      </c>
    </row>
    <row r="203">
      <c r="A203" s="35" t="inlineStr">
        <is>
          <t>189</t>
        </is>
      </c>
      <c r="B203" s="35" t="inlineStr">
        <is>
          <t>(3)</t>
        </is>
      </c>
      <c r="C203" s="35" t="inlineStr">
        <is>
          <t>R8.10</t>
        </is>
      </c>
      <c r="D203" s="35" t="inlineStr">
        <is>
          <t>第2回策定委員会資料に残る【町確認】2件</t>
        </is>
      </c>
      <c r="E203" s="35" t="inlineStr">
        <is>
          <t>第2回策定委員会資料 v16 に、町のご確認を要する【町確認】が2件残っています。10月30日（金）の確定までにご確認をお願いします。
①３ 表5の注：第9期の在宅介護実態調査は要介護1〜5の認定者だけを対象としていたか（今回は要支援を含む）。
②５ 選択３：町外の地域密着型サービス（定期巡回・随時対応型訪問介護看護、看護小規模多機能型居宅介護。令和7年度に月0.4人・0.2人の利用の実績）について、本町が事業所を指定しているか（区域外の指定）。なお、仙南圏域の事業所の所在は公表システムで確かめました（定期巡回2・看護小規模多機能2・小規模多機能4・夜間対応0）。</t>
        </is>
      </c>
      <c r="F203" s="35" t="inlineStr">
        <is>
          <t>第2回策定委員会資料・想定問答集（10月30日確定）
計画素案 5-5</t>
        </is>
      </c>
      <c r="G203" s="35" t="inlineStr">
        <is>
          <t>発注者</t>
        </is>
      </c>
      <c r="H203" s="35" t="inlineStr">
        <is>
          <t>確認待ち</t>
        </is>
      </c>
      <c r="I203" s="35" t="inlineStr">
        <is>
          <t>R8.10.30</t>
        </is>
      </c>
      <c r="J203" s="35" t="inlineStr">
        <is>
          <t>【令和8年10月23日 更新⑧（第2回資料の確定に向けた点検）】既定値＝回答がない場合、①は注の【町確認】を落とし出典だけを示す、②は「令和7年度に町外の事業所の利用の実績がある」までを書き指定の状況の文を落とす。整理は 01_第10期_最新版成果品/川崎町_第2回策定委員会資料の確定に向けた点検_R8.10.23.md。</t>
        </is>
      </c>
    </row>
    <row r="204">
      <c r="A204" s="35" t="inlineStr">
        <is>
          <t>190</t>
        </is>
      </c>
      <c r="B204" s="35" t="inlineStr">
        <is>
          <t>(3)</t>
        </is>
      </c>
      <c r="C204" s="35" t="inlineStr">
        <is>
          <t>R8.10</t>
        </is>
      </c>
      <c r="D204" s="35" t="inlineStr">
        <is>
          <t>生活支援コーディネーター26人の区分と配置（第1層・第2層）</t>
        </is>
      </c>
      <c r="E204" s="35" t="inlineStr">
        <is>
          <t>計画素案の生活支援コーディネーター26人（令和7年度見込）は、町の実績データ（データ入力フォーマット02シート）の「生活支援サポーター（SC）_人数」と、国の令和8年度評価（該当状況調査）の「生活支援コーディネーター数」がいずれも26人であることによります。人数は一致しますが、同じ方々を指すか（生活支援体制整備事業の生活支援コーディネーターとして配置されているか）をお示しください。あわせて、第1層・第2層の配置の内訳をお願いします。</t>
        </is>
      </c>
      <c r="F204" s="35" t="inlineStr">
        <is>
          <t>計画素案 5-4・10-4（KPI）
概要版（KPI の行）</t>
        </is>
      </c>
      <c r="G204" s="35" t="inlineStr">
        <is>
          <t>発注者</t>
        </is>
      </c>
      <c r="H204" s="35" t="inlineStr">
        <is>
          <t>確認待ち</t>
        </is>
      </c>
      <c r="I204" s="35" t="inlineStr">
        <is>
          <t>R8.11.10</t>
        </is>
      </c>
      <c r="J204" s="35" t="inlineStr">
        <is>
          <t>【令和8年10月24日 更新⑥（Red Team 再レビュー第5回の確認）】F5-06。生活支援サポーター（SC）との職務・配置の定義を原資料で確認（第5回でも未確定）。　【令和8年10月24日 更新②（Red Team 再レビューへの対応）】Red Team 再レビュー N03。素案 Ver.2.33 で KPI と 5-4 の表に【町確認】を付した。既定値＝回答がない場合、KPI の現状値は「確認中」とし数値を載せない（公表用は［要確認］、概要版は載せない）。</t>
        </is>
      </c>
    </row>
    <row r="205">
      <c r="A205" s="35" t="inlineStr">
        <is>
          <t>191</t>
        </is>
      </c>
      <c r="B205" s="35" t="inlineStr">
        <is>
          <t>(3)</t>
        </is>
      </c>
      <c r="C205" s="35" t="inlineStr">
        <is>
          <t>R8.11</t>
        </is>
      </c>
      <c r="D205" s="35" t="inlineStr">
        <is>
          <t>実日付の工程（第3回の開催日・入稿日・印刷会社の営業日）</t>
        </is>
      </c>
      <c r="E205" s="35" t="inlineStr">
        <is>
          <t>工程表は暦日で計算しています。パブリックコメントを令和9年1月4日（月）に始める場合、第3回策定委員会は2月13日（土）、入稿は2月23日（火・天皇誕生日）に当たり、案Ⅰ（印刷3週間）の納品は3月16日（火）で納期（3月15日）を1日超えます。第3回を平日（例：2月15日（月））に移すと、入稿2月25日（木）・納品3月18日（木）となり3日超えます（第5回レビューの仮定による試算）。次の7点を実日付で決める必要があります。①第3回の平日の開催日 ②パブリックコメントの開始日・終了日と30日間の数え方 ③意見の集約・町の決裁に要する日数 ④印刷会社の入稿受付日 ⑤校正の回数 ⑥印刷会社の営業日と製本に要する日数 ⑦休日を除いた納期までの日程。</t>
        </is>
      </c>
      <c r="F205" s="35" t="inlineStr">
        <is>
          <t>第2回策定委員会資料（８ 今後の予定・構成の案）
逆算工程表（05_試算・管理シート）</t>
        </is>
      </c>
      <c r="G205" s="35" t="inlineStr">
        <is>
          <t>発注者（契約担当）・印刷業者</t>
        </is>
      </c>
      <c r="H205" s="35" t="inlineStr">
        <is>
          <t>確認待ち</t>
        </is>
      </c>
      <c r="I205" s="35" t="inlineStr">
        <is>
          <t>R8.11.20</t>
        </is>
      </c>
      <c r="J205" s="35" t="inlineStr">
        <is>
          <t>【令和8年10月24日 更新⑥（Red Team 再レビュー第5回の確認）】Red Team 第5回 F5-01。既定値＝第2回では工程を「比較案」として示し、「案Ⅰを選べば確実に3月15日に納品できる」とは説明しない。実日付の工程は、第2回の後に町・印刷業者と決める。</t>
        </is>
      </c>
    </row>
    <row r="206">
      <c r="A206" s="35" t="inlineStr">
        <is>
          <t>192</t>
        </is>
      </c>
      <c r="B206" s="35" t="inlineStr">
        <is>
          <t>(8)</t>
        </is>
      </c>
      <c r="C206" s="35" t="inlineStr">
        <is>
          <t>R8.12</t>
        </is>
      </c>
      <c r="D206" s="35" t="inlineStr">
        <is>
          <t>公表用の留保103件の処理とパブリックコメントの前後関係</t>
        </is>
      </c>
      <c r="E206" s="35" t="inlineStr">
        <is>
          <t>公表用の計画書（案）に［要確認］73件・［要協議］30件の計103件が残り、処理結果はすべて未決定です（留保一覧 v2.36。先行39件＝認知症施策19・KPI 11・保険料・見込量9）。［要協議］30件の多くは第3回策定委員会（令和9年2月上旬〜中旬）で決まるため、パブリックコメント（12月29日又は1月4日開始）の前には確定しません。未確定の事項を公表する案にどう示すか（注記して公表する／仮の案を示し後に決める／決定後の変更が大きい場合に追加で意見を募る）を、町のパブリックコメントの運用に沿って先に決めていただく必要があります。</t>
        </is>
      </c>
      <c r="F206" s="35" t="inlineStr">
        <is>
          <t>公表用の計画書（案）
パブリックコメント用の案</t>
        </is>
      </c>
      <c r="G206" s="35" t="inlineStr">
        <is>
          <t>発注者</t>
        </is>
      </c>
      <c r="H206" s="35" t="inlineStr">
        <is>
          <t>確認待ち</t>
        </is>
      </c>
      <c r="I206" s="35" t="inlineStr">
        <is>
          <t>R8.12</t>
        </is>
      </c>
      <c r="J206" s="35" t="inlineStr">
        <is>
          <t>【令和8年10月24日 更新⑥（Red Team 再レビュー第5回の確認）】Red Team 第5回 F5-02。既定値＝先行39件を第2回の後に町と処理し、パブリックコメントの案では未確定の事項を［要確認］［要協議］の注記のまま示す。決定後の変更が大きいものは町のご判断で追加の意見募集を検討す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川崎町_計画書素案_v2.36_協議用.docx（協議用素案）／川崎町_計画書案_公表用_v2.36.docx（公表用の計画書（案））／同_v2.18c_圧縮案_R8.10.17.docx（本文106頁）／川崎町_計画書_別冊_詳細分析_R8.10.17b.docx（9頁）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【令和8年10月24日 更新⑥（Red Team 再レビュー第5回の確認）】第5回 Red Team 再レビューの判定：第2回策定委員会の協議資料として条件付きで使用可。令和9〜11年度の給付費見込量・保険料の確定値、住民向けの公表・納品は現時点では不可。　【令和8年10月24日 更新⑤（Red Team 再レビュー第4回への対応）】Red Team 再レビュー第4回の指摘を是正した版に上げた（川崎町_RedTeam再レビュー第4回対応表_R8.10.24.md）。　【令和8年10月24日 更新④（第3回レビューの影響範囲の再点検）】第3回レビューの影響範囲の再点検で是正した版に上げた（川崎町_RedTeam再レビュー第3回_影響範囲再点検の対応表_R8.10.24.md）。　【令和8年10月24日 更新③（Red Team 再レビュー第3回への対応）】Red Team 再レビュー第3回の指摘を是正した版に上げた（川崎町_RedTeam再レビュー第3回対応表_R8.10.24.md）。　【令和8年10月24日 更新②（Red Team 再レビューへの対応）】Red Team 再レビューの指摘を是正した版に上げた（川崎町_RedTeam再レビュー対応表_R8.10.24.md）。　【令和8年10月24日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更新⑦（概要版の組み直し）】協議用素案 Ver.2.30（3-4・5-4 の後期高齢者数を 2-1 に揃えた）。頁数は118頁・公表用116頁で変わらない。　【令和8年10月23日 更新⑥（県の第10期計画の骨子（案）・見える化の定め）】協議用素案を Ver.2.29（118頁）に上げ、公表用も組み直した（116頁）。1-2 に宮城県の第10期みやぎ高齢者元気プラン骨子（案）との対応表を置き、県の計画の名称を改めた。8-2（第7期県適正化取組方針）・9-1（地域支援事業費の範囲）に注記。　【令和8年10月23日 更新⑤（事業所分析の素案への反映）】協議用素案を Ver.2.28（117頁）に上げ、公表用も組み直した（114頁）。2-7に見える化システムの事業所分析による5年間の推移（稼働率・短期入所・通所の回転率・介護職員）を加え、別表・7-1・7-2・7-6・9-1に反映した。地域密着型の空き床の扱いを［要協議］として置いた。　【令和8年10月23日 更新②（No.187 ご判断・2つの版）】協議用素案（Ver.2.27・116頁）と公表用の計画書（案）（113頁・体裁確認用）に分けた。内容の正本は協議用素案で、公表用はbuild_kouhyou_soan.py が組む。書体を HG丸ゴシックM-PRO に。⚠ 事業一覧17表の「区分」等、短い語が縦に折れていた27表の列を広げた。　【令和8年10月23日 更新（版の表記・見え方の点検）】素案を Ver.2.26 に上げた（全116頁。日本語の書体を游ゴシックに字幅の近い書体に寄せて実測。これまでの118頁は置き換え前の値）。紙面から版の表記を除き、表紙を「計画書素案（令和8年10月時点）」とした。⚠ 行送り5,621段落に lineRule がなく町の Word で頁数が変わり得たため明示した。⚠ 129表の列幅が実寸でなく、制度改正の表で文字が縦に折れていたため実寸で固定した。表の中の長い文441段落を左揃えに。文言・数値は変えていない。　【令和8年10月22日 更新④（軽費老人ホームの廃止・素案Ver.2.25）】素案を Ver.2.25 に上げた（全118頁）。2-7・別表 事項八に町内の軽費老人ホームの廃止日・入所者の推移・退所先を書き、「住まい70人分が失われた」を定員と入所者の別が分かる形に改めた。　【令和8年10月22日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川崎町_計画書案_概要版_v2.36.docx（8頁・3,752字・表6件・図8点）</t>
        </is>
      </c>
      <c r="D9" s="7" t="inlineStr">
        <is>
          <t>A4版　コート紙
1色刷り　8頁程度　3,500部</t>
        </is>
      </c>
      <c r="E9" s="12" t="inlineStr">
        <is>
          <t>実施中</t>
        </is>
      </c>
      <c r="F9" s="20" t="n">
        <v>0.85</v>
      </c>
      <c r="G9" s="9" t="inlineStr">
        <is>
          <t>R9.3.15</t>
        </is>
      </c>
      <c r="H9" s="38" t="inlineStr">
        <is>
          <t>【令和8年10月24日 更新⑥（Red Team 再レビュー第5回の確認）】第5回 Red Team 再レビューの判定：第2回策定委員会の協議資料として条件付きで使用可。令和9〜11年度の給付費見込量・保険料の確定値、住民向けの公表・納品は現時点では不可。　【令和8年10月24日 更新⑤（Red Team 再レビュー第4回への対応）】Red Team 再レビュー第4回の指摘を是正した版に上げた（川崎町_RedTeam再レビュー第4回対応表_R8.10.24.md）。　【令和8年10月24日 更新④（第3回レビューの影響範囲の再点検）】第3回レビューの影響範囲の再点検で是正した版に上げた（川崎町_RedTeam再レビュー第3回_影響範囲再点検の対応表_R8.10.24.md）。　【令和8年10月24日 更新③（Red Team 再レビュー第3回への対応）】Red Team 再レビュー第3回の指摘を是正した版に上げた（川崎町_RedTeam再レビュー第3回対応表_R8.10.24.md）。　【令和8年10月24日 更新②（Red Team 再レビューへの対応）】Red Team 再レビューの指摘を是正した版に上げた（川崎町_RedTeam再レビュー対応表_R8.10.24.md）。　【令和8年10月24日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更新⑦（概要版の組み直し）】最新の協議用素案 Ver.2.30 から組み直した（build_gaiyo_v230.py）。数値・名称は素案の docx から読む（概要版に数値を持たない）。素案にない数（全国・県の高齢化率の本文の記載）と未確定のもの（サポーターの累計・チームオレンジの整備年度）を落とした。4つの重点・7つの柱は素案 4-2・4-3 と同じ名称。保険料は確定前である旨を明記。残るのは保険料の確定後の差替え・町のご確認・入稿（No.18）。旧稿（R8.10.5）は履歴として残す。　【令和8年10月23日 更新⑥（県の第10期計画の骨子（案）・見える化の定め）】⚠ 概要版は素案 Ver.2.20 から組んだもので、Ver.2.21 以降の改めが入っていない。送付の前に最新の協議用素案から組み直す（作業順位46）。　【令和8年10月7日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川崎町_第2回策定委員会資料_R8.11_v21.docx／同_想定問答集_R8.11_v17.docx／川崎町_第3回・第4回策定委員会_骨子案_R8.10.5.docx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【令和8年10月24日 更新⑥（Red Team 再レビュー第5回の確認）】第5回 Red Team 再レビューの判定：第2回策定委員会の協議資料として条件付きで使用可。令和9〜11年度の給付費見込量・保険料の確定値、住民向けの公表・納品は現時点では不可。　【令和8年10月24日 更新⑤（Red Team 再レビュー第4回への対応）】Red Team 再レビュー第4回の指摘を是正した版に上げた（川崎町_RedTeam再レビュー第4回対応表_R8.10.24.md）。　【令和8年10月24日 更新④（第3回レビューの影響範囲の再点検）】第3回レビューの影響範囲の再点検で是正した版に上げた（川崎町_RedTeam再レビュー第3回_影響範囲再点検の対応表_R8.10.24.md）。　【令和8年10月24日 更新③（Red Team 再レビュー第3回への対応）】Red Team 再レビュー第3回の指摘を是正した版に上げた（川崎町_RedTeam再レビュー第3回対応表_R8.10.24.md）。　【令和8年10月24日 更新②（Red Team 再レビューへの対応）】Red Team 再レビューの指摘を是正した版に上げた（川崎町_RedTeam再レビュー対応表_R8.10.24.md）。　【令和8年10月24日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更新⑥（県の第10期計画の骨子（案）・見える化の定め）】資料を v15、想定問答集を v12 に上げた（素案の頁数118頁に揃えたのみ。全68問）。　【令和8年10月23日 更新⑤（事業所分析の素案への反映）】資料を v14、想定問答集を v11（全68問）に上げた。資料３に5年間の推移の表、問答集に QB-68（地域密着型の空き床）を加えた。頁数を117頁に。　【令和8年10月23日 更新（版の表記・見え方の点検）】想定問答集を v10 に上げた（素案の版の参照48か所を外した）。　【令和8年10月22日 更新⑤（資料v13・第1回の書式）】ご指示により、資料を第1回の書式に揃え（表紙の帯と町のロゴ・表の1行おきの網掛け・注記は※）、表の本文を左揃えにした。計画素案は策定委員会に未提出のため、修正履歴（当社資料の訂正11件・素案と資料の版）を除いた。⚠ v12 の表紙は帯の網掛けが失われ、題名が白地に白で見えなくなっていた。問答集を v9 に揃えた（QB-45 の置き換え・頁数の統一）。　【令和8年10月22日 更新④（軽費老人ホームの廃止・素案Ver.2.25）】資料を v12（全12版）、想定問答集を v8（全67問）に上げた。表6・QB-62 を素案 Ver.2.25 と同じ内容に改めた。　【令和8年10月22日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資料提供依頼一覧（52件）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3" ht="72" customHeight="1">
      <c r="A43" s="9" t="inlineStr">
        <is>
          <t>39</t>
        </is>
      </c>
      <c r="B43" s="9" t="inlineStr">
        <is>
          <t>D</t>
        </is>
      </c>
      <c r="C43" s="7" t="inlineStr">
        <is>
          <t>居宅介護支援事業所の給付管理の相手方の事業所の一覧</t>
        </is>
      </c>
      <c r="D43" s="7"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43" s="7" t="inlineStr">
        <is>
          <t>事業所照会票の送付先（町外の事業所）。素案 9-1 の広域調整（町外施設の受入余地）</t>
        </is>
      </c>
      <c r="F43" s="9" t="inlineStr">
        <is>
          <t>発注者（町内の居宅介護支援事業所を通じて）</t>
        </is>
      </c>
      <c r="G43" s="9" t="inlineStr">
        <is>
          <t>R8.10下旬</t>
        </is>
      </c>
      <c r="H43" s="9" t="inlineStr">
        <is>
          <t>高</t>
        </is>
      </c>
      <c r="I43" s="14" t="inlineStr">
        <is>
          <t>未着手</t>
        </is>
      </c>
      <c r="J43" s="7" t="inlineStr">
        <is>
          <t>確認事項No.172と対応。国保連データ（依頼No.1・確認事項No.12）が届けば不要になります。</t>
        </is>
      </c>
    </row>
    <row r="44" ht="72" customHeight="1">
      <c r="A44" s="9" t="n">
        <v>40</v>
      </c>
      <c r="B44" s="9" t="inlineStr">
        <is>
          <t>F</t>
        </is>
      </c>
      <c r="C44" s="7" t="inlineStr">
        <is>
          <t>見える化 将来推計の推計結果概要（総括表）の再出力</t>
        </is>
      </c>
      <c r="D44" s="7" t="inlineStr">
        <is>
          <t>予定収納率・調整交付金の見込交付割合・交付金の交付見込額・所得段階別被保険者数を改めた後の総括表</t>
        </is>
      </c>
      <c r="E44" s="7" t="inlineStr">
        <is>
          <t>素案9-3の保険料。確認事項No.39・75・78・174</t>
        </is>
      </c>
      <c r="F44" s="9" t="inlineStr">
        <is>
          <t>発注者（見える化システム）</t>
        </is>
      </c>
      <c r="G44" s="9" t="inlineStr">
        <is>
          <t>R8.11上旬</t>
        </is>
      </c>
      <c r="H44" s="9" t="inlineStr">
        <is>
          <t>高</t>
        </is>
      </c>
      <c r="I44" s="14" t="inlineStr">
        <is>
          <t>未着手</t>
        </is>
      </c>
      <c r="J44" s="7" t="inlineStr">
        <is>
          <t>手引き80頁。川崎町_見える化システムからご出力をお願いする資料_R8.10.23.md No.2</t>
        </is>
      </c>
    </row>
    <row r="45" ht="72" customHeight="1">
      <c r="A45" s="9" t="n">
        <v>41</v>
      </c>
      <c r="B45" s="9" t="inlineStr">
        <is>
          <t>F</t>
        </is>
      </c>
      <c r="C45" s="7" t="inlineStr">
        <is>
          <t>見える化「介護保険事業状況報告の設定」画面の写し</t>
        </is>
      </c>
      <c r="D45" s="7" t="inlineStr">
        <is>
          <t>令和8年度の実績見込みの算定に用いる月（令和8年5月から設定した月まで）</t>
        </is>
      </c>
      <c r="E45" s="7" t="inlineStr">
        <is>
          <t>令和8年度の実績見込み。確認事項No.79・80</t>
        </is>
      </c>
      <c r="F45" s="9" t="inlineStr">
        <is>
          <t>発注者（見える化システム）</t>
        </is>
      </c>
      <c r="G45" s="9" t="inlineStr">
        <is>
          <t>R8.11上旬</t>
        </is>
      </c>
      <c r="H45" s="9" t="inlineStr">
        <is>
          <t>高</t>
        </is>
      </c>
      <c r="I45" s="14" t="inlineStr">
        <is>
          <t>未着手</t>
        </is>
      </c>
      <c r="J45" s="7" t="inlineStr">
        <is>
          <t>手引き77〜78頁。川崎町_見える化システムからご出力をお願いする資料_R8.10.23.md No.3</t>
        </is>
      </c>
    </row>
    <row r="46" ht="72" customHeight="1">
      <c r="A46" s="9" t="n">
        <v>42</v>
      </c>
      <c r="B46" s="9" t="inlineStr">
        <is>
          <t>B</t>
        </is>
      </c>
      <c r="C46" s="7" t="inlineStr">
        <is>
          <t>認知症高齢者の日常生活自立度別の要介護認定者の状況</t>
        </is>
      </c>
      <c r="D46" s="7" t="inlineStr">
        <is>
          <t>自立度Ⅱ以上の人数（見える化の要介護者の状況の指標又は要介護認定データ）</t>
        </is>
      </c>
      <c r="E46" s="7" t="inlineStr">
        <is>
          <t>素案6-1の［要確認］。確認事項No.157</t>
        </is>
      </c>
      <c r="F46" s="9" t="inlineStr">
        <is>
          <t>発注者（見える化システム／認定データ）</t>
        </is>
      </c>
      <c r="G46" s="9" t="inlineStr">
        <is>
          <t>R8.11上旬</t>
        </is>
      </c>
      <c r="H46" s="9" t="inlineStr">
        <is>
          <t>高</t>
        </is>
      </c>
      <c r="I46" s="14" t="inlineStr">
        <is>
          <t>未着手</t>
        </is>
      </c>
      <c r="J46" s="7" t="inlineStr">
        <is>
          <t>手引き22頁。川崎町_見える化システムからご出力をお願いする資料_R8.10.23.md No.4</t>
        </is>
      </c>
    </row>
    <row r="47" ht="72" customHeight="1">
      <c r="A47" s="9" t="n">
        <v>43</v>
      </c>
      <c r="B47" s="9" t="inlineStr">
        <is>
          <t>F</t>
        </is>
      </c>
      <c r="C47" s="7" t="inlineStr">
        <is>
          <t>要介護認定適正化事業の業務分析データ</t>
        </is>
      </c>
      <c r="D47" s="7" t="inlineStr">
        <is>
          <t>要介護認定の適正化の実施状況（国保連合会介護給付適正化システム。自治体ID要）</t>
        </is>
      </c>
      <c r="E47" s="7" t="inlineStr">
        <is>
          <t>給付適正化3事業。確認事項No.127・59・122</t>
        </is>
      </c>
      <c r="F47" s="9" t="inlineStr">
        <is>
          <t>発注者</t>
        </is>
      </c>
      <c r="G47" s="9" t="inlineStr">
        <is>
          <t>R8.11上旬</t>
        </is>
      </c>
      <c r="H47" s="9" t="inlineStr">
        <is>
          <t>高</t>
        </is>
      </c>
      <c r="I47" s="14" t="inlineStr">
        <is>
          <t>未着手</t>
        </is>
      </c>
      <c r="J47" s="7" t="inlineStr">
        <is>
          <t>手引き84頁。川崎町_見える化システムからご出力をお願いする資料_R8.10.23.md No.5</t>
        </is>
      </c>
    </row>
    <row r="48" ht="72" customHeight="1">
      <c r="A48" s="9" t="n">
        <v>44</v>
      </c>
      <c r="B48" s="9" t="inlineStr">
        <is>
          <t>B</t>
        </is>
      </c>
      <c r="C48" s="7" t="inlineStr">
        <is>
          <t>見える化 調整済み認定率</t>
        </is>
      </c>
      <c r="D48" s="7" t="inlineStr">
        <is>
          <t>性・年齢調整済み認定率（令和5年9月末・令和8年9月末）</t>
        </is>
      </c>
      <c r="E48" s="7" t="inlineStr">
        <is>
          <t>第9期KPI・別表 四。確認事項No.35・155</t>
        </is>
      </c>
      <c r="F48" s="9" t="inlineStr">
        <is>
          <t>発注者（見える化システム）</t>
        </is>
      </c>
      <c r="G48" s="9" t="inlineStr">
        <is>
          <t>R8.11</t>
        </is>
      </c>
      <c r="H48" s="9" t="inlineStr">
        <is>
          <t>中</t>
        </is>
      </c>
      <c r="I48" s="14" t="inlineStr">
        <is>
          <t>未着手</t>
        </is>
      </c>
      <c r="J48" s="7" t="inlineStr">
        <is>
          <t>手引き9〜20頁。川崎町_見える化システムからご出力をお願いする資料_R8.10.23.md No.6</t>
        </is>
      </c>
    </row>
    <row r="49" ht="72" customHeight="1">
      <c r="A49" s="9" t="n">
        <v>45</v>
      </c>
      <c r="B49" s="9" t="inlineStr">
        <is>
          <t>D</t>
        </is>
      </c>
      <c r="C49" s="7" t="inlineStr">
        <is>
          <t>見える化 介護サービス自給率</t>
        </is>
      </c>
      <c r="D49" s="7" t="inlineStr">
        <is>
          <t>町内の事業所による給付の割合（時系列・地域比較）</t>
        </is>
      </c>
      <c r="E49" s="7" t="inlineStr">
        <is>
          <t>町外施設の利用の大きさ。確認事項No.155</t>
        </is>
      </c>
      <c r="F49" s="9" t="inlineStr">
        <is>
          <t>発注者（見える化システム）</t>
        </is>
      </c>
      <c r="G49" s="9" t="inlineStr">
        <is>
          <t>R8.11</t>
        </is>
      </c>
      <c r="H49" s="9" t="inlineStr">
        <is>
          <t>中</t>
        </is>
      </c>
      <c r="I49" s="14" t="inlineStr">
        <is>
          <t>未着手</t>
        </is>
      </c>
      <c r="J49" s="7" t="inlineStr">
        <is>
          <t>手引き58〜60頁。川崎町_見える化システムからご出力をお願いする資料_R8.10.23.md No.7</t>
        </is>
      </c>
    </row>
    <row r="50" ht="72" customHeight="1">
      <c r="A50" s="9" t="n">
        <v>46</v>
      </c>
      <c r="B50" s="9" t="inlineStr">
        <is>
          <t>F</t>
        </is>
      </c>
      <c r="C50" s="7" t="inlineStr">
        <is>
          <t>見える化 将来推計 伸びの比較グラフ</t>
        </is>
      </c>
      <c r="D50" s="7" t="inlineStr">
        <is>
          <t>認定率・利用率・利用回（日）数の伸び（Excel）</t>
        </is>
      </c>
      <c r="E50" s="7" t="inlineStr">
        <is>
          <t>伸びの選択。確認事項No.79</t>
        </is>
      </c>
      <c r="F50" s="9" t="inlineStr">
        <is>
          <t>発注者（見える化システム）</t>
        </is>
      </c>
      <c r="G50" s="9" t="inlineStr">
        <is>
          <t>R8.11</t>
        </is>
      </c>
      <c r="H50" s="9" t="inlineStr">
        <is>
          <t>中</t>
        </is>
      </c>
      <c r="I50" s="14" t="inlineStr">
        <is>
          <t>未着手</t>
        </is>
      </c>
      <c r="J50" s="7" t="inlineStr">
        <is>
          <t>手引き77頁。川崎町_見える化システムからご出力をお願いする資料_R8.10.23.md No.8</t>
        </is>
      </c>
    </row>
    <row r="51" ht="72" customHeight="1">
      <c r="A51" s="9" t="n">
        <v>47</v>
      </c>
      <c r="B51" s="9" t="inlineStr">
        <is>
          <t>A</t>
        </is>
      </c>
      <c r="C51" s="7" t="inlineStr">
        <is>
          <t>見える化 レーダーチャート</t>
        </is>
      </c>
      <c r="D51" s="7" t="inlineStr">
        <is>
          <t>需要・供給・医療介護連携の18指標の全国偏差値</t>
        </is>
      </c>
      <c r="E51" s="7" t="inlineStr">
        <is>
          <t>素案第2章・第3章の本町の位置</t>
        </is>
      </c>
      <c r="F51" s="9" t="inlineStr">
        <is>
          <t>発注者（見える化システム）</t>
        </is>
      </c>
      <c r="G51" s="9" t="inlineStr">
        <is>
          <t>R8.11</t>
        </is>
      </c>
      <c r="H51" s="9" t="inlineStr">
        <is>
          <t>中</t>
        </is>
      </c>
      <c r="I51" s="14" t="inlineStr">
        <is>
          <t>未着手</t>
        </is>
      </c>
      <c r="J51" s="7" t="inlineStr">
        <is>
          <t>手引き48〜57頁。川崎町_見える化システムからご出力をお願いする資料_R8.10.23.md No.9</t>
        </is>
      </c>
    </row>
    <row r="52" ht="72" customHeight="1">
      <c r="A52" s="9" t="n">
        <v>48</v>
      </c>
      <c r="B52" s="9" t="inlineStr">
        <is>
          <t>A</t>
        </is>
      </c>
      <c r="C52" s="7" t="inlineStr">
        <is>
          <t>見える化 地域分析・検討シート（比較地域を設定したもの）</t>
        </is>
      </c>
      <c r="D52" s="7" t="inlineStr">
        <is>
          <t>近隣町・同規模保険者との比較</t>
        </is>
      </c>
      <c r="E52" s="7" t="inlineStr">
        <is>
          <t>素案第2章の比較</t>
        </is>
      </c>
      <c r="F52" s="9" t="inlineStr">
        <is>
          <t>発注者（見える化システム）</t>
        </is>
      </c>
      <c r="G52" s="9" t="inlineStr">
        <is>
          <t>R8.11</t>
        </is>
      </c>
      <c r="H52" s="9" t="inlineStr">
        <is>
          <t>中</t>
        </is>
      </c>
      <c r="I52" s="14" t="inlineStr">
        <is>
          <t>未着手</t>
        </is>
      </c>
      <c r="J52" s="7" t="inlineStr">
        <is>
          <t>手引き85〜87頁。川崎町_見える化システムからご出力をお願いする資料_R8.10.23.md No.10</t>
        </is>
      </c>
    </row>
    <row r="53" ht="72" customHeight="1">
      <c r="A53" s="9" t="n">
        <v>49</v>
      </c>
      <c r="B53" s="9" t="inlineStr">
        <is>
          <t>A</t>
        </is>
      </c>
      <c r="C53" s="7" t="inlineStr">
        <is>
          <t>見える化 人口メッシュ（地図）</t>
        </is>
      </c>
      <c r="D53" s="7" t="inlineStr">
        <is>
          <t>7地区の高齢者の分布と事業所からの距離</t>
        </is>
      </c>
      <c r="E53" s="7" t="inlineStr">
        <is>
          <t>訪問・通所が困難な地区。素案1-6</t>
        </is>
      </c>
      <c r="F53" s="9" t="inlineStr">
        <is>
          <t>発注者（見える化システム）</t>
        </is>
      </c>
      <c r="G53" s="9" t="inlineStr">
        <is>
          <t>R8.11</t>
        </is>
      </c>
      <c r="H53" s="9" t="inlineStr">
        <is>
          <t>中</t>
        </is>
      </c>
      <c r="I53" s="14" t="inlineStr">
        <is>
          <t>未着手</t>
        </is>
      </c>
      <c r="J53" s="7" t="inlineStr">
        <is>
          <t>手引き62〜66頁。川崎町_見える化システムからご出力をお願いする資料_R8.10.23.md No.11</t>
        </is>
      </c>
    </row>
    <row r="54" ht="72" customHeight="1">
      <c r="A54" s="9" t="n">
        <v>50</v>
      </c>
      <c r="B54" s="9" t="inlineStr">
        <is>
          <t>F</t>
        </is>
      </c>
      <c r="C54" s="7" t="inlineStr">
        <is>
          <t>見える化 地域支援事業費の入力の画面の写し</t>
        </is>
      </c>
      <c r="D54" s="7" t="inlineStr">
        <is>
          <t>入力されている事業費と、その額の作り方（対象経費支出予定額か決算額か）</t>
        </is>
      </c>
      <c r="E54" s="7" t="inlineStr">
        <is>
          <t>素案9-2・9-3の地域支援事業費。確認事項No.77・168</t>
        </is>
      </c>
      <c r="F54" s="9" t="inlineStr">
        <is>
          <t>発注者（見える化システム）</t>
        </is>
      </c>
      <c r="G54" s="9" t="inlineStr">
        <is>
          <t>R8.11</t>
        </is>
      </c>
      <c r="H54" s="9" t="inlineStr">
        <is>
          <t>低</t>
        </is>
      </c>
      <c r="I54" s="14" t="inlineStr">
        <is>
          <t>未着手</t>
        </is>
      </c>
      <c r="J54" s="7" t="inlineStr">
        <is>
          <t>手引き79頁。川崎町_見える化システムからご出力をお願いする資料_R8.10.23.md No.12</t>
        </is>
      </c>
    </row>
    <row r="55" ht="72" customHeight="1">
      <c r="A55" s="9" t="inlineStr">
        <is>
          <t>51</t>
        </is>
      </c>
      <c r="B55" s="9" t="inlineStr">
        <is>
          <t>F</t>
        </is>
      </c>
      <c r="C55" s="7" t="inlineStr">
        <is>
          <t>見える化 利用マニュアル【システム操作編② 将来推計】第11.0版</t>
        </is>
      </c>
      <c r="D55" s="7" t="inlineStr">
        <is>
          <t>令和8年度の実績見込みに用いる月・県への提出時の入力（取組の入力・調査票）・地域支援事業費の入力の定め</t>
        </is>
      </c>
      <c r="E55" s="7" t="inlineStr">
        <is>
          <t>確認事項No.79・80・188</t>
        </is>
      </c>
      <c r="F55" s="9" t="inlineStr">
        <is>
          <t>発注者（見える化システム「操作に困ったときは」）</t>
        </is>
      </c>
      <c r="G55" s="9" t="inlineStr">
        <is>
          <t>R8.11</t>
        </is>
      </c>
      <c r="H55" s="9" t="inlineStr">
        <is>
          <t>高</t>
        </is>
      </c>
      <c r="I55" s="14" t="inlineStr">
        <is>
          <t>未着手</t>
        </is>
      </c>
      <c r="J55" s="7" t="inlineStr">
        <is>
          <t>手引き75・77頁の脚注によりシステム内からダウンロードできる。川崎町_県の第10期計画骨子と見える化の定めの確認_R8.10.23.md</t>
        </is>
      </c>
    </row>
    <row r="56" ht="72" customHeight="1">
      <c r="A56" s="9" t="inlineStr">
        <is>
          <t>52</t>
        </is>
      </c>
      <c r="B56" s="9" t="inlineStr">
        <is>
          <t>D</t>
        </is>
      </c>
      <c r="C56" s="7" t="inlineStr">
        <is>
          <t>第10期必要入所（利用）定員、入居定員総数調査票（市区町村版）</t>
        </is>
      </c>
      <c r="D56" s="7" t="inlineStr">
        <is>
          <t>厚生労働省が別途配布する調査票の様式（県経由）</t>
        </is>
      </c>
      <c r="E56" s="7" t="inlineStr">
        <is>
          <t>素案9-1の必要利用定員総数。確認事項No.188</t>
        </is>
      </c>
      <c r="F56" s="9" t="inlineStr">
        <is>
          <t>発注者（宮城県長寿社会政策課経由）</t>
        </is>
      </c>
      <c r="G56" s="9" t="inlineStr">
        <is>
          <t>R8.11</t>
        </is>
      </c>
      <c r="H56" s="9" t="inlineStr">
        <is>
          <t>中</t>
        </is>
      </c>
      <c r="I56" s="14" t="inlineStr">
        <is>
          <t>未着手</t>
        </is>
      </c>
      <c r="J56" s="7" t="inlineStr">
        <is>
          <t>見える化システムで県へ提出する際に登録する調査票。川崎町_県の第10期計画骨子と見える化の定めの確認_R8.10.23.md</t>
        </is>
      </c>
    </row>
    <row r="58">
      <c r="A58" s="24" t="inlineStr">
        <is>
          <t>区分</t>
        </is>
      </c>
      <c r="B58" s="24" t="inlineStr">
        <is>
          <t>件数</t>
        </is>
      </c>
    </row>
    <row r="59">
      <c r="A59" s="10" t="inlineStr">
        <is>
          <t>完了</t>
        </is>
      </c>
      <c r="B59" s="9">
        <f>COUNTIF(I5:I56,"完了")</f>
        <v/>
      </c>
    </row>
    <row r="60">
      <c r="A60" s="12" t="inlineStr">
        <is>
          <t>実施中</t>
        </is>
      </c>
      <c r="B60" s="9">
        <f>COUNTIF(I5:I56,"実施中")</f>
        <v/>
      </c>
    </row>
    <row r="61">
      <c r="A61" s="14" t="inlineStr">
        <is>
          <t>確認待ち</t>
        </is>
      </c>
      <c r="B61" s="9">
        <f>COUNTIF(I5:I56,"確認待ち")</f>
        <v/>
      </c>
    </row>
    <row r="62">
      <c r="A62" s="16" t="inlineStr">
        <is>
          <t>未着手</t>
        </is>
      </c>
      <c r="B62" s="9">
        <f>COUNTIF(I5:I56,"未着手")</f>
        <v/>
      </c>
    </row>
    <row r="63">
      <c r="A63" s="18" t="inlineStr">
        <is>
          <t>対象外</t>
        </is>
      </c>
      <c r="B63" s="4">
        <f>COUNTIF(I5:I56,"対象外")</f>
        <v/>
      </c>
      <c r="C63" s="4" t="n"/>
      <c r="D63" s="4" t="n"/>
      <c r="E63" s="4" t="n"/>
      <c r="F63" s="4" t="n"/>
      <c r="G63" s="4" t="n"/>
      <c r="H63" s="4" t="n"/>
      <c r="I63" s="4" t="n"/>
      <c r="J63" s="5" t="n"/>
    </row>
    <row r="65">
      <c r="A65" s="23" t="inlineStr">
        <is>
          <t>注1）優先度は 最高／高／中／低 の別による。「最高」は、受領しない限り当該業務が完了しない資料を示す。</t>
        </is>
      </c>
    </row>
    <row r="66">
      <c r="A66" s="23" t="inlineStr">
        <is>
          <t>注2）「状態」が「完了」となった資料は、受領日を備考欄に記入する。</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9"/>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row r="43">
      <c r="A43" s="35" t="inlineStr">
        <is>
          <t>39</t>
        </is>
      </c>
      <c r="B43" s="35" t="inlineStr">
        <is>
          <t>町内の軽費老人ホームの廃止の確認結果の反映</t>
        </is>
      </c>
      <c r="C43" s="35" t="inlineStr">
        <is>
          <t>R8.10.22</t>
        </is>
      </c>
      <c r="D43" s="35" t="inlineStr">
        <is>
          <t>ご指示による。廃止前後を公表資料で調べた結果の提供を受け、手元の県の入所状況調と突き合わせた。</t>
        </is>
      </c>
      <c r="E43" s="35" t="inlineStr">
        <is>
          <t>No.154 のうち軽費老人ホーム</t>
        </is>
      </c>
      <c r="F43" s="35" t="inlineStr">
        <is>
          <t>計画素案 Ver.2.25／資料 v12／想定問答集 v8／軽費老人ホーム廃止の確認結果（md）</t>
        </is>
      </c>
      <c r="G43" s="35" t="inlineStr">
        <is>
          <t>半日</t>
        </is>
      </c>
      <c r="H43" s="35" t="inlineStr">
        <is>
          <t>完了</t>
        </is>
      </c>
      <c r="I43" s="35" t="inlineStr">
        <is>
          <t>廃止日 令和6年3月31日。⚠ **提供資料で未確認とされた廃止前の入所者数と退所先の一部が、県の入所状況調で埋まった**（13人→7人→0人、退所32人のうち他の施設28）。⚠ 素案の「住まい70人分が失われた」を改めた。本町の住民の数・移られた先の種別と市町村・廃止の理由は、県への廃止届の確認を町にお願いする。</t>
        </is>
      </c>
    </row>
    <row r="44">
      <c r="A44" s="35" t="inlineStr">
        <is>
          <t>40</t>
        </is>
      </c>
      <c r="B44" s="35" t="inlineStr">
        <is>
          <t>第2回策定委員会資料の書式の整理（第1回の踏襲）</t>
        </is>
      </c>
      <c r="C44" s="35" t="inlineStr">
        <is>
          <t>R8.10.22</t>
        </is>
      </c>
      <c r="D44" s="35" t="inlineStr">
        <is>
          <t>ご指示による。計画素案は策定委員会に未提出のため修正履歴は不要。表の中央揃えを左揃えに。書式は第1回の資料を踏襲する。</t>
        </is>
      </c>
      <c r="E44" s="35" t="inlineStr">
        <is>
          <t>成果品6</t>
        </is>
      </c>
      <c r="F44" s="35" t="inlineStr">
        <is>
          <t>第2回策定委員会資料 v13／想定問答集 v9</t>
        </is>
      </c>
      <c r="G44" s="35" t="inlineStr">
        <is>
          <t>半日</t>
        </is>
      </c>
      <c r="H44" s="35" t="inlineStr">
        <is>
          <t>完了</t>
        </is>
      </c>
      <c r="I44" s="35" t="inlineStr">
        <is>
          <t>⚠ **v12 の表紙は帯の網掛けが clear になっており、白抜きの題名が見えなかった。**第1回と同じ solid に戻し、町のロゴを入れ、2章から改頁。表は本文を左揃え・1行おきの網掛け。⚠ は第1回にならい ※ に（0件）。当社資料の訂正11件の節・版の記述を除いた。古い値の残り（検算6,100項目→6,400項目、圧縮後102頁→106頁）を直した。</t>
        </is>
      </c>
    </row>
    <row r="45">
      <c r="A45" s="35" t="inlineStr">
        <is>
          <t>41</t>
        </is>
      </c>
      <c r="B45" s="35" t="inlineStr">
        <is>
          <t>素案の版の表記の整理と、計画の見え方の点検（第9期計画との対比）</t>
        </is>
      </c>
      <c r="C45" s="35" t="inlineStr">
        <is>
          <t>R8.10.23</t>
        </is>
      </c>
      <c r="D45" s="35" t="inlineStr">
        <is>
          <t>ご指示による。同じ型の素案を作っている他の案件の紙面の点検の観点を借り、第9期計画の PDF の書体・紙面を実測して突き合わせた。</t>
        </is>
      </c>
      <c r="E45" s="35" t="inlineStr">
        <is>
          <t>No.187（新規）</t>
        </is>
      </c>
      <c r="F45" s="35" t="inlineStr">
        <is>
          <t>計画素案 Ver.2.26／想定問答集 v10／見え方の点検（md）</t>
        </is>
      </c>
      <c r="G45" s="35" t="inlineStr">
        <is>
          <t>1日</t>
        </is>
      </c>
      <c r="H45" s="35" t="inlineStr">
        <is>
          <t>完了</t>
        </is>
      </c>
      <c r="I45" s="35" t="inlineStr">
        <is>
          <t>版の表記8か所とヘッダーを除いた。⚠ **行送りの lineRule なし5,621段落・列幅が実寸でない129表**を直した（町の Word で頁数と目次がずれ得た／制度改正の表で文字が縦に折れていた）。表の中の長い文441段落を左揃えに。第9期は HG丸ゴシックM-PRO 11pt・「第１節」「■」「資料：」。揃えるかを No.187 でご判断いただく。</t>
        </is>
      </c>
    </row>
    <row r="46">
      <c r="A46" s="35" t="inlineStr">
        <is>
          <t>42</t>
        </is>
      </c>
      <c r="B46" s="35" t="inlineStr">
        <is>
          <t>書体を第9期に揃え、協議用素案と公表用の計画書（案）に分ける</t>
        </is>
      </c>
      <c r="C46" s="35" t="inlineStr">
        <is>
          <t>R8.10.23</t>
        </is>
      </c>
      <c r="D46" s="35" t="inlineStr">
        <is>
          <t>ご指示による（No.187）。</t>
        </is>
      </c>
      <c r="E46" s="35" t="inlineStr">
        <is>
          <t>No.187</t>
        </is>
      </c>
      <c r="F46" s="35" t="inlineStr">
        <is>
          <t>協議用素案 Ver.2.27／公表用の計画書（案）v2.27／公表用で落とした文（xlsx）／運用メモ（md）</t>
        </is>
      </c>
      <c r="G46" s="35" t="inlineStr">
        <is>
          <t>1日</t>
        </is>
      </c>
      <c r="H46" s="35" t="inlineStr">
        <is>
          <t>完了</t>
        </is>
      </c>
      <c r="I46" s="35" t="inlineStr">
        <is>
          <t>HG丸ｺﾞｼｯｸM-PRO に（Windows の登録名は半角カナ）。公表用は協議用から組み替え、⚠・確認事項No・【町確認】を落とす／揃える。⚠ ［要確認］［要協議］を含む文は落とさない（公表用 ［要確認］70・［要協議］13）。落とした文48件を記録。短い語が縦に折れていた27表の列を広げた。</t>
        </is>
      </c>
    </row>
    <row r="47">
      <c r="A47" s="35" t="inlineStr">
        <is>
          <t>43</t>
        </is>
      </c>
      <c r="B47" s="35" t="inlineStr">
        <is>
          <t>事業所別5か年推移（利用者数・稼働・回転・従事者数）の確認</t>
        </is>
      </c>
      <c r="C47" s="35" t="inlineStr">
        <is>
          <t>R8.10.23</t>
        </is>
      </c>
      <c r="D47" s="35" t="inlineStr">
        <is>
          <t>受領による（全国47都道府県分。原本を09へ退避）。</t>
        </is>
      </c>
      <c r="E47" s="35" t="inlineStr">
        <is>
          <t>No.159（稼働率・短期入所）／No.50（介護人材）</t>
        </is>
      </c>
      <c r="F47" s="35" t="inlineStr">
        <is>
          <t>事業所別5か年推移の整理（xlsx・5シート）／川崎町の行の抜き出し（csv）／確認結果（md）</t>
        </is>
      </c>
      <c r="G47" s="35" t="inlineStr">
        <is>
          <t>半日</t>
        </is>
      </c>
      <c r="H47" s="35" t="inlineStr">
        <is>
          <t>完了</t>
        </is>
      </c>
      <c r="I47" s="35" t="inlineStr">
        <is>
          <t>町内12の指定の令和3〜7年の値を抜き出し、既知の定員・常勤換算と一致を確認。⚠ 集計の欄は数式で値が保存されておらず計算し直した。⚠ 原表の「定員充足率」は延べ÷定員（百分率でない）。地域密着型特養の増床分の稼働69.4％、短期入所の半減、老健・特養の介護職員の減少を把握。⚠ 出所の記載なし［要確認］。素案への反映は出所の確認後を推奨。</t>
        </is>
      </c>
    </row>
    <row r="48">
      <c r="A48" s="35" t="inlineStr">
        <is>
          <t>44</t>
        </is>
      </c>
      <c r="B48" s="35" t="inlineStr">
        <is>
          <t>見える化システムの事業所分析の協議用素案への反映</t>
        </is>
      </c>
      <c r="C48" s="35" t="inlineStr">
        <is>
          <t>R8.10.23</t>
        </is>
      </c>
      <c r="D48" s="35" t="inlineStr">
        <is>
          <t>ご指示による。出所を確定し、手引きの定義で計算し直した後に反映。</t>
        </is>
      </c>
      <c r="E48" s="35" t="inlineStr">
        <is>
          <t>No.159・No.50</t>
        </is>
      </c>
      <c r="F48" s="35" t="inlineStr">
        <is>
          <t>協議用素案 Ver.2.28／公表用 v2.28／資料 v14／問答集 v11</t>
        </is>
      </c>
      <c r="G48" s="35" t="inlineStr">
        <is>
          <t>半日</t>
        </is>
      </c>
      <c r="H48" s="35" t="inlineStr">
        <is>
          <t>完了</t>
        </is>
      </c>
      <c r="I48" s="35" t="inlineStr">
        <is>
          <t>2-7に5年間の推移の表。⚠ 事業所ごとの職員数は掲げず、施設・居住系の合計（指定の重複を除く）と定員100人あたりで示した。⚠ 地域密着型の稼働率78.7％（増床分が埋まっていない）を9-1に［要協議］。資料・問答集を同じ版で直した。</t>
        </is>
      </c>
    </row>
    <row r="49">
      <c r="A49" s="35" t="inlineStr">
        <is>
          <t>45</t>
        </is>
      </c>
      <c r="B49" s="35" t="inlineStr">
        <is>
          <t>比較材料ブランチ（観点のみ）の確認と宮城県の第10期計画骨子（案）の反映</t>
        </is>
      </c>
      <c r="C49" s="35" t="inlineStr">
        <is>
          <t>R8.10.23</t>
        </is>
      </c>
      <c r="D49" s="35" t="inlineStr">
        <is>
          <t>ご指示による。観点は原典（宮城県 推進委員会資料・手引き）で確かめてから反映。</t>
        </is>
      </c>
      <c r="E49" s="35" t="inlineStr">
        <is>
          <t>No.50・69・77・79・80・168・188</t>
        </is>
      </c>
      <c r="F49" s="35" t="inlineStr">
        <is>
          <t>協議用素案 Ver.2.29／公表用 v2.29／資料 v15／問答集 v12</t>
        </is>
      </c>
      <c r="G49" s="35" t="inlineStr">
        <is>
          <t>半日</t>
        </is>
      </c>
      <c r="H49" s="35" t="inlineStr">
        <is>
          <t>完了</t>
        </is>
      </c>
      <c r="I49" s="35" t="inlineStr">
        <is>
          <t>1-2 に県の骨子（案）との対応表。8-2・9-1 に注記。資料・問答集は頁数（118頁）のみ。No.188 起票、資料提供依頼No.51・52。</t>
        </is>
      </c>
    </row>
    <row r="50">
      <c r="A50" s="35" t="inlineStr">
        <is>
          <t>46</t>
        </is>
      </c>
      <c r="B50" s="35" t="inlineStr">
        <is>
          <t>概要版を協議用素案の最新版から組み直す</t>
        </is>
      </c>
      <c r="C50" s="35" t="inlineStr">
        <is>
          <t>R8.10.23</t>
        </is>
      </c>
      <c r="D50" s="35" t="inlineStr">
        <is>
          <t>概要版（R8.10.5）は素案 Ver.2.20 から組んだもので、Ver.2.21以降の改め（書体・事業所分析・県計画との対応ほか）が入っていない。</t>
        </is>
      </c>
      <c r="E50" s="35" t="inlineStr">
        <is>
          <t>No.187</t>
        </is>
      </c>
      <c r="F50" s="35" t="inlineStr">
        <is>
          <t>川崎町_計画書案_概要版_v2.30.docx（8頁）</t>
        </is>
      </c>
      <c r="G50" s="35" t="inlineStr">
        <is>
          <t>半日</t>
        </is>
      </c>
      <c r="H50" s="35" t="inlineStr">
        <is>
          <t>完了</t>
        </is>
      </c>
      <c r="I50" s="35" t="inlineStr">
        <is>
          <t>【令和8年10月23日 更新⑦（概要版の組み直し）】build_gaiyo_v230.py を新設。図8点（柱と重点の図は素案の名称で作り直し）。自己点検 検査1〜8 適合・docx 検証適合。</t>
        </is>
      </c>
    </row>
    <row r="51">
      <c r="A51" s="35" t="inlineStr">
        <is>
          <t>47</t>
        </is>
      </c>
      <c r="B51" s="35" t="inlineStr">
        <is>
          <t>協議用素案の後期高齢者数の古い値の是正（3-4・5-4）</t>
        </is>
      </c>
      <c r="C51" s="35" t="inlineStr">
        <is>
          <t>R8.10.23</t>
        </is>
      </c>
      <c r="D51" s="35" t="inlineStr">
        <is>
          <t>概要版の組み直しで発見。2-1（令和7年度末1,742人）と3-4・5-4（令和7年6月1,675人）が食い違い</t>
        </is>
      </c>
      <c r="E51" s="35" t="inlineStr">
        <is>
          <t>―</t>
        </is>
      </c>
      <c r="F51" s="35" t="inlineStr">
        <is>
          <t>協議用素案 Ver.2.30／公表用 v2.30</t>
        </is>
      </c>
      <c r="G51" s="35" t="inlineStr">
        <is>
          <t>1時間</t>
        </is>
      </c>
      <c r="H51" s="35" t="inlineStr">
        <is>
          <t>完了</t>
        </is>
      </c>
      <c r="I51" s="35" t="inlineStr">
        <is>
          <t>fix_soan_v2300_kouki.py。値は 2-1 の表から読む。頁数・未確定の印は変わらない。委員会資料・問答集はこの値を載せておらず改めない。</t>
        </is>
      </c>
    </row>
    <row r="52">
      <c r="A52" s="35" t="inlineStr">
        <is>
          <t>48</t>
        </is>
      </c>
      <c r="B52" s="35" t="inlineStr">
        <is>
          <t>第2回策定委員会資料の確定に向けた点検</t>
        </is>
      </c>
      <c r="C52" s="35" t="inlineStr">
        <is>
          <t>R8.10.23</t>
        </is>
      </c>
      <c r="D52" s="35" t="inlineStr">
        <is>
          <t>ご指示による。資料は素案から起こすため、食い違いを素案の側で先に解いてから資料を揃えた</t>
        </is>
      </c>
      <c r="E52" s="35" t="inlineStr">
        <is>
          <t>No.85・53・163・189</t>
        </is>
      </c>
      <c r="F52" s="35" t="inlineStr">
        <is>
          <t>素案 Ver.2.31／公表用・概要版 v2.31／資料 v16／問答集 v13</t>
        </is>
      </c>
      <c r="G52" s="35" t="inlineStr">
        <is>
          <t>1日</t>
        </is>
      </c>
      <c r="H52" s="35" t="inlineStr">
        <is>
          <t>完了</t>
        </is>
      </c>
      <c r="I52" s="35" t="inlineStr">
        <is>
          <t>食い違い7件を解決。介護保険法の条文を e-Gov で確認・退避。仙南圏域の在宅系地域密着型の事業所を公表システムで確認。残るのは【町確認】2件（No.189）と事務局案のご了承。</t>
        </is>
      </c>
    </row>
    <row r="53">
      <c r="A53" s="35" t="inlineStr">
        <is>
          <t>49</t>
        </is>
      </c>
      <c r="B53" s="35" t="inlineStr">
        <is>
          <t>Red Team レビュー（令和8年10月24日）への対応と成果物・エビデンスの一式</t>
        </is>
      </c>
      <c r="C53" s="35" t="inlineStr">
        <is>
          <t>R8.10.24</t>
        </is>
      </c>
      <c r="D53" s="35" t="inlineStr">
        <is>
          <t>ご指示による。指摘27件を最新の版で確かめ、当てはまるものを是正した</t>
        </is>
      </c>
      <c r="E53" s="35" t="inlineStr">
        <is>
          <t>No.85・117・148・163・189</t>
        </is>
      </c>
      <c r="F53" s="35" t="inlineStr">
        <is>
          <t>素案 Ver.2.32／公表用・概要版 v2.32／資料 v17／問答集 v14／ZIP</t>
        </is>
      </c>
      <c r="G53" s="35" t="inlineStr">
        <is>
          <t>1日</t>
        </is>
      </c>
      <c r="H53" s="35" t="inlineStr">
        <is>
          <t>完了</t>
        </is>
      </c>
      <c r="I53" s="35" t="inlineStr">
        <is>
          <t>新たに見つけた誤り：9-4（実在しない節）の参照2か所、目次のご挨拶の頁、生活支援コーディネーターの人数。対応表・点検ログ・検算・差分・PDF を ZIP に同梱。</t>
        </is>
      </c>
    </row>
    <row r="54">
      <c r="A54" s="35" t="inlineStr">
        <is>
          <t>50</t>
        </is>
      </c>
      <c r="B54" s="35" t="inlineStr">
        <is>
          <t>Red Team 再レビュー（令和8年10月24日）への対応と成果物・エビデンスの一式</t>
        </is>
      </c>
      <c r="C54" s="35" t="inlineStr">
        <is>
          <t>R8.10.24</t>
        </is>
      </c>
      <c r="D54" s="35" t="inlineStr">
        <is>
          <t>ご指示による。新規の指摘11件（N01〜N11）と旧指摘の再判定を最新の版で確かめ、是正した</t>
        </is>
      </c>
      <c r="E54" s="35" t="inlineStr">
        <is>
          <t>No.85・148・190</t>
        </is>
      </c>
      <c r="F54" s="35" t="inlineStr">
        <is>
          <t>素案 Ver.2.33／公表用・概要版 v2.33／資料 v18／問答集 v15／ZIP</t>
        </is>
      </c>
      <c r="G54" s="35" t="inlineStr">
        <is>
          <t>1日</t>
        </is>
      </c>
      <c r="H54" s="35" t="inlineStr">
        <is>
          <t>完了</t>
        </is>
      </c>
      <c r="I54" s="35" t="inlineStr">
        <is>
          <t>報酬改定の算定Ｂ・Ｃを表101 から独立に計算し直し（前回の表26 の値は誤り）、素案に書いて資料・問答集を起こし直した。交付金の「保険者」→市町村、212円、基金の見込額、改頁。対応表・点検ログ・検算・留保一覧・差分・PDF を ZIP に同梱。</t>
        </is>
      </c>
    </row>
    <row r="55">
      <c r="A55" s="35" t="inlineStr">
        <is>
          <t>51</t>
        </is>
      </c>
      <c r="B55" s="35" t="inlineStr">
        <is>
          <t>Red Team 再レビュー第3回（令和8年10月24日）への対応と成果物・エビデンスの一式</t>
        </is>
      </c>
      <c r="C55" s="35" t="inlineStr">
        <is>
          <t>R8.10.24</t>
        </is>
      </c>
      <c r="D55" s="35" t="inlineStr">
        <is>
          <t>ご指示による。第3回の指摘11件（R3-01〜R3-11）と先行指摘の再判定を最新の版で確かめ、是正した</t>
        </is>
      </c>
      <c r="E55" s="35" t="inlineStr">
        <is>
          <t>No.49・83・109・157</t>
        </is>
      </c>
      <c r="F55" s="35" t="inlineStr">
        <is>
          <t>素案 Ver.2.34／公表用・概要版 v2.34／資料 v19／問答集 v16／ZIP</t>
        </is>
      </c>
      <c r="G55" s="35" t="inlineStr">
        <is>
          <t>1日</t>
        </is>
      </c>
      <c r="H55" s="35" t="inlineStr">
        <is>
          <t>完了</t>
        </is>
      </c>
      <c r="I55" s="35" t="inlineStr">
        <is>
          <t>施設への移行・未認定の認知症の方の数の断定を改め、法令の項、回数の決め方、保険料が試算であること、通いの場の分母を直した。令和7年度の給付費37サービスを年報の円単位で突合し、998,224千円と998,222千円の差が丸めであることを確かめた。公表用の留保の台帳に確認先・期限・既定の扱いの列を置いた（処理は町）。</t>
        </is>
      </c>
    </row>
    <row r="56">
      <c r="A56" s="35" t="inlineStr">
        <is>
          <t>52</t>
        </is>
      </c>
      <c r="B56" s="35" t="inlineStr">
        <is>
          <t>Red Team 再レビュー第3回の影響範囲の再点検と成果物・エビデンスの一式</t>
        </is>
      </c>
      <c r="C56" s="35" t="inlineStr">
        <is>
          <t>R8.10.24</t>
        </is>
      </c>
      <c r="D56" s="35" t="inlineStr">
        <is>
          <t>ご指示による。受領したレビューは第3回と同じもの（MD5 一致）。指摘と同じ趣旨の記述を5冊で走査した</t>
        </is>
      </c>
      <c r="E56" s="35" t="inlineStr">
        <is>
          <t>No.85</t>
        </is>
      </c>
      <c r="F56" s="35" t="inlineStr">
        <is>
          <t>素案 Ver.2.35／公表用・概要版 v2.35／資料 v20／ZIP</t>
        </is>
      </c>
      <c r="G56" s="35" t="inlineStr">
        <is>
          <t>1日</t>
        </is>
      </c>
      <c r="H56" s="35" t="inlineStr">
        <is>
          <t>完了</t>
        </is>
      </c>
      <c r="I56" s="35" t="inlineStr">
        <is>
          <t>残っていたもの：保険料の「本算定」6か所、通いの場の「参加率」5か所。29.9万円の出所を年報の受給者数から示した。影響範囲の走査（7指摘×5冊）・検算 §6 を ZIP に同梱</t>
        </is>
      </c>
    </row>
    <row r="57">
      <c r="A57" s="35" t="inlineStr">
        <is>
          <t>53</t>
        </is>
      </c>
      <c r="B57" s="35" t="inlineStr">
        <is>
          <t>Red Team 再レビュー第4回（令和8年10月24日）への対応と成果物・エビデンスの一式</t>
        </is>
      </c>
      <c r="C57" s="35" t="inlineStr">
        <is>
          <t>R8.10.24</t>
        </is>
      </c>
      <c r="D57" s="35" t="inlineStr">
        <is>
          <t>ご指示による。第4回の指摘（F4-01〜F4-09）を最新の版で確かめ、影響範囲を5冊と工程表で確かめて是正した</t>
        </is>
      </c>
      <c r="E57" s="35" t="inlineStr">
        <is>
          <t>No.49・83・85</t>
        </is>
      </c>
      <c r="F57" s="35" t="inlineStr">
        <is>
          <t>素案 Ver.2.36／公表用・概要版 v2.36／資料 v21／問答集 v17／逆算工程表／ZIP</t>
        </is>
      </c>
      <c r="G57" s="35" t="inlineStr">
        <is>
          <t>1日</t>
        </is>
      </c>
      <c r="H57" s="35" t="inlineStr">
        <is>
          <t>完了</t>
        </is>
      </c>
      <c r="I57" s="35" t="inlineStr">
        <is>
          <t>標準給付費の239千円差は年報の様式2（給付実績）と様式3（支払額・手数料を含まない）の混在。令和6年度との比較も同じ原因で基準が違っていた（0.8％→0.7％）。1月4日開始の納品は3月16日（1日超過）に訂正。頁は全体と本文を分けた。原票（年報・算定ブック）を ZIP に同梱</t>
        </is>
      </c>
    </row>
    <row r="58">
      <c r="A58" s="35" t="inlineStr">
        <is>
          <t>54</t>
        </is>
      </c>
      <c r="B58" s="35" t="inlineStr">
        <is>
          <t>Red Team 再レビュー第5回（令和8年10月24日）の確認と業務工程管理表の更新</t>
        </is>
      </c>
      <c r="C58" s="35" t="inlineStr">
        <is>
          <t>R8.10.24</t>
        </is>
      </c>
      <c r="D58" s="35" t="inlineStr">
        <is>
          <t>ご指示による（修正は概ね大丈夫との判断）。成果品は直さず、残る事項を台帳に載せた</t>
        </is>
      </c>
      <c r="E58" s="35" t="inlineStr">
        <is>
          <t>No.191・192 起票／No.49・83・85・90・109・137・147・148・159・190</t>
        </is>
      </c>
      <c r="F58" s="35" t="inlineStr">
        <is>
          <t>業務工程管理表</t>
        </is>
      </c>
      <c r="G58" s="35" t="inlineStr">
        <is>
          <t>半日</t>
        </is>
      </c>
      <c r="H58" s="35" t="inlineStr">
        <is>
          <t>完了</t>
        </is>
      </c>
      <c r="I58" s="35" t="inlineStr">
        <is>
          <t>第4回の是正（239千円差・前年比の基準・年報37件・工程の暦日・頁の数え方）は確認済み。新たな論点は工程の実日付（第3回が土曜・入稿が祝日）と留保103件のパブリックコメント前の扱い。</t>
        </is>
      </c>
    </row>
    <row r="59">
      <c r="A59" s="35" t="inlineStr">
        <is>
          <t>55</t>
        </is>
      </c>
      <c r="B59" s="35" t="inlineStr">
        <is>
          <t>第2回策定委員会資料の注記の改頁（21頁末〜22頁頭。第5回 F5-05）</t>
        </is>
      </c>
      <c r="C59" s="35" t="inlineStr">
        <is>
          <t>R8.11.10（事前配布）まで</t>
        </is>
      </c>
      <c r="D59" s="35" t="inlineStr">
        <is>
          <t>注記の段落を同じ頁に収めるか、注記の重複を整理して22頁の表の直前から始める</t>
        </is>
      </c>
      <c r="E59" s="35" t="inlineStr">
        <is>
          <t>No.85・53</t>
        </is>
      </c>
      <c r="F59" s="35" t="inlineStr">
        <is>
          <t>第2回策定委員会資料 v22</t>
        </is>
      </c>
      <c r="G59" s="35" t="inlineStr">
        <is>
          <t>1時間</t>
        </is>
      </c>
      <c r="H59" s="35" t="inlineStr">
        <is>
          <t>未着手</t>
        </is>
      </c>
      <c r="I59" s="35" t="inlineStr">
        <is>
          <t>組版の中の指摘（文字の欠け・不可読ではない）。No.191 の工程の決定と併せて直すと手戻りが少ない。</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2026-10-24T11:19:00Z</dcterms:modified>
</cp:coreProperties>
</file>