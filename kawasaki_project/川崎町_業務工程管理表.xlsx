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4">
      <c r="A134" s="24" t="inlineStr">
        <is>
          <t>区分</t>
        </is>
      </c>
      <c r="B134" s="24" t="inlineStr">
        <is>
          <t>件数</t>
        </is>
      </c>
    </row>
    <row r="135">
      <c r="A135" s="10" t="inlineStr">
        <is>
          <t>完了</t>
        </is>
      </c>
      <c r="B135" s="9">
        <f>COUNTIF(H5:H132,"完了")</f>
        <v/>
      </c>
    </row>
    <row r="136">
      <c r="A136" s="12" t="inlineStr">
        <is>
          <t>実施中</t>
        </is>
      </c>
      <c r="B136" s="9">
        <f>COUNTIF(H5:H132,"実施中")</f>
        <v/>
      </c>
    </row>
    <row r="137">
      <c r="A137" s="14" t="inlineStr">
        <is>
          <t>確認待ち</t>
        </is>
      </c>
      <c r="B137" s="9">
        <f>COUNTIF(H5:H132,"確認待ち")</f>
        <v/>
      </c>
    </row>
    <row r="138">
      <c r="A138" s="16" t="inlineStr">
        <is>
          <t>未着手</t>
        </is>
      </c>
      <c r="B138" s="9">
        <f>COUNTIF(H5:H132,"未着手")</f>
        <v/>
      </c>
    </row>
    <row r="139">
      <c r="A139" s="18" t="inlineStr">
        <is>
          <t>対象外</t>
        </is>
      </c>
      <c r="B139" s="9">
        <f>COUNTIF(H5:H132,"対象外")</f>
        <v/>
      </c>
    </row>
    <row r="141">
      <c r="A141" s="23" t="inlineStr">
        <is>
          <t>注1）「回答・対応」欄は、発注者からの回答又は受託者による対応の結果を記入し、状態を「完了」に更新する。</t>
        </is>
      </c>
    </row>
    <row r="142">
      <c r="A142" s="23" t="inlineStr">
        <is>
          <t>注2）No.9〜11は保険料試算ワークブックの黄色セル（01!B15、06!B17、06!B16、04!B8、06!B10）と対応し、値を入力すると保険料基準額が自動で再計算される。</t>
        </is>
      </c>
    </row>
  </sheetData>
  <mergeCells count="4">
    <mergeCell ref="A1:J1"/>
    <mergeCell ref="A142:J142"/>
    <mergeCell ref="A141:J14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【R8.9.25 更新】再修正版3文書をレビュー（v8）。約6,400項目を個票から再検算し、数値の誤りは37件（資料編 付表2のn=16の層で割合が偶数丸めとなっているもの。凡例は「小数第2位を四捨五入」）。これ以外の数値の不一致は0件。納品前に必ず処理するもの4件：①本編・ニーズ調査の目次が未更新（1行のみ）、②3文書とも文書プロパティの最終更新者名が残存、③ニーズ調査[P629]に編集メモが残存、④ニーズ調査 表73のキャプションが表の下にある。ほか数値・説明の修正4件、注記の追加5件。詳細は「川崎町_RedTeamレビューv8_再修正版_R8.9.25.md」。</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川崎町_計画書素案_v1.24_交付金枝番照合版.docx</t>
        </is>
      </c>
      <c r="D8" s="7" t="inlineStr">
        <is>
          <t>A4版　表紙レザック　本文上質紙
1色刷り　100頁程度　100部</t>
        </is>
      </c>
      <c r="E8" s="12" t="inlineStr">
        <is>
          <t>実施中</t>
        </is>
      </c>
      <c r="F8" s="20" t="n">
        <v>0.7</v>
      </c>
      <c r="G8" s="9" t="inlineStr">
        <is>
          <t>R9.3.15</t>
        </is>
      </c>
      <c r="H8" s="7" t="inlineStr">
        <is>
          <t>【R8.9.28 更新】交付金の評価を枝番（ア・イ・ウ…）の単位まで下ろし、評価指標の本文（全42頁）と突き合わせた。体制・取組指標群380点中353点（全国166位）に対し成果指標群は200点中80点（全国1,087位）であり、体制・取組指標群の失点は3か所・27点だけであることを第3章3-3に示した。このうち11点（給付費適正化事業ア6点・認知症カ5点）は、項目の単位では得点しているため従来の解析では捉えていなかった。あわせて素案の自己点検を機械で行う仕組みを設け（07_ソーススクリプト/check_soan_selfcheck_R8.9.28.py）、同じ事項に2つの値が置かれていた3か所と分母の併記がない割合8か所を是正した。全28件が適合。全564段落・92表・80頁。確定は第3回策定委員会（令和9年1月）。</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2026-09-28T11:04:00Z</dcterms:modified>
</cp:coreProperties>
</file>