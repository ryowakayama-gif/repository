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第1回は令和8年9月2日に開催済み。第2回の資料は v7、想定問答集は v4（全44問）まで作成し、自己点検27件に適合している。v7 には工程の短縮の案（候補日4つ×4案）・第9期の計画値と実績値の対比・計画書の頁数の見通しを加え、本日のご審議事項に「開催日と短縮の案のご選択」を足した。⚠ 開催日が決まらないため、事前配布日・質問の締切・第3回の日程・保険料をいつ諮るかがいずれも決まらない（ペンディング束2）。</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基金50％取崩6,143円・全額取崩5,464円）。令和7年度の基準値は見える化システムの総括表と32サービスすべてで一致する。所得段階別第1号被保険者数（13段階）は年報の様式1により確定した。保険料の検算39項目は適合。残るのは準備基金の令和8年度末残高・調整交付金見込交付割合・令和9年度の介護報酬改定の3件で、いずれも受託者の作業では確定できない（ペンディング束5）。⚠ 地域支援事業はデータ未受領であり、費用の見込みは置けない（束6）。</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図を9点に増やした（認定者数と認定率の推移・交付金の得点の推移ほか）。調査結果報告書3文書は約6,400項目を全数検算し、数値の誤りは付表2の丸め37件のみであることを確認した。第9期35事業の実績一覧は【町確認】欄がご記入待ちであり、第3章3-2の各表がこれを待っている（ペンディング束3）。</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12" t="inlineStr">
        <is>
          <t>実施中</t>
        </is>
      </c>
      <c r="G11" s="20" t="n">
        <v>0.99</v>
      </c>
      <c r="H11" s="9" t="inlineStr">
        <is>
          <t>R9.2</t>
        </is>
      </c>
      <c r="I11" s="7" t="inlineStr">
        <is>
          <t>素案はVer.2.10まで作成（全112頁・666段落・図10点）。Ver.2.9で事業一覧表17表に「内容」の欄を加え、138事業すべてに内容を入れた。これにより、名称だけの一覧から計画として読める形になった。残るのは第3章の町確認欄（ペンディング束3）と、当方が書き起こした48件のご確認（確認事項No.164）、成果品の頁数の割付け（確認事項No.83）。</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実施中</t>
        </is>
      </c>
      <c r="G12" s="20" t="n">
        <v>0.55</v>
      </c>
      <c r="H12" s="9" t="inlineStr">
        <is>
          <t>R9.3</t>
        </is>
      </c>
      <c r="I12" s="7" t="inlineStr">
        <is>
          <t>【令和8年10月5日 更新】中間報告（第1回・令和8年10月分）を作成した。提出の期日のご指定がないため（確認事項No.17）、当面は月末ごとに提出する。計画書（案）は素案Ver.2.10を母体とする。別添（資料編）は28件を洗い出し、置き場所を5区分に振り分け済み。</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人口推計・事業量推計は、令和7年度の年報を基礎とする独立算定により第1稿を作成。地域支援事業の費用の見込みはデータ未受領のため保留。素案はVer.2.8（第9期対比版・全104頁・図10点）まで更新した。⚠ 見える化システムの第1回目提出（令和8年10月5日）は、町より自治体側で進めるとのご指示をいただき、当方の作業は停止した。ご確認を待たずに進められる作業10件を08シートに整理し、順位2〜10を実施した（順位6は素材の整理まで）。認知症の人及び家族等からの意見聴取は令和8年10〜11月に実施する予定で、記録様式（別添22・様式0〜5）は作成済み。運用のご確認待ち。</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第2回策定委員会の資料をv6、想定問答集をv3（全39問）まで作成し、自己点検27件に適合している。⚠ 開催日が未確定であり、逆算工程表（候補日4つ）をお示しした。現行の前提では11月11日以降の開催は納期に間に合わないため、開催日の決定と、短縮の選択肢（パブコメの期間・委員会の回数）のご判断を急ぐ。</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Ａ〜Ｊ・年度別）と感度分析は素案Ver.2.3以降に反映済みで、検算39項目に適合している。3パターン（6,822円／6,143円／5,464円）は暫定値であり、準備基金の令和8年度末残高・調整交付金見込交付割合・令和9年度の介護報酬改定の確定を待って確定値とする（束5）。計画書（案）の作成は、継続101事業の本文の記述から着手す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1"/>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大雪地区広域連合の協議用素案（令和8年8月）との対比により把握した。素案Ver.2.4の1-5に制度改正の節を新設し、当該の改正を掲げた。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3">
      <c r="A173" s="24" t="inlineStr">
        <is>
          <t>区分</t>
        </is>
      </c>
      <c r="B173" s="24" t="inlineStr">
        <is>
          <t>件数</t>
        </is>
      </c>
    </row>
    <row r="174">
      <c r="A174" s="10" t="inlineStr">
        <is>
          <t>完了</t>
        </is>
      </c>
      <c r="B174" s="9">
        <f>COUNTIF(H5:H168,"完了")</f>
        <v/>
      </c>
    </row>
    <row r="175">
      <c r="A175" s="12" t="inlineStr">
        <is>
          <t>実施中</t>
        </is>
      </c>
      <c r="B175" s="9">
        <f>COUNTIF(H5:H168,"実施中")</f>
        <v/>
      </c>
    </row>
    <row r="176">
      <c r="A176" s="14" t="inlineStr">
        <is>
          <t>確認待ち</t>
        </is>
      </c>
      <c r="B176" s="9">
        <f>COUNTIF(H5:H168,"確認待ち")</f>
        <v/>
      </c>
    </row>
    <row r="177">
      <c r="A177" s="16" t="inlineStr">
        <is>
          <t>未着手</t>
        </is>
      </c>
      <c r="B177" s="4" t="n"/>
      <c r="C177" s="4" t="n"/>
      <c r="D177" s="4" t="n"/>
      <c r="E177" s="4" t="n"/>
      <c r="F177" s="4" t="n"/>
      <c r="G177" s="4" t="n"/>
      <c r="H177" s="4" t="n"/>
      <c r="I177" s="4" t="n"/>
      <c r="J177" s="5" t="n"/>
    </row>
    <row r="178">
      <c r="A178" s="18" t="inlineStr">
        <is>
          <t>対象外</t>
        </is>
      </c>
      <c r="B178" s="4" t="n"/>
      <c r="C178" s="4" t="n"/>
      <c r="D178" s="4" t="n"/>
      <c r="E178" s="4" t="n"/>
      <c r="F178" s="4" t="n"/>
      <c r="G178" s="4" t="n"/>
      <c r="H178" s="4" t="n"/>
      <c r="I178" s="4" t="n"/>
      <c r="J178" s="5" t="n"/>
    </row>
    <row r="180">
      <c r="A180" s="23" t="inlineStr">
        <is>
          <t>注1）「回答・対応」欄は、発注者からの回答又は受託者による対応の結果を記入し、状態を「完了」に更新する。</t>
        </is>
      </c>
    </row>
    <row r="181">
      <c r="A181"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川崎町_計画書素案_v2.10_制度改正補完版.docx／同_v2.10c_圧縮案_R8.10.4.docx</t>
        </is>
      </c>
      <c r="D8" s="7" t="inlineStr">
        <is>
          <t>A4版　表紙レザック　本文上質紙
1色刷り　100頁程度　100部</t>
        </is>
      </c>
      <c r="E8" s="12" t="inlineStr">
        <is>
          <t>実施中</t>
        </is>
      </c>
      <c r="F8" s="20" t="n">
        <v>0.85</v>
      </c>
      <c r="G8" s="9" t="inlineStr">
        <is>
          <t>R9.3.15</t>
        </is>
      </c>
      <c r="H8" s="7" t="inlineStr">
        <is>
          <t>【令和8年10月4日 更新】素案Ver.2.10（本文112頁・図10点）。1-5に制度改正11事項、1-4に法令が定める手続4件を加えた。圧縮案 v2.10c は本文105頁・資料編13頁を含めて118頁。網羅性の8軸51事項はすべて適合（未実施8件は別に数えている）。⚠ 頁数は仕様書8の100頁程度を上回る。本文のみと読めば圧縮案の105頁が最も近い（確認事項No.83）。</t>
        </is>
      </c>
      <c r="I8" s="9" t="inlineStr">
        <is>
          <t>15, 16, 18</t>
        </is>
      </c>
    </row>
    <row r="9" ht="84" customHeight="1">
      <c r="A9" s="9" t="n">
        <v>5</v>
      </c>
      <c r="B9" s="21" t="inlineStr">
        <is>
          <t>概要版</t>
        </is>
      </c>
      <c r="C9" s="7" t="inlineStr">
        <is>
          <t>川崎町_計画素案_概要版_R8.10.5.docx（図8点・表5件）</t>
        </is>
      </c>
      <c r="D9" s="7" t="inlineStr">
        <is>
          <t>A4版　コート紙
1色刷り　8頁程度　3,500部</t>
        </is>
      </c>
      <c r="E9" s="12" t="inlineStr">
        <is>
          <t>実施中</t>
        </is>
      </c>
      <c r="F9" s="20" t="n">
        <v>0.75</v>
      </c>
      <c r="G9" s="9" t="inlineStr">
        <is>
          <t>R9.3.15</t>
        </is>
      </c>
      <c r="H9" s="7" t="inlineStr">
        <is>
          <t>【令和8年10月5日 更新】下書き（6頁）に計画の期間と位置づけ・柱ごとの事業数・第9期から変わること・主な目安・ご相談先を加えた（3,918字）。当方の環境で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9" t="n">
        <v>6</v>
      </c>
      <c r="B10" s="21" t="inlineStr">
        <is>
          <t>計画書概要及び計画書案等の電子データ</t>
        </is>
      </c>
      <c r="C10" s="7" t="inlineStr">
        <is>
          <t>川崎町_第2回策定委員会資料_R8.11_v7.docx／同_想定問答集_R8.11_v4.docx</t>
        </is>
      </c>
      <c r="D10" s="7" t="inlineStr">
        <is>
          <t>一式（Word・PDF）</t>
        </is>
      </c>
      <c r="E10" s="12" t="inlineStr">
        <is>
          <t>実施中</t>
        </is>
      </c>
      <c r="F10" s="20" t="n">
        <v>0.7</v>
      </c>
      <c r="G10" s="9" t="inlineStr">
        <is>
          <t>R9.3.15</t>
        </is>
      </c>
      <c r="H10" s="7" t="inlineStr">
        <is>
          <t>【令和8年10月5日 更新】第3回・第4回策定委員会の骨子案、県事前協議の資料一式、意見公募手続一式を加えた。第2回策定委員会資料 v7・想定問答集 v4 は作成済み。</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2"/>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成果品が作り直せる状態かの点検（金ヶ崎町の事象の再発防止）</t>
        </is>
      </c>
      <c r="C18" s="32" t="inlineStr">
        <is>
          <t>R8.10.4</t>
        </is>
      </c>
      <c r="D18" s="32" t="inlineStr">
        <is>
          <t>同じ事務所の別案件（金ヶ崎町）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金ヶ崎町と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未着手</t>
        </is>
      </c>
      <c r="I27" s="32" t="inlineStr"/>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未着手</t>
        </is>
      </c>
      <c r="I28" s="32" t="inlineStr"/>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未着手</t>
        </is>
      </c>
      <c r="I29" s="32" t="inlineStr"/>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未着手</t>
        </is>
      </c>
      <c r="I30" s="32" t="inlineStr"/>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未着手</t>
        </is>
      </c>
      <c r="I31" s="32" t="inlineStr"/>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未着手</t>
        </is>
      </c>
      <c r="I32" s="32" t="inlineStr"/>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2026-10-06T12:12:17Z</dcterms:modified>
</cp:coreProperties>
</file>