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s>
  <fills count="10">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6">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4"/>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大雪広域連合 第10期介護保険事業計画策定業務の業務工程管理表による。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5" ht="24" customHeight="1">
      <c r="A15" s="8" t="inlineStr">
        <is>
          <t>No.</t>
        </is>
      </c>
      <c r="B15" s="8" t="inlineStr">
        <is>
          <t>シート</t>
        </is>
      </c>
      <c r="C15" s="8" t="inlineStr">
        <is>
          <t>内容</t>
        </is>
      </c>
      <c r="D15" s="8" t="inlineStr">
        <is>
          <t>更新の頻度と担当</t>
        </is>
      </c>
    </row>
    <row r="16" ht="32" customHeight="1">
      <c r="A16" s="9" t="n">
        <v>1</v>
      </c>
      <c r="B16" s="7" t="inlineStr">
        <is>
          <t>01_業務内容別の進捗</t>
        </is>
      </c>
      <c r="C16" s="7" t="inlineStr">
        <is>
          <t>仕様書6（1）〜（8）の8業務について、仕様書の要求・作業項目・成果物・進捗・未了の理由を管理する。末尾に全体進捗（単純平均）を算出する。</t>
        </is>
      </c>
      <c r="D16" s="7" t="inlineStr">
        <is>
          <t>受託者が随時更新。工程末に発注者が確認</t>
        </is>
      </c>
      <c r="E16" s="4" t="n"/>
      <c r="F16" s="5" t="n"/>
    </row>
    <row r="17" ht="32" customHeight="1">
      <c r="A17" s="9" t="n">
        <v>2</v>
      </c>
      <c r="B17" s="7" t="inlineStr">
        <is>
          <t>02_月別工程管理</t>
        </is>
      </c>
      <c r="C17" s="7" t="inlineStr">
        <is>
          <t>令和8年6月から令和9年3月までの月別工程について、各月末に提出する成果物と発注者の確認欄を設ける。</t>
        </is>
      </c>
      <c r="D17" s="7" t="inlineStr">
        <is>
          <t>受託者が月次更新。確認欄は発注者が記入</t>
        </is>
      </c>
      <c r="E17" s="4" t="n"/>
      <c r="F17" s="5" t="n"/>
    </row>
    <row r="18" ht="32" customHeight="1">
      <c r="A18" s="9" t="n">
        <v>3</v>
      </c>
      <c r="B18" s="7" t="inlineStr">
        <is>
          <t>03_確認事項一覧</t>
        </is>
      </c>
      <c r="C18" s="7" t="inlineStr">
        <is>
          <t>発注者・国への確認事項を、業務工程及び止めている成果物に紐づけて一覧化する。</t>
        </is>
      </c>
      <c r="D18" s="7" t="inlineStr">
        <is>
          <t>受託者が随時追加。回答欄は発注者が記入</t>
        </is>
      </c>
      <c r="E18" s="4" t="n"/>
      <c r="F18" s="5" t="n"/>
    </row>
    <row r="19" ht="32" customHeight="1">
      <c r="A19" s="9" t="n">
        <v>4</v>
      </c>
      <c r="B19" s="7" t="inlineStr">
        <is>
          <t>04_成果品管理</t>
        </is>
      </c>
      <c r="C19" s="7" t="inlineStr">
        <is>
          <t>仕様書8が定める6種の成果品について、現在のファイル・稿、仕様、状態、進捗を管理する。</t>
        </is>
      </c>
      <c r="D19" s="7" t="inlineStr">
        <is>
          <t>受託者が随時更新</t>
        </is>
      </c>
      <c r="E19" s="4" t="n"/>
      <c r="F19" s="5" t="n"/>
    </row>
    <row r="20" ht="32" customHeight="1">
      <c r="A20" s="9" t="n">
        <v>5</v>
      </c>
      <c r="B20" s="7" t="inlineStr">
        <is>
          <t>05_調査別の状況</t>
        </is>
      </c>
      <c r="C20" s="7" t="inlineStr">
        <is>
          <t>仕様書6（1）の調査（一般高齢者1,000人・認定者300人）について、設問設計から計画への反映までの7段階の到達状況を管理する。</t>
        </is>
      </c>
      <c r="D20" s="7" t="inlineStr">
        <is>
          <t>受託者が随時更新</t>
        </is>
      </c>
      <c r="E20" s="4" t="n"/>
      <c r="F20" s="5" t="n"/>
    </row>
    <row r="21" ht="32" customHeight="1">
      <c r="A21" s="9" t="n">
        <v>6</v>
      </c>
      <c r="B21" s="7" t="inlineStr">
        <is>
          <t>06_資料提供依頼一覧</t>
        </is>
      </c>
      <c r="C21" s="7" t="inlineStr">
        <is>
          <t>業務の遂行に必要な資料を、領域別・優先度別に一覧化する。</t>
        </is>
      </c>
      <c r="D21" s="7" t="inlineStr">
        <is>
          <t>受託者が随時追加。状態欄は受領時に更新</t>
        </is>
      </c>
      <c r="E21" s="4" t="n"/>
      <c r="F21" s="5" t="n"/>
    </row>
    <row r="23" ht="22" customHeight="1">
      <c r="A23" s="3" t="inlineStr">
        <is>
          <t>区分</t>
        </is>
      </c>
      <c r="B23" s="3" t="inlineStr">
        <is>
          <t>意味</t>
        </is>
      </c>
      <c r="C23" s="3" t="inlineStr">
        <is>
          <t>色</t>
        </is>
      </c>
    </row>
    <row r="24" ht="20" customHeight="1">
      <c r="A24" s="10" t="inlineStr">
        <is>
          <t>完了</t>
        </is>
      </c>
      <c r="B24" s="7" t="inlineStr">
        <is>
          <t>当該項目の作業が終わり、成果物を提出済み又は提出可能な状態にある</t>
        </is>
      </c>
      <c r="C24" s="11" t="inlineStr"/>
    </row>
    <row r="25" ht="20" customHeight="1">
      <c r="A25" s="12" t="inlineStr">
        <is>
          <t>実施中</t>
        </is>
      </c>
      <c r="B25" s="7" t="inlineStr">
        <is>
          <t>着手しているが完了していない</t>
        </is>
      </c>
      <c r="C25" s="13" t="inlineStr"/>
    </row>
    <row r="26" ht="20" customHeight="1">
      <c r="A26" s="14" t="inlineStr">
        <is>
          <t>確認待ち</t>
        </is>
      </c>
      <c r="B26" s="7" t="inlineStr">
        <is>
          <t>受託者の作業は終わっており、発注者・国からの回答又は資料の提供を待っている</t>
        </is>
      </c>
      <c r="C26" s="15" t="inlineStr"/>
    </row>
    <row r="27" ht="20" customHeight="1">
      <c r="A27" s="16" t="inlineStr">
        <is>
          <t>未着手</t>
        </is>
      </c>
      <c r="B27" s="7" t="inlineStr">
        <is>
          <t>工程上まだ着手していない、又は前提条件が整っていない</t>
        </is>
      </c>
      <c r="C27" s="17" t="inlineStr"/>
    </row>
    <row r="28" ht="20" customHeight="1">
      <c r="A28" s="18" t="inlineStr">
        <is>
          <t>対象外</t>
        </is>
      </c>
      <c r="B28" s="7" t="inlineStr">
        <is>
          <t>本業務の範囲外、又は該当がない</t>
        </is>
      </c>
      <c r="C28" s="19" t="inlineStr"/>
    </row>
    <row r="30" ht="62" customHeight="1">
      <c r="A30"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0" s="4" t="n"/>
      <c r="C30" s="4" t="n"/>
      <c r="D30" s="4" t="n"/>
      <c r="E30" s="4" t="n"/>
      <c r="F30" s="5" t="n"/>
    </row>
    <row r="31" ht="62" customHeight="1">
      <c r="A31"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1" s="4" t="n"/>
      <c r="C31" s="4" t="n"/>
      <c r="D31" s="4" t="n"/>
      <c r="E31" s="4" t="n"/>
      <c r="F31" s="5" t="n"/>
    </row>
    <row r="32" ht="62" customHeight="1">
      <c r="A32"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2" s="4" t="n"/>
      <c r="C32" s="4" t="n"/>
      <c r="D32" s="4" t="n"/>
      <c r="E32" s="4" t="n"/>
      <c r="F32" s="5" t="n"/>
    </row>
    <row r="33" ht="62" customHeight="1">
      <c r="A33"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3" s="4" t="n"/>
      <c r="C33" s="4" t="n"/>
      <c r="D33" s="4" t="n"/>
      <c r="E33" s="4" t="n"/>
      <c r="F33" s="5" t="n"/>
    </row>
    <row r="34" ht="62" customHeight="1">
      <c r="A34"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4" s="4" t="n"/>
      <c r="C34" s="4" t="n"/>
      <c r="D34" s="4" t="n"/>
      <c r="E34" s="4" t="n"/>
      <c r="F34"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2件（R8.9.2版）の作成、計画素案への反映（v1.8）まで完了。集計ブック（20260807版）との全件突合で不一致0件。成果品としての調査報告書（80頁程度5部）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第2回委員会_説明資料（4頁）
F6_策定委員会書類ひな形_改訂版</t>
        </is>
      </c>
      <c r="F7" s="12" t="inlineStr">
        <is>
          <t>実施中</t>
        </is>
      </c>
      <c r="G7" s="20" t="n">
        <v>0.7</v>
      </c>
      <c r="H7" s="9" t="inlineStr">
        <is>
          <t>R9.2</t>
        </is>
      </c>
      <c r="I7" s="7" t="inlineStr">
        <is>
          <t>第1回は令和8年9月2日に開催済み。議事録・想定問答集を提出済み。第2回（令和8年11月予定）の説明資料はv2まで作成済み（保険料を仮試算から令和7年度の年報による確定値に置き換えた）。想定問答集（全30問・7カテゴリ）も作成済み。残るのは開催日の確定（確認事項No.85）。</t>
        </is>
      </c>
      <c r="J7" s="9" t="inlineStr">
        <is>
          <t>5, 6</t>
        </is>
      </c>
    </row>
    <row r="8" ht="132" customHeight="1">
      <c r="A8" s="9" t="inlineStr">
        <is>
          <t>(4)</t>
        </is>
      </c>
      <c r="B8" s="7" t="inlineStr">
        <is>
          <t>各種データ収集・作成及び資料整理</t>
        </is>
      </c>
      <c r="C8" s="7"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7"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7" t="inlineStr">
        <is>
          <t>実績データ確認サマリー（6シート）
必要資料_入力フォーマット（13シート）
第9期実績一覧_町記入用（7シート35事業）
関連施策評価調査シート_案（8シート）</t>
        </is>
      </c>
      <c r="F8" s="12" t="inlineStr">
        <is>
          <t>実施中</t>
        </is>
      </c>
      <c r="G8" s="20" t="n">
        <v>0.85</v>
      </c>
      <c r="H8" s="9" t="inlineStr">
        <is>
          <t>R8.10</t>
        </is>
      </c>
      <c r="I8" s="7" t="inlineStr">
        <is>
          <t>①②は完了。令和8年9月11日受領の見える化システムの画面の写し及び総括表により、令和7年度の年報（要介護度別明細）まで取り込んだ。③現行施策（第9期35事業）の実績は【町確認】欄がご記入待ち。保険者機能強化推進交付金等の全国集計結果は受領・反映済み。</t>
        </is>
      </c>
      <c r="J8" s="9" t="inlineStr">
        <is>
          <t>7, 8</t>
        </is>
      </c>
    </row>
    <row r="9" ht="132" customHeight="1">
      <c r="A9" s="9" t="inlineStr">
        <is>
          <t>(5)</t>
        </is>
      </c>
      <c r="B9" s="7" t="inlineStr">
        <is>
          <t>人口推計、事業量・費用推計・分析</t>
        </is>
      </c>
      <c r="C9" s="7"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7"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7" t="inlineStr">
        <is>
          <t>保険料試算ワークブック（11シート・129数式）
長期推計・給付費・保険料試算レポート
保険料_県内比較分析・要因分析
給付費・保険料算定の精査レポート</t>
        </is>
      </c>
      <c r="F9" s="12" t="inlineStr">
        <is>
          <t>実施中</t>
        </is>
      </c>
      <c r="G9" s="20" t="n">
        <v>0.9</v>
      </c>
      <c r="H9" s="9" t="inlineStr">
        <is>
          <t>R9.1</t>
        </is>
      </c>
      <c r="I9" s="7" t="inlineStr">
        <is>
          <t>令和7年度の年報を基礎とする独立算定を完了した（32サービス・要介護度別。総給付費3か年3,048,796千円、保険料基準額 取崩なし6,822円）。令和7年度の基準値は見える化システムの総括表と32サービスすべてで一致する。所得段階別第1号被保険者数（13段階）は年報の様式1により確定した。残るのは準備基金の令和8年度末残高・調整交付金見込交付割合・令和9年度の介護報酬改定の3件で、いずれも受託者の作業では確定できない。</t>
        </is>
      </c>
      <c r="J9" s="9" t="inlineStr">
        <is>
          <t>9, 10, 11, 12, 13, 14</t>
        </is>
      </c>
    </row>
    <row r="10" ht="132" customHeight="1">
      <c r="A10" s="9" t="inlineStr">
        <is>
          <t>(6)</t>
        </is>
      </c>
      <c r="B10" s="7" t="inlineStr">
        <is>
          <t>給付実績分析等及び現状分析業務</t>
        </is>
      </c>
      <c r="C10" s="7" t="inlineStr">
        <is>
          <t>○基礎データ収集・整理
○国・県の施策動向の把握
○関係各課、関係機関等の状況把握
○国保連データからの給付実績や各種課題等をとりまとめ、分析</t>
        </is>
      </c>
      <c r="D10" s="7" t="inlineStr">
        <is>
          <t>①基礎データの収集・整理
②国・宮城県の施策動向の把握
③関係各課・関係機関等の状況把握
④国保連データからの給付実績の分析
⑤各種課題のとりまとめ</t>
        </is>
      </c>
      <c r="E10" s="7" t="inlineStr">
        <is>
          <t>素案 第2章（現状分析）
実績データ確認サマリー（6シート）
図表6点
3層整合表（7シート）</t>
        </is>
      </c>
      <c r="F10" s="12" t="inlineStr">
        <is>
          <t>実施中</t>
        </is>
      </c>
      <c r="G10" s="20" t="n">
        <v>0.85</v>
      </c>
      <c r="H10" s="9" t="inlineStr">
        <is>
          <t>R8.10</t>
        </is>
      </c>
      <c r="I10" s="7" t="inlineStr">
        <is>
          <t>①②は完了し、川崎町固有の5重点課題を整理済み。第2章・第3章の現状分析を令和7年度実績（年報）に更新した。第9期35事業の実績一覧は【町確認】欄がご記入待ちであり、第3章3-2の各表がこれを待っている。</t>
        </is>
      </c>
      <c r="J10" s="9" t="inlineStr">
        <is>
          <t>8, 12</t>
        </is>
      </c>
    </row>
    <row r="11" ht="132" customHeight="1">
      <c r="A11" s="9" t="inlineStr">
        <is>
          <t>(7)</t>
        </is>
      </c>
      <c r="B11" s="7" t="inlineStr">
        <is>
          <t>高齢者保健福祉計画及び介護保険事業計画の素案</t>
        </is>
      </c>
      <c r="C11" s="7"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7" t="inlineStr">
        <is>
          <t>①素案v1.0〜v1.6の段階的作成
②資料編の構成案・素案の作成
③仕様書①〜⑨の構成との対応確認・章立ての調整
④素案Ver.2.0の更新（アンケート結果・委員意見の反映）
⑤素案の確定</t>
        </is>
      </c>
      <c r="E11" s="7" t="inlineStr">
        <is>
          <t>計画書素案_v1.8_調査結果反映版（55表・6図）
資料編_構成案・素案
計画素案_概要版（12頁）</t>
        </is>
      </c>
      <c r="F11" s="12" t="inlineStr">
        <is>
          <t>実施中</t>
        </is>
      </c>
      <c r="G11" s="20" t="n">
        <v>0.8</v>
      </c>
      <c r="H11" s="9" t="inlineStr">
        <is>
          <t>R9.2</t>
        </is>
      </c>
      <c r="I11" s="7" t="inlineStr">
        <is>
          <t>素案はVer.1.17まで作成（全67頁・515段落・75表・6図）。第9章にサービス見込量・給付費・保険料の確定値、中長期推計（令和17年度・令和22年度）、保険料算定表（記号A〜J・年度別）及び感度分析を掲載した。目次の頁番号を全56行に記入した。残るのは第3章の町確認欄と、成果品の100頁程度への増補。</t>
        </is>
      </c>
      <c r="J11" s="9" t="inlineStr">
        <is>
          <t>15, 16, 22, 23</t>
        </is>
      </c>
    </row>
    <row r="12" ht="132" customHeight="1">
      <c r="A12" s="9" t="inlineStr">
        <is>
          <t>(8)</t>
        </is>
      </c>
      <c r="B12" s="7" t="inlineStr">
        <is>
          <t>高齢者保健福祉計画及び第10期介護保険事業計画書の作成</t>
        </is>
      </c>
      <c r="C12" s="7" t="inlineStr">
        <is>
          <t>・中間報告は、その都度指定された期日まで提出すること
・高齢者保健福祉計画及び介護保険事業計画書（案）を作成すること</t>
        </is>
      </c>
      <c r="D12" s="7" t="inlineStr">
        <is>
          <t>①中間報告の提出（指定期日ごと）
②計画書（案）の作成
③概要版の作成
④成果品の印刷・製本・納品</t>
        </is>
      </c>
      <c r="E12" s="7" t="inlineStr">
        <is>
          <t>04シートを参照</t>
        </is>
      </c>
      <c r="F12" s="16" t="inlineStr">
        <is>
          <t>未着手</t>
        </is>
      </c>
      <c r="G12" s="20" t="n">
        <v>0.2</v>
      </c>
      <c r="H12" s="9" t="inlineStr">
        <is>
          <t>R9.3</t>
        </is>
      </c>
      <c r="I12" s="7" t="inlineStr">
        <is>
          <t>中間報告の提出期日が指定されていない（確認事項No.17）。計画書（案）は素案Ver.1.17を母体とするが、現行67頁に対し成果品は100頁程度であり増補を要する。概要版（8頁程度・3,500部）は未着手。</t>
        </is>
      </c>
      <c r="J12" s="9"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2件（ニーズ調査・在宅介護実態調査）を作成済み。あわせて、令和7年度の年報を基礎とするサービス見込量・給付費・保険料の独立算定を完了し、素案をVer.1.17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人口推計・事業量推計は、令和7年度の年報を基礎とする独立算定により第1次の値を確定済み（総給付費3か年3,048,796千円・保険料6,822円）。素案はVer.1.17。見える化システムへの入力は、在宅の利用回（日）数が令和8年5月ベースで固定されているため、新しい推計パターンの作成を提案し設定値一式（8シート）を提供済み。</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第2回策定委員会の説明資料をv2まで作成（ご選択いただきたい事項5件・保険料の確定値・計画骨子案）。想定問答集（全30問・7カテゴリ）も作成済み。諮る事項はサービス見込量・給付費・保険料の3パターン。残るのは開催日の確定。</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保険料算定表（記号A〜J・年度別）と感度分析は素案Ver.1.17に掲載済み。町確認データ（準備基金の令和8年度末残高）の受領により確定値へ置き換える。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3パターンの暫定試算は完了。町確認データにより確定する。</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未着手。</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34"/>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第2回策定委員会の選択4（介護人材の確保に町がどこまで関与するか）と直結する。研修の実施は選択4のＢ・Ｃに含まれる。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row r="126">
      <c r="A126" s="24" t="inlineStr">
        <is>
          <t>区分</t>
        </is>
      </c>
      <c r="B126" s="24" t="inlineStr">
        <is>
          <t>件数</t>
        </is>
      </c>
    </row>
    <row r="127">
      <c r="A127" s="10" t="inlineStr">
        <is>
          <t>完了</t>
        </is>
      </c>
      <c r="B127" s="9">
        <f>COUNTIF(H5:H124,"完了")</f>
        <v/>
      </c>
    </row>
    <row r="128">
      <c r="A128" s="12" t="inlineStr">
        <is>
          <t>実施中</t>
        </is>
      </c>
      <c r="B128" s="9">
        <f>COUNTIF(H5:H124,"実施中")</f>
        <v/>
      </c>
    </row>
    <row r="129">
      <c r="A129" s="14" t="inlineStr">
        <is>
          <t>確認待ち</t>
        </is>
      </c>
      <c r="B129" s="9">
        <f>COUNTIF(H5:H124,"確認待ち")</f>
        <v/>
      </c>
    </row>
    <row r="130">
      <c r="A130" s="16" t="inlineStr">
        <is>
          <t>未着手</t>
        </is>
      </c>
      <c r="B130" s="9">
        <f>COUNTIF(H5:H124,"未着手")</f>
        <v/>
      </c>
    </row>
    <row r="131">
      <c r="A131" s="18" t="inlineStr">
        <is>
          <t>対象外</t>
        </is>
      </c>
      <c r="B131" s="9">
        <f>COUNTIF(H5:H124,"対象外")</f>
        <v/>
      </c>
    </row>
    <row r="132"/>
    <row r="133">
      <c r="A133" s="23" t="inlineStr">
        <is>
          <t>注1）「回答・対応」欄は、発注者からの回答又は受託者による対応の結果を記入し、状態を「完了」に更新する。</t>
        </is>
      </c>
    </row>
    <row r="134">
      <c r="A134" s="23" t="inlineStr">
        <is>
          <t>注2）No.9〜11は保険料試算ワークブックの黄色セル（01!B15、06!B17、06!B16、04!B8、06!B10）と対応し、値を入力すると保険料基準額が自動で再計算される。</t>
        </is>
      </c>
    </row>
  </sheetData>
  <mergeCells count="4">
    <mergeCell ref="A1:J1"/>
    <mergeCell ref="A133:J133"/>
    <mergeCell ref="A2:J2"/>
    <mergeCell ref="A134:J13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川崎町_ニーズ調査結果報告書_R8.9.2版
川崎町_介護実態調査結果報告書_R8.9.2版</t>
        </is>
      </c>
      <c r="D5" s="7" t="inlineStr">
        <is>
          <t>A4版　簡易コピー紙印刷製本
1色刷り　80頁程度　5部</t>
        </is>
      </c>
      <c r="E5" s="16" t="inlineStr">
        <is>
          <t>実施中</t>
        </is>
      </c>
      <c r="F5" s="20" t="n">
        <v>0.7</v>
      </c>
      <c r="G5" s="9" t="inlineStr">
        <is>
          <t>R9.3.15</t>
        </is>
      </c>
      <c r="H5" s="7" t="inlineStr">
        <is>
          <t>2調査の結果報告書を作成済み。集計ブックとの全件突合及びレッドチームレビュー（v6）を実施済み。印刷仕様（A4・1色刷り・80頁程度・5部）への割付けが残る。</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9" t="n">
        <v>3</v>
      </c>
      <c r="B7" s="21" t="inlineStr">
        <is>
          <t>事業量・見込み量等の推計用電子データ</t>
        </is>
      </c>
      <c r="C7" s="7" t="inlineStr">
        <is>
          <t>川崎町_第10期_計画見込量_R8.9.15.xlsx（7シート）
川崎町_新推計パターン_設定値一式_R8.9.11.xlsx（8シート）
川崎町_保険料試算ワークブック（11シート）</t>
        </is>
      </c>
      <c r="D7" s="7" t="inlineStr">
        <is>
          <t>一式（Excel）</t>
        </is>
      </c>
      <c r="E7" s="12" t="inlineStr">
        <is>
          <t>実施中</t>
        </is>
      </c>
      <c r="F7" s="20" t="n">
        <v>0.9</v>
      </c>
      <c r="G7" s="9" t="inlineStr">
        <is>
          <t>R9.3.15</t>
        </is>
      </c>
      <c r="H7" s="7" t="inlineStr">
        <is>
          <t>令和7年度の年報を基礎とする独立算定を完了（32サービス・要介護度別。保険料6,822円）。準備基金の令和8年度末残高の確定を待って確定値とする。</t>
        </is>
      </c>
      <c r="I7" s="9" t="inlineStr">
        <is>
          <t>9, 10, 11, 12, 13</t>
        </is>
      </c>
    </row>
    <row r="8" ht="84" customHeight="1">
      <c r="A8" s="9" t="n">
        <v>4</v>
      </c>
      <c r="B8" s="21" t="inlineStr">
        <is>
          <t>計画書</t>
        </is>
      </c>
      <c r="C8" s="7" t="inlineStr">
        <is>
          <t>川崎町_計画書素案_v1.17_中長期推計反映版.docx
（全67頁・515段落・75表・6図）
川崎町_資料編_構成案・素案.docx</t>
        </is>
      </c>
      <c r="D8" s="7" t="inlineStr">
        <is>
          <t>A4版　表紙レザック　本文上質紙
1色刷り　100頁程度　100部</t>
        </is>
      </c>
      <c r="E8" s="12" t="inlineStr">
        <is>
          <t>実施中</t>
        </is>
      </c>
      <c r="F8" s="20" t="n">
        <v>0.7</v>
      </c>
      <c r="G8" s="9" t="inlineStr">
        <is>
          <t>R9.3.15</t>
        </is>
      </c>
      <c r="H8" s="7" t="inlineStr">
        <is>
          <t>素案はVer.1.17。第9章に見込量・給付費・保険料の確定値、中長期推計、保険料算定表及び感度分析を掲載し、目次の頁番号を全56行に記入した。成果品の100頁程度への増補の方針が未定（確認事項No.83）。</t>
        </is>
      </c>
      <c r="I8" s="9" t="inlineStr">
        <is>
          <t>15, 16, 18</t>
        </is>
      </c>
    </row>
    <row r="9" ht="84" customHeight="1">
      <c r="A9" s="9" t="n">
        <v>5</v>
      </c>
      <c r="B9" s="21" t="inlineStr">
        <is>
          <t>概要版</t>
        </is>
      </c>
      <c r="C9" s="7" t="inlineStr">
        <is>
          <t>川崎町_計画素案_概要版（12頁）
※委員事前配布用として作成したもの</t>
        </is>
      </c>
      <c r="D9" s="7" t="inlineStr">
        <is>
          <t>A4版　コート紙
1色刷り　8頁程度　3,500部</t>
        </is>
      </c>
      <c r="E9" s="12" t="inlineStr">
        <is>
          <t>実施中</t>
        </is>
      </c>
      <c r="F9" s="20" t="n">
        <v>0.25</v>
      </c>
      <c r="G9" s="9" t="inlineStr">
        <is>
          <t>R9.3.15</t>
        </is>
      </c>
      <c r="H9" s="7" t="inlineStr">
        <is>
          <t>現行の概要版は委員事前配布用の12頁であり、住民配布用の8頁程度（3,500部）への再構成が必要。計画書の確定後に着手する。</t>
        </is>
      </c>
      <c r="I9" s="9" t="inlineStr">
        <is>
          <t>18</t>
        </is>
      </c>
    </row>
    <row r="10" ht="84" customHeight="1">
      <c r="A10" s="9" t="n">
        <v>6</v>
      </c>
      <c r="B10" s="21" t="inlineStr">
        <is>
          <t>計画書概要及び計画書案等の電子データ</t>
        </is>
      </c>
      <c r="C10" s="7" t="inlineStr">
        <is>
          <t>素案Ver.1.17（Word）
概要版（Word）
資料編（Word）</t>
        </is>
      </c>
      <c r="D10" s="7" t="inlineStr">
        <is>
          <t>一式（Word・PDF）</t>
        </is>
      </c>
      <c r="E10" s="12" t="inlineStr">
        <is>
          <t>実施中</t>
        </is>
      </c>
      <c r="F10" s="20" t="n">
        <v>0.7</v>
      </c>
      <c r="G10" s="9" t="inlineStr">
        <is>
          <t>R9.3.15</t>
        </is>
      </c>
      <c r="H10" s="7" t="inlineStr">
        <is>
          <t>計画書・概要版の確定に連動する。</t>
        </is>
      </c>
      <c r="I10" s="9" t="inlineStr">
        <is>
          <t>15, 18</t>
        </is>
      </c>
    </row>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資料提供依頼一覧（36件）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row r="42">
      <c r="A42" s="24" t="inlineStr">
        <is>
          <t>区分</t>
        </is>
      </c>
      <c r="B42" s="24" t="inlineStr">
        <is>
          <t>件数</t>
        </is>
      </c>
    </row>
    <row r="43">
      <c r="A43" s="10" t="inlineStr">
        <is>
          <t>完了</t>
        </is>
      </c>
      <c r="B43" s="9">
        <f>COUNTIF(I5:I40,"完了")</f>
        <v/>
      </c>
    </row>
    <row r="44">
      <c r="A44" s="12" t="inlineStr">
        <is>
          <t>実施中</t>
        </is>
      </c>
      <c r="B44" s="9">
        <f>COUNTIF(I5:I40,"実施中")</f>
        <v/>
      </c>
    </row>
    <row r="45">
      <c r="A45" s="14" t="inlineStr">
        <is>
          <t>確認待ち</t>
        </is>
      </c>
      <c r="B45" s="9">
        <f>COUNTIF(I5:I40,"確認待ち")</f>
        <v/>
      </c>
    </row>
    <row r="46">
      <c r="A46" s="16" t="inlineStr">
        <is>
          <t>未着手</t>
        </is>
      </c>
      <c r="B46" s="9">
        <f>COUNTIF(I5:I40,"未着手")</f>
        <v/>
      </c>
    </row>
    <row r="47">
      <c r="A47" s="18" t="inlineStr">
        <is>
          <t>対象外</t>
        </is>
      </c>
      <c r="B47" s="9">
        <f>COUNTIF(I5:I40,"対象外")</f>
        <v/>
      </c>
    </row>
    <row r="48"/>
    <row r="49">
      <c r="A49" s="23" t="inlineStr">
        <is>
          <t>注1）優先度は 最高／高／中／低 の別による。「最高」は、受領しない限り当該業務が完了しない資料を示す。</t>
        </is>
      </c>
    </row>
    <row r="50">
      <c r="A50" s="23" t="inlineStr">
        <is>
          <t>注2）「状態」が「完了」となった資料は、受領日を備考欄に記入する。</t>
        </is>
      </c>
    </row>
  </sheetData>
  <mergeCells count="4">
    <mergeCell ref="A1:J1"/>
    <mergeCell ref="A2:J2"/>
    <mergeCell ref="A50:J50"/>
    <mergeCell ref="A49:J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2026-09-25T01:26:10Z</dcterms:modified>
</cp:coreProperties>
</file>