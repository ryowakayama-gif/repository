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令和8年9月30日　本表の記載は同日時点のもの。計画素案 Ver.2.4（制度改正・日常生活圏域 反映版・649段落125表・全104頁）、第2回策定委員会資料 v6、想定問答集 v3（全39問）、施策・事業統合体系表（7章17節37項143事業）、交付金取りまとめ表（7シート）、計画書別添整理表（5シート）、認知症の意見聴取記録様式（9シート・様式0〜5）、認知症の計画記載事項 適合性確認表（6シート）、大雪広域との素案対比表（8シート）まで作成済み。点検は、素案の自己点検32件・保険料の検算39項目・委員会資料の自己点検27件がいずれも適合。</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計画書素案_v2.4_制度改正反映版（649段落125表・全104頁）
施策・事業統合体系表_R8.9.25b（6シート・7章17節37項143事業）
認知症_意見聴取記録様式_R8.9.30（9シート・様式0〜5・別添22）
認知症_計画記載事項_適合性確認表_R8.9.30（6シート）
大雪広域_素案対比表_R8.9.30（8シート）
交付金_取りまとめ表_R8.9.29（7シート）
計画書_別添整理表_R8.9.29（5シート）</t>
        </is>
      </c>
      <c r="F11" s="12" t="inlineStr">
        <is>
          <t>実施中</t>
        </is>
      </c>
      <c r="G11" s="20" t="n">
        <v>0.98</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0.35</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人口推計・事業量推計は、令和7年度の年報を基礎とする独立算定により第1稿を作成。地域支援事業の費用の見込みはデータ未受領のため保留。素案はVer.2.4（制度改正・日常生活圏域 反映版・全104頁）まで更新した。大雪地区広域連合の協議用素案（令和8年8月）と対比し、介護保険制度改正の主な内容（1-5）・日常生活圏域の設定（1-6）・24時間対応サービスの確保方策及び介護施設整備に係る基本方針（9-1）・低所得者支援（9-3）を新設した。認知症の人及び家族等からの意見聴取は令和8年10〜11月に実施する予定であり、記録様式（別添22・様式0〜5）を作成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まで作成（ご選択いただきたい事項5件・保険料の3パターン・交付金の評価結果と取り戻せる27点・第1回からの訂正事項5件・当社資料の訂正6件・町案から取り込む事業10件・認知症施策の事業の追加候補15件と財源別の保険料影響）。想定問答集はv3（全39問8カテゴリ）。選択1（施策体系）のご判断により、追加候補15件を併せてご判断いただく。</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row r="166">
      <c r="A166" s="24" t="inlineStr">
        <is>
          <t>区分</t>
        </is>
      </c>
      <c r="B166" s="24" t="inlineStr">
        <is>
          <t>件数</t>
        </is>
      </c>
    </row>
    <row r="167">
      <c r="A167" s="10" t="inlineStr">
        <is>
          <t>完了</t>
        </is>
      </c>
      <c r="B167" s="9">
        <f>COUNTIF(H5:H164,"完了")</f>
        <v/>
      </c>
    </row>
    <row r="168">
      <c r="A168" s="12" t="inlineStr">
        <is>
          <t>実施中</t>
        </is>
      </c>
      <c r="B168" s="9">
        <f>COUNTIF(H5:H164,"実施中")</f>
        <v/>
      </c>
    </row>
    <row r="169">
      <c r="A169" s="14" t="inlineStr">
        <is>
          <t>確認待ち</t>
        </is>
      </c>
      <c r="B169" s="9">
        <f>COUNTIF(H5:H164,"確認待ち")</f>
        <v/>
      </c>
    </row>
    <row r="170">
      <c r="A170" s="16" t="inlineStr">
        <is>
          <t>未着手</t>
        </is>
      </c>
      <c r="B170" s="9">
        <f>COUNTIF(H5:H164,"未着手")</f>
        <v/>
      </c>
    </row>
    <row r="171">
      <c r="A171" s="18" t="inlineStr">
        <is>
          <t>対象外</t>
        </is>
      </c>
      <c r="B171" s="9">
        <f>COUNTIF(H5:H164,"対象外")</f>
        <v/>
      </c>
    </row>
    <row r="172"/>
    <row r="173">
      <c r="A173" s="23" t="inlineStr">
        <is>
          <t>注1）「回答・対応」欄は、発注者からの回答又は受託者による対応の結果を記入し、状態を「完了」に更新する。</t>
        </is>
      </c>
    </row>
    <row r="174">
      <c r="A174" s="23" t="inlineStr">
        <is>
          <t>注2）No.9〜11は保険料試算ワークブックの黄色セル（01!B15、06!B17、06!B16、04!B8、06!B10）と対応し、値を入力すると保険料基準額が自動で再計算される。</t>
        </is>
      </c>
    </row>
  </sheetData>
  <mergeCells count="4">
    <mergeCell ref="A1:J1"/>
    <mergeCell ref="A174:J174"/>
    <mergeCell ref="A2:J2"/>
    <mergeCell ref="A173:J1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川崎町_計画書素案_v2.4_制度改正反映版.docx</t>
        </is>
      </c>
      <c r="D8" s="7" t="inlineStr">
        <is>
          <t>A4版　表紙レザック　本文上質紙
1色刷り　100頁程度　100部</t>
        </is>
      </c>
      <c r="E8" s="12" t="inlineStr">
        <is>
          <t>実施中</t>
        </is>
      </c>
      <c r="F8" s="20" t="n">
        <v>0.75</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2026-09-29T06:21:34Z</dcterms:modified>
</cp:coreProperties>
</file>