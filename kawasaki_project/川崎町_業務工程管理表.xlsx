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b val="1"/>
      <sz val="9"/>
    </font>
    <font>
      <name val="游ゴシック"/>
      <sz val="8"/>
    </font>
  </fonts>
  <fills count="10">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DDEBF7"/>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6">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top" wrapText="1" indent="1"/>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left" vertical="top" wrapText="1" indent="1"/>
    </xf>
    <xf numFmtId="0" fontId="2" fillId="0" borderId="1" applyAlignment="1" pivotButton="0" quotePrefix="0" xfId="0">
      <alignment horizontal="left" vertical="top" wrapText="1" inden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indent="1"/>
    </xf>
    <xf numFmtId="0" fontId="2" fillId="7" borderId="1" applyAlignment="1" pivotButton="0" quotePrefix="0" xfId="0">
      <alignment horizontal="center" vertical="top" wrapText="1"/>
    </xf>
    <xf numFmtId="0" fontId="2" fillId="7" borderId="1" applyAlignment="1" pivotButton="0" quotePrefix="0" xfId="0">
      <alignment horizontal="left" vertical="top" wrapText="1" indent="1"/>
    </xf>
    <xf numFmtId="0" fontId="2" fillId="8" borderId="1" applyAlignment="1" pivotButton="0" quotePrefix="0" xfId="0">
      <alignment horizontal="center" vertical="top" wrapText="1"/>
    </xf>
    <xf numFmtId="0" fontId="2" fillId="8" borderId="1" applyAlignment="1" pivotButton="0" quotePrefix="0" xfId="0">
      <alignment horizontal="left" vertical="top" wrapText="1" indent="1"/>
    </xf>
    <xf numFmtId="0" fontId="2" fillId="9" borderId="1" applyAlignment="1" pivotButton="0" quotePrefix="0" xfId="0">
      <alignment horizontal="center" vertical="top" wrapText="1"/>
    </xf>
    <xf numFmtId="0" fontId="2" fillId="9" borderId="1" applyAlignment="1" pivotButton="0" quotePrefix="0" xfId="0">
      <alignment horizontal="left" vertical="top" wrapText="1" indent="1"/>
    </xf>
    <xf numFmtId="0" fontId="2" fillId="3" borderId="1" applyAlignment="1" pivotButton="0" quotePrefix="0" xfId="0">
      <alignment horizontal="center" vertical="top" wrapText="1"/>
    </xf>
    <xf numFmtId="0" fontId="2" fillId="3" borderId="1" applyAlignment="1" pivotButton="0" quotePrefix="0" xfId="0">
      <alignment horizontal="left" vertical="top" wrapText="1" indent="1"/>
    </xf>
    <xf numFmtId="9" fontId="2" fillId="0" borderId="1" applyAlignment="1" pivotButton="0" quotePrefix="0" xfId="0">
      <alignment horizontal="center" vertical="top" wrapText="1"/>
    </xf>
    <xf numFmtId="0" fontId="4" fillId="0" borderId="1" applyAlignment="1" pivotButton="0" quotePrefix="0" xfId="0">
      <alignment horizontal="left" vertical="top" wrapText="1" indent="1"/>
    </xf>
    <xf numFmtId="9" fontId="4" fillId="0" borderId="1" applyAlignment="1" pivotButton="0" quotePrefix="0" xfId="0">
      <alignment horizontal="center" vertical="top" wrapText="1"/>
    </xf>
    <xf numFmtId="0" fontId="5" fillId="0" borderId="0" applyAlignment="1" pivotButton="0" quotePrefix="0" xfId="0">
      <alignment horizontal="left" vertical="top" wrapText="1" indent="1"/>
    </xf>
    <xf numFmtId="0" fontId="3" fillId="4" borderId="1" applyAlignment="1" pivotButton="0" quotePrefix="0" xfId="0">
      <alignment horizontal="center" vertical="top" wrapText="1"/>
    </xf>
    <xf numFmtId="0" fontId="4" fillId="9"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4"/>
  <sheetViews>
    <sheetView showGridLines="0" workbookViewId="0">
      <selection activeCell="A1" sqref="A1"/>
    </sheetView>
  </sheetViews>
  <sheetFormatPr baseColWidth="8" defaultRowHeight="15"/>
  <cols>
    <col width="13" customWidth="1" min="1" max="1"/>
    <col width="22" customWidth="1" min="2" max="2"/>
    <col width="52" customWidth="1" min="3" max="3"/>
    <col width="34" customWidth="1" min="4" max="4"/>
    <col width="10" customWidth="1" min="5" max="5"/>
    <col width="10" customWidth="1" min="6" max="6"/>
  </cols>
  <sheetData>
    <row r="1" ht="26" customHeight="1">
      <c r="A1" s="1" t="inlineStr">
        <is>
          <t>川崎町高齢者保健福祉計画・第10期介護保険事業計画策定業務　業務工程管理表</t>
        </is>
      </c>
    </row>
    <row r="2" ht="44" customHeight="1">
      <c r="A2" s="2" t="inlineStr">
        <is>
          <t>本業務の工程を、業務内容別の進捗、月別工程、確認事項、成果品、調査及び資料提供依頼の6区分により管理する。業務区分は委託仕様書（保介第41号・令和8年4月23日）の「6．業務内容」（1）〜（8）に準拠し、成果品は同「8．成果品」に準拠する。様式は大雪広域連合 第10期介護保険事業計画策定業務の業務工程管理表による。</t>
        </is>
      </c>
    </row>
    <row r="4" ht="22" customHeight="1">
      <c r="A4" s="3" t="inlineStr">
        <is>
          <t>項目</t>
        </is>
      </c>
      <c r="B4" s="3" t="inlineStr">
        <is>
          <t>内容</t>
        </is>
      </c>
      <c r="C4" s="4" t="n"/>
      <c r="D4" s="4" t="n"/>
      <c r="E4" s="4" t="n"/>
      <c r="F4" s="5" t="n"/>
    </row>
    <row r="5" ht="20" customHeight="1">
      <c r="A5" s="6" t="inlineStr">
        <is>
          <t>業務名</t>
        </is>
      </c>
      <c r="B5" s="7" t="inlineStr">
        <is>
          <t>令和8年度施行　川崎町高齢者保健福祉計画・第10期介護保険事業計画策定業務</t>
        </is>
      </c>
      <c r="C5" s="4" t="n"/>
      <c r="D5" s="4" t="n"/>
      <c r="E5" s="4" t="n"/>
      <c r="F5" s="5" t="n"/>
    </row>
    <row r="6" ht="20" customHeight="1">
      <c r="A6" s="6" t="inlineStr">
        <is>
          <t>委託仕様書</t>
        </is>
      </c>
      <c r="B6" s="7" t="inlineStr">
        <is>
          <t>保介第41号（令和8年4月23日）　※09_元資料に格納</t>
        </is>
      </c>
      <c r="C6" s="4" t="n"/>
      <c r="D6" s="4" t="n"/>
      <c r="E6" s="4" t="n"/>
      <c r="F6" s="5" t="n"/>
    </row>
    <row r="7" ht="20" customHeight="1">
      <c r="A7" s="6" t="inlineStr">
        <is>
          <t>発注者</t>
        </is>
      </c>
      <c r="B7" s="7" t="inlineStr">
        <is>
          <t>川崎町（宮城県柴田郡）保健福祉課／入札担当：大宮こずえ様（電話0224-84-6008）</t>
        </is>
      </c>
      <c r="C7" s="4" t="n"/>
      <c r="D7" s="4" t="n"/>
      <c r="E7" s="4" t="n"/>
      <c r="F7" s="5" t="n"/>
    </row>
    <row r="8" ht="20" customHeight="1">
      <c r="A8" s="6" t="inlineStr">
        <is>
          <t>受託者</t>
        </is>
      </c>
      <c r="B8" s="7" t="inlineStr">
        <is>
          <t>ビズアップ公共コンサルティング株式会社 札幌事業所／主担当：若山</t>
        </is>
      </c>
      <c r="C8" s="4" t="n"/>
      <c r="D8" s="4" t="n"/>
      <c r="E8" s="4" t="n"/>
      <c r="F8" s="5" t="n"/>
    </row>
    <row r="9" ht="20" customHeight="1">
      <c r="A9" s="6" t="inlineStr">
        <is>
          <t>委託期間</t>
        </is>
      </c>
      <c r="B9" s="7" t="inlineStr">
        <is>
          <t>契約日の翌日から令和9年3月15日まで（仕様書2）</t>
        </is>
      </c>
      <c r="C9" s="4" t="n"/>
      <c r="D9" s="4" t="n"/>
      <c r="E9" s="4" t="n"/>
      <c r="F9" s="5" t="n"/>
    </row>
    <row r="10" ht="20" customHeight="1">
      <c r="A10" s="6" t="inlineStr">
        <is>
          <t>計画期間</t>
        </is>
      </c>
      <c r="B10" s="7" t="inlineStr">
        <is>
          <t>令和9〜11年度（3年間）（仕様書3）</t>
        </is>
      </c>
      <c r="C10" s="4" t="n"/>
      <c r="D10" s="4" t="n"/>
      <c r="E10" s="4" t="n"/>
      <c r="F10" s="5" t="n"/>
    </row>
    <row r="11" ht="20" customHeight="1">
      <c r="A11" s="6" t="inlineStr">
        <is>
          <t>予定価格</t>
        </is>
      </c>
      <c r="B11" s="7" t="inlineStr">
        <is>
          <t>6,700千円（税抜）　※開札 令和8年5月14日</t>
        </is>
      </c>
      <c r="C11" s="4" t="n"/>
      <c r="D11" s="4" t="n"/>
      <c r="E11" s="4" t="n"/>
      <c r="F11" s="5" t="n"/>
    </row>
    <row r="12" ht="20" customHeight="1">
      <c r="A12" s="6" t="inlineStr">
        <is>
          <t>納入場所</t>
        </is>
      </c>
      <c r="B12" s="7" t="inlineStr">
        <is>
          <t>川崎町保健福祉課（仕様書9）</t>
        </is>
      </c>
      <c r="C12" s="4" t="n"/>
      <c r="D12" s="4" t="n"/>
      <c r="E12" s="4" t="n"/>
      <c r="F12" s="5" t="n"/>
    </row>
    <row r="13" ht="20" customHeight="1">
      <c r="A13" s="6" t="inlineStr">
        <is>
          <t>支払方法</t>
        </is>
      </c>
      <c r="B13" s="7" t="inlineStr">
        <is>
          <t>業務完了、請求書受領後1ヶ月以内に一括払い（仕様書10）</t>
        </is>
      </c>
      <c r="C13" s="4" t="n"/>
      <c r="D13" s="4" t="n"/>
      <c r="E13" s="4" t="n"/>
      <c r="F13" s="5" t="n"/>
    </row>
    <row r="15" ht="24" customHeight="1">
      <c r="A15" s="8" t="inlineStr">
        <is>
          <t>No.</t>
        </is>
      </c>
      <c r="B15" s="8" t="inlineStr">
        <is>
          <t>シート</t>
        </is>
      </c>
      <c r="C15" s="8" t="inlineStr">
        <is>
          <t>内容</t>
        </is>
      </c>
      <c r="D15" s="8" t="inlineStr">
        <is>
          <t>更新の頻度と担当</t>
        </is>
      </c>
    </row>
    <row r="16" ht="32" customHeight="1">
      <c r="A16" s="9" t="n">
        <v>1</v>
      </c>
      <c r="B16" s="7" t="inlineStr">
        <is>
          <t>01_業務内容別の進捗</t>
        </is>
      </c>
      <c r="C16" s="7" t="inlineStr">
        <is>
          <t>仕様書6（1）〜（8）の8業務について、仕様書の要求・作業項目・成果物・進捗・未了の理由を管理する。末尾に全体進捗（単純平均）を算出する。</t>
        </is>
      </c>
      <c r="D16" s="7" t="inlineStr">
        <is>
          <t>受託者が随時更新。工程末に発注者が確認</t>
        </is>
      </c>
      <c r="E16" s="4" t="n"/>
      <c r="F16" s="5" t="n"/>
    </row>
    <row r="17" ht="32" customHeight="1">
      <c r="A17" s="9" t="n">
        <v>2</v>
      </c>
      <c r="B17" s="7" t="inlineStr">
        <is>
          <t>02_月別工程管理</t>
        </is>
      </c>
      <c r="C17" s="7" t="inlineStr">
        <is>
          <t>令和8年6月から令和9年3月までの月別工程について、各月末に提出する成果物と発注者の確認欄を設ける。</t>
        </is>
      </c>
      <c r="D17" s="7" t="inlineStr">
        <is>
          <t>受託者が月次更新。確認欄は発注者が記入</t>
        </is>
      </c>
      <c r="E17" s="4" t="n"/>
      <c r="F17" s="5" t="n"/>
    </row>
    <row r="18" ht="32" customHeight="1">
      <c r="A18" s="9" t="n">
        <v>3</v>
      </c>
      <c r="B18" s="7" t="inlineStr">
        <is>
          <t>03_確認事項一覧</t>
        </is>
      </c>
      <c r="C18" s="7" t="inlineStr">
        <is>
          <t>発注者・国への確認事項を、業務工程及び止めている成果物に紐づけて一覧化する。</t>
        </is>
      </c>
      <c r="D18" s="7" t="inlineStr">
        <is>
          <t>受託者が随時追加。回答欄は発注者が記入</t>
        </is>
      </c>
      <c r="E18" s="4" t="n"/>
      <c r="F18" s="5" t="n"/>
    </row>
    <row r="19" ht="32" customHeight="1">
      <c r="A19" s="9" t="n">
        <v>4</v>
      </c>
      <c r="B19" s="7" t="inlineStr">
        <is>
          <t>04_成果品管理</t>
        </is>
      </c>
      <c r="C19" s="7" t="inlineStr">
        <is>
          <t>仕様書8が定める6種の成果品について、現在のファイル・稿、仕様、状態、進捗を管理する。</t>
        </is>
      </c>
      <c r="D19" s="7" t="inlineStr">
        <is>
          <t>受託者が随時更新</t>
        </is>
      </c>
      <c r="E19" s="4" t="n"/>
      <c r="F19" s="5" t="n"/>
    </row>
    <row r="20" ht="32" customHeight="1">
      <c r="A20" s="9" t="n">
        <v>5</v>
      </c>
      <c r="B20" s="7" t="inlineStr">
        <is>
          <t>05_調査別の状況</t>
        </is>
      </c>
      <c r="C20" s="7" t="inlineStr">
        <is>
          <t>仕様書6（1）の調査（一般高齢者1,000人・認定者300人）について、設問設計から計画への反映までの7段階の到達状況を管理する。</t>
        </is>
      </c>
      <c r="D20" s="7" t="inlineStr">
        <is>
          <t>受託者が随時更新</t>
        </is>
      </c>
      <c r="E20" s="4" t="n"/>
      <c r="F20" s="5" t="n"/>
    </row>
    <row r="21" ht="32" customHeight="1">
      <c r="A21" s="9" t="n">
        <v>6</v>
      </c>
      <c r="B21" s="7" t="inlineStr">
        <is>
          <t>06_資料提供依頼一覧</t>
        </is>
      </c>
      <c r="C21" s="7" t="inlineStr">
        <is>
          <t>業務の遂行に必要な資料を、領域別・優先度別に一覧化する。</t>
        </is>
      </c>
      <c r="D21" s="7" t="inlineStr">
        <is>
          <t>受託者が随時追加。状態欄は受領時に更新</t>
        </is>
      </c>
      <c r="E21" s="4" t="n"/>
      <c r="F21" s="5" t="n"/>
    </row>
    <row r="23" ht="22" customHeight="1">
      <c r="A23" s="3" t="inlineStr">
        <is>
          <t>区分</t>
        </is>
      </c>
      <c r="B23" s="3" t="inlineStr">
        <is>
          <t>意味</t>
        </is>
      </c>
      <c r="C23" s="3" t="inlineStr">
        <is>
          <t>色</t>
        </is>
      </c>
    </row>
    <row r="24" ht="20" customHeight="1">
      <c r="A24" s="10" t="inlineStr">
        <is>
          <t>完了</t>
        </is>
      </c>
      <c r="B24" s="7" t="inlineStr">
        <is>
          <t>当該項目の作業が終わり、成果物を提出済み又は提出可能な状態にある</t>
        </is>
      </c>
      <c r="C24" s="11" t="inlineStr"/>
    </row>
    <row r="25" ht="20" customHeight="1">
      <c r="A25" s="12" t="inlineStr">
        <is>
          <t>実施中</t>
        </is>
      </c>
      <c r="B25" s="7" t="inlineStr">
        <is>
          <t>着手しているが完了していない</t>
        </is>
      </c>
      <c r="C25" s="13" t="inlineStr"/>
    </row>
    <row r="26" ht="20" customHeight="1">
      <c r="A26" s="14" t="inlineStr">
        <is>
          <t>確認待ち</t>
        </is>
      </c>
      <c r="B26" s="7" t="inlineStr">
        <is>
          <t>受託者の作業は終わっており、発注者・国からの回答又は資料の提供を待っている</t>
        </is>
      </c>
      <c r="C26" s="15" t="inlineStr"/>
    </row>
    <row r="27" ht="20" customHeight="1">
      <c r="A27" s="16" t="inlineStr">
        <is>
          <t>未着手</t>
        </is>
      </c>
      <c r="B27" s="7" t="inlineStr">
        <is>
          <t>工程上まだ着手していない、又は前提条件が整っていない</t>
        </is>
      </c>
      <c r="C27" s="17" t="inlineStr"/>
    </row>
    <row r="28" ht="20" customHeight="1">
      <c r="A28" s="18" t="inlineStr">
        <is>
          <t>対象外</t>
        </is>
      </c>
      <c r="B28" s="7" t="inlineStr">
        <is>
          <t>本業務の範囲外、又は該当がない</t>
        </is>
      </c>
      <c r="C28" s="19" t="inlineStr"/>
    </row>
    <row r="30" ht="62" customHeight="1">
      <c r="A30" s="7" t="inlineStr">
        <is>
          <t>【本表の位置づけ】計画素案の本文には、確認事項や仮置きの数値をそのまま記載していない。確定していない事項は本表の03シート及び06シートで管理し、確定した時点で本文及び保険料試算ワークブックに反映する。保険料試算ワークブックの黄色セルは、本表03シートのNo.9〜11と対応する。</t>
        </is>
      </c>
      <c r="B30" s="4" t="n"/>
      <c r="C30" s="4" t="n"/>
      <c r="D30" s="4" t="n"/>
      <c r="E30" s="4" t="n"/>
      <c r="F30" s="5" t="n"/>
    </row>
    <row r="31" ht="62" customHeight="1">
      <c r="A31" s="7" t="inlineStr">
        <is>
          <t>【委員会の名称について】仕様書6（3）は「策定委員会」と表記している。一方、第9期計画書は審議組織を介護保険条例第17条に基づく常設の「介護保険運営委員会」と表記している（本文中17回）。計画素案v1.6は第9期計画との整合を優先して「介護保険運営委員会」に統一済み（20箇所）であるが、仕様書の表記とは一致していない。第10期において新たに策定委員会を設置するのか、既存の介護保険運営委員会に諮るのかにより計画書本文・委員会資料・資料編の表記が変わるため、発注者の確認を要する（03シート 確認事項No.6）。</t>
        </is>
      </c>
      <c r="B31" s="4" t="n"/>
      <c r="C31" s="4" t="n"/>
      <c r="D31" s="4" t="n"/>
      <c r="E31" s="4" t="n"/>
      <c r="F31" s="5" t="n"/>
    </row>
    <row r="32" ht="62" customHeight="1">
      <c r="A32" s="7" t="inlineStr">
        <is>
          <t>【仕様書に規定のない業務】パブリックコメントの実施支援、介護保険条例の改正案の作成支援及び認知症の本人・家族の意見聴取は、仕様書の業務内容に規定がない。本業務の範囲として実施するか、仕様書11「その他」による協議事項として取り扱うかについて発注者の確認を要する（03シート 確認事項No.19）。</t>
        </is>
      </c>
      <c r="B32" s="4" t="n"/>
      <c r="C32" s="4" t="n"/>
      <c r="D32" s="4" t="n"/>
      <c r="E32" s="4" t="n"/>
      <c r="F32" s="5" t="n"/>
    </row>
    <row r="33" ht="62" customHeight="1">
      <c r="A33" s="7" t="inlineStr">
        <is>
          <t>【保険料の取扱い】保険料は断定を避け、基金取崩額を変動要因とする3パターン（A取崩なし／B50%取崩／C全額取崩）で提示する。現時点の暫定値はA=7,632円／B=7,384円／C=7,137円（第9期6,500円比 +9.8〜17.4%）であり、03シートNo.9〜11の確定により基準額が確定する。6,500円の据置は基金が第10期中に枯渇するため財源的に維持困難である。</t>
        </is>
      </c>
      <c r="B33" s="4" t="n"/>
      <c r="C33" s="4" t="n"/>
      <c r="D33" s="4" t="n"/>
      <c r="E33" s="4" t="n"/>
      <c r="F33" s="5" t="n"/>
    </row>
    <row r="34" ht="62" customHeight="1">
      <c r="A34" s="7" t="inlineStr">
        <is>
          <t>【現時点の全体状況（令和8年6月）】計画素案はv1.6（44頁）まで作成し、保険料推計の枠組み（8ステップ・11シート）も構築を終えている。一方、仕様書6（2）の発送準備（印刷・封筒・封入・宛名ラベル貼付）、6（4）の関連施策評価調査シート、6（1）の調査報告書（80頁程度・5部）はいずれも未着手であり、成果品の計画書は100頁程度・概要版は8頁程度3,500部と定められている。</t>
        </is>
      </c>
      <c r="B34" s="4" t="n"/>
      <c r="C34" s="4" t="n"/>
      <c r="D34" s="4" t="n"/>
      <c r="E34" s="4" t="n"/>
      <c r="F34" s="5" t="n"/>
    </row>
  </sheetData>
  <mergeCells count="23">
    <mergeCell ref="B4:F4"/>
    <mergeCell ref="B7:F7"/>
    <mergeCell ref="D17:F17"/>
    <mergeCell ref="D16:F16"/>
    <mergeCell ref="A2:F2"/>
    <mergeCell ref="A33:F33"/>
    <mergeCell ref="B12:F12"/>
    <mergeCell ref="B11:F11"/>
    <mergeCell ref="A32:F32"/>
    <mergeCell ref="D18:F18"/>
    <mergeCell ref="B8:F8"/>
    <mergeCell ref="B13:F13"/>
    <mergeCell ref="B10:F10"/>
    <mergeCell ref="A31:F31"/>
    <mergeCell ref="A34:F34"/>
    <mergeCell ref="A30:F30"/>
    <mergeCell ref="D20:F20"/>
    <mergeCell ref="B9:F9"/>
    <mergeCell ref="D19:F19"/>
    <mergeCell ref="B6:F6"/>
    <mergeCell ref="A1:F1"/>
    <mergeCell ref="B5:F5"/>
    <mergeCell ref="D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5" customWidth="1" min="1" max="1"/>
    <col width="22" customWidth="1" min="2" max="2"/>
    <col width="36" customWidth="1" min="3" max="3"/>
    <col width="30" customWidth="1" min="4" max="4"/>
    <col width="26" customWidth="1" min="5" max="5"/>
    <col width="9" customWidth="1" min="6" max="6"/>
    <col width="9" customWidth="1" min="7" max="7"/>
    <col width="11" customWidth="1" min="8" max="8"/>
    <col width="32" customWidth="1" min="9" max="9"/>
    <col width="12" customWidth="1" min="10" max="10"/>
  </cols>
  <sheetData>
    <row r="1" ht="26" customHeight="1">
      <c r="A1" s="1" t="inlineStr">
        <is>
          <t>仕様書6　業務内容別の進捗</t>
        </is>
      </c>
    </row>
    <row r="2" ht="52" customHeight="1">
      <c r="A2" s="2" t="inlineStr">
        <is>
          <t>委託仕様書（保介第41号）「6．業務内容」（1）〜（8）ごとに、仕様書の要求・作業項目・成果物・状態・進捗・未了の理由を管理する。進捗は当該業務の作業項目のうち完了したものの割合を受託者が判断して記入する。確認事項No.は03シートの番号に対応する。</t>
        </is>
      </c>
    </row>
    <row r="4" ht="32" customHeight="1">
      <c r="A4" s="8" t="inlineStr">
        <is>
          <t>No.</t>
        </is>
      </c>
      <c r="B4" s="8" t="inlineStr">
        <is>
          <t>業務内容（仕様書6）</t>
        </is>
      </c>
      <c r="C4" s="8" t="inlineStr">
        <is>
          <t>仕様書の要求</t>
        </is>
      </c>
      <c r="D4" s="8" t="inlineStr">
        <is>
          <t>作業項目</t>
        </is>
      </c>
      <c r="E4" s="8" t="inlineStr">
        <is>
          <t>成果物</t>
        </is>
      </c>
      <c r="F4" s="8" t="inlineStr">
        <is>
          <t>状態</t>
        </is>
      </c>
      <c r="G4" s="8" t="inlineStr">
        <is>
          <t>進捗</t>
        </is>
      </c>
      <c r="H4" s="8" t="inlineStr">
        <is>
          <t>完了予定</t>
        </is>
      </c>
      <c r="I4" s="8" t="inlineStr">
        <is>
          <t>未了の理由・次の作業</t>
        </is>
      </c>
      <c r="J4" s="8" t="inlineStr">
        <is>
          <t>確認事項No.</t>
        </is>
      </c>
    </row>
    <row r="5" ht="132" customHeight="1">
      <c r="A5" s="9" t="inlineStr">
        <is>
          <t>(1)</t>
        </is>
      </c>
      <c r="B5" s="7" t="inlineStr">
        <is>
          <t>アンケート調査業務</t>
        </is>
      </c>
      <c r="C5" s="7" t="inlineStr">
        <is>
          <t>○アンケート調査票の設問設計及び作成
○調査の対象者：要支援・要介護認定者300人／一般高齢者1,000人
○調査票準備及び回収票管理（ナンバリング等）
○回収調査票の入力及び集計作業（データ入力・整理・グラフデータ作成）
○集計・実態調査分析
○調査票報告書作成（編集・校正含み）</t>
        </is>
      </c>
      <c r="D5" s="7" t="inlineStr">
        <is>
          <t>①追加設問の設計（F3）
②実施設計・サンプリング（F4）
③集計分析テンプレートの整備
④調査票のナンバリング・回収票管理
⑤回収票の入力・集計・グラフデータ作成
⑥集計・実態調査分析
⑦調査報告書の作成（編集・校正）</t>
        </is>
      </c>
      <c r="E5" s="7" t="inlineStr">
        <is>
          <t>F3_アンケート追加設問
F4_アンケート実施支援
アンケート集計分析テンプレート（6シート）
修正アンケート素案_町確認用
調査報告書（80頁程度・5部）＝未作成</t>
        </is>
      </c>
      <c r="F5" s="12" t="inlineStr">
        <is>
          <t>完了</t>
        </is>
      </c>
      <c r="G5" s="20" t="n">
        <v>1</v>
      </c>
      <c r="H5" s="9" t="inlineStr">
        <is>
          <t>R8.10</t>
        </is>
      </c>
      <c r="I5" s="7" t="inlineStr">
        <is>
          <t>令和8年6〜7月に調査を実施し、一般高齢者576件・要支援要介護認定者142件を回収。単純集計・クロス集計・分析、結果報告書2件（R8.9.2版）の作成、計画素案への反映（v1.8）まで完了。集計ブック（20260807版）との全件突合で不一致0件。成果品としての調査報告書（80頁程度5部）の統合・体裁は、確認事項No.2の回答を待って確定する。</t>
        </is>
      </c>
      <c r="J5" s="9" t="inlineStr">
        <is>
          <t>2, 21, 25, 26, 27, 28</t>
        </is>
      </c>
    </row>
    <row r="6" ht="132" customHeight="1">
      <c r="A6" s="9" t="inlineStr">
        <is>
          <t>(2)</t>
        </is>
      </c>
      <c r="B6" s="7" t="inlineStr">
        <is>
          <t>調査票の発送準備業務</t>
        </is>
      </c>
      <c r="C6" s="7" t="inlineStr">
        <is>
          <t>○調査票の印刷（2種類）
○調査票送付用封筒印刷（角2）
○調査票返信用封筒印刷（長3）
○調査票封入・宛名ラベル貼付</t>
        </is>
      </c>
      <c r="D6" s="7" t="inlineStr">
        <is>
          <t>①調査票の確定・印刷（2種類）
②送付用封筒（角2）の印刷
③返信用封筒（長3）の印刷
④宛名ラベルの作成・貼付
⑤封入・発送</t>
        </is>
      </c>
      <c r="E6" s="7" t="inlineStr">
        <is>
          <t>調査票2種類・封筒・宛名ラベル（実施済み）</t>
        </is>
      </c>
      <c r="F6" s="10" t="inlineStr">
        <is>
          <t>完了</t>
        </is>
      </c>
      <c r="G6" s="20" t="n">
        <v>1</v>
      </c>
      <c r="H6" s="9" t="inlineStr">
        <is>
          <t>R8.6</t>
        </is>
      </c>
      <c r="I6" s="7" t="inlineStr">
        <is>
          <t>令和8年6〜7月に郵送による配布・回収を実施済み（第1回策定委員会資料による）。一般高齢者分の有効回答は552件。要支援・要介護認定者300人分の発送の有無は確認を要する（確認事項No.21）。</t>
        </is>
      </c>
      <c r="J6" s="9" t="inlineStr">
        <is>
          <t>21</t>
        </is>
      </c>
    </row>
    <row r="7" ht="132" customHeight="1">
      <c r="A7" s="9" t="inlineStr">
        <is>
          <t>(3)</t>
        </is>
      </c>
      <c r="B7" s="7" t="inlineStr">
        <is>
          <t>策定委員会の支援業務</t>
        </is>
      </c>
      <c r="C7" s="7" t="inlineStr">
        <is>
          <t>○策定委員会等の資料作成及び助言
○必要に応じ策定委員会等への出席及び資料説明
○策定委員会の開催回数は4回開催の予定</t>
        </is>
      </c>
      <c r="D7" s="7" t="inlineStr">
        <is>
          <t>①第1回委員会の資料作成
②第1回委員会の想定問答集の作成
③第2回委員会の説明資料の作成
④第2回委員会の想定問答集の作成
⑤第3回・第4回委員会の資料作成
⑥各回への出席・資料説明</t>
        </is>
      </c>
      <c r="E7" s="7" t="inlineStr">
        <is>
          <t>第1回策定委員会資料（12頁）
第1回委員会_想定問答集（31問8カテゴリ）
第2回委員会_説明資料（4頁）
F6_策定委員会書類ひな形_改訂版</t>
        </is>
      </c>
      <c r="F7" s="12" t="inlineStr">
        <is>
          <t>実施中</t>
        </is>
      </c>
      <c r="G7" s="20" t="n">
        <v>0.5</v>
      </c>
      <c r="H7" s="9" t="inlineStr">
        <is>
          <t>R9.2</t>
        </is>
      </c>
      <c r="I7" s="7" t="inlineStr">
        <is>
          <t>第1回は令和8年9月2日（水）開催で資料が確定（R8.9.2 v8統合版・11項目／表31／図1）。保険者機能強化推進交付金等の評価結果（令和6〜8年度）まで反映済み。第2回の説明資料も作成済み。第2回の想定問答集及び第3回・第4回の資料は未着手。委員名簿が未確定（確認事項No.5）。委員会の名称は仕様書及び第1回資料により「策定委員会」で確定（同No.6）。</t>
        </is>
      </c>
      <c r="J7" s="9" t="inlineStr">
        <is>
          <t>5, 6</t>
        </is>
      </c>
    </row>
    <row r="8" ht="132" customHeight="1">
      <c r="A8" s="9" t="inlineStr">
        <is>
          <t>(4)</t>
        </is>
      </c>
      <c r="B8" s="7" t="inlineStr">
        <is>
          <t>各種データ収集・作成及び資料整理</t>
        </is>
      </c>
      <c r="C8" s="7" t="inlineStr">
        <is>
          <t>・基礎データの収集
・基礎データの作成及び取りまとめ
・現行施策の検証及び実施状況の取りまとめ
・施策執行状況や今後の課題・施策方針等を把握するため、各課や関係機関に評価シートを作成し、結果をもとに必要に応じて聞き取り
・関連施策評価調査シートの作成については、受託者からシート案を提案し、発注者と十分協議のうえ内容を決定すること</t>
        </is>
      </c>
      <c r="D8" s="7" t="inlineStr">
        <is>
          <t>①基礎データの収集・整理
②基礎データの作成・取りまとめ
③現行施策（第9期）の検証・実施状況の取りまとめ
④関連施策評価調査シート案の提案・協議・決定
⑤各課・関係機関への評価シート配付と聞き取り</t>
        </is>
      </c>
      <c r="E8" s="7" t="inlineStr">
        <is>
          <t>実績データ確認サマリー（6シート）
必要資料_入力フォーマット（13シート）
第9期実績一覧_町記入用（7シート35事業）
関連施策評価調査シート_案（8シート）</t>
        </is>
      </c>
      <c r="F8" s="12" t="inlineStr">
        <is>
          <t>実施中</t>
        </is>
      </c>
      <c r="G8" s="20" t="n">
        <v>0.65</v>
      </c>
      <c r="H8" s="9" t="inlineStr">
        <is>
          <t>R8.10</t>
        </is>
      </c>
      <c r="I8" s="7" t="inlineStr">
        <is>
          <t>①②は概ね完了。保険者機能強化推進交付金等の全国集計結果（令和6〜8年度）を受領・分析し、③現行施策の検証のうち交付金評価の部分は確定（令和6年度454点696位／令和7年度565点114位／令和8年度528点366位）。④関連施策評価調査シート案（8シート）を令和8年8月28日に作成し、町との協議待ち（確認事項No.7）。⑤各課・関係機関への配付と聞き取りは、シート案の決定後に実施する。第9期KPIのアウトプット指標（地域ケア会議等の開催実績）は町記入待ち（同No.34）。</t>
        </is>
      </c>
      <c r="J8" s="9" t="inlineStr">
        <is>
          <t>7, 8</t>
        </is>
      </c>
    </row>
    <row r="9" ht="132" customHeight="1">
      <c r="A9" s="9" t="inlineStr">
        <is>
          <t>(5)</t>
        </is>
      </c>
      <c r="B9" s="7" t="inlineStr">
        <is>
          <t>人口推計、事業量・費用推計・分析</t>
        </is>
      </c>
      <c r="C9" s="7" t="inlineStr">
        <is>
          <t>○人口及び要介護認定者数の推計
　・10年間の年齢別・男女別人口、要介護認定者数及び介護予防の実施を踏まえた要介護認定者数の推計
○目標量に関する検討及び見込み量確保のための方策の検討
　・介護給付（居宅・地域密着型・居宅介護支援・施設）に係るサービス事業量の推計・検討
　・介護予防（介護予防サービス・地域密着型介護予防サービス・介護予防支援）に係る推計・検討
　・地域支援事業に要する費用の額、量の見込み（①対象者数②介護予防・生活支援サービス事業③一般介護予防事業④包括的支援事業⑤任意事業）
　・介護保険（支援）事業量、保険料推計及び分析・見込量確保のための方策の検討</t>
        </is>
      </c>
      <c r="D9" s="7" t="inlineStr">
        <is>
          <t>①10年間の年齢別・男女別人口推計
②要介護認定者数の推計（介護予防の実施を踏まえたもの）
③介護給付4区分のサービス事業量推計
④介護予防3区分のサービス事業量推計
⑤地域支援事業①〜⑤の費用・量の見込み
⑥保険料推計及び分析
⑦見込量確保のための方策の検討</t>
        </is>
      </c>
      <c r="E9" s="7" t="inlineStr">
        <is>
          <t>保険料試算ワークブック（11シート・129数式）
長期推計・給付費・保険料試算レポート
保険料_県内比較分析・要因分析
給付費・保険料算定の精査レポート</t>
        </is>
      </c>
      <c r="F9" s="12" t="inlineStr">
        <is>
          <t>実施中</t>
        </is>
      </c>
      <c r="G9" s="20" t="n">
        <v>0.5</v>
      </c>
      <c r="H9" s="9" t="inlineStr">
        <is>
          <t>R9.1</t>
        </is>
      </c>
      <c r="I9" s="7" t="inlineStr">
        <is>
          <t>⑥保険料推計は8ステップの枠組みを構築し暫定値を算出（A=7,632／B=7,384／C=7,137円）。①は年齢区分別まで作成済みだが男女別が未作成。②③④⑤⑦は未着手で、特に地域支援事業①〜⑤の個別見込みとサービス種類別事業量は国保連データの受領が前提。保険料の確定には町確認データ4項目を要する。</t>
        </is>
      </c>
      <c r="J9" s="9" t="inlineStr">
        <is>
          <t>9, 10, 11, 12, 13, 14</t>
        </is>
      </c>
    </row>
    <row r="10" ht="132" customHeight="1">
      <c r="A10" s="9" t="inlineStr">
        <is>
          <t>(6)</t>
        </is>
      </c>
      <c r="B10" s="7" t="inlineStr">
        <is>
          <t>給付実績分析等及び現状分析業務</t>
        </is>
      </c>
      <c r="C10" s="7" t="inlineStr">
        <is>
          <t>○基礎データ収集・整理
○国・県の施策動向の把握
○関係各課、関係機関等の状況把握
○国保連データからの給付実績や各種課題等をとりまとめ、分析</t>
        </is>
      </c>
      <c r="D10" s="7" t="inlineStr">
        <is>
          <t>①基礎データの収集・整理
②国・宮城県の施策動向の把握
③関係各課・関係機関等の状況把握
④国保連データからの給付実績の分析
⑤各種課題のとりまとめ</t>
        </is>
      </c>
      <c r="E10" s="7" t="inlineStr">
        <is>
          <t>素案 第2章（現状分析）
実績データ確認サマリー（6シート）
図表6点
3層整合表（7シート）</t>
        </is>
      </c>
      <c r="F10" s="12" t="inlineStr">
        <is>
          <t>実施中</t>
        </is>
      </c>
      <c r="G10" s="20" t="n">
        <v>0.6</v>
      </c>
      <c r="H10" s="9" t="inlineStr">
        <is>
          <t>R8.10</t>
        </is>
      </c>
      <c r="I10" s="7" t="inlineStr">
        <is>
          <t>①②は完了し、川崎町固有の5重点課題を整理済み。交付金評価のアウトカム指標により、取組（プロセス）は全国上位である一方、要介護1・2の平均要介護度の伸び（全国1,580位）等のアウトカムが全国下位である構造を確認した。③は（4）の評価シートと連動しており未実施。④国保連データが未受領のため、給付実績の分析は第9期計画の公表値に依拠した概算にとどまる（確認事項No.12）。</t>
        </is>
      </c>
      <c r="J10" s="9" t="inlineStr">
        <is>
          <t>8, 12</t>
        </is>
      </c>
    </row>
    <row r="11" ht="132" customHeight="1">
      <c r="A11" s="9" t="inlineStr">
        <is>
          <t>(7)</t>
        </is>
      </c>
      <c r="B11" s="7" t="inlineStr">
        <is>
          <t>高齢者保健福祉計画及び介護保険事業計画の素案</t>
        </is>
      </c>
      <c r="C11" s="7" t="inlineStr">
        <is>
          <t>○高齢者福祉計画
　①計画の策定にあたって　②高齢者等の現状　③保健・福祉サービスの現状と課題
　④高齢者保健福祉事業の取り組み　⑤保健・医療・福祉の連携に向けて
○介護保険事業計画
　⑥目標年次までの各年度における高齢者等の現状　⑦介護保険サービスの見込み量と確保策
　⑧介護保険事業費の見込み　⑨介護保険の円滑な運営に向けて</t>
        </is>
      </c>
      <c r="D11" s="7" t="inlineStr">
        <is>
          <t>①素案v1.0〜v1.6の段階的作成
②資料編の構成案・素案の作成
③仕様書①〜⑨の構成との対応確認・章立ての調整
④素案Ver.2.0の更新（アンケート結果・委員意見の反映）
⑤素案の確定</t>
        </is>
      </c>
      <c r="E11" s="7" t="inlineStr">
        <is>
          <t>計画書素案_v1.8_調査結果反映版（55表・6図）
資料編_構成案・素案
計画素案_概要版（12頁）</t>
        </is>
      </c>
      <c r="F11" s="12" t="inlineStr">
        <is>
          <t>実施中</t>
        </is>
      </c>
      <c r="G11" s="20" t="n">
        <v>0.6</v>
      </c>
      <c r="H11" s="9" t="inlineStr">
        <is>
          <t>R9.2</t>
        </is>
      </c>
      <c r="I11" s="7" t="inlineStr">
        <is>
          <t>素案はv1.8まで作成。v1.7で第9期計画の記載を是正（確認事項No.22・23・24・6）、v1.8で2調査の結果を反映（第2章に2-6「調査結果からみた高齢者の状況」を新設・7分野7表、第3章3-4に課題3件を追加、第5章5-1〜5-5の施策の方向性に根拠を追記、KPI現状値5項目を確定）。残るのは①第9期35事業の実績値の反映（同No.8・34）②関連施策評価調査結果の反映（同No.7）③100頁程度への増補④計画書の構成と仕様書6（7）の対応（同No.15）⑤町長挨拶文・氏名（同No.16）。</t>
        </is>
      </c>
      <c r="J11" s="9" t="inlineStr">
        <is>
          <t>15, 16, 22, 23</t>
        </is>
      </c>
    </row>
    <row r="12" ht="132" customHeight="1">
      <c r="A12" s="9" t="inlineStr">
        <is>
          <t>(8)</t>
        </is>
      </c>
      <c r="B12" s="7" t="inlineStr">
        <is>
          <t>高齢者保健福祉計画及び第10期介護保険事業計画書の作成</t>
        </is>
      </c>
      <c r="C12" s="7" t="inlineStr">
        <is>
          <t>・中間報告は、その都度指定された期日まで提出すること
・高齢者保健福祉計画及び介護保険事業計画書（案）を作成すること</t>
        </is>
      </c>
      <c r="D12" s="7" t="inlineStr">
        <is>
          <t>①中間報告の提出（指定期日ごと）
②計画書（案）の作成
③概要版の作成
④成果品の印刷・製本・納品</t>
        </is>
      </c>
      <c r="E12" s="7" t="inlineStr">
        <is>
          <t>04シートを参照</t>
        </is>
      </c>
      <c r="F12" s="16" t="inlineStr">
        <is>
          <t>未着手</t>
        </is>
      </c>
      <c r="G12" s="20" t="n">
        <v>0.15</v>
      </c>
      <c r="H12" s="9" t="inlineStr">
        <is>
          <t>R9.3</t>
        </is>
      </c>
      <c r="I12" s="7" t="inlineStr">
        <is>
          <t>中間報告の提出期日が指定されていない（確認事項No.17）。計画書（案）は素案の確定後に作成する。成果品の仕様は仕様書8に明記されており、計画書100頁程度100部、概要版8頁程度3,500部、調査報告書80頁程度5部。委託期間は令和9年3月15日までであり、印刷・製本の所要日数を逆算した入稿期日の設定を要する。</t>
        </is>
      </c>
      <c r="J12" s="9" t="inlineStr">
        <is>
          <t>17, 18</t>
        </is>
      </c>
    </row>
    <row r="14" ht="22" customHeight="1">
      <c r="B14" s="21" t="inlineStr">
        <is>
          <t>全体進捗（単純平均）</t>
        </is>
      </c>
      <c r="C14" s="4" t="n"/>
      <c r="D14" s="4" t="n"/>
      <c r="E14" s="4" t="n"/>
      <c r="F14" s="5" t="n"/>
      <c r="G14" s="22">
        <f>ROUND(AVERAGE(G5:G12),2)</f>
        <v/>
      </c>
    </row>
    <row r="16" ht="26" customHeight="1">
      <c r="A16" s="23" t="inlineStr">
        <is>
          <t>注1）進捗は、当該業務の作業項目のうち完了したものの割合を受託者が判断して記入する。</t>
        </is>
      </c>
    </row>
    <row r="17" ht="26" customHeight="1">
      <c r="A17" s="23" t="inlineStr">
        <is>
          <t>注2）「仕様書の要求」欄は委託仕様書（保介第41号）6．業務内容の記載による。仕様書の原本は09_元資料/川崎町_第10期計画策定業務_指名競争入札通知・委託仕様書_保介第41号.pdf に格納している。</t>
        </is>
      </c>
    </row>
    <row r="18" ht="26" customHeight="1">
      <c r="A18" s="23" t="inlineStr">
        <is>
          <t>注3）仕様書5「業務」（1）〜（8）と6「業務内容」（1）〜（8）は対応している。パブリックコメント支援及び条例改正案の作成支援は仕様書に規定がなく、本表の業務区分に含めていない（確認事項No.19）。</t>
        </is>
      </c>
    </row>
  </sheetData>
  <mergeCells count="6">
    <mergeCell ref="A1:J1"/>
    <mergeCell ref="A17:J17"/>
    <mergeCell ref="A2:J2"/>
    <mergeCell ref="A18:J18"/>
    <mergeCell ref="A16:J16"/>
    <mergeCell ref="B14:F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12" customWidth="1" min="3" max="3"/>
    <col width="30" customWidth="1" min="4" max="4"/>
    <col width="30" customWidth="1" min="5" max="5"/>
    <col width="9" customWidth="1" min="6" max="6"/>
    <col width="11" customWidth="1" min="7" max="7"/>
    <col width="11" customWidth="1" min="8" max="8"/>
    <col width="16" customWidth="1" min="9" max="9"/>
    <col width="32" customWidth="1" min="10" max="10"/>
  </cols>
  <sheetData>
    <row r="1" ht="26" customHeight="1">
      <c r="A1" s="1" t="inlineStr">
        <is>
          <t>月別工程管理（令和8年6月〜令和9年3月15日）</t>
        </is>
      </c>
    </row>
    <row r="2" ht="52" customHeight="1">
      <c r="A2" s="2" t="inlineStr">
        <is>
          <t>月別工程について、業務内容・成果物・提出期日・発注者の確認を管理する。「対応する業務内容」は仕様書6（1）〜（8）の番号による。委託期間は令和9年3月15日まで（仕様書2）。</t>
        </is>
      </c>
    </row>
    <row r="4" ht="32" customHeight="1">
      <c r="A4" s="8" t="inlineStr">
        <is>
          <t>年月</t>
        </is>
      </c>
      <c r="B4" s="8" t="inlineStr">
        <is>
          <t>業務内容</t>
        </is>
      </c>
      <c r="C4" s="8" t="inlineStr">
        <is>
          <t>対応する業務内容</t>
        </is>
      </c>
      <c r="D4" s="8" t="inlineStr">
        <is>
          <t>工程末に提出する成果物</t>
        </is>
      </c>
      <c r="E4" s="8" t="inlineStr">
        <is>
          <t>現時点の状況</t>
        </is>
      </c>
      <c r="F4" s="8" t="inlineStr">
        <is>
          <t>状態</t>
        </is>
      </c>
      <c r="G4" s="8" t="inlineStr">
        <is>
          <t>提出期日</t>
        </is>
      </c>
      <c r="H4" s="8" t="inlineStr">
        <is>
          <t>提出日</t>
        </is>
      </c>
      <c r="I4" s="8" t="inlineStr">
        <is>
          <t>発注者確認（日・確認者）</t>
        </is>
      </c>
      <c r="J4" s="8" t="inlineStr">
        <is>
          <t>備考・次工程への条件</t>
        </is>
      </c>
    </row>
    <row r="5" ht="92" customHeight="1">
      <c r="A5" s="9" t="inlineStr">
        <is>
          <t>令和8年6月</t>
        </is>
      </c>
      <c r="B5" s="7" t="inlineStr">
        <is>
          <t>計画素案の作成、保険料試算の枠組み構築、調査票の印刷・発送</t>
        </is>
      </c>
      <c r="C5" s="9" t="inlineStr">
        <is>
          <t>(1)(2)(5)(7)</t>
        </is>
      </c>
      <c r="D5" s="7" t="inlineStr">
        <is>
          <t>・計画素案v1.6
・保険料試算ワークブック
・各種分析レポート
・調査票（2種類）の発送</t>
        </is>
      </c>
      <c r="E5" s="7" t="inlineStr">
        <is>
          <t>素案v1.6（44頁）と保険料試算ワークブック（11シート）を作成。調査票2種類を郵送により配布（仕様書6（2））。</t>
        </is>
      </c>
      <c r="F5" s="10" t="inlineStr">
        <is>
          <t>完了</t>
        </is>
      </c>
      <c r="G5" s="9" t="inlineStr">
        <is>
          <t>R8.6下旬</t>
        </is>
      </c>
      <c r="H5" s="9" t="inlineStr"/>
      <c r="I5" s="9" t="inlineStr"/>
      <c r="J5" s="7" t="inlineStr">
        <is>
          <t>発送準備は受託者業務。実施済み。</t>
        </is>
      </c>
    </row>
    <row r="6" ht="92" customHeight="1">
      <c r="A6" s="9" t="inlineStr">
        <is>
          <t>令和8年7月</t>
        </is>
      </c>
      <c r="B6" s="7" t="inlineStr">
        <is>
          <t>調査票の回収・入力・集計、基礎データの収集</t>
        </is>
      </c>
      <c r="C6" s="9" t="inlineStr">
        <is>
          <t>(1)(4)</t>
        </is>
      </c>
      <c r="D6" s="7" t="inlineStr">
        <is>
          <t>・回収票（ナンバリング済）
・単純集計表・クロス集計表
・自由記述一覧</t>
        </is>
      </c>
      <c r="E6" s="7" t="inlineStr">
        <is>
          <t>ニーズ調査576件・在宅介護実態調査142件を回収し、集計データを確定（20260807版）。単純集計・クロス集計・グラフデータの作成まで完了。第9期実績一覧の町記入及び関連施策評価調査シート案の提案は未着手。</t>
        </is>
      </c>
      <c r="F6" s="12" t="inlineStr">
        <is>
          <t>完了</t>
        </is>
      </c>
      <c r="G6" s="9" t="inlineStr">
        <is>
          <t>R8.7末</t>
        </is>
      </c>
      <c r="H6" s="9" t="inlineStr"/>
      <c r="I6" s="9" t="inlineStr"/>
      <c r="J6" s="7" t="inlineStr">
        <is>
          <t>有効回答数は集計データ20260807版により576件で確定し、委員会資料の552件は訂正済み（確認事項No.25）。評価シート案の提案が未着手（同No.7）。</t>
        </is>
      </c>
    </row>
    <row r="7" ht="92" customHeight="1">
      <c r="A7" s="9" t="inlineStr">
        <is>
          <t>令和8年8月</t>
        </is>
      </c>
      <c r="B7" s="7" t="inlineStr">
        <is>
          <t>調査結果の分析、第1回策定委員会資料の作成</t>
        </is>
      </c>
      <c r="C7" s="9" t="inlineStr">
        <is>
          <t>(1)(3)</t>
        </is>
      </c>
      <c r="D7" s="7" t="inlineStr">
        <is>
          <t>・クロス分析結果
・第1回策定委員会資料（7頁）</t>
        </is>
      </c>
      <c r="E7" s="7" t="inlineStr">
        <is>
          <t>第1回策定委員会資料を作成（初版 令和8年8月12日、0828版を経て R8.9.2 v8統合版で確定）。ニーズ調査の第9期比較、クロス分析9項目、在宅介護実態調査の結果、第9期KPIと交付金評価、分野別課題整理（5分野）、論点整理を掲載。</t>
        </is>
      </c>
      <c r="F7" s="10" t="inlineStr">
        <is>
          <t>完了</t>
        </is>
      </c>
      <c r="G7" s="9" t="inlineStr">
        <is>
          <t>R8.8</t>
        </is>
      </c>
      <c r="H7" s="9" t="inlineStr"/>
      <c r="I7" s="9" t="inlineStr"/>
      <c r="J7" s="7" t="inlineStr">
        <is>
          <t>在宅介護実態調査の結果は v3以降で掲載済み（確認事項No.21）。有効回答数576件への訂正も反映済み（同No.25）。</t>
        </is>
      </c>
    </row>
    <row r="8" ht="92" customHeight="1">
      <c r="A8" s="9" t="inlineStr">
        <is>
          <t>令和8年9月</t>
        </is>
      </c>
      <c r="B8" s="7" t="inlineStr">
        <is>
          <t>第1回策定委員会の開催、調査報告書の作成、評価シートの配付</t>
        </is>
      </c>
      <c r="C8" s="9" t="inlineStr">
        <is>
          <t>(1)(3)(4)(6)</t>
        </is>
      </c>
      <c r="D8" s="7" t="inlineStr">
        <is>
          <t>・第1回策定委員会議事録
・調査報告書（80頁程度・5部）
・評価シート回答の取りまとめ</t>
        </is>
      </c>
      <c r="E8" s="7" t="inlineStr">
        <is>
          <t>第1回策定委員会は令和8年9月2日（水）開催。委員会資料はv8統合版で確定。調査報告書は、ニーズ調査結果報告書（R8.9.2版）と介護実態調査結果報告書（R8.9.2版）を作成し、いずれもredteamレビューを反映済み。成果品（80頁程度・5部）としての統合・体裁は未確定。各課・関係機関への聞き取りは未実施。関連施策評価調査シート案（8シート）を作成し、町との協議を待っている。</t>
        </is>
      </c>
      <c r="F8" s="16" t="inlineStr">
        <is>
          <t>実施中</t>
        </is>
      </c>
      <c r="G8" s="9" t="inlineStr">
        <is>
          <t>R8.9末</t>
        </is>
      </c>
      <c r="H8" s="9" t="inlineStr"/>
      <c r="I8" s="9" t="inlineStr"/>
      <c r="J8" s="7" t="inlineStr">
        <is>
          <t>審議事項は①基本理念の方向性②分野別課題への追加視点③調査データの活用方法。調査報告書は計画書とは別の成果品（仕様書6（1））。体裁・構成の確認が必要（確認事項No.2）。</t>
        </is>
      </c>
    </row>
    <row r="9" ht="92" customHeight="1">
      <c r="A9" s="9" t="inlineStr">
        <is>
          <t>令和8年10月</t>
        </is>
      </c>
      <c r="B9" s="7" t="inlineStr">
        <is>
          <t>人口推計・事業量推計、素案Ver.2.0の更新</t>
        </is>
      </c>
      <c r="C9" s="9" t="inlineStr">
        <is>
          <t>(5)(7)</t>
        </is>
      </c>
      <c r="D9" s="7" t="inlineStr">
        <is>
          <t>・年齢別・男女別人口推計
・サービス事業量推計
・地域支援事業の費用・量の見込み
・素案Ver.2.0</t>
        </is>
      </c>
      <c r="E9" s="7" t="inlineStr">
        <is>
          <t>保険料推計の枠組みは構築済み。素案はv1.8（調査結果反映版）まで作成し、第2章2-6の新設・第3章の課題追加・第5章の根拠追記・KPI現状値の確定を実施。男女別人口推計・事業量推計・地域支援事業の見込みは、国保連データ及び町確認データの受領後に着手する。</t>
        </is>
      </c>
      <c r="F9" s="16" t="inlineStr">
        <is>
          <t>実施中</t>
        </is>
      </c>
      <c r="G9" s="9" t="inlineStr">
        <is>
          <t>R8.10末</t>
        </is>
      </c>
      <c r="H9" s="9" t="inlineStr"/>
      <c r="I9" s="9" t="inlineStr"/>
      <c r="J9" s="7" t="inlineStr">
        <is>
          <t>国保連データの受領が前提（確認事項No.12）。</t>
        </is>
      </c>
    </row>
    <row r="10" ht="92" customHeight="1">
      <c r="A10" s="9" t="inlineStr">
        <is>
          <t>令和8年11月</t>
        </is>
      </c>
      <c r="B10" s="7" t="inlineStr">
        <is>
          <t>第2回策定委員会、サービス見込量の方向性確定</t>
        </is>
      </c>
      <c r="C10" s="9" t="inlineStr">
        <is>
          <t>(3)(5)</t>
        </is>
      </c>
      <c r="D10" s="7" t="inlineStr">
        <is>
          <t>・第2回委員会説明資料
・第2回委員会想定問答集
・第2回委員会議事録</t>
        </is>
      </c>
      <c r="E10" s="7" t="inlineStr">
        <is>
          <t>第2回の説明資料（4頁）は作成済み。想定問答集は未作成。</t>
        </is>
      </c>
      <c r="F10" s="16" t="inlineStr">
        <is>
          <t>未着手</t>
        </is>
      </c>
      <c r="G10" s="9" t="inlineStr">
        <is>
          <t>R8.11</t>
        </is>
      </c>
      <c r="H10" s="9" t="inlineStr"/>
      <c r="I10" s="9" t="inlineStr"/>
      <c r="J10" s="7" t="inlineStr">
        <is>
          <t>─</t>
        </is>
      </c>
    </row>
    <row r="11" ht="92" customHeight="1">
      <c r="A11" s="9" t="inlineStr">
        <is>
          <t>令和8年12月</t>
        </is>
      </c>
      <c r="B11" s="7" t="inlineStr">
        <is>
          <t>保険料推計の精緻化、計画書（案）の作成着手</t>
        </is>
      </c>
      <c r="C11" s="9" t="inlineStr">
        <is>
          <t>(5)(8)</t>
        </is>
      </c>
      <c r="D11" s="7" t="inlineStr">
        <is>
          <t>・保険料算定表
・計画書（案）の作業版
・中間報告</t>
        </is>
      </c>
      <c r="E11" s="7" t="inlineStr">
        <is>
          <t>町確認データの受領により暫定値を確定値へ置き換える。</t>
        </is>
      </c>
      <c r="F11" s="16" t="inlineStr">
        <is>
          <t>未着手</t>
        </is>
      </c>
      <c r="G11" s="9" t="inlineStr">
        <is>
          <t>R8.12末</t>
        </is>
      </c>
      <c r="H11" s="9" t="inlineStr"/>
      <c r="I11" s="9" t="inlineStr"/>
      <c r="J11" s="7" t="inlineStr">
        <is>
          <t>基金残高・収納率・所得段階別被保険者数・調整交付金交付実績の受領が前提（確認事項No.9〜13）。</t>
        </is>
      </c>
    </row>
    <row r="12" ht="92" customHeight="1">
      <c r="A12" s="9" t="inlineStr">
        <is>
          <t>令和9年1月</t>
        </is>
      </c>
      <c r="B12" s="7" t="inlineStr">
        <is>
          <t>第3回策定委員会、保険料の協議</t>
        </is>
      </c>
      <c r="C12" s="9" t="inlineStr">
        <is>
          <t>(3)(5)</t>
        </is>
      </c>
      <c r="D12" s="7" t="inlineStr">
        <is>
          <t>・第3回委員会資料
・保険料試算表（3パターン）
・第3回委員会議事録</t>
        </is>
      </c>
      <c r="E12" s="7" t="inlineStr">
        <is>
          <t>3パターンの暫定試算は完了。町確認データにより確定する。</t>
        </is>
      </c>
      <c r="F12" s="16" t="inlineStr">
        <is>
          <t>未着手</t>
        </is>
      </c>
      <c r="G12" s="9" t="inlineStr">
        <is>
          <t>R9.1中旬</t>
        </is>
      </c>
      <c r="H12" s="9" t="inlineStr"/>
      <c r="I12" s="9" t="inlineStr"/>
      <c r="J12" s="7" t="inlineStr">
        <is>
          <t>─</t>
        </is>
      </c>
    </row>
    <row r="13" ht="92" customHeight="1">
      <c r="A13" s="9" t="inlineStr">
        <is>
          <t>令和9年2月</t>
        </is>
      </c>
      <c r="B13" s="7" t="inlineStr">
        <is>
          <t>第4回策定委員会、計画書（案）の確定</t>
        </is>
      </c>
      <c r="C13" s="9" t="inlineStr">
        <is>
          <t>(3)(7)(8)</t>
        </is>
      </c>
      <c r="D13" s="7" t="inlineStr">
        <is>
          <t>・第4回委員会資料
・計画書（案）
・概要版（案）
・第4回委員会議事録</t>
        </is>
      </c>
      <c r="E13" s="7" t="inlineStr">
        <is>
          <t>未着手。</t>
        </is>
      </c>
      <c r="F13" s="16" t="inlineStr">
        <is>
          <t>未着手</t>
        </is>
      </c>
      <c r="G13" s="9" t="inlineStr">
        <is>
          <t>R9.2末</t>
        </is>
      </c>
      <c r="H13" s="9" t="inlineStr"/>
      <c r="I13" s="9" t="inlineStr"/>
      <c r="J13" s="7" t="inlineStr">
        <is>
          <t>計画書100頁程度・概要版8頁程度への構成が必要（仕様書8）。</t>
        </is>
      </c>
    </row>
    <row r="14" ht="92" customHeight="1">
      <c r="A14" s="9" t="inlineStr">
        <is>
          <t>令和9年3月</t>
        </is>
      </c>
      <c r="B14" s="7" t="inlineStr">
        <is>
          <t>成果品の印刷・製本・納品</t>
        </is>
      </c>
      <c r="C14" s="9" t="inlineStr">
        <is>
          <t>(8)</t>
        </is>
      </c>
      <c r="D14" s="7" t="inlineStr">
        <is>
          <t>・調査報告書（80頁程度・5部）
・計画書（100頁程度・100部）
・概要版（8頁程度・3,500部）
・電子データ一式（3種）</t>
        </is>
      </c>
      <c r="E14" s="7" t="inlineStr">
        <is>
          <t>未着手。</t>
        </is>
      </c>
      <c r="F14" s="16" t="inlineStr">
        <is>
          <t>未着手</t>
        </is>
      </c>
      <c r="G14" s="9" t="inlineStr">
        <is>
          <t>R9.3.15</t>
        </is>
      </c>
      <c r="H14" s="9" t="inlineStr"/>
      <c r="I14" s="9" t="inlineStr"/>
      <c r="J14" s="7" t="inlineStr">
        <is>
          <t>委託期間は令和9年3月15日まで。概要版3,500部の印刷所要日数を踏まえた入稿期日の設定を要する（確認事項No.18）。納入場所は川崎町保健福祉課。</t>
        </is>
      </c>
    </row>
    <row r="16">
      <c r="A16" s="24" t="inlineStr">
        <is>
          <t>区分</t>
        </is>
      </c>
      <c r="B16" s="24" t="inlineStr">
        <is>
          <t>件数</t>
        </is>
      </c>
    </row>
    <row r="17">
      <c r="A17" s="10" t="inlineStr">
        <is>
          <t>完了</t>
        </is>
      </c>
      <c r="B17" s="9">
        <f>COUNTIF(F5:F14,"完了")</f>
        <v/>
      </c>
    </row>
    <row r="18">
      <c r="A18" s="12" t="inlineStr">
        <is>
          <t>実施中</t>
        </is>
      </c>
      <c r="B18" s="9">
        <f>COUNTIF(F5:F14,"実施中")</f>
        <v/>
      </c>
    </row>
    <row r="19">
      <c r="A19" s="14" t="inlineStr">
        <is>
          <t>確認待ち</t>
        </is>
      </c>
      <c r="B19" s="9">
        <f>COUNTIF(F5:F14,"確認待ち")</f>
        <v/>
      </c>
    </row>
    <row r="20">
      <c r="A20" s="16" t="inlineStr">
        <is>
          <t>未着手</t>
        </is>
      </c>
      <c r="B20" s="9">
        <f>COUNTIF(F5:F14,"未着手")</f>
        <v/>
      </c>
    </row>
    <row r="21">
      <c r="A21" s="18" t="inlineStr">
        <is>
          <t>対象外</t>
        </is>
      </c>
      <c r="B21" s="9">
        <f>COUNTIF(F5:F14,"対象外")</f>
        <v/>
      </c>
    </row>
    <row r="23" ht="26" customHeight="1">
      <c r="A23" s="23" t="inlineStr">
        <is>
          <t>注1）「提出日」及び「発注者確認」は、当該工程の成果物を提出し、発注者の確認を得た時点で記入する。</t>
        </is>
      </c>
    </row>
    <row r="24" ht="26" customHeight="1">
      <c r="A24" s="23" t="inlineStr">
        <is>
          <t>注2）仕様書6（8）は「中間報告は、その都度指定された期日まで提出すること」としているが、提出期日の指定を受けていない（確認事項No.17）。本表の提出期日は受託者の想定である。</t>
        </is>
      </c>
    </row>
  </sheetData>
  <mergeCells count="4">
    <mergeCell ref="A1:J1"/>
    <mergeCell ref="A23:J23"/>
    <mergeCell ref="A24:J24"/>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88"/>
  <sheetViews>
    <sheetView showGridLines="0" workbookViewId="0">
      <pane ySplit="4" topLeftCell="A5" activePane="bottomLeft" state="frozen"/>
      <selection pane="bottomLeft" activeCell="A1" sqref="A1"/>
    </sheetView>
  </sheetViews>
  <sheetFormatPr baseColWidth="8" defaultRowHeight="15"/>
  <cols>
    <col width="5" customWidth="1" min="1" max="1"/>
    <col width="10" customWidth="1" min="2" max="2"/>
    <col width="10" customWidth="1" min="3" max="3"/>
    <col width="26" customWidth="1" min="4" max="4"/>
    <col width="46" customWidth="1" min="5" max="5"/>
    <col width="28" customWidth="1" min="6" max="6"/>
    <col width="12" customWidth="1" min="7" max="7"/>
    <col width="9" customWidth="1" min="8" max="8"/>
    <col width="10" customWidth="1" min="9" max="9"/>
    <col width="22" customWidth="1" min="10" max="10"/>
  </cols>
  <sheetData>
    <row r="1" ht="26" customHeight="1">
      <c r="A1" s="1" t="inlineStr">
        <is>
          <t>確認事項一覧（業務工程・成果物との紐づけ）</t>
        </is>
      </c>
    </row>
    <row r="2" ht="52" customHeight="1">
      <c r="A2" s="2" t="inlineStr">
        <is>
          <t>発注者・国への確認事項を、業務工程と成果物に紐づけて一覧化する。「止めている成果物」は、当該事項の回答がないことにより確定できない成果物を示す。No.9〜11は保険料試算ワークブックの黄色セルと対応する。</t>
        </is>
      </c>
    </row>
    <row r="4" ht="32" customHeight="1">
      <c r="A4" s="8" t="inlineStr">
        <is>
          <t>No.</t>
        </is>
      </c>
      <c r="B4" s="8" t="inlineStr">
        <is>
          <t>業務内容</t>
        </is>
      </c>
      <c r="C4" s="8" t="inlineStr">
        <is>
          <t>工程（月）</t>
        </is>
      </c>
      <c r="D4" s="8" t="inlineStr">
        <is>
          <t>確認事項</t>
        </is>
      </c>
      <c r="E4" s="8" t="inlineStr">
        <is>
          <t>確認をお願いする内容</t>
        </is>
      </c>
      <c r="F4" s="8" t="inlineStr">
        <is>
          <t>止めている成果物</t>
        </is>
      </c>
      <c r="G4" s="8" t="inlineStr">
        <is>
          <t>確認先</t>
        </is>
      </c>
      <c r="H4" s="8" t="inlineStr">
        <is>
          <t>状態</t>
        </is>
      </c>
      <c r="I4" s="8" t="inlineStr">
        <is>
          <t>回答期限</t>
        </is>
      </c>
      <c r="J4" s="8" t="inlineStr">
        <is>
          <t>回答・対応</t>
        </is>
      </c>
    </row>
    <row r="5" ht="80" customHeight="1">
      <c r="A5" s="9" t="n">
        <v>1</v>
      </c>
      <c r="B5" s="9" t="inlineStr">
        <is>
          <t>(1)</t>
        </is>
      </c>
      <c r="C5" s="9" t="inlineStr">
        <is>
          <t>R8.6</t>
        </is>
      </c>
      <c r="D5" s="7" t="inlineStr">
        <is>
          <t>調査票の最終確定</t>
        </is>
      </c>
      <c r="E5" s="7" t="inlineStr">
        <is>
          <t>設問設計（F3で追加設問を設計済み）を踏まえた調査票2種類（一般高齢者用・要支援要介護認定者用）の最終確定。修正アンケート素案_町確認用によりご確認をお願いする。</t>
        </is>
      </c>
      <c r="F5" s="7" t="inlineStr">
        <is>
          <t>調査票の印刷（仕様書6（2））
以降の発送・回収工程全体</t>
        </is>
      </c>
      <c r="G5" s="9" t="inlineStr">
        <is>
          <t>発注者</t>
        </is>
      </c>
      <c r="H5" s="14" t="inlineStr">
        <is>
          <t>完了</t>
        </is>
      </c>
      <c r="I5" s="9" t="inlineStr">
        <is>
          <t>R8.6</t>
        </is>
      </c>
      <c r="J5" s="7" t="inlineStr">
        <is>
          <t>令和8年6〜7月に調査票2種類を配布・回収済み。ニーズ調査576件・在宅介護実態調査142件の有効回答を得ており、設問設計・調査票は結果として確定している。</t>
        </is>
      </c>
    </row>
    <row r="6" ht="80" customHeight="1">
      <c r="A6" s="9" t="n">
        <v>2</v>
      </c>
      <c r="B6" s="9" t="inlineStr">
        <is>
          <t>(1)</t>
        </is>
      </c>
      <c r="C6" s="9" t="inlineStr">
        <is>
          <t>R8.6</t>
        </is>
      </c>
      <c r="D6" s="7" t="inlineStr">
        <is>
          <t>調査報告書の体裁・構成</t>
        </is>
      </c>
      <c r="E6" s="7" t="inlineStr">
        <is>
          <t>仕様書8の成果品「調査報告書 A4版 簡易コピー紙印刷製本 1色刷り 80頁程度 5部」について、章構成、掲載する集計・分析の範囲、計画書本編との記載の重複の整理。</t>
        </is>
      </c>
      <c r="F6" s="7" t="inlineStr">
        <is>
          <t>調査報告書（80頁程度・5部）</t>
        </is>
      </c>
      <c r="G6" s="9" t="inlineStr">
        <is>
          <t>発注者</t>
        </is>
      </c>
      <c r="H6" s="14" t="inlineStr">
        <is>
          <t>確認待ち</t>
        </is>
      </c>
      <c r="I6" s="9" t="inlineStr">
        <is>
          <t>R8.8</t>
        </is>
      </c>
      <c r="J6" s="7" t="inlineStr">
        <is>
          <t>受託者側で2調査の結果報告書（R8.9.2版）を作成済み。成果品としての統合方法（2冊構成か1冊構成か）、掲載範囲、計画書本編との重複整理について確認をお願いしたい。</t>
        </is>
      </c>
    </row>
    <row r="7" ht="80" customHeight="1">
      <c r="A7" s="9" t="n">
        <v>3</v>
      </c>
      <c r="B7" s="9" t="inlineStr">
        <is>
          <t>(2)</t>
        </is>
      </c>
      <c r="C7" s="9" t="inlineStr">
        <is>
          <t>R8.6</t>
        </is>
      </c>
      <c r="D7" s="7" t="inlineStr">
        <is>
          <t>調査対象者リストの提供</t>
        </is>
      </c>
      <c r="E7" s="7" t="inlineStr">
        <is>
          <t>宛名ラベルの作成に必要な対象者リスト（要支援・要介護認定者300人、一般高齢者1,000人）。</t>
        </is>
      </c>
      <c r="F7" s="7" t="inlineStr">
        <is>
          <t>宛名ラベル貼付・封入・発送（仕様書6（2））</t>
        </is>
      </c>
      <c r="G7" s="9" t="inlineStr">
        <is>
          <t>発注者</t>
        </is>
      </c>
      <c r="H7" s="10" t="inlineStr">
        <is>
          <t>完了</t>
        </is>
      </c>
      <c r="I7" s="9" t="inlineStr">
        <is>
          <t>R8.6</t>
        </is>
      </c>
      <c r="J7" s="7" t="inlineStr">
        <is>
          <t>令和8年6〜7月に調査を実施済み。一般高齢者分は552件回収。認定者分はNo.21で確認する。</t>
        </is>
      </c>
    </row>
    <row r="8" ht="80" customHeight="1">
      <c r="A8" s="9" t="n">
        <v>4</v>
      </c>
      <c r="B8" s="9" t="inlineStr">
        <is>
          <t>(3)</t>
        </is>
      </c>
      <c r="C8" s="9" t="inlineStr">
        <is>
          <t>R8.6</t>
        </is>
      </c>
      <c r="D8" s="7" t="inlineStr">
        <is>
          <t>策定委員会の開催日程・審議事項</t>
        </is>
      </c>
      <c r="E8" s="7" t="inlineStr">
        <is>
          <t>第1回は令和8年9月2日（水）で確定。第2回〜第4回の開催日、審議事項、資料の提出期限及び委員への事前配布の時期。受託者の出席の要否についても併せてご確認をお願いする。</t>
        </is>
      </c>
      <c r="F8" s="7" t="inlineStr">
        <is>
          <t>第2回〜第4回委員会資料
計画素案_概要版（事前配布用）</t>
        </is>
      </c>
      <c r="G8" s="9" t="inlineStr">
        <is>
          <t>発注者</t>
        </is>
      </c>
      <c r="H8" s="14" t="inlineStr">
        <is>
          <t>確認待ち</t>
        </is>
      </c>
      <c r="I8" s="9" t="inlineStr">
        <is>
          <t>R8.10</t>
        </is>
      </c>
      <c r="J8" s="7" t="inlineStr">
        <is>
          <t>第1回はR8.9.2に開催済み。第1回策定委員会において、第2回はR8.11頃（ニーズ分析報告書・骨子案）、第3回はR9.1（素案提示・答申内容の確定）、その後パブリックコメント・議会審議という段取りが示された。第1回資料の策定スケジュール（案）は第4回（R9.2）を含む4回構成としていたため、3回構成で確定するかを確認事項No.49で確認する。第2回以降の資料は事前に委員へ郵送又は手渡しで配布する方針。</t>
        </is>
      </c>
    </row>
    <row r="9" ht="80" customHeight="1">
      <c r="A9" s="9" t="n">
        <v>5</v>
      </c>
      <c r="B9" s="9" t="inlineStr">
        <is>
          <t>(3)</t>
        </is>
      </c>
      <c r="C9" s="9" t="inlineStr">
        <is>
          <t>R8.6</t>
        </is>
      </c>
      <c r="D9" s="7" t="inlineStr">
        <is>
          <t>委員名簿</t>
        </is>
      </c>
      <c r="E9" s="7" t="inlineStr">
        <is>
          <t>策定委員会の委員の氏名・所属・区分及び委嘱の状況。資料編の資料3として掲載する。</t>
        </is>
      </c>
      <c r="F9" s="7" t="inlineStr">
        <is>
          <t>第1回委員会の開催準備
資料編 資料3（委員名簿）</t>
        </is>
      </c>
      <c r="G9" s="9" t="inlineStr">
        <is>
          <t>発注者</t>
        </is>
      </c>
      <c r="H9" s="14" t="inlineStr">
        <is>
          <t>確認待ち</t>
        </is>
      </c>
      <c r="I9" s="9" t="inlineStr">
        <is>
          <t>R8.7</t>
        </is>
      </c>
      <c r="J9" s="7" t="inlineStr"/>
    </row>
    <row r="10" ht="80" customHeight="1">
      <c r="A10" s="9" t="n">
        <v>6</v>
      </c>
      <c r="B10" s="9" t="inlineStr">
        <is>
          <t>(3)</t>
        </is>
      </c>
      <c r="C10" s="9" t="inlineStr">
        <is>
          <t>R8.6</t>
        </is>
      </c>
      <c r="D10" s="7" t="inlineStr">
        <is>
          <t>委員会の名称の表記</t>
        </is>
      </c>
      <c r="E10" s="7" t="inlineStr">
        <is>
          <t>仕様書6（3）は「策定委員会」と規定し、第1回策定委員会資料（令和8年9月2日）も表題を「第一回 策定委員会資料」、事務局を「介護保険事業計画・高齢者保健福祉計画策定委員会 事務局」としている。一方、第9期計画書は審議組織を「川崎町介護保険運営委員会」（介護保険条例第17条に基づく常設委員会）と表記しており（16回）、第9期には「策定委員会」の語がない。第10期は新たに策定委員会を設置する運用と解される。</t>
        </is>
      </c>
      <c r="F10" s="7" t="inlineStr">
        <is>
          <t>計画素案v1.6（20箇所を要修正）
資料編
第1回想定問答集
第2回説明資料
委員意見反映管理シート</t>
        </is>
      </c>
      <c r="G10" s="9" t="inlineStr">
        <is>
          <t>発注者</t>
        </is>
      </c>
      <c r="H10" s="10" t="inlineStr">
        <is>
          <t>完了</t>
        </is>
      </c>
      <c r="I10" s="9" t="inlineStr">
        <is>
          <t>R8.6</t>
        </is>
      </c>
      <c r="J10" s="7" t="inlineStr">
        <is>
          <t>仕様書及び第1回策定委員会資料により「策定委員会」で確定。計画素案v1.7で第10期に関する記述19箇所を統一済み。第9期の記述は当時の名称「川崎町介護保険運営委員会」を維持している（第9期計画書の記載による）。</t>
        </is>
      </c>
    </row>
    <row r="11" ht="80" customHeight="1">
      <c r="A11" s="9" t="n">
        <v>7</v>
      </c>
      <c r="B11" s="9" t="inlineStr">
        <is>
          <t>(4)</t>
        </is>
      </c>
      <c r="C11" s="9" t="inlineStr">
        <is>
          <t>R8.7</t>
        </is>
      </c>
      <c r="D11" s="7" t="inlineStr">
        <is>
          <t>関連施策評価調査シートの様式</t>
        </is>
      </c>
      <c r="E11" s="7" t="inlineStr">
        <is>
          <t>仕様書6（4）は、各課・関係機関に配付する評価シートについて受託者から案を提案し、発注者と十分協議のうえ内容を決定することを求めている。配付先の範囲（庁内各課・関係機関の別）、回答期限、聞き取りの実施方法を併せてご相談したい。</t>
        </is>
      </c>
      <c r="F11" s="7" t="inlineStr">
        <is>
          <t>関連施策評価調査シート
現行施策の検証（仕様書6（4））
素案 第3章</t>
        </is>
      </c>
      <c r="G11" s="9" t="inlineStr">
        <is>
          <t>発注者</t>
        </is>
      </c>
      <c r="H11" s="14" t="inlineStr">
        <is>
          <t>確認待ち</t>
        </is>
      </c>
      <c r="I11" s="9" t="inlineStr">
        <is>
          <t>R8.7</t>
        </is>
      </c>
      <c r="J11" s="7" t="inlineStr">
        <is>
          <t>受託者から関連施策評価調査シート案（8シート）を令和8年8月28日に提案済み。配付先17先（庁内9・関係機関8）の案、回答期限（配付から3週間）、聞き取り実施要領（案）を併せて提示している。06シートに町のご確認欄（7項目）を設けているため、ご記入をお願いしたい。特に課の名称・所管は推定を含むため要修正。</t>
        </is>
      </c>
    </row>
    <row r="12" ht="80" customHeight="1">
      <c r="A12" s="9" t="n">
        <v>8</v>
      </c>
      <c r="B12" s="9" t="inlineStr">
        <is>
          <t>(4)(6)</t>
        </is>
      </c>
      <c r="C12" s="9" t="inlineStr">
        <is>
          <t>R8.6</t>
        </is>
      </c>
      <c r="D12" s="7" t="inlineStr">
        <is>
          <t>第9期の施策・事業実績</t>
        </is>
      </c>
      <c r="E12" s="7" t="inlineStr">
        <is>
          <t>第9期計画の35事業について、事業実績、事業量、対象実人数、決算額。第9期実績一覧_町記入用（7シート）への記入により提供いただく。評価指標の実績値を含む。</t>
        </is>
      </c>
      <c r="F12" s="7" t="inlineStr">
        <is>
          <t>現行施策の検証（仕様書6（4））
素案 第3章</t>
        </is>
      </c>
      <c r="G12" s="9" t="inlineStr">
        <is>
          <t>発注者</t>
        </is>
      </c>
      <c r="H12" s="14" t="inlineStr">
        <is>
          <t>確認待ち</t>
        </is>
      </c>
      <c r="I12" s="9" t="inlineStr">
        <is>
          <t>R8.7</t>
        </is>
      </c>
      <c r="J12" s="7" t="inlineStr"/>
    </row>
    <row r="13" ht="80" customHeight="1">
      <c r="A13" s="9" t="n">
        <v>9</v>
      </c>
      <c r="B13" s="9" t="inlineStr">
        <is>
          <t>(5)</t>
        </is>
      </c>
      <c r="C13" s="9" t="inlineStr">
        <is>
          <t>R8.6</t>
        </is>
      </c>
      <c r="D13" s="7" t="inlineStr">
        <is>
          <t>介護給付費準備基金の残高（令和8年6月時点）</t>
        </is>
      </c>
      <c r="E13" s="7" t="inlineStr">
        <is>
          <t>第7期から第9期までの積立・取崩実績及び令和8年度末の残高見込を含む。現在は計画ベースの53,700千円を仮置きしている。</t>
        </is>
      </c>
      <c r="F13" s="7" t="inlineStr">
        <is>
          <t>保険料試算ワークブック 01!B15
保険料3パターンの水準</t>
        </is>
      </c>
      <c r="G13" s="9" t="inlineStr">
        <is>
          <t>発注者</t>
        </is>
      </c>
      <c r="H13" s="14" t="inlineStr">
        <is>
          <t>完了</t>
        </is>
      </c>
      <c r="I13" s="9" t="inlineStr">
        <is>
          <t>R8.6</t>
        </is>
      </c>
      <c r="J13" s="7" t="inlineStr">
        <is>
          <t>令和8年9月1日提供の実績データ05シートにより、準備基金残高は令和2年度116,000千円→令和7年度見込148,100千円（備考「6月確定分」）、取崩額は全年度0千円と確認。保険料試算ワークブック01!B15に反映する。令和8年度末見込152,500千円は当初値のため確定数値の受領を待つ。／素案Ver.1.9の第7章に残高（R7末148,100千円・R8末見込152,500千円）を記載済み。</t>
        </is>
      </c>
    </row>
    <row r="14" ht="80" customHeight="1">
      <c r="A14" s="9" t="n">
        <v>10</v>
      </c>
      <c r="B14" s="9" t="inlineStr">
        <is>
          <t>(5)</t>
        </is>
      </c>
      <c r="C14" s="9" t="inlineStr">
        <is>
          <t>R8.7</t>
        </is>
      </c>
      <c r="D14" s="7" t="inlineStr">
        <is>
          <t>所得段階別被保険者数</t>
        </is>
      </c>
      <c r="E14" s="7" t="inlineStr">
        <is>
          <t>所得段階別の第1号被保険者数。補正係数は現在0.97を第9期基準額から逆算して仮置きしている。</t>
        </is>
      </c>
      <c r="F14" s="7" t="inlineStr">
        <is>
          <t>保険料試算ワークブック 06!B17
保険料基準額</t>
        </is>
      </c>
      <c r="G14" s="9" t="inlineStr">
        <is>
          <t>発注者</t>
        </is>
      </c>
      <c r="H14" s="14" t="inlineStr">
        <is>
          <t>完了</t>
        </is>
      </c>
      <c r="I14" s="9" t="inlineStr">
        <is>
          <t>R8.7</t>
        </is>
      </c>
      <c r="J14" s="7" t="inlineStr">
        <is>
          <t>素案Ver.1.10では、第9期の補正比1.0149を適用した補正後被保険者数9,740人を用いて仮試算した（表52に第9期の乗率による所得段階別保険料を掲載）。補正後被保険者数が3％少ない場合、基準額は月額+217円となる。／令和8年9月8日受領の令和6年度年報 様式1（所得段階別）により確定。13段階の実人数は令和6年度末3,261人（第1段階412〜第13段階31）、令和7年度末3,240人。町の乗率0.455／0.685／0.69／0.90／1.00／1.20／1.30／1.50／1.70／1.90／2.10／2.30／2.40。所得段階別加入割合補正係数は令和6年度0.99749・令和7年度1.01375（2か年平均1.00559）であり、第9期将来推計総括表の0.9667（13段階化前の9段階分布による）より大幅に高い。</t>
        </is>
      </c>
    </row>
    <row r="15" ht="80" customHeight="1">
      <c r="A15" s="9" t="n">
        <v>11</v>
      </c>
      <c r="B15" s="9" t="inlineStr">
        <is>
          <t>(5)</t>
        </is>
      </c>
      <c r="C15" s="9" t="inlineStr">
        <is>
          <t>R8.7</t>
        </is>
      </c>
      <c r="D15" s="7" t="inlineStr">
        <is>
          <t>保険料収納率の実績及び調整交付金等の交付実績</t>
        </is>
      </c>
      <c r="E15" s="7" t="inlineStr">
        <is>
          <t>令和4〜7年度の保険料収納率（総合・現年・特別徴収・普通徴収の別）、調整交付金の交付実績及び保険者機能強化推進交付金等の交付実績。第9期の調整交付金見込率は約3.9%であり、標準の5%を下回る。</t>
        </is>
      </c>
      <c r="F15" s="7" t="inlineStr">
        <is>
          <t>保険料試算ワークブック 06!B16、04!B8、06!B10
保険料基準額</t>
        </is>
      </c>
      <c r="G15" s="9" t="inlineStr">
        <is>
          <t>発注者</t>
        </is>
      </c>
      <c r="H15" s="14" t="inlineStr">
        <is>
          <t>確認待ち</t>
        </is>
      </c>
      <c r="I15" s="9" t="inlineStr">
        <is>
          <t>R8.8</t>
        </is>
      </c>
      <c r="J15" s="7" t="inlineStr">
        <is>
          <t>素案Ver.1.10では、総合収納率を令和2〜6年度の実績96.4〜96.7％とし、試算には第9期と同じ96.0％を用いた。町提供実績データの令和7年度99.6％は他年度と乖離しており、現年度分と取り違えている可能性があるため確認を要する。調整交付金は第9期計画の見込率3.9％・令和8年度3.67％を踏まえ3.7％を用いた（5.0％であれば基準額は月額▲402円）。／令和7年度の年報 様式3により収納率が確定した。現年度分 特別徴収100.00％・普通徴収94.06％・計99.56％、滞納繰越分11.64％、総合96.70％。町提供実績データの「予定収納率 R7見込99.6」は現年度分計の実績であり異常値ではない。残るのは調整交付金の交付実績（令和4〜7年度）のみ。／令和6年度年報 様式4の歳入により調整交付金の交付実績が判明。令和6年度53,478,000円（標準給付費見込額に対し4.892％）。保険者機能強化推進交付金1,277,000円＋保険者努力支援交付金2,461,000円＝3,738,000円。介護給付費準備基金保有額（令和6年度末）146,700,000円、財政安定化基金拠出金0円。残るのは令和4・5・7年度の調整交付金実績のみ。</t>
        </is>
      </c>
    </row>
    <row r="16" ht="80" customHeight="1">
      <c r="A16" s="9" t="n">
        <v>12</v>
      </c>
      <c r="B16" s="9" t="inlineStr">
        <is>
          <t>(5)(6)</t>
        </is>
      </c>
      <c r="C16" s="9" t="inlineStr">
        <is>
          <t>R8.9</t>
        </is>
      </c>
      <c r="D16" s="7" t="inlineStr">
        <is>
          <t>国保連データ（サービス種類別・年度別の給付実績）</t>
        </is>
      </c>
      <c r="E16" s="7" t="inlineStr">
        <is>
          <t>国民健康保険団体連合会の給付実績情報（令和4〜7年度）。居宅・地域密着型・居宅介護支援・施設の別、住所地特例（24人）・町外施設利用分の内訳を含む。仕様書6（6）が明記する分析の基礎資料。</t>
        </is>
      </c>
      <c r="F16" s="7" t="inlineStr">
        <is>
          <t>サービス事業量の推計（仕様書6（5））
給付実績分析（仕様書6（6））
素案 第7章</t>
        </is>
      </c>
      <c r="G16" s="9" t="inlineStr">
        <is>
          <t>発注者・国保連</t>
        </is>
      </c>
      <c r="H16" s="14" t="inlineStr">
        <is>
          <t>確認待ち</t>
        </is>
      </c>
      <c r="I16" s="9" t="inlineStr">
        <is>
          <t>R8.9</t>
        </is>
      </c>
      <c r="J16" s="7" t="inlineStr"/>
    </row>
    <row r="17" ht="80" customHeight="1">
      <c r="A17" s="9" t="n">
        <v>13</v>
      </c>
      <c r="B17" s="9" t="inlineStr">
        <is>
          <t>(5)</t>
        </is>
      </c>
      <c r="C17" s="9" t="inlineStr">
        <is>
          <t>R8.9</t>
        </is>
      </c>
      <c r="D17" s="7" t="inlineStr">
        <is>
          <t>地域支援事業の実績及び見込みの前提</t>
        </is>
      </c>
      <c r="E17" s="7" t="inlineStr">
        <is>
          <t>仕様書6（5）が定める①地域支援事業対象者数、②介護予防・生活支援サービス事業、③一般介護予防事業、④包括的支援事業、⑤任意事業の各事業の実績（令和4〜8年度）及び第10期の実施方針。</t>
        </is>
      </c>
      <c r="F17" s="7" t="inlineStr">
        <is>
          <t>地域支援事業の費用・量の見込み
保険料試算ワークブック 03シート</t>
        </is>
      </c>
      <c r="G17" s="9" t="inlineStr">
        <is>
          <t>発注者</t>
        </is>
      </c>
      <c r="H17" s="14" t="inlineStr">
        <is>
          <t>確認待ち</t>
        </is>
      </c>
      <c r="I17" s="9" t="inlineStr">
        <is>
          <t>R8.9</t>
        </is>
      </c>
      <c r="J17" s="7" t="inlineStr"/>
    </row>
    <row r="18" ht="80" customHeight="1">
      <c r="A18" s="9" t="n">
        <v>14</v>
      </c>
      <c r="B18" s="9" t="inlineStr">
        <is>
          <t>(5)</t>
        </is>
      </c>
      <c r="C18" s="9" t="inlineStr">
        <is>
          <t>R8.7</t>
        </is>
      </c>
      <c r="D18" s="7" t="inlineStr">
        <is>
          <t>第9期保険料算定における14,000千円の差の内訳</t>
        </is>
      </c>
      <c r="E18" s="7" t="inlineStr">
        <is>
          <t>第9期計画の保険料算出表において、取崩なし収納必要額804,663千円から基金取崩額78,000千円を控除すると726,663千円となるが、計画表の取崩後収納必要額は712,663千円であり14,000千円の差がある。町の算定ワークシートによる確認をお願いする。</t>
        </is>
      </c>
      <c r="F18" s="7" t="inlineStr">
        <is>
          <t>保険料基準額の再現精度（±2%）
精査レポート</t>
        </is>
      </c>
      <c r="G18" s="9" t="inlineStr">
        <is>
          <t>発注者</t>
        </is>
      </c>
      <c r="H18" s="14" t="inlineStr">
        <is>
          <t>完了</t>
        </is>
      </c>
      <c r="I18" s="9" t="inlineStr">
        <is>
          <t>R8.9</t>
        </is>
      </c>
      <c r="J18" s="7" t="inlineStr">
        <is>
          <t>素案Ver.1.10の試算は、公表値78,000円を再現できる実効取崩額65,223千円（基金131,700千円の49.5％）を第9期の前提とみなして組み立てている。計画書記載の78,000千円との差の内訳の確認を要する。／令和8年9月7日受領の第9期将来推計総括表により解明。見える化システムの補正後被保険者数は9,546.1人（第1号被保険者数9,875人×0.9667）であり、計画書の取崩後収納必要額712,662,755円をこの分母で割ると月額6,480円となって公表値6,500円とおおむね一致する。すなわち差引92,000千円が実際の取崩額であり、計画書記載の78,000千円が14,000千円ずれている。町の算定ワークシート又は最終回の総括表で最終確認を要する。</t>
        </is>
      </c>
    </row>
    <row r="19" ht="80" customHeight="1">
      <c r="A19" s="9" t="n">
        <v>15</v>
      </c>
      <c r="B19" s="9" t="inlineStr">
        <is>
          <t>(7)</t>
        </is>
      </c>
      <c r="C19" s="9" t="inlineStr">
        <is>
          <t>R8.7</t>
        </is>
      </c>
      <c r="D19" s="7" t="inlineStr">
        <is>
          <t>計画書の構成と仕様書6（7）①〜⑨の対応</t>
        </is>
      </c>
      <c r="E19" s="7" t="inlineStr">
        <is>
          <t>仕様書6（7）は素案の構成を高齢者福祉計画①〜⑤、介護保険事業計画⑥〜⑨の9項目で定めているが、計画素案v1.6は独自の8章構成となっている。仕様書の構成に組み替えるか、現行の章立てで①〜⑨の内容を包含する形とするかについてご確認をお願いする。</t>
        </is>
      </c>
      <c r="F19" s="7" t="inlineStr">
        <is>
          <t>計画素案v1.6（44頁・8章構成）
計画書（案）</t>
        </is>
      </c>
      <c r="G19" s="9" t="inlineStr">
        <is>
          <t>発注者</t>
        </is>
      </c>
      <c r="H19" s="14" t="inlineStr">
        <is>
          <t>確認待ち</t>
        </is>
      </c>
      <c r="I19" s="9" t="inlineStr">
        <is>
          <t>R8.7</t>
        </is>
      </c>
      <c r="J19" s="7" t="inlineStr"/>
    </row>
    <row r="20" ht="80" customHeight="1">
      <c r="A20" s="9" t="n">
        <v>16</v>
      </c>
      <c r="B20" s="9" t="inlineStr">
        <is>
          <t>(7)</t>
        </is>
      </c>
      <c r="C20" s="9" t="inlineStr">
        <is>
          <t>R8.7</t>
        </is>
      </c>
      <c r="D20" s="7" t="inlineStr">
        <is>
          <t>町長挨拶文及び町長氏名</t>
        </is>
      </c>
      <c r="E20" s="7" t="inlineStr">
        <is>
          <t>計画書冒頭の挨拶文の内容と町長氏名。素案v1.6の挨拶文案について町長ご本人の確認をお願いする。</t>
        </is>
      </c>
      <c r="F20" s="7" t="inlineStr">
        <is>
          <t>計画書 冒頭
計画書（案）</t>
        </is>
      </c>
      <c r="G20" s="9" t="inlineStr">
        <is>
          <t>発注者</t>
        </is>
      </c>
      <c r="H20" s="14" t="inlineStr">
        <is>
          <t>確認待ち</t>
        </is>
      </c>
      <c r="I20" s="9" t="inlineStr">
        <is>
          <t>R8.9</t>
        </is>
      </c>
      <c r="J20" s="7" t="inlineStr"/>
    </row>
    <row r="21" ht="80" customHeight="1">
      <c r="A21" s="9" t="n">
        <v>17</v>
      </c>
      <c r="B21" s="9" t="inlineStr">
        <is>
          <t>(8)</t>
        </is>
      </c>
      <c r="C21" s="9" t="inlineStr">
        <is>
          <t>R8.6</t>
        </is>
      </c>
      <c r="D21" s="7" t="inlineStr">
        <is>
          <t>中間報告の提出期日</t>
        </is>
      </c>
      <c r="E21" s="7" t="inlineStr">
        <is>
          <t>仕様書6（8）は「中間報告は、その都度指定された期日まで提出すること」としている。提出の時期、回数及び報告の様式についてご指定をお願いする。</t>
        </is>
      </c>
      <c r="F21" s="7" t="inlineStr">
        <is>
          <t>中間報告</t>
        </is>
      </c>
      <c r="G21" s="9" t="inlineStr">
        <is>
          <t>発注者</t>
        </is>
      </c>
      <c r="H21" s="14" t="inlineStr">
        <is>
          <t>確認待ち</t>
        </is>
      </c>
      <c r="I21" s="9" t="inlineStr">
        <is>
          <t>R8.6</t>
        </is>
      </c>
      <c r="J21" s="7" t="inlineStr"/>
    </row>
    <row r="22" ht="80" customHeight="1">
      <c r="A22" s="9" t="n">
        <v>18</v>
      </c>
      <c r="B22" s="9" t="inlineStr">
        <is>
          <t>(8)</t>
        </is>
      </c>
      <c r="C22" s="9" t="inlineStr">
        <is>
          <t>R8.10</t>
        </is>
      </c>
      <c r="D22" s="7" t="inlineStr">
        <is>
          <t>成果品の入稿期日</t>
        </is>
      </c>
      <c r="E22" s="7" t="inlineStr">
        <is>
          <t>委託期間が令和9年3月15日までであることを踏まえた、各成果品の入稿期日。特に概要版（8頁程度・3,500部）は部数が多く、印刷・製本の所要日数の確認を要する。なお成果品の判型・用紙・刷色・頁数・部数は仕様書8に明記されており、確認済みである。</t>
        </is>
      </c>
      <c r="F22" s="7" t="inlineStr">
        <is>
          <t>調査報告書・計画書・概要版の印刷</t>
        </is>
      </c>
      <c r="G22" s="9" t="inlineStr">
        <is>
          <t>発注者</t>
        </is>
      </c>
      <c r="H22" s="14" t="inlineStr">
        <is>
          <t>確認待ち</t>
        </is>
      </c>
      <c r="I22" s="9" t="inlineStr">
        <is>
          <t>R8.12</t>
        </is>
      </c>
      <c r="J22" s="7" t="inlineStr"/>
    </row>
    <row r="23" ht="80" customHeight="1">
      <c r="A23" s="9" t="n">
        <v>19</v>
      </c>
      <c r="B23" s="9" t="inlineStr">
        <is>
          <t>(8)</t>
        </is>
      </c>
      <c r="C23" s="9" t="inlineStr">
        <is>
          <t>R8.7</t>
        </is>
      </c>
      <c r="D23" s="7" t="inlineStr">
        <is>
          <t>パブリックコメント及び条例改正に係る支援の取扱い</t>
        </is>
      </c>
      <c r="E23" s="7" t="inlineStr">
        <is>
          <t>パブリックコメントの実施支援及び介護保険条例の改正案の作成支援は、仕様書の業務内容に規定がない。これらを本業務の範囲として実施するか、仕様書11「その他」による協議事項として取り扱うかについてご確認をお願いする。第9期はパブリックコメントを令和6年1月31日から2月9日に実施している。</t>
        </is>
      </c>
      <c r="F23" s="7" t="inlineStr">
        <is>
          <t>パブリックコメント関係資料
条例改正案</t>
        </is>
      </c>
      <c r="G23" s="9" t="inlineStr">
        <is>
          <t>発注者</t>
        </is>
      </c>
      <c r="H23" s="14" t="inlineStr">
        <is>
          <t>確認待ち</t>
        </is>
      </c>
      <c r="I23" s="9" t="inlineStr">
        <is>
          <t>R8.9</t>
        </is>
      </c>
      <c r="J23" s="7" t="inlineStr">
        <is>
          <t>第1回策定委員会資料の策定スケジュール（案）に「令和9年1〜2月頃 パブリックコメントの実施」が明記されており、実施は既定と解される。費用・作業範囲の取扱いの確認が残る。</t>
        </is>
      </c>
    </row>
    <row r="24" ht="80" customHeight="1">
      <c r="A24" s="9" t="n">
        <v>20</v>
      </c>
      <c r="B24" s="9" t="inlineStr">
        <is>
          <t>(4)</t>
        </is>
      </c>
      <c r="C24" s="9" t="inlineStr">
        <is>
          <t>R8.9</t>
        </is>
      </c>
      <c r="D24" s="7" t="inlineStr">
        <is>
          <t>同時策定2計画との整合調整</t>
        </is>
      </c>
      <c r="E24" s="7" t="inlineStr">
        <is>
          <t>地域福祉計画・障害者計画（別ベンダー：ジャパン総研）との整合について、重層的支援体制・移動支援・データ共有等に係る協議の場と調整の進め方。</t>
        </is>
      </c>
      <c r="F24" s="7" t="inlineStr">
        <is>
          <t>素案（3計画整合の記述）</t>
        </is>
      </c>
      <c r="G24" s="9" t="inlineStr">
        <is>
          <t>発注者</t>
        </is>
      </c>
      <c r="H24" s="14" t="inlineStr">
        <is>
          <t>確認待ち</t>
        </is>
      </c>
      <c r="I24" s="9" t="inlineStr">
        <is>
          <t>R8.9</t>
        </is>
      </c>
      <c r="J24" s="7" t="inlineStr"/>
    </row>
    <row r="25" ht="80" customHeight="1">
      <c r="A25" s="9" t="n">
        <v>21</v>
      </c>
      <c r="B25" s="9" t="inlineStr">
        <is>
          <t>(1)</t>
        </is>
      </c>
      <c r="C25" s="9" t="inlineStr">
        <is>
          <t>R8.9</t>
        </is>
      </c>
      <c r="D25" s="7" t="inlineStr">
        <is>
          <t>在宅介護実態調査（認定者）の結果の取扱い</t>
        </is>
      </c>
      <c r="E25" s="7" t="inlineStr">
        <is>
          <t>在宅介護実態調査は実施済みで、集計データにより有効回答109件を確認した（対象300人・回収率約36%）。一方、第1回策定委員会資料にはニーズ調査（一般高齢者）の結果のみが掲載され、認定者調査の結果が示されていない。第2回以降での報告の要否と、調査報告書及び素案への反映方針についてご確認をお願いする。</t>
        </is>
      </c>
      <c r="F25" s="7" t="inlineStr">
        <is>
          <t>調査報告書（80頁程度・5部）
素案の在宅生活支援に係る記述
サービス見込量</t>
        </is>
      </c>
      <c r="G25" s="9" t="inlineStr">
        <is>
          <t>発注者</t>
        </is>
      </c>
      <c r="H25" s="14" t="inlineStr">
        <is>
          <t>完了</t>
        </is>
      </c>
      <c r="I25" s="9" t="inlineStr">
        <is>
          <t>R8.9</t>
        </is>
      </c>
      <c r="J25" s="7" t="inlineStr">
        <is>
          <t>在宅介護実態調査（142件）の結果は第1回策定委員会資料 v3以降に掲載済み。介護実態調査結果報告書（R8.9.2版）も作成済みで、個票による設問間クロス分析11項目を掲載している。／第1回策定委員会で「施設入居申し込み済みが約半数」と説明されたが、申込済みは33.8％、検討を含めて48.2％である。確認事項No.55で訂正する。</t>
        </is>
      </c>
    </row>
    <row r="26" ht="80" customHeight="1">
      <c r="A26" s="9" t="n">
        <v>22</v>
      </c>
      <c r="B26" s="9" t="inlineStr">
        <is>
          <t>(7)</t>
        </is>
      </c>
      <c r="C26" s="9" t="inlineStr">
        <is>
          <t>R8.9</t>
        </is>
      </c>
      <c r="D26" s="7" t="inlineStr">
        <is>
          <t>第9期計画の基本理念・体系の記載の是正</t>
        </is>
      </c>
      <c r="E26" s="7" t="inlineStr">
        <is>
          <t>計画素案v1.6は第9期の基本理念を「住民が住み慣れた地域で安心して暮らせるまちづくり」として第9期踏襲と記載しているが、第9期計画書の基本理念は「誰もが健やかに暮らせるまちづくり」であり、素案の理念は第9期計画書に一度も現れない（第8期は「身も心も健やかに笑顔で暮らせる長寿のまち」）。また第9期の体系は「基本理念→基本方針5つ→重点的な取組」であるが、素案は「基本目標」の語を用いており第9期計画に同語はない。第1回策定委員会資料は第9期の理念・5つの基本方針・重点3本柱を正しく記載している。第10期の理念を第9期から継承するのであれば、素案の記載の是正を要する。</t>
        </is>
      </c>
      <c r="F26" s="7" t="inlineStr">
        <is>
          <t>計画素案v1.6 第4章（基本理念・基本目標）\n素案 第3章（第9期の評価）\n計画素案_概要版</t>
        </is>
      </c>
      <c r="G26" s="9" t="inlineStr">
        <is>
          <t>発注者</t>
        </is>
      </c>
      <c r="H26" s="14" t="inlineStr">
        <is>
          <t>完了</t>
        </is>
      </c>
      <c r="I26" s="9" t="inlineStr">
        <is>
          <t>R8.9</t>
        </is>
      </c>
      <c r="J26" s="7" t="inlineStr">
        <is>
          <t>第9期計画書（原本42〜44頁）を確認し、基本理念は「誰もが健やかに暮らせるまちづくり」、体系は基本方針1〜5であることを特定。計画素案v1.7で是正済み（基本理念4箇所、体系6行、3-1・3-2・4-1・4-2の記述）。第10期の基本目標6区分は再構成である旨を明記し、対応表を追加した。</t>
        </is>
      </c>
    </row>
    <row r="27" ht="80" customHeight="1">
      <c r="A27" s="9" t="n">
        <v>23</v>
      </c>
      <c r="B27" s="9" t="inlineStr">
        <is>
          <t>(4)</t>
        </is>
      </c>
      <c r="C27" s="9" t="inlineStr">
        <is>
          <t>R8.9</t>
        </is>
      </c>
      <c r="D27" s="7" t="inlineStr">
        <is>
          <t>高齢化率・総人口の基準値の統一</t>
        </is>
      </c>
      <c r="E27" s="7" t="inlineStr">
        <is>
          <t>計画素案v1.6は高齢化率を41.4%（令和7年3月31日時点・県内5位）としているが、第9期計画書に41.4%の記載はなく、同計画の推計は令和4年39.2%・令和8年42.6%である。第1回策定委員会資料は高齢化率42.6%（令和8年度推計）・39.2%（令和4年実績）、総人口7,729人（令和8年度推計）としており、素案の「約8,000人」とも一致しない。計画書と委員会資料で異なる数値を示すことになるため、基準時点と出典の統一をお願いする。</t>
        </is>
      </c>
      <c r="F27" s="7" t="inlineStr">
        <is>
          <t>計画素案v1.6 第2章（現状分析）\n図2-5 高齢化率比較\n第1回策定委員会資料</t>
        </is>
      </c>
      <c r="G27" s="9" t="inlineStr">
        <is>
          <t>発注者</t>
        </is>
      </c>
      <c r="H27" s="14" t="inlineStr">
        <is>
          <t>完了</t>
        </is>
      </c>
      <c r="I27" s="9" t="inlineStr">
        <is>
          <t>R8.9</t>
        </is>
      </c>
      <c r="J27" s="7" t="inlineStr">
        <is>
          <t>第1回策定委員会資料と同じ令和8年6月末・42.0％（総人口7,648人・うち65歳以上3,209人）に統一済み（計画素案v1.7・5箇所）。図2-5は令和7年3月31日時点の県内比較として時点を明示のうえ維持している。</t>
        </is>
      </c>
    </row>
    <row r="28" ht="80" customHeight="1">
      <c r="A28" s="9" t="n">
        <v>24</v>
      </c>
      <c r="B28" s="9" t="inlineStr">
        <is>
          <t>(5)</t>
        </is>
      </c>
      <c r="C28" s="9" t="inlineStr">
        <is>
          <t>R8.9</t>
        </is>
      </c>
      <c r="D28" s="7" t="inlineStr">
        <is>
          <t>第9期保険料基準額の表記（6,508円と6,500円）</t>
        </is>
      </c>
      <c r="E28" s="7" t="inlineStr">
        <is>
          <t>第9期計画書には保険料基準額（月額）6,508円（年額78,000円）と、第5段階（基準）の月額6,500円の双方が記載されている。前者は算定表上の基準額、後者は基準額×1.00の段階別保険料である。計画素案v1.6は6,500円を第9期基準額として記載しているが、第10期の保険料算定の出発点としては6,508円を用いるのが適当と考えられる。表記の統一についてご確認をお願いする。</t>
        </is>
      </c>
      <c r="F28" s="7" t="inlineStr">
        <is>
          <t>計画素案v1.6 第7章\n保険料試算ワークブック\n第1回策定委員会資料</t>
        </is>
      </c>
      <c r="G28" s="9" t="inlineStr">
        <is>
          <t>発注者</t>
        </is>
      </c>
      <c r="H28" s="14" t="inlineStr">
        <is>
          <t>完了</t>
        </is>
      </c>
      <c r="I28" s="9" t="inlineStr">
        <is>
          <t>R8.9</t>
        </is>
      </c>
      <c r="J28" s="7" t="inlineStr">
        <is>
          <t>第9期計画書により、算定表上の基準額は月額6,508円、第5段階（基準）の保険料月額は年額78,000円÷12か月＝6,500円であることを確認。両者の関係を注記として計画素案v1.7に追加済み。</t>
        </is>
      </c>
    </row>
    <row r="29" ht="80" customHeight="1">
      <c r="A29" s="9" t="n">
        <v>25</v>
      </c>
      <c r="B29" s="9" t="inlineStr">
        <is>
          <t>(1)</t>
        </is>
      </c>
      <c r="C29" s="9" t="inlineStr">
        <is>
          <t>R8.9</t>
        </is>
      </c>
      <c r="D29" s="7" t="inlineStr">
        <is>
          <t>第1回策定委員会資料の有効回答数の訂正</t>
        </is>
      </c>
      <c r="E29" s="7" t="inlineStr">
        <is>
          <t>第1回策定委員会資料はニーズ調査の有効回答数を552件と記載しているが、結果報告書（令和8年8月3日版）は「有効回答数が433件から576件に増加」と明記し、集計データ（20260807版）の回答数も576件である。552件はいずれとも一致しない。なお同資料が引用する各指標（高血圧54.3%、糖尿病17.8%、転倒33.7%、物忘れ41.8%、参加意欲55.2%）は報告書の値と一致しており、指標自体は576件ベースで正しい。委員配布前に母数の記載の訂正をお願いする。あわせて「第9期調査504件」の出典もご確認願いたい。</t>
        </is>
      </c>
      <c r="F29" s="7" t="inlineStr">
        <is>
          <t>第1回策定委員会資料（R8.9.2配布）</t>
        </is>
      </c>
      <c r="G29" s="9" t="inlineStr">
        <is>
          <t>発注者</t>
        </is>
      </c>
      <c r="H29" s="14" t="inlineStr">
        <is>
          <t>完了</t>
        </is>
      </c>
      <c r="I29" s="9" t="inlineStr">
        <is>
          <t>R8.8</t>
        </is>
      </c>
      <c r="J29" s="7" t="inlineStr">
        <is>
          <t>集計データ20260807版により有効回答は576件と確定。第1回策定委員会資料はR8.9.2版（v3以降）で576件に訂正済み。</t>
        </is>
      </c>
    </row>
    <row r="30" ht="80" customHeight="1">
      <c r="A30" s="9" t="n">
        <v>26</v>
      </c>
      <c r="B30" s="9" t="inlineStr">
        <is>
          <t>(1)</t>
        </is>
      </c>
      <c r="C30" s="9" t="inlineStr">
        <is>
          <t>R8.9</t>
        </is>
      </c>
      <c r="D30" s="7" t="inlineStr">
        <is>
          <t>自由意見欄の所在と公表資料での取扱い</t>
        </is>
      </c>
      <c r="E30" s="7" t="inlineStr">
        <is>
          <t>「アンケートでの住民意見について」（令和8年8月20日）に7名分の自由意見が整理されているが、受領した集計データ（20260717版・20260807版）には該当する記述が存在しない。両版の自由記述は趣味・生きがい・病名等の設問内「その他」欄のみで、全75設問に意見・要望を求める設問がない。意見の出典（調査票の自由意見欄か、別途収集か）と、確定版データへの収録の有無をご確認願いたい。あわせて、回答者が特定され得る内容を含むため、委員会資料・計画書への掲載に当たっては回答No.を伏せ要約して用いる方針の可否、及び地域包括支援センターの相談対応に関する記述の取扱いについてご相談したい。</t>
        </is>
      </c>
      <c r="F30" s="7" t="inlineStr">
        <is>
          <t>調査報告書（80頁程度・5部）\n第2回以降の委員会資料\n素案の住民意見に係る記述</t>
        </is>
      </c>
      <c r="G30" s="9" t="inlineStr">
        <is>
          <t>発注者</t>
        </is>
      </c>
      <c r="H30" s="14" t="inlineStr">
        <is>
          <t>確認待ち</t>
        </is>
      </c>
      <c r="I30" s="9" t="inlineStr">
        <is>
          <t>R8.9</t>
        </is>
      </c>
      <c r="J30" s="7" t="inlineStr"/>
    </row>
    <row r="31" ht="80" customHeight="1">
      <c r="A31" s="9" t="n">
        <v>27</v>
      </c>
      <c r="B31" s="9" t="inlineStr">
        <is>
          <t>(1)</t>
        </is>
      </c>
      <c r="C31" s="9" t="inlineStr">
        <is>
          <t>R8.9</t>
        </is>
      </c>
      <c r="D31" s="7" t="inlineStr">
        <is>
          <t>ニーズ調査に回答者属性が記録されていない件</t>
        </is>
      </c>
      <c r="E31" s="7" t="inlineStr">
        <is>
          <t>ニーズ調査の集計データ（20260807版・576件）は、性別・年齢階級・要介護状態区分・日常生活圏域IDのいずれも全件が空欄である。結果報告書も「属性別（性別・年齢層別等）の比較分析は依然として実施できない」と付言している。このため、後期高齢者層の課題、地区別の課題、性差のある課題を数値で示すことができず、F4で設計した7地区区分のクロス集計も実施できない。調査票のNO（1〜576）が町の発送台帳と対応していれば、属性の後付け付与により属性別分析が可能となる。突合の可否をご確認願いたい。</t>
        </is>
      </c>
      <c r="F31" s="7" t="inlineStr">
        <is>
          <t>結果報告書の属性別分析
素案 第2章・第5章の課題記述
第2回以降の委員会資料</t>
        </is>
      </c>
      <c r="G31" s="9" t="inlineStr">
        <is>
          <t>発注者</t>
        </is>
      </c>
      <c r="H31" s="14" t="inlineStr">
        <is>
          <t>確認待ち</t>
        </is>
      </c>
      <c r="I31" s="9" t="inlineStr">
        <is>
          <t>R8.9</t>
        </is>
      </c>
      <c r="J31" s="7" t="inlineStr">
        <is>
          <t>属性別分析は依然として実施できないが、身長・体重の個票からBMI区分・低栄養リスクを算出できることを確認し、これを代替属性とするクロス分析5項目をニーズ調査結果報告書に追加した。次回調査では属性の記録を設計に含めることを提案する。</t>
        </is>
      </c>
    </row>
    <row r="32" ht="80" customHeight="1">
      <c r="A32" s="9" t="n">
        <v>28</v>
      </c>
      <c r="B32" s="9" t="inlineStr">
        <is>
          <t>(1)</t>
        </is>
      </c>
      <c r="C32" s="9" t="inlineStr">
        <is>
          <t>R8.9</t>
        </is>
      </c>
      <c r="D32" s="7" t="inlineStr">
        <is>
          <t>介護実態調査結果報告書のクロス集計の前提</t>
        </is>
      </c>
      <c r="E32" s="7" t="inlineStr">
        <is>
          <t>介護実態調査結果報告書（令和8年8月12日版・作成中）は「今回のExcelは設問別の集計済みデータであり、回答者単位の個票がないため、新たなクロス集計値は推測せず未算出としている」として、第9章・第15章のクロス集計を分析候補の列挙にとどめている。しかし集計データ（20260807版）には142件の個票が収録されており、性別・年齢階級・要介護状態区分も記録されている。実際、同報告書の属性数値（女性62.0%、85〜89歳32.4%、要介護3〜5で58.3%等）は同データと一致する。クロス集計は実算出が可能であるため、報告書の完成に向けて数値を算出する方針としてよいかご確認願いたい。</t>
        </is>
      </c>
      <c r="F32" s="7" t="inlineStr">
        <is>
          <t>介護実態調査結果報告書
調査報告書（成果品・80頁程度5部）</t>
        </is>
      </c>
      <c r="G32" s="9" t="inlineStr">
        <is>
          <t>受託者</t>
        </is>
      </c>
      <c r="H32" s="12" t="inlineStr">
        <is>
          <t>完了</t>
        </is>
      </c>
      <c r="I32" s="9" t="inlineStr">
        <is>
          <t>R8.9</t>
        </is>
      </c>
      <c r="J32" s="7" t="inlineStr">
        <is>
          <t>個票から設問間クロス分析11項目を実算出し、介護実態調査結果報告書（R8.9.2版）に反映済み。家族介護の有無・世帯類型・サービス利用と施設入所検討状況のクロス3件を新たに追加した。</t>
        </is>
      </c>
    </row>
    <row r="33" ht="80" customHeight="1">
      <c r="A33" s="9" t="n">
        <v>29</v>
      </c>
      <c r="B33" s="9" t="inlineStr">
        <is>
          <t>(5)(6)</t>
        </is>
      </c>
      <c r="C33" s="9" t="inlineStr">
        <is>
          <t>R8.9</t>
        </is>
      </c>
      <c r="D33" s="7" t="inlineStr">
        <is>
          <t>町内の介護保険事業所一覧</t>
        </is>
      </c>
      <c r="E33" s="7" t="inlineStr">
        <is>
          <t>名称・種別・定員・所在。サービス見込量及び見込量確保のための方策の検討の前提となる。</t>
        </is>
      </c>
      <c r="F33" s="7" t="inlineStr">
        <is>
          <t>サービス見込量の推計
第1回策定委員会資料（供給の議論）</t>
        </is>
      </c>
      <c r="G33" s="9" t="inlineStr">
        <is>
          <t>発注者</t>
        </is>
      </c>
      <c r="H33" s="12" t="inlineStr">
        <is>
          <t>確認待ち</t>
        </is>
      </c>
      <c r="I33" s="9" t="inlineStr">
        <is>
          <t>R8.9</t>
        </is>
      </c>
      <c r="J33" s="7" t="inlineStr"/>
    </row>
    <row r="34" ht="80" customHeight="1">
      <c r="A34" s="9" t="n">
        <v>30</v>
      </c>
      <c r="B34" s="9" t="inlineStr">
        <is>
          <t>(3)</t>
        </is>
      </c>
      <c r="C34" s="9" t="inlineStr">
        <is>
          <t>R8.9</t>
        </is>
      </c>
      <c r="D34" s="7" t="inlineStr">
        <is>
          <t>策定委員会の設置要綱又は条例の条文</t>
        </is>
      </c>
      <c r="E34" s="7" t="inlineStr">
        <is>
          <t>委員会の所掌事務の正確な記載に必要。資料編 資料1・資料2に掲載する。</t>
        </is>
      </c>
      <c r="F34" s="7" t="inlineStr">
        <is>
          <t>資料編 資料1・資料2
第1回策定委員会資料</t>
        </is>
      </c>
      <c r="G34" s="9" t="inlineStr">
        <is>
          <t>発注者</t>
        </is>
      </c>
      <c r="H34" s="12" t="inlineStr">
        <is>
          <t>確認待ち</t>
        </is>
      </c>
      <c r="I34" s="9" t="inlineStr">
        <is>
          <t>R8.9</t>
        </is>
      </c>
      <c r="J34" s="7" t="inlineStr"/>
    </row>
    <row r="35" ht="80" customHeight="1">
      <c r="A35" s="9" t="n">
        <v>31</v>
      </c>
      <c r="B35" s="9" t="inlineStr">
        <is>
          <t>(1)</t>
        </is>
      </c>
      <c r="C35" s="9" t="inlineStr">
        <is>
          <t>R8.9</t>
        </is>
      </c>
      <c r="D35" s="7" t="inlineStr">
        <is>
          <t>在宅介護実態調査300人の抽出母集団と抽出方法</t>
        </is>
      </c>
      <c r="E35" s="7" t="inlineStr">
        <is>
          <t>回答142件を在宅認定者に外挿する際の代表性の検証に必要。現在は代表性未検証として感度試算にとどめている。</t>
        </is>
      </c>
      <c r="F35" s="7" t="inlineStr">
        <is>
          <t>介護実態調査結果報告書 第4章
調査報告書（成果品）</t>
        </is>
      </c>
      <c r="G35" s="9" t="inlineStr">
        <is>
          <t>発注者</t>
        </is>
      </c>
      <c r="H35" s="12" t="inlineStr">
        <is>
          <t>確認待ち</t>
        </is>
      </c>
      <c r="I35" s="9" t="inlineStr">
        <is>
          <t>R8.9</t>
        </is>
      </c>
      <c r="J35" s="7" t="inlineStr"/>
    </row>
    <row r="36" ht="80" customHeight="1">
      <c r="A36" s="9" t="n">
        <v>32</v>
      </c>
      <c r="B36" s="9" t="inlineStr">
        <is>
          <t>(3)(8)</t>
        </is>
      </c>
      <c r="C36" s="9" t="inlineStr">
        <is>
          <t>R8.9</t>
        </is>
      </c>
      <c r="D36" s="7" t="inlineStr">
        <is>
          <t>第9期策定時のスケジュール実績</t>
        </is>
      </c>
      <c r="E36" s="7" t="inlineStr">
        <is>
          <t>パブリックコメントと保険料決定の前後関係。第10期のスケジュール（案）の妥当性の確認に必要。</t>
        </is>
      </c>
      <c r="F36" s="7" t="inlineStr">
        <is>
          <t>第1回策定委員会資料（策定スケジュール）</t>
        </is>
      </c>
      <c r="G36" s="9" t="inlineStr">
        <is>
          <t>発注者</t>
        </is>
      </c>
      <c r="H36" s="12" t="inlineStr">
        <is>
          <t>確認待ち</t>
        </is>
      </c>
      <c r="I36" s="9" t="inlineStr">
        <is>
          <t>R8.9</t>
        </is>
      </c>
      <c r="J36" s="7" t="inlineStr"/>
    </row>
    <row r="37" ht="80" customHeight="1">
      <c r="A37" s="9" t="n">
        <v>33</v>
      </c>
      <c r="B37" s="9" t="inlineStr">
        <is>
          <t>(5)</t>
        </is>
      </c>
      <c r="C37" s="9" t="inlineStr">
        <is>
          <t>R8.9</t>
        </is>
      </c>
      <c r="D37" s="7" t="inlineStr">
        <is>
          <t>令和8年度の住民基本台帳人口（年度末見込み・男女別）</t>
        </is>
      </c>
      <c r="E37" s="7" t="inlineStr">
        <is>
          <t>仕様書6（5）は年齢別・男女別の10年推計を要求している。現行の推計は年齢区分別までである。</t>
        </is>
      </c>
      <c r="F37" s="7" t="inlineStr">
        <is>
          <t>人口推計（年齢別・男女別）
保険料試算ワークブック</t>
        </is>
      </c>
      <c r="G37" s="9" t="inlineStr">
        <is>
          <t>発注者</t>
        </is>
      </c>
      <c r="H37" s="12" t="inlineStr">
        <is>
          <t>確認待ち</t>
        </is>
      </c>
      <c r="I37" s="9" t="inlineStr">
        <is>
          <t>R8.9</t>
        </is>
      </c>
      <c r="J37" s="7" t="inlineStr"/>
    </row>
    <row r="38" ht="80" customHeight="1">
      <c r="A38" s="9" t="n">
        <v>34</v>
      </c>
      <c r="B38" s="9" t="inlineStr">
        <is>
          <t>(4)</t>
        </is>
      </c>
      <c r="C38" s="9" t="inlineStr">
        <is>
          <t>R8.9</t>
        </is>
      </c>
      <c r="D38" s="7" t="inlineStr">
        <is>
          <t>第9期KPIのアウトプット指標の達成状況</t>
        </is>
      </c>
      <c r="E38" s="7" t="inlineStr">
        <is>
          <t>自立支援型地域ケア会議 年12件／介護支援専門員研修会 年7件／ケアプラン検討 年3件／介護予防事業の参加者数／サポーター研修の開催回数の実績。仕様書6（2）の要求事項。</t>
        </is>
      </c>
      <c r="F38" s="7" t="inlineStr">
        <is>
          <t>現行施策の検証（仕様書6（4））
第1回策定委員会資料 第9期の振り返り</t>
        </is>
      </c>
      <c r="G38" s="9" t="inlineStr">
        <is>
          <t>発注者</t>
        </is>
      </c>
      <c r="H38" s="12" t="inlineStr">
        <is>
          <t>確認待ち</t>
        </is>
      </c>
      <c r="I38" s="9" t="inlineStr">
        <is>
          <t>R8.9</t>
        </is>
      </c>
      <c r="J38" s="7" t="inlineStr"/>
    </row>
    <row r="39" ht="80" customHeight="1">
      <c r="A39" s="9" t="n">
        <v>35</v>
      </c>
      <c r="B39" s="9" t="inlineStr">
        <is>
          <t>(4)(5)</t>
        </is>
      </c>
      <c r="C39" s="9" t="inlineStr">
        <is>
          <t>R8.9</t>
        </is>
      </c>
      <c r="D39" s="7" t="inlineStr">
        <is>
          <t>見える化システムの調整済み認定率</t>
        </is>
      </c>
      <c r="E39" s="7" t="inlineStr">
        <is>
          <t>令和5年9月末及び令和8年9月末の年齢調整済み認定率。第9期のアウトカムKPI（調整済み認定率を17.6%に維持）の達成可否の確定に必要。通常の認定率では代替できない。</t>
        </is>
      </c>
      <c r="F39" s="7" t="inlineStr">
        <is>
          <t>第9期KPIの評価
介護実態調査結果報告書 第11章の注記</t>
        </is>
      </c>
      <c r="G39" s="9" t="inlineStr">
        <is>
          <t>発注者</t>
        </is>
      </c>
      <c r="H39" s="12" t="inlineStr">
        <is>
          <t>確認待ち</t>
        </is>
      </c>
      <c r="I39" s="9" t="inlineStr">
        <is>
          <t>R8.10</t>
        </is>
      </c>
      <c r="J39" s="7" t="inlineStr"/>
    </row>
    <row r="40" ht="80" customHeight="1">
      <c r="A40" s="9" t="n">
        <v>36</v>
      </c>
      <c r="B40" s="9" t="inlineStr">
        <is>
          <t>(4)(7)</t>
        </is>
      </c>
      <c r="C40" s="9" t="inlineStr">
        <is>
          <t>R8.9</t>
        </is>
      </c>
      <c r="D40" s="7" t="inlineStr">
        <is>
          <t>高齢者紙おむつ等支給事業の要綱</t>
        </is>
      </c>
      <c r="E40" s="7" t="inlineStr">
        <is>
          <t>支給額（月額2,000円〜5,000円）及び対象要件の出典。報告書に注記済みだが未確定である。</t>
        </is>
      </c>
      <c r="F40" s="7" t="inlineStr">
        <is>
          <t>介護実態調査結果報告書 第11章
素案 第3章</t>
        </is>
      </c>
      <c r="G40" s="9" t="inlineStr">
        <is>
          <t>発注者</t>
        </is>
      </c>
      <c r="H40" s="12" t="inlineStr">
        <is>
          <t>確認待ち</t>
        </is>
      </c>
      <c r="I40" s="9" t="inlineStr">
        <is>
          <t>R8.9</t>
        </is>
      </c>
      <c r="J40" s="7" t="inlineStr"/>
    </row>
    <row r="41" ht="80" customHeight="1">
      <c r="A41" s="9" t="n">
        <v>37</v>
      </c>
      <c r="B41" s="9" t="inlineStr">
        <is>
          <t>(1)</t>
        </is>
      </c>
      <c r="C41" s="9" t="inlineStr">
        <is>
          <t>R8.9</t>
        </is>
      </c>
      <c r="D41" s="7" t="inlineStr">
        <is>
          <t>ニーズ調査の有効回答の定義</t>
        </is>
      </c>
      <c r="E41" s="7" t="inlineStr">
        <is>
          <t>無回答・複数マークの扱い。第2章の単純集計と第3章のクロス集計でnが異なる理由の説明に必要。</t>
        </is>
      </c>
      <c r="F41" s="7" t="inlineStr">
        <is>
          <t>ニーズ調査結果報告書
調査報告書（成果品）</t>
        </is>
      </c>
      <c r="G41" s="9" t="inlineStr">
        <is>
          <t>発注者</t>
        </is>
      </c>
      <c r="H41" s="12" t="inlineStr">
        <is>
          <t>確認待ち</t>
        </is>
      </c>
      <c r="I41" s="9" t="inlineStr">
        <is>
          <t>R8.9</t>
        </is>
      </c>
      <c r="J41" s="7" t="inlineStr"/>
    </row>
    <row r="42" ht="80" customHeight="1">
      <c r="A42" s="9" t="n">
        <v>38</v>
      </c>
      <c r="B42" s="9" t="inlineStr">
        <is>
          <t>(6)</t>
        </is>
      </c>
      <c r="C42" s="9" t="inlineStr">
        <is>
          <t>R8.9</t>
        </is>
      </c>
      <c r="D42" s="7" t="inlineStr">
        <is>
          <t>町内の薬局数と在宅訪問（居宅療養管理指導）への対応状況</t>
        </is>
      </c>
      <c r="E42" s="7" t="inlineStr">
        <is>
          <t>在宅訪問対応薬局リスト（2021年1月時点）に町内の該当がない。在宅医療・介護連携の活動指標が全国1,482位である要因の確認に必要。</t>
        </is>
      </c>
      <c r="F42" s="7" t="inlineStr">
        <is>
          <t>在宅医療・介護連携の記述
第1回策定委員会資料</t>
        </is>
      </c>
      <c r="G42" s="9" t="inlineStr">
        <is>
          <t>発注者</t>
        </is>
      </c>
      <c r="H42" s="12" t="inlineStr">
        <is>
          <t>確認待ち</t>
        </is>
      </c>
      <c r="I42" s="9" t="inlineStr">
        <is>
          <t>R8.9</t>
        </is>
      </c>
      <c r="J42" s="7" t="inlineStr"/>
    </row>
    <row r="43" ht="80" customHeight="1">
      <c r="A43" s="9" t="n">
        <v>39</v>
      </c>
      <c r="B43" s="9" t="inlineStr">
        <is>
          <t>(4)(5)</t>
        </is>
      </c>
      <c r="C43" s="9" t="inlineStr">
        <is>
          <t>R8.9</t>
        </is>
      </c>
      <c r="D43" s="7" t="inlineStr">
        <is>
          <t>保険者機能強化推進交付金の交付額と充当先</t>
        </is>
      </c>
      <c r="E43" s="7" t="inlineStr">
        <is>
          <t>令和6〜8年度の交付額及び充当先の事業。第9期の地域支援事業の財源構成の確認に必要。令和6年度の交付見込額は3,738千円と推計される。</t>
        </is>
      </c>
      <c r="F43" s="7" t="inlineStr">
        <is>
          <t>地域支援事業の費用の見込み
保険料試算ワークブック 03</t>
        </is>
      </c>
      <c r="G43" s="9" t="inlineStr">
        <is>
          <t>発注者</t>
        </is>
      </c>
      <c r="H43" s="12" t="inlineStr">
        <is>
          <t>確認待ち</t>
        </is>
      </c>
      <c r="I43" s="9" t="inlineStr">
        <is>
          <t>R8.9</t>
        </is>
      </c>
      <c r="J43" s="7" t="inlineStr"/>
    </row>
    <row r="44" ht="80" customHeight="1">
      <c r="A44" s="9" t="inlineStr">
        <is>
          <t>40</t>
        </is>
      </c>
      <c r="B44" s="9" t="inlineStr">
        <is>
          <t>(5)(6)</t>
        </is>
      </c>
      <c r="C44" s="9" t="inlineStr">
        <is>
          <t>R8.9</t>
        </is>
      </c>
      <c r="D44" s="7" t="inlineStr">
        <is>
          <t>サービス見込量の実績欄（R6〜R8）の未記入</t>
        </is>
      </c>
      <c r="E44" s="7" t="inlineStr">
        <is>
          <t>令和8年9月1日提供の実績データのうち、12〜14のサービス見込量シートは実績欄がほぼ全面的に未記入です（居宅24サービス0行・施設0行・地域密着型4行のみ）。仕様書6（5）のサービス事業量の推計には、全サービスのR6〜R8の給付実績（国保連データ）が必要です。ご提供をお願いします。</t>
        </is>
      </c>
      <c r="F44" s="7" t="inlineStr">
        <is>
          <t>サービス見込量の推計（仕様書6（5））
給付実績分析（仕様書6（6））
素案 第6章</t>
        </is>
      </c>
      <c r="G44" s="9" t="inlineStr">
        <is>
          <t>発注者</t>
        </is>
      </c>
      <c r="H44" s="12" t="inlineStr">
        <is>
          <t>確認待ち</t>
        </is>
      </c>
      <c r="I44" s="9" t="inlineStr">
        <is>
          <t>R8.9</t>
        </is>
      </c>
      <c r="J44" s="7" t="inlineStr">
        <is>
          <t>確認事項No.12（国保連データ）と一体。受領まで見込量の推計は仮試算とする。</t>
        </is>
      </c>
    </row>
    <row r="45" ht="80" customHeight="1">
      <c r="A45" s="9" t="inlineStr">
        <is>
          <t>41</t>
        </is>
      </c>
      <c r="B45" s="9" t="inlineStr">
        <is>
          <t>(5)(6)</t>
        </is>
      </c>
      <c r="C45" s="9" t="inlineStr">
        <is>
          <t>R8.9</t>
        </is>
      </c>
      <c r="D45" s="7" t="inlineStr">
        <is>
          <t>定期巡回・随時対応型訪問介護看護及び夜間対応型訪問介護の実績</t>
        </is>
      </c>
      <c r="E45" s="7" t="inlineStr">
        <is>
          <t>両サービスは、実績データ上、見込量・実績とも延利用者数500人／給付費8,000千円がR6〜R11の全年度で同値となっています。第9期計画書には両サービスの見込量表がなく「今後のサービスニーズの動向を勘案し、サービス提供を検討していきます」との記載のみで、在宅介護実態調査でも利用は定期巡回1件・夜間対応0件です。給付実績が0であれば「0」でのご記入をお願いします。</t>
        </is>
      </c>
      <c r="F45" s="7" t="inlineStr">
        <is>
          <t>サービス見込量（地域密着型）
素案 第6章
保険料試算ワークブック</t>
        </is>
      </c>
      <c r="G45" s="9" t="inlineStr">
        <is>
          <t>発注者</t>
        </is>
      </c>
      <c r="H45" s="12" t="inlineStr">
        <is>
          <t>確認待ち</t>
        </is>
      </c>
      <c r="I45" s="9" t="inlineStr">
        <is>
          <t>R8.9</t>
        </is>
      </c>
      <c r="J45" s="7" t="inlineStr">
        <is>
          <t>実績と見込量が同数のため、確定まで仮試算として扱う。</t>
        </is>
      </c>
    </row>
    <row r="46" ht="80" customHeight="1">
      <c r="A46" s="9" t="inlineStr">
        <is>
          <t>42</t>
        </is>
      </c>
      <c r="B46" s="9" t="inlineStr">
        <is>
          <t>(4)(6)</t>
        </is>
      </c>
      <c r="C46" s="9" t="inlineStr">
        <is>
          <t>R8.9</t>
        </is>
      </c>
      <c r="D46" s="7" t="inlineStr">
        <is>
          <t>実績データで年度間が同一値となっている項目（30行）</t>
        </is>
      </c>
      <c r="E46" s="7" t="inlineStr">
        <is>
          <t>02の介護予防教室（元気まんてん・元気いきいき・パドル体操・ノルディック・ヨーガ）、サポーター4種別、08のもの忘れ相談12回・チーム員会議12回・認知症カフェ47回235人・自立支援型地域ケア会議12回等が、R5又はR6以降すべて同値です。実績ではなく計画上の目標値が入力されている可能性があるため、年度別の実績値のご記入をお願いします。</t>
        </is>
      </c>
      <c r="F46" s="7" t="inlineStr">
        <is>
          <t>第9期KPIの達成状況の判定
現行施策の検証（仕様書6（4））
素案 第3章</t>
        </is>
      </c>
      <c r="G46" s="9" t="inlineStr">
        <is>
          <t>発注者</t>
        </is>
      </c>
      <c r="H46" s="12" t="inlineStr">
        <is>
          <t>確認待ち</t>
        </is>
      </c>
      <c r="I46" s="9" t="inlineStr">
        <is>
          <t>R8.9</t>
        </is>
      </c>
      <c r="J46" s="7" t="inlineStr">
        <is>
          <t>確認事項No.8・No.34と一体。確定まで第9期KPIの達成判定を保留する。</t>
        </is>
      </c>
    </row>
    <row r="47" ht="80" customHeight="1">
      <c r="A47" s="9" t="inlineStr">
        <is>
          <t>43</t>
        </is>
      </c>
      <c r="B47" s="9" t="inlineStr">
        <is>
          <t>(4)(5)</t>
        </is>
      </c>
      <c r="C47" s="9" t="inlineStr">
        <is>
          <t>R8.9</t>
        </is>
      </c>
      <c r="D47" s="7" t="inlineStr">
        <is>
          <t>実績データの異常値（7件）</t>
        </is>
      </c>
      <c r="E47" s="7" t="inlineStr">
        <is>
          <t>①03 75歳以上人口R6＝1,061人（R5 1,595・R7 1,727に対し約500人少ない）②03 認定率が整数表記（再計算値18.03〜17.25％）③07 紙おむつ等支給事業費の単位（表は千円だが値は488,337〜750,000で実体は円と思われる）④04 小規模多機能型居宅介護R6利用者323人（認知症GHと同値・R7見込は10人）⑤05 予定収納率R7見込99.6％（他年度96.4〜97.0％）⑥08 認知症サポーターの累計と年間受講者の不整合（R3以降すべて不一致）⑦05 保険料基準額R4・R5が6,500円（第8期は6,380円のはず）</t>
        </is>
      </c>
      <c r="F47" s="7" t="inlineStr">
        <is>
          <t>人口推計
給付実績分析
素案 第2章・第3章
保険料試算ワークブック</t>
        </is>
      </c>
      <c r="G47" s="9" t="inlineStr">
        <is>
          <t>発注者</t>
        </is>
      </c>
      <c r="H47" s="12" t="inlineStr">
        <is>
          <t>確認待ち</t>
        </is>
      </c>
      <c r="I47" s="9" t="inlineStr">
        <is>
          <t>R8.9</t>
        </is>
      </c>
      <c r="J47" s="7" t="inlineStr">
        <is>
          <t>詳細は『川崎町_町提供実績データ_確認メモ_R8.9.1.md』に記載。</t>
        </is>
      </c>
    </row>
    <row r="48" ht="80" customHeight="1">
      <c r="A48" s="9" t="inlineStr">
        <is>
          <t>44</t>
        </is>
      </c>
      <c r="B48" s="9" t="inlineStr">
        <is>
          <t>(5)</t>
        </is>
      </c>
      <c r="C48" s="9" t="inlineStr">
        <is>
          <t>R8.9</t>
        </is>
      </c>
      <c r="D48" s="7" t="inlineStr">
        <is>
          <t>認定者数の基準日（559人と561人の差）</t>
        </is>
      </c>
      <c r="E48" s="7" t="inlineStr">
        <is>
          <t>実績データの認定者数R7見込は559人ですが、第1回策定委員会資料及び素案は令和7年度末561人としています（第1号被保険者3,240人は一致）。基準日の違いか、いずれかが誤りかをご教示ください。</t>
        </is>
      </c>
      <c r="F48" s="7" t="inlineStr">
        <is>
          <t>第1回策定委員会資料
素案 第2章
認定者数の推計</t>
        </is>
      </c>
      <c r="G48" s="9" t="inlineStr">
        <is>
          <t>発注者</t>
        </is>
      </c>
      <c r="H48" s="12" t="inlineStr">
        <is>
          <t>確認待ち</t>
        </is>
      </c>
      <c r="I48" s="9" t="inlineStr">
        <is>
          <t>R8.9</t>
        </is>
      </c>
      <c r="J48" s="7" t="inlineStr">
        <is>
          <t>2人の差。認定率の記載に影響する。</t>
        </is>
      </c>
    </row>
    <row r="49" ht="80" customHeight="1">
      <c r="A49" s="9" t="inlineStr">
        <is>
          <t>45</t>
        </is>
      </c>
      <c r="B49" s="9" t="inlineStr">
        <is>
          <t>(4)(7)</t>
        </is>
      </c>
      <c r="C49" s="9" t="inlineStr">
        <is>
          <t>R8.9</t>
        </is>
      </c>
      <c r="D49" s="7" t="inlineStr">
        <is>
          <t>認知症サポーター・キャラバンメイトの最新値</t>
        </is>
      </c>
      <c r="E49" s="7" t="inlineStr">
        <is>
          <t>実績データではサポーター累計R7見込642名・キャラバンメイト80名ですが、素案及び委員会資料は550名・73名（令和3年度・令和2年度の値）を使用しています。最新値への更新の可否をご確認ください。</t>
        </is>
      </c>
      <c r="F49" s="7" t="inlineStr">
        <is>
          <t>素案 第6章（認知症施策）
第1回策定委員会資料</t>
        </is>
      </c>
      <c r="G49" s="9" t="inlineStr">
        <is>
          <t>発注者</t>
        </is>
      </c>
      <c r="H49" s="12" t="inlineStr">
        <is>
          <t>確認待ち</t>
        </is>
      </c>
      <c r="I49" s="9" t="inlineStr">
        <is>
          <t>R8.9</t>
        </is>
      </c>
      <c r="J49" s="7" t="inlineStr">
        <is>
          <t>確認事項No.43⑥（累計と受講者の不整合）の解消が前提。</t>
        </is>
      </c>
    </row>
    <row r="50" ht="80" customHeight="1">
      <c r="A50" s="9" t="inlineStr">
        <is>
          <t>46</t>
        </is>
      </c>
      <c r="B50" s="9" t="inlineStr">
        <is>
          <t>(4)(7)</t>
        </is>
      </c>
      <c r="C50" s="9" t="inlineStr">
        <is>
          <t>R8.9</t>
        </is>
      </c>
      <c r="D50" s="7" t="inlineStr">
        <is>
          <t>チームオレンジの整備状況</t>
        </is>
      </c>
      <c r="E50" s="7" t="inlineStr">
        <is>
          <t>実績データではチームオレンジの整備状況がR6以降「1（整備）」となっていますが、素案及び委員会資料は「未整備・第10期で新規整備」と記述しています。整備済みであれば記述を是正します。整備の実態をご教示ください。</t>
        </is>
      </c>
      <c r="F50" s="7" t="inlineStr">
        <is>
          <t>素案 第6章（認知症施策）
第1回策定委員会資料
第10期の重点施策</t>
        </is>
      </c>
      <c r="G50" s="9" t="inlineStr">
        <is>
          <t>発注者</t>
        </is>
      </c>
      <c r="H50" s="12" t="inlineStr">
        <is>
          <t>確認待ち</t>
        </is>
      </c>
      <c r="I50" s="9" t="inlineStr">
        <is>
          <t>R8.9</t>
        </is>
      </c>
      <c r="J50" s="7" t="inlineStr">
        <is>
          <t>整備済みの場合、第10期の重点施策の組立てが変わる。</t>
        </is>
      </c>
    </row>
    <row r="51" ht="80" customHeight="1">
      <c r="A51" s="9" t="inlineStr">
        <is>
          <t>47</t>
        </is>
      </c>
      <c r="B51" s="9" t="inlineStr">
        <is>
          <t>(4)</t>
        </is>
      </c>
      <c r="C51" s="9" t="inlineStr">
        <is>
          <t>R8.9</t>
        </is>
      </c>
      <c r="D51" s="7" t="inlineStr">
        <is>
          <t>介護予防サポーターの人数の集計範囲</t>
        </is>
      </c>
      <c r="E51" s="7" t="inlineStr">
        <is>
          <t>実績データの02シートは介護予防サロン49人・スマイルサポーター23人・ふれあいネットワーク10〜11人としていますが、地域福祉計画の資料は84名・40名・活動員15名／協力員130名としており、素案は地福資料の「14種別 約400名」を使用しています。集計範囲の違いをご教示ください。</t>
        </is>
      </c>
      <c r="F51" s="7" t="inlineStr">
        <is>
          <t>素案 第2章・第5章（担い手）
第1回策定委員会資料</t>
        </is>
      </c>
      <c r="G51" s="9" t="inlineStr">
        <is>
          <t>発注者</t>
        </is>
      </c>
      <c r="H51" s="12" t="inlineStr">
        <is>
          <t>確認待ち</t>
        </is>
      </c>
      <c r="I51" s="9" t="inlineStr">
        <is>
          <t>R8.9</t>
        </is>
      </c>
      <c r="J51" s="7" t="inlineStr">
        <is>
          <t>同時策定の地域福祉計画との整合（確認事項No.20）に関連する。</t>
        </is>
      </c>
    </row>
    <row r="52" ht="80" customHeight="1">
      <c r="A52" s="9" t="inlineStr">
        <is>
          <t>48</t>
        </is>
      </c>
      <c r="B52" s="9" t="inlineStr">
        <is>
          <t>(5)(7)</t>
        </is>
      </c>
      <c r="C52" s="9" t="inlineStr">
        <is>
          <t>R8.9</t>
        </is>
      </c>
      <c r="D52" s="7" t="inlineStr">
        <is>
          <t>所得段階の記述の是正（既に13段階を実施済み）</t>
        </is>
      </c>
      <c r="E52" s="7" t="inlineStr">
        <is>
          <t>実績データにより所得段階数はR2〜R5が9段階、R6以降が13段階と確認しました（第9期計画書95頁も13段階）。素案の「9段階から13段階等への見直しを検討します」は既に実施済みの内容であるため、第10期は乗率の調整を論点とする記述に是正します。</t>
        </is>
      </c>
      <c r="F52" s="7" t="inlineStr">
        <is>
          <t>計画素案 第7章（保険料）
保険料試算ワークブック</t>
        </is>
      </c>
      <c r="G52" s="9" t="inlineStr">
        <is>
          <t>受託者</t>
        </is>
      </c>
      <c r="H52" s="12" t="inlineStr">
        <is>
          <t>完了</t>
        </is>
      </c>
      <c r="I52" s="9" t="inlineStr">
        <is>
          <t>R8.9</t>
        </is>
      </c>
      <c r="J52" s="7" t="inlineStr">
        <is>
          <t>実績データ及び第9期計画書により確定。素案Ver.1.9で是正する。／素案Ver.1.9で是正済み。第2章の記述と第7章の該当節（見出しを含む5箇所）を、「令和6年度に13段階へ移行済みであり、第10期の論点は乗率の設定である」と改めた。</t>
        </is>
      </c>
    </row>
    <row r="53" ht="80" customHeight="1">
      <c r="A53" s="9" t="inlineStr">
        <is>
          <t>49</t>
        </is>
      </c>
      <c r="B53" s="9" t="inlineStr">
        <is>
          <t>(3)(8)</t>
        </is>
      </c>
      <c r="C53" s="9" t="inlineStr">
        <is>
          <t>R8.9</t>
        </is>
      </c>
      <c r="D53" s="7" t="inlineStr">
        <is>
          <t>策定委員会の回数と答申の確定時期</t>
        </is>
      </c>
      <c r="E53" s="7" t="inlineStr">
        <is>
          <t>第1回策定委員会では、第2回（令和8年11月頃）で骨子案、第3回（令和9年1月）で素案提示及び答申内容の確定、その後パブリックコメント・議会審議という段取りが示されました。第1回資料の策定スケジュール（案）は第4回（令和9年2月・答申書案／議会への説明）を含む4回構成としていたため、3回構成で確定するかご確認をお願いします。3回構成の場合、保険料3パターンの提示から決定までを第3回で完結させる必要があります。</t>
        </is>
      </c>
      <c r="F53" s="7" t="inlineStr">
        <is>
          <t>策定スケジュール
保険料試算の提示時期
サービス見込量の確定時期
第2回・第3回委員会資料</t>
        </is>
      </c>
      <c r="G53" s="9" t="inlineStr">
        <is>
          <t>発注者</t>
        </is>
      </c>
      <c r="H53" s="12" t="inlineStr">
        <is>
          <t>確認待ち</t>
        </is>
      </c>
      <c r="I53" s="9" t="inlineStr">
        <is>
          <t>R8.9</t>
        </is>
      </c>
      <c r="J53" s="7" t="inlineStr">
        <is>
          <t>確認事項No.4を更新。3回構成なら国保連データの入手は11月中が必要。</t>
        </is>
      </c>
    </row>
    <row r="54" ht="80" customHeight="1">
      <c r="A54" s="9" t="inlineStr">
        <is>
          <t>50</t>
        </is>
      </c>
      <c r="B54" s="9" t="inlineStr">
        <is>
          <t>(5)(6)</t>
        </is>
      </c>
      <c r="C54" s="9" t="inlineStr">
        <is>
          <t>R8.9</t>
        </is>
      </c>
      <c r="D54" s="7" t="inlineStr">
        <is>
          <t>介護人材の不足と事業所の運営状況</t>
        </is>
      </c>
      <c r="E54" s="7" t="inlineStr">
        <is>
          <t>第1回策定委員会において、委員（社会福祉法人理事長）から、職員の退職により前年度に1ユニット分の人員を削減したこと、現在利用者87名に対し職員80名であること、今後7月に職員数が50名となる見込みで施設運営が困難になる可能性があること、町外からの人材紹介に1件約100万円の紹介料が生じていることが報告されました。サービス見込量及び見込量確保のための方策の検討に不可欠のため、該当事業所・サービス種類・定員・稼働状況の確認をお願いします。</t>
        </is>
      </c>
      <c r="F54" s="7" t="inlineStr">
        <is>
          <t>サービス見込量の推計（仕様書6（5））
見込量確保のための方策
素案 第5章・第6章</t>
        </is>
      </c>
      <c r="G54" s="9" t="inlineStr">
        <is>
          <t>発注者</t>
        </is>
      </c>
      <c r="H54" s="12" t="inlineStr">
        <is>
          <t>確認待ち</t>
        </is>
      </c>
      <c r="I54" s="9" t="inlineStr">
        <is>
          <t>R8.10</t>
        </is>
      </c>
      <c r="J54" s="7" t="inlineStr">
        <is>
          <t>供給制約が第9期の給付費平坦（R6→R7で▲0.7％）の要因である可能性。資料提供依頼No.12（事業所・施設の定員及び稼働の実績）と一体。</t>
        </is>
      </c>
    </row>
    <row r="55" ht="80" customHeight="1">
      <c r="A55" s="9" t="inlineStr">
        <is>
          <t>51</t>
        </is>
      </c>
      <c r="B55" s="9" t="inlineStr">
        <is>
          <t>(5)(6)</t>
        </is>
      </c>
      <c r="C55" s="9" t="inlineStr">
        <is>
          <t>R8.9</t>
        </is>
      </c>
      <c r="D55" s="7" t="inlineStr">
        <is>
          <t>訪問介護の登録ヘルパー数と実働数</t>
        </is>
      </c>
      <c r="E55" s="7" t="inlineStr">
        <is>
          <t>第1回策定委員会において、訪問介護は町内で登録21名に対し実働4名で対応しており、広大な地域での移動負担が大きいとの現状が共有されました。在宅サービスの供給余力の評価に用いるため、数値の出典と時点をご教示ください。</t>
        </is>
      </c>
      <c r="F55" s="7" t="inlineStr">
        <is>
          <t>サービス見込量（訪問介護）
在宅生活継続支援の施策
素案 第5章 5-3</t>
        </is>
      </c>
      <c r="G55" s="9" t="inlineStr">
        <is>
          <t>発注者</t>
        </is>
      </c>
      <c r="H55" s="12" t="inlineStr">
        <is>
          <t>確認待ち</t>
        </is>
      </c>
      <c r="I55" s="9" t="inlineStr">
        <is>
          <t>R8.10</t>
        </is>
      </c>
      <c r="J55" s="7" t="inlineStr">
        <is>
          <t>入所からの在宅復帰に対し訪問看護等の体制が不十分との指摘とあわせて確認。</t>
        </is>
      </c>
    </row>
    <row r="56" ht="80" customHeight="1">
      <c r="A56" s="9" t="inlineStr">
        <is>
          <t>52</t>
        </is>
      </c>
      <c r="B56" s="9" t="inlineStr">
        <is>
          <t>(7)</t>
        </is>
      </c>
      <c r="C56" s="9" t="inlineStr">
        <is>
          <t>R8.9</t>
        </is>
      </c>
      <c r="D56" s="7" t="inlineStr">
        <is>
          <t>町長期総合計画の基本理念との関係</t>
        </is>
      </c>
      <c r="E56" s="7" t="inlineStr">
        <is>
          <t>第1回策定委員会において事務局から、現行の基本理念「誰もが健やかに暮らせるまちづくり」は町の長期総合計画（10年計画・継続中）の基本理念の一つであるため、第10期でもこのまま継承することが適当ではないかとの見解が示されました。素案第1章の計画の位置づけに明記するため、総合計画の名称・計画期間・基本理念の該当箇所をご教示ください。</t>
        </is>
      </c>
      <c r="F56" s="7" t="inlineStr">
        <is>
          <t>計画素案 第1章（計画の位置づけ）
第4章（基本理念）
第2回委員会資料</t>
        </is>
      </c>
      <c r="G56" s="9" t="inlineStr">
        <is>
          <t>発注者</t>
        </is>
      </c>
      <c r="H56" s="12" t="inlineStr">
        <is>
          <t>確認待ち</t>
        </is>
      </c>
      <c r="I56" s="9" t="inlineStr">
        <is>
          <t>R8.10</t>
        </is>
      </c>
      <c r="J56" s="7" t="inlineStr">
        <is>
          <t>基本理念は継承の方向で整理。素案Ver.1.9で総合計画との関係を追記する。</t>
        </is>
      </c>
    </row>
    <row r="57" ht="80" customHeight="1">
      <c r="A57" s="9" t="inlineStr">
        <is>
          <t>53</t>
        </is>
      </c>
      <c r="B57" s="9" t="inlineStr">
        <is>
          <t>(3)</t>
        </is>
      </c>
      <c r="C57" s="9" t="inlineStr">
        <is>
          <t>R8.9</t>
        </is>
      </c>
      <c r="D57" s="7" t="inlineStr">
        <is>
          <t>第2回委員会資料の様式と事前配布の期限</t>
        </is>
      </c>
      <c r="E57" s="7" t="inlineStr">
        <is>
          <t>第1回策定委員会のアクションアイテムとして、事務局が第2回に向けて分野別課題の整理と、複数の解決策の選択肢を委員が選びやすい形で提示することとされました。第2回資料は、分析の提示ではなく選択肢の提示（課題→選択肢A／B／C）として組み立てます。また第2回以降の資料は事前に委員へ郵送又は手渡しで配布する方針が示されたため、納品期限のご確認をお願いします。</t>
        </is>
      </c>
      <c r="F57" s="7" t="inlineStr">
        <is>
          <t>第2回委員会資料
計画骨子（素案）
ニーズ調査結果報告書</t>
        </is>
      </c>
      <c r="G57" s="9" t="inlineStr">
        <is>
          <t>発注者</t>
        </is>
      </c>
      <c r="H57" s="12" t="inlineStr">
        <is>
          <t>確認待ち</t>
        </is>
      </c>
      <c r="I57" s="9" t="inlineStr">
        <is>
          <t>R8.10</t>
        </is>
      </c>
      <c r="J57" s="7" t="inlineStr">
        <is>
          <t>11月開催なら10月下旬までの納品が必要。</t>
        </is>
      </c>
    </row>
    <row r="58" ht="80" customHeight="1">
      <c r="A58" s="9" t="inlineStr">
        <is>
          <t>54</t>
        </is>
      </c>
      <c r="B58" s="9" t="inlineStr">
        <is>
          <t>(5)</t>
        </is>
      </c>
      <c r="C58" s="9" t="inlineStr">
        <is>
          <t>R8.9</t>
        </is>
      </c>
      <c r="D58" s="7" t="inlineStr">
        <is>
          <t>介護報酬の前倒し見直し及び赤字事業者への補助に係る国の動向</t>
        </is>
      </c>
      <c r="E58" s="7" t="inlineStr">
        <is>
          <t>第1回策定委員会において、委員から介護報酬の前倒し見直しや赤字事業者への補助に関する報道・方針について情報提供を求める発言があり、事務局・受託者とも詳細は未把握と回答し、情報が入り次第、委員会で共有することとされました。保険料試算は令和9年度に報酬改定があることを前提としているため、前倒し改定があれば基準年（令和8年度）の実績が変動します。</t>
        </is>
      </c>
      <c r="F58" s="7" t="inlineStr">
        <is>
          <t>保険料試算
サービス見込量（単価）
第3回委員会資料</t>
        </is>
      </c>
      <c r="G58" s="9" t="inlineStr">
        <is>
          <t>受託者・発注者</t>
        </is>
      </c>
      <c r="H58" s="12" t="inlineStr">
        <is>
          <t>実施中</t>
        </is>
      </c>
      <c r="I58" s="9" t="inlineStr">
        <is>
          <t>R8.10</t>
        </is>
      </c>
      <c r="J58" s="7" t="inlineStr">
        <is>
          <t>受託者が随時確認する。資料提供依頼No.14（第10期の政令改正の内容）と一体。</t>
        </is>
      </c>
    </row>
    <row r="59" ht="80" customHeight="1">
      <c r="A59" s="9" t="inlineStr">
        <is>
          <t>55</t>
        </is>
      </c>
      <c r="B59" s="9" t="inlineStr">
        <is>
          <t>(1)(7)</t>
        </is>
      </c>
      <c r="C59" s="9" t="inlineStr">
        <is>
          <t>R8.9</t>
        </is>
      </c>
      <c r="D59" s="7" t="inlineStr">
        <is>
          <t>施設入所の申込みに係る数値の表記の訂正</t>
        </is>
      </c>
      <c r="E59" s="7" t="inlineStr">
        <is>
          <t>第1回策定委員会において「施設入居申し込み済みの割合が約半数」「単身世帯の申し込み率約86.1％」と説明されましたが、正しくは、すでに申込済みが33.8％、検討しているが14.4％で、両者の計が48.2％です（n＝139）。単身世帯も、申込済みは69.4％、検討を含めて86.1％です。申込済みの規模は施設・居住系サービスの見込量に直結するため、議事録及び第2回資料で「申込済み」と「検討＋申込済み」を明確に区別します。</t>
        </is>
      </c>
      <c r="F59" s="7" t="inlineStr">
        <is>
          <t>議事録
第2回委員会資料
サービス見込量（施設・居住系）
素案 第6章</t>
        </is>
      </c>
      <c r="G59" s="9" t="inlineStr">
        <is>
          <t>受託者</t>
        </is>
      </c>
      <c r="H59" s="12" t="inlineStr">
        <is>
          <t>実施中</t>
        </is>
      </c>
      <c r="I59" s="9" t="inlineStr">
        <is>
          <t>R8.9</t>
        </is>
      </c>
      <c r="J59" s="7" t="inlineStr">
        <is>
          <t>介護実態調査結果報告書 R8.9.2版の値が正。第2回資料で統一表記とする。</t>
        </is>
      </c>
    </row>
    <row r="60" ht="80" customHeight="1">
      <c r="A60" s="9" t="inlineStr">
        <is>
          <t>56</t>
        </is>
      </c>
      <c r="B60" s="9" t="inlineStr">
        <is>
          <t>(5)(7)</t>
        </is>
      </c>
      <c r="C60" s="9" t="inlineStr">
        <is>
          <t>R8.9</t>
        </is>
      </c>
      <c r="D60" s="7" t="inlineStr">
        <is>
          <t>保険料の表記の統一と県内順位</t>
        </is>
      </c>
      <c r="E60" s="7" t="inlineStr">
        <is>
          <t>第1回策定委員会において、保険料が「月額6,508円（年額78,000円）」と「月額6,500円」の両方で説明されました。確認事項No.24のとおり、算定表上の基準額が月額6,508円、第5段階の保険料月額が6,500円（年額78,000円÷12）です。また県内順位は「高い方から9番目」と説明されましたが、川崎町6,500円より高い団体が9市町村あり、川崎町は村田町・丸森町と同額で第10〜12位タイです。第2回資料以降は初出時に注記を付して統一します。</t>
        </is>
      </c>
      <c r="F60" s="7" t="inlineStr">
        <is>
          <t>議事録
第2回・第3回委員会資料
計画素案 第7章</t>
        </is>
      </c>
      <c r="G60" s="9" t="inlineStr">
        <is>
          <t>受託者</t>
        </is>
      </c>
      <c r="H60" s="12" t="inlineStr">
        <is>
          <t>実施中</t>
        </is>
      </c>
      <c r="I60" s="9" t="inlineStr">
        <is>
          <t>R8.9</t>
        </is>
      </c>
      <c r="J60" s="7" t="inlineStr">
        <is>
          <t>県内最高6,950円（登米市）・最低4,000円（大河原町）は当社分析と一致。</t>
        </is>
      </c>
    </row>
    <row r="61" ht="80" customHeight="1">
      <c r="A61" s="9" t="inlineStr">
        <is>
          <t>57</t>
        </is>
      </c>
      <c r="B61" s="9" t="inlineStr">
        <is>
          <t>(4)</t>
        </is>
      </c>
      <c r="C61" s="9" t="inlineStr">
        <is>
          <t>R8.9</t>
        </is>
      </c>
      <c r="D61" s="7" t="inlineStr">
        <is>
          <t>第1回策定委員会資料の交付金評価 目標別内訳の訂正</t>
        </is>
      </c>
      <c r="E61" s="7" t="inlineStr">
        <is>
          <t>資料4の「令和8年度評価の目標別内訳」は7行の表としていますが、支援交付金の目標Ⅳ（アウトカム）40点が脱落しています。アウトカム指標は推進交付金と支援交付金の双方に同じ40点が計上されるため正しくは8行で、7行の合計488点は表に記載した合計528点と一致していません。第2回策定委員会資料で8行に訂正します（推進計252点＋支援計276点＝528点）。</t>
        </is>
      </c>
      <c r="F61" s="7" t="inlineStr">
        <is>
          <t>議事録
第2回委員会資料
素案 第3章（第9期の評価）</t>
        </is>
      </c>
      <c r="G61" s="9" t="inlineStr">
        <is>
          <t>受託者</t>
        </is>
      </c>
      <c r="H61" s="12" t="inlineStr">
        <is>
          <t>実施中</t>
        </is>
      </c>
      <c r="I61" s="9" t="inlineStr">
        <is>
          <t>R8.9</t>
        </is>
      </c>
      <c r="J61" s="7" t="inlineStr">
        <is>
          <t>全国集計結果（令和8年度）の全項目照合により判明。アウトカムは800点中80点（10％）であり、資料は重みを過小に見せていた。</t>
        </is>
      </c>
    </row>
    <row r="62" ht="80" customHeight="1">
      <c r="A62" s="9" t="inlineStr">
        <is>
          <t>58</t>
        </is>
      </c>
      <c r="B62" s="9" t="inlineStr">
        <is>
          <t>(4)</t>
        </is>
      </c>
      <c r="C62" s="9" t="inlineStr">
        <is>
          <t>R8.9</t>
        </is>
      </c>
      <c r="D62" s="7" t="inlineStr">
        <is>
          <t>交付金評価「評価結果の活用」が16点から0点となった理由</t>
        </is>
      </c>
      <c r="E62" s="7" t="inlineStr">
        <is>
          <t>保険者機能強化推進交付金の目標Ⅰ（ⅰ）「4 評価結果の活用」のア〜エは、令和7年度評価では各4点の満点16点でしたが、令和8年度評価では4項目とも0点となっています。令和7年度から令和8年度への合計得点の減少37点のうち、単独で最大の要因です。提出内容や様式の変更の有無を含め、理由をご確認ください。第10期計画のKPI管理表及びサービス別の計画値・実績値対比表により回復可能な項目です。</t>
        </is>
      </c>
      <c r="F62" s="7" t="inlineStr">
        <is>
          <t>第9期の評価（仕様書6（4））
第2回委員会資料
素案 第9章（KPI管理表）</t>
        </is>
      </c>
      <c r="G62" s="9" t="inlineStr">
        <is>
          <t>発注者</t>
        </is>
      </c>
      <c r="H62" s="12" t="inlineStr">
        <is>
          <t>確認待ち</t>
        </is>
      </c>
      <c r="I62" s="9" t="inlineStr">
        <is>
          <t>R8.10</t>
        </is>
      </c>
      <c r="J62" s="7" t="inlineStr">
        <is>
          <t>目標Ⅰは75点→57点（▲18点）。ほかに活動指標群で▲6点。</t>
        </is>
      </c>
    </row>
    <row r="63" ht="80" customHeight="1">
      <c r="A63" s="9" t="inlineStr">
        <is>
          <t>59</t>
        </is>
      </c>
      <c r="B63" s="9" t="inlineStr">
        <is>
          <t>(4)(6)</t>
        </is>
      </c>
      <c r="C63" s="9" t="inlineStr">
        <is>
          <t>R8.9</t>
        </is>
      </c>
      <c r="D63" s="7" t="inlineStr">
        <is>
          <t>交付金評価「給付費適正化事業の取組状況」が6点から0点となった理由</t>
        </is>
      </c>
      <c r="E63" s="7" t="inlineStr">
        <is>
          <t>保険者機能強化推進交付金の目標Ⅱ（ⅰ）「給付費適正化事業の取組状況 ア」は、令和7年度評価の6点から令和8年度評価で0点となっています。目標Ⅱは88点から82点に低下しました。理由をご確認ください。</t>
        </is>
      </c>
      <c r="F63" s="7" t="inlineStr">
        <is>
          <t>第9期の評価（仕様書6（4））
給付実績分析（仕様書6（6））
第2回委員会資料</t>
        </is>
      </c>
      <c r="G63" s="9" t="inlineStr">
        <is>
          <t>発注者</t>
        </is>
      </c>
      <c r="H63" s="12" t="inlineStr">
        <is>
          <t>確認待ち</t>
        </is>
      </c>
      <c r="I63" s="9" t="inlineStr">
        <is>
          <t>R8.10</t>
        </is>
      </c>
      <c r="J63" s="7" t="inlineStr">
        <is>
          <t>医療情報との突合の実施状況を含む指標群。</t>
        </is>
      </c>
    </row>
    <row r="64" ht="80" customHeight="1">
      <c r="A64" s="9" t="inlineStr">
        <is>
          <t>60</t>
        </is>
      </c>
      <c r="B64" s="9" t="inlineStr">
        <is>
          <t>(5)</t>
        </is>
      </c>
      <c r="C64" s="9" t="inlineStr">
        <is>
          <t>R8.9</t>
        </is>
      </c>
      <c r="D64" s="7" t="inlineStr">
        <is>
          <t>地域包括ケア「見える化」システムの推計ツールの利用</t>
        </is>
      </c>
      <c r="E64" s="7" t="inlineStr">
        <is>
          <t>第10期のサービス見込量は、地域包括ケア「見える化」システムの推計ツール（自然体推計）により算定し、同システムへ登録することが前提となります。厚生労働省『自然体推計の計算過程確認シートのガイド』により推計の枠組みを確認しました。町のシステム利用の可否、操作を担当される方、及び受託者による支援の範囲についてご確認をお願いします。</t>
        </is>
      </c>
      <c r="F64" s="7" t="inlineStr">
        <is>
          <t>サービス見込量の推計（仕様書6（5））
保険料試算
素案 第7章</t>
        </is>
      </c>
      <c r="G64" s="9" t="inlineStr">
        <is>
          <t>発注者</t>
        </is>
      </c>
      <c r="H64" s="12" t="inlineStr">
        <is>
          <t>確認待ち</t>
        </is>
      </c>
      <c r="I64" s="9" t="inlineStr">
        <is>
          <t>R8.10</t>
        </is>
      </c>
      <c r="J64" s="7" t="inlineStr">
        <is>
          <t>第3回で答申を確定する段取りのため、令和8年12月までに推計を終える必要がある。／令和8年9月2日に県から第1回目の入力依頼があり、提出期間は令和8年9月30日9時〜10月5日18時。利用可否の確認は至急となった。</t>
        </is>
      </c>
    </row>
    <row r="65" ht="80" customHeight="1">
      <c r="A65" s="9" t="inlineStr">
        <is>
          <t>61</t>
        </is>
      </c>
      <c r="B65" s="9" t="inlineStr">
        <is>
          <t>(5)</t>
        </is>
      </c>
      <c r="C65" s="9" t="inlineStr">
        <is>
          <t>R8.9</t>
        </is>
      </c>
      <c r="D65" s="7" t="inlineStr">
        <is>
          <t>第10期の第1号被保険者負担割合</t>
        </is>
      </c>
      <c r="E65" s="7" t="inlineStr">
        <is>
          <t>自然体推計ガイドの係数表では、第1号被保険者負担割合は第9期が23.00％、令和12年度が24.00％とされています。第10期（令和9〜11年度）の割合は政令で定められます。当社の概算試算は23％を用いており、24％となった場合は保険料基準額が月額約322円上昇します（中位・基金50％取崩で7,023円→約7,345円）。国の政令の内容が判明次第、試算に反映します。</t>
        </is>
      </c>
      <c r="F65" s="7" t="inlineStr">
        <is>
          <t>保険料試算
素案 第7章
第3回委員会資料</t>
        </is>
      </c>
      <c r="G65" s="9" t="inlineStr">
        <is>
          <t>受託者・発注者</t>
        </is>
      </c>
      <c r="H65" s="12" t="inlineStr">
        <is>
          <t>実施中</t>
        </is>
      </c>
      <c r="I65" s="9" t="inlineStr">
        <is>
          <t>R8.12</t>
        </is>
      </c>
      <c r="J65" s="7" t="inlineStr">
        <is>
          <t>受託者が随時確認する。資料提供依頼No.14（第10期の政令改正の内容）と一体。／素案Ver.1.10では23％で試算し、24％となった場合の影響（パターンBで7,023円→約7,345円）を表46 Step3に明記した。／第9期将来推計総括表の係数表では令和6〜8年度23％・令和12年度24％だが、令和9〜11年度の列は存在しない。令和12年度以降は中期推計用の仮置き（5年ごとに1ポイント）であり、第10期が24％になる根拠ではない。試算は23％・24％の両方を示す。</t>
        </is>
      </c>
    </row>
    <row r="66" ht="80" customHeight="1">
      <c r="A66" s="9" t="inlineStr">
        <is>
          <t>62</t>
        </is>
      </c>
      <c r="B66" s="9" t="inlineStr">
        <is>
          <t>(5)(7)</t>
        </is>
      </c>
      <c r="C66" s="9" t="inlineStr">
        <is>
          <t>R8.9</t>
        </is>
      </c>
      <c r="D66" s="7" t="inlineStr">
        <is>
          <t>自然体推計に対する施策反映の方針</t>
        </is>
      </c>
      <c r="E66" s="7" t="inlineStr">
        <is>
          <t>自然体推計は、要介護認定率・サービス利用率・1人1月あたり利用回（日）数について直近年度の実績が継続すると仮定するものです。第9期計画の見込量が3か年ほぼ同値なのはこの仕様によるもので、施策反映を加えていないためです。第10期では、①介護予防の強化による認定率の抑制、②在宅サービスの利用勧奨、③施設・居住系の整備量の変更、④サービス提供体制の制約 をどこまで見込量に反映させるかが論点となります。とくに④は自然体推計では表現できず、事業所ヒアリングによる供給可能量の把握が前提となります。</t>
        </is>
      </c>
      <c r="F66" s="7" t="inlineStr">
        <is>
          <t>サービス見込量の推計
素案 第7章
第2回委員会資料（選択事項2・3）</t>
        </is>
      </c>
      <c r="G66" s="9" t="inlineStr">
        <is>
          <t>発注者</t>
        </is>
      </c>
      <c r="H66" s="12" t="inlineStr">
        <is>
          <t>確認待ち</t>
        </is>
      </c>
      <c r="I66" s="9" t="inlineStr">
        <is>
          <t>R8.11</t>
        </is>
      </c>
      <c r="J66" s="7" t="inlineStr">
        <is>
          <t>確認事項No.50・51（事業所ヒアリング）と一体。第2回策定委員会でお諮りする。</t>
        </is>
      </c>
    </row>
    <row r="67" ht="80" customHeight="1">
      <c r="A67" s="9" t="inlineStr">
        <is>
          <t>63</t>
        </is>
      </c>
      <c r="B67" s="9" t="inlineStr">
        <is>
          <t>(5)(7)</t>
        </is>
      </c>
      <c r="C67" s="9" t="inlineStr">
        <is>
          <t>R8.9</t>
        </is>
      </c>
      <c r="D67" s="7" t="inlineStr">
        <is>
          <t>介護報酬の中山間地域等の加算の対象地域と算定状況</t>
        </is>
      </c>
      <c r="E67" s="7" t="inlineStr">
        <is>
          <t>川崎町は過疎地域の持続的発展の支援に関する特別措置法第2条第1項の過疎地域（全部過疎）に指定されています。過疎地域は、介護報酬の「中山間地域等における小規模事業所加算」（＋10％）及び「中山間地域等に居住する者へのサービス提供加算」（＋5％）の対象地域となり得ます。①宮城県が示す対象地域一覧に川崎町が含まれるか、②町内・近接の事業所が現に算定しているか（体制届・国保連データ）をご確認ください。とくに訪問介護の小規模事業所加算は令和7年5月から取得要件が弾力化されており（1月の総訪問回数がおおむね200回以下・400回程度以下でよい）、登録21名・実働4名という町内の状況では算定できる可能性があります。</t>
        </is>
      </c>
      <c r="F67" s="7" t="inlineStr">
        <is>
          <t>サービス見込量の推計
保険料試算
素案 第7章
第2回委員会資料（選択2）</t>
        </is>
      </c>
      <c r="G67" s="9" t="inlineStr">
        <is>
          <t>発注者・宮城県長寿社会政策課</t>
        </is>
      </c>
      <c r="H67" s="12" t="inlineStr">
        <is>
          <t>確認待ち</t>
        </is>
      </c>
      <c r="I67" s="9" t="inlineStr">
        <is>
          <t>R8.10</t>
        </is>
      </c>
      <c r="J67" s="7" t="inlineStr">
        <is>
          <t>算定が進むと給付費が増え保険料も上がる一方、加算がなければ事業所が撤退する。第2回策定委員会でお諮りする選択事項として整理する。</t>
        </is>
      </c>
    </row>
    <row r="68" ht="80" customHeight="1">
      <c r="A68" s="9" t="inlineStr">
        <is>
          <t>64</t>
        </is>
      </c>
      <c r="B68" s="9" t="inlineStr">
        <is>
          <t>(5)(7)</t>
        </is>
      </c>
      <c r="C68" s="9" t="inlineStr">
        <is>
          <t>R8.9</t>
        </is>
      </c>
      <c r="D68" s="7" t="inlineStr">
        <is>
          <t>訪問介護等サービス提供体制確保支援事業ほか県事業の実施状況</t>
        </is>
      </c>
      <c r="E68" s="7" t="inlineStr">
        <is>
          <t>地域医療介護総合確保基金（介護従事者確保分）の「訪問介護等サービス提供体制確保支援事業」を宮城県が令和8年度に実施しているか、また高知県の「中山間地域介護サービス確保対策事業費補助金」のような中山間地域の事業所を対象とする県単独事業があるかをご確認ください。あわせて、介護テクノロジー導入支援事業（補助率最大3/4）、介護人材確保・職場環境改善等事業補助金、外国人介護人材受入施設等環境整備事業費補助金の令和8年度の公募状況を町内事業所に周知する必要があります。</t>
        </is>
      </c>
      <c r="F68" s="7" t="inlineStr">
        <is>
          <t>素案 第7章
第2回委員会資料（選択4）
事業所ヒアリング</t>
        </is>
      </c>
      <c r="G68" s="9" t="inlineStr">
        <is>
          <t>発注者・宮城県長寿社会政策課</t>
        </is>
      </c>
      <c r="H68" s="12" t="inlineStr">
        <is>
          <t>確認待ち</t>
        </is>
      </c>
      <c r="I68" s="9" t="inlineStr">
        <is>
          <t>R8.10</t>
        </is>
      </c>
      <c r="J68" s="7" t="inlineStr">
        <is>
          <t>県の基金事業は事業所が申請主体であり、町の役割は周知と申請支援。事業所ヒアリングの設問に「活用中の補助金」「知らなかった補助金」を入れる。</t>
        </is>
      </c>
    </row>
    <row r="69" ht="80" customHeight="1">
      <c r="A69" s="9" t="inlineStr">
        <is>
          <t>65</t>
        </is>
      </c>
      <c r="B69" s="9" t="inlineStr">
        <is>
          <t>(7)</t>
        </is>
      </c>
      <c r="C69" s="9" t="inlineStr">
        <is>
          <t>R8.9</t>
        </is>
      </c>
      <c r="D69" s="7" t="inlineStr">
        <is>
          <t>過疎地域持続的発展市町村計画と過疎債ソフト分の枠</t>
        </is>
      </c>
      <c r="E69" s="7" t="inlineStr">
        <is>
          <t>介護人材確保の町単独事業は地域支援事業の対象外であり一般財源を要しますが、過疎対策事業債（ソフト分）は充当率100％・元利償還金の70％が交付税措置されます（実質負担3割）。同計画の記載事項には「子育て環境の確保並びに高齢者等の保健及び福祉の向上及び増進」があり、介護人材の確保・育成を位置づけられます。①現行の過疎地域持続的発展市町村計画の計画期間と記載内容、②介護人材確保が位置づけられているか、③過疎債ソフト分の発行限度額の残余 をご確認ください。</t>
        </is>
      </c>
      <c r="F69" s="7" t="inlineStr">
        <is>
          <t>素案 第7章
第2回委員会資料（選択4）
令和9年度当初予算</t>
        </is>
      </c>
      <c r="G69" s="9" t="inlineStr">
        <is>
          <t>発注者（企画・財政課）</t>
        </is>
      </c>
      <c r="H69" s="12" t="inlineStr">
        <is>
          <t>確認待ち</t>
        </is>
      </c>
      <c r="I69" s="9" t="inlineStr">
        <is>
          <t>R8.10</t>
        </is>
      </c>
      <c r="J69" s="7" t="inlineStr">
        <is>
          <t>位置づけがなければ、第10期計画の策定と併せて過疎計画の変更を検討する。第10期の計画期間（R9〜R11）と過疎計画の期間の突合が必要。</t>
        </is>
      </c>
    </row>
    <row r="70" ht="80" customHeight="1">
      <c r="A70" s="9" t="inlineStr">
        <is>
          <t>66</t>
        </is>
      </c>
      <c r="B70" s="9" t="inlineStr">
        <is>
          <t>(7)</t>
        </is>
      </c>
      <c r="C70" s="9" t="inlineStr">
        <is>
          <t>R8.9</t>
        </is>
      </c>
      <c r="D70" s="7" t="inlineStr">
        <is>
          <t>豪雪地帯・振興山村・特定農山村・辺地の指定の有無</t>
        </is>
      </c>
      <c r="E70" s="7" t="inlineStr">
        <is>
          <t>介護報酬の中山間地域等の加算の対象地域は、過疎地域のほか、豪雪地帯対策特別措置法の豪雪地帯・特別豪雪地帯、山村振興法の振興山村、特定農山村法の特定農山村地域、辺地等を根拠とします。川崎町の指定状況をご確認ください。辺地に該当する集落があれば辺地対策事業債の対象にもなります。</t>
        </is>
      </c>
      <c r="F70" s="7" t="inlineStr">
        <is>
          <t>素案 第2章（地域特性）
素案 第7章</t>
        </is>
      </c>
      <c r="G70" s="9" t="inlineStr">
        <is>
          <t>発注者（企画・財政課）</t>
        </is>
      </c>
      <c r="H70" s="12" t="inlineStr">
        <is>
          <t>確認待ち</t>
        </is>
      </c>
      <c r="I70" s="9" t="inlineStr">
        <is>
          <t>R8.10</t>
        </is>
      </c>
      <c r="J70" s="7" t="inlineStr">
        <is>
          <t>確認事項No.63と一体。素案第2章は現在、過疎地域指定に触れていないため追記が必要。</t>
        </is>
      </c>
    </row>
    <row r="71" ht="80" customHeight="1">
      <c r="A71" s="9" t="inlineStr">
        <is>
          <t>67</t>
        </is>
      </c>
      <c r="B71" s="9" t="inlineStr">
        <is>
          <t>(7)</t>
        </is>
      </c>
      <c r="C71" s="9" t="inlineStr">
        <is>
          <t>R8.9</t>
        </is>
      </c>
      <c r="D71" s="7" t="inlineStr">
        <is>
          <t>移住定住施策と介護人材確保の接続</t>
        </is>
      </c>
      <c r="E71" s="7" t="inlineStr">
        <is>
          <t>地方創生移住支援事業は、支援対象業種に医療・福祉等のエッセンシャルワーカーが位置づけられています。①川崎町の移住支援金の対象業種に介護・福祉職が含まれているか、②地域おこし協力隊・集落支援員の受入状況、③地域プロジェクトマネージャー（1人最大650万円・特別交付税措置）の活用の可否 をご確認ください。町は移住定住サイト（かわさきぐらし）を運営しており、介護人材確保と接続する素地があります。</t>
        </is>
      </c>
      <c r="F71" s="7" t="inlineStr">
        <is>
          <t>素案 第7章
第2回委員会資料（選択4）</t>
        </is>
      </c>
      <c r="G71" s="9" t="inlineStr">
        <is>
          <t>発注者（企画課）</t>
        </is>
      </c>
      <c r="H71" s="12" t="inlineStr">
        <is>
          <t>確認待ち</t>
        </is>
      </c>
      <c r="I71" s="9" t="inlineStr">
        <is>
          <t>R8.11</t>
        </is>
      </c>
      <c r="J71" s="7" t="inlineStr">
        <is>
          <t>中期的には特定地域づくり事業協同組合（介護＋農業＋観光のマルチワーカー、派遣職員人件費上限400万円/人年）の検討につながる。</t>
        </is>
      </c>
    </row>
    <row r="72" ht="80" customHeight="1">
      <c r="A72" s="9" t="inlineStr">
        <is>
          <t>68</t>
        </is>
      </c>
      <c r="B72" s="9" t="inlineStr">
        <is>
          <t>(4)(5)</t>
        </is>
      </c>
      <c r="C72" s="9" t="inlineStr">
        <is>
          <t>R8.9</t>
        </is>
      </c>
      <c r="D72" s="7" t="inlineStr">
        <is>
          <t>事業所の補助金活用状況（ヒアリング項目）</t>
        </is>
      </c>
      <c r="E72" s="7" t="inlineStr">
        <is>
          <t>事業所ヒアリング（確認事項No.50・51）の設問に、①現在活用している補助金・助成金、②活用したいが要件・手続が分からないもの、③人材紹介会社への支払の実態（第1回策定委員会で「紹介料100万円」とのご発言がありました）を加えることをご提案します。県の基金メニューで代替できる部分がないかを確認するためです。</t>
        </is>
      </c>
      <c r="F72" s="7" t="inlineStr">
        <is>
          <t>事業所ヒアリング様式
素案 第7章
第2回委員会資料（第2部）</t>
        </is>
      </c>
      <c r="G72" s="9" t="inlineStr">
        <is>
          <t>発注者</t>
        </is>
      </c>
      <c r="H72" s="12" t="inlineStr">
        <is>
          <t>確認待ち</t>
        </is>
      </c>
      <c r="I72" s="9" t="inlineStr">
        <is>
          <t>R8.9</t>
        </is>
      </c>
      <c r="J72" s="7" t="inlineStr">
        <is>
          <t>確認事項No.50・51と一体。9月中の様式提出に含める。</t>
        </is>
      </c>
    </row>
    <row r="73" ht="80" customHeight="1">
      <c r="A73" s="9" t="inlineStr">
        <is>
          <t>69</t>
        </is>
      </c>
      <c r="B73" s="9" t="inlineStr">
        <is>
          <t>(7)</t>
        </is>
      </c>
      <c r="C73" s="9" t="inlineStr">
        <is>
          <t>R8.9</t>
        </is>
      </c>
      <c r="D73" s="7" t="inlineStr">
        <is>
          <t>介護給付適正化事業の区分と実施の考え方</t>
        </is>
      </c>
      <c r="E73" s="7" t="inlineStr">
        <is>
          <t>素案Ver.1.12の第8章8-2に、介護給付適正化の5事業（要介護認定の適正化、ケアプランの点検、医療情報との突合・縦覧点検、福祉用具・住宅改修等の点検、介護給付費通知）を掲載しました。国は事業区分の整理を進めており、第10期の区分は国の基本指針の確定を待つ必要があります。あわせて、①現在実施している事業、②ケアプラン点検の年間件数、③医療情報との突合の実施状況（交付金の減点項目）をご確認ください。令和8年度の交付金評価では「給付費適正化事業の取組状況」が6点から0点となっています。</t>
        </is>
      </c>
      <c r="F73" s="7" t="inlineStr">
        <is>
          <t>素案 第8章8-2
第2回委員会資料</t>
        </is>
      </c>
      <c r="G73" s="9" t="inlineStr">
        <is>
          <t>発注者</t>
        </is>
      </c>
      <c r="H73" s="12" t="inlineStr">
        <is>
          <t>確認待ち</t>
        </is>
      </c>
      <c r="I73" s="9" t="inlineStr">
        <is>
          <t>R8.10</t>
        </is>
      </c>
      <c r="J73" s="7" t="inlineStr">
        <is>
          <t>国の基本指針が確定した段階で受託者が区分を整理する。</t>
        </is>
      </c>
    </row>
    <row r="74" ht="80" customHeight="1">
      <c r="A74" s="9" t="inlineStr">
        <is>
          <t>70</t>
        </is>
      </c>
      <c r="B74" s="9" t="inlineStr">
        <is>
          <t>(7)</t>
        </is>
      </c>
      <c r="C74" s="9" t="inlineStr">
        <is>
          <t>R8.9</t>
        </is>
      </c>
      <c r="D74" s="7" t="inlineStr">
        <is>
          <t>KPI管理表の集計担当・集計方法・頻度</t>
        </is>
      </c>
      <c r="E74" s="7" t="inlineStr">
        <is>
          <t>素案Ver.1.12の第10章10-4にKPI管理表を新設し、主要13指標について区分・現状値・目標値・集計担当／方法・頻度を掲載しました。第9期計画の指標は集計担当・方法・頻度・出典が定められておらず、実績を確認できない指標が残りました。各指標の集計担当（保健福祉課・地域包括支援センター・社会福祉協議会の別）と、集計方法・頻度をご確認ください。現状値が【町確認】の指標については、記録様式を整備する年度もあわせてご検討ください。</t>
        </is>
      </c>
      <c r="F74" s="7" t="inlineStr">
        <is>
          <t>素案 第10章10-4
第2回委員会資料
第9期実績一覧</t>
        </is>
      </c>
      <c r="G74" s="9" t="inlineStr">
        <is>
          <t>発注者</t>
        </is>
      </c>
      <c r="H74" s="12" t="inlineStr">
        <is>
          <t>確認待ち</t>
        </is>
      </c>
      <c r="I74" s="9" t="inlineStr">
        <is>
          <t>R8.11</t>
        </is>
      </c>
      <c r="J74" s="7" t="inlineStr">
        <is>
          <t>確認事項No.8・34（第9期の事業実績）と一体。保険者機能強化推進交付金の「評価結果の活用」（令和8年度16点→0点）の回復に直結する。</t>
        </is>
      </c>
    </row>
    <row r="75" ht="80" customHeight="1">
      <c r="A75" s="9" t="inlineStr">
        <is>
          <t>71</t>
        </is>
      </c>
      <c r="B75" s="9" t="inlineStr">
        <is>
          <t>(5)</t>
        </is>
      </c>
      <c r="C75" s="9" t="inlineStr">
        <is>
          <t>R8.9</t>
        </is>
      </c>
      <c r="D75" s="7" t="inlineStr">
        <is>
          <t>見える化システムの代行入力の可否とアカウント運用</t>
        </is>
      </c>
      <c r="E75" s="7" t="inlineStr">
        <is>
          <t>見える化システムの将来推計機能は自治体アカウントを要すると解されますが、受託者が保険者アカウントで代行入力してよいかは公開情報から確認できませんでした。①ID発行の申請経路（県経由か国か）、②1保険者あたりの発行数、③受託者による代行入力の可否と利用規約上の第三者利用の制限 を、県又は国のヘルプデスクにご照会ください。第9期の「業者に作ってもらった」が数値の作成までか、システム入力までかも判別できていません。一次資料は『地域分析の手引き（令和8年3月改訂版）別添1 見える化システムのログイン方法について』です。</t>
        </is>
      </c>
      <c r="F75" s="7" t="inlineStr">
        <is>
          <t>見える化システムへの入力
第1回目提出（R8.10.5）</t>
        </is>
      </c>
      <c r="G75" s="9" t="inlineStr">
        <is>
          <t>発注者・宮城県長寿社会政策課</t>
        </is>
      </c>
      <c r="H75" s="12" t="inlineStr">
        <is>
          <t>確認待ち</t>
        </is>
      </c>
      <c r="I75" s="9" t="inlineStr">
        <is>
          <t>R8.9</t>
        </is>
      </c>
      <c r="J75" s="7" t="inlineStr">
        <is>
          <t>本件が決まらないと「第9期と同様に依頼してよいか」に確答できない。最優先。／令和8年9月8日、当社が入力まで行う前提で進めることとした（貴社のご指示）。県への照会はアカウントの発行・貸与の手続に絞る。／事務連絡の留意事項に、庁舎内のセキュリティ等で将来推計機能が使用できない保険者は「自然体推計結果確認シート」で推計し「報告様式エクセルファイル」で都道府県に報告し、都道府県が保険者に代わってシステムに登録する取扱いが示されている。ただし報告様式エクセルは「真にやむを得ない事情があると都道府県が判断した場合のみ」。当社が代行入力する前提で進めるが、アカウントの扱いで支障が出た場合の第2案となる。必要なマニュアルは「地方公共団体向け利用マニュアル【システム操作編②将来推計】第10.0版」及び「地域分析の手引き ５．将来推計について」。</t>
        </is>
      </c>
    </row>
    <row r="76" ht="80" customHeight="1">
      <c r="A76" s="9" t="inlineStr">
        <is>
          <t>72</t>
        </is>
      </c>
      <c r="B76" s="9" t="inlineStr">
        <is>
          <t>(5)</t>
        </is>
      </c>
      <c r="C76" s="9" t="inlineStr">
        <is>
          <t>R8.9</t>
        </is>
      </c>
      <c r="D76" s="7" t="inlineStr">
        <is>
          <t>第2回目以降の入力の時期と入力範囲</t>
        </is>
      </c>
      <c r="E76" s="7" t="inlineStr">
        <is>
          <t>県メールは「第1回目」の依頼であり、提出期間は令和8年9月30日9時〜10月5日18時です。第2回目以降の時期と各回の入力範囲（実績値のみか、見込量・給付費・保険料まで含むか）、提出様式、県による突合の有無は、県の事務連絡原本にしか記載がない可能性が高く、公開資料からは特定できませんでした。参考：第9期は保険料算定の諸係数が介護保険最新情報Vol.1190（令和5年12月22日）で示されています。</t>
        </is>
      </c>
      <c r="F76" s="7" t="inlineStr">
        <is>
          <t>作業工程
第2回・第3回策定委員会の日程</t>
        </is>
      </c>
      <c r="G76" s="9" t="inlineStr">
        <is>
          <t>発注者・宮城県長寿社会政策課</t>
        </is>
      </c>
      <c r="H76" s="12" t="inlineStr">
        <is>
          <t>確認待ち</t>
        </is>
      </c>
      <c r="I76" s="9" t="inlineStr">
        <is>
          <t>R8.9</t>
        </is>
      </c>
      <c r="J76" s="7" t="inlineStr">
        <is>
          <t>委託仕様書6(3)の「策定委員会4回」とは別物であり、町内での説明時に区別する。／令和8年9月8日、厚生労働省の事務連絡（令和8年9月1日・老健局介護保険計画課）を受領。国の提出期間は令和8年9月30日9時〜10月13日18時（厳守）で、宮城県が市町村に示した10月5日18時は県の集計・確認作業のための前倒し締切と判明した。9月30日に都道府県向け機能がリリースされ、それ以降でないと保険者は提出できない。提出は「推計の状況」のステータスを「完了」にすることで行う。ただし第2回目以降の時期・内容は本事務連絡にも記載がなく、引き続き確認を要する。</t>
        </is>
      </c>
    </row>
    <row r="77" ht="80" customHeight="1">
      <c r="A77" s="9" t="inlineStr">
        <is>
          <t>73</t>
        </is>
      </c>
      <c r="B77" s="9" t="inlineStr">
        <is>
          <t>(5)</t>
        </is>
      </c>
      <c r="C77" s="9" t="inlineStr">
        <is>
          <t>R8.9</t>
        </is>
      </c>
      <c r="D77" s="7" t="inlineStr">
        <is>
          <t>第10期の中期推計の対象年度</t>
        </is>
      </c>
      <c r="E77" s="7" t="inlineStr">
        <is>
          <t>第9期の将来推計総括表の中期推計は令和12・17・22・27・32年度でした。これは2030・2035・2040・2045・2050年という暦年アンカーであり、計画期の3年ずれに連動しません（自然体推計ガイド8頁）。第10期でも同じ年度のままか、2040年度を軸に組み替えるかをご確認ください。当社が従前「令和15・20・25年度に読み替わる」としていたのは誤りであり、訂正します。</t>
        </is>
      </c>
      <c r="F77" s="7" t="inlineStr">
        <is>
          <t>素案 第9章
将来推計総括表</t>
        </is>
      </c>
      <c r="G77" s="9" t="inlineStr">
        <is>
          <t>宮城県長寿社会政策課</t>
        </is>
      </c>
      <c r="H77" s="12" t="inlineStr">
        <is>
          <t>確認待ち</t>
        </is>
      </c>
      <c r="I77" s="9" t="inlineStr">
        <is>
          <t>R8.9</t>
        </is>
      </c>
      <c r="J77" s="7" t="inlineStr">
        <is>
          <t>委託仕様書6(5)の「10年間」（令和9〜18年度）では2040年度に届かず、範囲にギャップがある。</t>
        </is>
      </c>
    </row>
    <row r="78" ht="80" customHeight="1">
      <c r="A78" s="9" t="inlineStr">
        <is>
          <t>74</t>
        </is>
      </c>
      <c r="B78" s="9" t="inlineStr">
        <is>
          <t>(5)(7)</t>
        </is>
      </c>
      <c r="C78" s="9" t="inlineStr">
        <is>
          <t>R8.9</t>
        </is>
      </c>
      <c r="D78" s="7" t="inlineStr">
        <is>
          <t>見える化システムへの入力の役割分担</t>
        </is>
      </c>
      <c r="E78" s="7" t="inlineStr">
        <is>
          <t>町から「将来推計総括表の地域支援事業については町で入力します」とのお話がありました。一方、委託仕様書6(5)は地域支援事業に要する費用の額・量の見込み（①〜⑤）を受託者の業務と規定しています。「見込量の算出＝受託者」「システムへの入力操作＝町」と作業を分けて合意させていただきたく存じます。なお地域支援事業費のうち介護予防・日常生活支援総合事業費は調整交付金相当額の算定基礎に入り、包括的支援事業費は入らないため、区分ごとの額が保険料に直接効きます。町が入力される場合も、当社で検算いたします。</t>
        </is>
      </c>
      <c r="F78" s="7" t="inlineStr">
        <is>
          <t>見える化システムへの入力
素案 第9章</t>
        </is>
      </c>
      <c r="G78" s="9" t="inlineStr">
        <is>
          <t>発注者</t>
        </is>
      </c>
      <c r="H78" s="12" t="inlineStr">
        <is>
          <t>確認待ち</t>
        </is>
      </c>
      <c r="I78" s="9" t="inlineStr">
        <is>
          <t>R8.9</t>
        </is>
      </c>
      <c r="J78" s="7" t="inlineStr">
        <is>
          <t>第9期の入力値は総合事業8,520千円/年・包括的支援事業等22,000千円/年。決算実績（R6 41,871／R7 42,040千円）と大きく乖離しており、区分の定義のすり合わせが必要。／令和8年9月8日、当社が入力まで行う前提で進めることとした（貴社のご指示）。地域支援事業費の区分は令和6年度決算により確定（総合事業11,090,195円＝構成比26.5％、包括的支援事業・任意事業30,792,643円、計41,887,038円）。</t>
        </is>
      </c>
    </row>
    <row r="80">
      <c r="A80" s="24" t="inlineStr">
        <is>
          <t>区分</t>
        </is>
      </c>
      <c r="B80" s="24" t="inlineStr">
        <is>
          <t>件数</t>
        </is>
      </c>
    </row>
    <row r="81">
      <c r="A81" s="10" t="inlineStr">
        <is>
          <t>完了</t>
        </is>
      </c>
      <c r="B81" s="9">
        <f>COUNTIF(H5:H78,"完了")</f>
        <v/>
      </c>
    </row>
    <row r="82">
      <c r="A82" s="12" t="inlineStr">
        <is>
          <t>実施中</t>
        </is>
      </c>
      <c r="B82" s="9">
        <f>COUNTIF(H5:H78,"実施中")</f>
        <v/>
      </c>
    </row>
    <row r="83">
      <c r="A83" s="14" t="inlineStr">
        <is>
          <t>確認待ち</t>
        </is>
      </c>
      <c r="B83" s="9">
        <f>COUNTIF(H5:H78,"確認待ち")</f>
        <v/>
      </c>
    </row>
    <row r="84">
      <c r="A84" s="16" t="inlineStr">
        <is>
          <t>未着手</t>
        </is>
      </c>
      <c r="B84" s="9">
        <f>COUNTIF(H5:H78,"未着手")</f>
        <v/>
      </c>
    </row>
    <row r="85">
      <c r="A85" s="18" t="inlineStr">
        <is>
          <t>対象外</t>
        </is>
      </c>
      <c r="B85" s="9">
        <f>COUNTIF(H5:H78,"対象外")</f>
        <v/>
      </c>
    </row>
    <row r="87">
      <c r="A87" s="23" t="inlineStr">
        <is>
          <t>注1）「回答・対応」欄は、発注者からの回答又は受託者による対応の結果を記入し、状態を「完了」に更新する。</t>
        </is>
      </c>
    </row>
    <row r="88">
      <c r="A88" s="23" t="inlineStr">
        <is>
          <t>注2）No.9〜11は保険料試算ワークブックの黄色セル（01!B15、06!B17、06!B16、04!B8、06!B10）と対応し、値を入力すると保険料基準額が自動で再計算される。</t>
        </is>
      </c>
    </row>
  </sheetData>
  <mergeCells count="4">
    <mergeCell ref="A1:J1"/>
    <mergeCell ref="A88:J88"/>
    <mergeCell ref="A87:J87"/>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34" customWidth="1" min="3" max="3"/>
    <col width="22" customWidth="1" min="4" max="4"/>
    <col width="9" customWidth="1" min="5" max="5"/>
    <col width="9" customWidth="1" min="6" max="6"/>
    <col width="11" customWidth="1" min="7" max="7"/>
    <col width="38" customWidth="1" min="8" max="8"/>
    <col width="12" customWidth="1" min="9" max="9"/>
  </cols>
  <sheetData>
    <row r="1" ht="26" customHeight="1">
      <c r="A1" s="1" t="inlineStr">
        <is>
          <t>仕様書8　成果品の管理</t>
        </is>
      </c>
    </row>
    <row r="2" ht="52" customHeight="1">
      <c r="A2" s="2" t="inlineStr">
        <is>
          <t>委託仕様書（保介第41号）「8．成果品」が定める6種の納品物について、作成状況を管理する。納入場所は川崎町保健福祉課（仕様書9）、委託期間は令和9年3月15日まで（仕様書2）。</t>
        </is>
      </c>
    </row>
    <row r="4" ht="32" customHeight="1">
      <c r="A4" s="8" t="inlineStr">
        <is>
          <t>No.</t>
        </is>
      </c>
      <c r="B4" s="8" t="inlineStr">
        <is>
          <t>成果品（仕様書8）</t>
        </is>
      </c>
      <c r="C4" s="8" t="inlineStr">
        <is>
          <t>現在のファイル・稿</t>
        </is>
      </c>
      <c r="D4" s="8" t="inlineStr">
        <is>
          <t>仕様書が定める仕様</t>
        </is>
      </c>
      <c r="E4" s="8" t="inlineStr">
        <is>
          <t>状態</t>
        </is>
      </c>
      <c r="F4" s="8" t="inlineStr">
        <is>
          <t>進捗</t>
        </is>
      </c>
      <c r="G4" s="8" t="inlineStr">
        <is>
          <t>納品期日</t>
        </is>
      </c>
      <c r="H4" s="8" t="inlineStr">
        <is>
          <t>確定していない事項</t>
        </is>
      </c>
      <c r="I4" s="8" t="inlineStr">
        <is>
          <t>確認事項No.</t>
        </is>
      </c>
    </row>
    <row r="5" ht="84" customHeight="1">
      <c r="A5" s="9" t="n">
        <v>1</v>
      </c>
      <c r="B5" s="21" t="inlineStr">
        <is>
          <t>調査報告書</t>
        </is>
      </c>
      <c r="C5" s="7" t="inlineStr">
        <is>
          <t>川崎町_ニーズ調査結果報告書_R8.9.2版（148段落・表103・グラフ73点）
川崎町_介護実態調査結果報告書_R8.9.2版（216段落・表18・グラフ10点）</t>
        </is>
      </c>
      <c r="D5" s="7" t="inlineStr">
        <is>
          <t>A4版　簡易コピー紙印刷製本
1色刷り　80頁程度　5部</t>
        </is>
      </c>
      <c r="E5" s="16" t="inlineStr">
        <is>
          <t>実施中</t>
        </is>
      </c>
      <c r="F5" s="20" t="n">
        <v>0.55</v>
      </c>
      <c r="G5" s="9" t="inlineStr">
        <is>
          <t>R9.3.15</t>
        </is>
      </c>
      <c r="H5" s="7" t="inlineStr">
        <is>
          <t>2調査の結果報告書は作成済みで、集計ブックとの全件突合・redteamレビューの反映まで完了している。成果品としての統合方法（2冊構成か1冊構成か）、80頁程度への構成、図表番号の付与、計画書本編との重複整理が未確定（確認事項No.2）。</t>
        </is>
      </c>
      <c r="I5" s="9" t="inlineStr">
        <is>
          <t>1, 2</t>
        </is>
      </c>
    </row>
    <row r="6" ht="84" customHeight="1">
      <c r="A6" s="9" t="n">
        <v>2</v>
      </c>
      <c r="B6" s="21" t="inlineStr">
        <is>
          <t>調査結果集計・分析の電子データ</t>
        </is>
      </c>
      <c r="C6" s="7" t="inlineStr">
        <is>
          <t>川崎町_介護予防日常生活圏域ニーズ調査_集計データ_20260807.xlsx（576件・75設問）
川崎町_在宅介護実態調査_集計データ_20260807.xlsx（142件・26設問）</t>
        </is>
      </c>
      <c r="D6" s="7" t="inlineStr">
        <is>
          <t>一式（Excel）</t>
        </is>
      </c>
      <c r="E6" s="16" t="inlineStr">
        <is>
          <t>実施中</t>
        </is>
      </c>
      <c r="F6" s="20" t="n">
        <v>0.7</v>
      </c>
      <c r="G6" s="9" t="inlineStr">
        <is>
          <t>R9.3.15</t>
        </is>
      </c>
      <c r="H6" s="7" t="inlineStr">
        <is>
          <t>単純集計・属性別集計・グラフデータは作成済み。個票による設問間クロス分析も算出済み。納品形式（提出するシートの範囲、個票の取扱い）が未確定。</t>
        </is>
      </c>
      <c r="I6" s="9" t="inlineStr">
        <is>
          <t>1, 3</t>
        </is>
      </c>
    </row>
    <row r="7" ht="84" customHeight="1">
      <c r="A7" s="9" t="n">
        <v>3</v>
      </c>
      <c r="B7" s="21" t="inlineStr">
        <is>
          <t>事業量・見込み量等の推計用電子データ</t>
        </is>
      </c>
      <c r="C7" s="7" t="inlineStr">
        <is>
          <t>保険料試算ワークブック（11シート・129数式）
長期推計・給付費・保険料試算レポート
保険料_県内比較分析・要因分析
給付費・保険料算定の精査レポート</t>
        </is>
      </c>
      <c r="D7" s="7" t="inlineStr">
        <is>
          <t>一式（Excel）</t>
        </is>
      </c>
      <c r="E7" s="12" t="inlineStr">
        <is>
          <t>実施中</t>
        </is>
      </c>
      <c r="F7" s="20" t="n">
        <v>0.5</v>
      </c>
      <c r="G7" s="9" t="inlineStr">
        <is>
          <t>R9.3.15</t>
        </is>
      </c>
      <c r="H7" s="7" t="inlineStr">
        <is>
          <t>保険料推計の枠組みは構築済みで黄色セル5項目が町確認待ち。サービス種類別の事業量推計、地域支援事業①〜⑤の見込み、男女別人口推計が未作成。</t>
        </is>
      </c>
      <c r="I7" s="9" t="inlineStr">
        <is>
          <t>9, 10, 11, 12, 13</t>
        </is>
      </c>
    </row>
    <row r="8" ht="84" customHeight="1">
      <c r="A8" s="9" t="n">
        <v>4</v>
      </c>
      <c r="B8" s="21" t="inlineStr">
        <is>
          <t>計画書</t>
        </is>
      </c>
      <c r="C8" s="7" t="inlineStr">
        <is>
          <t>計画素案v1.6_本文充実版（44頁・411ブロック・6図表）
資料編_構成案・素案</t>
        </is>
      </c>
      <c r="D8" s="7" t="inlineStr">
        <is>
          <t>A4版　表紙レザック　本文上質紙
1色刷り　100頁程度　100部</t>
        </is>
      </c>
      <c r="E8" s="12" t="inlineStr">
        <is>
          <t>実施中</t>
        </is>
      </c>
      <c r="F8" s="20" t="n">
        <v>0.45</v>
      </c>
      <c r="G8" s="9" t="inlineStr">
        <is>
          <t>R9.3.15</t>
        </is>
      </c>
      <c r="H8" s="7" t="inlineStr">
        <is>
          <t>現行素案は44頁であり、成果品の100頁程度に対して増補を要する。仕様書6（7）①〜⑨の構成との対応確認が未了。入稿期日が未確定。</t>
        </is>
      </c>
      <c r="I8" s="9" t="inlineStr">
        <is>
          <t>15, 16, 18</t>
        </is>
      </c>
    </row>
    <row r="9" ht="84" customHeight="1">
      <c r="A9" s="9" t="n">
        <v>5</v>
      </c>
      <c r="B9" s="21" t="inlineStr">
        <is>
          <t>概要版</t>
        </is>
      </c>
      <c r="C9" s="7" t="inlineStr">
        <is>
          <t>計画素案_概要版（12頁）
※委員事前配布用として作成したもの</t>
        </is>
      </c>
      <c r="D9" s="7" t="inlineStr">
        <is>
          <t>A4版　コート紙
1色刷り　8頁程度　3,500部</t>
        </is>
      </c>
      <c r="E9" s="12" t="inlineStr">
        <is>
          <t>実施中</t>
        </is>
      </c>
      <c r="F9" s="20" t="n">
        <v>0.25</v>
      </c>
      <c r="G9" s="9" t="inlineStr">
        <is>
          <t>R9.3.15</t>
        </is>
      </c>
      <c r="H9" s="7" t="inlineStr">
        <is>
          <t>現行の概要版は委員事前配布用の12頁であり、住民配布用の8頁程度への再構成を要する。3,500部は全世帯配布規模であり、印刷所要日数の確認を要する。</t>
        </is>
      </c>
      <c r="I9" s="9" t="inlineStr">
        <is>
          <t>18</t>
        </is>
      </c>
    </row>
    <row r="10" ht="84" customHeight="1">
      <c r="A10" s="9" t="n">
        <v>6</v>
      </c>
      <c r="B10" s="21" t="inlineStr">
        <is>
          <t>計画書概要及び計画書案等の電子データ</t>
        </is>
      </c>
      <c r="C10" s="7" t="inlineStr">
        <is>
          <t>素案v1.6（Word）
概要版（Word）
資料編（Word）</t>
        </is>
      </c>
      <c r="D10" s="7" t="inlineStr">
        <is>
          <t>一式（Word・PDF）</t>
        </is>
      </c>
      <c r="E10" s="12" t="inlineStr">
        <is>
          <t>実施中</t>
        </is>
      </c>
      <c r="F10" s="20" t="n">
        <v>0.45</v>
      </c>
      <c r="G10" s="9" t="inlineStr">
        <is>
          <t>R9.3.15</t>
        </is>
      </c>
      <c r="H10" s="7" t="inlineStr">
        <is>
          <t>計画書・概要版の確定に連動する。</t>
        </is>
      </c>
      <c r="I10" s="9" t="inlineStr">
        <is>
          <t>15, 18</t>
        </is>
      </c>
    </row>
    <row r="12">
      <c r="A12" s="24" t="inlineStr">
        <is>
          <t>区分</t>
        </is>
      </c>
      <c r="B12" s="24" t="inlineStr">
        <is>
          <t>件数</t>
        </is>
      </c>
    </row>
    <row r="13">
      <c r="A13" s="10" t="inlineStr">
        <is>
          <t>完了</t>
        </is>
      </c>
      <c r="B13" s="9">
        <f>COUNTIF(E5:E10,"完了")</f>
        <v/>
      </c>
    </row>
    <row r="14">
      <c r="A14" s="12" t="inlineStr">
        <is>
          <t>実施中</t>
        </is>
      </c>
      <c r="B14" s="9">
        <f>COUNTIF(E5:E10,"実施中")</f>
        <v/>
      </c>
    </row>
    <row r="15">
      <c r="A15" s="14" t="inlineStr">
        <is>
          <t>確認待ち</t>
        </is>
      </c>
      <c r="B15" s="9">
        <f>COUNTIF(E5:E10,"確認待ち")</f>
        <v/>
      </c>
    </row>
    <row r="16">
      <c r="A16" s="16" t="inlineStr">
        <is>
          <t>未着手</t>
        </is>
      </c>
      <c r="B16" s="9">
        <f>COUNTIF(E5:E10,"未着手")</f>
        <v/>
      </c>
    </row>
    <row r="17">
      <c r="A17" s="18" t="inlineStr">
        <is>
          <t>対象外</t>
        </is>
      </c>
      <c r="B17" s="9">
        <f>COUNTIF(E5:E10,"対象外")</f>
        <v/>
      </c>
    </row>
    <row r="19" ht="26" customHeight="1">
      <c r="A19" s="23" t="inlineStr">
        <is>
          <t>注1）判型・用紙・刷色・頁数・部数は仕様書8に明記されており確認済みである。未確定なのは入稿期日のみ（確認事項No.18）。</t>
        </is>
      </c>
    </row>
    <row r="20" ht="26" customHeight="1">
      <c r="A20" s="23" t="inlineStr">
        <is>
          <t>注2）調査報告書（80頁程度・5部）は計画書とは別の成果品であり、仕様書6（1）の「調査票報告書作成（編集・校正含み）」に対応する。</t>
        </is>
      </c>
    </row>
  </sheetData>
  <mergeCells count="4">
    <mergeCell ref="A1:I1"/>
    <mergeCell ref="A19:I19"/>
    <mergeCell ref="A20:I20"/>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9"/>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0" customWidth="1" min="4" max="4"/>
    <col width="12" customWidth="1" min="5" max="5"/>
    <col width="12" customWidth="1" min="6" max="6"/>
    <col width="10" customWidth="1" min="7" max="7"/>
    <col width="11" customWidth="1" min="8" max="8"/>
    <col width="11" customWidth="1" min="9" max="9"/>
    <col width="11" customWidth="1" min="10" max="10"/>
    <col width="32" customWidth="1" min="11" max="11"/>
    <col width="11" customWidth="1" min="12" max="12"/>
  </cols>
  <sheetData>
    <row r="1" ht="26" customHeight="1">
      <c r="A1" s="1" t="inlineStr">
        <is>
          <t>仕様書6（1）　アンケート調査の実施・集計の状況</t>
        </is>
      </c>
    </row>
    <row r="2" ht="52" customHeight="1">
      <c r="A2" s="2" t="inlineStr">
        <is>
          <t>仕様書6（1）が定める調査（一般高齢者1,000人・要支援要介護認定者300人）について、設問設計から計画への反映までの到達状況を管理する。調査票は2種類であり、印刷・封筒・封入・宛名ラベル貼付は受託者の業務（仕様書6（2））。</t>
        </is>
      </c>
    </row>
    <row r="4" ht="32" customHeight="1">
      <c r="A4" s="8" t="inlineStr">
        <is>
          <t>No.</t>
        </is>
      </c>
      <c r="B4" s="8" t="inlineStr">
        <is>
          <t>対象調査</t>
        </is>
      </c>
      <c r="C4" s="8" t="inlineStr">
        <is>
          <t>計画での用途</t>
        </is>
      </c>
      <c r="D4" s="8" t="inlineStr">
        <is>
          <t>①設問設計</t>
        </is>
      </c>
      <c r="E4" s="8" t="inlineStr">
        <is>
          <t>②印刷・発送準備</t>
        </is>
      </c>
      <c r="F4" s="8" t="inlineStr">
        <is>
          <t>③回収・回収票管理</t>
        </is>
      </c>
      <c r="G4" s="8" t="inlineStr">
        <is>
          <t>④入力・集計</t>
        </is>
      </c>
      <c r="H4" s="8" t="inlineStr">
        <is>
          <t>⑤集計・分析</t>
        </is>
      </c>
      <c r="I4" s="8" t="inlineStr">
        <is>
          <t>⑥調査報告書</t>
        </is>
      </c>
      <c r="J4" s="8" t="inlineStr">
        <is>
          <t>⑦計画への反映</t>
        </is>
      </c>
      <c r="K4" s="8" t="inlineStr">
        <is>
          <t>現時点の状況</t>
        </is>
      </c>
      <c r="L4" s="8" t="inlineStr">
        <is>
          <t>確認事項No.</t>
        </is>
      </c>
    </row>
    <row r="5" ht="92" customHeight="1">
      <c r="A5" s="9" t="n">
        <v>1</v>
      </c>
      <c r="B5" s="7" t="inlineStr">
        <is>
          <t>介護予防・日常生活圏域ニーズ調査
（一般高齢者　1,000人）</t>
        </is>
      </c>
      <c r="C5" s="7" t="inlineStr">
        <is>
          <t>高齢者の生活実態、社会参加、外出・移動手段、認知症の理解、緊急時連絡体制等の把握。素案の現状分析及び施策設定に用いる。</t>
        </is>
      </c>
      <c r="D5" s="10" t="inlineStr">
        <is>
          <t>完了</t>
        </is>
      </c>
      <c r="E5" s="10" t="inlineStr">
        <is>
          <t>完了</t>
        </is>
      </c>
      <c r="F5" s="10" t="inlineStr">
        <is>
          <t>完了</t>
        </is>
      </c>
      <c r="G5" s="10" t="inlineStr">
        <is>
          <t>完了</t>
        </is>
      </c>
      <c r="H5" s="10" t="inlineStr">
        <is>
          <t>完了</t>
        </is>
      </c>
      <c r="I5" s="12" t="inlineStr">
        <is>
          <t>完了</t>
        </is>
      </c>
      <c r="J5" s="12" t="inlineStr">
        <is>
          <t>実施中</t>
        </is>
      </c>
      <c r="K5" s="7" t="inlineStr">
        <is>
          <t>令和8年6〜7月に郵送で実施。集計データ（20260807版）の有効回答は576件・75設問。設問間クロス分析10項目、BMI区分・低栄養リスクを属性としたクロス分析5項目、自由記述の分類まで完了し、結果報告書（R8.9.2版）を作成済み（集計ブックとの突合で不一致0件）。第1回策定委員会資料への反映も完了。回答者属性が未記録である制約は残る（確認事項No.27・37）。成果品としての調査報告書の体裁・構成は未確定（同No.2）。</t>
        </is>
      </c>
      <c r="L5" s="9" t="inlineStr">
        <is>
          <t>25, 27</t>
        </is>
      </c>
    </row>
    <row r="6" ht="92" customHeight="1">
      <c r="A6" s="9" t="n">
        <v>2</v>
      </c>
      <c r="B6" s="7" t="inlineStr">
        <is>
          <t>在宅介護実態調査
（要支援・要介護認定者　300人）</t>
        </is>
      </c>
      <c r="C6" s="7" t="inlineStr">
        <is>
          <t>在宅生活の継続を困難にしている要因、家族介護者の状況、サービス利用の実態の把握。素案の在宅生活支援に係る施策及びサービス見込量に用いる。</t>
        </is>
      </c>
      <c r="D6" s="10" t="inlineStr">
        <is>
          <t>完了</t>
        </is>
      </c>
      <c r="E6" s="10" t="inlineStr">
        <is>
          <t>完了</t>
        </is>
      </c>
      <c r="F6" s="10" t="inlineStr">
        <is>
          <t>完了</t>
        </is>
      </c>
      <c r="G6" s="10" t="inlineStr">
        <is>
          <t>完了</t>
        </is>
      </c>
      <c r="H6" s="10" t="inlineStr">
        <is>
          <t>完了</t>
        </is>
      </c>
      <c r="I6" s="12" t="inlineStr">
        <is>
          <t>完了</t>
        </is>
      </c>
      <c r="J6" s="16" t="inlineStr">
        <is>
          <t>実施中</t>
        </is>
      </c>
      <c r="K6" s="7" t="inlineStr">
        <is>
          <t>令和8年6〜7月に実施。集計データ（20260807版）の有効回答は142件・26設問（回収率約47%）。女性62.0%、85歳以上61.2%、要介護3〜5が58.3%。結果報告書（R8.9.2版）を作成し、個票による設問間クロス分析11項目（施設入所を規定する要因の3件を含む）を掲載。第1回策定委員会資料への反映も完了。抽出母集団・抽出方法が未確認のため、在宅認定者への外挿は感度試算にとどめている（確認事項No.31）。</t>
        </is>
      </c>
      <c r="L6" s="9" t="inlineStr">
        <is>
          <t>21, 28</t>
        </is>
      </c>
    </row>
    <row r="7" ht="92" customHeight="1">
      <c r="A7" s="9" t="n">
        <v>3</v>
      </c>
      <c r="B7" s="7" t="inlineStr">
        <is>
          <t>認知症の本人・家族の意見聴取
（仕様書に規定のない任意実施）</t>
        </is>
      </c>
      <c r="C7" s="7" t="inlineStr">
        <is>
          <t>認知症の本人及び家族の意見の把握。認知症基本法に基づく本人意見聴取への対応として受託者が提案しているもの。</t>
        </is>
      </c>
      <c r="D7" s="12" t="inlineStr">
        <is>
          <t>実施中</t>
        </is>
      </c>
      <c r="E7" s="16" t="inlineStr">
        <is>
          <t>未着手</t>
        </is>
      </c>
      <c r="F7" s="16" t="inlineStr">
        <is>
          <t>未着手</t>
        </is>
      </c>
      <c r="G7" s="16" t="inlineStr">
        <is>
          <t>未着手</t>
        </is>
      </c>
      <c r="H7" s="16" t="inlineStr">
        <is>
          <t>未着手</t>
        </is>
      </c>
      <c r="I7" s="16" t="inlineStr">
        <is>
          <t>未着手</t>
        </is>
      </c>
      <c r="J7" s="16" t="inlineStr">
        <is>
          <t>未着手</t>
        </is>
      </c>
      <c r="K7" s="7" t="inlineStr">
        <is>
          <t>仕様書6（1）の対象は一般高齢者1,000人と認定者300人の2種類であり、本調査の規定はない。実施の要否及び費用の取扱いについて発注者との協議を要する。</t>
        </is>
      </c>
      <c r="L7" s="9" t="inlineStr">
        <is>
          <t>19</t>
        </is>
      </c>
    </row>
    <row r="9" ht="22" customHeight="1">
      <c r="A9" s="3" t="inlineStr">
        <is>
          <t>段階</t>
        </is>
      </c>
      <c r="B9" s="3" t="inlineStr">
        <is>
          <t>作業の内容</t>
        </is>
      </c>
    </row>
    <row r="10" ht="24" customHeight="1">
      <c r="A10" s="9" t="inlineStr">
        <is>
          <t>①設問設計</t>
        </is>
      </c>
      <c r="B10" s="7" t="inlineStr">
        <is>
          <t>調査票の設問設計及び作成（仕様書6（1））。標準設問への追加設問の設計を含む</t>
        </is>
      </c>
      <c r="C10" s="4" t="n"/>
      <c r="D10" s="4" t="n"/>
      <c r="E10" s="5" t="n"/>
    </row>
    <row r="11" ht="24" customHeight="1">
      <c r="A11" s="9" t="inlineStr">
        <is>
          <t>②印刷・発送準備</t>
        </is>
      </c>
      <c r="B11" s="7" t="inlineStr">
        <is>
          <t>調査票の印刷（2種類）、送付用封筒（角2）・返信用封筒（長3）の印刷、封入、宛名ラベル貼付（仕様書6（2））</t>
        </is>
      </c>
      <c r="C11" s="4" t="n"/>
      <c r="D11" s="4" t="n"/>
      <c r="E11" s="5" t="n"/>
    </row>
    <row r="12" ht="24" customHeight="1">
      <c r="A12" s="9" t="inlineStr">
        <is>
          <t>③回収・回収票管理</t>
        </is>
      </c>
      <c r="B12" s="7" t="inlineStr">
        <is>
          <t>回収及び回収票管理（ナンバリング等）（仕様書6（1））</t>
        </is>
      </c>
      <c r="C12" s="4" t="n"/>
      <c r="D12" s="4" t="n"/>
      <c r="E12" s="5" t="n"/>
    </row>
    <row r="13" ht="24" customHeight="1">
      <c r="A13" s="9" t="inlineStr">
        <is>
          <t>④入力・集計</t>
        </is>
      </c>
      <c r="B13" s="7" t="inlineStr">
        <is>
          <t>回収調査票の入力及び集計作業（データ入力・整理・グラフデータ作成）（仕様書6（1））</t>
        </is>
      </c>
      <c r="C13" s="4" t="n"/>
      <c r="D13" s="4" t="n"/>
      <c r="E13" s="5" t="n"/>
    </row>
    <row r="14" ht="24" customHeight="1">
      <c r="A14" s="9" t="inlineStr">
        <is>
          <t>⑤集計・実態調査分析</t>
        </is>
      </c>
      <c r="B14" s="7" t="inlineStr">
        <is>
          <t>集計結果に基づく実態調査分析（仕様書6（1））</t>
        </is>
      </c>
      <c r="C14" s="4" t="n"/>
      <c r="D14" s="4" t="n"/>
      <c r="E14" s="5" t="n"/>
    </row>
    <row r="15" ht="24" customHeight="1">
      <c r="A15" s="9" t="inlineStr">
        <is>
          <t>⑥調査報告書の作成</t>
        </is>
      </c>
      <c r="B15" s="7" t="inlineStr">
        <is>
          <t>調査票報告書の作成（編集・校正含み）（仕様書6（1））。成果品80頁程度・5部</t>
        </is>
      </c>
      <c r="C15" s="4" t="n"/>
      <c r="D15" s="4" t="n"/>
      <c r="E15" s="5" t="n"/>
    </row>
    <row r="16" ht="24" customHeight="1">
      <c r="A16" s="9" t="inlineStr">
        <is>
          <t>⑦計画への反映</t>
        </is>
      </c>
      <c r="B16" s="7" t="inlineStr">
        <is>
          <t>素案の該当箇所への反映</t>
        </is>
      </c>
      <c r="C16" s="4" t="n"/>
      <c r="D16" s="4" t="n"/>
      <c r="E16" s="5" t="n"/>
    </row>
    <row r="18" ht="26" customHeight="1">
      <c r="A18" s="23" t="inlineStr">
        <is>
          <t>注1）②印刷・発送準備は受託者の業務である（仕様書6（2）：調査票の印刷2種類、送付用封筒 角2、返信用封筒 長3、封入・宛名ラベル貼付）。宛名ラベルの作成には町からの対象者リストを要する（確認事項No.3）。</t>
        </is>
      </c>
    </row>
    <row r="19" ht="26" customHeight="1">
      <c r="A19" s="23" t="inlineStr">
        <is>
          <t>注2）No.3の認知症の本人・家族の意見聴取は仕様書に規定がなく、実施の要否について発注者との協議を要する（確認事項No.19）。</t>
        </is>
      </c>
    </row>
  </sheetData>
  <mergeCells count="11">
    <mergeCell ref="A2:L2"/>
    <mergeCell ref="A19:L19"/>
    <mergeCell ref="B12:E12"/>
    <mergeCell ref="B13:E13"/>
    <mergeCell ref="A1:L1"/>
    <mergeCell ref="B16:E16"/>
    <mergeCell ref="B15:E15"/>
    <mergeCell ref="B11:E11"/>
    <mergeCell ref="A18:L18"/>
    <mergeCell ref="B10:E10"/>
    <mergeCell ref="B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40"/>
  <sheetViews>
    <sheetView showGridLines="0" workbookViewId="0">
      <pane ySplit="4" topLeftCell="A5" activePane="bottomLeft" state="frozen"/>
      <selection pane="bottomLeft" activeCell="A1" sqref="A1"/>
    </sheetView>
  </sheetViews>
  <sheetFormatPr baseColWidth="8" defaultRowHeight="15"/>
  <cols>
    <col width="5" customWidth="1" min="1" max="1"/>
    <col width="7" customWidth="1" min="2" max="2"/>
    <col width="30" customWidth="1" min="3" max="3"/>
    <col width="44" customWidth="1" min="4" max="4"/>
    <col width="26" customWidth="1" min="5" max="5"/>
    <col width="16" customWidth="1" min="6" max="6"/>
    <col width="10" customWidth="1" min="7" max="7"/>
    <col width="8" customWidth="1" min="8" max="8"/>
    <col width="9" customWidth="1" min="9" max="9"/>
    <col width="30" customWidth="1" min="10" max="10"/>
  </cols>
  <sheetData>
    <row r="1" ht="26" customHeight="1">
      <c r="A1" s="1" t="inlineStr">
        <is>
          <t>資料提供依頼一覧（26件）</t>
        </is>
      </c>
    </row>
    <row r="2" ht="52" customHeight="1">
      <c r="A2" s="2" t="inlineStr">
        <is>
          <t>業務の遂行に必要な資料を一覧化する。領域は A人口・世帯／B給付実績／C保険料・財政／D事業所・地域支援事業／E調査／F第9期評価／G委員会運営／H制度改正／I参考 の別による。</t>
        </is>
      </c>
    </row>
    <row r="4" ht="32" customHeight="1">
      <c r="A4" s="8" t="inlineStr">
        <is>
          <t>No.</t>
        </is>
      </c>
      <c r="B4" s="8" t="inlineStr">
        <is>
          <t>領域</t>
        </is>
      </c>
      <c r="C4" s="8" t="inlineStr">
        <is>
          <t>資料</t>
        </is>
      </c>
      <c r="D4" s="8" t="inlineStr">
        <is>
          <t>内容</t>
        </is>
      </c>
      <c r="E4" s="8" t="inlineStr">
        <is>
          <t>確定する事項</t>
        </is>
      </c>
      <c r="F4" s="8" t="inlineStr">
        <is>
          <t>入手先</t>
        </is>
      </c>
      <c r="G4" s="8" t="inlineStr">
        <is>
          <t>希望時期</t>
        </is>
      </c>
      <c r="H4" s="8" t="inlineStr">
        <is>
          <t>優先度</t>
        </is>
      </c>
      <c r="I4" s="8" t="inlineStr">
        <is>
          <t>状態</t>
        </is>
      </c>
      <c r="J4" s="8" t="inlineStr">
        <is>
          <t>備考</t>
        </is>
      </c>
    </row>
    <row r="5" ht="72" customHeight="1">
      <c r="A5" s="9" t="n">
        <v>1</v>
      </c>
      <c r="B5" s="9" t="inlineStr">
        <is>
          <t>E</t>
        </is>
      </c>
      <c r="C5" s="7" t="inlineStr">
        <is>
          <t>調査対象者リスト（宛名ラベル用）</t>
        </is>
      </c>
      <c r="D5" s="7" t="inlineStr">
        <is>
          <t>要支援・要介護認定者300人及び一般高齢者1,000人の氏名・住所。抽出方法及び個人情報の取扱いの取決めを含む。</t>
        </is>
      </c>
      <c r="E5" s="7" t="inlineStr">
        <is>
          <t>宛名ラベルの作成・貼付、調査票の発送</t>
        </is>
      </c>
      <c r="F5" s="9" t="inlineStr">
        <is>
          <t>発注者</t>
        </is>
      </c>
      <c r="G5" s="9" t="inlineStr">
        <is>
          <t>R8.6</t>
        </is>
      </c>
      <c r="H5" s="25" t="inlineStr">
        <is>
          <t>最高</t>
        </is>
      </c>
      <c r="I5" s="14" t="inlineStr">
        <is>
          <t>完了</t>
        </is>
      </c>
      <c r="J5" s="7" t="inlineStr">
        <is>
          <t>確認事項No.3と対応。令和8年6〜7月に宛名ラベルを作成・発送し、回収まで完了している。</t>
        </is>
      </c>
    </row>
    <row r="6" ht="72" customHeight="1">
      <c r="A6" s="9" t="n">
        <v>2</v>
      </c>
      <c r="B6" s="9" t="inlineStr">
        <is>
          <t>C</t>
        </is>
      </c>
      <c r="C6" s="7" t="inlineStr">
        <is>
          <t>介護給付費準備基金の積立・取崩実績及び残高</t>
        </is>
      </c>
      <c r="D6" s="7" t="inlineStr">
        <is>
          <t>第7期から第9期までの各年度の積立額・取崩額・年度末残高。令和8年6月時点及び令和8年度末の残高見込を含む。</t>
        </is>
      </c>
      <c r="E6" s="7" t="inlineStr">
        <is>
          <t>第10期開始時点の基金残高、保険料3パターンの取崩額</t>
        </is>
      </c>
      <c r="F6" s="9" t="inlineStr">
        <is>
          <t>発注者</t>
        </is>
      </c>
      <c r="G6" s="9" t="inlineStr">
        <is>
          <t>R8.6</t>
        </is>
      </c>
      <c r="H6" s="25" t="inlineStr">
        <is>
          <t>最高</t>
        </is>
      </c>
      <c r="I6" s="14" t="inlineStr">
        <is>
          <t>確認待ち</t>
        </is>
      </c>
      <c r="J6" s="7" t="inlineStr">
        <is>
          <t>確認事項No.9と対応。受領しない限り保険料基準額が確定しない。</t>
        </is>
      </c>
    </row>
    <row r="7" ht="72" customHeight="1">
      <c r="A7" s="9" t="n">
        <v>3</v>
      </c>
      <c r="B7" s="9" t="inlineStr">
        <is>
          <t>B</t>
        </is>
      </c>
      <c r="C7" s="7" t="inlineStr">
        <is>
          <t>国保連データ（サービス種類別・年度別の給付実績）</t>
        </is>
      </c>
      <c r="D7" s="7" t="inlineStr">
        <is>
          <t>令和4〜7年度。居宅・地域密着型・居宅介護支援・施設の別、住所地特例24人及び町外施設利用分の内訳を含む。</t>
        </is>
      </c>
      <c r="E7" s="7" t="inlineStr">
        <is>
          <t>サービス事業量の推計、給付実績分析</t>
        </is>
      </c>
      <c r="F7" s="9" t="inlineStr">
        <is>
          <t>発注者・国保連</t>
        </is>
      </c>
      <c r="G7" s="9" t="inlineStr">
        <is>
          <t>R8.9</t>
        </is>
      </c>
      <c r="H7" s="25" t="inlineStr">
        <is>
          <t>最高</t>
        </is>
      </c>
      <c r="I7" s="14" t="inlineStr">
        <is>
          <t>確認待ち</t>
        </is>
      </c>
      <c r="J7" s="7" t="inlineStr">
        <is>
          <t>確認事項No.12と対応。仕様書6（5）（6）の中核データ。</t>
        </is>
      </c>
    </row>
    <row r="8" ht="72" customHeight="1">
      <c r="A8" s="9" t="n">
        <v>4</v>
      </c>
      <c r="B8" s="9" t="inlineStr">
        <is>
          <t>C</t>
        </is>
      </c>
      <c r="C8" s="7" t="inlineStr">
        <is>
          <t>所得段階別の第1号被保険者数</t>
        </is>
      </c>
      <c r="D8" s="7" t="inlineStr">
        <is>
          <t>令和7年度末又は令和8年度当初の所得段階別被保険者数（現行13段階の別）。</t>
        </is>
      </c>
      <c r="E8" s="7" t="inlineStr">
        <is>
          <t>補正係数（現在0.97を仮置き）、所得段階の乗率調整</t>
        </is>
      </c>
      <c r="F8" s="9" t="inlineStr">
        <is>
          <t>発注者</t>
        </is>
      </c>
      <c r="G8" s="9" t="inlineStr">
        <is>
          <t>R8.7</t>
        </is>
      </c>
      <c r="H8" s="9" t="inlineStr">
        <is>
          <t>高</t>
        </is>
      </c>
      <c r="I8" s="14" t="inlineStr">
        <is>
          <t>確認待ち</t>
        </is>
      </c>
      <c r="J8" s="7" t="inlineStr">
        <is>
          <t>確認事項No.10と対応。</t>
        </is>
      </c>
    </row>
    <row r="9" ht="72" customHeight="1">
      <c r="A9" s="9" t="n">
        <v>5</v>
      </c>
      <c r="B9" s="9" t="inlineStr">
        <is>
          <t>C</t>
        </is>
      </c>
      <c r="C9" s="7" t="inlineStr">
        <is>
          <t>保険料収納率及び交付金の交付実績</t>
        </is>
      </c>
      <c r="D9" s="7" t="inlineStr">
        <is>
          <t>令和4〜7年度の保険料収納率（総合・現年・特別徴収・普通徴収の別）、調整交付金及び保険者機能強化推進交付金等の交付実績。</t>
        </is>
      </c>
      <c r="E9" s="7" t="inlineStr">
        <is>
          <t>予定収納率、調整交付金見込率、機能強化交付金の見込額</t>
        </is>
      </c>
      <c r="F9" s="9" t="inlineStr">
        <is>
          <t>発注者</t>
        </is>
      </c>
      <c r="G9" s="9" t="inlineStr">
        <is>
          <t>R8.7</t>
        </is>
      </c>
      <c r="H9" s="9" t="inlineStr">
        <is>
          <t>高</t>
        </is>
      </c>
      <c r="I9" s="14" t="inlineStr">
        <is>
          <t>確認待ち</t>
        </is>
      </c>
      <c r="J9" s="7" t="inlineStr">
        <is>
          <t>確認事項No.11と対応。第9期の調整交付金見込率3.9%は標準5%を下回る。</t>
        </is>
      </c>
    </row>
    <row r="10" ht="72" customHeight="1">
      <c r="A10" s="9" t="n">
        <v>6</v>
      </c>
      <c r="B10" s="9" t="inlineStr">
        <is>
          <t>F</t>
        </is>
      </c>
      <c r="C10" s="7" t="inlineStr">
        <is>
          <t>第9期の施策・事業実績（35事業）</t>
        </is>
      </c>
      <c r="D10" s="7" t="inlineStr">
        <is>
          <t>第9期計画の各事業の実績、事業量、対象実人数、決算額及び評価指標の実績値。第9期実績一覧_町記入用（7シート）への記入により提供いただく。</t>
        </is>
      </c>
      <c r="E10" s="7" t="inlineStr">
        <is>
          <t>現行施策の検証（仕様書6（4））、素案 第3章</t>
        </is>
      </c>
      <c r="F10" s="9" t="inlineStr">
        <is>
          <t>発注者</t>
        </is>
      </c>
      <c r="G10" s="9" t="inlineStr">
        <is>
          <t>R8.7</t>
        </is>
      </c>
      <c r="H10" s="9" t="inlineStr">
        <is>
          <t>高</t>
        </is>
      </c>
      <c r="I10" s="14" t="inlineStr">
        <is>
          <t>確認待ち</t>
        </is>
      </c>
      <c r="J10" s="7" t="inlineStr">
        <is>
          <t>確認事項No.8と対応。</t>
        </is>
      </c>
    </row>
    <row r="11" ht="72" customHeight="1">
      <c r="A11" s="9" t="n">
        <v>7</v>
      </c>
      <c r="B11" s="9" t="inlineStr">
        <is>
          <t>D</t>
        </is>
      </c>
      <c r="C11" s="7" t="inlineStr">
        <is>
          <t>地域支援事業の実績及び第10期の実施方針</t>
        </is>
      </c>
      <c r="D11" s="7" t="inlineStr">
        <is>
          <t>仕様書6（5）が定める①対象者数、②介護予防・生活支援サービス事業、③一般介護予防事業、④包括的支援事業、⑤任意事業の各実績（令和4〜8年度）。</t>
        </is>
      </c>
      <c r="E11" s="7" t="inlineStr">
        <is>
          <t>地域支援事業の費用・量の見込み</t>
        </is>
      </c>
      <c r="F11" s="9" t="inlineStr">
        <is>
          <t>発注者</t>
        </is>
      </c>
      <c r="G11" s="9" t="inlineStr">
        <is>
          <t>R8.9</t>
        </is>
      </c>
      <c r="H11" s="9" t="inlineStr">
        <is>
          <t>高</t>
        </is>
      </c>
      <c r="I11" s="14" t="inlineStr">
        <is>
          <t>確認待ち</t>
        </is>
      </c>
      <c r="J11" s="7" t="inlineStr">
        <is>
          <t>確認事項No.13と対応。</t>
        </is>
      </c>
    </row>
    <row r="12" ht="72" customHeight="1">
      <c r="A12" s="9" t="n">
        <v>8</v>
      </c>
      <c r="B12" s="9" t="inlineStr">
        <is>
          <t>C</t>
        </is>
      </c>
      <c r="C12" s="7" t="inlineStr">
        <is>
          <t>第9期保険料算定のワークシート</t>
        </is>
      </c>
      <c r="D12" s="7" t="inlineStr">
        <is>
          <t>第9期計画の保険料算出表の基となる算定ワークシート。取崩なし収納必要額から取崩後収納必要額への14,000千円の差の内訳を確認する。</t>
        </is>
      </c>
      <c r="E12" s="7" t="inlineStr">
        <is>
          <t>第9期基準額の再現精度、第10期算定の前提</t>
        </is>
      </c>
      <c r="F12" s="9" t="inlineStr">
        <is>
          <t>発注者</t>
        </is>
      </c>
      <c r="G12" s="9" t="inlineStr">
        <is>
          <t>R8.8</t>
        </is>
      </c>
      <c r="H12" s="9" t="inlineStr">
        <is>
          <t>高</t>
        </is>
      </c>
      <c r="I12" s="14" t="inlineStr">
        <is>
          <t>確認待ち</t>
        </is>
      </c>
      <c r="J12" s="7" t="inlineStr">
        <is>
          <t>確認事項No.14と対応。</t>
        </is>
      </c>
    </row>
    <row r="13" ht="72" customHeight="1">
      <c r="A13" s="9" t="n">
        <v>9</v>
      </c>
      <c r="B13" s="9" t="inlineStr">
        <is>
          <t>A</t>
        </is>
      </c>
      <c r="C13" s="7" t="inlineStr">
        <is>
          <t>住民基本台帳による年齢別・男女別人口</t>
        </is>
      </c>
      <c r="D13" s="7" t="inlineStr">
        <is>
          <t>令和4〜8年度の各年度末。仕様書6（5）が定める10年間の年齢別・男女別人口推計の基礎とする。</t>
        </is>
      </c>
      <c r="E13" s="7" t="inlineStr">
        <is>
          <t>人口推計（年齢別・男女別）</t>
        </is>
      </c>
      <c r="F13" s="9" t="inlineStr">
        <is>
          <t>発注者</t>
        </is>
      </c>
      <c r="G13" s="9" t="inlineStr">
        <is>
          <t>R8.8</t>
        </is>
      </c>
      <c r="H13" s="9" t="inlineStr">
        <is>
          <t>高</t>
        </is>
      </c>
      <c r="I13" s="14" t="inlineStr">
        <is>
          <t>確認待ち</t>
        </is>
      </c>
      <c r="J13" s="7" t="inlineStr">
        <is>
          <t>現行の長期推計は年齢区分別までであり、男女別の作成に必要。</t>
        </is>
      </c>
    </row>
    <row r="14" ht="72" customHeight="1">
      <c r="A14" s="9" t="n">
        <v>10</v>
      </c>
      <c r="B14" s="9" t="inlineStr">
        <is>
          <t>G</t>
        </is>
      </c>
      <c r="C14" s="7" t="inlineStr">
        <is>
          <t>策定委員会の委員名簿及び開催日程</t>
        </is>
      </c>
      <c r="D14" s="7" t="inlineStr">
        <is>
          <t>委員の氏名・所属・区分、委嘱の状況、第1回〜第4回の開催日及び審議事項。</t>
        </is>
      </c>
      <c r="E14" s="7" t="inlineStr">
        <is>
          <t>委員会資料、資料編 資料3</t>
        </is>
      </c>
      <c r="F14" s="9" t="inlineStr">
        <is>
          <t>発注者</t>
        </is>
      </c>
      <c r="G14" s="9" t="inlineStr">
        <is>
          <t>R8.7</t>
        </is>
      </c>
      <c r="H14" s="9" t="inlineStr">
        <is>
          <t>高</t>
        </is>
      </c>
      <c r="I14" s="14" t="inlineStr">
        <is>
          <t>確認待ち</t>
        </is>
      </c>
      <c r="J14" s="7" t="inlineStr">
        <is>
          <t>確認事項No.4・5と対応。</t>
        </is>
      </c>
    </row>
    <row r="15" ht="72" customHeight="1">
      <c r="A15" s="9" t="n">
        <v>11</v>
      </c>
      <c r="B15" s="9" t="inlineStr">
        <is>
          <t>G</t>
        </is>
      </c>
      <c r="C15" s="7" t="inlineStr">
        <is>
          <t>介護保険条例及び委員会に係る規則</t>
        </is>
      </c>
      <c r="D15" s="7" t="inlineStr">
        <is>
          <t>現行の介護保険条例（第17条の委員会設置規定を含む）及び委員会規則。第10期の審議組織の位置付けの確認に用いる。</t>
        </is>
      </c>
      <c r="E15" s="7" t="inlineStr">
        <is>
          <t>資料編 資料1・資料2、委員会名称の表記</t>
        </is>
      </c>
      <c r="F15" s="9" t="inlineStr">
        <is>
          <t>発注者</t>
        </is>
      </c>
      <c r="G15" s="9" t="inlineStr">
        <is>
          <t>R8.7</t>
        </is>
      </c>
      <c r="H15" s="9" t="inlineStr">
        <is>
          <t>高</t>
        </is>
      </c>
      <c r="I15" s="14" t="inlineStr">
        <is>
          <t>確認待ち</t>
        </is>
      </c>
      <c r="J15" s="7" t="inlineStr">
        <is>
          <t>確認事項No.6と対応。仕様書は「策定委員会」、第9期計画は「介護保険運営委員会」と表記。</t>
        </is>
      </c>
    </row>
    <row r="16" ht="72" customHeight="1">
      <c r="A16" s="9" t="n">
        <v>12</v>
      </c>
      <c r="B16" s="9" t="inlineStr">
        <is>
          <t>D</t>
        </is>
      </c>
      <c r="C16" s="7" t="inlineStr">
        <is>
          <t>事業所・施設の定員及び稼働の実績</t>
        </is>
      </c>
      <c r="D16" s="7" t="inlineStr">
        <is>
          <t>区域内の事業所・施設の定員、利用者数、稼働率。施設の地域偏在の実態を含む。</t>
        </is>
      </c>
      <c r="E16" s="7" t="inlineStr">
        <is>
          <t>サービス見込量、見込量確保のための方策の検討</t>
        </is>
      </c>
      <c r="F16" s="9" t="inlineStr">
        <is>
          <t>発注者</t>
        </is>
      </c>
      <c r="G16" s="9" t="inlineStr">
        <is>
          <t>R8.9</t>
        </is>
      </c>
      <c r="H16" s="9" t="inlineStr">
        <is>
          <t>中</t>
        </is>
      </c>
      <c r="I16" s="14" t="inlineStr">
        <is>
          <t>確認待ち</t>
        </is>
      </c>
      <c r="J16" s="7" t="inlineStr">
        <is>
          <t>仕様書6（5）の見込量確保方策の検討に必要。</t>
        </is>
      </c>
    </row>
    <row r="17" ht="72" customHeight="1">
      <c r="A17" s="9" t="n">
        <v>13</v>
      </c>
      <c r="B17" s="9" t="inlineStr">
        <is>
          <t>F</t>
        </is>
      </c>
      <c r="C17" s="7" t="inlineStr">
        <is>
          <t>関連施策評価調査シートの配付先</t>
        </is>
      </c>
      <c r="D17" s="7" t="inlineStr">
        <is>
          <t>評価シートを配付する庁内各課及び関係機関の範囲、回答期限、聞き取りの実施方法。</t>
        </is>
      </c>
      <c r="E17" s="7" t="inlineStr">
        <is>
          <t>関連施策評価調査シート、現行施策の検証</t>
        </is>
      </c>
      <c r="F17" s="9" t="inlineStr">
        <is>
          <t>発注者</t>
        </is>
      </c>
      <c r="G17" s="9" t="inlineStr">
        <is>
          <t>R8.7</t>
        </is>
      </c>
      <c r="H17" s="9" t="inlineStr">
        <is>
          <t>中</t>
        </is>
      </c>
      <c r="I17" s="14" t="inlineStr">
        <is>
          <t>確認待ち</t>
        </is>
      </c>
      <c r="J17" s="7" t="inlineStr">
        <is>
          <t>確認事項No.7と対応。シート案は受託者から提案する。</t>
        </is>
      </c>
    </row>
    <row r="18" ht="72" customHeight="1">
      <c r="A18" s="9" t="n">
        <v>14</v>
      </c>
      <c r="B18" s="9" t="inlineStr">
        <is>
          <t>H</t>
        </is>
      </c>
      <c r="C18" s="7" t="inlineStr">
        <is>
          <t>第10期の政令改正の内容</t>
        </is>
      </c>
      <c r="D18" s="7" t="inlineStr">
        <is>
          <t>標準段階数、標準乗率、公費軽減の乗率、第1号被保険者負担割合。国の告示による。</t>
        </is>
      </c>
      <c r="E18" s="7" t="inlineStr">
        <is>
          <t>所得段階の設計と保険料算定</t>
        </is>
      </c>
      <c r="F18" s="9" t="inlineStr">
        <is>
          <t>国の情報</t>
        </is>
      </c>
      <c r="G18" s="9" t="inlineStr">
        <is>
          <t>告示後</t>
        </is>
      </c>
      <c r="H18" s="9" t="inlineStr">
        <is>
          <t>中</t>
        </is>
      </c>
      <c r="I18" s="16" t="inlineStr">
        <is>
          <t>未着手</t>
        </is>
      </c>
      <c r="J18" s="7" t="inlineStr">
        <is>
          <t>受託者が随時確認する。第9期は既に13段階を採用しており、論点は乗率・区分の調整。</t>
        </is>
      </c>
    </row>
    <row r="19" ht="72" customHeight="1">
      <c r="A19" s="9" t="n">
        <v>15</v>
      </c>
      <c r="B19" s="9" t="inlineStr">
        <is>
          <t>E</t>
        </is>
      </c>
      <c r="C19" s="7" t="inlineStr">
        <is>
          <t>見える化システムの比較値</t>
        </is>
      </c>
      <c r="D19" s="7" t="inlineStr">
        <is>
          <t>仙南圏域・宮城県平均・全国平均の保険料、認定率、給付費の各指標。</t>
        </is>
      </c>
      <c r="E19" s="7" t="inlineStr">
        <is>
          <t>保険料の比較分析</t>
        </is>
      </c>
      <c r="F19" s="9" t="inlineStr">
        <is>
          <t>見える化システム</t>
        </is>
      </c>
      <c r="G19" s="9" t="inlineStr">
        <is>
          <t>R8.9</t>
        </is>
      </c>
      <c r="H19" s="9" t="inlineStr">
        <is>
          <t>中</t>
        </is>
      </c>
      <c r="I19" s="12" t="inlineStr">
        <is>
          <t>実施中</t>
        </is>
      </c>
      <c r="J19" s="7" t="inlineStr">
        <is>
          <t>県内35市町村の保険料比較は公表資料により実施済み（県内10〜12位／35）。</t>
        </is>
      </c>
    </row>
    <row r="20" ht="72" customHeight="1">
      <c r="A20" s="9" t="n">
        <v>16</v>
      </c>
      <c r="B20" s="9" t="inlineStr">
        <is>
          <t>I</t>
        </is>
      </c>
      <c r="C20" s="7" t="inlineStr">
        <is>
          <t>金ケ崎町 第9期計画書の保険料算出表</t>
        </is>
      </c>
      <c r="D20" s="7" t="inlineStr">
        <is>
          <t>比較参照先である金ケ崎町（岩手県）の第9期計画書の保険料算出表。第9期基準額4,900円の構成額を確認する。</t>
        </is>
      </c>
      <c r="E20" s="7" t="inlineStr">
        <is>
          <t>精査レポートの比較検証の精度</t>
        </is>
      </c>
      <c r="F20" s="9" t="inlineStr">
        <is>
          <t>金ケ崎町公表資料</t>
        </is>
      </c>
      <c r="G20" s="9" t="inlineStr">
        <is>
          <t>R8.9</t>
        </is>
      </c>
      <c r="H20" s="9" t="inlineStr">
        <is>
          <t>低</t>
        </is>
      </c>
      <c r="I20" s="16" t="inlineStr">
        <is>
          <t>未着手</t>
        </is>
      </c>
      <c r="J20" s="7" t="inlineStr">
        <is>
          <t>受託者側で取得を試行する。</t>
        </is>
      </c>
    </row>
    <row r="21" ht="72" customHeight="1">
      <c r="A21" s="9" t="n">
        <v>17</v>
      </c>
      <c r="B21" s="9" t="inlineStr">
        <is>
          <t>I</t>
        </is>
      </c>
      <c r="C21" s="7" t="inlineStr">
        <is>
          <t>同時策定2計画の検討状況</t>
        </is>
      </c>
      <c r="D21" s="7" t="inlineStr">
        <is>
          <t>地域福祉計画・障害者計画（ジャパン総研策定）の骨子・素案の検討状況。</t>
        </is>
      </c>
      <c r="E21" s="7" t="inlineStr">
        <is>
          <t>3計画の整合</t>
        </is>
      </c>
      <c r="F21" s="9" t="inlineStr">
        <is>
          <t>発注者・ジャパン総研</t>
        </is>
      </c>
      <c r="G21" s="9" t="inlineStr">
        <is>
          <t>R8.9</t>
        </is>
      </c>
      <c r="H21" s="9" t="inlineStr">
        <is>
          <t>低</t>
        </is>
      </c>
      <c r="I21" s="14" t="inlineStr">
        <is>
          <t>確認待ち</t>
        </is>
      </c>
      <c r="J21" s="7" t="inlineStr">
        <is>
          <t>確認事項No.20と対応。</t>
        </is>
      </c>
    </row>
    <row r="22" ht="72" customHeight="1">
      <c r="A22" s="9" t="n">
        <v>18</v>
      </c>
      <c r="B22" s="9" t="inlineStr">
        <is>
          <t>F</t>
        </is>
      </c>
      <c r="C22" s="7" t="inlineStr">
        <is>
          <t>保険者機能強化推進交付金等の全国集計結果（令和6〜8年度）</t>
        </is>
      </c>
      <c r="D22" s="7" t="inlineStr">
        <is>
          <t>市町村分の評価指標別得点及び全国順位。令和8年8月28日に受領済み。</t>
        </is>
      </c>
      <c r="E22" s="7" t="inlineStr">
        <is>
          <t>第9期のアウトカム評価、第1回策定委員会資料の第9期振り返り</t>
        </is>
      </c>
      <c r="F22" s="9" t="inlineStr">
        <is>
          <t>発注者</t>
        </is>
      </c>
      <c r="G22" s="9" t="inlineStr">
        <is>
          <t>R8.8</t>
        </is>
      </c>
      <c r="H22" s="9" t="inlineStr">
        <is>
          <t>高</t>
        </is>
      </c>
      <c r="I22" s="14" t="inlineStr">
        <is>
          <t>完了</t>
        </is>
      </c>
      <c r="J22" s="7" t="inlineStr">
        <is>
          <t>令和8年8月28日受領。3か年を分析し委員会資料v8に反映済み。／令和8年9月2日に同じ資料（令和6・7・8年度の評価結果xlsx 3件、令和8年度評価指標pdf 2件）を再度ご提供いただいた。川崎町の全項目を照合し、8月28日受領分と内容が一致することを確認済み（pdf 2件は相互に同一）。追加の格納は不要。</t>
        </is>
      </c>
    </row>
    <row r="23" ht="72" customHeight="1">
      <c r="A23" s="9" t="n">
        <v>19</v>
      </c>
      <c r="B23" s="9" t="inlineStr">
        <is>
          <t>B</t>
        </is>
      </c>
      <c r="C23" s="7" t="inlineStr">
        <is>
          <t>リハビリテーション関連指標（保険者別・2015〜2019年度）</t>
        </is>
      </c>
      <c r="D23" s="7" t="inlineStr">
        <is>
          <t>通所・訪問リハビリテーションの利用状況等の保険者別指標。令和8年8月28日に受領済み。</t>
        </is>
      </c>
      <c r="E23" s="7" t="inlineStr">
        <is>
          <t>通所リハビリテーションの利用実態の把握</t>
        </is>
      </c>
      <c r="F23" s="9" t="inlineStr">
        <is>
          <t>発注者</t>
        </is>
      </c>
      <c r="G23" s="9" t="inlineStr">
        <is>
          <t>R8.8</t>
        </is>
      </c>
      <c r="H23" s="9" t="inlineStr">
        <is>
          <t>中</t>
        </is>
      </c>
      <c r="I23" s="14" t="inlineStr">
        <is>
          <t>完了</t>
        </is>
      </c>
      <c r="J23" s="7" t="inlineStr">
        <is>
          <t>令和8年8月28日受領。データが2019年度までのため参考扱い。</t>
        </is>
      </c>
    </row>
    <row r="24" ht="72" customHeight="1">
      <c r="A24" s="9" t="n">
        <v>20</v>
      </c>
      <c r="B24" s="9" t="inlineStr">
        <is>
          <t>B</t>
        </is>
      </c>
      <c r="C24" s="7" t="inlineStr">
        <is>
          <t>在宅訪問対応薬局リスト（2021年1月時点）</t>
        </is>
      </c>
      <c r="D24" s="7" t="inlineStr">
        <is>
          <t>在宅訪問（居宅療養管理指導）に対応する薬局の一覧。令和8年8月28日に受領済み。</t>
        </is>
      </c>
      <c r="E24" s="7" t="inlineStr">
        <is>
          <t>在宅医療・介護連携の現況把握</t>
        </is>
      </c>
      <c r="F24" s="9" t="inlineStr">
        <is>
          <t>発注者</t>
        </is>
      </c>
      <c r="G24" s="9" t="inlineStr">
        <is>
          <t>R8.8</t>
        </is>
      </c>
      <c r="H24" s="9" t="inlineStr">
        <is>
          <t>中</t>
        </is>
      </c>
      <c r="I24" s="14" t="inlineStr">
        <is>
          <t>完了</t>
        </is>
      </c>
      <c r="J24" s="7" t="inlineStr">
        <is>
          <t>令和8年8月28日受領。町内の該当が確認できず、現況の確認が必要（確認事項No.38）。</t>
        </is>
      </c>
    </row>
    <row r="25" ht="72" customHeight="1">
      <c r="A25" s="9" t="inlineStr">
        <is>
          <t>21</t>
        </is>
      </c>
      <c r="B25" s="9" t="inlineStr">
        <is>
          <t>B</t>
        </is>
      </c>
      <c r="C25" s="7" t="inlineStr">
        <is>
          <t>給付・事業実績データ（13シート）</t>
        </is>
      </c>
      <c r="D25" s="7" t="inlineStr">
        <is>
          <t>令和8年9月1日受領。02総合事業〜08権利擁護の事業実績、04サービス別の利用者数・給付費（R2〜R8）、05基金・保険料、12〜14サービス見込量。</t>
        </is>
      </c>
      <c r="E25" s="7" t="inlineStr">
        <is>
          <t>給付実績分析、地域支援事業の実績、準備基金残高（148,100千円）</t>
        </is>
      </c>
      <c r="F25" s="9" t="inlineStr">
        <is>
          <t>発注者</t>
        </is>
      </c>
      <c r="G25" s="9" t="inlineStr">
        <is>
          <t>R8.9</t>
        </is>
      </c>
      <c r="H25" s="9" t="inlineStr">
        <is>
          <t>高</t>
        </is>
      </c>
      <c r="I25" s="14" t="inlineStr">
        <is>
          <t>実施中</t>
        </is>
      </c>
      <c r="J25" s="7" t="inlineStr">
        <is>
          <t>令和8年9月1日受領。見込量と実績が同数の箇所が多数あるため確定数値の受領まで仮試算として扱う（確認事項No.40〜48）。12〜14の実績欄は未記入。</t>
        </is>
      </c>
    </row>
    <row r="26" ht="72" customHeight="1">
      <c r="A26" s="9" t="inlineStr">
        <is>
          <t>22</t>
        </is>
      </c>
      <c r="B26" s="9" t="inlineStr">
        <is>
          <t>H</t>
        </is>
      </c>
      <c r="C26" s="7" t="inlineStr">
        <is>
          <t>県の事務連絡の原本</t>
        </is>
      </c>
      <c r="D26" s="7" t="inlineStr">
        <is>
          <t>県メールの添付『【事務連絡】第10期介護保険事業（支援）計画における介護サービス見込量等の推計結果の集計（第1回目）について.pdf』。今回はメール本文の印刷のみの受領で、添付本体が未着。</t>
        </is>
      </c>
      <c r="E26" s="7" t="inlineStr">
        <is>
          <t>第1回目に入力する項目の範囲、第2回目以降の時期</t>
        </is>
      </c>
      <c r="F26" s="9" t="inlineStr">
        <is>
          <t>発注者（県からの受信分）</t>
        </is>
      </c>
      <c r="G26" s="9" t="inlineStr">
        <is>
          <t>至急</t>
        </is>
      </c>
      <c r="H26" s="9" t="inlineStr">
        <is>
          <t>最高</t>
        </is>
      </c>
      <c r="I26" s="14" t="inlineStr">
        <is>
          <t>完了</t>
        </is>
      </c>
      <c r="J26" s="7" t="inlineStr">
        <is>
          <t>確認事項No.72と対応。回次・各回の締切・入力範囲が書かれているのはこの1枚の可能性が高い。／令和8年9月8日受領（3頁）。国の提出期間は9月30日〜10月13日18時で、県の10月5日は前倒し締切と判明。必要なマニュアル2点（利用マニュアル【システム操作編②将来推計】第10.0版、地域分析の手引き５）と、確認すべき4つの観点、システムを使えない場合の報告様式エクセルによる代替ルートが判明した。ただし事務連絡の添付「報告様式エクセルファイル」は未受領。第2回目以降の記載もなし。</t>
        </is>
      </c>
    </row>
    <row r="27" ht="72" customHeight="1">
      <c r="A27" s="9" t="inlineStr">
        <is>
          <t>23</t>
        </is>
      </c>
      <c r="B27" s="9" t="inlineStr">
        <is>
          <t>B</t>
        </is>
      </c>
      <c r="C27" s="7" t="inlineStr">
        <is>
          <t>令和6年度の介護保険事業状況報告（年報）一式</t>
        </is>
      </c>
      <c r="D27" s="7" t="inlineStr">
        <is>
          <t>様式1〜様式4。自然体推計は実績3か年（第10期なら令和6〜8年度）を基礎とするが、手元の年報は令和7年度の1か年のみ。</t>
        </is>
      </c>
      <c r="E27" s="7" t="inlineStr">
        <is>
          <t>自然体推計の実績値（認定者数・受給者数・利用回数・給付費）</t>
        </is>
      </c>
      <c r="F27" s="9" t="inlineStr">
        <is>
          <t>発注者</t>
        </is>
      </c>
      <c r="G27" s="9" t="inlineStr">
        <is>
          <t>R8.9中旬</t>
        </is>
      </c>
      <c r="H27" s="9" t="inlineStr">
        <is>
          <t>最高</t>
        </is>
      </c>
      <c r="I27" s="14" t="inlineStr">
        <is>
          <t>完了</t>
        </is>
      </c>
      <c r="J27" s="7" t="inlineStr">
        <is>
          <t>令和6年度の月報（202405〜202503）も併せていただけると、年度途中の補正に使える。／令和8年9月8日受領（年報データ_2024_川崎町.xlsx・47シート）。様式4に決算が記入されており、標準給付費見込額1,093,253,453円が町提供データと453円差で一致。所得段階別被保険者数（確認事項No.10）と調整交付金実績（同No.11）も本ファイルで確定した。令和6年度の月報（R6.5〜R7.3）は引き続き未受領。</t>
        </is>
      </c>
    </row>
    <row r="28" ht="72" customHeight="1">
      <c r="A28" s="9" t="inlineStr">
        <is>
          <t>24</t>
        </is>
      </c>
      <c r="B28" s="9" t="inlineStr">
        <is>
          <t>B</t>
        </is>
      </c>
      <c r="C28" s="7" t="inlineStr">
        <is>
          <t>令和7年度の年報の決算確定版（様式4・4の2・4の3・経理状況）</t>
        </is>
      </c>
      <c r="D28" s="7" t="inlineStr">
        <is>
          <t>現在受領している年報は様式4系と経理状況の数値セルが全て0（未記入）。算定対象審査支払手数料、地域支援事業費の決算額、調整交付金の収入額が取得できない。あわせて様式1所得段階別の「セ 標準月額保険料」も0。</t>
        </is>
      </c>
      <c r="E28" s="7" t="inlineStr">
        <is>
          <t>標準給付費見込額の算定対象審査支払手数料、地域支援事業費、調整交付金</t>
        </is>
      </c>
      <c r="F28" s="9" t="inlineStr">
        <is>
          <t>発注者</t>
        </is>
      </c>
      <c r="G28" s="9" t="inlineStr">
        <is>
          <t>R8.10</t>
        </is>
      </c>
      <c r="H28" s="9" t="inlineStr">
        <is>
          <t>中</t>
        </is>
      </c>
      <c r="I28" s="14" t="inlineStr">
        <is>
          <t>確認待ち</t>
        </is>
      </c>
      <c r="J28" s="7" t="inlineStr">
        <is>
          <t>確認事項No.11（調整交付金の交付実績）と対応。／令和8年9月8日に令和7年度年報を再送いただいたが、既存ファイルと同一（MD5一致・全47シート差分0）で、様式4系は依然として全ゼロ。令和6年度分は記入済みのため令和7年度も記入いただきたい。必要なのは①調整交付金の交付実績②保険者機能強化推進交付金等③地域支援事業費の区分（総合事業／包括的支援事業・任意事業）④準備基金保有額⑤算定対象審査支払手数料⑥様式1所得段階別「セ 標準月額保険料」の6点。なお標準給付費見込額(A)は様式2系から1,084,199,562円まで積み上げられ、町提供データ1,085,203千円と0.09％差で一致するため、第1回目の提出には支障なし。希望時期をR8.10に変更。</t>
        </is>
      </c>
    </row>
    <row r="29" ht="72" customHeight="1">
      <c r="A29" s="9" t="inlineStr">
        <is>
          <t>25</t>
        </is>
      </c>
      <c r="B29" s="9" t="inlineStr">
        <is>
          <t>C</t>
        </is>
      </c>
      <c r="C29" s="7" t="inlineStr">
        <is>
          <t>第9期の将来推計総括表（第2回目〜第4回目）</t>
        </is>
      </c>
      <c r="D29" s="7" t="inlineStr">
        <is>
          <t>令和8年9月7日に受領したのは第1回目（令和5年10月5日出力）の総括表。最終版では保険料基準額が7,644円から6,500円に下がっており、その過程（見込量の見直し、基金取崩額の決定、13段階化の反映）を確認したい。</t>
        </is>
      </c>
      <c r="E29" s="7" t="inlineStr">
        <is>
          <t>第10期の見込量の調整幅と基金取崩の考え方、確認事項No.14の最終確認</t>
        </is>
      </c>
      <c r="F29" s="9" t="inlineStr">
        <is>
          <t>発注者</t>
        </is>
      </c>
      <c r="G29" s="9" t="inlineStr">
        <is>
          <t>R8.9中旬</t>
        </is>
      </c>
      <c r="H29" s="9" t="inlineStr">
        <is>
          <t>高</t>
        </is>
      </c>
      <c r="I29" s="14" t="inlineStr">
        <is>
          <t>確認待ち</t>
        </is>
      </c>
      <c r="J29" s="7" t="inlineStr">
        <is>
          <t>最終版の補正後被保険者数（約9,517人と推定）が確認できれば確認事項No.14が確定する。</t>
        </is>
      </c>
    </row>
    <row r="30" ht="72" customHeight="1">
      <c r="A30" s="9" t="inlineStr">
        <is>
          <t>26</t>
        </is>
      </c>
      <c r="B30" s="9" t="inlineStr">
        <is>
          <t>H</t>
        </is>
      </c>
      <c r="C30" s="7" t="inlineStr">
        <is>
          <t>事務連絡の添付「報告様式エクセルファイル」及び将来推計の各マニュアル</t>
        </is>
      </c>
      <c r="D30" s="7" t="inlineStr">
        <is>
          <t>厚生労働省の事務連絡（令和8年9月1日）の添付資料である報告様式エクセルファイル。あわせて、事務連絡が名指ししている「地方公共団体向け利用マニュアル【システム操作編② 将来推計】第10.0版」及び「地域分析の手引き ５．将来推計について」。</t>
        </is>
      </c>
      <c r="E30" s="7" t="inlineStr">
        <is>
          <t>見える化システムでの推計作業の手順、システムを使えない場合の代替ルート</t>
        </is>
      </c>
      <c r="F30" s="9" t="inlineStr">
        <is>
          <t>発注者・宮城県長寿社会政策課</t>
        </is>
      </c>
      <c r="G30" s="9" t="inlineStr">
        <is>
          <t>R8.9中旬</t>
        </is>
      </c>
      <c r="H30" s="9" t="inlineStr">
        <is>
          <t>高</t>
        </is>
      </c>
      <c r="I30" s="14" t="inlineStr">
        <is>
          <t>確認待ち</t>
        </is>
      </c>
      <c r="J30" s="7" t="inlineStr">
        <is>
          <t>マニュアル2点はシステムにログインできれば入手できる見込み。確認事項No.71と対応。</t>
        </is>
      </c>
    </row>
    <row r="31" ht="26" customHeight="1"/>
    <row r="32">
      <c r="A32" s="24" t="inlineStr">
        <is>
          <t>区分</t>
        </is>
      </c>
      <c r="B32" s="24" t="inlineStr">
        <is>
          <t>件数</t>
        </is>
      </c>
    </row>
    <row r="33">
      <c r="A33" s="10" t="inlineStr">
        <is>
          <t>完了</t>
        </is>
      </c>
      <c r="B33" s="9">
        <f>COUNTIF(I5:I30,"完了")</f>
        <v/>
      </c>
    </row>
    <row r="34">
      <c r="A34" s="12" t="inlineStr">
        <is>
          <t>実施中</t>
        </is>
      </c>
      <c r="B34" s="9">
        <f>COUNTIF(I5:I30,"実施中")</f>
        <v/>
      </c>
    </row>
    <row r="35">
      <c r="A35" s="14" t="inlineStr">
        <is>
          <t>確認待ち</t>
        </is>
      </c>
      <c r="B35" s="9">
        <f>COUNTIF(I5:I30,"確認待ち")</f>
        <v/>
      </c>
    </row>
    <row r="36">
      <c r="A36" s="16" t="inlineStr">
        <is>
          <t>未着手</t>
        </is>
      </c>
      <c r="B36" s="9">
        <f>COUNTIF(I5:I30,"未着手")</f>
        <v/>
      </c>
    </row>
    <row r="37">
      <c r="A37" s="18" t="inlineStr">
        <is>
          <t>対象外</t>
        </is>
      </c>
      <c r="B37" s="9">
        <f>COUNTIF(I5:I30,"対象外")</f>
        <v/>
      </c>
    </row>
    <row r="38"/>
    <row r="39">
      <c r="A39" s="23" t="inlineStr">
        <is>
          <t>注1）優先度は 最高／高／中／低 の別による。「最高」は、受領しない限り当該業務が完了しない資料を示す。</t>
        </is>
      </c>
    </row>
    <row r="40">
      <c r="A40" s="23" t="inlineStr">
        <is>
          <t>注2）「状態」が「完了」となった資料は、受領日を備考欄に記入する。</t>
        </is>
      </c>
    </row>
  </sheetData>
  <mergeCells count="4">
    <mergeCell ref="A40:J40"/>
    <mergeCell ref="A1:J1"/>
    <mergeCell ref="A39:J39"/>
    <mergeCell ref="A2:J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2026-08-20T05:51:48Z</dcterms:created>
  <dcterms:modified xmlns:dcterms="http://purl.org/dc/terms/" xmlns:xsi="http://www.w3.org/2001/XMLSchema-instance" xsi:type="dcterms:W3CDTF">2026-09-08T08:11:57Z</dcterms:modified>
</cp:coreProperties>
</file>