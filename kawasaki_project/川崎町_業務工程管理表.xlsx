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令和8年9月29日　本表の記載は同日時点のもの。計画素案 Ver.2.1、第2回策定委員会資料 v5、同 想定問答集 v2、交付金取りまとめ表 R8.9.29、別添整理表 R8.9.29、確認事項 No.136 まで。</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v5（86段落33表）
第2回委員会_想定問答集 v2（35問8カテゴリ）
F6_策定委員会書類ひな形_改訂版</t>
        </is>
      </c>
      <c r="F7" s="12" t="inlineStr">
        <is>
          <t>実施中</t>
        </is>
      </c>
      <c r="G7" s="20" t="n">
        <v>0.75</v>
      </c>
      <c r="H7" s="9" t="inlineStr">
        <is>
          <t>R9.2</t>
        </is>
      </c>
      <c r="I7" s="7" t="inlineStr">
        <is>
          <t>第1回は令和8年9月2日に開催済み。議事録・想定問答集を提出済み。第2回（令和8年11月予定）の資料はv5まで作成済みで、「７．交付金の評価と取り戻せる27点」を新設した。想定問答集も全35問・8カテゴリに拡充し、表番号による参照を節による参照に改めた。資料・想定問答集とも自己点検（27件・機械判定）に適合している。残るのは開催日の確定（確認事項No.85）と、選択1〜5のご判断を受けた第3回資料の作成。</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ア・イ・ウ…）の単位で突き合わせ、3か年の推移・県内比較・必要項目の対応可否・計画との紐付けを取りまとめ表（7シート）として整理した。各年度の枝番の合計が公表値（454点・565点・528点）と一致することを確認済み。③現行施策（第9期35事業）の実績は【町確認】欄がご記入待ち。</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た。調査結果報告書3文書の再修正版について、調査票の個票から約6,400項目を全数検算し（レビューv8・令和8年9月25日）、数値の誤りは付表2の丸め37件のみであることを確認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計画書素案_v2.1_新規拡充説明版（588段落111表・全88頁）
施策・事業の体系（Ｃ案）別冊（全12頁）
施策事業統合体系表（6シート・7章17節37項143事業）
資料編_構成案・素案
計画素案_概要版（12頁）</t>
        </is>
      </c>
      <c r="F11" s="12" t="inlineStr">
        <is>
          <t>実施中</t>
        </is>
      </c>
      <c r="G11" s="20" t="n">
        <v>0.95</v>
      </c>
      <c r="H11" s="9" t="inlineStr">
        <is>
          <t>R9.2</t>
        </is>
      </c>
      <c r="I11" s="7" t="inlineStr">
        <is>
          <t>素案はVer.2.1まで作成（全88頁・588段落・111表）。Ver.2.0で統合体系表の143事業を第5章（106事業）・第6章6-4（28事業）・第8章（柱7の9事業）に書き下ろし、Ver.2.1で第10期に内容が変わる42事業（新規23・拡充19）について根拠となる事実と第10期での内容を章ごとの表で示した。あわせて交付金の失点27点の回復を第10章10-4のKPI管理表に組み込んだ。書き下ろした事業が統合体系表と1件のずれもなく一致することを自己点検（検査5）で機械的に確認している（31件すべて適合）。残るのは第3章の町確認欄、継続101事業の本文の記述、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0.3</v>
      </c>
      <c r="H12" s="9" t="inlineStr">
        <is>
          <t>R9.3</t>
        </is>
      </c>
      <c r="I12" s="7" t="inlineStr">
        <is>
          <t>中間報告の提出期日が指定されていない（確認事項No.17）。計画書（案）は素案Ver.2.0を母体とする。Ver.2.0で143事業の書き下ろしを終えたため、残るのは施策ごとの本文の記述と概要版（8頁程度・3,500部）の作成。現行84頁に対し成果品は100頁程度であり増補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次の値を確定済み（総給付費3か年3,048,796千円・保険料6,822円）。素案はVer.1.25（全80頁）。見える化システムへの入力は、在宅の利用回（日）数が令和8年5月ベースで固定されているため、新しい推計パターンの作成を提案し設定値一式（8シート）を提供済み。10月は、調査結果報告書の最終確定（体裁13件）と、確認事項No.127・128（交付金）のご回答を待って第3章3-3・第8章8-2を確定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第2回策定委員会の資料をv5まで作成（ご選択いただきたい事項5件・保険料の確定値・計画骨子案に加え、「７．交付金の評価と取り戻せる27点」を新設）。想定問答集も v2（全35問・8カテゴリ）に拡充済み。諮る事項は施策体系（Ｃ案）・入所居住系の整備量・在宅供給・介護人材・保険料と基金の5件。本資料で交付金の評価結果を報告することが、交付金「評価結果の活用」の要件イを満たす。残るのは開催日の確定（確認事項No.85）。</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0"/>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2">
      <c r="A142" s="24" t="inlineStr">
        <is>
          <t>区分</t>
        </is>
      </c>
      <c r="B142" s="24" t="inlineStr">
        <is>
          <t>件数</t>
        </is>
      </c>
    </row>
    <row r="143">
      <c r="A143" s="10" t="inlineStr">
        <is>
          <t>完了</t>
        </is>
      </c>
      <c r="B143" s="9">
        <f>COUNTIF(H5:H140,"完了")</f>
        <v/>
      </c>
    </row>
    <row r="144">
      <c r="A144" s="12" t="inlineStr">
        <is>
          <t>実施中</t>
        </is>
      </c>
      <c r="B144" s="9">
        <f>COUNTIF(H5:H140,"実施中")</f>
        <v/>
      </c>
    </row>
    <row r="145">
      <c r="A145" s="14" t="inlineStr">
        <is>
          <t>確認待ち</t>
        </is>
      </c>
      <c r="B145" s="9">
        <f>COUNTIF(H5:H140,"確認待ち")</f>
        <v/>
      </c>
    </row>
    <row r="146">
      <c r="A146" s="16" t="inlineStr">
        <is>
          <t>未着手</t>
        </is>
      </c>
      <c r="B146" s="9">
        <f>COUNTIF(H5:H140,"未着手")</f>
        <v/>
      </c>
    </row>
    <row r="147">
      <c r="A147" s="18" t="inlineStr">
        <is>
          <t>対象外</t>
        </is>
      </c>
      <c r="B147" s="9">
        <f>COUNTIF(H5:H140,"対象外")</f>
        <v/>
      </c>
    </row>
    <row r="149">
      <c r="A149" s="23" t="inlineStr">
        <is>
          <t>注1）「回答・対応」欄は、発注者からの回答又は受託者による対応の結果を記入し、状態を「完了」に更新する。</t>
        </is>
      </c>
    </row>
    <row r="150">
      <c r="A150" s="23" t="inlineStr">
        <is>
          <t>注2）No.9〜11は保険料試算ワークブックの黄色セル（01!B15、06!B17、06!B16、04!B8、06!B10）と対応し、値を入力すると保険料基準額が自動で再計算される。</t>
        </is>
      </c>
    </row>
  </sheetData>
  <mergeCells count="4">
    <mergeCell ref="A149:J149"/>
    <mergeCell ref="A1:J1"/>
    <mergeCell ref="A150:J150"/>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【R8.9.25 更新】再修正版3文書をレビュー（v8）。約6,400項目を個票から再検算し、数値の誤りは37件（資料編 付表2のn=16の層で割合が偶数丸めとなっているもの。凡例は「小数第2位を四捨五入」）。これ以外の数値の不一致は0件。納品前に必ず処理するもの4件：①本編・ニーズ調査の目次が未更新（1行のみ）、②3文書とも文書プロパティの最終更新者名が残存、③ニーズ調査[P629]に編集メモが残存、④ニーズ調査 表73のキャプションが表の下にある。ほか数値・説明の修正4件、注記の追加5件。詳細は「川崎町_RedTeamレビューv8_再修正版_R8.9.25.md」。</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川崎町_計画書素案_v2.1_新規拡充説明版.docx</t>
        </is>
      </c>
      <c r="D8" s="7" t="inlineStr">
        <is>
          <t>A4版　表紙レザック　本文上質紙
1色刷り　100頁程度　100部</t>
        </is>
      </c>
      <c r="E8" s="12" t="inlineStr">
        <is>
          <t>実施中</t>
        </is>
      </c>
      <c r="F8" s="20" t="n">
        <v>0.7</v>
      </c>
      <c r="G8" s="9" t="inlineStr">
        <is>
          <t>R9.3.15</t>
        </is>
      </c>
      <c r="H8" s="7" t="inlineStr">
        <is>
          <t>【R8.9.29 更新】素案Ver.2.1（本文88頁）。別添（資料編）に必要な項目28件を洗い出し、置き場所を5つに振り分けた（別添整理表R8.9.29）。計画書の資料編は10件13頁とし、本文88頁＋資料編13頁＝101頁で仕様書8の100頁程度に収まる。本文で足りるもの11件・別冊3件・調査報告書1件・ホームページ及び内部資料3件に振り分けた。新たに様式を起こすものが9件あり、うち4件は交付金・認知症基本法の要件そのもの。最も急ぐのは認知症の人及び家族等からの意見聴取の記録様式（R8.10上旬）。施策内容の本文をどこまで書き下ろすかは打合せによる。</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【R8.9.29 更新】概要版（8頁程度・3,500部）は未着手。計画書の資料編の割付が固まったため、概要版は本文の第3章（課題）・第4章（体系）・第9章（保険料）を軸に8頁で構成する案を第3回策定委員会でお示しする。</t>
        </is>
      </c>
      <c r="I9" s="9" t="inlineStr">
        <is>
          <t>18</t>
        </is>
      </c>
    </row>
    <row r="10" ht="84" customHeight="1">
      <c r="A10" s="9" t="n">
        <v>6</v>
      </c>
      <c r="B10" s="21" t="inlineStr">
        <is>
          <t>計画書概要及び計画書案等の電子データ</t>
        </is>
      </c>
      <c r="C10" s="7" t="inlineStr">
        <is>
          <t>川崎町_第2回策定委員会資料_R8.11_v5.docx／同_想定問答集_R8.11_v2.docx ほか</t>
        </is>
      </c>
      <c r="D10" s="7" t="inlineStr">
        <is>
          <t>一式（Word・PDF）</t>
        </is>
      </c>
      <c r="E10" s="12" t="inlineStr">
        <is>
          <t>実施中</t>
        </is>
      </c>
      <c r="F10" s="20" t="n">
        <v>0.7</v>
      </c>
      <c r="G10" s="9" t="inlineStr">
        <is>
          <t>R9.3.15</t>
        </is>
      </c>
      <c r="H10" s="7" t="inlineStr">
        <is>
          <t>【R8.9.28b 更新】第2回策定委員会資料をv5、想定問答集をv2に更新。資料には「７．交付金の評価と取り戻せる27点」を新設し、章番号を1つ繰り下げた。本資料で交付金の評価結果を報告すること自体が「評価結果の活用」の要件イを満たす旨を明記。選択1は、Ｃ案により統合体系表を作成済みであることを踏まえ、作成済みのＣ案をご確認いただく形に改めた。同じ事項に2つの値が置かれていた5か所と、町案から取り込む事業の件数（8件→10件）を是正した。想定問答集はカテゴリH（交付金の評価・5問）を加えて全35問・8カテゴリとし、表番号による参照を節による参照に改めた（資料に表番号が印字されておらず当日たどれないため）。自己点検（check_2kai_selfcheck_R8.9.28.py）は27件すべて適合。</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2026-09-28T23:58:40Z</dcterms:modified>
</cp:coreProperties>
</file>