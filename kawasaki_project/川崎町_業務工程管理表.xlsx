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1">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令和8年10月1日　本表の記載は同日時点のもの。計画素案 Ver.2.7（図表追加版・655段落125表・全103頁・図9点）、第2回策定委員会資料 v6、想定問答集 v3（全39問）、施策・事業統合体系表（7章17節37項143事業）、交付金取りまとめ表（7シート）、計画書別添整理表（5シート）、認知症の意見聴取記録様式（9シート・様式0〜5）、認知症の計画記載事項 適合性確認表（6シート）、大雪広域との素案対比表（8シート）、図表データ管理台帳（16シート・図9点）まで作成済み。点検は、素案の自己点検32件・保険料の検算39項目・書体の点検13件・図表の自己点検9件・委員会資料の自己点検27件がいずれも適合。確認事項は163件のうち19件が決着し、144件が未決着。07シートで12の束に分け、08シートにペンディングでない作業の順位を置いた。</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2件（R8.9.2版）の作成、計画素案への反映（v1.8）まで完了。集計ブック（20260807版）との全件突合で不一致0件。成果品としての調査報告書（80頁程度5部）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0.75</v>
      </c>
      <c r="H7" s="9" t="inlineStr">
        <is>
          <t>R9.2</t>
        </is>
      </c>
      <c r="I7" s="7" t="inlineStr">
        <is>
          <t>第1回は令和8年9月2日に開催済み。議事録・想定問答集を提出済み。第2回（令和8年11月予定）の資料はv6、想定問答集はv3（全39問）まで作成し、自己点検27件に適合している。残るのは開催日の確定（確認事項No.85）と、選択1〜5のご判断を受けた第3回資料の作成。**開催日が決まらないため、事前配布日・質問の締切・第3回の日程・保険料をいつ諮るかがいずれも決まらない（ペンディング束2）。**</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0.95</v>
      </c>
      <c r="H8" s="9" t="inlineStr">
        <is>
          <t>R8.10</t>
        </is>
      </c>
      <c r="I8" s="7" t="inlineStr">
        <is>
          <t>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0.9</v>
      </c>
      <c r="H9" s="9" t="inlineStr">
        <is>
          <t>R9.1</t>
        </is>
      </c>
      <c r="I9" s="7" t="inlineStr">
        <is>
          <t>令和7年度の年報を基礎とする独立算定を完了した（32サービス・要介護度別。総給付費3か年3,048,796千円、保険料基準額 取崩なし6,822円・基金50％取崩6,143円・全額取崩5,464円）。令和7年度の基準値は見える化システムの総括表と32サービスすべてで一致する。所得段階別第1号被保険者数（13段階）は年報の様式1により確定した。保険料の検算39項目は適合。残るのは準備基金の令和8年度末残高・調整交付金見込交付割合・令和9年度の介護報酬改定の3件で、いずれも受託者の作業では確定できない（ペンディング束5）。⚠ 地域支援事業はデータ未受領であり、費用の見込みは置けない（束6）。</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0.9</v>
      </c>
      <c r="H10" s="9" t="inlineStr">
        <is>
          <t>R8.10</t>
        </is>
      </c>
      <c r="I10" s="7" t="inlineStr">
        <is>
          <t>①②は完了し、川崎町固有の5重点課題を整理済み。第2章・第3章の現状分析を令和7年度実績（年報）に更新し、図を9点に増やした（認定者数と認定率の推移・交付金の得点の推移ほか）。調査結果報告書3文書は約6,400項目を全数検算し、数値の誤りは付表2の丸め37件のみであることを確認した。第9期35事業の実績一覧は【町確認】欄がご記入待ちであり、第3章3-2の各表がこれを待っている（ペンディング束3）。</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計画書素案_v2.7_図表追加版（655段落125表・全103頁・図9点）
図表データ管理台帳_R8.9.30（16シート・自己点検9件）
施策・事業統合体系表_R8.9.25b（6シート・7章17節37項143事業）
認知症_意見聴取記録様式_R8.9.30（9シート・様式0〜5・別添22）
認知症_計画記載事項_適合性確認表_R8.9.30（6シート）
大雪広域_素案対比表_R8.9.30（8シート）
交付金_取りまとめ表_R8.9.29（7シート）
計画書_別添整理表_R8.9.29（5シート）</t>
        </is>
      </c>
      <c r="F11" s="12" t="inlineStr">
        <is>
          <t>実施中</t>
        </is>
      </c>
      <c r="G11" s="20" t="n">
        <v>0.98</v>
      </c>
      <c r="H11" s="9" t="inlineStr">
        <is>
          <t>R9.2</t>
        </is>
      </c>
      <c r="I11" s="7" t="inlineStr">
        <is>
          <t>素案はVer.2.7まで作成（全103頁・655段落・125表・図9点）。Ver.2.0で統合体系表の143事業を書き下ろし、Ver.2.1で第10期に内容が変わる42事業を章ごとの表で示した。Ver.2.2で認知症の必須記載事項、Ver.2.3でレビュー10件、Ver.2.4で制度改正と日常生活圏域、Ver.2.5で書体と文字の大きさ、Ver.2.6で図の数値の一元化、Ver.2.7で図3点の追加を反映した。残るのは第3章の町確認欄（束3）、継続101事業の本文の記述、成果品の頁数の割付け（本文103頁・仕様書は100頁程度／束11）。継続101事業の記述はご確認を待たずに進められる（08シート 順位6）。</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16" t="inlineStr">
        <is>
          <t>未着手</t>
        </is>
      </c>
      <c r="G12" s="20" t="n">
        <v>0.4</v>
      </c>
      <c r="H12" s="9" t="inlineStr">
        <is>
          <t>R9.3</t>
        </is>
      </c>
      <c r="I12" s="7" t="inlineStr">
        <is>
          <t>中間報告の提出期日が指定されていない（確認事項No.17）。計画書（案）は素案Ver.2.7を母体とする。残るのは継続101事業の本文の記述と、概要版（8頁程度・3,500部）の作成、成果品の頁数の割付け。いずれもご確認を待たずに着手でき、08シートに順位を置いた。</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人口推計・事業量推計は、令和7年度の年報を基礎とする独立算定により第1稿を作成。地域支援事業の費用の見込みはデータ未受領のため保留。素案はVer.2.7（図表追加版・全103頁・図9点）まで更新した。書体と文字の大きさを揃え（Ver.2.5）、図の数値の正本を1か所にまとめ（Ver.2.6）、町のご指示により図を3点加えた（Ver.2.7）。**令和8年10月5日が見える化システムの第1回目提出の期日であり、提出値に関する9件が未決着（ペンディング束1）。**認知症の人及び家族等からの意見聴取は令和8年10〜11月に実施する予定で、記録様式（別添22・様式0〜5）は作成済み。運用のご確認待ち（束7）。</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策定委員会の資料をv6、想定問答集をv3（全39問）まで作成し、自己点検27件に適合している。**開催日が未確定のため、事前配布日・質問の締切・第3回の日程がいずれも決まらない（ペンディング束2）。**令和8年11月中旬を仮置きした逆算工程表をお示しする。</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保険料算定表（記号Ａ〜Ｊ・年度別）と感度分析は素案Ver.2.3以降に反映済みで、検算39項目に適合している。3パターン（6,822円／6,143円／5,464円）は暫定値であり、準備基金の令和8年度末残高・調整交付金見込交付割合・令和9年度の介護報酬改定の確定を待って確定値とする（束5）。計画書（案）の作成は、継続101事業の本文の記述から着手す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7"/>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大雪地区広域連合の協議用素案（令和8年8月）との対比により把握した。素案Ver.2.4の1-5に制度改正の節を新設し、当該の改正を掲げた。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9" t="inlineStr">
        <is>
          <t>154</t>
        </is>
      </c>
      <c r="B158" s="9" t="inlineStr">
        <is>
          <t>(4)(6)</t>
        </is>
      </c>
      <c r="C158" s="9" t="inlineStr">
        <is>
          <t>R8.11</t>
        </is>
      </c>
      <c r="D158" s="7" t="inlineStr">
        <is>
          <t>高齢者向け住まいの状況</t>
        </is>
      </c>
      <c r="E158" s="7"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7" t="inlineStr">
        <is>
          <t>素案 2-7・9-1</t>
        </is>
      </c>
      <c r="G158" s="9" t="inlineStr">
        <is>
          <t>発注者</t>
        </is>
      </c>
      <c r="H158" s="12" t="inlineStr">
        <is>
          <t>確認待ち</t>
        </is>
      </c>
      <c r="I158" s="9" t="inlineStr">
        <is>
          <t>R8.11</t>
        </is>
      </c>
      <c r="J158" s="7" t="inlineStr">
        <is>
          <t>第10期基本指針（案）の別表 八。素案に有料老人ホーム・サービス付き高齢者向け住宅が一度も現れていなかった。</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9" t="inlineStr">
        <is>
          <t>157</t>
        </is>
      </c>
      <c r="B161" s="9" t="inlineStr">
        <is>
          <t>(4)(7)</t>
        </is>
      </c>
      <c r="C161" s="9" t="inlineStr">
        <is>
          <t>R8.10</t>
        </is>
      </c>
      <c r="D161" s="7" t="inlineStr">
        <is>
          <t>認知症の人の数の推計</t>
        </is>
      </c>
      <c r="E161" s="7" t="inlineStr">
        <is>
          <t>第10期基本指針（案）の別表 十一が「認知症の人の数・推計値」を確認すべき指標としています。要介護認定の認定調査における認知症高齢者の日常生活自立度Ⅱ以上の人数（令和6・7年度）をご教示いただけますでしょうか。これにより認知症の人の数を把握し、第10期の推計値を第6章6-3に掲げます。現在、素案には認知症の人の数がありません。</t>
        </is>
      </c>
      <c r="F161" s="7" t="inlineStr">
        <is>
          <t>素案 6-2・6-3</t>
        </is>
      </c>
      <c r="G161" s="9" t="inlineStr">
        <is>
          <t>発注者</t>
        </is>
      </c>
      <c r="H161" s="12" t="inlineStr">
        <is>
          <t>確認待ち</t>
        </is>
      </c>
      <c r="I161" s="9" t="inlineStr">
        <is>
          <t>R8.10</t>
        </is>
      </c>
      <c r="J161" s="7"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9" t="inlineStr">
        <is>
          <t>159</t>
        </is>
      </c>
      <c r="B163" s="9" t="inlineStr">
        <is>
          <t>(4)(5)</t>
        </is>
      </c>
      <c r="C163" s="9" t="inlineStr">
        <is>
          <t>R8.10</t>
        </is>
      </c>
      <c r="D163" s="7" t="inlineStr">
        <is>
          <t>施設の入所率・稼働率と入退所の経路</t>
        </is>
      </c>
      <c r="E163" s="7"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7" t="inlineStr">
        <is>
          <t>素案 9-1・第2回策定委員会の選択2</t>
        </is>
      </c>
      <c r="G163" s="9" t="inlineStr">
        <is>
          <t>発注者</t>
        </is>
      </c>
      <c r="H163" s="12" t="inlineStr">
        <is>
          <t>確認待ち</t>
        </is>
      </c>
      <c r="I163" s="9" t="inlineStr">
        <is>
          <t>R8.10</t>
        </is>
      </c>
      <c r="J163" s="7" t="inlineStr">
        <is>
          <t>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7" t="inlineStr">
        <is>
          <t>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row r="169">
      <c r="A169" s="24" t="inlineStr">
        <is>
          <t>区分</t>
        </is>
      </c>
      <c r="B169" s="24" t="inlineStr">
        <is>
          <t>件数</t>
        </is>
      </c>
    </row>
    <row r="170">
      <c r="A170" s="10" t="inlineStr">
        <is>
          <t>完了</t>
        </is>
      </c>
      <c r="B170" s="9">
        <f>COUNTIF(H5:H167,"完了")</f>
        <v/>
      </c>
    </row>
    <row r="171">
      <c r="A171" s="12" t="inlineStr">
        <is>
          <t>実施中</t>
        </is>
      </c>
      <c r="B171" s="9">
        <f>COUNTIF(H5:H167,"実施中")</f>
        <v/>
      </c>
    </row>
    <row r="172">
      <c r="A172" s="14" t="inlineStr">
        <is>
          <t>確認待ち</t>
        </is>
      </c>
      <c r="B172" s="9">
        <f>COUNTIF(H5:H167,"確認待ち")</f>
        <v/>
      </c>
    </row>
    <row r="173">
      <c r="A173" s="16" t="inlineStr">
        <is>
          <t>未着手</t>
        </is>
      </c>
      <c r="B173" s="9">
        <f>COUNTIF(H5:H167,"未着手")</f>
        <v/>
      </c>
    </row>
    <row r="174">
      <c r="A174" s="18" t="inlineStr">
        <is>
          <t>対象外</t>
        </is>
      </c>
      <c r="B174" s="9">
        <f>COUNTIF(H5:H167,"対象外")</f>
        <v/>
      </c>
    </row>
    <row r="175"/>
    <row r="176">
      <c r="A176" s="23" t="inlineStr">
        <is>
          <t>注1）「回答・対応」欄は、発注者からの回答又は受託者による対応の結果を記入し、状態を「完了」に更新する。</t>
        </is>
      </c>
    </row>
    <row r="177">
      <c r="A177" s="23" t="inlineStr">
        <is>
          <t>注2）No.9〜11は保険料試算ワークブックの黄色セル（01!B15、06!B17、06!B16、04!B8、06!B10）と対応し、値を入力すると保険料基準額が自動で再計算される。</t>
        </is>
      </c>
    </row>
  </sheetData>
  <mergeCells count="4">
    <mergeCell ref="A1:J1"/>
    <mergeCell ref="A177:J177"/>
    <mergeCell ref="A176:J176"/>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川崎町_ニーズ調査結果報告書_R8.9.2版
川崎町_介護実態調査結果報告書_R8.9.2版</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9" t="n">
        <v>3</v>
      </c>
      <c r="B7" s="21" t="inlineStr">
        <is>
          <t>事業量・見込み量等の推計用電子データ</t>
        </is>
      </c>
      <c r="C7" s="7" t="inlineStr">
        <is>
          <t>川崎町_第10期_計画見込量_R8.9.15.xlsx（7シート）
川崎町_新推計パターン_設定値一式_R8.9.11.xlsx（8シート）
川崎町_保険料試算ワークブック（11シート）</t>
        </is>
      </c>
      <c r="D7" s="7" t="inlineStr">
        <is>
          <t>一式（Excel）</t>
        </is>
      </c>
      <c r="E7" s="12" t="inlineStr">
        <is>
          <t>実施中</t>
        </is>
      </c>
      <c r="F7" s="20" t="n">
        <v>0.9</v>
      </c>
      <c r="G7" s="9" t="inlineStr">
        <is>
          <t>R9.3.15</t>
        </is>
      </c>
      <c r="H7" s="7" t="inlineStr">
        <is>
          <t>令和7年度の年報を基礎とする独立算定を完了（32サービス・要介護度別。保険料6,822円）。準備基金の令和8年度末残高の確定を待って確定値とする。</t>
        </is>
      </c>
      <c r="I7" s="9" t="inlineStr">
        <is>
          <t>9, 10, 11, 12, 13</t>
        </is>
      </c>
    </row>
    <row r="8" ht="84" customHeight="1">
      <c r="A8" s="9" t="n">
        <v>4</v>
      </c>
      <c r="B8" s="21" t="inlineStr">
        <is>
          <t>計画書</t>
        </is>
      </c>
      <c r="C8" s="7" t="inlineStr">
        <is>
          <t>川崎町_計画書素案_v2.7_図表追加版.docx</t>
        </is>
      </c>
      <c r="D8" s="7" t="inlineStr">
        <is>
          <t>A4版　表紙レザック　本文上質紙
1色刷り　100頁程度　100部</t>
        </is>
      </c>
      <c r="E8" s="12" t="inlineStr">
        <is>
          <t>実施中</t>
        </is>
      </c>
      <c r="F8" s="20" t="n">
        <v>0.8</v>
      </c>
      <c r="G8" s="9" t="inlineStr">
        <is>
          <t>R9.3.15</t>
        </is>
      </c>
      <c r="H8" s="7" t="inlineStr">
        <is>
          <t>【令和8年10月1日 更新】素案Ver.2.7（本文103頁・図9点）。図表データ管理台帳により図の数値の正本を1か所にまとめ、自己点検9件に適合している。別添（資料編）は10件13頁とし、本文103頁＋資料編13頁＝116頁。**仕様書8の「100頁程度」を上回るため、本文の圧縮案（計96頁）をご判断いただきたい（確認事項No.83・ペンディング束11）。**圧縮した版は当方で作って頁数をお示しできる（08シート 順位5）。残るのは継続101事業の本文の記述（08シート 順位6）。</t>
        </is>
      </c>
      <c r="I8" s="9" t="inlineStr">
        <is>
          <t>15, 16, 18</t>
        </is>
      </c>
    </row>
    <row r="9" ht="84" customHeight="1">
      <c r="A9" s="9" t="n">
        <v>5</v>
      </c>
      <c r="B9" s="21" t="inlineStr">
        <is>
          <t>概要版</t>
        </is>
      </c>
      <c r="C9" s="7" t="inlineStr">
        <is>
          <t>川崎町_計画素案_概要版（12頁）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【令和8年10月1日 更新】概要版（8頁程度・3,500部）は未着手。本文の第3章（課題）・第4章（体系）・第9章（保険料）を軸に8頁で構成する案を当方で作れる（08シート 順位8）。第3回策定委員会でお示しする。</t>
        </is>
      </c>
      <c r="I9" s="9" t="inlineStr">
        <is>
          <t>18</t>
        </is>
      </c>
    </row>
    <row r="10" ht="84" customHeight="1">
      <c r="A10" s="9" t="n">
        <v>6</v>
      </c>
      <c r="B10" s="21" t="inlineStr">
        <is>
          <t>計画書概要及び計画書案等の電子データ</t>
        </is>
      </c>
      <c r="C10" s="7" t="inlineStr">
        <is>
          <t>川崎町_第2回策定委員会資料_R8.11_v6.docx／同_想定問答集_R8.11_v3.docx
川崎町_第10期_施策事業統合体系表_R8.9.25b.xlsx
川崎町_交付金_取りまとめ表_R8.9.29.xlsx
川崎町_計画書_別添整理表_R8.9.29.xlsx
川崎町_認知症_意見聴取記録様式_R8.9.30.xlsx
川崎町_認知症_計画記載事項_適合性確認表_R8.9.30.xlsx
川崎町_大雪広域_素案対比表_R8.9.30.xlsx
川崎町_図表データ管理台帳_R8.9.30.xlsx</t>
        </is>
      </c>
      <c r="D10" s="7" t="inlineStr">
        <is>
          <t>一式（Word・PDF）</t>
        </is>
      </c>
      <c r="E10" s="12" t="inlineStr">
        <is>
          <t>実施中</t>
        </is>
      </c>
      <c r="F10" s="20" t="n">
        <v>0.7</v>
      </c>
      <c r="G10" s="9" t="inlineStr">
        <is>
          <t>R9.3.15</t>
        </is>
      </c>
      <c r="H10" s="7" t="inlineStr">
        <is>
          <t>【令和8年10月1日 更新】第2回策定委員会資料 v6・想定問答集 v3（全39問）。自己点検27件はすべて適合。開催日の確定（確認事項No.85）を待って事前配布の日程を定める。</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0"/>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資料提供依頼一覧（36件）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2">
      <c r="A42" s="24" t="inlineStr">
        <is>
          <t>区分</t>
        </is>
      </c>
      <c r="B42" s="24" t="inlineStr">
        <is>
          <t>件数</t>
        </is>
      </c>
    </row>
    <row r="43">
      <c r="A43" s="10" t="inlineStr">
        <is>
          <t>完了</t>
        </is>
      </c>
      <c r="B43" s="9">
        <f>COUNTIF(I5:I40,"完了")</f>
        <v/>
      </c>
    </row>
    <row r="44">
      <c r="A44" s="12" t="inlineStr">
        <is>
          <t>実施中</t>
        </is>
      </c>
      <c r="B44" s="9">
        <f>COUNTIF(I5:I40,"実施中")</f>
        <v/>
      </c>
    </row>
    <row r="45">
      <c r="A45" s="14" t="inlineStr">
        <is>
          <t>確認待ち</t>
        </is>
      </c>
      <c r="B45" s="9">
        <f>COUNTIF(I5:I40,"確認待ち")</f>
        <v/>
      </c>
    </row>
    <row r="46">
      <c r="A46" s="16" t="inlineStr">
        <is>
          <t>未着手</t>
        </is>
      </c>
      <c r="B46" s="9">
        <f>COUNTIF(I5:I40,"未着手")</f>
        <v/>
      </c>
    </row>
    <row r="47">
      <c r="A47" s="18" t="inlineStr">
        <is>
          <t>対象外</t>
        </is>
      </c>
      <c r="B47" s="9">
        <f>COUNTIF(I5:I40,"対象外")</f>
        <v/>
      </c>
    </row>
    <row r="49">
      <c r="A49" s="23" t="inlineStr">
        <is>
          <t>注1）優先度は 最高／高／中／低 の別による。「最高」は、受領しない限り当該業務が完了しない資料を示す。</t>
        </is>
      </c>
    </row>
    <row r="50">
      <c r="A50" s="23" t="inlineStr">
        <is>
          <t>注2）「状態」が「完了」となった資料は、受領日を備考欄に記入する。</t>
        </is>
      </c>
    </row>
  </sheetData>
  <mergeCells count="4">
    <mergeCell ref="A1:J1"/>
    <mergeCell ref="A2:J2"/>
    <mergeCell ref="A50:J50"/>
    <mergeCell ref="A49:J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29" t="n">
        <v>1</v>
      </c>
      <c r="B5" s="29" t="inlineStr">
        <is>
          <t>1　見える化システムの第1回目提出</t>
        </is>
      </c>
      <c r="C5" s="29" t="inlineStr">
        <is>
          <t>S</t>
        </is>
      </c>
      <c r="D5" s="29" t="inlineStr">
        <is>
          <t>R8.10.5</t>
        </is>
      </c>
      <c r="E5" s="29" t="n">
        <v>9</v>
      </c>
      <c r="F5" s="29" t="n">
        <v>8</v>
      </c>
      <c r="G5" s="29" t="inlineStr">
        <is>
          <t>71、72、74、75、76、77、78、79、80</t>
        </is>
      </c>
      <c r="H5" s="29" t="inlineStr">
        <is>
          <t>国への第1回目の提出が令和8年10月5日であり、入力の役割分担・所得段階の段階数・令和8年度の給付費が0のサービス12件・調整交付金見込交付割合など、提出値そのものが決まらない。</t>
        </is>
      </c>
      <c r="I5" s="29"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30</v>
      </c>
      <c r="F16" s="32" t="n">
        <v>9</v>
      </c>
      <c r="G16" s="32" t="inlineStr">
        <is>
          <t>15、16、20、32、36、38、47、52、55、56、69、70、82、106、107、108、109、111、113、114、115、116、117、118、120、123、124、128、160、163</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29" t="n">
        <v>1</v>
      </c>
      <c r="B20" s="29" t="inlineStr">
        <is>
          <t>1　見える化システムの第1回目提出</t>
        </is>
      </c>
      <c r="C20" s="29" t="inlineStr">
        <is>
          <t>S</t>
        </is>
      </c>
      <c r="D20" s="29" t="n">
        <v>71</v>
      </c>
      <c r="E20" s="29" t="inlineStr">
        <is>
          <t>R8.9</t>
        </is>
      </c>
      <c r="F20" s="29" t="inlineStr">
        <is>
          <t>確認待ち</t>
        </is>
      </c>
      <c r="G20" s="29" t="inlineStr">
        <is>
          <t>見える化システムの代行入力の可否とアカウント運用</t>
        </is>
      </c>
      <c r="H20" s="29" t="inlineStr">
        <is>
          <t>見える化システムへの入力／第1回目提出（R8.10.5）</t>
        </is>
      </c>
    </row>
    <row r="21">
      <c r="A21" s="29" t="n">
        <v>1</v>
      </c>
      <c r="B21" s="29" t="inlineStr">
        <is>
          <t>1　見える化システムの第1回目提出</t>
        </is>
      </c>
      <c r="C21" s="29" t="inlineStr">
        <is>
          <t>S</t>
        </is>
      </c>
      <c r="D21" s="29" t="n">
        <v>72</v>
      </c>
      <c r="E21" s="29" t="inlineStr">
        <is>
          <t>R8.9</t>
        </is>
      </c>
      <c r="F21" s="29" t="inlineStr">
        <is>
          <t>確認待ち</t>
        </is>
      </c>
      <c r="G21" s="29" t="inlineStr">
        <is>
          <t>第2回目以降の入力の時期と入力範囲</t>
        </is>
      </c>
      <c r="H21" s="29" t="inlineStr">
        <is>
          <t>作業工程／第2回・第3回策定委員会の日程</t>
        </is>
      </c>
    </row>
    <row r="22">
      <c r="A22" s="29" t="n">
        <v>1</v>
      </c>
      <c r="B22" s="29" t="inlineStr">
        <is>
          <t>1　見える化システムの第1回目提出</t>
        </is>
      </c>
      <c r="C22" s="29" t="inlineStr">
        <is>
          <t>S</t>
        </is>
      </c>
      <c r="D22" s="29" t="n">
        <v>74</v>
      </c>
      <c r="E22" s="29" t="inlineStr">
        <is>
          <t>R8.9</t>
        </is>
      </c>
      <c r="F22" s="29" t="inlineStr">
        <is>
          <t>確認待ち</t>
        </is>
      </c>
      <c r="G22" s="29" t="inlineStr">
        <is>
          <t>見える化システムへの入力の役割分担</t>
        </is>
      </c>
      <c r="H22" s="29" t="inlineStr">
        <is>
          <t>見える化システムへの入力／素案 第9章</t>
        </is>
      </c>
    </row>
    <row r="23">
      <c r="A23" s="29" t="n">
        <v>1</v>
      </c>
      <c r="B23" s="29" t="inlineStr">
        <is>
          <t>1　見える化システムの第1回目提出</t>
        </is>
      </c>
      <c r="C23" s="29" t="inlineStr">
        <is>
          <t>S</t>
        </is>
      </c>
      <c r="D23" s="29" t="n">
        <v>75</v>
      </c>
      <c r="E23" s="29" t="inlineStr">
        <is>
          <t>R8.9</t>
        </is>
      </c>
      <c r="F23" s="29" t="inlineStr">
        <is>
          <t>確認待ち</t>
        </is>
      </c>
      <c r="G23" s="29" t="inlineStr">
        <is>
          <t>見える化システムの所得段階別被保険者数が9段階のまま</t>
        </is>
      </c>
      <c r="H23" s="29" t="inlineStr">
        <is>
          <t>見える化システム 第1回目提出（R8.10.5）／素案 第9章 保険料試算</t>
        </is>
      </c>
    </row>
    <row r="24">
      <c r="A24" s="29" t="n">
        <v>1</v>
      </c>
      <c r="B24" s="29" t="inlineStr">
        <is>
          <t>1　見える化システムの第1回目提出</t>
        </is>
      </c>
      <c r="C24" s="29" t="inlineStr">
        <is>
          <t>S</t>
        </is>
      </c>
      <c r="D24" s="29" t="n">
        <v>76</v>
      </c>
      <c r="E24" s="29" t="inlineStr">
        <is>
          <t>R8.9</t>
        </is>
      </c>
      <c r="F24" s="29" t="inlineStr">
        <is>
          <t>確認待ち</t>
        </is>
      </c>
      <c r="G24" s="29" t="inlineStr">
        <is>
          <t>令和8年度の給付費が0になっているサービスが12件ある</t>
        </is>
      </c>
      <c r="H24" s="29" t="inlineStr">
        <is>
          <t>見える化システム 第1回目提出（R8.10.5）／素案 第6章 サービス見込量</t>
        </is>
      </c>
    </row>
    <row r="25">
      <c r="A25" s="29" t="n">
        <v>1</v>
      </c>
      <c r="B25" s="29" t="inlineStr">
        <is>
          <t>1　見える化システムの第1回目提出</t>
        </is>
      </c>
      <c r="C25" s="29" t="inlineStr">
        <is>
          <t>S</t>
        </is>
      </c>
      <c r="D25" s="29" t="n">
        <v>77</v>
      </c>
      <c r="E25" s="29" t="inlineStr">
        <is>
          <t>R8.9</t>
        </is>
      </c>
      <c r="F25" s="29" t="inlineStr">
        <is>
          <t>確認待ち</t>
        </is>
      </c>
      <c r="G25" s="29" t="inlineStr">
        <is>
          <t>地域支援事業費の令和11年度の空欄と決算との不一致</t>
        </is>
      </c>
      <c r="H25" s="29" t="inlineStr">
        <is>
          <t>見える化システム 第1回目提出（R8.10.5）／素案 第7章 地域支援事業</t>
        </is>
      </c>
    </row>
    <row r="26">
      <c r="A26" s="29" t="n">
        <v>1</v>
      </c>
      <c r="B26" s="29" t="inlineStr">
        <is>
          <t>1　見える化システムの第1回目提出</t>
        </is>
      </c>
      <c r="C26" s="29" t="inlineStr">
        <is>
          <t>S</t>
        </is>
      </c>
      <c r="D26" s="29" t="n">
        <v>78</v>
      </c>
      <c r="E26" s="29" t="inlineStr">
        <is>
          <t>R8.9</t>
        </is>
      </c>
      <c r="F26" s="29" t="inlineStr">
        <is>
          <t>確認待ち</t>
        </is>
      </c>
      <c r="G26" s="29" t="inlineStr">
        <is>
          <t>調整交付金見込交付割合6.14％の妥当性</t>
        </is>
      </c>
      <c r="H26" s="29" t="inlineStr">
        <is>
          <t>見える化システム 第1回目提出（R8.10.5）／素案 第9章 保険料試算</t>
        </is>
      </c>
    </row>
    <row r="27">
      <c r="A27" s="29" t="n">
        <v>1</v>
      </c>
      <c r="B27" s="29" t="inlineStr">
        <is>
          <t>1　見える化システムの第1回目提出</t>
        </is>
      </c>
      <c r="C27" s="29" t="inlineStr">
        <is>
          <t>S</t>
        </is>
      </c>
      <c r="D27" s="29" t="n">
        <v>79</v>
      </c>
      <c r="E27" s="29" t="inlineStr">
        <is>
          <t>R8.9</t>
        </is>
      </c>
      <c r="F27" s="29" t="inlineStr">
        <is>
          <t>確認待ち</t>
        </is>
      </c>
      <c r="G27" s="29" t="inlineStr">
        <is>
          <t>自然体推計の伸び率の選択期間と令和8年度の実績見込みの扱い</t>
        </is>
      </c>
      <c r="H27" s="29" t="inlineStr">
        <is>
          <t>見える化システム 第1回目提出（R8.10.5）／素案 第6章・第9章</t>
        </is>
      </c>
    </row>
    <row r="28">
      <c r="A28" s="29" t="n">
        <v>1</v>
      </c>
      <c r="B28" s="29" t="inlineStr">
        <is>
          <t>1　見える化システムの第1回目提出</t>
        </is>
      </c>
      <c r="C28" s="29" t="inlineStr">
        <is>
          <t>S</t>
        </is>
      </c>
      <c r="D28" s="29" t="n">
        <v>80</v>
      </c>
      <c r="E28" s="29" t="inlineStr">
        <is>
          <t>R8.10</t>
        </is>
      </c>
      <c r="F28" s="29" t="inlineStr">
        <is>
          <t>確認待ち</t>
        </is>
      </c>
      <c r="G28" s="29" t="inlineStr">
        <is>
          <t>在宅サービスの利用回（日）数が令和8年5月ベースで固定されている</t>
        </is>
      </c>
      <c r="H28" s="29" t="inlineStr">
        <is>
          <t>見える化システム 第1回目提出／素案 第9章 サービス見込量</t>
        </is>
      </c>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4"/>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row>
    <row r="5">
      <c r="A5" s="35" t="n">
        <v>1</v>
      </c>
      <c r="B5" s="35" t="inlineStr">
        <is>
          <t>見える化システムの第1回目提出用データの確定と、相違点の一覧の作成</t>
        </is>
      </c>
      <c r="C5" s="35" t="inlineStr">
        <is>
          <t>R8.10.2〜10.3</t>
        </is>
      </c>
      <c r="D5" s="35" t="inlineStr">
        <is>
          <t>提出する数値そのものは、令和7年度の年報による当方の独立算定ですべて揃っている。入力の役割分担が未確定でも、提出用の値と見える化システムの既定値との相違点は当方だけで作れる。</t>
        </is>
      </c>
      <c r="E5" s="35" t="inlineStr">
        <is>
          <t>束1（9件）</t>
        </is>
      </c>
      <c r="F5" s="35" t="inlineStr">
        <is>
          <t>見える化システム提出用データ一覧（xlsx・1シート）</t>
        </is>
      </c>
      <c r="G5" s="35" t="inlineStr">
        <is>
          <t>半日</t>
        </is>
      </c>
    </row>
    <row r="6">
      <c r="A6" s="35" t="n">
        <v>2</v>
      </c>
      <c r="B6" s="35" t="inlineStr">
        <is>
          <t>第2回策定委員会の日程の仮置きによる逆算工程表の作成</t>
        </is>
      </c>
      <c r="C6" s="35" t="inlineStr">
        <is>
          <t>R8.10.2</t>
        </is>
      </c>
      <c r="D6" s="35" t="inlineStr">
        <is>
          <t>開催日が未確定でも、事前配布を2週間前とする逆算の形なら作れる。資料v6・想定問答集v3は作成済みで自己点検も通っている。</t>
        </is>
      </c>
      <c r="E6" s="35" t="inlineStr">
        <is>
          <t>束2（4件）</t>
        </is>
      </c>
      <c r="F6" s="35" t="inlineStr">
        <is>
          <t>第2回策定委員会 逆算工程表（1枚）</t>
        </is>
      </c>
      <c r="G6" s="35" t="inlineStr">
        <is>
          <t>2時間</t>
        </is>
      </c>
    </row>
    <row r="7">
      <c r="A7" s="35" t="n">
        <v>3</v>
      </c>
      <c r="B7" s="35" t="inlineStr">
        <is>
          <t>第9期実績一覧の記入用様式のご提供</t>
        </is>
      </c>
      <c r="C7" s="35" t="inlineStr">
        <is>
          <t>R8.10.2</t>
        </is>
      </c>
      <c r="D7" s="35" t="inlineStr">
        <is>
          <t>35事業の事業名・事業量の単位・第9期計画値は当方が持っている。町が記入する欄だけを空けた様式を当方で作れる。**束3の12件をまとめて解く鍵であり、交付金の失点28点に直結する。**</t>
        </is>
      </c>
      <c r="E7" s="35" t="inlineStr">
        <is>
          <t>束3（12件）・不足図No.3</t>
        </is>
      </c>
      <c r="F7" s="35" t="inlineStr">
        <is>
          <t>第9期実績 記入様式（xlsx・2シート）</t>
        </is>
      </c>
      <c r="G7" s="35" t="inlineStr">
        <is>
          <t>半日</t>
        </is>
      </c>
    </row>
    <row r="8">
      <c r="A8" s="35" t="n">
        <v>4</v>
      </c>
      <c r="B8" s="35" t="inlineStr">
        <is>
          <t>調査報告書3文書の納品前処理（4件）</t>
        </is>
      </c>
      <c r="C8" s="35" t="inlineStr">
        <is>
          <t>R8.10.2〜10.3</t>
        </is>
      </c>
      <c r="D8" s="35" t="inlineStr">
        <is>
          <t>目次の未更新1行・文書プロパティの最終更新者名・編集メモの残存・表73のキャプション位置は、いずれも当方の作業で直せる（確認事項No.101〜103は「対応中」であり、ペンディングではない）。</t>
        </is>
      </c>
      <c r="E8" s="35" t="inlineStr">
        <is>
          <t>束8のうち3件</t>
        </is>
      </c>
      <c r="F8" s="35" t="inlineStr">
        <is>
          <t>調査報告書3文書（修正版）</t>
        </is>
      </c>
      <c r="G8" s="35" t="inlineStr">
        <is>
          <t>半日</t>
        </is>
      </c>
    </row>
    <row r="9">
      <c r="A9" s="35" t="n">
        <v>5</v>
      </c>
      <c r="B9" s="35" t="inlineStr">
        <is>
          <t>本文の圧縮案の具体化（103頁→96頁前後）</t>
        </is>
      </c>
      <c r="C9" s="35" t="inlineStr">
        <is>
          <t>R8.10.3</t>
        </is>
      </c>
      <c r="D9" s="35" t="inlineStr">
        <is>
          <t>移す候補（3-3の交付金の枝番分析 約4頁・9-3の感度分析 約2頁・6-4の143事業の書き下ろし 約6頁）は特定済み。実際に移した版を作って頁数を数えれば、ご判断の材料になる。</t>
        </is>
      </c>
      <c r="E9" s="35" t="inlineStr">
        <is>
          <t>束11のうちNo.83</t>
        </is>
      </c>
      <c r="F9" s="35" t="inlineStr">
        <is>
          <t>計画素案 圧縮案（docx）と頁数の対比表</t>
        </is>
      </c>
      <c r="G9" s="35" t="inlineStr">
        <is>
          <t>1日</t>
        </is>
      </c>
    </row>
    <row r="10">
      <c r="A10" s="35" t="n">
        <v>6</v>
      </c>
      <c r="B10" s="35" t="inlineStr">
        <is>
          <t>継続101事業の本文記述（素案 第5章）</t>
        </is>
      </c>
      <c r="C10" s="35" t="inlineStr">
        <is>
          <t>R8.10.3〜10.7</t>
        </is>
      </c>
      <c r="D10" s="35" t="inlineStr">
        <is>
          <t>統合体系表の143事業のうち、第10期に内容が変わる42事業はVer.2.1で書き下ろし済み。残る101事業は継続であり、事業名・所管・内容が統合体系表にあるため当方で書ける。</t>
        </is>
      </c>
      <c r="E10" s="35" t="inlineStr">
        <is>
          <t>―（素案の完成度が上がる）</t>
        </is>
      </c>
      <c r="F10" s="35" t="inlineStr">
        <is>
          <t>計画素案 Ver.2.8</t>
        </is>
      </c>
      <c r="G10" s="35" t="inlineStr">
        <is>
          <t>3日</t>
        </is>
      </c>
    </row>
    <row r="11">
      <c r="A11" s="35" t="n">
        <v>7</v>
      </c>
      <c r="B11" s="35" t="inlineStr">
        <is>
          <t>公表版に向けた整理の下ごしらえ</t>
        </is>
      </c>
      <c r="C11" s="35" t="inlineStr">
        <is>
          <t>R8.10.6</t>
        </is>
      </c>
      <c r="D11" s="35" t="inlineStr">
        <is>
          <t>確認事項No.の参照66件・【町確認】【委員会協議】66件の所在は機械で拾えている。除去と置換のスクリプトは、ご判断（No.162）を待たずに用意できる。</t>
        </is>
      </c>
      <c r="E11" s="35" t="inlineStr">
        <is>
          <t>束11のうちNo.162</t>
        </is>
      </c>
      <c r="F11" s="35" t="inlineStr">
        <is>
          <t>公表版への整理スクリプト（実行は保留）</t>
        </is>
      </c>
      <c r="G11" s="35" t="inlineStr">
        <is>
          <t>半日</t>
        </is>
      </c>
    </row>
    <row r="12">
      <c r="A12" s="35" t="n">
        <v>8</v>
      </c>
      <c r="B12" s="35" t="inlineStr">
        <is>
          <t>概要版（8頁程度・3,500部）の構成案</t>
        </is>
      </c>
      <c r="C12" s="35" t="inlineStr">
        <is>
          <t>R8.10.7</t>
        </is>
      </c>
      <c r="D12" s="35" t="inlineStr">
        <is>
          <t>本文の第3章（課題）・第4章（体系）・第9章（保険料）を軸とする構成は固まっている。頁の割付けと図の選定は当方で作れる。</t>
        </is>
      </c>
      <c r="E12" s="35" t="inlineStr">
        <is>
          <t>―（成果品5・進捗0.25）</t>
        </is>
      </c>
      <c r="F12" s="35" t="inlineStr">
        <is>
          <t>概要版 構成案（1枚）＋割付け案</t>
        </is>
      </c>
      <c r="G12" s="35" t="inlineStr">
        <is>
          <t>1日</t>
        </is>
      </c>
    </row>
    <row r="13">
      <c r="A13" s="35" t="n">
        <v>9</v>
      </c>
      <c r="B13" s="35" t="inlineStr">
        <is>
          <t>残る不足図5件の作図の枠の用意</t>
        </is>
      </c>
      <c r="C13" s="35" t="inlineStr">
        <is>
          <t>R8.10.7</t>
        </is>
      </c>
      <c r="D13" s="35" t="inlineStr">
        <is>
          <t>数値が届けばすぐ作れるよう、data_zuhyo.py に定義の枠を置き、作図の関数だけ先に書いておく。</t>
        </is>
      </c>
      <c r="E13" s="35" t="inlineStr">
        <is>
          <t>束3・束10（データ到着後の手戻りを防ぐ）</t>
        </is>
      </c>
      <c r="F13" s="35" t="inlineStr">
        <is>
          <t>build_plan_figures.py（枠の追加）</t>
        </is>
      </c>
      <c r="G13" s="35" t="inlineStr">
        <is>
          <t>半日</t>
        </is>
      </c>
    </row>
    <row r="14">
      <c r="A14" s="35" t="n">
        <v>10</v>
      </c>
      <c r="B14" s="35" t="inlineStr">
        <is>
          <t>用語解説・第9期/第10期の施策読み替え表・3計画の調和の整理表</t>
        </is>
      </c>
      <c r="C14" s="35" t="inlineStr">
        <is>
          <t>R8.10.8〜10.10</t>
        </is>
      </c>
      <c r="D14" s="35" t="inlineStr">
        <is>
          <t>いずれも既にある成果品（統合体系表・素案）から作れる。資料編の候補として別添整理表に挙げてある。</t>
        </is>
      </c>
      <c r="E14" s="35" t="inlineStr">
        <is>
          <t>―（資料編の充実）</t>
        </is>
      </c>
      <c r="F14" s="35" t="inlineStr">
        <is>
          <t>資料編の3表（xlsx又はdocx）</t>
        </is>
      </c>
      <c r="G14" s="35" t="inlineStr">
        <is>
          <t>2日</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2026-10-01T06:32:06Z</dcterms:modified>
</cp:coreProperties>
</file>