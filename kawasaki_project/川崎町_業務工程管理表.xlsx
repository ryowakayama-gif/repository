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令和8年9月28日　本表の記載は同日時点のもの。計画素案 Ver.2.0、第2回策定委員会資料 v5、同 想定問答集 v2、確認事項 No.128 まで。</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v5（86段落33表）
第2回委員会_想定問答集 v2（35問8カテゴリ）
F6_策定委員会書類ひな形_改訂版</t>
        </is>
      </c>
      <c r="F7" s="12" t="inlineStr">
        <is>
          <t>実施中</t>
        </is>
      </c>
      <c r="G7" s="20" t="n">
        <v>0.75</v>
      </c>
      <c r="H7" s="9" t="inlineStr">
        <is>
          <t>R9.2</t>
        </is>
      </c>
      <c r="I7" s="7" t="inlineStr">
        <is>
          <t>第1回は令和8年9月2日に開催済み。議事録・想定問答集を提出済み。第2回（令和8年11月予定）の資料はv5まで作成済みで、「７．交付金の評価と取り戻せる27点」を新設した。想定問答集も全35問・8カテゴリに拡充し、表番号による参照を節による参照に改めた。資料・想定問答集とも自己点検（27件・機械判定）に適合している。残るのは開催日の確定（確認事項No.85）と、選択1〜5のご判断を受けた第3回資料の作成。</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0.9</v>
      </c>
      <c r="H8" s="9" t="inlineStr">
        <is>
          <t>R8.10</t>
        </is>
      </c>
      <c r="I8" s="7" t="inlineStr">
        <is>
          <t>①②は完了。令和8年9月11日受領の見える化システムの画面の写し及び総括表により、令和7年度の年報（要介護度別明細）まで取り込んだ。令和8年9月25日公表の交付金とりまとめ資料は、都道府県分・市町村分とも点検を完了し（9月2日受領分と完全一致）、評価指標（市町村分・全42頁）の本文を全国一覧表と枝番（ア・イ・ウ…）の単位まで突き合わせた。③現行施策（第9期35事業）の実績は【町確認】欄がご記入待ち。</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令和7年度の基準値は見える化システムの総括表と32サービスすべてで一致する。所得段階別第1号被保険者数（13段階）は年報の様式1により確定した。残るのは準備基金の令和8年度末残高・調整交付金見込交付割合・令和9年度の介護報酬改定の3件で、いずれも受託者の作業では確定できない。</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0.9</v>
      </c>
      <c r="H10" s="9" t="inlineStr">
        <is>
          <t>R8.10</t>
        </is>
      </c>
      <c r="I10" s="7" t="inlineStr">
        <is>
          <t>①②は完了し、川崎町固有の5重点課題を整理済み。第2章・第3章の現状分析を令和7年度実績（年報）に更新した。調査結果報告書3文書の再修正版について、調査票の個票から約6,400項目を全数検算し（レビューv8・令和8年9月25日）、数値の誤りは付表2の丸め37件のみであることを確認した。第9期35事業の実績一覧は【町確認】欄がご記入待ちであり、第3章3-2の各表がこれを待ってい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計画書素案_v2.0_施策体系書下ろし版（578段落104表・全84頁）
施策・事業の体系（Ｃ案）別冊（全12頁）
施策事業統合体系表（6シート・7章17節37項143事業）
資料編_構成案・素案
計画素案_概要版（12頁）</t>
        </is>
      </c>
      <c r="F11" s="12" t="inlineStr">
        <is>
          <t>実施中</t>
        </is>
      </c>
      <c r="G11" s="20" t="n">
        <v>0.95</v>
      </c>
      <c r="H11" s="9" t="inlineStr">
        <is>
          <t>R9.2</t>
        </is>
      </c>
      <c r="I11" s="7" t="inlineStr">
        <is>
          <t>素案はVer.2.0まで作成（全84頁・578段落・104表）。Ver.1.21以降「体系上の位置付けのみ」としていた第5章をＣ案の柱により組み替え、統合体系表の143事業を第5章（106事業）・第6章6-4（28事業）・第8章（柱7の9事業）にすべて書き下ろした。書き下ろした事業が統合体系表と1件のずれもなく一致することを自己点検（検査5）で機械的に確認している（31件すべて適合）。残るのは第3章の町確認欄、施策ごとの本文の記述、成果品の100頁程度への増補。</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0.3</v>
      </c>
      <c r="H12" s="9" t="inlineStr">
        <is>
          <t>R9.3</t>
        </is>
      </c>
      <c r="I12" s="7" t="inlineStr">
        <is>
          <t>中間報告の提出期日が指定されていない（確認事項No.17）。計画書（案）は素案Ver.2.0を母体とする。Ver.2.0で143事業の書き下ろしを終えたため、残るのは施策ごとの本文の記述と概要版（8頁程度・3,500部）の作成。現行84頁に対し成果品は100頁程度であり増補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次の値を確定済み（総給付費3か年3,048,796千円・保険料6,822円）。素案はVer.1.25（全80頁）。見える化システムへの入力は、在宅の利用回（日）数が令和8年5月ベースで固定されているため、新しい推計パターンの作成を提案し設定値一式（8シート）を提供済み。10月は、調査結果報告書の最終確定（体裁13件）と、確認事項No.127・128（交付金）のご回答を待って第3章3-3・第8章8-2を確定す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第2回策定委員会の資料をv5まで作成（ご選択いただきたい事項5件・保険料の確定値・計画骨子案に加え、「７．交付金の評価と取り戻せる27点」を新設）。想定問答集も v2（全35問・8カテゴリ）に拡充済み。諮る事項は施策体系（Ｃ案）・入所居住系の整備量・在宅供給・介護人材・保険料と基金の5件。本資料で交付金の評価結果を報告することが、交付金「評価結果の活用」の要件イを満たす。残るのは開催日の確定（確認事項No.85）。</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保険料算定表（記号A〜J・年度別）と感度分析は素案Ver.1.17に掲載済み。町確認データ（準備基金の令和8年度末残高）の受領により確定値へ置き換える。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2"/>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4">
      <c r="A134" s="24" t="inlineStr">
        <is>
          <t>区分</t>
        </is>
      </c>
      <c r="B134" s="24" t="inlineStr">
        <is>
          <t>件数</t>
        </is>
      </c>
    </row>
    <row r="135">
      <c r="A135" s="10" t="inlineStr">
        <is>
          <t>完了</t>
        </is>
      </c>
      <c r="B135" s="9">
        <f>COUNTIF(H5:H132,"完了")</f>
        <v/>
      </c>
    </row>
    <row r="136">
      <c r="A136" s="12" t="inlineStr">
        <is>
          <t>実施中</t>
        </is>
      </c>
      <c r="B136" s="9">
        <f>COUNTIF(H5:H132,"実施中")</f>
        <v/>
      </c>
    </row>
    <row r="137">
      <c r="A137" s="14" t="inlineStr">
        <is>
          <t>確認待ち</t>
        </is>
      </c>
      <c r="B137" s="9">
        <f>COUNTIF(H5:H132,"確認待ち")</f>
        <v/>
      </c>
    </row>
    <row r="138">
      <c r="A138" s="16" t="inlineStr">
        <is>
          <t>未着手</t>
        </is>
      </c>
      <c r="B138" s="9">
        <f>COUNTIF(H5:H132,"未着手")</f>
        <v/>
      </c>
    </row>
    <row r="139">
      <c r="A139" s="18" t="inlineStr">
        <is>
          <t>対象外</t>
        </is>
      </c>
      <c r="B139" s="9">
        <f>COUNTIF(H5:H132,"対象外")</f>
        <v/>
      </c>
    </row>
    <row r="141">
      <c r="A141" s="23" t="inlineStr">
        <is>
          <t>注1）「回答・対応」欄は、発注者からの回答又は受託者による対応の結果を記入し、状態を「完了」に更新する。</t>
        </is>
      </c>
    </row>
    <row r="142">
      <c r="A142" s="23" t="inlineStr">
        <is>
          <t>注2）No.9〜11は保険料試算ワークブックの黄色セル（01!B15、06!B17、06!B16、04!B8、06!B10）と対応し、値を入力すると保険料基準額が自動で再計算される。</t>
        </is>
      </c>
    </row>
  </sheetData>
  <mergeCells count="4">
    <mergeCell ref="A1:J1"/>
    <mergeCell ref="A142:J142"/>
    <mergeCell ref="A141:J14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
川崎町_介護実態調査結果報告書_R8.9.2版</t>
        </is>
      </c>
      <c r="D5" s="7" t="inlineStr">
        <is>
          <t>A4版　簡易コピー紙印刷製本
1色刷り　80頁程度　5部</t>
        </is>
      </c>
      <c r="E5" s="16" t="inlineStr">
        <is>
          <t>実施中</t>
        </is>
      </c>
      <c r="F5" s="20" t="n">
        <v>0.7</v>
      </c>
      <c r="G5" s="9" t="inlineStr">
        <is>
          <t>R9.3.15</t>
        </is>
      </c>
      <c r="H5" s="7" t="inlineStr">
        <is>
          <t>【R8.9.25 更新】再修正版3文書をレビュー（v8）。約6,400項目を個票から再検算し、数値の誤りは37件（資料編 付表2のn=16の層で割合が偶数丸めとなっているもの。凡例は「小数第2位を四捨五入」）。これ以外の数値の不一致は0件。納品前に必ず処理するもの4件：①本編・ニーズ調査の目次が未更新（1行のみ）、②3文書とも文書プロパティの最終更新者名が残存、③ニーズ調査[P629]に編集メモが残存、④ニーズ調査 表73のキャプションが表の下にある。ほか数値・説明の修正4件、注記の追加5件。詳細は「川崎町_RedTeamレビューv8_再修正版_R8.9.25.md」。</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川崎町_計画書素案_v2.0_施策体系書下ろし版.docx</t>
        </is>
      </c>
      <c r="D8" s="7" t="inlineStr">
        <is>
          <t>A4版　表紙レザック　本文上質紙
1色刷り　100頁程度　100部</t>
        </is>
      </c>
      <c r="E8" s="12" t="inlineStr">
        <is>
          <t>実施中</t>
        </is>
      </c>
      <c r="F8" s="20" t="n">
        <v>0.7</v>
      </c>
      <c r="G8" s="9" t="inlineStr">
        <is>
          <t>R9.3.15</t>
        </is>
      </c>
      <c r="H8" s="7" t="inlineStr">
        <is>
          <t>【R8.9.28c 更新】Ver.2.0として、統合体系表の143事業を第5章・第6章6-4・第8章にすべて書き下ろした。第5章はＣ案の柱（柱1〜柱4・柱6）による5節に組み替え、統合体系表の節・項の単位で106事業を掲げた。第6章に6-4（6節8項28事業）を新設、第8章に柱7の9事業の対応表を置いた。6-1にあったKPIの3層構造の説明（6-3と同一文）の重複を削除した。自己点検に検査5（書き下ろした事業と統合体系表の突合）を追加し、全31件が適合。全578段落・104表・84頁。施策体系は第2回策定委員会の選択1で確定し、計画書（案）は第3回策定委員会（令和9年1月）で確定する。</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現行の概要版は委員事前配布用の12頁であり、住民配布用の8頁程度（3,500部）への再構成が必要。計画書の確定後に着手する。</t>
        </is>
      </c>
      <c r="I9" s="9" t="inlineStr">
        <is>
          <t>18</t>
        </is>
      </c>
    </row>
    <row r="10" ht="84" customHeight="1">
      <c r="A10" s="9" t="n">
        <v>6</v>
      </c>
      <c r="B10" s="21" t="inlineStr">
        <is>
          <t>計画書概要及び計画書案等の電子データ</t>
        </is>
      </c>
      <c r="C10" s="7" t="inlineStr">
        <is>
          <t>川崎町_第2回策定委員会資料_R8.11_v5.docx／同_想定問答集_R8.11_v2.docx ほか</t>
        </is>
      </c>
      <c r="D10" s="7" t="inlineStr">
        <is>
          <t>一式（Word・PDF）</t>
        </is>
      </c>
      <c r="E10" s="12" t="inlineStr">
        <is>
          <t>実施中</t>
        </is>
      </c>
      <c r="F10" s="20" t="n">
        <v>0.7</v>
      </c>
      <c r="G10" s="9" t="inlineStr">
        <is>
          <t>R9.3.15</t>
        </is>
      </c>
      <c r="H10" s="7" t="inlineStr">
        <is>
          <t>【R8.9.28b 更新】第2回策定委員会資料をv5、想定問答集をv2に更新。資料には「７．交付金の評価と取り戻せる27点」を新設し、章番号を1つ繰り下げた。本資料で交付金の評価結果を報告すること自体が「評価結果の活用」の要件イを満たす旨を明記。選択1は、Ｃ案により統合体系表を作成済みであることを踏まえ、作成済みのＣ案をご確認いただく形に改めた。同じ事項に2つの値が置かれていた5か所と、町案から取り込む事業の件数（8件→10件）を是正した。想定問答集はカテゴリH（交付金の評価・5問）を加えて全35問・8カテゴリとし、表番号による参照を節による参照に改めた（資料に表番号が印字されておらず当日たどれないため）。自己点検（check_2kai_selfcheck_R8.9.28.py）は27件すべて適合。</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2026-09-28T14:07:35Z</dcterms:modified>
</cp:coreProperties>
</file>