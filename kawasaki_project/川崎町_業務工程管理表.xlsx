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s>
  <fills count="10">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4"/>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大雪広域連合 第10期介護保険事業計画策定業務の業務工程管理表による。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5" ht="24" customHeight="1">
      <c r="A15" s="8" t="inlineStr">
        <is>
          <t>No.</t>
        </is>
      </c>
      <c r="B15" s="8" t="inlineStr">
        <is>
          <t>シート</t>
        </is>
      </c>
      <c r="C15" s="8" t="inlineStr">
        <is>
          <t>内容</t>
        </is>
      </c>
      <c r="D15" s="8" t="inlineStr">
        <is>
          <t>更新の頻度と担当</t>
        </is>
      </c>
    </row>
    <row r="16" ht="32" customHeight="1">
      <c r="A16" s="9" t="n">
        <v>1</v>
      </c>
      <c r="B16" s="7" t="inlineStr">
        <is>
          <t>01_業務内容別の進捗</t>
        </is>
      </c>
      <c r="C16" s="7" t="inlineStr">
        <is>
          <t>仕様書6（1）〜（8）の8業務について、仕様書の要求・作業項目・成果物・進捗・未了の理由を管理する。末尾に全体進捗（単純平均）を算出する。</t>
        </is>
      </c>
      <c r="D16" s="7" t="inlineStr">
        <is>
          <t>受託者が随時更新。工程末に発注者が確認</t>
        </is>
      </c>
      <c r="E16" s="4" t="n"/>
      <c r="F16" s="5" t="n"/>
    </row>
    <row r="17" ht="32" customHeight="1">
      <c r="A17" s="9" t="n">
        <v>2</v>
      </c>
      <c r="B17" s="7" t="inlineStr">
        <is>
          <t>02_月別工程管理</t>
        </is>
      </c>
      <c r="C17" s="7" t="inlineStr">
        <is>
          <t>令和8年6月から令和9年3月までの月別工程について、各月末に提出する成果物と発注者の確認欄を設ける。</t>
        </is>
      </c>
      <c r="D17" s="7" t="inlineStr">
        <is>
          <t>受託者が月次更新。確認欄は発注者が記入</t>
        </is>
      </c>
      <c r="E17" s="4" t="n"/>
      <c r="F17" s="5" t="n"/>
    </row>
    <row r="18" ht="32" customHeight="1">
      <c r="A18" s="9" t="n">
        <v>3</v>
      </c>
      <c r="B18" s="7" t="inlineStr">
        <is>
          <t>03_確認事項一覧</t>
        </is>
      </c>
      <c r="C18" s="7" t="inlineStr">
        <is>
          <t>発注者・国への確認事項を、業務工程及び止めている成果物に紐づけて一覧化する。</t>
        </is>
      </c>
      <c r="D18" s="7" t="inlineStr">
        <is>
          <t>受託者が随時追加。回答欄は発注者が記入</t>
        </is>
      </c>
      <c r="E18" s="4" t="n"/>
      <c r="F18" s="5" t="n"/>
    </row>
    <row r="19" ht="32" customHeight="1">
      <c r="A19" s="9" t="n">
        <v>4</v>
      </c>
      <c r="B19" s="7" t="inlineStr">
        <is>
          <t>04_成果品管理</t>
        </is>
      </c>
      <c r="C19" s="7" t="inlineStr">
        <is>
          <t>仕様書8が定める6種の成果品について、現在のファイル・稿、仕様、状態、進捗を管理する。</t>
        </is>
      </c>
      <c r="D19" s="7" t="inlineStr">
        <is>
          <t>受託者が随時更新</t>
        </is>
      </c>
      <c r="E19" s="4" t="n"/>
      <c r="F19" s="5" t="n"/>
    </row>
    <row r="20" ht="32" customHeight="1">
      <c r="A20" s="9" t="n">
        <v>5</v>
      </c>
      <c r="B20" s="7" t="inlineStr">
        <is>
          <t>05_調査別の状況</t>
        </is>
      </c>
      <c r="C20" s="7" t="inlineStr">
        <is>
          <t>仕様書6（1）の調査（一般高齢者1,000人・認定者300人）について、設問設計から計画への反映までの7段階の到達状況を管理する。</t>
        </is>
      </c>
      <c r="D20" s="7" t="inlineStr">
        <is>
          <t>受託者が随時更新</t>
        </is>
      </c>
      <c r="E20" s="4" t="n"/>
      <c r="F20" s="5" t="n"/>
    </row>
    <row r="21" ht="32" customHeight="1">
      <c r="A21" s="9" t="n">
        <v>6</v>
      </c>
      <c r="B21" s="7" t="inlineStr">
        <is>
          <t>06_資料提供依頼一覧</t>
        </is>
      </c>
      <c r="C21" s="7" t="inlineStr">
        <is>
          <t>業務の遂行に必要な資料を、領域別・優先度別に一覧化する。</t>
        </is>
      </c>
      <c r="D21" s="7" t="inlineStr">
        <is>
          <t>受託者が随時追加。状態欄は受領時に更新</t>
        </is>
      </c>
      <c r="E21" s="4" t="n"/>
      <c r="F21" s="5" t="n"/>
    </row>
    <row r="23" ht="22" customHeight="1">
      <c r="A23" s="3" t="inlineStr">
        <is>
          <t>区分</t>
        </is>
      </c>
      <c r="B23" s="3" t="inlineStr">
        <is>
          <t>意味</t>
        </is>
      </c>
      <c r="C23" s="3" t="inlineStr">
        <is>
          <t>色</t>
        </is>
      </c>
    </row>
    <row r="24" ht="20" customHeight="1">
      <c r="A24" s="10" t="inlineStr">
        <is>
          <t>完了</t>
        </is>
      </c>
      <c r="B24" s="7" t="inlineStr">
        <is>
          <t>当該項目の作業が終わり、成果物を提出済み又は提出可能な状態にある</t>
        </is>
      </c>
      <c r="C24" s="11" t="inlineStr"/>
    </row>
    <row r="25" ht="20" customHeight="1">
      <c r="A25" s="12" t="inlineStr">
        <is>
          <t>実施中</t>
        </is>
      </c>
      <c r="B25" s="7" t="inlineStr">
        <is>
          <t>着手しているが完了していない</t>
        </is>
      </c>
      <c r="C25" s="13" t="inlineStr"/>
    </row>
    <row r="26" ht="20" customHeight="1">
      <c r="A26" s="14" t="inlineStr">
        <is>
          <t>確認待ち</t>
        </is>
      </c>
      <c r="B26" s="7" t="inlineStr">
        <is>
          <t>受託者の作業は終わっており、発注者・国からの回答又は資料の提供を待っている</t>
        </is>
      </c>
      <c r="C26" s="15" t="inlineStr"/>
    </row>
    <row r="27" ht="20" customHeight="1">
      <c r="A27" s="16" t="inlineStr">
        <is>
          <t>未着手</t>
        </is>
      </c>
      <c r="B27" s="7" t="inlineStr">
        <is>
          <t>工程上まだ着手していない、又は前提条件が整っていない</t>
        </is>
      </c>
      <c r="C27" s="17" t="inlineStr"/>
    </row>
    <row r="28" ht="20" customHeight="1">
      <c r="A28" s="18" t="inlineStr">
        <is>
          <t>対象外</t>
        </is>
      </c>
      <c r="B28" s="7" t="inlineStr">
        <is>
          <t>本業務の範囲外、又は該当がない</t>
        </is>
      </c>
      <c r="C28" s="19" t="inlineStr"/>
    </row>
    <row r="30" ht="62" customHeight="1">
      <c r="A30"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0" s="4" t="n"/>
      <c r="C30" s="4" t="n"/>
      <c r="D30" s="4" t="n"/>
      <c r="E30" s="4" t="n"/>
      <c r="F30" s="5" t="n"/>
    </row>
    <row r="31" ht="62" customHeight="1">
      <c r="A31"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1" s="4" t="n"/>
      <c r="C31" s="4" t="n"/>
      <c r="D31" s="4" t="n"/>
      <c r="E31" s="4" t="n"/>
      <c r="F31" s="5" t="n"/>
    </row>
    <row r="32" ht="62" customHeight="1">
      <c r="A32"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2" s="4" t="n"/>
      <c r="C32" s="4" t="n"/>
      <c r="D32" s="4" t="n"/>
      <c r="E32" s="4" t="n"/>
      <c r="F32" s="5" t="n"/>
    </row>
    <row r="33" ht="62" customHeight="1">
      <c r="A33"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3" s="4" t="n"/>
      <c r="C33" s="4" t="n"/>
      <c r="D33" s="4" t="n"/>
      <c r="E33" s="4" t="n"/>
      <c r="F33" s="5" t="n"/>
    </row>
    <row r="34" ht="62" customHeight="1">
      <c r="A34"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4" s="4" t="n"/>
      <c r="C34" s="4" t="n"/>
      <c r="D34" s="4" t="n"/>
      <c r="E34" s="4" t="n"/>
      <c r="F34"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2件（R8.9.2版）の作成、計画素案への反映（v1.8）まで完了。集計ブック（20260807版）との全件突合で不一致0件。成果品としての調査報告書（80頁程度5部）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第2回委員会_説明資料（4頁）
F6_策定委員会書類ひな形_改訂版</t>
        </is>
      </c>
      <c r="F7" s="12" t="inlineStr">
        <is>
          <t>実施中</t>
        </is>
      </c>
      <c r="G7" s="20" t="n">
        <v>0.5</v>
      </c>
      <c r="H7" s="9" t="inlineStr">
        <is>
          <t>R9.2</t>
        </is>
      </c>
      <c r="I7" s="7" t="inlineStr">
        <is>
          <t>第1回は令和8年9月2日（水）開催で資料が確定（R8.9.2 v8統合版・11項目／表31／図1）。保険者機能強化推進交付金等の評価結果（令和6〜8年度）まで反映済み。第2回の説明資料も作成済み。第2回の想定問答集及び第3回・第4回の資料は未着手。委員名簿が未確定（確認事項No.5）。委員会の名称は仕様書及び第1回資料により「策定委員会」で確定（同No.6）。</t>
        </is>
      </c>
      <c r="J7" s="9" t="inlineStr">
        <is>
          <t>5, 6</t>
        </is>
      </c>
    </row>
    <row r="8" ht="132" customHeight="1">
      <c r="A8" s="9" t="inlineStr">
        <is>
          <t>(4)</t>
        </is>
      </c>
      <c r="B8" s="7" t="inlineStr">
        <is>
          <t>各種データ収集・作成及び資料整理</t>
        </is>
      </c>
      <c r="C8" s="7"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7"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7" t="inlineStr">
        <is>
          <t>実績データ確認サマリー（6シート）
必要資料_入力フォーマット（13シート）
第9期実績一覧_町記入用（7シート35事業）
関連施策評価調査シート_案（8シート）</t>
        </is>
      </c>
      <c r="F8" s="12" t="inlineStr">
        <is>
          <t>実施中</t>
        </is>
      </c>
      <c r="G8" s="20" t="n">
        <v>0.65</v>
      </c>
      <c r="H8" s="9" t="inlineStr">
        <is>
          <t>R8.10</t>
        </is>
      </c>
      <c r="I8" s="7" t="inlineStr">
        <is>
          <t>①②は概ね完了。保険者機能強化推進交付金等の全国集計結果（令和6〜8年度）を受領・分析し、③現行施策の検証のうち交付金評価の部分は確定（令和6年度454点696位／令和7年度565点114位／令和8年度528点366位）。④関連施策評価調査シート案（8シート）を令和8年8月28日に作成し、町との協議待ち（確認事項No.7）。⑤各課・関係機関への配付と聞き取りは、シート案の決定後に実施する。第9期KPIのアウトプット指標（地域ケア会議等の開催実績）は町記入待ち（同No.34）。</t>
        </is>
      </c>
      <c r="J8" s="9" t="inlineStr">
        <is>
          <t>7, 8</t>
        </is>
      </c>
    </row>
    <row r="9" ht="132" customHeight="1">
      <c r="A9" s="9" t="inlineStr">
        <is>
          <t>(5)</t>
        </is>
      </c>
      <c r="B9" s="7" t="inlineStr">
        <is>
          <t>人口推計、事業量・費用推計・分析</t>
        </is>
      </c>
      <c r="C9" s="7"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7"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7" t="inlineStr">
        <is>
          <t>保険料試算ワークブック（11シート・129数式）
長期推計・給付費・保険料試算レポート
保険料_県内比較分析・要因分析
給付費・保険料算定の精査レポート</t>
        </is>
      </c>
      <c r="F9" s="12" t="inlineStr">
        <is>
          <t>実施中</t>
        </is>
      </c>
      <c r="G9" s="20" t="n">
        <v>0.5</v>
      </c>
      <c r="H9" s="9" t="inlineStr">
        <is>
          <t>R9.1</t>
        </is>
      </c>
      <c r="I9" s="7" t="inlineStr">
        <is>
          <t>⑥保険料推計は8ステップの枠組みを構築し暫定値を算出（A=7,632／B=7,384／C=7,137円）。①は年齢区分別まで作成済みだが男女別が未作成。②③④⑤⑦は未着手で、特に地域支援事業①〜⑤の個別見込みとサービス種類別事業量は国保連データの受領が前提。保険料の確定には町確認データ4項目を要する。</t>
        </is>
      </c>
      <c r="J9" s="9" t="inlineStr">
        <is>
          <t>9, 10, 11, 12, 13, 14</t>
        </is>
      </c>
    </row>
    <row r="10" ht="132" customHeight="1">
      <c r="A10" s="9" t="inlineStr">
        <is>
          <t>(6)</t>
        </is>
      </c>
      <c r="B10" s="7" t="inlineStr">
        <is>
          <t>給付実績分析等及び現状分析業務</t>
        </is>
      </c>
      <c r="C10" s="7" t="inlineStr">
        <is>
          <t>○基礎データ収集・整理
○国・県の施策動向の把握
○関係各課、関係機関等の状況把握
○国保連データからの給付実績や各種課題等をとりまとめ、分析</t>
        </is>
      </c>
      <c r="D10" s="7" t="inlineStr">
        <is>
          <t>①基礎データの収集・整理
②国・宮城県の施策動向の把握
③関係各課・関係機関等の状況把握
④国保連データからの給付実績の分析
⑤各種課題のとりまとめ</t>
        </is>
      </c>
      <c r="E10" s="7" t="inlineStr">
        <is>
          <t>素案 第2章（現状分析）
実績データ確認サマリー（6シート）
図表6点
3層整合表（7シート）</t>
        </is>
      </c>
      <c r="F10" s="12" t="inlineStr">
        <is>
          <t>実施中</t>
        </is>
      </c>
      <c r="G10" s="20" t="n">
        <v>0.6</v>
      </c>
      <c r="H10" s="9" t="inlineStr">
        <is>
          <t>R8.10</t>
        </is>
      </c>
      <c r="I10" s="7" t="inlineStr">
        <is>
          <t>①②は完了し、川崎町固有の5重点課題を整理済み。交付金評価のアウトカム指標により、取組（プロセス）は全国上位である一方、要介護1・2の平均要介護度の伸び（全国1,580位）等のアウトカムが全国下位である構造を確認した。③は（4）の評価シートと連動しており未実施。④国保連データが未受領のため、給付実績の分析は第9期計画の公表値に依拠した概算にとどまる（確認事項No.12）。</t>
        </is>
      </c>
      <c r="J10" s="9" t="inlineStr">
        <is>
          <t>8, 12</t>
        </is>
      </c>
    </row>
    <row r="11" ht="132" customHeight="1">
      <c r="A11" s="9" t="inlineStr">
        <is>
          <t>(7)</t>
        </is>
      </c>
      <c r="B11" s="7" t="inlineStr">
        <is>
          <t>高齢者保健福祉計画及び介護保険事業計画の素案</t>
        </is>
      </c>
      <c r="C11" s="7"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7" t="inlineStr">
        <is>
          <t>①素案v1.0〜v1.6の段階的作成
②資料編の構成案・素案の作成
③仕様書①〜⑨の構成との対応確認・章立ての調整
④素案Ver.2.0の更新（アンケート結果・委員意見の反映）
⑤素案の確定</t>
        </is>
      </c>
      <c r="E11" s="7" t="inlineStr">
        <is>
          <t>計画書素案_v1.8_調査結果反映版（55表・6図）
資料編_構成案・素案
計画素案_概要版（12頁）</t>
        </is>
      </c>
      <c r="F11" s="12" t="inlineStr">
        <is>
          <t>実施中</t>
        </is>
      </c>
      <c r="G11" s="20" t="n">
        <v>0.6</v>
      </c>
      <c r="H11" s="9" t="inlineStr">
        <is>
          <t>R9.2</t>
        </is>
      </c>
      <c r="I11" s="7" t="inlineStr">
        <is>
          <t>素案はv1.8まで作成。v1.7で第9期計画の記載を是正（確認事項No.22・23・24・6）、v1.8で2調査の結果を反映（第2章に2-6「調査結果からみた高齢者の状況」を新設・7分野7表、第3章3-4に課題3件を追加、第5章5-1〜5-5の施策の方向性に根拠を追記、KPI現状値5項目を確定）。残るのは①第9期35事業の実績値の反映（同No.8・34）②関連施策評価調査結果の反映（同No.7）③100頁程度への増補④計画書の構成と仕様書6（7）の対応（同No.15）⑤町長挨拶文・氏名（同No.16）。</t>
        </is>
      </c>
      <c r="J11" s="9" t="inlineStr">
        <is>
          <t>15, 16, 22, 23</t>
        </is>
      </c>
    </row>
    <row r="12" ht="132" customHeight="1">
      <c r="A12" s="9" t="inlineStr">
        <is>
          <t>(8)</t>
        </is>
      </c>
      <c r="B12" s="7" t="inlineStr">
        <is>
          <t>高齢者保健福祉計画及び第10期介護保険事業計画書の作成</t>
        </is>
      </c>
      <c r="C12" s="7" t="inlineStr">
        <is>
          <t>・中間報告は、その都度指定された期日まで提出すること
・高齢者保健福祉計画及び介護保険事業計画書（案）を作成すること</t>
        </is>
      </c>
      <c r="D12" s="7" t="inlineStr">
        <is>
          <t>①中間報告の提出（指定期日ごと）
②計画書（案）の作成
③概要版の作成
④成果品の印刷・製本・納品</t>
        </is>
      </c>
      <c r="E12" s="7" t="inlineStr">
        <is>
          <t>04シートを参照</t>
        </is>
      </c>
      <c r="F12" s="16" t="inlineStr">
        <is>
          <t>未着手</t>
        </is>
      </c>
      <c r="G12" s="20" t="n">
        <v>0.15</v>
      </c>
      <c r="H12" s="9" t="inlineStr">
        <is>
          <t>R9.3</t>
        </is>
      </c>
      <c r="I12" s="7" t="inlineStr">
        <is>
          <t>中間報告の提出期日が指定されていない（確認事項No.17）。計画書（案）は素案の確定後に作成する。成果品の仕様は仕様書8に明記されており、計画書100頁程度100部、概要版8頁程度3,500部、調査報告書80頁程度5部。委託期間は令和9年3月15日までであり、印刷・製本の所要日数を逆算した入稿期日の設定を要する。</t>
        </is>
      </c>
      <c r="J12" s="9"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は令和8年9月2日（水）開催。委員会資料はv8統合版で確定。調査報告書は、ニーズ調査結果報告書（R8.9.2版）と介護実態調査結果報告書（R8.9.2版）を作成し、いずれもredteamレビューを反映済み。成果品（80頁程度・5部）としての統合・体裁は未確定。各課・関係機関への聞き取りは未実施。関連施策評価調査シート案（8シート）を作成し、町との協議を待っている。</t>
        </is>
      </c>
      <c r="F8" s="16" t="inlineStr">
        <is>
          <t>実施中</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保険料推計の枠組みは構築済み。素案はv1.8（調査結果反映版）まで作成し、第2章2-6の新設・第3章の課題追加・第5章の根拠追記・KPI現状値の確定を実施。男女別人口推計・事業量推計・地域支援事業の見込みは、国保連データ及び町確認データの受領後に着手する。</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第2回の説明資料（4頁）は作成済み。想定問答集は未作成。</t>
        </is>
      </c>
      <c r="F10" s="16" t="inlineStr">
        <is>
          <t>未着手</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町確認データの受領により暫定値を確定値へ置き換える。</t>
        </is>
      </c>
      <c r="F11" s="16" t="inlineStr">
        <is>
          <t>未着手</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3パターンの暫定試算は完了。町確認データにより確定する。</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未着手。</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76"/>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完了</t>
        </is>
      </c>
      <c r="I13" s="9" t="inlineStr">
        <is>
          <t>R8.6</t>
        </is>
      </c>
      <c r="J13" s="7" t="inlineStr">
        <is>
          <t>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確認待ち</t>
        </is>
      </c>
      <c r="I14" s="9" t="inlineStr">
        <is>
          <t>R8.7</t>
        </is>
      </c>
      <c r="J14" s="7" t="inlineStr">
        <is>
          <t>素案Ver.1.10では、第9期の補正比1.0149を適用した補正後被保険者数9,740人を用いて仮試算した（表52に第9期の乗率による所得段階別保険料を掲載）。補正後被保険者数が3％少ない場合、基準額は月額+217円となる。</t>
        </is>
      </c>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確認待ち</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9" t="n">
        <v>29</v>
      </c>
      <c r="B33" s="9" t="inlineStr">
        <is>
          <t>(5)(6)</t>
        </is>
      </c>
      <c r="C33" s="9" t="inlineStr">
        <is>
          <t>R8.9</t>
        </is>
      </c>
      <c r="D33" s="7" t="inlineStr">
        <is>
          <t>町内の介護保険事業所一覧</t>
        </is>
      </c>
      <c r="E33" s="7" t="inlineStr">
        <is>
          <t>名称・種別・定員・所在。サービス見込量及び見込量確保のための方策の検討の前提となる。</t>
        </is>
      </c>
      <c r="F33" s="7" t="inlineStr">
        <is>
          <t>サービス見込量の推計
第1回策定委員会資料（供給の議論）</t>
        </is>
      </c>
      <c r="G33" s="9" t="inlineStr">
        <is>
          <t>発注者</t>
        </is>
      </c>
      <c r="H33" s="12" t="inlineStr">
        <is>
          <t>確認待ち</t>
        </is>
      </c>
      <c r="I33" s="9" t="inlineStr">
        <is>
          <t>R8.9</t>
        </is>
      </c>
      <c r="J33" s="7" t="inlineStr"/>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9" t="inlineStr">
        <is>
          <t>49</t>
        </is>
      </c>
      <c r="B53" s="9" t="inlineStr">
        <is>
          <t>(3)(8)</t>
        </is>
      </c>
      <c r="C53" s="9" t="inlineStr">
        <is>
          <t>R8.9</t>
        </is>
      </c>
      <c r="D53" s="7" t="inlineStr">
        <is>
          <t>策定委員会の回数と答申の確定時期</t>
        </is>
      </c>
      <c r="E53" s="7"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7" t="inlineStr">
        <is>
          <t>策定スケジュール
保険料試算の提示時期
サービス見込量の確定時期
第2回・第3回委員会資料</t>
        </is>
      </c>
      <c r="G53" s="9" t="inlineStr">
        <is>
          <t>発注者</t>
        </is>
      </c>
      <c r="H53" s="12" t="inlineStr">
        <is>
          <t>確認待ち</t>
        </is>
      </c>
      <c r="I53" s="9" t="inlineStr">
        <is>
          <t>R8.9</t>
        </is>
      </c>
      <c r="J53" s="7" t="inlineStr">
        <is>
          <t>確認事項No.4を更新。3回構成なら国保連データの入手は11月中が必要。</t>
        </is>
      </c>
    </row>
    <row r="54" ht="80" customHeight="1">
      <c r="A54" s="9" t="inlineStr">
        <is>
          <t>50</t>
        </is>
      </c>
      <c r="B54" s="9" t="inlineStr">
        <is>
          <t>(5)(6)</t>
        </is>
      </c>
      <c r="C54" s="9" t="inlineStr">
        <is>
          <t>R8.9</t>
        </is>
      </c>
      <c r="D54" s="7" t="inlineStr">
        <is>
          <t>介護人材の不足と事業所の運営状況</t>
        </is>
      </c>
      <c r="E54" s="7"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7" t="inlineStr">
        <is>
          <t>サービス見込量の推計（仕様書6（5））
見込量確保のための方策
素案 第5章・第6章</t>
        </is>
      </c>
      <c r="G54" s="9" t="inlineStr">
        <is>
          <t>発注者</t>
        </is>
      </c>
      <c r="H54" s="12" t="inlineStr">
        <is>
          <t>確認待ち</t>
        </is>
      </c>
      <c r="I54" s="9" t="inlineStr">
        <is>
          <t>R8.10</t>
        </is>
      </c>
      <c r="J54" s="7" t="inlineStr">
        <is>
          <t>供給制約が第9期の給付費平坦（R6→R7で▲0.7％）の要因である可能性。資料提供依頼No.12（事業所・施設の定員及び稼働の実績）と一体。</t>
        </is>
      </c>
    </row>
    <row r="55" ht="80" customHeight="1">
      <c r="A55" s="9" t="inlineStr">
        <is>
          <t>51</t>
        </is>
      </c>
      <c r="B55" s="9" t="inlineStr">
        <is>
          <t>(5)(6)</t>
        </is>
      </c>
      <c r="C55" s="9" t="inlineStr">
        <is>
          <t>R8.9</t>
        </is>
      </c>
      <c r="D55" s="7" t="inlineStr">
        <is>
          <t>訪問介護の登録ヘルパー数と実働数</t>
        </is>
      </c>
      <c r="E55" s="7"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7" t="inlineStr">
        <is>
          <t>サービス見込量（訪問介護）
在宅生活継続支援の施策
素案 第5章 5-3</t>
        </is>
      </c>
      <c r="G55" s="9" t="inlineStr">
        <is>
          <t>発注者</t>
        </is>
      </c>
      <c r="H55" s="12" t="inlineStr">
        <is>
          <t>確認待ち</t>
        </is>
      </c>
      <c r="I55" s="9" t="inlineStr">
        <is>
          <t>R8.10</t>
        </is>
      </c>
      <c r="J55" s="7" t="inlineStr">
        <is>
          <t>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9" t="inlineStr">
        <is>
          <t>53</t>
        </is>
      </c>
      <c r="B57" s="9" t="inlineStr">
        <is>
          <t>(3)</t>
        </is>
      </c>
      <c r="C57" s="9" t="inlineStr">
        <is>
          <t>R8.9</t>
        </is>
      </c>
      <c r="D57" s="7" t="inlineStr">
        <is>
          <t>第2回委員会資料の様式と事前配布の期限</t>
        </is>
      </c>
      <c r="E57" s="7"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7" t="inlineStr">
        <is>
          <t>第2回委員会資料
計画骨子（素案）
ニーズ調査結果報告書</t>
        </is>
      </c>
      <c r="G57" s="9" t="inlineStr">
        <is>
          <t>発注者</t>
        </is>
      </c>
      <c r="H57" s="12" t="inlineStr">
        <is>
          <t>確認待ち</t>
        </is>
      </c>
      <c r="I57" s="9" t="inlineStr">
        <is>
          <t>R8.10</t>
        </is>
      </c>
      <c r="J57" s="7" t="inlineStr">
        <is>
          <t>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9" t="inlineStr">
        <is>
          <t>58</t>
        </is>
      </c>
      <c r="B62" s="9" t="inlineStr">
        <is>
          <t>(4)</t>
        </is>
      </c>
      <c r="C62" s="9" t="inlineStr">
        <is>
          <t>R8.9</t>
        </is>
      </c>
      <c r="D62" s="7" t="inlineStr">
        <is>
          <t>交付金評価「評価結果の活用」が16点から0点となった理由</t>
        </is>
      </c>
      <c r="E62" s="7"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7" t="inlineStr">
        <is>
          <t>第9期の評価（仕様書6（4））
第2回委員会資料
素案 第9章（KPI管理表）</t>
        </is>
      </c>
      <c r="G62" s="9" t="inlineStr">
        <is>
          <t>発注者</t>
        </is>
      </c>
      <c r="H62" s="12" t="inlineStr">
        <is>
          <t>確認待ち</t>
        </is>
      </c>
      <c r="I62" s="9" t="inlineStr">
        <is>
          <t>R8.10</t>
        </is>
      </c>
      <c r="J62" s="7" t="inlineStr">
        <is>
          <t>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実施中</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8">
      <c r="A68" s="24" t="inlineStr">
        <is>
          <t>区分</t>
        </is>
      </c>
      <c r="B68" s="24" t="inlineStr">
        <is>
          <t>件数</t>
        </is>
      </c>
    </row>
    <row r="69">
      <c r="A69" s="10" t="inlineStr">
        <is>
          <t>完了</t>
        </is>
      </c>
      <c r="B69" s="9">
        <f>COUNTIF(H5:H66,"完了")</f>
        <v/>
      </c>
    </row>
    <row r="70">
      <c r="A70" s="12" t="inlineStr">
        <is>
          <t>実施中</t>
        </is>
      </c>
      <c r="B70" s="9">
        <f>COUNTIF(H5:H66,"実施中")</f>
        <v/>
      </c>
    </row>
    <row r="71">
      <c r="A71" s="14" t="inlineStr">
        <is>
          <t>確認待ち</t>
        </is>
      </c>
      <c r="B71" s="9">
        <f>COUNTIF(H5:H66,"確認待ち")</f>
        <v/>
      </c>
    </row>
    <row r="72">
      <c r="A72" s="16" t="inlineStr">
        <is>
          <t>未着手</t>
        </is>
      </c>
      <c r="B72" s="9">
        <f>COUNTIF(H5:H66,"未着手")</f>
        <v/>
      </c>
    </row>
    <row r="73">
      <c r="A73" s="18" t="inlineStr">
        <is>
          <t>対象外</t>
        </is>
      </c>
      <c r="B73" s="9">
        <f>COUNTIF(H5:H66,"対象外")</f>
        <v/>
      </c>
    </row>
    <row r="75">
      <c r="A75" s="23" t="inlineStr">
        <is>
          <t>注1）「回答・対応」欄は、発注者からの回答又は受託者による対応の結果を記入し、状態を「完了」に更新する。</t>
        </is>
      </c>
    </row>
    <row r="76">
      <c r="A76" s="23" t="inlineStr">
        <is>
          <t>注2）No.9〜11は保険料試算ワークブックの黄色セル（01!B15、06!B17、06!B16、04!B8、06!B10）と対応し、値を入力すると保険料基準額が自動で再計算される。</t>
        </is>
      </c>
    </row>
  </sheetData>
  <mergeCells count="4">
    <mergeCell ref="A1:J1"/>
    <mergeCell ref="A75:J75"/>
    <mergeCell ref="A76:J76"/>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川崎町_ニーズ調査結果報告書_R8.9.2版（148段落・表103・グラフ73点）
川崎町_介護実態調査結果報告書_R8.9.2版（216段落・表18・グラフ10点）</t>
        </is>
      </c>
      <c r="D5" s="7" t="inlineStr">
        <is>
          <t>A4版　簡易コピー紙印刷製本
1色刷り　80頁程度　5部</t>
        </is>
      </c>
      <c r="E5" s="16" t="inlineStr">
        <is>
          <t>実施中</t>
        </is>
      </c>
      <c r="F5" s="20" t="n">
        <v>0.55</v>
      </c>
      <c r="G5" s="9" t="inlineStr">
        <is>
          <t>R9.3.15</t>
        </is>
      </c>
      <c r="H5" s="7" t="inlineStr">
        <is>
          <t>2調査の結果報告書は作成済みで、集計ブックとの全件突合・redteamレビューの反映まで完了している。成果品としての統合方法（2冊構成か1冊構成か）、80頁程度への構成、図表番号の付与、計画書本編との重複整理が未確定（確認事項No.2）。</t>
        </is>
      </c>
      <c r="I5" s="9" t="inlineStr">
        <is>
          <t>1, 2</t>
        </is>
      </c>
    </row>
    <row r="6" ht="84" customHeight="1">
      <c r="A6" s="9" t="n">
        <v>2</v>
      </c>
      <c r="B6" s="21" t="inlineStr">
        <is>
          <t>調査結果集計・分析の電子データ</t>
        </is>
      </c>
      <c r="C6" s="7" t="inlineStr">
        <is>
          <t>川崎町_介護予防日常生活圏域ニーズ調査_集計データ_20260807.xlsx（576件・75設問）
川崎町_在宅介護実態調査_集計データ_20260807.xlsx（142件・26設問）</t>
        </is>
      </c>
      <c r="D6" s="7" t="inlineStr">
        <is>
          <t>一式（Excel）</t>
        </is>
      </c>
      <c r="E6" s="16" t="inlineStr">
        <is>
          <t>実施中</t>
        </is>
      </c>
      <c r="F6" s="20" t="n">
        <v>0.7</v>
      </c>
      <c r="G6" s="9" t="inlineStr">
        <is>
          <t>R9.3.15</t>
        </is>
      </c>
      <c r="H6" s="7" t="inlineStr">
        <is>
          <t>単純集計・属性別集計・グラフデータは作成済み。個票による設問間クロス分析も算出済み。納品形式（提出するシートの範囲、個票の取扱い）が未確定。</t>
        </is>
      </c>
      <c r="I6" s="9" t="inlineStr">
        <is>
          <t>1, 3</t>
        </is>
      </c>
    </row>
    <row r="7" ht="84" customHeight="1">
      <c r="A7" s="9" t="n">
        <v>3</v>
      </c>
      <c r="B7" s="21" t="inlineStr">
        <is>
          <t>事業量・見込み量等の推計用電子データ</t>
        </is>
      </c>
      <c r="C7" s="7" t="inlineStr">
        <is>
          <t>保険料試算ワークブック（11シート・129数式）
長期推計・給付費・保険料試算レポート
保険料_県内比較分析・要因分析
給付費・保険料算定の精査レポート</t>
        </is>
      </c>
      <c r="D7" s="7" t="inlineStr">
        <is>
          <t>一式（Excel）</t>
        </is>
      </c>
      <c r="E7" s="12" t="inlineStr">
        <is>
          <t>実施中</t>
        </is>
      </c>
      <c r="F7" s="20" t="n">
        <v>0.5</v>
      </c>
      <c r="G7" s="9" t="inlineStr">
        <is>
          <t>R9.3.15</t>
        </is>
      </c>
      <c r="H7" s="7" t="inlineStr">
        <is>
          <t>保険料推計の枠組みは構築済みで黄色セル5項目が町確認待ち。サービス種類別の事業量推計、地域支援事業①〜⑤の見込み、男女別人口推計が未作成。</t>
        </is>
      </c>
      <c r="I7" s="9" t="inlineStr">
        <is>
          <t>9, 10, 11, 12, 13</t>
        </is>
      </c>
    </row>
    <row r="8" ht="84" customHeight="1">
      <c r="A8" s="9" t="n">
        <v>4</v>
      </c>
      <c r="B8" s="21" t="inlineStr">
        <is>
          <t>計画書</t>
        </is>
      </c>
      <c r="C8" s="7" t="inlineStr">
        <is>
          <t>計画素案v1.6_本文充実版（44頁・411ブロック・6図表）
資料編_構成案・素案</t>
        </is>
      </c>
      <c r="D8" s="7" t="inlineStr">
        <is>
          <t>A4版　表紙レザック　本文上質紙
1色刷り　100頁程度　100部</t>
        </is>
      </c>
      <c r="E8" s="12" t="inlineStr">
        <is>
          <t>実施中</t>
        </is>
      </c>
      <c r="F8" s="20" t="n">
        <v>0.45</v>
      </c>
      <c r="G8" s="9" t="inlineStr">
        <is>
          <t>R9.3.15</t>
        </is>
      </c>
      <c r="H8" s="7" t="inlineStr">
        <is>
          <t>現行素案は44頁であり、成果品の100頁程度に対して増補を要する。仕様書6（7）①〜⑨の構成との対応確認が未了。入稿期日が未確定。</t>
        </is>
      </c>
      <c r="I8" s="9" t="inlineStr">
        <is>
          <t>15, 16, 18</t>
        </is>
      </c>
    </row>
    <row r="9" ht="84" customHeight="1">
      <c r="A9" s="9" t="n">
        <v>5</v>
      </c>
      <c r="B9" s="21" t="inlineStr">
        <is>
          <t>概要版</t>
        </is>
      </c>
      <c r="C9" s="7" t="inlineStr">
        <is>
          <t>計画素案_概要版（12頁）
※委員事前配布用として作成したもの</t>
        </is>
      </c>
      <c r="D9" s="7" t="inlineStr">
        <is>
          <t>A4版　コート紙
1色刷り　8頁程度　3,500部</t>
        </is>
      </c>
      <c r="E9" s="12" t="inlineStr">
        <is>
          <t>実施中</t>
        </is>
      </c>
      <c r="F9" s="20" t="n">
        <v>0.25</v>
      </c>
      <c r="G9" s="9" t="inlineStr">
        <is>
          <t>R9.3.15</t>
        </is>
      </c>
      <c r="H9" s="7" t="inlineStr">
        <is>
          <t>現行の概要版は委員事前配布用の12頁であり、住民配布用の8頁程度への再構成を要する。3,500部は全世帯配布規模であり、印刷所要日数の確認を要する。</t>
        </is>
      </c>
      <c r="I9" s="9" t="inlineStr">
        <is>
          <t>18</t>
        </is>
      </c>
    </row>
    <row r="10" ht="84" customHeight="1">
      <c r="A10" s="9" t="n">
        <v>6</v>
      </c>
      <c r="B10" s="21" t="inlineStr">
        <is>
          <t>計画書概要及び計画書案等の電子データ</t>
        </is>
      </c>
      <c r="C10" s="7" t="inlineStr">
        <is>
          <t>素案v1.6（Word）
概要版（Word）
資料編（Word）</t>
        </is>
      </c>
      <c r="D10" s="7" t="inlineStr">
        <is>
          <t>一式（Word・PDF）</t>
        </is>
      </c>
      <c r="E10" s="12" t="inlineStr">
        <is>
          <t>実施中</t>
        </is>
      </c>
      <c r="F10" s="20" t="n">
        <v>0.45</v>
      </c>
      <c r="G10" s="9" t="inlineStr">
        <is>
          <t>R9.3.15</t>
        </is>
      </c>
      <c r="H10" s="7" t="inlineStr">
        <is>
          <t>計画書・概要版の確定に連動する。</t>
        </is>
      </c>
      <c r="I10" s="9" t="inlineStr">
        <is>
          <t>15, 18</t>
        </is>
      </c>
    </row>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資料提供依頼一覧（21件）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最高</t>
        </is>
      </c>
      <c r="I7" s="14" t="inlineStr">
        <is>
          <t>確認待ち</t>
        </is>
      </c>
      <c r="J7" s="7" t="inlineStr">
        <is>
          <t>確認事項No.12と対応。仕様書6（5）（6）の中核データ。</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確認待ち</t>
        </is>
      </c>
      <c r="J8" s="7" t="inlineStr">
        <is>
          <t>確認事項No.10と対応。</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7">
      <c r="A27" s="24" t="inlineStr">
        <is>
          <t>区分</t>
        </is>
      </c>
      <c r="B27" s="24" t="inlineStr">
        <is>
          <t>件数</t>
        </is>
      </c>
    </row>
    <row r="28">
      <c r="A28" s="10" t="inlineStr">
        <is>
          <t>完了</t>
        </is>
      </c>
      <c r="B28" s="9">
        <f>COUNTIF(I5:I25,"完了")</f>
        <v/>
      </c>
    </row>
    <row r="29">
      <c r="A29" s="12" t="inlineStr">
        <is>
          <t>実施中</t>
        </is>
      </c>
      <c r="B29" s="9">
        <f>COUNTIF(I5:I25,"実施中")</f>
        <v/>
      </c>
    </row>
    <row r="30" ht="26" customHeight="1">
      <c r="A30" s="14" t="inlineStr">
        <is>
          <t>確認待ち</t>
        </is>
      </c>
      <c r="B30" s="9">
        <f>COUNTIF(I5:I25,"確認待ち")</f>
        <v/>
      </c>
    </row>
    <row r="31" ht="26" customHeight="1">
      <c r="A31" s="16" t="inlineStr">
        <is>
          <t>未着手</t>
        </is>
      </c>
      <c r="B31" s="9">
        <f>COUNTIF(I5:I25,"未着手")</f>
        <v/>
      </c>
    </row>
    <row r="32">
      <c r="A32" s="18" t="inlineStr">
        <is>
          <t>対象外</t>
        </is>
      </c>
      <c r="B32" s="9">
        <f>COUNTIF(I5:I25,"対象外")</f>
        <v/>
      </c>
    </row>
    <row r="34">
      <c r="A34" s="23" t="inlineStr">
        <is>
          <t>注1）優先度は 最高／高／中／低 の別による。「最高」は、受領しない限り当該業務が完了しない資料を示す。</t>
        </is>
      </c>
    </row>
    <row r="35">
      <c r="A35" s="23" t="inlineStr">
        <is>
          <t>注2）「状態」が「完了」となった資料は、受領日を備考欄に記入する。</t>
        </is>
      </c>
    </row>
  </sheetData>
  <mergeCells count="4">
    <mergeCell ref="A34:J34"/>
    <mergeCell ref="A1:J1"/>
    <mergeCell ref="A35:J35"/>
    <mergeCell ref="A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2026-09-03T06:15:55Z</dcterms:modified>
</cp:coreProperties>
</file>