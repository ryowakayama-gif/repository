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3"/>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3"/>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0.92</v>
      </c>
      <c r="H9" s="9" t="inlineStr">
        <is>
          <t>R9.1</t>
        </is>
      </c>
      <c r="I9" s="7" t="inlineStr">
        <is>
          <t>【令和8年10月7日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12" t="inlineStr">
        <is>
          <t>実施中</t>
        </is>
      </c>
      <c r="G11" s="20" t="n">
        <v>0.99</v>
      </c>
      <c r="H11" s="9" t="inlineStr">
        <is>
          <t>R9.2</t>
        </is>
      </c>
      <c r="I11" s="7" t="inlineStr">
        <is>
          <t>【令和8年10月7日 更新】素案は Ver.2.11 まで作成（全113頁・672段落・128表・図10点）。Ver.2.10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に『施策と見込量の関係』を新設、受託者を主語とする語2か所を削除した。網羅性の8軸51事項すべて適合。守るべき制約の走査（新規）も不適合0件。</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実施中</t>
        </is>
      </c>
      <c r="G12" s="20" t="n">
        <v>0.6</v>
      </c>
      <c r="H12" s="9" t="inlineStr">
        <is>
          <t>R9.3</t>
        </is>
      </c>
      <c r="I12" s="7" t="inlineStr">
        <is>
          <t>【令和8年10月7日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9" t="inlineStr">
        <is>
          <t>17, 18</t>
        </is>
      </c>
    </row>
    <row r="13"/>
    <row r="14" ht="22" customHeight="1">
      <c r="B14" s="21" t="inlineStr">
        <is>
          <t>全体進捗（単純平均）</t>
        </is>
      </c>
      <c r="C14" s="4" t="n"/>
      <c r="D14" s="4" t="n"/>
      <c r="E14" s="4" t="n"/>
      <c r="F14" s="5" t="n"/>
      <c r="G14" s="22">
        <f>ROUND(AVERAGE(G5:G12),2)</f>
        <v/>
      </c>
    </row>
    <row r="15"/>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3"/>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5"/>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2"/>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2"/>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3"/>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R8.11</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R8.11</t>
        </is>
      </c>
      <c r="J158" s="7" t="inlineStr">
        <is>
          <t>第10期基本指針（案）の別表 八。素案に有料老人ホーム・サービス付き高齢者向け住宅が一度も現れていなかった。</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row r="174">
      <c r="A174" s="24" t="inlineStr">
        <is>
          <t>区分</t>
        </is>
      </c>
      <c r="B174" s="24" t="inlineStr">
        <is>
          <t>件数</t>
        </is>
      </c>
    </row>
    <row r="175">
      <c r="A175" s="10" t="inlineStr">
        <is>
          <t>完了</t>
        </is>
      </c>
      <c r="B175" s="9">
        <f>COUNTIF(H5:H168,"完了")</f>
        <v/>
      </c>
    </row>
    <row r="176">
      <c r="A176" s="12" t="inlineStr">
        <is>
          <t>実施中</t>
        </is>
      </c>
      <c r="B176" s="9">
        <f>COUNTIF(H5:H168,"実施中")</f>
        <v/>
      </c>
    </row>
    <row r="177">
      <c r="A177" s="14" t="inlineStr">
        <is>
          <t>確認待ち</t>
        </is>
      </c>
      <c r="B177" s="4" t="n"/>
      <c r="C177" s="4" t="n"/>
      <c r="D177" s="4" t="n"/>
      <c r="E177" s="4" t="n"/>
      <c r="F177" s="4" t="n"/>
      <c r="G177" s="4" t="n"/>
      <c r="H177" s="4" t="n"/>
      <c r="I177" s="4" t="n"/>
      <c r="J177" s="5" t="n"/>
    </row>
    <row r="178">
      <c r="A178" s="16" t="inlineStr">
        <is>
          <t>未着手</t>
        </is>
      </c>
      <c r="B178" s="4" t="n"/>
      <c r="C178" s="4" t="n"/>
      <c r="D178" s="4" t="n"/>
      <c r="E178" s="4" t="n"/>
      <c r="F178" s="4" t="n"/>
      <c r="G178" s="4" t="n"/>
      <c r="H178" s="4" t="n"/>
      <c r="I178" s="4" t="n"/>
      <c r="J178" s="5" t="n"/>
    </row>
    <row r="179">
      <c r="A179" s="18" t="inlineStr">
        <is>
          <t>対象外</t>
        </is>
      </c>
      <c r="B179" s="4" t="n"/>
      <c r="C179" s="4" t="n"/>
      <c r="D179" s="4" t="n"/>
      <c r="E179" s="4" t="n"/>
      <c r="F179" s="4" t="n"/>
      <c r="G179" s="4" t="n"/>
      <c r="H179" s="4" t="n"/>
      <c r="I179" s="4" t="n"/>
      <c r="J179" s="5" t="n"/>
    </row>
    <row r="180"/>
    <row r="181">
      <c r="A181" s="23" t="inlineStr">
        <is>
          <t>注1）「回答・対応」欄は、発注者からの回答又は受託者による対応の結果を記入し、状態を「完了」に更新する。</t>
        </is>
      </c>
    </row>
    <row r="182">
      <c r="A182" s="23" t="inlineStr">
        <is>
          <t>注2）No.9〜11は保険料試算ワークブックの黄色セル（01!B15、06!B17、06!B16、04!B8、06!B10）と対応し、値を入力すると保険料基準額が自動で再計算される。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3"/>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川崎町_計画書素案_v2.11_見込量是正版.docx／同_v2.10c_圧縮案_R8.10.4.docx（本文105頁）</t>
        </is>
      </c>
      <c r="D8" s="7" t="inlineStr">
        <is>
          <t>A4版　表紙レザック　本文上質紙
1色刷り　100頁程度　100部</t>
        </is>
      </c>
      <c r="E8" s="12" t="inlineStr">
        <is>
          <t>実施中</t>
        </is>
      </c>
      <c r="F8" s="20" t="n">
        <v>0.87</v>
      </c>
      <c r="G8" s="9" t="inlineStr">
        <is>
          <t>R9.3.15</t>
        </is>
      </c>
      <c r="H8" s="7" t="inlineStr">
        <is>
          <t>【令和8年10月7日 更新】素案 Ver.2.11（本文113頁・672段落・128表・図10点）。9-1 の『見込量を0としたサービス』の表を是正し、『施策と見込量の関係』を新設した。数値は変えていない。⚠ 仕様書8は「100頁程度」であり、圧縮案（本文105頁）をお示ししている（確認事項No.83）。</t>
        </is>
      </c>
      <c r="I8" s="9"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9" t="n">
        <v>6</v>
      </c>
      <c r="B10" s="21" t="inlineStr">
        <is>
          <t>計画書概要及び計画書案等の電子データ</t>
        </is>
      </c>
      <c r="C10" s="7" t="inlineStr">
        <is>
          <t>川崎町_第2回策定委員会資料_R8.11_v8.docx／同_想定問答集_R8.11_v4.docx／川崎町_第3回・第4回策定委員会_骨子案_R8.10.5.docx</t>
        </is>
      </c>
      <c r="D10" s="7" t="inlineStr">
        <is>
          <t>一式（Word・PDF）</t>
        </is>
      </c>
      <c r="E10" s="12" t="inlineStr">
        <is>
          <t>実施中</t>
        </is>
      </c>
      <c r="F10" s="20" t="n">
        <v>0.75</v>
      </c>
      <c r="G10" s="9" t="inlineStr">
        <is>
          <t>R9.3.15</t>
        </is>
      </c>
      <c r="H10" s="7" t="inlineStr">
        <is>
          <t>【令和8年10月7日 更新】第2回策定委員会資料 v8・想定問答集 v4（全44問）、第3回・第4回の骨子案を作成。あわせて中間報告書（第1回）、県事前協議の資料一式、意見公募手続の一式（意見提出用紙を含む）を用意した。</t>
        </is>
      </c>
      <c r="I10" s="9"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3"/>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8"/>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7"/>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3"/>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8"/>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3"/>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7"/>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2"/>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3"/>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未着手</t>
        </is>
      </c>
      <c r="I29" s="32" t="inlineStr"/>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未着手</t>
        </is>
      </c>
      <c r="I30" s="32" t="inlineStr"/>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未着手</t>
        </is>
      </c>
      <c r="I31" s="32" t="inlineStr"/>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未着手</t>
        </is>
      </c>
      <c r="I32" s="32" t="inlineStr"/>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2026-10-07T14:44:04Z</dcterms:modified>
</cp:coreProperties>
</file>