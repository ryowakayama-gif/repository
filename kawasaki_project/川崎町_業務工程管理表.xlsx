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実施中</t>
        </is>
      </c>
      <c r="G5" s="20" t="n">
        <v>0.95</v>
      </c>
      <c r="H5" s="9" t="inlineStr">
        <is>
          <t>R8.10</t>
        </is>
      </c>
      <c r="I5" s="7" t="inlineStr">
        <is>
          <t>令和8年6〜7月に調査を実施し、一般高齢者576件・要支援要介護認定者142件を回収。単純集計・クロス集計・分析まで完了。ニーズ調査結果報告書（R8.9.2版）及び介護実態調査結果報告書（R8.9.2版）を作成し、いずれもredteamレビューの指摘を反映済み。集計ブック（20260807版）との全件突合で不一致0件。残るのは⑥調査報告書（成果品・80頁程度5部）としての統合・体裁確定と、Wordでの目次更新・改頁の目視確認。ニーズ調査に回答者属性が記録されていない制約は、BMI区分・低栄養リスクを代替属性とする分析で一部補完した（確認事項No.27）。</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0.5</v>
      </c>
      <c r="H7" s="9" t="inlineStr">
        <is>
          <t>R9.2</t>
        </is>
      </c>
      <c r="I7" s="7" t="inlineStr">
        <is>
          <t>第1回は令和8年9月2日（水）開催で資料が確定（R8.9.2 v8統合版・11項目／表31／図1）。保険者機能強化推進交付金等の評価結果（令和6〜8年度）まで反映済み。第2回の説明資料も作成済み。第2回の想定問答集及び第3回・第4回の資料は未着手。委員名簿が未確定（確認事項No.5）。委員会の名称は仕様書及び第1回資料により「策定委員会」で確定（同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0.65</v>
      </c>
      <c r="H8" s="9" t="inlineStr">
        <is>
          <t>R8.10</t>
        </is>
      </c>
      <c r="I8" s="7" t="inlineStr">
        <is>
          <t>①②は概ね完了。保険者機能強化推進交付金等の全国集計結果（令和6〜8年度）を受領・分析し、③現行施策の検証のうち交付金評価の部分は確定（令和6年度454点696位／令和7年度565点114位／令和8年度528点366位）。④関連施策評価調査シート案（8シート）を令和8年8月28日に作成し、町との協議待ち（確認事項No.7）。⑤各課・関係機関への配付と聞き取りは、シート案の決定後に実施する。第9期KPIのアウトプット指標（地域ケア会議等の開催実績）は町記入待ち（同No.34）。</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0.6</v>
      </c>
      <c r="H10" s="9" t="inlineStr">
        <is>
          <t>R8.10</t>
        </is>
      </c>
      <c r="I10" s="7" t="inlineStr">
        <is>
          <t>①②は完了し、川崎町固有の5重点課題を整理済み。交付金評価のアウトカム指標により、取組（プロセス）は全国上位である一方、要介護1・2の平均要介護度の伸び（全国1,580位）等のアウトカムが全国下位である構造を確認した。③は（4）の評価シートと連動しており未実施。④国保連データが未受領のため、給付実績の分析は第9期計画の公表値に依拠した概算にとどまる（確認事項No.12）。</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素案v1.6_本文充実版（44頁・411ブロック・6図表）
資料編_構成案・素案
計画素案_概要版（12頁）</t>
        </is>
      </c>
      <c r="F11" s="12" t="inlineStr">
        <is>
          <t>実施中</t>
        </is>
      </c>
      <c r="G11" s="20" t="n">
        <v>0.4</v>
      </c>
      <c r="H11" s="9" t="inlineStr">
        <is>
          <t>R9.2</t>
        </is>
      </c>
      <c r="I11" s="7" t="inlineStr">
        <is>
          <t>素案はv1.6まで作成済みだが、第9期計画の記述に誤りがある。①基本理念を「住民が住み慣れた地域で安心して暮らせるまちづくり」としているが、第9期計画の基本理念は「誰もが健やかに暮らせるまちづくり」であり、素案の理念は第9期計画に存在しない。②第9期の体系は「基本方針5つ」であるが素案は「基本目標」の語を用いている。③高齢化率41.4%は第9期計画に出典がなく、第1回委員会資料の39.2%（R4実績）・42.6%（R8推計）と不一致（確認事項No.22・23）。また独自の8章構成であり仕様書6（7）①〜⑨との対応確認を要する（No.15）。計画書は100頁程度で現在の44頁からの増補が必要。</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委員会資料はv8統合版で確定。調査報告書は、ニーズ調査結果報告書（R8.9.2版）と介護実態調査結果報告書（R8.9.2版）を作成し、いずれもredteamレビューを反映済み。成果品（80頁程度・5部）としての統合・体裁は未確定。各課・関係機関への聞き取りは未実施。関連施策評価調査シート案（8シート）を作成し、町との協議を待っている。</t>
        </is>
      </c>
      <c r="F8" s="16" t="inlineStr">
        <is>
          <t>実施中</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保険料推計の枠組みは構築済み。男女別人口推計・事業量推計・地域支援事業の見込みは未着手。</t>
        </is>
      </c>
      <c r="F9" s="16" t="inlineStr">
        <is>
          <t>未着手</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第1回策定委員会資料により第1回はR8.9.2に確定。第2回はR8.11頃、第3回はR9.1頃、第4回はR9.2頃の予定（同資料のスケジュール案による）。</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仕様書及び第1回策定委員会資料により「策定委員会」で確定。計画素案v1.6ほか5成果物が「介護保険運営委員会」に変更されているため、「策定委員会」へ戻す。</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確認待ち</t>
        </is>
      </c>
      <c r="I13" s="9" t="inlineStr">
        <is>
          <t>R8.6</t>
        </is>
      </c>
      <c r="J13" s="7" t="inlineStr"/>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確認待ち</t>
        </is>
      </c>
      <c r="I14" s="9" t="inlineStr">
        <is>
          <t>R8.7</t>
        </is>
      </c>
      <c r="J14" s="7" t="inlineStr"/>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確認待ち</t>
        </is>
      </c>
      <c r="I18" s="9" t="inlineStr">
        <is>
          <t>R8.9</t>
        </is>
      </c>
      <c r="J18" s="7" t="inlineStr"/>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確認待ち</t>
        </is>
      </c>
      <c r="I26" s="9" t="inlineStr">
        <is>
          <t>R8.9</t>
        </is>
      </c>
      <c r="J26" s="7" t="inlineStr"/>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確認待ち</t>
        </is>
      </c>
      <c r="I27" s="9" t="inlineStr">
        <is>
          <t>R8.9</t>
        </is>
      </c>
      <c r="J27" s="7" t="inlineStr"/>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確認待ち</t>
        </is>
      </c>
      <c r="I28" s="9" t="inlineStr">
        <is>
          <t>R8.9</t>
        </is>
      </c>
      <c r="J28" s="7" t="inlineStr"/>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5">
      <c r="A45" s="24" t="inlineStr">
        <is>
          <t>区分</t>
        </is>
      </c>
      <c r="B45" s="24" t="inlineStr">
        <is>
          <t>件数</t>
        </is>
      </c>
    </row>
    <row r="46">
      <c r="A46" s="10" t="inlineStr">
        <is>
          <t>完了</t>
        </is>
      </c>
      <c r="B46" s="9">
        <f>COUNTIF(H5:H43,"完了")</f>
        <v/>
      </c>
    </row>
    <row r="47">
      <c r="A47" s="12" t="inlineStr">
        <is>
          <t>実施中</t>
        </is>
      </c>
      <c r="B47" s="9">
        <f>COUNTIF(H5:H43,"実施中")</f>
        <v/>
      </c>
    </row>
    <row r="48">
      <c r="A48" s="14" t="inlineStr">
        <is>
          <t>確認待ち</t>
        </is>
      </c>
      <c r="B48" s="9">
        <f>COUNTIF(H5:H43,"確認待ち")</f>
        <v/>
      </c>
    </row>
    <row r="49">
      <c r="A49" s="16" t="inlineStr">
        <is>
          <t>未着手</t>
        </is>
      </c>
      <c r="B49" s="9">
        <f>COUNTIF(H5:H43,"未着手")</f>
        <v/>
      </c>
    </row>
    <row r="50">
      <c r="A50" s="18" t="inlineStr">
        <is>
          <t>対象外</t>
        </is>
      </c>
      <c r="B50" s="9">
        <f>COUNTIF(H5:H43,"対象外")</f>
        <v/>
      </c>
    </row>
    <row r="52">
      <c r="A52" s="23" t="inlineStr">
        <is>
          <t>注1）「回答・対応」欄は、発注者からの回答又は受託者による対応の結果を記入し、状態を「完了」に更新する。</t>
        </is>
      </c>
    </row>
    <row r="53">
      <c r="A53" s="23" t="inlineStr">
        <is>
          <t>注2）No.9〜11は保険料試算ワークブックの黄色セル（01!B15、06!B17、06!B16、04!B8、06!B10）と対応し、値を入力すると保険料基準額が自動で再計算される。</t>
        </is>
      </c>
    </row>
  </sheetData>
  <mergeCells count="4">
    <mergeCell ref="A53:J53"/>
    <mergeCell ref="A52:J52"/>
    <mergeCell ref="A1:J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川崎町_ニーズ調査結果報告書_R8.9.2版（148段落・表103・グラフ73点）
川崎町_介護実態調査結果報告書_R8.9.2版（216段落・表18・グラフ10点）</t>
        </is>
      </c>
      <c r="D5" s="7" t="inlineStr">
        <is>
          <t>A4版　簡易コピー紙印刷製本
1色刷り　80頁程度　5部</t>
        </is>
      </c>
      <c r="E5" s="16" t="inlineStr">
        <is>
          <t>実施中</t>
        </is>
      </c>
      <c r="F5" s="20" t="n">
        <v>0.55</v>
      </c>
      <c r="G5" s="9" t="inlineStr">
        <is>
          <t>R9.3.15</t>
        </is>
      </c>
      <c r="H5" s="7" t="inlineStr">
        <is>
          <t>2調査の結果報告書は作成済みで、集計ブックとの全件突合・redteamレビューの反映まで完了している。成果品としての統合方法（2冊構成か1冊構成か）、80頁程度への構成、図表番号の付与、計画書本編との重複整理が未確定（確認事項No.2）。</t>
        </is>
      </c>
      <c r="I5" s="9" t="inlineStr">
        <is>
          <t>1, 2</t>
        </is>
      </c>
    </row>
    <row r="6" ht="84" customHeight="1">
      <c r="A6" s="9" t="n">
        <v>2</v>
      </c>
      <c r="B6" s="21" t="inlineStr">
        <is>
          <t>調査結果集計・分析の電子データ</t>
        </is>
      </c>
      <c r="C6" s="7" t="inlineStr">
        <is>
          <t>川崎町_介護予防日常生活圏域ニーズ調査_集計データ_20260807.xlsx（576件・75設問）
川崎町_在宅介護実態調査_集計データ_20260807.xlsx（142件・26設問）</t>
        </is>
      </c>
      <c r="D6" s="7" t="inlineStr">
        <is>
          <t>一式（Excel）</t>
        </is>
      </c>
      <c r="E6" s="16" t="inlineStr">
        <is>
          <t>実施中</t>
        </is>
      </c>
      <c r="F6" s="20" t="n">
        <v>0.7</v>
      </c>
      <c r="G6" s="9" t="inlineStr">
        <is>
          <t>R9.3.15</t>
        </is>
      </c>
      <c r="H6" s="7" t="inlineStr">
        <is>
          <t>単純集計・属性別集計・グラフデータは作成済み。個票による設問間クロス分析も算出済み。納品形式（提出するシートの範囲、個票の取扱い）が未確定。</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資料提供依頼一覧（20件）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6">
      <c r="A26" s="24" t="inlineStr">
        <is>
          <t>区分</t>
        </is>
      </c>
      <c r="B26" s="24" t="inlineStr">
        <is>
          <t>件数</t>
        </is>
      </c>
    </row>
    <row r="27">
      <c r="A27" s="10" t="inlineStr">
        <is>
          <t>完了</t>
        </is>
      </c>
      <c r="B27" s="9">
        <f>COUNTIF(I5:I24,"完了")</f>
        <v/>
      </c>
    </row>
    <row r="28">
      <c r="A28" s="12" t="inlineStr">
        <is>
          <t>実施中</t>
        </is>
      </c>
      <c r="B28" s="9">
        <f>COUNTIF(I5:I24,"実施中")</f>
        <v/>
      </c>
    </row>
    <row r="29">
      <c r="A29" s="14" t="inlineStr">
        <is>
          <t>確認待ち</t>
        </is>
      </c>
      <c r="B29" s="9">
        <f>COUNTIF(I5:I24,"確認待ち")</f>
        <v/>
      </c>
    </row>
    <row r="30" ht="26" customHeight="1">
      <c r="A30" s="16" t="inlineStr">
        <is>
          <t>未着手</t>
        </is>
      </c>
      <c r="B30" s="9">
        <f>COUNTIF(I5:I24,"未着手")</f>
        <v/>
      </c>
    </row>
    <row r="31" ht="26" customHeight="1">
      <c r="A31" s="18" t="inlineStr">
        <is>
          <t>対象外</t>
        </is>
      </c>
      <c r="B31" s="9">
        <f>COUNTIF(I5:I24,"対象外")</f>
        <v/>
      </c>
    </row>
    <row r="33">
      <c r="A33" s="23" t="inlineStr">
        <is>
          <t>注1）優先度は 最高／高／中／低 の別による。「最高」は、受領しない限り当該業務が完了しない資料を示す。</t>
        </is>
      </c>
    </row>
    <row r="34">
      <c r="A34" s="23" t="inlineStr">
        <is>
          <t>注2）「状態」が「完了」となった資料は、受領日を備考欄に記入する。</t>
        </is>
      </c>
    </row>
  </sheetData>
  <mergeCells count="4">
    <mergeCell ref="A34:J34"/>
    <mergeCell ref="A1:J1"/>
    <mergeCell ref="A33:J33"/>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2026-08-31T22:51:53Z</dcterms:modified>
</cp:coreProperties>
</file>